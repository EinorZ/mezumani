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סיכום" sheetId="2" r:id="rId6"/>
    <sheet name="ניתוח חודשי" sheetId="3" r:id="rId7"/>
    <sheet name="ניתוח קטגוריות" sheetId="4" r:id="rId8"/>
    <sheet name="המלצות" sheetId="5" r:id="rId9"/>
    <sheet name="בתי עסק" sheetId="6" r:id="rId10"/>
    <sheet name="עסקאות" sheetId="7" r:id="rId11"/>
    <sheet name="הכנסות" sheetId="8" r:id="rId12"/>
    <sheet name="פירוט חופשות" sheetId="9" r:id="rId13"/>
    <sheet name="מיפוי ומקורות" sheetId="10" r:id="rId14"/>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<sst xmlns="http://schemas.openxmlformats.org/spreadsheetml/2006/main" uniqueCount="1533">
  <si>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</si>
  <si>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</si>
  <si>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</si>
  <si>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</si>
  <si>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סיכום</t>
  </si>
  <si>
    <t>Table 1</t>
  </si>
  <si>
    <t>ניתוח הוצאות משק בית</t>
  </si>
  <si>
    <t>2 נפשות | ינואר 2025 עד אוגוסט 2026 | סכומים בש״ח</t>
  </si>
  <si>
    <t>מדד</t>
  </si>
  <si>
    <t>ערך</t>
  </si>
  <si>
    <t>חודשים בניתוח</t>
  </si>
  <si>
    <t>שורות עסקאות</t>
  </si>
  <si>
    <t>הוצאות מקור נטו</t>
  </si>
  <si>
    <t>הוצאות תקניות</t>
  </si>
  <si>
    <t>הוצאה שוטפת חודשית</t>
  </si>
  <si>
    <t>הוצאה שוטפת לנפש</t>
  </si>
  <si>
    <t>הכנסה תקנית</t>
  </si>
  <si>
    <t>חיסכון מצטבר</t>
  </si>
  <si>
    <t>השוואת הוצאה שוטפת</t>
  </si>
  <si>
    <t>2025</t>
  </si>
  <si>
    <t>2026 (8 ח׳)</t>
  </si>
  <si>
    <t>ממוצע חודשי</t>
  </si>
  <si>
    <t>ממוצע לנפש</t>
  </si>
  <si>
    <t>שינוי לעומת 2025</t>
  </si>
  <si>
    <t>תקופה</t>
  </si>
  <si>
    <t>הוצאות שוטפות</t>
  </si>
  <si>
    <t>מס׳</t>
  </si>
  <si>
    <t>ממצא</t>
  </si>
  <si>
    <t>פירוט</t>
  </si>
  <si>
    <t>2025-01</t>
  </si>
  <si>
    <t>1</t>
  </si>
  <si>
    <t>ההוצאה השוטפת יציבה</t>
  </si>
  <si>
    <t>₪22,559 לחודש ב־2025 לעומת ₪22,609 ב־2026 — שינוי של 0.2%.</t>
  </si>
  <si>
    <t>2025-02</t>
  </si>
  <si>
    <t>2</t>
  </si>
  <si>
    <t>הדיור הוא השינוי המבני המרכזי</t>
  </si>
  <si>
    <t>שכר הדירה עלה מכ־₪6,458 לחודש ב־2025 ל־₪8,000 ב־2026. יתר הסעיפים הגמישים ירדו בחלקם וקיזזו את העלייה.</t>
  </si>
  <si>
    <t>2025-03</t>
  </si>
  <si>
    <t>3</t>
  </si>
  <si>
    <t>אוכל נשאר יציב יחסית</t>
  </si>
  <si>
    <t>מזון לבית ואוכל בחוץ יחד הם כ־₪3,600 לחודש למשק הבית, כ־₪1,800 לאדם.</t>
  </si>
  <si>
    <t>2025-04</t>
  </si>
  <si>
    <t>4</t>
  </si>
  <si>
    <t>הוצאות בריאות וספורט מהותיות</t>
  </si>
  <si>
    <t>אין המלצה לקצץ טיפול; יש לבדוק החזרים וכפל כיסוי. בספורט יש מקום לבדוק חפיפה בין מסגרות.</t>
  </si>
  <si>
    <t>2025-05</t>
  </si>
  <si>
    <t>5</t>
  </si>
  <si>
    <t>פוטנציאל החיסכון השמרני</t>
  </si>
  <si>
    <t>תרחיש ללא שינוי חד באורח החיים מכוון לכ־₪600–₪1,200 בחודש, בעיקר דרך תקציב גמיש, אוכל, ספקים וחפיפות.</t>
  </si>
  <si>
    <t>2025-06</t>
  </si>
  <si>
    <t>2025-07</t>
  </si>
  <si>
    <t>2025-08</t>
  </si>
  <si>
    <t>2025-09</t>
  </si>
  <si>
    <t>2025-10</t>
  </si>
  <si>
    <t>2025-11</t>
  </si>
  <si>
    <t>2025-12</t>
  </si>
  <si>
    <t>2026-01</t>
  </si>
  <si>
    <t>2026-02</t>
  </si>
  <si>
    <t>2026-03</t>
  </si>
  <si>
    <t>2026-04</t>
  </si>
  <si>
    <t>2026-05</t>
  </si>
  <si>
    <t>2026-06</t>
  </si>
  <si>
    <t>2026-07</t>
  </si>
  <si>
    <t>2026-08</t>
  </si>
  <si>
    <t>ניתוח חודשי</t>
  </si>
  <si>
    <t>הוצאות והכנסות מנורמלות; אוגוסט 2026 מסומן כחודש פתוח</t>
  </si>
  <si>
    <t>חודש</t>
  </si>
  <si>
    <t>סטטוס</t>
  </si>
  <si>
    <t>הוצאות תקניות (₪)</t>
  </si>
  <si>
    <t>הוצאות שוטפות (₪)</t>
  </si>
  <si>
    <t>שוטף לנפש (₪)</t>
  </si>
  <si>
    <t>הכנסה רשומה (₪)</t>
  </si>
  <si>
    <t>הכנסה שסווגה מחדש (₪)</t>
  </si>
  <si>
    <t>הכנסה תקנית (₪)</t>
  </si>
  <si>
    <t>חיסכון (₪)</t>
  </si>
  <si>
    <t>שיעור חיסכון</t>
  </si>
  <si>
    <t>ממוצע שוטף 3 ח׳ (₪)</t>
  </si>
  <si>
    <t>סגור</t>
  </si>
  <si>
    <t>פתוח</t>
  </si>
  <si>
    <t>ניתוח קטגוריות</t>
  </si>
  <si>
    <t>קטגוריות מקור אוחדו לקבוצות עקב שינוי שמות בין השנים</t>
  </si>
  <si>
    <t>קבוצה</t>
  </si>
  <si>
    <t>סיווג</t>
  </si>
  <si>
    <t>סה״כ (₪)</t>
  </si>
  <si>
    <t>ממוצע 20 ח׳ (₪)</t>
  </si>
  <si>
    <t>ממוצע לנפש (₪)</t>
  </si>
  <si>
    <t>חלק מההוצאה</t>
  </si>
  <si>
    <t>2025 סה״כ (₪)</t>
  </si>
  <si>
    <t>2025 חודשי (₪)</t>
  </si>
  <si>
    <t>2026 סה״כ (₪)</t>
  </si>
  <si>
    <t>2026 חודשי (₪)</t>
  </si>
  <si>
    <t>שינוי חודשי</t>
  </si>
  <si>
    <t>יעד צמצום</t>
  </si>
  <si>
    <t>חיסכון חודשי (₪)</t>
  </si>
  <si>
    <t>חיסכון שנתי (₪)</t>
  </si>
  <si>
    <t>הערה למומחה</t>
  </si>
  <si>
    <t>דיור – בית מגורים</t>
  </si>
  <si>
    <t>שוטף</t>
  </si>
  <si>
    <t>הרכיב הגדול ביותר. שכר הדירה עלה מכ־₪6,458 לחודש ב־2025 ל־₪8,000 ב־2026; לבדוק חוזה, תקשורת, ניקיון וצריכת חשמל בנפרד.</t>
  </si>
  <si>
    <t>נכס להשקעה</t>
  </si>
  <si>
    <t>חריג/נכס</t>
  </si>
  <si>
    <t>לנתח כיחידת רווח והפסד נפרדת. ב־2025 שכר הדירה נרשם כהוצאה שלילית; בקובץ הוא סווג מחדש להכנסה.</t>
  </si>
  <si>
    <t>נסיעות וחופשות</t>
  </si>
  <si>
    <t>חריג</t>
  </si>
  <si>
    <t>הוצאה מתוכננת ולא שוטפת. מומלץ לקבוע תקציב שנתי וקרן חודשית נפרדת.</t>
  </si>
  <si>
    <t>חתונה</t>
  </si>
  <si>
    <t>הוצאה חד־פעמית; הוחרגה ממדד ההוצאה השוטפת.</t>
  </si>
  <si>
    <t>בריאות וטיפולים</t>
  </si>
  <si>
    <t>לא מומלץ לקצץ טיפול. לבדוק החזרים משב״ן/ביטוח וכפל כיסויים.</t>
  </si>
  <si>
    <t>מזון לבית</t>
  </si>
  <si>
    <t>רשימת קניות קבועה, איחוד קניות והשוואה חודשית בין סלים.</t>
  </si>
  <si>
    <t>ספורט</t>
  </si>
  <si>
    <t>בדיקת חפיפה בין קאנטרי, אימונים פרטיים וחבילות; לא לצמצם פעילות.</t>
  </si>
  <si>
    <t>אוכל בחוץ</t>
  </si>
  <si>
    <t>תקציב שבועי קבוע ושימוש מלא בהטבות אוכל לפני תשלום פרטי.</t>
  </si>
  <si>
    <t>תחבורה</t>
  </si>
  <si>
    <t>תדלוק מתוכנן, איחוד נסיעות ובדיקת כיסוי ביטוחי פעם בשנה.</t>
  </si>
  <si>
    <t>קניות לבית</t>
  </si>
  <si>
    <t>חלון המתנה של 48 שעות ורשימת רכישות חודשית מאוחדת.</t>
  </si>
  <si>
    <t>מסים</t>
  </si>
  <si>
    <t>הוצאה חריגה; לבדוק מול רו״ח אם היא חד־פעמית או צפויה לחזור.</t>
  </si>
  <si>
    <t>פנאי</t>
  </si>
  <si>
    <t>תקרה חודשית מתגלגלת בלי לבטל פעילויות קבועות.</t>
  </si>
  <si>
    <t>אופנה</t>
  </si>
  <si>
    <t>תקרת קנייה חודשית נטו אחרי החזרות.</t>
  </si>
  <si>
    <t>מתנה</t>
  </si>
  <si>
    <t>קרן שנתית לאירועים כדי להחליק חודשים יקרים.</t>
  </si>
  <si>
    <t>קוסמטיקה</t>
  </si>
  <si>
    <t>ריכוז טיפולים ורכישות ובדיקת חבילות/הנחות.</t>
  </si>
  <si>
    <t>אחר</t>
  </si>
  <si>
    <t>לבחון לפי סדרי העדיפויות של משק הבית.</t>
  </si>
  <si>
    <t>תחביבים ומיג'י</t>
  </si>
  <si>
    <t>נדרש להסביר למומחה מה כוללת הקטגוריה לפני קביעת יעד.</t>
  </si>
  <si>
    <t>אלקטרוניקה</t>
  </si>
  <si>
    <t>קרן חודשית לרכישות גדולות במקום רכישות אד-הוק.</t>
  </si>
  <si>
    <t>ביטוח</t>
  </si>
  <si>
    <t>בדיקת כפילויות וכיסויים לפני חידוש; לא לבטל ללא בדיקה מקצועית.</t>
  </si>
  <si>
    <t>לא מסווג</t>
  </si>
  <si>
    <t>יש לסווג לפני קבלת החלטות; רוב הסכום נובע מרשומה אחת בסך ₪1,800.</t>
  </si>
  <si>
    <t>עמלות</t>
  </si>
  <si>
    <t>בדיקת מסלול עמלות ותנאי כרטיסים; הסכום קטן אך קל לטיפול.</t>
  </si>
  <si>
    <t>זרם פיננסי</t>
  </si>
  <si>
    <t>הכנסה שסווגה מחדש</t>
  </si>
  <si>
    <t>ריביות והכנסות שנרשמו בסימן שלילי בצד ההוצאות; אינן הוצאה צרכנית.</t>
  </si>
  <si>
    <t>המלצות</t>
  </si>
  <si>
    <t>המלצות להכנה לפגישת מומחה</t>
  </si>
  <si>
    <t>החיסכון הוא תרחיש שמרני המבוסס על ממוצע היסטורי; שיעורי היעד בכחול וניתנים לשינוי</t>
  </si>
  <si>
    <t>תחום</t>
  </si>
  <si>
    <t>בסיס חודשי (₪)</t>
  </si>
  <si>
    <t>יעד נמוך</t>
  </si>
  <si>
    <t>יעד גבוה</t>
  </si>
  <si>
    <t>חיסכון נמוך (₪)</t>
  </si>
  <si>
    <t>חיסכון גבוה (₪)</t>
  </si>
  <si>
    <t>שנתי נמוך (₪)</t>
  </si>
  <si>
    <t>שנתי גבוה (₪)</t>
  </si>
  <si>
    <t>פעולה ללא פגיעה מהותית</t>
  </si>
  <si>
    <t>תקציב שבועי ושימוש מלא בהטבות לפני תשלום פרטי.</t>
  </si>
  <si>
    <t>איחוד קניות, רשימה קבועה והשוואת סל פעם בחודש.</t>
  </si>
  <si>
    <t>לשמור על הפעילות ולבדוק חפיפה בין קאנטרי, מאמנים וחבילות.</t>
  </si>
  <si>
    <t>קניות, פנאי ואופנה</t>
  </si>
  <si>
    <t>תקרה חודשית משותפת עם יתרה מתגלגלת וחלון המתנה לרכישות.</t>
  </si>
  <si>
    <t>ניקיון</t>
  </si>
  <si>
    <t>בדיקת תדירות או משך ביקור, בלי לוותר על השירות.</t>
  </si>
  <si>
    <t>תדלוק מתוכנן, איחוד נסיעות ובדיקת ביטוח בחידוש.</t>
  </si>
  <si>
    <t>ביטוחים ועמלות</t>
  </si>
  <si>
    <t>השוואת מסלולים וכפילויות; לא לבטל כיסוי ללא בדיקה מקצועית.</t>
  </si>
  <si>
    <t>תקשורת</t>
  </si>
  <si>
    <t>סקר מחיר וחידוש הטבות אחת לשנה.</t>
  </si>
  <si>
    <t>סה״כ תרחיש</t>
  </si>
  <si>
    <t>היעדים הם נקודת פתיחה לדיון, לא הוראה אוטומטית לקיצוץ.</t>
  </si>
  <si>
    <t>נושא לבדיקה</t>
  </si>
  <si>
    <t>סכום/בסיס</t>
  </si>
  <si>
    <t>למה חשוב</t>
  </si>
  <si>
    <t>מה לבקש מהמומחה</t>
  </si>
  <si>
    <t>לא לקצץ טיפול</t>
  </si>
  <si>
    <t>בדיקת החזרים, שב״ן וכפל ביטוח</t>
  </si>
  <si>
    <t>דיור</t>
  </si>
  <si>
    <t>ההוצאה המבנית הגדולה ביותר</t>
  </si>
  <si>
    <t>פירוק שכר דירה, ניקיון, תקשורת וחשבונות</t>
  </si>
  <si>
    <t>דורש רווח והפסד נפרד</t>
  </si>
  <si>
    <t>תשואה נטו, מימון, תחזוקה ומיסוי</t>
  </si>
  <si>
    <t>אי אפשר להמליץ בלי להבין את הסכום</t>
  </si>
  <si>
    <t>להשלים סיווג לפני הפגישה</t>
  </si>
  <si>
    <t>הקטגוריה אינה מוסברת</t>
  </si>
  <si>
    <t>להגדיר מה חיוני ומה גמיש</t>
  </si>
  <si>
    <t>בתי עסק</t>
  </si>
  <si>
    <t>ניתוח בתי עסק ותיאורים</t>
  </si>
  <si>
    <t>הקיבוץ הוא לפי תיאור מדויק; שמות דומים עלולים להופיע בשורות נפרדות</t>
  </si>
  <si>
    <t>תיאור</t>
  </si>
  <si>
    <t>קבוצה עיקרית</t>
  </si>
  <si>
    <t>מספר עסקאות</t>
  </si>
  <si>
    <t>חודשים פעילים</t>
  </si>
  <si>
    <t>ממוצע לעסקה (₪)</t>
  </si>
  <si>
    <t>ממוצע חודשי (₪)</t>
  </si>
  <si>
    <t>2025 (₪)</t>
  </si>
  <si>
    <t>2026 (₪)</t>
  </si>
  <si>
    <t>שכר דירה</t>
  </si>
  <si>
    <t>משכנתא</t>
  </si>
  <si>
    <t>חלי</t>
  </si>
  <si>
    <t>ליאת</t>
  </si>
  <si>
    <t>סופר</t>
  </si>
  <si>
    <t>יפן</t>
  </si>
  <si>
    <t>מס יסף</t>
  </si>
  <si>
    <t>קרוז + ניו יורק 26</t>
  </si>
  <si>
    <t>שוויץ 26</t>
  </si>
  <si>
    <t>אימונים</t>
  </si>
  <si>
    <t>מלון</t>
  </si>
  <si>
    <t>טיסה בחגים</t>
  </si>
  <si>
    <t>פריז</t>
  </si>
  <si>
    <t>מסעדה</t>
  </si>
  <si>
    <t>חול</t>
  </si>
  <si>
    <t>מנקה</t>
  </si>
  <si>
    <t>ארנונה</t>
  </si>
  <si>
    <t>דלק</t>
  </si>
  <si>
    <t>שירה</t>
  </si>
  <si>
    <t>מקדמה חלי</t>
  </si>
  <si>
    <t>מלצרים</t>
  </si>
  <si>
    <t>תשלום הסכם ממון</t>
  </si>
  <si>
    <t>מלון סיישל</t>
  </si>
  <si>
    <t>טיסה לסישל</t>
  </si>
  <si>
    <t>יפן קניות</t>
  </si>
  <si>
    <t>חשמל</t>
  </si>
  <si>
    <t>קאנטרי</t>
  </si>
  <si>
    <t>אלי</t>
  </si>
  <si>
    <t>צלם</t>
  </si>
  <si>
    <t>אימונים - יעל</t>
  </si>
  <si>
    <t>יעל- אימונים</t>
  </si>
  <si>
    <t>יעל</t>
  </si>
  <si>
    <t>ביטוח מקיף</t>
  </si>
  <si>
    <t>הוטלס יפן</t>
  </si>
  <si>
    <t>ספה</t>
  </si>
  <si>
    <t>אוכל</t>
  </si>
  <si>
    <t>ועד בית</t>
  </si>
  <si>
    <t>לונדון</t>
  </si>
  <si>
    <t>מזומן ליפן</t>
  </si>
  <si>
    <t>חלבון</t>
  </si>
  <si>
    <t>ריטריט מיניות</t>
  </si>
  <si>
    <t>טיסה לאוסקה</t>
  </si>
  <si>
    <t>סיישל כרטיס זיו</t>
  </si>
  <si>
    <t>בניין כצלנסון</t>
  </si>
  <si>
    <t>ברצלונה</t>
  </si>
  <si>
    <t>טבעות</t>
  </si>
  <si>
    <t>הוויה</t>
  </si>
  <si>
    <t>מאפרת</t>
  </si>
  <si>
    <t>שמלת כלה (ביט)</t>
  </si>
  <si>
    <t>מכבי</t>
  </si>
  <si>
    <t>מדיח</t>
  </si>
  <si>
    <t>טלפון זיו</t>
  </si>
  <si>
    <t>טיסה לבוקרסט</t>
  </si>
  <si>
    <t>חליפה</t>
  </si>
  <si>
    <t>לק</t>
  </si>
  <si>
    <t>אימונים זיו</t>
  </si>
  <si>
    <t>KSP אקספרס-גמא</t>
  </si>
  <si>
    <t>צימר</t>
  </si>
  <si>
    <t>ירקן</t>
  </si>
  <si>
    <t>שיניים</t>
  </si>
  <si>
    <t>שיין</t>
  </si>
  <si>
    <t>רואה חשבון</t>
  </si>
  <si>
    <t>מדפסת תלת מימד</t>
  </si>
  <si>
    <t>אייר סיישל</t>
  </si>
  <si>
    <t>אלבומים(ביט)</t>
  </si>
  <si>
    <t>ביטוח חובה</t>
  </si>
  <si>
    <t>טיפול זוגי</t>
  </si>
  <si>
    <t>ביטוח בריאות</t>
  </si>
  <si>
    <t>שירה טיפול זוגי</t>
  </si>
  <si>
    <t>נשים אורגזמיות</t>
  </si>
  <si>
    <t>טיסה לסיישל</t>
  </si>
  <si>
    <t>מכולת</t>
  </si>
  <si>
    <t>SHEIN.COM</t>
  </si>
  <si>
    <t>בראנץ</t>
  </si>
  <si>
    <t>חתונה דיבו</t>
  </si>
  <si>
    <t>סוני</t>
  </si>
  <si>
    <t>מים</t>
  </si>
  <si>
    <t>ביטוח מבנה</t>
  </si>
  <si>
    <t>הסעה</t>
  </si>
  <si>
    <t>לייזר</t>
  </si>
  <si>
    <t>סלולר + אינטרנט</t>
  </si>
  <si>
    <t>תחבץ</t>
  </si>
  <si>
    <t>בלתם כצנלסון</t>
  </si>
  <si>
    <t>דירה כצנלסון</t>
  </si>
  <si>
    <t>טכנאי מזגנים</t>
  </si>
  <si>
    <t>פרחים</t>
  </si>
  <si>
    <t>שעון</t>
  </si>
  <si>
    <t>העברה ב BIT בנה"פ</t>
  </si>
  <si>
    <t>נעליים</t>
  </si>
  <si>
    <t>טיפול רכב</t>
  </si>
  <si>
    <t>רכב חול</t>
  </si>
  <si>
    <t>צנרת כצנלסון</t>
  </si>
  <si>
    <t>פילים</t>
  </si>
  <si>
    <t>פארם</t>
  </si>
  <si>
    <t>אגרת רישוי</t>
  </si>
  <si>
    <t>צלם יפן</t>
  </si>
  <si>
    <t>סושי</t>
  </si>
  <si>
    <t>רשיון רכב</t>
  </si>
  <si>
    <t>ביטוח רכב חובה</t>
  </si>
  <si>
    <t>שובר סופר</t>
  </si>
  <si>
    <t>וולט</t>
  </si>
  <si>
    <t>מקדמה צלם</t>
  </si>
  <si>
    <t>קנס</t>
  </si>
  <si>
    <t>שף יומולדת ירון</t>
  </si>
  <si>
    <t>קלוק</t>
  </si>
  <si>
    <t>רכב ברצלונה</t>
  </si>
  <si>
    <t>אינטרנט</t>
  </si>
  <si>
    <t>יונקלו</t>
  </si>
  <si>
    <t>פילימנטים</t>
  </si>
  <si>
    <t>סוד ירוק בע''מ</t>
  </si>
  <si>
    <t>אימונים - עינור</t>
  </si>
  <si>
    <t>ליים</t>
  </si>
  <si>
    <t>מאפיה</t>
  </si>
  <si>
    <t>פילמנטים</t>
  </si>
  <si>
    <t>מכבי עינור</t>
  </si>
  <si>
    <t>הסכם ממון בית משפט</t>
  </si>
  <si>
    <t>סדנת בישול</t>
  </si>
  <si>
    <t>מוסך</t>
  </si>
  <si>
    <t>מקס</t>
  </si>
  <si>
    <t>מזוודה</t>
  </si>
  <si>
    <t>מכבי טבעי</t>
  </si>
  <si>
    <t>אימונים עינור</t>
  </si>
  <si>
    <t>חצי חינם</t>
  </si>
  <si>
    <t>סיסטרס</t>
  </si>
  <si>
    <t>סלולר</t>
  </si>
  <si>
    <t>חתונה אנבל</t>
  </si>
  <si>
    <t>קרמיקה</t>
  </si>
  <si>
    <t>צלחות</t>
  </si>
  <si>
    <t>האקדמיה האורגזמית</t>
  </si>
  <si>
    <t>אדיב חולצות מודפסות</t>
  </si>
  <si>
    <t>עלי אקספרס</t>
  </si>
  <si>
    <t>טיסה קפריסין</t>
  </si>
  <si>
    <t>ביטוח חיים</t>
  </si>
  <si>
    <t>גבות</t>
  </si>
  <si>
    <t>תיקונים לשמלה</t>
  </si>
  <si>
    <t>רמי לוי</t>
  </si>
  <si>
    <t>לוכד לחות</t>
  </si>
  <si>
    <t>קינדל</t>
  </si>
  <si>
    <t>ירקות</t>
  </si>
  <si>
    <t>אגרת בית משפט הסכם ממון</t>
  </si>
  <si>
    <t>סופר פארם</t>
  </si>
  <si>
    <t>ביט (אינסטלטור)</t>
  </si>
  <si>
    <t>חתונה עמית</t>
  </si>
  <si>
    <t>נעלי כלה</t>
  </si>
  <si>
    <t>דרך אלפינית</t>
  </si>
  <si>
    <t>חשמלאי</t>
  </si>
  <si>
    <t>רכב ניקו</t>
  </si>
  <si>
    <t>יו יו טאי מסאג'</t>
  </si>
  <si>
    <t>בר</t>
  </si>
  <si>
    <t>כוננית מיג'י</t>
  </si>
  <si>
    <t>אמריקן איגל גבעתיים-</t>
  </si>
  <si>
    <t>מצלמה</t>
  </si>
  <si>
    <t>אומנות</t>
  </si>
  <si>
    <t>חומוס</t>
  </si>
  <si>
    <t>סיישל כרטיס עינור</t>
  </si>
  <si>
    <t>הובלה ספה</t>
  </si>
  <si>
    <t>תמי 4</t>
  </si>
  <si>
    <t>העברה ב BIT חתונה גל</t>
  </si>
  <si>
    <t>איי הרב</t>
  </si>
  <si>
    <t>גלידה</t>
  </si>
  <si>
    <t>מכבי זיו</t>
  </si>
  <si>
    <t>בלוקים</t>
  </si>
  <si>
    <t>טיפול פנים - ביט</t>
  </si>
  <si>
    <t>פו סושי</t>
  </si>
  <si>
    <t>מזגן כצנלסון</t>
  </si>
  <si>
    <t>קיפול ספרים</t>
  </si>
  <si>
    <t>יין נווה ירק</t>
  </si>
  <si>
    <t>משתלה</t>
  </si>
  <si>
    <t>מדביר</t>
  </si>
  <si>
    <t>מכבידנט גבעתיים</t>
  </si>
  <si>
    <t>יקב אסף 26</t>
  </si>
  <si>
    <t>סישל כרטיס עינור</t>
  </si>
  <si>
    <t>הופעה</t>
  </si>
  <si>
    <t>קולור קפה</t>
  </si>
  <si>
    <t>סיור אוכל</t>
  </si>
  <si>
    <t>פסיכולוגית</t>
  </si>
  <si>
    <t>שיער - נעמה</t>
  </si>
  <si>
    <t>תספורות זיו</t>
  </si>
  <si>
    <t>גז</t>
  </si>
  <si>
    <t>ביטוח מקיף רכב</t>
  </si>
  <si>
    <t>פילימנט</t>
  </si>
  <si>
    <t>פיצוציה</t>
  </si>
  <si>
    <t>יקב נווה ירק</t>
  </si>
  <si>
    <t>סדנת שוקולד</t>
  </si>
  <si>
    <t>דקאתלון</t>
  </si>
  <si>
    <t>סרט</t>
  </si>
  <si>
    <t>אלבומים</t>
  </si>
  <si>
    <t>קרפור</t>
  </si>
  <si>
    <t>מסעדה (ביט)</t>
  </si>
  <si>
    <t>טיפול פנים</t>
  </si>
  <si>
    <t>ניקוי ספות (ביט)</t>
  </si>
  <si>
    <t>תרופות לחול</t>
  </si>
  <si>
    <t>ביטוח חול</t>
  </si>
  <si>
    <t>איי הארב</t>
  </si>
  <si>
    <t>אדיר מילר</t>
  </si>
  <si>
    <t>קורקינט</t>
  </si>
  <si>
    <t>אוזניות</t>
  </si>
  <si>
    <t>אמריקן איגל</t>
  </si>
  <si>
    <t>קרפור סופר (ישן)</t>
  </si>
  <si>
    <t>אוטובוסים</t>
  </si>
  <si>
    <t>שיט מחזור</t>
  </si>
  <si>
    <t>דברים של לחות</t>
  </si>
  <si>
    <t>ברית</t>
  </si>
  <si>
    <t>כריות</t>
  </si>
  <si>
    <t>שחר חסון</t>
  </si>
  <si>
    <t>לירי</t>
  </si>
  <si>
    <t>הודיס</t>
  </si>
  <si>
    <t>העברה ב BIT שיעור טיסה לאבא</t>
  </si>
  <si>
    <t>איקאה</t>
  </si>
  <si>
    <t>אורות חנוכה</t>
  </si>
  <si>
    <t>מחבתות</t>
  </si>
  <si>
    <t>סבוקלם</t>
  </si>
  <si>
    <t>ביטוח תכולה</t>
  </si>
  <si>
    <t>גינס</t>
  </si>
  <si>
    <t>השלמת טיסות סישל</t>
  </si>
  <si>
    <t>קרמים לשיער</t>
  </si>
  <si>
    <t>הראל-ביטוח דירה</t>
  </si>
  <si>
    <t>אקספו</t>
  </si>
  <si>
    <t>מקס ליונתן</t>
  </si>
  <si>
    <t>NayLon - הוד השרון</t>
  </si>
  <si>
    <t>ספר</t>
  </si>
  <si>
    <t>נונו מימי</t>
  </si>
  <si>
    <t>מסיכות שיער</t>
  </si>
  <si>
    <t>תחתוני מחזור</t>
  </si>
  <si>
    <t>חוות נעמי</t>
  </si>
  <si>
    <t>ביטוח חול סיישל</t>
  </si>
  <si>
    <t>מקדחה</t>
  </si>
  <si>
    <t>B</t>
  </si>
  <si>
    <t>קלוד קוד</t>
  </si>
  <si>
    <t>אלי אקספקס</t>
  </si>
  <si>
    <t>ציפורניים</t>
  </si>
  <si>
    <t>תאתרון</t>
  </si>
  <si>
    <t>טים לאב</t>
  </si>
  <si>
    <t>סוהו</t>
  </si>
  <si>
    <t>מראה</t>
  </si>
  <si>
    <t>פסטיבל יין</t>
  </si>
  <si>
    <t>סגירת תיק מס</t>
  </si>
  <si>
    <t>יין</t>
  </si>
  <si>
    <t>זומבה</t>
  </si>
  <si>
    <t>משחק</t>
  </si>
  <si>
    <t>פילטרים</t>
  </si>
  <si>
    <t>סיבוס פלאקסי</t>
  </si>
  <si>
    <t>פוקס הום</t>
  </si>
  <si>
    <t>IHERB IHERB.COM</t>
  </si>
  <si>
    <t>BOTTE</t>
  </si>
  <si>
    <t>אליאקספרס</t>
  </si>
  <si>
    <t>שיער</t>
  </si>
  <si>
    <t>פורטר</t>
  </si>
  <si>
    <t>נוצ - רמת השרון</t>
  </si>
  <si>
    <t>אופטיקה הלפרין בע"מ</t>
  </si>
  <si>
    <t>יש לנו פיל (פאיי פאל)</t>
  </si>
  <si>
    <t>תספורת עינור</t>
  </si>
  <si>
    <t>ביליארד</t>
  </si>
  <si>
    <t>מדרגות צמחים</t>
  </si>
  <si>
    <t>KSP</t>
  </si>
  <si>
    <t>בקבוקים</t>
  </si>
  <si>
    <t>WE WASH-צמרת</t>
  </si>
  <si>
    <t>דקטלון</t>
  </si>
  <si>
    <t>רכב סיישל מקדמה</t>
  </si>
  <si>
    <t>סושי באר שבע</t>
  </si>
  <si>
    <t>עלי</t>
  </si>
  <si>
    <t>מתנה לנוגה</t>
  </si>
  <si>
    <t>אוטלו</t>
  </si>
  <si>
    <t>חוות נעמי - ת"א-צמרת</t>
  </si>
  <si>
    <t>ויטרינה</t>
  </si>
  <si>
    <t>דיקסי - תל אביב</t>
  </si>
  <si>
    <t>גאורגית</t>
  </si>
  <si>
    <t>שיננית</t>
  </si>
  <si>
    <t>מסעדה מצפה</t>
  </si>
  <si>
    <t>טים לאב קיוטו</t>
  </si>
  <si>
    <t>אייס ראשל צ-צמרת</t>
  </si>
  <si>
    <t>פסטה</t>
  </si>
  <si>
    <t>קפה גן סיפור</t>
  </si>
  <si>
    <t>פדיקור</t>
  </si>
  <si>
    <t>חומוס יום טוב - תל אביב</t>
  </si>
  <si>
    <t>אמפמ</t>
  </si>
  <si>
    <t>חניה</t>
  </si>
  <si>
    <t>מינה שרונה בע"מ</t>
  </si>
  <si>
    <t>מילי</t>
  </si>
  <si>
    <t>קפה</t>
  </si>
  <si>
    <t>אורבניקה</t>
  </si>
  <si>
    <t>שלט לדלת</t>
  </si>
  <si>
    <t>מגירות (ביט)</t>
  </si>
  <si>
    <t>תמרה יוגורט</t>
  </si>
  <si>
    <t>ביצי'קלטה</t>
  </si>
  <si>
    <t>מגנטים</t>
  </si>
  <si>
    <t>טימברלנד</t>
  </si>
  <si>
    <t>משחקים אלי</t>
  </si>
  <si>
    <t>מנטנטן - תל אביב יפו</t>
  </si>
  <si>
    <t>ללין</t>
  </si>
  <si>
    <t>סטנדאפ</t>
  </si>
  <si>
    <t>ציפורניים (פייבוקס)</t>
  </si>
  <si>
    <t>גרזנים</t>
  </si>
  <si>
    <t>על האש</t>
  </si>
  <si>
    <t>תרופות</t>
  </si>
  <si>
    <t>לונדון 26</t>
  </si>
  <si>
    <t>יין שרונה תל אביב ב'</t>
  </si>
  <si>
    <t>מנוי גאפטה</t>
  </si>
  <si>
    <t>אמריקן איגל ראשל"צ-ג</t>
  </si>
  <si>
    <t>שריג אלקטריק בע"מ-גמ</t>
  </si>
  <si>
    <t>עגלת קפה</t>
  </si>
  <si>
    <t>אלי אקספרס חתונה</t>
  </si>
  <si>
    <t>טסט</t>
  </si>
  <si>
    <t>טסט לרכב</t>
  </si>
  <si>
    <t>סופרפארם</t>
  </si>
  <si>
    <t>נרות</t>
  </si>
  <si>
    <t>נוריות</t>
  </si>
  <si>
    <t>ציפורנים</t>
  </si>
  <si>
    <t>רכב סיישל</t>
  </si>
  <si>
    <t>נאו סושי בר - גבעתיים</t>
  </si>
  <si>
    <t>מגן מסך</t>
  </si>
  <si>
    <t>עוגה</t>
  </si>
  <si>
    <t>מקס סטוק</t>
  </si>
  <si>
    <t>פירות</t>
  </si>
  <si>
    <t>בר משחקי קופסא</t>
  </si>
  <si>
    <t>באג מולטיסיסטם בע"מ-</t>
  </si>
  <si>
    <t>כרטיס לאורות חנוכה</t>
  </si>
  <si>
    <t>אלמה מרקט גבעתיים</t>
  </si>
  <si>
    <t>עיצוב הזמנה</t>
  </si>
  <si>
    <t>אימון עינור</t>
  </si>
  <si>
    <t>פליינג טייגר סינמה</t>
  </si>
  <si>
    <t>ריסספשין</t>
  </si>
  <si>
    <t>עוגות</t>
  </si>
  <si>
    <t>שרשרת</t>
  </si>
  <si>
    <t>עמלות ניירות ערך</t>
  </si>
  <si>
    <t>סיבוס</t>
  </si>
  <si>
    <t>גבינות</t>
  </si>
  <si>
    <t>DJ</t>
  </si>
  <si>
    <t>טמבוריה</t>
  </si>
  <si>
    <t>שטיפת רכב</t>
  </si>
  <si>
    <t>בייקר</t>
  </si>
  <si>
    <t>הום סנטר</t>
  </si>
  <si>
    <t>מלון ברצלונה</t>
  </si>
  <si>
    <t>כרית קאפ קייק</t>
  </si>
  <si>
    <t>פיצה קרינה</t>
  </si>
  <si>
    <t>ג'חנון</t>
  </si>
  <si>
    <t>נונו מימי - גבעתיים</t>
  </si>
  <si>
    <t>מכונת תספורת</t>
  </si>
  <si>
    <t>מקדונלדס חול</t>
  </si>
  <si>
    <t>ריספשיין</t>
  </si>
  <si>
    <t>חוות אלפקות</t>
  </si>
  <si>
    <t>קיי.אס.פי מחשבים-גמא</t>
  </si>
  <si>
    <t>מכבידנט- פאיימי</t>
  </si>
  <si>
    <t>חדר אוכל</t>
  </si>
  <si>
    <t>תספורת</t>
  </si>
  <si>
    <t>המבורגר</t>
  </si>
  <si>
    <t>זר</t>
  </si>
  <si>
    <t>רכישות שובר באתר המו</t>
  </si>
  <si>
    <t>מפגש בסטייק</t>
  </si>
  <si>
    <t>מאפיה לשה</t>
  </si>
  <si>
    <t>אלוהה שרונה - תל אביב יפו</t>
  </si>
  <si>
    <t>מתנה לענבר (KSP)</t>
  </si>
  <si>
    <t>ידיד בר יין</t>
  </si>
  <si>
    <t>מגן לטלפון</t>
  </si>
  <si>
    <t>הדפסת תמונות</t>
  </si>
  <si>
    <t>מגבים</t>
  </si>
  <si>
    <t>גוגל</t>
  </si>
  <si>
    <t>הגן הבוטני</t>
  </si>
  <si>
    <t>מעדני צדקיהו תל אביב</t>
  </si>
  <si>
    <t>החזר מסעדה (ביט)</t>
  </si>
  <si>
    <t>בייקר הוד השרון</t>
  </si>
  <si>
    <t>מקדונלד'ס מגדלי ת"א</t>
  </si>
  <si>
    <t>מקס 20 גבעתיים</t>
  </si>
  <si>
    <t>קניות איפור</t>
  </si>
  <si>
    <t>מכבידנט</t>
  </si>
  <si>
    <t>הולה - גו ווינגס</t>
  </si>
  <si>
    <t>ALMAZ מנדל</t>
  </si>
  <si>
    <t>בנדיקט שרונה</t>
  </si>
  <si>
    <t>בושם</t>
  </si>
  <si>
    <t>DIZZYFRISHDONBAR-יצי</t>
  </si>
  <si>
    <t>כגן הירק</t>
  </si>
  <si>
    <t>פרו פקטורי</t>
  </si>
  <si>
    <t>ינגו דאלי</t>
  </si>
  <si>
    <t>בוקסר</t>
  </si>
  <si>
    <t>גבות (פייבוקס)</t>
  </si>
  <si>
    <t>גבות (ביט)</t>
  </si>
  <si>
    <t>בלונים</t>
  </si>
  <si>
    <t>תחתונים</t>
  </si>
  <si>
    <t>נורה לרכב</t>
  </si>
  <si>
    <t>לוחית רישוי לאור</t>
  </si>
  <si>
    <t>אלי אקספרס</t>
  </si>
  <si>
    <t>ג'פטה</t>
  </si>
  <si>
    <t>מכבי דנט מרפ"ש רמת ג</t>
  </si>
  <si>
    <t>גפטה</t>
  </si>
  <si>
    <t>קורסר</t>
  </si>
  <si>
    <t>ג'אפטה</t>
  </si>
  <si>
    <t>צ'יקן סטיישן המסגר</t>
  </si>
  <si>
    <t>אוטובוס</t>
  </si>
  <si>
    <t>דלתא</t>
  </si>
  <si>
    <t>חזי זלאיט דגים בע''מ</t>
  </si>
  <si>
    <t>חשמל כצלנסון</t>
  </si>
  <si>
    <t>חניון ירושלים</t>
  </si>
  <si>
    <t>הזמנות</t>
  </si>
  <si>
    <t>מספרי שוחן</t>
  </si>
  <si>
    <t>ביטוח רכב לדיבו</t>
  </si>
  <si>
    <t>פנצר</t>
  </si>
  <si>
    <t>מקדמה גרזנים</t>
  </si>
  <si>
    <t>פוליטיקה ארגונית</t>
  </si>
  <si>
    <t>אוכל (ביט)</t>
  </si>
  <si>
    <t>מתנת לידה</t>
  </si>
  <si>
    <t>שרויטמן לחם-יציל</t>
  </si>
  <si>
    <t>קולנוע</t>
  </si>
  <si>
    <t>בילוארד</t>
  </si>
  <si>
    <t>צאט</t>
  </si>
  <si>
    <t>תמבוריה</t>
  </si>
  <si>
    <t>the blue fox</t>
  </si>
  <si>
    <t>סומסום</t>
  </si>
  <si>
    <t>מסגרות</t>
  </si>
  <si>
    <t>חניון הדסה</t>
  </si>
  <si>
    <t>פלייניג טייגר</t>
  </si>
  <si>
    <t>סופר (ביט)</t>
  </si>
  <si>
    <t>חנן בן ארי</t>
  </si>
  <si>
    <t>פדים לזיעה</t>
  </si>
  <si>
    <t>בורקס</t>
  </si>
  <si>
    <t>פליינג טיגר</t>
  </si>
  <si>
    <t>רמיקוב תלת מימד</t>
  </si>
  <si>
    <t>CAFE FLEUR-יציל</t>
  </si>
  <si>
    <t>מתנה לשחף</t>
  </si>
  <si>
    <t>עמלת קנייה ני"ע</t>
  </si>
  <si>
    <t>מאפה</t>
  </si>
  <si>
    <t>תוספת ביטוח סיישל</t>
  </si>
  <si>
    <t>לאקי צארמס</t>
  </si>
  <si>
    <t>PAYBOX</t>
  </si>
  <si>
    <t>פנקיק</t>
  </si>
  <si>
    <t>פיטה דרוזית</t>
  </si>
  <si>
    <t>אחוזות החוף- חניון ס</t>
  </si>
  <si>
    <t>דונטס</t>
  </si>
  <si>
    <t>קינוח</t>
  </si>
  <si>
    <t>מכבי דנט</t>
  </si>
  <si>
    <t>אוכל בסטאנדאפ</t>
  </si>
  <si>
    <t>משקפים</t>
  </si>
  <si>
    <t>מנוי קורקינט</t>
  </si>
  <si>
    <t>מתנה (ביט)</t>
  </si>
  <si>
    <t>בטריות</t>
  </si>
  <si>
    <t>סנוקר</t>
  </si>
  <si>
    <t>גולדה נמל תל אביב-יצ</t>
  </si>
  <si>
    <t>עמלות נירות ערך</t>
  </si>
  <si>
    <t>כוס חתן</t>
  </si>
  <si>
    <t>פרחים (ביט)</t>
  </si>
  <si>
    <t>פרחים - ביט</t>
  </si>
  <si>
    <t>מקולת</t>
  </si>
  <si>
    <t>לחם</t>
  </si>
  <si>
    <t>סנדלריה</t>
  </si>
  <si>
    <t>לבונטין 7</t>
  </si>
  <si>
    <t>סטופמרקט השרון</t>
  </si>
  <si>
    <t>פרארם</t>
  </si>
  <si>
    <t>חניון קצה השדרה</t>
  </si>
  <si>
    <t>תחנת לחם</t>
  </si>
  <si>
    <t>ספייר איט</t>
  </si>
  <si>
    <t>בירה (ביט)</t>
  </si>
  <si>
    <t>SPAREEAT-גמא</t>
  </si>
  <si>
    <t>ספייס אינביידרז</t>
  </si>
  <si>
    <t>ניצת הדובדבן אבן גבי</t>
  </si>
  <si>
    <t>חניון</t>
  </si>
  <si>
    <t>צייט פור ברוט</t>
  </si>
  <si>
    <t>עמלות ני"ע</t>
  </si>
  <si>
    <t>ממתק</t>
  </si>
  <si>
    <t>סנוקר (ביט)</t>
  </si>
  <si>
    <t>חניון ג'י סיטי</t>
  </si>
  <si>
    <t>ביט (אוכל)</t>
  </si>
  <si>
    <t>אבולאפיה</t>
  </si>
  <si>
    <t>שופרסל</t>
  </si>
  <si>
    <t>מטרו</t>
  </si>
  <si>
    <t>אימון - UPAPP</t>
  </si>
  <si>
    <t>UPAPP - אימון</t>
  </si>
  <si>
    <t>צמח</t>
  </si>
  <si>
    <t>חניון עזריאלי גבעתיי</t>
  </si>
  <si>
    <t>סופר מאמא</t>
  </si>
  <si>
    <t>רישיון נהיגה</t>
  </si>
  <si>
    <t>רישיון בינלאומי</t>
  </si>
  <si>
    <t>אבולעפיה נחלת בנימין</t>
  </si>
  <si>
    <t>חנייה בורסה</t>
  </si>
  <si>
    <t>אבולעפיה</t>
  </si>
  <si>
    <t>קפה גן סיפור הוד השר</t>
  </si>
  <si>
    <t>ללין נרות וסבונים</t>
  </si>
  <si>
    <t>ביט (מתנה)</t>
  </si>
  <si>
    <t>מתנה ללורן</t>
  </si>
  <si>
    <t>דמי כרטיס</t>
  </si>
  <si>
    <t>מתנה לדניאל</t>
  </si>
  <si>
    <t>ארומה</t>
  </si>
  <si>
    <t>מקדונלדס - מגדלי תל אביב</t>
  </si>
  <si>
    <t>דיקסי גריל בר בעמ</t>
  </si>
  <si>
    <t>תמונה</t>
  </si>
  <si>
    <t>קרביץ</t>
  </si>
  <si>
    <t>אדון ליאון כצנלסון</t>
  </si>
  <si>
    <t>רלדין</t>
  </si>
  <si>
    <t>אייס קפה</t>
  </si>
  <si>
    <t>נונומימי גבעתיים</t>
  </si>
  <si>
    <t>סיכת חתופים</t>
  </si>
  <si>
    <t>סוללות</t>
  </si>
  <si>
    <t>הטענת כסף ליאמי</t>
  </si>
  <si>
    <t>שוקולד</t>
  </si>
  <si>
    <t>חלה</t>
  </si>
  <si>
    <t>קיוסק</t>
  </si>
  <si>
    <t>חלב</t>
  </si>
  <si>
    <t>אי.אם.פי אם-לינקולן</t>
  </si>
  <si>
    <t>THE SANDO BOX</t>
  </si>
  <si>
    <t>פיצה רומא</t>
  </si>
  <si>
    <t>קרח</t>
  </si>
  <si>
    <t>גלידנית</t>
  </si>
  <si>
    <t>חלום יעקב רמת גן</t>
  </si>
  <si>
    <t>חנייה</t>
  </si>
  <si>
    <t>רב חן גבעתיים-אינטרנ</t>
  </si>
  <si>
    <t>מים כצנלסון</t>
  </si>
  <si>
    <t>הנתיב המהיר</t>
  </si>
  <si>
    <t>הגלידריה שלי-אילנה ג</t>
  </si>
  <si>
    <t>חניון קניון</t>
  </si>
  <si>
    <t>מעטפות</t>
  </si>
  <si>
    <t>ביטול הוראת קבע</t>
  </si>
  <si>
    <t>החזר מס</t>
  </si>
  <si>
    <t>כביש 6 (דרך ארץ - עלה 50)</t>
  </si>
  <si>
    <t>החזר ביטוח</t>
  </si>
  <si>
    <t>החזר אלי</t>
  </si>
  <si>
    <t>החזר TOP CACH</t>
  </si>
  <si>
    <t>החזר פילימנט</t>
  </si>
  <si>
    <t>החזר חצי חינם</t>
  </si>
  <si>
    <t>החזר ביט אוכל</t>
  </si>
  <si>
    <t>החזר פאנדה</t>
  </si>
  <si>
    <t>החזר אוכל בחוץ</t>
  </si>
  <si>
    <t>החזר משיין</t>
  </si>
  <si>
    <t>החזר רכב</t>
  </si>
  <si>
    <t>קש בק</t>
  </si>
  <si>
    <t>מתנה מההרורים של זיו</t>
  </si>
  <si>
    <t>קפריסין 26</t>
  </si>
  <si>
    <t>החזר יוניקלו הורים</t>
  </si>
  <si>
    <t>החזר שיין</t>
  </si>
  <si>
    <t>החזר טיסה</t>
  </si>
  <si>
    <t>החזר מלון</t>
  </si>
  <si>
    <t>עסקאות</t>
  </si>
  <si>
    <t>גיליון מקור</t>
  </si>
  <si>
    <t>שורת מקור</t>
  </si>
  <si>
    <t>תאריך מקור</t>
  </si>
  <si>
    <t>סכום מקור (₪)</t>
  </si>
  <si>
    <t>קטגוריה מקורית</t>
  </si>
  <si>
    <t>קבוצה מנורמלת</t>
  </si>
  <si>
    <t>סיווג בסיס</t>
  </si>
  <si>
    <t>טיפול בשורה</t>
  </si>
  <si>
    <t>הוצאה תקנית</t>
  </si>
  <si>
    <t>הוצאה שוטפת</t>
  </si>
  <si>
    <t>כרטיס</t>
  </si>
  <si>
    <t>הערות</t>
  </si>
  <si>
    <t>סיכום חופשה</t>
  </si>
  <si>
    <t>ינואר 25</t>
  </si>
  <si>
    <t>12</t>
  </si>
  <si>
    <t>הכנסה משכר דירה</t>
  </si>
  <si>
    <t>מאושר</t>
  </si>
  <si>
    <t>one zero</t>
  </si>
  <si>
    <t>לא</t>
  </si>
  <si>
    <t>19</t>
  </si>
  <si>
    <t>ריבית מחיסון</t>
  </si>
  <si>
    <t>ריביות</t>
  </si>
  <si>
    <r>
      <rPr>
        <sz val="10"/>
        <color indexed="8"/>
        <rFont val="Arial"/>
      </rPr>
      <t>חריג</t>
    </r>
  </si>
  <si>
    <t>one zero זיו</t>
  </si>
  <si>
    <t>7</t>
  </si>
  <si>
    <r>
      <rPr>
        <sz val="10"/>
        <color indexed="8"/>
        <rFont val="Arial"/>
      </rPr>
      <t>חריג/נכס</t>
    </r>
  </si>
  <si>
    <t>10</t>
  </si>
  <si>
    <r>
      <rPr>
        <sz val="10"/>
        <color indexed="8"/>
        <rFont val="Arial"/>
      </rPr>
      <t>שוטף</t>
    </r>
  </si>
  <si>
    <t>11</t>
  </si>
  <si>
    <t>16</t>
  </si>
  <si>
    <t>24</t>
  </si>
  <si>
    <t>29</t>
  </si>
  <si>
    <t>מגורים צריכה</t>
  </si>
  <si>
    <t>one zero עינור</t>
  </si>
  <si>
    <t>26</t>
  </si>
  <si>
    <t>אחר - עינור</t>
  </si>
  <si>
    <t>18</t>
  </si>
  <si>
    <t>אמקס זיו</t>
  </si>
  <si>
    <t>מגורים חודשי</t>
  </si>
  <si>
    <t>28</t>
  </si>
  <si>
    <t>25</t>
  </si>
  <si>
    <t>23</t>
  </si>
  <si>
    <t>בריאות</t>
  </si>
  <si>
    <t>21</t>
  </si>
  <si>
    <t>6</t>
  </si>
  <si>
    <t>אמקס עינור</t>
  </si>
  <si>
    <t>13</t>
  </si>
  <si>
    <t>14</t>
  </si>
  <si>
    <t>15</t>
  </si>
  <si>
    <t>20</t>
  </si>
  <si>
    <t>27</t>
  </si>
  <si>
    <t>30</t>
  </si>
  <si>
    <t>31</t>
  </si>
  <si>
    <t>דיסקונט עינור</t>
  </si>
  <si>
    <t>הבינלאומי זיו</t>
  </si>
  <si>
    <t>הוט זיו</t>
  </si>
  <si>
    <t>מזומן</t>
  </si>
  <si>
    <t>מקס זיו</t>
  </si>
  <si>
    <t>מקס עינור</t>
  </si>
  <si>
    <t>סיבוס עינור</t>
  </si>
  <si>
    <t>פברואר 25</t>
  </si>
  <si>
    <t>דיסקונט</t>
  </si>
  <si>
    <t>31.1</t>
  </si>
  <si>
    <t>9</t>
  </si>
  <si>
    <t>8</t>
  </si>
  <si>
    <t>17</t>
  </si>
  <si>
    <t>22</t>
  </si>
  <si>
    <t>הבינלאומי</t>
  </si>
  <si>
    <t>מרץ 25</t>
  </si>
  <si>
    <t>הועבר הורעת קבע מ מקס לאמקס</t>
  </si>
  <si>
    <t>24.2</t>
  </si>
  <si>
    <t>אפריל 25</t>
  </si>
  <si>
    <t>מבוטל</t>
  </si>
  <si>
    <t>ביט - זיו</t>
  </si>
  <si>
    <t>מאי 25</t>
  </si>
  <si>
    <t>הייטק זון עינור</t>
  </si>
  <si>
    <t>18.4</t>
  </si>
  <si>
    <t>22.4</t>
  </si>
  <si>
    <t>28.4</t>
  </si>
  <si>
    <t>30.4</t>
  </si>
  <si>
    <t>יוני 25</t>
  </si>
  <si>
    <t>תחביבים</t>
  </si>
  <si>
    <t>הייטק זון זיו</t>
  </si>
  <si>
    <t>יולי 25</t>
  </si>
  <si>
    <t>קופרריט זיו</t>
  </si>
  <si>
    <t>ישן</t>
  </si>
  <si>
    <t>חבר עינור</t>
  </si>
  <si>
    <t>חבר</t>
  </si>
  <si>
    <t>אוגוסט 25</t>
  </si>
  <si>
    <t>31.7</t>
  </si>
  <si>
    <t>18.7</t>
  </si>
  <si>
    <t>20.7</t>
  </si>
  <si>
    <t>26.7</t>
  </si>
  <si>
    <t>1 9</t>
  </si>
  <si>
    <t>ספטמבר 25</t>
  </si>
  <si>
    <t>1.10</t>
  </si>
  <si>
    <t>קורפרייט זיו</t>
  </si>
  <si>
    <t>אוקטובר 25</t>
  </si>
  <si>
    <t>ריבית</t>
  </si>
  <si>
    <t>29.9</t>
  </si>
  <si>
    <t>נובמבר 25</t>
  </si>
  <si>
    <t>בהצדעה זיו</t>
  </si>
  <si>
    <t>22.1</t>
  </si>
  <si>
    <t>30.1</t>
  </si>
  <si>
    <t>חופשה</t>
  </si>
  <si>
    <t>auto:vacation:שוויץ 26</t>
  </si>
  <si>
    <t>כן</t>
  </si>
  <si>
    <t>דצמבר 25</t>
  </si>
  <si>
    <t>ריבית על פיקדון</t>
  </si>
  <si>
    <t>15.11</t>
  </si>
  <si>
    <t>27.11</t>
  </si>
  <si>
    <t>30.11</t>
  </si>
  <si>
    <t>ינואר 26</t>
  </si>
  <si>
    <t>מגורים</t>
  </si>
  <si>
    <t>טיפולים</t>
  </si>
  <si>
    <t>פברואר 26</t>
  </si>
  <si>
    <t>15.02</t>
  </si>
  <si>
    <t>אמקס - זיו</t>
  </si>
  <si>
    <t>24.02</t>
  </si>
  <si>
    <t>12.02</t>
  </si>
  <si>
    <t>25.02</t>
  </si>
  <si>
    <t>26.02</t>
  </si>
  <si>
    <t>אמקס - עינור</t>
  </si>
  <si>
    <t>2.02</t>
  </si>
  <si>
    <t>2/2</t>
  </si>
  <si>
    <t>3.02</t>
  </si>
  <si>
    <t>07/02</t>
  </si>
  <si>
    <t>09/02</t>
  </si>
  <si>
    <t>14/02</t>
  </si>
  <si>
    <t>15/02</t>
  </si>
  <si>
    <t>16.02</t>
  </si>
  <si>
    <t>16/02</t>
  </si>
  <si>
    <t>24/02</t>
  </si>
  <si>
    <t>8.01</t>
  </si>
  <si>
    <t>15.01</t>
  </si>
  <si>
    <t>23/01</t>
  </si>
  <si>
    <t>26.01</t>
  </si>
  <si>
    <t>1.02</t>
  </si>
  <si>
    <t>03/02</t>
  </si>
  <si>
    <t>5.02</t>
  </si>
  <si>
    <t>08/02</t>
  </si>
  <si>
    <t>10.02</t>
  </si>
  <si>
    <t>12/02</t>
  </si>
  <si>
    <t>13.02</t>
  </si>
  <si>
    <t>14.02</t>
  </si>
  <si>
    <t>17.02</t>
  </si>
  <si>
    <t>19/02</t>
  </si>
  <si>
    <t>19.02</t>
  </si>
  <si>
    <t>22.02</t>
  </si>
  <si>
    <t>23/02</t>
  </si>
  <si>
    <t>25/02</t>
  </si>
  <si>
    <t>28/02</t>
  </si>
  <si>
    <t>28.02</t>
  </si>
  <si>
    <t>25/2</t>
  </si>
  <si>
    <t>one zero - זיו</t>
  </si>
  <si>
    <t>16/2</t>
  </si>
  <si>
    <t>14/2</t>
  </si>
  <si>
    <t>one zero - עינור</t>
  </si>
  <si>
    <t>6/2</t>
  </si>
  <si>
    <t>מקס - עינור</t>
  </si>
  <si>
    <t>10/2</t>
  </si>
  <si>
    <t>12/2</t>
  </si>
  <si>
    <t>13/2</t>
  </si>
  <si>
    <t>1/2</t>
  </si>
  <si>
    <t>01/02</t>
  </si>
  <si>
    <t>סיבוס - עינור</t>
  </si>
  <si>
    <t>4.02</t>
  </si>
  <si>
    <t>06/02</t>
  </si>
  <si>
    <t>8.02</t>
  </si>
  <si>
    <t>9.02</t>
  </si>
  <si>
    <t>11.02</t>
  </si>
  <si>
    <t>20.02</t>
  </si>
  <si>
    <t>27.02</t>
  </si>
  <si>
    <t>מרץ 26</t>
  </si>
  <si>
    <t>12.03</t>
  </si>
  <si>
    <t>5.03</t>
  </si>
  <si>
    <t>24.03</t>
  </si>
  <si>
    <t>15.03</t>
  </si>
  <si>
    <t>26.03</t>
  </si>
  <si>
    <t>29.03</t>
  </si>
  <si>
    <t>2.03</t>
  </si>
  <si>
    <t>2/3</t>
  </si>
  <si>
    <t>9/3</t>
  </si>
  <si>
    <t>12/3</t>
  </si>
  <si>
    <t>25/3</t>
  </si>
  <si>
    <t>22/3</t>
  </si>
  <si>
    <t>17/3</t>
  </si>
  <si>
    <t>7/3</t>
  </si>
  <si>
    <t>03/03</t>
  </si>
  <si>
    <t>11/03</t>
  </si>
  <si>
    <t>13.03</t>
  </si>
  <si>
    <t>18.03</t>
  </si>
  <si>
    <t>20.03</t>
  </si>
  <si>
    <t>22/03</t>
  </si>
  <si>
    <t>24/03</t>
  </si>
  <si>
    <t>27.03</t>
  </si>
  <si>
    <t>29/03</t>
  </si>
  <si>
    <t>31/03</t>
  </si>
  <si>
    <t>05/03</t>
  </si>
  <si>
    <t>auto:vacation:לונדון 26</t>
  </si>
  <si>
    <t>1.03</t>
  </si>
  <si>
    <t>3.03</t>
  </si>
  <si>
    <t>6.03</t>
  </si>
  <si>
    <t>9.03</t>
  </si>
  <si>
    <t>19/03</t>
  </si>
  <si>
    <t>22.03</t>
  </si>
  <si>
    <t>28.03</t>
  </si>
  <si>
    <t>31.03</t>
  </si>
  <si>
    <t>auto:vacation:קפריסין 26</t>
  </si>
  <si>
    <t>2026.03</t>
  </si>
  <si>
    <t>2026.03/3</t>
  </si>
  <si>
    <t>4/3</t>
  </si>
  <si>
    <t>13/3</t>
  </si>
  <si>
    <t>31/3</t>
  </si>
  <si>
    <t>אפריל 26</t>
  </si>
  <si>
    <t>22.04</t>
  </si>
  <si>
    <t>2.04</t>
  </si>
  <si>
    <t>30/04</t>
  </si>
  <si>
    <t>26.04</t>
  </si>
  <si>
    <t>12.04</t>
  </si>
  <si>
    <t>27.04</t>
  </si>
  <si>
    <t>28.04</t>
  </si>
  <si>
    <t>3.04</t>
  </si>
  <si>
    <t>3/4</t>
  </si>
  <si>
    <t>10/4</t>
  </si>
  <si>
    <t>25/4</t>
  </si>
  <si>
    <t>28/4</t>
  </si>
  <si>
    <t>06/04</t>
  </si>
  <si>
    <t>6.04</t>
  </si>
  <si>
    <t>09/04</t>
  </si>
  <si>
    <t>9.04</t>
  </si>
  <si>
    <t>10/04</t>
  </si>
  <si>
    <t>10.04</t>
  </si>
  <si>
    <t>11.04</t>
  </si>
  <si>
    <t>12/04</t>
  </si>
  <si>
    <t>מיג'י</t>
  </si>
  <si>
    <t>14.04</t>
  </si>
  <si>
    <t>16/04</t>
  </si>
  <si>
    <t>18.04</t>
  </si>
  <si>
    <t>19/04</t>
  </si>
  <si>
    <t>19.04</t>
  </si>
  <si>
    <t>20.04</t>
  </si>
  <si>
    <t>21.04</t>
  </si>
  <si>
    <t>21/04</t>
  </si>
  <si>
    <t>23.04</t>
  </si>
  <si>
    <t>25/04</t>
  </si>
  <si>
    <t>26/04</t>
  </si>
  <si>
    <t>27/04</t>
  </si>
  <si>
    <t>11/04</t>
  </si>
  <si>
    <t>13/04</t>
  </si>
  <si>
    <t>14/04</t>
  </si>
  <si>
    <t>15.04</t>
  </si>
  <si>
    <t>16.04</t>
  </si>
  <si>
    <t>17/04</t>
  </si>
  <si>
    <t>24/04</t>
  </si>
  <si>
    <t>6/4</t>
  </si>
  <si>
    <t>12/4</t>
  </si>
  <si>
    <t>16/4</t>
  </si>
  <si>
    <t>קורפורייט - זיו</t>
  </si>
  <si>
    <t>13/4</t>
  </si>
  <si>
    <t>18/4</t>
  </si>
  <si>
    <t>4.04</t>
  </si>
  <si>
    <t>24.04</t>
  </si>
  <si>
    <t>30.04</t>
  </si>
  <si>
    <t>auto:vacation:יקב אסף 26</t>
  </si>
  <si>
    <t>מאי 26</t>
  </si>
  <si>
    <t>6.05</t>
  </si>
  <si>
    <t>18.05</t>
  </si>
  <si>
    <t>26.05</t>
  </si>
  <si>
    <t>12.05</t>
  </si>
  <si>
    <t>27.05</t>
  </si>
  <si>
    <t>28.05</t>
  </si>
  <si>
    <t>4.05</t>
  </si>
  <si>
    <t>1/5</t>
  </si>
  <si>
    <t>3/5</t>
  </si>
  <si>
    <t>25/5</t>
  </si>
  <si>
    <t>27/5</t>
  </si>
  <si>
    <t>02/05</t>
  </si>
  <si>
    <t>08/05</t>
  </si>
  <si>
    <t>09/05</t>
  </si>
  <si>
    <t>12/05</t>
  </si>
  <si>
    <t>14.05</t>
  </si>
  <si>
    <t>17.05</t>
  </si>
  <si>
    <t>19/05</t>
  </si>
  <si>
    <t>19.05</t>
  </si>
  <si>
    <t>20.05</t>
  </si>
  <si>
    <t>24.05</t>
  </si>
  <si>
    <t>03/04</t>
  </si>
  <si>
    <t>23/04</t>
  </si>
  <si>
    <t>1.05</t>
  </si>
  <si>
    <t>03/05</t>
  </si>
  <si>
    <t>05/05</t>
  </si>
  <si>
    <t>7.05</t>
  </si>
  <si>
    <t>07/05</t>
  </si>
  <si>
    <t>13/05</t>
  </si>
  <si>
    <t>15.05</t>
  </si>
  <si>
    <t>18/05</t>
  </si>
  <si>
    <t>25/05</t>
  </si>
  <si>
    <t>29/05</t>
  </si>
  <si>
    <t>30.05</t>
  </si>
  <si>
    <t>31.05</t>
  </si>
  <si>
    <t>7/5</t>
  </si>
  <si>
    <t>23/5</t>
  </si>
  <si>
    <t>26/5</t>
  </si>
  <si>
    <t>28/5</t>
  </si>
  <si>
    <t>13/5</t>
  </si>
  <si>
    <t>בהצדעה - זיו</t>
  </si>
  <si>
    <t>24/5</t>
  </si>
  <si>
    <t>15/5</t>
  </si>
  <si>
    <t>8.05</t>
  </si>
  <si>
    <t>10.05</t>
  </si>
  <si>
    <t>יוני 26</t>
  </si>
  <si>
    <t>4.06</t>
  </si>
  <si>
    <t>24.06</t>
  </si>
  <si>
    <t>11.06</t>
  </si>
  <si>
    <t>28.06</t>
  </si>
  <si>
    <t>26.06</t>
  </si>
  <si>
    <t>2.06</t>
  </si>
  <si>
    <t>3.06</t>
  </si>
  <si>
    <t>10/06</t>
  </si>
  <si>
    <t>13/06</t>
  </si>
  <si>
    <t>14.06</t>
  </si>
  <si>
    <t>15.06</t>
  </si>
  <si>
    <t>16.06</t>
  </si>
  <si>
    <t>16/06</t>
  </si>
  <si>
    <t>17/06</t>
  </si>
  <si>
    <t>17.06</t>
  </si>
  <si>
    <t>20.06</t>
  </si>
  <si>
    <t>21.06</t>
  </si>
  <si>
    <t>23.06</t>
  </si>
  <si>
    <t>25.06</t>
  </si>
  <si>
    <t>27/06</t>
  </si>
  <si>
    <t>29.06</t>
  </si>
  <si>
    <t>30.06</t>
  </si>
  <si>
    <t>23.05</t>
  </si>
  <si>
    <t>1.06</t>
  </si>
  <si>
    <t>18.06</t>
  </si>
  <si>
    <t>19.06</t>
  </si>
  <si>
    <t>22.06</t>
  </si>
  <si>
    <t>27.06</t>
  </si>
  <si>
    <t>28/06</t>
  </si>
  <si>
    <t>13/6</t>
  </si>
  <si>
    <t>17/6</t>
  </si>
  <si>
    <t>21/6</t>
  </si>
  <si>
    <t>25/6</t>
  </si>
  <si>
    <t>28/6</t>
  </si>
  <si>
    <t>2/6</t>
  </si>
  <si>
    <t>16/6</t>
  </si>
  <si>
    <t>מס הכנסה</t>
  </si>
  <si>
    <t>30/6</t>
  </si>
  <si>
    <t>4/6</t>
  </si>
  <si>
    <t>6/6</t>
  </si>
  <si>
    <t>19/6</t>
  </si>
  <si>
    <t>29/6</t>
  </si>
  <si>
    <t>12.06</t>
  </si>
  <si>
    <t>15/6</t>
  </si>
  <si>
    <t>יולי 26</t>
  </si>
  <si>
    <t>2.07</t>
  </si>
  <si>
    <t>5/7</t>
  </si>
  <si>
    <t>7.07</t>
  </si>
  <si>
    <t>26.07</t>
  </si>
  <si>
    <t>12.07</t>
  </si>
  <si>
    <t>27.07</t>
  </si>
  <si>
    <t>29.07</t>
  </si>
  <si>
    <t>1/7</t>
  </si>
  <si>
    <t>11/7</t>
  </si>
  <si>
    <t>21/7</t>
  </si>
  <si>
    <t>22/7</t>
  </si>
  <si>
    <t>19/7</t>
  </si>
  <si>
    <t>25/7</t>
  </si>
  <si>
    <t>26/7</t>
  </si>
  <si>
    <t>2/7</t>
  </si>
  <si>
    <t>4/7</t>
  </si>
  <si>
    <t>מקס - זיו</t>
  </si>
  <si>
    <t>13/7</t>
  </si>
  <si>
    <t>14/7</t>
  </si>
  <si>
    <t>20/7</t>
  </si>
  <si>
    <t>30/7</t>
  </si>
  <si>
    <t>02/07</t>
  </si>
  <si>
    <t>03/07</t>
  </si>
  <si>
    <t>04/07</t>
  </si>
  <si>
    <t>5.07</t>
  </si>
  <si>
    <t>8.07</t>
  </si>
  <si>
    <t>10.07</t>
  </si>
  <si>
    <t>11.07</t>
  </si>
  <si>
    <t>13.07</t>
  </si>
  <si>
    <t>15.07</t>
  </si>
  <si>
    <t>16.07</t>
  </si>
  <si>
    <t>24/07</t>
  </si>
  <si>
    <t>25.07</t>
  </si>
  <si>
    <t>25/07</t>
  </si>
  <si>
    <t>27/07</t>
  </si>
  <si>
    <t>28.07</t>
  </si>
  <si>
    <t>30.07</t>
  </si>
  <si>
    <t>30/07</t>
  </si>
  <si>
    <t>31.07</t>
  </si>
  <si>
    <t>auto:vacation:קרוז + ניו יורק 26</t>
  </si>
  <si>
    <t>30/06</t>
  </si>
  <si>
    <t>1.07</t>
  </si>
  <si>
    <t>3.07</t>
  </si>
  <si>
    <t>6.07</t>
  </si>
  <si>
    <t>9.07</t>
  </si>
  <si>
    <t>14/07</t>
  </si>
  <si>
    <t>17.07</t>
  </si>
  <si>
    <t>18.07</t>
  </si>
  <si>
    <t>19.07</t>
  </si>
  <si>
    <t>20.07</t>
  </si>
  <si>
    <t>23.07</t>
  </si>
  <si>
    <t>24.07</t>
  </si>
  <si>
    <t>הוט - זיו</t>
  </si>
  <si>
    <t>16/7</t>
  </si>
  <si>
    <t>28/7</t>
  </si>
  <si>
    <t>4.07</t>
  </si>
  <si>
    <t>12/07</t>
  </si>
  <si>
    <t>14.07</t>
  </si>
  <si>
    <t>22.07</t>
  </si>
  <si>
    <t>אוגוסט 26</t>
  </si>
  <si>
    <t>22.08</t>
  </si>
  <si>
    <t>28/08</t>
  </si>
  <si>
    <t>31/8</t>
  </si>
  <si>
    <t>24.08</t>
  </si>
  <si>
    <t>11.08</t>
  </si>
  <si>
    <t>26.08</t>
  </si>
  <si>
    <t>28.08</t>
  </si>
  <si>
    <t>3.08</t>
  </si>
  <si>
    <t>1.08</t>
  </si>
  <si>
    <t>02/08</t>
  </si>
  <si>
    <t>4.08</t>
  </si>
  <si>
    <t>04/08</t>
  </si>
  <si>
    <t>08/08</t>
  </si>
  <si>
    <t>9.08</t>
  </si>
  <si>
    <t>10/08</t>
  </si>
  <si>
    <t>11/08</t>
  </si>
  <si>
    <t>15/08</t>
  </si>
  <si>
    <t>16/08</t>
  </si>
  <si>
    <t>17/08</t>
  </si>
  <si>
    <t>17.08</t>
  </si>
  <si>
    <t>18/08</t>
  </si>
  <si>
    <t>19.08</t>
  </si>
  <si>
    <t>20.08</t>
  </si>
  <si>
    <t>24/08</t>
  </si>
  <si>
    <t>27/08</t>
  </si>
  <si>
    <t>29.08</t>
  </si>
  <si>
    <t>30.08</t>
  </si>
  <si>
    <t>2/8</t>
  </si>
  <si>
    <t>11/8</t>
  </si>
  <si>
    <t>19/8</t>
  </si>
  <si>
    <t>01/08</t>
  </si>
  <si>
    <t>03/08</t>
  </si>
  <si>
    <t>5.08</t>
  </si>
  <si>
    <t>06/08</t>
  </si>
  <si>
    <t>6.08</t>
  </si>
  <si>
    <t>07/08</t>
  </si>
  <si>
    <t>8.08</t>
  </si>
  <si>
    <t>09/08</t>
  </si>
  <si>
    <t>13.08</t>
  </si>
  <si>
    <t>14.08</t>
  </si>
  <si>
    <t>16.08</t>
  </si>
  <si>
    <t>26/08</t>
  </si>
  <si>
    <t>30/08</t>
  </si>
  <si>
    <t>31.08</t>
  </si>
  <si>
    <t>25.08</t>
  </si>
  <si>
    <t>23/08</t>
  </si>
  <si>
    <t>25/8</t>
  </si>
  <si>
    <t>3/8</t>
  </si>
  <si>
    <t>28/8</t>
  </si>
  <si>
    <t>26/8</t>
  </si>
  <si>
    <t>21.08</t>
  </si>
  <si>
    <t>wolt benifits - עינור</t>
  </si>
  <si>
    <t>23.08</t>
  </si>
  <si>
    <t>27.08</t>
  </si>
  <si>
    <t>הכנסות</t>
  </si>
  <si>
    <t>מקור הכנסה</t>
  </si>
  <si>
    <t>סכום (₪)</t>
  </si>
  <si>
    <t>סוג הכנסה</t>
  </si>
  <si>
    <t>משכורת זיו</t>
  </si>
  <si>
    <t>משכורת עינור</t>
  </si>
  <si>
    <t>ESPP</t>
  </si>
  <si>
    <t>הוני</t>
  </si>
  <si>
    <t>דיבידנדים</t>
  </si>
  <si>
    <t>RSU</t>
  </si>
  <si>
    <t>מילואים</t>
  </si>
  <si>
    <t>פירוט חופשות</t>
  </si>
  <si>
    <t>פירוט משלים בלבד; אין לחבר לסיכום החודשי משום שחלק מהסכומים כבר מופיעים בעסקאות</t>
  </si>
  <si>
    <t>תאריך</t>
  </si>
  <si>
    <t>קטגוריה</t>
  </si>
  <si>
    <t>יפן 25</t>
  </si>
  <si>
    <t>2.2</t>
  </si>
  <si>
    <t>טיסה</t>
  </si>
  <si>
    <t>10 עינור</t>
  </si>
  <si>
    <t>10.3</t>
  </si>
  <si>
    <t>14.3</t>
  </si>
  <si>
    <t>מלון טויומה</t>
  </si>
  <si>
    <t>לינה</t>
  </si>
  <si>
    <t>10 זיו</t>
  </si>
  <si>
    <t>מלון נגנו</t>
  </si>
  <si>
    <t>מלון אונסונים</t>
  </si>
  <si>
    <t>27.6</t>
  </si>
  <si>
    <t>מלון הירושימה</t>
  </si>
  <si>
    <t>19.7</t>
  </si>
  <si>
    <t>מלון אוסקה</t>
  </si>
  <si>
    <t>מלון טאקיאמה</t>
  </si>
  <si>
    <t>מלון ניקו</t>
  </si>
  <si>
    <t>מלון גינזה מס ביטול</t>
  </si>
  <si>
    <t>מלון מטסומוטו</t>
  </si>
  <si>
    <t>מלון גינזה 2</t>
  </si>
  <si>
    <t>רכב ניקו מס ביטול</t>
  </si>
  <si>
    <t>רכב אלפים</t>
  </si>
  <si>
    <t>מלון אסקוסה מס ביטול</t>
  </si>
  <si>
    <t>2.8</t>
  </si>
  <si>
    <t>אטרקציות</t>
  </si>
  <si>
    <t>צלמת</t>
  </si>
  <si>
    <t>3.8</t>
  </si>
  <si>
    <t>מנהלתי</t>
  </si>
  <si>
    <t>12.8</t>
  </si>
  <si>
    <t>5.9</t>
  </si>
  <si>
    <t>פס הירושימה</t>
  </si>
  <si>
    <t>16.9</t>
  </si>
  <si>
    <t>סיור אוכל קיוטו</t>
  </si>
  <si>
    <t>19.9</t>
  </si>
  <si>
    <t>סדנת בישול ותרבות יפנית</t>
  </si>
  <si>
    <t>אמקס עינור (ביט)</t>
  </si>
  <si>
    <t>4.9</t>
  </si>
  <si>
    <t>9.9</t>
  </si>
  <si>
    <t>משיכת מזומן</t>
  </si>
  <si>
    <t>זמני</t>
  </si>
  <si>
    <t>קונבי</t>
  </si>
  <si>
    <t>סדנת ברים</t>
  </si>
  <si>
    <t>כריך</t>
  </si>
  <si>
    <t>יוניקלו</t>
  </si>
  <si>
    <t>קניות</t>
  </si>
  <si>
    <t>הייטקזון</t>
  </si>
  <si>
    <t>שיבוייה סקיי</t>
  </si>
  <si>
    <t>שליחת מזוודות</t>
  </si>
  <si>
    <t>רכבל</t>
  </si>
  <si>
    <t>א. בוקר הירושימה</t>
  </si>
  <si>
    <t>מלון קיוטו</t>
  </si>
  <si>
    <t>תבלין אורז</t>
  </si>
  <si>
    <t>מזכרות</t>
  </si>
  <si>
    <t>מניפה</t>
  </si>
  <si>
    <t>גלידה סנופי</t>
  </si>
  <si>
    <t>אוטובוס קאנאזווה</t>
  </si>
  <si>
    <t>מלון שינג'וקו</t>
  </si>
  <si>
    <t>קרן</t>
  </si>
  <si>
    <t>משקפיים</t>
  </si>
  <si>
    <t>לינט</t>
  </si>
  <si>
    <t>לופט</t>
  </si>
  <si>
    <t>פוקימון</t>
  </si>
  <si>
    <t>מס מלון ניקו</t>
  </si>
  <si>
    <t>דונקי</t>
  </si>
  <si>
    <t>סנדויצים</t>
  </si>
  <si>
    <t>מוג'י</t>
  </si>
  <si>
    <t>שתייה מוזרה</t>
  </si>
  <si>
    <t>אוכל בשדה</t>
  </si>
  <si>
    <t>מס מלון אוסקה</t>
  </si>
  <si>
    <t>עוגת גבינה</t>
  </si>
  <si>
    <t>שתייה</t>
  </si>
  <si>
    <t>כוס שוט</t>
  </si>
  <si>
    <t>אוכל רכבת</t>
  </si>
  <si>
    <t>אוכל הירושימה</t>
  </si>
  <si>
    <t>ראמן</t>
  </si>
  <si>
    <t>מקדולנדס</t>
  </si>
  <si>
    <t>הגנים בהירושימה</t>
  </si>
  <si>
    <t>מונית לבמבוקים</t>
  </si>
  <si>
    <t>האורות בבמבוקים</t>
  </si>
  <si>
    <t>צופסטיקס</t>
  </si>
  <si>
    <t>מניפות</t>
  </si>
  <si>
    <t>גיוזה</t>
  </si>
  <si>
    <t>מונית למקדש הצהוב</t>
  </si>
  <si>
    <t>מונית בין המקדשים</t>
  </si>
  <si>
    <t>מוצ'י</t>
  </si>
  <si>
    <t>מסעדת שף</t>
  </si>
  <si>
    <t>אוכל בשוק</t>
  </si>
  <si>
    <t>מונית לדייט</t>
  </si>
  <si>
    <t>מוזאון</t>
  </si>
  <si>
    <t>בנס קוקיס</t>
  </si>
  <si>
    <t>הכל בשקל</t>
  </si>
  <si>
    <t>מעמד צופסטיק</t>
  </si>
  <si>
    <t>אדידס</t>
  </si>
  <si>
    <t>הגנים בקאנאזאווה</t>
  </si>
  <si>
    <t>מונית לרכבת</t>
  </si>
  <si>
    <t>רכבת</t>
  </si>
  <si>
    <t>קיט קאט</t>
  </si>
  <si>
    <t>גיוזות</t>
  </si>
  <si>
    <t>מס מלון טאקיאמה</t>
  </si>
  <si>
    <t>מוזאון פתוח</t>
  </si>
  <si>
    <t>פיצה</t>
  </si>
  <si>
    <t>מס מלון אונסון</t>
  </si>
  <si>
    <t>עגילים</t>
  </si>
  <si>
    <t>אוטובוס קמיקוצי</t>
  </si>
  <si>
    <t>חניה קמיקוצי</t>
  </si>
  <si>
    <t>אוכל מלון אונסונים</t>
  </si>
  <si>
    <t>רכבת לטוקיו</t>
  </si>
  <si>
    <t>יונתן</t>
  </si>
  <si>
    <t>דונט</t>
  </si>
  <si>
    <t>גן שינג'וקו</t>
  </si>
  <si>
    <t>שוקו</t>
  </si>
  <si>
    <t>רכבת לניקו</t>
  </si>
  <si>
    <t>הזמנת מקום לטונה</t>
  </si>
  <si>
    <t>גחנון</t>
  </si>
  <si>
    <t>11.05</t>
  </si>
  <si>
    <t>יקב אסף-צמרת</t>
  </si>
  <si>
    <t>BUYME ALL</t>
  </si>
  <si>
    <t>21/05</t>
  </si>
  <si>
    <t>מקדונלדס - יקנעם</t>
  </si>
  <si>
    <t>20/4</t>
  </si>
  <si>
    <t>buy me</t>
  </si>
  <si>
    <t>27.11.25</t>
  </si>
  <si>
    <t>מלון 1</t>
  </si>
  <si>
    <t>מלון 2</t>
  </si>
  <si>
    <t>21/3</t>
  </si>
  <si>
    <t>ויזה ללונדון</t>
  </si>
  <si>
    <t>קברט</t>
  </si>
  <si>
    <t>סיישל 25</t>
  </si>
  <si>
    <t>28.2</t>
  </si>
  <si>
    <t>6.3</t>
  </si>
  <si>
    <t>הילטון</t>
  </si>
  <si>
    <t>4.3</t>
  </si>
  <si>
    <t>מלון פרסלין</t>
  </si>
  <si>
    <t>9.3</t>
  </si>
  <si>
    <t>טיסות פנים</t>
  </si>
  <si>
    <t>11.3</t>
  </si>
  <si>
    <t>רכב מקדמה</t>
  </si>
  <si>
    <t>8.4</t>
  </si>
  <si>
    <t>20.4</t>
  </si>
  <si>
    <t>8.5</t>
  </si>
  <si>
    <t>ויזה</t>
  </si>
  <si>
    <t>12.5</t>
  </si>
  <si>
    <t>מעבורות</t>
  </si>
  <si>
    <t>15.5</t>
  </si>
  <si>
    <t>פיקדון קיאקים</t>
  </si>
  <si>
    <t>רכב פרסלין</t>
  </si>
  <si>
    <t>קוקו דה מר</t>
  </si>
  <si>
    <t>מס תיירים</t>
  </si>
  <si>
    <t>11 זיו</t>
  </si>
  <si>
    <t>12 זיו</t>
  </si>
  <si>
    <t>13 זיו</t>
  </si>
  <si>
    <t>14 זיו</t>
  </si>
  <si>
    <t>15 זיו</t>
  </si>
  <si>
    <t>16 זיו</t>
  </si>
  <si>
    <t>קיאקים</t>
  </si>
  <si>
    <t>17 זיו</t>
  </si>
  <si>
    <t>18 זיו</t>
  </si>
  <si>
    <t>19 זיו</t>
  </si>
  <si>
    <t>20 זיו</t>
  </si>
  <si>
    <t>21 זיו</t>
  </si>
  <si>
    <t>22 זיו</t>
  </si>
  <si>
    <t>23 זיו</t>
  </si>
  <si>
    <t>24 זיו</t>
  </si>
  <si>
    <t>אי צבים</t>
  </si>
  <si>
    <t>25 זיו</t>
  </si>
  <si>
    <t>סיור צבים</t>
  </si>
  <si>
    <t>26 זיו</t>
  </si>
  <si>
    <t>27 זיו</t>
  </si>
  <si>
    <t>28 זיו</t>
  </si>
  <si>
    <t>ערוכת בוקר פרסלין</t>
  </si>
  <si>
    <t>29 זיו</t>
  </si>
  <si>
    <t>30 זיו</t>
  </si>
  <si>
    <t>31 זיו</t>
  </si>
  <si>
    <t>32 זיו</t>
  </si>
  <si>
    <t>רכב מהה</t>
  </si>
  <si>
    <t>33 זיו</t>
  </si>
  <si>
    <t>אוכל שדה</t>
  </si>
  <si>
    <t>34 זיו</t>
  </si>
  <si>
    <t>השלמה טיסות</t>
  </si>
  <si>
    <t>ביט</t>
  </si>
  <si>
    <t>מקדולנס נתבג</t>
  </si>
  <si>
    <t>חניה נתבג</t>
  </si>
  <si>
    <t>תוספת ביטוח</t>
  </si>
  <si>
    <t>סכ"ה</t>
  </si>
  <si>
    <t>פריז 25</t>
  </si>
  <si>
    <t>30.7</t>
  </si>
  <si>
    <t>14.11</t>
  </si>
  <si>
    <t>יומולדת עינור</t>
  </si>
  <si>
    <t>סיור אוכל אופציה 1</t>
  </si>
  <si>
    <t>סיור אוכל אופציה 2</t>
  </si>
  <si>
    <t>11 עינור</t>
  </si>
  <si>
    <t>12 עינור</t>
  </si>
  <si>
    <t>מונית</t>
  </si>
  <si>
    <t>גלגל ענק</t>
  </si>
  <si>
    <t>צורוס</t>
  </si>
  <si>
    <t>משהו</t>
  </si>
  <si>
    <t>מוס</t>
  </si>
  <si>
    <t>פארמה</t>
  </si>
  <si>
    <t>בריז</t>
  </si>
  <si>
    <t>כריכים</t>
  </si>
  <si>
    <t>שייט</t>
  </si>
  <si>
    <t>מס מלון</t>
  </si>
  <si>
    <t>קלינקס</t>
  </si>
  <si>
    <t>סיור חינאמי</t>
  </si>
  <si>
    <t>25/10/25</t>
  </si>
  <si>
    <t>11/3</t>
  </si>
  <si>
    <t>פיקדון מלון</t>
  </si>
  <si>
    <t>19/4</t>
  </si>
  <si>
    <t>15/4</t>
  </si>
  <si>
    <t>23/4</t>
  </si>
  <si>
    <t>20/07</t>
  </si>
  <si>
    <t>קרוז</t>
  </si>
  <si>
    <t>31/07</t>
  </si>
  <si>
    <t>מלון ניו יורק</t>
  </si>
  <si>
    <t>21.07</t>
  </si>
  <si>
    <t>ELAL INT ISRAEL</t>
  </si>
  <si>
    <t>24/7</t>
  </si>
  <si>
    <t>דברים לקרוז</t>
  </si>
  <si>
    <t>טיסה לניו יורק כרטיס 1</t>
  </si>
  <si>
    <t>טיסה לניו יורק כרטיס 2</t>
  </si>
  <si>
    <t>HAMILTON TICKETS</t>
  </si>
  <si>
    <t>2.6.25</t>
  </si>
  <si>
    <t>28/11/25</t>
  </si>
  <si>
    <t>ברצלונה מלון</t>
  </si>
  <si>
    <t>7/4</t>
  </si>
  <si>
    <t>רכב</t>
  </si>
  <si>
    <t>החזר מלון ברצלונה</t>
  </si>
  <si>
    <t>11/4</t>
  </si>
  <si>
    <t>מלון ציריך</t>
  </si>
  <si>
    <t>29/5</t>
  </si>
  <si>
    <t>מלון גרינדלוולד</t>
  </si>
  <si>
    <t>5/6</t>
  </si>
  <si>
    <t>צהריים</t>
  </si>
  <si>
    <t>7/6</t>
  </si>
  <si>
    <t>8/6</t>
  </si>
  <si>
    <t>9/6</t>
  </si>
  <si>
    <t>קולה</t>
  </si>
  <si>
    <t>ספא</t>
  </si>
  <si>
    <t>10/6</t>
  </si>
  <si>
    <t>גרביים</t>
  </si>
  <si>
    <t>שוקולית</t>
  </si>
  <si>
    <t>מזכרת</t>
  </si>
  <si>
    <t>קאפ קייק</t>
  </si>
  <si>
    <t>נהג נוסף</t>
  </si>
  <si>
    <t>שירותים</t>
  </si>
  <si>
    <t>מפלים</t>
  </si>
  <si>
    <t>4/5</t>
  </si>
  <si>
    <t>12/5</t>
  </si>
  <si>
    <t>מוזאון לינט</t>
  </si>
  <si>
    <t>3/6</t>
  </si>
  <si>
    <t>מלון לוצרן</t>
  </si>
  <si>
    <t>כרטיסי הנחה</t>
  </si>
  <si>
    <t>11/6</t>
  </si>
  <si>
    <t>11/5</t>
  </si>
  <si>
    <t>קפה לינט</t>
  </si>
  <si>
    <t>12/06</t>
  </si>
  <si>
    <t>מיפוי ומקורות</t>
  </si>
  <si>
    <t>מיפוי, איכות נתונים ומקורות</t>
  </si>
  <si>
    <t>כללי נרמול, חריגים ומקורות ששימשו להכנת הניתוח</t>
  </si>
  <si>
    <t>בדיקת איכות</t>
  </si>
  <si>
    <t>השפעה</t>
  </si>
  <si>
    <t>טיפול מומלץ</t>
  </si>
  <si>
    <t>חודש פתוח</t>
  </si>
  <si>
    <t>אוגוסט 2026 טרם סומן כסגור</t>
  </si>
  <si>
    <t>הנתון עשוי להשתנות</t>
  </si>
  <si>
    <t>לרענן את הקובץ לאחר סגירת החודש</t>
  </si>
  <si>
    <t>קטגוריות חסרות</t>
  </si>
  <si>
    <t>5 עסקאות, ₪1,959</t>
  </si>
  <si>
    <t>מוריד דיוק בפילוח</t>
  </si>
  <si>
    <t>לסווג לפני פגישת המומחה</t>
  </si>
  <si>
    <t>דורש טיפול</t>
  </si>
  <si>
    <t>שינוי שמות קטגוריות</t>
  </si>
  <si>
    <t>דיור ובריאות נרשמו בשמות שונים בין 2025 ל־2026</t>
  </si>
  <si>
    <t>השוואה ישירה לפי שם מטעה</t>
  </si>
  <si>
    <t>להשתמש בקבוצה המנורמלת</t>
  </si>
  <si>
    <t>טופל בניתוח</t>
  </si>
  <si>
    <t>שכר דירה מהנכס</t>
  </si>
  <si>
    <t>ב־2025 נרשם כהוצאה שלילית; ב־2026 כהכנסה</t>
  </si>
  <si>
    <t>מעוות השוואת הכנסות והוצאות</t>
  </si>
  <si>
    <t>סווג מחדש להכנסה בדוחות</t>
  </si>
  <si>
    <t>נרשמו כהוצאות שליליות ב־2025</t>
  </si>
  <si>
    <t>מוריד את ההוצאה המדווחת</t>
  </si>
  <si>
    <t>סווג מחדש כזרם הכנסה</t>
  </si>
  <si>
    <t>שורות סכום אפס</t>
  </si>
  <si>
    <t>47 שורות תבנית/חסרות סכום</t>
  </si>
  <si>
    <t>לא משפיע על הסכומים אך מנפח ספירות</t>
  </si>
  <si>
    <t>להתעלם בספירת עסקאות</t>
  </si>
  <si>
    <t>גיליונות החופשה הם פירוט משלים ולעיתים מסונכרנים לסיכום חודשי</t>
  </si>
  <si>
    <t>סכנת ספירה כפולה</t>
  </si>
  <si>
    <t>לא לחבר את גיליון פירוט החופשות להוצאה החודשית</t>
  </si>
  <si>
    <t>הערה</t>
  </si>
  <si>
    <t>שלמות הכנסות</t>
  </si>
  <si>
    <t>בחלק מחודשי 2025 ההכנסה השוטפת נמוכה או אפסית</t>
  </si>
  <si>
    <t>תחזית חיסכון עלולה להיות חלקית</t>
  </si>
  <si>
    <t>לאמת תלושי שכר והפקדות מול המקור</t>
  </si>
  <si>
    <t>דורש בדיקה</t>
  </si>
  <si>
    <t>פריט</t>
  </si>
  <si>
    <t>תקופה/מועד</t>
  </si>
  <si>
    <t>סוג מקור</t>
  </si>
  <si>
    <t>מקור</t>
  </si>
  <si>
    <t>קישור</t>
  </si>
  <si>
    <t>עסקאות והכנסות</t>
  </si>
  <si>
    <t>2025-01 עד 2026-08</t>
  </si>
  <si>
    <t>מערכת מקור</t>
  </si>
  <si>
    <t>Google Sheets של Mezumani</t>
  </si>
  <si>
    <t>נשלף ב־2026-09-04; אוגוסט 2026 פתוח</t>
  </si>
  <si>
    <t>עמלות בנק וכרטיסים</t>
  </si>
  <si>
    <t>נבדק 2026-09-04</t>
  </si>
  <si>
    <t>מקור מקצועי</t>
  </si>
  <si>
    <t>בנק ישראל – מדריך עמלות</t>
  </si>
  <si>
    <t>https://www.boi.org.il/information/bank-paymnts/guide/fees_guide/</t>
  </si>
  <si>
    <t>השוואת מסלולים, כרטיסים וניהול משא ומתן</t>
  </si>
  <si>
    <t>בדיקת כפל ביטוח</t>
  </si>
  <si>
    <t>מקור ממשלתי</t>
  </si>
  <si>
    <t>מערך הדיגיטל ורשות שוק ההון</t>
  </si>
  <si>
    <t>https://campus.gov.il/course/digitalil-gov-healthinsurance-he/</t>
  </si>
  <si>
    <t>בדיקת כיסויים והחזרים לפני שינוי פוליסה</t>
  </si>
  <si>
    <t>ניהול תקציב משפחתי</t>
  </si>
  <si>
    <t>עמותה מקצועית</t>
  </si>
  <si>
    <t>פעמונים – בניית תקציב</t>
  </si>
  <si>
    <t>https://www.paamonim.org/he/%D7%90%D7%99%D7%9A-%D7%91%D7%95%D7%A0%D7%99%D7%9D-%D7%AA%D7%A7%D7%A6%D7%99%D7%91/</t>
  </si>
  <si>
    <t>מיפוי, סדרי עדיפויות ותכנון משותף לזוג</t>
  </si>
</sst>
</file>

<file path=xl/styles.xml><?xml version="1.0" encoding="utf-8"?>
<styleSheet xmlns="http://schemas.openxmlformats.org/spreadsheetml/2006/main">
  <numFmts count="4">
    <numFmt numFmtId="0" formatCode="General"/>
    <numFmt numFmtId="59" formatCode="#,##0;(#,##0);&quot;--&quot;"/>
    <numFmt numFmtId="60" formatCode="0.0%;(0.0%);&quot;--&quot;"/>
    <numFmt numFmtId="61" formatCode="mmm yyyy"/>
  </numFmts>
  <fonts count="14">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6"/>
      <color indexed="13"/>
      <name val="Arial"/>
    </font>
    <font>
      <i val="1"/>
      <sz val="10"/>
      <color indexed="14"/>
      <name val="Arial"/>
    </font>
    <font>
      <b val="1"/>
      <sz val="10"/>
      <color indexed="15"/>
      <name val="Arial"/>
    </font>
    <font>
      <sz val="10"/>
      <color indexed="17"/>
      <name val="Arial"/>
    </font>
    <font>
      <sz val="10"/>
      <color indexed="11"/>
      <name val="Arial"/>
    </font>
    <font>
      <b val="1"/>
      <sz val="10"/>
      <color indexed="17"/>
      <name val="Arial"/>
    </font>
    <font>
      <sz val="10"/>
      <color indexed="25"/>
      <name val="Arial"/>
    </font>
    <font>
      <sz val="10"/>
      <color indexed="8"/>
      <name val="Arial"/>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8"/>
        <bgColor auto="1"/>
      </patternFill>
    </fill>
    <fill>
      <patternFill patternType="solid">
        <fgColor indexed="15"/>
        <bgColor auto="1"/>
      </patternFill>
    </fill>
    <fill>
      <patternFill patternType="solid">
        <fgColor indexed="24"/>
        <bgColor auto="1"/>
      </patternFill>
    </fill>
  </fills>
  <borders count="60">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style="thin">
        <color indexed="13"/>
      </bottom>
      <diagonal/>
    </border>
    <border>
      <left/>
      <right style="thin">
        <color indexed="12"/>
      </right>
      <top/>
      <bottom/>
      <diagonal/>
    </border>
    <border>
      <left/>
      <right/>
      <top style="thin">
        <color indexed="13"/>
      </top>
      <bottom/>
      <diagonal/>
    </border>
    <border>
      <left/>
      <right/>
      <top/>
      <bottom/>
      <diagonal/>
    </border>
    <border>
      <left/>
      <right/>
      <top/>
      <bottom style="thin">
        <color indexed="15"/>
      </bottom>
      <diagonal/>
    </border>
    <border>
      <left style="thin">
        <color indexed="12"/>
      </left>
      <right style="thin">
        <color indexed="15"/>
      </right>
      <top/>
      <bottom/>
      <diagonal/>
    </border>
    <border>
      <left style="thin">
        <color indexed="15"/>
      </left>
      <right style="thin">
        <color indexed="15"/>
      </right>
      <top style="thin">
        <color indexed="15"/>
      </top>
      <bottom style="thin">
        <color indexed="15"/>
      </bottom>
      <diagonal/>
    </border>
    <border>
      <left style="thin">
        <color indexed="15"/>
      </left>
      <right/>
      <top/>
      <bottom/>
      <diagonal/>
    </border>
    <border>
      <left style="thin">
        <color indexed="12"/>
      </left>
      <right style="thin">
        <color indexed="16"/>
      </right>
      <top/>
      <bottom/>
      <diagonal/>
    </border>
    <border>
      <left style="thin">
        <color indexed="16"/>
      </left>
      <right/>
      <top style="thin">
        <color indexed="15"/>
      </top>
      <bottom style="thin">
        <color indexed="16"/>
      </bottom>
      <diagonal/>
    </border>
    <border>
      <left/>
      <right style="thin">
        <color indexed="16"/>
      </right>
      <top style="thin">
        <color indexed="15"/>
      </top>
      <bottom style="thin">
        <color indexed="16"/>
      </bottom>
      <diagonal/>
    </border>
    <border>
      <left style="thin">
        <color indexed="16"/>
      </left>
      <right/>
      <top/>
      <bottom/>
      <diagonal/>
    </border>
    <border>
      <left style="thin">
        <color indexed="16"/>
      </left>
      <right/>
      <top style="thin">
        <color indexed="16"/>
      </top>
      <bottom style="thin">
        <color indexed="16"/>
      </bottom>
      <diagonal/>
    </border>
    <border>
      <left/>
      <right style="thin">
        <color indexed="16"/>
      </right>
      <top style="thin">
        <color indexed="16"/>
      </top>
      <bottom style="thin">
        <color indexed="16"/>
      </bottom>
      <diagonal/>
    </border>
    <border>
      <left/>
      <right/>
      <top style="thin">
        <color indexed="16"/>
      </top>
      <bottom/>
      <diagonal/>
    </border>
    <border>
      <left/>
      <right/>
      <top/>
      <bottom style="thin">
        <color indexed="20"/>
      </bottom>
      <diagonal/>
    </border>
    <border>
      <left style="thin">
        <color indexed="12"/>
      </left>
      <right style="thin">
        <color indexed="20"/>
      </right>
      <top/>
      <bottom/>
      <diagonal/>
    </border>
    <border>
      <left style="thin">
        <color indexed="20"/>
      </left>
      <right style="thin">
        <color indexed="15"/>
      </right>
      <top style="thin">
        <color indexed="20"/>
      </top>
      <bottom style="thin">
        <color indexed="15"/>
      </bottom>
      <diagonal/>
    </border>
    <border>
      <left style="thin">
        <color indexed="15"/>
      </left>
      <right style="thin">
        <color indexed="15"/>
      </right>
      <top style="thin">
        <color indexed="20"/>
      </top>
      <bottom style="thin">
        <color indexed="15"/>
      </bottom>
      <diagonal/>
    </border>
    <border>
      <left style="thin">
        <color indexed="15"/>
      </left>
      <right style="thin">
        <color indexed="20"/>
      </right>
      <top style="thin">
        <color indexed="20"/>
      </top>
      <bottom style="thin">
        <color indexed="15"/>
      </bottom>
      <diagonal/>
    </border>
    <border>
      <left style="thin">
        <color indexed="20"/>
      </left>
      <right/>
      <top/>
      <bottom/>
      <diagonal/>
    </border>
    <border>
      <left style="thin">
        <color indexed="20"/>
      </left>
      <right/>
      <top style="thin">
        <color indexed="15"/>
      </top>
      <bottom/>
      <diagonal/>
    </border>
    <border>
      <left/>
      <right/>
      <top style="thin">
        <color indexed="15"/>
      </top>
      <bottom/>
      <diagonal/>
    </border>
    <border>
      <left/>
      <right style="thin">
        <color indexed="20"/>
      </right>
      <top style="thin">
        <color indexed="15"/>
      </top>
      <bottom/>
      <diagonal/>
    </border>
    <border>
      <left/>
      <right style="thin">
        <color indexed="20"/>
      </right>
      <top/>
      <bottom/>
      <diagonal/>
    </border>
    <border>
      <left style="thin">
        <color indexed="20"/>
      </left>
      <right/>
      <top/>
      <bottom style="thin">
        <color indexed="20"/>
      </bottom>
      <diagonal/>
    </border>
    <border>
      <left/>
      <right style="thin">
        <color indexed="20"/>
      </right>
      <top/>
      <bottom style="thin">
        <color indexed="20"/>
      </bottom>
      <diagonal/>
    </border>
    <border>
      <left/>
      <right/>
      <top style="thin">
        <color indexed="20"/>
      </top>
      <bottom/>
      <diagonal/>
    </border>
    <border>
      <left/>
      <right style="thin">
        <color indexed="15"/>
      </right>
      <top/>
      <bottom/>
      <diagonal/>
    </border>
    <border>
      <left style="thin">
        <color indexed="15"/>
      </left>
      <right style="thin">
        <color indexed="15"/>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3"/>
      </bottom>
      <diagonal/>
    </border>
    <border>
      <left style="thin">
        <color indexed="12"/>
      </left>
      <right style="thin">
        <color indexed="12"/>
      </right>
      <top style="thin">
        <color indexed="13"/>
      </top>
      <bottom style="thin">
        <color indexed="12"/>
      </bottom>
      <diagonal/>
    </border>
    <border>
      <left style="thin">
        <color indexed="12"/>
      </left>
      <right style="thin">
        <color indexed="12"/>
      </right>
      <top style="thin">
        <color indexed="12"/>
      </top>
      <bottom style="thin">
        <color indexed="15"/>
      </bottom>
      <diagonal/>
    </border>
    <border>
      <left style="thin">
        <color indexed="12"/>
      </left>
      <right style="thin">
        <color indexed="15"/>
      </right>
      <top style="thin">
        <color indexed="12"/>
      </top>
      <bottom style="thin">
        <color indexed="12"/>
      </bottom>
      <diagonal/>
    </border>
    <border>
      <left style="thin">
        <color indexed="15"/>
      </left>
      <right style="thin">
        <color indexed="12"/>
      </right>
      <top style="thin">
        <color indexed="12"/>
      </top>
      <bottom style="thin">
        <color indexed="12"/>
      </bottom>
      <diagonal/>
    </border>
    <border>
      <left style="thin">
        <color indexed="12"/>
      </left>
      <right style="thin">
        <color indexed="16"/>
      </right>
      <top style="thin">
        <color indexed="12"/>
      </top>
      <bottom style="thin">
        <color indexed="12"/>
      </bottom>
      <diagonal/>
    </border>
    <border>
      <left/>
      <right/>
      <top style="thin">
        <color indexed="15"/>
      </top>
      <bottom style="thin">
        <color indexed="16"/>
      </bottom>
      <diagonal/>
    </border>
    <border>
      <left style="thin">
        <color indexed="16"/>
      </left>
      <right style="thin">
        <color indexed="12"/>
      </right>
      <top style="thin">
        <color indexed="12"/>
      </top>
      <bottom style="thin">
        <color indexed="12"/>
      </bottom>
      <diagonal/>
    </border>
    <border>
      <left style="thin">
        <color indexed="16"/>
      </left>
      <right style="thin">
        <color indexed="12"/>
      </right>
      <top style="thin">
        <color indexed="16"/>
      </top>
      <bottom style="thin">
        <color indexed="16"/>
      </bottom>
      <diagonal/>
    </border>
    <border>
      <left style="thin">
        <color indexed="12"/>
      </left>
      <right style="thin">
        <color indexed="12"/>
      </right>
      <top style="thin">
        <color indexed="16"/>
      </top>
      <bottom style="thin">
        <color indexed="16"/>
      </bottom>
      <diagonal/>
    </border>
    <border>
      <left style="thin">
        <color indexed="12"/>
      </left>
      <right style="thin">
        <color indexed="16"/>
      </right>
      <top style="thin">
        <color indexed="16"/>
      </top>
      <bottom style="thin">
        <color indexed="16"/>
      </bottom>
      <diagonal/>
    </border>
    <border>
      <left/>
      <right/>
      <top style="thin">
        <color indexed="16"/>
      </top>
      <bottom style="thin">
        <color indexed="16"/>
      </bottom>
      <diagonal/>
    </border>
    <border>
      <left style="thin">
        <color indexed="12"/>
      </left>
      <right style="thin">
        <color indexed="12"/>
      </right>
      <top style="thin">
        <color indexed="16"/>
      </top>
      <bottom style="thin">
        <color indexed="12"/>
      </bottom>
      <diagonal/>
    </border>
    <border>
      <left style="thin">
        <color indexed="16"/>
      </left>
      <right style="thin">
        <color indexed="12"/>
      </right>
      <top style="thin">
        <color indexed="16"/>
      </top>
      <bottom style="thin">
        <color indexed="13"/>
      </bottom>
      <diagonal/>
    </border>
    <border>
      <left style="thin">
        <color indexed="12"/>
      </left>
      <right style="thin">
        <color indexed="12"/>
      </right>
      <top style="thin">
        <color indexed="16"/>
      </top>
      <bottom style="thin">
        <color indexed="13"/>
      </bottom>
      <diagonal/>
    </border>
    <border>
      <left style="thin">
        <color indexed="12"/>
      </left>
      <right style="thin">
        <color indexed="16"/>
      </right>
      <top style="thin">
        <color indexed="16"/>
      </top>
      <bottom style="thin">
        <color indexed="13"/>
      </bottom>
      <diagonal/>
    </border>
    <border>
      <left style="thin">
        <color indexed="12"/>
      </left>
      <right style="thin">
        <color indexed="13"/>
      </right>
      <top style="thin">
        <color indexed="12"/>
      </top>
      <bottom style="thin">
        <color indexed="12"/>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6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horizontal="right" vertical="bottom" readingOrder="2"/>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7" applyNumberFormat="1" applyFont="1" applyFill="0" applyBorder="1" applyAlignment="1" applyProtection="0">
      <alignment vertical="bottom"/>
    </xf>
    <xf numFmtId="0" fontId="7"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49" fontId="8" fillId="4" borderId="11" applyNumberFormat="1" applyFont="1" applyFill="1" applyBorder="1" applyAlignment="1" applyProtection="0">
      <alignment horizontal="center" vertical="center" wrapText="1" readingOrder="2"/>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49" fontId="9" fillId="5" borderId="14" applyNumberFormat="1" applyFont="1" applyFill="1" applyBorder="1" applyAlignment="1" applyProtection="0">
      <alignment horizontal="right" vertical="center" readingOrder="2"/>
    </xf>
    <xf numFmtId="3" fontId="9" fillId="5" borderId="15" applyNumberFormat="1" applyFont="1" applyFill="1" applyBorder="1" applyAlignment="1" applyProtection="0">
      <alignment vertical="center"/>
    </xf>
    <xf numFmtId="0" fontId="0" borderId="16" applyNumberFormat="0" applyFont="1" applyFill="0" applyBorder="1" applyAlignment="1" applyProtection="0">
      <alignment vertical="bottom"/>
    </xf>
    <xf numFmtId="49" fontId="9" fillId="6" borderId="17" applyNumberFormat="1" applyFont="1" applyFill="1" applyBorder="1" applyAlignment="1" applyProtection="0">
      <alignment horizontal="right" vertical="center" readingOrder="2"/>
    </xf>
    <xf numFmtId="3" fontId="9" fillId="6" borderId="18" applyNumberFormat="1" applyFont="1" applyFill="1" applyBorder="1" applyAlignment="1" applyProtection="0">
      <alignment vertical="center"/>
    </xf>
    <xf numFmtId="49" fontId="9" fillId="5" borderId="17" applyNumberFormat="1" applyFont="1" applyFill="1" applyBorder="1" applyAlignment="1" applyProtection="0">
      <alignment horizontal="right" vertical="center" readingOrder="2"/>
    </xf>
    <xf numFmtId="59" fontId="9" fillId="5" borderId="18" applyNumberFormat="1" applyFont="1" applyFill="1" applyBorder="1" applyAlignment="1" applyProtection="0">
      <alignment vertical="center"/>
    </xf>
    <xf numFmtId="59" fontId="9" fillId="6" borderId="18" applyNumberFormat="1" applyFont="1" applyFill="1" applyBorder="1" applyAlignment="1" applyProtection="0">
      <alignment vertical="center"/>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49" fontId="8" fillId="4" borderId="22" applyNumberFormat="1" applyFont="1" applyFill="1" applyBorder="1" applyAlignment="1" applyProtection="0">
      <alignment horizontal="center" vertical="center" wrapText="1" readingOrder="2"/>
    </xf>
    <xf numFmtId="49" fontId="8" fillId="4" borderId="23" applyNumberFormat="1" applyFont="1" applyFill="1" applyBorder="1" applyAlignment="1" applyProtection="0">
      <alignment horizontal="center" vertical="center" wrapText="1"/>
    </xf>
    <xf numFmtId="49" fontId="8" fillId="4" borderId="24" applyNumberFormat="1" applyFont="1" applyFill="1" applyBorder="1" applyAlignment="1" applyProtection="0">
      <alignment horizontal="center" vertical="center" wrapText="1"/>
    </xf>
    <xf numFmtId="0" fontId="0" borderId="25" applyNumberFormat="0" applyFont="1" applyFill="0" applyBorder="1" applyAlignment="1" applyProtection="0">
      <alignment vertical="bottom"/>
    </xf>
    <xf numFmtId="49" fontId="9" fillId="6" borderId="26" applyNumberFormat="1" applyFont="1" applyFill="1" applyBorder="1" applyAlignment="1" applyProtection="0">
      <alignment horizontal="right" vertical="center" readingOrder="2"/>
    </xf>
    <xf numFmtId="59" fontId="9" fillId="6" borderId="27" applyNumberFormat="1" applyFont="1" applyFill="1" applyBorder="1" applyAlignment="1" applyProtection="0">
      <alignment vertical="center"/>
    </xf>
    <xf numFmtId="59" fontId="9" fillId="6" borderId="28" applyNumberFormat="1" applyFont="1" applyFill="1" applyBorder="1" applyAlignment="1" applyProtection="0">
      <alignment vertical="center"/>
    </xf>
    <xf numFmtId="49" fontId="9" fillId="6" borderId="25" applyNumberFormat="1" applyFont="1" applyFill="1" applyBorder="1" applyAlignment="1" applyProtection="0">
      <alignment horizontal="right" vertical="center" readingOrder="2"/>
    </xf>
    <xf numFmtId="59" fontId="9" fillId="6" borderId="8" applyNumberFormat="1" applyFont="1" applyFill="1" applyBorder="1" applyAlignment="1" applyProtection="0">
      <alignment vertical="center"/>
    </xf>
    <xf numFmtId="59" fontId="9" fillId="6" borderId="29" applyNumberFormat="1" applyFont="1" applyFill="1" applyBorder="1" applyAlignment="1" applyProtection="0">
      <alignment vertical="center"/>
    </xf>
    <xf numFmtId="49" fontId="9" fillId="6" borderId="30" applyNumberFormat="1" applyFont="1" applyFill="1" applyBorder="1" applyAlignment="1" applyProtection="0">
      <alignment horizontal="right" vertical="center" readingOrder="2"/>
    </xf>
    <xf numFmtId="0" fontId="9" fillId="6" borderId="20" applyNumberFormat="0" applyFont="1" applyFill="1" applyBorder="1" applyAlignment="1" applyProtection="0">
      <alignment vertical="center"/>
    </xf>
    <xf numFmtId="60" fontId="9" fillId="6" borderId="31" applyNumberFormat="1" applyFont="1" applyFill="1" applyBorder="1" applyAlignment="1" applyProtection="0">
      <alignment vertical="center"/>
    </xf>
    <xf numFmtId="0" fontId="0" borderId="32" applyNumberFormat="0" applyFont="1" applyFill="0" applyBorder="1" applyAlignment="1" applyProtection="0">
      <alignment vertical="bottom"/>
    </xf>
    <xf numFmtId="0" fontId="0" borderId="33" applyNumberFormat="0" applyFont="1" applyFill="0" applyBorder="1" applyAlignment="1" applyProtection="0">
      <alignment vertical="bottom"/>
    </xf>
    <xf numFmtId="0" fontId="0" borderId="34" applyNumberFormat="0" applyFont="1" applyFill="0" applyBorder="1" applyAlignment="1" applyProtection="0">
      <alignment vertical="bottom"/>
    </xf>
    <xf numFmtId="49" fontId="9" fillId="6" borderId="27" applyNumberFormat="1" applyFont="1" applyFill="1" applyBorder="1" applyAlignment="1" applyProtection="0">
      <alignment vertical="center"/>
    </xf>
    <xf numFmtId="49" fontId="9" fillId="6" borderId="27" applyNumberFormat="1" applyFont="1" applyFill="1" applyBorder="1" applyAlignment="1" applyProtection="0">
      <alignment horizontal="center" vertical="center"/>
    </xf>
    <xf numFmtId="49" fontId="9" fillId="6" borderId="27" applyNumberFormat="1" applyFont="1" applyFill="1" applyBorder="1" applyAlignment="1" applyProtection="0">
      <alignment horizontal="right" vertical="center" wrapText="1" readingOrder="2"/>
    </xf>
    <xf numFmtId="49" fontId="9" fillId="6" borderId="27" applyNumberFormat="1" applyFont="1" applyFill="1" applyBorder="1" applyAlignment="1" applyProtection="0">
      <alignment vertical="center" wrapText="1"/>
    </xf>
    <xf numFmtId="49" fontId="9" fillId="6" borderId="8" applyNumberFormat="1" applyFont="1" applyFill="1" applyBorder="1" applyAlignment="1" applyProtection="0">
      <alignment vertical="center"/>
    </xf>
    <xf numFmtId="49" fontId="9" fillId="6" borderId="8" applyNumberFormat="1" applyFont="1" applyFill="1" applyBorder="1" applyAlignment="1" applyProtection="0">
      <alignment horizontal="center" vertical="center"/>
    </xf>
    <xf numFmtId="49" fontId="9" fillId="6" borderId="8" applyNumberFormat="1" applyFont="1" applyFill="1" applyBorder="1" applyAlignment="1" applyProtection="0">
      <alignment horizontal="right" vertical="center" wrapText="1" readingOrder="2"/>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49" fontId="9" fillId="6" borderId="36" applyNumberFormat="1" applyFont="1" applyFill="1" applyBorder="1" applyAlignment="1" applyProtection="0">
      <alignment vertical="center"/>
    </xf>
    <xf numFmtId="59" fontId="9" fillId="6" borderId="36" applyNumberFormat="1" applyFont="1" applyFill="1" applyBorder="1" applyAlignment="1" applyProtection="0">
      <alignment vertical="center"/>
    </xf>
    <xf numFmtId="0" fontId="0" borderId="37"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38" applyNumberFormat="0" applyFont="1" applyFill="0" applyBorder="1" applyAlignment="1" applyProtection="0">
      <alignment vertical="bottom"/>
    </xf>
    <xf numFmtId="49" fontId="6" borderId="39" applyNumberFormat="1" applyFont="1" applyFill="0" applyBorder="1" applyAlignment="1" applyProtection="0">
      <alignment horizontal="right" vertical="bottom" readingOrder="2"/>
    </xf>
    <xf numFmtId="0" fontId="0" borderId="39" applyNumberFormat="0" applyFont="1" applyFill="0" applyBorder="1" applyAlignment="1" applyProtection="0">
      <alignment vertical="bottom"/>
    </xf>
    <xf numFmtId="49" fontId="7" borderId="40" applyNumberFormat="1" applyFont="1" applyFill="0" applyBorder="1" applyAlignment="1" applyProtection="0">
      <alignment horizontal="right" vertical="bottom" readingOrder="2"/>
    </xf>
    <xf numFmtId="0" fontId="7" borderId="40" applyNumberFormat="0" applyFont="1" applyFill="0" applyBorder="1" applyAlignment="1" applyProtection="0">
      <alignment vertical="bottom"/>
    </xf>
    <xf numFmtId="0" fontId="0" borderId="41" applyNumberFormat="0" applyFont="1" applyFill="0" applyBorder="1" applyAlignment="1" applyProtection="0">
      <alignment vertical="bottom"/>
    </xf>
    <xf numFmtId="0" fontId="0" borderId="42" applyNumberFormat="0" applyFont="1" applyFill="0" applyBorder="1" applyAlignment="1" applyProtection="0">
      <alignment vertical="bottom"/>
    </xf>
    <xf numFmtId="0" fontId="0" borderId="43" applyNumberFormat="0" applyFont="1" applyFill="0" applyBorder="1" applyAlignment="1" applyProtection="0">
      <alignment vertical="bottom"/>
    </xf>
    <xf numFmtId="0" fontId="0" borderId="44" applyNumberFormat="0" applyFont="1" applyFill="0" applyBorder="1" applyAlignment="1" applyProtection="0">
      <alignment vertical="bottom"/>
    </xf>
    <xf numFmtId="61" fontId="9" fillId="5" borderId="14" applyNumberFormat="1" applyFont="1" applyFill="1" applyBorder="1" applyAlignment="1" applyProtection="0">
      <alignment vertical="center"/>
    </xf>
    <xf numFmtId="49" fontId="9" fillId="5" borderId="45" applyNumberFormat="1" applyFont="1" applyFill="1" applyBorder="1" applyAlignment="1" applyProtection="0">
      <alignment vertical="center"/>
    </xf>
    <xf numFmtId="49" fontId="9" fillId="5" borderId="45" applyNumberFormat="1" applyFont="1" applyFill="1" applyBorder="1" applyAlignment="1" applyProtection="0">
      <alignment horizontal="right" vertical="center" readingOrder="2"/>
    </xf>
    <xf numFmtId="59" fontId="9" fillId="5" borderId="45" applyNumberFormat="1" applyFont="1" applyFill="1" applyBorder="1" applyAlignment="1" applyProtection="0">
      <alignment vertical="center"/>
    </xf>
    <xf numFmtId="60" fontId="9" fillId="5" borderId="45" applyNumberFormat="1" applyFont="1" applyFill="1" applyBorder="1" applyAlignment="1" applyProtection="0">
      <alignment vertical="center"/>
    </xf>
    <xf numFmtId="59" fontId="9" fillId="5" borderId="15" applyNumberFormat="1" applyFont="1" applyFill="1" applyBorder="1" applyAlignment="1" applyProtection="0">
      <alignment vertical="center"/>
    </xf>
    <xf numFmtId="0" fontId="0" borderId="46" applyNumberFormat="0" applyFont="1" applyFill="0" applyBorder="1" applyAlignment="1" applyProtection="0">
      <alignment vertical="bottom"/>
    </xf>
    <xf numFmtId="61" fontId="9" fillId="6" borderId="47" applyNumberFormat="1" applyFont="1" applyFill="1" applyBorder="1" applyAlignment="1" applyProtection="0">
      <alignment vertical="center"/>
    </xf>
    <xf numFmtId="49" fontId="9" fillId="6" borderId="48" applyNumberFormat="1" applyFont="1" applyFill="1" applyBorder="1" applyAlignment="1" applyProtection="0">
      <alignment vertical="center"/>
    </xf>
    <xf numFmtId="49" fontId="9" fillId="6" borderId="48" applyNumberFormat="1" applyFont="1" applyFill="1" applyBorder="1" applyAlignment="1" applyProtection="0">
      <alignment horizontal="right" vertical="center" readingOrder="2"/>
    </xf>
    <xf numFmtId="59" fontId="9" fillId="6" borderId="48" applyNumberFormat="1" applyFont="1" applyFill="1" applyBorder="1" applyAlignment="1" applyProtection="0">
      <alignment vertical="center"/>
    </xf>
    <xf numFmtId="60" fontId="9" fillId="6" borderId="48" applyNumberFormat="1" applyFont="1" applyFill="1" applyBorder="1" applyAlignment="1" applyProtection="0">
      <alignment vertical="center"/>
    </xf>
    <xf numFmtId="59" fontId="9" fillId="6" borderId="49" applyNumberFormat="1" applyFont="1" applyFill="1" applyBorder="1" applyAlignment="1" applyProtection="0">
      <alignment vertical="center"/>
    </xf>
    <xf numFmtId="61" fontId="9" fillId="5" borderId="17" applyNumberFormat="1" applyFont="1" applyFill="1" applyBorder="1" applyAlignment="1" applyProtection="0">
      <alignment vertical="center"/>
    </xf>
    <xf numFmtId="49" fontId="9" fillId="5" borderId="50" applyNumberFormat="1" applyFont="1" applyFill="1" applyBorder="1" applyAlignment="1" applyProtection="0">
      <alignment vertical="center"/>
    </xf>
    <xf numFmtId="49" fontId="9" fillId="5" borderId="50" applyNumberFormat="1" applyFont="1" applyFill="1" applyBorder="1" applyAlignment="1" applyProtection="0">
      <alignment horizontal="right" vertical="center" readingOrder="2"/>
    </xf>
    <xf numFmtId="59" fontId="9" fillId="5" borderId="50" applyNumberFormat="1" applyFont="1" applyFill="1" applyBorder="1" applyAlignment="1" applyProtection="0">
      <alignment vertical="center"/>
    </xf>
    <xf numFmtId="60" fontId="9" fillId="5" borderId="50" applyNumberFormat="1" applyFont="1" applyFill="1" applyBorder="1" applyAlignment="1" applyProtection="0">
      <alignment vertical="center"/>
    </xf>
    <xf numFmtId="0" fontId="0" borderId="51" applyNumberFormat="0" applyFont="1" applyFill="0" applyBorder="1" applyAlignment="1" applyProtection="0">
      <alignment vertical="bottom"/>
    </xf>
    <xf numFmtId="0" fontId="0" applyNumberFormat="1" applyFont="1" applyFill="0" applyBorder="0" applyAlignment="1" applyProtection="0">
      <alignment vertical="bottom"/>
    </xf>
    <xf numFmtId="49" fontId="8" fillId="4" borderId="11" applyNumberFormat="1" applyFont="1" applyFill="1" applyBorder="1" applyAlignment="1" applyProtection="0">
      <alignment horizontal="center" vertical="center" wrapText="1"/>
    </xf>
    <xf numFmtId="60" fontId="10" fillId="5" borderId="45" applyNumberFormat="1" applyFont="1" applyFill="1" applyBorder="1" applyAlignment="1" applyProtection="0">
      <alignment vertical="center"/>
    </xf>
    <xf numFmtId="49" fontId="9" fillId="5" borderId="15" applyNumberFormat="1" applyFont="1" applyFill="1" applyBorder="1" applyAlignment="1" applyProtection="0">
      <alignment horizontal="right" vertical="center" wrapText="1" readingOrder="2"/>
    </xf>
    <xf numFmtId="49" fontId="9" fillId="6" borderId="47" applyNumberFormat="1" applyFont="1" applyFill="1" applyBorder="1" applyAlignment="1" applyProtection="0">
      <alignment horizontal="right" vertical="center" readingOrder="2"/>
    </xf>
    <xf numFmtId="60" fontId="10" fillId="6" borderId="48" applyNumberFormat="1" applyFont="1" applyFill="1" applyBorder="1" applyAlignment="1" applyProtection="0">
      <alignment vertical="center"/>
    </xf>
    <xf numFmtId="49" fontId="9" fillId="6" borderId="49" applyNumberFormat="1" applyFont="1" applyFill="1" applyBorder="1" applyAlignment="1" applyProtection="0">
      <alignment horizontal="right" vertical="center" wrapText="1" readingOrder="2"/>
    </xf>
    <xf numFmtId="60" fontId="10" fillId="5" borderId="50" applyNumberFormat="1" applyFont="1" applyFill="1" applyBorder="1" applyAlignment="1" applyProtection="0">
      <alignment vertical="center"/>
    </xf>
    <xf numFmtId="49" fontId="9" fillId="5" borderId="18" applyNumberFormat="1" applyFont="1" applyFill="1" applyBorder="1" applyAlignment="1" applyProtection="0">
      <alignment horizontal="right" vertical="center" wrapText="1" readingOrder="2"/>
    </xf>
    <xf numFmtId="0" fontId="9" fillId="5" borderId="50" applyNumberFormat="0" applyFont="1" applyFill="1" applyBorder="1" applyAlignment="1" applyProtection="0">
      <alignment vertical="center"/>
    </xf>
    <xf numFmtId="0" fontId="9" fillId="6" borderId="48" applyNumberFormat="0" applyFont="1" applyFill="1" applyBorder="1" applyAlignment="1" applyProtection="0">
      <alignment vertical="center"/>
    </xf>
    <xf numFmtId="0" fontId="0" applyNumberFormat="1" applyFont="1" applyFill="0" applyBorder="0" applyAlignment="1" applyProtection="0">
      <alignment vertical="bottom"/>
    </xf>
    <xf numFmtId="49" fontId="9" fillId="6" borderId="52" applyNumberFormat="1" applyFont="1" applyFill="1" applyBorder="1" applyAlignment="1" applyProtection="0">
      <alignment horizontal="right" vertical="center" readingOrder="2"/>
    </xf>
    <xf numFmtId="59" fontId="9" fillId="6" borderId="53" applyNumberFormat="1" applyFont="1" applyFill="1" applyBorder="1" applyAlignment="1" applyProtection="0">
      <alignment vertical="center"/>
    </xf>
    <xf numFmtId="60" fontId="10" fillId="6" borderId="53" applyNumberFormat="1" applyFont="1" applyFill="1" applyBorder="1" applyAlignment="1" applyProtection="0">
      <alignment vertical="center"/>
    </xf>
    <xf numFmtId="49" fontId="9" fillId="6" borderId="54" applyNumberFormat="1" applyFont="1" applyFill="1" applyBorder="1" applyAlignment="1" applyProtection="0">
      <alignment horizontal="right" vertical="center" wrapText="1" readingOrder="2"/>
    </xf>
    <xf numFmtId="0" fontId="0" borderId="55" applyNumberFormat="0" applyFont="1" applyFill="0" applyBorder="1" applyAlignment="1" applyProtection="0">
      <alignment vertical="bottom"/>
    </xf>
    <xf numFmtId="49" fontId="11" fillId="7" borderId="56" applyNumberFormat="1" applyFont="1" applyFill="1" applyBorder="1" applyAlignment="1" applyProtection="0">
      <alignment horizontal="right" vertical="center" readingOrder="2"/>
    </xf>
    <xf numFmtId="59" fontId="11" fillId="7" borderId="57" applyNumberFormat="1" applyFont="1" applyFill="1" applyBorder="1" applyAlignment="1" applyProtection="0">
      <alignment vertical="center"/>
    </xf>
    <xf numFmtId="0" fontId="11" fillId="7" borderId="57" applyNumberFormat="0" applyFont="1" applyFill="1" applyBorder="1" applyAlignment="1" applyProtection="0">
      <alignment vertical="center"/>
    </xf>
    <xf numFmtId="49" fontId="11" fillId="7" borderId="58" applyNumberFormat="1" applyFont="1" applyFill="1" applyBorder="1" applyAlignment="1" applyProtection="0">
      <alignment horizontal="right" vertical="center" wrapText="1" readingOrder="2"/>
    </xf>
    <xf numFmtId="0" fontId="0" borderId="59" applyNumberFormat="0" applyFont="1" applyFill="0" applyBorder="1" applyAlignment="1" applyProtection="0">
      <alignment vertical="bottom"/>
    </xf>
    <xf numFmtId="0" fontId="0" borderId="40" applyNumberFormat="0" applyFont="1" applyFill="0" applyBorder="1" applyAlignment="1" applyProtection="0">
      <alignment vertical="bottom"/>
    </xf>
    <xf numFmtId="49" fontId="9" fillId="5" borderId="45" applyNumberFormat="1" applyFont="1" applyFill="1" applyBorder="1" applyAlignment="1" applyProtection="0">
      <alignment horizontal="right" vertical="center" wrapText="1" readingOrder="2"/>
    </xf>
    <xf numFmtId="49" fontId="9" fillId="6" borderId="48" applyNumberFormat="1" applyFont="1" applyFill="1" applyBorder="1" applyAlignment="1" applyProtection="0">
      <alignment horizontal="right" vertical="center" wrapText="1" readingOrder="2"/>
    </xf>
    <xf numFmtId="49" fontId="9" fillId="5" borderId="50" applyNumberFormat="1" applyFont="1" applyFill="1" applyBorder="1" applyAlignment="1" applyProtection="0">
      <alignment horizontal="right" vertical="center" wrapText="1" readingOrder="2"/>
    </xf>
    <xf numFmtId="0" fontId="0" applyNumberFormat="1" applyFont="1" applyFill="0" applyBorder="0" applyAlignment="1" applyProtection="0">
      <alignment vertical="bottom"/>
    </xf>
    <xf numFmtId="0" fontId="9" fillId="5" borderId="45" applyNumberFormat="1" applyFont="1" applyFill="1" applyBorder="1" applyAlignment="1" applyProtection="0">
      <alignment vertical="center"/>
    </xf>
    <xf numFmtId="0" fontId="9" fillId="6" borderId="48" applyNumberFormat="1" applyFont="1" applyFill="1" applyBorder="1" applyAlignment="1" applyProtection="0">
      <alignment vertical="center"/>
    </xf>
    <xf numFmtId="0" fontId="9" fillId="5" borderId="50" applyNumberFormat="1" applyFont="1" applyFill="1" applyBorder="1" applyAlignment="1" applyProtection="0">
      <alignment vertical="center"/>
    </xf>
    <xf numFmtId="49" fontId="9" fillId="5" borderId="17" applyNumberFormat="1" applyFont="1" applyFill="1" applyBorder="1" applyAlignment="1" applyProtection="0">
      <alignment vertical="center"/>
    </xf>
    <xf numFmtId="49" fontId="9" fillId="6" borderId="47" applyNumberFormat="1" applyFont="1" applyFill="1" applyBorder="1" applyAlignment="1" applyProtection="0">
      <alignment vertical="center"/>
    </xf>
    <xf numFmtId="0" fontId="0" applyNumberFormat="1" applyFont="1" applyFill="0" applyBorder="0" applyAlignment="1" applyProtection="0">
      <alignment vertical="bottom"/>
    </xf>
    <xf numFmtId="1" fontId="9" fillId="5" borderId="45" applyNumberFormat="1" applyFont="1" applyFill="1" applyBorder="1" applyAlignment="1" applyProtection="0">
      <alignment vertical="center"/>
    </xf>
    <xf numFmtId="59" fontId="12" fillId="5" borderId="45" applyNumberFormat="1" applyFont="1" applyFill="1" applyBorder="1" applyAlignment="1" applyProtection="0">
      <alignment vertical="center"/>
    </xf>
    <xf numFmtId="49" fontId="12" fillId="5" borderId="45" applyNumberFormat="1" applyFont="1" applyFill="1" applyBorder="1" applyAlignment="1" applyProtection="0">
      <alignment horizontal="right" vertical="center" readingOrder="2"/>
    </xf>
    <xf numFmtId="49" fontId="13" fillId="5" borderId="45" applyNumberFormat="1" applyFont="1" applyFill="1" applyBorder="1" applyAlignment="1" applyProtection="0">
      <alignment horizontal="right" vertical="center" readingOrder="2"/>
    </xf>
    <xf numFmtId="0" fontId="13" fillId="5" borderId="45" applyNumberFormat="0" applyFont="1" applyFill="1" applyBorder="1" applyAlignment="1" applyProtection="0">
      <alignment horizontal="right" vertical="center" readingOrder="2"/>
    </xf>
    <xf numFmtId="59" fontId="13" fillId="5" borderId="45" applyNumberFormat="1" applyFont="1" applyFill="1" applyBorder="1" applyAlignment="1" applyProtection="0">
      <alignment vertical="center"/>
    </xf>
    <xf numFmtId="0" fontId="9" fillId="5" borderId="45" applyNumberFormat="0" applyFont="1" applyFill="1" applyBorder="1" applyAlignment="1" applyProtection="0">
      <alignment vertical="center"/>
    </xf>
    <xf numFmtId="49" fontId="9" fillId="5" borderId="15" applyNumberFormat="1" applyFont="1" applyFill="1" applyBorder="1" applyAlignment="1" applyProtection="0">
      <alignment horizontal="right" vertical="center" readingOrder="2"/>
    </xf>
    <xf numFmtId="1" fontId="9" fillId="6" borderId="48" applyNumberFormat="1" applyFont="1" applyFill="1" applyBorder="1" applyAlignment="1" applyProtection="0">
      <alignment vertical="center"/>
    </xf>
    <xf numFmtId="59" fontId="12" fillId="6" borderId="48" applyNumberFormat="1" applyFont="1" applyFill="1" applyBorder="1" applyAlignment="1" applyProtection="0">
      <alignment vertical="center"/>
    </xf>
    <xf numFmtId="49" fontId="12" fillId="6" borderId="48" applyNumberFormat="1" applyFont="1" applyFill="1" applyBorder="1" applyAlignment="1" applyProtection="0">
      <alignment horizontal="right" vertical="center" readingOrder="2"/>
    </xf>
    <xf numFmtId="49" fontId="13" fillId="6" borderId="48" applyNumberFormat="1" applyFont="1" applyFill="1" applyBorder="1" applyAlignment="1" applyProtection="0">
      <alignment horizontal="right" vertical="center" readingOrder="2"/>
    </xf>
    <xf numFmtId="0" fontId="13" fillId="6" borderId="48" applyNumberFormat="0" applyFont="1" applyFill="1" applyBorder="1" applyAlignment="1" applyProtection="0">
      <alignment horizontal="right" vertical="center" readingOrder="2"/>
    </xf>
    <xf numFmtId="59" fontId="13" fillId="6" borderId="48" applyNumberFormat="1" applyFont="1" applyFill="1" applyBorder="1" applyAlignment="1" applyProtection="0">
      <alignment vertical="center"/>
    </xf>
    <xf numFmtId="49" fontId="9" fillId="6" borderId="49" applyNumberFormat="1" applyFont="1" applyFill="1" applyBorder="1" applyAlignment="1" applyProtection="0">
      <alignment horizontal="right" vertical="center" readingOrder="2"/>
    </xf>
    <xf numFmtId="1" fontId="9" fillId="5" borderId="50" applyNumberFormat="1" applyFont="1" applyFill="1" applyBorder="1" applyAlignment="1" applyProtection="0">
      <alignment vertical="center"/>
    </xf>
    <xf numFmtId="59" fontId="12" fillId="5" borderId="50" applyNumberFormat="1" applyFont="1" applyFill="1" applyBorder="1" applyAlignment="1" applyProtection="0">
      <alignment vertical="center"/>
    </xf>
    <xf numFmtId="49" fontId="12" fillId="5" borderId="50" applyNumberFormat="1" applyFont="1" applyFill="1" applyBorder="1" applyAlignment="1" applyProtection="0">
      <alignment horizontal="right" vertical="center" readingOrder="2"/>
    </xf>
    <xf numFmtId="49" fontId="13" fillId="5" borderId="50" applyNumberFormat="1" applyFont="1" applyFill="1" applyBorder="1" applyAlignment="1" applyProtection="0">
      <alignment horizontal="right" vertical="center" readingOrder="2"/>
    </xf>
    <xf numFmtId="0" fontId="13" fillId="5" borderId="50" applyNumberFormat="0" applyFont="1" applyFill="1" applyBorder="1" applyAlignment="1" applyProtection="0">
      <alignment horizontal="right" vertical="center" readingOrder="2"/>
    </xf>
    <xf numFmtId="59" fontId="13" fillId="5" borderId="50" applyNumberFormat="1" applyFont="1" applyFill="1" applyBorder="1" applyAlignment="1" applyProtection="0">
      <alignment vertical="center"/>
    </xf>
    <xf numFmtId="49" fontId="9" fillId="5" borderId="18" applyNumberFormat="1" applyFont="1" applyFill="1" applyBorder="1" applyAlignment="1" applyProtection="0">
      <alignment horizontal="right" vertical="center" readingOrder="2"/>
    </xf>
    <xf numFmtId="0" fontId="12" fillId="5" borderId="50" applyNumberFormat="0" applyFont="1" applyFill="1" applyBorder="1" applyAlignment="1" applyProtection="0">
      <alignment vertical="center"/>
    </xf>
    <xf numFmtId="0" fontId="12" fillId="6" borderId="48" applyNumberFormat="0" applyFont="1" applyFill="1" applyBorder="1" applyAlignment="1" applyProtection="0">
      <alignment vertical="center"/>
    </xf>
    <xf numFmtId="0" fontId="0" applyNumberFormat="1" applyFont="1" applyFill="0" applyBorder="0" applyAlignment="1" applyProtection="0">
      <alignment vertical="bottom"/>
    </xf>
    <xf numFmtId="0" fontId="9" fillId="5" borderId="45" applyNumberFormat="0" applyFont="1" applyFill="1" applyBorder="1" applyAlignment="1" applyProtection="0">
      <alignment horizontal="right" vertical="center" readingOrder="2"/>
    </xf>
    <xf numFmtId="0" fontId="9" fillId="6" borderId="48" applyNumberFormat="0" applyFont="1" applyFill="1" applyBorder="1" applyAlignment="1" applyProtection="0">
      <alignment horizontal="right" vertical="center" readingOrder="2"/>
    </xf>
    <xf numFmtId="0" fontId="9" fillId="5" borderId="50" applyNumberFormat="0" applyFont="1" applyFill="1" applyBorder="1" applyAlignment="1" applyProtection="0">
      <alignment horizontal="right" vertical="center" readingOrder="2"/>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13" borderId="38" applyNumberFormat="0" applyFont="1" applyFill="0" applyBorder="1" applyAlignment="1" applyProtection="0">
      <alignment vertical="bottom"/>
    </xf>
    <xf numFmtId="0" fontId="9" fillId="5" borderId="14" applyNumberFormat="0" applyFont="1" applyFill="1" applyBorder="1" applyAlignment="1" applyProtection="0">
      <alignment vertical="center"/>
    </xf>
    <xf numFmtId="49" fontId="9" fillId="5" borderId="14" applyNumberFormat="1" applyFont="1" applyFill="1" applyBorder="1" applyAlignment="1" applyProtection="0">
      <alignment horizontal="right" vertical="center" wrapText="1" readingOrder="2"/>
    </xf>
    <xf numFmtId="49" fontId="9" fillId="6" borderId="47" applyNumberFormat="1" applyFont="1" applyFill="1" applyBorder="1" applyAlignment="1" applyProtection="0">
      <alignment horizontal="right" vertical="center" wrapText="1" readingOrder="2"/>
    </xf>
    <xf numFmtId="49" fontId="9" fillId="6" borderId="48" applyNumberFormat="1" applyFont="1" applyFill="1" applyBorder="1" applyAlignment="1" applyProtection="0">
      <alignment vertical="center" wrapText="1"/>
    </xf>
    <xf numFmtId="49" fontId="9" fillId="5" borderId="17" applyNumberFormat="1" applyFont="1" applyFill="1" applyBorder="1" applyAlignment="1" applyProtection="0">
      <alignment horizontal="right" vertical="center" wrapText="1" readingOrder="2"/>
    </xf>
    <xf numFmtId="49" fontId="9" fillId="5" borderId="45" applyNumberFormat="1" applyFont="1" applyFill="1" applyBorder="1" applyAlignment="1" applyProtection="0">
      <alignment vertical="center" wrapText="1"/>
    </xf>
    <xf numFmtId="0" fontId="9" fillId="5" borderId="45" applyNumberFormat="0" applyFont="1" applyFill="1" applyBorder="1" applyAlignment="1" applyProtection="0">
      <alignment vertical="center" wrapText="1"/>
    </xf>
    <xf numFmtId="49" fontId="9" fillId="5" borderId="50" applyNumberFormat="1" applyFont="1" applyFill="1" applyBorder="1" applyAlignment="1" applyProtection="0">
      <alignment vertical="center" wrapText="1"/>
    </xf>
  </cellXfs>
  <cellStyles count="1">
    <cellStyle name="Normal" xfId="0" builtinId="0"/>
  </cellStyles>
  <dxfs count="9">
    <dxf>
      <font>
        <color rgb="ffff0000"/>
      </font>
    </dxf>
    <dxf>
      <font>
        <b val="1"/>
        <color rgb="ff9c6500"/>
      </font>
      <fill>
        <patternFill patternType="solid">
          <fgColor indexed="21"/>
          <bgColor indexed="22"/>
        </patternFill>
      </fill>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1f4e78"/>
      <rgbColor rgb="ff666666"/>
      <rgbColor rgb="ffffffff"/>
      <rgbColor rgb="ff729fb3"/>
      <rgbColor rgb="ff222222"/>
      <rgbColor rgb="ffd0dfe5"/>
      <rgbColor rgb="ffff0000"/>
      <rgbColor rgb="ffd9e2f3"/>
      <rgbColor rgb="00000000"/>
      <rgbColor rgb="fffff2cc"/>
      <rgbColor rgb="ff9c6500"/>
      <rgbColor rgb="ffd9eaf7"/>
      <rgbColor rgb="ff008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64</v>
      </c>
      <c r="C11" s="3"/>
      <c r="D11" s="3"/>
    </row>
    <row r="12">
      <c r="B12" s="4"/>
      <c r="C12" t="s" s="4">
        <v>5</v>
      </c>
      <c r="D12" t="s" s="5">
        <v>64</v>
      </c>
    </row>
    <row r="13">
      <c r="B13" t="s" s="3">
        <v>79</v>
      </c>
      <c r="C13" s="3"/>
      <c r="D13" s="3"/>
    </row>
    <row r="14">
      <c r="B14" s="4"/>
      <c r="C14" t="s" s="4">
        <v>5</v>
      </c>
      <c r="D14" t="s" s="5">
        <v>79</v>
      </c>
    </row>
    <row r="15">
      <c r="B15" t="s" s="3">
        <v>144</v>
      </c>
      <c r="C15" s="3"/>
      <c r="D15" s="3"/>
    </row>
    <row r="16">
      <c r="B16" s="4"/>
      <c r="C16" t="s" s="4">
        <v>5</v>
      </c>
      <c r="D16" t="s" s="5">
        <v>144</v>
      </c>
    </row>
    <row r="17">
      <c r="B17" t="s" s="3">
        <v>185</v>
      </c>
      <c r="C17" s="3"/>
      <c r="D17" s="3"/>
    </row>
    <row r="18">
      <c r="B18" s="4"/>
      <c r="C18" t="s" s="4">
        <v>5</v>
      </c>
      <c r="D18" t="s" s="5">
        <v>185</v>
      </c>
    </row>
    <row r="19">
      <c r="B19" t="s" s="3">
        <v>724</v>
      </c>
      <c r="C19" s="3"/>
      <c r="D19" s="3"/>
    </row>
    <row r="20">
      <c r="B20" s="4"/>
      <c r="C20" t="s" s="4">
        <v>5</v>
      </c>
      <c r="D20" t="s" s="5">
        <v>724</v>
      </c>
    </row>
    <row r="21">
      <c r="B21" t="s" s="3">
        <v>1196</v>
      </c>
      <c r="C21" s="3"/>
      <c r="D21" s="3"/>
    </row>
    <row r="22">
      <c r="B22" s="4"/>
      <c r="C22" t="s" s="4">
        <v>5</v>
      </c>
      <c r="D22" t="s" s="5">
        <v>1196</v>
      </c>
    </row>
    <row r="23">
      <c r="B23" t="s" s="3">
        <v>1207</v>
      </c>
      <c r="C23" s="3"/>
      <c r="D23" s="3"/>
    </row>
    <row r="24">
      <c r="B24" s="4"/>
      <c r="C24" t="s" s="4">
        <v>5</v>
      </c>
      <c r="D24" t="s" s="5">
        <v>1207</v>
      </c>
    </row>
    <row r="25">
      <c r="B25" t="s" s="3">
        <v>1467</v>
      </c>
      <c r="C25" s="3"/>
      <c r="D25" s="3"/>
    </row>
    <row r="26">
      <c r="B26" s="4"/>
      <c r="C26" t="s" s="4">
        <v>5</v>
      </c>
      <c r="D26" t="s" s="5">
        <v>1467</v>
      </c>
    </row>
  </sheetData>
  <mergeCells count="1">
    <mergeCell ref="B3:D3"/>
  </mergeCells>
  <hyperlinks>
    <hyperlink ref="D10" location="'סיכום'!R1C1" tooltip="" display="סיכום"/>
    <hyperlink ref="D12" location="'ניתוח חודשי'!R1C1" tooltip="" display="ניתוח חודשי"/>
    <hyperlink ref="D14" location="'ניתוח קטגוריות'!R1C1" tooltip="" display="ניתוח קטגוריות"/>
    <hyperlink ref="D16" location="'המלצות'!R1C1" tooltip="" display="המלצות"/>
    <hyperlink ref="D18" location="'בתי עסק'!R1C1" tooltip="" display="בתי עסק"/>
    <hyperlink ref="D20" location="'עסקאות'!R1C1" tooltip="" display="עסקאות"/>
    <hyperlink ref="D22" location="'הכנסות'!R1C1" tooltip="" display="הכנסות"/>
    <hyperlink ref="D24" location="'פירוט חופשות'!R1C1" tooltip="" display="פירוט חופשות"/>
    <hyperlink ref="D26" location="'מיפוי ומקורות'!R1C1" tooltip="" display="מיפוי ומקורות"/>
  </hyperlinks>
</worksheet>
</file>

<file path=xl/worksheets/sheet2.xml><?xml version="1.0" encoding="utf-8"?>
<worksheet xmlns:r="http://schemas.openxmlformats.org/officeDocument/2006/relationships" xmlns="http://schemas.openxmlformats.org/spreadsheetml/2006/main">
  <dimension ref="A1:N42"/>
  <sheetViews>
    <sheetView workbookViewId="0" showGridLines="0" defaultGridColor="1"/>
  </sheetViews>
  <sheetFormatPr defaultColWidth="8.83333" defaultRowHeight="15" customHeight="1" outlineLevelRow="0" outlineLevelCol="0"/>
  <cols>
    <col min="1" max="1" width="2" style="6" customWidth="1"/>
    <col min="2" max="2" width="28" style="6" customWidth="1"/>
    <col min="3" max="4" width="18" style="6" customWidth="1"/>
    <col min="5" max="5" width="3" style="6" customWidth="1"/>
    <col min="6" max="6" width="14" style="6" customWidth="1"/>
    <col min="7" max="8" width="17" style="6" customWidth="1"/>
    <col min="9" max="9" width="3" style="6" customWidth="1"/>
    <col min="10" max="10" width="7" style="6" customWidth="1"/>
    <col min="11" max="11" width="26" style="6" customWidth="1"/>
    <col min="12" max="12" width="62" style="6" customWidth="1"/>
    <col min="13" max="14" width="8.85156" style="6" customWidth="1"/>
    <col min="15" max="16384" width="8.85156" style="6" customWidth="1"/>
  </cols>
  <sheetData>
    <row r="1" ht="15" customHeight="1">
      <c r="A1" s="7"/>
      <c r="B1" s="8"/>
      <c r="C1" s="8"/>
      <c r="D1" s="8"/>
      <c r="E1" s="8"/>
      <c r="F1" s="8"/>
      <c r="G1" s="8"/>
      <c r="H1" s="8"/>
      <c r="I1" s="8"/>
      <c r="J1" s="8"/>
      <c r="K1" s="8"/>
      <c r="L1" s="8"/>
      <c r="M1" s="8"/>
      <c r="N1" s="9"/>
    </row>
    <row r="2" ht="20.45" customHeight="1">
      <c r="A2" s="10"/>
      <c r="B2" t="s" s="11">
        <v>6</v>
      </c>
      <c r="C2" s="12"/>
      <c r="D2" s="12"/>
      <c r="E2" s="12"/>
      <c r="F2" s="12"/>
      <c r="G2" s="12"/>
      <c r="H2" s="12"/>
      <c r="I2" s="12"/>
      <c r="J2" s="12"/>
      <c r="K2" s="12"/>
      <c r="L2" s="12"/>
      <c r="M2" s="12"/>
      <c r="N2" s="13"/>
    </row>
    <row r="3" ht="15" customHeight="1">
      <c r="A3" s="10"/>
      <c r="B3" t="s" s="14">
        <v>7</v>
      </c>
      <c r="C3" s="15"/>
      <c r="D3" s="15"/>
      <c r="E3" s="15"/>
      <c r="F3" s="15"/>
      <c r="G3" s="15"/>
      <c r="H3" s="15"/>
      <c r="I3" s="15"/>
      <c r="J3" s="15"/>
      <c r="K3" s="15"/>
      <c r="L3" s="15"/>
      <c r="M3" s="15"/>
      <c r="N3" s="13"/>
    </row>
    <row r="4" ht="15" customHeight="1">
      <c r="A4" s="10"/>
      <c r="B4" s="16"/>
      <c r="C4" s="16"/>
      <c r="D4" s="16"/>
      <c r="E4" s="16"/>
      <c r="F4" s="16"/>
      <c r="G4" s="16"/>
      <c r="H4" s="16"/>
      <c r="I4" s="16"/>
      <c r="J4" s="16"/>
      <c r="K4" s="16"/>
      <c r="L4" s="16"/>
      <c r="M4" s="16"/>
      <c r="N4" s="13"/>
    </row>
    <row r="5" ht="15" customHeight="1">
      <c r="A5" s="10"/>
      <c r="B5" s="17"/>
      <c r="C5" s="17"/>
      <c r="D5" s="16"/>
      <c r="E5" s="16"/>
      <c r="F5" s="16"/>
      <c r="G5" s="16"/>
      <c r="H5" s="16"/>
      <c r="I5" s="16"/>
      <c r="J5" s="16"/>
      <c r="K5" s="16"/>
      <c r="L5" s="16"/>
      <c r="M5" s="16"/>
      <c r="N5" s="13"/>
    </row>
    <row r="6" ht="15" customHeight="1">
      <c r="A6" s="18"/>
      <c r="B6" t="s" s="19">
        <v>8</v>
      </c>
      <c r="C6" t="s" s="19">
        <v>9</v>
      </c>
      <c r="D6" s="20"/>
      <c r="E6" s="16"/>
      <c r="F6" s="16"/>
      <c r="G6" s="16"/>
      <c r="H6" s="16"/>
      <c r="I6" s="16"/>
      <c r="J6" s="16"/>
      <c r="K6" s="16"/>
      <c r="L6" s="16"/>
      <c r="M6" s="16"/>
      <c r="N6" s="13"/>
    </row>
    <row r="7" ht="15" customHeight="1">
      <c r="A7" s="21"/>
      <c r="B7" t="s" s="22">
        <v>10</v>
      </c>
      <c r="C7" s="23">
        <v>20</v>
      </c>
      <c r="D7" s="24"/>
      <c r="E7" s="16"/>
      <c r="F7" s="16"/>
      <c r="G7" s="16"/>
      <c r="H7" s="16"/>
      <c r="I7" s="16"/>
      <c r="J7" s="16"/>
      <c r="K7" s="16"/>
      <c r="L7" s="16"/>
      <c r="M7" s="16"/>
      <c r="N7" s="13"/>
    </row>
    <row r="8" ht="15" customHeight="1">
      <c r="A8" s="21"/>
      <c r="B8" t="s" s="25">
        <v>11</v>
      </c>
      <c r="C8" s="26">
        <v>1957</v>
      </c>
      <c r="D8" s="24"/>
      <c r="E8" s="16"/>
      <c r="F8" s="16"/>
      <c r="G8" s="16"/>
      <c r="H8" s="16"/>
      <c r="I8" s="16"/>
      <c r="J8" s="16"/>
      <c r="K8" s="16"/>
      <c r="L8" s="16"/>
      <c r="M8" s="16"/>
      <c r="N8" s="13"/>
    </row>
    <row r="9" ht="15" customHeight="1">
      <c r="A9" s="21"/>
      <c r="B9" t="s" s="27">
        <v>12</v>
      </c>
      <c r="C9" s="28">
        <v>733923</v>
      </c>
      <c r="D9" s="24"/>
      <c r="E9" s="16"/>
      <c r="F9" s="16"/>
      <c r="G9" s="16"/>
      <c r="H9" s="16"/>
      <c r="I9" s="16"/>
      <c r="J9" s="16"/>
      <c r="K9" s="16"/>
      <c r="L9" s="16"/>
      <c r="M9" s="16"/>
      <c r="N9" s="13"/>
    </row>
    <row r="10" ht="15" customHeight="1">
      <c r="A10" s="21"/>
      <c r="B10" t="s" s="25">
        <v>13</v>
      </c>
      <c r="C10" s="29">
        <v>819305</v>
      </c>
      <c r="D10" s="24"/>
      <c r="E10" s="16"/>
      <c r="F10" s="16"/>
      <c r="G10" s="16"/>
      <c r="H10" s="16"/>
      <c r="I10" s="16"/>
      <c r="J10" s="16"/>
      <c r="K10" s="16"/>
      <c r="L10" s="16"/>
      <c r="M10" s="16"/>
      <c r="N10" s="13"/>
    </row>
    <row r="11" ht="15" customHeight="1">
      <c r="A11" s="21"/>
      <c r="B11" t="s" s="27">
        <v>14</v>
      </c>
      <c r="C11" s="28">
        <v>22579.05</v>
      </c>
      <c r="D11" s="24"/>
      <c r="E11" s="16"/>
      <c r="F11" s="16"/>
      <c r="G11" s="16"/>
      <c r="H11" s="16"/>
      <c r="I11" s="16"/>
      <c r="J11" s="16"/>
      <c r="K11" s="16"/>
      <c r="L11" s="16"/>
      <c r="M11" s="16"/>
      <c r="N11" s="13"/>
    </row>
    <row r="12" ht="15" customHeight="1">
      <c r="A12" s="21"/>
      <c r="B12" t="s" s="25">
        <v>15</v>
      </c>
      <c r="C12" s="29">
        <v>11289.525</v>
      </c>
      <c r="D12" s="24"/>
      <c r="E12" s="16"/>
      <c r="F12" s="16"/>
      <c r="G12" s="16"/>
      <c r="H12" s="16"/>
      <c r="I12" s="16"/>
      <c r="J12" s="16"/>
      <c r="K12" s="16"/>
      <c r="L12" s="16"/>
      <c r="M12" s="16"/>
      <c r="N12" s="13"/>
    </row>
    <row r="13" ht="15" customHeight="1">
      <c r="A13" s="21"/>
      <c r="B13" t="s" s="27">
        <v>16</v>
      </c>
      <c r="C13" s="28">
        <v>1725864</v>
      </c>
      <c r="D13" s="24"/>
      <c r="E13" s="16"/>
      <c r="F13" s="16"/>
      <c r="G13" s="16"/>
      <c r="H13" s="16"/>
      <c r="I13" s="16"/>
      <c r="J13" s="16"/>
      <c r="K13" s="16"/>
      <c r="L13" s="16"/>
      <c r="M13" s="16"/>
      <c r="N13" s="13"/>
    </row>
    <row r="14" ht="15" customHeight="1">
      <c r="A14" s="21"/>
      <c r="B14" t="s" s="25">
        <v>17</v>
      </c>
      <c r="C14" s="29">
        <v>906559</v>
      </c>
      <c r="D14" s="24"/>
      <c r="E14" s="16"/>
      <c r="F14" s="16"/>
      <c r="G14" s="16"/>
      <c r="H14" s="16"/>
      <c r="I14" s="16"/>
      <c r="J14" s="16"/>
      <c r="K14" s="16"/>
      <c r="L14" s="16"/>
      <c r="M14" s="16"/>
      <c r="N14" s="13"/>
    </row>
    <row r="15" ht="15" customHeight="1">
      <c r="A15" s="10"/>
      <c r="B15" s="30"/>
      <c r="C15" s="30"/>
      <c r="D15" s="16"/>
      <c r="E15" s="16"/>
      <c r="F15" s="16"/>
      <c r="G15" s="16"/>
      <c r="H15" s="16"/>
      <c r="I15" s="16"/>
      <c r="J15" s="16"/>
      <c r="K15" s="16"/>
      <c r="L15" s="16"/>
      <c r="M15" s="16"/>
      <c r="N15" s="13"/>
    </row>
    <row r="16" ht="15" customHeight="1">
      <c r="A16" s="10"/>
      <c r="B16" s="31"/>
      <c r="C16" s="31"/>
      <c r="D16" s="31"/>
      <c r="E16" s="16"/>
      <c r="F16" s="16"/>
      <c r="G16" s="16"/>
      <c r="H16" s="16"/>
      <c r="I16" s="16"/>
      <c r="J16" s="16"/>
      <c r="K16" s="16"/>
      <c r="L16" s="16"/>
      <c r="M16" s="16"/>
      <c r="N16" s="13"/>
    </row>
    <row r="17" ht="15" customHeight="1">
      <c r="A17" s="32"/>
      <c r="B17" t="s" s="33">
        <v>18</v>
      </c>
      <c r="C17" t="s" s="34">
        <v>19</v>
      </c>
      <c r="D17" t="s" s="35">
        <v>20</v>
      </c>
      <c r="E17" s="36"/>
      <c r="F17" s="16"/>
      <c r="G17" s="16"/>
      <c r="H17" s="16"/>
      <c r="I17" s="16"/>
      <c r="J17" s="16"/>
      <c r="K17" s="16"/>
      <c r="L17" s="16"/>
      <c r="M17" s="16"/>
      <c r="N17" s="13"/>
    </row>
    <row r="18" ht="15" customHeight="1">
      <c r="A18" s="32"/>
      <c r="B18" t="s" s="37">
        <v>21</v>
      </c>
      <c r="C18" s="38">
        <v>22559</v>
      </c>
      <c r="D18" s="39">
        <v>22609.125</v>
      </c>
      <c r="E18" s="36"/>
      <c r="F18" s="16"/>
      <c r="G18" s="16"/>
      <c r="H18" s="16"/>
      <c r="I18" s="16"/>
      <c r="J18" s="16"/>
      <c r="K18" s="16"/>
      <c r="L18" s="16"/>
      <c r="M18" s="16"/>
      <c r="N18" s="13"/>
    </row>
    <row r="19" ht="15" customHeight="1">
      <c r="A19" s="32"/>
      <c r="B19" t="s" s="40">
        <v>22</v>
      </c>
      <c r="C19" s="41">
        <v>11279.5</v>
      </c>
      <c r="D19" s="42">
        <v>11304.5625</v>
      </c>
      <c r="E19" s="36"/>
      <c r="F19" s="16"/>
      <c r="G19" s="16"/>
      <c r="H19" s="16"/>
      <c r="I19" s="16"/>
      <c r="J19" s="16"/>
      <c r="K19" s="16"/>
      <c r="L19" s="16"/>
      <c r="M19" s="16"/>
      <c r="N19" s="13"/>
    </row>
    <row r="20" ht="15" customHeight="1">
      <c r="A20" s="32"/>
      <c r="B20" t="s" s="43">
        <v>23</v>
      </c>
      <c r="C20" s="44"/>
      <c r="D20" s="45">
        <v>0.00222195132762981</v>
      </c>
      <c r="E20" s="36"/>
      <c r="F20" s="16"/>
      <c r="G20" s="16"/>
      <c r="H20" s="16"/>
      <c r="I20" s="16"/>
      <c r="J20" s="16"/>
      <c r="K20" s="16"/>
      <c r="L20" s="16"/>
      <c r="M20" s="16"/>
      <c r="N20" s="13"/>
    </row>
    <row r="21" ht="15" customHeight="1">
      <c r="A21" s="10"/>
      <c r="B21" s="46"/>
      <c r="C21" s="46"/>
      <c r="D21" s="46"/>
      <c r="E21" s="16"/>
      <c r="F21" s="17"/>
      <c r="G21" s="17"/>
      <c r="H21" s="17"/>
      <c r="I21" s="16"/>
      <c r="J21" s="17"/>
      <c r="K21" s="17"/>
      <c r="L21" s="17"/>
      <c r="M21" s="16"/>
      <c r="N21" s="13"/>
    </row>
    <row r="22" ht="15" customHeight="1">
      <c r="A22" s="10"/>
      <c r="B22" s="16"/>
      <c r="C22" s="16"/>
      <c r="D22" s="16"/>
      <c r="E22" s="47"/>
      <c r="F22" t="s" s="19">
        <v>24</v>
      </c>
      <c r="G22" t="s" s="19">
        <v>13</v>
      </c>
      <c r="H22" t="s" s="19">
        <v>25</v>
      </c>
      <c r="I22" s="48"/>
      <c r="J22" t="s" s="19">
        <v>26</v>
      </c>
      <c r="K22" t="s" s="19">
        <v>27</v>
      </c>
      <c r="L22" t="s" s="19">
        <v>28</v>
      </c>
      <c r="M22" s="20"/>
      <c r="N22" s="13"/>
    </row>
    <row r="23" ht="15" customHeight="1">
      <c r="A23" s="10"/>
      <c r="B23" s="16"/>
      <c r="C23" s="16"/>
      <c r="D23" s="16"/>
      <c r="E23" s="16"/>
      <c r="F23" t="s" s="49">
        <v>29</v>
      </c>
      <c r="G23" s="38">
        <v>43507</v>
      </c>
      <c r="H23" s="38">
        <v>23605</v>
      </c>
      <c r="I23" s="16"/>
      <c r="J23" t="s" s="50">
        <v>30</v>
      </c>
      <c r="K23" t="s" s="51">
        <v>31</v>
      </c>
      <c r="L23" t="s" s="52">
        <v>32</v>
      </c>
      <c r="M23" s="16"/>
      <c r="N23" s="13"/>
    </row>
    <row r="24" ht="24.65" customHeight="1">
      <c r="A24" s="10"/>
      <c r="B24" s="16"/>
      <c r="C24" s="16"/>
      <c r="D24" s="16"/>
      <c r="E24" s="16"/>
      <c r="F24" t="s" s="53">
        <v>33</v>
      </c>
      <c r="G24" s="41">
        <v>55680</v>
      </c>
      <c r="H24" s="41">
        <v>23441</v>
      </c>
      <c r="I24" s="16"/>
      <c r="J24" t="s" s="54">
        <v>34</v>
      </c>
      <c r="K24" t="s" s="55">
        <v>35</v>
      </c>
      <c r="L24" t="s" s="55">
        <v>36</v>
      </c>
      <c r="M24" s="16"/>
      <c r="N24" s="13"/>
    </row>
    <row r="25" ht="15" customHeight="1">
      <c r="A25" s="10"/>
      <c r="B25" s="16"/>
      <c r="C25" s="16"/>
      <c r="D25" s="16"/>
      <c r="E25" s="16"/>
      <c r="F25" t="s" s="53">
        <v>37</v>
      </c>
      <c r="G25" s="41">
        <v>56799</v>
      </c>
      <c r="H25" s="41">
        <v>28602</v>
      </c>
      <c r="I25" s="16"/>
      <c r="J25" t="s" s="54">
        <v>38</v>
      </c>
      <c r="K25" t="s" s="55">
        <v>39</v>
      </c>
      <c r="L25" t="s" s="55">
        <v>40</v>
      </c>
      <c r="M25" s="16"/>
      <c r="N25" s="13"/>
    </row>
    <row r="26" ht="24.65" customHeight="1">
      <c r="A26" s="10"/>
      <c r="B26" s="16"/>
      <c r="C26" s="16"/>
      <c r="D26" s="16"/>
      <c r="E26" s="16"/>
      <c r="F26" t="s" s="53">
        <v>41</v>
      </c>
      <c r="G26" s="41">
        <v>38753</v>
      </c>
      <c r="H26" s="41">
        <v>24197</v>
      </c>
      <c r="I26" s="16"/>
      <c r="J26" t="s" s="54">
        <v>42</v>
      </c>
      <c r="K26" t="s" s="55">
        <v>43</v>
      </c>
      <c r="L26" t="s" s="55">
        <v>44</v>
      </c>
      <c r="M26" s="16"/>
      <c r="N26" s="13"/>
    </row>
    <row r="27" ht="24.65" customHeight="1">
      <c r="A27" s="10"/>
      <c r="B27" s="16"/>
      <c r="C27" s="16"/>
      <c r="D27" s="16"/>
      <c r="E27" s="16"/>
      <c r="F27" t="s" s="53">
        <v>45</v>
      </c>
      <c r="G27" s="41">
        <v>78552</v>
      </c>
      <c r="H27" s="41">
        <v>16883</v>
      </c>
      <c r="I27" s="16"/>
      <c r="J27" t="s" s="54">
        <v>46</v>
      </c>
      <c r="K27" t="s" s="55">
        <v>47</v>
      </c>
      <c r="L27" t="s" s="55">
        <v>48</v>
      </c>
      <c r="M27" s="16"/>
      <c r="N27" s="13"/>
    </row>
    <row r="28" ht="15" customHeight="1">
      <c r="A28" s="10"/>
      <c r="B28" s="16"/>
      <c r="C28" s="16"/>
      <c r="D28" s="16"/>
      <c r="E28" s="16"/>
      <c r="F28" t="s" s="53">
        <v>49</v>
      </c>
      <c r="G28" s="41">
        <v>31005</v>
      </c>
      <c r="H28" s="41">
        <v>23150</v>
      </c>
      <c r="I28" s="16"/>
      <c r="J28" s="16"/>
      <c r="K28" s="16"/>
      <c r="L28" s="16"/>
      <c r="M28" s="16"/>
      <c r="N28" s="13"/>
    </row>
    <row r="29" ht="15" customHeight="1">
      <c r="A29" s="10"/>
      <c r="B29" s="16"/>
      <c r="C29" s="16"/>
      <c r="D29" s="16"/>
      <c r="E29" s="16"/>
      <c r="F29" t="s" s="53">
        <v>50</v>
      </c>
      <c r="G29" s="41">
        <v>36910</v>
      </c>
      <c r="H29" s="41">
        <v>13450</v>
      </c>
      <c r="I29" s="16"/>
      <c r="J29" s="16"/>
      <c r="K29" s="16"/>
      <c r="L29" s="16"/>
      <c r="M29" s="16"/>
      <c r="N29" s="13"/>
    </row>
    <row r="30" ht="15" customHeight="1">
      <c r="A30" s="10"/>
      <c r="B30" s="16"/>
      <c r="C30" s="16"/>
      <c r="D30" s="16"/>
      <c r="E30" s="16"/>
      <c r="F30" t="s" s="53">
        <v>51</v>
      </c>
      <c r="G30" s="41">
        <v>33987</v>
      </c>
      <c r="H30" s="41">
        <v>21360</v>
      </c>
      <c r="I30" s="16"/>
      <c r="J30" s="16"/>
      <c r="K30" s="16"/>
      <c r="L30" s="16"/>
      <c r="M30" s="16"/>
      <c r="N30" s="13"/>
    </row>
    <row r="31" ht="15" customHeight="1">
      <c r="A31" s="10"/>
      <c r="B31" s="16"/>
      <c r="C31" s="16"/>
      <c r="D31" s="16"/>
      <c r="E31" s="16"/>
      <c r="F31" t="s" s="53">
        <v>52</v>
      </c>
      <c r="G31" s="41">
        <v>33640</v>
      </c>
      <c r="H31" s="41">
        <v>26039</v>
      </c>
      <c r="I31" s="16"/>
      <c r="J31" s="16"/>
      <c r="K31" s="16"/>
      <c r="L31" s="16"/>
      <c r="M31" s="16"/>
      <c r="N31" s="13"/>
    </row>
    <row r="32" ht="15" customHeight="1">
      <c r="A32" s="10"/>
      <c r="B32" s="16"/>
      <c r="C32" s="16"/>
      <c r="D32" s="16"/>
      <c r="E32" s="16"/>
      <c r="F32" t="s" s="53">
        <v>53</v>
      </c>
      <c r="G32" s="41">
        <v>44496</v>
      </c>
      <c r="H32" s="41">
        <v>18846</v>
      </c>
      <c r="I32" s="16"/>
      <c r="J32" s="16"/>
      <c r="K32" s="16"/>
      <c r="L32" s="16"/>
      <c r="M32" s="16"/>
      <c r="N32" s="13"/>
    </row>
    <row r="33" ht="15" customHeight="1">
      <c r="A33" s="10"/>
      <c r="B33" s="16"/>
      <c r="C33" s="16"/>
      <c r="D33" s="16"/>
      <c r="E33" s="16"/>
      <c r="F33" t="s" s="53">
        <v>54</v>
      </c>
      <c r="G33" s="41">
        <v>32456</v>
      </c>
      <c r="H33" s="41">
        <v>22159</v>
      </c>
      <c r="I33" s="16"/>
      <c r="J33" s="16"/>
      <c r="K33" s="16"/>
      <c r="L33" s="16"/>
      <c r="M33" s="16"/>
      <c r="N33" s="13"/>
    </row>
    <row r="34" ht="15" customHeight="1">
      <c r="A34" s="10"/>
      <c r="B34" s="16"/>
      <c r="C34" s="16"/>
      <c r="D34" s="16"/>
      <c r="E34" s="16"/>
      <c r="F34" t="s" s="53">
        <v>55</v>
      </c>
      <c r="G34" s="41">
        <v>47902</v>
      </c>
      <c r="H34" s="41">
        <v>28976</v>
      </c>
      <c r="I34" s="16"/>
      <c r="J34" s="16"/>
      <c r="K34" s="16"/>
      <c r="L34" s="16"/>
      <c r="M34" s="16"/>
      <c r="N34" s="13"/>
    </row>
    <row r="35" ht="15" customHeight="1">
      <c r="A35" s="10"/>
      <c r="B35" s="16"/>
      <c r="C35" s="16"/>
      <c r="D35" s="16"/>
      <c r="E35" s="16"/>
      <c r="F35" t="s" s="53">
        <v>56</v>
      </c>
      <c r="G35" s="41">
        <v>27251</v>
      </c>
      <c r="H35" s="41">
        <v>21001</v>
      </c>
      <c r="I35" s="16"/>
      <c r="J35" s="16"/>
      <c r="K35" s="16"/>
      <c r="L35" s="16"/>
      <c r="M35" s="16"/>
      <c r="N35" s="13"/>
    </row>
    <row r="36" ht="15" customHeight="1">
      <c r="A36" s="10"/>
      <c r="B36" s="16"/>
      <c r="C36" s="16"/>
      <c r="D36" s="16"/>
      <c r="E36" s="16"/>
      <c r="F36" t="s" s="53">
        <v>57</v>
      </c>
      <c r="G36" s="41">
        <v>26956</v>
      </c>
      <c r="H36" s="41">
        <v>20873</v>
      </c>
      <c r="I36" s="16"/>
      <c r="J36" s="16"/>
      <c r="K36" s="16"/>
      <c r="L36" s="16"/>
      <c r="M36" s="16"/>
      <c r="N36" s="13"/>
    </row>
    <row r="37" ht="15" customHeight="1">
      <c r="A37" s="10"/>
      <c r="B37" s="16"/>
      <c r="C37" s="16"/>
      <c r="D37" s="16"/>
      <c r="E37" s="16"/>
      <c r="F37" t="s" s="53">
        <v>58</v>
      </c>
      <c r="G37" s="41">
        <v>30147</v>
      </c>
      <c r="H37" s="41">
        <v>23144</v>
      </c>
      <c r="I37" s="16"/>
      <c r="J37" s="16"/>
      <c r="K37" s="16"/>
      <c r="L37" s="16"/>
      <c r="M37" s="16"/>
      <c r="N37" s="13"/>
    </row>
    <row r="38" ht="15" customHeight="1">
      <c r="A38" s="10"/>
      <c r="B38" s="16"/>
      <c r="C38" s="16"/>
      <c r="D38" s="16"/>
      <c r="E38" s="16"/>
      <c r="F38" t="s" s="53">
        <v>59</v>
      </c>
      <c r="G38" s="41">
        <v>32684</v>
      </c>
      <c r="H38" s="41">
        <v>24902</v>
      </c>
      <c r="I38" s="16"/>
      <c r="J38" s="16"/>
      <c r="K38" s="16"/>
      <c r="L38" s="16"/>
      <c r="M38" s="16"/>
      <c r="N38" s="13"/>
    </row>
    <row r="39" ht="15" customHeight="1">
      <c r="A39" s="10"/>
      <c r="B39" s="16"/>
      <c r="C39" s="16"/>
      <c r="D39" s="16"/>
      <c r="E39" s="16"/>
      <c r="F39" t="s" s="53">
        <v>60</v>
      </c>
      <c r="G39" s="41">
        <v>33320</v>
      </c>
      <c r="H39" s="41">
        <v>22338</v>
      </c>
      <c r="I39" s="16"/>
      <c r="J39" s="16"/>
      <c r="K39" s="16"/>
      <c r="L39" s="16"/>
      <c r="M39" s="16"/>
      <c r="N39" s="13"/>
    </row>
    <row r="40" ht="15" customHeight="1">
      <c r="A40" s="10"/>
      <c r="B40" s="16"/>
      <c r="C40" s="16"/>
      <c r="D40" s="16"/>
      <c r="E40" s="16"/>
      <c r="F40" t="s" s="53">
        <v>61</v>
      </c>
      <c r="G40" s="41">
        <v>54758</v>
      </c>
      <c r="H40" s="41">
        <v>18571</v>
      </c>
      <c r="I40" s="16"/>
      <c r="J40" s="16"/>
      <c r="K40" s="16"/>
      <c r="L40" s="16"/>
      <c r="M40" s="16"/>
      <c r="N40" s="13"/>
    </row>
    <row r="41" ht="15" customHeight="1">
      <c r="A41" s="10"/>
      <c r="B41" s="16"/>
      <c r="C41" s="16"/>
      <c r="D41" s="16"/>
      <c r="E41" s="16"/>
      <c r="F41" t="s" s="53">
        <v>62</v>
      </c>
      <c r="G41" s="41">
        <v>45952</v>
      </c>
      <c r="H41" s="41">
        <v>23205</v>
      </c>
      <c r="I41" s="16"/>
      <c r="J41" s="16"/>
      <c r="K41" s="16"/>
      <c r="L41" s="16"/>
      <c r="M41" s="16"/>
      <c r="N41" s="13"/>
    </row>
    <row r="42" ht="15" customHeight="1">
      <c r="A42" s="56"/>
      <c r="B42" s="57"/>
      <c r="C42" s="57"/>
      <c r="D42" s="57"/>
      <c r="E42" s="57"/>
      <c r="F42" t="s" s="58">
        <v>63</v>
      </c>
      <c r="G42" s="59">
        <v>34550</v>
      </c>
      <c r="H42" s="59">
        <v>26839</v>
      </c>
      <c r="I42" s="57"/>
      <c r="J42" s="57"/>
      <c r="K42" s="57"/>
      <c r="L42" s="57"/>
      <c r="M42" s="57"/>
      <c r="N42" s="60"/>
    </row>
  </sheetData>
  <conditionalFormatting sqref="C9:C14 C18:D19 D20 G23:H42">
    <cfRule type="cellIs" dxfId="0"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N27"/>
  <sheetViews>
    <sheetView workbookViewId="0" showGridLines="0" defaultGridColor="1"/>
  </sheetViews>
  <sheetFormatPr defaultColWidth="8.83333" defaultRowHeight="15" customHeight="1" outlineLevelRow="0" outlineLevelCol="0"/>
  <cols>
    <col min="1" max="1" width="2" style="61" customWidth="1"/>
    <col min="2" max="2" width="14" style="61" customWidth="1"/>
    <col min="3" max="3" width="12" style="61" customWidth="1"/>
    <col min="4" max="4" width="11" style="61" customWidth="1"/>
    <col min="5" max="13" width="16" style="61" customWidth="1"/>
    <col min="14" max="14" width="8.85156" style="61" customWidth="1"/>
    <col min="15" max="16384" width="8.85156" style="61" customWidth="1"/>
  </cols>
  <sheetData>
    <row r="1" ht="13.55" customHeight="1">
      <c r="A1" s="62"/>
      <c r="B1" s="62"/>
      <c r="C1" s="62"/>
      <c r="D1" s="62"/>
      <c r="E1" s="62"/>
      <c r="F1" s="62"/>
      <c r="G1" s="62"/>
      <c r="H1" s="62"/>
      <c r="I1" s="62"/>
      <c r="J1" s="62"/>
      <c r="K1" s="62"/>
      <c r="L1" s="62"/>
      <c r="M1" s="62"/>
      <c r="N1" s="62"/>
    </row>
    <row r="2" ht="20.45" customHeight="1">
      <c r="A2" s="62"/>
      <c r="B2" t="s" s="63">
        <v>64</v>
      </c>
      <c r="C2" s="64"/>
      <c r="D2" s="64"/>
      <c r="E2" s="64"/>
      <c r="F2" s="64"/>
      <c r="G2" s="64"/>
      <c r="H2" s="64"/>
      <c r="I2" s="64"/>
      <c r="J2" s="64"/>
      <c r="K2" s="64"/>
      <c r="L2" s="64"/>
      <c r="M2" s="64"/>
      <c r="N2" s="62"/>
    </row>
    <row r="3" ht="13.65" customHeight="1">
      <c r="A3" s="62"/>
      <c r="B3" t="s" s="65">
        <v>65</v>
      </c>
      <c r="C3" s="66"/>
      <c r="D3" s="66"/>
      <c r="E3" s="66"/>
      <c r="F3" s="66"/>
      <c r="G3" s="66"/>
      <c r="H3" s="66"/>
      <c r="I3" s="66"/>
      <c r="J3" s="66"/>
      <c r="K3" s="66"/>
      <c r="L3" s="66"/>
      <c r="M3" s="66"/>
      <c r="N3" s="62"/>
    </row>
    <row r="4" ht="13.55" customHeight="1">
      <c r="A4" s="62"/>
      <c r="B4" s="62"/>
      <c r="C4" s="62"/>
      <c r="D4" s="62"/>
      <c r="E4" s="62"/>
      <c r="F4" s="62"/>
      <c r="G4" s="62"/>
      <c r="H4" s="62"/>
      <c r="I4" s="62"/>
      <c r="J4" s="62"/>
      <c r="K4" s="62"/>
      <c r="L4" s="62"/>
      <c r="M4" s="62"/>
      <c r="N4" s="62"/>
    </row>
    <row r="5" ht="13.55" customHeight="1">
      <c r="A5" s="62"/>
      <c r="B5" s="67"/>
      <c r="C5" s="67"/>
      <c r="D5" s="67"/>
      <c r="E5" s="67"/>
      <c r="F5" s="67"/>
      <c r="G5" s="67"/>
      <c r="H5" s="67"/>
      <c r="I5" s="67"/>
      <c r="J5" s="67"/>
      <c r="K5" s="67"/>
      <c r="L5" s="67"/>
      <c r="M5" s="67"/>
      <c r="N5" s="62"/>
    </row>
    <row r="6" ht="24.65" customHeight="1">
      <c r="A6" s="68"/>
      <c r="B6" t="s" s="19">
        <v>66</v>
      </c>
      <c r="C6" t="s" s="19">
        <v>24</v>
      </c>
      <c r="D6" t="s" s="19">
        <v>67</v>
      </c>
      <c r="E6" t="s" s="19">
        <v>68</v>
      </c>
      <c r="F6" t="s" s="19">
        <v>69</v>
      </c>
      <c r="G6" t="s" s="19">
        <v>70</v>
      </c>
      <c r="H6" t="s" s="19">
        <v>71</v>
      </c>
      <c r="I6" t="s" s="19">
        <v>72</v>
      </c>
      <c r="J6" t="s" s="19">
        <v>73</v>
      </c>
      <c r="K6" t="s" s="19">
        <v>74</v>
      </c>
      <c r="L6" t="s" s="19">
        <v>75</v>
      </c>
      <c r="M6" t="s" s="19">
        <v>76</v>
      </c>
      <c r="N6" s="69"/>
    </row>
    <row r="7" ht="13.65" customHeight="1">
      <c r="A7" s="70"/>
      <c r="B7" s="71">
        <v>45658</v>
      </c>
      <c r="C7" t="s" s="72">
        <v>29</v>
      </c>
      <c r="D7" t="s" s="73">
        <v>77</v>
      </c>
      <c r="E7" s="74" cm="1">
        <f t="array" ref="E7">_xlfn.SUMIFS('עסקאות'!$M$2:$M$1958,'עסקאות'!$A$2:$A$1958,B7)</f>
        <v>43507</v>
      </c>
      <c r="F7" s="74" cm="1">
        <f t="array" ref="F7">_xlfn.SUMIFS('עסקאות'!$N$2:$N$1958,'עסקאות'!$A$2:$A$1958,B7)</f>
        <v>23605</v>
      </c>
      <c r="G7" s="74" cm="1">
        <f t="array" ref="G7">F7/2</f>
        <v>11802.5</v>
      </c>
      <c r="H7" s="74" cm="1">
        <f t="array" ref="H7">_xlfn.SUMIFS('הכנסות'!$D$2:$D$98,'הכנסות'!$A$2:$A$98,B7)</f>
        <v>146408</v>
      </c>
      <c r="I7" s="74" cm="1">
        <f t="array" ref="I7">_xlfn.SUMIFS('עסקאות'!$O$2:$O$1958,'עסקאות'!$A$2:$A$1958,B7)</f>
        <v>6643</v>
      </c>
      <c r="J7" s="74" cm="1">
        <f t="array" ref="J7">H7+I7</f>
        <v>153051</v>
      </c>
      <c r="K7" s="74" cm="1">
        <f t="array" ref="K7">J7-E7</f>
        <v>109544</v>
      </c>
      <c r="L7" s="75" cm="1">
        <f t="array" ref="L7">IF(J7=0,"",K7/J7)</f>
        <v>0.715735277783223</v>
      </c>
      <c r="M7" s="76"/>
      <c r="N7" s="77"/>
    </row>
    <row r="8" ht="13.65" customHeight="1">
      <c r="A8" s="70"/>
      <c r="B8" s="78">
        <v>45689</v>
      </c>
      <c r="C8" t="s" s="79">
        <v>33</v>
      </c>
      <c r="D8" t="s" s="80">
        <v>77</v>
      </c>
      <c r="E8" s="81" cm="1">
        <f t="array" ref="E8">_xlfn.SUMIFS('עסקאות'!$M$2:$M$1958,'עסקאות'!$A$2:$A$1958,B8)</f>
        <v>55680</v>
      </c>
      <c r="F8" s="81" cm="1">
        <f t="array" ref="F8">_xlfn.SUMIFS('עסקאות'!$N$2:$N$1958,'עסקאות'!$A$2:$A$1958,B8)</f>
        <v>23441</v>
      </c>
      <c r="G8" s="81" cm="1">
        <f t="array" ref="G8">F8/2</f>
        <v>11720.5</v>
      </c>
      <c r="H8" s="81" cm="1">
        <f t="array" ref="H8">_xlfn.SUMIFS('הכנסות'!$D$2:$D$98,'הכנסות'!$A$2:$A$98,B8)</f>
        <v>39979</v>
      </c>
      <c r="I8" s="81" cm="1">
        <f t="array" ref="I8">_xlfn.SUMIFS('עסקאות'!$O$2:$O$1958,'עסקאות'!$A$2:$A$1958,B8)</f>
        <v>6663</v>
      </c>
      <c r="J8" s="81" cm="1">
        <f t="array" ref="J8">H8+I8</f>
        <v>46642</v>
      </c>
      <c r="K8" s="81" cm="1">
        <f t="array" ref="K8">J8-E8</f>
        <v>-9038</v>
      </c>
      <c r="L8" s="82" cm="1">
        <f t="array" ref="L8">IF(J8=0,"",K8/J8)</f>
        <v>-0.193773851893144</v>
      </c>
      <c r="M8" s="83"/>
      <c r="N8" s="77"/>
    </row>
    <row r="9" ht="13.65" customHeight="1">
      <c r="A9" s="70"/>
      <c r="B9" s="84">
        <v>45717</v>
      </c>
      <c r="C9" t="s" s="85">
        <v>37</v>
      </c>
      <c r="D9" t="s" s="86">
        <v>77</v>
      </c>
      <c r="E9" s="87" cm="1">
        <f t="array" ref="E9">_xlfn.SUMIFS('עסקאות'!$M$2:$M$1958,'עסקאות'!$A$2:$A$1958,B9)</f>
        <v>56799</v>
      </c>
      <c r="F9" s="87" cm="1">
        <f t="array" ref="F9">_xlfn.SUMIFS('עסקאות'!$N$2:$N$1958,'עסקאות'!$A$2:$A$1958,B9)</f>
        <v>28602</v>
      </c>
      <c r="G9" s="87" cm="1">
        <f t="array" ref="G9">F9/2</f>
        <v>14301</v>
      </c>
      <c r="H9" s="87" cm="1">
        <f t="array" ref="H9">_xlfn.SUMIFS('הכנסות'!$D$2:$D$98,'הכנסות'!$A$2:$A$98,B9)</f>
        <v>70123</v>
      </c>
      <c r="I9" s="87" cm="1">
        <f t="array" ref="I9">_xlfn.SUMIFS('עסקאות'!$O$2:$O$1958,'עסקאות'!$A$2:$A$1958,B9)</f>
        <v>6989</v>
      </c>
      <c r="J9" s="87" cm="1">
        <f t="array" ref="J9">H9+I9</f>
        <v>77112</v>
      </c>
      <c r="K9" s="87" cm="1">
        <f t="array" ref="K9">J9-E9</f>
        <v>20313</v>
      </c>
      <c r="L9" s="88" cm="1">
        <f t="array" ref="L9">IF(J9=0,"",K9/J9)</f>
        <v>0.263422035480859</v>
      </c>
      <c r="M9" s="28" cm="1">
        <f t="array" ref="M9">AVERAGE(F7:F9)</f>
        <v>25216</v>
      </c>
      <c r="N9" s="77"/>
    </row>
    <row r="10" ht="13.65" customHeight="1">
      <c r="A10" s="70"/>
      <c r="B10" s="78">
        <v>45748</v>
      </c>
      <c r="C10" t="s" s="79">
        <v>41</v>
      </c>
      <c r="D10" t="s" s="80">
        <v>77</v>
      </c>
      <c r="E10" s="81" cm="1">
        <f t="array" ref="E10">_xlfn.SUMIFS('עסקאות'!$M$2:$M$1958,'עסקאות'!$A$2:$A$1958,B10)</f>
        <v>38753</v>
      </c>
      <c r="F10" s="81" cm="1">
        <f t="array" ref="F10">_xlfn.SUMIFS('עסקאות'!$N$2:$N$1958,'עסקאות'!$A$2:$A$1958,B10)</f>
        <v>24197</v>
      </c>
      <c r="G10" s="81" cm="1">
        <f t="array" ref="G10">F10/2</f>
        <v>12098.5</v>
      </c>
      <c r="H10" s="81" cm="1">
        <f t="array" ref="H10">_xlfn.SUMIFS('הכנסות'!$D$2:$D$98,'הכנסות'!$A$2:$A$98,B10)</f>
        <v>34053</v>
      </c>
      <c r="I10" s="81" cm="1">
        <f t="array" ref="I10">_xlfn.SUMIFS('עסקאות'!$O$2:$O$1958,'עסקאות'!$A$2:$A$1958,B10)</f>
        <v>8137</v>
      </c>
      <c r="J10" s="81" cm="1">
        <f t="array" ref="J10">H10+I10</f>
        <v>42190</v>
      </c>
      <c r="K10" s="81" cm="1">
        <f t="array" ref="K10">J10-E10</f>
        <v>3437</v>
      </c>
      <c r="L10" s="82" cm="1">
        <f t="array" ref="L10">IF(J10=0,"",K10/J10)</f>
        <v>0.0814648020858023</v>
      </c>
      <c r="M10" s="83" cm="1">
        <f t="array" ref="M10">AVERAGE(F8:F10)</f>
        <v>25413.3333333333</v>
      </c>
      <c r="N10" s="77"/>
    </row>
    <row r="11" ht="13.65" customHeight="1">
      <c r="A11" s="70"/>
      <c r="B11" s="84">
        <v>45778</v>
      </c>
      <c r="C11" t="s" s="85">
        <v>45</v>
      </c>
      <c r="D11" t="s" s="86">
        <v>77</v>
      </c>
      <c r="E11" s="87" cm="1">
        <f t="array" ref="E11">_xlfn.SUMIFS('עסקאות'!$M$2:$M$1958,'עסקאות'!$A$2:$A$1958,B11)</f>
        <v>78552</v>
      </c>
      <c r="F11" s="87" cm="1">
        <f t="array" ref="F11">_xlfn.SUMIFS('עסקאות'!$N$2:$N$1958,'עסקאות'!$A$2:$A$1958,B11)</f>
        <v>16883</v>
      </c>
      <c r="G11" s="87" cm="1">
        <f t="array" ref="G11">F11/2</f>
        <v>8441.5</v>
      </c>
      <c r="H11" s="87" cm="1">
        <f t="array" ref="H11">_xlfn.SUMIFS('הכנסות'!$D$2:$D$98,'הכנסות'!$A$2:$A$98,B11)</f>
        <v>19799</v>
      </c>
      <c r="I11" s="87" cm="1">
        <f t="array" ref="I11">_xlfn.SUMIFS('עסקאות'!$O$2:$O$1958,'עסקאות'!$A$2:$A$1958,B11)</f>
        <v>6500</v>
      </c>
      <c r="J11" s="87" cm="1">
        <f t="array" ref="J11">H11+I11</f>
        <v>26299</v>
      </c>
      <c r="K11" s="87" cm="1">
        <f t="array" ref="K11">J11-E11</f>
        <v>-52253</v>
      </c>
      <c r="L11" s="88" cm="1">
        <f t="array" ref="L11">IF(J11=0,"",K11/J11)</f>
        <v>-1.98688163048025</v>
      </c>
      <c r="M11" s="28" cm="1">
        <f t="array" ref="M11">AVERAGE(F9:F11)</f>
        <v>23227.3333333333</v>
      </c>
      <c r="N11" s="77"/>
    </row>
    <row r="12" ht="13.65" customHeight="1">
      <c r="A12" s="70"/>
      <c r="B12" s="78">
        <v>45809</v>
      </c>
      <c r="C12" t="s" s="79">
        <v>49</v>
      </c>
      <c r="D12" t="s" s="80">
        <v>77</v>
      </c>
      <c r="E12" s="81" cm="1">
        <f t="array" ref="E12">_xlfn.SUMIFS('עסקאות'!$M$2:$M$1958,'עסקאות'!$A$2:$A$1958,B12)</f>
        <v>31005</v>
      </c>
      <c r="F12" s="81" cm="1">
        <f t="array" ref="F12">_xlfn.SUMIFS('עסקאות'!$N$2:$N$1958,'עסקאות'!$A$2:$A$1958,B12)</f>
        <v>23150</v>
      </c>
      <c r="G12" s="81" cm="1">
        <f t="array" ref="G12">F12/2</f>
        <v>11575</v>
      </c>
      <c r="H12" s="81" cm="1">
        <f t="array" ref="H12">_xlfn.SUMIFS('הכנסות'!$D$2:$D$98,'הכנסות'!$A$2:$A$98,B12)</f>
        <v>0</v>
      </c>
      <c r="I12" s="81" cm="1">
        <f t="array" ref="I12">_xlfn.SUMIFS('עסקאות'!$O$2:$O$1958,'עסקאות'!$A$2:$A$1958,B12)</f>
        <v>6500</v>
      </c>
      <c r="J12" s="81" cm="1">
        <f t="array" ref="J12">H12+I12</f>
        <v>6500</v>
      </c>
      <c r="K12" s="81" cm="1">
        <f t="array" ref="K12">J12-E12</f>
        <v>-24505</v>
      </c>
      <c r="L12" s="82" cm="1">
        <f t="array" ref="L12">IF(J12=0,"",K12/J12)</f>
        <v>-3.77</v>
      </c>
      <c r="M12" s="83" cm="1">
        <f t="array" ref="M12">AVERAGE(F10:F12)</f>
        <v>21410</v>
      </c>
      <c r="N12" s="77"/>
    </row>
    <row r="13" ht="13.65" customHeight="1">
      <c r="A13" s="70"/>
      <c r="B13" s="84">
        <v>45839</v>
      </c>
      <c r="C13" t="s" s="85">
        <v>50</v>
      </c>
      <c r="D13" t="s" s="86">
        <v>77</v>
      </c>
      <c r="E13" s="87" cm="1">
        <f t="array" ref="E13">_xlfn.SUMIFS('עסקאות'!$M$2:$M$1958,'עסקאות'!$A$2:$A$1958,B13)</f>
        <v>36910</v>
      </c>
      <c r="F13" s="87" cm="1">
        <f t="array" ref="F13">_xlfn.SUMIFS('עסקאות'!$N$2:$N$1958,'עסקאות'!$A$2:$A$1958,B13)</f>
        <v>13450</v>
      </c>
      <c r="G13" s="87" cm="1">
        <f t="array" ref="G13">F13/2</f>
        <v>6725</v>
      </c>
      <c r="H13" s="87" cm="1">
        <f t="array" ref="H13">_xlfn.SUMIFS('הכנסות'!$D$2:$D$98,'הכנסות'!$A$2:$A$98,B13)</f>
        <v>15296</v>
      </c>
      <c r="I13" s="87" cm="1">
        <f t="array" ref="I13">_xlfn.SUMIFS('עסקאות'!$O$2:$O$1958,'עסקאות'!$A$2:$A$1958,B13)</f>
        <v>6924</v>
      </c>
      <c r="J13" s="87" cm="1">
        <f t="array" ref="J13">H13+I13</f>
        <v>22220</v>
      </c>
      <c r="K13" s="87" cm="1">
        <f t="array" ref="K13">J13-E13</f>
        <v>-14690</v>
      </c>
      <c r="L13" s="88" cm="1">
        <f t="array" ref="L13">IF(J13=0,"",K13/J13)</f>
        <v>-0.661116111611161</v>
      </c>
      <c r="M13" s="28" cm="1">
        <f t="array" ref="M13">AVERAGE(F11:F13)</f>
        <v>17827.6666666667</v>
      </c>
      <c r="N13" s="77"/>
    </row>
    <row r="14" ht="13.65" customHeight="1">
      <c r="A14" s="70"/>
      <c r="B14" s="78">
        <v>45870</v>
      </c>
      <c r="C14" t="s" s="79">
        <v>51</v>
      </c>
      <c r="D14" t="s" s="80">
        <v>77</v>
      </c>
      <c r="E14" s="81" cm="1">
        <f t="array" ref="E14">_xlfn.SUMIFS('עסקאות'!$M$2:$M$1958,'עסקאות'!$A$2:$A$1958,B14)</f>
        <v>33987</v>
      </c>
      <c r="F14" s="81" cm="1">
        <f t="array" ref="F14">_xlfn.SUMIFS('עסקאות'!$N$2:$N$1958,'עסקאות'!$A$2:$A$1958,B14)</f>
        <v>21360</v>
      </c>
      <c r="G14" s="81" cm="1">
        <f t="array" ref="G14">F14/2</f>
        <v>10680</v>
      </c>
      <c r="H14" s="81" cm="1">
        <f t="array" ref="H14">_xlfn.SUMIFS('הכנסות'!$D$2:$D$98,'הכנסות'!$A$2:$A$98,B14)</f>
        <v>15305</v>
      </c>
      <c r="I14" s="81" cm="1">
        <f t="array" ref="I14">_xlfn.SUMIFS('עסקאות'!$O$2:$O$1958,'עסקאות'!$A$2:$A$1958,B14)</f>
        <v>6716</v>
      </c>
      <c r="J14" s="81" cm="1">
        <f t="array" ref="J14">H14+I14</f>
        <v>22021</v>
      </c>
      <c r="K14" s="81" cm="1">
        <f t="array" ref="K14">J14-E14</f>
        <v>-11966</v>
      </c>
      <c r="L14" s="82" cm="1">
        <f t="array" ref="L14">IF(J14=0,"",K14/J14)</f>
        <v>-0.543390400072658</v>
      </c>
      <c r="M14" s="83" cm="1">
        <f t="array" ref="M14">AVERAGE(F12:F14)</f>
        <v>19320</v>
      </c>
      <c r="N14" s="77"/>
    </row>
    <row r="15" ht="13.65" customHeight="1">
      <c r="A15" s="70"/>
      <c r="B15" s="84">
        <v>45901</v>
      </c>
      <c r="C15" t="s" s="85">
        <v>52</v>
      </c>
      <c r="D15" t="s" s="86">
        <v>77</v>
      </c>
      <c r="E15" s="87" cm="1">
        <f t="array" ref="E15">_xlfn.SUMIFS('עסקאות'!$M$2:$M$1958,'עסקאות'!$A$2:$A$1958,B15)</f>
        <v>33640</v>
      </c>
      <c r="F15" s="87" cm="1">
        <f t="array" ref="F15">_xlfn.SUMIFS('עסקאות'!$N$2:$N$1958,'עסקאות'!$A$2:$A$1958,B15)</f>
        <v>26039</v>
      </c>
      <c r="G15" s="87" cm="1">
        <f t="array" ref="G15">F15/2</f>
        <v>13019.5</v>
      </c>
      <c r="H15" s="87" cm="1">
        <f t="array" ref="H15">_xlfn.SUMIFS('הכנסות'!$D$2:$D$98,'הכנסות'!$A$2:$A$98,B15)</f>
        <v>29670</v>
      </c>
      <c r="I15" s="87" cm="1">
        <f t="array" ref="I15">_xlfn.SUMIFS('עסקאות'!$O$2:$O$1958,'עסקאות'!$A$2:$A$1958,B15)</f>
        <v>6500</v>
      </c>
      <c r="J15" s="87" cm="1">
        <f t="array" ref="J15">H15+I15</f>
        <v>36170</v>
      </c>
      <c r="K15" s="87" cm="1">
        <f t="array" ref="K15">J15-E15</f>
        <v>2530</v>
      </c>
      <c r="L15" s="88" cm="1">
        <f t="array" ref="L15">IF(J15=0,"",K15/J15)</f>
        <v>0.0699474702792369</v>
      </c>
      <c r="M15" s="28" cm="1">
        <f t="array" ref="M15">AVERAGE(F13:F15)</f>
        <v>20283</v>
      </c>
      <c r="N15" s="77"/>
    </row>
    <row r="16" ht="13.65" customHeight="1">
      <c r="A16" s="70"/>
      <c r="B16" s="78">
        <v>45931</v>
      </c>
      <c r="C16" t="s" s="79">
        <v>53</v>
      </c>
      <c r="D16" t="s" s="80">
        <v>77</v>
      </c>
      <c r="E16" s="81" cm="1">
        <f t="array" ref="E16">_xlfn.SUMIFS('עסקאות'!$M$2:$M$1958,'עסקאות'!$A$2:$A$1958,B16)</f>
        <v>44496</v>
      </c>
      <c r="F16" s="81" cm="1">
        <f t="array" ref="F16">_xlfn.SUMIFS('עסקאות'!$N$2:$N$1958,'עסקאות'!$A$2:$A$1958,B16)</f>
        <v>18846</v>
      </c>
      <c r="G16" s="81" cm="1">
        <f t="array" ref="G16">F16/2</f>
        <v>9423</v>
      </c>
      <c r="H16" s="81" cm="1">
        <f t="array" ref="H16">_xlfn.SUMIFS('הכנסות'!$D$2:$D$98,'הכנסות'!$A$2:$A$98,B16)</f>
        <v>79627</v>
      </c>
      <c r="I16" s="81" cm="1">
        <f t="array" ref="I16">_xlfn.SUMIFS('עסקאות'!$O$2:$O$1958,'עסקאות'!$A$2:$A$1958,B16)</f>
        <v>5563</v>
      </c>
      <c r="J16" s="81" cm="1">
        <f t="array" ref="J16">H16+I16</f>
        <v>85190</v>
      </c>
      <c r="K16" s="81" cm="1">
        <f t="array" ref="K16">J16-E16</f>
        <v>40694</v>
      </c>
      <c r="L16" s="82" cm="1">
        <f t="array" ref="L16">IF(J16=0,"",K16/J16)</f>
        <v>0.477685174316234</v>
      </c>
      <c r="M16" s="83" cm="1">
        <f t="array" ref="M16">AVERAGE(F14:F16)</f>
        <v>22081.6666666667</v>
      </c>
      <c r="N16" s="77"/>
    </row>
    <row r="17" ht="13.65" customHeight="1">
      <c r="A17" s="70"/>
      <c r="B17" s="84">
        <v>45962</v>
      </c>
      <c r="C17" t="s" s="85">
        <v>54</v>
      </c>
      <c r="D17" t="s" s="86">
        <v>77</v>
      </c>
      <c r="E17" s="87" cm="1">
        <f t="array" ref="E17">_xlfn.SUMIFS('עסקאות'!$M$2:$M$1958,'עסקאות'!$A$2:$A$1958,B17)</f>
        <v>32456</v>
      </c>
      <c r="F17" s="87" cm="1">
        <f t="array" ref="F17">_xlfn.SUMIFS('עסקאות'!$N$2:$N$1958,'עסקאות'!$A$2:$A$1958,B17)</f>
        <v>22159</v>
      </c>
      <c r="G17" s="87" cm="1">
        <f t="array" ref="G17">F17/2</f>
        <v>11079.5</v>
      </c>
      <c r="H17" s="87" cm="1">
        <f t="array" ref="H17">_xlfn.SUMIFS('הכנסות'!$D$2:$D$98,'הכנסות'!$A$2:$A$98,B17)</f>
        <v>447442</v>
      </c>
      <c r="I17" s="87" cm="1">
        <f t="array" ref="I17">_xlfn.SUMIFS('עסקאות'!$O$2:$O$1958,'עסקאות'!$A$2:$A$1958,B17)</f>
        <v>11701</v>
      </c>
      <c r="J17" s="87" cm="1">
        <f t="array" ref="J17">H17+I17</f>
        <v>459143</v>
      </c>
      <c r="K17" s="87" cm="1">
        <f t="array" ref="K17">J17-E17</f>
        <v>426687</v>
      </c>
      <c r="L17" s="88" cm="1">
        <f t="array" ref="L17">IF(J17=0,"",K17/J17)</f>
        <v>0.929311783039271</v>
      </c>
      <c r="M17" s="28" cm="1">
        <f t="array" ref="M17">AVERAGE(F15:F17)</f>
        <v>22348</v>
      </c>
      <c r="N17" s="77"/>
    </row>
    <row r="18" ht="13.65" customHeight="1">
      <c r="A18" s="70"/>
      <c r="B18" s="78">
        <v>45992</v>
      </c>
      <c r="C18" t="s" s="79">
        <v>55</v>
      </c>
      <c r="D18" t="s" s="80">
        <v>77</v>
      </c>
      <c r="E18" s="81" cm="1">
        <f t="array" ref="E18">_xlfn.SUMIFS('עסקאות'!$M$2:$M$1958,'עסקאות'!$A$2:$A$1958,B18)</f>
        <v>47902</v>
      </c>
      <c r="F18" s="81" cm="1">
        <f t="array" ref="F18">_xlfn.SUMIFS('עסקאות'!$N$2:$N$1958,'עסקאות'!$A$2:$A$1958,B18)</f>
        <v>28976</v>
      </c>
      <c r="G18" s="81" cm="1">
        <f t="array" ref="G18">F18/2</f>
        <v>14488</v>
      </c>
      <c r="H18" s="81" cm="1">
        <f t="array" ref="H18">_xlfn.SUMIFS('הכנסות'!$D$2:$D$98,'הכנסות'!$A$2:$A$98,B18)</f>
        <v>107604</v>
      </c>
      <c r="I18" s="81" cm="1">
        <f t="array" ref="I18">_xlfn.SUMIFS('עסקאות'!$O$2:$O$1958,'עסקאות'!$A$2:$A$1958,B18)</f>
        <v>6546</v>
      </c>
      <c r="J18" s="81" cm="1">
        <f t="array" ref="J18">H18+I18</f>
        <v>114150</v>
      </c>
      <c r="K18" s="81" cm="1">
        <f t="array" ref="K18">J18-E18</f>
        <v>66248</v>
      </c>
      <c r="L18" s="82" cm="1">
        <f t="array" ref="L18">IF(J18=0,"",K18/J18)</f>
        <v>0.58035917652212</v>
      </c>
      <c r="M18" s="83" cm="1">
        <f t="array" ref="M18">AVERAGE(F16:F18)</f>
        <v>23327</v>
      </c>
      <c r="N18" s="77"/>
    </row>
    <row r="19" ht="13.65" customHeight="1">
      <c r="A19" s="70"/>
      <c r="B19" s="84">
        <v>46023</v>
      </c>
      <c r="C19" t="s" s="85">
        <v>56</v>
      </c>
      <c r="D19" t="s" s="86">
        <v>77</v>
      </c>
      <c r="E19" s="87" cm="1">
        <f t="array" ref="E19">_xlfn.SUMIFS('עסקאות'!$M$2:$M$1958,'עסקאות'!$A$2:$A$1958,B19)</f>
        <v>27251</v>
      </c>
      <c r="F19" s="87" cm="1">
        <f t="array" ref="F19">_xlfn.SUMIFS('עסקאות'!$N$2:$N$1958,'עסקאות'!$A$2:$A$1958,B19)</f>
        <v>21001</v>
      </c>
      <c r="G19" s="87" cm="1">
        <f t="array" ref="G19">F19/2</f>
        <v>10500.5</v>
      </c>
      <c r="H19" s="87" cm="1">
        <f t="array" ref="H19">_xlfn.SUMIFS('הכנסות'!$D$2:$D$98,'הכנסות'!$A$2:$A$98,B19)</f>
        <v>51323</v>
      </c>
      <c r="I19" s="87" cm="1">
        <f t="array" ref="I19">_xlfn.SUMIFS('עסקאות'!$O$2:$O$1958,'עסקאות'!$A$2:$A$1958,B19)</f>
        <v>0</v>
      </c>
      <c r="J19" s="87" cm="1">
        <f t="array" ref="J19">H19+I19</f>
        <v>51323</v>
      </c>
      <c r="K19" s="87" cm="1">
        <f t="array" ref="K19">J19-E19</f>
        <v>24072</v>
      </c>
      <c r="L19" s="88" cm="1">
        <f t="array" ref="L19">IF(J19=0,"",K19/J19)</f>
        <v>0.469029479960252</v>
      </c>
      <c r="M19" s="28" cm="1">
        <f t="array" ref="M19">AVERAGE(F17:F19)</f>
        <v>24045.3333333333</v>
      </c>
      <c r="N19" s="77"/>
    </row>
    <row r="20" ht="13.65" customHeight="1">
      <c r="A20" s="70"/>
      <c r="B20" s="78">
        <v>46054</v>
      </c>
      <c r="C20" t="s" s="79">
        <v>57</v>
      </c>
      <c r="D20" t="s" s="80">
        <v>77</v>
      </c>
      <c r="E20" s="81" cm="1">
        <f t="array" ref="E20">_xlfn.SUMIFS('עסקאות'!$M$2:$M$1958,'עסקאות'!$A$2:$A$1958,B20)</f>
        <v>26956</v>
      </c>
      <c r="F20" s="81" cm="1">
        <f t="array" ref="F20">_xlfn.SUMIFS('עסקאות'!$N$2:$N$1958,'עסקאות'!$A$2:$A$1958,B20)</f>
        <v>20873</v>
      </c>
      <c r="G20" s="81" cm="1">
        <f t="array" ref="G20">F20/2</f>
        <v>10436.5</v>
      </c>
      <c r="H20" s="81" cm="1">
        <f t="array" ref="H20">_xlfn.SUMIFS('הכנסות'!$D$2:$D$98,'הכנסות'!$A$2:$A$98,B20)</f>
        <v>50650</v>
      </c>
      <c r="I20" s="81" cm="1">
        <f t="array" ref="I20">_xlfn.SUMIFS('עסקאות'!$O$2:$O$1958,'עסקאות'!$A$2:$A$1958,B20)</f>
        <v>0</v>
      </c>
      <c r="J20" s="81" cm="1">
        <f t="array" ref="J20">H20+I20</f>
        <v>50650</v>
      </c>
      <c r="K20" s="81" cm="1">
        <f t="array" ref="K20">J20-E20</f>
        <v>23694</v>
      </c>
      <c r="L20" s="82" cm="1">
        <f t="array" ref="L20">IF(J20=0,"",K20/J20)</f>
        <v>0.467798617966436</v>
      </c>
      <c r="M20" s="83" cm="1">
        <f t="array" ref="M20">AVERAGE(F18:F20)</f>
        <v>23616.6666666667</v>
      </c>
      <c r="N20" s="77"/>
    </row>
    <row r="21" ht="13.65" customHeight="1">
      <c r="A21" s="70"/>
      <c r="B21" s="84">
        <v>46082</v>
      </c>
      <c r="C21" t="s" s="85">
        <v>58</v>
      </c>
      <c r="D21" t="s" s="86">
        <v>77</v>
      </c>
      <c r="E21" s="87" cm="1">
        <f t="array" ref="E21">_xlfn.SUMIFS('עסקאות'!$M$2:$M$1958,'עסקאות'!$A$2:$A$1958,B21)</f>
        <v>30147</v>
      </c>
      <c r="F21" s="87" cm="1">
        <f t="array" ref="F21">_xlfn.SUMIFS('עסקאות'!$N$2:$N$1958,'עסקאות'!$A$2:$A$1958,B21)</f>
        <v>23144</v>
      </c>
      <c r="G21" s="87" cm="1">
        <f t="array" ref="G21">F21/2</f>
        <v>11572</v>
      </c>
      <c r="H21" s="87" cm="1">
        <f t="array" ref="H21">_xlfn.SUMIFS('הכנסות'!$D$2:$D$98,'הכנסות'!$A$2:$A$98,B21)</f>
        <v>111029</v>
      </c>
      <c r="I21" s="87" cm="1">
        <f t="array" ref="I21">_xlfn.SUMIFS('עסקאות'!$O$2:$O$1958,'עסקאות'!$A$2:$A$1958,B21)</f>
        <v>0</v>
      </c>
      <c r="J21" s="87" cm="1">
        <f t="array" ref="J21">H21+I21</f>
        <v>111029</v>
      </c>
      <c r="K21" s="87" cm="1">
        <f t="array" ref="K21">J21-E21</f>
        <v>80882</v>
      </c>
      <c r="L21" s="88" cm="1">
        <f t="array" ref="L21">IF(J21=0,"",K21/J21)</f>
        <v>0.728476344018229</v>
      </c>
      <c r="M21" s="28" cm="1">
        <f t="array" ref="M21">AVERAGE(F19:F21)</f>
        <v>21672.6666666667</v>
      </c>
      <c r="N21" s="77"/>
    </row>
    <row r="22" ht="13.65" customHeight="1">
      <c r="A22" s="70"/>
      <c r="B22" s="78">
        <v>46113</v>
      </c>
      <c r="C22" t="s" s="79">
        <v>59</v>
      </c>
      <c r="D22" t="s" s="80">
        <v>77</v>
      </c>
      <c r="E22" s="81" cm="1">
        <f t="array" ref="E22">_xlfn.SUMIFS('עסקאות'!$M$2:$M$1958,'עסקאות'!$A$2:$A$1958,B22)</f>
        <v>32684</v>
      </c>
      <c r="F22" s="81" cm="1">
        <f t="array" ref="F22">_xlfn.SUMIFS('עסקאות'!$N$2:$N$1958,'עסקאות'!$A$2:$A$1958,B22)</f>
        <v>24902</v>
      </c>
      <c r="G22" s="81" cm="1">
        <f t="array" ref="G22">F22/2</f>
        <v>12451</v>
      </c>
      <c r="H22" s="81" cm="1">
        <f t="array" ref="H22">_xlfn.SUMIFS('הכנסות'!$D$2:$D$98,'הכנסות'!$A$2:$A$98,B22)</f>
        <v>134731</v>
      </c>
      <c r="I22" s="81" cm="1">
        <f t="array" ref="I22">_xlfn.SUMIFS('עסקאות'!$O$2:$O$1958,'עסקאות'!$A$2:$A$1958,B22)</f>
        <v>0</v>
      </c>
      <c r="J22" s="81" cm="1">
        <f t="array" ref="J22">H22+I22</f>
        <v>134731</v>
      </c>
      <c r="K22" s="81" cm="1">
        <f t="array" ref="K22">J22-E22</f>
        <v>102047</v>
      </c>
      <c r="L22" s="82" cm="1">
        <f t="array" ref="L22">IF(J22=0,"",K22/J22)</f>
        <v>0.757412919075788</v>
      </c>
      <c r="M22" s="83" cm="1">
        <f t="array" ref="M22">AVERAGE(F20:F22)</f>
        <v>22973</v>
      </c>
      <c r="N22" s="77"/>
    </row>
    <row r="23" ht="13.65" customHeight="1">
      <c r="A23" s="70"/>
      <c r="B23" s="84">
        <v>46143</v>
      </c>
      <c r="C23" t="s" s="85">
        <v>60</v>
      </c>
      <c r="D23" t="s" s="86">
        <v>77</v>
      </c>
      <c r="E23" s="87" cm="1">
        <f t="array" ref="E23">_xlfn.SUMIFS('עסקאות'!$M$2:$M$1958,'עסקאות'!$A$2:$A$1958,B23)</f>
        <v>33320</v>
      </c>
      <c r="F23" s="87" cm="1">
        <f t="array" ref="F23">_xlfn.SUMIFS('עסקאות'!$N$2:$N$1958,'עסקאות'!$A$2:$A$1958,B23)</f>
        <v>22338</v>
      </c>
      <c r="G23" s="87" cm="1">
        <f t="array" ref="G23">F23/2</f>
        <v>11169</v>
      </c>
      <c r="H23" s="87" cm="1">
        <f t="array" ref="H23">_xlfn.SUMIFS('הכנסות'!$D$2:$D$98,'הכנסות'!$A$2:$A$98,B23)</f>
        <v>59789</v>
      </c>
      <c r="I23" s="87" cm="1">
        <f t="array" ref="I23">_xlfn.SUMIFS('עסקאות'!$O$2:$O$1958,'עסקאות'!$A$2:$A$1958,B23)</f>
        <v>0</v>
      </c>
      <c r="J23" s="87" cm="1">
        <f t="array" ref="J23">H23+I23</f>
        <v>59789</v>
      </c>
      <c r="K23" s="87" cm="1">
        <f t="array" ref="K23">J23-E23</f>
        <v>26469</v>
      </c>
      <c r="L23" s="88" cm="1">
        <f t="array" ref="L23">IF(J23=0,"",K23/J23)</f>
        <v>0.442706852431049</v>
      </c>
      <c r="M23" s="28" cm="1">
        <f t="array" ref="M23">AVERAGE(F21:F23)</f>
        <v>23461.3333333333</v>
      </c>
      <c r="N23" s="77"/>
    </row>
    <row r="24" ht="13.65" customHeight="1">
      <c r="A24" s="70"/>
      <c r="B24" s="78">
        <v>46174</v>
      </c>
      <c r="C24" t="s" s="79">
        <v>61</v>
      </c>
      <c r="D24" t="s" s="80">
        <v>77</v>
      </c>
      <c r="E24" s="81" cm="1">
        <f t="array" ref="E24">_xlfn.SUMIFS('עסקאות'!$M$2:$M$1958,'עסקאות'!$A$2:$A$1958,B24)</f>
        <v>54758</v>
      </c>
      <c r="F24" s="81" cm="1">
        <f t="array" ref="F24">_xlfn.SUMIFS('עסקאות'!$N$2:$N$1958,'עסקאות'!$A$2:$A$1958,B24)</f>
        <v>18571</v>
      </c>
      <c r="G24" s="81" cm="1">
        <f t="array" ref="G24">F24/2</f>
        <v>9285.5</v>
      </c>
      <c r="H24" s="81" cm="1">
        <f t="array" ref="H24">_xlfn.SUMIFS('הכנסות'!$D$2:$D$98,'הכנסות'!$A$2:$A$98,B24)</f>
        <v>58445</v>
      </c>
      <c r="I24" s="81" cm="1">
        <f t="array" ref="I24">_xlfn.SUMIFS('עסקאות'!$O$2:$O$1958,'עסקאות'!$A$2:$A$1958,B24)</f>
        <v>0</v>
      </c>
      <c r="J24" s="81" cm="1">
        <f t="array" ref="J24">H24+I24</f>
        <v>58445</v>
      </c>
      <c r="K24" s="81" cm="1">
        <f t="array" ref="K24">J24-E24</f>
        <v>3687</v>
      </c>
      <c r="L24" s="82" cm="1">
        <f t="array" ref="L24">IF(J24=0,"",K24/J24)</f>
        <v>0.0630849516639576</v>
      </c>
      <c r="M24" s="83" cm="1">
        <f t="array" ref="M24">AVERAGE(F22:F24)</f>
        <v>21937</v>
      </c>
      <c r="N24" s="77"/>
    </row>
    <row r="25" ht="13.65" customHeight="1">
      <c r="A25" s="70"/>
      <c r="B25" s="84">
        <v>46204</v>
      </c>
      <c r="C25" t="s" s="85">
        <v>62</v>
      </c>
      <c r="D25" t="s" s="86">
        <v>77</v>
      </c>
      <c r="E25" s="87" cm="1">
        <f t="array" ref="E25">_xlfn.SUMIFS('עסקאות'!$M$2:$M$1958,'עסקאות'!$A$2:$A$1958,B25)</f>
        <v>45952</v>
      </c>
      <c r="F25" s="87" cm="1">
        <f t="array" ref="F25">_xlfn.SUMIFS('עסקאות'!$N$2:$N$1958,'עסקאות'!$A$2:$A$1958,B25)</f>
        <v>23205</v>
      </c>
      <c r="G25" s="87" cm="1">
        <f t="array" ref="G25">F25/2</f>
        <v>11602.5</v>
      </c>
      <c r="H25" s="87" cm="1">
        <f t="array" ref="H25">_xlfn.SUMIFS('הכנסות'!$D$2:$D$98,'הכנסות'!$A$2:$A$98,B25)</f>
        <v>116984</v>
      </c>
      <c r="I25" s="87" cm="1">
        <f t="array" ref="I25">_xlfn.SUMIFS('עסקאות'!$O$2:$O$1958,'עסקאות'!$A$2:$A$1958,B25)</f>
        <v>0</v>
      </c>
      <c r="J25" s="87" cm="1">
        <f t="array" ref="J25">H25+I25</f>
        <v>116984</v>
      </c>
      <c r="K25" s="87" cm="1">
        <f t="array" ref="K25">J25-E25</f>
        <v>71032</v>
      </c>
      <c r="L25" s="88" cm="1">
        <f t="array" ref="L25">IF(J25=0,"",K25/J25)</f>
        <v>0.607194146208028</v>
      </c>
      <c r="M25" s="28" cm="1">
        <f t="array" ref="M25">AVERAGE(F23:F25)</f>
        <v>21371.3333333333</v>
      </c>
      <c r="N25" s="77"/>
    </row>
    <row r="26" ht="13.65" customHeight="1">
      <c r="A26" s="70"/>
      <c r="B26" s="78">
        <v>46235</v>
      </c>
      <c r="C26" t="s" s="79">
        <v>63</v>
      </c>
      <c r="D26" t="s" s="80">
        <v>78</v>
      </c>
      <c r="E26" s="81" cm="1">
        <f t="array" ref="E26">_xlfn.SUMIFS('עסקאות'!$M$2:$M$1958,'עסקאות'!$A$2:$A$1958,B26)</f>
        <v>34550</v>
      </c>
      <c r="F26" s="81" cm="1">
        <f t="array" ref="F26">_xlfn.SUMIFS('עסקאות'!$N$2:$N$1958,'עסקאות'!$A$2:$A$1958,B26)</f>
        <v>26839</v>
      </c>
      <c r="G26" s="81" cm="1">
        <f t="array" ref="G26">F26/2</f>
        <v>13419.5</v>
      </c>
      <c r="H26" s="81" cm="1">
        <f t="array" ref="H26">_xlfn.SUMIFS('הכנסות'!$D$2:$D$98,'הכנסות'!$A$2:$A$98,B26)</f>
        <v>52225</v>
      </c>
      <c r="I26" s="81" cm="1">
        <f t="array" ref="I26">_xlfn.SUMIFS('עסקאות'!$O$2:$O$1958,'עסקאות'!$A$2:$A$1958,B26)</f>
        <v>0</v>
      </c>
      <c r="J26" s="81" cm="1">
        <f t="array" ref="J26">H26+I26</f>
        <v>52225</v>
      </c>
      <c r="K26" s="81" cm="1">
        <f t="array" ref="K26">J26-E26</f>
        <v>17675</v>
      </c>
      <c r="L26" s="82" cm="1">
        <f t="array" ref="L26">IF(J26=0,"",K26/J26)</f>
        <v>0.338439444710388</v>
      </c>
      <c r="M26" s="83" cm="1">
        <f t="array" ref="M26">AVERAGE(F24:F26)</f>
        <v>22871.6666666667</v>
      </c>
      <c r="N26" s="77"/>
    </row>
    <row r="27" ht="13.55" customHeight="1">
      <c r="A27" s="62"/>
      <c r="B27" s="89"/>
      <c r="C27" s="89"/>
      <c r="D27" s="89"/>
      <c r="E27" s="89"/>
      <c r="F27" s="89"/>
      <c r="G27" s="89"/>
      <c r="H27" s="89"/>
      <c r="I27" s="89"/>
      <c r="J27" s="89"/>
      <c r="K27" s="89"/>
      <c r="L27" s="89"/>
      <c r="M27" s="89"/>
      <c r="N27" s="62"/>
    </row>
  </sheetData>
  <conditionalFormatting sqref="D7:D26">
    <cfRule type="containsText" dxfId="1" priority="1" stopIfTrue="1" text="פתוח">
      <formula>NOT(ISERROR(FIND(UPPER("פתוח"),UPPER(D7))))</formula>
      <formula>"פתוח"</formula>
    </cfRule>
  </conditionalFormatting>
  <conditionalFormatting sqref="E7:M26">
    <cfRule type="cellIs" dxfId="2"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AA29"/>
  <sheetViews>
    <sheetView workbookViewId="0" showGridLines="0" defaultGridColor="1"/>
  </sheetViews>
  <sheetFormatPr defaultColWidth="8.83333" defaultRowHeight="15" customHeight="1" outlineLevelRow="0" outlineLevelCol="0"/>
  <cols>
    <col min="1" max="1" width="2" style="90" customWidth="1"/>
    <col min="2" max="2" width="25" style="90" customWidth="1"/>
    <col min="3" max="3" width="18" style="90" customWidth="1"/>
    <col min="4" max="15" width="15" style="90" customWidth="1"/>
    <col min="16" max="16" width="56" style="90" customWidth="1"/>
    <col min="17" max="27" width="8.85156" style="90" customWidth="1"/>
    <col min="28" max="16384" width="8.85156" style="90" customWidth="1"/>
  </cols>
  <sheetData>
    <row r="1" ht="13.55" customHeight="1">
      <c r="A1" s="62"/>
      <c r="B1" s="62"/>
      <c r="C1" s="62"/>
      <c r="D1" s="62"/>
      <c r="E1" s="62"/>
      <c r="F1" s="62"/>
      <c r="G1" s="62"/>
      <c r="H1" s="62"/>
      <c r="I1" s="62"/>
      <c r="J1" s="62"/>
      <c r="K1" s="62"/>
      <c r="L1" s="62"/>
      <c r="M1" s="62"/>
      <c r="N1" s="62"/>
      <c r="O1" s="62"/>
      <c r="P1" s="62"/>
      <c r="Q1" s="62"/>
      <c r="R1" s="62"/>
      <c r="S1" s="62"/>
      <c r="T1" s="62"/>
      <c r="U1" s="62"/>
      <c r="V1" s="62"/>
      <c r="W1" s="62"/>
      <c r="X1" s="62"/>
      <c r="Y1" s="62"/>
      <c r="Z1" s="62"/>
      <c r="AA1" s="62"/>
    </row>
    <row r="2" ht="20.45" customHeight="1">
      <c r="A2" s="62"/>
      <c r="B2" t="s" s="63">
        <v>79</v>
      </c>
      <c r="C2" s="64"/>
      <c r="D2" s="64"/>
      <c r="E2" s="64"/>
      <c r="F2" s="64"/>
      <c r="G2" s="64"/>
      <c r="H2" s="64"/>
      <c r="I2" s="64"/>
      <c r="J2" s="64"/>
      <c r="K2" s="64"/>
      <c r="L2" s="64"/>
      <c r="M2" s="64"/>
      <c r="N2" s="64"/>
      <c r="O2" s="64"/>
      <c r="P2" s="62"/>
      <c r="Q2" s="62"/>
      <c r="R2" s="62"/>
      <c r="S2" s="62"/>
      <c r="T2" s="62"/>
      <c r="U2" s="62"/>
      <c r="V2" s="62"/>
      <c r="W2" s="62"/>
      <c r="X2" s="62"/>
      <c r="Y2" s="62"/>
      <c r="Z2" s="62"/>
      <c r="AA2" s="62"/>
    </row>
    <row r="3" ht="13.65" customHeight="1">
      <c r="A3" s="62"/>
      <c r="B3" t="s" s="65">
        <v>80</v>
      </c>
      <c r="C3" s="66"/>
      <c r="D3" s="66"/>
      <c r="E3" s="66"/>
      <c r="F3" s="66"/>
      <c r="G3" s="66"/>
      <c r="H3" s="66"/>
      <c r="I3" s="66"/>
      <c r="J3" s="66"/>
      <c r="K3" s="66"/>
      <c r="L3" s="66"/>
      <c r="M3" s="66"/>
      <c r="N3" s="66"/>
      <c r="O3" s="66"/>
      <c r="P3" s="62"/>
      <c r="Q3" s="62"/>
      <c r="R3" s="62"/>
      <c r="S3" s="62"/>
      <c r="T3" s="62"/>
      <c r="U3" s="62"/>
      <c r="V3" s="62"/>
      <c r="W3" s="62"/>
      <c r="X3" s="62"/>
      <c r="Y3" s="62"/>
      <c r="Z3" s="62"/>
      <c r="AA3" s="62"/>
    </row>
    <row r="4" ht="13.55" customHeight="1">
      <c r="A4" s="62"/>
      <c r="B4" s="62"/>
      <c r="C4" s="62"/>
      <c r="D4" s="62"/>
      <c r="E4" s="62"/>
      <c r="F4" s="62"/>
      <c r="G4" s="62"/>
      <c r="H4" s="62"/>
      <c r="I4" s="62"/>
      <c r="J4" s="62"/>
      <c r="K4" s="62"/>
      <c r="L4" s="62"/>
      <c r="M4" s="62"/>
      <c r="N4" s="62"/>
      <c r="O4" s="62"/>
      <c r="P4" s="62"/>
      <c r="Q4" s="62"/>
      <c r="R4" s="62"/>
      <c r="S4" s="62"/>
      <c r="T4" s="62"/>
      <c r="U4" s="62"/>
      <c r="V4" s="62"/>
      <c r="W4" s="62"/>
      <c r="X4" s="62"/>
      <c r="Y4" s="62"/>
      <c r="Z4" s="62"/>
      <c r="AA4" s="62"/>
    </row>
    <row r="5" ht="13.55" customHeight="1">
      <c r="A5" s="62"/>
      <c r="B5" s="67"/>
      <c r="C5" s="67"/>
      <c r="D5" s="67"/>
      <c r="E5" s="67"/>
      <c r="F5" s="67"/>
      <c r="G5" s="67"/>
      <c r="H5" s="67"/>
      <c r="I5" s="67"/>
      <c r="J5" s="67"/>
      <c r="K5" s="67"/>
      <c r="L5" s="67"/>
      <c r="M5" s="67"/>
      <c r="N5" s="67"/>
      <c r="O5" s="67"/>
      <c r="P5" s="67"/>
      <c r="Q5" s="62"/>
      <c r="R5" s="62"/>
      <c r="S5" s="62"/>
      <c r="T5" s="62"/>
      <c r="U5" s="62"/>
      <c r="V5" s="62"/>
      <c r="W5" s="62"/>
      <c r="X5" s="62"/>
      <c r="Y5" s="62"/>
      <c r="Z5" s="62"/>
      <c r="AA5" s="62"/>
    </row>
    <row r="6" ht="13.65" customHeight="1">
      <c r="A6" s="68"/>
      <c r="B6" t="s" s="19">
        <v>81</v>
      </c>
      <c r="C6" t="s" s="19">
        <v>82</v>
      </c>
      <c r="D6" t="s" s="19">
        <v>83</v>
      </c>
      <c r="E6" t="s" s="19">
        <v>84</v>
      </c>
      <c r="F6" t="s" s="19">
        <v>85</v>
      </c>
      <c r="G6" t="s" s="19">
        <v>86</v>
      </c>
      <c r="H6" t="s" s="91">
        <v>87</v>
      </c>
      <c r="I6" t="s" s="91">
        <v>88</v>
      </c>
      <c r="J6" t="s" s="91">
        <v>89</v>
      </c>
      <c r="K6" t="s" s="91">
        <v>90</v>
      </c>
      <c r="L6" t="s" s="19">
        <v>91</v>
      </c>
      <c r="M6" t="s" s="19">
        <v>92</v>
      </c>
      <c r="N6" t="s" s="19">
        <v>93</v>
      </c>
      <c r="O6" t="s" s="19">
        <v>94</v>
      </c>
      <c r="P6" t="s" s="19">
        <v>95</v>
      </c>
      <c r="Q6" s="69"/>
      <c r="R6" s="62"/>
      <c r="S6" s="62"/>
      <c r="T6" s="62"/>
      <c r="U6" s="62"/>
      <c r="V6" s="62"/>
      <c r="W6" s="62"/>
      <c r="X6" s="62"/>
      <c r="Y6" s="62"/>
      <c r="Z6" s="62"/>
      <c r="AA6" s="62"/>
    </row>
    <row r="7" ht="24.65" customHeight="1">
      <c r="A7" s="70"/>
      <c r="B7" t="s" s="22">
        <v>96</v>
      </c>
      <c r="C7" t="s" s="73">
        <v>97</v>
      </c>
      <c r="D7" s="74" cm="1">
        <f t="array" ref="D7">_xlfn.SUMIFS('עסקאות'!$M$2:$M$1958,'עסקאות'!$I$2:$I$1958,B7)</f>
        <v>176730</v>
      </c>
      <c r="E7" s="74" cm="1">
        <f t="array" ref="E7">D7/20</f>
        <v>8836.5</v>
      </c>
      <c r="F7" s="74" cm="1">
        <f t="array" ref="F7">E7/2</f>
        <v>4418.25</v>
      </c>
      <c r="G7" s="75" cm="1">
        <f t="array" ref="G7">IF(SUM($D$7:$D$28)=0,"",D7/SUM($D$7:$D$28))</f>
        <v>0.215707215261716</v>
      </c>
      <c r="H7" s="74" cm="1">
        <f t="array" ref="H7">_xlfn.SUMIFS('עסקאות'!$M$2:$M$1958,'עסקאות'!$I$2:$I$1958,B7,'עסקאות'!$A$2:$A$1958,"&gt;="&amp;DATE(2025,1,1),'עסקאות'!$A$2:$A$1958,"&lt;"&amp;DATE(2026,1,1))</f>
        <v>97325</v>
      </c>
      <c r="I7" s="74" cm="1">
        <f t="array" ref="I7">H7/12</f>
        <v>8110.416666666670</v>
      </c>
      <c r="J7" s="74" cm="1">
        <f t="array" ref="J7">_xlfn.SUMIFS('עסקאות'!$M$2:$M$1958,'עסקאות'!$I$2:$I$1958,B7,'עסקאות'!$A$2:$A$1958,"&gt;="&amp;DATE(2026,1,1),'עסקאות'!$A$2:$A$1958,"&lt;"&amp;DATE(2027,1,1))</f>
        <v>79405</v>
      </c>
      <c r="K7" s="74" cm="1">
        <f t="array" ref="K7">J7/8</f>
        <v>9925.625</v>
      </c>
      <c r="L7" s="75" cm="1">
        <f t="array" ref="L7">IF(I7=0,"",K7/I7-1)</f>
        <v>0.223811970202928</v>
      </c>
      <c r="M7" s="92" cm="1">
        <f t="array" ref="M7">0</f>
        <v>0</v>
      </c>
      <c r="N7" s="74" cm="1">
        <f t="array" ref="N7">IF(C7="שוטף",K7*M7,0)</f>
        <v>0</v>
      </c>
      <c r="O7" s="74" cm="1">
        <f t="array" ref="O7">N7*12</f>
        <v>0</v>
      </c>
      <c r="P7" t="s" s="93">
        <v>98</v>
      </c>
      <c r="Q7" s="77"/>
      <c r="R7" s="62"/>
      <c r="S7" s="62"/>
      <c r="T7" s="62"/>
      <c r="U7" s="62"/>
      <c r="V7" s="62"/>
      <c r="W7" s="62"/>
      <c r="X7" s="62"/>
      <c r="Y7" s="62"/>
      <c r="Z7" s="62"/>
      <c r="AA7" s="62"/>
    </row>
    <row r="8" ht="24.65" customHeight="1">
      <c r="A8" s="70"/>
      <c r="B8" t="s" s="94">
        <v>99</v>
      </c>
      <c r="C8" t="s" s="80">
        <v>100</v>
      </c>
      <c r="D8" s="81" cm="1">
        <f t="array" ref="D8">_xlfn.SUMIFS('עסקאות'!$M$2:$M$1958,'עסקאות'!$I$2:$I$1958,B8)</f>
        <v>134579</v>
      </c>
      <c r="E8" s="81" cm="1">
        <f t="array" ref="E8">D8/20</f>
        <v>6728.95</v>
      </c>
      <c r="F8" s="81" cm="1">
        <f t="array" ref="F8">E8/2</f>
        <v>3364.475</v>
      </c>
      <c r="G8" s="82" cm="1">
        <f t="array" ref="G8">IF(SUM($D$7:$D$28)=0,"",D8/SUM($D$7:$D$28))</f>
        <v>0.164259952032515</v>
      </c>
      <c r="H8" s="81" cm="1">
        <f t="array" ref="H8">_xlfn.SUMIFS('עסקאות'!$M$2:$M$1958,'עסקאות'!$I$2:$I$1958,B8,'עסקאות'!$A$2:$A$1958,"&gt;="&amp;DATE(2025,1,1),'עסקאות'!$A$2:$A$1958,"&lt;"&amp;DATE(2026,1,1))</f>
        <v>80039</v>
      </c>
      <c r="I8" s="81" cm="1">
        <f t="array" ref="I8">H8/12</f>
        <v>6669.916666666670</v>
      </c>
      <c r="J8" s="81" cm="1">
        <f t="array" ref="J8">_xlfn.SUMIFS('עסקאות'!$M$2:$M$1958,'עסקאות'!$I$2:$I$1958,B8,'עסקאות'!$A$2:$A$1958,"&gt;="&amp;DATE(2026,1,1),'עסקאות'!$A$2:$A$1958,"&lt;"&amp;DATE(2027,1,1))</f>
        <v>54540</v>
      </c>
      <c r="K8" s="81" cm="1">
        <f t="array" ref="K8">J8/8</f>
        <v>6817.5</v>
      </c>
      <c r="L8" s="82" cm="1">
        <f t="array" ref="L8">IF(I8=0,"",K8/I8-1)</f>
        <v>0.0221267132273012</v>
      </c>
      <c r="M8" s="95" cm="1">
        <f t="array" ref="M8">0</f>
        <v>0</v>
      </c>
      <c r="N8" s="81" cm="1">
        <f t="array" ref="N8">IF(C8="שוטף",K8*M8,0)</f>
        <v>0</v>
      </c>
      <c r="O8" s="81" cm="1">
        <f t="array" ref="O8">N8*12</f>
        <v>0</v>
      </c>
      <c r="P8" t="s" s="96">
        <v>101</v>
      </c>
      <c r="Q8" s="77"/>
      <c r="R8" s="62"/>
      <c r="S8" s="62"/>
      <c r="T8" s="62"/>
      <c r="U8" s="62"/>
      <c r="V8" s="62"/>
      <c r="W8" s="62"/>
      <c r="X8" s="62"/>
      <c r="Y8" s="62"/>
      <c r="Z8" s="62"/>
      <c r="AA8" s="62"/>
    </row>
    <row r="9" ht="13.65" customHeight="1">
      <c r="A9" s="70"/>
      <c r="B9" t="s" s="27">
        <v>102</v>
      </c>
      <c r="C9" t="s" s="86">
        <v>103</v>
      </c>
      <c r="D9" s="87" cm="1">
        <f t="array" ref="D9">_xlfn.SUMIFS('עסקאות'!$M$2:$M$1958,'עסקאות'!$I$2:$I$1958,B9)</f>
        <v>118704</v>
      </c>
      <c r="E9" s="87" cm="1">
        <f t="array" ref="E9">D9/20</f>
        <v>5935.2</v>
      </c>
      <c r="F9" s="87" cm="1">
        <f t="array" ref="F9">E9/2</f>
        <v>2967.6</v>
      </c>
      <c r="G9" s="88" cm="1">
        <f t="array" ref="G9">IF(SUM($D$7:$D$28)=0,"",D9/SUM($D$7:$D$28))</f>
        <v>0.144883773442125</v>
      </c>
      <c r="H9" s="87" cm="1">
        <f t="array" ref="H9">_xlfn.SUMIFS('עסקאות'!$M$2:$M$1958,'עסקאות'!$I$2:$I$1958,B9,'עסקאות'!$A$2:$A$1958,"&gt;="&amp;DATE(2025,1,1),'עסקאות'!$A$2:$A$1958,"&lt;"&amp;DATE(2026,1,1))</f>
        <v>87325</v>
      </c>
      <c r="I9" s="87" cm="1">
        <f t="array" ref="I9">H9/12</f>
        <v>7277.083333333330</v>
      </c>
      <c r="J9" s="87" cm="1">
        <f t="array" ref="J9">_xlfn.SUMIFS('עסקאות'!$M$2:$M$1958,'עסקאות'!$I$2:$I$1958,B9,'עסקאות'!$A$2:$A$1958,"&gt;="&amp;DATE(2026,1,1),'עסקאות'!$A$2:$A$1958,"&lt;"&amp;DATE(2027,1,1))</f>
        <v>31379</v>
      </c>
      <c r="K9" s="87" cm="1">
        <f t="array" ref="K9">J9/8</f>
        <v>3922.375</v>
      </c>
      <c r="L9" s="88" cm="1">
        <f t="array" ref="L9">IF(I9=0,"",K9/I9-1)</f>
        <v>-0.460996278270827</v>
      </c>
      <c r="M9" s="97" cm="1">
        <f t="array" ref="M9">0</f>
        <v>0</v>
      </c>
      <c r="N9" s="87" cm="1">
        <f t="array" ref="N9">IF(C9="שוטף",K9*M9,0)</f>
        <v>0</v>
      </c>
      <c r="O9" s="87" cm="1">
        <f t="array" ref="O9">N9*12</f>
        <v>0</v>
      </c>
      <c r="P9" t="s" s="98">
        <v>104</v>
      </c>
      <c r="Q9" s="77"/>
      <c r="R9" s="62"/>
      <c r="S9" s="62"/>
      <c r="T9" s="62"/>
      <c r="U9" s="62"/>
      <c r="V9" s="62"/>
      <c r="W9" s="62"/>
      <c r="X9" s="62"/>
      <c r="Y9" s="62"/>
      <c r="Z9" s="62"/>
      <c r="AA9" s="62"/>
    </row>
    <row r="10" ht="13.65" customHeight="1">
      <c r="A10" s="70"/>
      <c r="B10" t="s" s="94">
        <v>105</v>
      </c>
      <c r="C10" t="s" s="80">
        <v>103</v>
      </c>
      <c r="D10" s="81" cm="1">
        <f t="array" ref="D10">_xlfn.SUMIFS('עסקאות'!$M$2:$M$1958,'עסקאות'!$I$2:$I$1958,B10)</f>
        <v>95615</v>
      </c>
      <c r="E10" s="81" cm="1">
        <f t="array" ref="E10">D10/20</f>
        <v>4780.75</v>
      </c>
      <c r="F10" s="81" cm="1">
        <f t="array" ref="F10">E10/2</f>
        <v>2390.375</v>
      </c>
      <c r="G10" s="82" cm="1">
        <f t="array" ref="G10">IF(SUM($D$7:$D$28)=0,"",D10/SUM($D$7:$D$28))</f>
        <v>0.116702571081587</v>
      </c>
      <c r="H10" s="81" cm="1">
        <f t="array" ref="H10">_xlfn.SUMIFS('עסקאות'!$M$2:$M$1958,'עסקאות'!$I$2:$I$1958,B10,'עסקאות'!$A$2:$A$1958,"&gt;="&amp;DATE(2025,1,1),'עסקאות'!$A$2:$A$1958,"&lt;"&amp;DATE(2026,1,1))</f>
        <v>95615</v>
      </c>
      <c r="I10" s="81" cm="1">
        <f t="array" ref="I10">H10/12</f>
        <v>7967.916666666670</v>
      </c>
      <c r="J10" s="81" cm="1">
        <f t="array" ref="J10">_xlfn.SUMIFS('עסקאות'!$M$2:$M$1958,'עסקאות'!$I$2:$I$1958,B10,'עסקאות'!$A$2:$A$1958,"&gt;="&amp;DATE(2026,1,1),'עסקאות'!$A$2:$A$1958,"&lt;"&amp;DATE(2027,1,1))</f>
        <v>0</v>
      </c>
      <c r="K10" s="81" cm="1">
        <f t="array" ref="K10">J10/8</f>
        <v>0</v>
      </c>
      <c r="L10" s="82" cm="1">
        <f t="array" ref="L10">IF(I10=0,"",K10/I10-1)</f>
        <v>-1</v>
      </c>
      <c r="M10" s="95" cm="1">
        <f t="array" ref="M10">0</f>
        <v>0</v>
      </c>
      <c r="N10" s="81" cm="1">
        <f t="array" ref="N10">IF(C10="שוטף",K10*M10,0)</f>
        <v>0</v>
      </c>
      <c r="O10" s="81" cm="1">
        <f t="array" ref="O10">N10*12</f>
        <v>0</v>
      </c>
      <c r="P10" t="s" s="96">
        <v>106</v>
      </c>
      <c r="Q10" s="77"/>
      <c r="R10" s="62"/>
      <c r="S10" s="62"/>
      <c r="T10" s="62"/>
      <c r="U10" s="62"/>
      <c r="V10" s="62"/>
      <c r="W10" s="62"/>
      <c r="X10" s="62"/>
      <c r="Y10" s="62"/>
      <c r="Z10" s="62"/>
      <c r="AA10" s="62"/>
    </row>
    <row r="11" ht="13.65" customHeight="1">
      <c r="A11" s="70"/>
      <c r="B11" t="s" s="27">
        <v>107</v>
      </c>
      <c r="C11" t="s" s="86">
        <v>97</v>
      </c>
      <c r="D11" s="87" cm="1">
        <f t="array" ref="D11">_xlfn.SUMIFS('עסקאות'!$M$2:$M$1958,'עסקאות'!$I$2:$I$1958,B11)</f>
        <v>51681</v>
      </c>
      <c r="E11" s="87" cm="1">
        <f t="array" ref="E11">D11/20</f>
        <v>2584.05</v>
      </c>
      <c r="F11" s="87" cm="1">
        <f t="array" ref="F11">E11/2</f>
        <v>1292.025</v>
      </c>
      <c r="G11" s="88" cm="1">
        <f t="array" ref="G11">IF(SUM($D$7:$D$28)=0,"",D11/SUM($D$7:$D$28))</f>
        <v>0.063079073116849</v>
      </c>
      <c r="H11" s="87" cm="1">
        <f t="array" ref="H11">_xlfn.SUMIFS('עסקאות'!$M$2:$M$1958,'עסקאות'!$I$2:$I$1958,B11,'עסקאות'!$A$2:$A$1958,"&gt;="&amp;DATE(2025,1,1),'עסקאות'!$A$2:$A$1958,"&lt;"&amp;DATE(2026,1,1))</f>
        <v>32906</v>
      </c>
      <c r="I11" s="87" cm="1">
        <f t="array" ref="I11">H11/12</f>
        <v>2742.166666666670</v>
      </c>
      <c r="J11" s="87" cm="1">
        <f t="array" ref="J11">_xlfn.SUMIFS('עסקאות'!$M$2:$M$1958,'עסקאות'!$I$2:$I$1958,B11,'עסקאות'!$A$2:$A$1958,"&gt;="&amp;DATE(2026,1,1),'עסקאות'!$A$2:$A$1958,"&lt;"&amp;DATE(2027,1,1))</f>
        <v>18775</v>
      </c>
      <c r="K11" s="87" cm="1">
        <f t="array" ref="K11">J11/8</f>
        <v>2346.875</v>
      </c>
      <c r="L11" s="88" cm="1">
        <f t="array" ref="L11">IF(I11=0,"",K11/I11-1)</f>
        <v>-0.144153041998421</v>
      </c>
      <c r="M11" s="97" cm="1">
        <f t="array" ref="M11">0</f>
        <v>0</v>
      </c>
      <c r="N11" s="87" cm="1">
        <f t="array" ref="N11">IF(C11="שוטף",K11*M11,0)</f>
        <v>0</v>
      </c>
      <c r="O11" s="87" cm="1">
        <f t="array" ref="O11">N11*12</f>
        <v>0</v>
      </c>
      <c r="P11" t="s" s="98">
        <v>108</v>
      </c>
      <c r="Q11" s="77"/>
      <c r="R11" s="62"/>
      <c r="S11" s="62"/>
      <c r="T11" s="62"/>
      <c r="U11" s="62"/>
      <c r="V11" s="62"/>
      <c r="W11" s="62"/>
      <c r="X11" s="62"/>
      <c r="Y11" s="62"/>
      <c r="Z11" s="62"/>
      <c r="AA11" s="62"/>
    </row>
    <row r="12" ht="13.65" customHeight="1">
      <c r="A12" s="70"/>
      <c r="B12" t="s" s="94">
        <v>109</v>
      </c>
      <c r="C12" t="s" s="80">
        <v>97</v>
      </c>
      <c r="D12" s="81" cm="1">
        <f t="array" ref="D12">_xlfn.SUMIFS('עסקאות'!$M$2:$M$1958,'עסקאות'!$I$2:$I$1958,B12)</f>
        <v>41741</v>
      </c>
      <c r="E12" s="81" cm="1">
        <f t="array" ref="E12">D12/20</f>
        <v>2087.05</v>
      </c>
      <c r="F12" s="81" cm="1">
        <f t="array" ref="F12">E12/2</f>
        <v>1043.525</v>
      </c>
      <c r="G12" s="82" cm="1">
        <f t="array" ref="G12">IF(SUM($D$7:$D$28)=0,"",D12/SUM($D$7:$D$28))</f>
        <v>0.0509468390892281</v>
      </c>
      <c r="H12" s="81" cm="1">
        <f t="array" ref="H12">_xlfn.SUMIFS('עסקאות'!$M$2:$M$1958,'עסקאות'!$I$2:$I$1958,B12,'עסקאות'!$A$2:$A$1958,"&gt;="&amp;DATE(2025,1,1),'עסקאות'!$A$2:$A$1958,"&lt;"&amp;DATE(2026,1,1))</f>
        <v>24837</v>
      </c>
      <c r="I12" s="81" cm="1">
        <f t="array" ref="I12">H12/12</f>
        <v>2069.75</v>
      </c>
      <c r="J12" s="81" cm="1">
        <f t="array" ref="J12">_xlfn.SUMIFS('עסקאות'!$M$2:$M$1958,'עסקאות'!$I$2:$I$1958,B12,'עסקאות'!$A$2:$A$1958,"&gt;="&amp;DATE(2026,1,1),'עסקאות'!$A$2:$A$1958,"&lt;"&amp;DATE(2027,1,1))</f>
        <v>16904</v>
      </c>
      <c r="K12" s="81" cm="1">
        <f t="array" ref="K12">J12/8</f>
        <v>2113</v>
      </c>
      <c r="L12" s="82" cm="1">
        <f t="array" ref="L12">IF(I12=0,"",K12/I12-1)</f>
        <v>0.02089624350767</v>
      </c>
      <c r="M12" s="95" cm="1">
        <f t="array" ref="M12">0.03</f>
        <v>0.03</v>
      </c>
      <c r="N12" s="81" cm="1">
        <f t="array" ref="N12">IF(C12="שוטף",K12*M12,0)</f>
        <v>63.39</v>
      </c>
      <c r="O12" s="81" cm="1">
        <f t="array" ref="O12">N12*12</f>
        <v>760.6799999999999</v>
      </c>
      <c r="P12" t="s" s="96">
        <v>110</v>
      </c>
      <c r="Q12" s="77"/>
      <c r="R12" s="62"/>
      <c r="S12" s="62"/>
      <c r="T12" s="62"/>
      <c r="U12" s="62"/>
      <c r="V12" s="62"/>
      <c r="W12" s="62"/>
      <c r="X12" s="62"/>
      <c r="Y12" s="62"/>
      <c r="Z12" s="62"/>
      <c r="AA12" s="62"/>
    </row>
    <row r="13" ht="13.65" customHeight="1">
      <c r="A13" s="70"/>
      <c r="B13" t="s" s="27">
        <v>111</v>
      </c>
      <c r="C13" t="s" s="86">
        <v>97</v>
      </c>
      <c r="D13" s="87" cm="1">
        <f t="array" ref="D13">_xlfn.SUMIFS('עסקאות'!$M$2:$M$1958,'עסקאות'!$I$2:$I$1958,B13)</f>
        <v>38331</v>
      </c>
      <c r="E13" s="87" cm="1">
        <f t="array" ref="E13">D13/20</f>
        <v>1916.55</v>
      </c>
      <c r="F13" s="87" cm="1">
        <f t="array" ref="F13">E13/2</f>
        <v>958.275</v>
      </c>
      <c r="G13" s="88" cm="1">
        <f t="array" ref="G13">IF(SUM($D$7:$D$28)=0,"",D13/SUM($D$7:$D$28))</f>
        <v>0.046784774900678</v>
      </c>
      <c r="H13" s="87" cm="1">
        <f t="array" ref="H13">_xlfn.SUMIFS('עסקאות'!$M$2:$M$1958,'עסקאות'!$I$2:$I$1958,B13,'עסקאות'!$A$2:$A$1958,"&gt;="&amp;DATE(2025,1,1),'עסקאות'!$A$2:$A$1958,"&lt;"&amp;DATE(2026,1,1))</f>
        <v>25610</v>
      </c>
      <c r="I13" s="87" cm="1">
        <f t="array" ref="I13">H13/12</f>
        <v>2134.166666666670</v>
      </c>
      <c r="J13" s="87" cm="1">
        <f t="array" ref="J13">_xlfn.SUMIFS('עסקאות'!$M$2:$M$1958,'עסקאות'!$I$2:$I$1958,B13,'עסקאות'!$A$2:$A$1958,"&gt;="&amp;DATE(2026,1,1),'עסקאות'!$A$2:$A$1958,"&lt;"&amp;DATE(2027,1,1))</f>
        <v>12721</v>
      </c>
      <c r="K13" s="87" cm="1">
        <f t="array" ref="K13">J13/8</f>
        <v>1590.125</v>
      </c>
      <c r="L13" s="88" cm="1">
        <f t="array" ref="L13">IF(I13=0,"",K13/I13-1)</f>
        <v>-0.254919953143305</v>
      </c>
      <c r="M13" s="97" cm="1">
        <f t="array" ref="M13">0.05</f>
        <v>0.05</v>
      </c>
      <c r="N13" s="87" cm="1">
        <f t="array" ref="N13">IF(C13="שוטף",K13*M13,0)</f>
        <v>79.50624999999999</v>
      </c>
      <c r="O13" s="87" cm="1">
        <f t="array" ref="O13">N13*12</f>
        <v>954.075</v>
      </c>
      <c r="P13" t="s" s="98">
        <v>112</v>
      </c>
      <c r="Q13" s="77"/>
      <c r="R13" s="62"/>
      <c r="S13" s="62"/>
      <c r="T13" s="62"/>
      <c r="U13" s="62"/>
      <c r="V13" s="62"/>
      <c r="W13" s="62"/>
      <c r="X13" s="62"/>
      <c r="Y13" s="62"/>
      <c r="Z13" s="62"/>
      <c r="AA13" s="62"/>
    </row>
    <row r="14" ht="13.65" customHeight="1">
      <c r="A14" s="70"/>
      <c r="B14" t="s" s="94">
        <v>113</v>
      </c>
      <c r="C14" t="s" s="80">
        <v>97</v>
      </c>
      <c r="D14" s="81" cm="1">
        <f t="array" ref="D14">_xlfn.SUMIFS('עסקאות'!$M$2:$M$1958,'עסקאות'!$I$2:$I$1958,B14)</f>
        <v>30226</v>
      </c>
      <c r="E14" s="81" cm="1">
        <f t="array" ref="E14">D14/20</f>
        <v>1511.3</v>
      </c>
      <c r="F14" s="81" cm="1">
        <f t="array" ref="F14">E14/2</f>
        <v>755.65</v>
      </c>
      <c r="G14" s="82" cm="1">
        <f t="array" ref="G14">IF(SUM($D$7:$D$28)=0,"",D14/SUM($D$7:$D$28))</f>
        <v>0.0368922440361038</v>
      </c>
      <c r="H14" s="81" cm="1">
        <f t="array" ref="H14">_xlfn.SUMIFS('עסקאות'!$M$2:$M$1958,'עסקאות'!$I$2:$I$1958,B14,'עסקאות'!$A$2:$A$1958,"&gt;="&amp;DATE(2025,1,1),'עסקאות'!$A$2:$A$1958,"&lt;"&amp;DATE(2026,1,1))</f>
        <v>17724</v>
      </c>
      <c r="I14" s="81" cm="1">
        <f t="array" ref="I14">H14/12</f>
        <v>1477</v>
      </c>
      <c r="J14" s="81" cm="1">
        <f t="array" ref="J14">_xlfn.SUMIFS('עסקאות'!$M$2:$M$1958,'עסקאות'!$I$2:$I$1958,B14,'עסקאות'!$A$2:$A$1958,"&gt;="&amp;DATE(2026,1,1),'עסקאות'!$A$2:$A$1958,"&lt;"&amp;DATE(2027,1,1))</f>
        <v>12502</v>
      </c>
      <c r="K14" s="81" cm="1">
        <f t="array" ref="K14">J14/8</f>
        <v>1562.75</v>
      </c>
      <c r="L14" s="82" cm="1">
        <f t="array" ref="L14">IF(I14=0,"",K14/I14-1)</f>
        <v>0.0580568720379147</v>
      </c>
      <c r="M14" s="95" cm="1">
        <f t="array" ref="M14">0.07</f>
        <v>0.07000000000000001</v>
      </c>
      <c r="N14" s="81" cm="1">
        <f t="array" ref="N14">IF(C14="שוטף",K14*M14,0)</f>
        <v>109.3925</v>
      </c>
      <c r="O14" s="81" cm="1">
        <f t="array" ref="O14">N14*12</f>
        <v>1312.71</v>
      </c>
      <c r="P14" t="s" s="96">
        <v>114</v>
      </c>
      <c r="Q14" s="77"/>
      <c r="R14" s="62"/>
      <c r="S14" s="62"/>
      <c r="T14" s="62"/>
      <c r="U14" s="62"/>
      <c r="V14" s="62"/>
      <c r="W14" s="62"/>
      <c r="X14" s="62"/>
      <c r="Y14" s="62"/>
      <c r="Z14" s="62"/>
      <c r="AA14" s="62"/>
    </row>
    <row r="15" ht="13.65" customHeight="1">
      <c r="A15" s="70"/>
      <c r="B15" t="s" s="27">
        <v>115</v>
      </c>
      <c r="C15" t="s" s="86">
        <v>97</v>
      </c>
      <c r="D15" s="87" cm="1">
        <f t="array" ref="D15">_xlfn.SUMIFS('עסקאות'!$M$2:$M$1958,'עסקאות'!$I$2:$I$1958,B15)</f>
        <v>25185</v>
      </c>
      <c r="E15" s="87" cm="1">
        <f t="array" ref="E15">D15/20</f>
        <v>1259.25</v>
      </c>
      <c r="F15" s="87" cm="1">
        <f t="array" ref="F15">E15/2</f>
        <v>629.625</v>
      </c>
      <c r="G15" s="88" cm="1">
        <f t="array" ref="G15">IF(SUM($D$7:$D$28)=0,"",D15/SUM($D$7:$D$28))</f>
        <v>0.0307394682078103</v>
      </c>
      <c r="H15" s="87" cm="1">
        <f t="array" ref="H15">_xlfn.SUMIFS('עסקאות'!$M$2:$M$1958,'עסקאות'!$I$2:$I$1958,B15,'עסקאות'!$A$2:$A$1958,"&gt;="&amp;DATE(2025,1,1),'עסקאות'!$A$2:$A$1958,"&lt;"&amp;DATE(2026,1,1))</f>
        <v>16347</v>
      </c>
      <c r="I15" s="87" cm="1">
        <f t="array" ref="I15">H15/12</f>
        <v>1362.25</v>
      </c>
      <c r="J15" s="87" cm="1">
        <f t="array" ref="J15">_xlfn.SUMIFS('עסקאות'!$M$2:$M$1958,'עסקאות'!$I$2:$I$1958,B15,'עסקאות'!$A$2:$A$1958,"&gt;="&amp;DATE(2026,1,1),'עסקאות'!$A$2:$A$1958,"&lt;"&amp;DATE(2027,1,1))</f>
        <v>8838</v>
      </c>
      <c r="K15" s="87" cm="1">
        <f t="array" ref="K15">J15/8</f>
        <v>1104.75</v>
      </c>
      <c r="L15" s="88" cm="1">
        <f t="array" ref="L15">IF(I15=0,"",K15/I15-1)</f>
        <v>-0.189025509267756</v>
      </c>
      <c r="M15" s="97" cm="1">
        <f t="array" ref="M15">0.03</f>
        <v>0.03</v>
      </c>
      <c r="N15" s="87" cm="1">
        <f t="array" ref="N15">IF(C15="שוטף",K15*M15,0)</f>
        <v>33.1425</v>
      </c>
      <c r="O15" s="87" cm="1">
        <f t="array" ref="O15">N15*12</f>
        <v>397.71</v>
      </c>
      <c r="P15" t="s" s="98">
        <v>116</v>
      </c>
      <c r="Q15" s="77"/>
      <c r="R15" s="62"/>
      <c r="S15" s="62"/>
      <c r="T15" s="62"/>
      <c r="U15" s="62"/>
      <c r="V15" s="62"/>
      <c r="W15" s="62"/>
      <c r="X15" s="62"/>
      <c r="Y15" s="62"/>
      <c r="Z15" s="62"/>
      <c r="AA15" s="62"/>
    </row>
    <row r="16" ht="13.65" customHeight="1">
      <c r="A16" s="70"/>
      <c r="B16" t="s" s="94">
        <v>117</v>
      </c>
      <c r="C16" t="s" s="80">
        <v>97</v>
      </c>
      <c r="D16" s="81" cm="1">
        <f t="array" ref="D16">_xlfn.SUMIFS('עסקאות'!$M$2:$M$1958,'עסקאות'!$I$2:$I$1958,B16)</f>
        <v>20138</v>
      </c>
      <c r="E16" s="81" cm="1">
        <f t="array" ref="E16">D16/20</f>
        <v>1006.9</v>
      </c>
      <c r="F16" s="81" cm="1">
        <f t="array" ref="F16">E16/2</f>
        <v>503.45</v>
      </c>
      <c r="G16" s="82" cm="1">
        <f t="array" ref="G16">IF(SUM($D$7:$D$28)=0,"",D16/SUM($D$7:$D$28))</f>
        <v>0.0245793690994196</v>
      </c>
      <c r="H16" s="81" cm="1">
        <f t="array" ref="H16">_xlfn.SUMIFS('עסקאות'!$M$2:$M$1958,'עסקאות'!$I$2:$I$1958,B16,'עסקאות'!$A$2:$A$1958,"&gt;="&amp;DATE(2025,1,1),'עסקאות'!$A$2:$A$1958,"&lt;"&amp;DATE(2026,1,1))</f>
        <v>15288</v>
      </c>
      <c r="I16" s="81" cm="1">
        <f t="array" ref="I16">H16/12</f>
        <v>1274</v>
      </c>
      <c r="J16" s="81" cm="1">
        <f t="array" ref="J16">_xlfn.SUMIFS('עסקאות'!$M$2:$M$1958,'עסקאות'!$I$2:$I$1958,B16,'עסקאות'!$A$2:$A$1958,"&gt;="&amp;DATE(2026,1,1),'עסקאות'!$A$2:$A$1958,"&lt;"&amp;DATE(2027,1,1))</f>
        <v>4850</v>
      </c>
      <c r="K16" s="81" cm="1">
        <f t="array" ref="K16">J16/8</f>
        <v>606.25</v>
      </c>
      <c r="L16" s="82" cm="1">
        <f t="array" ref="L16">IF(I16=0,"",K16/I16-1)</f>
        <v>-0.524136577708006</v>
      </c>
      <c r="M16" s="95" cm="1">
        <f t="array" ref="M16">0.07</f>
        <v>0.07000000000000001</v>
      </c>
      <c r="N16" s="81" cm="1">
        <f t="array" ref="N16">IF(C16="שוטף",K16*M16,0)</f>
        <v>42.4375</v>
      </c>
      <c r="O16" s="81" cm="1">
        <f t="array" ref="O16">N16*12</f>
        <v>509.25</v>
      </c>
      <c r="P16" t="s" s="96">
        <v>118</v>
      </c>
      <c r="Q16" s="77"/>
      <c r="R16" s="62"/>
      <c r="S16" s="62"/>
      <c r="T16" s="62"/>
      <c r="U16" s="62"/>
      <c r="V16" s="62"/>
      <c r="W16" s="62"/>
      <c r="X16" s="62"/>
      <c r="Y16" s="62"/>
      <c r="Z16" s="62"/>
      <c r="AA16" s="62"/>
    </row>
    <row r="17" ht="13.65" customHeight="1">
      <c r="A17" s="70"/>
      <c r="B17" t="s" s="27">
        <v>119</v>
      </c>
      <c r="C17" t="s" s="86">
        <v>103</v>
      </c>
      <c r="D17" s="87" cm="1">
        <f t="array" ref="D17">_xlfn.SUMIFS('עסקאות'!$M$2:$M$1958,'עסקאות'!$I$2:$I$1958,B17)</f>
        <v>18826</v>
      </c>
      <c r="E17" s="87" cm="1">
        <f t="array" ref="E17">D17/20</f>
        <v>941.3</v>
      </c>
      <c r="F17" s="87" cm="1">
        <f t="array" ref="F17">E17/2</f>
        <v>470.65</v>
      </c>
      <c r="G17" s="88" cm="1">
        <f t="array" ref="G17">IF(SUM($D$7:$D$28)=0,"",D17/SUM($D$7:$D$28))</f>
        <v>0.0229780118515083</v>
      </c>
      <c r="H17" s="87" cm="1">
        <f t="array" ref="H17">_xlfn.SUMIFS('עסקאות'!$M$2:$M$1958,'עסקאות'!$I$2:$I$1958,B17,'עסקאות'!$A$2:$A$1958,"&gt;="&amp;DATE(2025,1,1),'עסקאות'!$A$2:$A$1958,"&lt;"&amp;DATE(2026,1,1))</f>
        <v>0</v>
      </c>
      <c r="I17" s="87" cm="1">
        <f t="array" ref="I17">H17/12</f>
        <v>0</v>
      </c>
      <c r="J17" s="87" cm="1">
        <f t="array" ref="J17">_xlfn.SUMIFS('עסקאות'!$M$2:$M$1958,'עסקאות'!$I$2:$I$1958,B17,'עסקאות'!$A$2:$A$1958,"&gt;="&amp;DATE(2026,1,1),'עסקאות'!$A$2:$A$1958,"&lt;"&amp;DATE(2027,1,1))</f>
        <v>18826</v>
      </c>
      <c r="K17" s="87" cm="1">
        <f t="array" ref="K17">J17/8</f>
        <v>2353.25</v>
      </c>
      <c r="L17" t="str" s="99" cm="1">
        <f t="array" ref="L17">IF(I17=0,"",K17/I17-1)</f>
      </c>
      <c r="M17" s="97" cm="1">
        <f t="array" ref="M17">0</f>
        <v>0</v>
      </c>
      <c r="N17" s="87" cm="1">
        <f t="array" ref="N17">IF(C17="שוטף",K17*M17,0)</f>
        <v>0</v>
      </c>
      <c r="O17" s="87" cm="1">
        <f t="array" ref="O17">N17*12</f>
        <v>0</v>
      </c>
      <c r="P17" t="s" s="98">
        <v>120</v>
      </c>
      <c r="Q17" s="77"/>
      <c r="R17" s="62"/>
      <c r="S17" s="62"/>
      <c r="T17" s="62"/>
      <c r="U17" s="62"/>
      <c r="V17" s="62"/>
      <c r="W17" s="62"/>
      <c r="X17" s="62"/>
      <c r="Y17" s="62"/>
      <c r="Z17" s="62"/>
      <c r="AA17" s="62"/>
    </row>
    <row r="18" ht="13.65" customHeight="1">
      <c r="A18" s="70"/>
      <c r="B18" t="s" s="94">
        <v>121</v>
      </c>
      <c r="C18" t="s" s="80">
        <v>97</v>
      </c>
      <c r="D18" s="81" cm="1">
        <f t="array" ref="D18">_xlfn.SUMIFS('עסקאות'!$M$2:$M$1958,'עסקאות'!$I$2:$I$1958,B18)</f>
        <v>11671</v>
      </c>
      <c r="E18" s="81" cm="1">
        <f t="array" ref="E18">D18/20</f>
        <v>583.55</v>
      </c>
      <c r="F18" s="81" cm="1">
        <f t="array" ref="F18">E18/2</f>
        <v>291.775</v>
      </c>
      <c r="G18" s="82" cm="1">
        <f t="array" ref="G18">IF(SUM($D$7:$D$28)=0,"",D18/SUM($D$7:$D$28))</f>
        <v>0.0142450003356503</v>
      </c>
      <c r="H18" s="81" cm="1">
        <f t="array" ref="H18">_xlfn.SUMIFS('עסקאות'!$M$2:$M$1958,'עסקאות'!$I$2:$I$1958,B18,'עסקאות'!$A$2:$A$1958,"&gt;="&amp;DATE(2025,1,1),'עסקאות'!$A$2:$A$1958,"&lt;"&amp;DATE(2026,1,1))</f>
        <v>9397</v>
      </c>
      <c r="I18" s="81" cm="1">
        <f t="array" ref="I18">H18/12</f>
        <v>783.083333333333</v>
      </c>
      <c r="J18" s="81" cm="1">
        <f t="array" ref="J18">_xlfn.SUMIFS('עסקאות'!$M$2:$M$1958,'עסקאות'!$I$2:$I$1958,B18,'עסקאות'!$A$2:$A$1958,"&gt;="&amp;DATE(2026,1,1),'עסקאות'!$A$2:$A$1958,"&lt;"&amp;DATE(2027,1,1))</f>
        <v>2274</v>
      </c>
      <c r="K18" s="81" cm="1">
        <f t="array" ref="K18">J18/8</f>
        <v>284.25</v>
      </c>
      <c r="L18" s="82" cm="1">
        <f t="array" ref="L18">IF(I18=0,"",K18/I18-1)</f>
        <v>-0.637011812280515</v>
      </c>
      <c r="M18" s="95" cm="1">
        <f t="array" ref="M18">0.07</f>
        <v>0.07000000000000001</v>
      </c>
      <c r="N18" s="81" cm="1">
        <f t="array" ref="N18">IF(C18="שוטף",K18*M18,0)</f>
        <v>19.8975</v>
      </c>
      <c r="O18" s="81" cm="1">
        <f t="array" ref="O18">N18*12</f>
        <v>238.77</v>
      </c>
      <c r="P18" t="s" s="96">
        <v>122</v>
      </c>
      <c r="Q18" s="77"/>
      <c r="R18" s="62"/>
      <c r="S18" s="62"/>
      <c r="T18" s="62"/>
      <c r="U18" s="62"/>
      <c r="V18" s="62"/>
      <c r="W18" s="62"/>
      <c r="X18" s="62"/>
      <c r="Y18" s="62"/>
      <c r="Z18" s="62"/>
      <c r="AA18" s="62"/>
    </row>
    <row r="19" ht="13.65" customHeight="1">
      <c r="A19" s="70"/>
      <c r="B19" t="s" s="27">
        <v>123</v>
      </c>
      <c r="C19" t="s" s="86">
        <v>97</v>
      </c>
      <c r="D19" s="87" cm="1">
        <f t="array" ref="D19">_xlfn.SUMIFS('עסקאות'!$M$2:$M$1958,'עסקאות'!$I$2:$I$1958,B19)</f>
        <v>10790</v>
      </c>
      <c r="E19" s="87" cm="1">
        <f t="array" ref="E19">D19/20</f>
        <v>539.5</v>
      </c>
      <c r="F19" s="87" cm="1">
        <f t="array" ref="F19">E19/2</f>
        <v>269.75</v>
      </c>
      <c r="G19" s="88" cm="1">
        <f t="array" ref="G19">IF(SUM($D$7:$D$28)=0,"",D19/SUM($D$7:$D$28))</f>
        <v>0.0131696987080513</v>
      </c>
      <c r="H19" s="87" cm="1">
        <f t="array" ref="H19">_xlfn.SUMIFS('עסקאות'!$M$2:$M$1958,'עסקאות'!$I$2:$I$1958,B19,'עסקאות'!$A$2:$A$1958,"&gt;="&amp;DATE(2025,1,1),'עסקאות'!$A$2:$A$1958,"&lt;"&amp;DATE(2026,1,1))</f>
        <v>7355</v>
      </c>
      <c r="I19" s="87" cm="1">
        <f t="array" ref="I19">H19/12</f>
        <v>612.916666666667</v>
      </c>
      <c r="J19" s="87" cm="1">
        <f t="array" ref="J19">_xlfn.SUMIFS('עסקאות'!$M$2:$M$1958,'עסקאות'!$I$2:$I$1958,B19,'עסקאות'!$A$2:$A$1958,"&gt;="&amp;DATE(2026,1,1),'עסקאות'!$A$2:$A$1958,"&lt;"&amp;DATE(2027,1,1))</f>
        <v>3435</v>
      </c>
      <c r="K19" s="87" cm="1">
        <f t="array" ref="K19">J19/8</f>
        <v>429.375</v>
      </c>
      <c r="L19" s="88" cm="1">
        <f t="array" ref="L19">IF(I19=0,"",K19/I19-1)</f>
        <v>-0.299456152277363</v>
      </c>
      <c r="M19" s="97" cm="1">
        <f t="array" ref="M19">0.07</f>
        <v>0.07000000000000001</v>
      </c>
      <c r="N19" s="87" cm="1">
        <f t="array" ref="N19">IF(C19="שוטף",K19*M19,0)</f>
        <v>30.05625</v>
      </c>
      <c r="O19" s="87" cm="1">
        <f t="array" ref="O19">N19*12</f>
        <v>360.675</v>
      </c>
      <c r="P19" t="s" s="98">
        <v>124</v>
      </c>
      <c r="Q19" s="77"/>
      <c r="R19" s="62"/>
      <c r="S19" s="62"/>
      <c r="T19" s="62"/>
      <c r="U19" s="62"/>
      <c r="V19" s="62"/>
      <c r="W19" s="62"/>
      <c r="X19" s="62"/>
      <c r="Y19" s="62"/>
      <c r="Z19" s="62"/>
      <c r="AA19" s="62"/>
    </row>
    <row r="20" ht="13.65" customHeight="1">
      <c r="A20" s="70"/>
      <c r="B20" t="s" s="94">
        <v>125</v>
      </c>
      <c r="C20" t="s" s="80">
        <v>97</v>
      </c>
      <c r="D20" s="81" cm="1">
        <f t="array" ref="D20">_xlfn.SUMIFS('עסקאות'!$M$2:$M$1958,'עסקאות'!$I$2:$I$1958,B20)</f>
        <v>10572</v>
      </c>
      <c r="E20" s="81" cm="1">
        <f t="array" ref="E20">D20/20</f>
        <v>528.6</v>
      </c>
      <c r="F20" s="81" cm="1">
        <f t="array" ref="F20">E20/2</f>
        <v>264.3</v>
      </c>
      <c r="G20" s="82" cm="1">
        <f t="array" ref="G20">IF(SUM($D$7:$D$28)=0,"",D20/SUM($D$7:$D$28))</f>
        <v>0.012903619531188</v>
      </c>
      <c r="H20" s="81" cm="1">
        <f t="array" ref="H20">_xlfn.SUMIFS('עסקאות'!$M$2:$M$1958,'עסקאות'!$I$2:$I$1958,B20,'עסקאות'!$A$2:$A$1958,"&gt;="&amp;DATE(2025,1,1),'עסקאות'!$A$2:$A$1958,"&lt;"&amp;DATE(2026,1,1))</f>
        <v>4345</v>
      </c>
      <c r="I20" s="81" cm="1">
        <f t="array" ref="I20">H20/12</f>
        <v>362.083333333333</v>
      </c>
      <c r="J20" s="81" cm="1">
        <f t="array" ref="J20">_xlfn.SUMIFS('עסקאות'!$M$2:$M$1958,'עסקאות'!$I$2:$I$1958,B20,'עסקאות'!$A$2:$A$1958,"&gt;="&amp;DATE(2026,1,1),'עסקאות'!$A$2:$A$1958,"&lt;"&amp;DATE(2027,1,1))</f>
        <v>6227</v>
      </c>
      <c r="K20" s="81" cm="1">
        <f t="array" ref="K20">J20/8</f>
        <v>778.375</v>
      </c>
      <c r="L20" s="82" cm="1">
        <f t="array" ref="L20">IF(I20=0,"",K20/I20-1)</f>
        <v>1.14971231300345</v>
      </c>
      <c r="M20" s="95" cm="1">
        <f t="array" ref="M20">0.07</f>
        <v>0.07000000000000001</v>
      </c>
      <c r="N20" s="81" cm="1">
        <f t="array" ref="N20">IF(C20="שוטף",K20*M20,0)</f>
        <v>54.48625</v>
      </c>
      <c r="O20" s="81" cm="1">
        <f t="array" ref="O20">N20*12</f>
        <v>653.835</v>
      </c>
      <c r="P20" t="s" s="96">
        <v>126</v>
      </c>
      <c r="Q20" s="77"/>
      <c r="R20" s="62"/>
      <c r="S20" s="62"/>
      <c r="T20" s="62"/>
      <c r="U20" s="62"/>
      <c r="V20" s="62"/>
      <c r="W20" s="62"/>
      <c r="X20" s="62"/>
      <c r="Y20" s="62"/>
      <c r="Z20" s="62"/>
      <c r="AA20" s="62"/>
    </row>
    <row r="21" ht="13.65" customHeight="1">
      <c r="A21" s="70"/>
      <c r="B21" t="s" s="27">
        <v>127</v>
      </c>
      <c r="C21" t="s" s="86">
        <v>97</v>
      </c>
      <c r="D21" s="87" cm="1">
        <f t="array" ref="D21">_xlfn.SUMIFS('עסקאות'!$M$2:$M$1958,'עסקאות'!$I$2:$I$1958,B21)</f>
        <v>8307</v>
      </c>
      <c r="E21" s="87" cm="1">
        <f t="array" ref="E21">D21/20</f>
        <v>415.35</v>
      </c>
      <c r="F21" s="87" cm="1">
        <f t="array" ref="F21">E21/2</f>
        <v>207.675</v>
      </c>
      <c r="G21" s="88" cm="1">
        <f t="array" ref="G21">IF(SUM($D$7:$D$28)=0,"",D21/SUM($D$7:$D$28))</f>
        <v>0.0101390812945118</v>
      </c>
      <c r="H21" s="87" cm="1">
        <f t="array" ref="H21">_xlfn.SUMIFS('עסקאות'!$M$2:$M$1958,'עסקאות'!$I$2:$I$1958,B21,'עסקאות'!$A$2:$A$1958,"&gt;="&amp;DATE(2025,1,1),'עסקאות'!$A$2:$A$1958,"&lt;"&amp;DATE(2026,1,1))</f>
        <v>5736</v>
      </c>
      <c r="I21" s="87" cm="1">
        <f t="array" ref="I21">H21/12</f>
        <v>478</v>
      </c>
      <c r="J21" s="87" cm="1">
        <f t="array" ref="J21">_xlfn.SUMIFS('עסקאות'!$M$2:$M$1958,'עסקאות'!$I$2:$I$1958,B21,'עסקאות'!$A$2:$A$1958,"&gt;="&amp;DATE(2026,1,1),'עסקאות'!$A$2:$A$1958,"&lt;"&amp;DATE(2027,1,1))</f>
        <v>2571</v>
      </c>
      <c r="K21" s="87" cm="1">
        <f t="array" ref="K21">J21/8</f>
        <v>321.375</v>
      </c>
      <c r="L21" s="88" cm="1">
        <f t="array" ref="L21">IF(I21=0,"",K21/I21-1)</f>
        <v>-0.327667364016736</v>
      </c>
      <c r="M21" s="97" cm="1">
        <f t="array" ref="M21">0.07</f>
        <v>0.07000000000000001</v>
      </c>
      <c r="N21" s="87" cm="1">
        <f t="array" ref="N21">IF(C21="שוטף",K21*M21,0)</f>
        <v>22.49625</v>
      </c>
      <c r="O21" s="87" cm="1">
        <f t="array" ref="O21">N21*12</f>
        <v>269.955</v>
      </c>
      <c r="P21" t="s" s="98">
        <v>128</v>
      </c>
      <c r="Q21" s="77"/>
      <c r="R21" s="62"/>
      <c r="S21" s="62"/>
      <c r="T21" s="62"/>
      <c r="U21" s="62"/>
      <c r="V21" s="62"/>
      <c r="W21" s="62"/>
      <c r="X21" s="62"/>
      <c r="Y21" s="62"/>
      <c r="Z21" s="62"/>
      <c r="AA21" s="62"/>
    </row>
    <row r="22" ht="13.65" customHeight="1">
      <c r="A22" s="70"/>
      <c r="B22" t="s" s="94">
        <v>129</v>
      </c>
      <c r="C22" t="s" s="80">
        <v>97</v>
      </c>
      <c r="D22" s="81" cm="1">
        <f t="array" ref="D22">_xlfn.SUMIFS('עסקאות'!$M$2:$M$1958,'עסקאות'!$I$2:$I$1958,B22)</f>
        <v>7955</v>
      </c>
      <c r="E22" s="81" cm="1">
        <f t="array" ref="E22">D22/20</f>
        <v>397.75</v>
      </c>
      <c r="F22" s="81" cm="1">
        <f t="array" ref="F22">E22/2</f>
        <v>198.875</v>
      </c>
      <c r="G22" s="82" cm="1">
        <f t="array" ref="G22">IF(SUM($D$7:$D$28)=0,"",D22/SUM($D$7:$D$28))</f>
        <v>0.009709448862145351</v>
      </c>
      <c r="H22" s="81" cm="1">
        <f t="array" ref="H22">_xlfn.SUMIFS('עסקאות'!$M$2:$M$1958,'עסקאות'!$I$2:$I$1958,B22,'עסקאות'!$A$2:$A$1958,"&gt;="&amp;DATE(2025,1,1),'עסקאות'!$A$2:$A$1958,"&lt;"&amp;DATE(2026,1,1))</f>
        <v>7955</v>
      </c>
      <c r="I22" s="81" cm="1">
        <f t="array" ref="I22">H22/12</f>
        <v>662.916666666667</v>
      </c>
      <c r="J22" s="81" cm="1">
        <f t="array" ref="J22">_xlfn.SUMIFS('עסקאות'!$M$2:$M$1958,'עסקאות'!$I$2:$I$1958,B22,'עסקאות'!$A$2:$A$1958,"&gt;="&amp;DATE(2026,1,1),'עסקאות'!$A$2:$A$1958,"&lt;"&amp;DATE(2027,1,1))</f>
        <v>0</v>
      </c>
      <c r="K22" s="81" cm="1">
        <f t="array" ref="K22">J22/8</f>
        <v>0</v>
      </c>
      <c r="L22" s="82" cm="1">
        <f t="array" ref="L22">IF(I22=0,"",K22/I22-1)</f>
        <v>-1</v>
      </c>
      <c r="M22" s="95" cm="1">
        <f t="array" ref="M22">0</f>
        <v>0</v>
      </c>
      <c r="N22" s="81" cm="1">
        <f t="array" ref="N22">IF(C22="שוטף",K22*M22,0)</f>
        <v>0</v>
      </c>
      <c r="O22" s="81" cm="1">
        <f t="array" ref="O22">N22*12</f>
        <v>0</v>
      </c>
      <c r="P22" t="s" s="96">
        <v>130</v>
      </c>
      <c r="Q22" s="77"/>
      <c r="R22" s="62"/>
      <c r="S22" s="62"/>
      <c r="T22" s="62"/>
      <c r="U22" s="62"/>
      <c r="V22" s="62"/>
      <c r="W22" s="62"/>
      <c r="X22" s="62"/>
      <c r="Y22" s="62"/>
      <c r="Z22" s="62"/>
      <c r="AA22" s="62"/>
    </row>
    <row r="23" ht="13.65" customHeight="1">
      <c r="A23" s="70"/>
      <c r="B23" t="s" s="27">
        <v>131</v>
      </c>
      <c r="C23" t="s" s="86">
        <v>97</v>
      </c>
      <c r="D23" s="87" cm="1">
        <f t="array" ref="D23">_xlfn.SUMIFS('עסקאות'!$M$2:$M$1958,'עסקאות'!$I$2:$I$1958,B23)</f>
        <v>7297</v>
      </c>
      <c r="E23" s="87" cm="1">
        <f t="array" ref="E23">D23/20</f>
        <v>364.85</v>
      </c>
      <c r="F23" s="87" cm="1">
        <f t="array" ref="F23">E23/2</f>
        <v>182.425</v>
      </c>
      <c r="G23" s="88" cm="1">
        <f t="array" ref="G23">IF(SUM($D$7:$D$28)=0,"",D23/SUM($D$7:$D$28))</f>
        <v>0.00890632914482397</v>
      </c>
      <c r="H23" s="87" cm="1">
        <f t="array" ref="H23">_xlfn.SUMIFS('עסקאות'!$M$2:$M$1958,'עסקאות'!$I$2:$I$1958,B23,'עסקאות'!$A$2:$A$1958,"&gt;="&amp;DATE(2025,1,1),'עסקאות'!$A$2:$A$1958,"&lt;"&amp;DATE(2026,1,1))</f>
        <v>1064</v>
      </c>
      <c r="I23" s="87" cm="1">
        <f t="array" ref="I23">H23/12</f>
        <v>88.6666666666667</v>
      </c>
      <c r="J23" s="87" cm="1">
        <f t="array" ref="J23">_xlfn.SUMIFS('עסקאות'!$M$2:$M$1958,'עסקאות'!$I$2:$I$1958,B23,'עסקאות'!$A$2:$A$1958,"&gt;="&amp;DATE(2026,1,1),'עסקאות'!$A$2:$A$1958,"&lt;"&amp;DATE(2027,1,1))</f>
        <v>6233</v>
      </c>
      <c r="K23" s="87" cm="1">
        <f t="array" ref="K23">J23/8</f>
        <v>779.125</v>
      </c>
      <c r="L23" s="88" cm="1">
        <f t="array" ref="L23">IF(I23=0,"",K23/I23-1)</f>
        <v>7.78712406015037</v>
      </c>
      <c r="M23" s="97" cm="1">
        <f t="array" ref="M23">0</f>
        <v>0</v>
      </c>
      <c r="N23" s="87" cm="1">
        <f t="array" ref="N23">IF(C23="שוטף",K23*M23,0)</f>
        <v>0</v>
      </c>
      <c r="O23" s="87" cm="1">
        <f t="array" ref="O23">N23*12</f>
        <v>0</v>
      </c>
      <c r="P23" t="s" s="98">
        <v>132</v>
      </c>
      <c r="Q23" s="77"/>
      <c r="R23" s="62"/>
      <c r="S23" s="62"/>
      <c r="T23" s="62"/>
      <c r="U23" s="62"/>
      <c r="V23" s="62"/>
      <c r="W23" s="62"/>
      <c r="X23" s="62"/>
      <c r="Y23" s="62"/>
      <c r="Z23" s="62"/>
      <c r="AA23" s="62"/>
    </row>
    <row r="24" ht="13.65" customHeight="1">
      <c r="A24" s="70"/>
      <c r="B24" t="s" s="94">
        <v>133</v>
      </c>
      <c r="C24" t="s" s="80">
        <v>97</v>
      </c>
      <c r="D24" s="81" cm="1">
        <f t="array" ref="D24">_xlfn.SUMIFS('עסקאות'!$M$2:$M$1958,'עסקאות'!$I$2:$I$1958,B24)</f>
        <v>6498</v>
      </c>
      <c r="E24" s="81" cm="1">
        <f t="array" ref="E24">D24/20</f>
        <v>324.9</v>
      </c>
      <c r="F24" s="81" cm="1">
        <f t="array" ref="F24">E24/2</f>
        <v>162.45</v>
      </c>
      <c r="G24" s="82" cm="1">
        <f t="array" ref="G24">IF(SUM($D$7:$D$28)=0,"",D24/SUM($D$7:$D$28))</f>
        <v>0.00793111234521942</v>
      </c>
      <c r="H24" s="81" cm="1">
        <f t="array" ref="H24">_xlfn.SUMIFS('עסקאות'!$M$2:$M$1958,'עסקאות'!$I$2:$I$1958,B24,'עסקאות'!$A$2:$A$1958,"&gt;="&amp;DATE(2025,1,1),'עסקאות'!$A$2:$A$1958,"&lt;"&amp;DATE(2026,1,1))</f>
        <v>3513</v>
      </c>
      <c r="I24" s="81" cm="1">
        <f t="array" ref="I24">H24/12</f>
        <v>292.75</v>
      </c>
      <c r="J24" s="81" cm="1">
        <f t="array" ref="J24">_xlfn.SUMIFS('עסקאות'!$M$2:$M$1958,'עסקאות'!$I$2:$I$1958,B24,'עסקאות'!$A$2:$A$1958,"&gt;="&amp;DATE(2026,1,1),'עסקאות'!$A$2:$A$1958,"&lt;"&amp;DATE(2027,1,1))</f>
        <v>2985</v>
      </c>
      <c r="K24" s="81" cm="1">
        <f t="array" ref="K24">J24/8</f>
        <v>373.125</v>
      </c>
      <c r="L24" s="82" cm="1">
        <f t="array" ref="L24">IF(I24=0,"",K24/I24-1)</f>
        <v>0.274551665243382</v>
      </c>
      <c r="M24" s="95" cm="1">
        <f t="array" ref="M24">0.07</f>
        <v>0.07000000000000001</v>
      </c>
      <c r="N24" s="81" cm="1">
        <f t="array" ref="N24">IF(C24="שוטף",K24*M24,0)</f>
        <v>26.11875</v>
      </c>
      <c r="O24" s="81" cm="1">
        <f t="array" ref="O24">N24*12</f>
        <v>313.425</v>
      </c>
      <c r="P24" t="s" s="96">
        <v>134</v>
      </c>
      <c r="Q24" s="77"/>
      <c r="R24" s="62"/>
      <c r="S24" s="62"/>
      <c r="T24" s="62"/>
      <c r="U24" s="62"/>
      <c r="V24" s="62"/>
      <c r="W24" s="62"/>
      <c r="X24" s="62"/>
      <c r="Y24" s="62"/>
      <c r="Z24" s="62"/>
      <c r="AA24" s="62"/>
    </row>
    <row r="25" ht="13.65" customHeight="1">
      <c r="A25" s="70"/>
      <c r="B25" t="s" s="27">
        <v>135</v>
      </c>
      <c r="C25" t="s" s="86">
        <v>97</v>
      </c>
      <c r="D25" s="87" cm="1">
        <f t="array" ref="D25">_xlfn.SUMIFS('עסקאות'!$M$2:$M$1958,'עסקאות'!$I$2:$I$1958,B25)</f>
        <v>2216</v>
      </c>
      <c r="E25" s="87" cm="1">
        <f t="array" ref="E25">D25/20</f>
        <v>110.8</v>
      </c>
      <c r="F25" s="87" cm="1">
        <f t="array" ref="F25">E25/2</f>
        <v>55.4</v>
      </c>
      <c r="G25" s="88" cm="1">
        <f t="array" ref="G25">IF(SUM($D$7:$D$28)=0,"",D25/SUM($D$7:$D$28))</f>
        <v>0.0027047314492161</v>
      </c>
      <c r="H25" s="87" cm="1">
        <f t="array" ref="H25">_xlfn.SUMIFS('עסקאות'!$M$2:$M$1958,'עסקאות'!$I$2:$I$1958,B25,'עסקאות'!$A$2:$A$1958,"&gt;="&amp;DATE(2025,1,1),'עסקאות'!$A$2:$A$1958,"&lt;"&amp;DATE(2026,1,1))</f>
        <v>1024</v>
      </c>
      <c r="I25" s="87" cm="1">
        <f t="array" ref="I25">H25/12</f>
        <v>85.3333333333333</v>
      </c>
      <c r="J25" s="87" cm="1">
        <f t="array" ref="J25">_xlfn.SUMIFS('עסקאות'!$M$2:$M$1958,'עסקאות'!$I$2:$I$1958,B25,'עסקאות'!$A$2:$A$1958,"&gt;="&amp;DATE(2026,1,1),'עסקאות'!$A$2:$A$1958,"&lt;"&amp;DATE(2027,1,1))</f>
        <v>1192</v>
      </c>
      <c r="K25" s="87" cm="1">
        <f t="array" ref="K25">J25/8</f>
        <v>149</v>
      </c>
      <c r="L25" s="88" cm="1">
        <f t="array" ref="L25">IF(I25=0,"",K25/I25-1)</f>
        <v>0.746093750000001</v>
      </c>
      <c r="M25" s="97" cm="1">
        <f t="array" ref="M25">0.05</f>
        <v>0.05</v>
      </c>
      <c r="N25" s="87" cm="1">
        <f t="array" ref="N25">IF(C25="שוטף",K25*M25,0)</f>
        <v>7.45</v>
      </c>
      <c r="O25" s="87" cm="1">
        <f t="array" ref="O25">N25*12</f>
        <v>89.40000000000001</v>
      </c>
      <c r="P25" t="s" s="98">
        <v>136</v>
      </c>
      <c r="Q25" s="77"/>
      <c r="R25" s="62"/>
      <c r="S25" s="62"/>
      <c r="T25" s="62"/>
      <c r="U25" s="62"/>
      <c r="V25" s="62"/>
      <c r="W25" s="62"/>
      <c r="X25" s="62"/>
      <c r="Y25" s="62"/>
      <c r="Z25" s="62"/>
      <c r="AA25" s="62"/>
    </row>
    <row r="26" ht="13.65" customHeight="1">
      <c r="A26" s="70"/>
      <c r="B26" t="s" s="94">
        <v>137</v>
      </c>
      <c r="C26" t="s" s="80">
        <v>97</v>
      </c>
      <c r="D26" s="81" cm="1">
        <f t="array" ref="D26">_xlfn.SUMIFS('עסקאות'!$M$2:$M$1958,'עסקאות'!$I$2:$I$1958,B26)</f>
        <v>1959</v>
      </c>
      <c r="E26" s="81" cm="1">
        <f t="array" ref="E26">D26/20</f>
        <v>97.95</v>
      </c>
      <c r="F26" s="81" cm="1">
        <f t="array" ref="F26">E26/2</f>
        <v>48.975</v>
      </c>
      <c r="G26" s="82" cm="1">
        <f t="array" ref="G26">IF(SUM($D$7:$D$28)=0,"",D26/SUM($D$7:$D$28))</f>
        <v>0.00239105095172128</v>
      </c>
      <c r="H26" s="81" cm="1">
        <f t="array" ref="H26">_xlfn.SUMIFS('עסקאות'!$M$2:$M$1958,'עסקאות'!$I$2:$I$1958,B26,'עסקאות'!$A$2:$A$1958,"&gt;="&amp;DATE(2025,1,1),'עסקאות'!$A$2:$A$1958,"&lt;"&amp;DATE(2026,1,1))</f>
        <v>0</v>
      </c>
      <c r="I26" s="81" cm="1">
        <f t="array" ref="I26">H26/12</f>
        <v>0</v>
      </c>
      <c r="J26" s="81" cm="1">
        <f t="array" ref="J26">_xlfn.SUMIFS('עסקאות'!$M$2:$M$1958,'עסקאות'!$I$2:$I$1958,B26,'עסקאות'!$A$2:$A$1958,"&gt;="&amp;DATE(2026,1,1),'עסקאות'!$A$2:$A$1958,"&lt;"&amp;DATE(2027,1,1))</f>
        <v>1959</v>
      </c>
      <c r="K26" s="81" cm="1">
        <f t="array" ref="K26">J26/8</f>
        <v>244.875</v>
      </c>
      <c r="L26" t="str" s="100" cm="1">
        <f t="array" ref="L26">IF(I26=0,"",K26/I26-1)</f>
      </c>
      <c r="M26" s="95" cm="1">
        <f t="array" ref="M26">0</f>
        <v>0</v>
      </c>
      <c r="N26" s="81" cm="1">
        <f t="array" ref="N26">IF(C26="שוטף",K26*M26,0)</f>
        <v>0</v>
      </c>
      <c r="O26" s="81" cm="1">
        <f t="array" ref="O26">N26*12</f>
        <v>0</v>
      </c>
      <c r="P26" t="s" s="96">
        <v>138</v>
      </c>
      <c r="Q26" s="77"/>
      <c r="R26" s="62"/>
      <c r="S26" s="62"/>
      <c r="T26" s="62"/>
      <c r="U26" s="62"/>
      <c r="V26" s="62"/>
      <c r="W26" s="62"/>
      <c r="X26" s="62"/>
      <c r="Y26" s="62"/>
      <c r="Z26" s="62"/>
      <c r="AA26" s="62"/>
    </row>
    <row r="27" ht="13.65" customHeight="1">
      <c r="A27" s="70"/>
      <c r="B27" t="s" s="27">
        <v>139</v>
      </c>
      <c r="C27" t="s" s="86">
        <v>97</v>
      </c>
      <c r="D27" s="87" cm="1">
        <f t="array" ref="D27">_xlfn.SUMIFS('עסקאות'!$M$2:$M$1958,'עסקאות'!$I$2:$I$1958,B27)</f>
        <v>284</v>
      </c>
      <c r="E27" s="87" cm="1">
        <f t="array" ref="E27">D27/20</f>
        <v>14.2</v>
      </c>
      <c r="F27" s="87" cm="1">
        <f t="array" ref="F27">E27/2</f>
        <v>7.1</v>
      </c>
      <c r="G27" s="88" cm="1">
        <f t="array" ref="G27">IF(SUM($D$7:$D$28)=0,"",D27/SUM($D$7:$D$28))</f>
        <v>0.000346635257932028</v>
      </c>
      <c r="H27" s="87" cm="1">
        <f t="array" ref="H27">_xlfn.SUMIFS('עסקאות'!$M$2:$M$1958,'עסקאות'!$I$2:$I$1958,B27,'עסקאות'!$A$2:$A$1958,"&gt;="&amp;DATE(2025,1,1),'עסקאות'!$A$2:$A$1958,"&lt;"&amp;DATE(2026,1,1))</f>
        <v>282</v>
      </c>
      <c r="I27" s="87" cm="1">
        <f t="array" ref="I27">H27/12</f>
        <v>23.5</v>
      </c>
      <c r="J27" s="87" cm="1">
        <f t="array" ref="J27">_xlfn.SUMIFS('עסקאות'!$M$2:$M$1958,'עסקאות'!$I$2:$I$1958,B27,'עסקאות'!$A$2:$A$1958,"&gt;="&amp;DATE(2026,1,1),'עסקאות'!$A$2:$A$1958,"&lt;"&amp;DATE(2027,1,1))</f>
        <v>2</v>
      </c>
      <c r="K27" s="87" cm="1">
        <f t="array" ref="K27">J27/8</f>
        <v>0.25</v>
      </c>
      <c r="L27" s="88" cm="1">
        <f t="array" ref="L27">IF(I27=0,"",K27/I27-1)</f>
        <v>-0.9893617021276599</v>
      </c>
      <c r="M27" s="97" cm="1">
        <f t="array" ref="M27">0.2</f>
        <v>0.2</v>
      </c>
      <c r="N27" s="87" cm="1">
        <f t="array" ref="N27">IF(C27="שוטף",K27*M27,0)</f>
        <v>0.05</v>
      </c>
      <c r="O27" s="87" cm="1">
        <f t="array" ref="O27">N27*12</f>
        <v>0.6</v>
      </c>
      <c r="P27" t="s" s="98">
        <v>140</v>
      </c>
      <c r="Q27" s="77"/>
      <c r="R27" s="62"/>
      <c r="S27" s="62"/>
      <c r="T27" s="62"/>
      <c r="U27" s="62"/>
      <c r="V27" s="62"/>
      <c r="W27" s="62"/>
      <c r="X27" s="62"/>
      <c r="Y27" s="62"/>
      <c r="Z27" s="62"/>
      <c r="AA27" s="62"/>
    </row>
    <row r="28" ht="13.65" customHeight="1">
      <c r="A28" s="70"/>
      <c r="B28" t="s" s="94">
        <v>141</v>
      </c>
      <c r="C28" t="s" s="80">
        <v>142</v>
      </c>
      <c r="D28" s="81" cm="1">
        <f t="array" ref="D28">_xlfn.SUMIFS('עסקאות'!$M$2:$M$1958,'עסקאות'!$I$2:$I$1958,B28)</f>
        <v>0</v>
      </c>
      <c r="E28" s="81" cm="1">
        <f t="array" ref="E28">D28/20</f>
        <v>0</v>
      </c>
      <c r="F28" s="81" cm="1">
        <f t="array" ref="F28">E28/2</f>
        <v>0</v>
      </c>
      <c r="G28" s="82" cm="1">
        <f t="array" ref="G28">IF(SUM($D$7:$D$28)=0,"",D28/SUM($D$7:$D$28))</f>
        <v>0</v>
      </c>
      <c r="H28" s="81" cm="1">
        <f t="array" ref="H28">_xlfn.SUMIFS('עסקאות'!$M$2:$M$1958,'עסקאות'!$I$2:$I$1958,B28,'עסקאות'!$A$2:$A$1958,"&gt;="&amp;DATE(2025,1,1),'עסקאות'!$A$2:$A$1958,"&lt;"&amp;DATE(2026,1,1))</f>
        <v>0</v>
      </c>
      <c r="I28" s="81" cm="1">
        <f t="array" ref="I28">H28/12</f>
        <v>0</v>
      </c>
      <c r="J28" s="81" cm="1">
        <f t="array" ref="J28">_xlfn.SUMIFS('עסקאות'!$M$2:$M$1958,'עסקאות'!$I$2:$I$1958,B28,'עסקאות'!$A$2:$A$1958,"&gt;="&amp;DATE(2026,1,1),'עסקאות'!$A$2:$A$1958,"&lt;"&amp;DATE(2027,1,1))</f>
        <v>0</v>
      </c>
      <c r="K28" s="81" cm="1">
        <f t="array" ref="K28">J28/8</f>
        <v>0</v>
      </c>
      <c r="L28" t="str" s="100" cm="1">
        <f t="array" ref="L28">IF(I28=0,"",K28/I28-1)</f>
      </c>
      <c r="M28" s="95" cm="1">
        <f t="array" ref="M28">0</f>
        <v>0</v>
      </c>
      <c r="N28" s="81" cm="1">
        <f t="array" ref="N28">IF(C28="שוטף",K28*M28,0)</f>
        <v>0</v>
      </c>
      <c r="O28" s="81" cm="1">
        <f t="array" ref="O28">N28*12</f>
        <v>0</v>
      </c>
      <c r="P28" t="s" s="96">
        <v>143</v>
      </c>
      <c r="Q28" s="77"/>
      <c r="R28" s="62"/>
      <c r="S28" s="62"/>
      <c r="T28" s="62"/>
      <c r="U28" s="62"/>
      <c r="V28" s="62"/>
      <c r="W28" s="62"/>
      <c r="X28" s="62"/>
      <c r="Y28" s="62"/>
      <c r="Z28" s="62"/>
      <c r="AA28" s="62"/>
    </row>
    <row r="29" ht="13.55" customHeight="1">
      <c r="A29" s="62"/>
      <c r="B29" s="89"/>
      <c r="C29" s="89"/>
      <c r="D29" s="89"/>
      <c r="E29" s="89"/>
      <c r="F29" s="89"/>
      <c r="G29" s="89"/>
      <c r="H29" s="89"/>
      <c r="I29" s="89"/>
      <c r="J29" s="89"/>
      <c r="K29" s="89"/>
      <c r="L29" s="89"/>
      <c r="M29" s="89"/>
      <c r="N29" s="89"/>
      <c r="O29" s="89"/>
      <c r="P29" s="89"/>
      <c r="Q29" s="62"/>
      <c r="R29" s="62"/>
      <c r="S29" s="62"/>
      <c r="T29" s="62"/>
      <c r="U29" s="62"/>
      <c r="V29" s="62"/>
      <c r="W29" s="62"/>
      <c r="X29" s="62"/>
      <c r="Y29" s="62"/>
      <c r="Z29" s="62"/>
      <c r="AA29" s="62"/>
    </row>
  </sheetData>
  <conditionalFormatting sqref="D7:O28">
    <cfRule type="cellIs" dxfId="3"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24"/>
  <sheetViews>
    <sheetView workbookViewId="0" showGridLines="0" defaultGridColor="1"/>
  </sheetViews>
  <sheetFormatPr defaultColWidth="8.83333" defaultRowHeight="15" customHeight="1" outlineLevelRow="0" outlineLevelCol="0"/>
  <cols>
    <col min="1" max="1" width="2" style="101" customWidth="1"/>
    <col min="2" max="2" width="24" style="101" customWidth="1"/>
    <col min="3" max="9" width="16" style="101" customWidth="1"/>
    <col min="10" max="10" width="58" style="101" customWidth="1"/>
    <col min="11" max="11" width="8.85156" style="101" customWidth="1"/>
    <col min="12" max="16384" width="8.85156" style="101" customWidth="1"/>
  </cols>
  <sheetData>
    <row r="1" ht="13.55" customHeight="1">
      <c r="A1" s="62"/>
      <c r="B1" s="62"/>
      <c r="C1" s="62"/>
      <c r="D1" s="62"/>
      <c r="E1" s="62"/>
      <c r="F1" s="62"/>
      <c r="G1" s="62"/>
      <c r="H1" s="62"/>
      <c r="I1" s="62"/>
      <c r="J1" s="62"/>
      <c r="K1" s="62"/>
    </row>
    <row r="2" ht="20.45" customHeight="1">
      <c r="A2" s="62"/>
      <c r="B2" t="s" s="63">
        <v>145</v>
      </c>
      <c r="C2" s="64"/>
      <c r="D2" s="64"/>
      <c r="E2" s="64"/>
      <c r="F2" s="64"/>
      <c r="G2" s="64"/>
      <c r="H2" s="64"/>
      <c r="I2" s="64"/>
      <c r="J2" s="64"/>
      <c r="K2" s="64"/>
    </row>
    <row r="3" ht="13.65" customHeight="1">
      <c r="A3" s="62"/>
      <c r="B3" t="s" s="65">
        <v>146</v>
      </c>
      <c r="C3" s="66"/>
      <c r="D3" s="66"/>
      <c r="E3" s="66"/>
      <c r="F3" s="66"/>
      <c r="G3" s="66"/>
      <c r="H3" s="66"/>
      <c r="I3" s="66"/>
      <c r="J3" s="66"/>
      <c r="K3" s="66"/>
    </row>
    <row r="4" ht="13.55" customHeight="1">
      <c r="A4" s="62"/>
      <c r="B4" s="62"/>
      <c r="C4" s="62"/>
      <c r="D4" s="62"/>
      <c r="E4" s="62"/>
      <c r="F4" s="62"/>
      <c r="G4" s="62"/>
      <c r="H4" s="62"/>
      <c r="I4" s="62"/>
      <c r="J4" s="62"/>
      <c r="K4" s="62"/>
    </row>
    <row r="5" ht="13.55" customHeight="1">
      <c r="A5" s="62"/>
      <c r="B5" s="67"/>
      <c r="C5" s="67"/>
      <c r="D5" s="67"/>
      <c r="E5" s="67"/>
      <c r="F5" s="67"/>
      <c r="G5" s="67"/>
      <c r="H5" s="67"/>
      <c r="I5" s="67"/>
      <c r="J5" s="67"/>
      <c r="K5" s="62"/>
    </row>
    <row r="6" ht="13.65" customHeight="1">
      <c r="A6" s="68"/>
      <c r="B6" t="s" s="19">
        <v>147</v>
      </c>
      <c r="C6" t="s" s="19">
        <v>148</v>
      </c>
      <c r="D6" t="s" s="19">
        <v>149</v>
      </c>
      <c r="E6" t="s" s="19">
        <v>150</v>
      </c>
      <c r="F6" t="s" s="19">
        <v>151</v>
      </c>
      <c r="G6" t="s" s="19">
        <v>152</v>
      </c>
      <c r="H6" t="s" s="19">
        <v>153</v>
      </c>
      <c r="I6" t="s" s="19">
        <v>154</v>
      </c>
      <c r="J6" t="s" s="19">
        <v>155</v>
      </c>
      <c r="K6" s="69"/>
    </row>
    <row r="7" ht="32" customHeight="1">
      <c r="A7" s="70"/>
      <c r="B7" t="s" s="22">
        <v>113</v>
      </c>
      <c r="C7" s="74">
        <v>1511.3</v>
      </c>
      <c r="D7" s="92">
        <v>0.07000000000000001</v>
      </c>
      <c r="E7" s="92">
        <v>0.12</v>
      </c>
      <c r="F7" s="74" cm="1">
        <f t="array" ref="F7">C7*D7</f>
        <v>105.791</v>
      </c>
      <c r="G7" s="74" cm="1">
        <f t="array" ref="G7">C7*E7</f>
        <v>181.356</v>
      </c>
      <c r="H7" s="74" cm="1">
        <f t="array" ref="H7">F7*12</f>
        <v>1269.492</v>
      </c>
      <c r="I7" s="74" cm="1">
        <f t="array" ref="I7">G7*12</f>
        <v>2176.272</v>
      </c>
      <c r="J7" t="s" s="93">
        <v>156</v>
      </c>
      <c r="K7" s="77"/>
    </row>
    <row r="8" ht="32" customHeight="1">
      <c r="A8" s="70"/>
      <c r="B8" t="s" s="94">
        <v>109</v>
      </c>
      <c r="C8" s="81">
        <v>2087.05</v>
      </c>
      <c r="D8" s="95">
        <v>0.03</v>
      </c>
      <c r="E8" s="95">
        <v>0.06</v>
      </c>
      <c r="F8" s="81" cm="1">
        <f t="array" ref="F8">C8*D8</f>
        <v>62.6115</v>
      </c>
      <c r="G8" s="81" cm="1">
        <f t="array" ref="G8">C8*E8</f>
        <v>125.223</v>
      </c>
      <c r="H8" s="81" cm="1">
        <f t="array" ref="H8">F8*12</f>
        <v>751.338</v>
      </c>
      <c r="I8" s="81" cm="1">
        <f t="array" ref="I8">G8*12</f>
        <v>1502.676</v>
      </c>
      <c r="J8" t="s" s="96">
        <v>157</v>
      </c>
      <c r="K8" s="77"/>
    </row>
    <row r="9" ht="32" customHeight="1">
      <c r="A9" s="70"/>
      <c r="B9" t="s" s="27">
        <v>111</v>
      </c>
      <c r="C9" s="87">
        <v>1916.55</v>
      </c>
      <c r="D9" s="97">
        <v>0.05</v>
      </c>
      <c r="E9" s="97">
        <v>0.12</v>
      </c>
      <c r="F9" s="87" cm="1">
        <f t="array" ref="F9">C9*D9</f>
        <v>95.8275</v>
      </c>
      <c r="G9" s="87" cm="1">
        <f t="array" ref="G9">C9*E9</f>
        <v>229.986</v>
      </c>
      <c r="H9" s="87" cm="1">
        <f t="array" ref="H9">F9*12</f>
        <v>1149.93</v>
      </c>
      <c r="I9" s="87" cm="1">
        <f t="array" ref="I9">G9*12</f>
        <v>2759.832</v>
      </c>
      <c r="J9" t="s" s="98">
        <v>158</v>
      </c>
      <c r="K9" s="77"/>
    </row>
    <row r="10" ht="32" customHeight="1">
      <c r="A10" s="70"/>
      <c r="B10" t="s" s="94">
        <v>159</v>
      </c>
      <c r="C10" s="81">
        <v>3398.8</v>
      </c>
      <c r="D10" s="95">
        <v>0.07000000000000001</v>
      </c>
      <c r="E10" s="95">
        <v>0.12</v>
      </c>
      <c r="F10" s="81" cm="1">
        <f t="array" ref="F10">C10*D10</f>
        <v>237.916</v>
      </c>
      <c r="G10" s="81" cm="1">
        <f t="array" ref="G10">C10*E10</f>
        <v>407.856</v>
      </c>
      <c r="H10" s="81" cm="1">
        <f t="array" ref="H10">F10*12</f>
        <v>2854.992</v>
      </c>
      <c r="I10" s="81" cm="1">
        <f t="array" ref="I10">G10*12</f>
        <v>4894.272</v>
      </c>
      <c r="J10" t="s" s="96">
        <v>160</v>
      </c>
      <c r="K10" s="77"/>
    </row>
    <row r="11" ht="32" customHeight="1">
      <c r="A11" s="70"/>
      <c r="B11" t="s" s="27">
        <v>161</v>
      </c>
      <c r="C11" s="87" cm="1">
        <f t="array" ref="C11">_xlfn.SUMIFS('עסקאות'!$M$2:$M$1958,'עסקאות'!$F$2:$F$1958,"מנקה")/20</f>
        <v>523</v>
      </c>
      <c r="D11" s="97">
        <v>0.05</v>
      </c>
      <c r="E11" s="97">
        <v>0.15</v>
      </c>
      <c r="F11" s="87" cm="1">
        <f t="array" ref="F11">C11*D11</f>
        <v>26.15</v>
      </c>
      <c r="G11" s="87" cm="1">
        <f t="array" ref="G11">C11*E11</f>
        <v>78.45</v>
      </c>
      <c r="H11" s="87" cm="1">
        <f t="array" ref="H11">F11*12</f>
        <v>313.8</v>
      </c>
      <c r="I11" s="87" cm="1">
        <f t="array" ref="I11">G11*12</f>
        <v>941.4</v>
      </c>
      <c r="J11" t="s" s="98">
        <v>162</v>
      </c>
      <c r="K11" s="77"/>
    </row>
    <row r="12" ht="32" customHeight="1">
      <c r="A12" s="70"/>
      <c r="B12" t="s" s="94">
        <v>115</v>
      </c>
      <c r="C12" s="81">
        <v>1259.25</v>
      </c>
      <c r="D12" s="95">
        <v>0.03</v>
      </c>
      <c r="E12" s="95">
        <v>0.07000000000000001</v>
      </c>
      <c r="F12" s="81" cm="1">
        <f t="array" ref="F12">C12*D12</f>
        <v>37.7775</v>
      </c>
      <c r="G12" s="81" cm="1">
        <f t="array" ref="G12">C12*E12</f>
        <v>88.14749999999999</v>
      </c>
      <c r="H12" s="81" cm="1">
        <f t="array" ref="H12">F12*12</f>
        <v>453.33</v>
      </c>
      <c r="I12" s="81" cm="1">
        <f t="array" ref="I12">G12*12</f>
        <v>1057.77</v>
      </c>
      <c r="J12" t="s" s="96">
        <v>163</v>
      </c>
      <c r="K12" s="77"/>
    </row>
    <row r="13" ht="32" customHeight="1">
      <c r="A13" s="70"/>
      <c r="B13" t="s" s="27">
        <v>164</v>
      </c>
      <c r="C13" s="87">
        <v>125</v>
      </c>
      <c r="D13" s="97">
        <v>0.05</v>
      </c>
      <c r="E13" s="97">
        <v>0.15</v>
      </c>
      <c r="F13" s="87" cm="1">
        <f t="array" ref="F13">C13*D13</f>
        <v>6.25</v>
      </c>
      <c r="G13" s="87" cm="1">
        <f t="array" ref="G13">C13*E13</f>
        <v>18.75</v>
      </c>
      <c r="H13" s="87" cm="1">
        <f t="array" ref="H13">F13*12</f>
        <v>75</v>
      </c>
      <c r="I13" s="87" cm="1">
        <f t="array" ref="I13">G13*12</f>
        <v>225</v>
      </c>
      <c r="J13" t="s" s="98">
        <v>165</v>
      </c>
      <c r="K13" s="77"/>
    </row>
    <row r="14" ht="32" customHeight="1">
      <c r="A14" s="70"/>
      <c r="B14" t="s" s="102">
        <v>166</v>
      </c>
      <c r="C14" s="103" cm="1">
        <f t="array" ref="C14">(_xlfn.SUMIFS('עסקאות'!$M$2:$M$1958,'עסקאות'!$F$2:$F$1958,"אינטרנט")+_xlfn.SUMIFS('עסקאות'!$M$2:$M$1958,'עסקאות'!$F$2:$F$1958,"סלולר")+_xlfn.SUMIFS('עסקאות'!$M$2:$M$1958,'עסקאות'!$F$2:$F$1958,"סלולר + אינטרנט"))/20</f>
        <v>152.1</v>
      </c>
      <c r="D14" s="104">
        <v>0.1</v>
      </c>
      <c r="E14" s="104">
        <v>0.2</v>
      </c>
      <c r="F14" s="103" cm="1">
        <f t="array" ref="F14">C14*D14</f>
        <v>15.21</v>
      </c>
      <c r="G14" s="103" cm="1">
        <f t="array" ref="G14">C14*E14</f>
        <v>30.42</v>
      </c>
      <c r="H14" s="103" cm="1">
        <f t="array" ref="H14">F14*12</f>
        <v>182.52</v>
      </c>
      <c r="I14" s="103" cm="1">
        <f t="array" ref="I14">G14*12</f>
        <v>365.04</v>
      </c>
      <c r="J14" t="s" s="105">
        <v>167</v>
      </c>
      <c r="K14" s="77"/>
    </row>
    <row r="15" ht="32" customHeight="1">
      <c r="A15" s="106"/>
      <c r="B15" t="s" s="107">
        <v>168</v>
      </c>
      <c r="C15" s="108"/>
      <c r="D15" s="109"/>
      <c r="E15" s="109"/>
      <c r="F15" s="108" cm="1">
        <f t="array" ref="F15">SUM(F7:F14)</f>
        <v>587.5335</v>
      </c>
      <c r="G15" s="108" cm="1">
        <f t="array" ref="G15">SUM(G7:G14)</f>
        <v>1160.1885</v>
      </c>
      <c r="H15" s="108" cm="1">
        <f t="array" ref="H15">SUM(H7:H14)</f>
        <v>7050.402</v>
      </c>
      <c r="I15" s="108" cm="1">
        <f t="array" ref="I15">SUM(I7:I14)</f>
        <v>13922.262</v>
      </c>
      <c r="J15" t="s" s="110">
        <v>169</v>
      </c>
      <c r="K15" s="111"/>
    </row>
    <row r="16" ht="13.55" customHeight="1">
      <c r="A16" s="62"/>
      <c r="B16" s="112"/>
      <c r="C16" s="112"/>
      <c r="D16" s="112"/>
      <c r="E16" s="112"/>
      <c r="F16" s="112"/>
      <c r="G16" s="112"/>
      <c r="H16" s="112"/>
      <c r="I16" s="112"/>
      <c r="J16" s="112"/>
      <c r="K16" s="62"/>
    </row>
    <row r="17" ht="13.55" customHeight="1">
      <c r="A17" s="62"/>
      <c r="B17" s="67"/>
      <c r="C17" s="67"/>
      <c r="D17" s="67"/>
      <c r="E17" s="67"/>
      <c r="F17" s="62"/>
      <c r="G17" s="62"/>
      <c r="H17" s="62"/>
      <c r="I17" s="62"/>
      <c r="J17" s="62"/>
      <c r="K17" s="62"/>
    </row>
    <row r="18" ht="13.65" customHeight="1">
      <c r="A18" s="68"/>
      <c r="B18" t="s" s="19">
        <v>170</v>
      </c>
      <c r="C18" t="s" s="19">
        <v>171</v>
      </c>
      <c r="D18" t="s" s="19">
        <v>172</v>
      </c>
      <c r="E18" t="s" s="19">
        <v>173</v>
      </c>
      <c r="F18" s="69"/>
      <c r="G18" s="62"/>
      <c r="H18" s="62"/>
      <c r="I18" s="62"/>
      <c r="J18" s="62"/>
      <c r="K18" s="62"/>
    </row>
    <row r="19" ht="38" customHeight="1">
      <c r="A19" s="70"/>
      <c r="B19" t="s" s="22">
        <v>107</v>
      </c>
      <c r="C19" s="74">
        <v>2584.05</v>
      </c>
      <c r="D19" t="s" s="113">
        <v>174</v>
      </c>
      <c r="E19" t="s" s="93">
        <v>175</v>
      </c>
      <c r="F19" s="77"/>
      <c r="G19" s="62"/>
      <c r="H19" s="62"/>
      <c r="I19" s="62"/>
      <c r="J19" s="62"/>
      <c r="K19" s="62"/>
    </row>
    <row r="20" ht="38" customHeight="1">
      <c r="A20" s="70"/>
      <c r="B20" t="s" s="94">
        <v>176</v>
      </c>
      <c r="C20" s="81">
        <v>8836.5</v>
      </c>
      <c r="D20" t="s" s="114">
        <v>177</v>
      </c>
      <c r="E20" t="s" s="96">
        <v>178</v>
      </c>
      <c r="F20" s="77"/>
      <c r="G20" s="62"/>
      <c r="H20" s="62"/>
      <c r="I20" s="62"/>
      <c r="J20" s="62"/>
      <c r="K20" s="62"/>
    </row>
    <row r="21" ht="38" customHeight="1">
      <c r="A21" s="70"/>
      <c r="B21" t="s" s="27">
        <v>99</v>
      </c>
      <c r="C21" s="87">
        <v>134579</v>
      </c>
      <c r="D21" t="s" s="115">
        <v>179</v>
      </c>
      <c r="E21" t="s" s="98">
        <v>180</v>
      </c>
      <c r="F21" s="77"/>
      <c r="G21" s="62"/>
      <c r="H21" s="62"/>
      <c r="I21" s="62"/>
      <c r="J21" s="62"/>
      <c r="K21" s="62"/>
    </row>
    <row r="22" ht="38" customHeight="1">
      <c r="A22" s="70"/>
      <c r="B22" t="s" s="94">
        <v>137</v>
      </c>
      <c r="C22" s="81">
        <v>1959</v>
      </c>
      <c r="D22" t="s" s="114">
        <v>181</v>
      </c>
      <c r="E22" t="s" s="96">
        <v>182</v>
      </c>
      <c r="F22" s="77"/>
      <c r="G22" s="62"/>
      <c r="H22" s="62"/>
      <c r="I22" s="62"/>
      <c r="J22" s="62"/>
      <c r="K22" s="62"/>
    </row>
    <row r="23" ht="38" customHeight="1">
      <c r="A23" s="70"/>
      <c r="B23" t="s" s="27">
        <v>131</v>
      </c>
      <c r="C23" s="87">
        <v>364.85</v>
      </c>
      <c r="D23" t="s" s="115">
        <v>183</v>
      </c>
      <c r="E23" t="s" s="98">
        <v>184</v>
      </c>
      <c r="F23" s="77"/>
      <c r="G23" s="62"/>
      <c r="H23" s="62"/>
      <c r="I23" s="62"/>
      <c r="J23" s="62"/>
      <c r="K23" s="62"/>
    </row>
    <row r="24" ht="13.55" customHeight="1">
      <c r="A24" s="62"/>
      <c r="B24" s="89"/>
      <c r="C24" s="89"/>
      <c r="D24" s="89"/>
      <c r="E24" s="89"/>
      <c r="F24" s="62"/>
      <c r="G24" s="62"/>
      <c r="H24" s="62"/>
      <c r="I24" s="62"/>
      <c r="J24" s="62"/>
      <c r="K24" s="62"/>
    </row>
  </sheetData>
  <conditionalFormatting sqref="C7:I14 C15 F15:I15 C19:C23">
    <cfRule type="cellIs" dxfId="4"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539"/>
  <sheetViews>
    <sheetView workbookViewId="0" showGridLines="0" defaultGridColor="1"/>
  </sheetViews>
  <sheetFormatPr defaultColWidth="8.83333" defaultRowHeight="15" customHeight="1" outlineLevelRow="0" outlineLevelCol="0"/>
  <cols>
    <col min="1" max="1" width="2" style="116" customWidth="1"/>
    <col min="2" max="2" width="34" style="116" customWidth="1"/>
    <col min="3" max="3" width="24" style="116" customWidth="1"/>
    <col min="4" max="5" width="15" style="116" customWidth="1"/>
    <col min="6" max="10" width="16" style="116" customWidth="1"/>
    <col min="11" max="11" width="8.85156" style="116" customWidth="1"/>
    <col min="12" max="16384" width="8.85156" style="116" customWidth="1"/>
  </cols>
  <sheetData>
    <row r="1" ht="13.55" customHeight="1">
      <c r="A1" s="62"/>
      <c r="B1" s="62"/>
      <c r="C1" s="62"/>
      <c r="D1" s="62"/>
      <c r="E1" s="62"/>
      <c r="F1" s="62"/>
      <c r="G1" s="62"/>
      <c r="H1" s="62"/>
      <c r="I1" s="62"/>
      <c r="J1" s="62"/>
      <c r="K1" s="62"/>
    </row>
    <row r="2" ht="20.45" customHeight="1">
      <c r="A2" s="62"/>
      <c r="B2" t="s" s="63">
        <v>186</v>
      </c>
      <c r="C2" s="64"/>
      <c r="D2" s="64"/>
      <c r="E2" s="64"/>
      <c r="F2" s="64"/>
      <c r="G2" s="64"/>
      <c r="H2" s="64"/>
      <c r="I2" s="64"/>
      <c r="J2" s="64"/>
      <c r="K2" s="62"/>
    </row>
    <row r="3" ht="13.65" customHeight="1">
      <c r="A3" s="62"/>
      <c r="B3" t="s" s="65">
        <v>187</v>
      </c>
      <c r="C3" s="66"/>
      <c r="D3" s="66"/>
      <c r="E3" s="66"/>
      <c r="F3" s="66"/>
      <c r="G3" s="66"/>
      <c r="H3" s="66"/>
      <c r="I3" s="66"/>
      <c r="J3" s="66"/>
      <c r="K3" s="62"/>
    </row>
    <row r="4" ht="13.55" customHeight="1">
      <c r="A4" s="62"/>
      <c r="B4" s="62"/>
      <c r="C4" s="62"/>
      <c r="D4" s="62"/>
      <c r="E4" s="62"/>
      <c r="F4" s="62"/>
      <c r="G4" s="62"/>
      <c r="H4" s="62"/>
      <c r="I4" s="62"/>
      <c r="J4" s="62"/>
      <c r="K4" s="62"/>
    </row>
    <row r="5" ht="13.55" customHeight="1">
      <c r="A5" s="62"/>
      <c r="B5" s="67"/>
      <c r="C5" s="67"/>
      <c r="D5" s="67"/>
      <c r="E5" s="67"/>
      <c r="F5" s="67"/>
      <c r="G5" s="67"/>
      <c r="H5" s="67"/>
      <c r="I5" s="67"/>
      <c r="J5" s="67"/>
      <c r="K5" s="62"/>
    </row>
    <row r="6" ht="13.65" customHeight="1">
      <c r="A6" s="68"/>
      <c r="B6" t="s" s="19">
        <v>188</v>
      </c>
      <c r="C6" t="s" s="19">
        <v>189</v>
      </c>
      <c r="D6" t="s" s="19">
        <v>190</v>
      </c>
      <c r="E6" t="s" s="19">
        <v>191</v>
      </c>
      <c r="F6" t="s" s="19">
        <v>83</v>
      </c>
      <c r="G6" t="s" s="19">
        <v>192</v>
      </c>
      <c r="H6" t="s" s="19">
        <v>193</v>
      </c>
      <c r="I6" t="s" s="91">
        <v>194</v>
      </c>
      <c r="J6" t="s" s="91">
        <v>195</v>
      </c>
      <c r="K6" s="69"/>
    </row>
    <row r="7" ht="13.65" customHeight="1">
      <c r="A7" s="70"/>
      <c r="B7" t="s" s="22">
        <v>196</v>
      </c>
      <c r="C7" t="s" s="73">
        <v>96</v>
      </c>
      <c r="D7" s="117">
        <v>18</v>
      </c>
      <c r="E7" s="117">
        <v>18</v>
      </c>
      <c r="F7" s="74" cm="1">
        <f t="array" ref="F7">_xlfn.SUMIFS('עסקאות'!$M$2:$M$1958,'עסקאות'!$F$2:$F$1958,B7)</f>
        <v>141500</v>
      </c>
      <c r="G7" s="74" cm="1">
        <f t="array" ref="G7">IF(D7=0,"",F7/D7)</f>
        <v>7861.111111111110</v>
      </c>
      <c r="H7" s="74" cm="1">
        <f t="array" ref="H7">F7/20</f>
        <v>7075</v>
      </c>
      <c r="I7" s="74" cm="1">
        <f t="array" ref="I7">_xlfn.SUMIFS('עסקאות'!$M$2:$M$1958,'עסקאות'!$F$2:$F$1958,B7,'עסקאות'!$A$2:$A$1958,"&gt;="&amp;DATE(2025,1,1),'עסקאות'!$A$2:$A$1958,"&lt;"&amp;DATE(2026,1,1))</f>
        <v>77500</v>
      </c>
      <c r="J7" s="76" cm="1">
        <f t="array" ref="J7">_xlfn.SUMIFS('עסקאות'!$M$2:$M$1958,'עסקאות'!$F$2:$F$1958,B7,'עסקאות'!$A$2:$A$1958,"&gt;="&amp;DATE(2026,1,1),'עסקאות'!$A$2:$A$1958,"&lt;"&amp;DATE(2027,1,1))</f>
        <v>64000</v>
      </c>
      <c r="K7" s="77"/>
    </row>
    <row r="8" ht="13.65" customHeight="1">
      <c r="A8" s="70"/>
      <c r="B8" t="s" s="94">
        <v>197</v>
      </c>
      <c r="C8" t="s" s="80">
        <v>99</v>
      </c>
      <c r="D8" s="118">
        <v>20</v>
      </c>
      <c r="E8" s="118">
        <v>20</v>
      </c>
      <c r="F8" s="81" cm="1">
        <f t="array" ref="F8">_xlfn.SUMIFS('עסקאות'!$M$2:$M$1958,'עסקאות'!$F$2:$F$1958,B8)</f>
        <v>122792</v>
      </c>
      <c r="G8" s="81" cm="1">
        <f t="array" ref="G8">IF(D8=0,"",F8/D8)</f>
        <v>6139.6</v>
      </c>
      <c r="H8" s="81" cm="1">
        <f t="array" ref="H8">F8/20</f>
        <v>6139.6</v>
      </c>
      <c r="I8" s="81" cm="1">
        <f t="array" ref="I8">_xlfn.SUMIFS('עסקאות'!$M$2:$M$1958,'עסקאות'!$F$2:$F$1958,B8,'עסקאות'!$A$2:$A$1958,"&gt;="&amp;DATE(2025,1,1),'עסקאות'!$A$2:$A$1958,"&lt;"&amp;DATE(2026,1,1))</f>
        <v>73618</v>
      </c>
      <c r="J8" s="83" cm="1">
        <f t="array" ref="J8">_xlfn.SUMIFS('עסקאות'!$M$2:$M$1958,'עסקאות'!$F$2:$F$1958,B8,'עסקאות'!$A$2:$A$1958,"&gt;="&amp;DATE(2026,1,1),'עסקאות'!$A$2:$A$1958,"&lt;"&amp;DATE(2027,1,1))</f>
        <v>49174</v>
      </c>
      <c r="K8" s="77"/>
    </row>
    <row r="9" ht="13.65" customHeight="1">
      <c r="A9" s="70"/>
      <c r="B9" t="s" s="27">
        <v>198</v>
      </c>
      <c r="C9" t="s" s="86">
        <v>105</v>
      </c>
      <c r="D9" s="119">
        <v>1</v>
      </c>
      <c r="E9" s="119">
        <v>1</v>
      </c>
      <c r="F9" s="87" cm="1">
        <f t="array" ref="F9">_xlfn.SUMIFS('עסקאות'!$M$2:$M$1958,'עסקאות'!$F$2:$F$1958,B9)</f>
        <v>32471</v>
      </c>
      <c r="G9" s="87" cm="1">
        <f t="array" ref="G9">IF(D9=0,"",F9/D9)</f>
        <v>32471</v>
      </c>
      <c r="H9" s="87" cm="1">
        <f t="array" ref="H9">F9/20</f>
        <v>1623.55</v>
      </c>
      <c r="I9" s="87" cm="1">
        <f t="array" ref="I9">_xlfn.SUMIFS('עסקאות'!$M$2:$M$1958,'עסקאות'!$F$2:$F$1958,B9,'עסקאות'!$A$2:$A$1958,"&gt;="&amp;DATE(2025,1,1),'עסקאות'!$A$2:$A$1958,"&lt;"&amp;DATE(2026,1,1))</f>
        <v>32471</v>
      </c>
      <c r="J9" s="28" cm="1">
        <f t="array" ref="J9">_xlfn.SUMIFS('עסקאות'!$M$2:$M$1958,'עסקאות'!$F$2:$F$1958,B9,'עסקאות'!$A$2:$A$1958,"&gt;="&amp;DATE(2026,1,1),'עסקאות'!$A$2:$A$1958,"&lt;"&amp;DATE(2027,1,1))</f>
        <v>0</v>
      </c>
      <c r="K9" s="77"/>
    </row>
    <row r="10" ht="13.65" customHeight="1">
      <c r="A10" s="70"/>
      <c r="B10" t="s" s="94">
        <v>199</v>
      </c>
      <c r="C10" t="s" s="80">
        <v>107</v>
      </c>
      <c r="D10" s="118">
        <v>19</v>
      </c>
      <c r="E10" s="118">
        <v>19</v>
      </c>
      <c r="F10" s="81" cm="1">
        <f t="array" ref="F10">_xlfn.SUMIFS('עסקאות'!$M$2:$M$1958,'עסקאות'!$F$2:$F$1958,B10)</f>
        <v>31050</v>
      </c>
      <c r="G10" s="81" cm="1">
        <f t="array" ref="G10">IF(D10=0,"",F10/D10)</f>
        <v>1634.210526315790</v>
      </c>
      <c r="H10" s="81" cm="1">
        <f t="array" ref="H10">F10/20</f>
        <v>1552.5</v>
      </c>
      <c r="I10" s="81" cm="1">
        <f t="array" ref="I10">_xlfn.SUMIFS('עסקאות'!$M$2:$M$1958,'עסקאות'!$F$2:$F$1958,B10,'עסקאות'!$A$2:$A$1958,"&gt;="&amp;DATE(2025,1,1),'עסקאות'!$A$2:$A$1958,"&lt;"&amp;DATE(2026,1,1))</f>
        <v>16650</v>
      </c>
      <c r="J10" s="83" cm="1">
        <f t="array" ref="J10">_xlfn.SUMIFS('עסקאות'!$M$2:$M$1958,'עסקאות'!$F$2:$F$1958,B10,'עסקאות'!$A$2:$A$1958,"&gt;="&amp;DATE(2026,1,1),'עסקאות'!$A$2:$A$1958,"&lt;"&amp;DATE(2027,1,1))</f>
        <v>14400</v>
      </c>
      <c r="K10" s="77"/>
    </row>
    <row r="11" ht="13.65" customHeight="1">
      <c r="A11" s="70"/>
      <c r="B11" t="s" s="27">
        <v>200</v>
      </c>
      <c r="C11" t="s" s="86">
        <v>109</v>
      </c>
      <c r="D11" s="119">
        <v>221</v>
      </c>
      <c r="E11" s="119">
        <v>20</v>
      </c>
      <c r="F11" s="87" cm="1">
        <f t="array" ref="F11">_xlfn.SUMIFS('עסקאות'!$M$2:$M$1958,'עסקאות'!$F$2:$F$1958,B11)</f>
        <v>29703</v>
      </c>
      <c r="G11" s="87" cm="1">
        <f t="array" ref="G11">IF(D11=0,"",F11/D11)</f>
        <v>134.402714932127</v>
      </c>
      <c r="H11" s="87" cm="1">
        <f t="array" ref="H11">F11/20</f>
        <v>1485.15</v>
      </c>
      <c r="I11" s="87" cm="1">
        <f t="array" ref="I11">_xlfn.SUMIFS('עסקאות'!$M$2:$M$1958,'עסקאות'!$F$2:$F$1958,B11,'עסקאות'!$A$2:$A$1958,"&gt;="&amp;DATE(2025,1,1),'עסקאות'!$A$2:$A$1958,"&lt;"&amp;DATE(2026,1,1))</f>
        <v>15422</v>
      </c>
      <c r="J11" s="28" cm="1">
        <f t="array" ref="J11">_xlfn.SUMIFS('עסקאות'!$M$2:$M$1958,'עסקאות'!$F$2:$F$1958,B11,'עסקאות'!$A$2:$A$1958,"&gt;="&amp;DATE(2026,1,1),'עסקאות'!$A$2:$A$1958,"&lt;"&amp;DATE(2027,1,1))</f>
        <v>14281</v>
      </c>
      <c r="K11" s="77"/>
    </row>
    <row r="12" ht="13.65" customHeight="1">
      <c r="A12" s="70"/>
      <c r="B12" t="s" s="94">
        <v>201</v>
      </c>
      <c r="C12" t="s" s="80">
        <v>102</v>
      </c>
      <c r="D12" s="118">
        <v>7</v>
      </c>
      <c r="E12" s="118">
        <v>3</v>
      </c>
      <c r="F12" s="81" cm="1">
        <f t="array" ref="F12">_xlfn.SUMIFS('עסקאות'!$M$2:$M$1958,'עסקאות'!$F$2:$F$1958,B12)</f>
        <v>20825</v>
      </c>
      <c r="G12" s="81" cm="1">
        <f t="array" ref="G12">IF(D12=0,"",F12/D12)</f>
        <v>2975</v>
      </c>
      <c r="H12" s="81" cm="1">
        <f t="array" ref="H12">F12/20</f>
        <v>1041.25</v>
      </c>
      <c r="I12" s="81" cm="1">
        <f t="array" ref="I12">_xlfn.SUMIFS('עסקאות'!$M$2:$M$1958,'עסקאות'!$F$2:$F$1958,B12,'עסקאות'!$A$2:$A$1958,"&gt;="&amp;DATE(2025,1,1),'עסקאות'!$A$2:$A$1958,"&lt;"&amp;DATE(2026,1,1))</f>
        <v>20825</v>
      </c>
      <c r="J12" s="83" cm="1">
        <f t="array" ref="J12">_xlfn.SUMIFS('עסקאות'!$M$2:$M$1958,'עסקאות'!$F$2:$F$1958,B12,'עסקאות'!$A$2:$A$1958,"&gt;="&amp;DATE(2026,1,1),'עסקאות'!$A$2:$A$1958,"&lt;"&amp;DATE(2027,1,1))</f>
        <v>0</v>
      </c>
      <c r="K12" s="77"/>
    </row>
    <row r="13" ht="13.65" customHeight="1">
      <c r="A13" s="70"/>
      <c r="B13" t="s" s="27">
        <v>202</v>
      </c>
      <c r="C13" t="s" s="86">
        <v>119</v>
      </c>
      <c r="D13" s="119">
        <v>1</v>
      </c>
      <c r="E13" s="119">
        <v>1</v>
      </c>
      <c r="F13" s="87" cm="1">
        <f t="array" ref="F13">_xlfn.SUMIFS('עסקאות'!$M$2:$M$1958,'עסקאות'!$F$2:$F$1958,B13)</f>
        <v>16703</v>
      </c>
      <c r="G13" s="87" cm="1">
        <f t="array" ref="G13">IF(D13=0,"",F13/D13)</f>
        <v>16703</v>
      </c>
      <c r="H13" s="87" cm="1">
        <f t="array" ref="H13">F13/20</f>
        <v>835.15</v>
      </c>
      <c r="I13" s="87" cm="1">
        <f t="array" ref="I13">_xlfn.SUMIFS('עסקאות'!$M$2:$M$1958,'עסקאות'!$F$2:$F$1958,B13,'עסקאות'!$A$2:$A$1958,"&gt;="&amp;DATE(2025,1,1),'עסקאות'!$A$2:$A$1958,"&lt;"&amp;DATE(2026,1,1))</f>
        <v>0</v>
      </c>
      <c r="J13" s="28" cm="1">
        <f t="array" ref="J13">_xlfn.SUMIFS('עסקאות'!$M$2:$M$1958,'עסקאות'!$F$2:$F$1958,B13,'עסקאות'!$A$2:$A$1958,"&gt;="&amp;DATE(2026,1,1),'עסקאות'!$A$2:$A$1958,"&lt;"&amp;DATE(2027,1,1))</f>
        <v>16703</v>
      </c>
      <c r="K13" s="77"/>
    </row>
    <row r="14" ht="13.65" customHeight="1">
      <c r="A14" s="70"/>
      <c r="B14" t="s" s="94">
        <v>203</v>
      </c>
      <c r="C14" t="s" s="80">
        <v>102</v>
      </c>
      <c r="D14" s="118">
        <v>1</v>
      </c>
      <c r="E14" s="118">
        <v>1</v>
      </c>
      <c r="F14" s="81" cm="1">
        <f t="array" ref="F14">_xlfn.SUMIFS('עסקאות'!$M$2:$M$1958,'עסקאות'!$F$2:$F$1958,B14)</f>
        <v>16037</v>
      </c>
      <c r="G14" s="81" cm="1">
        <f t="array" ref="G14">IF(D14=0,"",F14/D14)</f>
        <v>16037</v>
      </c>
      <c r="H14" s="81" cm="1">
        <f t="array" ref="H14">F14/20</f>
        <v>801.85</v>
      </c>
      <c r="I14" s="81" cm="1">
        <f t="array" ref="I14">_xlfn.SUMIFS('עסקאות'!$M$2:$M$1958,'עסקאות'!$F$2:$F$1958,B14,'עסקאות'!$A$2:$A$1958,"&gt;="&amp;DATE(2025,1,1),'עסקאות'!$A$2:$A$1958,"&lt;"&amp;DATE(2026,1,1))</f>
        <v>0</v>
      </c>
      <c r="J14" s="83" cm="1">
        <f t="array" ref="J14">_xlfn.SUMIFS('עסקאות'!$M$2:$M$1958,'עסקאות'!$F$2:$F$1958,B14,'עסקאות'!$A$2:$A$1958,"&gt;="&amp;DATE(2026,1,1),'עסקאות'!$A$2:$A$1958,"&lt;"&amp;DATE(2027,1,1))</f>
        <v>16037</v>
      </c>
      <c r="K14" s="77"/>
    </row>
    <row r="15" ht="13.65" customHeight="1">
      <c r="A15" s="70"/>
      <c r="B15" t="s" s="27">
        <v>204</v>
      </c>
      <c r="C15" t="s" s="86">
        <v>102</v>
      </c>
      <c r="D15" s="119">
        <v>4</v>
      </c>
      <c r="E15" s="119">
        <v>4</v>
      </c>
      <c r="F15" s="87" cm="1">
        <f t="array" ref="F15">_xlfn.SUMIFS('עסקאות'!$M$2:$M$1958,'עסקאות'!$F$2:$F$1958,B15)</f>
        <v>15586</v>
      </c>
      <c r="G15" s="87" cm="1">
        <f t="array" ref="G15">IF(D15=0,"",F15/D15)</f>
        <v>3896.5</v>
      </c>
      <c r="H15" s="87" cm="1">
        <f t="array" ref="H15">F15/20</f>
        <v>779.3</v>
      </c>
      <c r="I15" s="87" cm="1">
        <f t="array" ref="I15">_xlfn.SUMIFS('עסקאות'!$M$2:$M$1958,'עסקאות'!$F$2:$F$1958,B15,'עסקאות'!$A$2:$A$1958,"&gt;="&amp;DATE(2025,1,1),'עסקאות'!$A$2:$A$1958,"&lt;"&amp;DATE(2026,1,1))</f>
        <v>100</v>
      </c>
      <c r="J15" s="28" cm="1">
        <f t="array" ref="J15">_xlfn.SUMIFS('עסקאות'!$M$2:$M$1958,'עסקאות'!$F$2:$F$1958,B15,'עסקאות'!$A$2:$A$1958,"&gt;="&amp;DATE(2026,1,1),'עסקאות'!$A$2:$A$1958,"&lt;"&amp;DATE(2027,1,1))</f>
        <v>15486</v>
      </c>
      <c r="K15" s="77"/>
    </row>
    <row r="16" ht="13.65" customHeight="1">
      <c r="A16" s="70"/>
      <c r="B16" t="s" s="94">
        <v>205</v>
      </c>
      <c r="C16" t="s" s="80">
        <v>111</v>
      </c>
      <c r="D16" s="118">
        <v>5</v>
      </c>
      <c r="E16" s="118">
        <v>5</v>
      </c>
      <c r="F16" s="81" cm="1">
        <f t="array" ref="F16">_xlfn.SUMIFS('עסקאות'!$M$2:$M$1958,'עסקאות'!$F$2:$F$1958,B16)</f>
        <v>15441</v>
      </c>
      <c r="G16" s="81" cm="1">
        <f t="array" ref="G16">IF(D16=0,"",F16/D16)</f>
        <v>3088.2</v>
      </c>
      <c r="H16" s="81" cm="1">
        <f t="array" ref="H16">F16/20</f>
        <v>772.05</v>
      </c>
      <c r="I16" s="81" cm="1">
        <f t="array" ref="I16">_xlfn.SUMIFS('עסקאות'!$M$2:$M$1958,'עסקאות'!$F$2:$F$1958,B16,'עסקאות'!$A$2:$A$1958,"&gt;="&amp;DATE(2025,1,1),'עסקאות'!$A$2:$A$1958,"&lt;"&amp;DATE(2026,1,1))</f>
        <v>12441</v>
      </c>
      <c r="J16" s="83" cm="1">
        <f t="array" ref="J16">_xlfn.SUMIFS('עסקאות'!$M$2:$M$1958,'עסקאות'!$F$2:$F$1958,B16,'עסקאות'!$A$2:$A$1958,"&gt;="&amp;DATE(2026,1,1),'עסקאות'!$A$2:$A$1958,"&lt;"&amp;DATE(2027,1,1))</f>
        <v>3000</v>
      </c>
      <c r="K16" s="77"/>
    </row>
    <row r="17" ht="13.65" customHeight="1">
      <c r="A17" s="70"/>
      <c r="B17" t="s" s="27">
        <v>206</v>
      </c>
      <c r="C17" t="s" s="86">
        <v>102</v>
      </c>
      <c r="D17" s="119">
        <v>7</v>
      </c>
      <c r="E17" s="119">
        <v>2</v>
      </c>
      <c r="F17" s="87" cm="1">
        <f t="array" ref="F17">_xlfn.SUMIFS('עסקאות'!$M$2:$M$1958,'עסקאות'!$F$2:$F$1958,B17)</f>
        <v>11581</v>
      </c>
      <c r="G17" s="87" cm="1">
        <f t="array" ref="G17">IF(D17=0,"",F17/D17)</f>
        <v>1654.428571428570</v>
      </c>
      <c r="H17" s="87" cm="1">
        <f t="array" ref="H17">F17/20</f>
        <v>579.05</v>
      </c>
      <c r="I17" s="87" cm="1">
        <f t="array" ref="I17">_xlfn.SUMIFS('עסקאות'!$M$2:$M$1958,'עסקאות'!$F$2:$F$1958,B17,'עסקאות'!$A$2:$A$1958,"&gt;="&amp;DATE(2025,1,1),'עסקאות'!$A$2:$A$1958,"&lt;"&amp;DATE(2026,1,1))</f>
        <v>11581</v>
      </c>
      <c r="J17" s="28" cm="1">
        <f t="array" ref="J17">_xlfn.SUMIFS('עסקאות'!$M$2:$M$1958,'עסקאות'!$F$2:$F$1958,B17,'עסקאות'!$A$2:$A$1958,"&gt;="&amp;DATE(2026,1,1),'עסקאות'!$A$2:$A$1958,"&lt;"&amp;DATE(2027,1,1))</f>
        <v>0</v>
      </c>
      <c r="K17" s="77"/>
    </row>
    <row r="18" ht="13.65" customHeight="1">
      <c r="A18" s="70"/>
      <c r="B18" t="s" s="94">
        <v>207</v>
      </c>
      <c r="C18" t="s" s="80">
        <v>102</v>
      </c>
      <c r="D18" s="118">
        <v>1</v>
      </c>
      <c r="E18" s="118">
        <v>1</v>
      </c>
      <c r="F18" s="81" cm="1">
        <f t="array" ref="F18">_xlfn.SUMIFS('עסקאות'!$M$2:$M$1958,'עסקאות'!$F$2:$F$1958,B18)</f>
        <v>11470</v>
      </c>
      <c r="G18" s="81" cm="1">
        <f t="array" ref="G18">IF(D18=0,"",F18/D18)</f>
        <v>11470</v>
      </c>
      <c r="H18" s="81" cm="1">
        <f t="array" ref="H18">F18/20</f>
        <v>573.5</v>
      </c>
      <c r="I18" s="81" cm="1">
        <f t="array" ref="I18">_xlfn.SUMIFS('עסקאות'!$M$2:$M$1958,'עסקאות'!$F$2:$F$1958,B18,'עסקאות'!$A$2:$A$1958,"&gt;="&amp;DATE(2025,1,1),'עסקאות'!$A$2:$A$1958,"&lt;"&amp;DATE(2026,1,1))</f>
        <v>11470</v>
      </c>
      <c r="J18" s="83" cm="1">
        <f t="array" ref="J18">_xlfn.SUMIFS('עסקאות'!$M$2:$M$1958,'עסקאות'!$F$2:$F$1958,B18,'עסקאות'!$A$2:$A$1958,"&gt;="&amp;DATE(2026,1,1),'עסקאות'!$A$2:$A$1958,"&lt;"&amp;DATE(2027,1,1))</f>
        <v>0</v>
      </c>
      <c r="K18" s="77"/>
    </row>
    <row r="19" ht="13.65" customHeight="1">
      <c r="A19" s="70"/>
      <c r="B19" t="s" s="27">
        <v>208</v>
      </c>
      <c r="C19" t="s" s="86">
        <v>102</v>
      </c>
      <c r="D19" s="119">
        <v>6</v>
      </c>
      <c r="E19" s="119">
        <v>3</v>
      </c>
      <c r="F19" s="87" cm="1">
        <f t="array" ref="F19">_xlfn.SUMIFS('עסקאות'!$M$2:$M$1958,'עסקאות'!$F$2:$F$1958,B19)</f>
        <v>11360</v>
      </c>
      <c r="G19" s="87" cm="1">
        <f t="array" ref="G19">IF(D19=0,"",F19/D19)</f>
        <v>1893.333333333330</v>
      </c>
      <c r="H19" s="87" cm="1">
        <f t="array" ref="H19">F19/20</f>
        <v>568</v>
      </c>
      <c r="I19" s="87" cm="1">
        <f t="array" ref="I19">_xlfn.SUMIFS('עסקאות'!$M$2:$M$1958,'עסקאות'!$F$2:$F$1958,B19,'עסקאות'!$A$2:$A$1958,"&gt;="&amp;DATE(2025,1,1),'עסקאות'!$A$2:$A$1958,"&lt;"&amp;DATE(2026,1,1))</f>
        <v>11360</v>
      </c>
      <c r="J19" s="28" cm="1">
        <f t="array" ref="J19">_xlfn.SUMIFS('עסקאות'!$M$2:$M$1958,'עסקאות'!$F$2:$F$1958,B19,'עסקאות'!$A$2:$A$1958,"&gt;="&amp;DATE(2026,1,1),'עסקאות'!$A$2:$A$1958,"&lt;"&amp;DATE(2027,1,1))</f>
        <v>0</v>
      </c>
      <c r="K19" s="77"/>
    </row>
    <row r="20" ht="13.65" customHeight="1">
      <c r="A20" s="70"/>
      <c r="B20" t="s" s="94">
        <v>209</v>
      </c>
      <c r="C20" t="s" s="80">
        <v>113</v>
      </c>
      <c r="D20" s="118">
        <v>117</v>
      </c>
      <c r="E20" s="118">
        <v>13</v>
      </c>
      <c r="F20" s="81" cm="1">
        <f t="array" ref="F20">_xlfn.SUMIFS('עסקאות'!$M$2:$M$1958,'עסקאות'!$F$2:$F$1958,B20)</f>
        <v>11226</v>
      </c>
      <c r="G20" s="81" cm="1">
        <f t="array" ref="G20">IF(D20=0,"",F20/D20)</f>
        <v>95.9487179487179</v>
      </c>
      <c r="H20" s="81" cm="1">
        <f t="array" ref="H20">F20/20</f>
        <v>561.3</v>
      </c>
      <c r="I20" s="81" cm="1">
        <f t="array" ref="I20">_xlfn.SUMIFS('עסקאות'!$M$2:$M$1958,'עסקאות'!$F$2:$F$1958,B20,'עסקאות'!$A$2:$A$1958,"&gt;="&amp;DATE(2025,1,1),'עסקאות'!$A$2:$A$1958,"&lt;"&amp;DATE(2026,1,1))</f>
        <v>4681</v>
      </c>
      <c r="J20" s="83" cm="1">
        <f t="array" ref="J20">_xlfn.SUMIFS('עסקאות'!$M$2:$M$1958,'עסקאות'!$F$2:$F$1958,B20,'עסקאות'!$A$2:$A$1958,"&gt;="&amp;DATE(2026,1,1),'עסקאות'!$A$2:$A$1958,"&lt;"&amp;DATE(2027,1,1))</f>
        <v>6545</v>
      </c>
      <c r="K20" s="77"/>
    </row>
    <row r="21" ht="13.65" customHeight="1">
      <c r="A21" s="70"/>
      <c r="B21" t="s" s="27">
        <v>210</v>
      </c>
      <c r="C21" t="s" s="86">
        <v>102</v>
      </c>
      <c r="D21" s="119">
        <v>3</v>
      </c>
      <c r="E21" s="119">
        <v>1</v>
      </c>
      <c r="F21" s="87" cm="1">
        <f t="array" ref="F21">_xlfn.SUMIFS('עסקאות'!$M$2:$M$1958,'עסקאות'!$F$2:$F$1958,B21)</f>
        <v>10495</v>
      </c>
      <c r="G21" s="87" cm="1">
        <f t="array" ref="G21">IF(D21=0,"",F21/D21)</f>
        <v>3498.333333333330</v>
      </c>
      <c r="H21" s="87" cm="1">
        <f t="array" ref="H21">F21/20</f>
        <v>524.75</v>
      </c>
      <c r="I21" s="87" cm="1">
        <f t="array" ref="I21">_xlfn.SUMIFS('עסקאות'!$M$2:$M$1958,'עסקאות'!$F$2:$F$1958,B21,'עסקאות'!$A$2:$A$1958,"&gt;="&amp;DATE(2025,1,1),'עסקאות'!$A$2:$A$1958,"&lt;"&amp;DATE(2026,1,1))</f>
        <v>10495</v>
      </c>
      <c r="J21" s="28" cm="1">
        <f t="array" ref="J21">_xlfn.SUMIFS('עסקאות'!$M$2:$M$1958,'עסקאות'!$F$2:$F$1958,B21,'עסקאות'!$A$2:$A$1958,"&gt;="&amp;DATE(2026,1,1),'עסקאות'!$A$2:$A$1958,"&lt;"&amp;DATE(2027,1,1))</f>
        <v>0</v>
      </c>
      <c r="K21" s="77"/>
    </row>
    <row r="22" ht="13.65" customHeight="1">
      <c r="A22" s="70"/>
      <c r="B22" t="s" s="94">
        <v>211</v>
      </c>
      <c r="C22" t="s" s="80">
        <v>96</v>
      </c>
      <c r="D22" s="118">
        <v>20</v>
      </c>
      <c r="E22" s="118">
        <v>20</v>
      </c>
      <c r="F22" s="81" cm="1">
        <f t="array" ref="F22">_xlfn.SUMIFS('עסקאות'!$M$2:$M$1958,'עסקאות'!$F$2:$F$1958,B22)</f>
        <v>10460</v>
      </c>
      <c r="G22" s="81" cm="1">
        <f t="array" ref="G22">IF(D22=0,"",F22/D22)</f>
        <v>523</v>
      </c>
      <c r="H22" s="81" cm="1">
        <f t="array" ref="H22">F22/20</f>
        <v>523</v>
      </c>
      <c r="I22" s="81" cm="1">
        <f t="array" ref="I22">_xlfn.SUMIFS('עסקאות'!$M$2:$M$1958,'עסקאות'!$F$2:$F$1958,B22,'עסקאות'!$A$2:$A$1958,"&gt;="&amp;DATE(2025,1,1),'עסקאות'!$A$2:$A$1958,"&lt;"&amp;DATE(2026,1,1))</f>
        <v>4460</v>
      </c>
      <c r="J22" s="83" cm="1">
        <f t="array" ref="J22">_xlfn.SUMIFS('עסקאות'!$M$2:$M$1958,'עסקאות'!$F$2:$F$1958,B22,'עסקאות'!$A$2:$A$1958,"&gt;="&amp;DATE(2026,1,1),'עסקאות'!$A$2:$A$1958,"&lt;"&amp;DATE(2027,1,1))</f>
        <v>6000</v>
      </c>
      <c r="K22" s="77"/>
    </row>
    <row r="23" ht="13.65" customHeight="1">
      <c r="A23" s="70"/>
      <c r="B23" t="s" s="27">
        <v>212</v>
      </c>
      <c r="C23" t="s" s="86">
        <v>96</v>
      </c>
      <c r="D23" s="119">
        <v>11</v>
      </c>
      <c r="E23" s="119">
        <v>11</v>
      </c>
      <c r="F23" s="87" cm="1">
        <f t="array" ref="F23">_xlfn.SUMIFS('עסקאות'!$M$2:$M$1958,'עסקאות'!$F$2:$F$1958,B23)</f>
        <v>10297</v>
      </c>
      <c r="G23" s="87" cm="1">
        <f t="array" ref="G23">IF(D23=0,"",F23/D23)</f>
        <v>936.090909090909</v>
      </c>
      <c r="H23" s="87" cm="1">
        <f t="array" ref="H23">F23/20</f>
        <v>514.85</v>
      </c>
      <c r="I23" s="87" cm="1">
        <f t="array" ref="I23">_xlfn.SUMIFS('עסקאות'!$M$2:$M$1958,'עסקאות'!$F$2:$F$1958,B23,'עסקאות'!$A$2:$A$1958,"&gt;="&amp;DATE(2025,1,1),'עסקאות'!$A$2:$A$1958,"&lt;"&amp;DATE(2026,1,1))</f>
        <v>7182</v>
      </c>
      <c r="J23" s="28" cm="1">
        <f t="array" ref="J23">_xlfn.SUMIFS('עסקאות'!$M$2:$M$1958,'עסקאות'!$F$2:$F$1958,B23,'עסקאות'!$A$2:$A$1958,"&gt;="&amp;DATE(2026,1,1),'עסקאות'!$A$2:$A$1958,"&lt;"&amp;DATE(2027,1,1))</f>
        <v>3115</v>
      </c>
      <c r="K23" s="77"/>
    </row>
    <row r="24" ht="13.65" customHeight="1">
      <c r="A24" s="70"/>
      <c r="B24" t="s" s="94">
        <v>213</v>
      </c>
      <c r="C24" t="s" s="80">
        <v>115</v>
      </c>
      <c r="D24" s="118">
        <v>40</v>
      </c>
      <c r="E24" s="118">
        <v>19</v>
      </c>
      <c r="F24" s="81" cm="1">
        <f t="array" ref="F24">_xlfn.SUMIFS('עסקאות'!$M$2:$M$1958,'עסקאות'!$F$2:$F$1958,B24)</f>
        <v>8397</v>
      </c>
      <c r="G24" s="81" cm="1">
        <f t="array" ref="G24">IF(D24=0,"",F24/D24)</f>
        <v>209.925</v>
      </c>
      <c r="H24" s="81" cm="1">
        <f t="array" ref="H24">F24/20</f>
        <v>419.85</v>
      </c>
      <c r="I24" s="81" cm="1">
        <f t="array" ref="I24">_xlfn.SUMIFS('עסקאות'!$M$2:$M$1958,'עסקאות'!$F$2:$F$1958,B24,'עסקאות'!$A$2:$A$1958,"&gt;="&amp;DATE(2025,1,1),'עסקאות'!$A$2:$A$1958,"&lt;"&amp;DATE(2026,1,1))</f>
        <v>4949</v>
      </c>
      <c r="J24" s="83" cm="1">
        <f t="array" ref="J24">_xlfn.SUMIFS('עסקאות'!$M$2:$M$1958,'עסקאות'!$F$2:$F$1958,B24,'עסקאות'!$A$2:$A$1958,"&gt;="&amp;DATE(2026,1,1),'עסקאות'!$A$2:$A$1958,"&lt;"&amp;DATE(2027,1,1))</f>
        <v>3448</v>
      </c>
      <c r="K24" s="77"/>
    </row>
    <row r="25" ht="13.65" customHeight="1">
      <c r="A25" s="70"/>
      <c r="B25" t="s" s="27">
        <v>214</v>
      </c>
      <c r="C25" t="s" s="86">
        <v>107</v>
      </c>
      <c r="D25" s="119">
        <v>7</v>
      </c>
      <c r="E25" s="119">
        <v>6</v>
      </c>
      <c r="F25" s="87" cm="1">
        <f t="array" ref="F25">_xlfn.SUMIFS('עסקאות'!$M$2:$M$1958,'עסקאות'!$F$2:$F$1958,B25)</f>
        <v>7020</v>
      </c>
      <c r="G25" s="87" cm="1">
        <f t="array" ref="G25">IF(D25=0,"",F25/D25)</f>
        <v>1002.857142857140</v>
      </c>
      <c r="H25" s="87" cm="1">
        <f t="array" ref="H25">F25/20</f>
        <v>351</v>
      </c>
      <c r="I25" s="87" cm="1">
        <f t="array" ref="I25">_xlfn.SUMIFS('עסקאות'!$M$2:$M$1958,'עסקאות'!$F$2:$F$1958,B25,'עסקאות'!$A$2:$A$1958,"&gt;="&amp;DATE(2025,1,1),'עסקאות'!$A$2:$A$1958,"&lt;"&amp;DATE(2026,1,1))</f>
        <v>7020</v>
      </c>
      <c r="J25" s="28" cm="1">
        <f t="array" ref="J25">_xlfn.SUMIFS('עסקאות'!$M$2:$M$1958,'עסקאות'!$F$2:$F$1958,B25,'עסקאות'!$A$2:$A$1958,"&gt;="&amp;DATE(2026,1,1),'עסקאות'!$A$2:$A$1958,"&lt;"&amp;DATE(2027,1,1))</f>
        <v>0</v>
      </c>
      <c r="K25" s="77"/>
    </row>
    <row r="26" ht="13.65" customHeight="1">
      <c r="A26" s="70"/>
      <c r="B26" t="s" s="94">
        <v>215</v>
      </c>
      <c r="C26" t="s" s="80">
        <v>105</v>
      </c>
      <c r="D26" s="118">
        <v>1</v>
      </c>
      <c r="E26" s="118">
        <v>1</v>
      </c>
      <c r="F26" s="81" cm="1">
        <f t="array" ref="F26">_xlfn.SUMIFS('עסקאות'!$M$2:$M$1958,'עסקאות'!$F$2:$F$1958,B26)</f>
        <v>7000</v>
      </c>
      <c r="G26" s="81" cm="1">
        <f t="array" ref="G26">IF(D26=0,"",F26/D26)</f>
        <v>7000</v>
      </c>
      <c r="H26" s="81" cm="1">
        <f t="array" ref="H26">F26/20</f>
        <v>350</v>
      </c>
      <c r="I26" s="81" cm="1">
        <f t="array" ref="I26">_xlfn.SUMIFS('עסקאות'!$M$2:$M$1958,'עסקאות'!$F$2:$F$1958,B26,'עסקאות'!$A$2:$A$1958,"&gt;="&amp;DATE(2025,1,1),'עסקאות'!$A$2:$A$1958,"&lt;"&amp;DATE(2026,1,1))</f>
        <v>7000</v>
      </c>
      <c r="J26" s="83" cm="1">
        <f t="array" ref="J26">_xlfn.SUMIFS('עסקאות'!$M$2:$M$1958,'עסקאות'!$F$2:$F$1958,B26,'עסקאות'!$A$2:$A$1958,"&gt;="&amp;DATE(2026,1,1),'עסקאות'!$A$2:$A$1958,"&lt;"&amp;DATE(2027,1,1))</f>
        <v>0</v>
      </c>
      <c r="K26" s="77"/>
    </row>
    <row r="27" ht="13.65" customHeight="1">
      <c r="A27" s="70"/>
      <c r="B27" t="s" s="27">
        <v>216</v>
      </c>
      <c r="C27" t="s" s="86">
        <v>105</v>
      </c>
      <c r="D27" s="119">
        <v>1</v>
      </c>
      <c r="E27" s="119">
        <v>1</v>
      </c>
      <c r="F27" s="87" cm="1">
        <f t="array" ref="F27">_xlfn.SUMIFS('עסקאות'!$M$2:$M$1958,'עסקאות'!$F$2:$F$1958,B27)</f>
        <v>6000</v>
      </c>
      <c r="G27" s="87" cm="1">
        <f t="array" ref="G27">IF(D27=0,"",F27/D27)</f>
        <v>6000</v>
      </c>
      <c r="H27" s="87" cm="1">
        <f t="array" ref="H27">F27/20</f>
        <v>300</v>
      </c>
      <c r="I27" s="87" cm="1">
        <f t="array" ref="I27">_xlfn.SUMIFS('עסקאות'!$M$2:$M$1958,'עסקאות'!$F$2:$F$1958,B27,'עסקאות'!$A$2:$A$1958,"&gt;="&amp;DATE(2025,1,1),'עסקאות'!$A$2:$A$1958,"&lt;"&amp;DATE(2026,1,1))</f>
        <v>6000</v>
      </c>
      <c r="J27" s="28" cm="1">
        <f t="array" ref="J27">_xlfn.SUMIFS('עסקאות'!$M$2:$M$1958,'עסקאות'!$F$2:$F$1958,B27,'עסקאות'!$A$2:$A$1958,"&gt;="&amp;DATE(2026,1,1),'עסקאות'!$A$2:$A$1958,"&lt;"&amp;DATE(2027,1,1))</f>
        <v>0</v>
      </c>
      <c r="K27" s="77"/>
    </row>
    <row r="28" ht="13.65" customHeight="1">
      <c r="A28" s="70"/>
      <c r="B28" t="s" s="94">
        <v>217</v>
      </c>
      <c r="C28" t="s" s="80">
        <v>129</v>
      </c>
      <c r="D28" s="118">
        <v>1</v>
      </c>
      <c r="E28" s="118">
        <v>1</v>
      </c>
      <c r="F28" s="81" cm="1">
        <f t="array" ref="F28">_xlfn.SUMIFS('עסקאות'!$M$2:$M$1958,'עסקאות'!$F$2:$F$1958,B28)</f>
        <v>5900</v>
      </c>
      <c r="G28" s="81" cm="1">
        <f t="array" ref="G28">IF(D28=0,"",F28/D28)</f>
        <v>5900</v>
      </c>
      <c r="H28" s="81" cm="1">
        <f t="array" ref="H28">F28/20</f>
        <v>295</v>
      </c>
      <c r="I28" s="81" cm="1">
        <f t="array" ref="I28">_xlfn.SUMIFS('עסקאות'!$M$2:$M$1958,'עסקאות'!$F$2:$F$1958,B28,'עסקאות'!$A$2:$A$1958,"&gt;="&amp;DATE(2025,1,1),'עסקאות'!$A$2:$A$1958,"&lt;"&amp;DATE(2026,1,1))</f>
        <v>5900</v>
      </c>
      <c r="J28" s="83" cm="1">
        <f t="array" ref="J28">_xlfn.SUMIFS('עסקאות'!$M$2:$M$1958,'עסקאות'!$F$2:$F$1958,B28,'עסקאות'!$A$2:$A$1958,"&gt;="&amp;DATE(2026,1,1),'עסקאות'!$A$2:$A$1958,"&lt;"&amp;DATE(2027,1,1))</f>
        <v>0</v>
      </c>
      <c r="K28" s="77"/>
    </row>
    <row r="29" ht="13.65" customHeight="1">
      <c r="A29" s="70"/>
      <c r="B29" t="s" s="27">
        <v>218</v>
      </c>
      <c r="C29" t="s" s="86">
        <v>105</v>
      </c>
      <c r="D29" s="119">
        <v>2</v>
      </c>
      <c r="E29" s="119">
        <v>2</v>
      </c>
      <c r="F29" s="87" cm="1">
        <f t="array" ref="F29">_xlfn.SUMIFS('עסקאות'!$M$2:$M$1958,'עסקאות'!$F$2:$F$1958,B29)</f>
        <v>5562</v>
      </c>
      <c r="G29" s="87" cm="1">
        <f t="array" ref="G29">IF(D29=0,"",F29/D29)</f>
        <v>2781</v>
      </c>
      <c r="H29" s="87" cm="1">
        <f t="array" ref="H29">F29/20</f>
        <v>278.1</v>
      </c>
      <c r="I29" s="87" cm="1">
        <f t="array" ref="I29">_xlfn.SUMIFS('עסקאות'!$M$2:$M$1958,'עסקאות'!$F$2:$F$1958,B29,'עסקאות'!$A$2:$A$1958,"&gt;="&amp;DATE(2025,1,1),'עסקאות'!$A$2:$A$1958,"&lt;"&amp;DATE(2026,1,1))</f>
        <v>5562</v>
      </c>
      <c r="J29" s="28" cm="1">
        <f t="array" ref="J29">_xlfn.SUMIFS('עסקאות'!$M$2:$M$1958,'עסקאות'!$F$2:$F$1958,B29,'עסקאות'!$A$2:$A$1958,"&gt;="&amp;DATE(2026,1,1),'עסקאות'!$A$2:$A$1958,"&lt;"&amp;DATE(2027,1,1))</f>
        <v>0</v>
      </c>
      <c r="K29" s="77"/>
    </row>
    <row r="30" ht="13.65" customHeight="1">
      <c r="A30" s="70"/>
      <c r="B30" t="s" s="94">
        <v>219</v>
      </c>
      <c r="C30" t="s" s="80">
        <v>105</v>
      </c>
      <c r="D30" s="118">
        <v>1</v>
      </c>
      <c r="E30" s="118">
        <v>1</v>
      </c>
      <c r="F30" s="81" cm="1">
        <f t="array" ref="F30">_xlfn.SUMIFS('עסקאות'!$M$2:$M$1958,'עסקאות'!$F$2:$F$1958,B30)</f>
        <v>5404</v>
      </c>
      <c r="G30" s="81" cm="1">
        <f t="array" ref="G30">IF(D30=0,"",F30/D30)</f>
        <v>5404</v>
      </c>
      <c r="H30" s="81" cm="1">
        <f t="array" ref="H30">F30/20</f>
        <v>270.2</v>
      </c>
      <c r="I30" s="81" cm="1">
        <f t="array" ref="I30">_xlfn.SUMIFS('עסקאות'!$M$2:$M$1958,'עסקאות'!$F$2:$F$1958,B30,'עסקאות'!$A$2:$A$1958,"&gt;="&amp;DATE(2025,1,1),'עסקאות'!$A$2:$A$1958,"&lt;"&amp;DATE(2026,1,1))</f>
        <v>5404</v>
      </c>
      <c r="J30" s="83" cm="1">
        <f t="array" ref="J30">_xlfn.SUMIFS('עסקאות'!$M$2:$M$1958,'עסקאות'!$F$2:$F$1958,B30,'עסקאות'!$A$2:$A$1958,"&gt;="&amp;DATE(2026,1,1),'עסקאות'!$A$2:$A$1958,"&lt;"&amp;DATE(2027,1,1))</f>
        <v>0</v>
      </c>
      <c r="K30" s="77"/>
    </row>
    <row r="31" ht="13.65" customHeight="1">
      <c r="A31" s="70"/>
      <c r="B31" t="s" s="27">
        <v>220</v>
      </c>
      <c r="C31" t="s" s="86">
        <v>123</v>
      </c>
      <c r="D31" s="119">
        <v>3</v>
      </c>
      <c r="E31" s="119">
        <v>1</v>
      </c>
      <c r="F31" s="87" cm="1">
        <f t="array" ref="F31">_xlfn.SUMIFS('עסקאות'!$M$2:$M$1958,'עסקאות'!$F$2:$F$1958,B31)</f>
        <v>5202</v>
      </c>
      <c r="G31" s="87" cm="1">
        <f t="array" ref="G31">IF(D31=0,"",F31/D31)</f>
        <v>1734</v>
      </c>
      <c r="H31" s="87" cm="1">
        <f t="array" ref="H31">F31/20</f>
        <v>260.1</v>
      </c>
      <c r="I31" s="87" cm="1">
        <f t="array" ref="I31">_xlfn.SUMIFS('עסקאות'!$M$2:$M$1958,'עסקאות'!$F$2:$F$1958,B31,'עסקאות'!$A$2:$A$1958,"&gt;="&amp;DATE(2025,1,1),'עסקאות'!$A$2:$A$1958,"&lt;"&amp;DATE(2026,1,1))</f>
        <v>5202</v>
      </c>
      <c r="J31" s="28" cm="1">
        <f t="array" ref="J31">_xlfn.SUMIFS('עסקאות'!$M$2:$M$1958,'עסקאות'!$F$2:$F$1958,B31,'עסקאות'!$A$2:$A$1958,"&gt;="&amp;DATE(2026,1,1),'עסקאות'!$A$2:$A$1958,"&lt;"&amp;DATE(2027,1,1))</f>
        <v>0</v>
      </c>
      <c r="K31" s="77"/>
    </row>
    <row r="32" ht="13.65" customHeight="1">
      <c r="A32" s="70"/>
      <c r="B32" t="s" s="94">
        <v>221</v>
      </c>
      <c r="C32" t="s" s="80">
        <v>96</v>
      </c>
      <c r="D32" s="118">
        <v>18</v>
      </c>
      <c r="E32" s="118">
        <v>18</v>
      </c>
      <c r="F32" s="81" cm="1">
        <f t="array" ref="F32">_xlfn.SUMIFS('עסקאות'!$M$2:$M$1958,'עסקאות'!$F$2:$F$1958,B32)</f>
        <v>5186</v>
      </c>
      <c r="G32" s="81" cm="1">
        <f t="array" ref="G32">IF(D32=0,"",F32/D32)</f>
        <v>288.111111111111</v>
      </c>
      <c r="H32" s="81" cm="1">
        <f t="array" ref="H32">F32/20</f>
        <v>259.3</v>
      </c>
      <c r="I32" s="81" cm="1">
        <f t="array" ref="I32">_xlfn.SUMIFS('עסקאות'!$M$2:$M$1958,'עסקאות'!$F$2:$F$1958,B32,'עסקאות'!$A$2:$A$1958,"&gt;="&amp;DATE(2025,1,1),'עסקאות'!$A$2:$A$1958,"&lt;"&amp;DATE(2026,1,1))</f>
        <v>2899</v>
      </c>
      <c r="J32" s="83" cm="1">
        <f t="array" ref="J32">_xlfn.SUMIFS('עסקאות'!$M$2:$M$1958,'עסקאות'!$F$2:$F$1958,B32,'עסקאות'!$A$2:$A$1958,"&gt;="&amp;DATE(2026,1,1),'עסקאות'!$A$2:$A$1958,"&lt;"&amp;DATE(2027,1,1))</f>
        <v>2287</v>
      </c>
      <c r="K32" s="77"/>
    </row>
    <row r="33" ht="13.65" customHeight="1">
      <c r="A33" s="70"/>
      <c r="B33" t="s" s="27">
        <v>222</v>
      </c>
      <c r="C33" t="s" s="86">
        <v>111</v>
      </c>
      <c r="D33" s="119">
        <v>8</v>
      </c>
      <c r="E33" s="119">
        <v>8</v>
      </c>
      <c r="F33" s="87" cm="1">
        <f t="array" ref="F33">_xlfn.SUMIFS('עסקאות'!$M$2:$M$1958,'עסקאות'!$F$2:$F$1958,B33)</f>
        <v>5056</v>
      </c>
      <c r="G33" s="87" cm="1">
        <f t="array" ref="G33">IF(D33=0,"",F33/D33)</f>
        <v>632</v>
      </c>
      <c r="H33" s="87" cm="1">
        <f t="array" ref="H33">F33/20</f>
        <v>252.8</v>
      </c>
      <c r="I33" s="87" cm="1">
        <f t="array" ref="I33">_xlfn.SUMIFS('עסקאות'!$M$2:$M$1958,'עסקאות'!$F$2:$F$1958,B33,'עסקאות'!$A$2:$A$1958,"&gt;="&amp;DATE(2025,1,1),'עסקאות'!$A$2:$A$1958,"&lt;"&amp;DATE(2026,1,1))</f>
        <v>0</v>
      </c>
      <c r="J33" s="28" cm="1">
        <f t="array" ref="J33">_xlfn.SUMIFS('עסקאות'!$M$2:$M$1958,'עסקאות'!$F$2:$F$1958,B33,'עסקאות'!$A$2:$A$1958,"&gt;="&amp;DATE(2026,1,1),'עסקאות'!$A$2:$A$1958,"&lt;"&amp;DATE(2027,1,1))</f>
        <v>5056</v>
      </c>
      <c r="K33" s="77"/>
    </row>
    <row r="34" ht="13.65" customHeight="1">
      <c r="A34" s="70"/>
      <c r="B34" t="s" s="94">
        <v>223</v>
      </c>
      <c r="C34" t="s" s="80">
        <v>117</v>
      </c>
      <c r="D34" s="118">
        <v>59</v>
      </c>
      <c r="E34" s="118">
        <v>15</v>
      </c>
      <c r="F34" s="81" cm="1">
        <f t="array" ref="F34">_xlfn.SUMIFS('עסקאות'!$M$2:$M$1958,'עסקאות'!$F$2:$F$1958,B34)</f>
        <v>5036</v>
      </c>
      <c r="G34" s="81" cm="1">
        <f t="array" ref="G34">IF(D34=0,"",F34/D34)</f>
        <v>85.3559322033898</v>
      </c>
      <c r="H34" s="81" cm="1">
        <f t="array" ref="H34">F34/20</f>
        <v>251.8</v>
      </c>
      <c r="I34" s="81" cm="1">
        <f t="array" ref="I34">_xlfn.SUMIFS('עסקאות'!$M$2:$M$1958,'עסקאות'!$F$2:$F$1958,B34,'עסקאות'!$A$2:$A$1958,"&gt;="&amp;DATE(2025,1,1),'עסקאות'!$A$2:$A$1958,"&lt;"&amp;DATE(2026,1,1))</f>
        <v>1887</v>
      </c>
      <c r="J34" s="83" cm="1">
        <f t="array" ref="J34">_xlfn.SUMIFS('עסקאות'!$M$2:$M$1958,'עסקאות'!$F$2:$F$1958,B34,'עסקאות'!$A$2:$A$1958,"&gt;="&amp;DATE(2026,1,1),'עסקאות'!$A$2:$A$1958,"&lt;"&amp;DATE(2027,1,1))</f>
        <v>3149</v>
      </c>
      <c r="K34" s="77"/>
    </row>
    <row r="35" ht="13.65" customHeight="1">
      <c r="A35" s="70"/>
      <c r="B35" t="s" s="27">
        <v>224</v>
      </c>
      <c r="C35" t="s" s="86">
        <v>105</v>
      </c>
      <c r="D35" s="119">
        <v>1</v>
      </c>
      <c r="E35" s="119">
        <v>1</v>
      </c>
      <c r="F35" s="87" cm="1">
        <f t="array" ref="F35">_xlfn.SUMIFS('עסקאות'!$M$2:$M$1958,'עסקאות'!$F$2:$F$1958,B35)</f>
        <v>5000</v>
      </c>
      <c r="G35" s="87" cm="1">
        <f t="array" ref="G35">IF(D35=0,"",F35/D35)</f>
        <v>5000</v>
      </c>
      <c r="H35" s="87" cm="1">
        <f t="array" ref="H35">F35/20</f>
        <v>250</v>
      </c>
      <c r="I35" s="87" cm="1">
        <f t="array" ref="I35">_xlfn.SUMIFS('עסקאות'!$M$2:$M$1958,'עסקאות'!$F$2:$F$1958,B35,'עסקאות'!$A$2:$A$1958,"&gt;="&amp;DATE(2025,1,1),'עסקאות'!$A$2:$A$1958,"&lt;"&amp;DATE(2026,1,1))</f>
        <v>5000</v>
      </c>
      <c r="J35" s="28" cm="1">
        <f t="array" ref="J35">_xlfn.SUMIFS('עסקאות'!$M$2:$M$1958,'עסקאות'!$F$2:$F$1958,B35,'עסקאות'!$A$2:$A$1958,"&gt;="&amp;DATE(2026,1,1),'עסקאות'!$A$2:$A$1958,"&lt;"&amp;DATE(2027,1,1))</f>
        <v>0</v>
      </c>
      <c r="K35" s="77"/>
    </row>
    <row r="36" ht="13.65" customHeight="1">
      <c r="A36" s="70"/>
      <c r="B36" t="s" s="94">
        <v>225</v>
      </c>
      <c r="C36" t="s" s="80">
        <v>111</v>
      </c>
      <c r="D36" s="118">
        <v>1</v>
      </c>
      <c r="E36" s="118">
        <v>1</v>
      </c>
      <c r="F36" s="81" cm="1">
        <f t="array" ref="F36">_xlfn.SUMIFS('עסקאות'!$M$2:$M$1958,'עסקאות'!$F$2:$F$1958,B36)</f>
        <v>4600</v>
      </c>
      <c r="G36" s="81" cm="1">
        <f t="array" ref="G36">IF(D36=0,"",F36/D36)</f>
        <v>4600</v>
      </c>
      <c r="H36" s="81" cm="1">
        <f t="array" ref="H36">F36/20</f>
        <v>230</v>
      </c>
      <c r="I36" s="81" cm="1">
        <f t="array" ref="I36">_xlfn.SUMIFS('עסקאות'!$M$2:$M$1958,'עסקאות'!$F$2:$F$1958,B36,'עסקאות'!$A$2:$A$1958,"&gt;="&amp;DATE(2025,1,1),'עסקאות'!$A$2:$A$1958,"&lt;"&amp;DATE(2026,1,1))</f>
        <v>4600</v>
      </c>
      <c r="J36" s="83" cm="1">
        <f t="array" ref="J36">_xlfn.SUMIFS('עסקאות'!$M$2:$M$1958,'עסקאות'!$F$2:$F$1958,B36,'עסקאות'!$A$2:$A$1958,"&gt;="&amp;DATE(2026,1,1),'עסקאות'!$A$2:$A$1958,"&lt;"&amp;DATE(2027,1,1))</f>
        <v>0</v>
      </c>
      <c r="K36" s="77"/>
    </row>
    <row r="37" ht="13.65" customHeight="1">
      <c r="A37" s="70"/>
      <c r="B37" t="s" s="27">
        <v>226</v>
      </c>
      <c r="C37" t="s" s="86">
        <v>111</v>
      </c>
      <c r="D37" s="119">
        <v>1</v>
      </c>
      <c r="E37" s="119">
        <v>1</v>
      </c>
      <c r="F37" s="87" cm="1">
        <f t="array" ref="F37">_xlfn.SUMIFS('עסקאות'!$M$2:$M$1958,'עסקאות'!$F$2:$F$1958,B37)</f>
        <v>4500</v>
      </c>
      <c r="G37" s="87" cm="1">
        <f t="array" ref="G37">IF(D37=0,"",F37/D37)</f>
        <v>4500</v>
      </c>
      <c r="H37" s="87" cm="1">
        <f t="array" ref="H37">F37/20</f>
        <v>225</v>
      </c>
      <c r="I37" s="87" cm="1">
        <f t="array" ref="I37">_xlfn.SUMIFS('עסקאות'!$M$2:$M$1958,'עסקאות'!$F$2:$F$1958,B37,'עסקאות'!$A$2:$A$1958,"&gt;="&amp;DATE(2025,1,1),'עסקאות'!$A$2:$A$1958,"&lt;"&amp;DATE(2026,1,1))</f>
        <v>4500</v>
      </c>
      <c r="J37" s="28" cm="1">
        <f t="array" ref="J37">_xlfn.SUMIFS('עסקאות'!$M$2:$M$1958,'עסקאות'!$F$2:$F$1958,B37,'עסקאות'!$A$2:$A$1958,"&gt;="&amp;DATE(2026,1,1),'עסקאות'!$A$2:$A$1958,"&lt;"&amp;DATE(2027,1,1))</f>
        <v>0</v>
      </c>
      <c r="K37" s="77"/>
    </row>
    <row r="38" ht="13.65" customHeight="1">
      <c r="A38" s="70"/>
      <c r="B38" t="s" s="94">
        <v>227</v>
      </c>
      <c r="C38" t="s" s="80">
        <v>111</v>
      </c>
      <c r="D38" s="118">
        <v>1</v>
      </c>
      <c r="E38" s="118">
        <v>1</v>
      </c>
      <c r="F38" s="81" cm="1">
        <f t="array" ref="F38">_xlfn.SUMIFS('עסקאות'!$M$2:$M$1958,'עסקאות'!$F$2:$F$1958,B38)</f>
        <v>4500</v>
      </c>
      <c r="G38" s="81" cm="1">
        <f t="array" ref="G38">IF(D38=0,"",F38/D38)</f>
        <v>4500</v>
      </c>
      <c r="H38" s="81" cm="1">
        <f t="array" ref="H38">F38/20</f>
        <v>225</v>
      </c>
      <c r="I38" s="81" cm="1">
        <f t="array" ref="I38">_xlfn.SUMIFS('עסקאות'!$M$2:$M$1958,'עסקאות'!$F$2:$F$1958,B38,'עסקאות'!$A$2:$A$1958,"&gt;="&amp;DATE(2025,1,1),'עסקאות'!$A$2:$A$1958,"&lt;"&amp;DATE(2026,1,1))</f>
        <v>0</v>
      </c>
      <c r="J38" s="83" cm="1">
        <f t="array" ref="J38">_xlfn.SUMIFS('עסקאות'!$M$2:$M$1958,'עסקאות'!$F$2:$F$1958,B38,'עסקאות'!$A$2:$A$1958,"&gt;="&amp;DATE(2026,1,1),'עסקאות'!$A$2:$A$1958,"&lt;"&amp;DATE(2027,1,1))</f>
        <v>4500</v>
      </c>
      <c r="K38" s="77"/>
    </row>
    <row r="39" ht="13.65" customHeight="1">
      <c r="A39" s="70"/>
      <c r="B39" t="s" s="27">
        <v>228</v>
      </c>
      <c r="C39" t="s" s="86">
        <v>115</v>
      </c>
      <c r="D39" s="119">
        <v>2</v>
      </c>
      <c r="E39" s="119">
        <v>2</v>
      </c>
      <c r="F39" s="87" cm="1">
        <f t="array" ref="F39">_xlfn.SUMIFS('עסקאות'!$M$2:$M$1958,'עסקאות'!$F$2:$F$1958,B39)</f>
        <v>4259</v>
      </c>
      <c r="G39" s="87" cm="1">
        <f t="array" ref="G39">IF(D39=0,"",F39/D39)</f>
        <v>2129.5</v>
      </c>
      <c r="H39" s="87" cm="1">
        <f t="array" ref="H39">F39/20</f>
        <v>212.95</v>
      </c>
      <c r="I39" s="87" cm="1">
        <f t="array" ref="I39">_xlfn.SUMIFS('עסקאות'!$M$2:$M$1958,'עסקאות'!$F$2:$F$1958,B39,'עסקאות'!$A$2:$A$1958,"&gt;="&amp;DATE(2025,1,1),'עסקאות'!$A$2:$A$1958,"&lt;"&amp;DATE(2026,1,1))</f>
        <v>2683</v>
      </c>
      <c r="J39" s="28" cm="1">
        <f t="array" ref="J39">_xlfn.SUMIFS('עסקאות'!$M$2:$M$1958,'עסקאות'!$F$2:$F$1958,B39,'עסקאות'!$A$2:$A$1958,"&gt;="&amp;DATE(2026,1,1),'עסקאות'!$A$2:$A$1958,"&lt;"&amp;DATE(2027,1,1))</f>
        <v>1576</v>
      </c>
      <c r="K39" s="77"/>
    </row>
    <row r="40" ht="13.65" customHeight="1">
      <c r="A40" s="70"/>
      <c r="B40" t="s" s="94">
        <v>229</v>
      </c>
      <c r="C40" t="s" s="80">
        <v>102</v>
      </c>
      <c r="D40" s="118">
        <v>3</v>
      </c>
      <c r="E40" s="118">
        <v>1</v>
      </c>
      <c r="F40" s="81" cm="1">
        <f t="array" ref="F40">_xlfn.SUMIFS('עסקאות'!$M$2:$M$1958,'עסקאות'!$F$2:$F$1958,B40)</f>
        <v>4241</v>
      </c>
      <c r="G40" s="81" cm="1">
        <f t="array" ref="G40">IF(D40=0,"",F40/D40)</f>
        <v>1413.666666666670</v>
      </c>
      <c r="H40" s="81" cm="1">
        <f t="array" ref="H40">F40/20</f>
        <v>212.05</v>
      </c>
      <c r="I40" s="81" cm="1">
        <f t="array" ref="I40">_xlfn.SUMIFS('עסקאות'!$M$2:$M$1958,'עסקאות'!$F$2:$F$1958,B40,'עסקאות'!$A$2:$A$1958,"&gt;="&amp;DATE(2025,1,1),'עסקאות'!$A$2:$A$1958,"&lt;"&amp;DATE(2026,1,1))</f>
        <v>4241</v>
      </c>
      <c r="J40" s="83" cm="1">
        <f t="array" ref="J40">_xlfn.SUMIFS('עסקאות'!$M$2:$M$1958,'עסקאות'!$F$2:$F$1958,B40,'עסקאות'!$A$2:$A$1958,"&gt;="&amp;DATE(2026,1,1),'עסקאות'!$A$2:$A$1958,"&lt;"&amp;DATE(2027,1,1))</f>
        <v>0</v>
      </c>
      <c r="K40" s="77"/>
    </row>
    <row r="41" ht="13.65" customHeight="1">
      <c r="A41" s="70"/>
      <c r="B41" t="s" s="27">
        <v>230</v>
      </c>
      <c r="C41" t="s" s="86">
        <v>117</v>
      </c>
      <c r="D41" s="119">
        <v>1</v>
      </c>
      <c r="E41" s="119">
        <v>1</v>
      </c>
      <c r="F41" s="87" cm="1">
        <f t="array" ref="F41">_xlfn.SUMIFS('עסקאות'!$M$2:$M$1958,'עסקאות'!$F$2:$F$1958,B41)</f>
        <v>3900</v>
      </c>
      <c r="G41" s="87" cm="1">
        <f t="array" ref="G41">IF(D41=0,"",F41/D41)</f>
        <v>3900</v>
      </c>
      <c r="H41" s="87" cm="1">
        <f t="array" ref="H41">F41/20</f>
        <v>195</v>
      </c>
      <c r="I41" s="87" cm="1">
        <f t="array" ref="I41">_xlfn.SUMIFS('עסקאות'!$M$2:$M$1958,'עסקאות'!$F$2:$F$1958,B41,'עסקאות'!$A$2:$A$1958,"&gt;="&amp;DATE(2025,1,1),'עסקאות'!$A$2:$A$1958,"&lt;"&amp;DATE(2026,1,1))</f>
        <v>3900</v>
      </c>
      <c r="J41" s="28" cm="1">
        <f t="array" ref="J41">_xlfn.SUMIFS('עסקאות'!$M$2:$M$1958,'עסקאות'!$F$2:$F$1958,B41,'עסקאות'!$A$2:$A$1958,"&gt;="&amp;DATE(2026,1,1),'עסקאות'!$A$2:$A$1958,"&lt;"&amp;DATE(2027,1,1))</f>
        <v>0</v>
      </c>
      <c r="K41" s="77"/>
    </row>
    <row r="42" ht="13.65" customHeight="1">
      <c r="A42" s="70"/>
      <c r="B42" t="s" s="94">
        <v>231</v>
      </c>
      <c r="C42" t="s" s="80">
        <v>113</v>
      </c>
      <c r="D42" s="118">
        <v>49</v>
      </c>
      <c r="E42" s="118">
        <v>9</v>
      </c>
      <c r="F42" s="81" cm="1">
        <f t="array" ref="F42">_xlfn.SUMIFS('עסקאות'!$M$2:$M$1958,'עסקאות'!$F$2:$F$1958,B42)</f>
        <v>3847</v>
      </c>
      <c r="G42" s="81" cm="1">
        <f t="array" ref="G42">IF(D42=0,"",F42/D42)</f>
        <v>78.51020408163269</v>
      </c>
      <c r="H42" s="81" cm="1">
        <f t="array" ref="H42">F42/20</f>
        <v>192.35</v>
      </c>
      <c r="I42" s="81" cm="1">
        <f t="array" ref="I42">_xlfn.SUMIFS('עסקאות'!$M$2:$M$1958,'עסקאות'!$F$2:$F$1958,B42,'עסקאות'!$A$2:$A$1958,"&gt;="&amp;DATE(2025,1,1),'עסקאות'!$A$2:$A$1958,"&lt;"&amp;DATE(2026,1,1))</f>
        <v>3205</v>
      </c>
      <c r="J42" s="83" cm="1">
        <f t="array" ref="J42">_xlfn.SUMIFS('עסקאות'!$M$2:$M$1958,'עסקאות'!$F$2:$F$1958,B42,'עסקאות'!$A$2:$A$1958,"&gt;="&amp;DATE(2026,1,1),'עסקאות'!$A$2:$A$1958,"&lt;"&amp;DATE(2027,1,1))</f>
        <v>642</v>
      </c>
      <c r="K42" s="77"/>
    </row>
    <row r="43" ht="13.65" customHeight="1">
      <c r="A43" s="70"/>
      <c r="B43" t="s" s="27">
        <v>232</v>
      </c>
      <c r="C43" t="s" s="86">
        <v>96</v>
      </c>
      <c r="D43" s="119">
        <v>6</v>
      </c>
      <c r="E43" s="119">
        <v>6</v>
      </c>
      <c r="F43" s="87" cm="1">
        <f t="array" ref="F43">_xlfn.SUMIFS('עסקאות'!$M$2:$M$1958,'עסקאות'!$F$2:$F$1958,B43)</f>
        <v>3600</v>
      </c>
      <c r="G43" s="87" cm="1">
        <f t="array" ref="G43">IF(D43=0,"",F43/D43)</f>
        <v>600</v>
      </c>
      <c r="H43" s="87" cm="1">
        <f t="array" ref="H43">F43/20</f>
        <v>180</v>
      </c>
      <c r="I43" s="87" cm="1">
        <f t="array" ref="I43">_xlfn.SUMIFS('עסקאות'!$M$2:$M$1958,'עסקאות'!$F$2:$F$1958,B43,'עסקאות'!$A$2:$A$1958,"&gt;="&amp;DATE(2025,1,1),'עסקאות'!$A$2:$A$1958,"&lt;"&amp;DATE(2026,1,1))</f>
        <v>1800</v>
      </c>
      <c r="J43" s="28" cm="1">
        <f t="array" ref="J43">_xlfn.SUMIFS('עסקאות'!$M$2:$M$1958,'עסקאות'!$F$2:$F$1958,B43,'עסקאות'!$A$2:$A$1958,"&gt;="&amp;DATE(2026,1,1),'עסקאות'!$A$2:$A$1958,"&lt;"&amp;DATE(2027,1,1))</f>
        <v>1800</v>
      </c>
      <c r="K43" s="77"/>
    </row>
    <row r="44" ht="13.65" customHeight="1">
      <c r="A44" s="70"/>
      <c r="B44" t="s" s="94">
        <v>233</v>
      </c>
      <c r="C44" t="s" s="80">
        <v>102</v>
      </c>
      <c r="D44" s="118">
        <v>1</v>
      </c>
      <c r="E44" s="118">
        <v>1</v>
      </c>
      <c r="F44" s="81" cm="1">
        <f t="array" ref="F44">_xlfn.SUMIFS('עסקאות'!$M$2:$M$1958,'עסקאות'!$F$2:$F$1958,B44)</f>
        <v>3564</v>
      </c>
      <c r="G44" s="81" cm="1">
        <f t="array" ref="G44">IF(D44=0,"",F44/D44)</f>
        <v>3564</v>
      </c>
      <c r="H44" s="81" cm="1">
        <f t="array" ref="H44">F44/20</f>
        <v>178.2</v>
      </c>
      <c r="I44" s="81" cm="1">
        <f t="array" ref="I44">_xlfn.SUMIFS('עסקאות'!$M$2:$M$1958,'עסקאות'!$F$2:$F$1958,B44,'עסקאות'!$A$2:$A$1958,"&gt;="&amp;DATE(2025,1,1),'עסקאות'!$A$2:$A$1958,"&lt;"&amp;DATE(2026,1,1))</f>
        <v>3564</v>
      </c>
      <c r="J44" s="83" cm="1">
        <f t="array" ref="J44">_xlfn.SUMIFS('עסקאות'!$M$2:$M$1958,'עסקאות'!$F$2:$F$1958,B44,'עסקאות'!$A$2:$A$1958,"&gt;="&amp;DATE(2026,1,1),'עסקאות'!$A$2:$A$1958,"&lt;"&amp;DATE(2027,1,1))</f>
        <v>0</v>
      </c>
      <c r="K44" s="77"/>
    </row>
    <row r="45" ht="13.65" customHeight="1">
      <c r="A45" s="70"/>
      <c r="B45" t="s" s="27">
        <v>234</v>
      </c>
      <c r="C45" t="s" s="86">
        <v>102</v>
      </c>
      <c r="D45" s="119">
        <v>1</v>
      </c>
      <c r="E45" s="119">
        <v>1</v>
      </c>
      <c r="F45" s="87" cm="1">
        <f t="array" ref="F45">_xlfn.SUMIFS('עסקאות'!$M$2:$M$1958,'עסקאות'!$F$2:$F$1958,B45)</f>
        <v>3264</v>
      </c>
      <c r="G45" s="87" cm="1">
        <f t="array" ref="G45">IF(D45=0,"",F45/D45)</f>
        <v>3264</v>
      </c>
      <c r="H45" s="87" cm="1">
        <f t="array" ref="H45">F45/20</f>
        <v>163.2</v>
      </c>
      <c r="I45" s="87" cm="1">
        <f t="array" ref="I45">_xlfn.SUMIFS('עסקאות'!$M$2:$M$1958,'עסקאות'!$F$2:$F$1958,B45,'עסקאות'!$A$2:$A$1958,"&gt;="&amp;DATE(2025,1,1),'עסקאות'!$A$2:$A$1958,"&lt;"&amp;DATE(2026,1,1))</f>
        <v>3264</v>
      </c>
      <c r="J45" s="28" cm="1">
        <f t="array" ref="J45">_xlfn.SUMIFS('עסקאות'!$M$2:$M$1958,'עסקאות'!$F$2:$F$1958,B45,'עסקאות'!$A$2:$A$1958,"&gt;="&amp;DATE(2026,1,1),'עסקאות'!$A$2:$A$1958,"&lt;"&amp;DATE(2027,1,1))</f>
        <v>0</v>
      </c>
      <c r="K45" s="77"/>
    </row>
    <row r="46" ht="13.65" customHeight="1">
      <c r="A46" s="70"/>
      <c r="B46" t="s" s="94">
        <v>235</v>
      </c>
      <c r="C46" t="s" s="80">
        <v>109</v>
      </c>
      <c r="D46" s="118">
        <v>8</v>
      </c>
      <c r="E46" s="118">
        <v>8</v>
      </c>
      <c r="F46" s="81" cm="1">
        <f t="array" ref="F46">_xlfn.SUMIFS('עסקאות'!$M$2:$M$1958,'עסקאות'!$F$2:$F$1958,B46)</f>
        <v>3033</v>
      </c>
      <c r="G46" s="81" cm="1">
        <f t="array" ref="G46">IF(D46=0,"",F46/D46)</f>
        <v>379.125</v>
      </c>
      <c r="H46" s="81" cm="1">
        <f t="array" ref="H46">F46/20</f>
        <v>151.65</v>
      </c>
      <c r="I46" s="81" cm="1">
        <f t="array" ref="I46">_xlfn.SUMIFS('עסקאות'!$M$2:$M$1958,'עסקאות'!$F$2:$F$1958,B46,'עסקאות'!$A$2:$A$1958,"&gt;="&amp;DATE(2025,1,1),'עסקאות'!$A$2:$A$1958,"&lt;"&amp;DATE(2026,1,1))</f>
        <v>1995</v>
      </c>
      <c r="J46" s="83" cm="1">
        <f t="array" ref="J46">_xlfn.SUMIFS('עסקאות'!$M$2:$M$1958,'עסקאות'!$F$2:$F$1958,B46,'עסקאות'!$A$2:$A$1958,"&gt;="&amp;DATE(2026,1,1),'עסקאות'!$A$2:$A$1958,"&lt;"&amp;DATE(2027,1,1))</f>
        <v>1038</v>
      </c>
      <c r="K46" s="77"/>
    </row>
    <row r="47" ht="13.65" customHeight="1">
      <c r="A47" s="70"/>
      <c r="B47" t="s" s="27">
        <v>236</v>
      </c>
      <c r="C47" t="s" s="86">
        <v>121</v>
      </c>
      <c r="D47" s="119">
        <v>1</v>
      </c>
      <c r="E47" s="119">
        <v>1</v>
      </c>
      <c r="F47" s="87" cm="1">
        <f t="array" ref="F47">_xlfn.SUMIFS('עסקאות'!$M$2:$M$1958,'עסקאות'!$F$2:$F$1958,B47)</f>
        <v>2999</v>
      </c>
      <c r="G47" s="87" cm="1">
        <f t="array" ref="G47">IF(D47=0,"",F47/D47)</f>
        <v>2999</v>
      </c>
      <c r="H47" s="87" cm="1">
        <f t="array" ref="H47">F47/20</f>
        <v>149.95</v>
      </c>
      <c r="I47" s="87" cm="1">
        <f t="array" ref="I47">_xlfn.SUMIFS('עסקאות'!$M$2:$M$1958,'עסקאות'!$F$2:$F$1958,B47,'עסקאות'!$A$2:$A$1958,"&gt;="&amp;DATE(2025,1,1),'עסקאות'!$A$2:$A$1958,"&lt;"&amp;DATE(2026,1,1))</f>
        <v>2999</v>
      </c>
      <c r="J47" s="28" cm="1">
        <f t="array" ref="J47">_xlfn.SUMIFS('עסקאות'!$M$2:$M$1958,'עסקאות'!$F$2:$F$1958,B47,'עסקאות'!$A$2:$A$1958,"&gt;="&amp;DATE(2026,1,1),'עסקאות'!$A$2:$A$1958,"&lt;"&amp;DATE(2027,1,1))</f>
        <v>0</v>
      </c>
      <c r="K47" s="77"/>
    </row>
    <row r="48" ht="13.65" customHeight="1">
      <c r="A48" s="70"/>
      <c r="B48" t="s" s="94">
        <v>237</v>
      </c>
      <c r="C48" t="s" s="80">
        <v>102</v>
      </c>
      <c r="D48" s="118">
        <v>1</v>
      </c>
      <c r="E48" s="118">
        <v>1</v>
      </c>
      <c r="F48" s="81" cm="1">
        <f t="array" ref="F48">_xlfn.SUMIFS('עסקאות'!$M$2:$M$1958,'עסקאות'!$F$2:$F$1958,B48)</f>
        <v>2994</v>
      </c>
      <c r="G48" s="81" cm="1">
        <f t="array" ref="G48">IF(D48=0,"",F48/D48)</f>
        <v>2994</v>
      </c>
      <c r="H48" s="81" cm="1">
        <f t="array" ref="H48">F48/20</f>
        <v>149.7</v>
      </c>
      <c r="I48" s="81" cm="1">
        <f t="array" ref="I48">_xlfn.SUMIFS('עסקאות'!$M$2:$M$1958,'עסקאות'!$F$2:$F$1958,B48,'עסקאות'!$A$2:$A$1958,"&gt;="&amp;DATE(2025,1,1),'עסקאות'!$A$2:$A$1958,"&lt;"&amp;DATE(2026,1,1))</f>
        <v>2994</v>
      </c>
      <c r="J48" s="83" cm="1">
        <f t="array" ref="J48">_xlfn.SUMIFS('עסקאות'!$M$2:$M$1958,'עסקאות'!$F$2:$F$1958,B48,'עסקאות'!$A$2:$A$1958,"&gt;="&amp;DATE(2026,1,1),'עסקאות'!$A$2:$A$1958,"&lt;"&amp;DATE(2027,1,1))</f>
        <v>0</v>
      </c>
      <c r="K48" s="77"/>
    </row>
    <row r="49" ht="13.65" customHeight="1">
      <c r="A49" s="70"/>
      <c r="B49" t="s" s="27">
        <v>238</v>
      </c>
      <c r="C49" t="s" s="86">
        <v>105</v>
      </c>
      <c r="D49" s="119">
        <v>1</v>
      </c>
      <c r="E49" s="119">
        <v>1</v>
      </c>
      <c r="F49" s="87" cm="1">
        <f t="array" ref="F49">_xlfn.SUMIFS('עסקאות'!$M$2:$M$1958,'עסקאות'!$F$2:$F$1958,B49)</f>
        <v>2941</v>
      </c>
      <c r="G49" s="87" cm="1">
        <f t="array" ref="G49">IF(D49=0,"",F49/D49)</f>
        <v>2941</v>
      </c>
      <c r="H49" s="87" cm="1">
        <f t="array" ref="H49">F49/20</f>
        <v>147.05</v>
      </c>
      <c r="I49" s="87" cm="1">
        <f t="array" ref="I49">_xlfn.SUMIFS('עסקאות'!$M$2:$M$1958,'עסקאות'!$F$2:$F$1958,B49,'עסקאות'!$A$2:$A$1958,"&gt;="&amp;DATE(2025,1,1),'עסקאות'!$A$2:$A$1958,"&lt;"&amp;DATE(2026,1,1))</f>
        <v>2941</v>
      </c>
      <c r="J49" s="28" cm="1">
        <f t="array" ref="J49">_xlfn.SUMIFS('עסקאות'!$M$2:$M$1958,'עסקאות'!$F$2:$F$1958,B49,'עסקאות'!$A$2:$A$1958,"&gt;="&amp;DATE(2026,1,1),'עסקאות'!$A$2:$A$1958,"&lt;"&amp;DATE(2027,1,1))</f>
        <v>0</v>
      </c>
      <c r="K49" s="77"/>
    </row>
    <row r="50" ht="13.65" customHeight="1">
      <c r="A50" s="70"/>
      <c r="B50" t="s" s="94">
        <v>239</v>
      </c>
      <c r="C50" t="s" s="80">
        <v>99</v>
      </c>
      <c r="D50" s="118">
        <v>1</v>
      </c>
      <c r="E50" s="118">
        <v>1</v>
      </c>
      <c r="F50" s="81" cm="1">
        <f t="array" ref="F50">_xlfn.SUMIFS('עסקאות'!$M$2:$M$1958,'עסקאות'!$F$2:$F$1958,B50)</f>
        <v>2900</v>
      </c>
      <c r="G50" s="81" cm="1">
        <f t="array" ref="G50">IF(D50=0,"",F50/D50)</f>
        <v>2900</v>
      </c>
      <c r="H50" s="81" cm="1">
        <f t="array" ref="H50">F50/20</f>
        <v>145</v>
      </c>
      <c r="I50" s="81" cm="1">
        <f t="array" ref="I50">_xlfn.SUMIFS('עסקאות'!$M$2:$M$1958,'עסקאות'!$F$2:$F$1958,B50,'עסקאות'!$A$2:$A$1958,"&gt;="&amp;DATE(2025,1,1),'עסקאות'!$A$2:$A$1958,"&lt;"&amp;DATE(2026,1,1))</f>
        <v>0</v>
      </c>
      <c r="J50" s="83" cm="1">
        <f t="array" ref="J50">_xlfn.SUMIFS('עסקאות'!$M$2:$M$1958,'עסקאות'!$F$2:$F$1958,B50,'עסקאות'!$A$2:$A$1958,"&gt;="&amp;DATE(2026,1,1),'עסקאות'!$A$2:$A$1958,"&lt;"&amp;DATE(2027,1,1))</f>
        <v>2900</v>
      </c>
      <c r="K50" s="77"/>
    </row>
    <row r="51" ht="13.65" customHeight="1">
      <c r="A51" s="70"/>
      <c r="B51" t="s" s="27">
        <v>240</v>
      </c>
      <c r="C51" t="s" s="86">
        <v>102</v>
      </c>
      <c r="D51" s="119">
        <v>1</v>
      </c>
      <c r="E51" s="119">
        <v>1</v>
      </c>
      <c r="F51" s="87" cm="1">
        <f t="array" ref="F51">_xlfn.SUMIFS('עסקאות'!$M$2:$M$1958,'עסקאות'!$F$2:$F$1958,B51)</f>
        <v>2799</v>
      </c>
      <c r="G51" s="87" cm="1">
        <f t="array" ref="G51">IF(D51=0,"",F51/D51)</f>
        <v>2799</v>
      </c>
      <c r="H51" s="87" cm="1">
        <f t="array" ref="H51">F51/20</f>
        <v>139.95</v>
      </c>
      <c r="I51" s="87" cm="1">
        <f t="array" ref="I51">_xlfn.SUMIFS('עסקאות'!$M$2:$M$1958,'עסקאות'!$F$2:$F$1958,B51,'עסקאות'!$A$2:$A$1958,"&gt;="&amp;DATE(2025,1,1),'עסקאות'!$A$2:$A$1958,"&lt;"&amp;DATE(2026,1,1))</f>
        <v>2799</v>
      </c>
      <c r="J51" s="28" cm="1">
        <f t="array" ref="J51">_xlfn.SUMIFS('עסקאות'!$M$2:$M$1958,'עסקאות'!$F$2:$F$1958,B51,'עסקאות'!$A$2:$A$1958,"&gt;="&amp;DATE(2026,1,1),'עסקאות'!$A$2:$A$1958,"&lt;"&amp;DATE(2027,1,1))</f>
        <v>0</v>
      </c>
      <c r="K51" s="77"/>
    </row>
    <row r="52" ht="13.65" customHeight="1">
      <c r="A52" s="70"/>
      <c r="B52" t="s" s="94">
        <v>241</v>
      </c>
      <c r="C52" t="s" s="80">
        <v>105</v>
      </c>
      <c r="D52" s="118">
        <v>3</v>
      </c>
      <c r="E52" s="118">
        <v>2</v>
      </c>
      <c r="F52" s="81" cm="1">
        <f t="array" ref="F52">_xlfn.SUMIFS('עסקאות'!$M$2:$M$1958,'עסקאות'!$F$2:$F$1958,B52)</f>
        <v>2640</v>
      </c>
      <c r="G52" s="81" cm="1">
        <f t="array" ref="G52">IF(D52=0,"",F52/D52)</f>
        <v>880</v>
      </c>
      <c r="H52" s="81" cm="1">
        <f t="array" ref="H52">F52/20</f>
        <v>132</v>
      </c>
      <c r="I52" s="81" cm="1">
        <f t="array" ref="I52">_xlfn.SUMIFS('עסקאות'!$M$2:$M$1958,'עסקאות'!$F$2:$F$1958,B52,'עסקאות'!$A$2:$A$1958,"&gt;="&amp;DATE(2025,1,1),'עסקאות'!$A$2:$A$1958,"&lt;"&amp;DATE(2026,1,1))</f>
        <v>2640</v>
      </c>
      <c r="J52" s="83" cm="1">
        <f t="array" ref="J52">_xlfn.SUMIFS('עסקאות'!$M$2:$M$1958,'עסקאות'!$F$2:$F$1958,B52,'עסקאות'!$A$2:$A$1958,"&gt;="&amp;DATE(2026,1,1),'עסקאות'!$A$2:$A$1958,"&lt;"&amp;DATE(2027,1,1))</f>
        <v>0</v>
      </c>
      <c r="K52" s="77"/>
    </row>
    <row r="53" ht="13.65" customHeight="1">
      <c r="A53" s="70"/>
      <c r="B53" t="s" s="27">
        <v>242</v>
      </c>
      <c r="C53" t="s" s="86">
        <v>105</v>
      </c>
      <c r="D53" s="119">
        <v>1</v>
      </c>
      <c r="E53" s="119">
        <v>1</v>
      </c>
      <c r="F53" s="87" cm="1">
        <f t="array" ref="F53">_xlfn.SUMIFS('עסקאות'!$M$2:$M$1958,'עסקאות'!$F$2:$F$1958,B53)</f>
        <v>2625</v>
      </c>
      <c r="G53" s="87" cm="1">
        <f t="array" ref="G53">IF(D53=0,"",F53/D53)</f>
        <v>2625</v>
      </c>
      <c r="H53" s="87" cm="1">
        <f t="array" ref="H53">F53/20</f>
        <v>131.25</v>
      </c>
      <c r="I53" s="87" cm="1">
        <f t="array" ref="I53">_xlfn.SUMIFS('עסקאות'!$M$2:$M$1958,'עסקאות'!$F$2:$F$1958,B53,'עסקאות'!$A$2:$A$1958,"&gt;="&amp;DATE(2025,1,1),'עסקאות'!$A$2:$A$1958,"&lt;"&amp;DATE(2026,1,1))</f>
        <v>2625</v>
      </c>
      <c r="J53" s="28" cm="1">
        <f t="array" ref="J53">_xlfn.SUMIFS('עסקאות'!$M$2:$M$1958,'עסקאות'!$F$2:$F$1958,B53,'עסקאות'!$A$2:$A$1958,"&gt;="&amp;DATE(2026,1,1),'עסקאות'!$A$2:$A$1958,"&lt;"&amp;DATE(2027,1,1))</f>
        <v>0</v>
      </c>
      <c r="K53" s="77"/>
    </row>
    <row r="54" ht="13.65" customHeight="1">
      <c r="A54" s="70"/>
      <c r="B54" t="s" s="94">
        <v>243</v>
      </c>
      <c r="C54" t="s" s="80">
        <v>105</v>
      </c>
      <c r="D54" s="118">
        <v>1</v>
      </c>
      <c r="E54" s="118">
        <v>1</v>
      </c>
      <c r="F54" s="81" cm="1">
        <f t="array" ref="F54">_xlfn.SUMIFS('עסקאות'!$M$2:$M$1958,'עסקאות'!$F$2:$F$1958,B54)</f>
        <v>2530</v>
      </c>
      <c r="G54" s="81" cm="1">
        <f t="array" ref="G54">IF(D54=0,"",F54/D54)</f>
        <v>2530</v>
      </c>
      <c r="H54" s="81" cm="1">
        <f t="array" ref="H54">F54/20</f>
        <v>126.5</v>
      </c>
      <c r="I54" s="81" cm="1">
        <f t="array" ref="I54">_xlfn.SUMIFS('עסקאות'!$M$2:$M$1958,'עסקאות'!$F$2:$F$1958,B54,'עסקאות'!$A$2:$A$1958,"&gt;="&amp;DATE(2025,1,1),'עסקאות'!$A$2:$A$1958,"&lt;"&amp;DATE(2026,1,1))</f>
        <v>2530</v>
      </c>
      <c r="J54" s="83" cm="1">
        <f t="array" ref="J54">_xlfn.SUMIFS('עסקאות'!$M$2:$M$1958,'עסקאות'!$F$2:$F$1958,B54,'עסקאות'!$A$2:$A$1958,"&gt;="&amp;DATE(2026,1,1),'עסקאות'!$A$2:$A$1958,"&lt;"&amp;DATE(2027,1,1))</f>
        <v>0</v>
      </c>
      <c r="K54" s="77"/>
    </row>
    <row r="55" ht="13.65" customHeight="1">
      <c r="A55" s="70"/>
      <c r="B55" t="s" s="27">
        <v>244</v>
      </c>
      <c r="C55" t="s" s="86">
        <v>105</v>
      </c>
      <c r="D55" s="119">
        <v>1</v>
      </c>
      <c r="E55" s="119">
        <v>1</v>
      </c>
      <c r="F55" s="87" cm="1">
        <f t="array" ref="F55">_xlfn.SUMIFS('עסקאות'!$M$2:$M$1958,'עסקאות'!$F$2:$F$1958,B55)</f>
        <v>2500</v>
      </c>
      <c r="G55" s="87" cm="1">
        <f t="array" ref="G55">IF(D55=0,"",F55/D55)</f>
        <v>2500</v>
      </c>
      <c r="H55" s="87" cm="1">
        <f t="array" ref="H55">F55/20</f>
        <v>125</v>
      </c>
      <c r="I55" s="87" cm="1">
        <f t="array" ref="I55">_xlfn.SUMIFS('עסקאות'!$M$2:$M$1958,'עסקאות'!$F$2:$F$1958,B55,'עסקאות'!$A$2:$A$1958,"&gt;="&amp;DATE(2025,1,1),'עסקאות'!$A$2:$A$1958,"&lt;"&amp;DATE(2026,1,1))</f>
        <v>2500</v>
      </c>
      <c r="J55" s="28" cm="1">
        <f t="array" ref="J55">_xlfn.SUMIFS('עסקאות'!$M$2:$M$1958,'עסקאות'!$F$2:$F$1958,B55,'עסקאות'!$A$2:$A$1958,"&gt;="&amp;DATE(2026,1,1),'עסקאות'!$A$2:$A$1958,"&lt;"&amp;DATE(2027,1,1))</f>
        <v>0</v>
      </c>
      <c r="K55" s="77"/>
    </row>
    <row r="56" ht="13.65" customHeight="1">
      <c r="A56" s="70"/>
      <c r="B56" t="s" s="94">
        <v>245</v>
      </c>
      <c r="C56" t="s" s="80">
        <v>107</v>
      </c>
      <c r="D56" s="118">
        <v>25</v>
      </c>
      <c r="E56" s="118">
        <v>13</v>
      </c>
      <c r="F56" s="81" cm="1">
        <f t="array" ref="F56">_xlfn.SUMIFS('עסקאות'!$M$2:$M$1958,'עסקאות'!$F$2:$F$1958,B56)</f>
        <v>2278</v>
      </c>
      <c r="G56" s="81" cm="1">
        <f t="array" ref="G56">IF(D56=0,"",F56/D56)</f>
        <v>91.12</v>
      </c>
      <c r="H56" s="81" cm="1">
        <f t="array" ref="H56">F56/20</f>
        <v>113.9</v>
      </c>
      <c r="I56" s="81" cm="1">
        <f t="array" ref="I56">_xlfn.SUMIFS('עסקאות'!$M$2:$M$1958,'עסקאות'!$F$2:$F$1958,B56,'עסקאות'!$A$2:$A$1958,"&gt;="&amp;DATE(2025,1,1),'עסקאות'!$A$2:$A$1958,"&lt;"&amp;DATE(2026,1,1))</f>
        <v>2126</v>
      </c>
      <c r="J56" s="83" cm="1">
        <f t="array" ref="J56">_xlfn.SUMIFS('עסקאות'!$M$2:$M$1958,'עסקאות'!$F$2:$F$1958,B56,'עסקאות'!$A$2:$A$1958,"&gt;="&amp;DATE(2026,1,1),'עסקאות'!$A$2:$A$1958,"&lt;"&amp;DATE(2027,1,1))</f>
        <v>152</v>
      </c>
      <c r="K56" s="77"/>
    </row>
    <row r="57" ht="13.65" customHeight="1">
      <c r="A57" s="70"/>
      <c r="B57" t="s" s="27">
        <v>246</v>
      </c>
      <c r="C57" t="s" s="86">
        <v>117</v>
      </c>
      <c r="D57" s="119">
        <v>1</v>
      </c>
      <c r="E57" s="119">
        <v>1</v>
      </c>
      <c r="F57" s="87" cm="1">
        <f t="array" ref="F57">_xlfn.SUMIFS('עסקאות'!$M$2:$M$1958,'עסקאות'!$F$2:$F$1958,B57)</f>
        <v>2190</v>
      </c>
      <c r="G57" s="87" cm="1">
        <f t="array" ref="G57">IF(D57=0,"",F57/D57)</f>
        <v>2190</v>
      </c>
      <c r="H57" s="87" cm="1">
        <f t="array" ref="H57">F57/20</f>
        <v>109.5</v>
      </c>
      <c r="I57" s="87" cm="1">
        <f t="array" ref="I57">_xlfn.SUMIFS('עסקאות'!$M$2:$M$1958,'עסקאות'!$F$2:$F$1958,B57,'עסקאות'!$A$2:$A$1958,"&gt;="&amp;DATE(2025,1,1),'עסקאות'!$A$2:$A$1958,"&lt;"&amp;DATE(2026,1,1))</f>
        <v>2190</v>
      </c>
      <c r="J57" s="28" cm="1">
        <f t="array" ref="J57">_xlfn.SUMIFS('עסקאות'!$M$2:$M$1958,'עסקאות'!$F$2:$F$1958,B57,'עסקאות'!$A$2:$A$1958,"&gt;="&amp;DATE(2026,1,1),'עסקאות'!$A$2:$A$1958,"&lt;"&amp;DATE(2027,1,1))</f>
        <v>0</v>
      </c>
      <c r="K57" s="77"/>
    </row>
    <row r="58" ht="13.65" customHeight="1">
      <c r="A58" s="70"/>
      <c r="B58" t="s" s="94">
        <v>247</v>
      </c>
      <c r="C58" t="s" s="80">
        <v>133</v>
      </c>
      <c r="D58" s="118">
        <v>1</v>
      </c>
      <c r="E58" s="118">
        <v>1</v>
      </c>
      <c r="F58" s="81" cm="1">
        <f t="array" ref="F58">_xlfn.SUMIFS('עסקאות'!$M$2:$M$1958,'עסקאות'!$F$2:$F$1958,B58)</f>
        <v>2178</v>
      </c>
      <c r="G58" s="81" cm="1">
        <f t="array" ref="G58">IF(D58=0,"",F58/D58)</f>
        <v>2178</v>
      </c>
      <c r="H58" s="81" cm="1">
        <f t="array" ref="H58">F58/20</f>
        <v>108.9</v>
      </c>
      <c r="I58" s="81" cm="1">
        <f t="array" ref="I58">_xlfn.SUMIFS('עסקאות'!$M$2:$M$1958,'עסקאות'!$F$2:$F$1958,B58,'עסקאות'!$A$2:$A$1958,"&gt;="&amp;DATE(2025,1,1),'עסקאות'!$A$2:$A$1958,"&lt;"&amp;DATE(2026,1,1))</f>
        <v>2178</v>
      </c>
      <c r="J58" s="83" cm="1">
        <f t="array" ref="J58">_xlfn.SUMIFS('עסקאות'!$M$2:$M$1958,'עסקאות'!$F$2:$F$1958,B58,'עסקאות'!$A$2:$A$1958,"&gt;="&amp;DATE(2026,1,1),'עסקאות'!$A$2:$A$1958,"&lt;"&amp;DATE(2027,1,1))</f>
        <v>0</v>
      </c>
      <c r="K58" s="77"/>
    </row>
    <row r="59" ht="13.65" customHeight="1">
      <c r="A59" s="70"/>
      <c r="B59" t="s" s="27">
        <v>248</v>
      </c>
      <c r="C59" t="s" s="86">
        <v>102</v>
      </c>
      <c r="D59" s="119">
        <v>1</v>
      </c>
      <c r="E59" s="119">
        <v>1</v>
      </c>
      <c r="F59" s="87" cm="1">
        <f t="array" ref="F59">_xlfn.SUMIFS('עסקאות'!$M$2:$M$1958,'עסקאות'!$F$2:$F$1958,B59)</f>
        <v>2120</v>
      </c>
      <c r="G59" s="87" cm="1">
        <f t="array" ref="G59">IF(D59=0,"",F59/D59)</f>
        <v>2120</v>
      </c>
      <c r="H59" s="87" cm="1">
        <f t="array" ref="H59">F59/20</f>
        <v>106</v>
      </c>
      <c r="I59" s="87" cm="1">
        <f t="array" ref="I59">_xlfn.SUMIFS('עסקאות'!$M$2:$M$1958,'עסקאות'!$F$2:$F$1958,B59,'עסקאות'!$A$2:$A$1958,"&gt;="&amp;DATE(2025,1,1),'עסקאות'!$A$2:$A$1958,"&lt;"&amp;DATE(2026,1,1))</f>
        <v>2120</v>
      </c>
      <c r="J59" s="28" cm="1">
        <f t="array" ref="J59">_xlfn.SUMIFS('עסקאות'!$M$2:$M$1958,'עסקאות'!$F$2:$F$1958,B59,'עסקאות'!$A$2:$A$1958,"&gt;="&amp;DATE(2026,1,1),'עסקאות'!$A$2:$A$1958,"&lt;"&amp;DATE(2027,1,1))</f>
        <v>0</v>
      </c>
      <c r="K59" s="77"/>
    </row>
    <row r="60" ht="13.65" customHeight="1">
      <c r="A60" s="70"/>
      <c r="B60" t="s" s="94">
        <v>249</v>
      </c>
      <c r="C60" t="s" s="80">
        <v>105</v>
      </c>
      <c r="D60" s="118">
        <v>2</v>
      </c>
      <c r="E60" s="118">
        <v>2</v>
      </c>
      <c r="F60" s="81" cm="1">
        <f t="array" ref="F60">_xlfn.SUMIFS('עסקאות'!$M$2:$M$1958,'עסקאות'!$F$2:$F$1958,B60)</f>
        <v>2065</v>
      </c>
      <c r="G60" s="81" cm="1">
        <f t="array" ref="G60">IF(D60=0,"",F60/D60)</f>
        <v>1032.5</v>
      </c>
      <c r="H60" s="81" cm="1">
        <f t="array" ref="H60">F60/20</f>
        <v>103.25</v>
      </c>
      <c r="I60" s="81" cm="1">
        <f t="array" ref="I60">_xlfn.SUMIFS('עסקאות'!$M$2:$M$1958,'עסקאות'!$F$2:$F$1958,B60,'עסקאות'!$A$2:$A$1958,"&gt;="&amp;DATE(2025,1,1),'עסקאות'!$A$2:$A$1958,"&lt;"&amp;DATE(2026,1,1))</f>
        <v>2065</v>
      </c>
      <c r="J60" s="83" cm="1">
        <f t="array" ref="J60">_xlfn.SUMIFS('עסקאות'!$M$2:$M$1958,'עסקאות'!$F$2:$F$1958,B60,'עסקאות'!$A$2:$A$1958,"&gt;="&amp;DATE(2026,1,1),'עסקאות'!$A$2:$A$1958,"&lt;"&amp;DATE(2027,1,1))</f>
        <v>0</v>
      </c>
      <c r="K60" s="77"/>
    </row>
    <row r="61" ht="13.65" customHeight="1">
      <c r="A61" s="70"/>
      <c r="B61" t="s" s="27">
        <v>250</v>
      </c>
      <c r="C61" t="s" s="86">
        <v>127</v>
      </c>
      <c r="D61" s="119">
        <v>17</v>
      </c>
      <c r="E61" s="119">
        <v>16</v>
      </c>
      <c r="F61" s="87" cm="1">
        <f t="array" ref="F61">_xlfn.SUMIFS('עסקאות'!$M$2:$M$1958,'עסקאות'!$F$2:$F$1958,B61)</f>
        <v>2060</v>
      </c>
      <c r="G61" s="87" cm="1">
        <f t="array" ref="G61">IF(D61=0,"",F61/D61)</f>
        <v>121.176470588235</v>
      </c>
      <c r="H61" s="87" cm="1">
        <f t="array" ref="H61">F61/20</f>
        <v>103</v>
      </c>
      <c r="I61" s="87" cm="1">
        <f t="array" ref="I61">_xlfn.SUMIFS('עסקאות'!$M$2:$M$1958,'עסקאות'!$F$2:$F$1958,B61,'עסקאות'!$A$2:$A$1958,"&gt;="&amp;DATE(2025,1,1),'עסקאות'!$A$2:$A$1958,"&lt;"&amp;DATE(2026,1,1))</f>
        <v>1060</v>
      </c>
      <c r="J61" s="28" cm="1">
        <f t="array" ref="J61">_xlfn.SUMIFS('עסקאות'!$M$2:$M$1958,'עסקאות'!$F$2:$F$1958,B61,'עסקאות'!$A$2:$A$1958,"&gt;="&amp;DATE(2026,1,1),'עסקאות'!$A$2:$A$1958,"&lt;"&amp;DATE(2027,1,1))</f>
        <v>1000</v>
      </c>
      <c r="K61" s="77"/>
    </row>
    <row r="62" ht="13.65" customHeight="1">
      <c r="A62" s="70"/>
      <c r="B62" t="s" s="94">
        <v>251</v>
      </c>
      <c r="C62" t="s" s="80">
        <v>111</v>
      </c>
      <c r="D62" s="118">
        <v>1</v>
      </c>
      <c r="E62" s="118">
        <v>1</v>
      </c>
      <c r="F62" s="81" cm="1">
        <f t="array" ref="F62">_xlfn.SUMIFS('עסקאות'!$M$2:$M$1958,'עסקאות'!$F$2:$F$1958,B62)</f>
        <v>2050</v>
      </c>
      <c r="G62" s="81" cm="1">
        <f t="array" ref="G62">IF(D62=0,"",F62/D62)</f>
        <v>2050</v>
      </c>
      <c r="H62" s="81" cm="1">
        <f t="array" ref="H62">F62/20</f>
        <v>102.5</v>
      </c>
      <c r="I62" s="81" cm="1">
        <f t="array" ref="I62">_xlfn.SUMIFS('עסקאות'!$M$2:$M$1958,'עסקאות'!$F$2:$F$1958,B62,'עסקאות'!$A$2:$A$1958,"&gt;="&amp;DATE(2025,1,1),'עסקאות'!$A$2:$A$1958,"&lt;"&amp;DATE(2026,1,1))</f>
        <v>2050</v>
      </c>
      <c r="J62" s="83" cm="1">
        <f t="array" ref="J62">_xlfn.SUMIFS('עסקאות'!$M$2:$M$1958,'עסקאות'!$F$2:$F$1958,B62,'עסקאות'!$A$2:$A$1958,"&gt;="&amp;DATE(2026,1,1),'עסקאות'!$A$2:$A$1958,"&lt;"&amp;DATE(2027,1,1))</f>
        <v>0</v>
      </c>
      <c r="K62" s="77"/>
    </row>
    <row r="63" ht="13.65" customHeight="1">
      <c r="A63" s="70"/>
      <c r="B63" t="s" s="120">
        <v>252</v>
      </c>
      <c r="C63" t="s" s="86">
        <v>117</v>
      </c>
      <c r="D63" s="119">
        <v>2</v>
      </c>
      <c r="E63" s="119">
        <v>2</v>
      </c>
      <c r="F63" s="87" cm="1">
        <f t="array" ref="F63">_xlfn.SUMIFS('עסקאות'!$M$2:$M$1958,'עסקאות'!$F$2:$F$1958,B63)</f>
        <v>2002</v>
      </c>
      <c r="G63" s="87" cm="1">
        <f t="array" ref="G63">IF(D63=0,"",F63/D63)</f>
        <v>1001</v>
      </c>
      <c r="H63" s="87" cm="1">
        <f t="array" ref="H63">F63/20</f>
        <v>100.1</v>
      </c>
      <c r="I63" s="87" cm="1">
        <f t="array" ref="I63">_xlfn.SUMIFS('עסקאות'!$M$2:$M$1958,'עסקאות'!$F$2:$F$1958,B63,'עסקאות'!$A$2:$A$1958,"&gt;="&amp;DATE(2025,1,1),'עסקאות'!$A$2:$A$1958,"&lt;"&amp;DATE(2026,1,1))</f>
        <v>0</v>
      </c>
      <c r="J63" s="28" cm="1">
        <f t="array" ref="J63">_xlfn.SUMIFS('עסקאות'!$M$2:$M$1958,'עסקאות'!$F$2:$F$1958,B63,'עסקאות'!$A$2:$A$1958,"&gt;="&amp;DATE(2026,1,1),'עסקאות'!$A$2:$A$1958,"&lt;"&amp;DATE(2027,1,1))</f>
        <v>2002</v>
      </c>
      <c r="K63" s="77"/>
    </row>
    <row r="64" ht="13.65" customHeight="1">
      <c r="A64" s="70"/>
      <c r="B64" t="s" s="94">
        <v>253</v>
      </c>
      <c r="C64" t="s" s="80">
        <v>121</v>
      </c>
      <c r="D64" s="118">
        <v>1</v>
      </c>
      <c r="E64" s="118">
        <v>1</v>
      </c>
      <c r="F64" s="81" cm="1">
        <f t="array" ref="F64">_xlfn.SUMIFS('עסקאות'!$M$2:$M$1958,'עסקאות'!$F$2:$F$1958,B64)</f>
        <v>2000</v>
      </c>
      <c r="G64" s="81" cm="1">
        <f t="array" ref="G64">IF(D64=0,"",F64/D64)</f>
        <v>2000</v>
      </c>
      <c r="H64" s="81" cm="1">
        <f t="array" ref="H64">F64/20</f>
        <v>100</v>
      </c>
      <c r="I64" s="81" cm="1">
        <f t="array" ref="I64">_xlfn.SUMIFS('עסקאות'!$M$2:$M$1958,'עסקאות'!$F$2:$F$1958,B64,'עסקאות'!$A$2:$A$1958,"&gt;="&amp;DATE(2025,1,1),'עסקאות'!$A$2:$A$1958,"&lt;"&amp;DATE(2026,1,1))</f>
        <v>2000</v>
      </c>
      <c r="J64" s="83" cm="1">
        <f t="array" ref="J64">_xlfn.SUMIFS('עסקאות'!$M$2:$M$1958,'עסקאות'!$F$2:$F$1958,B64,'עסקאות'!$A$2:$A$1958,"&gt;="&amp;DATE(2026,1,1),'עסקאות'!$A$2:$A$1958,"&lt;"&amp;DATE(2027,1,1))</f>
        <v>0</v>
      </c>
      <c r="K64" s="77"/>
    </row>
    <row r="65" ht="13.65" customHeight="1">
      <c r="A65" s="70"/>
      <c r="B65" t="s" s="27">
        <v>254</v>
      </c>
      <c r="C65" t="s" s="86">
        <v>109</v>
      </c>
      <c r="D65" s="119">
        <v>48</v>
      </c>
      <c r="E65" s="119">
        <v>15</v>
      </c>
      <c r="F65" s="87" cm="1">
        <f t="array" ref="F65">_xlfn.SUMIFS('עסקאות'!$M$2:$M$1958,'עסקאות'!$F$2:$F$1958,B65)</f>
        <v>1971</v>
      </c>
      <c r="G65" s="87" cm="1">
        <f t="array" ref="G65">IF(D65=0,"",F65/D65)</f>
        <v>41.0625</v>
      </c>
      <c r="H65" s="87" cm="1">
        <f t="array" ref="H65">F65/20</f>
        <v>98.55</v>
      </c>
      <c r="I65" s="87" cm="1">
        <f t="array" ref="I65">_xlfn.SUMIFS('עסקאות'!$M$2:$M$1958,'עסקאות'!$F$2:$F$1958,B65,'עסקאות'!$A$2:$A$1958,"&gt;="&amp;DATE(2025,1,1),'עסקאות'!$A$2:$A$1958,"&lt;"&amp;DATE(2026,1,1))</f>
        <v>775</v>
      </c>
      <c r="J65" s="28" cm="1">
        <f t="array" ref="J65">_xlfn.SUMIFS('עסקאות'!$M$2:$M$1958,'עסקאות'!$F$2:$F$1958,B65,'עסקאות'!$A$2:$A$1958,"&gt;="&amp;DATE(2026,1,1),'עסקאות'!$A$2:$A$1958,"&lt;"&amp;DATE(2027,1,1))</f>
        <v>1196</v>
      </c>
      <c r="K65" s="77"/>
    </row>
    <row r="66" ht="13.65" customHeight="1">
      <c r="A66" s="70"/>
      <c r="B66" t="s" s="94">
        <v>255</v>
      </c>
      <c r="C66" t="s" s="80">
        <v>105</v>
      </c>
      <c r="D66" s="118">
        <v>5</v>
      </c>
      <c r="E66" s="118">
        <v>3</v>
      </c>
      <c r="F66" s="81" cm="1">
        <f t="array" ref="F66">_xlfn.SUMIFS('עסקאות'!$M$2:$M$1958,'עסקאות'!$F$2:$F$1958,B66)</f>
        <v>1907</v>
      </c>
      <c r="G66" s="81" cm="1">
        <f t="array" ref="G66">IF(D66=0,"",F66/D66)</f>
        <v>381.4</v>
      </c>
      <c r="H66" s="81" cm="1">
        <f t="array" ref="H66">F66/20</f>
        <v>95.34999999999999</v>
      </c>
      <c r="I66" s="81" cm="1">
        <f t="array" ref="I66">_xlfn.SUMIFS('עסקאות'!$M$2:$M$1958,'עסקאות'!$F$2:$F$1958,B66,'עסקאות'!$A$2:$A$1958,"&gt;="&amp;DATE(2025,1,1),'עסקאות'!$A$2:$A$1958,"&lt;"&amp;DATE(2026,1,1))</f>
        <v>1907</v>
      </c>
      <c r="J66" s="83" cm="1">
        <f t="array" ref="J66">_xlfn.SUMIFS('עסקאות'!$M$2:$M$1958,'עסקאות'!$F$2:$F$1958,B66,'עסקאות'!$A$2:$A$1958,"&gt;="&amp;DATE(2026,1,1),'עסקאות'!$A$2:$A$1958,"&lt;"&amp;DATE(2027,1,1))</f>
        <v>0</v>
      </c>
      <c r="K66" s="77"/>
    </row>
    <row r="67" ht="13.65" customHeight="1">
      <c r="A67" s="70"/>
      <c r="B67" t="s" s="27">
        <v>256</v>
      </c>
      <c r="C67" t="s" s="86">
        <v>123</v>
      </c>
      <c r="D67" s="119">
        <v>8</v>
      </c>
      <c r="E67" s="119">
        <v>6</v>
      </c>
      <c r="F67" s="87" cm="1">
        <f t="array" ref="F67">_xlfn.SUMIFS('עסקאות'!$M$2:$M$1958,'עסקאות'!$F$2:$F$1958,B67)</f>
        <v>1901</v>
      </c>
      <c r="G67" s="87" cm="1">
        <f t="array" ref="G67">IF(D67=0,"",F67/D67)</f>
        <v>237.625</v>
      </c>
      <c r="H67" s="87" cm="1">
        <f t="array" ref="H67">F67/20</f>
        <v>95.05</v>
      </c>
      <c r="I67" s="87" cm="1">
        <f t="array" ref="I67">_xlfn.SUMIFS('עסקאות'!$M$2:$M$1958,'עסקאות'!$F$2:$F$1958,B67,'עסקאות'!$A$2:$A$1958,"&gt;="&amp;DATE(2025,1,1),'עסקאות'!$A$2:$A$1958,"&lt;"&amp;DATE(2026,1,1))</f>
        <v>1901</v>
      </c>
      <c r="J67" s="28" cm="1">
        <f t="array" ref="J67">_xlfn.SUMIFS('עסקאות'!$M$2:$M$1958,'עסקאות'!$F$2:$F$1958,B67,'עסקאות'!$A$2:$A$1958,"&gt;="&amp;DATE(2026,1,1),'עסקאות'!$A$2:$A$1958,"&lt;"&amp;DATE(2027,1,1))</f>
        <v>0</v>
      </c>
      <c r="K67" s="77"/>
    </row>
    <row r="68" ht="13.65" customHeight="1">
      <c r="A68" s="70"/>
      <c r="B68" t="s" s="94">
        <v>257</v>
      </c>
      <c r="C68" t="s" s="80">
        <v>119</v>
      </c>
      <c r="D68" s="118">
        <v>2</v>
      </c>
      <c r="E68" s="118">
        <v>1</v>
      </c>
      <c r="F68" s="81" cm="1">
        <f t="array" ref="F68">_xlfn.SUMIFS('עסקאות'!$M$2:$M$1958,'עסקאות'!$F$2:$F$1958,B68)</f>
        <v>1887</v>
      </c>
      <c r="G68" s="81" cm="1">
        <f t="array" ref="G68">IF(D68=0,"",F68/D68)</f>
        <v>943.5</v>
      </c>
      <c r="H68" s="81" cm="1">
        <f t="array" ref="H68">F68/20</f>
        <v>94.34999999999999</v>
      </c>
      <c r="I68" s="81" cm="1">
        <f t="array" ref="I68">_xlfn.SUMIFS('עסקאות'!$M$2:$M$1958,'עסקאות'!$F$2:$F$1958,B68,'עסקאות'!$A$2:$A$1958,"&gt;="&amp;DATE(2025,1,1),'עסקאות'!$A$2:$A$1958,"&lt;"&amp;DATE(2026,1,1))</f>
        <v>0</v>
      </c>
      <c r="J68" s="83" cm="1">
        <f t="array" ref="J68">_xlfn.SUMIFS('עסקאות'!$M$2:$M$1958,'עסקאות'!$F$2:$F$1958,B68,'עסקאות'!$A$2:$A$1958,"&gt;="&amp;DATE(2026,1,1),'עסקאות'!$A$2:$A$1958,"&lt;"&amp;DATE(2027,1,1))</f>
        <v>1887</v>
      </c>
      <c r="K68" s="77"/>
    </row>
    <row r="69" ht="13.65" customHeight="1">
      <c r="A69" s="70"/>
      <c r="B69" t="s" s="27">
        <v>258</v>
      </c>
      <c r="C69" t="s" s="86">
        <v>131</v>
      </c>
      <c r="D69" s="119">
        <v>1</v>
      </c>
      <c r="E69" s="119">
        <v>1</v>
      </c>
      <c r="F69" s="87" cm="1">
        <f t="array" ref="F69">_xlfn.SUMIFS('עסקאות'!$M$2:$M$1958,'עסקאות'!$F$2:$F$1958,B69)</f>
        <v>1844</v>
      </c>
      <c r="G69" s="87" cm="1">
        <f t="array" ref="G69">IF(D69=0,"",F69/D69)</f>
        <v>1844</v>
      </c>
      <c r="H69" s="87" cm="1">
        <f t="array" ref="H69">F69/20</f>
        <v>92.2</v>
      </c>
      <c r="I69" s="87" cm="1">
        <f t="array" ref="I69">_xlfn.SUMIFS('עסקאות'!$M$2:$M$1958,'עסקאות'!$F$2:$F$1958,B69,'עסקאות'!$A$2:$A$1958,"&gt;="&amp;DATE(2025,1,1),'עסקאות'!$A$2:$A$1958,"&lt;"&amp;DATE(2026,1,1))</f>
        <v>0</v>
      </c>
      <c r="J69" s="28" cm="1">
        <f t="array" ref="J69">_xlfn.SUMIFS('עסקאות'!$M$2:$M$1958,'עסקאות'!$F$2:$F$1958,B69,'עסקאות'!$A$2:$A$1958,"&gt;="&amp;DATE(2026,1,1),'עסקאות'!$A$2:$A$1958,"&lt;"&amp;DATE(2027,1,1))</f>
        <v>1844</v>
      </c>
      <c r="K69" s="77"/>
    </row>
    <row r="70" ht="13.65" customHeight="1">
      <c r="A70" s="70"/>
      <c r="B70" t="s" s="94">
        <v>259</v>
      </c>
      <c r="C70" t="s" s="80">
        <v>105</v>
      </c>
      <c r="D70" s="118">
        <v>1</v>
      </c>
      <c r="E70" s="118">
        <v>1</v>
      </c>
      <c r="F70" s="81" cm="1">
        <f t="array" ref="F70">_xlfn.SUMIFS('עסקאות'!$M$2:$M$1958,'עסקאות'!$F$2:$F$1958,B70)</f>
        <v>1835</v>
      </c>
      <c r="G70" s="81" cm="1">
        <f t="array" ref="G70">IF(D70=0,"",F70/D70)</f>
        <v>1835</v>
      </c>
      <c r="H70" s="81" cm="1">
        <f t="array" ref="H70">F70/20</f>
        <v>91.75</v>
      </c>
      <c r="I70" s="81" cm="1">
        <f t="array" ref="I70">_xlfn.SUMIFS('עסקאות'!$M$2:$M$1958,'עסקאות'!$F$2:$F$1958,B70,'עסקאות'!$A$2:$A$1958,"&gt;="&amp;DATE(2025,1,1),'עסקאות'!$A$2:$A$1958,"&lt;"&amp;DATE(2026,1,1))</f>
        <v>1835</v>
      </c>
      <c r="J70" s="83" cm="1">
        <f t="array" ref="J70">_xlfn.SUMIFS('עסקאות'!$M$2:$M$1958,'עסקאות'!$F$2:$F$1958,B70,'עסקאות'!$A$2:$A$1958,"&gt;="&amp;DATE(2026,1,1),'עסקאות'!$A$2:$A$1958,"&lt;"&amp;DATE(2027,1,1))</f>
        <v>0</v>
      </c>
      <c r="K70" s="77"/>
    </row>
    <row r="71" ht="13.65" customHeight="1">
      <c r="A71" s="70"/>
      <c r="B71" t="s" s="27">
        <v>260</v>
      </c>
      <c r="C71" t="s" s="86">
        <v>105</v>
      </c>
      <c r="D71" s="119">
        <v>1</v>
      </c>
      <c r="E71" s="119">
        <v>1</v>
      </c>
      <c r="F71" s="87" cm="1">
        <f t="array" ref="F71">_xlfn.SUMIFS('עסקאות'!$M$2:$M$1958,'עסקאות'!$F$2:$F$1958,B71)</f>
        <v>1800</v>
      </c>
      <c r="G71" s="87" cm="1">
        <f t="array" ref="G71">IF(D71=0,"",F71/D71)</f>
        <v>1800</v>
      </c>
      <c r="H71" s="87" cm="1">
        <f t="array" ref="H71">F71/20</f>
        <v>90</v>
      </c>
      <c r="I71" s="87" cm="1">
        <f t="array" ref="I71">_xlfn.SUMIFS('עסקאות'!$M$2:$M$1958,'עסקאות'!$F$2:$F$1958,B71,'עסקאות'!$A$2:$A$1958,"&gt;="&amp;DATE(2025,1,1),'עסקאות'!$A$2:$A$1958,"&lt;"&amp;DATE(2026,1,1))</f>
        <v>1800</v>
      </c>
      <c r="J71" s="28" cm="1">
        <f t="array" ref="J71">_xlfn.SUMIFS('עסקאות'!$M$2:$M$1958,'עסקאות'!$F$2:$F$1958,B71,'עסקאות'!$A$2:$A$1958,"&gt;="&amp;DATE(2026,1,1),'עסקאות'!$A$2:$A$1958,"&lt;"&amp;DATE(2027,1,1))</f>
        <v>0</v>
      </c>
      <c r="K71" s="77"/>
    </row>
    <row r="72" ht="13.65" customHeight="1">
      <c r="A72" s="70"/>
      <c r="B72" t="s" s="94">
        <v>261</v>
      </c>
      <c r="C72" t="s" s="80">
        <v>115</v>
      </c>
      <c r="D72" s="118">
        <v>1</v>
      </c>
      <c r="E72" s="118">
        <v>1</v>
      </c>
      <c r="F72" s="81" cm="1">
        <f t="array" ref="F72">_xlfn.SUMIFS('עסקאות'!$M$2:$M$1958,'עסקאות'!$F$2:$F$1958,B72)</f>
        <v>1797</v>
      </c>
      <c r="G72" s="81" cm="1">
        <f t="array" ref="G72">IF(D72=0,"",F72/D72)</f>
        <v>1797</v>
      </c>
      <c r="H72" s="81" cm="1">
        <f t="array" ref="H72">F72/20</f>
        <v>89.84999999999999</v>
      </c>
      <c r="I72" s="81" cm="1">
        <f t="array" ref="I72">_xlfn.SUMIFS('עסקאות'!$M$2:$M$1958,'עסקאות'!$F$2:$F$1958,B72,'עסקאות'!$A$2:$A$1958,"&gt;="&amp;DATE(2025,1,1),'עסקאות'!$A$2:$A$1958,"&lt;"&amp;DATE(2026,1,1))</f>
        <v>1797</v>
      </c>
      <c r="J72" s="83" cm="1">
        <f t="array" ref="J72">_xlfn.SUMIFS('עסקאות'!$M$2:$M$1958,'עסקאות'!$F$2:$F$1958,B72,'עסקאות'!$A$2:$A$1958,"&gt;="&amp;DATE(2026,1,1),'עסקאות'!$A$2:$A$1958,"&lt;"&amp;DATE(2027,1,1))</f>
        <v>0</v>
      </c>
      <c r="K72" s="77"/>
    </row>
    <row r="73" ht="13.65" customHeight="1">
      <c r="A73" s="70"/>
      <c r="B73" t="s" s="27">
        <v>262</v>
      </c>
      <c r="C73" t="s" s="86">
        <v>107</v>
      </c>
      <c r="D73" s="119">
        <v>2</v>
      </c>
      <c r="E73" s="119">
        <v>2</v>
      </c>
      <c r="F73" s="87" cm="1">
        <f t="array" ref="F73">_xlfn.SUMIFS('עסקאות'!$M$2:$M$1958,'עסקאות'!$F$2:$F$1958,B73)</f>
        <v>1740</v>
      </c>
      <c r="G73" s="87" cm="1">
        <f t="array" ref="G73">IF(D73=0,"",F73/D73)</f>
        <v>870</v>
      </c>
      <c r="H73" s="87" cm="1">
        <f t="array" ref="H73">F73/20</f>
        <v>87</v>
      </c>
      <c r="I73" s="87" cm="1">
        <f t="array" ref="I73">_xlfn.SUMIFS('עסקאות'!$M$2:$M$1958,'עסקאות'!$F$2:$F$1958,B73,'עסקאות'!$A$2:$A$1958,"&gt;="&amp;DATE(2025,1,1),'עסקאות'!$A$2:$A$1958,"&lt;"&amp;DATE(2026,1,1))</f>
        <v>1740</v>
      </c>
      <c r="J73" s="28" cm="1">
        <f t="array" ref="J73">_xlfn.SUMIFS('עסקאות'!$M$2:$M$1958,'עסקאות'!$F$2:$F$1958,B73,'עסקאות'!$A$2:$A$1958,"&gt;="&amp;DATE(2026,1,1),'עסקאות'!$A$2:$A$1958,"&lt;"&amp;DATE(2027,1,1))</f>
        <v>0</v>
      </c>
      <c r="K73" s="77"/>
    </row>
    <row r="74" ht="13.65" customHeight="1">
      <c r="A74" s="70"/>
      <c r="B74" t="s" s="94">
        <v>263</v>
      </c>
      <c r="C74" t="s" s="80">
        <v>135</v>
      </c>
      <c r="D74" s="118">
        <v>15</v>
      </c>
      <c r="E74" s="118">
        <v>15</v>
      </c>
      <c r="F74" s="81" cm="1">
        <f t="array" ref="F74">_xlfn.SUMIFS('עסקאות'!$M$2:$M$1958,'עסקאות'!$F$2:$F$1958,B74)</f>
        <v>1734</v>
      </c>
      <c r="G74" s="81" cm="1">
        <f t="array" ref="G74">IF(D74=0,"",F74/D74)</f>
        <v>115.6</v>
      </c>
      <c r="H74" s="81" cm="1">
        <f t="array" ref="H74">F74/20</f>
        <v>86.7</v>
      </c>
      <c r="I74" s="81" cm="1">
        <f t="array" ref="I74">_xlfn.SUMIFS('עסקאות'!$M$2:$M$1958,'עסקאות'!$F$2:$F$1958,B74,'עסקאות'!$A$2:$A$1958,"&gt;="&amp;DATE(2025,1,1),'עסקאות'!$A$2:$A$1958,"&lt;"&amp;DATE(2026,1,1))</f>
        <v>806</v>
      </c>
      <c r="J74" s="83" cm="1">
        <f t="array" ref="J74">_xlfn.SUMIFS('עסקאות'!$M$2:$M$1958,'עסקאות'!$F$2:$F$1958,B74,'עסקאות'!$A$2:$A$1958,"&gt;="&amp;DATE(2026,1,1),'עסקאות'!$A$2:$A$1958,"&lt;"&amp;DATE(2027,1,1))</f>
        <v>928</v>
      </c>
      <c r="K74" s="77"/>
    </row>
    <row r="75" ht="13.65" customHeight="1">
      <c r="A75" s="70"/>
      <c r="B75" t="s" s="27">
        <v>264</v>
      </c>
      <c r="C75" t="s" s="86">
        <v>107</v>
      </c>
      <c r="D75" s="119">
        <v>1</v>
      </c>
      <c r="E75" s="119">
        <v>1</v>
      </c>
      <c r="F75" s="87" cm="1">
        <f t="array" ref="F75">_xlfn.SUMIFS('עסקאות'!$M$2:$M$1958,'עסקאות'!$F$2:$F$1958,B75)</f>
        <v>1680</v>
      </c>
      <c r="G75" s="87" cm="1">
        <f t="array" ref="G75">IF(D75=0,"",F75/D75)</f>
        <v>1680</v>
      </c>
      <c r="H75" s="87" cm="1">
        <f t="array" ref="H75">F75/20</f>
        <v>84</v>
      </c>
      <c r="I75" s="87" cm="1">
        <f t="array" ref="I75">_xlfn.SUMIFS('עסקאות'!$M$2:$M$1958,'עסקאות'!$F$2:$F$1958,B75,'עסקאות'!$A$2:$A$1958,"&gt;="&amp;DATE(2025,1,1),'עסקאות'!$A$2:$A$1958,"&lt;"&amp;DATE(2026,1,1))</f>
        <v>1680</v>
      </c>
      <c r="J75" s="28" cm="1">
        <f t="array" ref="J75">_xlfn.SUMIFS('עסקאות'!$M$2:$M$1958,'עסקאות'!$F$2:$F$1958,B75,'עסקאות'!$A$2:$A$1958,"&gt;="&amp;DATE(2026,1,1),'עסקאות'!$A$2:$A$1958,"&lt;"&amp;DATE(2027,1,1))</f>
        <v>0</v>
      </c>
      <c r="K75" s="77"/>
    </row>
    <row r="76" ht="13.65" customHeight="1">
      <c r="A76" s="70"/>
      <c r="B76" t="s" s="94">
        <v>105</v>
      </c>
      <c r="C76" t="s" s="80">
        <v>125</v>
      </c>
      <c r="D76" s="118">
        <v>3</v>
      </c>
      <c r="E76" s="118">
        <v>2</v>
      </c>
      <c r="F76" s="81" cm="1">
        <f t="array" ref="F76">_xlfn.SUMIFS('עסקאות'!$M$2:$M$1958,'עסקאות'!$F$2:$F$1958,B76)</f>
        <v>1655</v>
      </c>
      <c r="G76" s="81" cm="1">
        <f t="array" ref="G76">IF(D76=0,"",F76/D76)</f>
        <v>551.666666666667</v>
      </c>
      <c r="H76" s="81" cm="1">
        <f t="array" ref="H76">F76/20</f>
        <v>82.75</v>
      </c>
      <c r="I76" s="81" cm="1">
        <f t="array" ref="I76">_xlfn.SUMIFS('עסקאות'!$M$2:$M$1958,'עסקאות'!$F$2:$F$1958,B76,'עסקאות'!$A$2:$A$1958,"&gt;="&amp;DATE(2025,1,1),'עסקאות'!$A$2:$A$1958,"&lt;"&amp;DATE(2026,1,1))</f>
        <v>600</v>
      </c>
      <c r="J76" s="83" cm="1">
        <f t="array" ref="J76">_xlfn.SUMIFS('עסקאות'!$M$2:$M$1958,'עסקאות'!$F$2:$F$1958,B76,'עסקאות'!$A$2:$A$1958,"&gt;="&amp;DATE(2026,1,1),'עסקאות'!$A$2:$A$1958,"&lt;"&amp;DATE(2027,1,1))</f>
        <v>1055</v>
      </c>
      <c r="K76" s="77"/>
    </row>
    <row r="77" ht="13.65" customHeight="1">
      <c r="A77" s="70"/>
      <c r="B77" t="s" s="27">
        <v>265</v>
      </c>
      <c r="C77" t="s" s="86">
        <v>107</v>
      </c>
      <c r="D77" s="119">
        <v>1</v>
      </c>
      <c r="E77" s="119">
        <v>1</v>
      </c>
      <c r="F77" s="87" cm="1">
        <f t="array" ref="F77">_xlfn.SUMIFS('עסקאות'!$M$2:$M$1958,'עסקאות'!$F$2:$F$1958,B77)</f>
        <v>1650</v>
      </c>
      <c r="G77" s="87" cm="1">
        <f t="array" ref="G77">IF(D77=0,"",F77/D77)</f>
        <v>1650</v>
      </c>
      <c r="H77" s="87" cm="1">
        <f t="array" ref="H77">F77/20</f>
        <v>82.5</v>
      </c>
      <c r="I77" s="87" cm="1">
        <f t="array" ref="I77">_xlfn.SUMIFS('עסקאות'!$M$2:$M$1958,'עסקאות'!$F$2:$F$1958,B77,'עסקאות'!$A$2:$A$1958,"&gt;="&amp;DATE(2025,1,1),'עסקאות'!$A$2:$A$1958,"&lt;"&amp;DATE(2026,1,1))</f>
        <v>0</v>
      </c>
      <c r="J77" s="28" cm="1">
        <f t="array" ref="J77">_xlfn.SUMIFS('עסקאות'!$M$2:$M$1958,'עסקאות'!$F$2:$F$1958,B77,'עסקאות'!$A$2:$A$1958,"&gt;="&amp;DATE(2026,1,1),'עסקאות'!$A$2:$A$1958,"&lt;"&amp;DATE(2027,1,1))</f>
        <v>1650</v>
      </c>
      <c r="K77" s="77"/>
    </row>
    <row r="78" ht="13.65" customHeight="1">
      <c r="A78" s="70"/>
      <c r="B78" t="s" s="94">
        <v>266</v>
      </c>
      <c r="C78" t="s" s="80">
        <v>105</v>
      </c>
      <c r="D78" s="118">
        <v>1</v>
      </c>
      <c r="E78" s="118">
        <v>1</v>
      </c>
      <c r="F78" s="81" cm="1">
        <f t="array" ref="F78">_xlfn.SUMIFS('עסקאות'!$M$2:$M$1958,'עסקאות'!$F$2:$F$1958,B78)</f>
        <v>1601</v>
      </c>
      <c r="G78" s="81" cm="1">
        <f t="array" ref="G78">IF(D78=0,"",F78/D78)</f>
        <v>1601</v>
      </c>
      <c r="H78" s="81" cm="1">
        <f t="array" ref="H78">F78/20</f>
        <v>80.05</v>
      </c>
      <c r="I78" s="81" cm="1">
        <f t="array" ref="I78">_xlfn.SUMIFS('עסקאות'!$M$2:$M$1958,'עסקאות'!$F$2:$F$1958,B78,'עסקאות'!$A$2:$A$1958,"&gt;="&amp;DATE(2025,1,1),'עסקאות'!$A$2:$A$1958,"&lt;"&amp;DATE(2026,1,1))</f>
        <v>1601</v>
      </c>
      <c r="J78" s="83" cm="1">
        <f t="array" ref="J78">_xlfn.SUMIFS('עסקאות'!$M$2:$M$1958,'עסקאות'!$F$2:$F$1958,B78,'עסקאות'!$A$2:$A$1958,"&gt;="&amp;DATE(2026,1,1),'עסקאות'!$A$2:$A$1958,"&lt;"&amp;DATE(2027,1,1))</f>
        <v>0</v>
      </c>
      <c r="K78" s="77"/>
    </row>
    <row r="79" ht="13.65" customHeight="1">
      <c r="A79" s="70"/>
      <c r="B79" t="s" s="27">
        <v>267</v>
      </c>
      <c r="C79" t="s" s="86">
        <v>109</v>
      </c>
      <c r="D79" s="119">
        <v>41</v>
      </c>
      <c r="E79" s="119">
        <v>9</v>
      </c>
      <c r="F79" s="87" cm="1">
        <f t="array" ref="F79">_xlfn.SUMIFS('עסקאות'!$M$2:$M$1958,'עסקאות'!$F$2:$F$1958,B79)</f>
        <v>1582</v>
      </c>
      <c r="G79" s="87" cm="1">
        <f t="array" ref="G79">IF(D79=0,"",F79/D79)</f>
        <v>38.5853658536585</v>
      </c>
      <c r="H79" s="87" cm="1">
        <f t="array" ref="H79">F79/20</f>
        <v>79.09999999999999</v>
      </c>
      <c r="I79" s="87" cm="1">
        <f t="array" ref="I79">_xlfn.SUMIFS('עסקאות'!$M$2:$M$1958,'עסקאות'!$F$2:$F$1958,B79,'עסקאות'!$A$2:$A$1958,"&gt;="&amp;DATE(2025,1,1),'עסקאות'!$A$2:$A$1958,"&lt;"&amp;DATE(2026,1,1))</f>
        <v>1575</v>
      </c>
      <c r="J79" s="28" cm="1">
        <f t="array" ref="J79">_xlfn.SUMIFS('עסקאות'!$M$2:$M$1958,'עסקאות'!$F$2:$F$1958,B79,'עסקאות'!$A$2:$A$1958,"&gt;="&amp;DATE(2026,1,1),'עסקאות'!$A$2:$A$1958,"&lt;"&amp;DATE(2027,1,1))</f>
        <v>7</v>
      </c>
      <c r="K79" s="77"/>
    </row>
    <row r="80" ht="13.65" customHeight="1">
      <c r="A80" s="70"/>
      <c r="B80" t="s" s="121">
        <v>268</v>
      </c>
      <c r="C80" t="s" s="80">
        <v>123</v>
      </c>
      <c r="D80" s="118">
        <v>8</v>
      </c>
      <c r="E80" s="118">
        <v>4</v>
      </c>
      <c r="F80" s="81" cm="1">
        <f t="array" ref="F80">_xlfn.SUMIFS('עסקאות'!$M$2:$M$1958,'עסקאות'!$F$2:$F$1958,B80)</f>
        <v>1557</v>
      </c>
      <c r="G80" s="81" cm="1">
        <f t="array" ref="G80">IF(D80=0,"",F80/D80)</f>
        <v>194.625</v>
      </c>
      <c r="H80" s="81" cm="1">
        <f t="array" ref="H80">F80/20</f>
        <v>77.84999999999999</v>
      </c>
      <c r="I80" s="81" cm="1">
        <f t="array" ref="I80">_xlfn.SUMIFS('עסקאות'!$M$2:$M$1958,'עסקאות'!$F$2:$F$1958,B80,'עסקאות'!$A$2:$A$1958,"&gt;="&amp;DATE(2025,1,1),'עסקאות'!$A$2:$A$1958,"&lt;"&amp;DATE(2026,1,1))</f>
        <v>0</v>
      </c>
      <c r="J80" s="83" cm="1">
        <f t="array" ref="J80">_xlfn.SUMIFS('עסקאות'!$M$2:$M$1958,'עסקאות'!$F$2:$F$1958,B80,'עסקאות'!$A$2:$A$1958,"&gt;="&amp;DATE(2026,1,1),'עסקאות'!$A$2:$A$1958,"&lt;"&amp;DATE(2027,1,1))</f>
        <v>1557</v>
      </c>
      <c r="K80" s="77"/>
    </row>
    <row r="81" ht="13.65" customHeight="1">
      <c r="A81" s="70"/>
      <c r="B81" t="s" s="27">
        <v>269</v>
      </c>
      <c r="C81" t="s" s="86">
        <v>113</v>
      </c>
      <c r="D81" s="119">
        <v>13</v>
      </c>
      <c r="E81" s="119">
        <v>4</v>
      </c>
      <c r="F81" s="87" cm="1">
        <f t="array" ref="F81">_xlfn.SUMIFS('עסקאות'!$M$2:$M$1958,'עסקאות'!$F$2:$F$1958,B81)</f>
        <v>1500</v>
      </c>
      <c r="G81" s="87" cm="1">
        <f t="array" ref="G81">IF(D81=0,"",F81/D81)</f>
        <v>115.384615384615</v>
      </c>
      <c r="H81" s="87" cm="1">
        <f t="array" ref="H81">F81/20</f>
        <v>75</v>
      </c>
      <c r="I81" s="87" cm="1">
        <f t="array" ref="I81">_xlfn.SUMIFS('עסקאות'!$M$2:$M$1958,'עסקאות'!$F$2:$F$1958,B81,'עסקאות'!$A$2:$A$1958,"&gt;="&amp;DATE(2025,1,1),'עסקאות'!$A$2:$A$1958,"&lt;"&amp;DATE(2026,1,1))</f>
        <v>1500</v>
      </c>
      <c r="J81" s="28" cm="1">
        <f t="array" ref="J81">_xlfn.SUMIFS('עסקאות'!$M$2:$M$1958,'עסקאות'!$F$2:$F$1958,B81,'עסקאות'!$A$2:$A$1958,"&gt;="&amp;DATE(2026,1,1),'עסקאות'!$A$2:$A$1958,"&lt;"&amp;DATE(2027,1,1))</f>
        <v>0</v>
      </c>
      <c r="K81" s="77"/>
    </row>
    <row r="82" ht="13.65" customHeight="1">
      <c r="A82" s="70"/>
      <c r="B82" t="s" s="94">
        <v>270</v>
      </c>
      <c r="C82" t="s" s="80">
        <v>125</v>
      </c>
      <c r="D82" s="118">
        <v>1</v>
      </c>
      <c r="E82" s="118">
        <v>1</v>
      </c>
      <c r="F82" s="81" cm="1">
        <f t="array" ref="F82">_xlfn.SUMIFS('עסקאות'!$M$2:$M$1958,'עסקאות'!$F$2:$F$1958,B82)</f>
        <v>1500</v>
      </c>
      <c r="G82" s="81" cm="1">
        <f t="array" ref="G82">IF(D82=0,"",F82/D82)</f>
        <v>1500</v>
      </c>
      <c r="H82" s="81" cm="1">
        <f t="array" ref="H82">F82/20</f>
        <v>75</v>
      </c>
      <c r="I82" s="81" cm="1">
        <f t="array" ref="I82">_xlfn.SUMIFS('עסקאות'!$M$2:$M$1958,'עסקאות'!$F$2:$F$1958,B82,'עסקאות'!$A$2:$A$1958,"&gt;="&amp;DATE(2025,1,1),'עסקאות'!$A$2:$A$1958,"&lt;"&amp;DATE(2026,1,1))</f>
        <v>1500</v>
      </c>
      <c r="J82" s="83" cm="1">
        <f t="array" ref="J82">_xlfn.SUMIFS('עסקאות'!$M$2:$M$1958,'עסקאות'!$F$2:$F$1958,B82,'עסקאות'!$A$2:$A$1958,"&gt;="&amp;DATE(2026,1,1),'עסקאות'!$A$2:$A$1958,"&lt;"&amp;DATE(2027,1,1))</f>
        <v>0</v>
      </c>
      <c r="K82" s="77"/>
    </row>
    <row r="83" ht="13.65" customHeight="1">
      <c r="A83" s="70"/>
      <c r="B83" t="s" s="27">
        <v>271</v>
      </c>
      <c r="C83" t="s" s="86">
        <v>133</v>
      </c>
      <c r="D83" s="119">
        <v>1</v>
      </c>
      <c r="E83" s="119">
        <v>1</v>
      </c>
      <c r="F83" s="87" cm="1">
        <f t="array" ref="F83">_xlfn.SUMIFS('עסקאות'!$M$2:$M$1958,'עסקאות'!$F$2:$F$1958,B83)</f>
        <v>1500</v>
      </c>
      <c r="G83" s="87" cm="1">
        <f t="array" ref="G83">IF(D83=0,"",F83/D83)</f>
        <v>1500</v>
      </c>
      <c r="H83" s="87" cm="1">
        <f t="array" ref="H83">F83/20</f>
        <v>75</v>
      </c>
      <c r="I83" s="87" cm="1">
        <f t="array" ref="I83">_xlfn.SUMIFS('עסקאות'!$M$2:$M$1958,'עסקאות'!$F$2:$F$1958,B83,'עסקאות'!$A$2:$A$1958,"&gt;="&amp;DATE(2025,1,1),'עסקאות'!$A$2:$A$1958,"&lt;"&amp;DATE(2026,1,1))</f>
        <v>0</v>
      </c>
      <c r="J83" s="28" cm="1">
        <f t="array" ref="J83">_xlfn.SUMIFS('עסקאות'!$M$2:$M$1958,'עסקאות'!$F$2:$F$1958,B83,'עסקאות'!$A$2:$A$1958,"&gt;="&amp;DATE(2026,1,1),'עסקאות'!$A$2:$A$1958,"&lt;"&amp;DATE(2027,1,1))</f>
        <v>1500</v>
      </c>
      <c r="K83" s="77"/>
    </row>
    <row r="84" ht="13.65" customHeight="1">
      <c r="A84" s="70"/>
      <c r="B84" t="s" s="94">
        <v>272</v>
      </c>
      <c r="C84" t="s" s="80">
        <v>96</v>
      </c>
      <c r="D84" s="118">
        <v>11</v>
      </c>
      <c r="E84" s="118">
        <v>11</v>
      </c>
      <c r="F84" s="81" cm="1">
        <f t="array" ref="F84">_xlfn.SUMIFS('עסקאות'!$M$2:$M$1958,'עסקאות'!$F$2:$F$1958,B84)</f>
        <v>1471</v>
      </c>
      <c r="G84" s="81" cm="1">
        <f t="array" ref="G84">IF(D84=0,"",F84/D84)</f>
        <v>133.727272727273</v>
      </c>
      <c r="H84" s="81" cm="1">
        <f t="array" ref="H84">F84/20</f>
        <v>73.55</v>
      </c>
      <c r="I84" s="81" cm="1">
        <f t="array" ref="I84">_xlfn.SUMIFS('עסקאות'!$M$2:$M$1958,'עסקאות'!$F$2:$F$1958,B84,'עסקאות'!$A$2:$A$1958,"&gt;="&amp;DATE(2025,1,1),'עסקאות'!$A$2:$A$1958,"&lt;"&amp;DATE(2026,1,1))</f>
        <v>721</v>
      </c>
      <c r="J84" s="83" cm="1">
        <f t="array" ref="J84">_xlfn.SUMIFS('עסקאות'!$M$2:$M$1958,'עסקאות'!$F$2:$F$1958,B84,'עסקאות'!$A$2:$A$1958,"&gt;="&amp;DATE(2026,1,1),'עסקאות'!$A$2:$A$1958,"&lt;"&amp;DATE(2027,1,1))</f>
        <v>750</v>
      </c>
      <c r="K84" s="77"/>
    </row>
    <row r="85" ht="13.65" customHeight="1">
      <c r="A85" s="70"/>
      <c r="B85" t="s" s="27">
        <v>273</v>
      </c>
      <c r="C85" t="s" s="86">
        <v>99</v>
      </c>
      <c r="D85" s="119">
        <v>18</v>
      </c>
      <c r="E85" s="119">
        <v>18</v>
      </c>
      <c r="F85" s="87" cm="1">
        <f t="array" ref="F85">_xlfn.SUMIFS('עסקאות'!$M$2:$M$1958,'עסקאות'!$F$2:$F$1958,B85)</f>
        <v>1417</v>
      </c>
      <c r="G85" s="87" cm="1">
        <f t="array" ref="G85">IF(D85=0,"",F85/D85)</f>
        <v>78.7222222222222</v>
      </c>
      <c r="H85" s="87" cm="1">
        <f t="array" ref="H85">F85/20</f>
        <v>70.84999999999999</v>
      </c>
      <c r="I85" s="87" cm="1">
        <f t="array" ref="I85">_xlfn.SUMIFS('עסקאות'!$M$2:$M$1958,'עסקאות'!$F$2:$F$1958,B85,'עסקאות'!$A$2:$A$1958,"&gt;="&amp;DATE(2025,1,1),'עסקאות'!$A$2:$A$1958,"&lt;"&amp;DATE(2026,1,1))</f>
        <v>849</v>
      </c>
      <c r="J85" s="28" cm="1">
        <f t="array" ref="J85">_xlfn.SUMIFS('עסקאות'!$M$2:$M$1958,'עסקאות'!$F$2:$F$1958,B85,'עסקאות'!$A$2:$A$1958,"&gt;="&amp;DATE(2026,1,1),'עסקאות'!$A$2:$A$1958,"&lt;"&amp;DATE(2027,1,1))</f>
        <v>568</v>
      </c>
      <c r="K85" s="77"/>
    </row>
    <row r="86" ht="13.65" customHeight="1">
      <c r="A86" s="70"/>
      <c r="B86" t="s" s="94">
        <v>274</v>
      </c>
      <c r="C86" t="s" s="80">
        <v>105</v>
      </c>
      <c r="D86" s="118">
        <v>1</v>
      </c>
      <c r="E86" s="118">
        <v>1</v>
      </c>
      <c r="F86" s="81" cm="1">
        <f t="array" ref="F86">_xlfn.SUMIFS('עסקאות'!$M$2:$M$1958,'עסקאות'!$F$2:$F$1958,B86)</f>
        <v>1400</v>
      </c>
      <c r="G86" s="81" cm="1">
        <f t="array" ref="G86">IF(D86=0,"",F86/D86)</f>
        <v>1400</v>
      </c>
      <c r="H86" s="81" cm="1">
        <f t="array" ref="H86">F86/20</f>
        <v>70</v>
      </c>
      <c r="I86" s="81" cm="1">
        <f t="array" ref="I86">_xlfn.SUMIFS('עסקאות'!$M$2:$M$1958,'עסקאות'!$F$2:$F$1958,B86,'עסקאות'!$A$2:$A$1958,"&gt;="&amp;DATE(2025,1,1),'עסקאות'!$A$2:$A$1958,"&lt;"&amp;DATE(2026,1,1))</f>
        <v>1400</v>
      </c>
      <c r="J86" s="83" cm="1">
        <f t="array" ref="J86">_xlfn.SUMIFS('עסקאות'!$M$2:$M$1958,'עסקאות'!$F$2:$F$1958,B86,'עסקאות'!$A$2:$A$1958,"&gt;="&amp;DATE(2026,1,1),'עסקאות'!$A$2:$A$1958,"&lt;"&amp;DATE(2027,1,1))</f>
        <v>0</v>
      </c>
      <c r="K86" s="77"/>
    </row>
    <row r="87" ht="13.65" customHeight="1">
      <c r="A87" s="70"/>
      <c r="B87" t="s" s="27">
        <v>275</v>
      </c>
      <c r="C87" t="s" s="86">
        <v>127</v>
      </c>
      <c r="D87" s="119">
        <v>8</v>
      </c>
      <c r="E87" s="119">
        <v>8</v>
      </c>
      <c r="F87" s="87" cm="1">
        <f t="array" ref="F87">_xlfn.SUMIFS('עסקאות'!$M$2:$M$1958,'עסקאות'!$F$2:$F$1958,B87)</f>
        <v>1387</v>
      </c>
      <c r="G87" s="87" cm="1">
        <f t="array" ref="G87">IF(D87=0,"",F87/D87)</f>
        <v>173.375</v>
      </c>
      <c r="H87" s="87" cm="1">
        <f t="array" ref="H87">F87/20</f>
        <v>69.34999999999999</v>
      </c>
      <c r="I87" s="87" cm="1">
        <f t="array" ref="I87">_xlfn.SUMIFS('עסקאות'!$M$2:$M$1958,'עסקאות'!$F$2:$F$1958,B87,'עסקאות'!$A$2:$A$1958,"&gt;="&amp;DATE(2025,1,1),'עסקאות'!$A$2:$A$1958,"&lt;"&amp;DATE(2026,1,1))</f>
        <v>1387</v>
      </c>
      <c r="J87" s="28" cm="1">
        <f t="array" ref="J87">_xlfn.SUMIFS('עסקאות'!$M$2:$M$1958,'עסקאות'!$F$2:$F$1958,B87,'עסקאות'!$A$2:$A$1958,"&gt;="&amp;DATE(2026,1,1),'עסקאות'!$A$2:$A$1958,"&lt;"&amp;DATE(2027,1,1))</f>
        <v>0</v>
      </c>
      <c r="K87" s="77"/>
    </row>
    <row r="88" ht="13.65" customHeight="1">
      <c r="A88" s="70"/>
      <c r="B88" t="s" s="94">
        <v>276</v>
      </c>
      <c r="C88" t="s" s="80">
        <v>96</v>
      </c>
      <c r="D88" s="118">
        <v>8</v>
      </c>
      <c r="E88" s="118">
        <v>8</v>
      </c>
      <c r="F88" s="81" cm="1">
        <f t="array" ref="F88">_xlfn.SUMIFS('עסקאות'!$M$2:$M$1958,'עסקאות'!$F$2:$F$1958,B88)</f>
        <v>1378</v>
      </c>
      <c r="G88" s="81" cm="1">
        <f t="array" ref="G88">IF(D88=0,"",F88/D88)</f>
        <v>172.25</v>
      </c>
      <c r="H88" s="81" cm="1">
        <f t="array" ref="H88">F88/20</f>
        <v>68.90000000000001</v>
      </c>
      <c r="I88" s="81" cm="1">
        <f t="array" ref="I88">_xlfn.SUMIFS('עסקאות'!$M$2:$M$1958,'עסקאות'!$F$2:$F$1958,B88,'עסקאות'!$A$2:$A$1958,"&gt;="&amp;DATE(2025,1,1),'עסקאות'!$A$2:$A$1958,"&lt;"&amp;DATE(2026,1,1))</f>
        <v>1378</v>
      </c>
      <c r="J88" s="83" cm="1">
        <f t="array" ref="J88">_xlfn.SUMIFS('עסקאות'!$M$2:$M$1958,'עסקאות'!$F$2:$F$1958,B88,'עסקאות'!$A$2:$A$1958,"&gt;="&amp;DATE(2026,1,1),'עסקאות'!$A$2:$A$1958,"&lt;"&amp;DATE(2027,1,1))</f>
        <v>0</v>
      </c>
      <c r="K88" s="77"/>
    </row>
    <row r="89" ht="13.65" customHeight="1">
      <c r="A89" s="70"/>
      <c r="B89" t="s" s="27">
        <v>277</v>
      </c>
      <c r="C89" t="s" s="86">
        <v>115</v>
      </c>
      <c r="D89" s="119">
        <v>28</v>
      </c>
      <c r="E89" s="119">
        <v>16</v>
      </c>
      <c r="F89" s="87" cm="1">
        <f t="array" ref="F89">_xlfn.SUMIFS('עסקאות'!$M$2:$M$1958,'עסקאות'!$F$2:$F$1958,B89)</f>
        <v>1372</v>
      </c>
      <c r="G89" s="87" cm="1">
        <f t="array" ref="G89">IF(D89=0,"",F89/D89)</f>
        <v>49</v>
      </c>
      <c r="H89" s="87" cm="1">
        <f t="array" ref="H89">F89/20</f>
        <v>68.59999999999999</v>
      </c>
      <c r="I89" s="87" cm="1">
        <f t="array" ref="I89">_xlfn.SUMIFS('עסקאות'!$M$2:$M$1958,'עסקאות'!$F$2:$F$1958,B89,'עסקאות'!$A$2:$A$1958,"&gt;="&amp;DATE(2025,1,1),'עסקאות'!$A$2:$A$1958,"&lt;"&amp;DATE(2026,1,1))</f>
        <v>771</v>
      </c>
      <c r="J89" s="28" cm="1">
        <f t="array" ref="J89">_xlfn.SUMIFS('עסקאות'!$M$2:$M$1958,'עסקאות'!$F$2:$F$1958,B89,'עסקאות'!$A$2:$A$1958,"&gt;="&amp;DATE(2026,1,1),'עסקאות'!$A$2:$A$1958,"&lt;"&amp;DATE(2027,1,1))</f>
        <v>601</v>
      </c>
      <c r="K89" s="77"/>
    </row>
    <row r="90" ht="13.65" customHeight="1">
      <c r="A90" s="70"/>
      <c r="B90" t="s" s="94">
        <v>278</v>
      </c>
      <c r="C90" t="s" s="80">
        <v>99</v>
      </c>
      <c r="D90" s="118">
        <v>1</v>
      </c>
      <c r="E90" s="118">
        <v>1</v>
      </c>
      <c r="F90" s="81" cm="1">
        <f t="array" ref="F90">_xlfn.SUMIFS('עסקאות'!$M$2:$M$1958,'עסקאות'!$F$2:$F$1958,B90)</f>
        <v>1350</v>
      </c>
      <c r="G90" s="81" cm="1">
        <f t="array" ref="G90">IF(D90=0,"",F90/D90)</f>
        <v>1350</v>
      </c>
      <c r="H90" s="81" cm="1">
        <f t="array" ref="H90">F90/20</f>
        <v>67.5</v>
      </c>
      <c r="I90" s="81" cm="1">
        <f t="array" ref="I90">_xlfn.SUMIFS('עסקאות'!$M$2:$M$1958,'עסקאות'!$F$2:$F$1958,B90,'עסקאות'!$A$2:$A$1958,"&gt;="&amp;DATE(2025,1,1),'עסקאות'!$A$2:$A$1958,"&lt;"&amp;DATE(2026,1,1))</f>
        <v>1350</v>
      </c>
      <c r="J90" s="83" cm="1">
        <f t="array" ref="J90">_xlfn.SUMIFS('עסקאות'!$M$2:$M$1958,'עסקאות'!$F$2:$F$1958,B90,'עסקאות'!$A$2:$A$1958,"&gt;="&amp;DATE(2026,1,1),'עסקאות'!$A$2:$A$1958,"&lt;"&amp;DATE(2027,1,1))</f>
        <v>0</v>
      </c>
      <c r="K90" s="77"/>
    </row>
    <row r="91" ht="13.65" customHeight="1">
      <c r="A91" s="70"/>
      <c r="B91" t="s" s="27">
        <v>279</v>
      </c>
      <c r="C91" t="s" s="86">
        <v>99</v>
      </c>
      <c r="D91" s="119">
        <v>1</v>
      </c>
      <c r="E91" s="119">
        <v>1</v>
      </c>
      <c r="F91" s="87" cm="1">
        <f t="array" ref="F91">_xlfn.SUMIFS('עסקאות'!$M$2:$M$1958,'עסקאות'!$F$2:$F$1958,B91)</f>
        <v>1340</v>
      </c>
      <c r="G91" s="87" cm="1">
        <f t="array" ref="G91">IF(D91=0,"",F91/D91)</f>
        <v>1340</v>
      </c>
      <c r="H91" s="87" cm="1">
        <f t="array" ref="H91">F91/20</f>
        <v>67</v>
      </c>
      <c r="I91" s="87" cm="1">
        <f t="array" ref="I91">_xlfn.SUMIFS('עסקאות'!$M$2:$M$1958,'עסקאות'!$F$2:$F$1958,B91,'עסקאות'!$A$2:$A$1958,"&gt;="&amp;DATE(2025,1,1),'עסקאות'!$A$2:$A$1958,"&lt;"&amp;DATE(2026,1,1))</f>
        <v>1340</v>
      </c>
      <c r="J91" s="28" cm="1">
        <f t="array" ref="J91">_xlfn.SUMIFS('עסקאות'!$M$2:$M$1958,'עסקאות'!$F$2:$F$1958,B91,'עסקאות'!$A$2:$A$1958,"&gt;="&amp;DATE(2026,1,1),'עסקאות'!$A$2:$A$1958,"&lt;"&amp;DATE(2027,1,1))</f>
        <v>0</v>
      </c>
      <c r="K91" s="77"/>
    </row>
    <row r="92" ht="13.65" customHeight="1">
      <c r="A92" s="70"/>
      <c r="B92" t="s" s="94">
        <v>280</v>
      </c>
      <c r="C92" t="s" s="80">
        <v>99</v>
      </c>
      <c r="D92" s="118">
        <v>1</v>
      </c>
      <c r="E92" s="118">
        <v>1</v>
      </c>
      <c r="F92" s="81" cm="1">
        <f t="array" ref="F92">_xlfn.SUMIFS('עסקאות'!$M$2:$M$1958,'עסקאות'!$F$2:$F$1958,B92)</f>
        <v>1300</v>
      </c>
      <c r="G92" s="81" cm="1">
        <f t="array" ref="G92">IF(D92=0,"",F92/D92)</f>
        <v>1300</v>
      </c>
      <c r="H92" s="81" cm="1">
        <f t="array" ref="H92">F92/20</f>
        <v>65</v>
      </c>
      <c r="I92" s="81" cm="1">
        <f t="array" ref="I92">_xlfn.SUMIFS('עסקאות'!$M$2:$M$1958,'עסקאות'!$F$2:$F$1958,B92,'עסקאות'!$A$2:$A$1958,"&gt;="&amp;DATE(2025,1,1),'עסקאות'!$A$2:$A$1958,"&lt;"&amp;DATE(2026,1,1))</f>
        <v>1300</v>
      </c>
      <c r="J92" s="83" cm="1">
        <f t="array" ref="J92">_xlfn.SUMIFS('עסקאות'!$M$2:$M$1958,'עסקאות'!$F$2:$F$1958,B92,'עסקאות'!$A$2:$A$1958,"&gt;="&amp;DATE(2026,1,1),'עסקאות'!$A$2:$A$1958,"&lt;"&amp;DATE(2027,1,1))</f>
        <v>0</v>
      </c>
      <c r="K92" s="77"/>
    </row>
    <row r="93" ht="13.65" customHeight="1">
      <c r="A93" s="70"/>
      <c r="B93" t="s" s="27">
        <v>281</v>
      </c>
      <c r="C93" t="s" s="86">
        <v>125</v>
      </c>
      <c r="D93" s="119">
        <v>12</v>
      </c>
      <c r="E93" s="119">
        <v>8</v>
      </c>
      <c r="F93" s="87" cm="1">
        <f t="array" ref="F93">_xlfn.SUMIFS('עסקאות'!$M$2:$M$1958,'עסקאות'!$F$2:$F$1958,B93)</f>
        <v>1262</v>
      </c>
      <c r="G93" s="87" cm="1">
        <f t="array" ref="G93">IF(D93=0,"",F93/D93)</f>
        <v>105.166666666667</v>
      </c>
      <c r="H93" s="87" cm="1">
        <f t="array" ref="H93">F93/20</f>
        <v>63.1</v>
      </c>
      <c r="I93" s="87" cm="1">
        <f t="array" ref="I93">_xlfn.SUMIFS('עסקאות'!$M$2:$M$1958,'עסקאות'!$F$2:$F$1958,B93,'עסקאות'!$A$2:$A$1958,"&gt;="&amp;DATE(2025,1,1),'עסקאות'!$A$2:$A$1958,"&lt;"&amp;DATE(2026,1,1))</f>
        <v>1162</v>
      </c>
      <c r="J93" s="28" cm="1">
        <f t="array" ref="J93">_xlfn.SUMIFS('עסקאות'!$M$2:$M$1958,'עסקאות'!$F$2:$F$1958,B93,'עסקאות'!$A$2:$A$1958,"&gt;="&amp;DATE(2026,1,1),'עסקאות'!$A$2:$A$1958,"&lt;"&amp;DATE(2027,1,1))</f>
        <v>100</v>
      </c>
      <c r="K93" s="77"/>
    </row>
    <row r="94" ht="13.65" customHeight="1">
      <c r="A94" s="70"/>
      <c r="B94" t="s" s="94">
        <v>282</v>
      </c>
      <c r="C94" t="s" s="80">
        <v>133</v>
      </c>
      <c r="D94" s="118">
        <v>1</v>
      </c>
      <c r="E94" s="118">
        <v>1</v>
      </c>
      <c r="F94" s="81" cm="1">
        <f t="array" ref="F94">_xlfn.SUMIFS('עסקאות'!$M$2:$M$1958,'עסקאות'!$F$2:$F$1958,B94)</f>
        <v>1255</v>
      </c>
      <c r="G94" s="81" cm="1">
        <f t="array" ref="G94">IF(D94=0,"",F94/D94)</f>
        <v>1255</v>
      </c>
      <c r="H94" s="81" cm="1">
        <f t="array" ref="H94">F94/20</f>
        <v>62.75</v>
      </c>
      <c r="I94" s="81" cm="1">
        <f t="array" ref="I94">_xlfn.SUMIFS('עסקאות'!$M$2:$M$1958,'עסקאות'!$F$2:$F$1958,B94,'עסקאות'!$A$2:$A$1958,"&gt;="&amp;DATE(2025,1,1),'עסקאות'!$A$2:$A$1958,"&lt;"&amp;DATE(2026,1,1))</f>
        <v>1255</v>
      </c>
      <c r="J94" s="83" cm="1">
        <f t="array" ref="J94">_xlfn.SUMIFS('עסקאות'!$M$2:$M$1958,'עסקאות'!$F$2:$F$1958,B94,'עסקאות'!$A$2:$A$1958,"&gt;="&amp;DATE(2026,1,1),'עסקאות'!$A$2:$A$1958,"&lt;"&amp;DATE(2027,1,1))</f>
        <v>0</v>
      </c>
      <c r="K94" s="77"/>
    </row>
    <row r="95" ht="13.65" customHeight="1">
      <c r="A95" s="70"/>
      <c r="B95" t="s" s="27">
        <v>283</v>
      </c>
      <c r="C95" t="s" s="86">
        <v>125</v>
      </c>
      <c r="D95" s="119">
        <v>7</v>
      </c>
      <c r="E95" s="119">
        <v>3</v>
      </c>
      <c r="F95" s="87" cm="1">
        <f t="array" ref="F95">_xlfn.SUMIFS('עסקאות'!$M$2:$M$1958,'עסקאות'!$F$2:$F$1958,B95)</f>
        <v>1253</v>
      </c>
      <c r="G95" s="87" cm="1">
        <f t="array" ref="G95">IF(D95=0,"",F95/D95)</f>
        <v>179</v>
      </c>
      <c r="H95" s="87" cm="1">
        <f t="array" ref="H95">F95/20</f>
        <v>62.65</v>
      </c>
      <c r="I95" s="87" cm="1">
        <f t="array" ref="I95">_xlfn.SUMIFS('עסקאות'!$M$2:$M$1958,'עסקאות'!$F$2:$F$1958,B95,'עסקאות'!$A$2:$A$1958,"&gt;="&amp;DATE(2025,1,1),'עסקאות'!$A$2:$A$1958,"&lt;"&amp;DATE(2026,1,1))</f>
        <v>0</v>
      </c>
      <c r="J95" s="28" cm="1">
        <f t="array" ref="J95">_xlfn.SUMIFS('עסקאות'!$M$2:$M$1958,'עסקאות'!$F$2:$F$1958,B95,'עסקאות'!$A$2:$A$1958,"&gt;="&amp;DATE(2026,1,1),'עסקאות'!$A$2:$A$1958,"&lt;"&amp;DATE(2027,1,1))</f>
        <v>1253</v>
      </c>
      <c r="K95" s="77"/>
    </row>
    <row r="96" ht="13.65" customHeight="1">
      <c r="A96" s="70"/>
      <c r="B96" t="s" s="94">
        <v>284</v>
      </c>
      <c r="C96" t="s" s="80">
        <v>123</v>
      </c>
      <c r="D96" s="118">
        <v>2</v>
      </c>
      <c r="E96" s="118">
        <v>2</v>
      </c>
      <c r="F96" s="81" cm="1">
        <f t="array" ref="F96">_xlfn.SUMIFS('עסקאות'!$M$2:$M$1958,'עסקאות'!$F$2:$F$1958,B96)</f>
        <v>1241</v>
      </c>
      <c r="G96" s="81" cm="1">
        <f t="array" ref="G96">IF(D96=0,"",F96/D96)</f>
        <v>620.5</v>
      </c>
      <c r="H96" s="81" cm="1">
        <f t="array" ref="H96">F96/20</f>
        <v>62.05</v>
      </c>
      <c r="I96" s="81" cm="1">
        <f t="array" ref="I96">_xlfn.SUMIFS('עסקאות'!$M$2:$M$1958,'עסקאות'!$F$2:$F$1958,B96,'עסקאות'!$A$2:$A$1958,"&gt;="&amp;DATE(2025,1,1),'עסקאות'!$A$2:$A$1958,"&lt;"&amp;DATE(2026,1,1))</f>
        <v>1241</v>
      </c>
      <c r="J96" s="83" cm="1">
        <f t="array" ref="J96">_xlfn.SUMIFS('עסקאות'!$M$2:$M$1958,'עסקאות'!$F$2:$F$1958,B96,'עסקאות'!$A$2:$A$1958,"&gt;="&amp;DATE(2026,1,1),'עסקאות'!$A$2:$A$1958,"&lt;"&amp;DATE(2027,1,1))</f>
        <v>0</v>
      </c>
      <c r="K96" s="77"/>
    </row>
    <row r="97" ht="13.65" customHeight="1">
      <c r="A97" s="70"/>
      <c r="B97" t="s" s="27">
        <v>285</v>
      </c>
      <c r="C97" t="s" s="86">
        <v>115</v>
      </c>
      <c r="D97" s="119">
        <v>1</v>
      </c>
      <c r="E97" s="119">
        <v>1</v>
      </c>
      <c r="F97" s="87" cm="1">
        <f t="array" ref="F97">_xlfn.SUMIFS('עסקאות'!$M$2:$M$1958,'עסקאות'!$F$2:$F$1958,B97)</f>
        <v>1221</v>
      </c>
      <c r="G97" s="87" cm="1">
        <f t="array" ref="G97">IF(D97=0,"",F97/D97)</f>
        <v>1221</v>
      </c>
      <c r="H97" s="87" cm="1">
        <f t="array" ref="H97">F97/20</f>
        <v>61.05</v>
      </c>
      <c r="I97" s="87" cm="1">
        <f t="array" ref="I97">_xlfn.SUMIFS('עסקאות'!$M$2:$M$1958,'עסקאות'!$F$2:$F$1958,B97,'עסקאות'!$A$2:$A$1958,"&gt;="&amp;DATE(2025,1,1),'עסקאות'!$A$2:$A$1958,"&lt;"&amp;DATE(2026,1,1))</f>
        <v>1221</v>
      </c>
      <c r="J97" s="28" cm="1">
        <f t="array" ref="J97">_xlfn.SUMIFS('עסקאות'!$M$2:$M$1958,'עסקאות'!$F$2:$F$1958,B97,'עסקאות'!$A$2:$A$1958,"&gt;="&amp;DATE(2026,1,1),'עסקאות'!$A$2:$A$1958,"&lt;"&amp;DATE(2027,1,1))</f>
        <v>0</v>
      </c>
      <c r="K97" s="77"/>
    </row>
    <row r="98" ht="13.65" customHeight="1">
      <c r="A98" s="70"/>
      <c r="B98" t="s" s="94">
        <v>286</v>
      </c>
      <c r="C98" t="s" s="80">
        <v>102</v>
      </c>
      <c r="D98" s="118">
        <v>1</v>
      </c>
      <c r="E98" s="118">
        <v>1</v>
      </c>
      <c r="F98" s="81" cm="1">
        <f t="array" ref="F98">_xlfn.SUMIFS('עסקאות'!$M$2:$M$1958,'עסקאות'!$F$2:$F$1958,B98)</f>
        <v>1205</v>
      </c>
      <c r="G98" s="81" cm="1">
        <f t="array" ref="G98">IF(D98=0,"",F98/D98)</f>
        <v>1205</v>
      </c>
      <c r="H98" s="81" cm="1">
        <f t="array" ref="H98">F98/20</f>
        <v>60.25</v>
      </c>
      <c r="I98" s="81" cm="1">
        <f t="array" ref="I98">_xlfn.SUMIFS('עסקאות'!$M$2:$M$1958,'עסקאות'!$F$2:$F$1958,B98,'עסקאות'!$A$2:$A$1958,"&gt;="&amp;DATE(2025,1,1),'עסקאות'!$A$2:$A$1958,"&lt;"&amp;DATE(2026,1,1))</f>
        <v>1205</v>
      </c>
      <c r="J98" s="83" cm="1">
        <f t="array" ref="J98">_xlfn.SUMIFS('עסקאות'!$M$2:$M$1958,'עסקאות'!$F$2:$F$1958,B98,'עסקאות'!$A$2:$A$1958,"&gt;="&amp;DATE(2026,1,1),'עסקאות'!$A$2:$A$1958,"&lt;"&amp;DATE(2027,1,1))</f>
        <v>0</v>
      </c>
      <c r="K98" s="77"/>
    </row>
    <row r="99" ht="13.65" customHeight="1">
      <c r="A99" s="70"/>
      <c r="B99" t="s" s="27">
        <v>287</v>
      </c>
      <c r="C99" t="s" s="86">
        <v>99</v>
      </c>
      <c r="D99" s="119">
        <v>1</v>
      </c>
      <c r="E99" s="119">
        <v>1</v>
      </c>
      <c r="F99" s="87" cm="1">
        <f t="array" ref="F99">_xlfn.SUMIFS('עסקאות'!$M$2:$M$1958,'עסקאות'!$F$2:$F$1958,B99)</f>
        <v>1160</v>
      </c>
      <c r="G99" s="87" cm="1">
        <f t="array" ref="G99">IF(D99=0,"",F99/D99)</f>
        <v>1160</v>
      </c>
      <c r="H99" s="87" cm="1">
        <f t="array" ref="H99">F99/20</f>
        <v>58</v>
      </c>
      <c r="I99" s="87" cm="1">
        <f t="array" ref="I99">_xlfn.SUMIFS('עסקאות'!$M$2:$M$1958,'עסקאות'!$F$2:$F$1958,B99,'עסקאות'!$A$2:$A$1958,"&gt;="&amp;DATE(2025,1,1),'עסקאות'!$A$2:$A$1958,"&lt;"&amp;DATE(2026,1,1))</f>
        <v>0</v>
      </c>
      <c r="J99" s="28" cm="1">
        <f t="array" ref="J99">_xlfn.SUMIFS('עסקאות'!$M$2:$M$1958,'עסקאות'!$F$2:$F$1958,B99,'עסקאות'!$A$2:$A$1958,"&gt;="&amp;DATE(2026,1,1),'עסקאות'!$A$2:$A$1958,"&lt;"&amp;DATE(2027,1,1))</f>
        <v>1160</v>
      </c>
      <c r="K99" s="77"/>
    </row>
    <row r="100" ht="13.65" customHeight="1">
      <c r="A100" s="70"/>
      <c r="B100" t="s" s="94">
        <v>288</v>
      </c>
      <c r="C100" t="s" s="80">
        <v>105</v>
      </c>
      <c r="D100" s="118">
        <v>2</v>
      </c>
      <c r="E100" s="118">
        <v>1</v>
      </c>
      <c r="F100" s="81" cm="1">
        <f t="array" ref="F100">_xlfn.SUMIFS('עסקאות'!$M$2:$M$1958,'עסקאות'!$F$2:$F$1958,B100)</f>
        <v>1098</v>
      </c>
      <c r="G100" s="81" cm="1">
        <f t="array" ref="G100">IF(D100=0,"",F100/D100)</f>
        <v>549</v>
      </c>
      <c r="H100" s="81" cm="1">
        <f t="array" ref="H100">F100/20</f>
        <v>54.9</v>
      </c>
      <c r="I100" s="81" cm="1">
        <f t="array" ref="I100">_xlfn.SUMIFS('עסקאות'!$M$2:$M$1958,'עסקאות'!$F$2:$F$1958,B100,'עסקאות'!$A$2:$A$1958,"&gt;="&amp;DATE(2025,1,1),'עסקאות'!$A$2:$A$1958,"&lt;"&amp;DATE(2026,1,1))</f>
        <v>1098</v>
      </c>
      <c r="J100" s="83" cm="1">
        <f t="array" ref="J100">_xlfn.SUMIFS('עסקאות'!$M$2:$M$1958,'עסקאות'!$F$2:$F$1958,B100,'עסקאות'!$A$2:$A$1958,"&gt;="&amp;DATE(2026,1,1),'עסקאות'!$A$2:$A$1958,"&lt;"&amp;DATE(2027,1,1))</f>
        <v>0</v>
      </c>
      <c r="K100" s="77"/>
    </row>
    <row r="101" ht="13.65" customHeight="1">
      <c r="A101" s="70"/>
      <c r="B101" t="s" s="27">
        <v>289</v>
      </c>
      <c r="C101" t="s" s="86">
        <v>107</v>
      </c>
      <c r="D101" s="119">
        <v>14</v>
      </c>
      <c r="E101" s="119">
        <v>10</v>
      </c>
      <c r="F101" s="87" cm="1">
        <f t="array" ref="F101">_xlfn.SUMIFS('עסקאות'!$M$2:$M$1958,'עסקאות'!$F$2:$F$1958,B101)</f>
        <v>1090</v>
      </c>
      <c r="G101" s="87" cm="1">
        <f t="array" ref="G101">IF(D101=0,"",F101/D101)</f>
        <v>77.8571428571429</v>
      </c>
      <c r="H101" s="87" cm="1">
        <f t="array" ref="H101">F101/20</f>
        <v>54.5</v>
      </c>
      <c r="I101" s="87" cm="1">
        <f t="array" ref="I101">_xlfn.SUMIFS('עסקאות'!$M$2:$M$1958,'עסקאות'!$F$2:$F$1958,B101,'עסקאות'!$A$2:$A$1958,"&gt;="&amp;DATE(2025,1,1),'עסקאות'!$A$2:$A$1958,"&lt;"&amp;DATE(2026,1,1))</f>
        <v>287</v>
      </c>
      <c r="J101" s="28" cm="1">
        <f t="array" ref="J101">_xlfn.SUMIFS('עסקאות'!$M$2:$M$1958,'עסקאות'!$F$2:$F$1958,B101,'עסקאות'!$A$2:$A$1958,"&gt;="&amp;DATE(2026,1,1),'עסקאות'!$A$2:$A$1958,"&lt;"&amp;DATE(2027,1,1))</f>
        <v>803</v>
      </c>
      <c r="K101" s="77"/>
    </row>
    <row r="102" ht="13.65" customHeight="1">
      <c r="A102" s="70"/>
      <c r="B102" t="s" s="94">
        <v>290</v>
      </c>
      <c r="C102" t="s" s="80">
        <v>115</v>
      </c>
      <c r="D102" s="118">
        <v>1</v>
      </c>
      <c r="E102" s="118">
        <v>1</v>
      </c>
      <c r="F102" s="81" cm="1">
        <f t="array" ref="F102">_xlfn.SUMIFS('עסקאות'!$M$2:$M$1958,'עסקאות'!$F$2:$F$1958,B102)</f>
        <v>1086</v>
      </c>
      <c r="G102" s="81" cm="1">
        <f t="array" ref="G102">IF(D102=0,"",F102/D102)</f>
        <v>1086</v>
      </c>
      <c r="H102" s="81" cm="1">
        <f t="array" ref="H102">F102/20</f>
        <v>54.3</v>
      </c>
      <c r="I102" s="81" cm="1">
        <f t="array" ref="I102">_xlfn.SUMIFS('עסקאות'!$M$2:$M$1958,'עסקאות'!$F$2:$F$1958,B102,'עסקאות'!$A$2:$A$1958,"&gt;="&amp;DATE(2025,1,1),'עסקאות'!$A$2:$A$1958,"&lt;"&amp;DATE(2026,1,1))</f>
        <v>0</v>
      </c>
      <c r="J102" s="83" cm="1">
        <f t="array" ref="J102">_xlfn.SUMIFS('עסקאות'!$M$2:$M$1958,'עסקאות'!$F$2:$F$1958,B102,'עסקאות'!$A$2:$A$1958,"&gt;="&amp;DATE(2026,1,1),'עסקאות'!$A$2:$A$1958,"&lt;"&amp;DATE(2027,1,1))</f>
        <v>1086</v>
      </c>
      <c r="K102" s="77"/>
    </row>
    <row r="103" ht="13.65" customHeight="1">
      <c r="A103" s="70"/>
      <c r="B103" t="s" s="27">
        <v>291</v>
      </c>
      <c r="C103" t="s" s="86">
        <v>102</v>
      </c>
      <c r="D103" s="119">
        <v>1</v>
      </c>
      <c r="E103" s="119">
        <v>1</v>
      </c>
      <c r="F103" s="87" cm="1">
        <f t="array" ref="F103">_xlfn.SUMIFS('עסקאות'!$M$2:$M$1958,'עסקאות'!$F$2:$F$1958,B103)</f>
        <v>1069</v>
      </c>
      <c r="G103" s="87" cm="1">
        <f t="array" ref="G103">IF(D103=0,"",F103/D103)</f>
        <v>1069</v>
      </c>
      <c r="H103" s="87" cm="1">
        <f t="array" ref="H103">F103/20</f>
        <v>53.45</v>
      </c>
      <c r="I103" s="87" cm="1">
        <f t="array" ref="I103">_xlfn.SUMIFS('עסקאות'!$M$2:$M$1958,'עסקאות'!$F$2:$F$1958,B103,'עסקאות'!$A$2:$A$1958,"&gt;="&amp;DATE(2025,1,1),'עסקאות'!$A$2:$A$1958,"&lt;"&amp;DATE(2026,1,1))</f>
        <v>1069</v>
      </c>
      <c r="J103" s="28" cm="1">
        <f t="array" ref="J103">_xlfn.SUMIFS('עסקאות'!$M$2:$M$1958,'עסקאות'!$F$2:$F$1958,B103,'עסקאות'!$A$2:$A$1958,"&gt;="&amp;DATE(2026,1,1),'עסקאות'!$A$2:$A$1958,"&lt;"&amp;DATE(2027,1,1))</f>
        <v>0</v>
      </c>
      <c r="K103" s="77"/>
    </row>
    <row r="104" ht="13.65" customHeight="1">
      <c r="A104" s="70"/>
      <c r="B104" t="s" s="94">
        <v>292</v>
      </c>
      <c r="C104" t="s" s="80">
        <v>105</v>
      </c>
      <c r="D104" s="118">
        <v>3</v>
      </c>
      <c r="E104" s="118">
        <v>3</v>
      </c>
      <c r="F104" s="81" cm="1">
        <f t="array" ref="F104">_xlfn.SUMIFS('עסקאות'!$M$2:$M$1958,'עסקאות'!$F$2:$F$1958,B104)</f>
        <v>1060</v>
      </c>
      <c r="G104" s="81" cm="1">
        <f t="array" ref="G104">IF(D104=0,"",F104/D104)</f>
        <v>353.333333333333</v>
      </c>
      <c r="H104" s="81" cm="1">
        <f t="array" ref="H104">F104/20</f>
        <v>53</v>
      </c>
      <c r="I104" s="81" cm="1">
        <f t="array" ref="I104">_xlfn.SUMIFS('עסקאות'!$M$2:$M$1958,'עסקאות'!$F$2:$F$1958,B104,'עסקאות'!$A$2:$A$1958,"&gt;="&amp;DATE(2025,1,1),'עסקאות'!$A$2:$A$1958,"&lt;"&amp;DATE(2026,1,1))</f>
        <v>1060</v>
      </c>
      <c r="J104" s="83" cm="1">
        <f t="array" ref="J104">_xlfn.SUMIFS('עסקאות'!$M$2:$M$1958,'עסקאות'!$F$2:$F$1958,B104,'עסקאות'!$A$2:$A$1958,"&gt;="&amp;DATE(2026,1,1),'עסקאות'!$A$2:$A$1958,"&lt;"&amp;DATE(2027,1,1))</f>
        <v>0</v>
      </c>
      <c r="K104" s="77"/>
    </row>
    <row r="105" ht="13.65" customHeight="1">
      <c r="A105" s="70"/>
      <c r="B105" t="s" s="27">
        <v>293</v>
      </c>
      <c r="C105" t="s" s="86">
        <v>115</v>
      </c>
      <c r="D105" s="119">
        <v>1</v>
      </c>
      <c r="E105" s="119">
        <v>1</v>
      </c>
      <c r="F105" s="87" cm="1">
        <f t="array" ref="F105">_xlfn.SUMIFS('עסקאות'!$M$2:$M$1958,'עסקאות'!$F$2:$F$1958,B105)</f>
        <v>1058</v>
      </c>
      <c r="G105" s="87" cm="1">
        <f t="array" ref="G105">IF(D105=0,"",F105/D105)</f>
        <v>1058</v>
      </c>
      <c r="H105" s="87" cm="1">
        <f t="array" ref="H105">F105/20</f>
        <v>52.9</v>
      </c>
      <c r="I105" s="87" cm="1">
        <f t="array" ref="I105">_xlfn.SUMIFS('עסקאות'!$M$2:$M$1958,'עסקאות'!$F$2:$F$1958,B105,'עסקאות'!$A$2:$A$1958,"&gt;="&amp;DATE(2025,1,1),'עסקאות'!$A$2:$A$1958,"&lt;"&amp;DATE(2026,1,1))</f>
        <v>1058</v>
      </c>
      <c r="J105" s="28" cm="1">
        <f t="array" ref="J105">_xlfn.SUMIFS('עסקאות'!$M$2:$M$1958,'עסקאות'!$F$2:$F$1958,B105,'עסקאות'!$A$2:$A$1958,"&gt;="&amp;DATE(2026,1,1),'עסקאות'!$A$2:$A$1958,"&lt;"&amp;DATE(2027,1,1))</f>
        <v>0</v>
      </c>
      <c r="K105" s="77"/>
    </row>
    <row r="106" ht="13.65" customHeight="1">
      <c r="A106" s="70"/>
      <c r="B106" t="s" s="94">
        <v>294</v>
      </c>
      <c r="C106" t="s" s="80">
        <v>115</v>
      </c>
      <c r="D106" s="118">
        <v>8</v>
      </c>
      <c r="E106" s="118">
        <v>8</v>
      </c>
      <c r="F106" s="81" cm="1">
        <f t="array" ref="F106">_xlfn.SUMIFS('עסקאות'!$M$2:$M$1958,'עסקאות'!$F$2:$F$1958,B106)</f>
        <v>1043</v>
      </c>
      <c r="G106" s="81" cm="1">
        <f t="array" ref="G106">IF(D106=0,"",F106/D106)</f>
        <v>130.375</v>
      </c>
      <c r="H106" s="81" cm="1">
        <f t="array" ref="H106">F106/20</f>
        <v>52.15</v>
      </c>
      <c r="I106" s="81" cm="1">
        <f t="array" ref="I106">_xlfn.SUMIFS('עסקאות'!$M$2:$M$1958,'עסקאות'!$F$2:$F$1958,B106,'עסקאות'!$A$2:$A$1958,"&gt;="&amp;DATE(2025,1,1),'עסקאות'!$A$2:$A$1958,"&lt;"&amp;DATE(2026,1,1))</f>
        <v>0</v>
      </c>
      <c r="J106" s="83" cm="1">
        <f t="array" ref="J106">_xlfn.SUMIFS('עסקאות'!$M$2:$M$1958,'עסקאות'!$F$2:$F$1958,B106,'עסקאות'!$A$2:$A$1958,"&gt;="&amp;DATE(2026,1,1),'עסקאות'!$A$2:$A$1958,"&lt;"&amp;DATE(2027,1,1))</f>
        <v>1043</v>
      </c>
      <c r="K106" s="77"/>
    </row>
    <row r="107" ht="13.65" customHeight="1">
      <c r="A107" s="70"/>
      <c r="B107" t="s" s="27">
        <v>113</v>
      </c>
      <c r="C107" t="s" s="86">
        <v>113</v>
      </c>
      <c r="D107" s="119">
        <v>9</v>
      </c>
      <c r="E107" s="119">
        <v>3</v>
      </c>
      <c r="F107" s="87" cm="1">
        <f t="array" ref="F107">_xlfn.SUMIFS('עסקאות'!$M$2:$M$1958,'עסקאות'!$F$2:$F$1958,B107)</f>
        <v>1022</v>
      </c>
      <c r="G107" s="87" cm="1">
        <f t="array" ref="G107">IF(D107=0,"",F107/D107)</f>
        <v>113.555555555556</v>
      </c>
      <c r="H107" s="87" cm="1">
        <f t="array" ref="H107">F107/20</f>
        <v>51.1</v>
      </c>
      <c r="I107" s="87" cm="1">
        <f t="array" ref="I107">_xlfn.SUMIFS('עסקאות'!$M$2:$M$1958,'עסקאות'!$F$2:$F$1958,B107,'עסקאות'!$A$2:$A$1958,"&gt;="&amp;DATE(2025,1,1),'עסקאות'!$A$2:$A$1958,"&lt;"&amp;DATE(2026,1,1))</f>
        <v>355</v>
      </c>
      <c r="J107" s="28" cm="1">
        <f t="array" ref="J107">_xlfn.SUMIFS('עסקאות'!$M$2:$M$1958,'עסקאות'!$F$2:$F$1958,B107,'עסקאות'!$A$2:$A$1958,"&gt;="&amp;DATE(2026,1,1),'עסקאות'!$A$2:$A$1958,"&lt;"&amp;DATE(2027,1,1))</f>
        <v>667</v>
      </c>
      <c r="K107" s="77"/>
    </row>
    <row r="108" ht="13.65" customHeight="1">
      <c r="A108" s="70"/>
      <c r="B108" t="s" s="94">
        <v>295</v>
      </c>
      <c r="C108" t="s" s="80">
        <v>109</v>
      </c>
      <c r="D108" s="118">
        <v>2</v>
      </c>
      <c r="E108" s="118">
        <v>1</v>
      </c>
      <c r="F108" s="81" cm="1">
        <f t="array" ref="F108">_xlfn.SUMIFS('עסקאות'!$M$2:$M$1958,'עסקאות'!$F$2:$F$1958,B108)</f>
        <v>1012</v>
      </c>
      <c r="G108" s="81" cm="1">
        <f t="array" ref="G108">IF(D108=0,"",F108/D108)</f>
        <v>506</v>
      </c>
      <c r="H108" s="81" cm="1">
        <f t="array" ref="H108">F108/20</f>
        <v>50.6</v>
      </c>
      <c r="I108" s="81" cm="1">
        <f t="array" ref="I108">_xlfn.SUMIFS('עסקאות'!$M$2:$M$1958,'עסקאות'!$F$2:$F$1958,B108,'עסקאות'!$A$2:$A$1958,"&gt;="&amp;DATE(2025,1,1),'עסקאות'!$A$2:$A$1958,"&lt;"&amp;DATE(2026,1,1))</f>
        <v>1012</v>
      </c>
      <c r="J108" s="83" cm="1">
        <f t="array" ref="J108">_xlfn.SUMIFS('עסקאות'!$M$2:$M$1958,'עסקאות'!$F$2:$F$1958,B108,'עסקאות'!$A$2:$A$1958,"&gt;="&amp;DATE(2026,1,1),'עסקאות'!$A$2:$A$1958,"&lt;"&amp;DATE(2027,1,1))</f>
        <v>0</v>
      </c>
      <c r="K108" s="77"/>
    </row>
    <row r="109" ht="13.65" customHeight="1">
      <c r="A109" s="70"/>
      <c r="B109" t="s" s="27">
        <v>296</v>
      </c>
      <c r="C109" t="s" s="86">
        <v>113</v>
      </c>
      <c r="D109" s="119">
        <v>3</v>
      </c>
      <c r="E109" s="119">
        <v>3</v>
      </c>
      <c r="F109" s="87" cm="1">
        <f t="array" ref="F109">_xlfn.SUMIFS('עסקאות'!$M$2:$M$1958,'עסקאות'!$F$2:$F$1958,B109)</f>
        <v>1009</v>
      </c>
      <c r="G109" s="87" cm="1">
        <f t="array" ref="G109">IF(D109=0,"",F109/D109)</f>
        <v>336.333333333333</v>
      </c>
      <c r="H109" s="87" cm="1">
        <f t="array" ref="H109">F109/20</f>
        <v>50.45</v>
      </c>
      <c r="I109" s="87" cm="1">
        <f t="array" ref="I109">_xlfn.SUMIFS('עסקאות'!$M$2:$M$1958,'עסקאות'!$F$2:$F$1958,B109,'עסקאות'!$A$2:$A$1958,"&gt;="&amp;DATE(2025,1,1),'עסקאות'!$A$2:$A$1958,"&lt;"&amp;DATE(2026,1,1))</f>
        <v>1009</v>
      </c>
      <c r="J109" s="28" cm="1">
        <f t="array" ref="J109">_xlfn.SUMIFS('עסקאות'!$M$2:$M$1958,'עסקאות'!$F$2:$F$1958,B109,'עסקאות'!$A$2:$A$1958,"&gt;="&amp;DATE(2026,1,1),'עסקאות'!$A$2:$A$1958,"&lt;"&amp;DATE(2027,1,1))</f>
        <v>0</v>
      </c>
      <c r="K109" s="77"/>
    </row>
    <row r="110" ht="13.65" customHeight="1">
      <c r="A110" s="70"/>
      <c r="B110" t="s" s="94">
        <v>297</v>
      </c>
      <c r="C110" t="s" s="80">
        <v>105</v>
      </c>
      <c r="D110" s="118">
        <v>1</v>
      </c>
      <c r="E110" s="118">
        <v>1</v>
      </c>
      <c r="F110" s="81" cm="1">
        <f t="array" ref="F110">_xlfn.SUMIFS('עסקאות'!$M$2:$M$1958,'עסקאות'!$F$2:$F$1958,B110)</f>
        <v>1000</v>
      </c>
      <c r="G110" s="81" cm="1">
        <f t="array" ref="G110">IF(D110=0,"",F110/D110)</f>
        <v>1000</v>
      </c>
      <c r="H110" s="81" cm="1">
        <f t="array" ref="H110">F110/20</f>
        <v>50</v>
      </c>
      <c r="I110" s="81" cm="1">
        <f t="array" ref="I110">_xlfn.SUMIFS('עסקאות'!$M$2:$M$1958,'עסקאות'!$F$2:$F$1958,B110,'עסקאות'!$A$2:$A$1958,"&gt;="&amp;DATE(2025,1,1),'עסקאות'!$A$2:$A$1958,"&lt;"&amp;DATE(2026,1,1))</f>
        <v>1000</v>
      </c>
      <c r="J110" s="83" cm="1">
        <f t="array" ref="J110">_xlfn.SUMIFS('עסקאות'!$M$2:$M$1958,'עסקאות'!$F$2:$F$1958,B110,'עסקאות'!$A$2:$A$1958,"&gt;="&amp;DATE(2026,1,1),'עסקאות'!$A$2:$A$1958,"&lt;"&amp;DATE(2027,1,1))</f>
        <v>0</v>
      </c>
      <c r="K110" s="77"/>
    </row>
    <row r="111" ht="13.65" customHeight="1">
      <c r="A111" s="70"/>
      <c r="B111" t="s" s="27">
        <v>298</v>
      </c>
      <c r="C111" t="s" s="86">
        <v>115</v>
      </c>
      <c r="D111" s="119">
        <v>1</v>
      </c>
      <c r="E111" s="119">
        <v>1</v>
      </c>
      <c r="F111" s="87" cm="1">
        <f t="array" ref="F111">_xlfn.SUMIFS('עסקאות'!$M$2:$M$1958,'עסקאות'!$F$2:$F$1958,B111)</f>
        <v>1000</v>
      </c>
      <c r="G111" s="87" cm="1">
        <f t="array" ref="G111">IF(D111=0,"",F111/D111)</f>
        <v>1000</v>
      </c>
      <c r="H111" s="87" cm="1">
        <f t="array" ref="H111">F111/20</f>
        <v>50</v>
      </c>
      <c r="I111" s="87" cm="1">
        <f t="array" ref="I111">_xlfn.SUMIFS('עסקאות'!$M$2:$M$1958,'עסקאות'!$F$2:$F$1958,B111,'עסקאות'!$A$2:$A$1958,"&gt;="&amp;DATE(2025,1,1),'עסקאות'!$A$2:$A$1958,"&lt;"&amp;DATE(2026,1,1))</f>
        <v>1000</v>
      </c>
      <c r="J111" s="28" cm="1">
        <f t="array" ref="J111">_xlfn.SUMIFS('עסקאות'!$M$2:$M$1958,'עסקאות'!$F$2:$F$1958,B111,'עסקאות'!$A$2:$A$1958,"&gt;="&amp;DATE(2026,1,1),'עסקאות'!$A$2:$A$1958,"&lt;"&amp;DATE(2027,1,1))</f>
        <v>0</v>
      </c>
      <c r="K111" s="77"/>
    </row>
    <row r="112" ht="13.65" customHeight="1">
      <c r="A112" s="70"/>
      <c r="B112" t="s" s="94">
        <v>299</v>
      </c>
      <c r="C112" t="s" s="80">
        <v>125</v>
      </c>
      <c r="D112" s="118">
        <v>1</v>
      </c>
      <c r="E112" s="118">
        <v>1</v>
      </c>
      <c r="F112" s="81" cm="1">
        <f t="array" ref="F112">_xlfn.SUMIFS('עסקאות'!$M$2:$M$1958,'עסקאות'!$F$2:$F$1958,B112)</f>
        <v>1000</v>
      </c>
      <c r="G112" s="81" cm="1">
        <f t="array" ref="G112">IF(D112=0,"",F112/D112)</f>
        <v>1000</v>
      </c>
      <c r="H112" s="81" cm="1">
        <f t="array" ref="H112">F112/20</f>
        <v>50</v>
      </c>
      <c r="I112" s="81" cm="1">
        <f t="array" ref="I112">_xlfn.SUMIFS('עסקאות'!$M$2:$M$1958,'עסקאות'!$F$2:$F$1958,B112,'עסקאות'!$A$2:$A$1958,"&gt;="&amp;DATE(2025,1,1),'עסקאות'!$A$2:$A$1958,"&lt;"&amp;DATE(2026,1,1))</f>
        <v>0</v>
      </c>
      <c r="J112" s="83" cm="1">
        <f t="array" ref="J112">_xlfn.SUMIFS('עסקאות'!$M$2:$M$1958,'עסקאות'!$F$2:$F$1958,B112,'עסקאות'!$A$2:$A$1958,"&gt;="&amp;DATE(2026,1,1),'עסקאות'!$A$2:$A$1958,"&lt;"&amp;DATE(2027,1,1))</f>
        <v>1000</v>
      </c>
      <c r="K112" s="77"/>
    </row>
    <row r="113" ht="13.65" customHeight="1">
      <c r="A113" s="70"/>
      <c r="B113" t="s" s="27">
        <v>300</v>
      </c>
      <c r="C113" t="s" s="86">
        <v>102</v>
      </c>
      <c r="D113" s="119">
        <v>2</v>
      </c>
      <c r="E113" s="119">
        <v>1</v>
      </c>
      <c r="F113" s="87" cm="1">
        <f t="array" ref="F113">_xlfn.SUMIFS('עסקאות'!$M$2:$M$1958,'עסקאות'!$F$2:$F$1958,B113)</f>
        <v>996</v>
      </c>
      <c r="G113" s="87" cm="1">
        <f t="array" ref="G113">IF(D113=0,"",F113/D113)</f>
        <v>498</v>
      </c>
      <c r="H113" s="87" cm="1">
        <f t="array" ref="H113">F113/20</f>
        <v>49.8</v>
      </c>
      <c r="I113" s="87" cm="1">
        <f t="array" ref="I113">_xlfn.SUMIFS('עסקאות'!$M$2:$M$1958,'עסקאות'!$F$2:$F$1958,B113,'עסקאות'!$A$2:$A$1958,"&gt;="&amp;DATE(2025,1,1),'עסקאות'!$A$2:$A$1958,"&lt;"&amp;DATE(2026,1,1))</f>
        <v>996</v>
      </c>
      <c r="J113" s="28" cm="1">
        <f t="array" ref="J113">_xlfn.SUMIFS('עסקאות'!$M$2:$M$1958,'עסקאות'!$F$2:$F$1958,B113,'עסקאות'!$A$2:$A$1958,"&gt;="&amp;DATE(2026,1,1),'עסקאות'!$A$2:$A$1958,"&lt;"&amp;DATE(2027,1,1))</f>
        <v>0</v>
      </c>
      <c r="K113" s="77"/>
    </row>
    <row r="114" ht="13.65" customHeight="1">
      <c r="A114" s="70"/>
      <c r="B114" t="s" s="94">
        <v>301</v>
      </c>
      <c r="C114" t="s" s="80">
        <v>102</v>
      </c>
      <c r="D114" s="118">
        <v>1</v>
      </c>
      <c r="E114" s="118">
        <v>1</v>
      </c>
      <c r="F114" s="81" cm="1">
        <f t="array" ref="F114">_xlfn.SUMIFS('עסקאות'!$M$2:$M$1958,'עסקאות'!$F$2:$F$1958,B114)</f>
        <v>975</v>
      </c>
      <c r="G114" s="81" cm="1">
        <f t="array" ref="G114">IF(D114=0,"",F114/D114)</f>
        <v>975</v>
      </c>
      <c r="H114" s="81" cm="1">
        <f t="array" ref="H114">F114/20</f>
        <v>48.75</v>
      </c>
      <c r="I114" s="81" cm="1">
        <f t="array" ref="I114">_xlfn.SUMIFS('עסקאות'!$M$2:$M$1958,'עסקאות'!$F$2:$F$1958,B114,'עסקאות'!$A$2:$A$1958,"&gt;="&amp;DATE(2025,1,1),'עסקאות'!$A$2:$A$1958,"&lt;"&amp;DATE(2026,1,1))</f>
        <v>975</v>
      </c>
      <c r="J114" s="83" cm="1">
        <f t="array" ref="J114">_xlfn.SUMIFS('עסקאות'!$M$2:$M$1958,'עסקאות'!$F$2:$F$1958,B114,'עסקאות'!$A$2:$A$1958,"&gt;="&amp;DATE(2026,1,1),'עסקאות'!$A$2:$A$1958,"&lt;"&amp;DATE(2027,1,1))</f>
        <v>0</v>
      </c>
      <c r="K114" s="77"/>
    </row>
    <row r="115" ht="13.65" customHeight="1">
      <c r="A115" s="70"/>
      <c r="B115" t="s" s="27">
        <v>302</v>
      </c>
      <c r="C115" t="s" s="86">
        <v>96</v>
      </c>
      <c r="D115" s="119">
        <v>12</v>
      </c>
      <c r="E115" s="119">
        <v>12</v>
      </c>
      <c r="F115" s="87" cm="1">
        <f t="array" ref="F115">_xlfn.SUMIFS('עסקאות'!$M$2:$M$1958,'עסקאות'!$F$2:$F$1958,B115)</f>
        <v>956</v>
      </c>
      <c r="G115" s="87" cm="1">
        <f t="array" ref="G115">IF(D115=0,"",F115/D115)</f>
        <v>79.6666666666667</v>
      </c>
      <c r="H115" s="87" cm="1">
        <f t="array" ref="H115">F115/20</f>
        <v>47.8</v>
      </c>
      <c r="I115" s="87" cm="1">
        <f t="array" ref="I115">_xlfn.SUMIFS('עסקאות'!$M$2:$M$1958,'עסקאות'!$F$2:$F$1958,B115,'עסקאות'!$A$2:$A$1958,"&gt;="&amp;DATE(2025,1,1),'עסקאות'!$A$2:$A$1958,"&lt;"&amp;DATE(2026,1,1))</f>
        <v>316</v>
      </c>
      <c r="J115" s="28" cm="1">
        <f t="array" ref="J115">_xlfn.SUMIFS('עסקאות'!$M$2:$M$1958,'עסקאות'!$F$2:$F$1958,B115,'עסקאות'!$A$2:$A$1958,"&gt;="&amp;DATE(2026,1,1),'עסקאות'!$A$2:$A$1958,"&lt;"&amp;DATE(2027,1,1))</f>
        <v>640</v>
      </c>
      <c r="K115" s="77"/>
    </row>
    <row r="116" ht="13.65" customHeight="1">
      <c r="A116" s="70"/>
      <c r="B116" t="s" s="94">
        <v>303</v>
      </c>
      <c r="C116" t="s" s="80">
        <v>123</v>
      </c>
      <c r="D116" s="118">
        <v>1</v>
      </c>
      <c r="E116" s="118">
        <v>1</v>
      </c>
      <c r="F116" s="81" cm="1">
        <f t="array" ref="F116">_xlfn.SUMIFS('עסקאות'!$M$2:$M$1958,'עסקאות'!$F$2:$F$1958,B116)</f>
        <v>954</v>
      </c>
      <c r="G116" s="81" cm="1">
        <f t="array" ref="G116">IF(D116=0,"",F116/D116)</f>
        <v>954</v>
      </c>
      <c r="H116" s="81" cm="1">
        <f t="array" ref="H116">F116/20</f>
        <v>47.7</v>
      </c>
      <c r="I116" s="81" cm="1">
        <f t="array" ref="I116">_xlfn.SUMIFS('עסקאות'!$M$2:$M$1958,'עסקאות'!$F$2:$F$1958,B116,'עסקאות'!$A$2:$A$1958,"&gt;="&amp;DATE(2025,1,1),'עסקאות'!$A$2:$A$1958,"&lt;"&amp;DATE(2026,1,1))</f>
        <v>954</v>
      </c>
      <c r="J116" s="83" cm="1">
        <f t="array" ref="J116">_xlfn.SUMIFS('עסקאות'!$M$2:$M$1958,'עסקאות'!$F$2:$F$1958,B116,'עסקאות'!$A$2:$A$1958,"&gt;="&amp;DATE(2026,1,1),'עסקאות'!$A$2:$A$1958,"&lt;"&amp;DATE(2027,1,1))</f>
        <v>0</v>
      </c>
      <c r="K116" s="77"/>
    </row>
    <row r="117" ht="13.65" customHeight="1">
      <c r="A117" s="70"/>
      <c r="B117" t="s" s="27">
        <v>304</v>
      </c>
      <c r="C117" t="s" s="86">
        <v>131</v>
      </c>
      <c r="D117" s="119">
        <v>3</v>
      </c>
      <c r="E117" s="119">
        <v>3</v>
      </c>
      <c r="F117" s="87" cm="1">
        <f t="array" ref="F117">_xlfn.SUMIFS('עסקאות'!$M$2:$M$1958,'עסקאות'!$F$2:$F$1958,B117)</f>
        <v>953</v>
      </c>
      <c r="G117" s="87" cm="1">
        <f t="array" ref="G117">IF(D117=0,"",F117/D117)</f>
        <v>317.666666666667</v>
      </c>
      <c r="H117" s="87" cm="1">
        <f t="array" ref="H117">F117/20</f>
        <v>47.65</v>
      </c>
      <c r="I117" s="87" cm="1">
        <f t="array" ref="I117">_xlfn.SUMIFS('עסקאות'!$M$2:$M$1958,'עסקאות'!$F$2:$F$1958,B117,'עסקאות'!$A$2:$A$1958,"&gt;="&amp;DATE(2025,1,1),'עסקאות'!$A$2:$A$1958,"&lt;"&amp;DATE(2026,1,1))</f>
        <v>0</v>
      </c>
      <c r="J117" s="28" cm="1">
        <f t="array" ref="J117">_xlfn.SUMIFS('עסקאות'!$M$2:$M$1958,'עסקאות'!$F$2:$F$1958,B117,'עסקאות'!$A$2:$A$1958,"&gt;="&amp;DATE(2026,1,1),'עסקאות'!$A$2:$A$1958,"&lt;"&amp;DATE(2027,1,1))</f>
        <v>953</v>
      </c>
      <c r="K117" s="77"/>
    </row>
    <row r="118" ht="13.65" customHeight="1">
      <c r="A118" s="70"/>
      <c r="B118" t="s" s="94">
        <v>305</v>
      </c>
      <c r="C118" t="s" s="80">
        <v>125</v>
      </c>
      <c r="D118" s="118">
        <v>3</v>
      </c>
      <c r="E118" s="118">
        <v>3</v>
      </c>
      <c r="F118" s="81" cm="1">
        <f t="array" ref="F118">_xlfn.SUMIFS('עסקאות'!$M$2:$M$1958,'עסקאות'!$F$2:$F$1958,B118)</f>
        <v>932</v>
      </c>
      <c r="G118" s="81" cm="1">
        <f t="array" ref="G118">IF(D118=0,"",F118/D118)</f>
        <v>310.666666666667</v>
      </c>
      <c r="H118" s="81" cm="1">
        <f t="array" ref="H118">F118/20</f>
        <v>46.6</v>
      </c>
      <c r="I118" s="81" cm="1">
        <f t="array" ref="I118">_xlfn.SUMIFS('עסקאות'!$M$2:$M$1958,'עסקאות'!$F$2:$F$1958,B118,'עסקאות'!$A$2:$A$1958,"&gt;="&amp;DATE(2025,1,1),'עסקאות'!$A$2:$A$1958,"&lt;"&amp;DATE(2026,1,1))</f>
        <v>0</v>
      </c>
      <c r="J118" s="83" cm="1">
        <f t="array" ref="J118">_xlfn.SUMIFS('עסקאות'!$M$2:$M$1958,'עסקאות'!$F$2:$F$1958,B118,'עסקאות'!$A$2:$A$1958,"&gt;="&amp;DATE(2026,1,1),'עסקאות'!$A$2:$A$1958,"&lt;"&amp;DATE(2027,1,1))</f>
        <v>932</v>
      </c>
      <c r="K118" s="77"/>
    </row>
    <row r="119" ht="13.65" customHeight="1">
      <c r="A119" s="70"/>
      <c r="B119" t="s" s="27">
        <v>306</v>
      </c>
      <c r="C119" t="s" s="86">
        <v>111</v>
      </c>
      <c r="D119" s="119">
        <v>1</v>
      </c>
      <c r="E119" s="119">
        <v>1</v>
      </c>
      <c r="F119" s="87" cm="1">
        <f t="array" ref="F119">_xlfn.SUMIFS('עסקאות'!$M$2:$M$1958,'עסקאות'!$F$2:$F$1958,B119)</f>
        <v>926</v>
      </c>
      <c r="G119" s="87" cm="1">
        <f t="array" ref="G119">IF(D119=0,"",F119/D119)</f>
        <v>926</v>
      </c>
      <c r="H119" s="87" cm="1">
        <f t="array" ref="H119">F119/20</f>
        <v>46.3</v>
      </c>
      <c r="I119" s="87" cm="1">
        <f t="array" ref="I119">_xlfn.SUMIFS('עסקאות'!$M$2:$M$1958,'עסקאות'!$F$2:$F$1958,B119,'עסקאות'!$A$2:$A$1958,"&gt;="&amp;DATE(2025,1,1),'עסקאות'!$A$2:$A$1958,"&lt;"&amp;DATE(2026,1,1))</f>
        <v>926</v>
      </c>
      <c r="J119" s="28" cm="1">
        <f t="array" ref="J119">_xlfn.SUMIFS('עסקאות'!$M$2:$M$1958,'עסקאות'!$F$2:$F$1958,B119,'עסקאות'!$A$2:$A$1958,"&gt;="&amp;DATE(2026,1,1),'עסקאות'!$A$2:$A$1958,"&lt;"&amp;DATE(2027,1,1))</f>
        <v>0</v>
      </c>
      <c r="K119" s="77"/>
    </row>
    <row r="120" ht="13.65" customHeight="1">
      <c r="A120" s="70"/>
      <c r="B120" t="s" s="94">
        <v>307</v>
      </c>
      <c r="C120" t="s" s="80">
        <v>115</v>
      </c>
      <c r="D120" s="118">
        <v>27</v>
      </c>
      <c r="E120" s="118">
        <v>10</v>
      </c>
      <c r="F120" s="81" cm="1">
        <f t="array" ref="F120">_xlfn.SUMIFS('עסקאות'!$M$2:$M$1958,'עסקאות'!$F$2:$F$1958,B120)</f>
        <v>897</v>
      </c>
      <c r="G120" s="81" cm="1">
        <f t="array" ref="G120">IF(D120=0,"",F120/D120)</f>
        <v>33.2222222222222</v>
      </c>
      <c r="H120" s="81" cm="1">
        <f t="array" ref="H120">F120/20</f>
        <v>44.85</v>
      </c>
      <c r="I120" s="81" cm="1">
        <f t="array" ref="I120">_xlfn.SUMIFS('עסקאות'!$M$2:$M$1958,'עסקאות'!$F$2:$F$1958,B120,'עסקאות'!$A$2:$A$1958,"&gt;="&amp;DATE(2025,1,1),'עסקאות'!$A$2:$A$1958,"&lt;"&amp;DATE(2026,1,1))</f>
        <v>897</v>
      </c>
      <c r="J120" s="83" cm="1">
        <f t="array" ref="J120">_xlfn.SUMIFS('עסקאות'!$M$2:$M$1958,'עסקאות'!$F$2:$F$1958,B120,'עסקאות'!$A$2:$A$1958,"&gt;="&amp;DATE(2026,1,1),'עסקאות'!$A$2:$A$1958,"&lt;"&amp;DATE(2027,1,1))</f>
        <v>0</v>
      </c>
      <c r="K120" s="77"/>
    </row>
    <row r="121" ht="13.65" customHeight="1">
      <c r="A121" s="70"/>
      <c r="B121" t="s" s="27">
        <v>308</v>
      </c>
      <c r="C121" t="s" s="86">
        <v>113</v>
      </c>
      <c r="D121" s="119">
        <v>28</v>
      </c>
      <c r="E121" s="119">
        <v>15</v>
      </c>
      <c r="F121" s="87" cm="1">
        <f t="array" ref="F121">_xlfn.SUMIFS('עסקאות'!$M$2:$M$1958,'עסקאות'!$F$2:$F$1958,B121)</f>
        <v>858</v>
      </c>
      <c r="G121" s="87" cm="1">
        <f t="array" ref="G121">IF(D121=0,"",F121/D121)</f>
        <v>30.6428571428571</v>
      </c>
      <c r="H121" s="87" cm="1">
        <f t="array" ref="H121">F121/20</f>
        <v>42.9</v>
      </c>
      <c r="I121" s="87" cm="1">
        <f t="array" ref="I121">_xlfn.SUMIFS('עסקאות'!$M$2:$M$1958,'עסקאות'!$F$2:$F$1958,B121,'עסקאות'!$A$2:$A$1958,"&gt;="&amp;DATE(2025,1,1),'עסקאות'!$A$2:$A$1958,"&lt;"&amp;DATE(2026,1,1))</f>
        <v>523</v>
      </c>
      <c r="J121" s="28" cm="1">
        <f t="array" ref="J121">_xlfn.SUMIFS('עסקאות'!$M$2:$M$1958,'עסקאות'!$F$2:$F$1958,B121,'עסקאות'!$A$2:$A$1958,"&gt;="&amp;DATE(2026,1,1),'עסקאות'!$A$2:$A$1958,"&lt;"&amp;DATE(2027,1,1))</f>
        <v>335</v>
      </c>
      <c r="K121" s="77"/>
    </row>
    <row r="122" ht="13.65" customHeight="1">
      <c r="A122" s="70"/>
      <c r="B122" t="s" s="94">
        <v>309</v>
      </c>
      <c r="C122" t="s" s="80">
        <v>131</v>
      </c>
      <c r="D122" s="118">
        <v>2</v>
      </c>
      <c r="E122" s="118">
        <v>1</v>
      </c>
      <c r="F122" s="81" cm="1">
        <f t="array" ref="F122">_xlfn.SUMIFS('עסקאות'!$M$2:$M$1958,'עסקאות'!$F$2:$F$1958,B122)</f>
        <v>820</v>
      </c>
      <c r="G122" s="81" cm="1">
        <f t="array" ref="G122">IF(D122=0,"",F122/D122)</f>
        <v>410</v>
      </c>
      <c r="H122" s="81" cm="1">
        <f t="array" ref="H122">F122/20</f>
        <v>41</v>
      </c>
      <c r="I122" s="81" cm="1">
        <f t="array" ref="I122">_xlfn.SUMIFS('עסקאות'!$M$2:$M$1958,'עסקאות'!$F$2:$F$1958,B122,'עסקאות'!$A$2:$A$1958,"&gt;="&amp;DATE(2025,1,1),'עסקאות'!$A$2:$A$1958,"&lt;"&amp;DATE(2026,1,1))</f>
        <v>0</v>
      </c>
      <c r="J122" s="83" cm="1">
        <f t="array" ref="J122">_xlfn.SUMIFS('עסקאות'!$M$2:$M$1958,'עסקאות'!$F$2:$F$1958,B122,'עסקאות'!$A$2:$A$1958,"&gt;="&amp;DATE(2026,1,1),'עסקאות'!$A$2:$A$1958,"&lt;"&amp;DATE(2027,1,1))</f>
        <v>820</v>
      </c>
      <c r="K122" s="77"/>
    </row>
    <row r="123" ht="13.65" customHeight="1">
      <c r="A123" s="70"/>
      <c r="B123" t="s" s="27">
        <v>310</v>
      </c>
      <c r="C123" t="s" s="86">
        <v>107</v>
      </c>
      <c r="D123" s="119">
        <v>7</v>
      </c>
      <c r="E123" s="119">
        <v>7</v>
      </c>
      <c r="F123" s="87" cm="1">
        <f t="array" ref="F123">_xlfn.SUMIFS('עסקאות'!$M$2:$M$1958,'עסקאות'!$F$2:$F$1958,B123)</f>
        <v>816</v>
      </c>
      <c r="G123" s="87" cm="1">
        <f t="array" ref="G123">IF(D123=0,"",F123/D123)</f>
        <v>116.571428571429</v>
      </c>
      <c r="H123" s="87" cm="1">
        <f t="array" ref="H123">F123/20</f>
        <v>40.8</v>
      </c>
      <c r="I123" s="87" cm="1">
        <f t="array" ref="I123">_xlfn.SUMIFS('עסקאות'!$M$2:$M$1958,'עסקאות'!$F$2:$F$1958,B123,'עסקאות'!$A$2:$A$1958,"&gt;="&amp;DATE(2025,1,1),'עסקאות'!$A$2:$A$1958,"&lt;"&amp;DATE(2026,1,1))</f>
        <v>0</v>
      </c>
      <c r="J123" s="28" cm="1">
        <f t="array" ref="J123">_xlfn.SUMIFS('עסקאות'!$M$2:$M$1958,'עסקאות'!$F$2:$F$1958,B123,'עסקאות'!$A$2:$A$1958,"&gt;="&amp;DATE(2026,1,1),'עסקאות'!$A$2:$A$1958,"&lt;"&amp;DATE(2027,1,1))</f>
        <v>816</v>
      </c>
      <c r="K123" s="77"/>
    </row>
    <row r="124" ht="13.65" customHeight="1">
      <c r="A124" s="70"/>
      <c r="B124" t="s" s="94">
        <v>311</v>
      </c>
      <c r="C124" t="s" s="80">
        <v>129</v>
      </c>
      <c r="D124" s="118">
        <v>1</v>
      </c>
      <c r="E124" s="118">
        <v>1</v>
      </c>
      <c r="F124" s="81" cm="1">
        <f t="array" ref="F124">_xlfn.SUMIFS('עסקאות'!$M$2:$M$1958,'עסקאות'!$F$2:$F$1958,B124)</f>
        <v>803</v>
      </c>
      <c r="G124" s="81" cm="1">
        <f t="array" ref="G124">IF(D124=0,"",F124/D124)</f>
        <v>803</v>
      </c>
      <c r="H124" s="81" cm="1">
        <f t="array" ref="H124">F124/20</f>
        <v>40.15</v>
      </c>
      <c r="I124" s="81" cm="1">
        <f t="array" ref="I124">_xlfn.SUMIFS('עסקאות'!$M$2:$M$1958,'עסקאות'!$F$2:$F$1958,B124,'עסקאות'!$A$2:$A$1958,"&gt;="&amp;DATE(2025,1,1),'עסקאות'!$A$2:$A$1958,"&lt;"&amp;DATE(2026,1,1))</f>
        <v>803</v>
      </c>
      <c r="J124" s="83" cm="1">
        <f t="array" ref="J124">_xlfn.SUMIFS('עסקאות'!$M$2:$M$1958,'עסקאות'!$F$2:$F$1958,B124,'עסקאות'!$A$2:$A$1958,"&gt;="&amp;DATE(2026,1,1),'עסקאות'!$A$2:$A$1958,"&lt;"&amp;DATE(2027,1,1))</f>
        <v>0</v>
      </c>
      <c r="K124" s="77"/>
    </row>
    <row r="125" ht="13.65" customHeight="1">
      <c r="A125" s="70"/>
      <c r="B125" t="s" s="27">
        <v>312</v>
      </c>
      <c r="C125" t="s" s="86">
        <v>102</v>
      </c>
      <c r="D125" s="119">
        <v>1</v>
      </c>
      <c r="E125" s="119">
        <v>1</v>
      </c>
      <c r="F125" s="87" cm="1">
        <f t="array" ref="F125">_xlfn.SUMIFS('עסקאות'!$M$2:$M$1958,'עסקאות'!$F$2:$F$1958,B125)</f>
        <v>802</v>
      </c>
      <c r="G125" s="87" cm="1">
        <f t="array" ref="G125">IF(D125=0,"",F125/D125)</f>
        <v>802</v>
      </c>
      <c r="H125" s="87" cm="1">
        <f t="array" ref="H125">F125/20</f>
        <v>40.1</v>
      </c>
      <c r="I125" s="87" cm="1">
        <f t="array" ref="I125">_xlfn.SUMIFS('עסקאות'!$M$2:$M$1958,'עסקאות'!$F$2:$F$1958,B125,'עסקאות'!$A$2:$A$1958,"&gt;="&amp;DATE(2025,1,1),'עסקאות'!$A$2:$A$1958,"&lt;"&amp;DATE(2026,1,1))</f>
        <v>802</v>
      </c>
      <c r="J125" s="28" cm="1">
        <f t="array" ref="J125">_xlfn.SUMIFS('עסקאות'!$M$2:$M$1958,'עסקאות'!$F$2:$F$1958,B125,'עסקאות'!$A$2:$A$1958,"&gt;="&amp;DATE(2026,1,1),'עסקאות'!$A$2:$A$1958,"&lt;"&amp;DATE(2027,1,1))</f>
        <v>0</v>
      </c>
      <c r="K125" s="77"/>
    </row>
    <row r="126" ht="13.65" customHeight="1">
      <c r="A126" s="70"/>
      <c r="B126" t="s" s="94">
        <v>313</v>
      </c>
      <c r="C126" t="s" s="80">
        <v>115</v>
      </c>
      <c r="D126" s="118">
        <v>1</v>
      </c>
      <c r="E126" s="118">
        <v>1</v>
      </c>
      <c r="F126" s="81" cm="1">
        <f t="array" ref="F126">_xlfn.SUMIFS('עסקאות'!$M$2:$M$1958,'עסקאות'!$F$2:$F$1958,B126)</f>
        <v>783</v>
      </c>
      <c r="G126" s="81" cm="1">
        <f t="array" ref="G126">IF(D126=0,"",F126/D126)</f>
        <v>783</v>
      </c>
      <c r="H126" s="81" cm="1">
        <f t="array" ref="H126">F126/20</f>
        <v>39.15</v>
      </c>
      <c r="I126" s="81" cm="1">
        <f t="array" ref="I126">_xlfn.SUMIFS('עסקאות'!$M$2:$M$1958,'עסקאות'!$F$2:$F$1958,B126,'עסקאות'!$A$2:$A$1958,"&gt;="&amp;DATE(2025,1,1),'עסקאות'!$A$2:$A$1958,"&lt;"&amp;DATE(2026,1,1))</f>
        <v>783</v>
      </c>
      <c r="J126" s="83" cm="1">
        <f t="array" ref="J126">_xlfn.SUMIFS('עסקאות'!$M$2:$M$1958,'עסקאות'!$F$2:$F$1958,B126,'עסקאות'!$A$2:$A$1958,"&gt;="&amp;DATE(2026,1,1),'עסקאות'!$A$2:$A$1958,"&lt;"&amp;DATE(2027,1,1))</f>
        <v>0</v>
      </c>
      <c r="K126" s="77"/>
    </row>
    <row r="127" ht="13.65" customHeight="1">
      <c r="A127" s="70"/>
      <c r="B127" t="s" s="27">
        <v>314</v>
      </c>
      <c r="C127" t="s" s="86">
        <v>117</v>
      </c>
      <c r="D127" s="119">
        <v>16</v>
      </c>
      <c r="E127" s="119">
        <v>8</v>
      </c>
      <c r="F127" s="87" cm="1">
        <f t="array" ref="F127">_xlfn.SUMIFS('עסקאות'!$M$2:$M$1958,'עסקאות'!$F$2:$F$1958,B127)</f>
        <v>760</v>
      </c>
      <c r="G127" s="87" cm="1">
        <f t="array" ref="G127">IF(D127=0,"",F127/D127)</f>
        <v>47.5</v>
      </c>
      <c r="H127" s="87" cm="1">
        <f t="array" ref="H127">F127/20</f>
        <v>38</v>
      </c>
      <c r="I127" s="87" cm="1">
        <f t="array" ref="I127">_xlfn.SUMIFS('עסקאות'!$M$2:$M$1958,'עסקאות'!$F$2:$F$1958,B127,'עסקאות'!$A$2:$A$1958,"&gt;="&amp;DATE(2025,1,1),'עסקאות'!$A$2:$A$1958,"&lt;"&amp;DATE(2026,1,1))</f>
        <v>740</v>
      </c>
      <c r="J127" s="28" cm="1">
        <f t="array" ref="J127">_xlfn.SUMIFS('עסקאות'!$M$2:$M$1958,'עסקאות'!$F$2:$F$1958,B127,'עסקאות'!$A$2:$A$1958,"&gt;="&amp;DATE(2026,1,1),'עסקאות'!$A$2:$A$1958,"&lt;"&amp;DATE(2027,1,1))</f>
        <v>20</v>
      </c>
      <c r="K127" s="77"/>
    </row>
    <row r="128" ht="13.65" customHeight="1">
      <c r="A128" s="70"/>
      <c r="B128" t="s" s="94">
        <v>315</v>
      </c>
      <c r="C128" t="s" s="80">
        <v>117</v>
      </c>
      <c r="D128" s="118">
        <v>1</v>
      </c>
      <c r="E128" s="118">
        <v>1</v>
      </c>
      <c r="F128" s="81" cm="1">
        <f t="array" ref="F128">_xlfn.SUMIFS('עסקאות'!$M$2:$M$1958,'עסקאות'!$F$2:$F$1958,B128)</f>
        <v>760</v>
      </c>
      <c r="G128" s="81" cm="1">
        <f t="array" ref="G128">IF(D128=0,"",F128/D128)</f>
        <v>760</v>
      </c>
      <c r="H128" s="81" cm="1">
        <f t="array" ref="H128">F128/20</f>
        <v>38</v>
      </c>
      <c r="I128" s="81" cm="1">
        <f t="array" ref="I128">_xlfn.SUMIFS('עסקאות'!$M$2:$M$1958,'עסקאות'!$F$2:$F$1958,B128,'עסקאות'!$A$2:$A$1958,"&gt;="&amp;DATE(2025,1,1),'עסקאות'!$A$2:$A$1958,"&lt;"&amp;DATE(2026,1,1))</f>
        <v>760</v>
      </c>
      <c r="J128" s="83" cm="1">
        <f t="array" ref="J128">_xlfn.SUMIFS('עסקאות'!$M$2:$M$1958,'עסקאות'!$F$2:$F$1958,B128,'עסקאות'!$A$2:$A$1958,"&gt;="&amp;DATE(2026,1,1),'עסקאות'!$A$2:$A$1958,"&lt;"&amp;DATE(2027,1,1))</f>
        <v>0</v>
      </c>
      <c r="K128" s="77"/>
    </row>
    <row r="129" ht="13.65" customHeight="1">
      <c r="A129" s="70"/>
      <c r="B129" t="s" s="27">
        <v>316</v>
      </c>
      <c r="C129" t="s" s="86">
        <v>107</v>
      </c>
      <c r="D129" s="119">
        <v>2</v>
      </c>
      <c r="E129" s="119">
        <v>2</v>
      </c>
      <c r="F129" s="87" cm="1">
        <f t="array" ref="F129">_xlfn.SUMIFS('עסקאות'!$M$2:$M$1958,'עסקאות'!$F$2:$F$1958,B129)</f>
        <v>742</v>
      </c>
      <c r="G129" s="87" cm="1">
        <f t="array" ref="G129">IF(D129=0,"",F129/D129)</f>
        <v>371</v>
      </c>
      <c r="H129" s="87" cm="1">
        <f t="array" ref="H129">F129/20</f>
        <v>37.1</v>
      </c>
      <c r="I129" s="87" cm="1">
        <f t="array" ref="I129">_xlfn.SUMIFS('עסקאות'!$M$2:$M$1958,'עסקאות'!$F$2:$F$1958,B129,'עסקאות'!$A$2:$A$1958,"&gt;="&amp;DATE(2025,1,1),'עסקאות'!$A$2:$A$1958,"&lt;"&amp;DATE(2026,1,1))</f>
        <v>742</v>
      </c>
      <c r="J129" s="28" cm="1">
        <f t="array" ref="J129">_xlfn.SUMIFS('עסקאות'!$M$2:$M$1958,'עסקאות'!$F$2:$F$1958,B129,'עסקאות'!$A$2:$A$1958,"&gt;="&amp;DATE(2026,1,1),'עסקאות'!$A$2:$A$1958,"&lt;"&amp;DATE(2027,1,1))</f>
        <v>0</v>
      </c>
      <c r="K129" s="77"/>
    </row>
    <row r="130" ht="13.65" customHeight="1">
      <c r="A130" s="70"/>
      <c r="B130" t="s" s="94">
        <v>317</v>
      </c>
      <c r="C130" t="s" s="80">
        <v>111</v>
      </c>
      <c r="D130" s="118">
        <v>1</v>
      </c>
      <c r="E130" s="118">
        <v>1</v>
      </c>
      <c r="F130" s="81" cm="1">
        <f t="array" ref="F130">_xlfn.SUMIFS('עסקאות'!$M$2:$M$1958,'עסקאות'!$F$2:$F$1958,B130)</f>
        <v>736</v>
      </c>
      <c r="G130" s="81" cm="1">
        <f t="array" ref="G130">IF(D130=0,"",F130/D130)</f>
        <v>736</v>
      </c>
      <c r="H130" s="81" cm="1">
        <f t="array" ref="H130">F130/20</f>
        <v>36.8</v>
      </c>
      <c r="I130" s="81" cm="1">
        <f t="array" ref="I130">_xlfn.SUMIFS('עסקאות'!$M$2:$M$1958,'עסקאות'!$F$2:$F$1958,B130,'עסקאות'!$A$2:$A$1958,"&gt;="&amp;DATE(2025,1,1),'עסקאות'!$A$2:$A$1958,"&lt;"&amp;DATE(2026,1,1))</f>
        <v>736</v>
      </c>
      <c r="J130" s="83" cm="1">
        <f t="array" ref="J130">_xlfn.SUMIFS('עסקאות'!$M$2:$M$1958,'עסקאות'!$F$2:$F$1958,B130,'עסקאות'!$A$2:$A$1958,"&gt;="&amp;DATE(2026,1,1),'עסקאות'!$A$2:$A$1958,"&lt;"&amp;DATE(2027,1,1))</f>
        <v>0</v>
      </c>
      <c r="K130" s="77"/>
    </row>
    <row r="131" ht="13.65" customHeight="1">
      <c r="A131" s="70"/>
      <c r="B131" t="s" s="27">
        <v>318</v>
      </c>
      <c r="C131" t="s" s="86">
        <v>109</v>
      </c>
      <c r="D131" s="119">
        <v>1</v>
      </c>
      <c r="E131" s="119">
        <v>1</v>
      </c>
      <c r="F131" s="87" cm="1">
        <f t="array" ref="F131">_xlfn.SUMIFS('עסקאות'!$M$2:$M$1958,'עסקאות'!$F$2:$F$1958,B131)</f>
        <v>736</v>
      </c>
      <c r="G131" s="87" cm="1">
        <f t="array" ref="G131">IF(D131=0,"",F131/D131)</f>
        <v>736</v>
      </c>
      <c r="H131" s="87" cm="1">
        <f t="array" ref="H131">F131/20</f>
        <v>36.8</v>
      </c>
      <c r="I131" s="87" cm="1">
        <f t="array" ref="I131">_xlfn.SUMIFS('עסקאות'!$M$2:$M$1958,'עסקאות'!$F$2:$F$1958,B131,'עסקאות'!$A$2:$A$1958,"&gt;="&amp;DATE(2025,1,1),'עסקאות'!$A$2:$A$1958,"&lt;"&amp;DATE(2026,1,1))</f>
        <v>736</v>
      </c>
      <c r="J131" s="28" cm="1">
        <f t="array" ref="J131">_xlfn.SUMIFS('עסקאות'!$M$2:$M$1958,'עסקאות'!$F$2:$F$1958,B131,'עסקאות'!$A$2:$A$1958,"&gt;="&amp;DATE(2026,1,1),'עסקאות'!$A$2:$A$1958,"&lt;"&amp;DATE(2027,1,1))</f>
        <v>0</v>
      </c>
      <c r="K131" s="77"/>
    </row>
    <row r="132" ht="13.65" customHeight="1">
      <c r="A132" s="70"/>
      <c r="B132" t="s" s="94">
        <v>319</v>
      </c>
      <c r="C132" t="s" s="80">
        <v>107</v>
      </c>
      <c r="D132" s="118">
        <v>1</v>
      </c>
      <c r="E132" s="118">
        <v>1</v>
      </c>
      <c r="F132" s="81" cm="1">
        <f t="array" ref="F132">_xlfn.SUMIFS('עסקאות'!$M$2:$M$1958,'עסקאות'!$F$2:$F$1958,B132)</f>
        <v>736</v>
      </c>
      <c r="G132" s="81" cm="1">
        <f t="array" ref="G132">IF(D132=0,"",F132/D132)</f>
        <v>736</v>
      </c>
      <c r="H132" s="81" cm="1">
        <f t="array" ref="H132">F132/20</f>
        <v>36.8</v>
      </c>
      <c r="I132" s="81" cm="1">
        <f t="array" ref="I132">_xlfn.SUMIFS('עסקאות'!$M$2:$M$1958,'עסקאות'!$F$2:$F$1958,B132,'עסקאות'!$A$2:$A$1958,"&gt;="&amp;DATE(2025,1,1),'עסקאות'!$A$2:$A$1958,"&lt;"&amp;DATE(2026,1,1))</f>
        <v>0</v>
      </c>
      <c r="J132" s="83" cm="1">
        <f t="array" ref="J132">_xlfn.SUMIFS('עסקאות'!$M$2:$M$1958,'עסקאות'!$F$2:$F$1958,B132,'עסקאות'!$A$2:$A$1958,"&gt;="&amp;DATE(2026,1,1),'עסקאות'!$A$2:$A$1958,"&lt;"&amp;DATE(2027,1,1))</f>
        <v>736</v>
      </c>
      <c r="K132" s="77"/>
    </row>
    <row r="133" ht="13.65" customHeight="1">
      <c r="A133" s="70"/>
      <c r="B133" t="s" s="27">
        <v>320</v>
      </c>
      <c r="C133" t="s" s="86">
        <v>96</v>
      </c>
      <c r="D133" s="119">
        <v>12</v>
      </c>
      <c r="E133" s="119">
        <v>12</v>
      </c>
      <c r="F133" s="87" cm="1">
        <f t="array" ref="F133">_xlfn.SUMIFS('עסקאות'!$M$2:$M$1958,'עסקאות'!$F$2:$F$1958,B133)</f>
        <v>708</v>
      </c>
      <c r="G133" s="87" cm="1">
        <f t="array" ref="G133">IF(D133=0,"",F133/D133)</f>
        <v>59</v>
      </c>
      <c r="H133" s="87" cm="1">
        <f t="array" ref="H133">F133/20</f>
        <v>35.4</v>
      </c>
      <c r="I133" s="87" cm="1">
        <f t="array" ref="I133">_xlfn.SUMIFS('עסקאות'!$M$2:$M$1958,'עסקאות'!$F$2:$F$1958,B133,'עסקאות'!$A$2:$A$1958,"&gt;="&amp;DATE(2025,1,1),'עסקאות'!$A$2:$A$1958,"&lt;"&amp;DATE(2026,1,1))</f>
        <v>236</v>
      </c>
      <c r="J133" s="28" cm="1">
        <f t="array" ref="J133">_xlfn.SUMIFS('עסקאות'!$M$2:$M$1958,'עסקאות'!$F$2:$F$1958,B133,'עסקאות'!$A$2:$A$1958,"&gt;="&amp;DATE(2026,1,1),'עסקאות'!$A$2:$A$1958,"&lt;"&amp;DATE(2027,1,1))</f>
        <v>472</v>
      </c>
      <c r="K133" s="77"/>
    </row>
    <row r="134" ht="13.65" customHeight="1">
      <c r="A134" s="70"/>
      <c r="B134" t="s" s="94">
        <v>321</v>
      </c>
      <c r="C134" t="s" s="80">
        <v>125</v>
      </c>
      <c r="D134" s="118">
        <v>1</v>
      </c>
      <c r="E134" s="118">
        <v>1</v>
      </c>
      <c r="F134" s="81" cm="1">
        <f t="array" ref="F134">_xlfn.SUMIFS('עסקאות'!$M$2:$M$1958,'עסקאות'!$F$2:$F$1958,B134)</f>
        <v>700</v>
      </c>
      <c r="G134" s="81" cm="1">
        <f t="array" ref="G134">IF(D134=0,"",F134/D134)</f>
        <v>700</v>
      </c>
      <c r="H134" s="81" cm="1">
        <f t="array" ref="H134">F134/20</f>
        <v>35</v>
      </c>
      <c r="I134" s="81" cm="1">
        <f t="array" ref="I134">_xlfn.SUMIFS('עסקאות'!$M$2:$M$1958,'עסקאות'!$F$2:$F$1958,B134,'עסקאות'!$A$2:$A$1958,"&gt;="&amp;DATE(2025,1,1),'עסקאות'!$A$2:$A$1958,"&lt;"&amp;DATE(2026,1,1))</f>
        <v>700</v>
      </c>
      <c r="J134" s="83" cm="1">
        <f t="array" ref="J134">_xlfn.SUMIFS('עסקאות'!$M$2:$M$1958,'עסקאות'!$F$2:$F$1958,B134,'עסקאות'!$A$2:$A$1958,"&gt;="&amp;DATE(2026,1,1),'עסקאות'!$A$2:$A$1958,"&lt;"&amp;DATE(2027,1,1))</f>
        <v>0</v>
      </c>
      <c r="K134" s="77"/>
    </row>
    <row r="135" ht="13.65" customHeight="1">
      <c r="A135" s="70"/>
      <c r="B135" t="s" s="27">
        <v>322</v>
      </c>
      <c r="C135" t="s" s="86">
        <v>131</v>
      </c>
      <c r="D135" s="119">
        <v>1</v>
      </c>
      <c r="E135" s="119">
        <v>1</v>
      </c>
      <c r="F135" s="87" cm="1">
        <f t="array" ref="F135">_xlfn.SUMIFS('עסקאות'!$M$2:$M$1958,'עסקאות'!$F$2:$F$1958,B135)</f>
        <v>700</v>
      </c>
      <c r="G135" s="87" cm="1">
        <f t="array" ref="G135">IF(D135=0,"",F135/D135)</f>
        <v>700</v>
      </c>
      <c r="H135" s="87" cm="1">
        <f t="array" ref="H135">F135/20</f>
        <v>35</v>
      </c>
      <c r="I135" s="87" cm="1">
        <f t="array" ref="I135">_xlfn.SUMIFS('עסקאות'!$M$2:$M$1958,'עסקאות'!$F$2:$F$1958,B135,'עסקאות'!$A$2:$A$1958,"&gt;="&amp;DATE(2025,1,1),'עסקאות'!$A$2:$A$1958,"&lt;"&amp;DATE(2026,1,1))</f>
        <v>700</v>
      </c>
      <c r="J135" s="28" cm="1">
        <f t="array" ref="J135">_xlfn.SUMIFS('עסקאות'!$M$2:$M$1958,'עסקאות'!$F$2:$F$1958,B135,'עסקאות'!$A$2:$A$1958,"&gt;="&amp;DATE(2026,1,1),'עסקאות'!$A$2:$A$1958,"&lt;"&amp;DATE(2027,1,1))</f>
        <v>0</v>
      </c>
      <c r="K135" s="77"/>
    </row>
    <row r="136" ht="13.65" customHeight="1">
      <c r="A136" s="70"/>
      <c r="B136" t="s" s="94">
        <v>323</v>
      </c>
      <c r="C136" t="s" s="80">
        <v>117</v>
      </c>
      <c r="D136" s="118">
        <v>2</v>
      </c>
      <c r="E136" s="118">
        <v>1</v>
      </c>
      <c r="F136" s="81" cm="1">
        <f t="array" ref="F136">_xlfn.SUMIFS('עסקאות'!$M$2:$M$1958,'עסקאות'!$F$2:$F$1958,B136)</f>
        <v>698</v>
      </c>
      <c r="G136" s="81" cm="1">
        <f t="array" ref="G136">IF(D136=0,"",F136/D136)</f>
        <v>349</v>
      </c>
      <c r="H136" s="81" cm="1">
        <f t="array" ref="H136">F136/20</f>
        <v>34.9</v>
      </c>
      <c r="I136" s="81" cm="1">
        <f t="array" ref="I136">_xlfn.SUMIFS('עסקאות'!$M$2:$M$1958,'עסקאות'!$F$2:$F$1958,B136,'עסקאות'!$A$2:$A$1958,"&gt;="&amp;DATE(2025,1,1),'עסקאות'!$A$2:$A$1958,"&lt;"&amp;DATE(2026,1,1))</f>
        <v>698</v>
      </c>
      <c r="J136" s="83" cm="1">
        <f t="array" ref="J136">_xlfn.SUMIFS('עסקאות'!$M$2:$M$1958,'עסקאות'!$F$2:$F$1958,B136,'עסקאות'!$A$2:$A$1958,"&gt;="&amp;DATE(2026,1,1),'עסקאות'!$A$2:$A$1958,"&lt;"&amp;DATE(2027,1,1))</f>
        <v>0</v>
      </c>
      <c r="K136" s="77"/>
    </row>
    <row r="137" ht="13.65" customHeight="1">
      <c r="A137" s="70"/>
      <c r="B137" t="s" s="27">
        <v>324</v>
      </c>
      <c r="C137" t="s" s="86">
        <v>107</v>
      </c>
      <c r="D137" s="119">
        <v>7</v>
      </c>
      <c r="E137" s="119">
        <v>7</v>
      </c>
      <c r="F137" s="87" cm="1">
        <f t="array" ref="F137">_xlfn.SUMIFS('עסקאות'!$M$2:$M$1958,'עסקאות'!$F$2:$F$1958,B137)</f>
        <v>679</v>
      </c>
      <c r="G137" s="87" cm="1">
        <f t="array" ref="G137">IF(D137=0,"",F137/D137)</f>
        <v>97</v>
      </c>
      <c r="H137" s="87" cm="1">
        <f t="array" ref="H137">F137/20</f>
        <v>33.95</v>
      </c>
      <c r="I137" s="87" cm="1">
        <f t="array" ref="I137">_xlfn.SUMIFS('עסקאות'!$M$2:$M$1958,'עסקאות'!$F$2:$F$1958,B137,'עסקאות'!$A$2:$A$1958,"&gt;="&amp;DATE(2025,1,1),'עסקאות'!$A$2:$A$1958,"&lt;"&amp;DATE(2026,1,1))</f>
        <v>0</v>
      </c>
      <c r="J137" s="28" cm="1">
        <f t="array" ref="J137">_xlfn.SUMIFS('עסקאות'!$M$2:$M$1958,'עסקאות'!$F$2:$F$1958,B137,'עסקאות'!$A$2:$A$1958,"&gt;="&amp;DATE(2026,1,1),'עסקאות'!$A$2:$A$1958,"&lt;"&amp;DATE(2027,1,1))</f>
        <v>679</v>
      </c>
      <c r="K137" s="77"/>
    </row>
    <row r="138" ht="13.65" customHeight="1">
      <c r="A138" s="70"/>
      <c r="B138" t="s" s="94">
        <v>325</v>
      </c>
      <c r="C138" t="s" s="80">
        <v>125</v>
      </c>
      <c r="D138" s="118">
        <v>2</v>
      </c>
      <c r="E138" s="118">
        <v>2</v>
      </c>
      <c r="F138" s="81" cm="1">
        <f t="array" ref="F138">_xlfn.SUMIFS('עסקאות'!$M$2:$M$1958,'עסקאות'!$F$2:$F$1958,B138)</f>
        <v>679</v>
      </c>
      <c r="G138" s="81" cm="1">
        <f t="array" ref="G138">IF(D138=0,"",F138/D138)</f>
        <v>339.5</v>
      </c>
      <c r="H138" s="81" cm="1">
        <f t="array" ref="H138">F138/20</f>
        <v>33.95</v>
      </c>
      <c r="I138" s="81" cm="1">
        <f t="array" ref="I138">_xlfn.SUMIFS('עסקאות'!$M$2:$M$1958,'עסקאות'!$F$2:$F$1958,B138,'עסקאות'!$A$2:$A$1958,"&gt;="&amp;DATE(2025,1,1),'עסקאות'!$A$2:$A$1958,"&lt;"&amp;DATE(2026,1,1))</f>
        <v>0</v>
      </c>
      <c r="J138" s="83" cm="1">
        <f t="array" ref="J138">_xlfn.SUMIFS('עסקאות'!$M$2:$M$1958,'עסקאות'!$F$2:$F$1958,B138,'עסקאות'!$A$2:$A$1958,"&gt;="&amp;DATE(2026,1,1),'עסקאות'!$A$2:$A$1958,"&lt;"&amp;DATE(2027,1,1))</f>
        <v>679</v>
      </c>
      <c r="K138" s="77"/>
    </row>
    <row r="139" ht="13.65" customHeight="1">
      <c r="A139" s="70"/>
      <c r="B139" t="s" s="27">
        <v>326</v>
      </c>
      <c r="C139" t="s" s="86">
        <v>105</v>
      </c>
      <c r="D139" s="119">
        <v>6</v>
      </c>
      <c r="E139" s="119">
        <v>1</v>
      </c>
      <c r="F139" s="87" cm="1">
        <f t="array" ref="F139">_xlfn.SUMIFS('עסקאות'!$M$2:$M$1958,'עסקאות'!$F$2:$F$1958,B139)</f>
        <v>672</v>
      </c>
      <c r="G139" s="87" cm="1">
        <f t="array" ref="G139">IF(D139=0,"",F139/D139)</f>
        <v>112</v>
      </c>
      <c r="H139" s="87" cm="1">
        <f t="array" ref="H139">F139/20</f>
        <v>33.6</v>
      </c>
      <c r="I139" s="87" cm="1">
        <f t="array" ref="I139">_xlfn.SUMIFS('עסקאות'!$M$2:$M$1958,'עסקאות'!$F$2:$F$1958,B139,'עסקאות'!$A$2:$A$1958,"&gt;="&amp;DATE(2025,1,1),'עסקאות'!$A$2:$A$1958,"&lt;"&amp;DATE(2026,1,1))</f>
        <v>672</v>
      </c>
      <c r="J139" s="28" cm="1">
        <f t="array" ref="J139">_xlfn.SUMIFS('עסקאות'!$M$2:$M$1958,'עסקאות'!$F$2:$F$1958,B139,'עסקאות'!$A$2:$A$1958,"&gt;="&amp;DATE(2026,1,1),'עסקאות'!$A$2:$A$1958,"&lt;"&amp;DATE(2027,1,1))</f>
        <v>0</v>
      </c>
      <c r="K139" s="77"/>
    </row>
    <row r="140" ht="13.65" customHeight="1">
      <c r="A140" s="70"/>
      <c r="B140" t="s" s="94">
        <v>327</v>
      </c>
      <c r="C140" t="s" s="80">
        <v>102</v>
      </c>
      <c r="D140" s="118">
        <v>1</v>
      </c>
      <c r="E140" s="118">
        <v>1</v>
      </c>
      <c r="F140" s="81" cm="1">
        <f t="array" ref="F140">_xlfn.SUMIFS('עסקאות'!$M$2:$M$1958,'עסקאות'!$F$2:$F$1958,B140)</f>
        <v>663</v>
      </c>
      <c r="G140" s="81" cm="1">
        <f t="array" ref="G140">IF(D140=0,"",F140/D140)</f>
        <v>663</v>
      </c>
      <c r="H140" s="81" cm="1">
        <f t="array" ref="H140">F140/20</f>
        <v>33.15</v>
      </c>
      <c r="I140" s="81" cm="1">
        <f t="array" ref="I140">_xlfn.SUMIFS('עסקאות'!$M$2:$M$1958,'עסקאות'!$F$2:$F$1958,B140,'עסקאות'!$A$2:$A$1958,"&gt;="&amp;DATE(2025,1,1),'עסקאות'!$A$2:$A$1958,"&lt;"&amp;DATE(2026,1,1))</f>
        <v>663</v>
      </c>
      <c r="J140" s="83" cm="1">
        <f t="array" ref="J140">_xlfn.SUMIFS('עסקאות'!$M$2:$M$1958,'עסקאות'!$F$2:$F$1958,B140,'עסקאות'!$A$2:$A$1958,"&gt;="&amp;DATE(2026,1,1),'עסקאות'!$A$2:$A$1958,"&lt;"&amp;DATE(2027,1,1))</f>
        <v>0</v>
      </c>
      <c r="K140" s="77"/>
    </row>
    <row r="141" ht="13.65" customHeight="1">
      <c r="A141" s="70"/>
      <c r="B141" t="s" s="27">
        <v>328</v>
      </c>
      <c r="C141" t="s" s="86">
        <v>99</v>
      </c>
      <c r="D141" s="119">
        <v>20</v>
      </c>
      <c r="E141" s="119">
        <v>20</v>
      </c>
      <c r="F141" s="87" cm="1">
        <f t="array" ref="F141">_xlfn.SUMIFS('עסקאות'!$M$2:$M$1958,'עסקאות'!$F$2:$F$1958,B141)</f>
        <v>660</v>
      </c>
      <c r="G141" s="87" cm="1">
        <f t="array" ref="G141">IF(D141=0,"",F141/D141)</f>
        <v>33</v>
      </c>
      <c r="H141" s="87" cm="1">
        <f t="array" ref="H141">F141/20</f>
        <v>33</v>
      </c>
      <c r="I141" s="87" cm="1">
        <f t="array" ref="I141">_xlfn.SUMIFS('עסקאות'!$M$2:$M$1958,'עסקאות'!$F$2:$F$1958,B141,'עסקאות'!$A$2:$A$1958,"&gt;="&amp;DATE(2025,1,1),'עסקאות'!$A$2:$A$1958,"&lt;"&amp;DATE(2026,1,1))</f>
        <v>372</v>
      </c>
      <c r="J141" s="28" cm="1">
        <f t="array" ref="J141">_xlfn.SUMIFS('עסקאות'!$M$2:$M$1958,'עסקאות'!$F$2:$F$1958,B141,'עסקאות'!$A$2:$A$1958,"&gt;="&amp;DATE(2026,1,1),'עסקאות'!$A$2:$A$1958,"&lt;"&amp;DATE(2027,1,1))</f>
        <v>288</v>
      </c>
      <c r="K141" s="77"/>
    </row>
    <row r="142" ht="13.65" customHeight="1">
      <c r="A142" s="70"/>
      <c r="B142" t="s" s="94">
        <v>329</v>
      </c>
      <c r="C142" t="s" s="80">
        <v>127</v>
      </c>
      <c r="D142" s="118">
        <v>10</v>
      </c>
      <c r="E142" s="118">
        <v>10</v>
      </c>
      <c r="F142" s="81" cm="1">
        <f t="array" ref="F142">_xlfn.SUMIFS('עסקאות'!$M$2:$M$1958,'עסקאות'!$F$2:$F$1958,B142)</f>
        <v>658</v>
      </c>
      <c r="G142" s="81" cm="1">
        <f t="array" ref="G142">IF(D142=0,"",F142/D142)</f>
        <v>65.8</v>
      </c>
      <c r="H142" s="81" cm="1">
        <f t="array" ref="H142">F142/20</f>
        <v>32.9</v>
      </c>
      <c r="I142" s="81" cm="1">
        <f t="array" ref="I142">_xlfn.SUMIFS('עסקאות'!$M$2:$M$1958,'עסקאות'!$F$2:$F$1958,B142,'עסקאות'!$A$2:$A$1958,"&gt;="&amp;DATE(2025,1,1),'עסקאות'!$A$2:$A$1958,"&lt;"&amp;DATE(2026,1,1))</f>
        <v>418</v>
      </c>
      <c r="J142" s="83" cm="1">
        <f t="array" ref="J142">_xlfn.SUMIFS('עסקאות'!$M$2:$M$1958,'עסקאות'!$F$2:$F$1958,B142,'עסקאות'!$A$2:$A$1958,"&gt;="&amp;DATE(2026,1,1),'עסקאות'!$A$2:$A$1958,"&lt;"&amp;DATE(2027,1,1))</f>
        <v>240</v>
      </c>
      <c r="K142" s="77"/>
    </row>
    <row r="143" ht="13.65" customHeight="1">
      <c r="A143" s="70"/>
      <c r="B143" t="s" s="27">
        <v>330</v>
      </c>
      <c r="C143" t="s" s="86">
        <v>105</v>
      </c>
      <c r="D143" s="119">
        <v>1</v>
      </c>
      <c r="E143" s="119">
        <v>1</v>
      </c>
      <c r="F143" s="87" cm="1">
        <f t="array" ref="F143">_xlfn.SUMIFS('עסקאות'!$M$2:$M$1958,'עסקאות'!$F$2:$F$1958,B143)</f>
        <v>650</v>
      </c>
      <c r="G143" s="87" cm="1">
        <f t="array" ref="G143">IF(D143=0,"",F143/D143)</f>
        <v>650</v>
      </c>
      <c r="H143" s="87" cm="1">
        <f t="array" ref="H143">F143/20</f>
        <v>32.5</v>
      </c>
      <c r="I143" s="87" cm="1">
        <f t="array" ref="I143">_xlfn.SUMIFS('עסקאות'!$M$2:$M$1958,'עסקאות'!$F$2:$F$1958,B143,'עסקאות'!$A$2:$A$1958,"&gt;="&amp;DATE(2025,1,1),'עסקאות'!$A$2:$A$1958,"&lt;"&amp;DATE(2026,1,1))</f>
        <v>650</v>
      </c>
      <c r="J143" s="28" cm="1">
        <f t="array" ref="J143">_xlfn.SUMIFS('עסקאות'!$M$2:$M$1958,'עסקאות'!$F$2:$F$1958,B143,'עסקאות'!$A$2:$A$1958,"&gt;="&amp;DATE(2026,1,1),'עסקאות'!$A$2:$A$1958,"&lt;"&amp;DATE(2027,1,1))</f>
        <v>0</v>
      </c>
      <c r="K143" s="77"/>
    </row>
    <row r="144" ht="13.65" customHeight="1">
      <c r="A144" s="70"/>
      <c r="B144" t="s" s="94">
        <v>331</v>
      </c>
      <c r="C144" t="s" s="80">
        <v>109</v>
      </c>
      <c r="D144" s="118">
        <v>2</v>
      </c>
      <c r="E144" s="118">
        <v>2</v>
      </c>
      <c r="F144" s="81" cm="1">
        <f t="array" ref="F144">_xlfn.SUMIFS('עסקאות'!$M$2:$M$1958,'עסקאות'!$F$2:$F$1958,B144)</f>
        <v>650</v>
      </c>
      <c r="G144" s="81" cm="1">
        <f t="array" ref="G144">IF(D144=0,"",F144/D144)</f>
        <v>325</v>
      </c>
      <c r="H144" s="81" cm="1">
        <f t="array" ref="H144">F144/20</f>
        <v>32.5</v>
      </c>
      <c r="I144" s="81" cm="1">
        <f t="array" ref="I144">_xlfn.SUMIFS('עסקאות'!$M$2:$M$1958,'עסקאות'!$F$2:$F$1958,B144,'עסקאות'!$A$2:$A$1958,"&gt;="&amp;DATE(2025,1,1),'עסקאות'!$A$2:$A$1958,"&lt;"&amp;DATE(2026,1,1))</f>
        <v>650</v>
      </c>
      <c r="J144" s="83" cm="1">
        <f t="array" ref="J144">_xlfn.SUMIFS('עסקאות'!$M$2:$M$1958,'עסקאות'!$F$2:$F$1958,B144,'עסקאות'!$A$2:$A$1958,"&gt;="&amp;DATE(2026,1,1),'עסקאות'!$A$2:$A$1958,"&lt;"&amp;DATE(2027,1,1))</f>
        <v>0</v>
      </c>
      <c r="K144" s="77"/>
    </row>
    <row r="145" ht="13.65" customHeight="1">
      <c r="A145" s="70"/>
      <c r="B145" t="s" s="27">
        <v>332</v>
      </c>
      <c r="C145" t="s" s="86">
        <v>117</v>
      </c>
      <c r="D145" s="119">
        <v>1</v>
      </c>
      <c r="E145" s="119">
        <v>1</v>
      </c>
      <c r="F145" s="87" cm="1">
        <f t="array" ref="F145">_xlfn.SUMIFS('עסקאות'!$M$2:$M$1958,'עסקאות'!$F$2:$F$1958,B145)</f>
        <v>650</v>
      </c>
      <c r="G145" s="87" cm="1">
        <f t="array" ref="G145">IF(D145=0,"",F145/D145)</f>
        <v>650</v>
      </c>
      <c r="H145" s="87" cm="1">
        <f t="array" ref="H145">F145/20</f>
        <v>32.5</v>
      </c>
      <c r="I145" s="87" cm="1">
        <f t="array" ref="I145">_xlfn.SUMIFS('עסקאות'!$M$2:$M$1958,'עסקאות'!$F$2:$F$1958,B145,'עסקאות'!$A$2:$A$1958,"&gt;="&amp;DATE(2025,1,1),'עסקאות'!$A$2:$A$1958,"&lt;"&amp;DATE(2026,1,1))</f>
        <v>0</v>
      </c>
      <c r="J145" s="28" cm="1">
        <f t="array" ref="J145">_xlfn.SUMIFS('עסקאות'!$M$2:$M$1958,'עסקאות'!$F$2:$F$1958,B145,'עסקאות'!$A$2:$A$1958,"&gt;="&amp;DATE(2026,1,1),'עסקאות'!$A$2:$A$1958,"&lt;"&amp;DATE(2027,1,1))</f>
        <v>650</v>
      </c>
      <c r="K145" s="77"/>
    </row>
    <row r="146" ht="13.65" customHeight="1">
      <c r="A146" s="70"/>
      <c r="B146" t="s" s="94">
        <v>333</v>
      </c>
      <c r="C146" t="s" s="80">
        <v>133</v>
      </c>
      <c r="D146" s="118">
        <v>1</v>
      </c>
      <c r="E146" s="118">
        <v>1</v>
      </c>
      <c r="F146" s="81" cm="1">
        <f t="array" ref="F146">_xlfn.SUMIFS('עסקאות'!$M$2:$M$1958,'עסקאות'!$F$2:$F$1958,B146)</f>
        <v>649</v>
      </c>
      <c r="G146" s="81" cm="1">
        <f t="array" ref="G146">IF(D146=0,"",F146/D146)</f>
        <v>649</v>
      </c>
      <c r="H146" s="81" cm="1">
        <f t="array" ref="H146">F146/20</f>
        <v>32.45</v>
      </c>
      <c r="I146" s="81" cm="1">
        <f t="array" ref="I146">_xlfn.SUMIFS('עסקאות'!$M$2:$M$1958,'עסקאות'!$F$2:$F$1958,B146,'עסקאות'!$A$2:$A$1958,"&gt;="&amp;DATE(2025,1,1),'עסקאות'!$A$2:$A$1958,"&lt;"&amp;DATE(2026,1,1))</f>
        <v>0</v>
      </c>
      <c r="J146" s="83" cm="1">
        <f t="array" ref="J146">_xlfn.SUMIFS('עסקאות'!$M$2:$M$1958,'עסקאות'!$F$2:$F$1958,B146,'עסקאות'!$A$2:$A$1958,"&gt;="&amp;DATE(2026,1,1),'עסקאות'!$A$2:$A$1958,"&lt;"&amp;DATE(2027,1,1))</f>
        <v>649</v>
      </c>
      <c r="K146" s="77"/>
    </row>
    <row r="147" ht="13.65" customHeight="1">
      <c r="A147" s="70"/>
      <c r="B147" t="s" s="27">
        <v>334</v>
      </c>
      <c r="C147" t="s" s="86">
        <v>109</v>
      </c>
      <c r="D147" s="119">
        <v>21</v>
      </c>
      <c r="E147" s="119">
        <v>4</v>
      </c>
      <c r="F147" s="87" cm="1">
        <f t="array" ref="F147">_xlfn.SUMIFS('עסקאות'!$M$2:$M$1958,'עסקאות'!$F$2:$F$1958,B147)</f>
        <v>620</v>
      </c>
      <c r="G147" s="87" cm="1">
        <f t="array" ref="G147">IF(D147=0,"",F147/D147)</f>
        <v>29.5238095238095</v>
      </c>
      <c r="H147" s="87" cm="1">
        <f t="array" ref="H147">F147/20</f>
        <v>31</v>
      </c>
      <c r="I147" s="87" cm="1">
        <f t="array" ref="I147">_xlfn.SUMIFS('עסקאות'!$M$2:$M$1958,'עסקאות'!$F$2:$F$1958,B147,'עסקאות'!$A$2:$A$1958,"&gt;="&amp;DATE(2025,1,1),'עסקאות'!$A$2:$A$1958,"&lt;"&amp;DATE(2026,1,1))</f>
        <v>620</v>
      </c>
      <c r="J147" s="28" cm="1">
        <f t="array" ref="J147">_xlfn.SUMIFS('עסקאות'!$M$2:$M$1958,'עסקאות'!$F$2:$F$1958,B147,'עסקאות'!$A$2:$A$1958,"&gt;="&amp;DATE(2026,1,1),'עסקאות'!$A$2:$A$1958,"&lt;"&amp;DATE(2027,1,1))</f>
        <v>0</v>
      </c>
      <c r="K147" s="77"/>
    </row>
    <row r="148" ht="13.65" customHeight="1">
      <c r="A148" s="70"/>
      <c r="B148" t="s" s="94">
        <v>335</v>
      </c>
      <c r="C148" t="s" s="80">
        <v>129</v>
      </c>
      <c r="D148" s="118">
        <v>1</v>
      </c>
      <c r="E148" s="118">
        <v>1</v>
      </c>
      <c r="F148" s="81" cm="1">
        <f t="array" ref="F148">_xlfn.SUMIFS('עסקאות'!$M$2:$M$1958,'עסקאות'!$F$2:$F$1958,B148)</f>
        <v>615</v>
      </c>
      <c r="G148" s="81" cm="1">
        <f t="array" ref="G148">IF(D148=0,"",F148/D148)</f>
        <v>615</v>
      </c>
      <c r="H148" s="81" cm="1">
        <f t="array" ref="H148">F148/20</f>
        <v>30.75</v>
      </c>
      <c r="I148" s="81" cm="1">
        <f t="array" ref="I148">_xlfn.SUMIFS('עסקאות'!$M$2:$M$1958,'עסקאות'!$F$2:$F$1958,B148,'עסקאות'!$A$2:$A$1958,"&gt;="&amp;DATE(2025,1,1),'עסקאות'!$A$2:$A$1958,"&lt;"&amp;DATE(2026,1,1))</f>
        <v>615</v>
      </c>
      <c r="J148" s="83" cm="1">
        <f t="array" ref="J148">_xlfn.SUMIFS('עסקאות'!$M$2:$M$1958,'עסקאות'!$F$2:$F$1958,B148,'עסקאות'!$A$2:$A$1958,"&gt;="&amp;DATE(2026,1,1),'עסקאות'!$A$2:$A$1958,"&lt;"&amp;DATE(2027,1,1))</f>
        <v>0</v>
      </c>
      <c r="K148" s="77"/>
    </row>
    <row r="149" ht="13.65" customHeight="1">
      <c r="A149" s="70"/>
      <c r="B149" t="s" s="27">
        <v>336</v>
      </c>
      <c r="C149" t="s" s="86">
        <v>107</v>
      </c>
      <c r="D149" s="119">
        <v>8</v>
      </c>
      <c r="E149" s="119">
        <v>5</v>
      </c>
      <c r="F149" s="87" cm="1">
        <f t="array" ref="F149">_xlfn.SUMIFS('עסקאות'!$M$2:$M$1958,'עסקאות'!$F$2:$F$1958,B149)</f>
        <v>607</v>
      </c>
      <c r="G149" s="87" cm="1">
        <f t="array" ref="G149">IF(D149=0,"",F149/D149)</f>
        <v>75.875</v>
      </c>
      <c r="H149" s="87" cm="1">
        <f t="array" ref="H149">F149/20</f>
        <v>30.35</v>
      </c>
      <c r="I149" s="87" cm="1">
        <f t="array" ref="I149">_xlfn.SUMIFS('עסקאות'!$M$2:$M$1958,'עסקאות'!$F$2:$F$1958,B149,'עסקאות'!$A$2:$A$1958,"&gt;="&amp;DATE(2025,1,1),'עסקאות'!$A$2:$A$1958,"&lt;"&amp;DATE(2026,1,1))</f>
        <v>607</v>
      </c>
      <c r="J149" s="28" cm="1">
        <f t="array" ref="J149">_xlfn.SUMIFS('עסקאות'!$M$2:$M$1958,'עסקאות'!$F$2:$F$1958,B149,'עסקאות'!$A$2:$A$1958,"&gt;="&amp;DATE(2026,1,1),'עסקאות'!$A$2:$A$1958,"&lt;"&amp;DATE(2027,1,1))</f>
        <v>0</v>
      </c>
      <c r="K149" s="77"/>
    </row>
    <row r="150" ht="13.65" customHeight="1">
      <c r="A150" s="70"/>
      <c r="B150" t="s" s="94">
        <v>337</v>
      </c>
      <c r="C150" t="s" s="80">
        <v>99</v>
      </c>
      <c r="D150" s="118">
        <v>1</v>
      </c>
      <c r="E150" s="118">
        <v>1</v>
      </c>
      <c r="F150" s="81" cm="1">
        <f t="array" ref="F150">_xlfn.SUMIFS('עסקאות'!$M$2:$M$1958,'עסקאות'!$F$2:$F$1958,B150)</f>
        <v>600</v>
      </c>
      <c r="G150" s="81" cm="1">
        <f t="array" ref="G150">IF(D150=0,"",F150/D150)</f>
        <v>600</v>
      </c>
      <c r="H150" s="81" cm="1">
        <f t="array" ref="H150">F150/20</f>
        <v>30</v>
      </c>
      <c r="I150" s="81" cm="1">
        <f t="array" ref="I150">_xlfn.SUMIFS('עסקאות'!$M$2:$M$1958,'עסקאות'!$F$2:$F$1958,B150,'עסקאות'!$A$2:$A$1958,"&gt;="&amp;DATE(2025,1,1),'עסקאות'!$A$2:$A$1958,"&lt;"&amp;DATE(2026,1,1))</f>
        <v>600</v>
      </c>
      <c r="J150" s="83" cm="1">
        <f t="array" ref="J150">_xlfn.SUMIFS('עסקאות'!$M$2:$M$1958,'עסקאות'!$F$2:$F$1958,B150,'עסקאות'!$A$2:$A$1958,"&gt;="&amp;DATE(2026,1,1),'עסקאות'!$A$2:$A$1958,"&lt;"&amp;DATE(2027,1,1))</f>
        <v>0</v>
      </c>
      <c r="K150" s="77"/>
    </row>
    <row r="151" ht="13.65" customHeight="1">
      <c r="A151" s="70"/>
      <c r="B151" t="s" s="27">
        <v>338</v>
      </c>
      <c r="C151" t="s" s="86">
        <v>125</v>
      </c>
      <c r="D151" s="119">
        <v>1</v>
      </c>
      <c r="E151" s="119">
        <v>1</v>
      </c>
      <c r="F151" s="87" cm="1">
        <f t="array" ref="F151">_xlfn.SUMIFS('עסקאות'!$M$2:$M$1958,'עסקאות'!$F$2:$F$1958,B151)</f>
        <v>600</v>
      </c>
      <c r="G151" s="87" cm="1">
        <f t="array" ref="G151">IF(D151=0,"",F151/D151)</f>
        <v>600</v>
      </c>
      <c r="H151" s="87" cm="1">
        <f t="array" ref="H151">F151/20</f>
        <v>30</v>
      </c>
      <c r="I151" s="87" cm="1">
        <f t="array" ref="I151">_xlfn.SUMIFS('עסקאות'!$M$2:$M$1958,'עסקאות'!$F$2:$F$1958,B151,'עסקאות'!$A$2:$A$1958,"&gt;="&amp;DATE(2025,1,1),'עסקאות'!$A$2:$A$1958,"&lt;"&amp;DATE(2026,1,1))</f>
        <v>600</v>
      </c>
      <c r="J151" s="28" cm="1">
        <f t="array" ref="J151">_xlfn.SUMIFS('עסקאות'!$M$2:$M$1958,'עסקאות'!$F$2:$F$1958,B151,'עסקאות'!$A$2:$A$1958,"&gt;="&amp;DATE(2026,1,1),'עסקאות'!$A$2:$A$1958,"&lt;"&amp;DATE(2027,1,1))</f>
        <v>0</v>
      </c>
      <c r="K151" s="77"/>
    </row>
    <row r="152" ht="13.65" customHeight="1">
      <c r="A152" s="70"/>
      <c r="B152" t="s" s="94">
        <v>339</v>
      </c>
      <c r="C152" t="s" s="80">
        <v>105</v>
      </c>
      <c r="D152" s="118">
        <v>1</v>
      </c>
      <c r="E152" s="118">
        <v>1</v>
      </c>
      <c r="F152" s="81" cm="1">
        <f t="array" ref="F152">_xlfn.SUMIFS('עסקאות'!$M$2:$M$1958,'עסקאות'!$F$2:$F$1958,B152)</f>
        <v>600</v>
      </c>
      <c r="G152" s="81" cm="1">
        <f t="array" ref="G152">IF(D152=0,"",F152/D152)</f>
        <v>600</v>
      </c>
      <c r="H152" s="81" cm="1">
        <f t="array" ref="H152">F152/20</f>
        <v>30</v>
      </c>
      <c r="I152" s="81" cm="1">
        <f t="array" ref="I152">_xlfn.SUMIFS('עסקאות'!$M$2:$M$1958,'עסקאות'!$F$2:$F$1958,B152,'עסקאות'!$A$2:$A$1958,"&gt;="&amp;DATE(2025,1,1),'עסקאות'!$A$2:$A$1958,"&lt;"&amp;DATE(2026,1,1))</f>
        <v>600</v>
      </c>
      <c r="J152" s="83" cm="1">
        <f t="array" ref="J152">_xlfn.SUMIFS('עסקאות'!$M$2:$M$1958,'עסקאות'!$F$2:$F$1958,B152,'עסקאות'!$A$2:$A$1958,"&gt;="&amp;DATE(2026,1,1),'עסקאות'!$A$2:$A$1958,"&lt;"&amp;DATE(2027,1,1))</f>
        <v>0</v>
      </c>
      <c r="K152" s="77"/>
    </row>
    <row r="153" ht="13.65" customHeight="1">
      <c r="A153" s="70"/>
      <c r="B153" t="s" s="27">
        <v>340</v>
      </c>
      <c r="C153" t="s" s="86">
        <v>102</v>
      </c>
      <c r="D153" s="119">
        <v>1</v>
      </c>
      <c r="E153" s="119">
        <v>1</v>
      </c>
      <c r="F153" s="87" cm="1">
        <f t="array" ref="F153">_xlfn.SUMIFS('עסקאות'!$M$2:$M$1958,'עסקאות'!$F$2:$F$1958,B153)</f>
        <v>591</v>
      </c>
      <c r="G153" s="87" cm="1">
        <f t="array" ref="G153">IF(D153=0,"",F153/D153)</f>
        <v>591</v>
      </c>
      <c r="H153" s="87" cm="1">
        <f t="array" ref="H153">F153/20</f>
        <v>29.55</v>
      </c>
      <c r="I153" s="87" cm="1">
        <f t="array" ref="I153">_xlfn.SUMIFS('עסקאות'!$M$2:$M$1958,'עסקאות'!$F$2:$F$1958,B153,'עסקאות'!$A$2:$A$1958,"&gt;="&amp;DATE(2025,1,1),'עסקאות'!$A$2:$A$1958,"&lt;"&amp;DATE(2026,1,1))</f>
        <v>591</v>
      </c>
      <c r="J153" s="28" cm="1">
        <f t="array" ref="J153">_xlfn.SUMIFS('עסקאות'!$M$2:$M$1958,'עסקאות'!$F$2:$F$1958,B153,'עסקאות'!$A$2:$A$1958,"&gt;="&amp;DATE(2026,1,1),'עסקאות'!$A$2:$A$1958,"&lt;"&amp;DATE(2027,1,1))</f>
        <v>0</v>
      </c>
      <c r="K153" s="77"/>
    </row>
    <row r="154" ht="13.65" customHeight="1">
      <c r="A154" s="70"/>
      <c r="B154" t="s" s="94">
        <v>341</v>
      </c>
      <c r="C154" t="s" s="80">
        <v>99</v>
      </c>
      <c r="D154" s="118">
        <v>1</v>
      </c>
      <c r="E154" s="118">
        <v>1</v>
      </c>
      <c r="F154" s="81" cm="1">
        <f t="array" ref="F154">_xlfn.SUMIFS('עסקאות'!$M$2:$M$1958,'עסקאות'!$F$2:$F$1958,B154)</f>
        <v>575</v>
      </c>
      <c r="G154" s="81" cm="1">
        <f t="array" ref="G154">IF(D154=0,"",F154/D154)</f>
        <v>575</v>
      </c>
      <c r="H154" s="81" cm="1">
        <f t="array" ref="H154">F154/20</f>
        <v>28.75</v>
      </c>
      <c r="I154" s="81" cm="1">
        <f t="array" ref="I154">_xlfn.SUMIFS('עסקאות'!$M$2:$M$1958,'עסקאות'!$F$2:$F$1958,B154,'עסקאות'!$A$2:$A$1958,"&gt;="&amp;DATE(2025,1,1),'עסקאות'!$A$2:$A$1958,"&lt;"&amp;DATE(2026,1,1))</f>
        <v>575</v>
      </c>
      <c r="J154" s="83" cm="1">
        <f t="array" ref="J154">_xlfn.SUMIFS('עסקאות'!$M$2:$M$1958,'עסקאות'!$F$2:$F$1958,B154,'עסקאות'!$A$2:$A$1958,"&gt;="&amp;DATE(2026,1,1),'עסקאות'!$A$2:$A$1958,"&lt;"&amp;DATE(2027,1,1))</f>
        <v>0</v>
      </c>
      <c r="K154" s="77"/>
    </row>
    <row r="155" ht="13.65" customHeight="1">
      <c r="A155" s="70"/>
      <c r="B155" t="s" s="27">
        <v>342</v>
      </c>
      <c r="C155" t="s" s="86">
        <v>102</v>
      </c>
      <c r="D155" s="119">
        <v>2</v>
      </c>
      <c r="E155" s="119">
        <v>1</v>
      </c>
      <c r="F155" s="87" cm="1">
        <f t="array" ref="F155">_xlfn.SUMIFS('עסקאות'!$M$2:$M$1958,'עסקאות'!$F$2:$F$1958,B155)</f>
        <v>560</v>
      </c>
      <c r="G155" s="87" cm="1">
        <f t="array" ref="G155">IF(D155=0,"",F155/D155)</f>
        <v>280</v>
      </c>
      <c r="H155" s="87" cm="1">
        <f t="array" ref="H155">F155/20</f>
        <v>28</v>
      </c>
      <c r="I155" s="87" cm="1">
        <f t="array" ref="I155">_xlfn.SUMIFS('עסקאות'!$M$2:$M$1958,'עסקאות'!$F$2:$F$1958,B155,'עסקאות'!$A$2:$A$1958,"&gt;="&amp;DATE(2025,1,1),'עסקאות'!$A$2:$A$1958,"&lt;"&amp;DATE(2026,1,1))</f>
        <v>560</v>
      </c>
      <c r="J155" s="28" cm="1">
        <f t="array" ref="J155">_xlfn.SUMIFS('עסקאות'!$M$2:$M$1958,'עסקאות'!$F$2:$F$1958,B155,'עסקאות'!$A$2:$A$1958,"&gt;="&amp;DATE(2026,1,1),'עסקאות'!$A$2:$A$1958,"&lt;"&amp;DATE(2027,1,1))</f>
        <v>0</v>
      </c>
      <c r="K155" s="77"/>
    </row>
    <row r="156" ht="13.65" customHeight="1">
      <c r="A156" s="70"/>
      <c r="B156" t="s" s="94">
        <v>343</v>
      </c>
      <c r="C156" t="s" s="80">
        <v>121</v>
      </c>
      <c r="D156" s="118">
        <v>1</v>
      </c>
      <c r="E156" s="118">
        <v>1</v>
      </c>
      <c r="F156" s="81" cm="1">
        <f t="array" ref="F156">_xlfn.SUMIFS('עסקאות'!$M$2:$M$1958,'עסקאות'!$F$2:$F$1958,B156)</f>
        <v>540</v>
      </c>
      <c r="G156" s="81" cm="1">
        <f t="array" ref="G156">IF(D156=0,"",F156/D156)</f>
        <v>540</v>
      </c>
      <c r="H156" s="81" cm="1">
        <f t="array" ref="H156">F156/20</f>
        <v>27</v>
      </c>
      <c r="I156" s="81" cm="1">
        <f t="array" ref="I156">_xlfn.SUMIFS('עסקאות'!$M$2:$M$1958,'עסקאות'!$F$2:$F$1958,B156,'עסקאות'!$A$2:$A$1958,"&gt;="&amp;DATE(2025,1,1),'עסקאות'!$A$2:$A$1958,"&lt;"&amp;DATE(2026,1,1))</f>
        <v>0</v>
      </c>
      <c r="J156" s="83" cm="1">
        <f t="array" ref="J156">_xlfn.SUMIFS('עסקאות'!$M$2:$M$1958,'עסקאות'!$F$2:$F$1958,B156,'עסקאות'!$A$2:$A$1958,"&gt;="&amp;DATE(2026,1,1),'עסקאות'!$A$2:$A$1958,"&lt;"&amp;DATE(2027,1,1))</f>
        <v>540</v>
      </c>
      <c r="K156" s="77"/>
    </row>
    <row r="157" ht="13.65" customHeight="1">
      <c r="A157" s="70"/>
      <c r="B157" t="s" s="27">
        <v>344</v>
      </c>
      <c r="C157" t="s" s="86">
        <v>113</v>
      </c>
      <c r="D157" s="119">
        <v>4</v>
      </c>
      <c r="E157" s="119">
        <v>3</v>
      </c>
      <c r="F157" s="87" cm="1">
        <f t="array" ref="F157">_xlfn.SUMIFS('עסקאות'!$M$2:$M$1958,'עסקאות'!$F$2:$F$1958,B157)</f>
        <v>526</v>
      </c>
      <c r="G157" s="87" cm="1">
        <f t="array" ref="G157">IF(D157=0,"",F157/D157)</f>
        <v>131.5</v>
      </c>
      <c r="H157" s="87" cm="1">
        <f t="array" ref="H157">F157/20</f>
        <v>26.3</v>
      </c>
      <c r="I157" s="87" cm="1">
        <f t="array" ref="I157">_xlfn.SUMIFS('עסקאות'!$M$2:$M$1958,'עסקאות'!$F$2:$F$1958,B157,'עסקאות'!$A$2:$A$1958,"&gt;="&amp;DATE(2025,1,1),'עסקאות'!$A$2:$A$1958,"&lt;"&amp;DATE(2026,1,1))</f>
        <v>526</v>
      </c>
      <c r="J157" s="28" cm="1">
        <f t="array" ref="J157">_xlfn.SUMIFS('עסקאות'!$M$2:$M$1958,'עסקאות'!$F$2:$F$1958,B157,'עסקאות'!$A$2:$A$1958,"&gt;="&amp;DATE(2026,1,1),'עסקאות'!$A$2:$A$1958,"&lt;"&amp;DATE(2027,1,1))</f>
        <v>0</v>
      </c>
      <c r="K157" s="77"/>
    </row>
    <row r="158" ht="13.65" customHeight="1">
      <c r="A158" s="70"/>
      <c r="B158" t="s" s="94">
        <v>345</v>
      </c>
      <c r="C158" t="s" s="80">
        <v>131</v>
      </c>
      <c r="D158" s="118">
        <v>1</v>
      </c>
      <c r="E158" s="118">
        <v>1</v>
      </c>
      <c r="F158" s="81" cm="1">
        <f t="array" ref="F158">_xlfn.SUMIFS('עסקאות'!$M$2:$M$1958,'עסקאות'!$F$2:$F$1958,B158)</f>
        <v>524</v>
      </c>
      <c r="G158" s="81" cm="1">
        <f t="array" ref="G158">IF(D158=0,"",F158/D158)</f>
        <v>524</v>
      </c>
      <c r="H158" s="81" cm="1">
        <f t="array" ref="H158">F158/20</f>
        <v>26.2</v>
      </c>
      <c r="I158" s="81" cm="1">
        <f t="array" ref="I158">_xlfn.SUMIFS('עסקאות'!$M$2:$M$1958,'עסקאות'!$F$2:$F$1958,B158,'עסקאות'!$A$2:$A$1958,"&gt;="&amp;DATE(2025,1,1),'עסקאות'!$A$2:$A$1958,"&lt;"&amp;DATE(2026,1,1))</f>
        <v>0</v>
      </c>
      <c r="J158" s="83" cm="1">
        <f t="array" ref="J158">_xlfn.SUMIFS('עסקאות'!$M$2:$M$1958,'עסקאות'!$F$2:$F$1958,B158,'עסקאות'!$A$2:$A$1958,"&gt;="&amp;DATE(2026,1,1),'עסקאות'!$A$2:$A$1958,"&lt;"&amp;DATE(2027,1,1))</f>
        <v>524</v>
      </c>
      <c r="K158" s="77"/>
    </row>
    <row r="159" ht="13.65" customHeight="1">
      <c r="A159" s="70"/>
      <c r="B159" t="s" s="27">
        <v>346</v>
      </c>
      <c r="C159" t="s" s="86">
        <v>123</v>
      </c>
      <c r="D159" s="119">
        <v>1</v>
      </c>
      <c r="E159" s="119">
        <v>1</v>
      </c>
      <c r="F159" s="87" cm="1">
        <f t="array" ref="F159">_xlfn.SUMIFS('עסקאות'!$M$2:$M$1958,'עסקאות'!$F$2:$F$1958,B159)</f>
        <v>520</v>
      </c>
      <c r="G159" s="87" cm="1">
        <f t="array" ref="G159">IF(D159=0,"",F159/D159)</f>
        <v>520</v>
      </c>
      <c r="H159" s="87" cm="1">
        <f t="array" ref="H159">F159/20</f>
        <v>26</v>
      </c>
      <c r="I159" s="87" cm="1">
        <f t="array" ref="I159">_xlfn.SUMIFS('עסקאות'!$M$2:$M$1958,'עסקאות'!$F$2:$F$1958,B159,'עסקאות'!$A$2:$A$1958,"&gt;="&amp;DATE(2025,1,1),'עסקאות'!$A$2:$A$1958,"&lt;"&amp;DATE(2026,1,1))</f>
        <v>0</v>
      </c>
      <c r="J159" s="28" cm="1">
        <f t="array" ref="J159">_xlfn.SUMIFS('עסקאות'!$M$2:$M$1958,'עסקאות'!$F$2:$F$1958,B159,'עסקאות'!$A$2:$A$1958,"&gt;="&amp;DATE(2026,1,1),'עסקאות'!$A$2:$A$1958,"&lt;"&amp;DATE(2027,1,1))</f>
        <v>520</v>
      </c>
      <c r="K159" s="77"/>
    </row>
    <row r="160" ht="13.65" customHeight="1">
      <c r="A160" s="70"/>
      <c r="B160" t="s" s="94">
        <v>347</v>
      </c>
      <c r="C160" t="s" s="80">
        <v>105</v>
      </c>
      <c r="D160" s="118">
        <v>1</v>
      </c>
      <c r="E160" s="118">
        <v>1</v>
      </c>
      <c r="F160" s="81" cm="1">
        <f t="array" ref="F160">_xlfn.SUMIFS('עסקאות'!$M$2:$M$1958,'עסקאות'!$F$2:$F$1958,B160)</f>
        <v>517</v>
      </c>
      <c r="G160" s="81" cm="1">
        <f t="array" ref="G160">IF(D160=0,"",F160/D160)</f>
        <v>517</v>
      </c>
      <c r="H160" s="81" cm="1">
        <f t="array" ref="H160">F160/20</f>
        <v>25.85</v>
      </c>
      <c r="I160" s="81" cm="1">
        <f t="array" ref="I160">_xlfn.SUMIFS('עסקאות'!$M$2:$M$1958,'עסקאות'!$F$2:$F$1958,B160,'עסקאות'!$A$2:$A$1958,"&gt;="&amp;DATE(2025,1,1),'עסקאות'!$A$2:$A$1958,"&lt;"&amp;DATE(2026,1,1))</f>
        <v>517</v>
      </c>
      <c r="J160" s="83" cm="1">
        <f t="array" ref="J160">_xlfn.SUMIFS('עסקאות'!$M$2:$M$1958,'עסקאות'!$F$2:$F$1958,B160,'עסקאות'!$A$2:$A$1958,"&gt;="&amp;DATE(2026,1,1),'עסקאות'!$A$2:$A$1958,"&lt;"&amp;DATE(2027,1,1))</f>
        <v>0</v>
      </c>
      <c r="K160" s="77"/>
    </row>
    <row r="161" ht="13.65" customHeight="1">
      <c r="A161" s="70"/>
      <c r="B161" t="s" s="27">
        <v>348</v>
      </c>
      <c r="C161" t="s" s="86">
        <v>131</v>
      </c>
      <c r="D161" s="119">
        <v>3</v>
      </c>
      <c r="E161" s="119">
        <v>1</v>
      </c>
      <c r="F161" s="87" cm="1">
        <f t="array" ref="F161">_xlfn.SUMIFS('עסקאות'!$M$2:$M$1958,'עסקאות'!$F$2:$F$1958,B161)</f>
        <v>512</v>
      </c>
      <c r="G161" s="87" cm="1">
        <f t="array" ref="G161">IF(D161=0,"",F161/D161)</f>
        <v>170.666666666667</v>
      </c>
      <c r="H161" s="87" cm="1">
        <f t="array" ref="H161">F161/20</f>
        <v>25.6</v>
      </c>
      <c r="I161" s="87" cm="1">
        <f t="array" ref="I161">_xlfn.SUMIFS('עסקאות'!$M$2:$M$1958,'עסקאות'!$F$2:$F$1958,B161,'עסקאות'!$A$2:$A$1958,"&gt;="&amp;DATE(2025,1,1),'עסקאות'!$A$2:$A$1958,"&lt;"&amp;DATE(2026,1,1))</f>
        <v>512</v>
      </c>
      <c r="J161" s="28" cm="1">
        <f t="array" ref="J161">_xlfn.SUMIFS('עסקאות'!$M$2:$M$1958,'עסקאות'!$F$2:$F$1958,B161,'עסקאות'!$A$2:$A$1958,"&gt;="&amp;DATE(2026,1,1),'עסקאות'!$A$2:$A$1958,"&lt;"&amp;DATE(2027,1,1))</f>
        <v>0</v>
      </c>
      <c r="K161" s="77"/>
    </row>
    <row r="162" ht="13.65" customHeight="1">
      <c r="A162" s="70"/>
      <c r="B162" t="s" s="94">
        <v>349</v>
      </c>
      <c r="C162" t="s" s="80">
        <v>113</v>
      </c>
      <c r="D162" s="118">
        <v>8</v>
      </c>
      <c r="E162" s="118">
        <v>6</v>
      </c>
      <c r="F162" s="81" cm="1">
        <f t="array" ref="F162">_xlfn.SUMIFS('עסקאות'!$M$2:$M$1958,'עסקאות'!$F$2:$F$1958,B162)</f>
        <v>503</v>
      </c>
      <c r="G162" s="81" cm="1">
        <f t="array" ref="G162">IF(D162=0,"",F162/D162)</f>
        <v>62.875</v>
      </c>
      <c r="H162" s="81" cm="1">
        <f t="array" ref="H162">F162/20</f>
        <v>25.15</v>
      </c>
      <c r="I162" s="81" cm="1">
        <f t="array" ref="I162">_xlfn.SUMIFS('עסקאות'!$M$2:$M$1958,'עסקאות'!$F$2:$F$1958,B162,'עסקאות'!$A$2:$A$1958,"&gt;="&amp;DATE(2025,1,1),'עסקאות'!$A$2:$A$1958,"&lt;"&amp;DATE(2026,1,1))</f>
        <v>503</v>
      </c>
      <c r="J162" s="83" cm="1">
        <f t="array" ref="J162">_xlfn.SUMIFS('עסקאות'!$M$2:$M$1958,'עסקאות'!$F$2:$F$1958,B162,'עסקאות'!$A$2:$A$1958,"&gt;="&amp;DATE(2026,1,1),'עסקאות'!$A$2:$A$1958,"&lt;"&amp;DATE(2027,1,1))</f>
        <v>0</v>
      </c>
      <c r="K162" s="77"/>
    </row>
    <row r="163" ht="13.65" customHeight="1">
      <c r="A163" s="70"/>
      <c r="B163" t="s" s="27">
        <v>350</v>
      </c>
      <c r="C163" t="s" s="86">
        <v>105</v>
      </c>
      <c r="D163" s="119">
        <v>1</v>
      </c>
      <c r="E163" s="119">
        <v>1</v>
      </c>
      <c r="F163" s="87" cm="1">
        <f t="array" ref="F163">_xlfn.SUMIFS('עסקאות'!$M$2:$M$1958,'עסקאות'!$F$2:$F$1958,B163)</f>
        <v>502</v>
      </c>
      <c r="G163" s="87" cm="1">
        <f t="array" ref="G163">IF(D163=0,"",F163/D163)</f>
        <v>502</v>
      </c>
      <c r="H163" s="87" cm="1">
        <f t="array" ref="H163">F163/20</f>
        <v>25.1</v>
      </c>
      <c r="I163" s="87" cm="1">
        <f t="array" ref="I163">_xlfn.SUMIFS('עסקאות'!$M$2:$M$1958,'עסקאות'!$F$2:$F$1958,B163,'עסקאות'!$A$2:$A$1958,"&gt;="&amp;DATE(2025,1,1),'עסקאות'!$A$2:$A$1958,"&lt;"&amp;DATE(2026,1,1))</f>
        <v>502</v>
      </c>
      <c r="J163" s="28" cm="1">
        <f t="array" ref="J163">_xlfn.SUMIFS('עסקאות'!$M$2:$M$1958,'עסקאות'!$F$2:$F$1958,B163,'עסקאות'!$A$2:$A$1958,"&gt;="&amp;DATE(2026,1,1),'עסקאות'!$A$2:$A$1958,"&lt;"&amp;DATE(2027,1,1))</f>
        <v>0</v>
      </c>
      <c r="K163" s="77"/>
    </row>
    <row r="164" ht="13.65" customHeight="1">
      <c r="A164" s="70"/>
      <c r="B164" t="s" s="94">
        <v>351</v>
      </c>
      <c r="C164" t="s" s="80">
        <v>117</v>
      </c>
      <c r="D164" s="118">
        <v>1</v>
      </c>
      <c r="E164" s="118">
        <v>1</v>
      </c>
      <c r="F164" s="81" cm="1">
        <f t="array" ref="F164">_xlfn.SUMIFS('עסקאות'!$M$2:$M$1958,'עסקאות'!$F$2:$F$1958,B164)</f>
        <v>500</v>
      </c>
      <c r="G164" s="81" cm="1">
        <f t="array" ref="G164">IF(D164=0,"",F164/D164)</f>
        <v>500</v>
      </c>
      <c r="H164" s="81" cm="1">
        <f t="array" ref="H164">F164/20</f>
        <v>25</v>
      </c>
      <c r="I164" s="81" cm="1">
        <f t="array" ref="I164">_xlfn.SUMIFS('עסקאות'!$M$2:$M$1958,'עסקאות'!$F$2:$F$1958,B164,'עסקאות'!$A$2:$A$1958,"&gt;="&amp;DATE(2025,1,1),'עסקאות'!$A$2:$A$1958,"&lt;"&amp;DATE(2026,1,1))</f>
        <v>500</v>
      </c>
      <c r="J164" s="83" cm="1">
        <f t="array" ref="J164">_xlfn.SUMIFS('עסקאות'!$M$2:$M$1958,'עסקאות'!$F$2:$F$1958,B164,'עסקאות'!$A$2:$A$1958,"&gt;="&amp;DATE(2026,1,1),'עסקאות'!$A$2:$A$1958,"&lt;"&amp;DATE(2027,1,1))</f>
        <v>0</v>
      </c>
      <c r="K164" s="77"/>
    </row>
    <row r="165" ht="13.65" customHeight="1">
      <c r="A165" s="70"/>
      <c r="B165" t="s" s="27">
        <v>352</v>
      </c>
      <c r="C165" t="s" s="86">
        <v>117</v>
      </c>
      <c r="D165" s="119">
        <v>1</v>
      </c>
      <c r="E165" s="119">
        <v>1</v>
      </c>
      <c r="F165" s="87" cm="1">
        <f t="array" ref="F165">_xlfn.SUMIFS('עסקאות'!$M$2:$M$1958,'עסקאות'!$F$2:$F$1958,B165)</f>
        <v>500</v>
      </c>
      <c r="G165" s="87" cm="1">
        <f t="array" ref="G165">IF(D165=0,"",F165/D165)</f>
        <v>500</v>
      </c>
      <c r="H165" s="87" cm="1">
        <f t="array" ref="H165">F165/20</f>
        <v>25</v>
      </c>
      <c r="I165" s="87" cm="1">
        <f t="array" ref="I165">_xlfn.SUMIFS('עסקאות'!$M$2:$M$1958,'עסקאות'!$F$2:$F$1958,B165,'עסקאות'!$A$2:$A$1958,"&gt;="&amp;DATE(2025,1,1),'עסקאות'!$A$2:$A$1958,"&lt;"&amp;DATE(2026,1,1))</f>
        <v>500</v>
      </c>
      <c r="J165" s="28" cm="1">
        <f t="array" ref="J165">_xlfn.SUMIFS('עסקאות'!$M$2:$M$1958,'עסקאות'!$F$2:$F$1958,B165,'עסקאות'!$A$2:$A$1958,"&gt;="&amp;DATE(2026,1,1),'עסקאות'!$A$2:$A$1958,"&lt;"&amp;DATE(2027,1,1))</f>
        <v>0</v>
      </c>
      <c r="K165" s="77"/>
    </row>
    <row r="166" ht="13.65" customHeight="1">
      <c r="A166" s="70"/>
      <c r="B166" t="s" s="94">
        <v>353</v>
      </c>
      <c r="C166" t="s" s="80">
        <v>125</v>
      </c>
      <c r="D166" s="118">
        <v>1</v>
      </c>
      <c r="E166" s="118">
        <v>1</v>
      </c>
      <c r="F166" s="81" cm="1">
        <f t="array" ref="F166">_xlfn.SUMIFS('עסקאות'!$M$2:$M$1958,'עסקאות'!$F$2:$F$1958,B166)</f>
        <v>500</v>
      </c>
      <c r="G166" s="81" cm="1">
        <f t="array" ref="G166">IF(D166=0,"",F166/D166)</f>
        <v>500</v>
      </c>
      <c r="H166" s="81" cm="1">
        <f t="array" ref="H166">F166/20</f>
        <v>25</v>
      </c>
      <c r="I166" s="81" cm="1">
        <f t="array" ref="I166">_xlfn.SUMIFS('עסקאות'!$M$2:$M$1958,'עסקאות'!$F$2:$F$1958,B166,'עסקאות'!$A$2:$A$1958,"&gt;="&amp;DATE(2025,1,1),'עסקאות'!$A$2:$A$1958,"&lt;"&amp;DATE(2026,1,1))</f>
        <v>0</v>
      </c>
      <c r="J166" s="83" cm="1">
        <f t="array" ref="J166">_xlfn.SUMIFS('עסקאות'!$M$2:$M$1958,'עסקאות'!$F$2:$F$1958,B166,'עסקאות'!$A$2:$A$1958,"&gt;="&amp;DATE(2026,1,1),'עסקאות'!$A$2:$A$1958,"&lt;"&amp;DATE(2027,1,1))</f>
        <v>500</v>
      </c>
      <c r="K166" s="77"/>
    </row>
    <row r="167" ht="13.65" customHeight="1">
      <c r="A167" s="70"/>
      <c r="B167" t="s" s="27">
        <v>354</v>
      </c>
      <c r="C167" t="s" s="86">
        <v>127</v>
      </c>
      <c r="D167" s="119">
        <v>2</v>
      </c>
      <c r="E167" s="119">
        <v>1</v>
      </c>
      <c r="F167" s="87" cm="1">
        <f t="array" ref="F167">_xlfn.SUMIFS('עסקאות'!$M$2:$M$1958,'עסקאות'!$F$2:$F$1958,B167)</f>
        <v>498</v>
      </c>
      <c r="G167" s="87" cm="1">
        <f t="array" ref="G167">IF(D167=0,"",F167/D167)</f>
        <v>249</v>
      </c>
      <c r="H167" s="87" cm="1">
        <f t="array" ref="H167">F167/20</f>
        <v>24.9</v>
      </c>
      <c r="I167" s="87" cm="1">
        <f t="array" ref="I167">_xlfn.SUMIFS('עסקאות'!$M$2:$M$1958,'עסקאות'!$F$2:$F$1958,B167,'עסקאות'!$A$2:$A$1958,"&gt;="&amp;DATE(2025,1,1),'עסקאות'!$A$2:$A$1958,"&lt;"&amp;DATE(2026,1,1))</f>
        <v>498</v>
      </c>
      <c r="J167" s="28" cm="1">
        <f t="array" ref="J167">_xlfn.SUMIFS('עסקאות'!$M$2:$M$1958,'עסקאות'!$F$2:$F$1958,B167,'עסקאות'!$A$2:$A$1958,"&gt;="&amp;DATE(2026,1,1),'עסקאות'!$A$2:$A$1958,"&lt;"&amp;DATE(2027,1,1))</f>
        <v>0</v>
      </c>
      <c r="K167" s="77"/>
    </row>
    <row r="168" ht="13.65" customHeight="1">
      <c r="A168" s="70"/>
      <c r="B168" t="s" s="94">
        <v>355</v>
      </c>
      <c r="C168" t="s" s="80">
        <v>113</v>
      </c>
      <c r="D168" s="118">
        <v>22</v>
      </c>
      <c r="E168" s="118">
        <v>11</v>
      </c>
      <c r="F168" s="81" cm="1">
        <f t="array" ref="F168">_xlfn.SUMIFS('עסקאות'!$M$2:$M$1958,'עסקאות'!$F$2:$F$1958,B168)</f>
        <v>487</v>
      </c>
      <c r="G168" s="81" cm="1">
        <f t="array" ref="G168">IF(D168=0,"",F168/D168)</f>
        <v>22.1363636363636</v>
      </c>
      <c r="H168" s="81" cm="1">
        <f t="array" ref="H168">F168/20</f>
        <v>24.35</v>
      </c>
      <c r="I168" s="81" cm="1">
        <f t="array" ref="I168">_xlfn.SUMIFS('עסקאות'!$M$2:$M$1958,'עסקאות'!$F$2:$F$1958,B168,'עסקאות'!$A$2:$A$1958,"&gt;="&amp;DATE(2025,1,1),'עסקאות'!$A$2:$A$1958,"&lt;"&amp;DATE(2026,1,1))</f>
        <v>448</v>
      </c>
      <c r="J168" s="83" cm="1">
        <f t="array" ref="J168">_xlfn.SUMIFS('עסקאות'!$M$2:$M$1958,'עסקאות'!$F$2:$F$1958,B168,'עסקאות'!$A$2:$A$1958,"&gt;="&amp;DATE(2026,1,1),'עסקאות'!$A$2:$A$1958,"&lt;"&amp;DATE(2027,1,1))</f>
        <v>39</v>
      </c>
      <c r="K168" s="77"/>
    </row>
    <row r="169" ht="13.65" customHeight="1">
      <c r="A169" s="70"/>
      <c r="B169" t="s" s="27">
        <v>356</v>
      </c>
      <c r="C169" t="s" s="86">
        <v>107</v>
      </c>
      <c r="D169" s="119">
        <v>8</v>
      </c>
      <c r="E169" s="119">
        <v>8</v>
      </c>
      <c r="F169" s="87" cm="1">
        <f t="array" ref="F169">_xlfn.SUMIFS('עסקאות'!$M$2:$M$1958,'עסקאות'!$F$2:$F$1958,B169)</f>
        <v>485</v>
      </c>
      <c r="G169" s="87" cm="1">
        <f t="array" ref="G169">IF(D169=0,"",F169/D169)</f>
        <v>60.625</v>
      </c>
      <c r="H169" s="87" cm="1">
        <f t="array" ref="H169">F169/20</f>
        <v>24.25</v>
      </c>
      <c r="I169" s="87" cm="1">
        <f t="array" ref="I169">_xlfn.SUMIFS('עסקאות'!$M$2:$M$1958,'עסקאות'!$F$2:$F$1958,B169,'עסקאות'!$A$2:$A$1958,"&gt;="&amp;DATE(2025,1,1),'עסקאות'!$A$2:$A$1958,"&lt;"&amp;DATE(2026,1,1))</f>
        <v>55</v>
      </c>
      <c r="J169" s="28" cm="1">
        <f t="array" ref="J169">_xlfn.SUMIFS('עסקאות'!$M$2:$M$1958,'עסקאות'!$F$2:$F$1958,B169,'עסקאות'!$A$2:$A$1958,"&gt;="&amp;DATE(2026,1,1),'עסקאות'!$A$2:$A$1958,"&lt;"&amp;DATE(2027,1,1))</f>
        <v>430</v>
      </c>
      <c r="K169" s="77"/>
    </row>
    <row r="170" ht="13.65" customHeight="1">
      <c r="A170" s="70"/>
      <c r="B170" t="s" s="94">
        <v>357</v>
      </c>
      <c r="C170" t="s" s="80">
        <v>105</v>
      </c>
      <c r="D170" s="118">
        <v>1</v>
      </c>
      <c r="E170" s="118">
        <v>1</v>
      </c>
      <c r="F170" s="81" cm="1">
        <f t="array" ref="F170">_xlfn.SUMIFS('עסקאות'!$M$2:$M$1958,'עסקאות'!$F$2:$F$1958,B170)</f>
        <v>475</v>
      </c>
      <c r="G170" s="81" cm="1">
        <f t="array" ref="G170">IF(D170=0,"",F170/D170)</f>
        <v>475</v>
      </c>
      <c r="H170" s="81" cm="1">
        <f t="array" ref="H170">F170/20</f>
        <v>23.75</v>
      </c>
      <c r="I170" s="81" cm="1">
        <f t="array" ref="I170">_xlfn.SUMIFS('עסקאות'!$M$2:$M$1958,'עסקאות'!$F$2:$F$1958,B170,'עסקאות'!$A$2:$A$1958,"&gt;="&amp;DATE(2025,1,1),'עסקאות'!$A$2:$A$1958,"&lt;"&amp;DATE(2026,1,1))</f>
        <v>475</v>
      </c>
      <c r="J170" s="83" cm="1">
        <f t="array" ref="J170">_xlfn.SUMIFS('עסקאות'!$M$2:$M$1958,'עסקאות'!$F$2:$F$1958,B170,'עסקאות'!$A$2:$A$1958,"&gt;="&amp;DATE(2026,1,1),'עסקאות'!$A$2:$A$1958,"&lt;"&amp;DATE(2027,1,1))</f>
        <v>0</v>
      </c>
      <c r="K170" s="77"/>
    </row>
    <row r="171" ht="13.65" customHeight="1">
      <c r="A171" s="70"/>
      <c r="B171" t="s" s="27">
        <v>358</v>
      </c>
      <c r="C171" t="s" s="86">
        <v>127</v>
      </c>
      <c r="D171" s="119">
        <v>1</v>
      </c>
      <c r="E171" s="119">
        <v>1</v>
      </c>
      <c r="F171" s="87" cm="1">
        <f t="array" ref="F171">_xlfn.SUMIFS('עסקאות'!$M$2:$M$1958,'עסקאות'!$F$2:$F$1958,B171)</f>
        <v>470</v>
      </c>
      <c r="G171" s="87" cm="1">
        <f t="array" ref="G171">IF(D171=0,"",F171/D171)</f>
        <v>470</v>
      </c>
      <c r="H171" s="87" cm="1">
        <f t="array" ref="H171">F171/20</f>
        <v>23.5</v>
      </c>
      <c r="I171" s="87" cm="1">
        <f t="array" ref="I171">_xlfn.SUMIFS('עסקאות'!$M$2:$M$1958,'עסקאות'!$F$2:$F$1958,B171,'עסקאות'!$A$2:$A$1958,"&gt;="&amp;DATE(2025,1,1),'עסקאות'!$A$2:$A$1958,"&lt;"&amp;DATE(2026,1,1))</f>
        <v>470</v>
      </c>
      <c r="J171" s="28" cm="1">
        <f t="array" ref="J171">_xlfn.SUMIFS('עסקאות'!$M$2:$M$1958,'עסקאות'!$F$2:$F$1958,B171,'עסקאות'!$A$2:$A$1958,"&gt;="&amp;DATE(2026,1,1),'עסקאות'!$A$2:$A$1958,"&lt;"&amp;DATE(2027,1,1))</f>
        <v>0</v>
      </c>
      <c r="K171" s="77"/>
    </row>
    <row r="172" ht="13.65" customHeight="1">
      <c r="A172" s="70"/>
      <c r="B172" t="s" s="94">
        <v>359</v>
      </c>
      <c r="C172" t="s" s="80">
        <v>113</v>
      </c>
      <c r="D172" s="118">
        <v>1</v>
      </c>
      <c r="E172" s="118">
        <v>1</v>
      </c>
      <c r="F172" s="81" cm="1">
        <f t="array" ref="F172">_xlfn.SUMIFS('עסקאות'!$M$2:$M$1958,'עסקאות'!$F$2:$F$1958,B172)</f>
        <v>466</v>
      </c>
      <c r="G172" s="81" cm="1">
        <f t="array" ref="G172">IF(D172=0,"",F172/D172)</f>
        <v>466</v>
      </c>
      <c r="H172" s="81" cm="1">
        <f t="array" ref="H172">F172/20</f>
        <v>23.3</v>
      </c>
      <c r="I172" s="81" cm="1">
        <f t="array" ref="I172">_xlfn.SUMIFS('עסקאות'!$M$2:$M$1958,'עסקאות'!$F$2:$F$1958,B172,'עסקאות'!$A$2:$A$1958,"&gt;="&amp;DATE(2025,1,1),'עסקאות'!$A$2:$A$1958,"&lt;"&amp;DATE(2026,1,1))</f>
        <v>466</v>
      </c>
      <c r="J172" s="83" cm="1">
        <f t="array" ref="J172">_xlfn.SUMIFS('עסקאות'!$M$2:$M$1958,'עסקאות'!$F$2:$F$1958,B172,'עסקאות'!$A$2:$A$1958,"&gt;="&amp;DATE(2026,1,1),'עסקאות'!$A$2:$A$1958,"&lt;"&amp;DATE(2027,1,1))</f>
        <v>0</v>
      </c>
      <c r="K172" s="77"/>
    </row>
    <row r="173" ht="13.65" customHeight="1">
      <c r="A173" s="70"/>
      <c r="B173" t="s" s="27">
        <v>360</v>
      </c>
      <c r="C173" t="s" s="86">
        <v>99</v>
      </c>
      <c r="D173" s="119">
        <v>1</v>
      </c>
      <c r="E173" s="119">
        <v>1</v>
      </c>
      <c r="F173" s="87" cm="1">
        <f t="array" ref="F173">_xlfn.SUMIFS('עסקאות'!$M$2:$M$1958,'עסקאות'!$F$2:$F$1958,B173)</f>
        <v>450</v>
      </c>
      <c r="G173" s="87" cm="1">
        <f t="array" ref="G173">IF(D173=0,"",F173/D173)</f>
        <v>450</v>
      </c>
      <c r="H173" s="87" cm="1">
        <f t="array" ref="H173">F173/20</f>
        <v>22.5</v>
      </c>
      <c r="I173" s="87" cm="1">
        <f t="array" ref="I173">_xlfn.SUMIFS('עסקאות'!$M$2:$M$1958,'עסקאות'!$F$2:$F$1958,B173,'עסקאות'!$A$2:$A$1958,"&gt;="&amp;DATE(2025,1,1),'עסקאות'!$A$2:$A$1958,"&lt;"&amp;DATE(2026,1,1))</f>
        <v>0</v>
      </c>
      <c r="J173" s="28" cm="1">
        <f t="array" ref="J173">_xlfn.SUMIFS('עסקאות'!$M$2:$M$1958,'עסקאות'!$F$2:$F$1958,B173,'עסקאות'!$A$2:$A$1958,"&gt;="&amp;DATE(2026,1,1),'עסקאות'!$A$2:$A$1958,"&lt;"&amp;DATE(2027,1,1))</f>
        <v>450</v>
      </c>
      <c r="K173" s="77"/>
    </row>
    <row r="174" ht="13.65" customHeight="1">
      <c r="A174" s="70"/>
      <c r="B174" t="s" s="94">
        <v>361</v>
      </c>
      <c r="C174" t="s" s="80">
        <v>121</v>
      </c>
      <c r="D174" s="118">
        <v>1</v>
      </c>
      <c r="E174" s="118">
        <v>1</v>
      </c>
      <c r="F174" s="81" cm="1">
        <f t="array" ref="F174">_xlfn.SUMIFS('עסקאות'!$M$2:$M$1958,'עסקאות'!$F$2:$F$1958,B174)</f>
        <v>440</v>
      </c>
      <c r="G174" s="81" cm="1">
        <f t="array" ref="G174">IF(D174=0,"",F174/D174)</f>
        <v>440</v>
      </c>
      <c r="H174" s="81" cm="1">
        <f t="array" ref="H174">F174/20</f>
        <v>22</v>
      </c>
      <c r="I174" s="81" cm="1">
        <f t="array" ref="I174">_xlfn.SUMIFS('עסקאות'!$M$2:$M$1958,'עסקאות'!$F$2:$F$1958,B174,'עסקאות'!$A$2:$A$1958,"&gt;="&amp;DATE(2025,1,1),'עסקאות'!$A$2:$A$1958,"&lt;"&amp;DATE(2026,1,1))</f>
        <v>440</v>
      </c>
      <c r="J174" s="83" cm="1">
        <f t="array" ref="J174">_xlfn.SUMIFS('עסקאות'!$M$2:$M$1958,'עסקאות'!$F$2:$F$1958,B174,'עסקאות'!$A$2:$A$1958,"&gt;="&amp;DATE(2026,1,1),'עסקאות'!$A$2:$A$1958,"&lt;"&amp;DATE(2027,1,1))</f>
        <v>0</v>
      </c>
      <c r="K174" s="77"/>
    </row>
    <row r="175" ht="13.65" customHeight="1">
      <c r="A175" s="70"/>
      <c r="B175" t="s" s="27">
        <v>362</v>
      </c>
      <c r="C175" t="s" s="86">
        <v>109</v>
      </c>
      <c r="D175" s="119">
        <v>1</v>
      </c>
      <c r="E175" s="119">
        <v>1</v>
      </c>
      <c r="F175" s="87" cm="1">
        <f t="array" ref="F175">_xlfn.SUMIFS('עסקאות'!$M$2:$M$1958,'עסקאות'!$F$2:$F$1958,B175)</f>
        <v>437</v>
      </c>
      <c r="G175" s="87" cm="1">
        <f t="array" ref="G175">IF(D175=0,"",F175/D175)</f>
        <v>437</v>
      </c>
      <c r="H175" s="87" cm="1">
        <f t="array" ref="H175">F175/20</f>
        <v>21.85</v>
      </c>
      <c r="I175" s="87" cm="1">
        <f t="array" ref="I175">_xlfn.SUMIFS('עסקאות'!$M$2:$M$1958,'עסקאות'!$F$2:$F$1958,B175,'עסקאות'!$A$2:$A$1958,"&gt;="&amp;DATE(2025,1,1),'עסקאות'!$A$2:$A$1958,"&lt;"&amp;DATE(2026,1,1))</f>
        <v>437</v>
      </c>
      <c r="J175" s="28" cm="1">
        <f t="array" ref="J175">_xlfn.SUMIFS('עסקאות'!$M$2:$M$1958,'עסקאות'!$F$2:$F$1958,B175,'עסקאות'!$A$2:$A$1958,"&gt;="&amp;DATE(2026,1,1),'עסקאות'!$A$2:$A$1958,"&lt;"&amp;DATE(2027,1,1))</f>
        <v>0</v>
      </c>
      <c r="K175" s="77"/>
    </row>
    <row r="176" ht="13.65" customHeight="1">
      <c r="A176" s="70"/>
      <c r="B176" t="s" s="94">
        <v>363</v>
      </c>
      <c r="C176" t="s" s="80">
        <v>117</v>
      </c>
      <c r="D176" s="118">
        <v>1</v>
      </c>
      <c r="E176" s="118">
        <v>1</v>
      </c>
      <c r="F176" s="81" cm="1">
        <f t="array" ref="F176">_xlfn.SUMIFS('עסקאות'!$M$2:$M$1958,'עסקאות'!$F$2:$F$1958,B176)</f>
        <v>434</v>
      </c>
      <c r="G176" s="81" cm="1">
        <f t="array" ref="G176">IF(D176=0,"",F176/D176)</f>
        <v>434</v>
      </c>
      <c r="H176" s="81" cm="1">
        <f t="array" ref="H176">F176/20</f>
        <v>21.7</v>
      </c>
      <c r="I176" s="81" cm="1">
        <f t="array" ref="I176">_xlfn.SUMIFS('עסקאות'!$M$2:$M$1958,'עסקאות'!$F$2:$F$1958,B176,'עסקאות'!$A$2:$A$1958,"&gt;="&amp;DATE(2025,1,1),'עסקאות'!$A$2:$A$1958,"&lt;"&amp;DATE(2026,1,1))</f>
        <v>434</v>
      </c>
      <c r="J176" s="83" cm="1">
        <f t="array" ref="J176">_xlfn.SUMIFS('עסקאות'!$M$2:$M$1958,'עסקאות'!$F$2:$F$1958,B176,'עסקאות'!$A$2:$A$1958,"&gt;="&amp;DATE(2026,1,1),'עסקאות'!$A$2:$A$1958,"&lt;"&amp;DATE(2027,1,1))</f>
        <v>0</v>
      </c>
      <c r="K176" s="77"/>
    </row>
    <row r="177" ht="13.65" customHeight="1">
      <c r="A177" s="70"/>
      <c r="B177" t="s" s="27">
        <v>364</v>
      </c>
      <c r="C177" t="s" s="86">
        <v>96</v>
      </c>
      <c r="D177" s="119">
        <v>2</v>
      </c>
      <c r="E177" s="119">
        <v>2</v>
      </c>
      <c r="F177" s="87" cm="1">
        <f t="array" ref="F177">_xlfn.SUMIFS('עסקאות'!$M$2:$M$1958,'עסקאות'!$F$2:$F$1958,B177)</f>
        <v>430</v>
      </c>
      <c r="G177" s="87" cm="1">
        <f t="array" ref="G177">IF(D177=0,"",F177/D177)</f>
        <v>215</v>
      </c>
      <c r="H177" s="87" cm="1">
        <f t="array" ref="H177">F177/20</f>
        <v>21.5</v>
      </c>
      <c r="I177" s="87" cm="1">
        <f t="array" ref="I177">_xlfn.SUMIFS('עסקאות'!$M$2:$M$1958,'עסקאות'!$F$2:$F$1958,B177,'עסקאות'!$A$2:$A$1958,"&gt;="&amp;DATE(2025,1,1),'עסקאות'!$A$2:$A$1958,"&lt;"&amp;DATE(2026,1,1))</f>
        <v>250</v>
      </c>
      <c r="J177" s="28" cm="1">
        <f t="array" ref="J177">_xlfn.SUMIFS('עסקאות'!$M$2:$M$1958,'עסקאות'!$F$2:$F$1958,B177,'עסקאות'!$A$2:$A$1958,"&gt;="&amp;DATE(2026,1,1),'עסקאות'!$A$2:$A$1958,"&lt;"&amp;DATE(2027,1,1))</f>
        <v>180</v>
      </c>
      <c r="K177" s="77"/>
    </row>
    <row r="178" ht="13.65" customHeight="1">
      <c r="A178" s="70"/>
      <c r="B178" t="s" s="94">
        <v>365</v>
      </c>
      <c r="C178" t="s" s="80">
        <v>107</v>
      </c>
      <c r="D178" s="118">
        <v>3</v>
      </c>
      <c r="E178" s="118">
        <v>2</v>
      </c>
      <c r="F178" s="81" cm="1">
        <f t="array" ref="F178">_xlfn.SUMIFS('עסקאות'!$M$2:$M$1958,'עסקאות'!$F$2:$F$1958,B178)</f>
        <v>426</v>
      </c>
      <c r="G178" s="81" cm="1">
        <f t="array" ref="G178">IF(D178=0,"",F178/D178)</f>
        <v>142</v>
      </c>
      <c r="H178" s="81" cm="1">
        <f t="array" ref="H178">F178/20</f>
        <v>21.3</v>
      </c>
      <c r="I178" s="81" cm="1">
        <f t="array" ref="I178">_xlfn.SUMIFS('עסקאות'!$M$2:$M$1958,'עסקאות'!$F$2:$F$1958,B178,'עסקאות'!$A$2:$A$1958,"&gt;="&amp;DATE(2025,1,1),'עסקאות'!$A$2:$A$1958,"&lt;"&amp;DATE(2026,1,1))</f>
        <v>0</v>
      </c>
      <c r="J178" s="83" cm="1">
        <f t="array" ref="J178">_xlfn.SUMIFS('עסקאות'!$M$2:$M$1958,'עסקאות'!$F$2:$F$1958,B178,'עסקאות'!$A$2:$A$1958,"&gt;="&amp;DATE(2026,1,1),'עסקאות'!$A$2:$A$1958,"&lt;"&amp;DATE(2027,1,1))</f>
        <v>426</v>
      </c>
      <c r="K178" s="77"/>
    </row>
    <row r="179" ht="13.65" customHeight="1">
      <c r="A179" s="70"/>
      <c r="B179" t="s" s="27">
        <v>366</v>
      </c>
      <c r="C179" t="s" s="86">
        <v>102</v>
      </c>
      <c r="D179" s="119">
        <v>2</v>
      </c>
      <c r="E179" s="119">
        <v>2</v>
      </c>
      <c r="F179" s="87" cm="1">
        <f t="array" ref="F179">_xlfn.SUMIFS('עסקאות'!$M$2:$M$1958,'עסקאות'!$F$2:$F$1958,B179)</f>
        <v>424</v>
      </c>
      <c r="G179" s="87" cm="1">
        <f t="array" ref="G179">IF(D179=0,"",F179/D179)</f>
        <v>212</v>
      </c>
      <c r="H179" s="87" cm="1">
        <f t="array" ref="H179">F179/20</f>
        <v>21.2</v>
      </c>
      <c r="I179" s="87" cm="1">
        <f t="array" ref="I179">_xlfn.SUMIFS('עסקאות'!$M$2:$M$1958,'עסקאות'!$F$2:$F$1958,B179,'עסקאות'!$A$2:$A$1958,"&gt;="&amp;DATE(2025,1,1),'עסקאות'!$A$2:$A$1958,"&lt;"&amp;DATE(2026,1,1))</f>
        <v>0</v>
      </c>
      <c r="J179" s="28" cm="1">
        <f t="array" ref="J179">_xlfn.SUMIFS('עסקאות'!$M$2:$M$1958,'עסקאות'!$F$2:$F$1958,B179,'עסקאות'!$A$2:$A$1958,"&gt;="&amp;DATE(2026,1,1),'עסקאות'!$A$2:$A$1958,"&lt;"&amp;DATE(2027,1,1))</f>
        <v>424</v>
      </c>
      <c r="K179" s="77"/>
    </row>
    <row r="180" ht="13.65" customHeight="1">
      <c r="A180" s="70"/>
      <c r="B180" t="s" s="94">
        <v>367</v>
      </c>
      <c r="C180" t="s" s="80">
        <v>105</v>
      </c>
      <c r="D180" s="118">
        <v>1</v>
      </c>
      <c r="E180" s="118">
        <v>1</v>
      </c>
      <c r="F180" s="81" cm="1">
        <f t="array" ref="F180">_xlfn.SUMIFS('עסקאות'!$M$2:$M$1958,'עסקאות'!$F$2:$F$1958,B180)</f>
        <v>422</v>
      </c>
      <c r="G180" s="81" cm="1">
        <f t="array" ref="G180">IF(D180=0,"",F180/D180)</f>
        <v>422</v>
      </c>
      <c r="H180" s="81" cm="1">
        <f t="array" ref="H180">F180/20</f>
        <v>21.1</v>
      </c>
      <c r="I180" s="81" cm="1">
        <f t="array" ref="I180">_xlfn.SUMIFS('עסקאות'!$M$2:$M$1958,'עסקאות'!$F$2:$F$1958,B180,'עסקאות'!$A$2:$A$1958,"&gt;="&amp;DATE(2025,1,1),'עסקאות'!$A$2:$A$1958,"&lt;"&amp;DATE(2026,1,1))</f>
        <v>422</v>
      </c>
      <c r="J180" s="83" cm="1">
        <f t="array" ref="J180">_xlfn.SUMIFS('עסקאות'!$M$2:$M$1958,'עסקאות'!$F$2:$F$1958,B180,'עסקאות'!$A$2:$A$1958,"&gt;="&amp;DATE(2026,1,1),'עסקאות'!$A$2:$A$1958,"&lt;"&amp;DATE(2027,1,1))</f>
        <v>0</v>
      </c>
      <c r="K180" s="77"/>
    </row>
    <row r="181" ht="13.65" customHeight="1">
      <c r="A181" s="70"/>
      <c r="B181" t="s" s="27">
        <v>368</v>
      </c>
      <c r="C181" t="s" s="86">
        <v>121</v>
      </c>
      <c r="D181" s="119">
        <v>4</v>
      </c>
      <c r="E181" s="119">
        <v>4</v>
      </c>
      <c r="F181" s="87" cm="1">
        <f t="array" ref="F181">_xlfn.SUMIFS('עסקאות'!$M$2:$M$1958,'עסקאות'!$F$2:$F$1958,B181)</f>
        <v>414</v>
      </c>
      <c r="G181" s="87" cm="1">
        <f t="array" ref="G181">IF(D181=0,"",F181/D181)</f>
        <v>103.5</v>
      </c>
      <c r="H181" s="87" cm="1">
        <f t="array" ref="H181">F181/20</f>
        <v>20.7</v>
      </c>
      <c r="I181" s="87" cm="1">
        <f t="array" ref="I181">_xlfn.SUMIFS('עסקאות'!$M$2:$M$1958,'עסקאות'!$F$2:$F$1958,B181,'עסקאות'!$A$2:$A$1958,"&gt;="&amp;DATE(2025,1,1),'עסקאות'!$A$2:$A$1958,"&lt;"&amp;DATE(2026,1,1))</f>
        <v>414</v>
      </c>
      <c r="J181" s="28" cm="1">
        <f t="array" ref="J181">_xlfn.SUMIFS('עסקאות'!$M$2:$M$1958,'עסקאות'!$F$2:$F$1958,B181,'עסקאות'!$A$2:$A$1958,"&gt;="&amp;DATE(2026,1,1),'עסקאות'!$A$2:$A$1958,"&lt;"&amp;DATE(2027,1,1))</f>
        <v>0</v>
      </c>
      <c r="K181" s="77"/>
    </row>
    <row r="182" ht="13.65" customHeight="1">
      <c r="A182" s="70"/>
      <c r="B182" t="s" s="94">
        <v>369</v>
      </c>
      <c r="C182" t="s" s="80">
        <v>121</v>
      </c>
      <c r="D182" s="118">
        <v>1</v>
      </c>
      <c r="E182" s="118">
        <v>1</v>
      </c>
      <c r="F182" s="81" cm="1">
        <f t="array" ref="F182">_xlfn.SUMIFS('עסקאות'!$M$2:$M$1958,'עסקאות'!$F$2:$F$1958,B182)</f>
        <v>410</v>
      </c>
      <c r="G182" s="81" cm="1">
        <f t="array" ref="G182">IF(D182=0,"",F182/D182)</f>
        <v>410</v>
      </c>
      <c r="H182" s="81" cm="1">
        <f t="array" ref="H182">F182/20</f>
        <v>20.5</v>
      </c>
      <c r="I182" s="81" cm="1">
        <f t="array" ref="I182">_xlfn.SUMIFS('עסקאות'!$M$2:$M$1958,'עסקאות'!$F$2:$F$1958,B182,'עסקאות'!$A$2:$A$1958,"&gt;="&amp;DATE(2025,1,1),'עסקאות'!$A$2:$A$1958,"&lt;"&amp;DATE(2026,1,1))</f>
        <v>410</v>
      </c>
      <c r="J182" s="83" cm="1">
        <f t="array" ref="J182">_xlfn.SUMIFS('עסקאות'!$M$2:$M$1958,'עסקאות'!$F$2:$F$1958,B182,'עסקאות'!$A$2:$A$1958,"&gt;="&amp;DATE(2026,1,1),'עסקאות'!$A$2:$A$1958,"&lt;"&amp;DATE(2027,1,1))</f>
        <v>0</v>
      </c>
      <c r="K182" s="77"/>
    </row>
    <row r="183" ht="13.65" customHeight="1">
      <c r="A183" s="70"/>
      <c r="B183" t="s" s="27">
        <v>370</v>
      </c>
      <c r="C183" t="s" s="86">
        <v>102</v>
      </c>
      <c r="D183" s="119">
        <v>1</v>
      </c>
      <c r="E183" s="119">
        <v>1</v>
      </c>
      <c r="F183" s="87" cm="1">
        <f t="array" ref="F183">_xlfn.SUMIFS('עסקאות'!$M$2:$M$1958,'עסקאות'!$F$2:$F$1958,B183)</f>
        <v>405</v>
      </c>
      <c r="G183" s="87" cm="1">
        <f t="array" ref="G183">IF(D183=0,"",F183/D183)</f>
        <v>405</v>
      </c>
      <c r="H183" s="87" cm="1">
        <f t="array" ref="H183">F183/20</f>
        <v>20.25</v>
      </c>
      <c r="I183" s="87" cm="1">
        <f t="array" ref="I183">_xlfn.SUMIFS('עסקאות'!$M$2:$M$1958,'עסקאות'!$F$2:$F$1958,B183,'עסקאות'!$A$2:$A$1958,"&gt;="&amp;DATE(2025,1,1),'עסקאות'!$A$2:$A$1958,"&lt;"&amp;DATE(2026,1,1))</f>
        <v>405</v>
      </c>
      <c r="J183" s="28" cm="1">
        <f t="array" ref="J183">_xlfn.SUMIFS('עסקאות'!$M$2:$M$1958,'עסקאות'!$F$2:$F$1958,B183,'עסקאות'!$A$2:$A$1958,"&gt;="&amp;DATE(2026,1,1),'עסקאות'!$A$2:$A$1958,"&lt;"&amp;DATE(2027,1,1))</f>
        <v>0</v>
      </c>
      <c r="K183" s="77"/>
    </row>
    <row r="184" ht="13.65" customHeight="1">
      <c r="A184" s="70"/>
      <c r="B184" t="s" s="94">
        <v>371</v>
      </c>
      <c r="C184" t="s" s="80">
        <v>107</v>
      </c>
      <c r="D184" s="118">
        <v>1</v>
      </c>
      <c r="E184" s="118">
        <v>1</v>
      </c>
      <c r="F184" s="81" cm="1">
        <f t="array" ref="F184">_xlfn.SUMIFS('עסקאות'!$M$2:$M$1958,'עסקאות'!$F$2:$F$1958,B184)</f>
        <v>400</v>
      </c>
      <c r="G184" s="81" cm="1">
        <f t="array" ref="G184">IF(D184=0,"",F184/D184)</f>
        <v>400</v>
      </c>
      <c r="H184" s="81" cm="1">
        <f t="array" ref="H184">F184/20</f>
        <v>20</v>
      </c>
      <c r="I184" s="81" cm="1">
        <f t="array" ref="I184">_xlfn.SUMIFS('עסקאות'!$M$2:$M$1958,'עסקאות'!$F$2:$F$1958,B184,'עסקאות'!$A$2:$A$1958,"&gt;="&amp;DATE(2025,1,1),'עסקאות'!$A$2:$A$1958,"&lt;"&amp;DATE(2026,1,1))</f>
        <v>400</v>
      </c>
      <c r="J184" s="83" cm="1">
        <f t="array" ref="J184">_xlfn.SUMIFS('עסקאות'!$M$2:$M$1958,'עסקאות'!$F$2:$F$1958,B184,'עסקאות'!$A$2:$A$1958,"&gt;="&amp;DATE(2026,1,1),'עסקאות'!$A$2:$A$1958,"&lt;"&amp;DATE(2027,1,1))</f>
        <v>0</v>
      </c>
      <c r="K184" s="77"/>
    </row>
    <row r="185" ht="13.65" customHeight="1">
      <c r="A185" s="70"/>
      <c r="B185" t="s" s="27">
        <v>372</v>
      </c>
      <c r="C185" t="s" s="86">
        <v>105</v>
      </c>
      <c r="D185" s="119">
        <v>1</v>
      </c>
      <c r="E185" s="119">
        <v>1</v>
      </c>
      <c r="F185" s="87" cm="1">
        <f t="array" ref="F185">_xlfn.SUMIFS('עסקאות'!$M$2:$M$1958,'עסקאות'!$F$2:$F$1958,B185)</f>
        <v>400</v>
      </c>
      <c r="G185" s="87" cm="1">
        <f t="array" ref="G185">IF(D185=0,"",F185/D185)</f>
        <v>400</v>
      </c>
      <c r="H185" s="87" cm="1">
        <f t="array" ref="H185">F185/20</f>
        <v>20</v>
      </c>
      <c r="I185" s="87" cm="1">
        <f t="array" ref="I185">_xlfn.SUMIFS('עסקאות'!$M$2:$M$1958,'עסקאות'!$F$2:$F$1958,B185,'עסקאות'!$A$2:$A$1958,"&gt;="&amp;DATE(2025,1,1),'עסקאות'!$A$2:$A$1958,"&lt;"&amp;DATE(2026,1,1))</f>
        <v>400</v>
      </c>
      <c r="J185" s="28" cm="1">
        <f t="array" ref="J185">_xlfn.SUMIFS('עסקאות'!$M$2:$M$1958,'עסקאות'!$F$2:$F$1958,B185,'עסקאות'!$A$2:$A$1958,"&gt;="&amp;DATE(2026,1,1),'עסקאות'!$A$2:$A$1958,"&lt;"&amp;DATE(2027,1,1))</f>
        <v>0</v>
      </c>
      <c r="K185" s="77"/>
    </row>
    <row r="186" ht="13.65" customHeight="1">
      <c r="A186" s="70"/>
      <c r="B186" t="s" s="94">
        <v>373</v>
      </c>
      <c r="C186" t="s" s="80">
        <v>127</v>
      </c>
      <c r="D186" s="118">
        <v>1</v>
      </c>
      <c r="E186" s="118">
        <v>1</v>
      </c>
      <c r="F186" s="81" cm="1">
        <f t="array" ref="F186">_xlfn.SUMIFS('עסקאות'!$M$2:$M$1958,'עסקאות'!$F$2:$F$1958,B186)</f>
        <v>400</v>
      </c>
      <c r="G186" s="81" cm="1">
        <f t="array" ref="G186">IF(D186=0,"",F186/D186)</f>
        <v>400</v>
      </c>
      <c r="H186" s="81" cm="1">
        <f t="array" ref="H186">F186/20</f>
        <v>20</v>
      </c>
      <c r="I186" s="81" cm="1">
        <f t="array" ref="I186">_xlfn.SUMIFS('עסקאות'!$M$2:$M$1958,'עסקאות'!$F$2:$F$1958,B186,'עסקאות'!$A$2:$A$1958,"&gt;="&amp;DATE(2025,1,1),'עסקאות'!$A$2:$A$1958,"&lt;"&amp;DATE(2026,1,1))</f>
        <v>400</v>
      </c>
      <c r="J186" s="83" cm="1">
        <f t="array" ref="J186">_xlfn.SUMIFS('עסקאות'!$M$2:$M$1958,'עסקאות'!$F$2:$F$1958,B186,'עסקאות'!$A$2:$A$1958,"&gt;="&amp;DATE(2026,1,1),'עסקאות'!$A$2:$A$1958,"&lt;"&amp;DATE(2027,1,1))</f>
        <v>0</v>
      </c>
      <c r="K186" s="77"/>
    </row>
    <row r="187" ht="13.65" customHeight="1">
      <c r="A187" s="70"/>
      <c r="B187" t="s" s="27">
        <v>374</v>
      </c>
      <c r="C187" t="s" s="86">
        <v>96</v>
      </c>
      <c r="D187" s="119">
        <v>10</v>
      </c>
      <c r="E187" s="119">
        <v>10</v>
      </c>
      <c r="F187" s="87" cm="1">
        <f t="array" ref="F187">_xlfn.SUMIFS('עסקאות'!$M$2:$M$1958,'עסקאות'!$F$2:$F$1958,B187)</f>
        <v>394</v>
      </c>
      <c r="G187" s="87" cm="1">
        <f t="array" ref="G187">IF(D187=0,"",F187/D187)</f>
        <v>39.4</v>
      </c>
      <c r="H187" s="87" cm="1">
        <f t="array" ref="H187">F187/20</f>
        <v>19.7</v>
      </c>
      <c r="I187" s="87" cm="1">
        <f t="array" ref="I187">_xlfn.SUMIFS('עסקאות'!$M$2:$M$1958,'עסקאות'!$F$2:$F$1958,B187,'עסקאות'!$A$2:$A$1958,"&gt;="&amp;DATE(2025,1,1),'עסקאות'!$A$2:$A$1958,"&lt;"&amp;DATE(2026,1,1))</f>
        <v>233</v>
      </c>
      <c r="J187" s="28" cm="1">
        <f t="array" ref="J187">_xlfn.SUMIFS('עסקאות'!$M$2:$M$1958,'עסקאות'!$F$2:$F$1958,B187,'עסקאות'!$A$2:$A$1958,"&gt;="&amp;DATE(2026,1,1),'עסקאות'!$A$2:$A$1958,"&lt;"&amp;DATE(2027,1,1))</f>
        <v>161</v>
      </c>
      <c r="K187" s="77"/>
    </row>
    <row r="188" ht="13.65" customHeight="1">
      <c r="A188" s="70"/>
      <c r="B188" t="s" s="94">
        <v>375</v>
      </c>
      <c r="C188" t="s" s="80">
        <v>115</v>
      </c>
      <c r="D188" s="118">
        <v>1</v>
      </c>
      <c r="E188" s="118">
        <v>1</v>
      </c>
      <c r="F188" s="81" cm="1">
        <f t="array" ref="F188">_xlfn.SUMIFS('עסקאות'!$M$2:$M$1958,'עסקאות'!$F$2:$F$1958,B188)</f>
        <v>393</v>
      </c>
      <c r="G188" s="81" cm="1">
        <f t="array" ref="G188">IF(D188=0,"",F188/D188)</f>
        <v>393</v>
      </c>
      <c r="H188" s="81" cm="1">
        <f t="array" ref="H188">F188/20</f>
        <v>19.65</v>
      </c>
      <c r="I188" s="81" cm="1">
        <f t="array" ref="I188">_xlfn.SUMIFS('עסקאות'!$M$2:$M$1958,'עסקאות'!$F$2:$F$1958,B188,'עסקאות'!$A$2:$A$1958,"&gt;="&amp;DATE(2025,1,1),'עסקאות'!$A$2:$A$1958,"&lt;"&amp;DATE(2026,1,1))</f>
        <v>0</v>
      </c>
      <c r="J188" s="83" cm="1">
        <f t="array" ref="J188">_xlfn.SUMIFS('עסקאות'!$M$2:$M$1958,'עסקאות'!$F$2:$F$1958,B188,'עסקאות'!$A$2:$A$1958,"&gt;="&amp;DATE(2026,1,1),'עסקאות'!$A$2:$A$1958,"&lt;"&amp;DATE(2027,1,1))</f>
        <v>393</v>
      </c>
      <c r="K188" s="77"/>
    </row>
    <row r="189" ht="13.65" customHeight="1">
      <c r="A189" s="70"/>
      <c r="B189" t="s" s="27">
        <v>376</v>
      </c>
      <c r="C189" t="s" s="86">
        <v>131</v>
      </c>
      <c r="D189" s="119">
        <v>1</v>
      </c>
      <c r="E189" s="119">
        <v>1</v>
      </c>
      <c r="F189" s="87" cm="1">
        <f t="array" ref="F189">_xlfn.SUMIFS('עסקאות'!$M$2:$M$1958,'עסקאות'!$F$2:$F$1958,B189)</f>
        <v>392</v>
      </c>
      <c r="G189" s="87" cm="1">
        <f t="array" ref="G189">IF(D189=0,"",F189/D189)</f>
        <v>392</v>
      </c>
      <c r="H189" s="87" cm="1">
        <f t="array" ref="H189">F189/20</f>
        <v>19.6</v>
      </c>
      <c r="I189" s="87" cm="1">
        <f t="array" ref="I189">_xlfn.SUMIFS('עסקאות'!$M$2:$M$1958,'עסקאות'!$F$2:$F$1958,B189,'עסקאות'!$A$2:$A$1958,"&gt;="&amp;DATE(2025,1,1),'עסקאות'!$A$2:$A$1958,"&lt;"&amp;DATE(2026,1,1))</f>
        <v>0</v>
      </c>
      <c r="J189" s="28" cm="1">
        <f t="array" ref="J189">_xlfn.SUMIFS('עסקאות'!$M$2:$M$1958,'עסקאות'!$F$2:$F$1958,B189,'עסקאות'!$A$2:$A$1958,"&gt;="&amp;DATE(2026,1,1),'עסקאות'!$A$2:$A$1958,"&lt;"&amp;DATE(2027,1,1))</f>
        <v>392</v>
      </c>
      <c r="K189" s="77"/>
    </row>
    <row r="190" ht="13.65" customHeight="1">
      <c r="A190" s="70"/>
      <c r="B190" t="s" s="94">
        <v>377</v>
      </c>
      <c r="C190" t="s" s="80">
        <v>113</v>
      </c>
      <c r="D190" s="118">
        <v>31</v>
      </c>
      <c r="E190" s="118">
        <v>14</v>
      </c>
      <c r="F190" s="81" cm="1">
        <f t="array" ref="F190">_xlfn.SUMIFS('עסקאות'!$M$2:$M$1958,'עסקאות'!$F$2:$F$1958,B190)</f>
        <v>367</v>
      </c>
      <c r="G190" s="81" cm="1">
        <f t="array" ref="G190">IF(D190=0,"",F190/D190)</f>
        <v>11.8387096774194</v>
      </c>
      <c r="H190" s="81" cm="1">
        <f t="array" ref="H190">F190/20</f>
        <v>18.35</v>
      </c>
      <c r="I190" s="81" cm="1">
        <f t="array" ref="I190">_xlfn.SUMIFS('עסקאות'!$M$2:$M$1958,'עסקאות'!$F$2:$F$1958,B190,'עסקאות'!$A$2:$A$1958,"&gt;="&amp;DATE(2025,1,1),'עסקאות'!$A$2:$A$1958,"&lt;"&amp;DATE(2026,1,1))</f>
        <v>224</v>
      </c>
      <c r="J190" s="83" cm="1">
        <f t="array" ref="J190">_xlfn.SUMIFS('עסקאות'!$M$2:$M$1958,'עסקאות'!$F$2:$F$1958,B190,'עסקאות'!$A$2:$A$1958,"&gt;="&amp;DATE(2026,1,1),'עסקאות'!$A$2:$A$1958,"&lt;"&amp;DATE(2027,1,1))</f>
        <v>143</v>
      </c>
      <c r="K190" s="77"/>
    </row>
    <row r="191" ht="13.65" customHeight="1">
      <c r="A191" s="70"/>
      <c r="B191" t="s" s="27">
        <v>378</v>
      </c>
      <c r="C191" t="s" s="86">
        <v>113</v>
      </c>
      <c r="D191" s="119">
        <v>1</v>
      </c>
      <c r="E191" s="119">
        <v>1</v>
      </c>
      <c r="F191" s="87" cm="1">
        <f t="array" ref="F191">_xlfn.SUMIFS('עסקאות'!$M$2:$M$1958,'עסקאות'!$F$2:$F$1958,B191)</f>
        <v>365</v>
      </c>
      <c r="G191" s="87" cm="1">
        <f t="array" ref="G191">IF(D191=0,"",F191/D191)</f>
        <v>365</v>
      </c>
      <c r="H191" s="87" cm="1">
        <f t="array" ref="H191">F191/20</f>
        <v>18.25</v>
      </c>
      <c r="I191" s="87" cm="1">
        <f t="array" ref="I191">_xlfn.SUMIFS('עסקאות'!$M$2:$M$1958,'עסקאות'!$F$2:$F$1958,B191,'עסקאות'!$A$2:$A$1958,"&gt;="&amp;DATE(2025,1,1),'עסקאות'!$A$2:$A$1958,"&lt;"&amp;DATE(2026,1,1))</f>
        <v>365</v>
      </c>
      <c r="J191" s="28" cm="1">
        <f t="array" ref="J191">_xlfn.SUMIFS('עסקאות'!$M$2:$M$1958,'עסקאות'!$F$2:$F$1958,B191,'עסקאות'!$A$2:$A$1958,"&gt;="&amp;DATE(2026,1,1),'עסקאות'!$A$2:$A$1958,"&lt;"&amp;DATE(2027,1,1))</f>
        <v>0</v>
      </c>
      <c r="K191" s="77"/>
    </row>
    <row r="192" ht="13.65" customHeight="1">
      <c r="A192" s="70"/>
      <c r="B192" t="s" s="94">
        <v>379</v>
      </c>
      <c r="C192" t="s" s="80">
        <v>121</v>
      </c>
      <c r="D192" s="118">
        <v>1</v>
      </c>
      <c r="E192" s="118">
        <v>1</v>
      </c>
      <c r="F192" s="81" cm="1">
        <f t="array" ref="F192">_xlfn.SUMIFS('עסקאות'!$M$2:$M$1958,'עסקאות'!$F$2:$F$1958,B192)</f>
        <v>361</v>
      </c>
      <c r="G192" s="81" cm="1">
        <f t="array" ref="G192">IF(D192=0,"",F192/D192)</f>
        <v>361</v>
      </c>
      <c r="H192" s="81" cm="1">
        <f t="array" ref="H192">F192/20</f>
        <v>18.05</v>
      </c>
      <c r="I192" s="81" cm="1">
        <f t="array" ref="I192">_xlfn.SUMIFS('עסקאות'!$M$2:$M$1958,'עסקאות'!$F$2:$F$1958,B192,'עסקאות'!$A$2:$A$1958,"&gt;="&amp;DATE(2025,1,1),'עסקאות'!$A$2:$A$1958,"&lt;"&amp;DATE(2026,1,1))</f>
        <v>361</v>
      </c>
      <c r="J192" s="83" cm="1">
        <f t="array" ref="J192">_xlfn.SUMIFS('עסקאות'!$M$2:$M$1958,'עסקאות'!$F$2:$F$1958,B192,'עסקאות'!$A$2:$A$1958,"&gt;="&amp;DATE(2026,1,1),'עסקאות'!$A$2:$A$1958,"&lt;"&amp;DATE(2027,1,1))</f>
        <v>0</v>
      </c>
      <c r="K192" s="77"/>
    </row>
    <row r="193" ht="13.65" customHeight="1">
      <c r="A193" s="70"/>
      <c r="B193" t="s" s="27">
        <v>380</v>
      </c>
      <c r="C193" t="s" s="86">
        <v>123</v>
      </c>
      <c r="D193" s="119">
        <v>1</v>
      </c>
      <c r="E193" s="119">
        <v>1</v>
      </c>
      <c r="F193" s="87" cm="1">
        <f t="array" ref="F193">_xlfn.SUMIFS('עסקאות'!$M$2:$M$1958,'עסקאות'!$F$2:$F$1958,B193)</f>
        <v>360</v>
      </c>
      <c r="G193" s="87" cm="1">
        <f t="array" ref="G193">IF(D193=0,"",F193/D193)</f>
        <v>360</v>
      </c>
      <c r="H193" s="87" cm="1">
        <f t="array" ref="H193">F193/20</f>
        <v>18</v>
      </c>
      <c r="I193" s="87" cm="1">
        <f t="array" ref="I193">_xlfn.SUMIFS('עסקאות'!$M$2:$M$1958,'עסקאות'!$F$2:$F$1958,B193,'עסקאות'!$A$2:$A$1958,"&gt;="&amp;DATE(2025,1,1),'עסקאות'!$A$2:$A$1958,"&lt;"&amp;DATE(2026,1,1))</f>
        <v>0</v>
      </c>
      <c r="J193" s="28" cm="1">
        <f t="array" ref="J193">_xlfn.SUMIFS('עסקאות'!$M$2:$M$1958,'עסקאות'!$F$2:$F$1958,B193,'עסקאות'!$A$2:$A$1958,"&gt;="&amp;DATE(2026,1,1),'עסקאות'!$A$2:$A$1958,"&lt;"&amp;DATE(2027,1,1))</f>
        <v>360</v>
      </c>
      <c r="K193" s="77"/>
    </row>
    <row r="194" ht="13.65" customHeight="1">
      <c r="A194" s="70"/>
      <c r="B194" t="s" s="94">
        <v>381</v>
      </c>
      <c r="C194" t="s" s="80">
        <v>121</v>
      </c>
      <c r="D194" s="118">
        <v>4</v>
      </c>
      <c r="E194" s="118">
        <v>4</v>
      </c>
      <c r="F194" s="81" cm="1">
        <f t="array" ref="F194">_xlfn.SUMIFS('עסקאות'!$M$2:$M$1958,'עסקאות'!$F$2:$F$1958,B194)</f>
        <v>358</v>
      </c>
      <c r="G194" s="81" cm="1">
        <f t="array" ref="G194">IF(D194=0,"",F194/D194)</f>
        <v>89.5</v>
      </c>
      <c r="H194" s="81" cm="1">
        <f t="array" ref="H194">F194/20</f>
        <v>17.9</v>
      </c>
      <c r="I194" s="81" cm="1">
        <f t="array" ref="I194">_xlfn.SUMIFS('עסקאות'!$M$2:$M$1958,'עסקאות'!$F$2:$F$1958,B194,'עסקאות'!$A$2:$A$1958,"&gt;="&amp;DATE(2025,1,1),'עסקאות'!$A$2:$A$1958,"&lt;"&amp;DATE(2026,1,1))</f>
        <v>298</v>
      </c>
      <c r="J194" s="83" cm="1">
        <f t="array" ref="J194">_xlfn.SUMIFS('עסקאות'!$M$2:$M$1958,'עסקאות'!$F$2:$F$1958,B194,'עסקאות'!$A$2:$A$1958,"&gt;="&amp;DATE(2026,1,1),'עסקאות'!$A$2:$A$1958,"&lt;"&amp;DATE(2027,1,1))</f>
        <v>60</v>
      </c>
      <c r="K194" s="77"/>
    </row>
    <row r="195" ht="13.65" customHeight="1">
      <c r="A195" s="70"/>
      <c r="B195" t="s" s="27">
        <v>382</v>
      </c>
      <c r="C195" t="s" s="86">
        <v>102</v>
      </c>
      <c r="D195" s="119">
        <v>1</v>
      </c>
      <c r="E195" s="119">
        <v>1</v>
      </c>
      <c r="F195" s="87" cm="1">
        <f t="array" ref="F195">_xlfn.SUMIFS('עסקאות'!$M$2:$M$1958,'עסקאות'!$F$2:$F$1958,B195)</f>
        <v>357</v>
      </c>
      <c r="G195" s="87" cm="1">
        <f t="array" ref="G195">IF(D195=0,"",F195/D195)</f>
        <v>357</v>
      </c>
      <c r="H195" s="87" cm="1">
        <f t="array" ref="H195">F195/20</f>
        <v>17.85</v>
      </c>
      <c r="I195" s="87" cm="1">
        <f t="array" ref="I195">_xlfn.SUMIFS('עסקאות'!$M$2:$M$1958,'עסקאות'!$F$2:$F$1958,B195,'עסקאות'!$A$2:$A$1958,"&gt;="&amp;DATE(2025,1,1),'עסקאות'!$A$2:$A$1958,"&lt;"&amp;DATE(2026,1,1))</f>
        <v>357</v>
      </c>
      <c r="J195" s="28" cm="1">
        <f t="array" ref="J195">_xlfn.SUMIFS('עסקאות'!$M$2:$M$1958,'עסקאות'!$F$2:$F$1958,B195,'עסקאות'!$A$2:$A$1958,"&gt;="&amp;DATE(2026,1,1),'עסקאות'!$A$2:$A$1958,"&lt;"&amp;DATE(2027,1,1))</f>
        <v>0</v>
      </c>
      <c r="K195" s="77"/>
    </row>
    <row r="196" ht="13.65" customHeight="1">
      <c r="A196" s="70"/>
      <c r="B196" t="s" s="94">
        <v>383</v>
      </c>
      <c r="C196" t="s" s="80">
        <v>109</v>
      </c>
      <c r="D196" s="118">
        <v>3</v>
      </c>
      <c r="E196" s="118">
        <v>2</v>
      </c>
      <c r="F196" s="81" cm="1">
        <f t="array" ref="F196">_xlfn.SUMIFS('עסקאות'!$M$2:$M$1958,'עסקאות'!$F$2:$F$1958,B196)</f>
        <v>354</v>
      </c>
      <c r="G196" s="81" cm="1">
        <f t="array" ref="G196">IF(D196=0,"",F196/D196)</f>
        <v>118</v>
      </c>
      <c r="H196" s="81" cm="1">
        <f t="array" ref="H196">F196/20</f>
        <v>17.7</v>
      </c>
      <c r="I196" s="81" cm="1">
        <f t="array" ref="I196">_xlfn.SUMIFS('עסקאות'!$M$2:$M$1958,'עסקאות'!$F$2:$F$1958,B196,'עסקאות'!$A$2:$A$1958,"&gt;="&amp;DATE(2025,1,1),'עסקאות'!$A$2:$A$1958,"&lt;"&amp;DATE(2026,1,1))</f>
        <v>354</v>
      </c>
      <c r="J196" s="83" cm="1">
        <f t="array" ref="J196">_xlfn.SUMIFS('עסקאות'!$M$2:$M$1958,'עסקאות'!$F$2:$F$1958,B196,'עסקאות'!$A$2:$A$1958,"&gt;="&amp;DATE(2026,1,1),'עסקאות'!$A$2:$A$1958,"&lt;"&amp;DATE(2027,1,1))</f>
        <v>0</v>
      </c>
      <c r="K196" s="77"/>
    </row>
    <row r="197" ht="13.65" customHeight="1">
      <c r="A197" s="70"/>
      <c r="B197" t="s" s="27">
        <v>384</v>
      </c>
      <c r="C197" t="s" s="86">
        <v>113</v>
      </c>
      <c r="D197" s="119">
        <v>3</v>
      </c>
      <c r="E197" s="119">
        <v>3</v>
      </c>
      <c r="F197" s="87" cm="1">
        <f t="array" ref="F197">_xlfn.SUMIFS('עסקאות'!$M$2:$M$1958,'עסקאות'!$F$2:$F$1958,B197)</f>
        <v>352</v>
      </c>
      <c r="G197" s="87" cm="1">
        <f t="array" ref="G197">IF(D197=0,"",F197/D197)</f>
        <v>117.333333333333</v>
      </c>
      <c r="H197" s="87" cm="1">
        <f t="array" ref="H197">F197/20</f>
        <v>17.6</v>
      </c>
      <c r="I197" s="87" cm="1">
        <f t="array" ref="I197">_xlfn.SUMIFS('עסקאות'!$M$2:$M$1958,'עסקאות'!$F$2:$F$1958,B197,'עסקאות'!$A$2:$A$1958,"&gt;="&amp;DATE(2025,1,1),'עסקאות'!$A$2:$A$1958,"&lt;"&amp;DATE(2026,1,1))</f>
        <v>210</v>
      </c>
      <c r="J197" s="28" cm="1">
        <f t="array" ref="J197">_xlfn.SUMIFS('עסקאות'!$M$2:$M$1958,'עסקאות'!$F$2:$F$1958,B197,'עסקאות'!$A$2:$A$1958,"&gt;="&amp;DATE(2026,1,1),'עסקאות'!$A$2:$A$1958,"&lt;"&amp;DATE(2027,1,1))</f>
        <v>142</v>
      </c>
      <c r="K197" s="77"/>
    </row>
    <row r="198" ht="13.65" customHeight="1">
      <c r="A198" s="70"/>
      <c r="B198" t="s" s="94">
        <v>385</v>
      </c>
      <c r="C198" t="s" s="80">
        <v>105</v>
      </c>
      <c r="D198" s="118">
        <v>1</v>
      </c>
      <c r="E198" s="118">
        <v>1</v>
      </c>
      <c r="F198" s="81" cm="1">
        <f t="array" ref="F198">_xlfn.SUMIFS('עסקאות'!$M$2:$M$1958,'עסקאות'!$F$2:$F$1958,B198)</f>
        <v>350</v>
      </c>
      <c r="G198" s="81" cm="1">
        <f t="array" ref="G198">IF(D198=0,"",F198/D198)</f>
        <v>350</v>
      </c>
      <c r="H198" s="81" cm="1">
        <f t="array" ref="H198">F198/20</f>
        <v>17.5</v>
      </c>
      <c r="I198" s="81" cm="1">
        <f t="array" ref="I198">_xlfn.SUMIFS('עסקאות'!$M$2:$M$1958,'עסקאות'!$F$2:$F$1958,B198,'עסקאות'!$A$2:$A$1958,"&gt;="&amp;DATE(2025,1,1),'עסקאות'!$A$2:$A$1958,"&lt;"&amp;DATE(2026,1,1))</f>
        <v>350</v>
      </c>
      <c r="J198" s="83" cm="1">
        <f t="array" ref="J198">_xlfn.SUMIFS('עסקאות'!$M$2:$M$1958,'עסקאות'!$F$2:$F$1958,B198,'עסקאות'!$A$2:$A$1958,"&gt;="&amp;DATE(2026,1,1),'עסקאות'!$A$2:$A$1958,"&lt;"&amp;DATE(2027,1,1))</f>
        <v>0</v>
      </c>
      <c r="K198" s="77"/>
    </row>
    <row r="199" ht="13.65" customHeight="1">
      <c r="A199" s="70"/>
      <c r="B199" t="s" s="27">
        <v>386</v>
      </c>
      <c r="C199" t="s" s="86">
        <v>96</v>
      </c>
      <c r="D199" s="119">
        <v>1</v>
      </c>
      <c r="E199" s="119">
        <v>1</v>
      </c>
      <c r="F199" s="87" cm="1">
        <f t="array" ref="F199">_xlfn.SUMIFS('עסקאות'!$M$2:$M$1958,'עסקאות'!$F$2:$F$1958,B199)</f>
        <v>350</v>
      </c>
      <c r="G199" s="87" cm="1">
        <f t="array" ref="G199">IF(D199=0,"",F199/D199)</f>
        <v>350</v>
      </c>
      <c r="H199" s="87" cm="1">
        <f t="array" ref="H199">F199/20</f>
        <v>17.5</v>
      </c>
      <c r="I199" s="87" cm="1">
        <f t="array" ref="I199">_xlfn.SUMIFS('עסקאות'!$M$2:$M$1958,'עסקאות'!$F$2:$F$1958,B199,'עסקאות'!$A$2:$A$1958,"&gt;="&amp;DATE(2025,1,1),'עסקאות'!$A$2:$A$1958,"&lt;"&amp;DATE(2026,1,1))</f>
        <v>350</v>
      </c>
      <c r="J199" s="28" cm="1">
        <f t="array" ref="J199">_xlfn.SUMIFS('עסקאות'!$M$2:$M$1958,'עסקאות'!$F$2:$F$1958,B199,'עסקאות'!$A$2:$A$1958,"&gt;="&amp;DATE(2026,1,1),'עסקאות'!$A$2:$A$1958,"&lt;"&amp;DATE(2027,1,1))</f>
        <v>0</v>
      </c>
      <c r="K199" s="77"/>
    </row>
    <row r="200" ht="13.65" customHeight="1">
      <c r="A200" s="70"/>
      <c r="B200" t="s" s="94">
        <v>387</v>
      </c>
      <c r="C200" t="s" s="80">
        <v>102</v>
      </c>
      <c r="D200" s="118">
        <v>1</v>
      </c>
      <c r="E200" s="118">
        <v>1</v>
      </c>
      <c r="F200" s="81" cm="1">
        <f t="array" ref="F200">_xlfn.SUMIFS('עסקאות'!$M$2:$M$1958,'עסקאות'!$F$2:$F$1958,B200)</f>
        <v>347</v>
      </c>
      <c r="G200" s="81" cm="1">
        <f t="array" ref="G200">IF(D200=0,"",F200/D200)</f>
        <v>347</v>
      </c>
      <c r="H200" s="81" cm="1">
        <f t="array" ref="H200">F200/20</f>
        <v>17.35</v>
      </c>
      <c r="I200" s="81" cm="1">
        <f t="array" ref="I200">_xlfn.SUMIFS('עסקאות'!$M$2:$M$1958,'עסקאות'!$F$2:$F$1958,B200,'עסקאות'!$A$2:$A$1958,"&gt;="&amp;DATE(2025,1,1),'עסקאות'!$A$2:$A$1958,"&lt;"&amp;DATE(2026,1,1))</f>
        <v>347</v>
      </c>
      <c r="J200" s="83" cm="1">
        <f t="array" ref="J200">_xlfn.SUMIFS('עסקאות'!$M$2:$M$1958,'עסקאות'!$F$2:$F$1958,B200,'עסקאות'!$A$2:$A$1958,"&gt;="&amp;DATE(2026,1,1),'עסקאות'!$A$2:$A$1958,"&lt;"&amp;DATE(2027,1,1))</f>
        <v>0</v>
      </c>
      <c r="K200" s="77"/>
    </row>
    <row r="201" ht="13.65" customHeight="1">
      <c r="A201" s="70"/>
      <c r="B201" t="s" s="27">
        <v>388</v>
      </c>
      <c r="C201" t="s" s="86">
        <v>102</v>
      </c>
      <c r="D201" s="119">
        <v>1</v>
      </c>
      <c r="E201" s="119">
        <v>1</v>
      </c>
      <c r="F201" s="87" cm="1">
        <f t="array" ref="F201">_xlfn.SUMIFS('עסקאות'!$M$2:$M$1958,'עסקאות'!$F$2:$F$1958,B201)</f>
        <v>343</v>
      </c>
      <c r="G201" s="87" cm="1">
        <f t="array" ref="G201">IF(D201=0,"",F201/D201)</f>
        <v>343</v>
      </c>
      <c r="H201" s="87" cm="1">
        <f t="array" ref="H201">F201/20</f>
        <v>17.15</v>
      </c>
      <c r="I201" s="87" cm="1">
        <f t="array" ref="I201">_xlfn.SUMIFS('עסקאות'!$M$2:$M$1958,'עסקאות'!$F$2:$F$1958,B201,'עסקאות'!$A$2:$A$1958,"&gt;="&amp;DATE(2025,1,1),'עסקאות'!$A$2:$A$1958,"&lt;"&amp;DATE(2026,1,1))</f>
        <v>343</v>
      </c>
      <c r="J201" s="28" cm="1">
        <f t="array" ref="J201">_xlfn.SUMIFS('עסקאות'!$M$2:$M$1958,'עסקאות'!$F$2:$F$1958,B201,'עסקאות'!$A$2:$A$1958,"&gt;="&amp;DATE(2026,1,1),'עסקאות'!$A$2:$A$1958,"&lt;"&amp;DATE(2027,1,1))</f>
        <v>0</v>
      </c>
      <c r="K201" s="77"/>
    </row>
    <row r="202" ht="13.65" customHeight="1">
      <c r="A202" s="70"/>
      <c r="B202" t="s" s="94">
        <v>389</v>
      </c>
      <c r="C202" t="s" s="80">
        <v>127</v>
      </c>
      <c r="D202" s="118">
        <v>2</v>
      </c>
      <c r="E202" s="118">
        <v>2</v>
      </c>
      <c r="F202" s="81" cm="1">
        <f t="array" ref="F202">_xlfn.SUMIFS('עסקאות'!$M$2:$M$1958,'עסקאות'!$F$2:$F$1958,B202)</f>
        <v>333</v>
      </c>
      <c r="G202" s="81" cm="1">
        <f t="array" ref="G202">IF(D202=0,"",F202/D202)</f>
        <v>166.5</v>
      </c>
      <c r="H202" s="81" cm="1">
        <f t="array" ref="H202">F202/20</f>
        <v>16.65</v>
      </c>
      <c r="I202" s="81" cm="1">
        <f t="array" ref="I202">_xlfn.SUMIFS('עסקאות'!$M$2:$M$1958,'עסקאות'!$F$2:$F$1958,B202,'עסקאות'!$A$2:$A$1958,"&gt;="&amp;DATE(2025,1,1),'עסקאות'!$A$2:$A$1958,"&lt;"&amp;DATE(2026,1,1))</f>
        <v>219</v>
      </c>
      <c r="J202" s="83" cm="1">
        <f t="array" ref="J202">_xlfn.SUMIFS('עסקאות'!$M$2:$M$1958,'עסקאות'!$F$2:$F$1958,B202,'עסקאות'!$A$2:$A$1958,"&gt;="&amp;DATE(2026,1,1),'עסקאות'!$A$2:$A$1958,"&lt;"&amp;DATE(2027,1,1))</f>
        <v>114</v>
      </c>
      <c r="K202" s="77"/>
    </row>
    <row r="203" ht="13.65" customHeight="1">
      <c r="A203" s="70"/>
      <c r="B203" t="s" s="27">
        <v>390</v>
      </c>
      <c r="C203" t="s" s="86">
        <v>121</v>
      </c>
      <c r="D203" s="119">
        <v>1</v>
      </c>
      <c r="E203" s="119">
        <v>1</v>
      </c>
      <c r="F203" s="87" cm="1">
        <f t="array" ref="F203">_xlfn.SUMIFS('עסקאות'!$M$2:$M$1958,'עסקאות'!$F$2:$F$1958,B203)</f>
        <v>328</v>
      </c>
      <c r="G203" s="87" cm="1">
        <f t="array" ref="G203">IF(D203=0,"",F203/D203)</f>
        <v>328</v>
      </c>
      <c r="H203" s="87" cm="1">
        <f t="array" ref="H203">F203/20</f>
        <v>16.4</v>
      </c>
      <c r="I203" s="87" cm="1">
        <f t="array" ref="I203">_xlfn.SUMIFS('עסקאות'!$M$2:$M$1958,'עסקאות'!$F$2:$F$1958,B203,'עסקאות'!$A$2:$A$1958,"&gt;="&amp;DATE(2025,1,1),'עסקאות'!$A$2:$A$1958,"&lt;"&amp;DATE(2026,1,1))</f>
        <v>0</v>
      </c>
      <c r="J203" s="28" cm="1">
        <f t="array" ref="J203">_xlfn.SUMIFS('עסקאות'!$M$2:$M$1958,'עסקאות'!$F$2:$F$1958,B203,'עסקאות'!$A$2:$A$1958,"&gt;="&amp;DATE(2026,1,1),'עסקאות'!$A$2:$A$1958,"&lt;"&amp;DATE(2027,1,1))</f>
        <v>328</v>
      </c>
      <c r="K203" s="77"/>
    </row>
    <row r="204" ht="13.65" customHeight="1">
      <c r="A204" s="70"/>
      <c r="B204" t="s" s="94">
        <v>391</v>
      </c>
      <c r="C204" t="s" s="80">
        <v>115</v>
      </c>
      <c r="D204" s="118">
        <v>19</v>
      </c>
      <c r="E204" s="118">
        <v>5</v>
      </c>
      <c r="F204" s="81" cm="1">
        <f t="array" ref="F204">_xlfn.SUMIFS('עסקאות'!$M$2:$M$1958,'עסקאות'!$F$2:$F$1958,B204)</f>
        <v>325</v>
      </c>
      <c r="G204" s="81" cm="1">
        <f t="array" ref="G204">IF(D204=0,"",F204/D204)</f>
        <v>17.1052631578947</v>
      </c>
      <c r="H204" s="81" cm="1">
        <f t="array" ref="H204">F204/20</f>
        <v>16.25</v>
      </c>
      <c r="I204" s="81" cm="1">
        <f t="array" ref="I204">_xlfn.SUMIFS('עסקאות'!$M$2:$M$1958,'עסקאות'!$F$2:$F$1958,B204,'עסקאות'!$A$2:$A$1958,"&gt;="&amp;DATE(2025,1,1),'עסקאות'!$A$2:$A$1958,"&lt;"&amp;DATE(2026,1,1))</f>
        <v>249</v>
      </c>
      <c r="J204" s="83" cm="1">
        <f t="array" ref="J204">_xlfn.SUMIFS('עסקאות'!$M$2:$M$1958,'עסקאות'!$F$2:$F$1958,B204,'עסקאות'!$A$2:$A$1958,"&gt;="&amp;DATE(2026,1,1),'עסקאות'!$A$2:$A$1958,"&lt;"&amp;DATE(2027,1,1))</f>
        <v>76</v>
      </c>
      <c r="K204" s="77"/>
    </row>
    <row r="205" ht="13.65" customHeight="1">
      <c r="A205" s="70"/>
      <c r="B205" t="s" s="27">
        <v>392</v>
      </c>
      <c r="C205" t="s" s="86">
        <v>133</v>
      </c>
      <c r="D205" s="119">
        <v>1</v>
      </c>
      <c r="E205" s="119">
        <v>1</v>
      </c>
      <c r="F205" s="87" cm="1">
        <f t="array" ref="F205">_xlfn.SUMIFS('עסקאות'!$M$2:$M$1958,'עסקאות'!$F$2:$F$1958,B205)</f>
        <v>319</v>
      </c>
      <c r="G205" s="87" cm="1">
        <f t="array" ref="G205">IF(D205=0,"",F205/D205)</f>
        <v>319</v>
      </c>
      <c r="H205" s="87" cm="1">
        <f t="array" ref="H205">F205/20</f>
        <v>15.95</v>
      </c>
      <c r="I205" s="87" cm="1">
        <f t="array" ref="I205">_xlfn.SUMIFS('עסקאות'!$M$2:$M$1958,'עסקאות'!$F$2:$F$1958,B205,'עסקאות'!$A$2:$A$1958,"&gt;="&amp;DATE(2025,1,1),'עסקאות'!$A$2:$A$1958,"&lt;"&amp;DATE(2026,1,1))</f>
        <v>0</v>
      </c>
      <c r="J205" s="28" cm="1">
        <f t="array" ref="J205">_xlfn.SUMIFS('עסקאות'!$M$2:$M$1958,'עסקאות'!$F$2:$F$1958,B205,'עסקאות'!$A$2:$A$1958,"&gt;="&amp;DATE(2026,1,1),'עסקאות'!$A$2:$A$1958,"&lt;"&amp;DATE(2027,1,1))</f>
        <v>319</v>
      </c>
      <c r="K205" s="77"/>
    </row>
    <row r="206" ht="13.65" customHeight="1">
      <c r="A206" s="70"/>
      <c r="B206" t="s" s="94">
        <v>393</v>
      </c>
      <c r="C206" t="s" s="80">
        <v>123</v>
      </c>
      <c r="D206" s="118">
        <v>2</v>
      </c>
      <c r="E206" s="118">
        <v>1</v>
      </c>
      <c r="F206" s="81" cm="1">
        <f t="array" ref="F206">_xlfn.SUMIFS('עסקאות'!$M$2:$M$1958,'עסקאות'!$F$2:$F$1958,B206)</f>
        <v>315</v>
      </c>
      <c r="G206" s="81" cm="1">
        <f t="array" ref="G206">IF(D206=0,"",F206/D206)</f>
        <v>157.5</v>
      </c>
      <c r="H206" s="81" cm="1">
        <f t="array" ref="H206">F206/20</f>
        <v>15.75</v>
      </c>
      <c r="I206" s="81" cm="1">
        <f t="array" ref="I206">_xlfn.SUMIFS('עסקאות'!$M$2:$M$1958,'עסקאות'!$F$2:$F$1958,B206,'עסקאות'!$A$2:$A$1958,"&gt;="&amp;DATE(2025,1,1),'עסקאות'!$A$2:$A$1958,"&lt;"&amp;DATE(2026,1,1))</f>
        <v>0</v>
      </c>
      <c r="J206" s="83" cm="1">
        <f t="array" ref="J206">_xlfn.SUMIFS('עסקאות'!$M$2:$M$1958,'עסקאות'!$F$2:$F$1958,B206,'עסקאות'!$A$2:$A$1958,"&gt;="&amp;DATE(2026,1,1),'עסקאות'!$A$2:$A$1958,"&lt;"&amp;DATE(2027,1,1))</f>
        <v>315</v>
      </c>
      <c r="K206" s="77"/>
    </row>
    <row r="207" ht="13.65" customHeight="1">
      <c r="A207" s="70"/>
      <c r="B207" t="s" s="27">
        <v>394</v>
      </c>
      <c r="C207" t="s" s="86">
        <v>109</v>
      </c>
      <c r="D207" s="119">
        <v>1</v>
      </c>
      <c r="E207" s="119">
        <v>1</v>
      </c>
      <c r="F207" s="87" cm="1">
        <f t="array" ref="F207">_xlfn.SUMIFS('עסקאות'!$M$2:$M$1958,'עסקאות'!$F$2:$F$1958,B207)</f>
        <v>304</v>
      </c>
      <c r="G207" s="87" cm="1">
        <f t="array" ref="G207">IF(D207=0,"",F207/D207)</f>
        <v>304</v>
      </c>
      <c r="H207" s="87" cm="1">
        <f t="array" ref="H207">F207/20</f>
        <v>15.2</v>
      </c>
      <c r="I207" s="87" cm="1">
        <f t="array" ref="I207">_xlfn.SUMIFS('עסקאות'!$M$2:$M$1958,'עסקאות'!$F$2:$F$1958,B207,'עסקאות'!$A$2:$A$1958,"&gt;="&amp;DATE(2025,1,1),'עסקאות'!$A$2:$A$1958,"&lt;"&amp;DATE(2026,1,1))</f>
        <v>304</v>
      </c>
      <c r="J207" s="28" cm="1">
        <f t="array" ref="J207">_xlfn.SUMIFS('עסקאות'!$M$2:$M$1958,'עסקאות'!$F$2:$F$1958,B207,'עסקאות'!$A$2:$A$1958,"&gt;="&amp;DATE(2026,1,1),'עסקאות'!$A$2:$A$1958,"&lt;"&amp;DATE(2027,1,1))</f>
        <v>0</v>
      </c>
      <c r="K207" s="77"/>
    </row>
    <row r="208" ht="13.65" customHeight="1">
      <c r="A208" s="70"/>
      <c r="B208" t="s" s="94">
        <v>395</v>
      </c>
      <c r="C208" t="s" s="80">
        <v>115</v>
      </c>
      <c r="D208" s="118">
        <v>8</v>
      </c>
      <c r="E208" s="118">
        <v>5</v>
      </c>
      <c r="F208" s="81" cm="1">
        <f t="array" ref="F208">_xlfn.SUMIFS('עסקאות'!$M$2:$M$1958,'עסקאות'!$F$2:$F$1958,B208)</f>
        <v>303</v>
      </c>
      <c r="G208" s="81" cm="1">
        <f t="array" ref="G208">IF(D208=0,"",F208/D208)</f>
        <v>37.875</v>
      </c>
      <c r="H208" s="81" cm="1">
        <f t="array" ref="H208">F208/20</f>
        <v>15.15</v>
      </c>
      <c r="I208" s="81" cm="1">
        <f t="array" ref="I208">_xlfn.SUMIFS('עסקאות'!$M$2:$M$1958,'עסקאות'!$F$2:$F$1958,B208,'עסקאות'!$A$2:$A$1958,"&gt;="&amp;DATE(2025,1,1),'עסקאות'!$A$2:$A$1958,"&lt;"&amp;DATE(2026,1,1))</f>
        <v>303</v>
      </c>
      <c r="J208" s="83" cm="1">
        <f t="array" ref="J208">_xlfn.SUMIFS('עסקאות'!$M$2:$M$1958,'עסקאות'!$F$2:$F$1958,B208,'עסקאות'!$A$2:$A$1958,"&gt;="&amp;DATE(2026,1,1),'עסקאות'!$A$2:$A$1958,"&lt;"&amp;DATE(2027,1,1))</f>
        <v>0</v>
      </c>
      <c r="K208" s="77"/>
    </row>
    <row r="209" ht="13.65" customHeight="1">
      <c r="A209" s="70"/>
      <c r="B209" t="s" s="27">
        <v>396</v>
      </c>
      <c r="C209" t="s" s="86">
        <v>107</v>
      </c>
      <c r="D209" s="119">
        <v>1</v>
      </c>
      <c r="E209" s="119">
        <v>1</v>
      </c>
      <c r="F209" s="87" cm="1">
        <f t="array" ref="F209">_xlfn.SUMIFS('עסקאות'!$M$2:$M$1958,'עסקאות'!$F$2:$F$1958,B209)</f>
        <v>302</v>
      </c>
      <c r="G209" s="87" cm="1">
        <f t="array" ref="G209">IF(D209=0,"",F209/D209)</f>
        <v>302</v>
      </c>
      <c r="H209" s="87" cm="1">
        <f t="array" ref="H209">F209/20</f>
        <v>15.1</v>
      </c>
      <c r="I209" s="87" cm="1">
        <f t="array" ref="I209">_xlfn.SUMIFS('עסקאות'!$M$2:$M$1958,'עסקאות'!$F$2:$F$1958,B209,'עסקאות'!$A$2:$A$1958,"&gt;="&amp;DATE(2025,1,1),'עסקאות'!$A$2:$A$1958,"&lt;"&amp;DATE(2026,1,1))</f>
        <v>302</v>
      </c>
      <c r="J209" s="28" cm="1">
        <f t="array" ref="J209">_xlfn.SUMIFS('עסקאות'!$M$2:$M$1958,'עסקאות'!$F$2:$F$1958,B209,'עסקאות'!$A$2:$A$1958,"&gt;="&amp;DATE(2026,1,1),'עסקאות'!$A$2:$A$1958,"&lt;"&amp;DATE(2027,1,1))</f>
        <v>0</v>
      </c>
      <c r="K209" s="77"/>
    </row>
    <row r="210" ht="13.65" customHeight="1">
      <c r="A210" s="70"/>
      <c r="B210" t="s" s="94">
        <v>397</v>
      </c>
      <c r="C210" t="s" s="80">
        <v>117</v>
      </c>
      <c r="D210" s="118">
        <v>1</v>
      </c>
      <c r="E210" s="118">
        <v>1</v>
      </c>
      <c r="F210" s="81" cm="1">
        <f t="array" ref="F210">_xlfn.SUMIFS('עסקאות'!$M$2:$M$1958,'עסקאות'!$F$2:$F$1958,B210)</f>
        <v>302</v>
      </c>
      <c r="G210" s="81" cm="1">
        <f t="array" ref="G210">IF(D210=0,"",F210/D210)</f>
        <v>302</v>
      </c>
      <c r="H210" s="81" cm="1">
        <f t="array" ref="H210">F210/20</f>
        <v>15.1</v>
      </c>
      <c r="I210" s="81" cm="1">
        <f t="array" ref="I210">_xlfn.SUMIFS('עסקאות'!$M$2:$M$1958,'עסקאות'!$F$2:$F$1958,B210,'עסקאות'!$A$2:$A$1958,"&gt;="&amp;DATE(2025,1,1),'עסקאות'!$A$2:$A$1958,"&lt;"&amp;DATE(2026,1,1))</f>
        <v>302</v>
      </c>
      <c r="J210" s="83" cm="1">
        <f t="array" ref="J210">_xlfn.SUMIFS('עסקאות'!$M$2:$M$1958,'עסקאות'!$F$2:$F$1958,B210,'עסקאות'!$A$2:$A$1958,"&gt;="&amp;DATE(2026,1,1),'עסקאות'!$A$2:$A$1958,"&lt;"&amp;DATE(2027,1,1))</f>
        <v>0</v>
      </c>
      <c r="K210" s="77"/>
    </row>
    <row r="211" ht="13.65" customHeight="1">
      <c r="A211" s="70"/>
      <c r="B211" t="s" s="27">
        <v>398</v>
      </c>
      <c r="C211" t="s" s="86">
        <v>125</v>
      </c>
      <c r="D211" s="119">
        <v>1</v>
      </c>
      <c r="E211" s="119">
        <v>1</v>
      </c>
      <c r="F211" s="87" cm="1">
        <f t="array" ref="F211">_xlfn.SUMIFS('עסקאות'!$M$2:$M$1958,'עסקאות'!$F$2:$F$1958,B211)</f>
        <v>300</v>
      </c>
      <c r="G211" s="87" cm="1">
        <f t="array" ref="G211">IF(D211=0,"",F211/D211)</f>
        <v>300</v>
      </c>
      <c r="H211" s="87" cm="1">
        <f t="array" ref="H211">F211/20</f>
        <v>15</v>
      </c>
      <c r="I211" s="87" cm="1">
        <f t="array" ref="I211">_xlfn.SUMIFS('עסקאות'!$M$2:$M$1958,'עסקאות'!$F$2:$F$1958,B211,'עסקאות'!$A$2:$A$1958,"&gt;="&amp;DATE(2025,1,1),'עסקאות'!$A$2:$A$1958,"&lt;"&amp;DATE(2026,1,1))</f>
        <v>0</v>
      </c>
      <c r="J211" s="28" cm="1">
        <f t="array" ref="J211">_xlfn.SUMIFS('עסקאות'!$M$2:$M$1958,'עסקאות'!$F$2:$F$1958,B211,'עסקאות'!$A$2:$A$1958,"&gt;="&amp;DATE(2026,1,1),'עסקאות'!$A$2:$A$1958,"&lt;"&amp;DATE(2027,1,1))</f>
        <v>300</v>
      </c>
      <c r="K211" s="77"/>
    </row>
    <row r="212" ht="13.65" customHeight="1">
      <c r="A212" s="70"/>
      <c r="B212" t="s" s="94">
        <v>399</v>
      </c>
      <c r="C212" t="s" s="80">
        <v>117</v>
      </c>
      <c r="D212" s="118">
        <v>1</v>
      </c>
      <c r="E212" s="118">
        <v>1</v>
      </c>
      <c r="F212" s="81" cm="1">
        <f t="array" ref="F212">_xlfn.SUMIFS('עסקאות'!$M$2:$M$1958,'עסקאות'!$F$2:$F$1958,B212)</f>
        <v>299</v>
      </c>
      <c r="G212" s="81" cm="1">
        <f t="array" ref="G212">IF(D212=0,"",F212/D212)</f>
        <v>299</v>
      </c>
      <c r="H212" s="81" cm="1">
        <f t="array" ref="H212">F212/20</f>
        <v>14.95</v>
      </c>
      <c r="I212" s="81" cm="1">
        <f t="array" ref="I212">_xlfn.SUMIFS('עסקאות'!$M$2:$M$1958,'עסקאות'!$F$2:$F$1958,B212,'עסקאות'!$A$2:$A$1958,"&gt;="&amp;DATE(2025,1,1),'עסקאות'!$A$2:$A$1958,"&lt;"&amp;DATE(2026,1,1))</f>
        <v>299</v>
      </c>
      <c r="J212" s="83" cm="1">
        <f t="array" ref="J212">_xlfn.SUMIFS('עסקאות'!$M$2:$M$1958,'עסקאות'!$F$2:$F$1958,B212,'עסקאות'!$A$2:$A$1958,"&gt;="&amp;DATE(2026,1,1),'עסקאות'!$A$2:$A$1958,"&lt;"&amp;DATE(2027,1,1))</f>
        <v>0</v>
      </c>
      <c r="K212" s="77"/>
    </row>
    <row r="213" ht="13.65" customHeight="1">
      <c r="A213" s="70"/>
      <c r="B213" t="s" s="27">
        <v>400</v>
      </c>
      <c r="C213" t="s" s="86">
        <v>121</v>
      </c>
      <c r="D213" s="119">
        <v>1</v>
      </c>
      <c r="E213" s="119">
        <v>1</v>
      </c>
      <c r="F213" s="87" cm="1">
        <f t="array" ref="F213">_xlfn.SUMIFS('עסקאות'!$M$2:$M$1958,'עסקאות'!$F$2:$F$1958,B213)</f>
        <v>295</v>
      </c>
      <c r="G213" s="87" cm="1">
        <f t="array" ref="G213">IF(D213=0,"",F213/D213)</f>
        <v>295</v>
      </c>
      <c r="H213" s="87" cm="1">
        <f t="array" ref="H213">F213/20</f>
        <v>14.75</v>
      </c>
      <c r="I213" s="87" cm="1">
        <f t="array" ref="I213">_xlfn.SUMIFS('עסקאות'!$M$2:$M$1958,'עסקאות'!$F$2:$F$1958,B213,'עסקאות'!$A$2:$A$1958,"&gt;="&amp;DATE(2025,1,1),'עסקאות'!$A$2:$A$1958,"&lt;"&amp;DATE(2026,1,1))</f>
        <v>0</v>
      </c>
      <c r="J213" s="28" cm="1">
        <f t="array" ref="J213">_xlfn.SUMIFS('עסקאות'!$M$2:$M$1958,'עסקאות'!$F$2:$F$1958,B213,'עסקאות'!$A$2:$A$1958,"&gt;="&amp;DATE(2026,1,1),'עסקאות'!$A$2:$A$1958,"&lt;"&amp;DATE(2027,1,1))</f>
        <v>295</v>
      </c>
      <c r="K213" s="77"/>
    </row>
    <row r="214" ht="13.65" customHeight="1">
      <c r="A214" s="70"/>
      <c r="B214" t="s" s="94">
        <v>401</v>
      </c>
      <c r="C214" t="s" s="80">
        <v>107</v>
      </c>
      <c r="D214" s="118">
        <v>3</v>
      </c>
      <c r="E214" s="118">
        <v>3</v>
      </c>
      <c r="F214" s="81" cm="1">
        <f t="array" ref="F214">_xlfn.SUMIFS('עסקאות'!$M$2:$M$1958,'עסקאות'!$F$2:$F$1958,B214)</f>
        <v>291</v>
      </c>
      <c r="G214" s="81" cm="1">
        <f t="array" ref="G214">IF(D214=0,"",F214/D214)</f>
        <v>97</v>
      </c>
      <c r="H214" s="81" cm="1">
        <f t="array" ref="H214">F214/20</f>
        <v>14.55</v>
      </c>
      <c r="I214" s="81" cm="1">
        <f t="array" ref="I214">_xlfn.SUMIFS('עסקאות'!$M$2:$M$1958,'עסקאות'!$F$2:$F$1958,B214,'עסקאות'!$A$2:$A$1958,"&gt;="&amp;DATE(2025,1,1),'עסקאות'!$A$2:$A$1958,"&lt;"&amp;DATE(2026,1,1))</f>
        <v>0</v>
      </c>
      <c r="J214" s="83" cm="1">
        <f t="array" ref="J214">_xlfn.SUMIFS('עסקאות'!$M$2:$M$1958,'עסקאות'!$F$2:$F$1958,B214,'עסקאות'!$A$2:$A$1958,"&gt;="&amp;DATE(2026,1,1),'עסקאות'!$A$2:$A$1958,"&lt;"&amp;DATE(2027,1,1))</f>
        <v>291</v>
      </c>
      <c r="K214" s="77"/>
    </row>
    <row r="215" ht="13.65" customHeight="1">
      <c r="A215" s="70"/>
      <c r="B215" t="s" s="27">
        <v>402</v>
      </c>
      <c r="C215" t="s" s="86">
        <v>123</v>
      </c>
      <c r="D215" s="119">
        <v>2</v>
      </c>
      <c r="E215" s="119">
        <v>2</v>
      </c>
      <c r="F215" s="87" cm="1">
        <f t="array" ref="F215">_xlfn.SUMIFS('עסקאות'!$M$2:$M$1958,'עסקאות'!$F$2:$F$1958,B215)</f>
        <v>285</v>
      </c>
      <c r="G215" s="87" cm="1">
        <f t="array" ref="G215">IF(D215=0,"",F215/D215)</f>
        <v>142.5</v>
      </c>
      <c r="H215" s="87" cm="1">
        <f t="array" ref="H215">F215/20</f>
        <v>14.25</v>
      </c>
      <c r="I215" s="87" cm="1">
        <f t="array" ref="I215">_xlfn.SUMIFS('עסקאות'!$M$2:$M$1958,'עסקאות'!$F$2:$F$1958,B215,'עסקאות'!$A$2:$A$1958,"&gt;="&amp;DATE(2025,1,1),'עסקאות'!$A$2:$A$1958,"&lt;"&amp;DATE(2026,1,1))</f>
        <v>135</v>
      </c>
      <c r="J215" s="28" cm="1">
        <f t="array" ref="J215">_xlfn.SUMIFS('עסקאות'!$M$2:$M$1958,'עסקאות'!$F$2:$F$1958,B215,'עסקאות'!$A$2:$A$1958,"&gt;="&amp;DATE(2026,1,1),'עסקאות'!$A$2:$A$1958,"&lt;"&amp;DATE(2027,1,1))</f>
        <v>150</v>
      </c>
      <c r="K215" s="77"/>
    </row>
    <row r="216" ht="13.65" customHeight="1">
      <c r="A216" s="70"/>
      <c r="B216" t="s" s="94">
        <v>403</v>
      </c>
      <c r="C216" t="s" s="80">
        <v>125</v>
      </c>
      <c r="D216" s="118">
        <v>1</v>
      </c>
      <c r="E216" s="118">
        <v>1</v>
      </c>
      <c r="F216" s="81" cm="1">
        <f t="array" ref="F216">_xlfn.SUMIFS('עסקאות'!$M$2:$M$1958,'עסקאות'!$F$2:$F$1958,B216)</f>
        <v>285</v>
      </c>
      <c r="G216" s="81" cm="1">
        <f t="array" ref="G216">IF(D216=0,"",F216/D216)</f>
        <v>285</v>
      </c>
      <c r="H216" s="81" cm="1">
        <f t="array" ref="H216">F216/20</f>
        <v>14.25</v>
      </c>
      <c r="I216" s="81" cm="1">
        <f t="array" ref="I216">_xlfn.SUMIFS('עסקאות'!$M$2:$M$1958,'עסקאות'!$F$2:$F$1958,B216,'עסקאות'!$A$2:$A$1958,"&gt;="&amp;DATE(2025,1,1),'עסקאות'!$A$2:$A$1958,"&lt;"&amp;DATE(2026,1,1))</f>
        <v>0</v>
      </c>
      <c r="J216" s="83" cm="1">
        <f t="array" ref="J216">_xlfn.SUMIFS('עסקאות'!$M$2:$M$1958,'עסקאות'!$F$2:$F$1958,B216,'עסקאות'!$A$2:$A$1958,"&gt;="&amp;DATE(2026,1,1),'עסקאות'!$A$2:$A$1958,"&lt;"&amp;DATE(2027,1,1))</f>
        <v>285</v>
      </c>
      <c r="K216" s="77"/>
    </row>
    <row r="217" ht="13.65" customHeight="1">
      <c r="A217" s="70"/>
      <c r="B217" t="s" s="27">
        <v>404</v>
      </c>
      <c r="C217" t="s" s="86">
        <v>117</v>
      </c>
      <c r="D217" s="119">
        <v>1</v>
      </c>
      <c r="E217" s="119">
        <v>1</v>
      </c>
      <c r="F217" s="87" cm="1">
        <f t="array" ref="F217">_xlfn.SUMIFS('עסקאות'!$M$2:$M$1958,'עסקאות'!$F$2:$F$1958,B217)</f>
        <v>283</v>
      </c>
      <c r="G217" s="87" cm="1">
        <f t="array" ref="G217">IF(D217=0,"",F217/D217)</f>
        <v>283</v>
      </c>
      <c r="H217" s="87" cm="1">
        <f t="array" ref="H217">F217/20</f>
        <v>14.15</v>
      </c>
      <c r="I217" s="87" cm="1">
        <f t="array" ref="I217">_xlfn.SUMIFS('עסקאות'!$M$2:$M$1958,'עסקאות'!$F$2:$F$1958,B217,'עסקאות'!$A$2:$A$1958,"&gt;="&amp;DATE(2025,1,1),'עסקאות'!$A$2:$A$1958,"&lt;"&amp;DATE(2026,1,1))</f>
        <v>283</v>
      </c>
      <c r="J217" s="28" cm="1">
        <f t="array" ref="J217">_xlfn.SUMIFS('עסקאות'!$M$2:$M$1958,'עסקאות'!$F$2:$F$1958,B217,'עסקאות'!$A$2:$A$1958,"&gt;="&amp;DATE(2026,1,1),'עסקאות'!$A$2:$A$1958,"&lt;"&amp;DATE(2027,1,1))</f>
        <v>0</v>
      </c>
      <c r="K217" s="77"/>
    </row>
    <row r="218" ht="13.65" customHeight="1">
      <c r="A218" s="70"/>
      <c r="B218" t="s" s="94">
        <v>405</v>
      </c>
      <c r="C218" t="s" s="80">
        <v>121</v>
      </c>
      <c r="D218" s="118">
        <v>2</v>
      </c>
      <c r="E218" s="118">
        <v>1</v>
      </c>
      <c r="F218" s="81" cm="1">
        <f t="array" ref="F218">_xlfn.SUMIFS('עסקאות'!$M$2:$M$1958,'עסקאות'!$F$2:$F$1958,B218)</f>
        <v>283</v>
      </c>
      <c r="G218" s="81" cm="1">
        <f t="array" ref="G218">IF(D218=0,"",F218/D218)</f>
        <v>141.5</v>
      </c>
      <c r="H218" s="81" cm="1">
        <f t="array" ref="H218">F218/20</f>
        <v>14.15</v>
      </c>
      <c r="I218" s="81" cm="1">
        <f t="array" ref="I218">_xlfn.SUMIFS('עסקאות'!$M$2:$M$1958,'עסקאות'!$F$2:$F$1958,B218,'עסקאות'!$A$2:$A$1958,"&gt;="&amp;DATE(2025,1,1),'עסקאות'!$A$2:$A$1958,"&lt;"&amp;DATE(2026,1,1))</f>
        <v>283</v>
      </c>
      <c r="J218" s="83" cm="1">
        <f t="array" ref="J218">_xlfn.SUMIFS('עסקאות'!$M$2:$M$1958,'עסקאות'!$F$2:$F$1958,B218,'עסקאות'!$A$2:$A$1958,"&gt;="&amp;DATE(2026,1,1),'עסקאות'!$A$2:$A$1958,"&lt;"&amp;DATE(2027,1,1))</f>
        <v>0</v>
      </c>
      <c r="K218" s="77"/>
    </row>
    <row r="219" ht="13.65" customHeight="1">
      <c r="A219" s="70"/>
      <c r="B219" t="s" s="27">
        <v>406</v>
      </c>
      <c r="C219" t="s" s="86">
        <v>117</v>
      </c>
      <c r="D219" s="119">
        <v>1</v>
      </c>
      <c r="E219" s="119">
        <v>1</v>
      </c>
      <c r="F219" s="87" cm="1">
        <f t="array" ref="F219">_xlfn.SUMIFS('עסקאות'!$M$2:$M$1958,'עסקאות'!$F$2:$F$1958,B219)</f>
        <v>278</v>
      </c>
      <c r="G219" s="87" cm="1">
        <f t="array" ref="G219">IF(D219=0,"",F219/D219)</f>
        <v>278</v>
      </c>
      <c r="H219" s="87" cm="1">
        <f t="array" ref="H219">F219/20</f>
        <v>13.9</v>
      </c>
      <c r="I219" s="87" cm="1">
        <f t="array" ref="I219">_xlfn.SUMIFS('עסקאות'!$M$2:$M$1958,'עסקאות'!$F$2:$F$1958,B219,'עסקאות'!$A$2:$A$1958,"&gt;="&amp;DATE(2025,1,1),'עסקאות'!$A$2:$A$1958,"&lt;"&amp;DATE(2026,1,1))</f>
        <v>278</v>
      </c>
      <c r="J219" s="28" cm="1">
        <f t="array" ref="J219">_xlfn.SUMIFS('עסקאות'!$M$2:$M$1958,'עסקאות'!$F$2:$F$1958,B219,'עסקאות'!$A$2:$A$1958,"&gt;="&amp;DATE(2026,1,1),'עסקאות'!$A$2:$A$1958,"&lt;"&amp;DATE(2027,1,1))</f>
        <v>0</v>
      </c>
      <c r="K219" s="77"/>
    </row>
    <row r="220" ht="13.65" customHeight="1">
      <c r="A220" s="70"/>
      <c r="B220" t="s" s="94">
        <v>407</v>
      </c>
      <c r="C220" t="s" s="80">
        <v>127</v>
      </c>
      <c r="D220" s="118">
        <v>1</v>
      </c>
      <c r="E220" s="118">
        <v>1</v>
      </c>
      <c r="F220" s="81" cm="1">
        <f t="array" ref="F220">_xlfn.SUMIFS('עסקאות'!$M$2:$M$1958,'עסקאות'!$F$2:$F$1958,B220)</f>
        <v>276</v>
      </c>
      <c r="G220" s="81" cm="1">
        <f t="array" ref="G220">IF(D220=0,"",F220/D220)</f>
        <v>276</v>
      </c>
      <c r="H220" s="81" cm="1">
        <f t="array" ref="H220">F220/20</f>
        <v>13.8</v>
      </c>
      <c r="I220" s="81" cm="1">
        <f t="array" ref="I220">_xlfn.SUMIFS('עסקאות'!$M$2:$M$1958,'עסקאות'!$F$2:$F$1958,B220,'עסקאות'!$A$2:$A$1958,"&gt;="&amp;DATE(2025,1,1),'עסקאות'!$A$2:$A$1958,"&lt;"&amp;DATE(2026,1,1))</f>
        <v>276</v>
      </c>
      <c r="J220" s="83" cm="1">
        <f t="array" ref="J220">_xlfn.SUMIFS('עסקאות'!$M$2:$M$1958,'עסקאות'!$F$2:$F$1958,B220,'עסקאות'!$A$2:$A$1958,"&gt;="&amp;DATE(2026,1,1),'עסקאות'!$A$2:$A$1958,"&lt;"&amp;DATE(2027,1,1))</f>
        <v>0</v>
      </c>
      <c r="K220" s="77"/>
    </row>
    <row r="221" ht="13.65" customHeight="1">
      <c r="A221" s="70"/>
      <c r="B221" t="s" s="27">
        <v>408</v>
      </c>
      <c r="C221" t="s" s="86">
        <v>135</v>
      </c>
      <c r="D221" s="119">
        <v>1</v>
      </c>
      <c r="E221" s="119">
        <v>1</v>
      </c>
      <c r="F221" s="87" cm="1">
        <f t="array" ref="F221">_xlfn.SUMIFS('עסקאות'!$M$2:$M$1958,'עסקאות'!$F$2:$F$1958,B221)</f>
        <v>273</v>
      </c>
      <c r="G221" s="87" cm="1">
        <f t="array" ref="G221">IF(D221=0,"",F221/D221)</f>
        <v>273</v>
      </c>
      <c r="H221" s="87" cm="1">
        <f t="array" ref="H221">F221/20</f>
        <v>13.65</v>
      </c>
      <c r="I221" s="87" cm="1">
        <f t="array" ref="I221">_xlfn.SUMIFS('עסקאות'!$M$2:$M$1958,'עסקאות'!$F$2:$F$1958,B221,'עסקאות'!$A$2:$A$1958,"&gt;="&amp;DATE(2025,1,1),'עסקאות'!$A$2:$A$1958,"&lt;"&amp;DATE(2026,1,1))</f>
        <v>273</v>
      </c>
      <c r="J221" s="28" cm="1">
        <f t="array" ref="J221">_xlfn.SUMIFS('עסקאות'!$M$2:$M$1958,'עסקאות'!$F$2:$F$1958,B221,'עסקאות'!$A$2:$A$1958,"&gt;="&amp;DATE(2026,1,1),'עסקאות'!$A$2:$A$1958,"&lt;"&amp;DATE(2027,1,1))</f>
        <v>0</v>
      </c>
      <c r="K221" s="77"/>
    </row>
    <row r="222" ht="13.65" customHeight="1">
      <c r="A222" s="70"/>
      <c r="B222" t="s" s="94">
        <v>409</v>
      </c>
      <c r="C222" t="s" s="80">
        <v>123</v>
      </c>
      <c r="D222" s="118">
        <v>1</v>
      </c>
      <c r="E222" s="118">
        <v>1</v>
      </c>
      <c r="F222" s="81" cm="1">
        <f t="array" ref="F222">_xlfn.SUMIFS('עסקאות'!$M$2:$M$1958,'עסקאות'!$F$2:$F$1958,B222)</f>
        <v>271</v>
      </c>
      <c r="G222" s="81" cm="1">
        <f t="array" ref="G222">IF(D222=0,"",F222/D222)</f>
        <v>271</v>
      </c>
      <c r="H222" s="81" cm="1">
        <f t="array" ref="H222">F222/20</f>
        <v>13.55</v>
      </c>
      <c r="I222" s="81" cm="1">
        <f t="array" ref="I222">_xlfn.SUMIFS('עסקאות'!$M$2:$M$1958,'עסקאות'!$F$2:$F$1958,B222,'עסקאות'!$A$2:$A$1958,"&gt;="&amp;DATE(2025,1,1),'עסקאות'!$A$2:$A$1958,"&lt;"&amp;DATE(2026,1,1))</f>
        <v>0</v>
      </c>
      <c r="J222" s="83" cm="1">
        <f t="array" ref="J222">_xlfn.SUMIFS('עסקאות'!$M$2:$M$1958,'עסקאות'!$F$2:$F$1958,B222,'עסקאות'!$A$2:$A$1958,"&gt;="&amp;DATE(2026,1,1),'עסקאות'!$A$2:$A$1958,"&lt;"&amp;DATE(2027,1,1))</f>
        <v>271</v>
      </c>
      <c r="K222" s="77"/>
    </row>
    <row r="223" ht="13.65" customHeight="1">
      <c r="A223" s="70"/>
      <c r="B223" t="s" s="27">
        <v>410</v>
      </c>
      <c r="C223" t="s" s="86">
        <v>105</v>
      </c>
      <c r="D223" s="119">
        <v>1</v>
      </c>
      <c r="E223" s="119">
        <v>1</v>
      </c>
      <c r="F223" s="87" cm="1">
        <f t="array" ref="F223">_xlfn.SUMIFS('עסקאות'!$M$2:$M$1958,'עסקאות'!$F$2:$F$1958,B223)</f>
        <v>270</v>
      </c>
      <c r="G223" s="87" cm="1">
        <f t="array" ref="G223">IF(D223=0,"",F223/D223)</f>
        <v>270</v>
      </c>
      <c r="H223" s="87" cm="1">
        <f t="array" ref="H223">F223/20</f>
        <v>13.5</v>
      </c>
      <c r="I223" s="87" cm="1">
        <f t="array" ref="I223">_xlfn.SUMIFS('עסקאות'!$M$2:$M$1958,'עסקאות'!$F$2:$F$1958,B223,'עסקאות'!$A$2:$A$1958,"&gt;="&amp;DATE(2025,1,1),'עסקאות'!$A$2:$A$1958,"&lt;"&amp;DATE(2026,1,1))</f>
        <v>270</v>
      </c>
      <c r="J223" s="28" cm="1">
        <f t="array" ref="J223">_xlfn.SUMIFS('עסקאות'!$M$2:$M$1958,'עסקאות'!$F$2:$F$1958,B223,'עסקאות'!$A$2:$A$1958,"&gt;="&amp;DATE(2026,1,1),'עסקאות'!$A$2:$A$1958,"&lt;"&amp;DATE(2027,1,1))</f>
        <v>0</v>
      </c>
      <c r="K223" s="77"/>
    </row>
    <row r="224" ht="13.65" customHeight="1">
      <c r="A224" s="70"/>
      <c r="B224" t="s" s="94">
        <v>411</v>
      </c>
      <c r="C224" t="s" s="80">
        <v>127</v>
      </c>
      <c r="D224" s="118">
        <v>1</v>
      </c>
      <c r="E224" s="118">
        <v>1</v>
      </c>
      <c r="F224" s="81" cm="1">
        <f t="array" ref="F224">_xlfn.SUMIFS('עסקאות'!$M$2:$M$1958,'עסקאות'!$F$2:$F$1958,B224)</f>
        <v>268</v>
      </c>
      <c r="G224" s="81" cm="1">
        <f t="array" ref="G224">IF(D224=0,"",F224/D224)</f>
        <v>268</v>
      </c>
      <c r="H224" s="81" cm="1">
        <f t="array" ref="H224">F224/20</f>
        <v>13.4</v>
      </c>
      <c r="I224" s="81" cm="1">
        <f t="array" ref="I224">_xlfn.SUMIFS('עסקאות'!$M$2:$M$1958,'עסקאות'!$F$2:$F$1958,B224,'עסקאות'!$A$2:$A$1958,"&gt;="&amp;DATE(2025,1,1),'עסקאות'!$A$2:$A$1958,"&lt;"&amp;DATE(2026,1,1))</f>
        <v>268</v>
      </c>
      <c r="J224" s="83" cm="1">
        <f t="array" ref="J224">_xlfn.SUMIFS('עסקאות'!$M$2:$M$1958,'עסקאות'!$F$2:$F$1958,B224,'עסקאות'!$A$2:$A$1958,"&gt;="&amp;DATE(2026,1,1),'עסקאות'!$A$2:$A$1958,"&lt;"&amp;DATE(2027,1,1))</f>
        <v>0</v>
      </c>
      <c r="K224" s="77"/>
    </row>
    <row r="225" ht="13.65" customHeight="1">
      <c r="A225" s="70"/>
      <c r="B225" t="s" s="27">
        <v>412</v>
      </c>
      <c r="C225" t="s" s="86">
        <v>135</v>
      </c>
      <c r="D225" s="119">
        <v>1</v>
      </c>
      <c r="E225" s="119">
        <v>1</v>
      </c>
      <c r="F225" s="87" cm="1">
        <f t="array" ref="F225">_xlfn.SUMIFS('עסקאות'!$M$2:$M$1958,'עסקאות'!$F$2:$F$1958,B225)</f>
        <v>264</v>
      </c>
      <c r="G225" s="87" cm="1">
        <f t="array" ref="G225">IF(D225=0,"",F225/D225)</f>
        <v>264</v>
      </c>
      <c r="H225" s="87" cm="1">
        <f t="array" ref="H225">F225/20</f>
        <v>13.2</v>
      </c>
      <c r="I225" s="87" cm="1">
        <f t="array" ref="I225">_xlfn.SUMIFS('עסקאות'!$M$2:$M$1958,'עסקאות'!$F$2:$F$1958,B225,'עסקאות'!$A$2:$A$1958,"&gt;="&amp;DATE(2025,1,1),'עסקאות'!$A$2:$A$1958,"&lt;"&amp;DATE(2026,1,1))</f>
        <v>0</v>
      </c>
      <c r="J225" s="28" cm="1">
        <f t="array" ref="J225">_xlfn.SUMIFS('עסקאות'!$M$2:$M$1958,'עסקאות'!$F$2:$F$1958,B225,'עסקאות'!$A$2:$A$1958,"&gt;="&amp;DATE(2026,1,1),'עסקאות'!$A$2:$A$1958,"&lt;"&amp;DATE(2027,1,1))</f>
        <v>264</v>
      </c>
      <c r="K225" s="77"/>
    </row>
    <row r="226" ht="13.65" customHeight="1">
      <c r="A226" s="70"/>
      <c r="B226" t="s" s="94">
        <v>413</v>
      </c>
      <c r="C226" t="s" s="80">
        <v>102</v>
      </c>
      <c r="D226" s="118">
        <v>1</v>
      </c>
      <c r="E226" s="118">
        <v>1</v>
      </c>
      <c r="F226" s="81" cm="1">
        <f t="array" ref="F226">_xlfn.SUMIFS('עסקאות'!$M$2:$M$1958,'עסקאות'!$F$2:$F$1958,B226)</f>
        <v>262</v>
      </c>
      <c r="G226" s="81" cm="1">
        <f t="array" ref="G226">IF(D226=0,"",F226/D226)</f>
        <v>262</v>
      </c>
      <c r="H226" s="81" cm="1">
        <f t="array" ref="H226">F226/20</f>
        <v>13.1</v>
      </c>
      <c r="I226" s="81" cm="1">
        <f t="array" ref="I226">_xlfn.SUMIFS('עסקאות'!$M$2:$M$1958,'עסקאות'!$F$2:$F$1958,B226,'עסקאות'!$A$2:$A$1958,"&gt;="&amp;DATE(2025,1,1),'עסקאות'!$A$2:$A$1958,"&lt;"&amp;DATE(2026,1,1))</f>
        <v>262</v>
      </c>
      <c r="J226" s="83" cm="1">
        <f t="array" ref="J226">_xlfn.SUMIFS('עסקאות'!$M$2:$M$1958,'עסקאות'!$F$2:$F$1958,B226,'עסקאות'!$A$2:$A$1958,"&gt;="&amp;DATE(2026,1,1),'עסקאות'!$A$2:$A$1958,"&lt;"&amp;DATE(2027,1,1))</f>
        <v>0</v>
      </c>
      <c r="K226" s="77"/>
    </row>
    <row r="227" ht="13.65" customHeight="1">
      <c r="A227" s="70"/>
      <c r="B227" t="s" s="27">
        <v>414</v>
      </c>
      <c r="C227" t="s" s="86">
        <v>125</v>
      </c>
      <c r="D227" s="119">
        <v>1</v>
      </c>
      <c r="E227" s="119">
        <v>1</v>
      </c>
      <c r="F227" s="87" cm="1">
        <f t="array" ref="F227">_xlfn.SUMIFS('עסקאות'!$M$2:$M$1958,'עסקאות'!$F$2:$F$1958,B227)</f>
        <v>262</v>
      </c>
      <c r="G227" s="87" cm="1">
        <f t="array" ref="G227">IF(D227=0,"",F227/D227)</f>
        <v>262</v>
      </c>
      <c r="H227" s="87" cm="1">
        <f t="array" ref="H227">F227/20</f>
        <v>13.1</v>
      </c>
      <c r="I227" s="87" cm="1">
        <f t="array" ref="I227">_xlfn.SUMIFS('עסקאות'!$M$2:$M$1958,'עסקאות'!$F$2:$F$1958,B227,'עסקאות'!$A$2:$A$1958,"&gt;="&amp;DATE(2025,1,1),'עסקאות'!$A$2:$A$1958,"&lt;"&amp;DATE(2026,1,1))</f>
        <v>262</v>
      </c>
      <c r="J227" s="28" cm="1">
        <f t="array" ref="J227">_xlfn.SUMIFS('עסקאות'!$M$2:$M$1958,'עסקאות'!$F$2:$F$1958,B227,'עסקאות'!$A$2:$A$1958,"&gt;="&amp;DATE(2026,1,1),'עסקאות'!$A$2:$A$1958,"&lt;"&amp;DATE(2027,1,1))</f>
        <v>0</v>
      </c>
      <c r="K227" s="77"/>
    </row>
    <row r="228" ht="13.65" customHeight="1">
      <c r="A228" s="70"/>
      <c r="B228" t="s" s="121">
        <v>415</v>
      </c>
      <c r="C228" t="s" s="80">
        <v>113</v>
      </c>
      <c r="D228" s="118">
        <v>1</v>
      </c>
      <c r="E228" s="118">
        <v>1</v>
      </c>
      <c r="F228" s="81" cm="1">
        <f t="array" ref="F228">_xlfn.SUMIFS('עסקאות'!$M$2:$M$1958,'עסקאות'!$F$2:$F$1958,B228)</f>
        <v>262</v>
      </c>
      <c r="G228" s="81" cm="1">
        <f t="array" ref="G228">IF(D228=0,"",F228/D228)</f>
        <v>262</v>
      </c>
      <c r="H228" s="81" cm="1">
        <f t="array" ref="H228">F228/20</f>
        <v>13.1</v>
      </c>
      <c r="I228" s="81" cm="1">
        <f t="array" ref="I228">_xlfn.SUMIFS('עסקאות'!$M$2:$M$1958,'עסקאות'!$F$2:$F$1958,B228,'עסקאות'!$A$2:$A$1958,"&gt;="&amp;DATE(2025,1,1),'עסקאות'!$A$2:$A$1958,"&lt;"&amp;DATE(2026,1,1))</f>
        <v>0</v>
      </c>
      <c r="J228" s="83" cm="1">
        <f t="array" ref="J228">_xlfn.SUMIFS('עסקאות'!$M$2:$M$1958,'עסקאות'!$F$2:$F$1958,B228,'עסקאות'!$A$2:$A$1958,"&gt;="&amp;DATE(2026,1,1),'עסקאות'!$A$2:$A$1958,"&lt;"&amp;DATE(2027,1,1))</f>
        <v>262</v>
      </c>
      <c r="K228" s="77"/>
    </row>
    <row r="229" ht="13.65" customHeight="1">
      <c r="A229" s="70"/>
      <c r="B229" t="s" s="27">
        <v>416</v>
      </c>
      <c r="C229" t="s" s="86">
        <v>127</v>
      </c>
      <c r="D229" s="119">
        <v>3</v>
      </c>
      <c r="E229" s="119">
        <v>3</v>
      </c>
      <c r="F229" s="87" cm="1">
        <f t="array" ref="F229">_xlfn.SUMIFS('עסקאות'!$M$2:$M$1958,'עסקאות'!$F$2:$F$1958,B229)</f>
        <v>260</v>
      </c>
      <c r="G229" s="87" cm="1">
        <f t="array" ref="G229">IF(D229=0,"",F229/D229)</f>
        <v>86.6666666666667</v>
      </c>
      <c r="H229" s="87" cm="1">
        <f t="array" ref="H229">F229/20</f>
        <v>13</v>
      </c>
      <c r="I229" s="87" cm="1">
        <f t="array" ref="I229">_xlfn.SUMIFS('עסקאות'!$M$2:$M$1958,'עסקאות'!$F$2:$F$1958,B229,'עסקאות'!$A$2:$A$1958,"&gt;="&amp;DATE(2025,1,1),'עסקאות'!$A$2:$A$1958,"&lt;"&amp;DATE(2026,1,1))</f>
        <v>0</v>
      </c>
      <c r="J229" s="28" cm="1">
        <f t="array" ref="J229">_xlfn.SUMIFS('עסקאות'!$M$2:$M$1958,'עסקאות'!$F$2:$F$1958,B229,'עסקאות'!$A$2:$A$1958,"&gt;="&amp;DATE(2026,1,1),'עסקאות'!$A$2:$A$1958,"&lt;"&amp;DATE(2027,1,1))</f>
        <v>260</v>
      </c>
      <c r="K229" s="77"/>
    </row>
    <row r="230" ht="13.65" customHeight="1">
      <c r="A230" s="70"/>
      <c r="B230" t="s" s="94">
        <v>417</v>
      </c>
      <c r="C230" t="s" s="80">
        <v>113</v>
      </c>
      <c r="D230" s="118">
        <v>1</v>
      </c>
      <c r="E230" s="118">
        <v>1</v>
      </c>
      <c r="F230" s="81" cm="1">
        <f t="array" ref="F230">_xlfn.SUMIFS('עסקאות'!$M$2:$M$1958,'עסקאות'!$F$2:$F$1958,B230)</f>
        <v>258</v>
      </c>
      <c r="G230" s="81" cm="1">
        <f t="array" ref="G230">IF(D230=0,"",F230/D230)</f>
        <v>258</v>
      </c>
      <c r="H230" s="81" cm="1">
        <f t="array" ref="H230">F230/20</f>
        <v>12.9</v>
      </c>
      <c r="I230" s="81" cm="1">
        <f t="array" ref="I230">_xlfn.SUMIFS('עסקאות'!$M$2:$M$1958,'עסקאות'!$F$2:$F$1958,B230,'עסקאות'!$A$2:$A$1958,"&gt;="&amp;DATE(2025,1,1),'עסקאות'!$A$2:$A$1958,"&lt;"&amp;DATE(2026,1,1))</f>
        <v>258</v>
      </c>
      <c r="J230" s="83" cm="1">
        <f t="array" ref="J230">_xlfn.SUMIFS('עסקאות'!$M$2:$M$1958,'עסקאות'!$F$2:$F$1958,B230,'עסקאות'!$A$2:$A$1958,"&gt;="&amp;DATE(2026,1,1),'עסקאות'!$A$2:$A$1958,"&lt;"&amp;DATE(2027,1,1))</f>
        <v>0</v>
      </c>
      <c r="K230" s="77"/>
    </row>
    <row r="231" ht="13.65" customHeight="1">
      <c r="A231" s="70"/>
      <c r="B231" t="s" s="27">
        <v>418</v>
      </c>
      <c r="C231" t="s" s="86">
        <v>127</v>
      </c>
      <c r="D231" s="119">
        <v>1</v>
      </c>
      <c r="E231" s="119">
        <v>1</v>
      </c>
      <c r="F231" s="87" cm="1">
        <f t="array" ref="F231">_xlfn.SUMIFS('עסקאות'!$M$2:$M$1958,'עסקאות'!$F$2:$F$1958,B231)</f>
        <v>258</v>
      </c>
      <c r="G231" s="87" cm="1">
        <f t="array" ref="G231">IF(D231=0,"",F231/D231)</f>
        <v>258</v>
      </c>
      <c r="H231" s="87" cm="1">
        <f t="array" ref="H231">F231/20</f>
        <v>12.9</v>
      </c>
      <c r="I231" s="87" cm="1">
        <f t="array" ref="I231">_xlfn.SUMIFS('עסקאות'!$M$2:$M$1958,'עסקאות'!$F$2:$F$1958,B231,'עסקאות'!$A$2:$A$1958,"&gt;="&amp;DATE(2025,1,1),'עסקאות'!$A$2:$A$1958,"&lt;"&amp;DATE(2026,1,1))</f>
        <v>0</v>
      </c>
      <c r="J231" s="28" cm="1">
        <f t="array" ref="J231">_xlfn.SUMIFS('עסקאות'!$M$2:$M$1958,'עסקאות'!$F$2:$F$1958,B231,'עסקאות'!$A$2:$A$1958,"&gt;="&amp;DATE(2026,1,1),'עסקאות'!$A$2:$A$1958,"&lt;"&amp;DATE(2027,1,1))</f>
        <v>258</v>
      </c>
      <c r="K231" s="77"/>
    </row>
    <row r="232" ht="13.65" customHeight="1">
      <c r="A232" s="70"/>
      <c r="B232" t="s" s="94">
        <v>419</v>
      </c>
      <c r="C232" t="s" s="80">
        <v>123</v>
      </c>
      <c r="D232" s="118">
        <v>1</v>
      </c>
      <c r="E232" s="118">
        <v>1</v>
      </c>
      <c r="F232" s="81" cm="1">
        <f t="array" ref="F232">_xlfn.SUMIFS('עסקאות'!$M$2:$M$1958,'עסקאות'!$F$2:$F$1958,B232)</f>
        <v>257</v>
      </c>
      <c r="G232" s="81" cm="1">
        <f t="array" ref="G232">IF(D232=0,"",F232/D232)</f>
        <v>257</v>
      </c>
      <c r="H232" s="81" cm="1">
        <f t="array" ref="H232">F232/20</f>
        <v>12.85</v>
      </c>
      <c r="I232" s="81" cm="1">
        <f t="array" ref="I232">_xlfn.SUMIFS('עסקאות'!$M$2:$M$1958,'עסקאות'!$F$2:$F$1958,B232,'עסקאות'!$A$2:$A$1958,"&gt;="&amp;DATE(2025,1,1),'עסקאות'!$A$2:$A$1958,"&lt;"&amp;DATE(2026,1,1))</f>
        <v>257</v>
      </c>
      <c r="J232" s="83" cm="1">
        <f t="array" ref="J232">_xlfn.SUMIFS('עסקאות'!$M$2:$M$1958,'עסקאות'!$F$2:$F$1958,B232,'עסקאות'!$A$2:$A$1958,"&gt;="&amp;DATE(2026,1,1),'עסקאות'!$A$2:$A$1958,"&lt;"&amp;DATE(2027,1,1))</f>
        <v>0</v>
      </c>
      <c r="K232" s="77"/>
    </row>
    <row r="233" ht="13.65" customHeight="1">
      <c r="A233" s="70"/>
      <c r="B233" t="s" s="27">
        <v>420</v>
      </c>
      <c r="C233" t="s" s="86">
        <v>113</v>
      </c>
      <c r="D233" s="119">
        <v>2</v>
      </c>
      <c r="E233" s="119">
        <v>1</v>
      </c>
      <c r="F233" s="87" cm="1">
        <f t="array" ref="F233">_xlfn.SUMIFS('עסקאות'!$M$2:$M$1958,'עסקאות'!$F$2:$F$1958,B233)</f>
        <v>254</v>
      </c>
      <c r="G233" s="87" cm="1">
        <f t="array" ref="G233">IF(D233=0,"",F233/D233)</f>
        <v>127</v>
      </c>
      <c r="H233" s="87" cm="1">
        <f t="array" ref="H233">F233/20</f>
        <v>12.7</v>
      </c>
      <c r="I233" s="87" cm="1">
        <f t="array" ref="I233">_xlfn.SUMIFS('עסקאות'!$M$2:$M$1958,'עסקאות'!$F$2:$F$1958,B233,'עסקאות'!$A$2:$A$1958,"&gt;="&amp;DATE(2025,1,1),'עסקאות'!$A$2:$A$1958,"&lt;"&amp;DATE(2026,1,1))</f>
        <v>254</v>
      </c>
      <c r="J233" s="28" cm="1">
        <f t="array" ref="J233">_xlfn.SUMIFS('עסקאות'!$M$2:$M$1958,'עסקאות'!$F$2:$F$1958,B233,'עסקאות'!$A$2:$A$1958,"&gt;="&amp;DATE(2026,1,1),'עסקאות'!$A$2:$A$1958,"&lt;"&amp;DATE(2027,1,1))</f>
        <v>0</v>
      </c>
      <c r="K233" s="77"/>
    </row>
    <row r="234" ht="13.65" customHeight="1">
      <c r="A234" s="70"/>
      <c r="B234" t="s" s="94">
        <v>421</v>
      </c>
      <c r="C234" t="s" s="80">
        <v>105</v>
      </c>
      <c r="D234" s="118">
        <v>1</v>
      </c>
      <c r="E234" s="118">
        <v>1</v>
      </c>
      <c r="F234" s="81" cm="1">
        <f t="array" ref="F234">_xlfn.SUMIFS('עסקאות'!$M$2:$M$1958,'עסקאות'!$F$2:$F$1958,B234)</f>
        <v>251</v>
      </c>
      <c r="G234" s="81" cm="1">
        <f t="array" ref="G234">IF(D234=0,"",F234/D234)</f>
        <v>251</v>
      </c>
      <c r="H234" s="81" cm="1">
        <f t="array" ref="H234">F234/20</f>
        <v>12.55</v>
      </c>
      <c r="I234" s="81" cm="1">
        <f t="array" ref="I234">_xlfn.SUMIFS('עסקאות'!$M$2:$M$1958,'עסקאות'!$F$2:$F$1958,B234,'עסקאות'!$A$2:$A$1958,"&gt;="&amp;DATE(2025,1,1),'עסקאות'!$A$2:$A$1958,"&lt;"&amp;DATE(2026,1,1))</f>
        <v>251</v>
      </c>
      <c r="J234" s="83" cm="1">
        <f t="array" ref="J234">_xlfn.SUMIFS('עסקאות'!$M$2:$M$1958,'עסקאות'!$F$2:$F$1958,B234,'עסקאות'!$A$2:$A$1958,"&gt;="&amp;DATE(2026,1,1),'עסקאות'!$A$2:$A$1958,"&lt;"&amp;DATE(2027,1,1))</f>
        <v>0</v>
      </c>
      <c r="K234" s="77"/>
    </row>
    <row r="235" ht="13.65" customHeight="1">
      <c r="A235" s="70"/>
      <c r="B235" t="s" s="27">
        <v>422</v>
      </c>
      <c r="C235" t="s" s="86">
        <v>117</v>
      </c>
      <c r="D235" s="119">
        <v>1</v>
      </c>
      <c r="E235" s="119">
        <v>1</v>
      </c>
      <c r="F235" s="87" cm="1">
        <f t="array" ref="F235">_xlfn.SUMIFS('עסקאות'!$M$2:$M$1958,'עסקאות'!$F$2:$F$1958,B235)</f>
        <v>249</v>
      </c>
      <c r="G235" s="87" cm="1">
        <f t="array" ref="G235">IF(D235=0,"",F235/D235)</f>
        <v>249</v>
      </c>
      <c r="H235" s="87" cm="1">
        <f t="array" ref="H235">F235/20</f>
        <v>12.45</v>
      </c>
      <c r="I235" s="87" cm="1">
        <f t="array" ref="I235">_xlfn.SUMIFS('עסקאות'!$M$2:$M$1958,'עסקאות'!$F$2:$F$1958,B235,'עסקאות'!$A$2:$A$1958,"&gt;="&amp;DATE(2025,1,1),'עסקאות'!$A$2:$A$1958,"&lt;"&amp;DATE(2026,1,1))</f>
        <v>249</v>
      </c>
      <c r="J235" s="28" cm="1">
        <f t="array" ref="J235">_xlfn.SUMIFS('עסקאות'!$M$2:$M$1958,'עסקאות'!$F$2:$F$1958,B235,'עסקאות'!$A$2:$A$1958,"&gt;="&amp;DATE(2026,1,1),'עסקאות'!$A$2:$A$1958,"&lt;"&amp;DATE(2027,1,1))</f>
        <v>0</v>
      </c>
      <c r="K235" s="77"/>
    </row>
    <row r="236" ht="13.65" customHeight="1">
      <c r="A236" s="70"/>
      <c r="B236" t="s" s="121">
        <v>423</v>
      </c>
      <c r="C236" t="s" s="80">
        <v>107</v>
      </c>
      <c r="D236" s="118">
        <v>3</v>
      </c>
      <c r="E236" s="118">
        <v>2</v>
      </c>
      <c r="F236" s="81" cm="1">
        <f t="array" ref="F236">_xlfn.SUMIFS('עסקאות'!$M$2:$M$1958,'עסקאות'!$F$2:$F$1958,B236)</f>
        <v>245</v>
      </c>
      <c r="G236" s="81" cm="1">
        <f t="array" ref="G236">IF(D236=0,"",F236/D236)</f>
        <v>81.6666666666667</v>
      </c>
      <c r="H236" s="81" cm="1">
        <f t="array" ref="H236">F236/20</f>
        <v>12.25</v>
      </c>
      <c r="I236" s="81" cm="1">
        <f t="array" ref="I236">_xlfn.SUMIFS('עסקאות'!$M$2:$M$1958,'עסקאות'!$F$2:$F$1958,B236,'עסקאות'!$A$2:$A$1958,"&gt;="&amp;DATE(2025,1,1),'עסקאות'!$A$2:$A$1958,"&lt;"&amp;DATE(2026,1,1))</f>
        <v>245</v>
      </c>
      <c r="J236" s="83" cm="1">
        <f t="array" ref="J236">_xlfn.SUMIFS('עסקאות'!$M$2:$M$1958,'עסקאות'!$F$2:$F$1958,B236,'עסקאות'!$A$2:$A$1958,"&gt;="&amp;DATE(2026,1,1),'עסקאות'!$A$2:$A$1958,"&lt;"&amp;DATE(2027,1,1))</f>
        <v>0</v>
      </c>
      <c r="K236" s="77"/>
    </row>
    <row r="237" ht="13.65" customHeight="1">
      <c r="A237" s="70"/>
      <c r="B237" t="s" s="27">
        <v>424</v>
      </c>
      <c r="C237" t="s" s="86">
        <v>133</v>
      </c>
      <c r="D237" s="119">
        <v>4</v>
      </c>
      <c r="E237" s="119">
        <v>4</v>
      </c>
      <c r="F237" s="87" cm="1">
        <f t="array" ref="F237">_xlfn.SUMIFS('עסקאות'!$M$2:$M$1958,'עסקאות'!$F$2:$F$1958,B237)</f>
        <v>244</v>
      </c>
      <c r="G237" s="87" cm="1">
        <f t="array" ref="G237">IF(D237=0,"",F237/D237)</f>
        <v>61</v>
      </c>
      <c r="H237" s="87" cm="1">
        <f t="array" ref="H237">F237/20</f>
        <v>12.2</v>
      </c>
      <c r="I237" s="87" cm="1">
        <f t="array" ref="I237">_xlfn.SUMIFS('עסקאות'!$M$2:$M$1958,'עסקאות'!$F$2:$F$1958,B237,'עסקאות'!$A$2:$A$1958,"&gt;="&amp;DATE(2025,1,1),'עסקאות'!$A$2:$A$1958,"&lt;"&amp;DATE(2026,1,1))</f>
        <v>0</v>
      </c>
      <c r="J237" s="28" cm="1">
        <f t="array" ref="J237">_xlfn.SUMIFS('עסקאות'!$M$2:$M$1958,'עסקאות'!$F$2:$F$1958,B237,'עסקאות'!$A$2:$A$1958,"&gt;="&amp;DATE(2026,1,1),'עסקאות'!$A$2:$A$1958,"&lt;"&amp;DATE(2027,1,1))</f>
        <v>244</v>
      </c>
      <c r="K237" s="77"/>
    </row>
    <row r="238" ht="13.65" customHeight="1">
      <c r="A238" s="70"/>
      <c r="B238" t="s" s="94">
        <v>425</v>
      </c>
      <c r="C238" t="s" s="80">
        <v>117</v>
      </c>
      <c r="D238" s="118">
        <v>2</v>
      </c>
      <c r="E238" s="118">
        <v>1</v>
      </c>
      <c r="F238" s="81" cm="1">
        <f t="array" ref="F238">_xlfn.SUMIFS('עסקאות'!$M$2:$M$1958,'עסקאות'!$F$2:$F$1958,B238)</f>
        <v>242</v>
      </c>
      <c r="G238" s="81" cm="1">
        <f t="array" ref="G238">IF(D238=0,"",F238/D238)</f>
        <v>121</v>
      </c>
      <c r="H238" s="81" cm="1">
        <f t="array" ref="H238">F238/20</f>
        <v>12.1</v>
      </c>
      <c r="I238" s="81" cm="1">
        <f t="array" ref="I238">_xlfn.SUMIFS('עסקאות'!$M$2:$M$1958,'עסקאות'!$F$2:$F$1958,B238,'עסקאות'!$A$2:$A$1958,"&gt;="&amp;DATE(2025,1,1),'עסקאות'!$A$2:$A$1958,"&lt;"&amp;DATE(2026,1,1))</f>
        <v>242</v>
      </c>
      <c r="J238" s="83" cm="1">
        <f t="array" ref="J238">_xlfn.SUMIFS('עסקאות'!$M$2:$M$1958,'עסקאות'!$F$2:$F$1958,B238,'עסקאות'!$A$2:$A$1958,"&gt;="&amp;DATE(2026,1,1),'עסקאות'!$A$2:$A$1958,"&lt;"&amp;DATE(2027,1,1))</f>
        <v>0</v>
      </c>
      <c r="K238" s="77"/>
    </row>
    <row r="239" ht="13.65" customHeight="1">
      <c r="A239" s="70"/>
      <c r="B239" t="s" s="27">
        <v>426</v>
      </c>
      <c r="C239" t="s" s="86">
        <v>127</v>
      </c>
      <c r="D239" s="119">
        <v>2</v>
      </c>
      <c r="E239" s="119">
        <v>2</v>
      </c>
      <c r="F239" s="87" cm="1">
        <f t="array" ref="F239">_xlfn.SUMIFS('עסקאות'!$M$2:$M$1958,'עסקאות'!$F$2:$F$1958,B239)</f>
        <v>240</v>
      </c>
      <c r="G239" s="87" cm="1">
        <f t="array" ref="G239">IF(D239=0,"",F239/D239)</f>
        <v>120</v>
      </c>
      <c r="H239" s="87" cm="1">
        <f t="array" ref="H239">F239/20</f>
        <v>12</v>
      </c>
      <c r="I239" s="87" cm="1">
        <f t="array" ref="I239">_xlfn.SUMIFS('עסקאות'!$M$2:$M$1958,'עסקאות'!$F$2:$F$1958,B239,'עסקאות'!$A$2:$A$1958,"&gt;="&amp;DATE(2025,1,1),'עסקאות'!$A$2:$A$1958,"&lt;"&amp;DATE(2026,1,1))</f>
        <v>240</v>
      </c>
      <c r="J239" s="28" cm="1">
        <f t="array" ref="J239">_xlfn.SUMIFS('עסקאות'!$M$2:$M$1958,'עסקאות'!$F$2:$F$1958,B239,'עסקאות'!$A$2:$A$1958,"&gt;="&amp;DATE(2026,1,1),'עסקאות'!$A$2:$A$1958,"&lt;"&amp;DATE(2027,1,1))</f>
        <v>0</v>
      </c>
      <c r="K239" s="77"/>
    </row>
    <row r="240" ht="13.65" customHeight="1">
      <c r="A240" s="70"/>
      <c r="B240" t="s" s="94">
        <v>427</v>
      </c>
      <c r="C240" t="s" s="80">
        <v>121</v>
      </c>
      <c r="D240" s="118">
        <v>1</v>
      </c>
      <c r="E240" s="118">
        <v>1</v>
      </c>
      <c r="F240" s="81" cm="1">
        <f t="array" ref="F240">_xlfn.SUMIFS('עסקאות'!$M$2:$M$1958,'עסקאות'!$F$2:$F$1958,B240)</f>
        <v>240</v>
      </c>
      <c r="G240" s="81" cm="1">
        <f t="array" ref="G240">IF(D240=0,"",F240/D240)</f>
        <v>240</v>
      </c>
      <c r="H240" s="81" cm="1">
        <f t="array" ref="H240">F240/20</f>
        <v>12</v>
      </c>
      <c r="I240" s="81" cm="1">
        <f t="array" ref="I240">_xlfn.SUMIFS('עסקאות'!$M$2:$M$1958,'עסקאות'!$F$2:$F$1958,B240,'עסקאות'!$A$2:$A$1958,"&gt;="&amp;DATE(2025,1,1),'עסקאות'!$A$2:$A$1958,"&lt;"&amp;DATE(2026,1,1))</f>
        <v>240</v>
      </c>
      <c r="J240" s="83" cm="1">
        <f t="array" ref="J240">_xlfn.SUMIFS('עסקאות'!$M$2:$M$1958,'עסקאות'!$F$2:$F$1958,B240,'עסקאות'!$A$2:$A$1958,"&gt;="&amp;DATE(2026,1,1),'עסקאות'!$A$2:$A$1958,"&lt;"&amp;DATE(2027,1,1))</f>
        <v>0</v>
      </c>
      <c r="K240" s="77"/>
    </row>
    <row r="241" ht="13.65" customHeight="1">
      <c r="A241" s="70"/>
      <c r="B241" t="s" s="27">
        <v>428</v>
      </c>
      <c r="C241" t="s" s="86">
        <v>102</v>
      </c>
      <c r="D241" s="119">
        <v>1</v>
      </c>
      <c r="E241" s="119">
        <v>1</v>
      </c>
      <c r="F241" s="87" cm="1">
        <f t="array" ref="F241">_xlfn.SUMIFS('עסקאות'!$M$2:$M$1958,'עסקאות'!$F$2:$F$1958,B241)</f>
        <v>240</v>
      </c>
      <c r="G241" s="87" cm="1">
        <f t="array" ref="G241">IF(D241=0,"",F241/D241)</f>
        <v>240</v>
      </c>
      <c r="H241" s="87" cm="1">
        <f t="array" ref="H241">F241/20</f>
        <v>12</v>
      </c>
      <c r="I241" s="87" cm="1">
        <f t="array" ref="I241">_xlfn.SUMIFS('עסקאות'!$M$2:$M$1958,'עסקאות'!$F$2:$F$1958,B241,'עסקאות'!$A$2:$A$1958,"&gt;="&amp;DATE(2025,1,1),'עסקאות'!$A$2:$A$1958,"&lt;"&amp;DATE(2026,1,1))</f>
        <v>240</v>
      </c>
      <c r="J241" s="28" cm="1">
        <f t="array" ref="J241">_xlfn.SUMIFS('עסקאות'!$M$2:$M$1958,'עסקאות'!$F$2:$F$1958,B241,'עסקאות'!$A$2:$A$1958,"&gt;="&amp;DATE(2026,1,1),'עסקאות'!$A$2:$A$1958,"&lt;"&amp;DATE(2027,1,1))</f>
        <v>0</v>
      </c>
      <c r="K241" s="77"/>
    </row>
    <row r="242" ht="13.65" customHeight="1">
      <c r="A242" s="70"/>
      <c r="B242" t="s" s="94">
        <v>429</v>
      </c>
      <c r="C242" t="s" s="80">
        <v>117</v>
      </c>
      <c r="D242" s="118">
        <v>1</v>
      </c>
      <c r="E242" s="118">
        <v>1</v>
      </c>
      <c r="F242" s="81" cm="1">
        <f t="array" ref="F242">_xlfn.SUMIFS('עסקאות'!$M$2:$M$1958,'עסקאות'!$F$2:$F$1958,B242)</f>
        <v>240</v>
      </c>
      <c r="G242" s="81" cm="1">
        <f t="array" ref="G242">IF(D242=0,"",F242/D242)</f>
        <v>240</v>
      </c>
      <c r="H242" s="81" cm="1">
        <f t="array" ref="H242">F242/20</f>
        <v>12</v>
      </c>
      <c r="I242" s="81" cm="1">
        <f t="array" ref="I242">_xlfn.SUMIFS('עסקאות'!$M$2:$M$1958,'עסקאות'!$F$2:$F$1958,B242,'עסקאות'!$A$2:$A$1958,"&gt;="&amp;DATE(2025,1,1),'עסקאות'!$A$2:$A$1958,"&lt;"&amp;DATE(2026,1,1))</f>
        <v>240</v>
      </c>
      <c r="J242" s="83" cm="1">
        <f t="array" ref="J242">_xlfn.SUMIFS('עסקאות'!$M$2:$M$1958,'עסקאות'!$F$2:$F$1958,B242,'עסקאות'!$A$2:$A$1958,"&gt;="&amp;DATE(2026,1,1),'עסקאות'!$A$2:$A$1958,"&lt;"&amp;DATE(2027,1,1))</f>
        <v>0</v>
      </c>
      <c r="K242" s="77"/>
    </row>
    <row r="243" ht="13.65" customHeight="1">
      <c r="A243" s="70"/>
      <c r="B243" t="s" s="27">
        <v>430</v>
      </c>
      <c r="C243" t="s" s="86">
        <v>105</v>
      </c>
      <c r="D243" s="119">
        <v>1</v>
      </c>
      <c r="E243" s="119">
        <v>1</v>
      </c>
      <c r="F243" s="87" cm="1">
        <f t="array" ref="F243">_xlfn.SUMIFS('עסקאות'!$M$2:$M$1958,'עסקאות'!$F$2:$F$1958,B243)</f>
        <v>238</v>
      </c>
      <c r="G243" s="87" cm="1">
        <f t="array" ref="G243">IF(D243=0,"",F243/D243)</f>
        <v>238</v>
      </c>
      <c r="H243" s="87" cm="1">
        <f t="array" ref="H243">F243/20</f>
        <v>11.9</v>
      </c>
      <c r="I243" s="87" cm="1">
        <f t="array" ref="I243">_xlfn.SUMIFS('עסקאות'!$M$2:$M$1958,'עסקאות'!$F$2:$F$1958,B243,'עסקאות'!$A$2:$A$1958,"&gt;="&amp;DATE(2025,1,1),'עסקאות'!$A$2:$A$1958,"&lt;"&amp;DATE(2026,1,1))</f>
        <v>238</v>
      </c>
      <c r="J243" s="28" cm="1">
        <f t="array" ref="J243">_xlfn.SUMIFS('עסקאות'!$M$2:$M$1958,'עסקאות'!$F$2:$F$1958,B243,'עסקאות'!$A$2:$A$1958,"&gt;="&amp;DATE(2026,1,1),'עסקאות'!$A$2:$A$1958,"&lt;"&amp;DATE(2027,1,1))</f>
        <v>0</v>
      </c>
      <c r="K243" s="77"/>
    </row>
    <row r="244" ht="13.65" customHeight="1">
      <c r="A244" s="70"/>
      <c r="B244" t="s" s="94">
        <v>431</v>
      </c>
      <c r="C244" t="s" s="80">
        <v>121</v>
      </c>
      <c r="D244" s="118">
        <v>1</v>
      </c>
      <c r="E244" s="118">
        <v>1</v>
      </c>
      <c r="F244" s="81" cm="1">
        <f t="array" ref="F244">_xlfn.SUMIFS('עסקאות'!$M$2:$M$1958,'עסקאות'!$F$2:$F$1958,B244)</f>
        <v>238</v>
      </c>
      <c r="G244" s="81" cm="1">
        <f t="array" ref="G244">IF(D244=0,"",F244/D244)</f>
        <v>238</v>
      </c>
      <c r="H244" s="81" cm="1">
        <f t="array" ref="H244">F244/20</f>
        <v>11.9</v>
      </c>
      <c r="I244" s="81" cm="1">
        <f t="array" ref="I244">_xlfn.SUMIFS('עסקאות'!$M$2:$M$1958,'עסקאות'!$F$2:$F$1958,B244,'עסקאות'!$A$2:$A$1958,"&gt;="&amp;DATE(2025,1,1),'עסקאות'!$A$2:$A$1958,"&lt;"&amp;DATE(2026,1,1))</f>
        <v>238</v>
      </c>
      <c r="J244" s="83" cm="1">
        <f t="array" ref="J244">_xlfn.SUMIFS('עסקאות'!$M$2:$M$1958,'עסקאות'!$F$2:$F$1958,B244,'עסקאות'!$A$2:$A$1958,"&gt;="&amp;DATE(2026,1,1),'עסקאות'!$A$2:$A$1958,"&lt;"&amp;DATE(2027,1,1))</f>
        <v>0</v>
      </c>
      <c r="K244" s="77"/>
    </row>
    <row r="245" ht="13.65" customHeight="1">
      <c r="A245" s="70"/>
      <c r="B245" t="s" s="27">
        <v>432</v>
      </c>
      <c r="C245" t="s" s="86">
        <v>119</v>
      </c>
      <c r="D245" s="119">
        <v>1</v>
      </c>
      <c r="E245" s="119">
        <v>1</v>
      </c>
      <c r="F245" s="87" cm="1">
        <f t="array" ref="F245">_xlfn.SUMIFS('עסקאות'!$M$2:$M$1958,'עסקאות'!$F$2:$F$1958,B245)</f>
        <v>236</v>
      </c>
      <c r="G245" s="87" cm="1">
        <f t="array" ref="G245">IF(D245=0,"",F245/D245)</f>
        <v>236</v>
      </c>
      <c r="H245" s="87" cm="1">
        <f t="array" ref="H245">F245/20</f>
        <v>11.8</v>
      </c>
      <c r="I245" s="87" cm="1">
        <f t="array" ref="I245">_xlfn.SUMIFS('עסקאות'!$M$2:$M$1958,'עסקאות'!$F$2:$F$1958,B245,'עסקאות'!$A$2:$A$1958,"&gt;="&amp;DATE(2025,1,1),'עסקאות'!$A$2:$A$1958,"&lt;"&amp;DATE(2026,1,1))</f>
        <v>0</v>
      </c>
      <c r="J245" s="28" cm="1">
        <f t="array" ref="J245">_xlfn.SUMIFS('עסקאות'!$M$2:$M$1958,'עסקאות'!$F$2:$F$1958,B245,'עסקאות'!$A$2:$A$1958,"&gt;="&amp;DATE(2026,1,1),'עסקאות'!$A$2:$A$1958,"&lt;"&amp;DATE(2027,1,1))</f>
        <v>236</v>
      </c>
      <c r="K245" s="77"/>
    </row>
    <row r="246" ht="13.65" customHeight="1">
      <c r="A246" s="70"/>
      <c r="B246" t="s" s="94">
        <v>433</v>
      </c>
      <c r="C246" t="s" s="80">
        <v>109</v>
      </c>
      <c r="D246" s="118">
        <v>2</v>
      </c>
      <c r="E246" s="118">
        <v>2</v>
      </c>
      <c r="F246" s="81" cm="1">
        <f t="array" ref="F246">_xlfn.SUMIFS('עסקאות'!$M$2:$M$1958,'עסקאות'!$F$2:$F$1958,B246)</f>
        <v>229</v>
      </c>
      <c r="G246" s="81" cm="1">
        <f t="array" ref="G246">IF(D246=0,"",F246/D246)</f>
        <v>114.5</v>
      </c>
      <c r="H246" s="81" cm="1">
        <f t="array" ref="H246">F246/20</f>
        <v>11.45</v>
      </c>
      <c r="I246" s="81" cm="1">
        <f t="array" ref="I246">_xlfn.SUMIFS('עסקאות'!$M$2:$M$1958,'עסקאות'!$F$2:$F$1958,B246,'עסקאות'!$A$2:$A$1958,"&gt;="&amp;DATE(2025,1,1),'עסקאות'!$A$2:$A$1958,"&lt;"&amp;DATE(2026,1,1))</f>
        <v>229</v>
      </c>
      <c r="J246" s="83" cm="1">
        <f t="array" ref="J246">_xlfn.SUMIFS('עסקאות'!$M$2:$M$1958,'עסקאות'!$F$2:$F$1958,B246,'עסקאות'!$A$2:$A$1958,"&gt;="&amp;DATE(2026,1,1),'עסקאות'!$A$2:$A$1958,"&lt;"&amp;DATE(2027,1,1))</f>
        <v>0</v>
      </c>
      <c r="K246" s="77"/>
    </row>
    <row r="247" ht="13.65" customHeight="1">
      <c r="A247" s="70"/>
      <c r="B247" t="s" s="27">
        <v>434</v>
      </c>
      <c r="C247" t="s" s="86">
        <v>111</v>
      </c>
      <c r="D247" s="119">
        <v>9</v>
      </c>
      <c r="E247" s="119">
        <v>3</v>
      </c>
      <c r="F247" s="87" cm="1">
        <f t="array" ref="F247">_xlfn.SUMIFS('עסקאות'!$M$2:$M$1958,'עסקאות'!$F$2:$F$1958,B247)</f>
        <v>225</v>
      </c>
      <c r="G247" s="87" cm="1">
        <f t="array" ref="G247">IF(D247=0,"",F247/D247)</f>
        <v>25</v>
      </c>
      <c r="H247" s="87" cm="1">
        <f t="array" ref="H247">F247/20</f>
        <v>11.25</v>
      </c>
      <c r="I247" s="87" cm="1">
        <f t="array" ref="I247">_xlfn.SUMIFS('עסקאות'!$M$2:$M$1958,'עסקאות'!$F$2:$F$1958,B247,'עסקאות'!$A$2:$A$1958,"&gt;="&amp;DATE(2025,1,1),'עסקאות'!$A$2:$A$1958,"&lt;"&amp;DATE(2026,1,1))</f>
        <v>225</v>
      </c>
      <c r="J247" s="28" cm="1">
        <f t="array" ref="J247">_xlfn.SUMIFS('עסקאות'!$M$2:$M$1958,'עסקאות'!$F$2:$F$1958,B247,'עסקאות'!$A$2:$A$1958,"&gt;="&amp;DATE(2026,1,1),'עסקאות'!$A$2:$A$1958,"&lt;"&amp;DATE(2027,1,1))</f>
        <v>0</v>
      </c>
      <c r="K247" s="77"/>
    </row>
    <row r="248" ht="13.65" customHeight="1">
      <c r="A248" s="70"/>
      <c r="B248" t="s" s="94">
        <v>435</v>
      </c>
      <c r="C248" t="s" s="80">
        <v>121</v>
      </c>
      <c r="D248" s="118">
        <v>6</v>
      </c>
      <c r="E248" s="118">
        <v>3</v>
      </c>
      <c r="F248" s="81" cm="1">
        <f t="array" ref="F248">_xlfn.SUMIFS('עסקאות'!$M$2:$M$1958,'עסקאות'!$F$2:$F$1958,B248)</f>
        <v>223</v>
      </c>
      <c r="G248" s="81" cm="1">
        <f t="array" ref="G248">IF(D248=0,"",F248/D248)</f>
        <v>37.1666666666667</v>
      </c>
      <c r="H248" s="81" cm="1">
        <f t="array" ref="H248">F248/20</f>
        <v>11.15</v>
      </c>
      <c r="I248" s="81" cm="1">
        <f t="array" ref="I248">_xlfn.SUMIFS('עסקאות'!$M$2:$M$1958,'עסקאות'!$F$2:$F$1958,B248,'עסקאות'!$A$2:$A$1958,"&gt;="&amp;DATE(2025,1,1),'עסקאות'!$A$2:$A$1958,"&lt;"&amp;DATE(2026,1,1))</f>
        <v>50</v>
      </c>
      <c r="J248" s="83" cm="1">
        <f t="array" ref="J248">_xlfn.SUMIFS('עסקאות'!$M$2:$M$1958,'עסקאות'!$F$2:$F$1958,B248,'עסקאות'!$A$2:$A$1958,"&gt;="&amp;DATE(2026,1,1),'עסקאות'!$A$2:$A$1958,"&lt;"&amp;DATE(2027,1,1))</f>
        <v>173</v>
      </c>
      <c r="K248" s="77"/>
    </row>
    <row r="249" ht="13.65" customHeight="1">
      <c r="A249" s="70"/>
      <c r="B249" t="s" s="27">
        <v>436</v>
      </c>
      <c r="C249" t="s" s="86">
        <v>117</v>
      </c>
      <c r="D249" s="119">
        <v>1</v>
      </c>
      <c r="E249" s="119">
        <v>1</v>
      </c>
      <c r="F249" s="87" cm="1">
        <f t="array" ref="F249">_xlfn.SUMIFS('עסקאות'!$M$2:$M$1958,'עסקאות'!$F$2:$F$1958,B249)</f>
        <v>219</v>
      </c>
      <c r="G249" s="87" cm="1">
        <f t="array" ref="G249">IF(D249=0,"",F249/D249)</f>
        <v>219</v>
      </c>
      <c r="H249" s="87" cm="1">
        <f t="array" ref="H249">F249/20</f>
        <v>10.95</v>
      </c>
      <c r="I249" s="87" cm="1">
        <f t="array" ref="I249">_xlfn.SUMIFS('עסקאות'!$M$2:$M$1958,'עסקאות'!$F$2:$F$1958,B249,'עסקאות'!$A$2:$A$1958,"&gt;="&amp;DATE(2025,1,1),'עסקאות'!$A$2:$A$1958,"&lt;"&amp;DATE(2026,1,1))</f>
        <v>219</v>
      </c>
      <c r="J249" s="28" cm="1">
        <f t="array" ref="J249">_xlfn.SUMIFS('עסקאות'!$M$2:$M$1958,'עסקאות'!$F$2:$F$1958,B249,'עסקאות'!$A$2:$A$1958,"&gt;="&amp;DATE(2026,1,1),'עסקאות'!$A$2:$A$1958,"&lt;"&amp;DATE(2027,1,1))</f>
        <v>0</v>
      </c>
      <c r="K249" s="77"/>
    </row>
    <row r="250" ht="13.65" customHeight="1">
      <c r="A250" s="70"/>
      <c r="B250" t="s" s="94">
        <v>437</v>
      </c>
      <c r="C250" t="s" s="80">
        <v>113</v>
      </c>
      <c r="D250" s="118">
        <v>3</v>
      </c>
      <c r="E250" s="118">
        <v>3</v>
      </c>
      <c r="F250" s="81" cm="1">
        <f t="array" ref="F250">_xlfn.SUMIFS('עסקאות'!$M$2:$M$1958,'עסקאות'!$F$2:$F$1958,B250)</f>
        <v>212</v>
      </c>
      <c r="G250" s="81" cm="1">
        <f t="array" ref="G250">IF(D250=0,"",F250/D250)</f>
        <v>70.6666666666667</v>
      </c>
      <c r="H250" s="81" cm="1">
        <f t="array" ref="H250">F250/20</f>
        <v>10.6</v>
      </c>
      <c r="I250" s="81" cm="1">
        <f t="array" ref="I250">_xlfn.SUMIFS('עסקאות'!$M$2:$M$1958,'עסקאות'!$F$2:$F$1958,B250,'עסקאות'!$A$2:$A$1958,"&gt;="&amp;DATE(2025,1,1),'עסקאות'!$A$2:$A$1958,"&lt;"&amp;DATE(2026,1,1))</f>
        <v>0</v>
      </c>
      <c r="J250" s="83" cm="1">
        <f t="array" ref="J250">_xlfn.SUMIFS('עסקאות'!$M$2:$M$1958,'עסקאות'!$F$2:$F$1958,B250,'עסקאות'!$A$2:$A$1958,"&gt;="&amp;DATE(2026,1,1),'עסקאות'!$A$2:$A$1958,"&lt;"&amp;DATE(2027,1,1))</f>
        <v>212</v>
      </c>
      <c r="K250" s="77"/>
    </row>
    <row r="251" ht="13.65" customHeight="1">
      <c r="A251" s="70"/>
      <c r="B251" t="s" s="27">
        <v>438</v>
      </c>
      <c r="C251" t="s" s="86">
        <v>117</v>
      </c>
      <c r="D251" s="119">
        <v>1</v>
      </c>
      <c r="E251" s="119">
        <v>1</v>
      </c>
      <c r="F251" s="87" cm="1">
        <f t="array" ref="F251">_xlfn.SUMIFS('עסקאות'!$M$2:$M$1958,'עסקאות'!$F$2:$F$1958,B251)</f>
        <v>210</v>
      </c>
      <c r="G251" s="87" cm="1">
        <f t="array" ref="G251">IF(D251=0,"",F251/D251)</f>
        <v>210</v>
      </c>
      <c r="H251" s="87" cm="1">
        <f t="array" ref="H251">F251/20</f>
        <v>10.5</v>
      </c>
      <c r="I251" s="87" cm="1">
        <f t="array" ref="I251">_xlfn.SUMIFS('עסקאות'!$M$2:$M$1958,'עסקאות'!$F$2:$F$1958,B251,'עסקאות'!$A$2:$A$1958,"&gt;="&amp;DATE(2025,1,1),'עסקאות'!$A$2:$A$1958,"&lt;"&amp;DATE(2026,1,1))</f>
        <v>0</v>
      </c>
      <c r="J251" s="28" cm="1">
        <f t="array" ref="J251">_xlfn.SUMIFS('עסקאות'!$M$2:$M$1958,'עסקאות'!$F$2:$F$1958,B251,'עסקאות'!$A$2:$A$1958,"&gt;="&amp;DATE(2026,1,1),'עסקאות'!$A$2:$A$1958,"&lt;"&amp;DATE(2027,1,1))</f>
        <v>210</v>
      </c>
      <c r="K251" s="77"/>
    </row>
    <row r="252" ht="13.65" customHeight="1">
      <c r="A252" s="70"/>
      <c r="B252" t="s" s="121">
        <v>439</v>
      </c>
      <c r="C252" t="s" s="80">
        <v>117</v>
      </c>
      <c r="D252" s="118">
        <v>1</v>
      </c>
      <c r="E252" s="118">
        <v>1</v>
      </c>
      <c r="F252" s="81" cm="1">
        <f t="array" ref="F252">_xlfn.SUMIFS('עסקאות'!$M$2:$M$1958,'עסקאות'!$F$2:$F$1958,B252)</f>
        <v>210</v>
      </c>
      <c r="G252" s="81" cm="1">
        <f t="array" ref="G252">IF(D252=0,"",F252/D252)</f>
        <v>210</v>
      </c>
      <c r="H252" s="81" cm="1">
        <f t="array" ref="H252">F252/20</f>
        <v>10.5</v>
      </c>
      <c r="I252" s="81" cm="1">
        <f t="array" ref="I252">_xlfn.SUMIFS('עסקאות'!$M$2:$M$1958,'עסקאות'!$F$2:$F$1958,B252,'עסקאות'!$A$2:$A$1958,"&gt;="&amp;DATE(2025,1,1),'עסקאות'!$A$2:$A$1958,"&lt;"&amp;DATE(2026,1,1))</f>
        <v>0</v>
      </c>
      <c r="J252" s="83" cm="1">
        <f t="array" ref="J252">_xlfn.SUMIFS('עסקאות'!$M$2:$M$1958,'עסקאות'!$F$2:$F$1958,B252,'עסקאות'!$A$2:$A$1958,"&gt;="&amp;DATE(2026,1,1),'עסקאות'!$A$2:$A$1958,"&lt;"&amp;DATE(2027,1,1))</f>
        <v>210</v>
      </c>
      <c r="K252" s="77"/>
    </row>
    <row r="253" ht="13.65" customHeight="1">
      <c r="A253" s="70"/>
      <c r="B253" t="s" s="120">
        <v>440</v>
      </c>
      <c r="C253" t="s" s="86">
        <v>113</v>
      </c>
      <c r="D253" s="119">
        <v>1</v>
      </c>
      <c r="E253" s="119">
        <v>1</v>
      </c>
      <c r="F253" s="87" cm="1">
        <f t="array" ref="F253">_xlfn.SUMIFS('עסקאות'!$M$2:$M$1958,'עסקאות'!$F$2:$F$1958,B253)</f>
        <v>210</v>
      </c>
      <c r="G253" s="87" cm="1">
        <f t="array" ref="G253">IF(D253=0,"",F253/D253)</f>
        <v>210</v>
      </c>
      <c r="H253" s="87" cm="1">
        <f t="array" ref="H253">F253/20</f>
        <v>10.5</v>
      </c>
      <c r="I253" s="87" cm="1">
        <f t="array" ref="I253">_xlfn.SUMIFS('עסקאות'!$M$2:$M$1958,'עסקאות'!$F$2:$F$1958,B253,'עסקאות'!$A$2:$A$1958,"&gt;="&amp;DATE(2025,1,1),'עסקאות'!$A$2:$A$1958,"&lt;"&amp;DATE(2026,1,1))</f>
        <v>0</v>
      </c>
      <c r="J253" s="28" cm="1">
        <f t="array" ref="J253">_xlfn.SUMIFS('עסקאות'!$M$2:$M$1958,'עסקאות'!$F$2:$F$1958,B253,'עסקאות'!$A$2:$A$1958,"&gt;="&amp;DATE(2026,1,1),'עסקאות'!$A$2:$A$1958,"&lt;"&amp;DATE(2027,1,1))</f>
        <v>210</v>
      </c>
      <c r="K253" s="77"/>
    </row>
    <row r="254" ht="13.65" customHeight="1">
      <c r="A254" s="70"/>
      <c r="B254" t="s" s="94">
        <v>441</v>
      </c>
      <c r="C254" t="s" s="80">
        <v>117</v>
      </c>
      <c r="D254" s="118">
        <v>2</v>
      </c>
      <c r="E254" s="118">
        <v>1</v>
      </c>
      <c r="F254" s="81" cm="1">
        <f t="array" ref="F254">_xlfn.SUMIFS('עסקאות'!$M$2:$M$1958,'עסקאות'!$F$2:$F$1958,B254)</f>
        <v>207</v>
      </c>
      <c r="G254" s="81" cm="1">
        <f t="array" ref="G254">IF(D254=0,"",F254/D254)</f>
        <v>103.5</v>
      </c>
      <c r="H254" s="81" cm="1">
        <f t="array" ref="H254">F254/20</f>
        <v>10.35</v>
      </c>
      <c r="I254" s="81" cm="1">
        <f t="array" ref="I254">_xlfn.SUMIFS('עסקאות'!$M$2:$M$1958,'עסקאות'!$F$2:$F$1958,B254,'עסקאות'!$A$2:$A$1958,"&gt;="&amp;DATE(2025,1,1),'עסקאות'!$A$2:$A$1958,"&lt;"&amp;DATE(2026,1,1))</f>
        <v>207</v>
      </c>
      <c r="J254" s="83" cm="1">
        <f t="array" ref="J254">_xlfn.SUMIFS('עסקאות'!$M$2:$M$1958,'עסקאות'!$F$2:$F$1958,B254,'עסקאות'!$A$2:$A$1958,"&gt;="&amp;DATE(2026,1,1),'עסקאות'!$A$2:$A$1958,"&lt;"&amp;DATE(2027,1,1))</f>
        <v>0</v>
      </c>
      <c r="K254" s="77"/>
    </row>
    <row r="255" ht="13.65" customHeight="1">
      <c r="A255" s="70"/>
      <c r="B255" t="s" s="27">
        <v>442</v>
      </c>
      <c r="C255" t="s" s="86">
        <v>127</v>
      </c>
      <c r="D255" s="119">
        <v>1</v>
      </c>
      <c r="E255" s="119">
        <v>1</v>
      </c>
      <c r="F255" s="87" cm="1">
        <f t="array" ref="F255">_xlfn.SUMIFS('עסקאות'!$M$2:$M$1958,'עסקאות'!$F$2:$F$1958,B255)</f>
        <v>207</v>
      </c>
      <c r="G255" s="87" cm="1">
        <f t="array" ref="G255">IF(D255=0,"",F255/D255)</f>
        <v>207</v>
      </c>
      <c r="H255" s="87" cm="1">
        <f t="array" ref="H255">F255/20</f>
        <v>10.35</v>
      </c>
      <c r="I255" s="87" cm="1">
        <f t="array" ref="I255">_xlfn.SUMIFS('עסקאות'!$M$2:$M$1958,'עסקאות'!$F$2:$F$1958,B255,'עסקאות'!$A$2:$A$1958,"&gt;="&amp;DATE(2025,1,1),'עסקאות'!$A$2:$A$1958,"&lt;"&amp;DATE(2026,1,1))</f>
        <v>0</v>
      </c>
      <c r="J255" s="28" cm="1">
        <f t="array" ref="J255">_xlfn.SUMIFS('עסקאות'!$M$2:$M$1958,'עסקאות'!$F$2:$F$1958,B255,'עסקאות'!$A$2:$A$1958,"&gt;="&amp;DATE(2026,1,1),'עסקאות'!$A$2:$A$1958,"&lt;"&amp;DATE(2027,1,1))</f>
        <v>207</v>
      </c>
      <c r="K255" s="77"/>
    </row>
    <row r="256" ht="13.65" customHeight="1">
      <c r="A256" s="70"/>
      <c r="B256" t="s" s="94">
        <v>443</v>
      </c>
      <c r="C256" t="s" s="80">
        <v>113</v>
      </c>
      <c r="D256" s="118">
        <v>1</v>
      </c>
      <c r="E256" s="118">
        <v>1</v>
      </c>
      <c r="F256" s="81" cm="1">
        <f t="array" ref="F256">_xlfn.SUMIFS('עסקאות'!$M$2:$M$1958,'עסקאות'!$F$2:$F$1958,B256)</f>
        <v>205</v>
      </c>
      <c r="G256" s="81" cm="1">
        <f t="array" ref="G256">IF(D256=0,"",F256/D256)</f>
        <v>205</v>
      </c>
      <c r="H256" s="81" cm="1">
        <f t="array" ref="H256">F256/20</f>
        <v>10.25</v>
      </c>
      <c r="I256" s="81" cm="1">
        <f t="array" ref="I256">_xlfn.SUMIFS('עסקאות'!$M$2:$M$1958,'עסקאות'!$F$2:$F$1958,B256,'עסקאות'!$A$2:$A$1958,"&gt;="&amp;DATE(2025,1,1),'עסקאות'!$A$2:$A$1958,"&lt;"&amp;DATE(2026,1,1))</f>
        <v>205</v>
      </c>
      <c r="J256" s="83" cm="1">
        <f t="array" ref="J256">_xlfn.SUMIFS('עסקאות'!$M$2:$M$1958,'עסקאות'!$F$2:$F$1958,B256,'עסקאות'!$A$2:$A$1958,"&gt;="&amp;DATE(2026,1,1),'עסקאות'!$A$2:$A$1958,"&lt;"&amp;DATE(2027,1,1))</f>
        <v>0</v>
      </c>
      <c r="K256" s="77"/>
    </row>
    <row r="257" ht="13.65" customHeight="1">
      <c r="A257" s="70"/>
      <c r="B257" t="s" s="27">
        <v>444</v>
      </c>
      <c r="C257" t="s" s="86">
        <v>113</v>
      </c>
      <c r="D257" s="119">
        <v>1</v>
      </c>
      <c r="E257" s="119">
        <v>1</v>
      </c>
      <c r="F257" s="87" cm="1">
        <f t="array" ref="F257">_xlfn.SUMIFS('עסקאות'!$M$2:$M$1958,'עסקאות'!$F$2:$F$1958,B257)</f>
        <v>205</v>
      </c>
      <c r="G257" s="87" cm="1">
        <f t="array" ref="G257">IF(D257=0,"",F257/D257)</f>
        <v>205</v>
      </c>
      <c r="H257" s="87" cm="1">
        <f t="array" ref="H257">F257/20</f>
        <v>10.25</v>
      </c>
      <c r="I257" s="87" cm="1">
        <f t="array" ref="I257">_xlfn.SUMIFS('עסקאות'!$M$2:$M$1958,'עסקאות'!$F$2:$F$1958,B257,'עסקאות'!$A$2:$A$1958,"&gt;="&amp;DATE(2025,1,1),'עסקאות'!$A$2:$A$1958,"&lt;"&amp;DATE(2026,1,1))</f>
        <v>0</v>
      </c>
      <c r="J257" s="28" cm="1">
        <f t="array" ref="J257">_xlfn.SUMIFS('עסקאות'!$M$2:$M$1958,'עסקאות'!$F$2:$F$1958,B257,'עסקאות'!$A$2:$A$1958,"&gt;="&amp;DATE(2026,1,1),'עסקאות'!$A$2:$A$1958,"&lt;"&amp;DATE(2027,1,1))</f>
        <v>205</v>
      </c>
      <c r="K257" s="77"/>
    </row>
    <row r="258" ht="13.65" customHeight="1">
      <c r="A258" s="70"/>
      <c r="B258" t="s" s="94">
        <v>445</v>
      </c>
      <c r="C258" t="s" s="80">
        <v>123</v>
      </c>
      <c r="D258" s="118">
        <v>1</v>
      </c>
      <c r="E258" s="118">
        <v>1</v>
      </c>
      <c r="F258" s="81" cm="1">
        <f t="array" ref="F258">_xlfn.SUMIFS('עסקאות'!$M$2:$M$1958,'עסקאות'!$F$2:$F$1958,B258)</f>
        <v>205</v>
      </c>
      <c r="G258" s="81" cm="1">
        <f t="array" ref="G258">IF(D258=0,"",F258/D258)</f>
        <v>205</v>
      </c>
      <c r="H258" s="81" cm="1">
        <f t="array" ref="H258">F258/20</f>
        <v>10.25</v>
      </c>
      <c r="I258" s="81" cm="1">
        <f t="array" ref="I258">_xlfn.SUMIFS('עסקאות'!$M$2:$M$1958,'עסקאות'!$F$2:$F$1958,B258,'עסקאות'!$A$2:$A$1958,"&gt;="&amp;DATE(2025,1,1),'עסקאות'!$A$2:$A$1958,"&lt;"&amp;DATE(2026,1,1))</f>
        <v>0</v>
      </c>
      <c r="J258" s="83" cm="1">
        <f t="array" ref="J258">_xlfn.SUMIFS('עסקאות'!$M$2:$M$1958,'עסקאות'!$F$2:$F$1958,B258,'עסקאות'!$A$2:$A$1958,"&gt;="&amp;DATE(2026,1,1),'עסקאות'!$A$2:$A$1958,"&lt;"&amp;DATE(2027,1,1))</f>
        <v>205</v>
      </c>
      <c r="K258" s="77"/>
    </row>
    <row r="259" ht="13.65" customHeight="1">
      <c r="A259" s="70"/>
      <c r="B259" t="s" s="27">
        <v>446</v>
      </c>
      <c r="C259" t="s" s="86">
        <v>129</v>
      </c>
      <c r="D259" s="119">
        <v>1</v>
      </c>
      <c r="E259" s="119">
        <v>1</v>
      </c>
      <c r="F259" s="87" cm="1">
        <f t="array" ref="F259">_xlfn.SUMIFS('עסקאות'!$M$2:$M$1958,'עסקאות'!$F$2:$F$1958,B259)</f>
        <v>203</v>
      </c>
      <c r="G259" s="87" cm="1">
        <f t="array" ref="G259">IF(D259=0,"",F259/D259)</f>
        <v>203</v>
      </c>
      <c r="H259" s="87" cm="1">
        <f t="array" ref="H259">F259/20</f>
        <v>10.15</v>
      </c>
      <c r="I259" s="87" cm="1">
        <f t="array" ref="I259">_xlfn.SUMIFS('עסקאות'!$M$2:$M$1958,'עסקאות'!$F$2:$F$1958,B259,'עסקאות'!$A$2:$A$1958,"&gt;="&amp;DATE(2025,1,1),'עסקאות'!$A$2:$A$1958,"&lt;"&amp;DATE(2026,1,1))</f>
        <v>203</v>
      </c>
      <c r="J259" s="28" cm="1">
        <f t="array" ref="J259">_xlfn.SUMIFS('עסקאות'!$M$2:$M$1958,'עסקאות'!$F$2:$F$1958,B259,'עסקאות'!$A$2:$A$1958,"&gt;="&amp;DATE(2026,1,1),'עסקאות'!$A$2:$A$1958,"&lt;"&amp;DATE(2027,1,1))</f>
        <v>0</v>
      </c>
      <c r="K259" s="77"/>
    </row>
    <row r="260" ht="13.65" customHeight="1">
      <c r="A260" s="70"/>
      <c r="B260" t="s" s="94">
        <v>447</v>
      </c>
      <c r="C260" t="s" s="80">
        <v>127</v>
      </c>
      <c r="D260" s="118">
        <v>1</v>
      </c>
      <c r="E260" s="118">
        <v>1</v>
      </c>
      <c r="F260" s="81" cm="1">
        <f t="array" ref="F260">_xlfn.SUMIFS('עסקאות'!$M$2:$M$1958,'עסקאות'!$F$2:$F$1958,B260)</f>
        <v>200</v>
      </c>
      <c r="G260" s="81" cm="1">
        <f t="array" ref="G260">IF(D260=0,"",F260/D260)</f>
        <v>200</v>
      </c>
      <c r="H260" s="81" cm="1">
        <f t="array" ref="H260">F260/20</f>
        <v>10</v>
      </c>
      <c r="I260" s="81" cm="1">
        <f t="array" ref="I260">_xlfn.SUMIFS('עסקאות'!$M$2:$M$1958,'עסקאות'!$F$2:$F$1958,B260,'עסקאות'!$A$2:$A$1958,"&gt;="&amp;DATE(2025,1,1),'עסקאות'!$A$2:$A$1958,"&lt;"&amp;DATE(2026,1,1))</f>
        <v>200</v>
      </c>
      <c r="J260" s="83" cm="1">
        <f t="array" ref="J260">_xlfn.SUMIFS('עסקאות'!$M$2:$M$1958,'עסקאות'!$F$2:$F$1958,B260,'עסקאות'!$A$2:$A$1958,"&gt;="&amp;DATE(2026,1,1),'עסקאות'!$A$2:$A$1958,"&lt;"&amp;DATE(2027,1,1))</f>
        <v>0</v>
      </c>
      <c r="K260" s="77"/>
    </row>
    <row r="261" ht="13.65" customHeight="1">
      <c r="A261" s="70"/>
      <c r="B261" t="s" s="27">
        <v>448</v>
      </c>
      <c r="C261" t="s" s="86">
        <v>121</v>
      </c>
      <c r="D261" s="119">
        <v>3</v>
      </c>
      <c r="E261" s="119">
        <v>3</v>
      </c>
      <c r="F261" s="87" cm="1">
        <f t="array" ref="F261">_xlfn.SUMIFS('עסקאות'!$M$2:$M$1958,'עסקאות'!$F$2:$F$1958,B261)</f>
        <v>200</v>
      </c>
      <c r="G261" s="87" cm="1">
        <f t="array" ref="G261">IF(D261=0,"",F261/D261)</f>
        <v>66.6666666666667</v>
      </c>
      <c r="H261" s="87" cm="1">
        <f t="array" ref="H261">F261/20</f>
        <v>10</v>
      </c>
      <c r="I261" s="87" cm="1">
        <f t="array" ref="I261">_xlfn.SUMIFS('עסקאות'!$M$2:$M$1958,'עסקאות'!$F$2:$F$1958,B261,'עסקאות'!$A$2:$A$1958,"&gt;="&amp;DATE(2025,1,1),'עסקאות'!$A$2:$A$1958,"&lt;"&amp;DATE(2026,1,1))</f>
        <v>222</v>
      </c>
      <c r="J261" s="28" cm="1">
        <f t="array" ref="J261">_xlfn.SUMIFS('עסקאות'!$M$2:$M$1958,'עסקאות'!$F$2:$F$1958,B261,'עסקאות'!$A$2:$A$1958,"&gt;="&amp;DATE(2026,1,1),'עסקאות'!$A$2:$A$1958,"&lt;"&amp;DATE(2027,1,1))</f>
        <v>-22</v>
      </c>
      <c r="K261" s="77"/>
    </row>
    <row r="262" ht="13.65" customHeight="1">
      <c r="A262" s="70"/>
      <c r="B262" t="s" s="94">
        <v>449</v>
      </c>
      <c r="C262" t="s" s="80">
        <v>117</v>
      </c>
      <c r="D262" s="118">
        <v>2</v>
      </c>
      <c r="E262" s="118">
        <v>1</v>
      </c>
      <c r="F262" s="81" cm="1">
        <f t="array" ref="F262">_xlfn.SUMIFS('עסקאות'!$M$2:$M$1958,'עסקאות'!$F$2:$F$1958,B262)</f>
        <v>200</v>
      </c>
      <c r="G262" s="81" cm="1">
        <f t="array" ref="G262">IF(D262=0,"",F262/D262)</f>
        <v>100</v>
      </c>
      <c r="H262" s="81" cm="1">
        <f t="array" ref="H262">F262/20</f>
        <v>10</v>
      </c>
      <c r="I262" s="81" cm="1">
        <f t="array" ref="I262">_xlfn.SUMIFS('עסקאות'!$M$2:$M$1958,'עסקאות'!$F$2:$F$1958,B262,'עסקאות'!$A$2:$A$1958,"&gt;="&amp;DATE(2025,1,1),'עסקאות'!$A$2:$A$1958,"&lt;"&amp;DATE(2026,1,1))</f>
        <v>200</v>
      </c>
      <c r="J262" s="83" cm="1">
        <f t="array" ref="J262">_xlfn.SUMIFS('עסקאות'!$M$2:$M$1958,'עסקאות'!$F$2:$F$1958,B262,'עסקאות'!$A$2:$A$1958,"&gt;="&amp;DATE(2026,1,1),'עסקאות'!$A$2:$A$1958,"&lt;"&amp;DATE(2027,1,1))</f>
        <v>0</v>
      </c>
      <c r="K262" s="77"/>
    </row>
    <row r="263" ht="13.65" customHeight="1">
      <c r="A263" s="70"/>
      <c r="B263" t="s" s="120">
        <v>450</v>
      </c>
      <c r="C263" t="s" s="86">
        <v>127</v>
      </c>
      <c r="D263" s="119">
        <v>1</v>
      </c>
      <c r="E263" s="119">
        <v>1</v>
      </c>
      <c r="F263" s="87" cm="1">
        <f t="array" ref="F263">_xlfn.SUMIFS('עסקאות'!$M$2:$M$1958,'עסקאות'!$F$2:$F$1958,B263)</f>
        <v>200</v>
      </c>
      <c r="G263" s="87" cm="1">
        <f t="array" ref="G263">IF(D263=0,"",F263/D263)</f>
        <v>200</v>
      </c>
      <c r="H263" s="87" cm="1">
        <f t="array" ref="H263">F263/20</f>
        <v>10</v>
      </c>
      <c r="I263" s="87" cm="1">
        <f t="array" ref="I263">_xlfn.SUMIFS('עסקאות'!$M$2:$M$1958,'עסקאות'!$F$2:$F$1958,B263,'עסקאות'!$A$2:$A$1958,"&gt;="&amp;DATE(2025,1,1),'עסקאות'!$A$2:$A$1958,"&lt;"&amp;DATE(2026,1,1))</f>
        <v>200</v>
      </c>
      <c r="J263" s="28" cm="1">
        <f t="array" ref="J263">_xlfn.SUMIFS('עסקאות'!$M$2:$M$1958,'עסקאות'!$F$2:$F$1958,B263,'עסקאות'!$A$2:$A$1958,"&gt;="&amp;DATE(2026,1,1),'עסקאות'!$A$2:$A$1958,"&lt;"&amp;DATE(2027,1,1))</f>
        <v>0</v>
      </c>
      <c r="K263" s="77"/>
    </row>
    <row r="264" ht="13.65" customHeight="1">
      <c r="A264" s="70"/>
      <c r="B264" t="s" s="94">
        <v>451</v>
      </c>
      <c r="C264" t="s" s="80">
        <v>117</v>
      </c>
      <c r="D264" s="118">
        <v>1</v>
      </c>
      <c r="E264" s="118">
        <v>1</v>
      </c>
      <c r="F264" s="81" cm="1">
        <f t="array" ref="F264">_xlfn.SUMIFS('עסקאות'!$M$2:$M$1958,'עסקאות'!$F$2:$F$1958,B264)</f>
        <v>200</v>
      </c>
      <c r="G264" s="81" cm="1">
        <f t="array" ref="G264">IF(D264=0,"",F264/D264)</f>
        <v>200</v>
      </c>
      <c r="H264" s="81" cm="1">
        <f t="array" ref="H264">F264/20</f>
        <v>10</v>
      </c>
      <c r="I264" s="81" cm="1">
        <f t="array" ref="I264">_xlfn.SUMIFS('עסקאות'!$M$2:$M$1958,'עסקאות'!$F$2:$F$1958,B264,'עסקאות'!$A$2:$A$1958,"&gt;="&amp;DATE(2025,1,1),'עסקאות'!$A$2:$A$1958,"&lt;"&amp;DATE(2026,1,1))</f>
        <v>0</v>
      </c>
      <c r="J264" s="83" cm="1">
        <f t="array" ref="J264">_xlfn.SUMIFS('עסקאות'!$M$2:$M$1958,'עסקאות'!$F$2:$F$1958,B264,'עסקאות'!$A$2:$A$1958,"&gt;="&amp;DATE(2026,1,1),'עסקאות'!$A$2:$A$1958,"&lt;"&amp;DATE(2027,1,1))</f>
        <v>200</v>
      </c>
      <c r="K264" s="77"/>
    </row>
    <row r="265" ht="13.65" customHeight="1">
      <c r="A265" s="70"/>
      <c r="B265" t="s" s="120">
        <v>452</v>
      </c>
      <c r="C265" t="s" s="86">
        <v>115</v>
      </c>
      <c r="D265" s="119">
        <v>1</v>
      </c>
      <c r="E265" s="119">
        <v>1</v>
      </c>
      <c r="F265" s="87" cm="1">
        <f t="array" ref="F265">_xlfn.SUMIFS('עסקאות'!$M$2:$M$1958,'עסקאות'!$F$2:$F$1958,B265)</f>
        <v>200</v>
      </c>
      <c r="G265" s="87" cm="1">
        <f t="array" ref="G265">IF(D265=0,"",F265/D265)</f>
        <v>200</v>
      </c>
      <c r="H265" s="87" cm="1">
        <f t="array" ref="H265">F265/20</f>
        <v>10</v>
      </c>
      <c r="I265" s="87" cm="1">
        <f t="array" ref="I265">_xlfn.SUMIFS('עסקאות'!$M$2:$M$1958,'עסקאות'!$F$2:$F$1958,B265,'עסקאות'!$A$2:$A$1958,"&gt;="&amp;DATE(2025,1,1),'עסקאות'!$A$2:$A$1958,"&lt;"&amp;DATE(2026,1,1))</f>
        <v>0</v>
      </c>
      <c r="J265" s="28" cm="1">
        <f t="array" ref="J265">_xlfn.SUMIFS('עסקאות'!$M$2:$M$1958,'עסקאות'!$F$2:$F$1958,B265,'עסקאות'!$A$2:$A$1958,"&gt;="&amp;DATE(2026,1,1),'עסקאות'!$A$2:$A$1958,"&lt;"&amp;DATE(2027,1,1))</f>
        <v>200</v>
      </c>
      <c r="K265" s="77"/>
    </row>
    <row r="266" ht="13.65" customHeight="1">
      <c r="A266" s="70"/>
      <c r="B266" t="s" s="94">
        <v>453</v>
      </c>
      <c r="C266" t="s" s="80">
        <v>123</v>
      </c>
      <c r="D266" s="118">
        <v>1</v>
      </c>
      <c r="E266" s="118">
        <v>1</v>
      </c>
      <c r="F266" s="81" cm="1">
        <f t="array" ref="F266">_xlfn.SUMIFS('עסקאות'!$M$2:$M$1958,'עסקאות'!$F$2:$F$1958,B266)</f>
        <v>200</v>
      </c>
      <c r="G266" s="81" cm="1">
        <f t="array" ref="G266">IF(D266=0,"",F266/D266)</f>
        <v>200</v>
      </c>
      <c r="H266" s="81" cm="1">
        <f t="array" ref="H266">F266/20</f>
        <v>10</v>
      </c>
      <c r="I266" s="81" cm="1">
        <f t="array" ref="I266">_xlfn.SUMIFS('עסקאות'!$M$2:$M$1958,'עסקאות'!$F$2:$F$1958,B266,'עסקאות'!$A$2:$A$1958,"&gt;="&amp;DATE(2025,1,1),'עסקאות'!$A$2:$A$1958,"&lt;"&amp;DATE(2026,1,1))</f>
        <v>0</v>
      </c>
      <c r="J266" s="83" cm="1">
        <f t="array" ref="J266">_xlfn.SUMIFS('עסקאות'!$M$2:$M$1958,'עסקאות'!$F$2:$F$1958,B266,'עסקאות'!$A$2:$A$1958,"&gt;="&amp;DATE(2026,1,1),'עסקאות'!$A$2:$A$1958,"&lt;"&amp;DATE(2027,1,1))</f>
        <v>200</v>
      </c>
      <c r="K266" s="77"/>
    </row>
    <row r="267" ht="13.65" customHeight="1">
      <c r="A267" s="70"/>
      <c r="B267" t="s" s="27">
        <v>454</v>
      </c>
      <c r="C267" t="s" s="86">
        <v>105</v>
      </c>
      <c r="D267" s="119">
        <v>1</v>
      </c>
      <c r="E267" s="119">
        <v>1</v>
      </c>
      <c r="F267" s="87" cm="1">
        <f t="array" ref="F267">_xlfn.SUMIFS('עסקאות'!$M$2:$M$1958,'עסקאות'!$F$2:$F$1958,B267)</f>
        <v>199</v>
      </c>
      <c r="G267" s="87" cm="1">
        <f t="array" ref="G267">IF(D267=0,"",F267/D267)</f>
        <v>199</v>
      </c>
      <c r="H267" s="87" cm="1">
        <f t="array" ref="H267">F267/20</f>
        <v>9.949999999999999</v>
      </c>
      <c r="I267" s="87" cm="1">
        <f t="array" ref="I267">_xlfn.SUMIFS('עסקאות'!$M$2:$M$1958,'עסקאות'!$F$2:$F$1958,B267,'עסקאות'!$A$2:$A$1958,"&gt;="&amp;DATE(2025,1,1),'עסקאות'!$A$2:$A$1958,"&lt;"&amp;DATE(2026,1,1))</f>
        <v>199</v>
      </c>
      <c r="J267" s="28" cm="1">
        <f t="array" ref="J267">_xlfn.SUMIFS('עסקאות'!$M$2:$M$1958,'עסקאות'!$F$2:$F$1958,B267,'עסקאות'!$A$2:$A$1958,"&gt;="&amp;DATE(2026,1,1),'עסקאות'!$A$2:$A$1958,"&lt;"&amp;DATE(2027,1,1))</f>
        <v>0</v>
      </c>
      <c r="K267" s="77"/>
    </row>
    <row r="268" ht="13.65" customHeight="1">
      <c r="A268" s="70"/>
      <c r="B268" t="s" s="94">
        <v>455</v>
      </c>
      <c r="C268" t="s" s="80">
        <v>113</v>
      </c>
      <c r="D268" s="118">
        <v>1</v>
      </c>
      <c r="E268" s="118">
        <v>1</v>
      </c>
      <c r="F268" s="81" cm="1">
        <f t="array" ref="F268">_xlfn.SUMIFS('עסקאות'!$M$2:$M$1958,'עסקאות'!$F$2:$F$1958,B268)</f>
        <v>199</v>
      </c>
      <c r="G268" s="81" cm="1">
        <f t="array" ref="G268">IF(D268=0,"",F268/D268)</f>
        <v>199</v>
      </c>
      <c r="H268" s="81" cm="1">
        <f t="array" ref="H268">F268/20</f>
        <v>9.949999999999999</v>
      </c>
      <c r="I268" s="81" cm="1">
        <f t="array" ref="I268">_xlfn.SUMIFS('עסקאות'!$M$2:$M$1958,'עסקאות'!$F$2:$F$1958,B268,'עסקאות'!$A$2:$A$1958,"&gt;="&amp;DATE(2025,1,1),'עסקאות'!$A$2:$A$1958,"&lt;"&amp;DATE(2026,1,1))</f>
        <v>199</v>
      </c>
      <c r="J268" s="83" cm="1">
        <f t="array" ref="J268">_xlfn.SUMIFS('עסקאות'!$M$2:$M$1958,'עסקאות'!$F$2:$F$1958,B268,'עסקאות'!$A$2:$A$1958,"&gt;="&amp;DATE(2026,1,1),'עסקאות'!$A$2:$A$1958,"&lt;"&amp;DATE(2027,1,1))</f>
        <v>0</v>
      </c>
      <c r="K268" s="77"/>
    </row>
    <row r="269" ht="13.65" customHeight="1">
      <c r="A269" s="70"/>
      <c r="B269" t="s" s="27">
        <v>456</v>
      </c>
      <c r="C269" t="s" s="86">
        <v>117</v>
      </c>
      <c r="D269" s="119">
        <v>3</v>
      </c>
      <c r="E269" s="119">
        <v>1</v>
      </c>
      <c r="F269" s="87" cm="1">
        <f t="array" ref="F269">_xlfn.SUMIFS('עסקאות'!$M$2:$M$1958,'עסקאות'!$F$2:$F$1958,B269)</f>
        <v>196</v>
      </c>
      <c r="G269" s="87" cm="1">
        <f t="array" ref="G269">IF(D269=0,"",F269/D269)</f>
        <v>65.3333333333333</v>
      </c>
      <c r="H269" s="87" cm="1">
        <f t="array" ref="H269">F269/20</f>
        <v>9.800000000000001</v>
      </c>
      <c r="I269" s="87" cm="1">
        <f t="array" ref="I269">_xlfn.SUMIFS('עסקאות'!$M$2:$M$1958,'עסקאות'!$F$2:$F$1958,B269,'עסקאות'!$A$2:$A$1958,"&gt;="&amp;DATE(2025,1,1),'עסקאות'!$A$2:$A$1958,"&lt;"&amp;DATE(2026,1,1))</f>
        <v>196</v>
      </c>
      <c r="J269" s="28" cm="1">
        <f t="array" ref="J269">_xlfn.SUMIFS('עסקאות'!$M$2:$M$1958,'עסקאות'!$F$2:$F$1958,B269,'עסקאות'!$A$2:$A$1958,"&gt;="&amp;DATE(2026,1,1),'עסקאות'!$A$2:$A$1958,"&lt;"&amp;DATE(2027,1,1))</f>
        <v>0</v>
      </c>
      <c r="K269" s="77"/>
    </row>
    <row r="270" ht="13.65" customHeight="1">
      <c r="A270" s="70"/>
      <c r="B270" t="s" s="94">
        <v>457</v>
      </c>
      <c r="C270" t="s" s="80">
        <v>125</v>
      </c>
      <c r="D270" s="118">
        <v>1</v>
      </c>
      <c r="E270" s="118">
        <v>1</v>
      </c>
      <c r="F270" s="81" cm="1">
        <f t="array" ref="F270">_xlfn.SUMIFS('עסקאות'!$M$2:$M$1958,'עסקאות'!$F$2:$F$1958,B270)</f>
        <v>196</v>
      </c>
      <c r="G270" s="81" cm="1">
        <f t="array" ref="G270">IF(D270=0,"",F270/D270)</f>
        <v>196</v>
      </c>
      <c r="H270" s="81" cm="1">
        <f t="array" ref="H270">F270/20</f>
        <v>9.800000000000001</v>
      </c>
      <c r="I270" s="81" cm="1">
        <f t="array" ref="I270">_xlfn.SUMIFS('עסקאות'!$M$2:$M$1958,'עסקאות'!$F$2:$F$1958,B270,'עסקאות'!$A$2:$A$1958,"&gt;="&amp;DATE(2025,1,1),'עסקאות'!$A$2:$A$1958,"&lt;"&amp;DATE(2026,1,1))</f>
        <v>0</v>
      </c>
      <c r="J270" s="83" cm="1">
        <f t="array" ref="J270">_xlfn.SUMIFS('עסקאות'!$M$2:$M$1958,'עסקאות'!$F$2:$F$1958,B270,'עסקאות'!$A$2:$A$1958,"&gt;="&amp;DATE(2026,1,1),'עסקאות'!$A$2:$A$1958,"&lt;"&amp;DATE(2027,1,1))</f>
        <v>196</v>
      </c>
      <c r="K270" s="77"/>
    </row>
    <row r="271" ht="13.65" customHeight="1">
      <c r="A271" s="70"/>
      <c r="B271" t="s" s="27">
        <v>458</v>
      </c>
      <c r="C271" t="s" s="86">
        <v>113</v>
      </c>
      <c r="D271" s="119">
        <v>4</v>
      </c>
      <c r="E271" s="119">
        <v>3</v>
      </c>
      <c r="F271" s="87" cm="1">
        <f t="array" ref="F271">_xlfn.SUMIFS('עסקאות'!$M$2:$M$1958,'עסקאות'!$F$2:$F$1958,B271)</f>
        <v>194</v>
      </c>
      <c r="G271" s="87" cm="1">
        <f t="array" ref="G271">IF(D271=0,"",F271/D271)</f>
        <v>48.5</v>
      </c>
      <c r="H271" s="87" cm="1">
        <f t="array" ref="H271">F271/20</f>
        <v>9.699999999999999</v>
      </c>
      <c r="I271" s="87" cm="1">
        <f t="array" ref="I271">_xlfn.SUMIFS('עסקאות'!$M$2:$M$1958,'עסקאות'!$F$2:$F$1958,B271,'עסקאות'!$A$2:$A$1958,"&gt;="&amp;DATE(2025,1,1),'עסקאות'!$A$2:$A$1958,"&lt;"&amp;DATE(2026,1,1))</f>
        <v>194</v>
      </c>
      <c r="J271" s="28" cm="1">
        <f t="array" ref="J271">_xlfn.SUMIFS('עסקאות'!$M$2:$M$1958,'עסקאות'!$F$2:$F$1958,B271,'עסקאות'!$A$2:$A$1958,"&gt;="&amp;DATE(2026,1,1),'עסקאות'!$A$2:$A$1958,"&lt;"&amp;DATE(2027,1,1))</f>
        <v>0</v>
      </c>
      <c r="K271" s="77"/>
    </row>
    <row r="272" ht="13.65" customHeight="1">
      <c r="A272" s="70"/>
      <c r="B272" t="s" s="94">
        <v>459</v>
      </c>
      <c r="C272" t="s" s="80">
        <v>113</v>
      </c>
      <c r="D272" s="118">
        <v>1</v>
      </c>
      <c r="E272" s="118">
        <v>1</v>
      </c>
      <c r="F272" s="81" cm="1">
        <f t="array" ref="F272">_xlfn.SUMIFS('עסקאות'!$M$2:$M$1958,'עסקאות'!$F$2:$F$1958,B272)</f>
        <v>191</v>
      </c>
      <c r="G272" s="81" cm="1">
        <f t="array" ref="G272">IF(D272=0,"",F272/D272)</f>
        <v>191</v>
      </c>
      <c r="H272" s="81" cm="1">
        <f t="array" ref="H272">F272/20</f>
        <v>9.550000000000001</v>
      </c>
      <c r="I272" s="81" cm="1">
        <f t="array" ref="I272">_xlfn.SUMIFS('עסקאות'!$M$2:$M$1958,'עסקאות'!$F$2:$F$1958,B272,'עסקאות'!$A$2:$A$1958,"&gt;="&amp;DATE(2025,1,1),'עסקאות'!$A$2:$A$1958,"&lt;"&amp;DATE(2026,1,1))</f>
        <v>0</v>
      </c>
      <c r="J272" s="83" cm="1">
        <f t="array" ref="J272">_xlfn.SUMIFS('עסקאות'!$M$2:$M$1958,'עסקאות'!$F$2:$F$1958,B272,'עסקאות'!$A$2:$A$1958,"&gt;="&amp;DATE(2026,1,1),'עסקאות'!$A$2:$A$1958,"&lt;"&amp;DATE(2027,1,1))</f>
        <v>191</v>
      </c>
      <c r="K272" s="77"/>
    </row>
    <row r="273" ht="13.65" customHeight="1">
      <c r="A273" s="70"/>
      <c r="B273" t="s" s="27">
        <v>460</v>
      </c>
      <c r="C273" t="s" s="86">
        <v>113</v>
      </c>
      <c r="D273" s="119">
        <v>2</v>
      </c>
      <c r="E273" s="119">
        <v>2</v>
      </c>
      <c r="F273" s="87" cm="1">
        <f t="array" ref="F273">_xlfn.SUMIFS('עסקאות'!$M$2:$M$1958,'עסקאות'!$F$2:$F$1958,B273)</f>
        <v>188</v>
      </c>
      <c r="G273" s="87" cm="1">
        <f t="array" ref="G273">IF(D273=0,"",F273/D273)</f>
        <v>94</v>
      </c>
      <c r="H273" s="87" cm="1">
        <f t="array" ref="H273">F273/20</f>
        <v>9.4</v>
      </c>
      <c r="I273" s="87" cm="1">
        <f t="array" ref="I273">_xlfn.SUMIFS('עסקאות'!$M$2:$M$1958,'עסקאות'!$F$2:$F$1958,B273,'עסקאות'!$A$2:$A$1958,"&gt;="&amp;DATE(2025,1,1),'עסקאות'!$A$2:$A$1958,"&lt;"&amp;DATE(2026,1,1))</f>
        <v>188</v>
      </c>
      <c r="J273" s="28" cm="1">
        <f t="array" ref="J273">_xlfn.SUMIFS('עסקאות'!$M$2:$M$1958,'עסקאות'!$F$2:$F$1958,B273,'עסקאות'!$A$2:$A$1958,"&gt;="&amp;DATE(2026,1,1),'עסקאות'!$A$2:$A$1958,"&lt;"&amp;DATE(2027,1,1))</f>
        <v>0</v>
      </c>
      <c r="K273" s="77"/>
    </row>
    <row r="274" ht="13.65" customHeight="1">
      <c r="A274" s="70"/>
      <c r="B274" t="s" s="94">
        <v>461</v>
      </c>
      <c r="C274" t="s" s="80">
        <v>113</v>
      </c>
      <c r="D274" s="118">
        <v>1</v>
      </c>
      <c r="E274" s="118">
        <v>1</v>
      </c>
      <c r="F274" s="81" cm="1">
        <f t="array" ref="F274">_xlfn.SUMIFS('עסקאות'!$M$2:$M$1958,'עסקאות'!$F$2:$F$1958,B274)</f>
        <v>183</v>
      </c>
      <c r="G274" s="81" cm="1">
        <f t="array" ref="G274">IF(D274=0,"",F274/D274)</f>
        <v>183</v>
      </c>
      <c r="H274" s="81" cm="1">
        <f t="array" ref="H274">F274/20</f>
        <v>9.15</v>
      </c>
      <c r="I274" s="81" cm="1">
        <f t="array" ref="I274">_xlfn.SUMIFS('עסקאות'!$M$2:$M$1958,'עסקאות'!$F$2:$F$1958,B274,'עסקאות'!$A$2:$A$1958,"&gt;="&amp;DATE(2025,1,1),'עסקאות'!$A$2:$A$1958,"&lt;"&amp;DATE(2026,1,1))</f>
        <v>0</v>
      </c>
      <c r="J274" s="83" cm="1">
        <f t="array" ref="J274">_xlfn.SUMIFS('עסקאות'!$M$2:$M$1958,'עסקאות'!$F$2:$F$1958,B274,'עסקאות'!$A$2:$A$1958,"&gt;="&amp;DATE(2026,1,1),'עסקאות'!$A$2:$A$1958,"&lt;"&amp;DATE(2027,1,1))</f>
        <v>183</v>
      </c>
      <c r="K274" s="77"/>
    </row>
    <row r="275" ht="13.65" customHeight="1">
      <c r="A275" s="70"/>
      <c r="B275" t="s" s="27">
        <v>462</v>
      </c>
      <c r="C275" t="s" s="86">
        <v>113</v>
      </c>
      <c r="D275" s="119">
        <v>2</v>
      </c>
      <c r="E275" s="119">
        <v>2</v>
      </c>
      <c r="F275" s="87" cm="1">
        <f t="array" ref="F275">_xlfn.SUMIFS('עסקאות'!$M$2:$M$1958,'עסקאות'!$F$2:$F$1958,B275)</f>
        <v>182</v>
      </c>
      <c r="G275" s="87" cm="1">
        <f t="array" ref="G275">IF(D275=0,"",F275/D275)</f>
        <v>91</v>
      </c>
      <c r="H275" s="87" cm="1">
        <f t="array" ref="H275">F275/20</f>
        <v>9.1</v>
      </c>
      <c r="I275" s="87" cm="1">
        <f t="array" ref="I275">_xlfn.SUMIFS('עסקאות'!$M$2:$M$1958,'עסקאות'!$F$2:$F$1958,B275,'עסקאות'!$A$2:$A$1958,"&gt;="&amp;DATE(2025,1,1),'עסקאות'!$A$2:$A$1958,"&lt;"&amp;DATE(2026,1,1))</f>
        <v>182</v>
      </c>
      <c r="J275" s="28" cm="1">
        <f t="array" ref="J275">_xlfn.SUMIFS('עסקאות'!$M$2:$M$1958,'עסקאות'!$F$2:$F$1958,B275,'עסקאות'!$A$2:$A$1958,"&gt;="&amp;DATE(2026,1,1),'עסקאות'!$A$2:$A$1958,"&lt;"&amp;DATE(2027,1,1))</f>
        <v>0</v>
      </c>
      <c r="K275" s="77"/>
    </row>
    <row r="276" ht="13.65" customHeight="1">
      <c r="A276" s="70"/>
      <c r="B276" t="s" s="94">
        <v>463</v>
      </c>
      <c r="C276" t="s" s="80">
        <v>107</v>
      </c>
      <c r="D276" s="118">
        <v>2</v>
      </c>
      <c r="E276" s="118">
        <v>2</v>
      </c>
      <c r="F276" s="81" cm="1">
        <f t="array" ref="F276">_xlfn.SUMIFS('עסקאות'!$M$2:$M$1958,'עסקאות'!$F$2:$F$1958,B276)</f>
        <v>176</v>
      </c>
      <c r="G276" s="81" cm="1">
        <f t="array" ref="G276">IF(D276=0,"",F276/D276)</f>
        <v>88</v>
      </c>
      <c r="H276" s="81" cm="1">
        <f t="array" ref="H276">F276/20</f>
        <v>8.800000000000001</v>
      </c>
      <c r="I276" s="81" cm="1">
        <f t="array" ref="I276">_xlfn.SUMIFS('עסקאות'!$M$2:$M$1958,'עסקאות'!$F$2:$F$1958,B276,'עסקאות'!$A$2:$A$1958,"&gt;="&amp;DATE(2025,1,1),'עסקאות'!$A$2:$A$1958,"&lt;"&amp;DATE(2026,1,1))</f>
        <v>176</v>
      </c>
      <c r="J276" s="83" cm="1">
        <f t="array" ref="J276">_xlfn.SUMIFS('עסקאות'!$M$2:$M$1958,'עסקאות'!$F$2:$F$1958,B276,'עסקאות'!$A$2:$A$1958,"&gt;="&amp;DATE(2026,1,1),'עסקאות'!$A$2:$A$1958,"&lt;"&amp;DATE(2027,1,1))</f>
        <v>0</v>
      </c>
      <c r="K276" s="77"/>
    </row>
    <row r="277" ht="13.65" customHeight="1">
      <c r="A277" s="70"/>
      <c r="B277" t="s" s="27">
        <v>464</v>
      </c>
      <c r="C277" t="s" s="86">
        <v>113</v>
      </c>
      <c r="D277" s="119">
        <v>1</v>
      </c>
      <c r="E277" s="119">
        <v>1</v>
      </c>
      <c r="F277" s="87" cm="1">
        <f t="array" ref="F277">_xlfn.SUMIFS('עסקאות'!$M$2:$M$1958,'עסקאות'!$F$2:$F$1958,B277)</f>
        <v>176</v>
      </c>
      <c r="G277" s="87" cm="1">
        <f t="array" ref="G277">IF(D277=0,"",F277/D277)</f>
        <v>176</v>
      </c>
      <c r="H277" s="87" cm="1">
        <f t="array" ref="H277">F277/20</f>
        <v>8.800000000000001</v>
      </c>
      <c r="I277" s="87" cm="1">
        <f t="array" ref="I277">_xlfn.SUMIFS('עסקאות'!$M$2:$M$1958,'עסקאות'!$F$2:$F$1958,B277,'עסקאות'!$A$2:$A$1958,"&gt;="&amp;DATE(2025,1,1),'עסקאות'!$A$2:$A$1958,"&lt;"&amp;DATE(2026,1,1))</f>
        <v>176</v>
      </c>
      <c r="J277" s="28" cm="1">
        <f t="array" ref="J277">_xlfn.SUMIFS('עסקאות'!$M$2:$M$1958,'עסקאות'!$F$2:$F$1958,B277,'עסקאות'!$A$2:$A$1958,"&gt;="&amp;DATE(2026,1,1),'עסקאות'!$A$2:$A$1958,"&lt;"&amp;DATE(2027,1,1))</f>
        <v>0</v>
      </c>
      <c r="K277" s="77"/>
    </row>
    <row r="278" ht="13.65" customHeight="1">
      <c r="A278" s="70"/>
      <c r="B278" t="s" s="94">
        <v>465</v>
      </c>
      <c r="C278" t="s" s="80">
        <v>102</v>
      </c>
      <c r="D278" s="118">
        <v>1</v>
      </c>
      <c r="E278" s="118">
        <v>1</v>
      </c>
      <c r="F278" s="81" cm="1">
        <f t="array" ref="F278">_xlfn.SUMIFS('עסקאות'!$M$2:$M$1958,'עסקאות'!$F$2:$F$1958,B278)</f>
        <v>175</v>
      </c>
      <c r="G278" s="81" cm="1">
        <f t="array" ref="G278">IF(D278=0,"",F278/D278)</f>
        <v>175</v>
      </c>
      <c r="H278" s="81" cm="1">
        <f t="array" ref="H278">F278/20</f>
        <v>8.75</v>
      </c>
      <c r="I278" s="81" cm="1">
        <f t="array" ref="I278">_xlfn.SUMIFS('עסקאות'!$M$2:$M$1958,'עסקאות'!$F$2:$F$1958,B278,'עסקאות'!$A$2:$A$1958,"&gt;="&amp;DATE(2025,1,1),'עסקאות'!$A$2:$A$1958,"&lt;"&amp;DATE(2026,1,1))</f>
        <v>175</v>
      </c>
      <c r="J278" s="83" cm="1">
        <f t="array" ref="J278">_xlfn.SUMIFS('עסקאות'!$M$2:$M$1958,'עסקאות'!$F$2:$F$1958,B278,'עסקאות'!$A$2:$A$1958,"&gt;="&amp;DATE(2026,1,1),'עסקאות'!$A$2:$A$1958,"&lt;"&amp;DATE(2027,1,1))</f>
        <v>0</v>
      </c>
      <c r="K278" s="77"/>
    </row>
    <row r="279" ht="13.65" customHeight="1">
      <c r="A279" s="70"/>
      <c r="B279" t="s" s="27">
        <v>466</v>
      </c>
      <c r="C279" t="s" s="86">
        <v>117</v>
      </c>
      <c r="D279" s="119">
        <v>1</v>
      </c>
      <c r="E279" s="119">
        <v>1</v>
      </c>
      <c r="F279" s="87" cm="1">
        <f t="array" ref="F279">_xlfn.SUMIFS('עסקאות'!$M$2:$M$1958,'עסקאות'!$F$2:$F$1958,B279)</f>
        <v>165</v>
      </c>
      <c r="G279" s="87" cm="1">
        <f t="array" ref="G279">IF(D279=0,"",F279/D279)</f>
        <v>165</v>
      </c>
      <c r="H279" s="87" cm="1">
        <f t="array" ref="H279">F279/20</f>
        <v>8.25</v>
      </c>
      <c r="I279" s="87" cm="1">
        <f t="array" ref="I279">_xlfn.SUMIFS('עסקאות'!$M$2:$M$1958,'עסקאות'!$F$2:$F$1958,B279,'עסקאות'!$A$2:$A$1958,"&gt;="&amp;DATE(2025,1,1),'עסקאות'!$A$2:$A$1958,"&lt;"&amp;DATE(2026,1,1))</f>
        <v>0</v>
      </c>
      <c r="J279" s="28" cm="1">
        <f t="array" ref="J279">_xlfn.SUMIFS('עסקאות'!$M$2:$M$1958,'עסקאות'!$F$2:$F$1958,B279,'עסקאות'!$A$2:$A$1958,"&gt;="&amp;DATE(2026,1,1),'עסקאות'!$A$2:$A$1958,"&lt;"&amp;DATE(2027,1,1))</f>
        <v>165</v>
      </c>
      <c r="K279" s="77"/>
    </row>
    <row r="280" ht="13.65" customHeight="1">
      <c r="A280" s="70"/>
      <c r="B280" t="s" s="94">
        <v>467</v>
      </c>
      <c r="C280" t="s" s="80">
        <v>113</v>
      </c>
      <c r="D280" s="118">
        <v>2</v>
      </c>
      <c r="E280" s="118">
        <v>2</v>
      </c>
      <c r="F280" s="81" cm="1">
        <f t="array" ref="F280">_xlfn.SUMIFS('עסקאות'!$M$2:$M$1958,'עסקאות'!$F$2:$F$1958,B280)</f>
        <v>161</v>
      </c>
      <c r="G280" s="81" cm="1">
        <f t="array" ref="G280">IF(D280=0,"",F280/D280)</f>
        <v>80.5</v>
      </c>
      <c r="H280" s="81" cm="1">
        <f t="array" ref="H280">F280/20</f>
        <v>8.050000000000001</v>
      </c>
      <c r="I280" s="81" cm="1">
        <f t="array" ref="I280">_xlfn.SUMIFS('עסקאות'!$M$2:$M$1958,'עסקאות'!$F$2:$F$1958,B280,'עסקאות'!$A$2:$A$1958,"&gt;="&amp;DATE(2025,1,1),'עסקאות'!$A$2:$A$1958,"&lt;"&amp;DATE(2026,1,1))</f>
        <v>161</v>
      </c>
      <c r="J280" s="83" cm="1">
        <f t="array" ref="J280">_xlfn.SUMIFS('עסקאות'!$M$2:$M$1958,'עסקאות'!$F$2:$F$1958,B280,'עסקאות'!$A$2:$A$1958,"&gt;="&amp;DATE(2026,1,1),'עסקאות'!$A$2:$A$1958,"&lt;"&amp;DATE(2027,1,1))</f>
        <v>0</v>
      </c>
      <c r="K280" s="77"/>
    </row>
    <row r="281" ht="13.65" customHeight="1">
      <c r="A281" s="70"/>
      <c r="B281" t="s" s="27">
        <v>468</v>
      </c>
      <c r="C281" t="s" s="86">
        <v>113</v>
      </c>
      <c r="D281" s="119">
        <v>1</v>
      </c>
      <c r="E281" s="119">
        <v>1</v>
      </c>
      <c r="F281" s="87" cm="1">
        <f t="array" ref="F281">_xlfn.SUMIFS('עסקאות'!$M$2:$M$1958,'עסקאות'!$F$2:$F$1958,B281)</f>
        <v>160</v>
      </c>
      <c r="G281" s="87" cm="1">
        <f t="array" ref="G281">IF(D281=0,"",F281/D281)</f>
        <v>160</v>
      </c>
      <c r="H281" s="87" cm="1">
        <f t="array" ref="H281">F281/20</f>
        <v>8</v>
      </c>
      <c r="I281" s="87" cm="1">
        <f t="array" ref="I281">_xlfn.SUMIFS('עסקאות'!$M$2:$M$1958,'עסקאות'!$F$2:$F$1958,B281,'עסקאות'!$A$2:$A$1958,"&gt;="&amp;DATE(2025,1,1),'עסקאות'!$A$2:$A$1958,"&lt;"&amp;DATE(2026,1,1))</f>
        <v>160</v>
      </c>
      <c r="J281" s="28" cm="1">
        <f t="array" ref="J281">_xlfn.SUMIFS('עסקאות'!$M$2:$M$1958,'עסקאות'!$F$2:$F$1958,B281,'עסקאות'!$A$2:$A$1958,"&gt;="&amp;DATE(2026,1,1),'עסקאות'!$A$2:$A$1958,"&lt;"&amp;DATE(2027,1,1))</f>
        <v>0</v>
      </c>
      <c r="K281" s="77"/>
    </row>
    <row r="282" ht="13.65" customHeight="1">
      <c r="A282" s="70"/>
      <c r="B282" t="s" s="94">
        <v>469</v>
      </c>
      <c r="C282" t="s" s="80">
        <v>105</v>
      </c>
      <c r="D282" s="118">
        <v>1</v>
      </c>
      <c r="E282" s="118">
        <v>1</v>
      </c>
      <c r="F282" s="81" cm="1">
        <f t="array" ref="F282">_xlfn.SUMIFS('עסקאות'!$M$2:$M$1958,'עסקאות'!$F$2:$F$1958,B282)</f>
        <v>160</v>
      </c>
      <c r="G282" s="81" cm="1">
        <f t="array" ref="G282">IF(D282=0,"",F282/D282)</f>
        <v>160</v>
      </c>
      <c r="H282" s="81" cm="1">
        <f t="array" ref="H282">F282/20</f>
        <v>8</v>
      </c>
      <c r="I282" s="81" cm="1">
        <f t="array" ref="I282">_xlfn.SUMIFS('עסקאות'!$M$2:$M$1958,'עסקאות'!$F$2:$F$1958,B282,'עסקאות'!$A$2:$A$1958,"&gt;="&amp;DATE(2025,1,1),'עסקאות'!$A$2:$A$1958,"&lt;"&amp;DATE(2026,1,1))</f>
        <v>160</v>
      </c>
      <c r="J282" s="83" cm="1">
        <f t="array" ref="J282">_xlfn.SUMIFS('עסקאות'!$M$2:$M$1958,'עסקאות'!$F$2:$F$1958,B282,'עסקאות'!$A$2:$A$1958,"&gt;="&amp;DATE(2026,1,1),'עסקאות'!$A$2:$A$1958,"&lt;"&amp;DATE(2027,1,1))</f>
        <v>0</v>
      </c>
      <c r="K282" s="77"/>
    </row>
    <row r="283" ht="13.65" customHeight="1">
      <c r="A283" s="70"/>
      <c r="B283" t="s" s="27">
        <v>470</v>
      </c>
      <c r="C283" t="s" s="86">
        <v>113</v>
      </c>
      <c r="D283" s="119">
        <v>2</v>
      </c>
      <c r="E283" s="119">
        <v>1</v>
      </c>
      <c r="F283" s="87" cm="1">
        <f t="array" ref="F283">_xlfn.SUMIFS('עסקאות'!$M$2:$M$1958,'עסקאות'!$F$2:$F$1958,B283)</f>
        <v>160</v>
      </c>
      <c r="G283" s="87" cm="1">
        <f t="array" ref="G283">IF(D283=0,"",F283/D283)</f>
        <v>80</v>
      </c>
      <c r="H283" s="87" cm="1">
        <f t="array" ref="H283">F283/20</f>
        <v>8</v>
      </c>
      <c r="I283" s="87" cm="1">
        <f t="array" ref="I283">_xlfn.SUMIFS('עסקאות'!$M$2:$M$1958,'עסקאות'!$F$2:$F$1958,B283,'עסקאות'!$A$2:$A$1958,"&gt;="&amp;DATE(2025,1,1),'עסקאות'!$A$2:$A$1958,"&lt;"&amp;DATE(2026,1,1))</f>
        <v>0</v>
      </c>
      <c r="J283" s="28" cm="1">
        <f t="array" ref="J283">_xlfn.SUMIFS('עסקאות'!$M$2:$M$1958,'עסקאות'!$F$2:$F$1958,B283,'עסקאות'!$A$2:$A$1958,"&gt;="&amp;DATE(2026,1,1),'עסקאות'!$A$2:$A$1958,"&lt;"&amp;DATE(2027,1,1))</f>
        <v>160</v>
      </c>
      <c r="K283" s="77"/>
    </row>
    <row r="284" ht="13.65" customHeight="1">
      <c r="A284" s="70"/>
      <c r="B284" t="s" s="94">
        <v>471</v>
      </c>
      <c r="C284" t="s" s="80">
        <v>109</v>
      </c>
      <c r="D284" s="118">
        <v>3</v>
      </c>
      <c r="E284" s="118">
        <v>2</v>
      </c>
      <c r="F284" s="81" cm="1">
        <f t="array" ref="F284">_xlfn.SUMIFS('עסקאות'!$M$2:$M$1958,'עסקאות'!$F$2:$F$1958,B284)</f>
        <v>159</v>
      </c>
      <c r="G284" s="81" cm="1">
        <f t="array" ref="G284">IF(D284=0,"",F284/D284)</f>
        <v>53</v>
      </c>
      <c r="H284" s="81" cm="1">
        <f t="array" ref="H284">F284/20</f>
        <v>7.95</v>
      </c>
      <c r="I284" s="81" cm="1">
        <f t="array" ref="I284">_xlfn.SUMIFS('עסקאות'!$M$2:$M$1958,'עסקאות'!$F$2:$F$1958,B284,'עסקאות'!$A$2:$A$1958,"&gt;="&amp;DATE(2025,1,1),'עסקאות'!$A$2:$A$1958,"&lt;"&amp;DATE(2026,1,1))</f>
        <v>159</v>
      </c>
      <c r="J284" s="83" cm="1">
        <f t="array" ref="J284">_xlfn.SUMIFS('עסקאות'!$M$2:$M$1958,'עסקאות'!$F$2:$F$1958,B284,'עסקאות'!$A$2:$A$1958,"&gt;="&amp;DATE(2026,1,1),'עסקאות'!$A$2:$A$1958,"&lt;"&amp;DATE(2027,1,1))</f>
        <v>0</v>
      </c>
      <c r="K284" s="77"/>
    </row>
    <row r="285" ht="13.65" customHeight="1">
      <c r="A285" s="70"/>
      <c r="B285" t="s" s="27">
        <v>472</v>
      </c>
      <c r="C285" t="s" s="86">
        <v>115</v>
      </c>
      <c r="D285" s="119">
        <v>8</v>
      </c>
      <c r="E285" s="119">
        <v>5</v>
      </c>
      <c r="F285" s="87" cm="1">
        <f t="array" ref="F285">_xlfn.SUMIFS('עסקאות'!$M$2:$M$1958,'עסקאות'!$F$2:$F$1958,B285)</f>
        <v>158</v>
      </c>
      <c r="G285" s="87" cm="1">
        <f t="array" ref="G285">IF(D285=0,"",F285/D285)</f>
        <v>19.75</v>
      </c>
      <c r="H285" s="87" cm="1">
        <f t="array" ref="H285">F285/20</f>
        <v>7.9</v>
      </c>
      <c r="I285" s="87" cm="1">
        <f t="array" ref="I285">_xlfn.SUMIFS('עסקאות'!$M$2:$M$1958,'עסקאות'!$F$2:$F$1958,B285,'עסקאות'!$A$2:$A$1958,"&gt;="&amp;DATE(2025,1,1),'עסקאות'!$A$2:$A$1958,"&lt;"&amp;DATE(2026,1,1))</f>
        <v>134</v>
      </c>
      <c r="J285" s="28" cm="1">
        <f t="array" ref="J285">_xlfn.SUMIFS('עסקאות'!$M$2:$M$1958,'עסקאות'!$F$2:$F$1958,B285,'עסקאות'!$A$2:$A$1958,"&gt;="&amp;DATE(2026,1,1),'עסקאות'!$A$2:$A$1958,"&lt;"&amp;DATE(2027,1,1))</f>
        <v>24</v>
      </c>
      <c r="K285" s="77"/>
    </row>
    <row r="286" ht="13.65" customHeight="1">
      <c r="A286" s="70"/>
      <c r="B286" t="s" s="94">
        <v>473</v>
      </c>
      <c r="C286" t="s" s="80">
        <v>113</v>
      </c>
      <c r="D286" s="118">
        <v>2</v>
      </c>
      <c r="E286" s="118">
        <v>2</v>
      </c>
      <c r="F286" s="81" cm="1">
        <f t="array" ref="F286">_xlfn.SUMIFS('עסקאות'!$M$2:$M$1958,'עסקאות'!$F$2:$F$1958,B286)</f>
        <v>158</v>
      </c>
      <c r="G286" s="81" cm="1">
        <f t="array" ref="G286">IF(D286=0,"",F286/D286)</f>
        <v>79</v>
      </c>
      <c r="H286" s="81" cm="1">
        <f t="array" ref="H286">F286/20</f>
        <v>7.9</v>
      </c>
      <c r="I286" s="81" cm="1">
        <f t="array" ref="I286">_xlfn.SUMIFS('עסקאות'!$M$2:$M$1958,'עסקאות'!$F$2:$F$1958,B286,'עסקאות'!$A$2:$A$1958,"&gt;="&amp;DATE(2025,1,1),'עסקאות'!$A$2:$A$1958,"&lt;"&amp;DATE(2026,1,1))</f>
        <v>0</v>
      </c>
      <c r="J286" s="83" cm="1">
        <f t="array" ref="J286">_xlfn.SUMIFS('עסקאות'!$M$2:$M$1958,'עסקאות'!$F$2:$F$1958,B286,'עסקאות'!$A$2:$A$1958,"&gt;="&amp;DATE(2026,1,1),'עסקאות'!$A$2:$A$1958,"&lt;"&amp;DATE(2027,1,1))</f>
        <v>158</v>
      </c>
      <c r="K286" s="77"/>
    </row>
    <row r="287" ht="13.65" customHeight="1">
      <c r="A287" s="70"/>
      <c r="B287" t="s" s="27">
        <v>474</v>
      </c>
      <c r="C287" t="s" s="86">
        <v>102</v>
      </c>
      <c r="D287" s="119">
        <v>1</v>
      </c>
      <c r="E287" s="119">
        <v>1</v>
      </c>
      <c r="F287" s="87" cm="1">
        <f t="array" ref="F287">_xlfn.SUMIFS('עסקאות'!$M$2:$M$1958,'עסקאות'!$F$2:$F$1958,B287)</f>
        <v>157</v>
      </c>
      <c r="G287" s="87" cm="1">
        <f t="array" ref="G287">IF(D287=0,"",F287/D287)</f>
        <v>157</v>
      </c>
      <c r="H287" s="87" cm="1">
        <f t="array" ref="H287">F287/20</f>
        <v>7.85</v>
      </c>
      <c r="I287" s="87" cm="1">
        <f t="array" ref="I287">_xlfn.SUMIFS('עסקאות'!$M$2:$M$1958,'עסקאות'!$F$2:$F$1958,B287,'עסקאות'!$A$2:$A$1958,"&gt;="&amp;DATE(2025,1,1),'עסקאות'!$A$2:$A$1958,"&lt;"&amp;DATE(2026,1,1))</f>
        <v>157</v>
      </c>
      <c r="J287" s="28" cm="1">
        <f t="array" ref="J287">_xlfn.SUMIFS('עסקאות'!$M$2:$M$1958,'עסקאות'!$F$2:$F$1958,B287,'עסקאות'!$A$2:$A$1958,"&gt;="&amp;DATE(2026,1,1),'עסקאות'!$A$2:$A$1958,"&lt;"&amp;DATE(2027,1,1))</f>
        <v>0</v>
      </c>
      <c r="K287" s="77"/>
    </row>
    <row r="288" ht="13.65" customHeight="1">
      <c r="A288" s="70"/>
      <c r="B288" t="s" s="94">
        <v>475</v>
      </c>
      <c r="C288" t="s" s="80">
        <v>113</v>
      </c>
      <c r="D288" s="118">
        <v>8</v>
      </c>
      <c r="E288" s="118">
        <v>5</v>
      </c>
      <c r="F288" s="81" cm="1">
        <f t="array" ref="F288">_xlfn.SUMIFS('עסקאות'!$M$2:$M$1958,'עסקאות'!$F$2:$F$1958,B288)</f>
        <v>156</v>
      </c>
      <c r="G288" s="81" cm="1">
        <f t="array" ref="G288">IF(D288=0,"",F288/D288)</f>
        <v>19.5</v>
      </c>
      <c r="H288" s="81" cm="1">
        <f t="array" ref="H288">F288/20</f>
        <v>7.8</v>
      </c>
      <c r="I288" s="81" cm="1">
        <f t="array" ref="I288">_xlfn.SUMIFS('עסקאות'!$M$2:$M$1958,'עסקאות'!$F$2:$F$1958,B288,'עסקאות'!$A$2:$A$1958,"&gt;="&amp;DATE(2025,1,1),'עסקאות'!$A$2:$A$1958,"&lt;"&amp;DATE(2026,1,1))</f>
        <v>156</v>
      </c>
      <c r="J288" s="83" cm="1">
        <f t="array" ref="J288">_xlfn.SUMIFS('עסקאות'!$M$2:$M$1958,'עסקאות'!$F$2:$F$1958,B288,'עסקאות'!$A$2:$A$1958,"&gt;="&amp;DATE(2026,1,1),'עסקאות'!$A$2:$A$1958,"&lt;"&amp;DATE(2027,1,1))</f>
        <v>0</v>
      </c>
      <c r="K288" s="77"/>
    </row>
    <row r="289" ht="13.65" customHeight="1">
      <c r="A289" s="70"/>
      <c r="B289" t="s" s="27">
        <v>476</v>
      </c>
      <c r="C289" t="s" s="86">
        <v>117</v>
      </c>
      <c r="D289" s="119">
        <v>1</v>
      </c>
      <c r="E289" s="119">
        <v>1</v>
      </c>
      <c r="F289" s="87" cm="1">
        <f t="array" ref="F289">_xlfn.SUMIFS('עסקאות'!$M$2:$M$1958,'עסקאות'!$F$2:$F$1958,B289)</f>
        <v>150</v>
      </c>
      <c r="G289" s="87" cm="1">
        <f t="array" ref="G289">IF(D289=0,"",F289/D289)</f>
        <v>150</v>
      </c>
      <c r="H289" s="87" cm="1">
        <f t="array" ref="H289">F289/20</f>
        <v>7.5</v>
      </c>
      <c r="I289" s="87" cm="1">
        <f t="array" ref="I289">_xlfn.SUMIFS('עסקאות'!$M$2:$M$1958,'עסקאות'!$F$2:$F$1958,B289,'עסקאות'!$A$2:$A$1958,"&gt;="&amp;DATE(2025,1,1),'עסקאות'!$A$2:$A$1958,"&lt;"&amp;DATE(2026,1,1))</f>
        <v>150</v>
      </c>
      <c r="J289" s="28" cm="1">
        <f t="array" ref="J289">_xlfn.SUMIFS('עסקאות'!$M$2:$M$1958,'עסקאות'!$F$2:$F$1958,B289,'עסקאות'!$A$2:$A$1958,"&gt;="&amp;DATE(2026,1,1),'עסקאות'!$A$2:$A$1958,"&lt;"&amp;DATE(2027,1,1))</f>
        <v>0</v>
      </c>
      <c r="K289" s="77"/>
    </row>
    <row r="290" ht="13.65" customHeight="1">
      <c r="A290" s="70"/>
      <c r="B290" t="s" s="94">
        <v>477</v>
      </c>
      <c r="C290" t="s" s="80">
        <v>117</v>
      </c>
      <c r="D290" s="118">
        <v>1</v>
      </c>
      <c r="E290" s="118">
        <v>1</v>
      </c>
      <c r="F290" s="81" cm="1">
        <f t="array" ref="F290">_xlfn.SUMIFS('עסקאות'!$M$2:$M$1958,'עסקאות'!$F$2:$F$1958,B290)</f>
        <v>150</v>
      </c>
      <c r="G290" s="81" cm="1">
        <f t="array" ref="G290">IF(D290=0,"",F290/D290)</f>
        <v>150</v>
      </c>
      <c r="H290" s="81" cm="1">
        <f t="array" ref="H290">F290/20</f>
        <v>7.5</v>
      </c>
      <c r="I290" s="81" cm="1">
        <f t="array" ref="I290">_xlfn.SUMIFS('עסקאות'!$M$2:$M$1958,'עסקאות'!$F$2:$F$1958,B290,'עסקאות'!$A$2:$A$1958,"&gt;="&amp;DATE(2025,1,1),'עסקאות'!$A$2:$A$1958,"&lt;"&amp;DATE(2026,1,1))</f>
        <v>150</v>
      </c>
      <c r="J290" s="83" cm="1">
        <f t="array" ref="J290">_xlfn.SUMIFS('עסקאות'!$M$2:$M$1958,'עסקאות'!$F$2:$F$1958,B290,'עסקאות'!$A$2:$A$1958,"&gt;="&amp;DATE(2026,1,1),'עסקאות'!$A$2:$A$1958,"&lt;"&amp;DATE(2027,1,1))</f>
        <v>0</v>
      </c>
      <c r="K290" s="77"/>
    </row>
    <row r="291" ht="13.65" customHeight="1">
      <c r="A291" s="70"/>
      <c r="B291" t="s" s="27">
        <v>478</v>
      </c>
      <c r="C291" t="s" s="86">
        <v>117</v>
      </c>
      <c r="D291" s="119">
        <v>1</v>
      </c>
      <c r="E291" s="119">
        <v>1</v>
      </c>
      <c r="F291" s="87" cm="1">
        <f t="array" ref="F291">_xlfn.SUMIFS('עסקאות'!$M$2:$M$1958,'עסקאות'!$F$2:$F$1958,B291)</f>
        <v>150</v>
      </c>
      <c r="G291" s="87" cm="1">
        <f t="array" ref="G291">IF(D291=0,"",F291/D291)</f>
        <v>150</v>
      </c>
      <c r="H291" s="87" cm="1">
        <f t="array" ref="H291">F291/20</f>
        <v>7.5</v>
      </c>
      <c r="I291" s="87" cm="1">
        <f t="array" ref="I291">_xlfn.SUMIFS('עסקאות'!$M$2:$M$1958,'עסקאות'!$F$2:$F$1958,B291,'עסקאות'!$A$2:$A$1958,"&gt;="&amp;DATE(2025,1,1),'עסקאות'!$A$2:$A$1958,"&lt;"&amp;DATE(2026,1,1))</f>
        <v>150</v>
      </c>
      <c r="J291" s="28" cm="1">
        <f t="array" ref="J291">_xlfn.SUMIFS('עסקאות'!$M$2:$M$1958,'עסקאות'!$F$2:$F$1958,B291,'עסקאות'!$A$2:$A$1958,"&gt;="&amp;DATE(2026,1,1),'עסקאות'!$A$2:$A$1958,"&lt;"&amp;DATE(2027,1,1))</f>
        <v>0</v>
      </c>
      <c r="K291" s="77"/>
    </row>
    <row r="292" ht="13.65" customHeight="1">
      <c r="A292" s="70"/>
      <c r="B292" t="s" s="94">
        <v>479</v>
      </c>
      <c r="C292" t="s" s="80">
        <v>113</v>
      </c>
      <c r="D292" s="118">
        <v>6</v>
      </c>
      <c r="E292" s="118">
        <v>3</v>
      </c>
      <c r="F292" s="81" cm="1">
        <f t="array" ref="F292">_xlfn.SUMIFS('עסקאות'!$M$2:$M$1958,'עסקאות'!$F$2:$F$1958,B292)</f>
        <v>150</v>
      </c>
      <c r="G292" s="81" cm="1">
        <f t="array" ref="G292">IF(D292=0,"",F292/D292)</f>
        <v>25</v>
      </c>
      <c r="H292" s="81" cm="1">
        <f t="array" ref="H292">F292/20</f>
        <v>7.5</v>
      </c>
      <c r="I292" s="81" cm="1">
        <f t="array" ref="I292">_xlfn.SUMIFS('עסקאות'!$M$2:$M$1958,'עסקאות'!$F$2:$F$1958,B292,'עסקאות'!$A$2:$A$1958,"&gt;="&amp;DATE(2025,1,1),'עסקאות'!$A$2:$A$1958,"&lt;"&amp;DATE(2026,1,1))</f>
        <v>0</v>
      </c>
      <c r="J292" s="83" cm="1">
        <f t="array" ref="J292">_xlfn.SUMIFS('עסקאות'!$M$2:$M$1958,'עסקאות'!$F$2:$F$1958,B292,'עסקאות'!$A$2:$A$1958,"&gt;="&amp;DATE(2026,1,1),'עסקאות'!$A$2:$A$1958,"&lt;"&amp;DATE(2027,1,1))</f>
        <v>150</v>
      </c>
      <c r="K292" s="77"/>
    </row>
    <row r="293" ht="13.65" customHeight="1">
      <c r="A293" s="70"/>
      <c r="B293" t="s" s="27">
        <v>480</v>
      </c>
      <c r="C293" t="s" s="86">
        <v>113</v>
      </c>
      <c r="D293" s="119">
        <v>1</v>
      </c>
      <c r="E293" s="119">
        <v>1</v>
      </c>
      <c r="F293" s="87" cm="1">
        <f t="array" ref="F293">_xlfn.SUMIFS('עסקאות'!$M$2:$M$1958,'עסקאות'!$F$2:$F$1958,B293)</f>
        <v>150</v>
      </c>
      <c r="G293" s="87" cm="1">
        <f t="array" ref="G293">IF(D293=0,"",F293/D293)</f>
        <v>150</v>
      </c>
      <c r="H293" s="87" cm="1">
        <f t="array" ref="H293">F293/20</f>
        <v>7.5</v>
      </c>
      <c r="I293" s="87" cm="1">
        <f t="array" ref="I293">_xlfn.SUMIFS('עסקאות'!$M$2:$M$1958,'עסקאות'!$F$2:$F$1958,B293,'עסקאות'!$A$2:$A$1958,"&gt;="&amp;DATE(2025,1,1),'עסקאות'!$A$2:$A$1958,"&lt;"&amp;DATE(2026,1,1))</f>
        <v>0</v>
      </c>
      <c r="J293" s="28" cm="1">
        <f t="array" ref="J293">_xlfn.SUMIFS('עסקאות'!$M$2:$M$1958,'עסקאות'!$F$2:$F$1958,B293,'עסקאות'!$A$2:$A$1958,"&gt;="&amp;DATE(2026,1,1),'עסקאות'!$A$2:$A$1958,"&lt;"&amp;DATE(2027,1,1))</f>
        <v>150</v>
      </c>
      <c r="K293" s="77"/>
    </row>
    <row r="294" ht="13.65" customHeight="1">
      <c r="A294" s="70"/>
      <c r="B294" t="s" s="94">
        <v>481</v>
      </c>
      <c r="C294" t="s" s="80">
        <v>105</v>
      </c>
      <c r="D294" s="118">
        <v>1</v>
      </c>
      <c r="E294" s="118">
        <v>1</v>
      </c>
      <c r="F294" s="81" cm="1">
        <f t="array" ref="F294">_xlfn.SUMIFS('עסקאות'!$M$2:$M$1958,'עסקאות'!$F$2:$F$1958,B294)</f>
        <v>149</v>
      </c>
      <c r="G294" s="81" cm="1">
        <f t="array" ref="G294">IF(D294=0,"",F294/D294)</f>
        <v>149</v>
      </c>
      <c r="H294" s="81" cm="1">
        <f t="array" ref="H294">F294/20</f>
        <v>7.45</v>
      </c>
      <c r="I294" s="81" cm="1">
        <f t="array" ref="I294">_xlfn.SUMIFS('עסקאות'!$M$2:$M$1958,'עסקאות'!$F$2:$F$1958,B294,'עסקאות'!$A$2:$A$1958,"&gt;="&amp;DATE(2025,1,1),'עסקאות'!$A$2:$A$1958,"&lt;"&amp;DATE(2026,1,1))</f>
        <v>149</v>
      </c>
      <c r="J294" s="83" cm="1">
        <f t="array" ref="J294">_xlfn.SUMIFS('עסקאות'!$M$2:$M$1958,'עסקאות'!$F$2:$F$1958,B294,'עסקאות'!$A$2:$A$1958,"&gt;="&amp;DATE(2026,1,1),'עסקאות'!$A$2:$A$1958,"&lt;"&amp;DATE(2027,1,1))</f>
        <v>0</v>
      </c>
      <c r="K294" s="77"/>
    </row>
    <row r="295" ht="13.65" customHeight="1">
      <c r="A295" s="70"/>
      <c r="B295" t="s" s="27">
        <v>482</v>
      </c>
      <c r="C295" t="s" s="86">
        <v>123</v>
      </c>
      <c r="D295" s="119">
        <v>1</v>
      </c>
      <c r="E295" s="119">
        <v>1</v>
      </c>
      <c r="F295" s="87" cm="1">
        <f t="array" ref="F295">_xlfn.SUMIFS('עסקאות'!$M$2:$M$1958,'עסקאות'!$F$2:$F$1958,B295)</f>
        <v>149</v>
      </c>
      <c r="G295" s="87" cm="1">
        <f t="array" ref="G295">IF(D295=0,"",F295/D295)</f>
        <v>149</v>
      </c>
      <c r="H295" s="87" cm="1">
        <f t="array" ref="H295">F295/20</f>
        <v>7.45</v>
      </c>
      <c r="I295" s="87" cm="1">
        <f t="array" ref="I295">_xlfn.SUMIFS('עסקאות'!$M$2:$M$1958,'עסקאות'!$F$2:$F$1958,B295,'עסקאות'!$A$2:$A$1958,"&gt;="&amp;DATE(2025,1,1),'עסקאות'!$A$2:$A$1958,"&lt;"&amp;DATE(2026,1,1))</f>
        <v>149</v>
      </c>
      <c r="J295" s="28" cm="1">
        <f t="array" ref="J295">_xlfn.SUMIFS('עסקאות'!$M$2:$M$1958,'עסקאות'!$F$2:$F$1958,B295,'עסקאות'!$A$2:$A$1958,"&gt;="&amp;DATE(2026,1,1),'עסקאות'!$A$2:$A$1958,"&lt;"&amp;DATE(2027,1,1))</f>
        <v>0</v>
      </c>
      <c r="K295" s="77"/>
    </row>
    <row r="296" ht="13.65" customHeight="1">
      <c r="A296" s="70"/>
      <c r="B296" t="s" s="94">
        <v>483</v>
      </c>
      <c r="C296" t="s" s="80">
        <v>121</v>
      </c>
      <c r="D296" s="118">
        <v>1</v>
      </c>
      <c r="E296" s="118">
        <v>1</v>
      </c>
      <c r="F296" s="81" cm="1">
        <f t="array" ref="F296">_xlfn.SUMIFS('עסקאות'!$M$2:$M$1958,'עסקאות'!$F$2:$F$1958,B296)</f>
        <v>149</v>
      </c>
      <c r="G296" s="81" cm="1">
        <f t="array" ref="G296">IF(D296=0,"",F296/D296)</f>
        <v>149</v>
      </c>
      <c r="H296" s="81" cm="1">
        <f t="array" ref="H296">F296/20</f>
        <v>7.45</v>
      </c>
      <c r="I296" s="81" cm="1">
        <f t="array" ref="I296">_xlfn.SUMIFS('עסקאות'!$M$2:$M$1958,'עסקאות'!$F$2:$F$1958,B296,'עסקאות'!$A$2:$A$1958,"&gt;="&amp;DATE(2025,1,1),'עסקאות'!$A$2:$A$1958,"&lt;"&amp;DATE(2026,1,1))</f>
        <v>0</v>
      </c>
      <c r="J296" s="83" cm="1">
        <f t="array" ref="J296">_xlfn.SUMIFS('עסקאות'!$M$2:$M$1958,'עסקאות'!$F$2:$F$1958,B296,'עסקאות'!$A$2:$A$1958,"&gt;="&amp;DATE(2026,1,1),'עסקאות'!$A$2:$A$1958,"&lt;"&amp;DATE(2027,1,1))</f>
        <v>149</v>
      </c>
      <c r="K296" s="77"/>
    </row>
    <row r="297" ht="13.65" customHeight="1">
      <c r="A297" s="70"/>
      <c r="B297" t="s" s="27">
        <v>484</v>
      </c>
      <c r="C297" t="s" s="86">
        <v>113</v>
      </c>
      <c r="D297" s="119">
        <v>1</v>
      </c>
      <c r="E297" s="119">
        <v>1</v>
      </c>
      <c r="F297" s="87" cm="1">
        <f t="array" ref="F297">_xlfn.SUMIFS('עסקאות'!$M$2:$M$1958,'עסקאות'!$F$2:$F$1958,B297)</f>
        <v>148</v>
      </c>
      <c r="G297" s="87" cm="1">
        <f t="array" ref="G297">IF(D297=0,"",F297/D297)</f>
        <v>148</v>
      </c>
      <c r="H297" s="87" cm="1">
        <f t="array" ref="H297">F297/20</f>
        <v>7.4</v>
      </c>
      <c r="I297" s="87" cm="1">
        <f t="array" ref="I297">_xlfn.SUMIFS('עסקאות'!$M$2:$M$1958,'עסקאות'!$F$2:$F$1958,B297,'עסקאות'!$A$2:$A$1958,"&gt;="&amp;DATE(2025,1,1),'עסקאות'!$A$2:$A$1958,"&lt;"&amp;DATE(2026,1,1))</f>
        <v>0</v>
      </c>
      <c r="J297" s="28" cm="1">
        <f t="array" ref="J297">_xlfn.SUMIFS('עסקאות'!$M$2:$M$1958,'עסקאות'!$F$2:$F$1958,B297,'עסקאות'!$A$2:$A$1958,"&gt;="&amp;DATE(2026,1,1),'עסקאות'!$A$2:$A$1958,"&lt;"&amp;DATE(2027,1,1))</f>
        <v>148</v>
      </c>
      <c r="K297" s="77"/>
    </row>
    <row r="298" ht="13.65" customHeight="1">
      <c r="A298" s="70"/>
      <c r="B298" t="s" s="94">
        <v>485</v>
      </c>
      <c r="C298" t="s" s="80">
        <v>117</v>
      </c>
      <c r="D298" s="118">
        <v>1</v>
      </c>
      <c r="E298" s="118">
        <v>1</v>
      </c>
      <c r="F298" s="81" cm="1">
        <f t="array" ref="F298">_xlfn.SUMIFS('עסקאות'!$M$2:$M$1958,'עסקאות'!$F$2:$F$1958,B298)</f>
        <v>141</v>
      </c>
      <c r="G298" s="81" cm="1">
        <f t="array" ref="G298">IF(D298=0,"",F298/D298)</f>
        <v>141</v>
      </c>
      <c r="H298" s="81" cm="1">
        <f t="array" ref="H298">F298/20</f>
        <v>7.05</v>
      </c>
      <c r="I298" s="81" cm="1">
        <f t="array" ref="I298">_xlfn.SUMIFS('עסקאות'!$M$2:$M$1958,'עסקאות'!$F$2:$F$1958,B298,'עסקאות'!$A$2:$A$1958,"&gt;="&amp;DATE(2025,1,1),'עסקאות'!$A$2:$A$1958,"&lt;"&amp;DATE(2026,1,1))</f>
        <v>0</v>
      </c>
      <c r="J298" s="83" cm="1">
        <f t="array" ref="J298">_xlfn.SUMIFS('עסקאות'!$M$2:$M$1958,'עסקאות'!$F$2:$F$1958,B298,'עסקאות'!$A$2:$A$1958,"&gt;="&amp;DATE(2026,1,1),'עסקאות'!$A$2:$A$1958,"&lt;"&amp;DATE(2027,1,1))</f>
        <v>141</v>
      </c>
      <c r="K298" s="77"/>
    </row>
    <row r="299" ht="13.65" customHeight="1">
      <c r="A299" s="70"/>
      <c r="B299" t="s" s="27">
        <v>486</v>
      </c>
      <c r="C299" t="s" s="86">
        <v>121</v>
      </c>
      <c r="D299" s="119">
        <v>1</v>
      </c>
      <c r="E299" s="119">
        <v>1</v>
      </c>
      <c r="F299" s="87" cm="1">
        <f t="array" ref="F299">_xlfn.SUMIFS('עסקאות'!$M$2:$M$1958,'עסקאות'!$F$2:$F$1958,B299)</f>
        <v>140</v>
      </c>
      <c r="G299" s="87" cm="1">
        <f t="array" ref="G299">IF(D299=0,"",F299/D299)</f>
        <v>140</v>
      </c>
      <c r="H299" s="87" cm="1">
        <f t="array" ref="H299">F299/20</f>
        <v>7</v>
      </c>
      <c r="I299" s="87" cm="1">
        <f t="array" ref="I299">_xlfn.SUMIFS('עסקאות'!$M$2:$M$1958,'עסקאות'!$F$2:$F$1958,B299,'עסקאות'!$A$2:$A$1958,"&gt;="&amp;DATE(2025,1,1),'עסקאות'!$A$2:$A$1958,"&lt;"&amp;DATE(2026,1,1))</f>
        <v>140</v>
      </c>
      <c r="J299" s="28" cm="1">
        <f t="array" ref="J299">_xlfn.SUMIFS('עסקאות'!$M$2:$M$1958,'עסקאות'!$F$2:$F$1958,B299,'עסקאות'!$A$2:$A$1958,"&gt;="&amp;DATE(2026,1,1),'עסקאות'!$A$2:$A$1958,"&lt;"&amp;DATE(2027,1,1))</f>
        <v>0</v>
      </c>
      <c r="K299" s="77"/>
    </row>
    <row r="300" ht="13.65" customHeight="1">
      <c r="A300" s="70"/>
      <c r="B300" t="s" s="94">
        <v>487</v>
      </c>
      <c r="C300" t="s" s="80">
        <v>127</v>
      </c>
      <c r="D300" s="118">
        <v>1</v>
      </c>
      <c r="E300" s="118">
        <v>1</v>
      </c>
      <c r="F300" s="81" cm="1">
        <f t="array" ref="F300">_xlfn.SUMIFS('עסקאות'!$M$2:$M$1958,'עסקאות'!$F$2:$F$1958,B300)</f>
        <v>140</v>
      </c>
      <c r="G300" s="81" cm="1">
        <f t="array" ref="G300">IF(D300=0,"",F300/D300)</f>
        <v>140</v>
      </c>
      <c r="H300" s="81" cm="1">
        <f t="array" ref="H300">F300/20</f>
        <v>7</v>
      </c>
      <c r="I300" s="81" cm="1">
        <f t="array" ref="I300">_xlfn.SUMIFS('עסקאות'!$M$2:$M$1958,'עסקאות'!$F$2:$F$1958,B300,'עסקאות'!$A$2:$A$1958,"&gt;="&amp;DATE(2025,1,1),'עסקאות'!$A$2:$A$1958,"&lt;"&amp;DATE(2026,1,1))</f>
        <v>140</v>
      </c>
      <c r="J300" s="83" cm="1">
        <f t="array" ref="J300">_xlfn.SUMIFS('עסקאות'!$M$2:$M$1958,'עסקאות'!$F$2:$F$1958,B300,'עסקאות'!$A$2:$A$1958,"&gt;="&amp;DATE(2026,1,1),'עסקאות'!$A$2:$A$1958,"&lt;"&amp;DATE(2027,1,1))</f>
        <v>0</v>
      </c>
      <c r="K300" s="77"/>
    </row>
    <row r="301" ht="13.65" customHeight="1">
      <c r="A301" s="70"/>
      <c r="B301" t="s" s="27">
        <v>488</v>
      </c>
      <c r="C301" t="s" s="86">
        <v>121</v>
      </c>
      <c r="D301" s="119">
        <v>1</v>
      </c>
      <c r="E301" s="119">
        <v>1</v>
      </c>
      <c r="F301" s="87" cm="1">
        <f t="array" ref="F301">_xlfn.SUMIFS('עסקאות'!$M$2:$M$1958,'עסקאות'!$F$2:$F$1958,B301)</f>
        <v>140</v>
      </c>
      <c r="G301" s="87" cm="1">
        <f t="array" ref="G301">IF(D301=0,"",F301/D301)</f>
        <v>140</v>
      </c>
      <c r="H301" s="87" cm="1">
        <f t="array" ref="H301">F301/20</f>
        <v>7</v>
      </c>
      <c r="I301" s="87" cm="1">
        <f t="array" ref="I301">_xlfn.SUMIFS('עסקאות'!$M$2:$M$1958,'עסקאות'!$F$2:$F$1958,B301,'עסקאות'!$A$2:$A$1958,"&gt;="&amp;DATE(2025,1,1),'עסקאות'!$A$2:$A$1958,"&lt;"&amp;DATE(2026,1,1))</f>
        <v>140</v>
      </c>
      <c r="J301" s="28" cm="1">
        <f t="array" ref="J301">_xlfn.SUMIFS('עסקאות'!$M$2:$M$1958,'עסקאות'!$F$2:$F$1958,B301,'עסקאות'!$A$2:$A$1958,"&gt;="&amp;DATE(2026,1,1),'עסקאות'!$A$2:$A$1958,"&lt;"&amp;DATE(2027,1,1))</f>
        <v>0</v>
      </c>
      <c r="K301" s="77"/>
    </row>
    <row r="302" ht="13.65" customHeight="1">
      <c r="A302" s="70"/>
      <c r="B302" t="s" s="94">
        <v>489</v>
      </c>
      <c r="C302" t="s" s="80">
        <v>121</v>
      </c>
      <c r="D302" s="118">
        <v>1</v>
      </c>
      <c r="E302" s="118">
        <v>1</v>
      </c>
      <c r="F302" s="81" cm="1">
        <f t="array" ref="F302">_xlfn.SUMIFS('עסקאות'!$M$2:$M$1958,'עסקאות'!$F$2:$F$1958,B302)</f>
        <v>138</v>
      </c>
      <c r="G302" s="81" cm="1">
        <f t="array" ref="G302">IF(D302=0,"",F302/D302)</f>
        <v>138</v>
      </c>
      <c r="H302" s="81" cm="1">
        <f t="array" ref="H302">F302/20</f>
        <v>6.9</v>
      </c>
      <c r="I302" s="81" cm="1">
        <f t="array" ref="I302">_xlfn.SUMIFS('עסקאות'!$M$2:$M$1958,'עסקאות'!$F$2:$F$1958,B302,'עסקאות'!$A$2:$A$1958,"&gt;="&amp;DATE(2025,1,1),'עסקאות'!$A$2:$A$1958,"&lt;"&amp;DATE(2026,1,1))</f>
        <v>138</v>
      </c>
      <c r="J302" s="83" cm="1">
        <f t="array" ref="J302">_xlfn.SUMIFS('עסקאות'!$M$2:$M$1958,'עסקאות'!$F$2:$F$1958,B302,'עסקאות'!$A$2:$A$1958,"&gt;="&amp;DATE(2026,1,1),'עסקאות'!$A$2:$A$1958,"&lt;"&amp;DATE(2027,1,1))</f>
        <v>0</v>
      </c>
      <c r="K302" s="77"/>
    </row>
    <row r="303" ht="13.65" customHeight="1">
      <c r="A303" s="70"/>
      <c r="B303" t="s" s="27">
        <v>490</v>
      </c>
      <c r="C303" t="s" s="86">
        <v>107</v>
      </c>
      <c r="D303" s="119">
        <v>2</v>
      </c>
      <c r="E303" s="119">
        <v>1</v>
      </c>
      <c r="F303" s="87" cm="1">
        <f t="array" ref="F303">_xlfn.SUMIFS('עסקאות'!$M$2:$M$1958,'עסקאות'!$F$2:$F$1958,B303)</f>
        <v>136</v>
      </c>
      <c r="G303" s="87" cm="1">
        <f t="array" ref="G303">IF(D303=0,"",F303/D303)</f>
        <v>68</v>
      </c>
      <c r="H303" s="87" cm="1">
        <f t="array" ref="H303">F303/20</f>
        <v>6.8</v>
      </c>
      <c r="I303" s="87" cm="1">
        <f t="array" ref="I303">_xlfn.SUMIFS('עסקאות'!$M$2:$M$1958,'עסקאות'!$F$2:$F$1958,B303,'עסקאות'!$A$2:$A$1958,"&gt;="&amp;DATE(2025,1,1),'עסקאות'!$A$2:$A$1958,"&lt;"&amp;DATE(2026,1,1))</f>
        <v>136</v>
      </c>
      <c r="J303" s="28" cm="1">
        <f t="array" ref="J303">_xlfn.SUMIFS('עסקאות'!$M$2:$M$1958,'עסקאות'!$F$2:$F$1958,B303,'עסקאות'!$A$2:$A$1958,"&gt;="&amp;DATE(2026,1,1),'עסקאות'!$A$2:$A$1958,"&lt;"&amp;DATE(2027,1,1))</f>
        <v>0</v>
      </c>
      <c r="K303" s="77"/>
    </row>
    <row r="304" ht="13.65" customHeight="1">
      <c r="A304" s="70"/>
      <c r="B304" t="s" s="94">
        <v>491</v>
      </c>
      <c r="C304" t="s" s="80">
        <v>102</v>
      </c>
      <c r="D304" s="118">
        <v>1</v>
      </c>
      <c r="E304" s="118">
        <v>1</v>
      </c>
      <c r="F304" s="81" cm="1">
        <f t="array" ref="F304">_xlfn.SUMIFS('עסקאות'!$M$2:$M$1958,'עסקאות'!$F$2:$F$1958,B304)</f>
        <v>134</v>
      </c>
      <c r="G304" s="81" cm="1">
        <f t="array" ref="G304">IF(D304=0,"",F304/D304)</f>
        <v>134</v>
      </c>
      <c r="H304" s="81" cm="1">
        <f t="array" ref="H304">F304/20</f>
        <v>6.7</v>
      </c>
      <c r="I304" s="81" cm="1">
        <f t="array" ref="I304">_xlfn.SUMIFS('עסקאות'!$M$2:$M$1958,'עסקאות'!$F$2:$F$1958,B304,'עסקאות'!$A$2:$A$1958,"&gt;="&amp;DATE(2025,1,1),'עסקאות'!$A$2:$A$1958,"&lt;"&amp;DATE(2026,1,1))</f>
        <v>0</v>
      </c>
      <c r="J304" s="83" cm="1">
        <f t="array" ref="J304">_xlfn.SUMIFS('עסקאות'!$M$2:$M$1958,'עסקאות'!$F$2:$F$1958,B304,'עסקאות'!$A$2:$A$1958,"&gt;="&amp;DATE(2026,1,1),'עסקאות'!$A$2:$A$1958,"&lt;"&amp;DATE(2027,1,1))</f>
        <v>134</v>
      </c>
      <c r="K304" s="77"/>
    </row>
    <row r="305" ht="13.65" customHeight="1">
      <c r="A305" s="70"/>
      <c r="B305" t="s" s="27">
        <v>492</v>
      </c>
      <c r="C305" t="s" s="86">
        <v>113</v>
      </c>
      <c r="D305" s="119">
        <v>1</v>
      </c>
      <c r="E305" s="119">
        <v>1</v>
      </c>
      <c r="F305" s="87" cm="1">
        <f t="array" ref="F305">_xlfn.SUMIFS('עסקאות'!$M$2:$M$1958,'עסקאות'!$F$2:$F$1958,B305)</f>
        <v>134</v>
      </c>
      <c r="G305" s="87" cm="1">
        <f t="array" ref="G305">IF(D305=0,"",F305/D305)</f>
        <v>134</v>
      </c>
      <c r="H305" s="87" cm="1">
        <f t="array" ref="H305">F305/20</f>
        <v>6.7</v>
      </c>
      <c r="I305" s="87" cm="1">
        <f t="array" ref="I305">_xlfn.SUMIFS('עסקאות'!$M$2:$M$1958,'עסקאות'!$F$2:$F$1958,B305,'עסקאות'!$A$2:$A$1958,"&gt;="&amp;DATE(2025,1,1),'עסקאות'!$A$2:$A$1958,"&lt;"&amp;DATE(2026,1,1))</f>
        <v>0</v>
      </c>
      <c r="J305" s="28" cm="1">
        <f t="array" ref="J305">_xlfn.SUMIFS('עסקאות'!$M$2:$M$1958,'עסקאות'!$F$2:$F$1958,B305,'עסקאות'!$A$2:$A$1958,"&gt;="&amp;DATE(2026,1,1),'עסקאות'!$A$2:$A$1958,"&lt;"&amp;DATE(2027,1,1))</f>
        <v>134</v>
      </c>
      <c r="K305" s="77"/>
    </row>
    <row r="306" ht="13.65" customHeight="1">
      <c r="A306" s="70"/>
      <c r="B306" t="s" s="94">
        <v>493</v>
      </c>
      <c r="C306" t="s" s="80">
        <v>129</v>
      </c>
      <c r="D306" s="118">
        <v>2</v>
      </c>
      <c r="E306" s="118">
        <v>2</v>
      </c>
      <c r="F306" s="81" cm="1">
        <f t="array" ref="F306">_xlfn.SUMIFS('עסקאות'!$M$2:$M$1958,'עסקאות'!$F$2:$F$1958,B306)</f>
        <v>133</v>
      </c>
      <c r="G306" s="81" cm="1">
        <f t="array" ref="G306">IF(D306=0,"",F306/D306)</f>
        <v>66.5</v>
      </c>
      <c r="H306" s="81" cm="1">
        <f t="array" ref="H306">F306/20</f>
        <v>6.65</v>
      </c>
      <c r="I306" s="81" cm="1">
        <f t="array" ref="I306">_xlfn.SUMIFS('עסקאות'!$M$2:$M$1958,'עסקאות'!$F$2:$F$1958,B306,'עסקאות'!$A$2:$A$1958,"&gt;="&amp;DATE(2025,1,1),'עסקאות'!$A$2:$A$1958,"&lt;"&amp;DATE(2026,1,1))</f>
        <v>133</v>
      </c>
      <c r="J306" s="83" cm="1">
        <f t="array" ref="J306">_xlfn.SUMIFS('עסקאות'!$M$2:$M$1958,'עסקאות'!$F$2:$F$1958,B306,'עסקאות'!$A$2:$A$1958,"&gt;="&amp;DATE(2026,1,1),'עסקאות'!$A$2:$A$1958,"&lt;"&amp;DATE(2027,1,1))</f>
        <v>0</v>
      </c>
      <c r="K306" s="77"/>
    </row>
    <row r="307" ht="13.65" customHeight="1">
      <c r="A307" s="70"/>
      <c r="B307" t="s" s="27">
        <v>494</v>
      </c>
      <c r="C307" t="s" s="86">
        <v>123</v>
      </c>
      <c r="D307" s="119">
        <v>1</v>
      </c>
      <c r="E307" s="119">
        <v>1</v>
      </c>
      <c r="F307" s="87" cm="1">
        <f t="array" ref="F307">_xlfn.SUMIFS('עסקאות'!$M$2:$M$1958,'עסקאות'!$F$2:$F$1958,B307)</f>
        <v>130</v>
      </c>
      <c r="G307" s="87" cm="1">
        <f t="array" ref="G307">IF(D307=0,"",F307/D307)</f>
        <v>130</v>
      </c>
      <c r="H307" s="87" cm="1">
        <f t="array" ref="H307">F307/20</f>
        <v>6.5</v>
      </c>
      <c r="I307" s="87" cm="1">
        <f t="array" ref="I307">_xlfn.SUMIFS('עסקאות'!$M$2:$M$1958,'עסקאות'!$F$2:$F$1958,B307,'עסקאות'!$A$2:$A$1958,"&gt;="&amp;DATE(2025,1,1),'עסקאות'!$A$2:$A$1958,"&lt;"&amp;DATE(2026,1,1))</f>
        <v>0</v>
      </c>
      <c r="J307" s="28" cm="1">
        <f t="array" ref="J307">_xlfn.SUMIFS('עסקאות'!$M$2:$M$1958,'עסקאות'!$F$2:$F$1958,B307,'עסקאות'!$A$2:$A$1958,"&gt;="&amp;DATE(2026,1,1),'עסקאות'!$A$2:$A$1958,"&lt;"&amp;DATE(2027,1,1))</f>
        <v>130</v>
      </c>
      <c r="K307" s="77"/>
    </row>
    <row r="308" ht="13.65" customHeight="1">
      <c r="A308" s="70"/>
      <c r="B308" t="s" s="94">
        <v>495</v>
      </c>
      <c r="C308" t="s" s="80">
        <v>127</v>
      </c>
      <c r="D308" s="118">
        <v>1</v>
      </c>
      <c r="E308" s="118">
        <v>1</v>
      </c>
      <c r="F308" s="81" cm="1">
        <f t="array" ref="F308">_xlfn.SUMIFS('עסקאות'!$M$2:$M$1958,'עסקאות'!$F$2:$F$1958,B308)</f>
        <v>130</v>
      </c>
      <c r="G308" s="81" cm="1">
        <f t="array" ref="G308">IF(D308=0,"",F308/D308)</f>
        <v>130</v>
      </c>
      <c r="H308" s="81" cm="1">
        <f t="array" ref="H308">F308/20</f>
        <v>6.5</v>
      </c>
      <c r="I308" s="81" cm="1">
        <f t="array" ref="I308">_xlfn.SUMIFS('עסקאות'!$M$2:$M$1958,'עסקאות'!$F$2:$F$1958,B308,'עסקאות'!$A$2:$A$1958,"&gt;="&amp;DATE(2025,1,1),'עסקאות'!$A$2:$A$1958,"&lt;"&amp;DATE(2026,1,1))</f>
        <v>0</v>
      </c>
      <c r="J308" s="83" cm="1">
        <f t="array" ref="J308">_xlfn.SUMIFS('עסקאות'!$M$2:$M$1958,'עסקאות'!$F$2:$F$1958,B308,'עסקאות'!$A$2:$A$1958,"&gt;="&amp;DATE(2026,1,1),'עסקאות'!$A$2:$A$1958,"&lt;"&amp;DATE(2027,1,1))</f>
        <v>130</v>
      </c>
      <c r="K308" s="77"/>
    </row>
    <row r="309" ht="13.65" customHeight="1">
      <c r="A309" s="70"/>
      <c r="B309" t="s" s="27">
        <v>496</v>
      </c>
      <c r="C309" t="s" s="86">
        <v>113</v>
      </c>
      <c r="D309" s="119">
        <v>1</v>
      </c>
      <c r="E309" s="119">
        <v>1</v>
      </c>
      <c r="F309" s="87" cm="1">
        <f t="array" ref="F309">_xlfn.SUMIFS('עסקאות'!$M$2:$M$1958,'עסקאות'!$F$2:$F$1958,B309)</f>
        <v>128</v>
      </c>
      <c r="G309" s="87" cm="1">
        <f t="array" ref="G309">IF(D309=0,"",F309/D309)</f>
        <v>128</v>
      </c>
      <c r="H309" s="87" cm="1">
        <f t="array" ref="H309">F309/20</f>
        <v>6.4</v>
      </c>
      <c r="I309" s="87" cm="1">
        <f t="array" ref="I309">_xlfn.SUMIFS('עסקאות'!$M$2:$M$1958,'עסקאות'!$F$2:$F$1958,B309,'עסקאות'!$A$2:$A$1958,"&gt;="&amp;DATE(2025,1,1),'עסקאות'!$A$2:$A$1958,"&lt;"&amp;DATE(2026,1,1))</f>
        <v>128</v>
      </c>
      <c r="J309" s="28" cm="1">
        <f t="array" ref="J309">_xlfn.SUMIFS('עסקאות'!$M$2:$M$1958,'עסקאות'!$F$2:$F$1958,B309,'עסקאות'!$A$2:$A$1958,"&gt;="&amp;DATE(2026,1,1),'עסקאות'!$A$2:$A$1958,"&lt;"&amp;DATE(2027,1,1))</f>
        <v>0</v>
      </c>
      <c r="K309" s="77"/>
    </row>
    <row r="310" ht="13.65" customHeight="1">
      <c r="A310" s="70"/>
      <c r="B310" t="s" s="94">
        <v>497</v>
      </c>
      <c r="C310" t="s" s="80">
        <v>105</v>
      </c>
      <c r="D310" s="118">
        <v>1</v>
      </c>
      <c r="E310" s="118">
        <v>1</v>
      </c>
      <c r="F310" s="81" cm="1">
        <f t="array" ref="F310">_xlfn.SUMIFS('עסקאות'!$M$2:$M$1958,'עסקאות'!$F$2:$F$1958,B310)</f>
        <v>127</v>
      </c>
      <c r="G310" s="81" cm="1">
        <f t="array" ref="G310">IF(D310=0,"",F310/D310)</f>
        <v>127</v>
      </c>
      <c r="H310" s="81" cm="1">
        <f t="array" ref="H310">F310/20</f>
        <v>6.35</v>
      </c>
      <c r="I310" s="81" cm="1">
        <f t="array" ref="I310">_xlfn.SUMIFS('עסקאות'!$M$2:$M$1958,'עסקאות'!$F$2:$F$1958,B310,'עסקאות'!$A$2:$A$1958,"&gt;="&amp;DATE(2025,1,1),'עסקאות'!$A$2:$A$1958,"&lt;"&amp;DATE(2026,1,1))</f>
        <v>127</v>
      </c>
      <c r="J310" s="83" cm="1">
        <f t="array" ref="J310">_xlfn.SUMIFS('עסקאות'!$M$2:$M$1958,'עסקאות'!$F$2:$F$1958,B310,'עסקאות'!$A$2:$A$1958,"&gt;="&amp;DATE(2026,1,1),'עסקאות'!$A$2:$A$1958,"&lt;"&amp;DATE(2027,1,1))</f>
        <v>0</v>
      </c>
      <c r="K310" s="77"/>
    </row>
    <row r="311" ht="13.65" customHeight="1">
      <c r="A311" s="70"/>
      <c r="B311" t="s" s="27">
        <v>498</v>
      </c>
      <c r="C311" t="s" s="86">
        <v>115</v>
      </c>
      <c r="D311" s="119">
        <v>1</v>
      </c>
      <c r="E311" s="119">
        <v>1</v>
      </c>
      <c r="F311" s="87" cm="1">
        <f t="array" ref="F311">_xlfn.SUMIFS('עסקאות'!$M$2:$M$1958,'עסקאות'!$F$2:$F$1958,B311)</f>
        <v>127</v>
      </c>
      <c r="G311" s="87" cm="1">
        <f t="array" ref="G311">IF(D311=0,"",F311/D311)</f>
        <v>127</v>
      </c>
      <c r="H311" s="87" cm="1">
        <f t="array" ref="H311">F311/20</f>
        <v>6.35</v>
      </c>
      <c r="I311" s="87" cm="1">
        <f t="array" ref="I311">_xlfn.SUMIFS('עסקאות'!$M$2:$M$1958,'עסקאות'!$F$2:$F$1958,B311,'עסקאות'!$A$2:$A$1958,"&gt;="&amp;DATE(2025,1,1),'עסקאות'!$A$2:$A$1958,"&lt;"&amp;DATE(2026,1,1))</f>
        <v>0</v>
      </c>
      <c r="J311" s="28" cm="1">
        <f t="array" ref="J311">_xlfn.SUMIFS('עסקאות'!$M$2:$M$1958,'עסקאות'!$F$2:$F$1958,B311,'עסקאות'!$A$2:$A$1958,"&gt;="&amp;DATE(2026,1,1),'עסקאות'!$A$2:$A$1958,"&lt;"&amp;DATE(2027,1,1))</f>
        <v>127</v>
      </c>
      <c r="K311" s="77"/>
    </row>
    <row r="312" ht="13.65" customHeight="1">
      <c r="A312" s="70"/>
      <c r="B312" t="s" s="94">
        <v>499</v>
      </c>
      <c r="C312" t="s" s="80">
        <v>115</v>
      </c>
      <c r="D312" s="118">
        <v>1</v>
      </c>
      <c r="E312" s="118">
        <v>1</v>
      </c>
      <c r="F312" s="81" cm="1">
        <f t="array" ref="F312">_xlfn.SUMIFS('עסקאות'!$M$2:$M$1958,'עסקאות'!$F$2:$F$1958,B312)</f>
        <v>123</v>
      </c>
      <c r="G312" s="81" cm="1">
        <f t="array" ref="G312">IF(D312=0,"",F312/D312)</f>
        <v>123</v>
      </c>
      <c r="H312" s="81" cm="1">
        <f t="array" ref="H312">F312/20</f>
        <v>6.15</v>
      </c>
      <c r="I312" s="81" cm="1">
        <f t="array" ref="I312">_xlfn.SUMIFS('עסקאות'!$M$2:$M$1958,'עסקאות'!$F$2:$F$1958,B312,'עסקאות'!$A$2:$A$1958,"&gt;="&amp;DATE(2025,1,1),'עסקאות'!$A$2:$A$1958,"&lt;"&amp;DATE(2026,1,1))</f>
        <v>123</v>
      </c>
      <c r="J312" s="83" cm="1">
        <f t="array" ref="J312">_xlfn.SUMIFS('עסקאות'!$M$2:$M$1958,'עסקאות'!$F$2:$F$1958,B312,'עסקאות'!$A$2:$A$1958,"&gt;="&amp;DATE(2026,1,1),'עסקאות'!$A$2:$A$1958,"&lt;"&amp;DATE(2027,1,1))</f>
        <v>0</v>
      </c>
      <c r="K312" s="77"/>
    </row>
    <row r="313" ht="13.65" customHeight="1">
      <c r="A313" s="70"/>
      <c r="B313" t="s" s="27">
        <v>500</v>
      </c>
      <c r="C313" t="s" s="86">
        <v>107</v>
      </c>
      <c r="D313" s="119">
        <v>1</v>
      </c>
      <c r="E313" s="119">
        <v>1</v>
      </c>
      <c r="F313" s="87" cm="1">
        <f t="array" ref="F313">_xlfn.SUMIFS('עסקאות'!$M$2:$M$1958,'עסקאות'!$F$2:$F$1958,B313)</f>
        <v>120</v>
      </c>
      <c r="G313" s="87" cm="1">
        <f t="array" ref="G313">IF(D313=0,"",F313/D313)</f>
        <v>120</v>
      </c>
      <c r="H313" s="87" cm="1">
        <f t="array" ref="H313">F313/20</f>
        <v>6</v>
      </c>
      <c r="I313" s="87" cm="1">
        <f t="array" ref="I313">_xlfn.SUMIFS('עסקאות'!$M$2:$M$1958,'עסקאות'!$F$2:$F$1958,B313,'עסקאות'!$A$2:$A$1958,"&gt;="&amp;DATE(2025,1,1),'עסקאות'!$A$2:$A$1958,"&lt;"&amp;DATE(2026,1,1))</f>
        <v>120</v>
      </c>
      <c r="J313" s="28" cm="1">
        <f t="array" ref="J313">_xlfn.SUMIFS('עסקאות'!$M$2:$M$1958,'עסקאות'!$F$2:$F$1958,B313,'עסקאות'!$A$2:$A$1958,"&gt;="&amp;DATE(2026,1,1),'עסקאות'!$A$2:$A$1958,"&lt;"&amp;DATE(2027,1,1))</f>
        <v>0</v>
      </c>
      <c r="K313" s="77"/>
    </row>
    <row r="314" ht="13.65" customHeight="1">
      <c r="A314" s="70"/>
      <c r="B314" t="s" s="94">
        <v>501</v>
      </c>
      <c r="C314" t="s" s="80">
        <v>117</v>
      </c>
      <c r="D314" s="118">
        <v>1</v>
      </c>
      <c r="E314" s="118">
        <v>1</v>
      </c>
      <c r="F314" s="81" cm="1">
        <f t="array" ref="F314">_xlfn.SUMIFS('עסקאות'!$M$2:$M$1958,'עסקאות'!$F$2:$F$1958,B314)</f>
        <v>120</v>
      </c>
      <c r="G314" s="81" cm="1">
        <f t="array" ref="G314">IF(D314=0,"",F314/D314)</f>
        <v>120</v>
      </c>
      <c r="H314" s="81" cm="1">
        <f t="array" ref="H314">F314/20</f>
        <v>6</v>
      </c>
      <c r="I314" s="81" cm="1">
        <f t="array" ref="I314">_xlfn.SUMIFS('עסקאות'!$M$2:$M$1958,'עסקאות'!$F$2:$F$1958,B314,'עסקאות'!$A$2:$A$1958,"&gt;="&amp;DATE(2025,1,1),'עסקאות'!$A$2:$A$1958,"&lt;"&amp;DATE(2026,1,1))</f>
        <v>0</v>
      </c>
      <c r="J314" s="83" cm="1">
        <f t="array" ref="J314">_xlfn.SUMIFS('עסקאות'!$M$2:$M$1958,'עסקאות'!$F$2:$F$1958,B314,'עסקאות'!$A$2:$A$1958,"&gt;="&amp;DATE(2026,1,1),'עסקאות'!$A$2:$A$1958,"&lt;"&amp;DATE(2027,1,1))</f>
        <v>120</v>
      </c>
      <c r="K314" s="77"/>
    </row>
    <row r="315" ht="13.65" customHeight="1">
      <c r="A315" s="70"/>
      <c r="B315" t="s" s="27">
        <v>502</v>
      </c>
      <c r="C315" t="s" s="86">
        <v>121</v>
      </c>
      <c r="D315" s="119">
        <v>1</v>
      </c>
      <c r="E315" s="119">
        <v>1</v>
      </c>
      <c r="F315" s="87" cm="1">
        <f t="array" ref="F315">_xlfn.SUMIFS('עסקאות'!$M$2:$M$1958,'עסקאות'!$F$2:$F$1958,B315)</f>
        <v>120</v>
      </c>
      <c r="G315" s="87" cm="1">
        <f t="array" ref="G315">IF(D315=0,"",F315/D315)</f>
        <v>120</v>
      </c>
      <c r="H315" s="87" cm="1">
        <f t="array" ref="H315">F315/20</f>
        <v>6</v>
      </c>
      <c r="I315" s="87" cm="1">
        <f t="array" ref="I315">_xlfn.SUMIFS('עסקאות'!$M$2:$M$1958,'עסקאות'!$F$2:$F$1958,B315,'עסקאות'!$A$2:$A$1958,"&gt;="&amp;DATE(2025,1,1),'עסקאות'!$A$2:$A$1958,"&lt;"&amp;DATE(2026,1,1))</f>
        <v>0</v>
      </c>
      <c r="J315" s="28" cm="1">
        <f t="array" ref="J315">_xlfn.SUMIFS('עסקאות'!$M$2:$M$1958,'עסקאות'!$F$2:$F$1958,B315,'עסקאות'!$A$2:$A$1958,"&gt;="&amp;DATE(2026,1,1),'עסקאות'!$A$2:$A$1958,"&lt;"&amp;DATE(2027,1,1))</f>
        <v>120</v>
      </c>
      <c r="K315" s="77"/>
    </row>
    <row r="316" ht="13.65" customHeight="1">
      <c r="A316" s="70"/>
      <c r="B316" t="s" s="94">
        <v>503</v>
      </c>
      <c r="C316" t="s" s="80">
        <v>127</v>
      </c>
      <c r="D316" s="118">
        <v>1</v>
      </c>
      <c r="E316" s="118">
        <v>1</v>
      </c>
      <c r="F316" s="81" cm="1">
        <f t="array" ref="F316">_xlfn.SUMIFS('עסקאות'!$M$2:$M$1958,'עסקאות'!$F$2:$F$1958,B316)</f>
        <v>120</v>
      </c>
      <c r="G316" s="81" cm="1">
        <f t="array" ref="G316">IF(D316=0,"",F316/D316)</f>
        <v>120</v>
      </c>
      <c r="H316" s="81" cm="1">
        <f t="array" ref="H316">F316/20</f>
        <v>6</v>
      </c>
      <c r="I316" s="81" cm="1">
        <f t="array" ref="I316">_xlfn.SUMIFS('עסקאות'!$M$2:$M$1958,'עסקאות'!$F$2:$F$1958,B316,'עסקאות'!$A$2:$A$1958,"&gt;="&amp;DATE(2025,1,1),'עסקאות'!$A$2:$A$1958,"&lt;"&amp;DATE(2026,1,1))</f>
        <v>0</v>
      </c>
      <c r="J316" s="83" cm="1">
        <f t="array" ref="J316">_xlfn.SUMIFS('עסקאות'!$M$2:$M$1958,'עסקאות'!$F$2:$F$1958,B316,'עסקאות'!$A$2:$A$1958,"&gt;="&amp;DATE(2026,1,1),'עסקאות'!$A$2:$A$1958,"&lt;"&amp;DATE(2027,1,1))</f>
        <v>120</v>
      </c>
      <c r="K316" s="77"/>
    </row>
    <row r="317" ht="13.65" customHeight="1">
      <c r="A317" s="70"/>
      <c r="B317" t="s" s="27">
        <v>504</v>
      </c>
      <c r="C317" t="s" s="86">
        <v>105</v>
      </c>
      <c r="D317" s="119">
        <v>1</v>
      </c>
      <c r="E317" s="119">
        <v>1</v>
      </c>
      <c r="F317" s="87" cm="1">
        <f t="array" ref="F317">_xlfn.SUMIFS('עסקאות'!$M$2:$M$1958,'עסקאות'!$F$2:$F$1958,B317)</f>
        <v>119</v>
      </c>
      <c r="G317" s="87" cm="1">
        <f t="array" ref="G317">IF(D317=0,"",F317/D317)</f>
        <v>119</v>
      </c>
      <c r="H317" s="87" cm="1">
        <f t="array" ref="H317">F317/20</f>
        <v>5.95</v>
      </c>
      <c r="I317" s="87" cm="1">
        <f t="array" ref="I317">_xlfn.SUMIFS('עסקאות'!$M$2:$M$1958,'עסקאות'!$F$2:$F$1958,B317,'עסקאות'!$A$2:$A$1958,"&gt;="&amp;DATE(2025,1,1),'עסקאות'!$A$2:$A$1958,"&lt;"&amp;DATE(2026,1,1))</f>
        <v>119</v>
      </c>
      <c r="J317" s="28" cm="1">
        <f t="array" ref="J317">_xlfn.SUMIFS('עסקאות'!$M$2:$M$1958,'עסקאות'!$F$2:$F$1958,B317,'עסקאות'!$A$2:$A$1958,"&gt;="&amp;DATE(2026,1,1),'עסקאות'!$A$2:$A$1958,"&lt;"&amp;DATE(2027,1,1))</f>
        <v>0</v>
      </c>
      <c r="K317" s="77"/>
    </row>
    <row r="318" ht="13.65" customHeight="1">
      <c r="A318" s="70"/>
      <c r="B318" t="s" s="94">
        <v>505</v>
      </c>
      <c r="C318" t="s" s="80">
        <v>113</v>
      </c>
      <c r="D318" s="118">
        <v>1</v>
      </c>
      <c r="E318" s="118">
        <v>1</v>
      </c>
      <c r="F318" s="81" cm="1">
        <f t="array" ref="F318">_xlfn.SUMIFS('עסקאות'!$M$2:$M$1958,'עסקאות'!$F$2:$F$1958,B318)</f>
        <v>119</v>
      </c>
      <c r="G318" s="81" cm="1">
        <f t="array" ref="G318">IF(D318=0,"",F318/D318)</f>
        <v>119</v>
      </c>
      <c r="H318" s="81" cm="1">
        <f t="array" ref="H318">F318/20</f>
        <v>5.95</v>
      </c>
      <c r="I318" s="81" cm="1">
        <f t="array" ref="I318">_xlfn.SUMIFS('עסקאות'!$M$2:$M$1958,'עסקאות'!$F$2:$F$1958,B318,'עסקאות'!$A$2:$A$1958,"&gt;="&amp;DATE(2025,1,1),'עסקאות'!$A$2:$A$1958,"&lt;"&amp;DATE(2026,1,1))</f>
        <v>0</v>
      </c>
      <c r="J318" s="83" cm="1">
        <f t="array" ref="J318">_xlfn.SUMIFS('עסקאות'!$M$2:$M$1958,'עסקאות'!$F$2:$F$1958,B318,'עסקאות'!$A$2:$A$1958,"&gt;="&amp;DATE(2026,1,1),'עסקאות'!$A$2:$A$1958,"&lt;"&amp;DATE(2027,1,1))</f>
        <v>119</v>
      </c>
      <c r="K318" s="77"/>
    </row>
    <row r="319" ht="13.65" customHeight="1">
      <c r="A319" s="70"/>
      <c r="B319" t="s" s="27">
        <v>506</v>
      </c>
      <c r="C319" t="s" s="86">
        <v>133</v>
      </c>
      <c r="D319" s="119">
        <v>1</v>
      </c>
      <c r="E319" s="119">
        <v>1</v>
      </c>
      <c r="F319" s="87" cm="1">
        <f t="array" ref="F319">_xlfn.SUMIFS('עסקאות'!$M$2:$M$1958,'עסקאות'!$F$2:$F$1958,B319)</f>
        <v>119</v>
      </c>
      <c r="G319" s="87" cm="1">
        <f t="array" ref="G319">IF(D319=0,"",F319/D319)</f>
        <v>119</v>
      </c>
      <c r="H319" s="87" cm="1">
        <f t="array" ref="H319">F319/20</f>
        <v>5.95</v>
      </c>
      <c r="I319" s="87" cm="1">
        <f t="array" ref="I319">_xlfn.SUMIFS('עסקאות'!$M$2:$M$1958,'עסקאות'!$F$2:$F$1958,B319,'עסקאות'!$A$2:$A$1958,"&gt;="&amp;DATE(2025,1,1),'עסקאות'!$A$2:$A$1958,"&lt;"&amp;DATE(2026,1,1))</f>
        <v>0</v>
      </c>
      <c r="J319" s="28" cm="1">
        <f t="array" ref="J319">_xlfn.SUMIFS('עסקאות'!$M$2:$M$1958,'עסקאות'!$F$2:$F$1958,B319,'עסקאות'!$A$2:$A$1958,"&gt;="&amp;DATE(2026,1,1),'עסקאות'!$A$2:$A$1958,"&lt;"&amp;DATE(2027,1,1))</f>
        <v>119</v>
      </c>
      <c r="K319" s="77"/>
    </row>
    <row r="320" ht="13.65" customHeight="1">
      <c r="A320" s="70"/>
      <c r="B320" t="s" s="94">
        <v>507</v>
      </c>
      <c r="C320" t="s" s="80">
        <v>113</v>
      </c>
      <c r="D320" s="118">
        <v>2</v>
      </c>
      <c r="E320" s="118">
        <v>1</v>
      </c>
      <c r="F320" s="81" cm="1">
        <f t="array" ref="F320">_xlfn.SUMIFS('עסקאות'!$M$2:$M$1958,'עסקאות'!$F$2:$F$1958,B320)</f>
        <v>118</v>
      </c>
      <c r="G320" s="81" cm="1">
        <f t="array" ref="G320">IF(D320=0,"",F320/D320)</f>
        <v>59</v>
      </c>
      <c r="H320" s="81" cm="1">
        <f t="array" ref="H320">F320/20</f>
        <v>5.9</v>
      </c>
      <c r="I320" s="81" cm="1">
        <f t="array" ref="I320">_xlfn.SUMIFS('עסקאות'!$M$2:$M$1958,'עסקאות'!$F$2:$F$1958,B320,'עסקאות'!$A$2:$A$1958,"&gt;="&amp;DATE(2025,1,1),'עסקאות'!$A$2:$A$1958,"&lt;"&amp;DATE(2026,1,1))</f>
        <v>118</v>
      </c>
      <c r="J320" s="83" cm="1">
        <f t="array" ref="J320">_xlfn.SUMIFS('עסקאות'!$M$2:$M$1958,'עסקאות'!$F$2:$F$1958,B320,'עסקאות'!$A$2:$A$1958,"&gt;="&amp;DATE(2026,1,1),'עסקאות'!$A$2:$A$1958,"&lt;"&amp;DATE(2027,1,1))</f>
        <v>0</v>
      </c>
      <c r="K320" s="77"/>
    </row>
    <row r="321" ht="13.65" customHeight="1">
      <c r="A321" s="70"/>
      <c r="B321" t="s" s="27">
        <v>508</v>
      </c>
      <c r="C321" t="s" s="86">
        <v>117</v>
      </c>
      <c r="D321" s="119">
        <v>2</v>
      </c>
      <c r="E321" s="119">
        <v>2</v>
      </c>
      <c r="F321" s="87" cm="1">
        <f t="array" ref="F321">_xlfn.SUMIFS('עסקאות'!$M$2:$M$1958,'עסקאות'!$F$2:$F$1958,B321)</f>
        <v>115</v>
      </c>
      <c r="G321" s="87" cm="1">
        <f t="array" ref="G321">IF(D321=0,"",F321/D321)</f>
        <v>57.5</v>
      </c>
      <c r="H321" s="87" cm="1">
        <f t="array" ref="H321">F321/20</f>
        <v>5.75</v>
      </c>
      <c r="I321" s="87" cm="1">
        <f t="array" ref="I321">_xlfn.SUMIFS('עסקאות'!$M$2:$M$1958,'עסקאות'!$F$2:$F$1958,B321,'עסקאות'!$A$2:$A$1958,"&gt;="&amp;DATE(2025,1,1),'עסקאות'!$A$2:$A$1958,"&lt;"&amp;DATE(2026,1,1))</f>
        <v>115</v>
      </c>
      <c r="J321" s="28" cm="1">
        <f t="array" ref="J321">_xlfn.SUMIFS('עסקאות'!$M$2:$M$1958,'עסקאות'!$F$2:$F$1958,B321,'עסקאות'!$A$2:$A$1958,"&gt;="&amp;DATE(2026,1,1),'עסקאות'!$A$2:$A$1958,"&lt;"&amp;DATE(2027,1,1))</f>
        <v>0</v>
      </c>
      <c r="K321" s="77"/>
    </row>
    <row r="322" ht="13.65" customHeight="1">
      <c r="A322" s="70"/>
      <c r="B322" t="s" s="94">
        <v>509</v>
      </c>
      <c r="C322" t="s" s="80">
        <v>109</v>
      </c>
      <c r="D322" s="118">
        <v>3</v>
      </c>
      <c r="E322" s="118">
        <v>1</v>
      </c>
      <c r="F322" s="81" cm="1">
        <f t="array" ref="F322">_xlfn.SUMIFS('עסקאות'!$M$2:$M$1958,'עסקאות'!$F$2:$F$1958,B322)</f>
        <v>110</v>
      </c>
      <c r="G322" s="81" cm="1">
        <f t="array" ref="G322">IF(D322=0,"",F322/D322)</f>
        <v>36.6666666666667</v>
      </c>
      <c r="H322" s="81" cm="1">
        <f t="array" ref="H322">F322/20</f>
        <v>5.5</v>
      </c>
      <c r="I322" s="81" cm="1">
        <f t="array" ref="I322">_xlfn.SUMIFS('עסקאות'!$M$2:$M$1958,'עסקאות'!$F$2:$F$1958,B322,'עסקאות'!$A$2:$A$1958,"&gt;="&amp;DATE(2025,1,1),'עסקאות'!$A$2:$A$1958,"&lt;"&amp;DATE(2026,1,1))</f>
        <v>110</v>
      </c>
      <c r="J322" s="83" cm="1">
        <f t="array" ref="J322">_xlfn.SUMIFS('עסקאות'!$M$2:$M$1958,'עסקאות'!$F$2:$F$1958,B322,'עסקאות'!$A$2:$A$1958,"&gt;="&amp;DATE(2026,1,1),'עסקאות'!$A$2:$A$1958,"&lt;"&amp;DATE(2027,1,1))</f>
        <v>0</v>
      </c>
      <c r="K322" s="77"/>
    </row>
    <row r="323" ht="13.65" customHeight="1">
      <c r="A323" s="70"/>
      <c r="B323" t="s" s="27">
        <v>510</v>
      </c>
      <c r="C323" t="s" s="86">
        <v>121</v>
      </c>
      <c r="D323" s="119">
        <v>1</v>
      </c>
      <c r="E323" s="119">
        <v>1</v>
      </c>
      <c r="F323" s="87" cm="1">
        <f t="array" ref="F323">_xlfn.SUMIFS('עסקאות'!$M$2:$M$1958,'עסקאות'!$F$2:$F$1958,B323)</f>
        <v>110</v>
      </c>
      <c r="G323" s="87" cm="1">
        <f t="array" ref="G323">IF(D323=0,"",F323/D323)</f>
        <v>110</v>
      </c>
      <c r="H323" s="87" cm="1">
        <f t="array" ref="H323">F323/20</f>
        <v>5.5</v>
      </c>
      <c r="I323" s="87" cm="1">
        <f t="array" ref="I323">_xlfn.SUMIFS('עסקאות'!$M$2:$M$1958,'עסקאות'!$F$2:$F$1958,B323,'עסקאות'!$A$2:$A$1958,"&gt;="&amp;DATE(2025,1,1),'עסקאות'!$A$2:$A$1958,"&lt;"&amp;DATE(2026,1,1))</f>
        <v>110</v>
      </c>
      <c r="J323" s="28" cm="1">
        <f t="array" ref="J323">_xlfn.SUMIFS('עסקאות'!$M$2:$M$1958,'עסקאות'!$F$2:$F$1958,B323,'עסקאות'!$A$2:$A$1958,"&gt;="&amp;DATE(2026,1,1),'עסקאות'!$A$2:$A$1958,"&lt;"&amp;DATE(2027,1,1))</f>
        <v>0</v>
      </c>
      <c r="K323" s="77"/>
    </row>
    <row r="324" ht="13.65" customHeight="1">
      <c r="A324" s="70"/>
      <c r="B324" t="s" s="94">
        <v>511</v>
      </c>
      <c r="C324" t="s" s="80">
        <v>131</v>
      </c>
      <c r="D324" s="118">
        <v>1</v>
      </c>
      <c r="E324" s="118">
        <v>1</v>
      </c>
      <c r="F324" s="81" cm="1">
        <f t="array" ref="F324">_xlfn.SUMIFS('עסקאות'!$M$2:$M$1958,'עסקאות'!$F$2:$F$1958,B324)</f>
        <v>109</v>
      </c>
      <c r="G324" s="81" cm="1">
        <f t="array" ref="G324">IF(D324=0,"",F324/D324)</f>
        <v>109</v>
      </c>
      <c r="H324" s="81" cm="1">
        <f t="array" ref="H324">F324/20</f>
        <v>5.45</v>
      </c>
      <c r="I324" s="81" cm="1">
        <f t="array" ref="I324">_xlfn.SUMIFS('עסקאות'!$M$2:$M$1958,'עסקאות'!$F$2:$F$1958,B324,'עסקאות'!$A$2:$A$1958,"&gt;="&amp;DATE(2025,1,1),'עסקאות'!$A$2:$A$1958,"&lt;"&amp;DATE(2026,1,1))</f>
        <v>0</v>
      </c>
      <c r="J324" s="83" cm="1">
        <f t="array" ref="J324">_xlfn.SUMIFS('עסקאות'!$M$2:$M$1958,'עסקאות'!$F$2:$F$1958,B324,'עסקאות'!$A$2:$A$1958,"&gt;="&amp;DATE(2026,1,1),'עסקאות'!$A$2:$A$1958,"&lt;"&amp;DATE(2027,1,1))</f>
        <v>109</v>
      </c>
      <c r="K324" s="77"/>
    </row>
    <row r="325" ht="13.65" customHeight="1">
      <c r="A325" s="70"/>
      <c r="B325" t="s" s="27">
        <v>512</v>
      </c>
      <c r="C325" t="s" s="86">
        <v>121</v>
      </c>
      <c r="D325" s="119">
        <v>2</v>
      </c>
      <c r="E325" s="119">
        <v>1</v>
      </c>
      <c r="F325" s="87" cm="1">
        <f t="array" ref="F325">_xlfn.SUMIFS('עסקאות'!$M$2:$M$1958,'עסקאות'!$F$2:$F$1958,B325)</f>
        <v>108</v>
      </c>
      <c r="G325" s="87" cm="1">
        <f t="array" ref="G325">IF(D325=0,"",F325/D325)</f>
        <v>54</v>
      </c>
      <c r="H325" s="87" cm="1">
        <f t="array" ref="H325">F325/20</f>
        <v>5.4</v>
      </c>
      <c r="I325" s="87" cm="1">
        <f t="array" ref="I325">_xlfn.SUMIFS('עסקאות'!$M$2:$M$1958,'עסקאות'!$F$2:$F$1958,B325,'עסקאות'!$A$2:$A$1958,"&gt;="&amp;DATE(2025,1,1),'עסקאות'!$A$2:$A$1958,"&lt;"&amp;DATE(2026,1,1))</f>
        <v>108</v>
      </c>
      <c r="J325" s="28" cm="1">
        <f t="array" ref="J325">_xlfn.SUMIFS('עסקאות'!$M$2:$M$1958,'עסקאות'!$F$2:$F$1958,B325,'עסקאות'!$A$2:$A$1958,"&gt;="&amp;DATE(2026,1,1),'עסקאות'!$A$2:$A$1958,"&lt;"&amp;DATE(2027,1,1))</f>
        <v>0</v>
      </c>
      <c r="K325" s="77"/>
    </row>
    <row r="326" ht="13.65" customHeight="1">
      <c r="A326" s="70"/>
      <c r="B326" t="s" s="94">
        <v>513</v>
      </c>
      <c r="C326" t="s" s="80">
        <v>109</v>
      </c>
      <c r="D326" s="118">
        <v>2</v>
      </c>
      <c r="E326" s="118">
        <v>2</v>
      </c>
      <c r="F326" s="81" cm="1">
        <f t="array" ref="F326">_xlfn.SUMIFS('עסקאות'!$M$2:$M$1958,'עסקאות'!$F$2:$F$1958,B326)</f>
        <v>108</v>
      </c>
      <c r="G326" s="81" cm="1">
        <f t="array" ref="G326">IF(D326=0,"",F326/D326)</f>
        <v>54</v>
      </c>
      <c r="H326" s="81" cm="1">
        <f t="array" ref="H326">F326/20</f>
        <v>5.4</v>
      </c>
      <c r="I326" s="81" cm="1">
        <f t="array" ref="I326">_xlfn.SUMIFS('עסקאות'!$M$2:$M$1958,'עסקאות'!$F$2:$F$1958,B326,'עסקאות'!$A$2:$A$1958,"&gt;="&amp;DATE(2025,1,1),'עסקאות'!$A$2:$A$1958,"&lt;"&amp;DATE(2026,1,1))</f>
        <v>0</v>
      </c>
      <c r="J326" s="83" cm="1">
        <f t="array" ref="J326">_xlfn.SUMIFS('עסקאות'!$M$2:$M$1958,'עסקאות'!$F$2:$F$1958,B326,'עסקאות'!$A$2:$A$1958,"&gt;="&amp;DATE(2026,1,1),'עסקאות'!$A$2:$A$1958,"&lt;"&amp;DATE(2027,1,1))</f>
        <v>108</v>
      </c>
      <c r="K326" s="77"/>
    </row>
    <row r="327" ht="13.65" customHeight="1">
      <c r="A327" s="70"/>
      <c r="B327" t="s" s="27">
        <v>514</v>
      </c>
      <c r="C327" t="s" s="86">
        <v>105</v>
      </c>
      <c r="D327" s="119">
        <v>1</v>
      </c>
      <c r="E327" s="119">
        <v>1</v>
      </c>
      <c r="F327" s="87" cm="1">
        <f t="array" ref="F327">_xlfn.SUMIFS('עסקאות'!$M$2:$M$1958,'עסקאות'!$F$2:$F$1958,B327)</f>
        <v>107</v>
      </c>
      <c r="G327" s="87" cm="1">
        <f t="array" ref="G327">IF(D327=0,"",F327/D327)</f>
        <v>107</v>
      </c>
      <c r="H327" s="87" cm="1">
        <f t="array" ref="H327">F327/20</f>
        <v>5.35</v>
      </c>
      <c r="I327" s="87" cm="1">
        <f t="array" ref="I327">_xlfn.SUMIFS('עסקאות'!$M$2:$M$1958,'עסקאות'!$F$2:$F$1958,B327,'עסקאות'!$A$2:$A$1958,"&gt;="&amp;DATE(2025,1,1),'עסקאות'!$A$2:$A$1958,"&lt;"&amp;DATE(2026,1,1))</f>
        <v>107</v>
      </c>
      <c r="J327" s="28" cm="1">
        <f t="array" ref="J327">_xlfn.SUMIFS('עסקאות'!$M$2:$M$1958,'עסקאות'!$F$2:$F$1958,B327,'עסקאות'!$A$2:$A$1958,"&gt;="&amp;DATE(2026,1,1),'עסקאות'!$A$2:$A$1958,"&lt;"&amp;DATE(2027,1,1))</f>
        <v>0</v>
      </c>
      <c r="K327" s="77"/>
    </row>
    <row r="328" ht="13.65" customHeight="1">
      <c r="A328" s="70"/>
      <c r="B328" t="s" s="94">
        <v>515</v>
      </c>
      <c r="C328" t="s" s="80">
        <v>111</v>
      </c>
      <c r="D328" s="118">
        <v>1</v>
      </c>
      <c r="E328" s="118">
        <v>1</v>
      </c>
      <c r="F328" s="81" cm="1">
        <f t="array" ref="F328">_xlfn.SUMIFS('עסקאות'!$M$2:$M$1958,'עסקאות'!$F$2:$F$1958,B328)</f>
        <v>107</v>
      </c>
      <c r="G328" s="81" cm="1">
        <f t="array" ref="G328">IF(D328=0,"",F328/D328)</f>
        <v>107</v>
      </c>
      <c r="H328" s="81" cm="1">
        <f t="array" ref="H328">F328/20</f>
        <v>5.35</v>
      </c>
      <c r="I328" s="81" cm="1">
        <f t="array" ref="I328">_xlfn.SUMIFS('עסקאות'!$M$2:$M$1958,'עסקאות'!$F$2:$F$1958,B328,'עסקאות'!$A$2:$A$1958,"&gt;="&amp;DATE(2025,1,1),'עסקאות'!$A$2:$A$1958,"&lt;"&amp;DATE(2026,1,1))</f>
        <v>107</v>
      </c>
      <c r="J328" s="83" cm="1">
        <f t="array" ref="J328">_xlfn.SUMIFS('עסקאות'!$M$2:$M$1958,'עסקאות'!$F$2:$F$1958,B328,'עסקאות'!$A$2:$A$1958,"&gt;="&amp;DATE(2026,1,1),'עסקאות'!$A$2:$A$1958,"&lt;"&amp;DATE(2027,1,1))</f>
        <v>0</v>
      </c>
      <c r="K328" s="77"/>
    </row>
    <row r="329" ht="13.65" customHeight="1">
      <c r="A329" s="70"/>
      <c r="B329" t="s" s="27">
        <v>516</v>
      </c>
      <c r="C329" t="s" s="86">
        <v>117</v>
      </c>
      <c r="D329" s="119">
        <v>1</v>
      </c>
      <c r="E329" s="119">
        <v>1</v>
      </c>
      <c r="F329" s="87" cm="1">
        <f t="array" ref="F329">_xlfn.SUMIFS('עסקאות'!$M$2:$M$1958,'עסקאות'!$F$2:$F$1958,B329)</f>
        <v>106</v>
      </c>
      <c r="G329" s="87" cm="1">
        <f t="array" ref="G329">IF(D329=0,"",F329/D329)</f>
        <v>106</v>
      </c>
      <c r="H329" s="87" cm="1">
        <f t="array" ref="H329">F329/20</f>
        <v>5.3</v>
      </c>
      <c r="I329" s="87" cm="1">
        <f t="array" ref="I329">_xlfn.SUMIFS('עסקאות'!$M$2:$M$1958,'עסקאות'!$F$2:$F$1958,B329,'עסקאות'!$A$2:$A$1958,"&gt;="&amp;DATE(2025,1,1),'עסקאות'!$A$2:$A$1958,"&lt;"&amp;DATE(2026,1,1))</f>
        <v>0</v>
      </c>
      <c r="J329" s="28" cm="1">
        <f t="array" ref="J329">_xlfn.SUMIFS('עסקאות'!$M$2:$M$1958,'עסקאות'!$F$2:$F$1958,B329,'עסקאות'!$A$2:$A$1958,"&gt;="&amp;DATE(2026,1,1),'עסקאות'!$A$2:$A$1958,"&lt;"&amp;DATE(2027,1,1))</f>
        <v>106</v>
      </c>
      <c r="K329" s="77"/>
    </row>
    <row r="330" ht="13.65" customHeight="1">
      <c r="A330" s="70"/>
      <c r="B330" t="s" s="94">
        <v>517</v>
      </c>
      <c r="C330" t="s" s="80">
        <v>113</v>
      </c>
      <c r="D330" s="118">
        <v>1</v>
      </c>
      <c r="E330" s="118">
        <v>1</v>
      </c>
      <c r="F330" s="81" cm="1">
        <f t="array" ref="F330">_xlfn.SUMIFS('עסקאות'!$M$2:$M$1958,'עסקאות'!$F$2:$F$1958,B330)</f>
        <v>105</v>
      </c>
      <c r="G330" s="81" cm="1">
        <f t="array" ref="G330">IF(D330=0,"",F330/D330)</f>
        <v>105</v>
      </c>
      <c r="H330" s="81" cm="1">
        <f t="array" ref="H330">F330/20</f>
        <v>5.25</v>
      </c>
      <c r="I330" s="81" cm="1">
        <f t="array" ref="I330">_xlfn.SUMIFS('עסקאות'!$M$2:$M$1958,'עסקאות'!$F$2:$F$1958,B330,'עסקאות'!$A$2:$A$1958,"&gt;="&amp;DATE(2025,1,1),'עסקאות'!$A$2:$A$1958,"&lt;"&amp;DATE(2026,1,1))</f>
        <v>105</v>
      </c>
      <c r="J330" s="83" cm="1">
        <f t="array" ref="J330">_xlfn.SUMIFS('עסקאות'!$M$2:$M$1958,'עסקאות'!$F$2:$F$1958,B330,'עסקאות'!$A$2:$A$1958,"&gt;="&amp;DATE(2026,1,1),'עסקאות'!$A$2:$A$1958,"&lt;"&amp;DATE(2027,1,1))</f>
        <v>0</v>
      </c>
      <c r="K330" s="77"/>
    </row>
    <row r="331" ht="13.65" customHeight="1">
      <c r="A331" s="70"/>
      <c r="B331" t="s" s="27">
        <v>518</v>
      </c>
      <c r="C331" t="s" s="86">
        <v>113</v>
      </c>
      <c r="D331" s="119">
        <v>1</v>
      </c>
      <c r="E331" s="119">
        <v>1</v>
      </c>
      <c r="F331" s="87" cm="1">
        <f t="array" ref="F331">_xlfn.SUMIFS('עסקאות'!$M$2:$M$1958,'עסקאות'!$F$2:$F$1958,B331)</f>
        <v>105</v>
      </c>
      <c r="G331" s="87" cm="1">
        <f t="array" ref="G331">IF(D331=0,"",F331/D331)</f>
        <v>105</v>
      </c>
      <c r="H331" s="87" cm="1">
        <f t="array" ref="H331">F331/20</f>
        <v>5.25</v>
      </c>
      <c r="I331" s="87" cm="1">
        <f t="array" ref="I331">_xlfn.SUMIFS('עסקאות'!$M$2:$M$1958,'עסקאות'!$F$2:$F$1958,B331,'עסקאות'!$A$2:$A$1958,"&gt;="&amp;DATE(2025,1,1),'עסקאות'!$A$2:$A$1958,"&lt;"&amp;DATE(2026,1,1))</f>
        <v>105</v>
      </c>
      <c r="J331" s="28" cm="1">
        <f t="array" ref="J331">_xlfn.SUMIFS('עסקאות'!$M$2:$M$1958,'עסקאות'!$F$2:$F$1958,B331,'עסקאות'!$A$2:$A$1958,"&gt;="&amp;DATE(2026,1,1),'עסקאות'!$A$2:$A$1958,"&lt;"&amp;DATE(2027,1,1))</f>
        <v>0</v>
      </c>
      <c r="K331" s="77"/>
    </row>
    <row r="332" ht="13.65" customHeight="1">
      <c r="A332" s="70"/>
      <c r="B332" t="s" s="94">
        <v>519</v>
      </c>
      <c r="C332" t="s" s="80">
        <v>105</v>
      </c>
      <c r="D332" s="118">
        <v>1</v>
      </c>
      <c r="E332" s="118">
        <v>1</v>
      </c>
      <c r="F332" s="81" cm="1">
        <f t="array" ref="F332">_xlfn.SUMIFS('עסקאות'!$M$2:$M$1958,'עסקאות'!$F$2:$F$1958,B332)</f>
        <v>103</v>
      </c>
      <c r="G332" s="81" cm="1">
        <f t="array" ref="G332">IF(D332=0,"",F332/D332)</f>
        <v>103</v>
      </c>
      <c r="H332" s="81" cm="1">
        <f t="array" ref="H332">F332/20</f>
        <v>5.15</v>
      </c>
      <c r="I332" s="81" cm="1">
        <f t="array" ref="I332">_xlfn.SUMIFS('עסקאות'!$M$2:$M$1958,'עסקאות'!$F$2:$F$1958,B332,'עסקאות'!$A$2:$A$1958,"&gt;="&amp;DATE(2025,1,1),'עסקאות'!$A$2:$A$1958,"&lt;"&amp;DATE(2026,1,1))</f>
        <v>103</v>
      </c>
      <c r="J332" s="83" cm="1">
        <f t="array" ref="J332">_xlfn.SUMIFS('עסקאות'!$M$2:$M$1958,'עסקאות'!$F$2:$F$1958,B332,'עסקאות'!$A$2:$A$1958,"&gt;="&amp;DATE(2026,1,1),'עסקאות'!$A$2:$A$1958,"&lt;"&amp;DATE(2027,1,1))</f>
        <v>0</v>
      </c>
      <c r="K332" s="77"/>
    </row>
    <row r="333" ht="13.65" customHeight="1">
      <c r="A333" s="70"/>
      <c r="B333" t="s" s="27">
        <v>520</v>
      </c>
      <c r="C333" t="s" s="86">
        <v>139</v>
      </c>
      <c r="D333" s="119">
        <v>1</v>
      </c>
      <c r="E333" s="119">
        <v>1</v>
      </c>
      <c r="F333" s="87" cm="1">
        <f t="array" ref="F333">_xlfn.SUMIFS('עסקאות'!$M$2:$M$1958,'עסקאות'!$F$2:$F$1958,B333)</f>
        <v>103</v>
      </c>
      <c r="G333" s="87" cm="1">
        <f t="array" ref="G333">IF(D333=0,"",F333/D333)</f>
        <v>103</v>
      </c>
      <c r="H333" s="87" cm="1">
        <f t="array" ref="H333">F333/20</f>
        <v>5.15</v>
      </c>
      <c r="I333" s="87" cm="1">
        <f t="array" ref="I333">_xlfn.SUMIFS('עסקאות'!$M$2:$M$1958,'עסקאות'!$F$2:$F$1958,B333,'עסקאות'!$A$2:$A$1958,"&gt;="&amp;DATE(2025,1,1),'עסקאות'!$A$2:$A$1958,"&lt;"&amp;DATE(2026,1,1))</f>
        <v>103</v>
      </c>
      <c r="J333" s="28" cm="1">
        <f t="array" ref="J333">_xlfn.SUMIFS('עסקאות'!$M$2:$M$1958,'עסקאות'!$F$2:$F$1958,B333,'עסקאות'!$A$2:$A$1958,"&gt;="&amp;DATE(2026,1,1),'עסקאות'!$A$2:$A$1958,"&lt;"&amp;DATE(2027,1,1))</f>
        <v>0</v>
      </c>
      <c r="K333" s="77"/>
    </row>
    <row r="334" ht="13.65" customHeight="1">
      <c r="A334" s="70"/>
      <c r="B334" t="s" s="94">
        <v>521</v>
      </c>
      <c r="C334" t="s" s="80">
        <v>113</v>
      </c>
      <c r="D334" s="118">
        <v>2</v>
      </c>
      <c r="E334" s="118">
        <v>2</v>
      </c>
      <c r="F334" s="81" cm="1">
        <f t="array" ref="F334">_xlfn.SUMIFS('עסקאות'!$M$2:$M$1958,'עסקאות'!$F$2:$F$1958,B334)</f>
        <v>102</v>
      </c>
      <c r="G334" s="81" cm="1">
        <f t="array" ref="G334">IF(D334=0,"",F334/D334)</f>
        <v>51</v>
      </c>
      <c r="H334" s="81" cm="1">
        <f t="array" ref="H334">F334/20</f>
        <v>5.1</v>
      </c>
      <c r="I334" s="81" cm="1">
        <f t="array" ref="I334">_xlfn.SUMIFS('עסקאות'!$M$2:$M$1958,'עסקאות'!$F$2:$F$1958,B334,'עסקאות'!$A$2:$A$1958,"&gt;="&amp;DATE(2025,1,1),'עסקאות'!$A$2:$A$1958,"&lt;"&amp;DATE(2026,1,1))</f>
        <v>102</v>
      </c>
      <c r="J334" s="83" cm="1">
        <f t="array" ref="J334">_xlfn.SUMIFS('עסקאות'!$M$2:$M$1958,'עסקאות'!$F$2:$F$1958,B334,'עסקאות'!$A$2:$A$1958,"&gt;="&amp;DATE(2026,1,1),'עסקאות'!$A$2:$A$1958,"&lt;"&amp;DATE(2027,1,1))</f>
        <v>0</v>
      </c>
      <c r="K334" s="77"/>
    </row>
    <row r="335" ht="13.65" customHeight="1">
      <c r="A335" s="70"/>
      <c r="B335" t="s" s="27">
        <v>522</v>
      </c>
      <c r="C335" t="s" s="86">
        <v>113</v>
      </c>
      <c r="D335" s="119">
        <v>1</v>
      </c>
      <c r="E335" s="119">
        <v>1</v>
      </c>
      <c r="F335" s="87" cm="1">
        <f t="array" ref="F335">_xlfn.SUMIFS('עסקאות'!$M$2:$M$1958,'עסקאות'!$F$2:$F$1958,B335)</f>
        <v>102</v>
      </c>
      <c r="G335" s="87" cm="1">
        <f t="array" ref="G335">IF(D335=0,"",F335/D335)</f>
        <v>102</v>
      </c>
      <c r="H335" s="87" cm="1">
        <f t="array" ref="H335">F335/20</f>
        <v>5.1</v>
      </c>
      <c r="I335" s="87" cm="1">
        <f t="array" ref="I335">_xlfn.SUMIFS('עסקאות'!$M$2:$M$1958,'עסקאות'!$F$2:$F$1958,B335,'עסקאות'!$A$2:$A$1958,"&gt;="&amp;DATE(2025,1,1),'עסקאות'!$A$2:$A$1958,"&lt;"&amp;DATE(2026,1,1))</f>
        <v>102</v>
      </c>
      <c r="J335" s="28" cm="1">
        <f t="array" ref="J335">_xlfn.SUMIFS('עסקאות'!$M$2:$M$1958,'עסקאות'!$F$2:$F$1958,B335,'עסקאות'!$A$2:$A$1958,"&gt;="&amp;DATE(2026,1,1),'עסקאות'!$A$2:$A$1958,"&lt;"&amp;DATE(2027,1,1))</f>
        <v>0</v>
      </c>
      <c r="K335" s="77"/>
    </row>
    <row r="336" ht="13.65" customHeight="1">
      <c r="A336" s="70"/>
      <c r="B336" t="s" s="121">
        <v>523</v>
      </c>
      <c r="C336" t="s" s="80">
        <v>105</v>
      </c>
      <c r="D336" s="118">
        <v>1</v>
      </c>
      <c r="E336" s="118">
        <v>1</v>
      </c>
      <c r="F336" s="81" cm="1">
        <f t="array" ref="F336">_xlfn.SUMIFS('עסקאות'!$M$2:$M$1958,'עסקאות'!$F$2:$F$1958,B336)</f>
        <v>100</v>
      </c>
      <c r="G336" s="81" cm="1">
        <f t="array" ref="G336">IF(D336=0,"",F336/D336)</f>
        <v>100</v>
      </c>
      <c r="H336" s="81" cm="1">
        <f t="array" ref="H336">F336/20</f>
        <v>5</v>
      </c>
      <c r="I336" s="81" cm="1">
        <f t="array" ref="I336">_xlfn.SUMIFS('עסקאות'!$M$2:$M$1958,'עסקאות'!$F$2:$F$1958,B336,'עסקאות'!$A$2:$A$1958,"&gt;="&amp;DATE(2025,1,1),'עסקאות'!$A$2:$A$1958,"&lt;"&amp;DATE(2026,1,1))</f>
        <v>100</v>
      </c>
      <c r="J336" s="83" cm="1">
        <f t="array" ref="J336">_xlfn.SUMIFS('עסקאות'!$M$2:$M$1958,'עסקאות'!$F$2:$F$1958,B336,'עסקאות'!$A$2:$A$1958,"&gt;="&amp;DATE(2026,1,1),'עסקאות'!$A$2:$A$1958,"&lt;"&amp;DATE(2027,1,1))</f>
        <v>0</v>
      </c>
      <c r="K336" s="77"/>
    </row>
    <row r="337" ht="13.65" customHeight="1">
      <c r="A337" s="70"/>
      <c r="B337" t="s" s="27">
        <v>524</v>
      </c>
      <c r="C337" t="s" s="86">
        <v>117</v>
      </c>
      <c r="D337" s="119">
        <v>3</v>
      </c>
      <c r="E337" s="119">
        <v>2</v>
      </c>
      <c r="F337" s="87" cm="1">
        <f t="array" ref="F337">_xlfn.SUMIFS('עסקאות'!$M$2:$M$1958,'עסקאות'!$F$2:$F$1958,B337)</f>
        <v>100</v>
      </c>
      <c r="G337" s="87" cm="1">
        <f t="array" ref="G337">IF(D337=0,"",F337/D337)</f>
        <v>33.3333333333333</v>
      </c>
      <c r="H337" s="87" cm="1">
        <f t="array" ref="H337">F337/20</f>
        <v>5</v>
      </c>
      <c r="I337" s="87" cm="1">
        <f t="array" ref="I337">_xlfn.SUMIFS('עסקאות'!$M$2:$M$1958,'עסקאות'!$F$2:$F$1958,B337,'עסקאות'!$A$2:$A$1958,"&gt;="&amp;DATE(2025,1,1),'עסקאות'!$A$2:$A$1958,"&lt;"&amp;DATE(2026,1,1))</f>
        <v>10</v>
      </c>
      <c r="J337" s="28" cm="1">
        <f t="array" ref="J337">_xlfn.SUMIFS('עסקאות'!$M$2:$M$1958,'עסקאות'!$F$2:$F$1958,B337,'עסקאות'!$A$2:$A$1958,"&gt;="&amp;DATE(2026,1,1),'עסקאות'!$A$2:$A$1958,"&lt;"&amp;DATE(2027,1,1))</f>
        <v>90</v>
      </c>
      <c r="K337" s="77"/>
    </row>
    <row r="338" ht="13.65" customHeight="1">
      <c r="A338" s="70"/>
      <c r="B338" t="s" s="94">
        <v>525</v>
      </c>
      <c r="C338" t="s" s="80">
        <v>105</v>
      </c>
      <c r="D338" s="118">
        <v>1</v>
      </c>
      <c r="E338" s="118">
        <v>1</v>
      </c>
      <c r="F338" s="81" cm="1">
        <f t="array" ref="F338">_xlfn.SUMIFS('עסקאות'!$M$2:$M$1958,'עסקאות'!$F$2:$F$1958,B338)</f>
        <v>100</v>
      </c>
      <c r="G338" s="81" cm="1">
        <f t="array" ref="G338">IF(D338=0,"",F338/D338)</f>
        <v>100</v>
      </c>
      <c r="H338" s="81" cm="1">
        <f t="array" ref="H338">F338/20</f>
        <v>5</v>
      </c>
      <c r="I338" s="81" cm="1">
        <f t="array" ref="I338">_xlfn.SUMIFS('עסקאות'!$M$2:$M$1958,'עסקאות'!$F$2:$F$1958,B338,'עסקאות'!$A$2:$A$1958,"&gt;="&amp;DATE(2025,1,1),'עסקאות'!$A$2:$A$1958,"&lt;"&amp;DATE(2026,1,1))</f>
        <v>100</v>
      </c>
      <c r="J338" s="83" cm="1">
        <f t="array" ref="J338">_xlfn.SUMIFS('עסקאות'!$M$2:$M$1958,'עסקאות'!$F$2:$F$1958,B338,'עסקאות'!$A$2:$A$1958,"&gt;="&amp;DATE(2026,1,1),'עסקאות'!$A$2:$A$1958,"&lt;"&amp;DATE(2027,1,1))</f>
        <v>0</v>
      </c>
      <c r="K338" s="77"/>
    </row>
    <row r="339" ht="13.65" customHeight="1">
      <c r="A339" s="70"/>
      <c r="B339" t="s" s="27">
        <v>526</v>
      </c>
      <c r="C339" t="s" s="86">
        <v>113</v>
      </c>
      <c r="D339" s="119">
        <v>1</v>
      </c>
      <c r="E339" s="119">
        <v>1</v>
      </c>
      <c r="F339" s="87" cm="1">
        <f t="array" ref="F339">_xlfn.SUMIFS('עסקאות'!$M$2:$M$1958,'עסקאות'!$F$2:$F$1958,B339)</f>
        <v>100</v>
      </c>
      <c r="G339" s="87" cm="1">
        <f t="array" ref="G339">IF(D339=0,"",F339/D339)</f>
        <v>100</v>
      </c>
      <c r="H339" s="87" cm="1">
        <f t="array" ref="H339">F339/20</f>
        <v>5</v>
      </c>
      <c r="I339" s="87" cm="1">
        <f t="array" ref="I339">_xlfn.SUMIFS('עסקאות'!$M$2:$M$1958,'עסקאות'!$F$2:$F$1958,B339,'עסקאות'!$A$2:$A$1958,"&gt;="&amp;DATE(2025,1,1),'עסקאות'!$A$2:$A$1958,"&lt;"&amp;DATE(2026,1,1))</f>
        <v>100</v>
      </c>
      <c r="J339" s="28" cm="1">
        <f t="array" ref="J339">_xlfn.SUMIFS('עסקאות'!$M$2:$M$1958,'עסקאות'!$F$2:$F$1958,B339,'עסקאות'!$A$2:$A$1958,"&gt;="&amp;DATE(2026,1,1),'עסקאות'!$A$2:$A$1958,"&lt;"&amp;DATE(2027,1,1))</f>
        <v>0</v>
      </c>
      <c r="K339" s="77"/>
    </row>
    <row r="340" ht="13.65" customHeight="1">
      <c r="A340" s="70"/>
      <c r="B340" t="s" s="94">
        <v>527</v>
      </c>
      <c r="C340" t="s" s="80">
        <v>125</v>
      </c>
      <c r="D340" s="118">
        <v>1</v>
      </c>
      <c r="E340" s="118">
        <v>1</v>
      </c>
      <c r="F340" s="81" cm="1">
        <f t="array" ref="F340">_xlfn.SUMIFS('עסקאות'!$M$2:$M$1958,'עסקאות'!$F$2:$F$1958,B340)</f>
        <v>100</v>
      </c>
      <c r="G340" s="81" cm="1">
        <f t="array" ref="G340">IF(D340=0,"",F340/D340)</f>
        <v>100</v>
      </c>
      <c r="H340" s="81" cm="1">
        <f t="array" ref="H340">F340/20</f>
        <v>5</v>
      </c>
      <c r="I340" s="81" cm="1">
        <f t="array" ref="I340">_xlfn.SUMIFS('עסקאות'!$M$2:$M$1958,'עסקאות'!$F$2:$F$1958,B340,'עסקאות'!$A$2:$A$1958,"&gt;="&amp;DATE(2025,1,1),'עסקאות'!$A$2:$A$1958,"&lt;"&amp;DATE(2026,1,1))</f>
        <v>100</v>
      </c>
      <c r="J340" s="83" cm="1">
        <f t="array" ref="J340">_xlfn.SUMIFS('עסקאות'!$M$2:$M$1958,'עסקאות'!$F$2:$F$1958,B340,'עסקאות'!$A$2:$A$1958,"&gt;="&amp;DATE(2026,1,1),'עסקאות'!$A$2:$A$1958,"&lt;"&amp;DATE(2027,1,1))</f>
        <v>0</v>
      </c>
      <c r="K340" s="77"/>
    </row>
    <row r="341" ht="13.65" customHeight="1">
      <c r="A341" s="70"/>
      <c r="B341" t="s" s="27">
        <v>528</v>
      </c>
      <c r="C341" t="s" s="86">
        <v>102</v>
      </c>
      <c r="D341" s="119">
        <v>1</v>
      </c>
      <c r="E341" s="119">
        <v>1</v>
      </c>
      <c r="F341" s="87" cm="1">
        <f t="array" ref="F341">_xlfn.SUMIFS('עסקאות'!$M$2:$M$1958,'עסקאות'!$F$2:$F$1958,B341)</f>
        <v>100</v>
      </c>
      <c r="G341" s="87" cm="1">
        <f t="array" ref="G341">IF(D341=0,"",F341/D341)</f>
        <v>100</v>
      </c>
      <c r="H341" s="87" cm="1">
        <f t="array" ref="H341">F341/20</f>
        <v>5</v>
      </c>
      <c r="I341" s="87" cm="1">
        <f t="array" ref="I341">_xlfn.SUMIFS('עסקאות'!$M$2:$M$1958,'עסקאות'!$F$2:$F$1958,B341,'עסקאות'!$A$2:$A$1958,"&gt;="&amp;DATE(2025,1,1),'עסקאות'!$A$2:$A$1958,"&lt;"&amp;DATE(2026,1,1))</f>
        <v>100</v>
      </c>
      <c r="J341" s="28" cm="1">
        <f t="array" ref="J341">_xlfn.SUMIFS('עסקאות'!$M$2:$M$1958,'עסקאות'!$F$2:$F$1958,B341,'עסקאות'!$A$2:$A$1958,"&gt;="&amp;DATE(2026,1,1),'עסקאות'!$A$2:$A$1958,"&lt;"&amp;DATE(2027,1,1))</f>
        <v>0</v>
      </c>
      <c r="K341" s="77"/>
    </row>
    <row r="342" ht="13.65" customHeight="1">
      <c r="A342" s="70"/>
      <c r="B342" t="s" s="94">
        <v>529</v>
      </c>
      <c r="C342" t="s" s="80">
        <v>117</v>
      </c>
      <c r="D342" s="118">
        <v>1</v>
      </c>
      <c r="E342" s="118">
        <v>1</v>
      </c>
      <c r="F342" s="81" cm="1">
        <f t="array" ref="F342">_xlfn.SUMIFS('עסקאות'!$M$2:$M$1958,'עסקאות'!$F$2:$F$1958,B342)</f>
        <v>100</v>
      </c>
      <c r="G342" s="81" cm="1">
        <f t="array" ref="G342">IF(D342=0,"",F342/D342)</f>
        <v>100</v>
      </c>
      <c r="H342" s="81" cm="1">
        <f t="array" ref="H342">F342/20</f>
        <v>5</v>
      </c>
      <c r="I342" s="81" cm="1">
        <f t="array" ref="I342">_xlfn.SUMIFS('עסקאות'!$M$2:$M$1958,'עסקאות'!$F$2:$F$1958,B342,'עסקאות'!$A$2:$A$1958,"&gt;="&amp;DATE(2025,1,1),'עסקאות'!$A$2:$A$1958,"&lt;"&amp;DATE(2026,1,1))</f>
        <v>100</v>
      </c>
      <c r="J342" s="83" cm="1">
        <f t="array" ref="J342">_xlfn.SUMIFS('עסקאות'!$M$2:$M$1958,'עסקאות'!$F$2:$F$1958,B342,'עסקאות'!$A$2:$A$1958,"&gt;="&amp;DATE(2026,1,1),'עסקאות'!$A$2:$A$1958,"&lt;"&amp;DATE(2027,1,1))</f>
        <v>0</v>
      </c>
      <c r="K342" s="77"/>
    </row>
    <row r="343" ht="13.65" customHeight="1">
      <c r="A343" s="70"/>
      <c r="B343" t="s" s="27">
        <v>530</v>
      </c>
      <c r="C343" t="s" s="86">
        <v>113</v>
      </c>
      <c r="D343" s="119">
        <v>1</v>
      </c>
      <c r="E343" s="119">
        <v>1</v>
      </c>
      <c r="F343" s="87" cm="1">
        <f t="array" ref="F343">_xlfn.SUMIFS('עסקאות'!$M$2:$M$1958,'עסקאות'!$F$2:$F$1958,B343)</f>
        <v>100</v>
      </c>
      <c r="G343" s="87" cm="1">
        <f t="array" ref="G343">IF(D343=0,"",F343/D343)</f>
        <v>100</v>
      </c>
      <c r="H343" s="87" cm="1">
        <f t="array" ref="H343">F343/20</f>
        <v>5</v>
      </c>
      <c r="I343" s="87" cm="1">
        <f t="array" ref="I343">_xlfn.SUMIFS('עסקאות'!$M$2:$M$1958,'עסקאות'!$F$2:$F$1958,B343,'עסקאות'!$A$2:$A$1958,"&gt;="&amp;DATE(2025,1,1),'עסקאות'!$A$2:$A$1958,"&lt;"&amp;DATE(2026,1,1))</f>
        <v>0</v>
      </c>
      <c r="J343" s="28" cm="1">
        <f t="array" ref="J343">_xlfn.SUMIFS('עסקאות'!$M$2:$M$1958,'עסקאות'!$F$2:$F$1958,B343,'עסקאות'!$A$2:$A$1958,"&gt;="&amp;DATE(2026,1,1),'עסקאות'!$A$2:$A$1958,"&lt;"&amp;DATE(2027,1,1))</f>
        <v>100</v>
      </c>
      <c r="K343" s="77"/>
    </row>
    <row r="344" ht="13.65" customHeight="1">
      <c r="A344" s="70"/>
      <c r="B344" t="s" s="94">
        <v>531</v>
      </c>
      <c r="C344" t="s" s="80">
        <v>113</v>
      </c>
      <c r="D344" s="118">
        <v>1</v>
      </c>
      <c r="E344" s="118">
        <v>1</v>
      </c>
      <c r="F344" s="81" cm="1">
        <f t="array" ref="F344">_xlfn.SUMIFS('עסקאות'!$M$2:$M$1958,'עסקאות'!$F$2:$F$1958,B344)</f>
        <v>96</v>
      </c>
      <c r="G344" s="81" cm="1">
        <f t="array" ref="G344">IF(D344=0,"",F344/D344)</f>
        <v>96</v>
      </c>
      <c r="H344" s="81" cm="1">
        <f t="array" ref="H344">F344/20</f>
        <v>4.8</v>
      </c>
      <c r="I344" s="81" cm="1">
        <f t="array" ref="I344">_xlfn.SUMIFS('עסקאות'!$M$2:$M$1958,'עסקאות'!$F$2:$F$1958,B344,'עסקאות'!$A$2:$A$1958,"&gt;="&amp;DATE(2025,1,1),'עסקאות'!$A$2:$A$1958,"&lt;"&amp;DATE(2026,1,1))</f>
        <v>96</v>
      </c>
      <c r="J344" s="83" cm="1">
        <f t="array" ref="J344">_xlfn.SUMIFS('עסקאות'!$M$2:$M$1958,'עסקאות'!$F$2:$F$1958,B344,'עסקאות'!$A$2:$A$1958,"&gt;="&amp;DATE(2026,1,1),'עסקאות'!$A$2:$A$1958,"&lt;"&amp;DATE(2027,1,1))</f>
        <v>0</v>
      </c>
      <c r="K344" s="77"/>
    </row>
    <row r="345" ht="13.65" customHeight="1">
      <c r="A345" s="70"/>
      <c r="B345" t="s" s="27">
        <v>532</v>
      </c>
      <c r="C345" t="s" s="86">
        <v>113</v>
      </c>
      <c r="D345" s="119">
        <v>2</v>
      </c>
      <c r="E345" s="119">
        <v>1</v>
      </c>
      <c r="F345" s="87" cm="1">
        <f t="array" ref="F345">_xlfn.SUMIFS('עסקאות'!$M$2:$M$1958,'עסקאות'!$F$2:$F$1958,B345)</f>
        <v>96</v>
      </c>
      <c r="G345" s="87" cm="1">
        <f t="array" ref="G345">IF(D345=0,"",F345/D345)</f>
        <v>48</v>
      </c>
      <c r="H345" s="87" cm="1">
        <f t="array" ref="H345">F345/20</f>
        <v>4.8</v>
      </c>
      <c r="I345" s="87" cm="1">
        <f t="array" ref="I345">_xlfn.SUMIFS('עסקאות'!$M$2:$M$1958,'עסקאות'!$F$2:$F$1958,B345,'עסקאות'!$A$2:$A$1958,"&gt;="&amp;DATE(2025,1,1),'עסקאות'!$A$2:$A$1958,"&lt;"&amp;DATE(2026,1,1))</f>
        <v>0</v>
      </c>
      <c r="J345" s="28" cm="1">
        <f t="array" ref="J345">_xlfn.SUMIFS('עסקאות'!$M$2:$M$1958,'עסקאות'!$F$2:$F$1958,B345,'עסקאות'!$A$2:$A$1958,"&gt;="&amp;DATE(2026,1,1),'עסקאות'!$A$2:$A$1958,"&lt;"&amp;DATE(2027,1,1))</f>
        <v>96</v>
      </c>
      <c r="K345" s="77"/>
    </row>
    <row r="346" ht="13.65" customHeight="1">
      <c r="A346" s="70"/>
      <c r="B346" t="s" s="94">
        <v>533</v>
      </c>
      <c r="C346" t="s" s="80">
        <v>127</v>
      </c>
      <c r="D346" s="118">
        <v>1</v>
      </c>
      <c r="E346" s="118">
        <v>1</v>
      </c>
      <c r="F346" s="81" cm="1">
        <f t="array" ref="F346">_xlfn.SUMIFS('עסקאות'!$M$2:$M$1958,'עסקאות'!$F$2:$F$1958,B346)</f>
        <v>95</v>
      </c>
      <c r="G346" s="81" cm="1">
        <f t="array" ref="G346">IF(D346=0,"",F346/D346)</f>
        <v>95</v>
      </c>
      <c r="H346" s="81" cm="1">
        <f t="array" ref="H346">F346/20</f>
        <v>4.75</v>
      </c>
      <c r="I346" s="81" cm="1">
        <f t="array" ref="I346">_xlfn.SUMIFS('עסקאות'!$M$2:$M$1958,'עסקאות'!$F$2:$F$1958,B346,'עסקאות'!$A$2:$A$1958,"&gt;="&amp;DATE(2025,1,1),'עסקאות'!$A$2:$A$1958,"&lt;"&amp;DATE(2026,1,1))</f>
        <v>95</v>
      </c>
      <c r="J346" s="83" cm="1">
        <f t="array" ref="J346">_xlfn.SUMIFS('עסקאות'!$M$2:$M$1958,'עסקאות'!$F$2:$F$1958,B346,'עסקאות'!$A$2:$A$1958,"&gt;="&amp;DATE(2026,1,1),'עסקאות'!$A$2:$A$1958,"&lt;"&amp;DATE(2027,1,1))</f>
        <v>0</v>
      </c>
      <c r="K346" s="77"/>
    </row>
    <row r="347" ht="13.65" customHeight="1">
      <c r="A347" s="70"/>
      <c r="B347" t="s" s="27">
        <v>534</v>
      </c>
      <c r="C347" t="s" s="86">
        <v>102</v>
      </c>
      <c r="D347" s="119">
        <v>1</v>
      </c>
      <c r="E347" s="119">
        <v>1</v>
      </c>
      <c r="F347" s="87" cm="1">
        <f t="array" ref="F347">_xlfn.SUMIFS('עסקאות'!$M$2:$M$1958,'עסקאות'!$F$2:$F$1958,B347)</f>
        <v>94</v>
      </c>
      <c r="G347" s="87" cm="1">
        <f t="array" ref="G347">IF(D347=0,"",F347/D347)</f>
        <v>94</v>
      </c>
      <c r="H347" s="87" cm="1">
        <f t="array" ref="H347">F347/20</f>
        <v>4.7</v>
      </c>
      <c r="I347" s="87" cm="1">
        <f t="array" ref="I347">_xlfn.SUMIFS('עסקאות'!$M$2:$M$1958,'עסקאות'!$F$2:$F$1958,B347,'עסקאות'!$A$2:$A$1958,"&gt;="&amp;DATE(2025,1,1),'עסקאות'!$A$2:$A$1958,"&lt;"&amp;DATE(2026,1,1))</f>
        <v>94</v>
      </c>
      <c r="J347" s="28" cm="1">
        <f t="array" ref="J347">_xlfn.SUMIFS('עסקאות'!$M$2:$M$1958,'עסקאות'!$F$2:$F$1958,B347,'עסקאות'!$A$2:$A$1958,"&gt;="&amp;DATE(2026,1,1),'עסקאות'!$A$2:$A$1958,"&lt;"&amp;DATE(2027,1,1))</f>
        <v>0</v>
      </c>
      <c r="K347" s="77"/>
    </row>
    <row r="348" ht="13.65" customHeight="1">
      <c r="A348" s="70"/>
      <c r="B348" t="s" s="94">
        <v>535</v>
      </c>
      <c r="C348" t="s" s="80">
        <v>113</v>
      </c>
      <c r="D348" s="118">
        <v>1</v>
      </c>
      <c r="E348" s="118">
        <v>1</v>
      </c>
      <c r="F348" s="81" cm="1">
        <f t="array" ref="F348">_xlfn.SUMIFS('עסקאות'!$M$2:$M$1958,'עסקאות'!$F$2:$F$1958,B348)</f>
        <v>92</v>
      </c>
      <c r="G348" s="81" cm="1">
        <f t="array" ref="G348">IF(D348=0,"",F348/D348)</f>
        <v>92</v>
      </c>
      <c r="H348" s="81" cm="1">
        <f t="array" ref="H348">F348/20</f>
        <v>4.6</v>
      </c>
      <c r="I348" s="81" cm="1">
        <f t="array" ref="I348">_xlfn.SUMIFS('עסקאות'!$M$2:$M$1958,'עסקאות'!$F$2:$F$1958,B348,'עסקאות'!$A$2:$A$1958,"&gt;="&amp;DATE(2025,1,1),'עסקאות'!$A$2:$A$1958,"&lt;"&amp;DATE(2026,1,1))</f>
        <v>0</v>
      </c>
      <c r="J348" s="83" cm="1">
        <f t="array" ref="J348">_xlfn.SUMIFS('עסקאות'!$M$2:$M$1958,'עסקאות'!$F$2:$F$1958,B348,'עסקאות'!$A$2:$A$1958,"&gt;="&amp;DATE(2026,1,1),'עסקאות'!$A$2:$A$1958,"&lt;"&amp;DATE(2027,1,1))</f>
        <v>92</v>
      </c>
      <c r="K348" s="77"/>
    </row>
    <row r="349" ht="13.65" customHeight="1">
      <c r="A349" s="70"/>
      <c r="B349" t="s" s="27">
        <v>536</v>
      </c>
      <c r="C349" t="s" s="86">
        <v>121</v>
      </c>
      <c r="D349" s="119">
        <v>1</v>
      </c>
      <c r="E349" s="119">
        <v>1</v>
      </c>
      <c r="F349" s="87" cm="1">
        <f t="array" ref="F349">_xlfn.SUMIFS('עסקאות'!$M$2:$M$1958,'עסקאות'!$F$2:$F$1958,B349)</f>
        <v>90</v>
      </c>
      <c r="G349" s="87" cm="1">
        <f t="array" ref="G349">IF(D349=0,"",F349/D349)</f>
        <v>90</v>
      </c>
      <c r="H349" s="87" cm="1">
        <f t="array" ref="H349">F349/20</f>
        <v>4.5</v>
      </c>
      <c r="I349" s="87" cm="1">
        <f t="array" ref="I349">_xlfn.SUMIFS('עסקאות'!$M$2:$M$1958,'עסקאות'!$F$2:$F$1958,B349,'עסקאות'!$A$2:$A$1958,"&gt;="&amp;DATE(2025,1,1),'עסקאות'!$A$2:$A$1958,"&lt;"&amp;DATE(2026,1,1))</f>
        <v>90</v>
      </c>
      <c r="J349" s="28" cm="1">
        <f t="array" ref="J349">_xlfn.SUMIFS('עסקאות'!$M$2:$M$1958,'עסקאות'!$F$2:$F$1958,B349,'עסקאות'!$A$2:$A$1958,"&gt;="&amp;DATE(2026,1,1),'עסקאות'!$A$2:$A$1958,"&lt;"&amp;DATE(2027,1,1))</f>
        <v>0</v>
      </c>
      <c r="K349" s="77"/>
    </row>
    <row r="350" ht="13.65" customHeight="1">
      <c r="A350" s="70"/>
      <c r="B350" t="s" s="94">
        <v>537</v>
      </c>
      <c r="C350" t="s" s="80">
        <v>117</v>
      </c>
      <c r="D350" s="118">
        <v>2</v>
      </c>
      <c r="E350" s="118">
        <v>2</v>
      </c>
      <c r="F350" s="81" cm="1">
        <f t="array" ref="F350">_xlfn.SUMIFS('עסקאות'!$M$2:$M$1958,'עסקאות'!$F$2:$F$1958,B350)</f>
        <v>90</v>
      </c>
      <c r="G350" s="81" cm="1">
        <f t="array" ref="G350">IF(D350=0,"",F350/D350)</f>
        <v>45</v>
      </c>
      <c r="H350" s="81" cm="1">
        <f t="array" ref="H350">F350/20</f>
        <v>4.5</v>
      </c>
      <c r="I350" s="81" cm="1">
        <f t="array" ref="I350">_xlfn.SUMIFS('עסקאות'!$M$2:$M$1958,'עסקאות'!$F$2:$F$1958,B350,'עסקאות'!$A$2:$A$1958,"&gt;="&amp;DATE(2025,1,1),'עסקאות'!$A$2:$A$1958,"&lt;"&amp;DATE(2026,1,1))</f>
        <v>0</v>
      </c>
      <c r="J350" s="83" cm="1">
        <f t="array" ref="J350">_xlfn.SUMIFS('עסקאות'!$M$2:$M$1958,'עסקאות'!$F$2:$F$1958,B350,'עסקאות'!$A$2:$A$1958,"&gt;="&amp;DATE(2026,1,1),'עסקאות'!$A$2:$A$1958,"&lt;"&amp;DATE(2027,1,1))</f>
        <v>90</v>
      </c>
      <c r="K350" s="77"/>
    </row>
    <row r="351" ht="13.65" customHeight="1">
      <c r="A351" s="70"/>
      <c r="B351" t="s" s="27">
        <v>538</v>
      </c>
      <c r="C351" t="s" s="86">
        <v>107</v>
      </c>
      <c r="D351" s="119">
        <v>1</v>
      </c>
      <c r="E351" s="119">
        <v>1</v>
      </c>
      <c r="F351" s="87" cm="1">
        <f t="array" ref="F351">_xlfn.SUMIFS('עסקאות'!$M$2:$M$1958,'עסקאות'!$F$2:$F$1958,B351)</f>
        <v>90</v>
      </c>
      <c r="G351" s="87" cm="1">
        <f t="array" ref="G351">IF(D351=0,"",F351/D351)</f>
        <v>90</v>
      </c>
      <c r="H351" s="87" cm="1">
        <f t="array" ref="H351">F351/20</f>
        <v>4.5</v>
      </c>
      <c r="I351" s="87" cm="1">
        <f t="array" ref="I351">_xlfn.SUMIFS('עסקאות'!$M$2:$M$1958,'עסקאות'!$F$2:$F$1958,B351,'עסקאות'!$A$2:$A$1958,"&gt;="&amp;DATE(2025,1,1),'עסקאות'!$A$2:$A$1958,"&lt;"&amp;DATE(2026,1,1))</f>
        <v>0</v>
      </c>
      <c r="J351" s="28" cm="1">
        <f t="array" ref="J351">_xlfn.SUMIFS('עסקאות'!$M$2:$M$1958,'עסקאות'!$F$2:$F$1958,B351,'עסקאות'!$A$2:$A$1958,"&gt;="&amp;DATE(2026,1,1),'עסקאות'!$A$2:$A$1958,"&lt;"&amp;DATE(2027,1,1))</f>
        <v>90</v>
      </c>
      <c r="K351" s="77"/>
    </row>
    <row r="352" ht="13.65" customHeight="1">
      <c r="A352" s="70"/>
      <c r="B352" t="s" s="94">
        <v>539</v>
      </c>
      <c r="C352" t="s" s="80">
        <v>113</v>
      </c>
      <c r="D352" s="118">
        <v>2</v>
      </c>
      <c r="E352" s="118">
        <v>1</v>
      </c>
      <c r="F352" s="81" cm="1">
        <f t="array" ref="F352">_xlfn.SUMIFS('עסקאות'!$M$2:$M$1958,'עסקאות'!$F$2:$F$1958,B352)</f>
        <v>90</v>
      </c>
      <c r="G352" s="81" cm="1">
        <f t="array" ref="G352">IF(D352=0,"",F352/D352)</f>
        <v>45</v>
      </c>
      <c r="H352" s="81" cm="1">
        <f t="array" ref="H352">F352/20</f>
        <v>4.5</v>
      </c>
      <c r="I352" s="81" cm="1">
        <f t="array" ref="I352">_xlfn.SUMIFS('עסקאות'!$M$2:$M$1958,'עסקאות'!$F$2:$F$1958,B352,'עסקאות'!$A$2:$A$1958,"&gt;="&amp;DATE(2025,1,1),'עסקאות'!$A$2:$A$1958,"&lt;"&amp;DATE(2026,1,1))</f>
        <v>0</v>
      </c>
      <c r="J352" s="83" cm="1">
        <f t="array" ref="J352">_xlfn.SUMIFS('עסקאות'!$M$2:$M$1958,'עסקאות'!$F$2:$F$1958,B352,'עסקאות'!$A$2:$A$1958,"&gt;="&amp;DATE(2026,1,1),'עסקאות'!$A$2:$A$1958,"&lt;"&amp;DATE(2027,1,1))</f>
        <v>90</v>
      </c>
      <c r="K352" s="77"/>
    </row>
    <row r="353" ht="13.65" customHeight="1">
      <c r="A353" s="70"/>
      <c r="B353" t="s" s="27">
        <v>540</v>
      </c>
      <c r="C353" t="s" s="86">
        <v>123</v>
      </c>
      <c r="D353" s="119">
        <v>1</v>
      </c>
      <c r="E353" s="119">
        <v>1</v>
      </c>
      <c r="F353" s="87" cm="1">
        <f t="array" ref="F353">_xlfn.SUMIFS('עסקאות'!$M$2:$M$1958,'עסקאות'!$F$2:$F$1958,B353)</f>
        <v>90</v>
      </c>
      <c r="G353" s="87" cm="1">
        <f t="array" ref="G353">IF(D353=0,"",F353/D353)</f>
        <v>90</v>
      </c>
      <c r="H353" s="87" cm="1">
        <f t="array" ref="H353">F353/20</f>
        <v>4.5</v>
      </c>
      <c r="I353" s="87" cm="1">
        <f t="array" ref="I353">_xlfn.SUMIFS('עסקאות'!$M$2:$M$1958,'עסקאות'!$F$2:$F$1958,B353,'עסקאות'!$A$2:$A$1958,"&gt;="&amp;DATE(2025,1,1),'עסקאות'!$A$2:$A$1958,"&lt;"&amp;DATE(2026,1,1))</f>
        <v>0</v>
      </c>
      <c r="J353" s="28" cm="1">
        <f t="array" ref="J353">_xlfn.SUMIFS('עסקאות'!$M$2:$M$1958,'עסקאות'!$F$2:$F$1958,B353,'עסקאות'!$A$2:$A$1958,"&gt;="&amp;DATE(2026,1,1),'עסקאות'!$A$2:$A$1958,"&lt;"&amp;DATE(2027,1,1))</f>
        <v>90</v>
      </c>
      <c r="K353" s="77"/>
    </row>
    <row r="354" ht="13.65" customHeight="1">
      <c r="A354" s="70"/>
      <c r="B354" t="s" s="94">
        <v>541</v>
      </c>
      <c r="C354" t="s" s="80">
        <v>113</v>
      </c>
      <c r="D354" s="118">
        <v>1</v>
      </c>
      <c r="E354" s="118">
        <v>1</v>
      </c>
      <c r="F354" s="81" cm="1">
        <f t="array" ref="F354">_xlfn.SUMIFS('עסקאות'!$M$2:$M$1958,'עסקאות'!$F$2:$F$1958,B354)</f>
        <v>86</v>
      </c>
      <c r="G354" s="81" cm="1">
        <f t="array" ref="G354">IF(D354=0,"",F354/D354)</f>
        <v>86</v>
      </c>
      <c r="H354" s="81" cm="1">
        <f t="array" ref="H354">F354/20</f>
        <v>4.3</v>
      </c>
      <c r="I354" s="81" cm="1">
        <f t="array" ref="I354">_xlfn.SUMIFS('עסקאות'!$M$2:$M$1958,'עסקאות'!$F$2:$F$1958,B354,'עסקאות'!$A$2:$A$1958,"&gt;="&amp;DATE(2025,1,1),'עסקאות'!$A$2:$A$1958,"&lt;"&amp;DATE(2026,1,1))</f>
        <v>0</v>
      </c>
      <c r="J354" s="83" cm="1">
        <f t="array" ref="J354">_xlfn.SUMIFS('עסקאות'!$M$2:$M$1958,'עסקאות'!$F$2:$F$1958,B354,'עסקאות'!$A$2:$A$1958,"&gt;="&amp;DATE(2026,1,1),'עסקאות'!$A$2:$A$1958,"&lt;"&amp;DATE(2027,1,1))</f>
        <v>86</v>
      </c>
      <c r="K354" s="77"/>
    </row>
    <row r="355" ht="13.65" customHeight="1">
      <c r="A355" s="70"/>
      <c r="B355" t="s" s="27">
        <v>542</v>
      </c>
      <c r="C355" t="s" s="86">
        <v>117</v>
      </c>
      <c r="D355" s="119">
        <v>1</v>
      </c>
      <c r="E355" s="119">
        <v>1</v>
      </c>
      <c r="F355" s="87" cm="1">
        <f t="array" ref="F355">_xlfn.SUMIFS('עסקאות'!$M$2:$M$1958,'עסקאות'!$F$2:$F$1958,B355)</f>
        <v>85</v>
      </c>
      <c r="G355" s="87" cm="1">
        <f t="array" ref="G355">IF(D355=0,"",F355/D355)</f>
        <v>85</v>
      </c>
      <c r="H355" s="87" cm="1">
        <f t="array" ref="H355">F355/20</f>
        <v>4.25</v>
      </c>
      <c r="I355" s="87" cm="1">
        <f t="array" ref="I355">_xlfn.SUMIFS('עסקאות'!$M$2:$M$1958,'עסקאות'!$F$2:$F$1958,B355,'עסקאות'!$A$2:$A$1958,"&gt;="&amp;DATE(2025,1,1),'עסקאות'!$A$2:$A$1958,"&lt;"&amp;DATE(2026,1,1))</f>
        <v>85</v>
      </c>
      <c r="J355" s="28" cm="1">
        <f t="array" ref="J355">_xlfn.SUMIFS('עסקאות'!$M$2:$M$1958,'עסקאות'!$F$2:$F$1958,B355,'עסקאות'!$A$2:$A$1958,"&gt;="&amp;DATE(2026,1,1),'עסקאות'!$A$2:$A$1958,"&lt;"&amp;DATE(2027,1,1))</f>
        <v>0</v>
      </c>
      <c r="K355" s="77"/>
    </row>
    <row r="356" ht="13.65" customHeight="1">
      <c r="A356" s="70"/>
      <c r="B356" t="s" s="94">
        <v>543</v>
      </c>
      <c r="C356" t="s" s="80">
        <v>123</v>
      </c>
      <c r="D356" s="118">
        <v>1</v>
      </c>
      <c r="E356" s="118">
        <v>1</v>
      </c>
      <c r="F356" s="81" cm="1">
        <f t="array" ref="F356">_xlfn.SUMIFS('עסקאות'!$M$2:$M$1958,'עסקאות'!$F$2:$F$1958,B356)</f>
        <v>85</v>
      </c>
      <c r="G356" s="81" cm="1">
        <f t="array" ref="G356">IF(D356=0,"",F356/D356)</f>
        <v>85</v>
      </c>
      <c r="H356" s="81" cm="1">
        <f t="array" ref="H356">F356/20</f>
        <v>4.25</v>
      </c>
      <c r="I356" s="81" cm="1">
        <f t="array" ref="I356">_xlfn.SUMIFS('עסקאות'!$M$2:$M$1958,'עסקאות'!$F$2:$F$1958,B356,'עסקאות'!$A$2:$A$1958,"&gt;="&amp;DATE(2025,1,1),'עסקאות'!$A$2:$A$1958,"&lt;"&amp;DATE(2026,1,1))</f>
        <v>0</v>
      </c>
      <c r="J356" s="83" cm="1">
        <f t="array" ref="J356">_xlfn.SUMIFS('עסקאות'!$M$2:$M$1958,'עסקאות'!$F$2:$F$1958,B356,'עסקאות'!$A$2:$A$1958,"&gt;="&amp;DATE(2026,1,1),'עסקאות'!$A$2:$A$1958,"&lt;"&amp;DATE(2027,1,1))</f>
        <v>85</v>
      </c>
      <c r="K356" s="77"/>
    </row>
    <row r="357" ht="13.65" customHeight="1">
      <c r="A357" s="70"/>
      <c r="B357" t="s" s="27">
        <v>544</v>
      </c>
      <c r="C357" t="s" s="86">
        <v>113</v>
      </c>
      <c r="D357" s="119">
        <v>1</v>
      </c>
      <c r="E357" s="119">
        <v>1</v>
      </c>
      <c r="F357" s="87" cm="1">
        <f t="array" ref="F357">_xlfn.SUMIFS('עסקאות'!$M$2:$M$1958,'עסקאות'!$F$2:$F$1958,B357)</f>
        <v>84</v>
      </c>
      <c r="G357" s="87" cm="1">
        <f t="array" ref="G357">IF(D357=0,"",F357/D357)</f>
        <v>84</v>
      </c>
      <c r="H357" s="87" cm="1">
        <f t="array" ref="H357">F357/20</f>
        <v>4.2</v>
      </c>
      <c r="I357" s="87" cm="1">
        <f t="array" ref="I357">_xlfn.SUMIFS('עסקאות'!$M$2:$M$1958,'עסקאות'!$F$2:$F$1958,B357,'עסקאות'!$A$2:$A$1958,"&gt;="&amp;DATE(2025,1,1),'עסקאות'!$A$2:$A$1958,"&lt;"&amp;DATE(2026,1,1))</f>
        <v>84</v>
      </c>
      <c r="J357" s="28" cm="1">
        <f t="array" ref="J357">_xlfn.SUMIFS('עסקאות'!$M$2:$M$1958,'עסקאות'!$F$2:$F$1958,B357,'עסקאות'!$A$2:$A$1958,"&gt;="&amp;DATE(2026,1,1),'עסקאות'!$A$2:$A$1958,"&lt;"&amp;DATE(2027,1,1))</f>
        <v>0</v>
      </c>
      <c r="K357" s="77"/>
    </row>
    <row r="358" ht="13.65" customHeight="1">
      <c r="A358" s="70"/>
      <c r="B358" t="s" s="94">
        <v>545</v>
      </c>
      <c r="C358" t="s" s="80">
        <v>113</v>
      </c>
      <c r="D358" s="118">
        <v>1</v>
      </c>
      <c r="E358" s="118">
        <v>1</v>
      </c>
      <c r="F358" s="81" cm="1">
        <f t="array" ref="F358">_xlfn.SUMIFS('עסקאות'!$M$2:$M$1958,'עסקאות'!$F$2:$F$1958,B358)</f>
        <v>83</v>
      </c>
      <c r="G358" s="81" cm="1">
        <f t="array" ref="G358">IF(D358=0,"",F358/D358)</f>
        <v>83</v>
      </c>
      <c r="H358" s="81" cm="1">
        <f t="array" ref="H358">F358/20</f>
        <v>4.15</v>
      </c>
      <c r="I358" s="81" cm="1">
        <f t="array" ref="I358">_xlfn.SUMIFS('עסקאות'!$M$2:$M$1958,'עסקאות'!$F$2:$F$1958,B358,'עסקאות'!$A$2:$A$1958,"&gt;="&amp;DATE(2025,1,1),'עסקאות'!$A$2:$A$1958,"&lt;"&amp;DATE(2026,1,1))</f>
        <v>83</v>
      </c>
      <c r="J358" s="83" cm="1">
        <f t="array" ref="J358">_xlfn.SUMIFS('עסקאות'!$M$2:$M$1958,'עסקאות'!$F$2:$F$1958,B358,'עסקאות'!$A$2:$A$1958,"&gt;="&amp;DATE(2026,1,1),'עסקאות'!$A$2:$A$1958,"&lt;"&amp;DATE(2027,1,1))</f>
        <v>0</v>
      </c>
      <c r="K358" s="77"/>
    </row>
    <row r="359" ht="13.65" customHeight="1">
      <c r="A359" s="70"/>
      <c r="B359" t="s" s="27">
        <v>546</v>
      </c>
      <c r="C359" t="s" s="86">
        <v>113</v>
      </c>
      <c r="D359" s="119">
        <v>1</v>
      </c>
      <c r="E359" s="119">
        <v>1</v>
      </c>
      <c r="F359" s="87" cm="1">
        <f t="array" ref="F359">_xlfn.SUMIFS('עסקאות'!$M$2:$M$1958,'עסקאות'!$F$2:$F$1958,B359)</f>
        <v>83</v>
      </c>
      <c r="G359" s="87" cm="1">
        <f t="array" ref="G359">IF(D359=0,"",F359/D359)</f>
        <v>83</v>
      </c>
      <c r="H359" s="87" cm="1">
        <f t="array" ref="H359">F359/20</f>
        <v>4.15</v>
      </c>
      <c r="I359" s="87" cm="1">
        <f t="array" ref="I359">_xlfn.SUMIFS('עסקאות'!$M$2:$M$1958,'עסקאות'!$F$2:$F$1958,B359,'עסקאות'!$A$2:$A$1958,"&gt;="&amp;DATE(2025,1,1),'עסקאות'!$A$2:$A$1958,"&lt;"&amp;DATE(2026,1,1))</f>
        <v>0</v>
      </c>
      <c r="J359" s="28" cm="1">
        <f t="array" ref="J359">_xlfn.SUMIFS('עסקאות'!$M$2:$M$1958,'עסקאות'!$F$2:$F$1958,B359,'עסקאות'!$A$2:$A$1958,"&gt;="&amp;DATE(2026,1,1),'עסקאות'!$A$2:$A$1958,"&lt;"&amp;DATE(2027,1,1))</f>
        <v>83</v>
      </c>
      <c r="K359" s="77"/>
    </row>
    <row r="360" ht="13.65" customHeight="1">
      <c r="A360" s="70"/>
      <c r="B360" t="s" s="94">
        <v>547</v>
      </c>
      <c r="C360" t="s" s="80">
        <v>125</v>
      </c>
      <c r="D360" s="118">
        <v>1</v>
      </c>
      <c r="E360" s="118">
        <v>1</v>
      </c>
      <c r="F360" s="81" cm="1">
        <f t="array" ref="F360">_xlfn.SUMIFS('עסקאות'!$M$2:$M$1958,'עסקאות'!$F$2:$F$1958,B360)</f>
        <v>82</v>
      </c>
      <c r="G360" s="81" cm="1">
        <f t="array" ref="G360">IF(D360=0,"",F360/D360)</f>
        <v>82</v>
      </c>
      <c r="H360" s="81" cm="1">
        <f t="array" ref="H360">F360/20</f>
        <v>4.1</v>
      </c>
      <c r="I360" s="81" cm="1">
        <f t="array" ref="I360">_xlfn.SUMIFS('עסקאות'!$M$2:$M$1958,'עסקאות'!$F$2:$F$1958,B360,'עסקאות'!$A$2:$A$1958,"&gt;="&amp;DATE(2025,1,1),'עסקאות'!$A$2:$A$1958,"&lt;"&amp;DATE(2026,1,1))</f>
        <v>82</v>
      </c>
      <c r="J360" s="83" cm="1">
        <f t="array" ref="J360">_xlfn.SUMIFS('עסקאות'!$M$2:$M$1958,'עסקאות'!$F$2:$F$1958,B360,'עסקאות'!$A$2:$A$1958,"&gt;="&amp;DATE(2026,1,1),'עסקאות'!$A$2:$A$1958,"&lt;"&amp;DATE(2027,1,1))</f>
        <v>0</v>
      </c>
      <c r="K360" s="77"/>
    </row>
    <row r="361" ht="13.65" customHeight="1">
      <c r="A361" s="70"/>
      <c r="B361" t="s" s="27">
        <v>548</v>
      </c>
      <c r="C361" t="s" s="86">
        <v>113</v>
      </c>
      <c r="D361" s="119">
        <v>1</v>
      </c>
      <c r="E361" s="119">
        <v>1</v>
      </c>
      <c r="F361" s="87" cm="1">
        <f t="array" ref="F361">_xlfn.SUMIFS('עסקאות'!$M$2:$M$1958,'עסקאות'!$F$2:$F$1958,B361)</f>
        <v>81</v>
      </c>
      <c r="G361" s="87" cm="1">
        <f t="array" ref="G361">IF(D361=0,"",F361/D361)</f>
        <v>81</v>
      </c>
      <c r="H361" s="87" cm="1">
        <f t="array" ref="H361">F361/20</f>
        <v>4.05</v>
      </c>
      <c r="I361" s="87" cm="1">
        <f t="array" ref="I361">_xlfn.SUMIFS('עסקאות'!$M$2:$M$1958,'עסקאות'!$F$2:$F$1958,B361,'עסקאות'!$A$2:$A$1958,"&gt;="&amp;DATE(2025,1,1),'עסקאות'!$A$2:$A$1958,"&lt;"&amp;DATE(2026,1,1))</f>
        <v>0</v>
      </c>
      <c r="J361" s="28" cm="1">
        <f t="array" ref="J361">_xlfn.SUMIFS('עסקאות'!$M$2:$M$1958,'עסקאות'!$F$2:$F$1958,B361,'עסקאות'!$A$2:$A$1958,"&gt;="&amp;DATE(2026,1,1),'עסקאות'!$A$2:$A$1958,"&lt;"&amp;DATE(2027,1,1))</f>
        <v>81</v>
      </c>
      <c r="K361" s="77"/>
    </row>
    <row r="362" ht="13.65" customHeight="1">
      <c r="A362" s="70"/>
      <c r="B362" t="s" s="94">
        <v>549</v>
      </c>
      <c r="C362" t="s" s="80">
        <v>133</v>
      </c>
      <c r="D362" s="118">
        <v>1</v>
      </c>
      <c r="E362" s="118">
        <v>1</v>
      </c>
      <c r="F362" s="81" cm="1">
        <f t="array" ref="F362">_xlfn.SUMIFS('עסקאות'!$M$2:$M$1958,'עסקאות'!$F$2:$F$1958,B362)</f>
        <v>80</v>
      </c>
      <c r="G362" s="81" cm="1">
        <f t="array" ref="G362">IF(D362=0,"",F362/D362)</f>
        <v>80</v>
      </c>
      <c r="H362" s="81" cm="1">
        <f t="array" ref="H362">F362/20</f>
        <v>4</v>
      </c>
      <c r="I362" s="81" cm="1">
        <f t="array" ref="I362">_xlfn.SUMIFS('עסקאות'!$M$2:$M$1958,'עסקאות'!$F$2:$F$1958,B362,'עסקאות'!$A$2:$A$1958,"&gt;="&amp;DATE(2025,1,1),'עסקאות'!$A$2:$A$1958,"&lt;"&amp;DATE(2026,1,1))</f>
        <v>80</v>
      </c>
      <c r="J362" s="83" cm="1">
        <f t="array" ref="J362">_xlfn.SUMIFS('עסקאות'!$M$2:$M$1958,'עסקאות'!$F$2:$F$1958,B362,'עסקאות'!$A$2:$A$1958,"&gt;="&amp;DATE(2026,1,1),'עסקאות'!$A$2:$A$1958,"&lt;"&amp;DATE(2027,1,1))</f>
        <v>0</v>
      </c>
      <c r="K362" s="77"/>
    </row>
    <row r="363" ht="13.65" customHeight="1">
      <c r="A363" s="70"/>
      <c r="B363" t="s" s="27">
        <v>550</v>
      </c>
      <c r="C363" t="s" s="86">
        <v>105</v>
      </c>
      <c r="D363" s="119">
        <v>1</v>
      </c>
      <c r="E363" s="119">
        <v>1</v>
      </c>
      <c r="F363" s="87" cm="1">
        <f t="array" ref="F363">_xlfn.SUMIFS('עסקאות'!$M$2:$M$1958,'עסקאות'!$F$2:$F$1958,B363)</f>
        <v>80</v>
      </c>
      <c r="G363" s="87" cm="1">
        <f t="array" ref="G363">IF(D363=0,"",F363/D363)</f>
        <v>80</v>
      </c>
      <c r="H363" s="87" cm="1">
        <f t="array" ref="H363">F363/20</f>
        <v>4</v>
      </c>
      <c r="I363" s="87" cm="1">
        <f t="array" ref="I363">_xlfn.SUMIFS('עסקאות'!$M$2:$M$1958,'עסקאות'!$F$2:$F$1958,B363,'עסקאות'!$A$2:$A$1958,"&gt;="&amp;DATE(2025,1,1),'עסקאות'!$A$2:$A$1958,"&lt;"&amp;DATE(2026,1,1))</f>
        <v>80</v>
      </c>
      <c r="J363" s="28" cm="1">
        <f t="array" ref="J363">_xlfn.SUMIFS('עסקאות'!$M$2:$M$1958,'עסקאות'!$F$2:$F$1958,B363,'עסקאות'!$A$2:$A$1958,"&gt;="&amp;DATE(2026,1,1),'עסקאות'!$A$2:$A$1958,"&lt;"&amp;DATE(2027,1,1))</f>
        <v>0</v>
      </c>
      <c r="K363" s="77"/>
    </row>
    <row r="364" ht="13.65" customHeight="1">
      <c r="A364" s="70"/>
      <c r="B364" t="s" s="94">
        <v>551</v>
      </c>
      <c r="C364" t="s" s="80">
        <v>115</v>
      </c>
      <c r="D364" s="118">
        <v>1</v>
      </c>
      <c r="E364" s="118">
        <v>1</v>
      </c>
      <c r="F364" s="81" cm="1">
        <f t="array" ref="F364">_xlfn.SUMIFS('עסקאות'!$M$2:$M$1958,'עסקאות'!$F$2:$F$1958,B364)</f>
        <v>80</v>
      </c>
      <c r="G364" s="81" cm="1">
        <f t="array" ref="G364">IF(D364=0,"",F364/D364)</f>
        <v>80</v>
      </c>
      <c r="H364" s="81" cm="1">
        <f t="array" ref="H364">F364/20</f>
        <v>4</v>
      </c>
      <c r="I364" s="81" cm="1">
        <f t="array" ref="I364">_xlfn.SUMIFS('עסקאות'!$M$2:$M$1958,'עסקאות'!$F$2:$F$1958,B364,'עסקאות'!$A$2:$A$1958,"&gt;="&amp;DATE(2025,1,1),'עסקאות'!$A$2:$A$1958,"&lt;"&amp;DATE(2026,1,1))</f>
        <v>80</v>
      </c>
      <c r="J364" s="83" cm="1">
        <f t="array" ref="J364">_xlfn.SUMIFS('עסקאות'!$M$2:$M$1958,'עסקאות'!$F$2:$F$1958,B364,'עסקאות'!$A$2:$A$1958,"&gt;="&amp;DATE(2026,1,1),'עסקאות'!$A$2:$A$1958,"&lt;"&amp;DATE(2027,1,1))</f>
        <v>0</v>
      </c>
      <c r="K364" s="77"/>
    </row>
    <row r="365" ht="13.65" customHeight="1">
      <c r="A365" s="70"/>
      <c r="B365" t="s" s="27">
        <v>552</v>
      </c>
      <c r="C365" t="s" s="86">
        <v>133</v>
      </c>
      <c r="D365" s="119">
        <v>1</v>
      </c>
      <c r="E365" s="119">
        <v>1</v>
      </c>
      <c r="F365" s="87" cm="1">
        <f t="array" ref="F365">_xlfn.SUMIFS('עסקאות'!$M$2:$M$1958,'עסקאות'!$F$2:$F$1958,B365)</f>
        <v>80</v>
      </c>
      <c r="G365" s="87" cm="1">
        <f t="array" ref="G365">IF(D365=0,"",F365/D365)</f>
        <v>80</v>
      </c>
      <c r="H365" s="87" cm="1">
        <f t="array" ref="H365">F365/20</f>
        <v>4</v>
      </c>
      <c r="I365" s="87" cm="1">
        <f t="array" ref="I365">_xlfn.SUMIFS('עסקאות'!$M$2:$M$1958,'עסקאות'!$F$2:$F$1958,B365,'עסקאות'!$A$2:$A$1958,"&gt;="&amp;DATE(2025,1,1),'עסקאות'!$A$2:$A$1958,"&lt;"&amp;DATE(2026,1,1))</f>
        <v>0</v>
      </c>
      <c r="J365" s="28" cm="1">
        <f t="array" ref="J365">_xlfn.SUMIFS('עסקאות'!$M$2:$M$1958,'עסקאות'!$F$2:$F$1958,B365,'עסקאות'!$A$2:$A$1958,"&gt;="&amp;DATE(2026,1,1),'עסקאות'!$A$2:$A$1958,"&lt;"&amp;DATE(2027,1,1))</f>
        <v>80</v>
      </c>
      <c r="K365" s="77"/>
    </row>
    <row r="366" ht="13.65" customHeight="1">
      <c r="A366" s="70"/>
      <c r="B366" t="s" s="94">
        <v>553</v>
      </c>
      <c r="C366" t="s" s="80">
        <v>121</v>
      </c>
      <c r="D366" s="118">
        <v>1</v>
      </c>
      <c r="E366" s="118">
        <v>1</v>
      </c>
      <c r="F366" s="81" cm="1">
        <f t="array" ref="F366">_xlfn.SUMIFS('עסקאות'!$M$2:$M$1958,'עסקאות'!$F$2:$F$1958,B366)</f>
        <v>80</v>
      </c>
      <c r="G366" s="81" cm="1">
        <f t="array" ref="G366">IF(D366=0,"",F366/D366)</f>
        <v>80</v>
      </c>
      <c r="H366" s="81" cm="1">
        <f t="array" ref="H366">F366/20</f>
        <v>4</v>
      </c>
      <c r="I366" s="81" cm="1">
        <f t="array" ref="I366">_xlfn.SUMIFS('עסקאות'!$M$2:$M$1958,'עסקאות'!$F$2:$F$1958,B366,'עסקאות'!$A$2:$A$1958,"&gt;="&amp;DATE(2025,1,1),'עסקאות'!$A$2:$A$1958,"&lt;"&amp;DATE(2026,1,1))</f>
        <v>0</v>
      </c>
      <c r="J366" s="83" cm="1">
        <f t="array" ref="J366">_xlfn.SUMIFS('עסקאות'!$M$2:$M$1958,'עסקאות'!$F$2:$F$1958,B366,'עסקאות'!$A$2:$A$1958,"&gt;="&amp;DATE(2026,1,1),'עסקאות'!$A$2:$A$1958,"&lt;"&amp;DATE(2027,1,1))</f>
        <v>80</v>
      </c>
      <c r="K366" s="77"/>
    </row>
    <row r="367" ht="13.65" customHeight="1">
      <c r="A367" s="70"/>
      <c r="B367" t="s" s="27">
        <v>554</v>
      </c>
      <c r="C367" t="s" s="86">
        <v>109</v>
      </c>
      <c r="D367" s="119">
        <v>1</v>
      </c>
      <c r="E367" s="119">
        <v>1</v>
      </c>
      <c r="F367" s="87" cm="1">
        <f t="array" ref="F367">_xlfn.SUMIFS('עסקאות'!$M$2:$M$1958,'עסקאות'!$F$2:$F$1958,B367)</f>
        <v>80</v>
      </c>
      <c r="G367" s="87" cm="1">
        <f t="array" ref="G367">IF(D367=0,"",F367/D367)</f>
        <v>80</v>
      </c>
      <c r="H367" s="87" cm="1">
        <f t="array" ref="H367">F367/20</f>
        <v>4</v>
      </c>
      <c r="I367" s="87" cm="1">
        <f t="array" ref="I367">_xlfn.SUMIFS('עסקאות'!$M$2:$M$1958,'עסקאות'!$F$2:$F$1958,B367,'עסקאות'!$A$2:$A$1958,"&gt;="&amp;DATE(2025,1,1),'עסקאות'!$A$2:$A$1958,"&lt;"&amp;DATE(2026,1,1))</f>
        <v>0</v>
      </c>
      <c r="J367" s="28" cm="1">
        <f t="array" ref="J367">_xlfn.SUMIFS('עסקאות'!$M$2:$M$1958,'עסקאות'!$F$2:$F$1958,B367,'עסקאות'!$A$2:$A$1958,"&gt;="&amp;DATE(2026,1,1),'עסקאות'!$A$2:$A$1958,"&lt;"&amp;DATE(2027,1,1))</f>
        <v>80</v>
      </c>
      <c r="K367" s="77"/>
    </row>
    <row r="368" ht="13.65" customHeight="1">
      <c r="A368" s="70"/>
      <c r="B368" t="s" s="94">
        <v>555</v>
      </c>
      <c r="C368" t="s" s="80">
        <v>113</v>
      </c>
      <c r="D368" s="118">
        <v>1</v>
      </c>
      <c r="E368" s="118">
        <v>1</v>
      </c>
      <c r="F368" s="81" cm="1">
        <f t="array" ref="F368">_xlfn.SUMIFS('עסקאות'!$M$2:$M$1958,'עסקאות'!$F$2:$F$1958,B368)</f>
        <v>80</v>
      </c>
      <c r="G368" s="81" cm="1">
        <f t="array" ref="G368">IF(D368=0,"",F368/D368)</f>
        <v>80</v>
      </c>
      <c r="H368" s="81" cm="1">
        <f t="array" ref="H368">F368/20</f>
        <v>4</v>
      </c>
      <c r="I368" s="81" cm="1">
        <f t="array" ref="I368">_xlfn.SUMIFS('עסקאות'!$M$2:$M$1958,'עסקאות'!$F$2:$F$1958,B368,'עסקאות'!$A$2:$A$1958,"&gt;="&amp;DATE(2025,1,1),'עסקאות'!$A$2:$A$1958,"&lt;"&amp;DATE(2026,1,1))</f>
        <v>0</v>
      </c>
      <c r="J368" s="83" cm="1">
        <f t="array" ref="J368">_xlfn.SUMIFS('עסקאות'!$M$2:$M$1958,'עסקאות'!$F$2:$F$1958,B368,'עסקאות'!$A$2:$A$1958,"&gt;="&amp;DATE(2026,1,1),'עסקאות'!$A$2:$A$1958,"&lt;"&amp;DATE(2027,1,1))</f>
        <v>80</v>
      </c>
      <c r="K368" s="77"/>
    </row>
    <row r="369" ht="13.65" customHeight="1">
      <c r="A369" s="70"/>
      <c r="B369" t="s" s="27">
        <v>556</v>
      </c>
      <c r="C369" t="s" s="86">
        <v>113</v>
      </c>
      <c r="D369" s="119">
        <v>1</v>
      </c>
      <c r="E369" s="119">
        <v>1</v>
      </c>
      <c r="F369" s="87" cm="1">
        <f t="array" ref="F369">_xlfn.SUMIFS('עסקאות'!$M$2:$M$1958,'עסקאות'!$F$2:$F$1958,B369)</f>
        <v>79</v>
      </c>
      <c r="G369" s="87" cm="1">
        <f t="array" ref="G369">IF(D369=0,"",F369/D369)</f>
        <v>79</v>
      </c>
      <c r="H369" s="87" cm="1">
        <f t="array" ref="H369">F369/20</f>
        <v>3.95</v>
      </c>
      <c r="I369" s="87" cm="1">
        <f t="array" ref="I369">_xlfn.SUMIFS('עסקאות'!$M$2:$M$1958,'עסקאות'!$F$2:$F$1958,B369,'עסקאות'!$A$2:$A$1958,"&gt;="&amp;DATE(2025,1,1),'עסקאות'!$A$2:$A$1958,"&lt;"&amp;DATE(2026,1,1))</f>
        <v>0</v>
      </c>
      <c r="J369" s="28" cm="1">
        <f t="array" ref="J369">_xlfn.SUMIFS('עסקאות'!$M$2:$M$1958,'עסקאות'!$F$2:$F$1958,B369,'עסקאות'!$A$2:$A$1958,"&gt;="&amp;DATE(2026,1,1),'עסקאות'!$A$2:$A$1958,"&lt;"&amp;DATE(2027,1,1))</f>
        <v>79</v>
      </c>
      <c r="K369" s="77"/>
    </row>
    <row r="370" ht="13.65" customHeight="1">
      <c r="A370" s="70"/>
      <c r="B370" t="s" s="94">
        <v>557</v>
      </c>
      <c r="C370" t="s" s="80">
        <v>113</v>
      </c>
      <c r="D370" s="118">
        <v>1</v>
      </c>
      <c r="E370" s="118">
        <v>1</v>
      </c>
      <c r="F370" s="81" cm="1">
        <f t="array" ref="F370">_xlfn.SUMIFS('עסקאות'!$M$2:$M$1958,'עסקאות'!$F$2:$F$1958,B370)</f>
        <v>79</v>
      </c>
      <c r="G370" s="81" cm="1">
        <f t="array" ref="G370">IF(D370=0,"",F370/D370)</f>
        <v>79</v>
      </c>
      <c r="H370" s="81" cm="1">
        <f t="array" ref="H370">F370/20</f>
        <v>3.95</v>
      </c>
      <c r="I370" s="81" cm="1">
        <f t="array" ref="I370">_xlfn.SUMIFS('עסקאות'!$M$2:$M$1958,'עסקאות'!$F$2:$F$1958,B370,'עסקאות'!$A$2:$A$1958,"&gt;="&amp;DATE(2025,1,1),'עסקאות'!$A$2:$A$1958,"&lt;"&amp;DATE(2026,1,1))</f>
        <v>0</v>
      </c>
      <c r="J370" s="83" cm="1">
        <f t="array" ref="J370">_xlfn.SUMIFS('עסקאות'!$M$2:$M$1958,'עסקאות'!$F$2:$F$1958,B370,'עסקאות'!$A$2:$A$1958,"&gt;="&amp;DATE(2026,1,1),'עסקאות'!$A$2:$A$1958,"&lt;"&amp;DATE(2027,1,1))</f>
        <v>79</v>
      </c>
      <c r="K370" s="77"/>
    </row>
    <row r="371" ht="13.65" customHeight="1">
      <c r="A371" s="70"/>
      <c r="B371" t="s" s="27">
        <v>558</v>
      </c>
      <c r="C371" t="s" s="86">
        <v>117</v>
      </c>
      <c r="D371" s="119">
        <v>5</v>
      </c>
      <c r="E371" s="119">
        <v>4</v>
      </c>
      <c r="F371" s="87" cm="1">
        <f t="array" ref="F371">_xlfn.SUMIFS('עסקאות'!$M$2:$M$1958,'עסקאות'!$F$2:$F$1958,B371)</f>
        <v>78</v>
      </c>
      <c r="G371" s="87" cm="1">
        <f t="array" ref="G371">IF(D371=0,"",F371/D371)</f>
        <v>15.6</v>
      </c>
      <c r="H371" s="87" cm="1">
        <f t="array" ref="H371">F371/20</f>
        <v>3.9</v>
      </c>
      <c r="I371" s="87" cm="1">
        <f t="array" ref="I371">_xlfn.SUMIFS('עסקאות'!$M$2:$M$1958,'עסקאות'!$F$2:$F$1958,B371,'עסקאות'!$A$2:$A$1958,"&gt;="&amp;DATE(2025,1,1),'עסקאות'!$A$2:$A$1958,"&lt;"&amp;DATE(2026,1,1))</f>
        <v>0</v>
      </c>
      <c r="J371" s="28" cm="1">
        <f t="array" ref="J371">_xlfn.SUMIFS('עסקאות'!$M$2:$M$1958,'עסקאות'!$F$2:$F$1958,B371,'עסקאות'!$A$2:$A$1958,"&gt;="&amp;DATE(2026,1,1),'עסקאות'!$A$2:$A$1958,"&lt;"&amp;DATE(2027,1,1))</f>
        <v>78</v>
      </c>
      <c r="K371" s="77"/>
    </row>
    <row r="372" ht="13.65" customHeight="1">
      <c r="A372" s="70"/>
      <c r="B372" t="s" s="94">
        <v>559</v>
      </c>
      <c r="C372" t="s" s="80">
        <v>127</v>
      </c>
      <c r="D372" s="118">
        <v>1</v>
      </c>
      <c r="E372" s="118">
        <v>1</v>
      </c>
      <c r="F372" s="81" cm="1">
        <f t="array" ref="F372">_xlfn.SUMIFS('עסקאות'!$M$2:$M$1958,'עסקאות'!$F$2:$F$1958,B372)</f>
        <v>76</v>
      </c>
      <c r="G372" s="81" cm="1">
        <f t="array" ref="G372">IF(D372=0,"",F372/D372)</f>
        <v>76</v>
      </c>
      <c r="H372" s="81" cm="1">
        <f t="array" ref="H372">F372/20</f>
        <v>3.8</v>
      </c>
      <c r="I372" s="81" cm="1">
        <f t="array" ref="I372">_xlfn.SUMIFS('עסקאות'!$M$2:$M$1958,'עסקאות'!$F$2:$F$1958,B372,'עסקאות'!$A$2:$A$1958,"&gt;="&amp;DATE(2025,1,1),'עסקאות'!$A$2:$A$1958,"&lt;"&amp;DATE(2026,1,1))</f>
        <v>76</v>
      </c>
      <c r="J372" s="83" cm="1">
        <f t="array" ref="J372">_xlfn.SUMIFS('עסקאות'!$M$2:$M$1958,'עסקאות'!$F$2:$F$1958,B372,'עסקאות'!$A$2:$A$1958,"&gt;="&amp;DATE(2026,1,1),'עסקאות'!$A$2:$A$1958,"&lt;"&amp;DATE(2027,1,1))</f>
        <v>0</v>
      </c>
      <c r="K372" s="77"/>
    </row>
    <row r="373" ht="13.65" customHeight="1">
      <c r="A373" s="70"/>
      <c r="B373" t="s" s="27">
        <v>560</v>
      </c>
      <c r="C373" t="s" s="86">
        <v>107</v>
      </c>
      <c r="D373" s="119">
        <v>1</v>
      </c>
      <c r="E373" s="119">
        <v>1</v>
      </c>
      <c r="F373" s="87" cm="1">
        <f t="array" ref="F373">_xlfn.SUMIFS('עסקאות'!$M$2:$M$1958,'עסקאות'!$F$2:$F$1958,B373)</f>
        <v>76</v>
      </c>
      <c r="G373" s="87" cm="1">
        <f t="array" ref="G373">IF(D373=0,"",F373/D373)</f>
        <v>76</v>
      </c>
      <c r="H373" s="87" cm="1">
        <f t="array" ref="H373">F373/20</f>
        <v>3.8</v>
      </c>
      <c r="I373" s="87" cm="1">
        <f t="array" ref="I373">_xlfn.SUMIFS('עסקאות'!$M$2:$M$1958,'עסקאות'!$F$2:$F$1958,B373,'עסקאות'!$A$2:$A$1958,"&gt;="&amp;DATE(2025,1,1),'עסקאות'!$A$2:$A$1958,"&lt;"&amp;DATE(2026,1,1))</f>
        <v>76</v>
      </c>
      <c r="J373" s="28" cm="1">
        <f t="array" ref="J373">_xlfn.SUMIFS('עסקאות'!$M$2:$M$1958,'עסקאות'!$F$2:$F$1958,B373,'עסקאות'!$A$2:$A$1958,"&gt;="&amp;DATE(2026,1,1),'עסקאות'!$A$2:$A$1958,"&lt;"&amp;DATE(2027,1,1))</f>
        <v>0</v>
      </c>
      <c r="K373" s="77"/>
    </row>
    <row r="374" ht="13.65" customHeight="1">
      <c r="A374" s="70"/>
      <c r="B374" t="s" s="94">
        <v>561</v>
      </c>
      <c r="C374" t="s" s="80">
        <v>125</v>
      </c>
      <c r="D374" s="118">
        <v>1</v>
      </c>
      <c r="E374" s="118">
        <v>1</v>
      </c>
      <c r="F374" s="81" cm="1">
        <f t="array" ref="F374">_xlfn.SUMIFS('עסקאות'!$M$2:$M$1958,'עסקאות'!$F$2:$F$1958,B374)</f>
        <v>75</v>
      </c>
      <c r="G374" s="81" cm="1">
        <f t="array" ref="G374">IF(D374=0,"",F374/D374)</f>
        <v>75</v>
      </c>
      <c r="H374" s="81" cm="1">
        <f t="array" ref="H374">F374/20</f>
        <v>3.75</v>
      </c>
      <c r="I374" s="81" cm="1">
        <f t="array" ref="I374">_xlfn.SUMIFS('עסקאות'!$M$2:$M$1958,'עסקאות'!$F$2:$F$1958,B374,'עסקאות'!$A$2:$A$1958,"&gt;="&amp;DATE(2025,1,1),'עסקאות'!$A$2:$A$1958,"&lt;"&amp;DATE(2026,1,1))</f>
        <v>0</v>
      </c>
      <c r="J374" s="83" cm="1">
        <f t="array" ref="J374">_xlfn.SUMIFS('עסקאות'!$M$2:$M$1958,'עסקאות'!$F$2:$F$1958,B374,'עסקאות'!$A$2:$A$1958,"&gt;="&amp;DATE(2026,1,1),'עסקאות'!$A$2:$A$1958,"&lt;"&amp;DATE(2027,1,1))</f>
        <v>75</v>
      </c>
      <c r="K374" s="77"/>
    </row>
    <row r="375" ht="13.65" customHeight="1">
      <c r="A375" s="70"/>
      <c r="B375" t="s" s="120">
        <v>562</v>
      </c>
      <c r="C375" t="s" s="86">
        <v>113</v>
      </c>
      <c r="D375" s="119">
        <v>1</v>
      </c>
      <c r="E375" s="119">
        <v>1</v>
      </c>
      <c r="F375" s="87" cm="1">
        <f t="array" ref="F375">_xlfn.SUMIFS('עסקאות'!$M$2:$M$1958,'עסקאות'!$F$2:$F$1958,B375)</f>
        <v>75</v>
      </c>
      <c r="G375" s="87" cm="1">
        <f t="array" ref="G375">IF(D375=0,"",F375/D375)</f>
        <v>75</v>
      </c>
      <c r="H375" s="87" cm="1">
        <f t="array" ref="H375">F375/20</f>
        <v>3.75</v>
      </c>
      <c r="I375" s="87" cm="1">
        <f t="array" ref="I375">_xlfn.SUMIFS('עסקאות'!$M$2:$M$1958,'עסקאות'!$F$2:$F$1958,B375,'עסקאות'!$A$2:$A$1958,"&gt;="&amp;DATE(2025,1,1),'עסקאות'!$A$2:$A$1958,"&lt;"&amp;DATE(2026,1,1))</f>
        <v>0</v>
      </c>
      <c r="J375" s="28" cm="1">
        <f t="array" ref="J375">_xlfn.SUMIFS('עסקאות'!$M$2:$M$1958,'עסקאות'!$F$2:$F$1958,B375,'עסקאות'!$A$2:$A$1958,"&gt;="&amp;DATE(2026,1,1),'עסקאות'!$A$2:$A$1958,"&lt;"&amp;DATE(2027,1,1))</f>
        <v>75</v>
      </c>
      <c r="K375" s="77"/>
    </row>
    <row r="376" ht="13.65" customHeight="1">
      <c r="A376" s="70"/>
      <c r="B376" t="s" s="94">
        <v>563</v>
      </c>
      <c r="C376" t="s" s="80">
        <v>113</v>
      </c>
      <c r="D376" s="118">
        <v>1</v>
      </c>
      <c r="E376" s="118">
        <v>1</v>
      </c>
      <c r="F376" s="81" cm="1">
        <f t="array" ref="F376">_xlfn.SUMIFS('עסקאות'!$M$2:$M$1958,'עסקאות'!$F$2:$F$1958,B376)</f>
        <v>73</v>
      </c>
      <c r="G376" s="81" cm="1">
        <f t="array" ref="G376">IF(D376=0,"",F376/D376)</f>
        <v>73</v>
      </c>
      <c r="H376" s="81" cm="1">
        <f t="array" ref="H376">F376/20</f>
        <v>3.65</v>
      </c>
      <c r="I376" s="81" cm="1">
        <f t="array" ref="I376">_xlfn.SUMIFS('עסקאות'!$M$2:$M$1958,'עסקאות'!$F$2:$F$1958,B376,'עסקאות'!$A$2:$A$1958,"&gt;="&amp;DATE(2025,1,1),'עסקאות'!$A$2:$A$1958,"&lt;"&amp;DATE(2026,1,1))</f>
        <v>0</v>
      </c>
      <c r="J376" s="83" cm="1">
        <f t="array" ref="J376">_xlfn.SUMIFS('עסקאות'!$M$2:$M$1958,'עסקאות'!$F$2:$F$1958,B376,'עסקאות'!$A$2:$A$1958,"&gt;="&amp;DATE(2026,1,1),'עסקאות'!$A$2:$A$1958,"&lt;"&amp;DATE(2027,1,1))</f>
        <v>73</v>
      </c>
      <c r="K376" s="77"/>
    </row>
    <row r="377" ht="13.65" customHeight="1">
      <c r="A377" s="70"/>
      <c r="B377" t="s" s="27">
        <v>564</v>
      </c>
      <c r="C377" t="s" s="86">
        <v>127</v>
      </c>
      <c r="D377" s="119">
        <v>1</v>
      </c>
      <c r="E377" s="119">
        <v>1</v>
      </c>
      <c r="F377" s="87" cm="1">
        <f t="array" ref="F377">_xlfn.SUMIFS('עסקאות'!$M$2:$M$1958,'עסקאות'!$F$2:$F$1958,B377)</f>
        <v>72</v>
      </c>
      <c r="G377" s="87" cm="1">
        <f t="array" ref="G377">IF(D377=0,"",F377/D377)</f>
        <v>72</v>
      </c>
      <c r="H377" s="87" cm="1">
        <f t="array" ref="H377">F377/20</f>
        <v>3.6</v>
      </c>
      <c r="I377" s="87" cm="1">
        <f t="array" ref="I377">_xlfn.SUMIFS('עסקאות'!$M$2:$M$1958,'עסקאות'!$F$2:$F$1958,B377,'עסקאות'!$A$2:$A$1958,"&gt;="&amp;DATE(2025,1,1),'עסקאות'!$A$2:$A$1958,"&lt;"&amp;DATE(2026,1,1))</f>
        <v>72</v>
      </c>
      <c r="J377" s="28" cm="1">
        <f t="array" ref="J377">_xlfn.SUMIFS('עסקאות'!$M$2:$M$1958,'עסקאות'!$F$2:$F$1958,B377,'עסקאות'!$A$2:$A$1958,"&gt;="&amp;DATE(2026,1,1),'עסקאות'!$A$2:$A$1958,"&lt;"&amp;DATE(2027,1,1))</f>
        <v>0</v>
      </c>
      <c r="K377" s="77"/>
    </row>
    <row r="378" ht="13.65" customHeight="1">
      <c r="A378" s="70"/>
      <c r="B378" t="s" s="121">
        <v>565</v>
      </c>
      <c r="C378" t="s" s="80">
        <v>113</v>
      </c>
      <c r="D378" s="118">
        <v>1</v>
      </c>
      <c r="E378" s="118">
        <v>1</v>
      </c>
      <c r="F378" s="81" cm="1">
        <f t="array" ref="F378">_xlfn.SUMIFS('עסקאות'!$M$2:$M$1958,'עסקאות'!$F$2:$F$1958,B378)</f>
        <v>72</v>
      </c>
      <c r="G378" s="81" cm="1">
        <f t="array" ref="G378">IF(D378=0,"",F378/D378)</f>
        <v>72</v>
      </c>
      <c r="H378" s="81" cm="1">
        <f t="array" ref="H378">F378/20</f>
        <v>3.6</v>
      </c>
      <c r="I378" s="81" cm="1">
        <f t="array" ref="I378">_xlfn.SUMIFS('עסקאות'!$M$2:$M$1958,'עסקאות'!$F$2:$F$1958,B378,'עסקאות'!$A$2:$A$1958,"&gt;="&amp;DATE(2025,1,1),'עסקאות'!$A$2:$A$1958,"&lt;"&amp;DATE(2026,1,1))</f>
        <v>0</v>
      </c>
      <c r="J378" s="83" cm="1">
        <f t="array" ref="J378">_xlfn.SUMIFS('עסקאות'!$M$2:$M$1958,'עסקאות'!$F$2:$F$1958,B378,'עסקאות'!$A$2:$A$1958,"&gt;="&amp;DATE(2026,1,1),'עסקאות'!$A$2:$A$1958,"&lt;"&amp;DATE(2027,1,1))</f>
        <v>72</v>
      </c>
      <c r="K378" s="77"/>
    </row>
    <row r="379" ht="13.65" customHeight="1">
      <c r="A379" s="70"/>
      <c r="B379" t="s" s="27">
        <v>566</v>
      </c>
      <c r="C379" t="s" s="86">
        <v>109</v>
      </c>
      <c r="D379" s="119">
        <v>3</v>
      </c>
      <c r="E379" s="119">
        <v>2</v>
      </c>
      <c r="F379" s="87" cm="1">
        <f t="array" ref="F379">_xlfn.SUMIFS('עסקאות'!$M$2:$M$1958,'עסקאות'!$F$2:$F$1958,B379)</f>
        <v>72</v>
      </c>
      <c r="G379" s="87" cm="1">
        <f t="array" ref="G379">IF(D379=0,"",F379/D379)</f>
        <v>24</v>
      </c>
      <c r="H379" s="87" cm="1">
        <f t="array" ref="H379">F379/20</f>
        <v>3.6</v>
      </c>
      <c r="I379" s="87" cm="1">
        <f t="array" ref="I379">_xlfn.SUMIFS('עסקאות'!$M$2:$M$1958,'עסקאות'!$F$2:$F$1958,B379,'עסקאות'!$A$2:$A$1958,"&gt;="&amp;DATE(2025,1,1),'עסקאות'!$A$2:$A$1958,"&lt;"&amp;DATE(2026,1,1))</f>
        <v>0</v>
      </c>
      <c r="J379" s="28" cm="1">
        <f t="array" ref="J379">_xlfn.SUMIFS('עסקאות'!$M$2:$M$1958,'עסקאות'!$F$2:$F$1958,B379,'עסקאות'!$A$2:$A$1958,"&gt;="&amp;DATE(2026,1,1),'עסקאות'!$A$2:$A$1958,"&lt;"&amp;DATE(2027,1,1))</f>
        <v>72</v>
      </c>
      <c r="K379" s="77"/>
    </row>
    <row r="380" ht="13.65" customHeight="1">
      <c r="A380" s="70"/>
      <c r="B380" t="s" s="94">
        <v>567</v>
      </c>
      <c r="C380" t="s" s="80">
        <v>111</v>
      </c>
      <c r="D380" s="118">
        <v>1</v>
      </c>
      <c r="E380" s="118">
        <v>1</v>
      </c>
      <c r="F380" s="81" cm="1">
        <f t="array" ref="F380">_xlfn.SUMIFS('עסקאות'!$M$2:$M$1958,'עסקאות'!$F$2:$F$1958,B380)</f>
        <v>71</v>
      </c>
      <c r="G380" s="81" cm="1">
        <f t="array" ref="G380">IF(D380=0,"",F380/D380)</f>
        <v>71</v>
      </c>
      <c r="H380" s="81" cm="1">
        <f t="array" ref="H380">F380/20</f>
        <v>3.55</v>
      </c>
      <c r="I380" s="81" cm="1">
        <f t="array" ref="I380">_xlfn.SUMIFS('עסקאות'!$M$2:$M$1958,'עסקאות'!$F$2:$F$1958,B380,'עסקאות'!$A$2:$A$1958,"&gt;="&amp;DATE(2025,1,1),'עסקאות'!$A$2:$A$1958,"&lt;"&amp;DATE(2026,1,1))</f>
        <v>0</v>
      </c>
      <c r="J380" s="83" cm="1">
        <f t="array" ref="J380">_xlfn.SUMIFS('עסקאות'!$M$2:$M$1958,'עסקאות'!$F$2:$F$1958,B380,'עסקאות'!$A$2:$A$1958,"&gt;="&amp;DATE(2026,1,1),'עסקאות'!$A$2:$A$1958,"&lt;"&amp;DATE(2027,1,1))</f>
        <v>71</v>
      </c>
      <c r="K380" s="77"/>
    </row>
    <row r="381" ht="13.65" customHeight="1">
      <c r="A381" s="70"/>
      <c r="B381" t="s" s="27">
        <v>568</v>
      </c>
      <c r="C381" t="s" s="86">
        <v>109</v>
      </c>
      <c r="D381" s="119">
        <v>1</v>
      </c>
      <c r="E381" s="119">
        <v>1</v>
      </c>
      <c r="F381" s="87" cm="1">
        <f t="array" ref="F381">_xlfn.SUMIFS('עסקאות'!$M$2:$M$1958,'עסקאות'!$F$2:$F$1958,B381)</f>
        <v>70</v>
      </c>
      <c r="G381" s="87" cm="1">
        <f t="array" ref="G381">IF(D381=0,"",F381/D381)</f>
        <v>70</v>
      </c>
      <c r="H381" s="87" cm="1">
        <f t="array" ref="H381">F381/20</f>
        <v>3.5</v>
      </c>
      <c r="I381" s="87" cm="1">
        <f t="array" ref="I381">_xlfn.SUMIFS('עסקאות'!$M$2:$M$1958,'עסקאות'!$F$2:$F$1958,B381,'עסקאות'!$A$2:$A$1958,"&gt;="&amp;DATE(2025,1,1),'עסקאות'!$A$2:$A$1958,"&lt;"&amp;DATE(2026,1,1))</f>
        <v>70</v>
      </c>
      <c r="J381" s="28" cm="1">
        <f t="array" ref="J381">_xlfn.SUMIFS('עסקאות'!$M$2:$M$1958,'עסקאות'!$F$2:$F$1958,B381,'עסקאות'!$A$2:$A$1958,"&gt;="&amp;DATE(2026,1,1),'עסקאות'!$A$2:$A$1958,"&lt;"&amp;DATE(2027,1,1))</f>
        <v>0</v>
      </c>
      <c r="K381" s="77"/>
    </row>
    <row r="382" ht="13.65" customHeight="1">
      <c r="A382" s="70"/>
      <c r="B382" t="s" s="94">
        <v>569</v>
      </c>
      <c r="C382" t="s" s="80">
        <v>105</v>
      </c>
      <c r="D382" s="118">
        <v>1</v>
      </c>
      <c r="E382" s="118">
        <v>1</v>
      </c>
      <c r="F382" s="81" cm="1">
        <f t="array" ref="F382">_xlfn.SUMIFS('עסקאות'!$M$2:$M$1958,'עסקאות'!$F$2:$F$1958,B382)</f>
        <v>70</v>
      </c>
      <c r="G382" s="81" cm="1">
        <f t="array" ref="G382">IF(D382=0,"",F382/D382)</f>
        <v>70</v>
      </c>
      <c r="H382" s="81" cm="1">
        <f t="array" ref="H382">F382/20</f>
        <v>3.5</v>
      </c>
      <c r="I382" s="81" cm="1">
        <f t="array" ref="I382">_xlfn.SUMIFS('עסקאות'!$M$2:$M$1958,'עסקאות'!$F$2:$F$1958,B382,'עסקאות'!$A$2:$A$1958,"&gt;="&amp;DATE(2025,1,1),'עסקאות'!$A$2:$A$1958,"&lt;"&amp;DATE(2026,1,1))</f>
        <v>70</v>
      </c>
      <c r="J382" s="83" cm="1">
        <f t="array" ref="J382">_xlfn.SUMIFS('עסקאות'!$M$2:$M$1958,'עסקאות'!$F$2:$F$1958,B382,'עסקאות'!$A$2:$A$1958,"&gt;="&amp;DATE(2026,1,1),'עסקאות'!$A$2:$A$1958,"&lt;"&amp;DATE(2027,1,1))</f>
        <v>0</v>
      </c>
      <c r="K382" s="77"/>
    </row>
    <row r="383" ht="13.65" customHeight="1">
      <c r="A383" s="70"/>
      <c r="B383" t="s" s="27">
        <v>570</v>
      </c>
      <c r="C383" t="s" s="86">
        <v>127</v>
      </c>
      <c r="D383" s="119">
        <v>1</v>
      </c>
      <c r="E383" s="119">
        <v>1</v>
      </c>
      <c r="F383" s="87" cm="1">
        <f t="array" ref="F383">_xlfn.SUMIFS('עסקאות'!$M$2:$M$1958,'עסקאות'!$F$2:$F$1958,B383)</f>
        <v>70</v>
      </c>
      <c r="G383" s="87" cm="1">
        <f t="array" ref="G383">IF(D383=0,"",F383/D383)</f>
        <v>70</v>
      </c>
      <c r="H383" s="87" cm="1">
        <f t="array" ref="H383">F383/20</f>
        <v>3.5</v>
      </c>
      <c r="I383" s="87" cm="1">
        <f t="array" ref="I383">_xlfn.SUMIFS('עסקאות'!$M$2:$M$1958,'עסקאות'!$F$2:$F$1958,B383,'עסקאות'!$A$2:$A$1958,"&gt;="&amp;DATE(2025,1,1),'עסקאות'!$A$2:$A$1958,"&lt;"&amp;DATE(2026,1,1))</f>
        <v>70</v>
      </c>
      <c r="J383" s="28" cm="1">
        <f t="array" ref="J383">_xlfn.SUMIFS('עסקאות'!$M$2:$M$1958,'עסקאות'!$F$2:$F$1958,B383,'עסקאות'!$A$2:$A$1958,"&gt;="&amp;DATE(2026,1,1),'עסקאות'!$A$2:$A$1958,"&lt;"&amp;DATE(2027,1,1))</f>
        <v>0</v>
      </c>
      <c r="K383" s="77"/>
    </row>
    <row r="384" ht="13.65" customHeight="1">
      <c r="A384" s="70"/>
      <c r="B384" t="s" s="94">
        <v>571</v>
      </c>
      <c r="C384" t="s" s="80">
        <v>127</v>
      </c>
      <c r="D384" s="118">
        <v>1</v>
      </c>
      <c r="E384" s="118">
        <v>1</v>
      </c>
      <c r="F384" s="81" cm="1">
        <f t="array" ref="F384">_xlfn.SUMIFS('עסקאות'!$M$2:$M$1958,'עסקאות'!$F$2:$F$1958,B384)</f>
        <v>70</v>
      </c>
      <c r="G384" s="81" cm="1">
        <f t="array" ref="G384">IF(D384=0,"",F384/D384)</f>
        <v>70</v>
      </c>
      <c r="H384" s="81" cm="1">
        <f t="array" ref="H384">F384/20</f>
        <v>3.5</v>
      </c>
      <c r="I384" s="81" cm="1">
        <f t="array" ref="I384">_xlfn.SUMIFS('עסקאות'!$M$2:$M$1958,'עסקאות'!$F$2:$F$1958,B384,'עסקאות'!$A$2:$A$1958,"&gt;="&amp;DATE(2025,1,1),'עסקאות'!$A$2:$A$1958,"&lt;"&amp;DATE(2026,1,1))</f>
        <v>70</v>
      </c>
      <c r="J384" s="83" cm="1">
        <f t="array" ref="J384">_xlfn.SUMIFS('עסקאות'!$M$2:$M$1958,'עסקאות'!$F$2:$F$1958,B384,'עסקאות'!$A$2:$A$1958,"&gt;="&amp;DATE(2026,1,1),'עסקאות'!$A$2:$A$1958,"&lt;"&amp;DATE(2027,1,1))</f>
        <v>0</v>
      </c>
      <c r="K384" s="77"/>
    </row>
    <row r="385" ht="13.65" customHeight="1">
      <c r="A385" s="70"/>
      <c r="B385" t="s" s="27">
        <v>572</v>
      </c>
      <c r="C385" t="s" s="86">
        <v>125</v>
      </c>
      <c r="D385" s="119">
        <v>1</v>
      </c>
      <c r="E385" s="119">
        <v>1</v>
      </c>
      <c r="F385" s="87" cm="1">
        <f t="array" ref="F385">_xlfn.SUMIFS('עסקאות'!$M$2:$M$1958,'עסקאות'!$F$2:$F$1958,B385)</f>
        <v>70</v>
      </c>
      <c r="G385" s="87" cm="1">
        <f t="array" ref="G385">IF(D385=0,"",F385/D385)</f>
        <v>70</v>
      </c>
      <c r="H385" s="87" cm="1">
        <f t="array" ref="H385">F385/20</f>
        <v>3.5</v>
      </c>
      <c r="I385" s="87" cm="1">
        <f t="array" ref="I385">_xlfn.SUMIFS('עסקאות'!$M$2:$M$1958,'עסקאות'!$F$2:$F$1958,B385,'עסקאות'!$A$2:$A$1958,"&gt;="&amp;DATE(2025,1,1),'עסקאות'!$A$2:$A$1958,"&lt;"&amp;DATE(2026,1,1))</f>
        <v>70</v>
      </c>
      <c r="J385" s="28" cm="1">
        <f t="array" ref="J385">_xlfn.SUMIFS('עסקאות'!$M$2:$M$1958,'עסקאות'!$F$2:$F$1958,B385,'עסקאות'!$A$2:$A$1958,"&gt;="&amp;DATE(2026,1,1),'עסקאות'!$A$2:$A$1958,"&lt;"&amp;DATE(2027,1,1))</f>
        <v>0</v>
      </c>
      <c r="K385" s="77"/>
    </row>
    <row r="386" ht="13.65" customHeight="1">
      <c r="A386" s="70"/>
      <c r="B386" t="s" s="94">
        <v>573</v>
      </c>
      <c r="C386" t="s" s="80">
        <v>123</v>
      </c>
      <c r="D386" s="118">
        <v>1</v>
      </c>
      <c r="E386" s="118">
        <v>1</v>
      </c>
      <c r="F386" s="81" cm="1">
        <f t="array" ref="F386">_xlfn.SUMIFS('עסקאות'!$M$2:$M$1958,'עסקאות'!$F$2:$F$1958,B386)</f>
        <v>70</v>
      </c>
      <c r="G386" s="81" cm="1">
        <f t="array" ref="G386">IF(D386=0,"",F386/D386)</f>
        <v>70</v>
      </c>
      <c r="H386" s="81" cm="1">
        <f t="array" ref="H386">F386/20</f>
        <v>3.5</v>
      </c>
      <c r="I386" s="81" cm="1">
        <f t="array" ref="I386">_xlfn.SUMIFS('עסקאות'!$M$2:$M$1958,'עסקאות'!$F$2:$F$1958,B386,'עסקאות'!$A$2:$A$1958,"&gt;="&amp;DATE(2025,1,1),'עסקאות'!$A$2:$A$1958,"&lt;"&amp;DATE(2026,1,1))</f>
        <v>0</v>
      </c>
      <c r="J386" s="83" cm="1">
        <f t="array" ref="J386">_xlfn.SUMIFS('עסקאות'!$M$2:$M$1958,'עסקאות'!$F$2:$F$1958,B386,'עסקאות'!$A$2:$A$1958,"&gt;="&amp;DATE(2026,1,1),'עסקאות'!$A$2:$A$1958,"&lt;"&amp;DATE(2027,1,1))</f>
        <v>70</v>
      </c>
      <c r="K386" s="77"/>
    </row>
    <row r="387" ht="13.65" customHeight="1">
      <c r="A387" s="70"/>
      <c r="B387" t="s" s="27">
        <v>574</v>
      </c>
      <c r="C387" t="s" s="86">
        <v>115</v>
      </c>
      <c r="D387" s="119">
        <v>1</v>
      </c>
      <c r="E387" s="119">
        <v>1</v>
      </c>
      <c r="F387" s="87" cm="1">
        <f t="array" ref="F387">_xlfn.SUMIFS('עסקאות'!$M$2:$M$1958,'עסקאות'!$F$2:$F$1958,B387)</f>
        <v>70</v>
      </c>
      <c r="G387" s="87" cm="1">
        <f t="array" ref="G387">IF(D387=0,"",F387/D387)</f>
        <v>70</v>
      </c>
      <c r="H387" s="87" cm="1">
        <f t="array" ref="H387">F387/20</f>
        <v>3.5</v>
      </c>
      <c r="I387" s="87" cm="1">
        <f t="array" ref="I387">_xlfn.SUMIFS('עסקאות'!$M$2:$M$1958,'עסקאות'!$F$2:$F$1958,B387,'עסקאות'!$A$2:$A$1958,"&gt;="&amp;DATE(2025,1,1),'עסקאות'!$A$2:$A$1958,"&lt;"&amp;DATE(2026,1,1))</f>
        <v>0</v>
      </c>
      <c r="J387" s="28" cm="1">
        <f t="array" ref="J387">_xlfn.SUMIFS('עסקאות'!$M$2:$M$1958,'עסקאות'!$F$2:$F$1958,B387,'עסקאות'!$A$2:$A$1958,"&gt;="&amp;DATE(2026,1,1),'עסקאות'!$A$2:$A$1958,"&lt;"&amp;DATE(2027,1,1))</f>
        <v>70</v>
      </c>
      <c r="K387" s="77"/>
    </row>
    <row r="388" ht="13.65" customHeight="1">
      <c r="A388" s="70"/>
      <c r="B388" t="s" s="94">
        <v>575</v>
      </c>
      <c r="C388" t="s" s="80">
        <v>115</v>
      </c>
      <c r="D388" s="118">
        <v>1</v>
      </c>
      <c r="E388" s="118">
        <v>1</v>
      </c>
      <c r="F388" s="81" cm="1">
        <f t="array" ref="F388">_xlfn.SUMIFS('עסקאות'!$M$2:$M$1958,'עסקאות'!$F$2:$F$1958,B388)</f>
        <v>70</v>
      </c>
      <c r="G388" s="81" cm="1">
        <f t="array" ref="G388">IF(D388=0,"",F388/D388)</f>
        <v>70</v>
      </c>
      <c r="H388" s="81" cm="1">
        <f t="array" ref="H388">F388/20</f>
        <v>3.5</v>
      </c>
      <c r="I388" s="81" cm="1">
        <f t="array" ref="I388">_xlfn.SUMIFS('עסקאות'!$M$2:$M$1958,'עסקאות'!$F$2:$F$1958,B388,'עסקאות'!$A$2:$A$1958,"&gt;="&amp;DATE(2025,1,1),'עסקאות'!$A$2:$A$1958,"&lt;"&amp;DATE(2026,1,1))</f>
        <v>0</v>
      </c>
      <c r="J388" s="83" cm="1">
        <f t="array" ref="J388">_xlfn.SUMIFS('עסקאות'!$M$2:$M$1958,'עסקאות'!$F$2:$F$1958,B388,'עסקאות'!$A$2:$A$1958,"&gt;="&amp;DATE(2026,1,1),'עסקאות'!$A$2:$A$1958,"&lt;"&amp;DATE(2027,1,1))</f>
        <v>70</v>
      </c>
      <c r="K388" s="77"/>
    </row>
    <row r="389" ht="13.65" customHeight="1">
      <c r="A389" s="70"/>
      <c r="B389" t="s" s="27">
        <v>576</v>
      </c>
      <c r="C389" t="s" s="86">
        <v>105</v>
      </c>
      <c r="D389" s="119">
        <v>2</v>
      </c>
      <c r="E389" s="119">
        <v>1</v>
      </c>
      <c r="F389" s="87" cm="1">
        <f t="array" ref="F389">_xlfn.SUMIFS('עסקאות'!$M$2:$M$1958,'עסקאות'!$F$2:$F$1958,B389)</f>
        <v>68</v>
      </c>
      <c r="G389" s="87" cm="1">
        <f t="array" ref="G389">IF(D389=0,"",F389/D389)</f>
        <v>34</v>
      </c>
      <c r="H389" s="87" cm="1">
        <f t="array" ref="H389">F389/20</f>
        <v>3.4</v>
      </c>
      <c r="I389" s="87" cm="1">
        <f t="array" ref="I389">_xlfn.SUMIFS('עסקאות'!$M$2:$M$1958,'עסקאות'!$F$2:$F$1958,B389,'עסקאות'!$A$2:$A$1958,"&gt;="&amp;DATE(2025,1,1),'עסקאות'!$A$2:$A$1958,"&lt;"&amp;DATE(2026,1,1))</f>
        <v>68</v>
      </c>
      <c r="J389" s="28" cm="1">
        <f t="array" ref="J389">_xlfn.SUMIFS('עסקאות'!$M$2:$M$1958,'עסקאות'!$F$2:$F$1958,B389,'עסקאות'!$A$2:$A$1958,"&gt;="&amp;DATE(2026,1,1),'עסקאות'!$A$2:$A$1958,"&lt;"&amp;DATE(2027,1,1))</f>
        <v>0</v>
      </c>
      <c r="K389" s="77"/>
    </row>
    <row r="390" ht="13.65" customHeight="1">
      <c r="A390" s="70"/>
      <c r="B390" t="s" s="94">
        <v>577</v>
      </c>
      <c r="C390" t="s" s="80">
        <v>129</v>
      </c>
      <c r="D390" s="118">
        <v>1</v>
      </c>
      <c r="E390" s="118">
        <v>1</v>
      </c>
      <c r="F390" s="81" cm="1">
        <f t="array" ref="F390">_xlfn.SUMIFS('עסקאות'!$M$2:$M$1958,'עסקאות'!$F$2:$F$1958,B390)</f>
        <v>68</v>
      </c>
      <c r="G390" s="81" cm="1">
        <f t="array" ref="G390">IF(D390=0,"",F390/D390)</f>
        <v>68</v>
      </c>
      <c r="H390" s="81" cm="1">
        <f t="array" ref="H390">F390/20</f>
        <v>3.4</v>
      </c>
      <c r="I390" s="81" cm="1">
        <f t="array" ref="I390">_xlfn.SUMIFS('עסקאות'!$M$2:$M$1958,'עסקאות'!$F$2:$F$1958,B390,'עסקאות'!$A$2:$A$1958,"&gt;="&amp;DATE(2025,1,1),'עסקאות'!$A$2:$A$1958,"&lt;"&amp;DATE(2026,1,1))</f>
        <v>68</v>
      </c>
      <c r="J390" s="83" cm="1">
        <f t="array" ref="J390">_xlfn.SUMIFS('עסקאות'!$M$2:$M$1958,'עסקאות'!$F$2:$F$1958,B390,'עסקאות'!$A$2:$A$1958,"&gt;="&amp;DATE(2026,1,1),'עסקאות'!$A$2:$A$1958,"&lt;"&amp;DATE(2027,1,1))</f>
        <v>0</v>
      </c>
      <c r="K390" s="77"/>
    </row>
    <row r="391" ht="13.65" customHeight="1">
      <c r="A391" s="70"/>
      <c r="B391" t="s" s="27">
        <v>578</v>
      </c>
      <c r="C391" t="s" s="86">
        <v>107</v>
      </c>
      <c r="D391" s="119">
        <v>1</v>
      </c>
      <c r="E391" s="119">
        <v>1</v>
      </c>
      <c r="F391" s="87" cm="1">
        <f t="array" ref="F391">_xlfn.SUMIFS('עסקאות'!$M$2:$M$1958,'עסקאות'!$F$2:$F$1958,B391)</f>
        <v>68</v>
      </c>
      <c r="G391" s="87" cm="1">
        <f t="array" ref="G391">IF(D391=0,"",F391/D391)</f>
        <v>68</v>
      </c>
      <c r="H391" s="87" cm="1">
        <f t="array" ref="H391">F391/20</f>
        <v>3.4</v>
      </c>
      <c r="I391" s="87" cm="1">
        <f t="array" ref="I391">_xlfn.SUMIFS('עסקאות'!$M$2:$M$1958,'עסקאות'!$F$2:$F$1958,B391,'עסקאות'!$A$2:$A$1958,"&gt;="&amp;DATE(2025,1,1),'עסקאות'!$A$2:$A$1958,"&lt;"&amp;DATE(2026,1,1))</f>
        <v>0</v>
      </c>
      <c r="J391" s="28" cm="1">
        <f t="array" ref="J391">_xlfn.SUMIFS('עסקאות'!$M$2:$M$1958,'עסקאות'!$F$2:$F$1958,B391,'עסקאות'!$A$2:$A$1958,"&gt;="&amp;DATE(2026,1,1),'עסקאות'!$A$2:$A$1958,"&lt;"&amp;DATE(2027,1,1))</f>
        <v>68</v>
      </c>
      <c r="K391" s="77"/>
    </row>
    <row r="392" ht="13.65" customHeight="1">
      <c r="A392" s="70"/>
      <c r="B392" t="s" s="94">
        <v>579</v>
      </c>
      <c r="C392" t="s" s="80">
        <v>129</v>
      </c>
      <c r="D392" s="118">
        <v>1</v>
      </c>
      <c r="E392" s="118">
        <v>1</v>
      </c>
      <c r="F392" s="81" cm="1">
        <f t="array" ref="F392">_xlfn.SUMIFS('עסקאות'!$M$2:$M$1958,'עסקאות'!$F$2:$F$1958,B392)</f>
        <v>65</v>
      </c>
      <c r="G392" s="81" cm="1">
        <f t="array" ref="G392">IF(D392=0,"",F392/D392)</f>
        <v>65</v>
      </c>
      <c r="H392" s="81" cm="1">
        <f t="array" ref="H392">F392/20</f>
        <v>3.25</v>
      </c>
      <c r="I392" s="81" cm="1">
        <f t="array" ref="I392">_xlfn.SUMIFS('עסקאות'!$M$2:$M$1958,'עסקאות'!$F$2:$F$1958,B392,'עסקאות'!$A$2:$A$1958,"&gt;="&amp;DATE(2025,1,1),'עסקאות'!$A$2:$A$1958,"&lt;"&amp;DATE(2026,1,1))</f>
        <v>65</v>
      </c>
      <c r="J392" s="83" cm="1">
        <f t="array" ref="J392">_xlfn.SUMIFS('עסקאות'!$M$2:$M$1958,'עסקאות'!$F$2:$F$1958,B392,'עסקאות'!$A$2:$A$1958,"&gt;="&amp;DATE(2026,1,1),'עסקאות'!$A$2:$A$1958,"&lt;"&amp;DATE(2027,1,1))</f>
        <v>0</v>
      </c>
      <c r="K392" s="77"/>
    </row>
    <row r="393" ht="13.65" customHeight="1">
      <c r="A393" s="70"/>
      <c r="B393" t="s" s="27">
        <v>580</v>
      </c>
      <c r="C393" t="s" s="86">
        <v>129</v>
      </c>
      <c r="D393" s="119">
        <v>1</v>
      </c>
      <c r="E393" s="119">
        <v>1</v>
      </c>
      <c r="F393" s="87" cm="1">
        <f t="array" ref="F393">_xlfn.SUMIFS('עסקאות'!$M$2:$M$1958,'עסקאות'!$F$2:$F$1958,B393)</f>
        <v>65</v>
      </c>
      <c r="G393" s="87" cm="1">
        <f t="array" ref="G393">IF(D393=0,"",F393/D393)</f>
        <v>65</v>
      </c>
      <c r="H393" s="87" cm="1">
        <f t="array" ref="H393">F393/20</f>
        <v>3.25</v>
      </c>
      <c r="I393" s="87" cm="1">
        <f t="array" ref="I393">_xlfn.SUMIFS('עסקאות'!$M$2:$M$1958,'עסקאות'!$F$2:$F$1958,B393,'עסקאות'!$A$2:$A$1958,"&gt;="&amp;DATE(2025,1,1),'עסקאות'!$A$2:$A$1958,"&lt;"&amp;DATE(2026,1,1))</f>
        <v>65</v>
      </c>
      <c r="J393" s="28" cm="1">
        <f t="array" ref="J393">_xlfn.SUMIFS('עסקאות'!$M$2:$M$1958,'עסקאות'!$F$2:$F$1958,B393,'עסקאות'!$A$2:$A$1958,"&gt;="&amp;DATE(2026,1,1),'עסקאות'!$A$2:$A$1958,"&lt;"&amp;DATE(2027,1,1))</f>
        <v>0</v>
      </c>
      <c r="K393" s="77"/>
    </row>
    <row r="394" ht="13.65" customHeight="1">
      <c r="A394" s="70"/>
      <c r="B394" t="s" s="94">
        <v>581</v>
      </c>
      <c r="C394" t="s" s="80">
        <v>129</v>
      </c>
      <c r="D394" s="118">
        <v>1</v>
      </c>
      <c r="E394" s="118">
        <v>1</v>
      </c>
      <c r="F394" s="81" cm="1">
        <f t="array" ref="F394">_xlfn.SUMIFS('עסקאות'!$M$2:$M$1958,'עסקאות'!$F$2:$F$1958,B394)</f>
        <v>65</v>
      </c>
      <c r="G394" s="81" cm="1">
        <f t="array" ref="G394">IF(D394=0,"",F394/D394)</f>
        <v>65</v>
      </c>
      <c r="H394" s="81" cm="1">
        <f t="array" ref="H394">F394/20</f>
        <v>3.25</v>
      </c>
      <c r="I394" s="81" cm="1">
        <f t="array" ref="I394">_xlfn.SUMIFS('עסקאות'!$M$2:$M$1958,'עסקאות'!$F$2:$F$1958,B394,'עסקאות'!$A$2:$A$1958,"&gt;="&amp;DATE(2025,1,1),'עסקאות'!$A$2:$A$1958,"&lt;"&amp;DATE(2026,1,1))</f>
        <v>65</v>
      </c>
      <c r="J394" s="83" cm="1">
        <f t="array" ref="J394">_xlfn.SUMIFS('עסקאות'!$M$2:$M$1958,'עסקאות'!$F$2:$F$1958,B394,'עסקאות'!$A$2:$A$1958,"&gt;="&amp;DATE(2026,1,1),'עסקאות'!$A$2:$A$1958,"&lt;"&amp;DATE(2027,1,1))</f>
        <v>0</v>
      </c>
      <c r="K394" s="77"/>
    </row>
    <row r="395" ht="13.65" customHeight="1">
      <c r="A395" s="70"/>
      <c r="B395" t="s" s="27">
        <v>582</v>
      </c>
      <c r="C395" t="s" s="86">
        <v>113</v>
      </c>
      <c r="D395" s="119">
        <v>1</v>
      </c>
      <c r="E395" s="119">
        <v>1</v>
      </c>
      <c r="F395" s="87" cm="1">
        <f t="array" ref="F395">_xlfn.SUMIFS('עסקאות'!$M$2:$M$1958,'עסקאות'!$F$2:$F$1958,B395)</f>
        <v>65</v>
      </c>
      <c r="G395" s="87" cm="1">
        <f t="array" ref="G395">IF(D395=0,"",F395/D395)</f>
        <v>65</v>
      </c>
      <c r="H395" s="87" cm="1">
        <f t="array" ref="H395">F395/20</f>
        <v>3.25</v>
      </c>
      <c r="I395" s="87" cm="1">
        <f t="array" ref="I395">_xlfn.SUMIFS('עסקאות'!$M$2:$M$1958,'עסקאות'!$F$2:$F$1958,B395,'עסקאות'!$A$2:$A$1958,"&gt;="&amp;DATE(2025,1,1),'עסקאות'!$A$2:$A$1958,"&lt;"&amp;DATE(2026,1,1))</f>
        <v>0</v>
      </c>
      <c r="J395" s="28" cm="1">
        <f t="array" ref="J395">_xlfn.SUMIFS('עסקאות'!$M$2:$M$1958,'עסקאות'!$F$2:$F$1958,B395,'עסקאות'!$A$2:$A$1958,"&gt;="&amp;DATE(2026,1,1),'עסקאות'!$A$2:$A$1958,"&lt;"&amp;DATE(2027,1,1))</f>
        <v>65</v>
      </c>
      <c r="K395" s="77"/>
    </row>
    <row r="396" ht="13.65" customHeight="1">
      <c r="A396" s="70"/>
      <c r="B396" t="s" s="94">
        <v>583</v>
      </c>
      <c r="C396" t="s" s="80">
        <v>115</v>
      </c>
      <c r="D396" s="118">
        <v>2</v>
      </c>
      <c r="E396" s="118">
        <v>2</v>
      </c>
      <c r="F396" s="81" cm="1">
        <f t="array" ref="F396">_xlfn.SUMIFS('עסקאות'!$M$2:$M$1958,'עסקאות'!$F$2:$F$1958,B396)</f>
        <v>61</v>
      </c>
      <c r="G396" s="81" cm="1">
        <f t="array" ref="G396">IF(D396=0,"",F396/D396)</f>
        <v>30.5</v>
      </c>
      <c r="H396" s="81" cm="1">
        <f t="array" ref="H396">F396/20</f>
        <v>3.05</v>
      </c>
      <c r="I396" s="81" cm="1">
        <f t="array" ref="I396">_xlfn.SUMIFS('עסקאות'!$M$2:$M$1958,'עסקאות'!$F$2:$F$1958,B396,'עסקאות'!$A$2:$A$1958,"&gt;="&amp;DATE(2025,1,1),'עסקאות'!$A$2:$A$1958,"&lt;"&amp;DATE(2026,1,1))</f>
        <v>61</v>
      </c>
      <c r="J396" s="83" cm="1">
        <f t="array" ref="J396">_xlfn.SUMIFS('עסקאות'!$M$2:$M$1958,'עסקאות'!$F$2:$F$1958,B396,'עסקאות'!$A$2:$A$1958,"&gt;="&amp;DATE(2026,1,1),'עסקאות'!$A$2:$A$1958,"&lt;"&amp;DATE(2027,1,1))</f>
        <v>0</v>
      </c>
      <c r="K396" s="77"/>
    </row>
    <row r="397" ht="13.65" customHeight="1">
      <c r="A397" s="70"/>
      <c r="B397" t="s" s="27">
        <v>584</v>
      </c>
      <c r="C397" t="s" s="86">
        <v>123</v>
      </c>
      <c r="D397" s="119">
        <v>3</v>
      </c>
      <c r="E397" s="119">
        <v>3</v>
      </c>
      <c r="F397" s="87" cm="1">
        <f t="array" ref="F397">_xlfn.SUMIFS('עסקאות'!$M$2:$M$1958,'עסקאות'!$F$2:$F$1958,B397)</f>
        <v>61</v>
      </c>
      <c r="G397" s="87" cm="1">
        <f t="array" ref="G397">IF(D397=0,"",F397/D397)</f>
        <v>20.3333333333333</v>
      </c>
      <c r="H397" s="87" cm="1">
        <f t="array" ref="H397">F397/20</f>
        <v>3.05</v>
      </c>
      <c r="I397" s="87" cm="1">
        <f t="array" ref="I397">_xlfn.SUMIFS('עסקאות'!$M$2:$M$1958,'עסקאות'!$F$2:$F$1958,B397,'עסקאות'!$A$2:$A$1958,"&gt;="&amp;DATE(2025,1,1),'עסקאות'!$A$2:$A$1958,"&lt;"&amp;DATE(2026,1,1))</f>
        <v>61</v>
      </c>
      <c r="J397" s="28" cm="1">
        <f t="array" ref="J397">_xlfn.SUMIFS('עסקאות'!$M$2:$M$1958,'עסקאות'!$F$2:$F$1958,B397,'עסקאות'!$A$2:$A$1958,"&gt;="&amp;DATE(2026,1,1),'עסקאות'!$A$2:$A$1958,"&lt;"&amp;DATE(2027,1,1))</f>
        <v>0</v>
      </c>
      <c r="K397" s="77"/>
    </row>
    <row r="398" ht="13.65" customHeight="1">
      <c r="A398" s="70"/>
      <c r="B398" t="s" s="94">
        <v>585</v>
      </c>
      <c r="C398" t="s" s="80">
        <v>113</v>
      </c>
      <c r="D398" s="118">
        <v>1</v>
      </c>
      <c r="E398" s="118">
        <v>1</v>
      </c>
      <c r="F398" s="81" cm="1">
        <f t="array" ref="F398">_xlfn.SUMIFS('עסקאות'!$M$2:$M$1958,'עסקאות'!$F$2:$F$1958,B398)</f>
        <v>61</v>
      </c>
      <c r="G398" s="81" cm="1">
        <f t="array" ref="G398">IF(D398=0,"",F398/D398)</f>
        <v>61</v>
      </c>
      <c r="H398" s="81" cm="1">
        <f t="array" ref="H398">F398/20</f>
        <v>3.05</v>
      </c>
      <c r="I398" s="81" cm="1">
        <f t="array" ref="I398">_xlfn.SUMIFS('עסקאות'!$M$2:$M$1958,'עסקאות'!$F$2:$F$1958,B398,'עסקאות'!$A$2:$A$1958,"&gt;="&amp;DATE(2025,1,1),'עסקאות'!$A$2:$A$1958,"&lt;"&amp;DATE(2026,1,1))</f>
        <v>0</v>
      </c>
      <c r="J398" s="83" cm="1">
        <f t="array" ref="J398">_xlfn.SUMIFS('עסקאות'!$M$2:$M$1958,'עסקאות'!$F$2:$F$1958,B398,'עסקאות'!$A$2:$A$1958,"&gt;="&amp;DATE(2026,1,1),'עסקאות'!$A$2:$A$1958,"&lt;"&amp;DATE(2027,1,1))</f>
        <v>61</v>
      </c>
      <c r="K398" s="77"/>
    </row>
    <row r="399" ht="13.65" customHeight="1">
      <c r="A399" s="70"/>
      <c r="B399" t="s" s="27">
        <v>586</v>
      </c>
      <c r="C399" t="s" s="86">
        <v>99</v>
      </c>
      <c r="D399" s="119">
        <v>1</v>
      </c>
      <c r="E399" s="119">
        <v>1</v>
      </c>
      <c r="F399" s="87" cm="1">
        <f t="array" ref="F399">_xlfn.SUMIFS('עסקאות'!$M$2:$M$1958,'עסקאות'!$F$2:$F$1958,B399)</f>
        <v>60</v>
      </c>
      <c r="G399" s="87" cm="1">
        <f t="array" ref="G399">IF(D399=0,"",F399/D399)</f>
        <v>60</v>
      </c>
      <c r="H399" s="87" cm="1">
        <f t="array" ref="H399">F399/20</f>
        <v>3</v>
      </c>
      <c r="I399" s="87" cm="1">
        <f t="array" ref="I399">_xlfn.SUMIFS('עסקאות'!$M$2:$M$1958,'עסקאות'!$F$2:$F$1958,B399,'עסקאות'!$A$2:$A$1958,"&gt;="&amp;DATE(2025,1,1),'עסקאות'!$A$2:$A$1958,"&lt;"&amp;DATE(2026,1,1))</f>
        <v>60</v>
      </c>
      <c r="J399" s="28" cm="1">
        <f t="array" ref="J399">_xlfn.SUMIFS('עסקאות'!$M$2:$M$1958,'עסקאות'!$F$2:$F$1958,B399,'עסקאות'!$A$2:$A$1958,"&gt;="&amp;DATE(2026,1,1),'עסקאות'!$A$2:$A$1958,"&lt;"&amp;DATE(2027,1,1))</f>
        <v>0</v>
      </c>
      <c r="K399" s="77"/>
    </row>
    <row r="400" ht="13.65" customHeight="1">
      <c r="A400" s="70"/>
      <c r="B400" t="s" s="94">
        <v>587</v>
      </c>
      <c r="C400" t="s" s="80">
        <v>115</v>
      </c>
      <c r="D400" s="118">
        <v>1</v>
      </c>
      <c r="E400" s="118">
        <v>1</v>
      </c>
      <c r="F400" s="81" cm="1">
        <f t="array" ref="F400">_xlfn.SUMIFS('עסקאות'!$M$2:$M$1958,'עסקאות'!$F$2:$F$1958,B400)</f>
        <v>60</v>
      </c>
      <c r="G400" s="81" cm="1">
        <f t="array" ref="G400">IF(D400=0,"",F400/D400)</f>
        <v>60</v>
      </c>
      <c r="H400" s="81" cm="1">
        <f t="array" ref="H400">F400/20</f>
        <v>3</v>
      </c>
      <c r="I400" s="81" cm="1">
        <f t="array" ref="I400">_xlfn.SUMIFS('עסקאות'!$M$2:$M$1958,'עסקאות'!$F$2:$F$1958,B400,'עסקאות'!$A$2:$A$1958,"&gt;="&amp;DATE(2025,1,1),'עסקאות'!$A$2:$A$1958,"&lt;"&amp;DATE(2026,1,1))</f>
        <v>60</v>
      </c>
      <c r="J400" s="83" cm="1">
        <f t="array" ref="J400">_xlfn.SUMIFS('עסקאות'!$M$2:$M$1958,'עסקאות'!$F$2:$F$1958,B400,'עסקאות'!$A$2:$A$1958,"&gt;="&amp;DATE(2026,1,1),'עסקאות'!$A$2:$A$1958,"&lt;"&amp;DATE(2027,1,1))</f>
        <v>0</v>
      </c>
      <c r="K400" s="77"/>
    </row>
    <row r="401" ht="13.65" customHeight="1">
      <c r="A401" s="70"/>
      <c r="B401" t="s" s="27">
        <v>588</v>
      </c>
      <c r="C401" t="s" s="86">
        <v>105</v>
      </c>
      <c r="D401" s="119">
        <v>1</v>
      </c>
      <c r="E401" s="119">
        <v>1</v>
      </c>
      <c r="F401" s="87" cm="1">
        <f t="array" ref="F401">_xlfn.SUMIFS('עסקאות'!$M$2:$M$1958,'עסקאות'!$F$2:$F$1958,B401)</f>
        <v>60</v>
      </c>
      <c r="G401" s="87" cm="1">
        <f t="array" ref="G401">IF(D401=0,"",F401/D401)</f>
        <v>60</v>
      </c>
      <c r="H401" s="87" cm="1">
        <f t="array" ref="H401">F401/20</f>
        <v>3</v>
      </c>
      <c r="I401" s="87" cm="1">
        <f t="array" ref="I401">_xlfn.SUMIFS('עסקאות'!$M$2:$M$1958,'עסקאות'!$F$2:$F$1958,B401,'עסקאות'!$A$2:$A$1958,"&gt;="&amp;DATE(2025,1,1),'עסקאות'!$A$2:$A$1958,"&lt;"&amp;DATE(2026,1,1))</f>
        <v>60</v>
      </c>
      <c r="J401" s="28" cm="1">
        <f t="array" ref="J401">_xlfn.SUMIFS('עסקאות'!$M$2:$M$1958,'עסקאות'!$F$2:$F$1958,B401,'עסקאות'!$A$2:$A$1958,"&gt;="&amp;DATE(2026,1,1),'עסקאות'!$A$2:$A$1958,"&lt;"&amp;DATE(2027,1,1))</f>
        <v>0</v>
      </c>
      <c r="K401" s="77"/>
    </row>
    <row r="402" ht="13.65" customHeight="1">
      <c r="A402" s="70"/>
      <c r="B402" t="s" s="94">
        <v>589</v>
      </c>
      <c r="C402" t="s" s="80">
        <v>105</v>
      </c>
      <c r="D402" s="118">
        <v>1</v>
      </c>
      <c r="E402" s="118">
        <v>1</v>
      </c>
      <c r="F402" s="81" cm="1">
        <f t="array" ref="F402">_xlfn.SUMIFS('עסקאות'!$M$2:$M$1958,'עסקאות'!$F$2:$F$1958,B402)</f>
        <v>60</v>
      </c>
      <c r="G402" s="81" cm="1">
        <f t="array" ref="G402">IF(D402=0,"",F402/D402)</f>
        <v>60</v>
      </c>
      <c r="H402" s="81" cm="1">
        <f t="array" ref="H402">F402/20</f>
        <v>3</v>
      </c>
      <c r="I402" s="81" cm="1">
        <f t="array" ref="I402">_xlfn.SUMIFS('עסקאות'!$M$2:$M$1958,'עסקאות'!$F$2:$F$1958,B402,'עסקאות'!$A$2:$A$1958,"&gt;="&amp;DATE(2025,1,1),'עסקאות'!$A$2:$A$1958,"&lt;"&amp;DATE(2026,1,1))</f>
        <v>60</v>
      </c>
      <c r="J402" s="83" cm="1">
        <f t="array" ref="J402">_xlfn.SUMIFS('עסקאות'!$M$2:$M$1958,'עסקאות'!$F$2:$F$1958,B402,'עסקאות'!$A$2:$A$1958,"&gt;="&amp;DATE(2026,1,1),'עסקאות'!$A$2:$A$1958,"&lt;"&amp;DATE(2027,1,1))</f>
        <v>0</v>
      </c>
      <c r="K402" s="77"/>
    </row>
    <row r="403" ht="13.65" customHeight="1">
      <c r="A403" s="70"/>
      <c r="B403" t="s" s="27">
        <v>590</v>
      </c>
      <c r="C403" t="s" s="86">
        <v>105</v>
      </c>
      <c r="D403" s="119">
        <v>1</v>
      </c>
      <c r="E403" s="119">
        <v>1</v>
      </c>
      <c r="F403" s="87" cm="1">
        <f t="array" ref="F403">_xlfn.SUMIFS('עסקאות'!$M$2:$M$1958,'עסקאות'!$F$2:$F$1958,B403)</f>
        <v>60</v>
      </c>
      <c r="G403" s="87" cm="1">
        <f t="array" ref="G403">IF(D403=0,"",F403/D403)</f>
        <v>60</v>
      </c>
      <c r="H403" s="87" cm="1">
        <f t="array" ref="H403">F403/20</f>
        <v>3</v>
      </c>
      <c r="I403" s="87" cm="1">
        <f t="array" ref="I403">_xlfn.SUMIFS('עסקאות'!$M$2:$M$1958,'עסקאות'!$F$2:$F$1958,B403,'עסקאות'!$A$2:$A$1958,"&gt;="&amp;DATE(2025,1,1),'עסקאות'!$A$2:$A$1958,"&lt;"&amp;DATE(2026,1,1))</f>
        <v>60</v>
      </c>
      <c r="J403" s="28" cm="1">
        <f t="array" ref="J403">_xlfn.SUMIFS('עסקאות'!$M$2:$M$1958,'עסקאות'!$F$2:$F$1958,B403,'עסקאות'!$A$2:$A$1958,"&gt;="&amp;DATE(2026,1,1),'עסקאות'!$A$2:$A$1958,"&lt;"&amp;DATE(2027,1,1))</f>
        <v>0</v>
      </c>
      <c r="K403" s="77"/>
    </row>
    <row r="404" ht="13.65" customHeight="1">
      <c r="A404" s="70"/>
      <c r="B404" t="s" s="94">
        <v>591</v>
      </c>
      <c r="C404" t="s" s="80">
        <v>115</v>
      </c>
      <c r="D404" s="118">
        <v>1</v>
      </c>
      <c r="E404" s="118">
        <v>1</v>
      </c>
      <c r="F404" s="81" cm="1">
        <f t="array" ref="F404">_xlfn.SUMIFS('עסקאות'!$M$2:$M$1958,'עסקאות'!$F$2:$F$1958,B404)</f>
        <v>60</v>
      </c>
      <c r="G404" s="81" cm="1">
        <f t="array" ref="G404">IF(D404=0,"",F404/D404)</f>
        <v>60</v>
      </c>
      <c r="H404" s="81" cm="1">
        <f t="array" ref="H404">F404/20</f>
        <v>3</v>
      </c>
      <c r="I404" s="81" cm="1">
        <f t="array" ref="I404">_xlfn.SUMIFS('עסקאות'!$M$2:$M$1958,'עסקאות'!$F$2:$F$1958,B404,'עסקאות'!$A$2:$A$1958,"&gt;="&amp;DATE(2025,1,1),'עסקאות'!$A$2:$A$1958,"&lt;"&amp;DATE(2026,1,1))</f>
        <v>60</v>
      </c>
      <c r="J404" s="83" cm="1">
        <f t="array" ref="J404">_xlfn.SUMIFS('עסקאות'!$M$2:$M$1958,'עסקאות'!$F$2:$F$1958,B404,'עסקאות'!$A$2:$A$1958,"&gt;="&amp;DATE(2026,1,1),'עסקאות'!$A$2:$A$1958,"&lt;"&amp;DATE(2027,1,1))</f>
        <v>0</v>
      </c>
      <c r="K404" s="77"/>
    </row>
    <row r="405" ht="13.65" customHeight="1">
      <c r="A405" s="70"/>
      <c r="B405" t="s" s="27">
        <v>592</v>
      </c>
      <c r="C405" t="s" s="86">
        <v>121</v>
      </c>
      <c r="D405" s="119">
        <v>1</v>
      </c>
      <c r="E405" s="119">
        <v>1</v>
      </c>
      <c r="F405" s="87" cm="1">
        <f t="array" ref="F405">_xlfn.SUMIFS('עסקאות'!$M$2:$M$1958,'עסקאות'!$F$2:$F$1958,B405)</f>
        <v>60</v>
      </c>
      <c r="G405" s="87" cm="1">
        <f t="array" ref="G405">IF(D405=0,"",F405/D405)</f>
        <v>60</v>
      </c>
      <c r="H405" s="87" cm="1">
        <f t="array" ref="H405">F405/20</f>
        <v>3</v>
      </c>
      <c r="I405" s="87" cm="1">
        <f t="array" ref="I405">_xlfn.SUMIFS('עסקאות'!$M$2:$M$1958,'עסקאות'!$F$2:$F$1958,B405,'עסקאות'!$A$2:$A$1958,"&gt;="&amp;DATE(2025,1,1),'עסקאות'!$A$2:$A$1958,"&lt;"&amp;DATE(2026,1,1))</f>
        <v>60</v>
      </c>
      <c r="J405" s="28" cm="1">
        <f t="array" ref="J405">_xlfn.SUMIFS('עסקאות'!$M$2:$M$1958,'עסקאות'!$F$2:$F$1958,B405,'עסקאות'!$A$2:$A$1958,"&gt;="&amp;DATE(2026,1,1),'עסקאות'!$A$2:$A$1958,"&lt;"&amp;DATE(2027,1,1))</f>
        <v>0</v>
      </c>
      <c r="K405" s="77"/>
    </row>
    <row r="406" ht="13.65" customHeight="1">
      <c r="A406" s="70"/>
      <c r="B406" t="s" s="94">
        <v>593</v>
      </c>
      <c r="C406" t="s" s="80">
        <v>121</v>
      </c>
      <c r="D406" s="118">
        <v>1</v>
      </c>
      <c r="E406" s="118">
        <v>1</v>
      </c>
      <c r="F406" s="81" cm="1">
        <f t="array" ref="F406">_xlfn.SUMIFS('עסקאות'!$M$2:$M$1958,'עסקאות'!$F$2:$F$1958,B406)</f>
        <v>60</v>
      </c>
      <c r="G406" s="81" cm="1">
        <f t="array" ref="G406">IF(D406=0,"",F406/D406)</f>
        <v>60</v>
      </c>
      <c r="H406" s="81" cm="1">
        <f t="array" ref="H406">F406/20</f>
        <v>3</v>
      </c>
      <c r="I406" s="81" cm="1">
        <f t="array" ref="I406">_xlfn.SUMIFS('עסקאות'!$M$2:$M$1958,'עסקאות'!$F$2:$F$1958,B406,'עסקאות'!$A$2:$A$1958,"&gt;="&amp;DATE(2025,1,1),'עסקאות'!$A$2:$A$1958,"&lt;"&amp;DATE(2026,1,1))</f>
        <v>60</v>
      </c>
      <c r="J406" s="83" cm="1">
        <f t="array" ref="J406">_xlfn.SUMIFS('עסקאות'!$M$2:$M$1958,'עסקאות'!$F$2:$F$1958,B406,'עסקאות'!$A$2:$A$1958,"&gt;="&amp;DATE(2026,1,1),'עסקאות'!$A$2:$A$1958,"&lt;"&amp;DATE(2027,1,1))</f>
        <v>0</v>
      </c>
      <c r="K406" s="77"/>
    </row>
    <row r="407" ht="13.65" customHeight="1">
      <c r="A407" s="70"/>
      <c r="B407" t="s" s="27">
        <v>594</v>
      </c>
      <c r="C407" t="s" s="86">
        <v>113</v>
      </c>
      <c r="D407" s="119">
        <v>1</v>
      </c>
      <c r="E407" s="119">
        <v>1</v>
      </c>
      <c r="F407" s="87" cm="1">
        <f t="array" ref="F407">_xlfn.SUMIFS('עסקאות'!$M$2:$M$1958,'עסקאות'!$F$2:$F$1958,B407)</f>
        <v>60</v>
      </c>
      <c r="G407" s="87" cm="1">
        <f t="array" ref="G407">IF(D407=0,"",F407/D407)</f>
        <v>60</v>
      </c>
      <c r="H407" s="87" cm="1">
        <f t="array" ref="H407">F407/20</f>
        <v>3</v>
      </c>
      <c r="I407" s="87" cm="1">
        <f t="array" ref="I407">_xlfn.SUMIFS('עסקאות'!$M$2:$M$1958,'עסקאות'!$F$2:$F$1958,B407,'עסקאות'!$A$2:$A$1958,"&gt;="&amp;DATE(2025,1,1),'עסקאות'!$A$2:$A$1958,"&lt;"&amp;DATE(2026,1,1))</f>
        <v>60</v>
      </c>
      <c r="J407" s="28" cm="1">
        <f t="array" ref="J407">_xlfn.SUMIFS('עסקאות'!$M$2:$M$1958,'עסקאות'!$F$2:$F$1958,B407,'עסקאות'!$A$2:$A$1958,"&gt;="&amp;DATE(2026,1,1),'עסקאות'!$A$2:$A$1958,"&lt;"&amp;DATE(2027,1,1))</f>
        <v>0</v>
      </c>
      <c r="K407" s="77"/>
    </row>
    <row r="408" ht="13.65" customHeight="1">
      <c r="A408" s="70"/>
      <c r="B408" t="s" s="94">
        <v>595</v>
      </c>
      <c r="C408" t="s" s="80">
        <v>125</v>
      </c>
      <c r="D408" s="118">
        <v>3</v>
      </c>
      <c r="E408" s="118">
        <v>1</v>
      </c>
      <c r="F408" s="81" cm="1">
        <f t="array" ref="F408">_xlfn.SUMIFS('עסקאות'!$M$2:$M$1958,'עסקאות'!$F$2:$F$1958,B408)</f>
        <v>60</v>
      </c>
      <c r="G408" s="81" cm="1">
        <f t="array" ref="G408">IF(D408=0,"",F408/D408)</f>
        <v>20</v>
      </c>
      <c r="H408" s="81" cm="1">
        <f t="array" ref="H408">F408/20</f>
        <v>3</v>
      </c>
      <c r="I408" s="81" cm="1">
        <f t="array" ref="I408">_xlfn.SUMIFS('עסקאות'!$M$2:$M$1958,'עסקאות'!$F$2:$F$1958,B408,'עסקאות'!$A$2:$A$1958,"&gt;="&amp;DATE(2025,1,1),'עסקאות'!$A$2:$A$1958,"&lt;"&amp;DATE(2026,1,1))</f>
        <v>60</v>
      </c>
      <c r="J408" s="83" cm="1">
        <f t="array" ref="J408">_xlfn.SUMIFS('עסקאות'!$M$2:$M$1958,'עסקאות'!$F$2:$F$1958,B408,'עסקאות'!$A$2:$A$1958,"&gt;="&amp;DATE(2026,1,1),'עסקאות'!$A$2:$A$1958,"&lt;"&amp;DATE(2027,1,1))</f>
        <v>0</v>
      </c>
      <c r="K408" s="77"/>
    </row>
    <row r="409" ht="13.65" customHeight="1">
      <c r="A409" s="70"/>
      <c r="B409" t="s" s="27">
        <v>596</v>
      </c>
      <c r="C409" t="s" s="86">
        <v>113</v>
      </c>
      <c r="D409" s="119">
        <v>1</v>
      </c>
      <c r="E409" s="119">
        <v>1</v>
      </c>
      <c r="F409" s="87" cm="1">
        <f t="array" ref="F409">_xlfn.SUMIFS('עסקאות'!$M$2:$M$1958,'עסקאות'!$F$2:$F$1958,B409)</f>
        <v>60</v>
      </c>
      <c r="G409" s="87" cm="1">
        <f t="array" ref="G409">IF(D409=0,"",F409/D409)</f>
        <v>60</v>
      </c>
      <c r="H409" s="87" cm="1">
        <f t="array" ref="H409">F409/20</f>
        <v>3</v>
      </c>
      <c r="I409" s="87" cm="1">
        <f t="array" ref="I409">_xlfn.SUMIFS('עסקאות'!$M$2:$M$1958,'עסקאות'!$F$2:$F$1958,B409,'עסקאות'!$A$2:$A$1958,"&gt;="&amp;DATE(2025,1,1),'עסקאות'!$A$2:$A$1958,"&lt;"&amp;DATE(2026,1,1))</f>
        <v>0</v>
      </c>
      <c r="J409" s="28" cm="1">
        <f t="array" ref="J409">_xlfn.SUMIFS('עסקאות'!$M$2:$M$1958,'עסקאות'!$F$2:$F$1958,B409,'עסקאות'!$A$2:$A$1958,"&gt;="&amp;DATE(2026,1,1),'עסקאות'!$A$2:$A$1958,"&lt;"&amp;DATE(2027,1,1))</f>
        <v>60</v>
      </c>
      <c r="K409" s="77"/>
    </row>
    <row r="410" ht="13.65" customHeight="1">
      <c r="A410" s="70"/>
      <c r="B410" t="s" s="94">
        <v>597</v>
      </c>
      <c r="C410" t="s" s="80">
        <v>121</v>
      </c>
      <c r="D410" s="118">
        <v>1</v>
      </c>
      <c r="E410" s="118">
        <v>1</v>
      </c>
      <c r="F410" s="81" cm="1">
        <f t="array" ref="F410">_xlfn.SUMIFS('עסקאות'!$M$2:$M$1958,'עסקאות'!$F$2:$F$1958,B410)</f>
        <v>60</v>
      </c>
      <c r="G410" s="81" cm="1">
        <f t="array" ref="G410">IF(D410=0,"",F410/D410)</f>
        <v>60</v>
      </c>
      <c r="H410" s="81" cm="1">
        <f t="array" ref="H410">F410/20</f>
        <v>3</v>
      </c>
      <c r="I410" s="81" cm="1">
        <f t="array" ref="I410">_xlfn.SUMIFS('עסקאות'!$M$2:$M$1958,'עסקאות'!$F$2:$F$1958,B410,'עסקאות'!$A$2:$A$1958,"&gt;="&amp;DATE(2025,1,1),'עסקאות'!$A$2:$A$1958,"&lt;"&amp;DATE(2026,1,1))</f>
        <v>0</v>
      </c>
      <c r="J410" s="83" cm="1">
        <f t="array" ref="J410">_xlfn.SUMIFS('עסקאות'!$M$2:$M$1958,'עסקאות'!$F$2:$F$1958,B410,'עסקאות'!$A$2:$A$1958,"&gt;="&amp;DATE(2026,1,1),'עסקאות'!$A$2:$A$1958,"&lt;"&amp;DATE(2027,1,1))</f>
        <v>60</v>
      </c>
      <c r="K410" s="77"/>
    </row>
    <row r="411" ht="13.65" customHeight="1">
      <c r="A411" s="70"/>
      <c r="B411" t="s" s="27">
        <v>598</v>
      </c>
      <c r="C411" t="s" s="86">
        <v>121</v>
      </c>
      <c r="D411" s="119">
        <v>1</v>
      </c>
      <c r="E411" s="119">
        <v>1</v>
      </c>
      <c r="F411" s="87" cm="1">
        <f t="array" ref="F411">_xlfn.SUMIFS('עסקאות'!$M$2:$M$1958,'עסקאות'!$F$2:$F$1958,B411)</f>
        <v>59</v>
      </c>
      <c r="G411" s="87" cm="1">
        <f t="array" ref="G411">IF(D411=0,"",F411/D411)</f>
        <v>59</v>
      </c>
      <c r="H411" s="87" cm="1">
        <f t="array" ref="H411">F411/20</f>
        <v>2.95</v>
      </c>
      <c r="I411" s="87" cm="1">
        <f t="array" ref="I411">_xlfn.SUMIFS('עסקאות'!$M$2:$M$1958,'עסקאות'!$F$2:$F$1958,B411,'עסקאות'!$A$2:$A$1958,"&gt;="&amp;DATE(2025,1,1),'עסקאות'!$A$2:$A$1958,"&lt;"&amp;DATE(2026,1,1))</f>
        <v>59</v>
      </c>
      <c r="J411" s="28" cm="1">
        <f t="array" ref="J411">_xlfn.SUMIFS('עסקאות'!$M$2:$M$1958,'עסקאות'!$F$2:$F$1958,B411,'עסקאות'!$A$2:$A$1958,"&gt;="&amp;DATE(2026,1,1),'עסקאות'!$A$2:$A$1958,"&lt;"&amp;DATE(2027,1,1))</f>
        <v>0</v>
      </c>
      <c r="K411" s="77"/>
    </row>
    <row r="412" ht="13.65" customHeight="1">
      <c r="A412" s="70"/>
      <c r="B412" t="s" s="94">
        <v>599</v>
      </c>
      <c r="C412" t="s" s="80">
        <v>133</v>
      </c>
      <c r="D412" s="118">
        <v>1</v>
      </c>
      <c r="E412" s="118">
        <v>1</v>
      </c>
      <c r="F412" s="81" cm="1">
        <f t="array" ref="F412">_xlfn.SUMIFS('עסקאות'!$M$2:$M$1958,'עסקאות'!$F$2:$F$1958,B412)</f>
        <v>59</v>
      </c>
      <c r="G412" s="81" cm="1">
        <f t="array" ref="G412">IF(D412=0,"",F412/D412)</f>
        <v>59</v>
      </c>
      <c r="H412" s="81" cm="1">
        <f t="array" ref="H412">F412/20</f>
        <v>2.95</v>
      </c>
      <c r="I412" s="81" cm="1">
        <f t="array" ref="I412">_xlfn.SUMIFS('עסקאות'!$M$2:$M$1958,'עסקאות'!$F$2:$F$1958,B412,'עסקאות'!$A$2:$A$1958,"&gt;="&amp;DATE(2025,1,1),'עסקאות'!$A$2:$A$1958,"&lt;"&amp;DATE(2026,1,1))</f>
        <v>0</v>
      </c>
      <c r="J412" s="83" cm="1">
        <f t="array" ref="J412">_xlfn.SUMIFS('עסקאות'!$M$2:$M$1958,'עסקאות'!$F$2:$F$1958,B412,'עסקאות'!$A$2:$A$1958,"&gt;="&amp;DATE(2026,1,1),'עסקאות'!$A$2:$A$1958,"&lt;"&amp;DATE(2027,1,1))</f>
        <v>59</v>
      </c>
      <c r="K412" s="77"/>
    </row>
    <row r="413" ht="13.65" customHeight="1">
      <c r="A413" s="70"/>
      <c r="B413" t="s" s="27">
        <v>600</v>
      </c>
      <c r="C413" t="s" s="86">
        <v>117</v>
      </c>
      <c r="D413" s="119">
        <v>2</v>
      </c>
      <c r="E413" s="119">
        <v>2</v>
      </c>
      <c r="F413" s="87" cm="1">
        <f t="array" ref="F413">_xlfn.SUMIFS('עסקאות'!$M$2:$M$1958,'עסקאות'!$F$2:$F$1958,B413)</f>
        <v>58</v>
      </c>
      <c r="G413" s="87" cm="1">
        <f t="array" ref="G413">IF(D413=0,"",F413/D413)</f>
        <v>29</v>
      </c>
      <c r="H413" s="87" cm="1">
        <f t="array" ref="H413">F413/20</f>
        <v>2.9</v>
      </c>
      <c r="I413" s="87" cm="1">
        <f t="array" ref="I413">_xlfn.SUMIFS('עסקאות'!$M$2:$M$1958,'עסקאות'!$F$2:$F$1958,B413,'עסקאות'!$A$2:$A$1958,"&gt;="&amp;DATE(2025,1,1),'עסקאות'!$A$2:$A$1958,"&lt;"&amp;DATE(2026,1,1))</f>
        <v>23</v>
      </c>
      <c r="J413" s="28" cm="1">
        <f t="array" ref="J413">_xlfn.SUMIFS('עסקאות'!$M$2:$M$1958,'עסקאות'!$F$2:$F$1958,B413,'עסקאות'!$A$2:$A$1958,"&gt;="&amp;DATE(2026,1,1),'עסקאות'!$A$2:$A$1958,"&lt;"&amp;DATE(2027,1,1))</f>
        <v>35</v>
      </c>
      <c r="K413" s="77"/>
    </row>
    <row r="414" ht="13.65" customHeight="1">
      <c r="A414" s="70"/>
      <c r="B414" t="s" s="121">
        <v>601</v>
      </c>
      <c r="C414" t="s" s="80">
        <v>121</v>
      </c>
      <c r="D414" s="118">
        <v>1</v>
      </c>
      <c r="E414" s="118">
        <v>1</v>
      </c>
      <c r="F414" s="81" cm="1">
        <f t="array" ref="F414">_xlfn.SUMIFS('עסקאות'!$M$2:$M$1958,'עסקאות'!$F$2:$F$1958,B414)</f>
        <v>56</v>
      </c>
      <c r="G414" s="81" cm="1">
        <f t="array" ref="G414">IF(D414=0,"",F414/D414)</f>
        <v>56</v>
      </c>
      <c r="H414" s="81" cm="1">
        <f t="array" ref="H414">F414/20</f>
        <v>2.8</v>
      </c>
      <c r="I414" s="81" cm="1">
        <f t="array" ref="I414">_xlfn.SUMIFS('עסקאות'!$M$2:$M$1958,'עסקאות'!$F$2:$F$1958,B414,'עסקאות'!$A$2:$A$1958,"&gt;="&amp;DATE(2025,1,1),'עסקאות'!$A$2:$A$1958,"&lt;"&amp;DATE(2026,1,1))</f>
        <v>0</v>
      </c>
      <c r="J414" s="83" cm="1">
        <f t="array" ref="J414">_xlfn.SUMIFS('עסקאות'!$M$2:$M$1958,'עסקאות'!$F$2:$F$1958,B414,'עסקאות'!$A$2:$A$1958,"&gt;="&amp;DATE(2026,1,1),'עסקאות'!$A$2:$A$1958,"&lt;"&amp;DATE(2027,1,1))</f>
        <v>56</v>
      </c>
      <c r="K414" s="77"/>
    </row>
    <row r="415" ht="13.65" customHeight="1">
      <c r="A415" s="70"/>
      <c r="B415" t="s" s="27">
        <v>602</v>
      </c>
      <c r="C415" t="s" s="86">
        <v>113</v>
      </c>
      <c r="D415" s="119">
        <v>1</v>
      </c>
      <c r="E415" s="119">
        <v>1</v>
      </c>
      <c r="F415" s="87" cm="1">
        <f t="array" ref="F415">_xlfn.SUMIFS('עסקאות'!$M$2:$M$1958,'עסקאות'!$F$2:$F$1958,B415)</f>
        <v>55</v>
      </c>
      <c r="G415" s="87" cm="1">
        <f t="array" ref="G415">IF(D415=0,"",F415/D415)</f>
        <v>55</v>
      </c>
      <c r="H415" s="87" cm="1">
        <f t="array" ref="H415">F415/20</f>
        <v>2.75</v>
      </c>
      <c r="I415" s="87" cm="1">
        <f t="array" ref="I415">_xlfn.SUMIFS('עסקאות'!$M$2:$M$1958,'עסקאות'!$F$2:$F$1958,B415,'עסקאות'!$A$2:$A$1958,"&gt;="&amp;DATE(2025,1,1),'עסקאות'!$A$2:$A$1958,"&lt;"&amp;DATE(2026,1,1))</f>
        <v>55</v>
      </c>
      <c r="J415" s="28" cm="1">
        <f t="array" ref="J415">_xlfn.SUMIFS('עסקאות'!$M$2:$M$1958,'עסקאות'!$F$2:$F$1958,B415,'עסקאות'!$A$2:$A$1958,"&gt;="&amp;DATE(2026,1,1),'עסקאות'!$A$2:$A$1958,"&lt;"&amp;DATE(2027,1,1))</f>
        <v>0</v>
      </c>
      <c r="K415" s="77"/>
    </row>
    <row r="416" ht="13.65" customHeight="1">
      <c r="A416" s="70"/>
      <c r="B416" t="s" s="94">
        <v>603</v>
      </c>
      <c r="C416" t="s" s="80">
        <v>105</v>
      </c>
      <c r="D416" s="118">
        <v>1</v>
      </c>
      <c r="E416" s="118">
        <v>1</v>
      </c>
      <c r="F416" s="81" cm="1">
        <f t="array" ref="F416">_xlfn.SUMIFS('עסקאות'!$M$2:$M$1958,'עסקאות'!$F$2:$F$1958,B416)</f>
        <v>55</v>
      </c>
      <c r="G416" s="81" cm="1">
        <f t="array" ref="G416">IF(D416=0,"",F416/D416)</f>
        <v>55</v>
      </c>
      <c r="H416" s="81" cm="1">
        <f t="array" ref="H416">F416/20</f>
        <v>2.75</v>
      </c>
      <c r="I416" s="81" cm="1">
        <f t="array" ref="I416">_xlfn.SUMIFS('עסקאות'!$M$2:$M$1958,'עסקאות'!$F$2:$F$1958,B416,'עסקאות'!$A$2:$A$1958,"&gt;="&amp;DATE(2025,1,1),'עסקאות'!$A$2:$A$1958,"&lt;"&amp;DATE(2026,1,1))</f>
        <v>55</v>
      </c>
      <c r="J416" s="83" cm="1">
        <f t="array" ref="J416">_xlfn.SUMIFS('עסקאות'!$M$2:$M$1958,'עסקאות'!$F$2:$F$1958,B416,'עסקאות'!$A$2:$A$1958,"&gt;="&amp;DATE(2026,1,1),'עסקאות'!$A$2:$A$1958,"&lt;"&amp;DATE(2027,1,1))</f>
        <v>0</v>
      </c>
      <c r="K416" s="77"/>
    </row>
    <row r="417" ht="13.65" customHeight="1">
      <c r="A417" s="70"/>
      <c r="B417" t="s" s="27">
        <v>604</v>
      </c>
      <c r="C417" t="s" s="86">
        <v>115</v>
      </c>
      <c r="D417" s="119">
        <v>1</v>
      </c>
      <c r="E417" s="119">
        <v>1</v>
      </c>
      <c r="F417" s="87" cm="1">
        <f t="array" ref="F417">_xlfn.SUMIFS('עסקאות'!$M$2:$M$1958,'עסקאות'!$F$2:$F$1958,B417)</f>
        <v>54</v>
      </c>
      <c r="G417" s="87" cm="1">
        <f t="array" ref="G417">IF(D417=0,"",F417/D417)</f>
        <v>54</v>
      </c>
      <c r="H417" s="87" cm="1">
        <f t="array" ref="H417">F417/20</f>
        <v>2.7</v>
      </c>
      <c r="I417" s="87" cm="1">
        <f t="array" ref="I417">_xlfn.SUMIFS('עסקאות'!$M$2:$M$1958,'עסקאות'!$F$2:$F$1958,B417,'עסקאות'!$A$2:$A$1958,"&gt;="&amp;DATE(2025,1,1),'עסקאות'!$A$2:$A$1958,"&lt;"&amp;DATE(2026,1,1))</f>
        <v>54</v>
      </c>
      <c r="J417" s="28" cm="1">
        <f t="array" ref="J417">_xlfn.SUMIFS('עסקאות'!$M$2:$M$1958,'עסקאות'!$F$2:$F$1958,B417,'עסקאות'!$A$2:$A$1958,"&gt;="&amp;DATE(2026,1,1),'עסקאות'!$A$2:$A$1958,"&lt;"&amp;DATE(2027,1,1))</f>
        <v>0</v>
      </c>
      <c r="K417" s="77"/>
    </row>
    <row r="418" ht="13.65" customHeight="1">
      <c r="A418" s="70"/>
      <c r="B418" t="s" s="94">
        <v>605</v>
      </c>
      <c r="C418" t="s" s="80">
        <v>117</v>
      </c>
      <c r="D418" s="118">
        <v>1</v>
      </c>
      <c r="E418" s="118">
        <v>1</v>
      </c>
      <c r="F418" s="81" cm="1">
        <f t="array" ref="F418">_xlfn.SUMIFS('עסקאות'!$M$2:$M$1958,'עסקאות'!$F$2:$F$1958,B418)</f>
        <v>53</v>
      </c>
      <c r="G418" s="81" cm="1">
        <f t="array" ref="G418">IF(D418=0,"",F418/D418)</f>
        <v>53</v>
      </c>
      <c r="H418" s="81" cm="1">
        <f t="array" ref="H418">F418/20</f>
        <v>2.65</v>
      </c>
      <c r="I418" s="81" cm="1">
        <f t="array" ref="I418">_xlfn.SUMIFS('עסקאות'!$M$2:$M$1958,'עסקאות'!$F$2:$F$1958,B418,'עסקאות'!$A$2:$A$1958,"&gt;="&amp;DATE(2025,1,1),'עסקאות'!$A$2:$A$1958,"&lt;"&amp;DATE(2026,1,1))</f>
        <v>53</v>
      </c>
      <c r="J418" s="83" cm="1">
        <f t="array" ref="J418">_xlfn.SUMIFS('עסקאות'!$M$2:$M$1958,'עסקאות'!$F$2:$F$1958,B418,'עסקאות'!$A$2:$A$1958,"&gt;="&amp;DATE(2026,1,1),'עסקאות'!$A$2:$A$1958,"&lt;"&amp;DATE(2027,1,1))</f>
        <v>0</v>
      </c>
      <c r="K418" s="77"/>
    </row>
    <row r="419" ht="13.65" customHeight="1">
      <c r="A419" s="70"/>
      <c r="B419" t="s" s="27">
        <v>606</v>
      </c>
      <c r="C419" t="s" s="86">
        <v>109</v>
      </c>
      <c r="D419" s="119">
        <v>1</v>
      </c>
      <c r="E419" s="119">
        <v>1</v>
      </c>
      <c r="F419" s="87" cm="1">
        <f t="array" ref="F419">_xlfn.SUMIFS('עסקאות'!$M$2:$M$1958,'עסקאות'!$F$2:$F$1958,B419)</f>
        <v>51</v>
      </c>
      <c r="G419" s="87" cm="1">
        <f t="array" ref="G419">IF(D419=0,"",F419/D419)</f>
        <v>51</v>
      </c>
      <c r="H419" s="87" cm="1">
        <f t="array" ref="H419">F419/20</f>
        <v>2.55</v>
      </c>
      <c r="I419" s="87" cm="1">
        <f t="array" ref="I419">_xlfn.SUMIFS('עסקאות'!$M$2:$M$1958,'עסקאות'!$F$2:$F$1958,B419,'עסקאות'!$A$2:$A$1958,"&gt;="&amp;DATE(2025,1,1),'עסקאות'!$A$2:$A$1958,"&lt;"&amp;DATE(2026,1,1))</f>
        <v>51</v>
      </c>
      <c r="J419" s="28" cm="1">
        <f t="array" ref="J419">_xlfn.SUMIFS('עסקאות'!$M$2:$M$1958,'עסקאות'!$F$2:$F$1958,B419,'עסקאות'!$A$2:$A$1958,"&gt;="&amp;DATE(2026,1,1),'עסקאות'!$A$2:$A$1958,"&lt;"&amp;DATE(2027,1,1))</f>
        <v>0</v>
      </c>
      <c r="K419" s="77"/>
    </row>
    <row r="420" ht="13.65" customHeight="1">
      <c r="A420" s="70"/>
      <c r="B420" t="s" s="94">
        <v>607</v>
      </c>
      <c r="C420" t="s" s="80">
        <v>121</v>
      </c>
      <c r="D420" s="118">
        <v>1</v>
      </c>
      <c r="E420" s="118">
        <v>1</v>
      </c>
      <c r="F420" s="81" cm="1">
        <f t="array" ref="F420">_xlfn.SUMIFS('עסקאות'!$M$2:$M$1958,'עסקאות'!$F$2:$F$1958,B420)</f>
        <v>50</v>
      </c>
      <c r="G420" s="81" cm="1">
        <f t="array" ref="G420">IF(D420=0,"",F420/D420)</f>
        <v>50</v>
      </c>
      <c r="H420" s="81" cm="1">
        <f t="array" ref="H420">F420/20</f>
        <v>2.5</v>
      </c>
      <c r="I420" s="81" cm="1">
        <f t="array" ref="I420">_xlfn.SUMIFS('עסקאות'!$M$2:$M$1958,'עסקאות'!$F$2:$F$1958,B420,'עסקאות'!$A$2:$A$1958,"&gt;="&amp;DATE(2025,1,1),'עסקאות'!$A$2:$A$1958,"&lt;"&amp;DATE(2026,1,1))</f>
        <v>50</v>
      </c>
      <c r="J420" s="83" cm="1">
        <f t="array" ref="J420">_xlfn.SUMIFS('עסקאות'!$M$2:$M$1958,'עסקאות'!$F$2:$F$1958,B420,'עסקאות'!$A$2:$A$1958,"&gt;="&amp;DATE(2026,1,1),'עסקאות'!$A$2:$A$1958,"&lt;"&amp;DATE(2027,1,1))</f>
        <v>0</v>
      </c>
      <c r="K420" s="77"/>
    </row>
    <row r="421" ht="13.65" customHeight="1">
      <c r="A421" s="70"/>
      <c r="B421" t="s" s="27">
        <v>608</v>
      </c>
      <c r="C421" t="s" s="86">
        <v>105</v>
      </c>
      <c r="D421" s="119">
        <v>1</v>
      </c>
      <c r="E421" s="119">
        <v>1</v>
      </c>
      <c r="F421" s="87" cm="1">
        <f t="array" ref="F421">_xlfn.SUMIFS('עסקאות'!$M$2:$M$1958,'עסקאות'!$F$2:$F$1958,B421)</f>
        <v>50</v>
      </c>
      <c r="G421" s="87" cm="1">
        <f t="array" ref="G421">IF(D421=0,"",F421/D421)</f>
        <v>50</v>
      </c>
      <c r="H421" s="87" cm="1">
        <f t="array" ref="H421">F421/20</f>
        <v>2.5</v>
      </c>
      <c r="I421" s="87" cm="1">
        <f t="array" ref="I421">_xlfn.SUMIFS('עסקאות'!$M$2:$M$1958,'עסקאות'!$F$2:$F$1958,B421,'עסקאות'!$A$2:$A$1958,"&gt;="&amp;DATE(2025,1,1),'עסקאות'!$A$2:$A$1958,"&lt;"&amp;DATE(2026,1,1))</f>
        <v>50</v>
      </c>
      <c r="J421" s="28" cm="1">
        <f t="array" ref="J421">_xlfn.SUMIFS('עסקאות'!$M$2:$M$1958,'עסקאות'!$F$2:$F$1958,B421,'עסקאות'!$A$2:$A$1958,"&gt;="&amp;DATE(2026,1,1),'עסקאות'!$A$2:$A$1958,"&lt;"&amp;DATE(2027,1,1))</f>
        <v>0</v>
      </c>
      <c r="K421" s="77"/>
    </row>
    <row r="422" ht="13.65" customHeight="1">
      <c r="A422" s="70"/>
      <c r="B422" t="s" s="94">
        <v>609</v>
      </c>
      <c r="C422" t="s" s="80">
        <v>113</v>
      </c>
      <c r="D422" s="118">
        <v>1</v>
      </c>
      <c r="E422" s="118">
        <v>1</v>
      </c>
      <c r="F422" s="81" cm="1">
        <f t="array" ref="F422">_xlfn.SUMIFS('עסקאות'!$M$2:$M$1958,'עסקאות'!$F$2:$F$1958,B422)</f>
        <v>50</v>
      </c>
      <c r="G422" s="81" cm="1">
        <f t="array" ref="G422">IF(D422=0,"",F422/D422)</f>
        <v>50</v>
      </c>
      <c r="H422" s="81" cm="1">
        <f t="array" ref="H422">F422/20</f>
        <v>2.5</v>
      </c>
      <c r="I422" s="81" cm="1">
        <f t="array" ref="I422">_xlfn.SUMIFS('עסקאות'!$M$2:$M$1958,'עסקאות'!$F$2:$F$1958,B422,'עסקאות'!$A$2:$A$1958,"&gt;="&amp;DATE(2025,1,1),'עסקאות'!$A$2:$A$1958,"&lt;"&amp;DATE(2026,1,1))</f>
        <v>50</v>
      </c>
      <c r="J422" s="83" cm="1">
        <f t="array" ref="J422">_xlfn.SUMIFS('עסקאות'!$M$2:$M$1958,'עסקאות'!$F$2:$F$1958,B422,'עסקאות'!$A$2:$A$1958,"&gt;="&amp;DATE(2026,1,1),'עסקאות'!$A$2:$A$1958,"&lt;"&amp;DATE(2027,1,1))</f>
        <v>0</v>
      </c>
      <c r="K422" s="77"/>
    </row>
    <row r="423" ht="13.65" customHeight="1">
      <c r="A423" s="70"/>
      <c r="B423" t="s" s="27">
        <v>139</v>
      </c>
      <c r="C423" t="s" s="86">
        <v>139</v>
      </c>
      <c r="D423" s="119">
        <v>1</v>
      </c>
      <c r="E423" s="119">
        <v>1</v>
      </c>
      <c r="F423" s="87" cm="1">
        <f t="array" ref="F423">_xlfn.SUMIFS('עסקאות'!$M$2:$M$1958,'עסקאות'!$F$2:$F$1958,B423)</f>
        <v>48</v>
      </c>
      <c r="G423" s="87" cm="1">
        <f t="array" ref="G423">IF(D423=0,"",F423/D423)</f>
        <v>48</v>
      </c>
      <c r="H423" s="87" cm="1">
        <f t="array" ref="H423">F423/20</f>
        <v>2.4</v>
      </c>
      <c r="I423" s="87" cm="1">
        <f t="array" ref="I423">_xlfn.SUMIFS('עסקאות'!$M$2:$M$1958,'עסקאות'!$F$2:$F$1958,B423,'עסקאות'!$A$2:$A$1958,"&gt;="&amp;DATE(2025,1,1),'עסקאות'!$A$2:$A$1958,"&lt;"&amp;DATE(2026,1,1))</f>
        <v>48</v>
      </c>
      <c r="J423" s="28" cm="1">
        <f t="array" ref="J423">_xlfn.SUMIFS('עסקאות'!$M$2:$M$1958,'עסקאות'!$F$2:$F$1958,B423,'עסקאות'!$A$2:$A$1958,"&gt;="&amp;DATE(2026,1,1),'עסקאות'!$A$2:$A$1958,"&lt;"&amp;DATE(2027,1,1))</f>
        <v>0</v>
      </c>
      <c r="K423" s="77"/>
    </row>
    <row r="424" ht="13.65" customHeight="1">
      <c r="A424" s="70"/>
      <c r="B424" t="s" s="94">
        <v>610</v>
      </c>
      <c r="C424" t="s" s="80">
        <v>117</v>
      </c>
      <c r="D424" s="118">
        <v>1</v>
      </c>
      <c r="E424" s="118">
        <v>1</v>
      </c>
      <c r="F424" s="81" cm="1">
        <f t="array" ref="F424">_xlfn.SUMIFS('עסקאות'!$M$2:$M$1958,'עסקאות'!$F$2:$F$1958,B424)</f>
        <v>48</v>
      </c>
      <c r="G424" s="81" cm="1">
        <f t="array" ref="G424">IF(D424=0,"",F424/D424)</f>
        <v>48</v>
      </c>
      <c r="H424" s="81" cm="1">
        <f t="array" ref="H424">F424/20</f>
        <v>2.4</v>
      </c>
      <c r="I424" s="81" cm="1">
        <f t="array" ref="I424">_xlfn.SUMIFS('עסקאות'!$M$2:$M$1958,'עסקאות'!$F$2:$F$1958,B424,'עסקאות'!$A$2:$A$1958,"&gt;="&amp;DATE(2025,1,1),'עסקאות'!$A$2:$A$1958,"&lt;"&amp;DATE(2026,1,1))</f>
        <v>0</v>
      </c>
      <c r="J424" s="83" cm="1">
        <f t="array" ref="J424">_xlfn.SUMIFS('עסקאות'!$M$2:$M$1958,'עסקאות'!$F$2:$F$1958,B424,'עסקאות'!$A$2:$A$1958,"&gt;="&amp;DATE(2026,1,1),'עסקאות'!$A$2:$A$1958,"&lt;"&amp;DATE(2027,1,1))</f>
        <v>48</v>
      </c>
      <c r="K424" s="77"/>
    </row>
    <row r="425" ht="13.65" customHeight="1">
      <c r="A425" s="70"/>
      <c r="B425" t="s" s="27">
        <v>611</v>
      </c>
      <c r="C425" t="s" s="86">
        <v>131</v>
      </c>
      <c r="D425" s="119">
        <v>1</v>
      </c>
      <c r="E425" s="119">
        <v>1</v>
      </c>
      <c r="F425" s="87" cm="1">
        <f t="array" ref="F425">_xlfn.SUMIFS('עסקאות'!$M$2:$M$1958,'עסקאות'!$F$2:$F$1958,B425)</f>
        <v>48</v>
      </c>
      <c r="G425" s="87" cm="1">
        <f t="array" ref="G425">IF(D425=0,"",F425/D425)</f>
        <v>48</v>
      </c>
      <c r="H425" s="87" cm="1">
        <f t="array" ref="H425">F425/20</f>
        <v>2.4</v>
      </c>
      <c r="I425" s="87" cm="1">
        <f t="array" ref="I425">_xlfn.SUMIFS('עסקאות'!$M$2:$M$1958,'עסקאות'!$F$2:$F$1958,B425,'עסקאות'!$A$2:$A$1958,"&gt;="&amp;DATE(2025,1,1),'עסקאות'!$A$2:$A$1958,"&lt;"&amp;DATE(2026,1,1))</f>
        <v>0</v>
      </c>
      <c r="J425" s="28" cm="1">
        <f t="array" ref="J425">_xlfn.SUMIFS('עסקאות'!$M$2:$M$1958,'עסקאות'!$F$2:$F$1958,B425,'עסקאות'!$A$2:$A$1958,"&gt;="&amp;DATE(2026,1,1),'עסקאות'!$A$2:$A$1958,"&lt;"&amp;DATE(2027,1,1))</f>
        <v>48</v>
      </c>
      <c r="K425" s="77"/>
    </row>
    <row r="426" ht="13.65" customHeight="1">
      <c r="A426" s="70"/>
      <c r="B426" t="s" s="121">
        <v>612</v>
      </c>
      <c r="C426" t="s" s="80">
        <v>113</v>
      </c>
      <c r="D426" s="118">
        <v>1</v>
      </c>
      <c r="E426" s="118">
        <v>1</v>
      </c>
      <c r="F426" s="81" cm="1">
        <f t="array" ref="F426">_xlfn.SUMIFS('עסקאות'!$M$2:$M$1958,'עסקאות'!$F$2:$F$1958,B426)</f>
        <v>48</v>
      </c>
      <c r="G426" s="81" cm="1">
        <f t="array" ref="G426">IF(D426=0,"",F426/D426)</f>
        <v>48</v>
      </c>
      <c r="H426" s="81" cm="1">
        <f t="array" ref="H426">F426/20</f>
        <v>2.4</v>
      </c>
      <c r="I426" s="81" cm="1">
        <f t="array" ref="I426">_xlfn.SUMIFS('עסקאות'!$M$2:$M$1958,'עסקאות'!$F$2:$F$1958,B426,'עסקאות'!$A$2:$A$1958,"&gt;="&amp;DATE(2025,1,1),'עסקאות'!$A$2:$A$1958,"&lt;"&amp;DATE(2026,1,1))</f>
        <v>0</v>
      </c>
      <c r="J426" s="83" cm="1">
        <f t="array" ref="J426">_xlfn.SUMIFS('עסקאות'!$M$2:$M$1958,'עסקאות'!$F$2:$F$1958,B426,'עסקאות'!$A$2:$A$1958,"&gt;="&amp;DATE(2026,1,1),'עסקאות'!$A$2:$A$1958,"&lt;"&amp;DATE(2027,1,1))</f>
        <v>48</v>
      </c>
      <c r="K426" s="77"/>
    </row>
    <row r="427" ht="13.65" customHeight="1">
      <c r="A427" s="70"/>
      <c r="B427" t="s" s="27">
        <v>613</v>
      </c>
      <c r="C427" t="s" s="86">
        <v>125</v>
      </c>
      <c r="D427" s="119">
        <v>1</v>
      </c>
      <c r="E427" s="119">
        <v>1</v>
      </c>
      <c r="F427" s="87" cm="1">
        <f t="array" ref="F427">_xlfn.SUMIFS('עסקאות'!$M$2:$M$1958,'עסקאות'!$F$2:$F$1958,B427)</f>
        <v>47</v>
      </c>
      <c r="G427" s="87" cm="1">
        <f t="array" ref="G427">IF(D427=0,"",F427/D427)</f>
        <v>47</v>
      </c>
      <c r="H427" s="87" cm="1">
        <f t="array" ref="H427">F427/20</f>
        <v>2.35</v>
      </c>
      <c r="I427" s="87" cm="1">
        <f t="array" ref="I427">_xlfn.SUMIFS('עסקאות'!$M$2:$M$1958,'עסקאות'!$F$2:$F$1958,B427,'עסקאות'!$A$2:$A$1958,"&gt;="&amp;DATE(2025,1,1),'עסקאות'!$A$2:$A$1958,"&lt;"&amp;DATE(2026,1,1))</f>
        <v>47</v>
      </c>
      <c r="J427" s="28" cm="1">
        <f t="array" ref="J427">_xlfn.SUMIFS('עסקאות'!$M$2:$M$1958,'עסקאות'!$F$2:$F$1958,B427,'עסקאות'!$A$2:$A$1958,"&gt;="&amp;DATE(2026,1,1),'עסקאות'!$A$2:$A$1958,"&lt;"&amp;DATE(2027,1,1))</f>
        <v>0</v>
      </c>
      <c r="K427" s="77"/>
    </row>
    <row r="428" ht="13.65" customHeight="1">
      <c r="A428" s="70"/>
      <c r="B428" t="s" s="94">
        <v>614</v>
      </c>
      <c r="C428" t="s" s="80">
        <v>139</v>
      </c>
      <c r="D428" s="118">
        <v>2</v>
      </c>
      <c r="E428" s="118">
        <v>1</v>
      </c>
      <c r="F428" s="81" cm="1">
        <f t="array" ref="F428">_xlfn.SUMIFS('עסקאות'!$M$2:$M$1958,'עסקאות'!$F$2:$F$1958,B428)</f>
        <v>46</v>
      </c>
      <c r="G428" s="81" cm="1">
        <f t="array" ref="G428">IF(D428=0,"",F428/D428)</f>
        <v>23</v>
      </c>
      <c r="H428" s="81" cm="1">
        <f t="array" ref="H428">F428/20</f>
        <v>2.3</v>
      </c>
      <c r="I428" s="81" cm="1">
        <f t="array" ref="I428">_xlfn.SUMIFS('עסקאות'!$M$2:$M$1958,'עסקאות'!$F$2:$F$1958,B428,'עסקאות'!$A$2:$A$1958,"&gt;="&amp;DATE(2025,1,1),'עסקאות'!$A$2:$A$1958,"&lt;"&amp;DATE(2026,1,1))</f>
        <v>46</v>
      </c>
      <c r="J428" s="83" cm="1">
        <f t="array" ref="J428">_xlfn.SUMIFS('עסקאות'!$M$2:$M$1958,'עסקאות'!$F$2:$F$1958,B428,'עסקאות'!$A$2:$A$1958,"&gt;="&amp;DATE(2026,1,1),'עסקאות'!$A$2:$A$1958,"&lt;"&amp;DATE(2027,1,1))</f>
        <v>0</v>
      </c>
      <c r="K428" s="77"/>
    </row>
    <row r="429" ht="13.65" customHeight="1">
      <c r="A429" s="70"/>
      <c r="B429" t="s" s="27">
        <v>615</v>
      </c>
      <c r="C429" t="s" s="86">
        <v>113</v>
      </c>
      <c r="D429" s="119">
        <v>1</v>
      </c>
      <c r="E429" s="119">
        <v>1</v>
      </c>
      <c r="F429" s="87" cm="1">
        <f t="array" ref="F429">_xlfn.SUMIFS('עסקאות'!$M$2:$M$1958,'עסקאות'!$F$2:$F$1958,B429)</f>
        <v>46</v>
      </c>
      <c r="G429" s="87" cm="1">
        <f t="array" ref="G429">IF(D429=0,"",F429/D429)</f>
        <v>46</v>
      </c>
      <c r="H429" s="87" cm="1">
        <f t="array" ref="H429">F429/20</f>
        <v>2.3</v>
      </c>
      <c r="I429" s="87" cm="1">
        <f t="array" ref="I429">_xlfn.SUMIFS('עסקאות'!$M$2:$M$1958,'עסקאות'!$F$2:$F$1958,B429,'עסקאות'!$A$2:$A$1958,"&gt;="&amp;DATE(2025,1,1),'עסקאות'!$A$2:$A$1958,"&lt;"&amp;DATE(2026,1,1))</f>
        <v>46</v>
      </c>
      <c r="J429" s="28" cm="1">
        <f t="array" ref="J429">_xlfn.SUMIFS('עסקאות'!$M$2:$M$1958,'עסקאות'!$F$2:$F$1958,B429,'עסקאות'!$A$2:$A$1958,"&gt;="&amp;DATE(2026,1,1),'עסקאות'!$A$2:$A$1958,"&lt;"&amp;DATE(2027,1,1))</f>
        <v>0</v>
      </c>
      <c r="K429" s="77"/>
    </row>
    <row r="430" ht="13.65" customHeight="1">
      <c r="A430" s="70"/>
      <c r="B430" t="s" s="94">
        <v>616</v>
      </c>
      <c r="C430" t="s" s="80">
        <v>105</v>
      </c>
      <c r="D430" s="118">
        <v>1</v>
      </c>
      <c r="E430" s="118">
        <v>1</v>
      </c>
      <c r="F430" s="81" cm="1">
        <f t="array" ref="F430">_xlfn.SUMIFS('עסקאות'!$M$2:$M$1958,'עסקאות'!$F$2:$F$1958,B430)</f>
        <v>45</v>
      </c>
      <c r="G430" s="81" cm="1">
        <f t="array" ref="G430">IF(D430=0,"",F430/D430)</f>
        <v>45</v>
      </c>
      <c r="H430" s="81" cm="1">
        <f t="array" ref="H430">F430/20</f>
        <v>2.25</v>
      </c>
      <c r="I430" s="81" cm="1">
        <f t="array" ref="I430">_xlfn.SUMIFS('עסקאות'!$M$2:$M$1958,'עסקאות'!$F$2:$F$1958,B430,'עסקאות'!$A$2:$A$1958,"&gt;="&amp;DATE(2025,1,1),'עסקאות'!$A$2:$A$1958,"&lt;"&amp;DATE(2026,1,1))</f>
        <v>45</v>
      </c>
      <c r="J430" s="83" cm="1">
        <f t="array" ref="J430">_xlfn.SUMIFS('עסקאות'!$M$2:$M$1958,'עסקאות'!$F$2:$F$1958,B430,'עסקאות'!$A$2:$A$1958,"&gt;="&amp;DATE(2026,1,1),'עסקאות'!$A$2:$A$1958,"&lt;"&amp;DATE(2027,1,1))</f>
        <v>0</v>
      </c>
      <c r="K430" s="77"/>
    </row>
    <row r="431" ht="13.65" customHeight="1">
      <c r="A431" s="70"/>
      <c r="B431" t="s" s="27">
        <v>617</v>
      </c>
      <c r="C431" t="s" s="86">
        <v>109</v>
      </c>
      <c r="D431" s="119">
        <v>1</v>
      </c>
      <c r="E431" s="119">
        <v>1</v>
      </c>
      <c r="F431" s="87" cm="1">
        <f t="array" ref="F431">_xlfn.SUMIFS('עסקאות'!$M$2:$M$1958,'עסקאות'!$F$2:$F$1958,B431)</f>
        <v>45</v>
      </c>
      <c r="G431" s="87" cm="1">
        <f t="array" ref="G431">IF(D431=0,"",F431/D431)</f>
        <v>45</v>
      </c>
      <c r="H431" s="87" cm="1">
        <f t="array" ref="H431">F431/20</f>
        <v>2.25</v>
      </c>
      <c r="I431" s="87" cm="1">
        <f t="array" ref="I431">_xlfn.SUMIFS('עסקאות'!$M$2:$M$1958,'עסקאות'!$F$2:$F$1958,B431,'עסקאות'!$A$2:$A$1958,"&gt;="&amp;DATE(2025,1,1),'עסקאות'!$A$2:$A$1958,"&lt;"&amp;DATE(2026,1,1))</f>
        <v>45</v>
      </c>
      <c r="J431" s="28" cm="1">
        <f t="array" ref="J431">_xlfn.SUMIFS('עסקאות'!$M$2:$M$1958,'עסקאות'!$F$2:$F$1958,B431,'עסקאות'!$A$2:$A$1958,"&gt;="&amp;DATE(2026,1,1),'עסקאות'!$A$2:$A$1958,"&lt;"&amp;DATE(2027,1,1))</f>
        <v>0</v>
      </c>
      <c r="K431" s="77"/>
    </row>
    <row r="432" ht="13.65" customHeight="1">
      <c r="A432" s="70"/>
      <c r="B432" t="s" s="121">
        <v>618</v>
      </c>
      <c r="C432" t="s" s="80">
        <v>125</v>
      </c>
      <c r="D432" s="118">
        <v>2</v>
      </c>
      <c r="E432" s="118">
        <v>1</v>
      </c>
      <c r="F432" s="81" cm="1">
        <f t="array" ref="F432">_xlfn.SUMIFS('עסקאות'!$M$2:$M$1958,'עסקאות'!$F$2:$F$1958,B432)</f>
        <v>45</v>
      </c>
      <c r="G432" s="81" cm="1">
        <f t="array" ref="G432">IF(D432=0,"",F432/D432)</f>
        <v>22.5</v>
      </c>
      <c r="H432" s="81" cm="1">
        <f t="array" ref="H432">F432/20</f>
        <v>2.25</v>
      </c>
      <c r="I432" s="81" cm="1">
        <f t="array" ref="I432">_xlfn.SUMIFS('עסקאות'!$M$2:$M$1958,'עסקאות'!$F$2:$F$1958,B432,'עסקאות'!$A$2:$A$1958,"&gt;="&amp;DATE(2025,1,1),'עסקאות'!$A$2:$A$1958,"&lt;"&amp;DATE(2026,1,1))</f>
        <v>0</v>
      </c>
      <c r="J432" s="83" cm="1">
        <f t="array" ref="J432">_xlfn.SUMIFS('עסקאות'!$M$2:$M$1958,'עסקאות'!$F$2:$F$1958,B432,'עסקאות'!$A$2:$A$1958,"&gt;="&amp;DATE(2026,1,1),'עסקאות'!$A$2:$A$1958,"&lt;"&amp;DATE(2027,1,1))</f>
        <v>45</v>
      </c>
      <c r="K432" s="77"/>
    </row>
    <row r="433" ht="13.65" customHeight="1">
      <c r="A433" s="70"/>
      <c r="B433" t="s" s="27">
        <v>619</v>
      </c>
      <c r="C433" t="s" s="86">
        <v>113</v>
      </c>
      <c r="D433" s="119">
        <v>1</v>
      </c>
      <c r="E433" s="119">
        <v>1</v>
      </c>
      <c r="F433" s="87" cm="1">
        <f t="array" ref="F433">_xlfn.SUMIFS('עסקאות'!$M$2:$M$1958,'עסקאות'!$F$2:$F$1958,B433)</f>
        <v>45</v>
      </c>
      <c r="G433" s="87" cm="1">
        <f t="array" ref="G433">IF(D433=0,"",F433/D433)</f>
        <v>45</v>
      </c>
      <c r="H433" s="87" cm="1">
        <f t="array" ref="H433">F433/20</f>
        <v>2.25</v>
      </c>
      <c r="I433" s="87" cm="1">
        <f t="array" ref="I433">_xlfn.SUMIFS('עסקאות'!$M$2:$M$1958,'עסקאות'!$F$2:$F$1958,B433,'עסקאות'!$A$2:$A$1958,"&gt;="&amp;DATE(2025,1,1),'עסקאות'!$A$2:$A$1958,"&lt;"&amp;DATE(2026,1,1))</f>
        <v>0</v>
      </c>
      <c r="J433" s="28" cm="1">
        <f t="array" ref="J433">_xlfn.SUMIFS('עסקאות'!$M$2:$M$1958,'עסקאות'!$F$2:$F$1958,B433,'עסקאות'!$A$2:$A$1958,"&gt;="&amp;DATE(2026,1,1),'עסקאות'!$A$2:$A$1958,"&lt;"&amp;DATE(2027,1,1))</f>
        <v>45</v>
      </c>
      <c r="K433" s="77"/>
    </row>
    <row r="434" ht="13.65" customHeight="1">
      <c r="A434" s="70"/>
      <c r="B434" t="s" s="94">
        <v>620</v>
      </c>
      <c r="C434" t="s" s="80">
        <v>113</v>
      </c>
      <c r="D434" s="118">
        <v>1</v>
      </c>
      <c r="E434" s="118">
        <v>1</v>
      </c>
      <c r="F434" s="81" cm="1">
        <f t="array" ref="F434">_xlfn.SUMIFS('עסקאות'!$M$2:$M$1958,'עסקאות'!$F$2:$F$1958,B434)</f>
        <v>44</v>
      </c>
      <c r="G434" s="81" cm="1">
        <f t="array" ref="G434">IF(D434=0,"",F434/D434)</f>
        <v>44</v>
      </c>
      <c r="H434" s="81" cm="1">
        <f t="array" ref="H434">F434/20</f>
        <v>2.2</v>
      </c>
      <c r="I434" s="81" cm="1">
        <f t="array" ref="I434">_xlfn.SUMIFS('עסקאות'!$M$2:$M$1958,'עסקאות'!$F$2:$F$1958,B434,'עסקאות'!$A$2:$A$1958,"&gt;="&amp;DATE(2025,1,1),'עסקאות'!$A$2:$A$1958,"&lt;"&amp;DATE(2026,1,1))</f>
        <v>44</v>
      </c>
      <c r="J434" s="83" cm="1">
        <f t="array" ref="J434">_xlfn.SUMIFS('עסקאות'!$M$2:$M$1958,'עסקאות'!$F$2:$F$1958,B434,'עסקאות'!$A$2:$A$1958,"&gt;="&amp;DATE(2026,1,1),'עסקאות'!$A$2:$A$1958,"&lt;"&amp;DATE(2027,1,1))</f>
        <v>0</v>
      </c>
      <c r="K434" s="77"/>
    </row>
    <row r="435" ht="13.65" customHeight="1">
      <c r="A435" s="70"/>
      <c r="B435" t="s" s="27">
        <v>621</v>
      </c>
      <c r="C435" t="s" s="86">
        <v>115</v>
      </c>
      <c r="D435" s="119">
        <v>1</v>
      </c>
      <c r="E435" s="119">
        <v>1</v>
      </c>
      <c r="F435" s="87" cm="1">
        <f t="array" ref="F435">_xlfn.SUMIFS('עסקאות'!$M$2:$M$1958,'עסקאות'!$F$2:$F$1958,B435)</f>
        <v>44</v>
      </c>
      <c r="G435" s="87" cm="1">
        <f t="array" ref="G435">IF(D435=0,"",F435/D435)</f>
        <v>44</v>
      </c>
      <c r="H435" s="87" cm="1">
        <f t="array" ref="H435">F435/20</f>
        <v>2.2</v>
      </c>
      <c r="I435" s="87" cm="1">
        <f t="array" ref="I435">_xlfn.SUMIFS('עסקאות'!$M$2:$M$1958,'עסקאות'!$F$2:$F$1958,B435,'עסקאות'!$A$2:$A$1958,"&gt;="&amp;DATE(2025,1,1),'עסקאות'!$A$2:$A$1958,"&lt;"&amp;DATE(2026,1,1))</f>
        <v>0</v>
      </c>
      <c r="J435" s="28" cm="1">
        <f t="array" ref="J435">_xlfn.SUMIFS('עסקאות'!$M$2:$M$1958,'עסקאות'!$F$2:$F$1958,B435,'עסקאות'!$A$2:$A$1958,"&gt;="&amp;DATE(2026,1,1),'עסקאות'!$A$2:$A$1958,"&lt;"&amp;DATE(2027,1,1))</f>
        <v>44</v>
      </c>
      <c r="K435" s="77"/>
    </row>
    <row r="436" ht="13.65" customHeight="1">
      <c r="A436" s="70"/>
      <c r="B436" t="s" s="94">
        <v>622</v>
      </c>
      <c r="C436" t="s" s="80">
        <v>113</v>
      </c>
      <c r="D436" s="118">
        <v>1</v>
      </c>
      <c r="E436" s="118">
        <v>1</v>
      </c>
      <c r="F436" s="81" cm="1">
        <f t="array" ref="F436">_xlfn.SUMIFS('עסקאות'!$M$2:$M$1958,'עסקאות'!$F$2:$F$1958,B436)</f>
        <v>43</v>
      </c>
      <c r="G436" s="81" cm="1">
        <f t="array" ref="G436">IF(D436=0,"",F436/D436)</f>
        <v>43</v>
      </c>
      <c r="H436" s="81" cm="1">
        <f t="array" ref="H436">F436/20</f>
        <v>2.15</v>
      </c>
      <c r="I436" s="81" cm="1">
        <f t="array" ref="I436">_xlfn.SUMIFS('עסקאות'!$M$2:$M$1958,'עסקאות'!$F$2:$F$1958,B436,'עסקאות'!$A$2:$A$1958,"&gt;="&amp;DATE(2025,1,1),'עסקאות'!$A$2:$A$1958,"&lt;"&amp;DATE(2026,1,1))</f>
        <v>43</v>
      </c>
      <c r="J436" s="83" cm="1">
        <f t="array" ref="J436">_xlfn.SUMIFS('עסקאות'!$M$2:$M$1958,'עסקאות'!$F$2:$F$1958,B436,'עסקאות'!$A$2:$A$1958,"&gt;="&amp;DATE(2026,1,1),'עסקאות'!$A$2:$A$1958,"&lt;"&amp;DATE(2027,1,1))</f>
        <v>0</v>
      </c>
      <c r="K436" s="77"/>
    </row>
    <row r="437" ht="13.65" customHeight="1">
      <c r="A437" s="70"/>
      <c r="B437" t="s" s="27">
        <v>623</v>
      </c>
      <c r="C437" t="s" s="86">
        <v>113</v>
      </c>
      <c r="D437" s="119">
        <v>1</v>
      </c>
      <c r="E437" s="119">
        <v>1</v>
      </c>
      <c r="F437" s="87" cm="1">
        <f t="array" ref="F437">_xlfn.SUMIFS('עסקאות'!$M$2:$M$1958,'עסקאות'!$F$2:$F$1958,B437)</f>
        <v>43</v>
      </c>
      <c r="G437" s="87" cm="1">
        <f t="array" ref="G437">IF(D437=0,"",F437/D437)</f>
        <v>43</v>
      </c>
      <c r="H437" s="87" cm="1">
        <f t="array" ref="H437">F437/20</f>
        <v>2.15</v>
      </c>
      <c r="I437" s="87" cm="1">
        <f t="array" ref="I437">_xlfn.SUMIFS('עסקאות'!$M$2:$M$1958,'עסקאות'!$F$2:$F$1958,B437,'עסקאות'!$A$2:$A$1958,"&gt;="&amp;DATE(2025,1,1),'עסקאות'!$A$2:$A$1958,"&lt;"&amp;DATE(2026,1,1))</f>
        <v>43</v>
      </c>
      <c r="J437" s="28" cm="1">
        <f t="array" ref="J437">_xlfn.SUMIFS('עסקאות'!$M$2:$M$1958,'עסקאות'!$F$2:$F$1958,B437,'עסקאות'!$A$2:$A$1958,"&gt;="&amp;DATE(2026,1,1),'עסקאות'!$A$2:$A$1958,"&lt;"&amp;DATE(2027,1,1))</f>
        <v>0</v>
      </c>
      <c r="K437" s="77"/>
    </row>
    <row r="438" ht="13.65" customHeight="1">
      <c r="A438" s="70"/>
      <c r="B438" t="s" s="94">
        <v>624</v>
      </c>
      <c r="C438" t="s" s="80">
        <v>107</v>
      </c>
      <c r="D438" s="118">
        <v>1</v>
      </c>
      <c r="E438" s="118">
        <v>1</v>
      </c>
      <c r="F438" s="81" cm="1">
        <f t="array" ref="F438">_xlfn.SUMIFS('עסקאות'!$M$2:$M$1958,'עסקאות'!$F$2:$F$1958,B438)</f>
        <v>42</v>
      </c>
      <c r="G438" s="81" cm="1">
        <f t="array" ref="G438">IF(D438=0,"",F438/D438)</f>
        <v>42</v>
      </c>
      <c r="H438" s="81" cm="1">
        <f t="array" ref="H438">F438/20</f>
        <v>2.1</v>
      </c>
      <c r="I438" s="81" cm="1">
        <f t="array" ref="I438">_xlfn.SUMIFS('עסקאות'!$M$2:$M$1958,'עסקאות'!$F$2:$F$1958,B438,'עסקאות'!$A$2:$A$1958,"&gt;="&amp;DATE(2025,1,1),'עסקאות'!$A$2:$A$1958,"&lt;"&amp;DATE(2026,1,1))</f>
        <v>42</v>
      </c>
      <c r="J438" s="83" cm="1">
        <f t="array" ref="J438">_xlfn.SUMIFS('עסקאות'!$M$2:$M$1958,'עסקאות'!$F$2:$F$1958,B438,'עסקאות'!$A$2:$A$1958,"&gt;="&amp;DATE(2026,1,1),'עסקאות'!$A$2:$A$1958,"&lt;"&amp;DATE(2027,1,1))</f>
        <v>0</v>
      </c>
      <c r="K438" s="77"/>
    </row>
    <row r="439" ht="13.65" customHeight="1">
      <c r="A439" s="70"/>
      <c r="B439" t="s" s="27">
        <v>625</v>
      </c>
      <c r="C439" t="s" s="86">
        <v>113</v>
      </c>
      <c r="D439" s="119">
        <v>1</v>
      </c>
      <c r="E439" s="119">
        <v>1</v>
      </c>
      <c r="F439" s="87" cm="1">
        <f t="array" ref="F439">_xlfn.SUMIFS('עסקאות'!$M$2:$M$1958,'עסקאות'!$F$2:$F$1958,B439)</f>
        <v>41</v>
      </c>
      <c r="G439" s="87" cm="1">
        <f t="array" ref="G439">IF(D439=0,"",F439/D439)</f>
        <v>41</v>
      </c>
      <c r="H439" s="87" cm="1">
        <f t="array" ref="H439">F439/20</f>
        <v>2.05</v>
      </c>
      <c r="I439" s="87" cm="1">
        <f t="array" ref="I439">_xlfn.SUMIFS('עסקאות'!$M$2:$M$1958,'עסקאות'!$F$2:$F$1958,B439,'עסקאות'!$A$2:$A$1958,"&gt;="&amp;DATE(2025,1,1),'עסקאות'!$A$2:$A$1958,"&lt;"&amp;DATE(2026,1,1))</f>
        <v>41</v>
      </c>
      <c r="J439" s="28" cm="1">
        <f t="array" ref="J439">_xlfn.SUMIFS('עסקאות'!$M$2:$M$1958,'עסקאות'!$F$2:$F$1958,B439,'עסקאות'!$A$2:$A$1958,"&gt;="&amp;DATE(2026,1,1),'עסקאות'!$A$2:$A$1958,"&lt;"&amp;DATE(2027,1,1))</f>
        <v>0</v>
      </c>
      <c r="K439" s="77"/>
    </row>
    <row r="440" ht="13.65" customHeight="1">
      <c r="A440" s="70"/>
      <c r="B440" t="s" s="94">
        <v>626</v>
      </c>
      <c r="C440" t="s" s="80">
        <v>107</v>
      </c>
      <c r="D440" s="118">
        <v>1</v>
      </c>
      <c r="E440" s="118">
        <v>1</v>
      </c>
      <c r="F440" s="81" cm="1">
        <f t="array" ref="F440">_xlfn.SUMIFS('עסקאות'!$M$2:$M$1958,'עסקאות'!$F$2:$F$1958,B440)</f>
        <v>40</v>
      </c>
      <c r="G440" s="81" cm="1">
        <f t="array" ref="G440">IF(D440=0,"",F440/D440)</f>
        <v>40</v>
      </c>
      <c r="H440" s="81" cm="1">
        <f t="array" ref="H440">F440/20</f>
        <v>2</v>
      </c>
      <c r="I440" s="81" cm="1">
        <f t="array" ref="I440">_xlfn.SUMIFS('עסקאות'!$M$2:$M$1958,'עסקאות'!$F$2:$F$1958,B440,'עסקאות'!$A$2:$A$1958,"&gt;="&amp;DATE(2025,1,1),'עסקאות'!$A$2:$A$1958,"&lt;"&amp;DATE(2026,1,1))</f>
        <v>40</v>
      </c>
      <c r="J440" s="83" cm="1">
        <f t="array" ref="J440">_xlfn.SUMIFS('עסקאות'!$M$2:$M$1958,'עסקאות'!$F$2:$F$1958,B440,'עסקאות'!$A$2:$A$1958,"&gt;="&amp;DATE(2026,1,1),'עסקאות'!$A$2:$A$1958,"&lt;"&amp;DATE(2027,1,1))</f>
        <v>0</v>
      </c>
      <c r="K440" s="77"/>
    </row>
    <row r="441" ht="13.65" customHeight="1">
      <c r="A441" s="70"/>
      <c r="B441" t="s" s="27">
        <v>627</v>
      </c>
      <c r="C441" t="s" s="86">
        <v>115</v>
      </c>
      <c r="D441" s="119">
        <v>1</v>
      </c>
      <c r="E441" s="119">
        <v>1</v>
      </c>
      <c r="F441" s="87" cm="1">
        <f t="array" ref="F441">_xlfn.SUMIFS('עסקאות'!$M$2:$M$1958,'עסקאות'!$F$2:$F$1958,B441)</f>
        <v>40</v>
      </c>
      <c r="G441" s="87" cm="1">
        <f t="array" ref="G441">IF(D441=0,"",F441/D441)</f>
        <v>40</v>
      </c>
      <c r="H441" s="87" cm="1">
        <f t="array" ref="H441">F441/20</f>
        <v>2</v>
      </c>
      <c r="I441" s="87" cm="1">
        <f t="array" ref="I441">_xlfn.SUMIFS('עסקאות'!$M$2:$M$1958,'עסקאות'!$F$2:$F$1958,B441,'עסקאות'!$A$2:$A$1958,"&gt;="&amp;DATE(2025,1,1),'עסקאות'!$A$2:$A$1958,"&lt;"&amp;DATE(2026,1,1))</f>
        <v>40</v>
      </c>
      <c r="J441" s="28" cm="1">
        <f t="array" ref="J441">_xlfn.SUMIFS('עסקאות'!$M$2:$M$1958,'עסקאות'!$F$2:$F$1958,B441,'עסקאות'!$A$2:$A$1958,"&gt;="&amp;DATE(2026,1,1),'עסקאות'!$A$2:$A$1958,"&lt;"&amp;DATE(2027,1,1))</f>
        <v>0</v>
      </c>
      <c r="K441" s="77"/>
    </row>
    <row r="442" ht="13.65" customHeight="1">
      <c r="A442" s="70"/>
      <c r="B442" t="s" s="94">
        <v>628</v>
      </c>
      <c r="C442" t="s" s="80">
        <v>125</v>
      </c>
      <c r="D442" s="118">
        <v>2</v>
      </c>
      <c r="E442" s="118">
        <v>2</v>
      </c>
      <c r="F442" s="81" cm="1">
        <f t="array" ref="F442">_xlfn.SUMIFS('עסקאות'!$M$2:$M$1958,'עסקאות'!$F$2:$F$1958,B442)</f>
        <v>40</v>
      </c>
      <c r="G442" s="81" cm="1">
        <f t="array" ref="G442">IF(D442=0,"",F442/D442)</f>
        <v>20</v>
      </c>
      <c r="H442" s="81" cm="1">
        <f t="array" ref="H442">F442/20</f>
        <v>2</v>
      </c>
      <c r="I442" s="81" cm="1">
        <f t="array" ref="I442">_xlfn.SUMIFS('עסקאות'!$M$2:$M$1958,'עסקאות'!$F$2:$F$1958,B442,'עסקאות'!$A$2:$A$1958,"&gt;="&amp;DATE(2025,1,1),'עסקאות'!$A$2:$A$1958,"&lt;"&amp;DATE(2026,1,1))</f>
        <v>40</v>
      </c>
      <c r="J442" s="83" cm="1">
        <f t="array" ref="J442">_xlfn.SUMIFS('עסקאות'!$M$2:$M$1958,'עסקאות'!$F$2:$F$1958,B442,'עסקאות'!$A$2:$A$1958,"&gt;="&amp;DATE(2026,1,1),'עסקאות'!$A$2:$A$1958,"&lt;"&amp;DATE(2027,1,1))</f>
        <v>0</v>
      </c>
      <c r="K442" s="77"/>
    </row>
    <row r="443" ht="13.65" customHeight="1">
      <c r="A443" s="70"/>
      <c r="B443" t="s" s="27">
        <v>629</v>
      </c>
      <c r="C443" t="s" s="86">
        <v>117</v>
      </c>
      <c r="D443" s="119">
        <v>1</v>
      </c>
      <c r="E443" s="119">
        <v>1</v>
      </c>
      <c r="F443" s="87" cm="1">
        <f t="array" ref="F443">_xlfn.SUMIFS('עסקאות'!$M$2:$M$1958,'עסקאות'!$F$2:$F$1958,B443)</f>
        <v>38</v>
      </c>
      <c r="G443" s="87" cm="1">
        <f t="array" ref="G443">IF(D443=0,"",F443/D443)</f>
        <v>38</v>
      </c>
      <c r="H443" s="87" cm="1">
        <f t="array" ref="H443">F443/20</f>
        <v>1.9</v>
      </c>
      <c r="I443" s="87" cm="1">
        <f t="array" ref="I443">_xlfn.SUMIFS('עסקאות'!$M$2:$M$1958,'עסקאות'!$F$2:$F$1958,B443,'עסקאות'!$A$2:$A$1958,"&gt;="&amp;DATE(2025,1,1),'עסקאות'!$A$2:$A$1958,"&lt;"&amp;DATE(2026,1,1))</f>
        <v>38</v>
      </c>
      <c r="J443" s="28" cm="1">
        <f t="array" ref="J443">_xlfn.SUMIFS('עסקאות'!$M$2:$M$1958,'עסקאות'!$F$2:$F$1958,B443,'עסקאות'!$A$2:$A$1958,"&gt;="&amp;DATE(2026,1,1),'עסקאות'!$A$2:$A$1958,"&lt;"&amp;DATE(2027,1,1))</f>
        <v>0</v>
      </c>
      <c r="K443" s="77"/>
    </row>
    <row r="444" ht="13.65" customHeight="1">
      <c r="A444" s="70"/>
      <c r="B444" t="s" s="94">
        <v>630</v>
      </c>
      <c r="C444" t="s" s="80">
        <v>121</v>
      </c>
      <c r="D444" s="118">
        <v>2</v>
      </c>
      <c r="E444" s="118">
        <v>2</v>
      </c>
      <c r="F444" s="81" cm="1">
        <f t="array" ref="F444">_xlfn.SUMIFS('עסקאות'!$M$2:$M$1958,'עסקאות'!$F$2:$F$1958,B444)</f>
        <v>38</v>
      </c>
      <c r="G444" s="81" cm="1">
        <f t="array" ref="G444">IF(D444=0,"",F444/D444)</f>
        <v>19</v>
      </c>
      <c r="H444" s="81" cm="1">
        <f t="array" ref="H444">F444/20</f>
        <v>1.9</v>
      </c>
      <c r="I444" s="81" cm="1">
        <f t="array" ref="I444">_xlfn.SUMIFS('עסקאות'!$M$2:$M$1958,'עסקאות'!$F$2:$F$1958,B444,'עסקאות'!$A$2:$A$1958,"&gt;="&amp;DATE(2025,1,1),'עסקאות'!$A$2:$A$1958,"&lt;"&amp;DATE(2026,1,1))</f>
        <v>0</v>
      </c>
      <c r="J444" s="83" cm="1">
        <f t="array" ref="J444">_xlfn.SUMIFS('עסקאות'!$M$2:$M$1958,'עסקאות'!$F$2:$F$1958,B444,'עסקאות'!$A$2:$A$1958,"&gt;="&amp;DATE(2026,1,1),'עסקאות'!$A$2:$A$1958,"&lt;"&amp;DATE(2027,1,1))</f>
        <v>38</v>
      </c>
      <c r="K444" s="77"/>
    </row>
    <row r="445" ht="13.65" customHeight="1">
      <c r="A445" s="70"/>
      <c r="B445" t="s" s="27">
        <v>631</v>
      </c>
      <c r="C445" t="s" s="86">
        <v>113</v>
      </c>
      <c r="D445" s="119">
        <v>1</v>
      </c>
      <c r="E445" s="119">
        <v>1</v>
      </c>
      <c r="F445" s="87" cm="1">
        <f t="array" ref="F445">_xlfn.SUMIFS('עסקאות'!$M$2:$M$1958,'עסקאות'!$F$2:$F$1958,B445)</f>
        <v>38</v>
      </c>
      <c r="G445" s="87" cm="1">
        <f t="array" ref="G445">IF(D445=0,"",F445/D445)</f>
        <v>38</v>
      </c>
      <c r="H445" s="87" cm="1">
        <f t="array" ref="H445">F445/20</f>
        <v>1.9</v>
      </c>
      <c r="I445" s="87" cm="1">
        <f t="array" ref="I445">_xlfn.SUMIFS('עסקאות'!$M$2:$M$1958,'עסקאות'!$F$2:$F$1958,B445,'עסקאות'!$A$2:$A$1958,"&gt;="&amp;DATE(2025,1,1),'עסקאות'!$A$2:$A$1958,"&lt;"&amp;DATE(2026,1,1))</f>
        <v>0</v>
      </c>
      <c r="J445" s="28" cm="1">
        <f t="array" ref="J445">_xlfn.SUMIFS('עסקאות'!$M$2:$M$1958,'עסקאות'!$F$2:$F$1958,B445,'עסקאות'!$A$2:$A$1958,"&gt;="&amp;DATE(2026,1,1),'עסקאות'!$A$2:$A$1958,"&lt;"&amp;DATE(2027,1,1))</f>
        <v>38</v>
      </c>
      <c r="K445" s="77"/>
    </row>
    <row r="446" ht="13.65" customHeight="1">
      <c r="A446" s="70"/>
      <c r="B446" t="s" s="94">
        <v>632</v>
      </c>
      <c r="C446" t="s" s="80">
        <v>139</v>
      </c>
      <c r="D446" s="118">
        <v>1</v>
      </c>
      <c r="E446" s="118">
        <v>1</v>
      </c>
      <c r="F446" s="81" cm="1">
        <f t="array" ref="F446">_xlfn.SUMIFS('עסקאות'!$M$2:$M$1958,'עסקאות'!$F$2:$F$1958,B446)</f>
        <v>37</v>
      </c>
      <c r="G446" s="81" cm="1">
        <f t="array" ref="G446">IF(D446=0,"",F446/D446)</f>
        <v>37</v>
      </c>
      <c r="H446" s="81" cm="1">
        <f t="array" ref="H446">F446/20</f>
        <v>1.85</v>
      </c>
      <c r="I446" s="81" cm="1">
        <f t="array" ref="I446">_xlfn.SUMIFS('עסקאות'!$M$2:$M$1958,'עסקאות'!$F$2:$F$1958,B446,'עסקאות'!$A$2:$A$1958,"&gt;="&amp;DATE(2025,1,1),'עסקאות'!$A$2:$A$1958,"&lt;"&amp;DATE(2026,1,1))</f>
        <v>37</v>
      </c>
      <c r="J446" s="83" cm="1">
        <f t="array" ref="J446">_xlfn.SUMIFS('עסקאות'!$M$2:$M$1958,'עסקאות'!$F$2:$F$1958,B446,'עסקאות'!$A$2:$A$1958,"&gt;="&amp;DATE(2026,1,1),'עסקאות'!$A$2:$A$1958,"&lt;"&amp;DATE(2027,1,1))</f>
        <v>0</v>
      </c>
      <c r="K446" s="77"/>
    </row>
    <row r="447" ht="13.65" customHeight="1">
      <c r="A447" s="70"/>
      <c r="B447" t="s" s="27">
        <v>633</v>
      </c>
      <c r="C447" t="s" s="86">
        <v>105</v>
      </c>
      <c r="D447" s="119">
        <v>1</v>
      </c>
      <c r="E447" s="119">
        <v>1</v>
      </c>
      <c r="F447" s="87" cm="1">
        <f t="array" ref="F447">_xlfn.SUMIFS('עסקאות'!$M$2:$M$1958,'עסקאות'!$F$2:$F$1958,B447)</f>
        <v>36</v>
      </c>
      <c r="G447" s="87" cm="1">
        <f t="array" ref="G447">IF(D447=0,"",F447/D447)</f>
        <v>36</v>
      </c>
      <c r="H447" s="87" cm="1">
        <f t="array" ref="H447">F447/20</f>
        <v>1.8</v>
      </c>
      <c r="I447" s="87" cm="1">
        <f t="array" ref="I447">_xlfn.SUMIFS('עסקאות'!$M$2:$M$1958,'עסקאות'!$F$2:$F$1958,B447,'עסקאות'!$A$2:$A$1958,"&gt;="&amp;DATE(2025,1,1),'עסקאות'!$A$2:$A$1958,"&lt;"&amp;DATE(2026,1,1))</f>
        <v>36</v>
      </c>
      <c r="J447" s="28" cm="1">
        <f t="array" ref="J447">_xlfn.SUMIFS('עסקאות'!$M$2:$M$1958,'עסקאות'!$F$2:$F$1958,B447,'עסקאות'!$A$2:$A$1958,"&gt;="&amp;DATE(2026,1,1),'עסקאות'!$A$2:$A$1958,"&lt;"&amp;DATE(2027,1,1))</f>
        <v>0</v>
      </c>
      <c r="K447" s="77"/>
    </row>
    <row r="448" ht="13.65" customHeight="1">
      <c r="A448" s="70"/>
      <c r="B448" t="s" s="94">
        <v>634</v>
      </c>
      <c r="C448" t="s" s="80">
        <v>117</v>
      </c>
      <c r="D448" s="118">
        <v>1</v>
      </c>
      <c r="E448" s="118">
        <v>1</v>
      </c>
      <c r="F448" s="81" cm="1">
        <f t="array" ref="F448">_xlfn.SUMIFS('עסקאות'!$M$2:$M$1958,'עסקאות'!$F$2:$F$1958,B448)</f>
        <v>35</v>
      </c>
      <c r="G448" s="81" cm="1">
        <f t="array" ref="G448">IF(D448=0,"",F448/D448)</f>
        <v>35</v>
      </c>
      <c r="H448" s="81" cm="1">
        <f t="array" ref="H448">F448/20</f>
        <v>1.75</v>
      </c>
      <c r="I448" s="81" cm="1">
        <f t="array" ref="I448">_xlfn.SUMIFS('עסקאות'!$M$2:$M$1958,'עסקאות'!$F$2:$F$1958,B448,'עסקאות'!$A$2:$A$1958,"&gt;="&amp;DATE(2025,1,1),'עסקאות'!$A$2:$A$1958,"&lt;"&amp;DATE(2026,1,1))</f>
        <v>35</v>
      </c>
      <c r="J448" s="83" cm="1">
        <f t="array" ref="J448">_xlfn.SUMIFS('עסקאות'!$M$2:$M$1958,'עסקאות'!$F$2:$F$1958,B448,'עסקאות'!$A$2:$A$1958,"&gt;="&amp;DATE(2026,1,1),'עסקאות'!$A$2:$A$1958,"&lt;"&amp;DATE(2027,1,1))</f>
        <v>0</v>
      </c>
      <c r="K448" s="77"/>
    </row>
    <row r="449" ht="13.65" customHeight="1">
      <c r="A449" s="70"/>
      <c r="B449" t="s" s="27">
        <v>635</v>
      </c>
      <c r="C449" t="s" s="86">
        <v>117</v>
      </c>
      <c r="D449" s="119">
        <v>1</v>
      </c>
      <c r="E449" s="119">
        <v>1</v>
      </c>
      <c r="F449" s="87" cm="1">
        <f t="array" ref="F449">_xlfn.SUMIFS('עסקאות'!$M$2:$M$1958,'עסקאות'!$F$2:$F$1958,B449)</f>
        <v>35</v>
      </c>
      <c r="G449" s="87" cm="1">
        <f t="array" ref="G449">IF(D449=0,"",F449/D449)</f>
        <v>35</v>
      </c>
      <c r="H449" s="87" cm="1">
        <f t="array" ref="H449">F449/20</f>
        <v>1.75</v>
      </c>
      <c r="I449" s="87" cm="1">
        <f t="array" ref="I449">_xlfn.SUMIFS('עסקאות'!$M$2:$M$1958,'עסקאות'!$F$2:$F$1958,B449,'עסקאות'!$A$2:$A$1958,"&gt;="&amp;DATE(2025,1,1),'עסקאות'!$A$2:$A$1958,"&lt;"&amp;DATE(2026,1,1))</f>
        <v>35</v>
      </c>
      <c r="J449" s="28" cm="1">
        <f t="array" ref="J449">_xlfn.SUMIFS('עסקאות'!$M$2:$M$1958,'עסקאות'!$F$2:$F$1958,B449,'עסקאות'!$A$2:$A$1958,"&gt;="&amp;DATE(2026,1,1),'עסקאות'!$A$2:$A$1958,"&lt;"&amp;DATE(2027,1,1))</f>
        <v>0</v>
      </c>
      <c r="K449" s="77"/>
    </row>
    <row r="450" ht="13.65" customHeight="1">
      <c r="A450" s="70"/>
      <c r="B450" t="s" s="94">
        <v>636</v>
      </c>
      <c r="C450" t="s" s="80">
        <v>109</v>
      </c>
      <c r="D450" s="118">
        <v>1</v>
      </c>
      <c r="E450" s="118">
        <v>1</v>
      </c>
      <c r="F450" s="81" cm="1">
        <f t="array" ref="F450">_xlfn.SUMIFS('עסקאות'!$M$2:$M$1958,'עסקאות'!$F$2:$F$1958,B450)</f>
        <v>35</v>
      </c>
      <c r="G450" s="81" cm="1">
        <f t="array" ref="G450">IF(D450=0,"",F450/D450)</f>
        <v>35</v>
      </c>
      <c r="H450" s="81" cm="1">
        <f t="array" ref="H450">F450/20</f>
        <v>1.75</v>
      </c>
      <c r="I450" s="81" cm="1">
        <f t="array" ref="I450">_xlfn.SUMIFS('עסקאות'!$M$2:$M$1958,'עסקאות'!$F$2:$F$1958,B450,'עסקאות'!$A$2:$A$1958,"&gt;="&amp;DATE(2025,1,1),'עסקאות'!$A$2:$A$1958,"&lt;"&amp;DATE(2026,1,1))</f>
        <v>35</v>
      </c>
      <c r="J450" s="83" cm="1">
        <f t="array" ref="J450">_xlfn.SUMIFS('עסקאות'!$M$2:$M$1958,'עסקאות'!$F$2:$F$1958,B450,'עסקאות'!$A$2:$A$1958,"&gt;="&amp;DATE(2026,1,1),'עסקאות'!$A$2:$A$1958,"&lt;"&amp;DATE(2027,1,1))</f>
        <v>0</v>
      </c>
      <c r="K450" s="77"/>
    </row>
    <row r="451" ht="13.65" customHeight="1">
      <c r="A451" s="70"/>
      <c r="B451" t="s" s="27">
        <v>637</v>
      </c>
      <c r="C451" t="s" s="86">
        <v>109</v>
      </c>
      <c r="D451" s="119">
        <v>2</v>
      </c>
      <c r="E451" s="119">
        <v>2</v>
      </c>
      <c r="F451" s="87" cm="1">
        <f t="array" ref="F451">_xlfn.SUMIFS('עסקאות'!$M$2:$M$1958,'עסקאות'!$F$2:$F$1958,B451)</f>
        <v>35</v>
      </c>
      <c r="G451" s="87" cm="1">
        <f t="array" ref="G451">IF(D451=0,"",F451/D451)</f>
        <v>17.5</v>
      </c>
      <c r="H451" s="87" cm="1">
        <f t="array" ref="H451">F451/20</f>
        <v>1.75</v>
      </c>
      <c r="I451" s="87" cm="1">
        <f t="array" ref="I451">_xlfn.SUMIFS('עסקאות'!$M$2:$M$1958,'עסקאות'!$F$2:$F$1958,B451,'עסקאות'!$A$2:$A$1958,"&gt;="&amp;DATE(2025,1,1),'עסקאות'!$A$2:$A$1958,"&lt;"&amp;DATE(2026,1,1))</f>
        <v>35</v>
      </c>
      <c r="J451" s="28" cm="1">
        <f t="array" ref="J451">_xlfn.SUMIFS('עסקאות'!$M$2:$M$1958,'עסקאות'!$F$2:$F$1958,B451,'עסקאות'!$A$2:$A$1958,"&gt;="&amp;DATE(2026,1,1),'עסקאות'!$A$2:$A$1958,"&lt;"&amp;DATE(2027,1,1))</f>
        <v>0</v>
      </c>
      <c r="K451" s="77"/>
    </row>
    <row r="452" ht="13.65" customHeight="1">
      <c r="A452" s="70"/>
      <c r="B452" t="s" s="94">
        <v>638</v>
      </c>
      <c r="C452" t="s" s="80">
        <v>117</v>
      </c>
      <c r="D452" s="118">
        <v>1</v>
      </c>
      <c r="E452" s="118">
        <v>1</v>
      </c>
      <c r="F452" s="81" cm="1">
        <f t="array" ref="F452">_xlfn.SUMIFS('עסקאות'!$M$2:$M$1958,'עסקאות'!$F$2:$F$1958,B452)</f>
        <v>35</v>
      </c>
      <c r="G452" s="81" cm="1">
        <f t="array" ref="G452">IF(D452=0,"",F452/D452)</f>
        <v>35</v>
      </c>
      <c r="H452" s="81" cm="1">
        <f t="array" ref="H452">F452/20</f>
        <v>1.75</v>
      </c>
      <c r="I452" s="81" cm="1">
        <f t="array" ref="I452">_xlfn.SUMIFS('עסקאות'!$M$2:$M$1958,'עסקאות'!$F$2:$F$1958,B452,'עסקאות'!$A$2:$A$1958,"&gt;="&amp;DATE(2025,1,1),'עסקאות'!$A$2:$A$1958,"&lt;"&amp;DATE(2026,1,1))</f>
        <v>35</v>
      </c>
      <c r="J452" s="83" cm="1">
        <f t="array" ref="J452">_xlfn.SUMIFS('עסקאות'!$M$2:$M$1958,'עסקאות'!$F$2:$F$1958,B452,'עסקאות'!$A$2:$A$1958,"&gt;="&amp;DATE(2026,1,1),'עסקאות'!$A$2:$A$1958,"&lt;"&amp;DATE(2027,1,1))</f>
        <v>0</v>
      </c>
      <c r="K452" s="77"/>
    </row>
    <row r="453" ht="13.65" customHeight="1">
      <c r="A453" s="70"/>
      <c r="B453" t="s" s="27">
        <v>639</v>
      </c>
      <c r="C453" t="s" s="86">
        <v>113</v>
      </c>
      <c r="D453" s="119">
        <v>1</v>
      </c>
      <c r="E453" s="119">
        <v>1</v>
      </c>
      <c r="F453" s="87" cm="1">
        <f t="array" ref="F453">_xlfn.SUMIFS('עסקאות'!$M$2:$M$1958,'עסקאות'!$F$2:$F$1958,B453)</f>
        <v>35</v>
      </c>
      <c r="G453" s="87" cm="1">
        <f t="array" ref="G453">IF(D453=0,"",F453/D453)</f>
        <v>35</v>
      </c>
      <c r="H453" s="87" cm="1">
        <f t="array" ref="H453">F453/20</f>
        <v>1.75</v>
      </c>
      <c r="I453" s="87" cm="1">
        <f t="array" ref="I453">_xlfn.SUMIFS('עסקאות'!$M$2:$M$1958,'עסקאות'!$F$2:$F$1958,B453,'עסקאות'!$A$2:$A$1958,"&gt;="&amp;DATE(2025,1,1),'עסקאות'!$A$2:$A$1958,"&lt;"&amp;DATE(2026,1,1))</f>
        <v>0</v>
      </c>
      <c r="J453" s="28" cm="1">
        <f t="array" ref="J453">_xlfn.SUMIFS('עסקאות'!$M$2:$M$1958,'עסקאות'!$F$2:$F$1958,B453,'עסקאות'!$A$2:$A$1958,"&gt;="&amp;DATE(2026,1,1),'עסקאות'!$A$2:$A$1958,"&lt;"&amp;DATE(2027,1,1))</f>
        <v>35</v>
      </c>
      <c r="K453" s="77"/>
    </row>
    <row r="454" ht="13.65" customHeight="1">
      <c r="A454" s="70"/>
      <c r="B454" t="s" s="94">
        <v>640</v>
      </c>
      <c r="C454" t="s" s="80">
        <v>109</v>
      </c>
      <c r="D454" s="118">
        <v>1</v>
      </c>
      <c r="E454" s="118">
        <v>1</v>
      </c>
      <c r="F454" s="81" cm="1">
        <f t="array" ref="F454">_xlfn.SUMIFS('עסקאות'!$M$2:$M$1958,'עסקאות'!$F$2:$F$1958,B454)</f>
        <v>35</v>
      </c>
      <c r="G454" s="81" cm="1">
        <f t="array" ref="G454">IF(D454=0,"",F454/D454)</f>
        <v>35</v>
      </c>
      <c r="H454" s="81" cm="1">
        <f t="array" ref="H454">F454/20</f>
        <v>1.75</v>
      </c>
      <c r="I454" s="81" cm="1">
        <f t="array" ref="I454">_xlfn.SUMIFS('עסקאות'!$M$2:$M$1958,'עסקאות'!$F$2:$F$1958,B454,'עסקאות'!$A$2:$A$1958,"&gt;="&amp;DATE(2025,1,1),'עסקאות'!$A$2:$A$1958,"&lt;"&amp;DATE(2026,1,1))</f>
        <v>0</v>
      </c>
      <c r="J454" s="83" cm="1">
        <f t="array" ref="J454">_xlfn.SUMIFS('עסקאות'!$M$2:$M$1958,'עסקאות'!$F$2:$F$1958,B454,'עסקאות'!$A$2:$A$1958,"&gt;="&amp;DATE(2026,1,1),'עסקאות'!$A$2:$A$1958,"&lt;"&amp;DATE(2027,1,1))</f>
        <v>35</v>
      </c>
      <c r="K454" s="77"/>
    </row>
    <row r="455" ht="13.65" customHeight="1">
      <c r="A455" s="70"/>
      <c r="B455" t="s" s="27">
        <v>641</v>
      </c>
      <c r="C455" t="s" s="86">
        <v>107</v>
      </c>
      <c r="D455" s="119">
        <v>1</v>
      </c>
      <c r="E455" s="119">
        <v>1</v>
      </c>
      <c r="F455" s="87" cm="1">
        <f t="array" ref="F455">_xlfn.SUMIFS('עסקאות'!$M$2:$M$1958,'עסקאות'!$F$2:$F$1958,B455)</f>
        <v>34</v>
      </c>
      <c r="G455" s="87" cm="1">
        <f t="array" ref="G455">IF(D455=0,"",F455/D455)</f>
        <v>34</v>
      </c>
      <c r="H455" s="87" cm="1">
        <f t="array" ref="H455">F455/20</f>
        <v>1.7</v>
      </c>
      <c r="I455" s="87" cm="1">
        <f t="array" ref="I455">_xlfn.SUMIFS('עסקאות'!$M$2:$M$1958,'עסקאות'!$F$2:$F$1958,B455,'עסקאות'!$A$2:$A$1958,"&gt;="&amp;DATE(2025,1,1),'עסקאות'!$A$2:$A$1958,"&lt;"&amp;DATE(2026,1,1))</f>
        <v>0</v>
      </c>
      <c r="J455" s="28" cm="1">
        <f t="array" ref="J455">_xlfn.SUMIFS('עסקאות'!$M$2:$M$1958,'עסקאות'!$F$2:$F$1958,B455,'עסקאות'!$A$2:$A$1958,"&gt;="&amp;DATE(2026,1,1),'עסקאות'!$A$2:$A$1958,"&lt;"&amp;DATE(2027,1,1))</f>
        <v>34</v>
      </c>
      <c r="K455" s="77"/>
    </row>
    <row r="456" ht="13.65" customHeight="1">
      <c r="A456" s="70"/>
      <c r="B456" t="s" s="94">
        <v>642</v>
      </c>
      <c r="C456" t="s" s="80">
        <v>137</v>
      </c>
      <c r="D456" s="118">
        <v>1</v>
      </c>
      <c r="E456" s="118">
        <v>1</v>
      </c>
      <c r="F456" s="81" cm="1">
        <f t="array" ref="F456">_xlfn.SUMIFS('עסקאות'!$M$2:$M$1958,'עסקאות'!$F$2:$F$1958,B456)</f>
        <v>34</v>
      </c>
      <c r="G456" s="81" cm="1">
        <f t="array" ref="G456">IF(D456=0,"",F456/D456)</f>
        <v>34</v>
      </c>
      <c r="H456" s="81" cm="1">
        <f t="array" ref="H456">F456/20</f>
        <v>1.7</v>
      </c>
      <c r="I456" s="81" cm="1">
        <f t="array" ref="I456">_xlfn.SUMIFS('עסקאות'!$M$2:$M$1958,'עסקאות'!$F$2:$F$1958,B456,'עסקאות'!$A$2:$A$1958,"&gt;="&amp;DATE(2025,1,1),'עסקאות'!$A$2:$A$1958,"&lt;"&amp;DATE(2026,1,1))</f>
        <v>0</v>
      </c>
      <c r="J456" s="83" cm="1">
        <f t="array" ref="J456">_xlfn.SUMIFS('עסקאות'!$M$2:$M$1958,'עסקאות'!$F$2:$F$1958,B456,'עסקאות'!$A$2:$A$1958,"&gt;="&amp;DATE(2026,1,1),'עסקאות'!$A$2:$A$1958,"&lt;"&amp;DATE(2027,1,1))</f>
        <v>34</v>
      </c>
      <c r="K456" s="77"/>
    </row>
    <row r="457" ht="13.65" customHeight="1">
      <c r="A457" s="70"/>
      <c r="B457" t="s" s="27">
        <v>643</v>
      </c>
      <c r="C457" t="s" s="86">
        <v>113</v>
      </c>
      <c r="D457" s="119">
        <v>1</v>
      </c>
      <c r="E457" s="119">
        <v>1</v>
      </c>
      <c r="F457" s="87" cm="1">
        <f t="array" ref="F457">_xlfn.SUMIFS('עסקאות'!$M$2:$M$1958,'עסקאות'!$F$2:$F$1958,B457)</f>
        <v>31</v>
      </c>
      <c r="G457" s="87" cm="1">
        <f t="array" ref="G457">IF(D457=0,"",F457/D457)</f>
        <v>31</v>
      </c>
      <c r="H457" s="87" cm="1">
        <f t="array" ref="H457">F457/20</f>
        <v>1.55</v>
      </c>
      <c r="I457" s="87" cm="1">
        <f t="array" ref="I457">_xlfn.SUMIFS('עסקאות'!$M$2:$M$1958,'עסקאות'!$F$2:$F$1958,B457,'עסקאות'!$A$2:$A$1958,"&gt;="&amp;DATE(2025,1,1),'עסקאות'!$A$2:$A$1958,"&lt;"&amp;DATE(2026,1,1))</f>
        <v>31</v>
      </c>
      <c r="J457" s="28" cm="1">
        <f t="array" ref="J457">_xlfn.SUMIFS('עסקאות'!$M$2:$M$1958,'עסקאות'!$F$2:$F$1958,B457,'עסקאות'!$A$2:$A$1958,"&gt;="&amp;DATE(2026,1,1),'עסקאות'!$A$2:$A$1958,"&lt;"&amp;DATE(2027,1,1))</f>
        <v>0</v>
      </c>
      <c r="K457" s="77"/>
    </row>
    <row r="458" ht="13.65" customHeight="1">
      <c r="A458" s="70"/>
      <c r="B458" t="s" s="94">
        <v>644</v>
      </c>
      <c r="C458" t="s" s="80">
        <v>113</v>
      </c>
      <c r="D458" s="118">
        <v>1</v>
      </c>
      <c r="E458" s="118">
        <v>1</v>
      </c>
      <c r="F458" s="81" cm="1">
        <f t="array" ref="F458">_xlfn.SUMIFS('עסקאות'!$M$2:$M$1958,'עסקאות'!$F$2:$F$1958,B458)</f>
        <v>30</v>
      </c>
      <c r="G458" s="81" cm="1">
        <f t="array" ref="G458">IF(D458=0,"",F458/D458)</f>
        <v>30</v>
      </c>
      <c r="H458" s="81" cm="1">
        <f t="array" ref="H458">F458/20</f>
        <v>1.5</v>
      </c>
      <c r="I458" s="81" cm="1">
        <f t="array" ref="I458">_xlfn.SUMIFS('עסקאות'!$M$2:$M$1958,'עסקאות'!$F$2:$F$1958,B458,'עסקאות'!$A$2:$A$1958,"&gt;="&amp;DATE(2025,1,1),'עסקאות'!$A$2:$A$1958,"&lt;"&amp;DATE(2026,1,1))</f>
        <v>30</v>
      </c>
      <c r="J458" s="83" cm="1">
        <f t="array" ref="J458">_xlfn.SUMIFS('עסקאות'!$M$2:$M$1958,'עסקאות'!$F$2:$F$1958,B458,'עסקאות'!$A$2:$A$1958,"&gt;="&amp;DATE(2026,1,1),'עסקאות'!$A$2:$A$1958,"&lt;"&amp;DATE(2027,1,1))</f>
        <v>0</v>
      </c>
      <c r="K458" s="77"/>
    </row>
    <row r="459" ht="13.65" customHeight="1">
      <c r="A459" s="70"/>
      <c r="B459" t="s" s="27">
        <v>645</v>
      </c>
      <c r="C459" t="s" s="86">
        <v>113</v>
      </c>
      <c r="D459" s="119">
        <v>1</v>
      </c>
      <c r="E459" s="119">
        <v>1</v>
      </c>
      <c r="F459" s="87" cm="1">
        <f t="array" ref="F459">_xlfn.SUMIFS('עסקאות'!$M$2:$M$1958,'עסקאות'!$F$2:$F$1958,B459)</f>
        <v>30</v>
      </c>
      <c r="G459" s="87" cm="1">
        <f t="array" ref="G459">IF(D459=0,"",F459/D459)</f>
        <v>30</v>
      </c>
      <c r="H459" s="87" cm="1">
        <f t="array" ref="H459">F459/20</f>
        <v>1.5</v>
      </c>
      <c r="I459" s="87" cm="1">
        <f t="array" ref="I459">_xlfn.SUMIFS('עסקאות'!$M$2:$M$1958,'עסקאות'!$F$2:$F$1958,B459,'עסקאות'!$A$2:$A$1958,"&gt;="&amp;DATE(2025,1,1),'עסקאות'!$A$2:$A$1958,"&lt;"&amp;DATE(2026,1,1))</f>
        <v>30</v>
      </c>
      <c r="J459" s="28" cm="1">
        <f t="array" ref="J459">_xlfn.SUMIFS('עסקאות'!$M$2:$M$1958,'עסקאות'!$F$2:$F$1958,B459,'עסקאות'!$A$2:$A$1958,"&gt;="&amp;DATE(2026,1,1),'עסקאות'!$A$2:$A$1958,"&lt;"&amp;DATE(2027,1,1))</f>
        <v>0</v>
      </c>
      <c r="K459" s="77"/>
    </row>
    <row r="460" ht="13.65" customHeight="1">
      <c r="A460" s="70"/>
      <c r="B460" t="s" s="121">
        <v>646</v>
      </c>
      <c r="C460" t="s" s="80">
        <v>113</v>
      </c>
      <c r="D460" s="118">
        <v>1</v>
      </c>
      <c r="E460" s="118">
        <v>1</v>
      </c>
      <c r="F460" s="81" cm="1">
        <f t="array" ref="F460">_xlfn.SUMIFS('עסקאות'!$M$2:$M$1958,'עסקאות'!$F$2:$F$1958,B460)</f>
        <v>30</v>
      </c>
      <c r="G460" s="81" cm="1">
        <f t="array" ref="G460">IF(D460=0,"",F460/D460)</f>
        <v>30</v>
      </c>
      <c r="H460" s="81" cm="1">
        <f t="array" ref="H460">F460/20</f>
        <v>1.5</v>
      </c>
      <c r="I460" s="81" cm="1">
        <f t="array" ref="I460">_xlfn.SUMIFS('עסקאות'!$M$2:$M$1958,'עסקאות'!$F$2:$F$1958,B460,'עסקאות'!$A$2:$A$1958,"&gt;="&amp;DATE(2025,1,1),'עסקאות'!$A$2:$A$1958,"&lt;"&amp;DATE(2026,1,1))</f>
        <v>0</v>
      </c>
      <c r="J460" s="83" cm="1">
        <f t="array" ref="J460">_xlfn.SUMIFS('עסקאות'!$M$2:$M$1958,'עסקאות'!$F$2:$F$1958,B460,'עסקאות'!$A$2:$A$1958,"&gt;="&amp;DATE(2026,1,1),'עסקאות'!$A$2:$A$1958,"&lt;"&amp;DATE(2027,1,1))</f>
        <v>30</v>
      </c>
      <c r="K460" s="77"/>
    </row>
    <row r="461" ht="13.65" customHeight="1">
      <c r="A461" s="70"/>
      <c r="B461" t="s" s="27">
        <v>647</v>
      </c>
      <c r="C461" t="s" s="86">
        <v>113</v>
      </c>
      <c r="D461" s="119">
        <v>3</v>
      </c>
      <c r="E461" s="119">
        <v>1</v>
      </c>
      <c r="F461" s="87" cm="1">
        <f t="array" ref="F461">_xlfn.SUMIFS('עסקאות'!$M$2:$M$1958,'עסקאות'!$F$2:$F$1958,B461)</f>
        <v>30</v>
      </c>
      <c r="G461" s="87" cm="1">
        <f t="array" ref="G461">IF(D461=0,"",F461/D461)</f>
        <v>10</v>
      </c>
      <c r="H461" s="87" cm="1">
        <f t="array" ref="H461">F461/20</f>
        <v>1.5</v>
      </c>
      <c r="I461" s="87" cm="1">
        <f t="array" ref="I461">_xlfn.SUMIFS('עסקאות'!$M$2:$M$1958,'עסקאות'!$F$2:$F$1958,B461,'עסקאות'!$A$2:$A$1958,"&gt;="&amp;DATE(2025,1,1),'עסקאות'!$A$2:$A$1958,"&lt;"&amp;DATE(2026,1,1))</f>
        <v>0</v>
      </c>
      <c r="J461" s="28" cm="1">
        <f t="array" ref="J461">_xlfn.SUMIFS('עסקאות'!$M$2:$M$1958,'עסקאות'!$F$2:$F$1958,B461,'עסקאות'!$A$2:$A$1958,"&gt;="&amp;DATE(2026,1,1),'עסקאות'!$A$2:$A$1958,"&lt;"&amp;DATE(2027,1,1))</f>
        <v>30</v>
      </c>
      <c r="K461" s="77"/>
    </row>
    <row r="462" ht="13.65" customHeight="1">
      <c r="A462" s="70"/>
      <c r="B462" t="s" s="94">
        <v>648</v>
      </c>
      <c r="C462" t="s" s="80">
        <v>109</v>
      </c>
      <c r="D462" s="118">
        <v>1</v>
      </c>
      <c r="E462" s="118">
        <v>1</v>
      </c>
      <c r="F462" s="81" cm="1">
        <f t="array" ref="F462">_xlfn.SUMIFS('עסקאות'!$M$2:$M$1958,'עסקאות'!$F$2:$F$1958,B462)</f>
        <v>30</v>
      </c>
      <c r="G462" s="81" cm="1">
        <f t="array" ref="G462">IF(D462=0,"",F462/D462)</f>
        <v>30</v>
      </c>
      <c r="H462" s="81" cm="1">
        <f t="array" ref="H462">F462/20</f>
        <v>1.5</v>
      </c>
      <c r="I462" s="81" cm="1">
        <f t="array" ref="I462">_xlfn.SUMIFS('עסקאות'!$M$2:$M$1958,'עסקאות'!$F$2:$F$1958,B462,'עסקאות'!$A$2:$A$1958,"&gt;="&amp;DATE(2025,1,1),'עסקאות'!$A$2:$A$1958,"&lt;"&amp;DATE(2026,1,1))</f>
        <v>0</v>
      </c>
      <c r="J462" s="83" cm="1">
        <f t="array" ref="J462">_xlfn.SUMIFS('עסקאות'!$M$2:$M$1958,'עסקאות'!$F$2:$F$1958,B462,'עסקאות'!$A$2:$A$1958,"&gt;="&amp;DATE(2026,1,1),'עסקאות'!$A$2:$A$1958,"&lt;"&amp;DATE(2027,1,1))</f>
        <v>30</v>
      </c>
      <c r="K462" s="77"/>
    </row>
    <row r="463" ht="13.65" customHeight="1">
      <c r="A463" s="70"/>
      <c r="B463" t="s" s="27">
        <v>649</v>
      </c>
      <c r="C463" t="s" s="86">
        <v>115</v>
      </c>
      <c r="D463" s="119">
        <v>1</v>
      </c>
      <c r="E463" s="119">
        <v>1</v>
      </c>
      <c r="F463" s="87" cm="1">
        <f t="array" ref="F463">_xlfn.SUMIFS('עסקאות'!$M$2:$M$1958,'עסקאות'!$F$2:$F$1958,B463)</f>
        <v>29</v>
      </c>
      <c r="G463" s="87" cm="1">
        <f t="array" ref="G463">IF(D463=0,"",F463/D463)</f>
        <v>29</v>
      </c>
      <c r="H463" s="87" cm="1">
        <f t="array" ref="H463">F463/20</f>
        <v>1.45</v>
      </c>
      <c r="I463" s="87" cm="1">
        <f t="array" ref="I463">_xlfn.SUMIFS('עסקאות'!$M$2:$M$1958,'עסקאות'!$F$2:$F$1958,B463,'עסקאות'!$A$2:$A$1958,"&gt;="&amp;DATE(2025,1,1),'עסקאות'!$A$2:$A$1958,"&lt;"&amp;DATE(2026,1,1))</f>
        <v>29</v>
      </c>
      <c r="J463" s="28" cm="1">
        <f t="array" ref="J463">_xlfn.SUMIFS('עסקאות'!$M$2:$M$1958,'עסקאות'!$F$2:$F$1958,B463,'עסקאות'!$A$2:$A$1958,"&gt;="&amp;DATE(2026,1,1),'עסקאות'!$A$2:$A$1958,"&lt;"&amp;DATE(2027,1,1))</f>
        <v>0</v>
      </c>
      <c r="K463" s="77"/>
    </row>
    <row r="464" ht="13.65" customHeight="1">
      <c r="A464" s="70"/>
      <c r="B464" t="s" s="94">
        <v>650</v>
      </c>
      <c r="C464" t="s" s="80">
        <v>113</v>
      </c>
      <c r="D464" s="118">
        <v>1</v>
      </c>
      <c r="E464" s="118">
        <v>1</v>
      </c>
      <c r="F464" s="81" cm="1">
        <f t="array" ref="F464">_xlfn.SUMIFS('עסקאות'!$M$2:$M$1958,'עסקאות'!$F$2:$F$1958,B464)</f>
        <v>29</v>
      </c>
      <c r="G464" s="81" cm="1">
        <f t="array" ref="G464">IF(D464=0,"",F464/D464)</f>
        <v>29</v>
      </c>
      <c r="H464" s="81" cm="1">
        <f t="array" ref="H464">F464/20</f>
        <v>1.45</v>
      </c>
      <c r="I464" s="81" cm="1">
        <f t="array" ref="I464">_xlfn.SUMIFS('עסקאות'!$M$2:$M$1958,'עסקאות'!$F$2:$F$1958,B464,'עסקאות'!$A$2:$A$1958,"&gt;="&amp;DATE(2025,1,1),'עסקאות'!$A$2:$A$1958,"&lt;"&amp;DATE(2026,1,1))</f>
        <v>0</v>
      </c>
      <c r="J464" s="83" cm="1">
        <f t="array" ref="J464">_xlfn.SUMIFS('עסקאות'!$M$2:$M$1958,'עסקאות'!$F$2:$F$1958,B464,'עסקאות'!$A$2:$A$1958,"&gt;="&amp;DATE(2026,1,1),'עסקאות'!$A$2:$A$1958,"&lt;"&amp;DATE(2027,1,1))</f>
        <v>29</v>
      </c>
      <c r="K464" s="77"/>
    </row>
    <row r="465" ht="13.65" customHeight="1">
      <c r="A465" s="70"/>
      <c r="B465" t="s" s="27">
        <v>651</v>
      </c>
      <c r="C465" t="s" s="86">
        <v>139</v>
      </c>
      <c r="D465" s="119">
        <v>1</v>
      </c>
      <c r="E465" s="119">
        <v>1</v>
      </c>
      <c r="F465" s="87" cm="1">
        <f t="array" ref="F465">_xlfn.SUMIFS('עסקאות'!$M$2:$M$1958,'עסקאות'!$F$2:$F$1958,B465)</f>
        <v>28</v>
      </c>
      <c r="G465" s="87" cm="1">
        <f t="array" ref="G465">IF(D465=0,"",F465/D465)</f>
        <v>28</v>
      </c>
      <c r="H465" s="87" cm="1">
        <f t="array" ref="H465">F465/20</f>
        <v>1.4</v>
      </c>
      <c r="I465" s="87" cm="1">
        <f t="array" ref="I465">_xlfn.SUMIFS('עסקאות'!$M$2:$M$1958,'עסקאות'!$F$2:$F$1958,B465,'עסקאות'!$A$2:$A$1958,"&gt;="&amp;DATE(2025,1,1),'עסקאות'!$A$2:$A$1958,"&lt;"&amp;DATE(2026,1,1))</f>
        <v>28</v>
      </c>
      <c r="J465" s="28" cm="1">
        <f t="array" ref="J465">_xlfn.SUMIFS('עסקאות'!$M$2:$M$1958,'עסקאות'!$F$2:$F$1958,B465,'עסקאות'!$A$2:$A$1958,"&gt;="&amp;DATE(2026,1,1),'עסקאות'!$A$2:$A$1958,"&lt;"&amp;DATE(2027,1,1))</f>
        <v>0</v>
      </c>
      <c r="K465" s="77"/>
    </row>
    <row r="466" ht="13.65" customHeight="1">
      <c r="A466" s="70"/>
      <c r="B466" t="s" s="94">
        <v>652</v>
      </c>
      <c r="C466" t="s" s="80">
        <v>113</v>
      </c>
      <c r="D466" s="118">
        <v>1</v>
      </c>
      <c r="E466" s="118">
        <v>1</v>
      </c>
      <c r="F466" s="81" cm="1">
        <f t="array" ref="F466">_xlfn.SUMIFS('עסקאות'!$M$2:$M$1958,'עסקאות'!$F$2:$F$1958,B466)</f>
        <v>28</v>
      </c>
      <c r="G466" s="81" cm="1">
        <f t="array" ref="G466">IF(D466=0,"",F466/D466)</f>
        <v>28</v>
      </c>
      <c r="H466" s="81" cm="1">
        <f t="array" ref="H466">F466/20</f>
        <v>1.4</v>
      </c>
      <c r="I466" s="81" cm="1">
        <f t="array" ref="I466">_xlfn.SUMIFS('עסקאות'!$M$2:$M$1958,'עסקאות'!$F$2:$F$1958,B466,'עסקאות'!$A$2:$A$1958,"&gt;="&amp;DATE(2025,1,1),'עסקאות'!$A$2:$A$1958,"&lt;"&amp;DATE(2026,1,1))</f>
        <v>28</v>
      </c>
      <c r="J466" s="83" cm="1">
        <f t="array" ref="J466">_xlfn.SUMIFS('עסקאות'!$M$2:$M$1958,'עסקאות'!$F$2:$F$1958,B466,'עסקאות'!$A$2:$A$1958,"&gt;="&amp;DATE(2026,1,1),'עסקאות'!$A$2:$A$1958,"&lt;"&amp;DATE(2027,1,1))</f>
        <v>0</v>
      </c>
      <c r="K466" s="77"/>
    </row>
    <row r="467" ht="13.65" customHeight="1">
      <c r="A467" s="70"/>
      <c r="B467" t="s" s="27">
        <v>653</v>
      </c>
      <c r="C467" t="s" s="86">
        <v>121</v>
      </c>
      <c r="D467" s="119">
        <v>1</v>
      </c>
      <c r="E467" s="119">
        <v>1</v>
      </c>
      <c r="F467" s="87" cm="1">
        <f t="array" ref="F467">_xlfn.SUMIFS('עסקאות'!$M$2:$M$1958,'עסקאות'!$F$2:$F$1958,B467)</f>
        <v>26</v>
      </c>
      <c r="G467" s="87" cm="1">
        <f t="array" ref="G467">IF(D467=0,"",F467/D467)</f>
        <v>26</v>
      </c>
      <c r="H467" s="87" cm="1">
        <f t="array" ref="H467">F467/20</f>
        <v>1.3</v>
      </c>
      <c r="I467" s="87" cm="1">
        <f t="array" ref="I467">_xlfn.SUMIFS('עסקאות'!$M$2:$M$1958,'עסקאות'!$F$2:$F$1958,B467,'עסקאות'!$A$2:$A$1958,"&gt;="&amp;DATE(2025,1,1),'עסקאות'!$A$2:$A$1958,"&lt;"&amp;DATE(2026,1,1))</f>
        <v>26</v>
      </c>
      <c r="J467" s="28" cm="1">
        <f t="array" ref="J467">_xlfn.SUMIFS('עסקאות'!$M$2:$M$1958,'עסקאות'!$F$2:$F$1958,B467,'עסקאות'!$A$2:$A$1958,"&gt;="&amp;DATE(2026,1,1),'עסקאות'!$A$2:$A$1958,"&lt;"&amp;DATE(2027,1,1))</f>
        <v>0</v>
      </c>
      <c r="K467" s="77"/>
    </row>
    <row r="468" ht="13.65" customHeight="1">
      <c r="A468" s="70"/>
      <c r="B468" t="s" s="94">
        <v>654</v>
      </c>
      <c r="C468" t="s" s="80">
        <v>115</v>
      </c>
      <c r="D468" s="118">
        <v>1</v>
      </c>
      <c r="E468" s="118">
        <v>1</v>
      </c>
      <c r="F468" s="81" cm="1">
        <f t="array" ref="F468">_xlfn.SUMIFS('עסקאות'!$M$2:$M$1958,'עסקאות'!$F$2:$F$1958,B468)</f>
        <v>26</v>
      </c>
      <c r="G468" s="81" cm="1">
        <f t="array" ref="G468">IF(D468=0,"",F468/D468)</f>
        <v>26</v>
      </c>
      <c r="H468" s="81" cm="1">
        <f t="array" ref="H468">F468/20</f>
        <v>1.3</v>
      </c>
      <c r="I468" s="81" cm="1">
        <f t="array" ref="I468">_xlfn.SUMIFS('עסקאות'!$M$2:$M$1958,'עסקאות'!$F$2:$F$1958,B468,'עסקאות'!$A$2:$A$1958,"&gt;="&amp;DATE(2025,1,1),'עסקאות'!$A$2:$A$1958,"&lt;"&amp;DATE(2026,1,1))</f>
        <v>0</v>
      </c>
      <c r="J468" s="83" cm="1">
        <f t="array" ref="J468">_xlfn.SUMIFS('עסקאות'!$M$2:$M$1958,'עסקאות'!$F$2:$F$1958,B468,'עסקאות'!$A$2:$A$1958,"&gt;="&amp;DATE(2026,1,1),'עסקאות'!$A$2:$A$1958,"&lt;"&amp;DATE(2027,1,1))</f>
        <v>26</v>
      </c>
      <c r="K468" s="77"/>
    </row>
    <row r="469" ht="13.65" customHeight="1">
      <c r="A469" s="70"/>
      <c r="B469" t="s" s="27">
        <v>655</v>
      </c>
      <c r="C469" t="s" s="86">
        <v>113</v>
      </c>
      <c r="D469" s="119">
        <v>1</v>
      </c>
      <c r="E469" s="119">
        <v>1</v>
      </c>
      <c r="F469" s="87" cm="1">
        <f t="array" ref="F469">_xlfn.SUMIFS('עסקאות'!$M$2:$M$1958,'עסקאות'!$F$2:$F$1958,B469)</f>
        <v>25</v>
      </c>
      <c r="G469" s="87" cm="1">
        <f t="array" ref="G469">IF(D469=0,"",F469/D469)</f>
        <v>25</v>
      </c>
      <c r="H469" s="87" cm="1">
        <f t="array" ref="H469">F469/20</f>
        <v>1.25</v>
      </c>
      <c r="I469" s="87" cm="1">
        <f t="array" ref="I469">_xlfn.SUMIFS('עסקאות'!$M$2:$M$1958,'עסקאות'!$F$2:$F$1958,B469,'עסקאות'!$A$2:$A$1958,"&gt;="&amp;DATE(2025,1,1),'עסקאות'!$A$2:$A$1958,"&lt;"&amp;DATE(2026,1,1))</f>
        <v>25</v>
      </c>
      <c r="J469" s="28" cm="1">
        <f t="array" ref="J469">_xlfn.SUMIFS('עסקאות'!$M$2:$M$1958,'עסקאות'!$F$2:$F$1958,B469,'עסקאות'!$A$2:$A$1958,"&gt;="&amp;DATE(2026,1,1),'עסקאות'!$A$2:$A$1958,"&lt;"&amp;DATE(2027,1,1))</f>
        <v>0</v>
      </c>
      <c r="K469" s="77"/>
    </row>
    <row r="470" ht="13.65" customHeight="1">
      <c r="A470" s="70"/>
      <c r="B470" t="s" s="94">
        <v>656</v>
      </c>
      <c r="C470" t="s" s="80">
        <v>113</v>
      </c>
      <c r="D470" s="118">
        <v>1</v>
      </c>
      <c r="E470" s="118">
        <v>1</v>
      </c>
      <c r="F470" s="81" cm="1">
        <f t="array" ref="F470">_xlfn.SUMIFS('עסקאות'!$M$2:$M$1958,'עסקאות'!$F$2:$F$1958,B470)</f>
        <v>25</v>
      </c>
      <c r="G470" s="81" cm="1">
        <f t="array" ref="G470">IF(D470=0,"",F470/D470)</f>
        <v>25</v>
      </c>
      <c r="H470" s="81" cm="1">
        <f t="array" ref="H470">F470/20</f>
        <v>1.25</v>
      </c>
      <c r="I470" s="81" cm="1">
        <f t="array" ref="I470">_xlfn.SUMIFS('עסקאות'!$M$2:$M$1958,'עסקאות'!$F$2:$F$1958,B470,'עסקאות'!$A$2:$A$1958,"&gt;="&amp;DATE(2025,1,1),'עסקאות'!$A$2:$A$1958,"&lt;"&amp;DATE(2026,1,1))</f>
        <v>25</v>
      </c>
      <c r="J470" s="83" cm="1">
        <f t="array" ref="J470">_xlfn.SUMIFS('עסקאות'!$M$2:$M$1958,'עסקאות'!$F$2:$F$1958,B470,'עסקאות'!$A$2:$A$1958,"&gt;="&amp;DATE(2026,1,1),'עסקאות'!$A$2:$A$1958,"&lt;"&amp;DATE(2027,1,1))</f>
        <v>0</v>
      </c>
      <c r="K470" s="77"/>
    </row>
    <row r="471" ht="13.65" customHeight="1">
      <c r="A471" s="70"/>
      <c r="B471" t="s" s="27">
        <v>657</v>
      </c>
      <c r="C471" t="s" s="86">
        <v>109</v>
      </c>
      <c r="D471" s="119">
        <v>2</v>
      </c>
      <c r="E471" s="119">
        <v>1</v>
      </c>
      <c r="F471" s="87" cm="1">
        <f t="array" ref="F471">_xlfn.SUMIFS('עסקאות'!$M$2:$M$1958,'עסקאות'!$F$2:$F$1958,B471)</f>
        <v>25</v>
      </c>
      <c r="G471" s="87" cm="1">
        <f t="array" ref="G471">IF(D471=0,"",F471/D471)</f>
        <v>12.5</v>
      </c>
      <c r="H471" s="87" cm="1">
        <f t="array" ref="H471">F471/20</f>
        <v>1.25</v>
      </c>
      <c r="I471" s="87" cm="1">
        <f t="array" ref="I471">_xlfn.SUMIFS('עסקאות'!$M$2:$M$1958,'עסקאות'!$F$2:$F$1958,B471,'עסקאות'!$A$2:$A$1958,"&gt;="&amp;DATE(2025,1,1),'עסקאות'!$A$2:$A$1958,"&lt;"&amp;DATE(2026,1,1))</f>
        <v>25</v>
      </c>
      <c r="J471" s="28" cm="1">
        <f t="array" ref="J471">_xlfn.SUMIFS('עסקאות'!$M$2:$M$1958,'עסקאות'!$F$2:$F$1958,B471,'עסקאות'!$A$2:$A$1958,"&gt;="&amp;DATE(2026,1,1),'עסקאות'!$A$2:$A$1958,"&lt;"&amp;DATE(2027,1,1))</f>
        <v>0</v>
      </c>
      <c r="K471" s="77"/>
    </row>
    <row r="472" ht="13.65" customHeight="1">
      <c r="A472" s="70"/>
      <c r="B472" t="s" s="94">
        <v>658</v>
      </c>
      <c r="C472" t="s" s="80">
        <v>111</v>
      </c>
      <c r="D472" s="118">
        <v>1</v>
      </c>
      <c r="E472" s="118">
        <v>1</v>
      </c>
      <c r="F472" s="81" cm="1">
        <f t="array" ref="F472">_xlfn.SUMIFS('עסקאות'!$M$2:$M$1958,'עסקאות'!$F$2:$F$1958,B472)</f>
        <v>25</v>
      </c>
      <c r="G472" s="81" cm="1">
        <f t="array" ref="G472">IF(D472=0,"",F472/D472)</f>
        <v>25</v>
      </c>
      <c r="H472" s="81" cm="1">
        <f t="array" ref="H472">F472/20</f>
        <v>1.25</v>
      </c>
      <c r="I472" s="81" cm="1">
        <f t="array" ref="I472">_xlfn.SUMIFS('עסקאות'!$M$2:$M$1958,'עסקאות'!$F$2:$F$1958,B472,'עסקאות'!$A$2:$A$1958,"&gt;="&amp;DATE(2025,1,1),'עסקאות'!$A$2:$A$1958,"&lt;"&amp;DATE(2026,1,1))</f>
        <v>25</v>
      </c>
      <c r="J472" s="83" cm="1">
        <f t="array" ref="J472">_xlfn.SUMIFS('עסקאות'!$M$2:$M$1958,'עסקאות'!$F$2:$F$1958,B472,'עסקאות'!$A$2:$A$1958,"&gt;="&amp;DATE(2026,1,1),'עסקאות'!$A$2:$A$1958,"&lt;"&amp;DATE(2027,1,1))</f>
        <v>0</v>
      </c>
      <c r="K472" s="77"/>
    </row>
    <row r="473" ht="13.65" customHeight="1">
      <c r="A473" s="70"/>
      <c r="B473" t="s" s="27">
        <v>659</v>
      </c>
      <c r="C473" t="s" s="86">
        <v>111</v>
      </c>
      <c r="D473" s="119">
        <v>1</v>
      </c>
      <c r="E473" s="119">
        <v>1</v>
      </c>
      <c r="F473" s="87" cm="1">
        <f t="array" ref="F473">_xlfn.SUMIFS('עסקאות'!$M$2:$M$1958,'עסקאות'!$F$2:$F$1958,B473)</f>
        <v>25</v>
      </c>
      <c r="G473" s="87" cm="1">
        <f t="array" ref="G473">IF(D473=0,"",F473/D473)</f>
        <v>25</v>
      </c>
      <c r="H473" s="87" cm="1">
        <f t="array" ref="H473">F473/20</f>
        <v>1.25</v>
      </c>
      <c r="I473" s="87" cm="1">
        <f t="array" ref="I473">_xlfn.SUMIFS('עסקאות'!$M$2:$M$1958,'עסקאות'!$F$2:$F$1958,B473,'עסקאות'!$A$2:$A$1958,"&gt;="&amp;DATE(2025,1,1),'עסקאות'!$A$2:$A$1958,"&lt;"&amp;DATE(2026,1,1))</f>
        <v>0</v>
      </c>
      <c r="J473" s="28" cm="1">
        <f t="array" ref="J473">_xlfn.SUMIFS('עסקאות'!$M$2:$M$1958,'עסקאות'!$F$2:$F$1958,B473,'עסקאות'!$A$2:$A$1958,"&gt;="&amp;DATE(2026,1,1),'עסקאות'!$A$2:$A$1958,"&lt;"&amp;DATE(2027,1,1))</f>
        <v>25</v>
      </c>
      <c r="K473" s="77"/>
    </row>
    <row r="474" ht="13.65" customHeight="1">
      <c r="A474" s="70"/>
      <c r="B474" t="s" s="121">
        <v>660</v>
      </c>
      <c r="C474" t="s" s="80">
        <v>111</v>
      </c>
      <c r="D474" s="118">
        <v>1</v>
      </c>
      <c r="E474" s="118">
        <v>1</v>
      </c>
      <c r="F474" s="81" cm="1">
        <f t="array" ref="F474">_xlfn.SUMIFS('עסקאות'!$M$2:$M$1958,'עסקאות'!$F$2:$F$1958,B474)</f>
        <v>25</v>
      </c>
      <c r="G474" s="81" cm="1">
        <f t="array" ref="G474">IF(D474=0,"",F474/D474)</f>
        <v>25</v>
      </c>
      <c r="H474" s="81" cm="1">
        <f t="array" ref="H474">F474/20</f>
        <v>1.25</v>
      </c>
      <c r="I474" s="81" cm="1">
        <f t="array" ref="I474">_xlfn.SUMIFS('עסקאות'!$M$2:$M$1958,'עסקאות'!$F$2:$F$1958,B474,'עסקאות'!$A$2:$A$1958,"&gt;="&amp;DATE(2025,1,1),'עסקאות'!$A$2:$A$1958,"&lt;"&amp;DATE(2026,1,1))</f>
        <v>0</v>
      </c>
      <c r="J474" s="83" cm="1">
        <f t="array" ref="J474">_xlfn.SUMIFS('עסקאות'!$M$2:$M$1958,'עסקאות'!$F$2:$F$1958,B474,'עסקאות'!$A$2:$A$1958,"&gt;="&amp;DATE(2026,1,1),'עסקאות'!$A$2:$A$1958,"&lt;"&amp;DATE(2027,1,1))</f>
        <v>25</v>
      </c>
      <c r="K474" s="77"/>
    </row>
    <row r="475" ht="13.65" customHeight="1">
      <c r="A475" s="70"/>
      <c r="B475" t="s" s="27">
        <v>661</v>
      </c>
      <c r="C475" t="s" s="86">
        <v>117</v>
      </c>
      <c r="D475" s="119">
        <v>1</v>
      </c>
      <c r="E475" s="119">
        <v>1</v>
      </c>
      <c r="F475" s="87" cm="1">
        <f t="array" ref="F475">_xlfn.SUMIFS('עסקאות'!$M$2:$M$1958,'עסקאות'!$F$2:$F$1958,B475)</f>
        <v>24</v>
      </c>
      <c r="G475" s="87" cm="1">
        <f t="array" ref="G475">IF(D475=0,"",F475/D475)</f>
        <v>24</v>
      </c>
      <c r="H475" s="87" cm="1">
        <f t="array" ref="H475">F475/20</f>
        <v>1.2</v>
      </c>
      <c r="I475" s="87" cm="1">
        <f t="array" ref="I475">_xlfn.SUMIFS('עסקאות'!$M$2:$M$1958,'עסקאות'!$F$2:$F$1958,B475,'עסקאות'!$A$2:$A$1958,"&gt;="&amp;DATE(2025,1,1),'עסקאות'!$A$2:$A$1958,"&lt;"&amp;DATE(2026,1,1))</f>
        <v>24</v>
      </c>
      <c r="J475" s="28" cm="1">
        <f t="array" ref="J475">_xlfn.SUMIFS('עסקאות'!$M$2:$M$1958,'עסקאות'!$F$2:$F$1958,B475,'עסקאות'!$A$2:$A$1958,"&gt;="&amp;DATE(2026,1,1),'עסקאות'!$A$2:$A$1958,"&lt;"&amp;DATE(2027,1,1))</f>
        <v>0</v>
      </c>
      <c r="K475" s="77"/>
    </row>
    <row r="476" ht="13.65" customHeight="1">
      <c r="A476" s="70"/>
      <c r="B476" t="s" s="94">
        <v>662</v>
      </c>
      <c r="C476" t="s" s="80">
        <v>115</v>
      </c>
      <c r="D476" s="118">
        <v>4</v>
      </c>
      <c r="E476" s="118">
        <v>2</v>
      </c>
      <c r="F476" s="81" cm="1">
        <f t="array" ref="F476">_xlfn.SUMIFS('עסקאות'!$M$2:$M$1958,'עסקאות'!$F$2:$F$1958,B476)</f>
        <v>24</v>
      </c>
      <c r="G476" s="81" cm="1">
        <f t="array" ref="G476">IF(D476=0,"",F476/D476)</f>
        <v>6</v>
      </c>
      <c r="H476" s="81" cm="1">
        <f t="array" ref="H476">F476/20</f>
        <v>1.2</v>
      </c>
      <c r="I476" s="81" cm="1">
        <f t="array" ref="I476">_xlfn.SUMIFS('עסקאות'!$M$2:$M$1958,'עסקאות'!$F$2:$F$1958,B476,'עסקאות'!$A$2:$A$1958,"&gt;="&amp;DATE(2025,1,1),'עסקאות'!$A$2:$A$1958,"&lt;"&amp;DATE(2026,1,1))</f>
        <v>0</v>
      </c>
      <c r="J476" s="83" cm="1">
        <f t="array" ref="J476">_xlfn.SUMIFS('עסקאות'!$M$2:$M$1958,'עסקאות'!$F$2:$F$1958,B476,'עסקאות'!$A$2:$A$1958,"&gt;="&amp;DATE(2026,1,1),'עסקאות'!$A$2:$A$1958,"&lt;"&amp;DATE(2027,1,1))</f>
        <v>24</v>
      </c>
      <c r="K476" s="77"/>
    </row>
    <row r="477" ht="13.65" customHeight="1">
      <c r="A477" s="70"/>
      <c r="B477" t="s" s="27">
        <v>663</v>
      </c>
      <c r="C477" t="s" s="86">
        <v>109</v>
      </c>
      <c r="D477" s="119">
        <v>1</v>
      </c>
      <c r="E477" s="119">
        <v>1</v>
      </c>
      <c r="F477" s="87" cm="1">
        <f t="array" ref="F477">_xlfn.SUMIFS('עסקאות'!$M$2:$M$1958,'עסקאות'!$F$2:$F$1958,B477)</f>
        <v>24</v>
      </c>
      <c r="G477" s="87" cm="1">
        <f t="array" ref="G477">IF(D477=0,"",F477/D477)</f>
        <v>24</v>
      </c>
      <c r="H477" s="87" cm="1">
        <f t="array" ref="H477">F477/20</f>
        <v>1.2</v>
      </c>
      <c r="I477" s="87" cm="1">
        <f t="array" ref="I477">_xlfn.SUMIFS('עסקאות'!$M$2:$M$1958,'עסקאות'!$F$2:$F$1958,B477,'עסקאות'!$A$2:$A$1958,"&gt;="&amp;DATE(2025,1,1),'עסקאות'!$A$2:$A$1958,"&lt;"&amp;DATE(2026,1,1))</f>
        <v>0</v>
      </c>
      <c r="J477" s="28" cm="1">
        <f t="array" ref="J477">_xlfn.SUMIFS('עסקאות'!$M$2:$M$1958,'עסקאות'!$F$2:$F$1958,B477,'עסקאות'!$A$2:$A$1958,"&gt;="&amp;DATE(2026,1,1),'עסקאות'!$A$2:$A$1958,"&lt;"&amp;DATE(2027,1,1))</f>
        <v>24</v>
      </c>
      <c r="K477" s="77"/>
    </row>
    <row r="478" ht="13.65" customHeight="1">
      <c r="A478" s="70"/>
      <c r="B478" t="s" s="94">
        <v>664</v>
      </c>
      <c r="C478" t="s" s="80">
        <v>129</v>
      </c>
      <c r="D478" s="118">
        <v>1</v>
      </c>
      <c r="E478" s="118">
        <v>1</v>
      </c>
      <c r="F478" s="81" cm="1">
        <f t="array" ref="F478">_xlfn.SUMIFS('עסקאות'!$M$2:$M$1958,'עסקאות'!$F$2:$F$1958,B478)</f>
        <v>23</v>
      </c>
      <c r="G478" s="81" cm="1">
        <f t="array" ref="G478">IF(D478=0,"",F478/D478)</f>
        <v>23</v>
      </c>
      <c r="H478" s="81" cm="1">
        <f t="array" ref="H478">F478/20</f>
        <v>1.15</v>
      </c>
      <c r="I478" s="81" cm="1">
        <f t="array" ref="I478">_xlfn.SUMIFS('עסקאות'!$M$2:$M$1958,'עסקאות'!$F$2:$F$1958,B478,'עסקאות'!$A$2:$A$1958,"&gt;="&amp;DATE(2025,1,1),'עסקאות'!$A$2:$A$1958,"&lt;"&amp;DATE(2026,1,1))</f>
        <v>23</v>
      </c>
      <c r="J478" s="83" cm="1">
        <f t="array" ref="J478">_xlfn.SUMIFS('עסקאות'!$M$2:$M$1958,'עסקאות'!$F$2:$F$1958,B478,'עסקאות'!$A$2:$A$1958,"&gt;="&amp;DATE(2026,1,1),'עסקאות'!$A$2:$A$1958,"&lt;"&amp;DATE(2027,1,1))</f>
        <v>0</v>
      </c>
      <c r="K478" s="77"/>
    </row>
    <row r="479" ht="13.65" customHeight="1">
      <c r="A479" s="70"/>
      <c r="B479" t="s" s="27">
        <v>665</v>
      </c>
      <c r="C479" t="s" s="86">
        <v>102</v>
      </c>
      <c r="D479" s="119">
        <v>2</v>
      </c>
      <c r="E479" s="119">
        <v>1</v>
      </c>
      <c r="F479" s="87" cm="1">
        <f t="array" ref="F479">_xlfn.SUMIFS('עסקאות'!$M$2:$M$1958,'עסקאות'!$F$2:$F$1958,B479)</f>
        <v>23</v>
      </c>
      <c r="G479" s="87" cm="1">
        <f t="array" ref="G479">IF(D479=0,"",F479/D479)</f>
        <v>11.5</v>
      </c>
      <c r="H479" s="87" cm="1">
        <f t="array" ref="H479">F479/20</f>
        <v>1.15</v>
      </c>
      <c r="I479" s="87" cm="1">
        <f t="array" ref="I479">_xlfn.SUMIFS('עסקאות'!$M$2:$M$1958,'עסקאות'!$F$2:$F$1958,B479,'עסקאות'!$A$2:$A$1958,"&gt;="&amp;DATE(2025,1,1),'עסקאות'!$A$2:$A$1958,"&lt;"&amp;DATE(2026,1,1))</f>
        <v>23</v>
      </c>
      <c r="J479" s="28" cm="1">
        <f t="array" ref="J479">_xlfn.SUMIFS('עסקאות'!$M$2:$M$1958,'עסקאות'!$F$2:$F$1958,B479,'עסקאות'!$A$2:$A$1958,"&gt;="&amp;DATE(2026,1,1),'עסקאות'!$A$2:$A$1958,"&lt;"&amp;DATE(2027,1,1))</f>
        <v>0</v>
      </c>
      <c r="K479" s="77"/>
    </row>
    <row r="480" ht="13.65" customHeight="1">
      <c r="A480" s="70"/>
      <c r="B480" t="s" s="94">
        <v>666</v>
      </c>
      <c r="C480" t="s" s="80">
        <v>113</v>
      </c>
      <c r="D480" s="118">
        <v>1</v>
      </c>
      <c r="E480" s="118">
        <v>1</v>
      </c>
      <c r="F480" s="81" cm="1">
        <f t="array" ref="F480">_xlfn.SUMIFS('עסקאות'!$M$2:$M$1958,'עסקאות'!$F$2:$F$1958,B480)</f>
        <v>23</v>
      </c>
      <c r="G480" s="81" cm="1">
        <f t="array" ref="G480">IF(D480=0,"",F480/D480)</f>
        <v>23</v>
      </c>
      <c r="H480" s="81" cm="1">
        <f t="array" ref="H480">F480/20</f>
        <v>1.15</v>
      </c>
      <c r="I480" s="81" cm="1">
        <f t="array" ref="I480">_xlfn.SUMIFS('עסקאות'!$M$2:$M$1958,'עסקאות'!$F$2:$F$1958,B480,'עסקאות'!$A$2:$A$1958,"&gt;="&amp;DATE(2025,1,1),'עסקאות'!$A$2:$A$1958,"&lt;"&amp;DATE(2026,1,1))</f>
        <v>0</v>
      </c>
      <c r="J480" s="83" cm="1">
        <f t="array" ref="J480">_xlfn.SUMIFS('עסקאות'!$M$2:$M$1958,'עסקאות'!$F$2:$F$1958,B480,'עסקאות'!$A$2:$A$1958,"&gt;="&amp;DATE(2026,1,1),'עסקאות'!$A$2:$A$1958,"&lt;"&amp;DATE(2027,1,1))</f>
        <v>23</v>
      </c>
      <c r="K480" s="77"/>
    </row>
    <row r="481" ht="13.65" customHeight="1">
      <c r="A481" s="70"/>
      <c r="B481" t="s" s="27">
        <v>667</v>
      </c>
      <c r="C481" t="s" s="86">
        <v>115</v>
      </c>
      <c r="D481" s="119">
        <v>2</v>
      </c>
      <c r="E481" s="119">
        <v>1</v>
      </c>
      <c r="F481" s="87" cm="1">
        <f t="array" ref="F481">_xlfn.SUMIFS('עסקאות'!$M$2:$M$1958,'עסקאות'!$F$2:$F$1958,B481)</f>
        <v>22</v>
      </c>
      <c r="G481" s="87" cm="1">
        <f t="array" ref="G481">IF(D481=0,"",F481/D481)</f>
        <v>11</v>
      </c>
      <c r="H481" s="87" cm="1">
        <f t="array" ref="H481">F481/20</f>
        <v>1.1</v>
      </c>
      <c r="I481" s="87" cm="1">
        <f t="array" ref="I481">_xlfn.SUMIFS('עסקאות'!$M$2:$M$1958,'עסקאות'!$F$2:$F$1958,B481,'עסקאות'!$A$2:$A$1958,"&gt;="&amp;DATE(2025,1,1),'עסקאות'!$A$2:$A$1958,"&lt;"&amp;DATE(2026,1,1))</f>
        <v>22</v>
      </c>
      <c r="J481" s="28" cm="1">
        <f t="array" ref="J481">_xlfn.SUMIFS('עסקאות'!$M$2:$M$1958,'עסקאות'!$F$2:$F$1958,B481,'עסקאות'!$A$2:$A$1958,"&gt;="&amp;DATE(2026,1,1),'עסקאות'!$A$2:$A$1958,"&lt;"&amp;DATE(2027,1,1))</f>
        <v>0</v>
      </c>
      <c r="K481" s="77"/>
    </row>
    <row r="482" ht="13.65" customHeight="1">
      <c r="A482" s="70"/>
      <c r="B482" t="s" s="94">
        <v>668</v>
      </c>
      <c r="C482" t="s" s="80">
        <v>113</v>
      </c>
      <c r="D482" s="118">
        <v>1</v>
      </c>
      <c r="E482" s="118">
        <v>1</v>
      </c>
      <c r="F482" s="81" cm="1">
        <f t="array" ref="F482">_xlfn.SUMIFS('עסקאות'!$M$2:$M$1958,'עסקאות'!$F$2:$F$1958,B482)</f>
        <v>22</v>
      </c>
      <c r="G482" s="81" cm="1">
        <f t="array" ref="G482">IF(D482=0,"",F482/D482)</f>
        <v>22</v>
      </c>
      <c r="H482" s="81" cm="1">
        <f t="array" ref="H482">F482/20</f>
        <v>1.1</v>
      </c>
      <c r="I482" s="81" cm="1">
        <f t="array" ref="I482">_xlfn.SUMIFS('עסקאות'!$M$2:$M$1958,'עסקאות'!$F$2:$F$1958,B482,'עסקאות'!$A$2:$A$1958,"&gt;="&amp;DATE(2025,1,1),'עסקאות'!$A$2:$A$1958,"&lt;"&amp;DATE(2026,1,1))</f>
        <v>22</v>
      </c>
      <c r="J482" s="83" cm="1">
        <f t="array" ref="J482">_xlfn.SUMIFS('עסקאות'!$M$2:$M$1958,'עסקאות'!$F$2:$F$1958,B482,'עסקאות'!$A$2:$A$1958,"&gt;="&amp;DATE(2026,1,1),'עסקאות'!$A$2:$A$1958,"&lt;"&amp;DATE(2027,1,1))</f>
        <v>0</v>
      </c>
      <c r="K482" s="77"/>
    </row>
    <row r="483" ht="13.65" customHeight="1">
      <c r="A483" s="70"/>
      <c r="B483" t="s" s="27">
        <v>669</v>
      </c>
      <c r="C483" t="s" s="86">
        <v>113</v>
      </c>
      <c r="D483" s="119">
        <v>1</v>
      </c>
      <c r="E483" s="119">
        <v>1</v>
      </c>
      <c r="F483" s="87" cm="1">
        <f t="array" ref="F483">_xlfn.SUMIFS('עסקאות'!$M$2:$M$1958,'עסקאות'!$F$2:$F$1958,B483)</f>
        <v>22</v>
      </c>
      <c r="G483" s="87" cm="1">
        <f t="array" ref="G483">IF(D483=0,"",F483/D483)</f>
        <v>22</v>
      </c>
      <c r="H483" s="87" cm="1">
        <f t="array" ref="H483">F483/20</f>
        <v>1.1</v>
      </c>
      <c r="I483" s="87" cm="1">
        <f t="array" ref="I483">_xlfn.SUMIFS('עסקאות'!$M$2:$M$1958,'עסקאות'!$F$2:$F$1958,B483,'עסקאות'!$A$2:$A$1958,"&gt;="&amp;DATE(2025,1,1),'עסקאות'!$A$2:$A$1958,"&lt;"&amp;DATE(2026,1,1))</f>
        <v>0</v>
      </c>
      <c r="J483" s="28" cm="1">
        <f t="array" ref="J483">_xlfn.SUMIFS('עסקאות'!$M$2:$M$1958,'עסקאות'!$F$2:$F$1958,B483,'עסקאות'!$A$2:$A$1958,"&gt;="&amp;DATE(2026,1,1),'עסקאות'!$A$2:$A$1958,"&lt;"&amp;DATE(2027,1,1))</f>
        <v>22</v>
      </c>
      <c r="K483" s="77"/>
    </row>
    <row r="484" ht="13.65" customHeight="1">
      <c r="A484" s="70"/>
      <c r="B484" t="s" s="94">
        <v>670</v>
      </c>
      <c r="C484" t="s" s="80">
        <v>117</v>
      </c>
      <c r="D484" s="118">
        <v>1</v>
      </c>
      <c r="E484" s="118">
        <v>1</v>
      </c>
      <c r="F484" s="81" cm="1">
        <f t="array" ref="F484">_xlfn.SUMIFS('עסקאות'!$M$2:$M$1958,'עסקאות'!$F$2:$F$1958,B484)</f>
        <v>21</v>
      </c>
      <c r="G484" s="81" cm="1">
        <f t="array" ref="G484">IF(D484=0,"",F484/D484)</f>
        <v>21</v>
      </c>
      <c r="H484" s="81" cm="1">
        <f t="array" ref="H484">F484/20</f>
        <v>1.05</v>
      </c>
      <c r="I484" s="81" cm="1">
        <f t="array" ref="I484">_xlfn.SUMIFS('עסקאות'!$M$2:$M$1958,'עסקאות'!$F$2:$F$1958,B484,'עסקאות'!$A$2:$A$1958,"&gt;="&amp;DATE(2025,1,1),'עסקאות'!$A$2:$A$1958,"&lt;"&amp;DATE(2026,1,1))</f>
        <v>0</v>
      </c>
      <c r="J484" s="83" cm="1">
        <f t="array" ref="J484">_xlfn.SUMIFS('עסקאות'!$M$2:$M$1958,'עסקאות'!$F$2:$F$1958,B484,'עסקאות'!$A$2:$A$1958,"&gt;="&amp;DATE(2026,1,1),'עסקאות'!$A$2:$A$1958,"&lt;"&amp;DATE(2027,1,1))</f>
        <v>21</v>
      </c>
      <c r="K484" s="77"/>
    </row>
    <row r="485" ht="13.65" customHeight="1">
      <c r="A485" s="70"/>
      <c r="B485" t="s" s="27">
        <v>671</v>
      </c>
      <c r="C485" t="s" s="86">
        <v>125</v>
      </c>
      <c r="D485" s="119">
        <v>1</v>
      </c>
      <c r="E485" s="119">
        <v>1</v>
      </c>
      <c r="F485" s="87" cm="1">
        <f t="array" ref="F485">_xlfn.SUMIFS('עסקאות'!$M$2:$M$1958,'עסקאות'!$F$2:$F$1958,B485)</f>
        <v>20</v>
      </c>
      <c r="G485" s="87" cm="1">
        <f t="array" ref="G485">IF(D485=0,"",F485/D485)</f>
        <v>20</v>
      </c>
      <c r="H485" s="87" cm="1">
        <f t="array" ref="H485">F485/20</f>
        <v>1</v>
      </c>
      <c r="I485" s="87" cm="1">
        <f t="array" ref="I485">_xlfn.SUMIFS('עסקאות'!$M$2:$M$1958,'עסקאות'!$F$2:$F$1958,B485,'עסקאות'!$A$2:$A$1958,"&gt;="&amp;DATE(2025,1,1),'עסקאות'!$A$2:$A$1958,"&lt;"&amp;DATE(2026,1,1))</f>
        <v>20</v>
      </c>
      <c r="J485" s="28" cm="1">
        <f t="array" ref="J485">_xlfn.SUMIFS('עסקאות'!$M$2:$M$1958,'עסקאות'!$F$2:$F$1958,B485,'עסקאות'!$A$2:$A$1958,"&gt;="&amp;DATE(2026,1,1),'עסקאות'!$A$2:$A$1958,"&lt;"&amp;DATE(2027,1,1))</f>
        <v>0</v>
      </c>
      <c r="K485" s="77"/>
    </row>
    <row r="486" ht="13.65" customHeight="1">
      <c r="A486" s="70"/>
      <c r="B486" t="s" s="94">
        <v>672</v>
      </c>
      <c r="C486" t="s" s="80">
        <v>125</v>
      </c>
      <c r="D486" s="118">
        <v>1</v>
      </c>
      <c r="E486" s="118">
        <v>1</v>
      </c>
      <c r="F486" s="81" cm="1">
        <f t="array" ref="F486">_xlfn.SUMIFS('עסקאות'!$M$2:$M$1958,'עסקאות'!$F$2:$F$1958,B486)</f>
        <v>20</v>
      </c>
      <c r="G486" s="81" cm="1">
        <f t="array" ref="G486">IF(D486=0,"",F486/D486)</f>
        <v>20</v>
      </c>
      <c r="H486" s="81" cm="1">
        <f t="array" ref="H486">F486/20</f>
        <v>1</v>
      </c>
      <c r="I486" s="81" cm="1">
        <f t="array" ref="I486">_xlfn.SUMIFS('עסקאות'!$M$2:$M$1958,'עסקאות'!$F$2:$F$1958,B486,'עסקאות'!$A$2:$A$1958,"&gt;="&amp;DATE(2025,1,1),'עסקאות'!$A$2:$A$1958,"&lt;"&amp;DATE(2026,1,1))</f>
        <v>20</v>
      </c>
      <c r="J486" s="83" cm="1">
        <f t="array" ref="J486">_xlfn.SUMIFS('עסקאות'!$M$2:$M$1958,'עסקאות'!$F$2:$F$1958,B486,'עסקאות'!$A$2:$A$1958,"&gt;="&amp;DATE(2026,1,1),'עסקאות'!$A$2:$A$1958,"&lt;"&amp;DATE(2027,1,1))</f>
        <v>0</v>
      </c>
      <c r="K486" s="77"/>
    </row>
    <row r="487" ht="13.65" customHeight="1">
      <c r="A487" s="70"/>
      <c r="B487" t="s" s="27">
        <v>673</v>
      </c>
      <c r="C487" t="s" s="86">
        <v>139</v>
      </c>
      <c r="D487" s="119">
        <v>1</v>
      </c>
      <c r="E487" s="119">
        <v>1</v>
      </c>
      <c r="F487" s="87" cm="1">
        <f t="array" ref="F487">_xlfn.SUMIFS('עסקאות'!$M$2:$M$1958,'עסקאות'!$F$2:$F$1958,B487)</f>
        <v>20</v>
      </c>
      <c r="G487" s="87" cm="1">
        <f t="array" ref="G487">IF(D487=0,"",F487/D487)</f>
        <v>20</v>
      </c>
      <c r="H487" s="87" cm="1">
        <f t="array" ref="H487">F487/20</f>
        <v>1</v>
      </c>
      <c r="I487" s="87" cm="1">
        <f t="array" ref="I487">_xlfn.SUMIFS('עסקאות'!$M$2:$M$1958,'עסקאות'!$F$2:$F$1958,B487,'עסקאות'!$A$2:$A$1958,"&gt;="&amp;DATE(2025,1,1),'עסקאות'!$A$2:$A$1958,"&lt;"&amp;DATE(2026,1,1))</f>
        <v>20</v>
      </c>
      <c r="J487" s="28" cm="1">
        <f t="array" ref="J487">_xlfn.SUMIFS('עסקאות'!$M$2:$M$1958,'עסקאות'!$F$2:$F$1958,B487,'עסקאות'!$A$2:$A$1958,"&gt;="&amp;DATE(2026,1,1),'עסקאות'!$A$2:$A$1958,"&lt;"&amp;DATE(2027,1,1))</f>
        <v>0</v>
      </c>
      <c r="K487" s="77"/>
    </row>
    <row r="488" ht="13.65" customHeight="1">
      <c r="A488" s="70"/>
      <c r="B488" t="s" s="94">
        <v>674</v>
      </c>
      <c r="C488" t="s" s="80">
        <v>125</v>
      </c>
      <c r="D488" s="118">
        <v>1</v>
      </c>
      <c r="E488" s="118">
        <v>1</v>
      </c>
      <c r="F488" s="81" cm="1">
        <f t="array" ref="F488">_xlfn.SUMIFS('עסקאות'!$M$2:$M$1958,'עסקאות'!$F$2:$F$1958,B488)</f>
        <v>20</v>
      </c>
      <c r="G488" s="81" cm="1">
        <f t="array" ref="G488">IF(D488=0,"",F488/D488)</f>
        <v>20</v>
      </c>
      <c r="H488" s="81" cm="1">
        <f t="array" ref="H488">F488/20</f>
        <v>1</v>
      </c>
      <c r="I488" s="81" cm="1">
        <f t="array" ref="I488">_xlfn.SUMIFS('עסקאות'!$M$2:$M$1958,'עסקאות'!$F$2:$F$1958,B488,'עסקאות'!$A$2:$A$1958,"&gt;="&amp;DATE(2025,1,1),'עסקאות'!$A$2:$A$1958,"&lt;"&amp;DATE(2026,1,1))</f>
        <v>20</v>
      </c>
      <c r="J488" s="83" cm="1">
        <f t="array" ref="J488">_xlfn.SUMIFS('עסקאות'!$M$2:$M$1958,'עסקאות'!$F$2:$F$1958,B488,'עסקאות'!$A$2:$A$1958,"&gt;="&amp;DATE(2026,1,1),'עסקאות'!$A$2:$A$1958,"&lt;"&amp;DATE(2027,1,1))</f>
        <v>0</v>
      </c>
      <c r="K488" s="77"/>
    </row>
    <row r="489" ht="13.65" customHeight="1">
      <c r="A489" s="70"/>
      <c r="B489" t="s" s="27">
        <v>675</v>
      </c>
      <c r="C489" t="s" s="86">
        <v>113</v>
      </c>
      <c r="D489" s="119">
        <v>1</v>
      </c>
      <c r="E489" s="119">
        <v>1</v>
      </c>
      <c r="F489" s="87" cm="1">
        <f t="array" ref="F489">_xlfn.SUMIFS('עסקאות'!$M$2:$M$1958,'עסקאות'!$F$2:$F$1958,B489)</f>
        <v>20</v>
      </c>
      <c r="G489" s="87" cm="1">
        <f t="array" ref="G489">IF(D489=0,"",F489/D489)</f>
        <v>20</v>
      </c>
      <c r="H489" s="87" cm="1">
        <f t="array" ref="H489">F489/20</f>
        <v>1</v>
      </c>
      <c r="I489" s="87" cm="1">
        <f t="array" ref="I489">_xlfn.SUMIFS('עסקאות'!$M$2:$M$1958,'עסקאות'!$F$2:$F$1958,B489,'עסקאות'!$A$2:$A$1958,"&gt;="&amp;DATE(2025,1,1),'עסקאות'!$A$2:$A$1958,"&lt;"&amp;DATE(2026,1,1))</f>
        <v>20</v>
      </c>
      <c r="J489" s="28" cm="1">
        <f t="array" ref="J489">_xlfn.SUMIFS('עסקאות'!$M$2:$M$1958,'עסקאות'!$F$2:$F$1958,B489,'עסקאות'!$A$2:$A$1958,"&gt;="&amp;DATE(2026,1,1),'עסקאות'!$A$2:$A$1958,"&lt;"&amp;DATE(2027,1,1))</f>
        <v>0</v>
      </c>
      <c r="K489" s="77"/>
    </row>
    <row r="490" ht="13.65" customHeight="1">
      <c r="A490" s="70"/>
      <c r="B490" t="s" s="94">
        <v>676</v>
      </c>
      <c r="C490" t="s" s="80">
        <v>113</v>
      </c>
      <c r="D490" s="118">
        <v>1</v>
      </c>
      <c r="E490" s="118">
        <v>1</v>
      </c>
      <c r="F490" s="81" cm="1">
        <f t="array" ref="F490">_xlfn.SUMIFS('עסקאות'!$M$2:$M$1958,'עסקאות'!$F$2:$F$1958,B490)</f>
        <v>20</v>
      </c>
      <c r="G490" s="81" cm="1">
        <f t="array" ref="G490">IF(D490=0,"",F490/D490)</f>
        <v>20</v>
      </c>
      <c r="H490" s="81" cm="1">
        <f t="array" ref="H490">F490/20</f>
        <v>1</v>
      </c>
      <c r="I490" s="81" cm="1">
        <f t="array" ref="I490">_xlfn.SUMIFS('עסקאות'!$M$2:$M$1958,'עסקאות'!$F$2:$F$1958,B490,'עסקאות'!$A$2:$A$1958,"&gt;="&amp;DATE(2025,1,1),'עסקאות'!$A$2:$A$1958,"&lt;"&amp;DATE(2026,1,1))</f>
        <v>0</v>
      </c>
      <c r="J490" s="83" cm="1">
        <f t="array" ref="J490">_xlfn.SUMIFS('עסקאות'!$M$2:$M$1958,'עסקאות'!$F$2:$F$1958,B490,'עסקאות'!$A$2:$A$1958,"&gt;="&amp;DATE(2026,1,1),'עסקאות'!$A$2:$A$1958,"&lt;"&amp;DATE(2027,1,1))</f>
        <v>20</v>
      </c>
      <c r="K490" s="77"/>
    </row>
    <row r="491" ht="13.65" customHeight="1">
      <c r="A491" s="70"/>
      <c r="B491" t="s" s="27">
        <v>677</v>
      </c>
      <c r="C491" t="s" s="86">
        <v>113</v>
      </c>
      <c r="D491" s="119">
        <v>1</v>
      </c>
      <c r="E491" s="119">
        <v>1</v>
      </c>
      <c r="F491" s="87" cm="1">
        <f t="array" ref="F491">_xlfn.SUMIFS('עסקאות'!$M$2:$M$1958,'עסקאות'!$F$2:$F$1958,B491)</f>
        <v>20</v>
      </c>
      <c r="G491" s="87" cm="1">
        <f t="array" ref="G491">IF(D491=0,"",F491/D491)</f>
        <v>20</v>
      </c>
      <c r="H491" s="87" cm="1">
        <f t="array" ref="H491">F491/20</f>
        <v>1</v>
      </c>
      <c r="I491" s="87" cm="1">
        <f t="array" ref="I491">_xlfn.SUMIFS('עסקאות'!$M$2:$M$1958,'עסקאות'!$F$2:$F$1958,B491,'עסקאות'!$A$2:$A$1958,"&gt;="&amp;DATE(2025,1,1),'עסקאות'!$A$2:$A$1958,"&lt;"&amp;DATE(2026,1,1))</f>
        <v>0</v>
      </c>
      <c r="J491" s="28" cm="1">
        <f t="array" ref="J491">_xlfn.SUMIFS('עסקאות'!$M$2:$M$1958,'עסקאות'!$F$2:$F$1958,B491,'עסקאות'!$A$2:$A$1958,"&gt;="&amp;DATE(2026,1,1),'עסקאות'!$A$2:$A$1958,"&lt;"&amp;DATE(2027,1,1))</f>
        <v>20</v>
      </c>
      <c r="K491" s="77"/>
    </row>
    <row r="492" ht="13.65" customHeight="1">
      <c r="A492" s="70"/>
      <c r="B492" t="s" s="94">
        <v>678</v>
      </c>
      <c r="C492" t="s" s="80">
        <v>121</v>
      </c>
      <c r="D492" s="118">
        <v>1</v>
      </c>
      <c r="E492" s="118">
        <v>1</v>
      </c>
      <c r="F492" s="81" cm="1">
        <f t="array" ref="F492">_xlfn.SUMIFS('עסקאות'!$M$2:$M$1958,'עסקאות'!$F$2:$F$1958,B492)</f>
        <v>20</v>
      </c>
      <c r="G492" s="81" cm="1">
        <f t="array" ref="G492">IF(D492=0,"",F492/D492)</f>
        <v>20</v>
      </c>
      <c r="H492" s="81" cm="1">
        <f t="array" ref="H492">F492/20</f>
        <v>1</v>
      </c>
      <c r="I492" s="81" cm="1">
        <f t="array" ref="I492">_xlfn.SUMIFS('עסקאות'!$M$2:$M$1958,'עסקאות'!$F$2:$F$1958,B492,'עסקאות'!$A$2:$A$1958,"&gt;="&amp;DATE(2025,1,1),'עסקאות'!$A$2:$A$1958,"&lt;"&amp;DATE(2026,1,1))</f>
        <v>0</v>
      </c>
      <c r="J492" s="83" cm="1">
        <f t="array" ref="J492">_xlfn.SUMIFS('עסקאות'!$M$2:$M$1958,'עסקאות'!$F$2:$F$1958,B492,'עסקאות'!$A$2:$A$1958,"&gt;="&amp;DATE(2026,1,1),'עסקאות'!$A$2:$A$1958,"&lt;"&amp;DATE(2027,1,1))</f>
        <v>20</v>
      </c>
      <c r="K492" s="77"/>
    </row>
    <row r="493" ht="13.65" customHeight="1">
      <c r="A493" s="70"/>
      <c r="B493" t="s" s="27">
        <v>125</v>
      </c>
      <c r="C493" t="s" s="86">
        <v>137</v>
      </c>
      <c r="D493" s="119">
        <v>1</v>
      </c>
      <c r="E493" s="119">
        <v>1</v>
      </c>
      <c r="F493" s="87" cm="1">
        <f t="array" ref="F493">_xlfn.SUMIFS('עסקאות'!$M$2:$M$1958,'עסקאות'!$F$2:$F$1958,B493)</f>
        <v>20</v>
      </c>
      <c r="G493" s="87" cm="1">
        <f t="array" ref="G493">IF(D493=0,"",F493/D493)</f>
        <v>20</v>
      </c>
      <c r="H493" s="87" cm="1">
        <f t="array" ref="H493">F493/20</f>
        <v>1</v>
      </c>
      <c r="I493" s="87" cm="1">
        <f t="array" ref="I493">_xlfn.SUMIFS('עסקאות'!$M$2:$M$1958,'עסקאות'!$F$2:$F$1958,B493,'עסקאות'!$A$2:$A$1958,"&gt;="&amp;DATE(2025,1,1),'עסקאות'!$A$2:$A$1958,"&lt;"&amp;DATE(2026,1,1))</f>
        <v>0</v>
      </c>
      <c r="J493" s="28" cm="1">
        <f t="array" ref="J493">_xlfn.SUMIFS('עסקאות'!$M$2:$M$1958,'עסקאות'!$F$2:$F$1958,B493,'עסקאות'!$A$2:$A$1958,"&gt;="&amp;DATE(2026,1,1),'עסקאות'!$A$2:$A$1958,"&lt;"&amp;DATE(2027,1,1))</f>
        <v>20</v>
      </c>
      <c r="K493" s="77"/>
    </row>
    <row r="494" ht="13.65" customHeight="1">
      <c r="A494" s="70"/>
      <c r="B494" t="s" s="94">
        <v>679</v>
      </c>
      <c r="C494" t="s" s="80">
        <v>131</v>
      </c>
      <c r="D494" s="118">
        <v>1</v>
      </c>
      <c r="E494" s="118">
        <v>1</v>
      </c>
      <c r="F494" s="81" cm="1">
        <f t="array" ref="F494">_xlfn.SUMIFS('עסקאות'!$M$2:$M$1958,'עסקאות'!$F$2:$F$1958,B494)</f>
        <v>19</v>
      </c>
      <c r="G494" s="81" cm="1">
        <f t="array" ref="G494">IF(D494=0,"",F494/D494)</f>
        <v>19</v>
      </c>
      <c r="H494" s="81" cm="1">
        <f t="array" ref="H494">F494/20</f>
        <v>0.95</v>
      </c>
      <c r="I494" s="81" cm="1">
        <f t="array" ref="I494">_xlfn.SUMIFS('עסקאות'!$M$2:$M$1958,'עסקאות'!$F$2:$F$1958,B494,'עסקאות'!$A$2:$A$1958,"&gt;="&amp;DATE(2025,1,1),'עסקאות'!$A$2:$A$1958,"&lt;"&amp;DATE(2026,1,1))</f>
        <v>19</v>
      </c>
      <c r="J494" s="83" cm="1">
        <f t="array" ref="J494">_xlfn.SUMIFS('עסקאות'!$M$2:$M$1958,'עסקאות'!$F$2:$F$1958,B494,'עסקאות'!$A$2:$A$1958,"&gt;="&amp;DATE(2026,1,1),'עסקאות'!$A$2:$A$1958,"&lt;"&amp;DATE(2027,1,1))</f>
        <v>0</v>
      </c>
      <c r="K494" s="77"/>
    </row>
    <row r="495" ht="13.65" customHeight="1">
      <c r="A495" s="70"/>
      <c r="B495" t="s" s="27">
        <v>680</v>
      </c>
      <c r="C495" t="s" s="86">
        <v>109</v>
      </c>
      <c r="D495" s="119">
        <v>4</v>
      </c>
      <c r="E495" s="119">
        <v>3</v>
      </c>
      <c r="F495" s="87" cm="1">
        <f t="array" ref="F495">_xlfn.SUMIFS('עסקאות'!$M$2:$M$1958,'עסקאות'!$F$2:$F$1958,B495)</f>
        <v>19</v>
      </c>
      <c r="G495" s="87" cm="1">
        <f t="array" ref="G495">IF(D495=0,"",F495/D495)</f>
        <v>4.75</v>
      </c>
      <c r="H495" s="87" cm="1">
        <f t="array" ref="H495">F495/20</f>
        <v>0.95</v>
      </c>
      <c r="I495" s="87" cm="1">
        <f t="array" ref="I495">_xlfn.SUMIFS('עסקאות'!$M$2:$M$1958,'עסקאות'!$F$2:$F$1958,B495,'עסקאות'!$A$2:$A$1958,"&gt;="&amp;DATE(2025,1,1),'עסקאות'!$A$2:$A$1958,"&lt;"&amp;DATE(2026,1,1))</f>
        <v>0</v>
      </c>
      <c r="J495" s="28" cm="1">
        <f t="array" ref="J495">_xlfn.SUMIFS('עסקאות'!$M$2:$M$1958,'עסקאות'!$F$2:$F$1958,B495,'עסקאות'!$A$2:$A$1958,"&gt;="&amp;DATE(2026,1,1),'עסקאות'!$A$2:$A$1958,"&lt;"&amp;DATE(2027,1,1))</f>
        <v>19</v>
      </c>
      <c r="K495" s="77"/>
    </row>
    <row r="496" ht="13.65" customHeight="1">
      <c r="A496" s="70"/>
      <c r="B496" t="s" s="94">
        <v>681</v>
      </c>
      <c r="C496" t="s" s="80">
        <v>113</v>
      </c>
      <c r="D496" s="118">
        <v>1</v>
      </c>
      <c r="E496" s="118">
        <v>1</v>
      </c>
      <c r="F496" s="81" cm="1">
        <f t="array" ref="F496">_xlfn.SUMIFS('עסקאות'!$M$2:$M$1958,'עסקאות'!$F$2:$F$1958,B496)</f>
        <v>16</v>
      </c>
      <c r="G496" s="81" cm="1">
        <f t="array" ref="G496">IF(D496=0,"",F496/D496)</f>
        <v>16</v>
      </c>
      <c r="H496" s="81" cm="1">
        <f t="array" ref="H496">F496/20</f>
        <v>0.8</v>
      </c>
      <c r="I496" s="81" cm="1">
        <f t="array" ref="I496">_xlfn.SUMIFS('עסקאות'!$M$2:$M$1958,'עסקאות'!$F$2:$F$1958,B496,'עסקאות'!$A$2:$A$1958,"&gt;="&amp;DATE(2025,1,1),'עסקאות'!$A$2:$A$1958,"&lt;"&amp;DATE(2026,1,1))</f>
        <v>16</v>
      </c>
      <c r="J496" s="83" cm="1">
        <f t="array" ref="J496">_xlfn.SUMIFS('עסקאות'!$M$2:$M$1958,'עסקאות'!$F$2:$F$1958,B496,'עסקאות'!$A$2:$A$1958,"&gt;="&amp;DATE(2026,1,1),'עסקאות'!$A$2:$A$1958,"&lt;"&amp;DATE(2027,1,1))</f>
        <v>0</v>
      </c>
      <c r="K496" s="77"/>
    </row>
    <row r="497" ht="13.65" customHeight="1">
      <c r="A497" s="70"/>
      <c r="B497" t="s" s="27">
        <v>682</v>
      </c>
      <c r="C497" t="s" s="86">
        <v>113</v>
      </c>
      <c r="D497" s="119">
        <v>1</v>
      </c>
      <c r="E497" s="119">
        <v>1</v>
      </c>
      <c r="F497" s="87" cm="1">
        <f t="array" ref="F497">_xlfn.SUMIFS('עסקאות'!$M$2:$M$1958,'עסקאות'!$F$2:$F$1958,B497)</f>
        <v>16</v>
      </c>
      <c r="G497" s="87" cm="1">
        <f t="array" ref="G497">IF(D497=0,"",F497/D497)</f>
        <v>16</v>
      </c>
      <c r="H497" s="87" cm="1">
        <f t="array" ref="H497">F497/20</f>
        <v>0.8</v>
      </c>
      <c r="I497" s="87" cm="1">
        <f t="array" ref="I497">_xlfn.SUMIFS('עסקאות'!$M$2:$M$1958,'עסקאות'!$F$2:$F$1958,B497,'עסקאות'!$A$2:$A$1958,"&gt;="&amp;DATE(2025,1,1),'עסקאות'!$A$2:$A$1958,"&lt;"&amp;DATE(2026,1,1))</f>
        <v>16</v>
      </c>
      <c r="J497" s="28" cm="1">
        <f t="array" ref="J497">_xlfn.SUMIFS('עסקאות'!$M$2:$M$1958,'עסקאות'!$F$2:$F$1958,B497,'עסקאות'!$A$2:$A$1958,"&gt;="&amp;DATE(2026,1,1),'עסקאות'!$A$2:$A$1958,"&lt;"&amp;DATE(2027,1,1))</f>
        <v>0</v>
      </c>
      <c r="K497" s="77"/>
    </row>
    <row r="498" ht="13.65" customHeight="1">
      <c r="A498" s="70"/>
      <c r="B498" t="s" s="94">
        <v>683</v>
      </c>
      <c r="C498" t="s" s="80">
        <v>113</v>
      </c>
      <c r="D498" s="118">
        <v>1</v>
      </c>
      <c r="E498" s="118">
        <v>1</v>
      </c>
      <c r="F498" s="81" cm="1">
        <f t="array" ref="F498">_xlfn.SUMIFS('עסקאות'!$M$2:$M$1958,'עסקאות'!$F$2:$F$1958,B498)</f>
        <v>16</v>
      </c>
      <c r="G498" s="81" cm="1">
        <f t="array" ref="G498">IF(D498=0,"",F498/D498)</f>
        <v>16</v>
      </c>
      <c r="H498" s="81" cm="1">
        <f t="array" ref="H498">F498/20</f>
        <v>0.8</v>
      </c>
      <c r="I498" s="81" cm="1">
        <f t="array" ref="I498">_xlfn.SUMIFS('עסקאות'!$M$2:$M$1958,'עסקאות'!$F$2:$F$1958,B498,'עסקאות'!$A$2:$A$1958,"&gt;="&amp;DATE(2025,1,1),'עסקאות'!$A$2:$A$1958,"&lt;"&amp;DATE(2026,1,1))</f>
        <v>0</v>
      </c>
      <c r="J498" s="83" cm="1">
        <f t="array" ref="J498">_xlfn.SUMIFS('עסקאות'!$M$2:$M$1958,'עסקאות'!$F$2:$F$1958,B498,'עסקאות'!$A$2:$A$1958,"&gt;="&amp;DATE(2026,1,1),'עסקאות'!$A$2:$A$1958,"&lt;"&amp;DATE(2027,1,1))</f>
        <v>16</v>
      </c>
      <c r="K498" s="77"/>
    </row>
    <row r="499" ht="13.65" customHeight="1">
      <c r="A499" s="70"/>
      <c r="B499" t="s" s="27">
        <v>684</v>
      </c>
      <c r="C499" t="s" s="86">
        <v>129</v>
      </c>
      <c r="D499" s="119">
        <v>1</v>
      </c>
      <c r="E499" s="119">
        <v>1</v>
      </c>
      <c r="F499" s="87" cm="1">
        <f t="array" ref="F499">_xlfn.SUMIFS('עסקאות'!$M$2:$M$1958,'עסקאות'!$F$2:$F$1958,B499)</f>
        <v>15</v>
      </c>
      <c r="G499" s="87" cm="1">
        <f t="array" ref="G499">IF(D499=0,"",F499/D499)</f>
        <v>15</v>
      </c>
      <c r="H499" s="87" cm="1">
        <f t="array" ref="H499">F499/20</f>
        <v>0.75</v>
      </c>
      <c r="I499" s="87" cm="1">
        <f t="array" ref="I499">_xlfn.SUMIFS('עסקאות'!$M$2:$M$1958,'עסקאות'!$F$2:$F$1958,B499,'עסקאות'!$A$2:$A$1958,"&gt;="&amp;DATE(2025,1,1),'עסקאות'!$A$2:$A$1958,"&lt;"&amp;DATE(2026,1,1))</f>
        <v>15</v>
      </c>
      <c r="J499" s="28" cm="1">
        <f t="array" ref="J499">_xlfn.SUMIFS('עסקאות'!$M$2:$M$1958,'עסקאות'!$F$2:$F$1958,B499,'עסקאות'!$A$2:$A$1958,"&gt;="&amp;DATE(2026,1,1),'עסקאות'!$A$2:$A$1958,"&lt;"&amp;DATE(2027,1,1))</f>
        <v>0</v>
      </c>
      <c r="K499" s="77"/>
    </row>
    <row r="500" ht="13.65" customHeight="1">
      <c r="A500" s="70"/>
      <c r="B500" t="s" s="94">
        <v>685</v>
      </c>
      <c r="C500" t="s" s="80">
        <v>105</v>
      </c>
      <c r="D500" s="118">
        <v>1</v>
      </c>
      <c r="E500" s="118">
        <v>1</v>
      </c>
      <c r="F500" s="81" cm="1">
        <f t="array" ref="F500">_xlfn.SUMIFS('עסקאות'!$M$2:$M$1958,'עסקאות'!$F$2:$F$1958,B500)</f>
        <v>15</v>
      </c>
      <c r="G500" s="81" cm="1">
        <f t="array" ref="G500">IF(D500=0,"",F500/D500)</f>
        <v>15</v>
      </c>
      <c r="H500" s="81" cm="1">
        <f t="array" ref="H500">F500/20</f>
        <v>0.75</v>
      </c>
      <c r="I500" s="81" cm="1">
        <f t="array" ref="I500">_xlfn.SUMIFS('עסקאות'!$M$2:$M$1958,'עסקאות'!$F$2:$F$1958,B500,'עסקאות'!$A$2:$A$1958,"&gt;="&amp;DATE(2025,1,1),'עסקאות'!$A$2:$A$1958,"&lt;"&amp;DATE(2026,1,1))</f>
        <v>15</v>
      </c>
      <c r="J500" s="83" cm="1">
        <f t="array" ref="J500">_xlfn.SUMIFS('עסקאות'!$M$2:$M$1958,'עסקאות'!$F$2:$F$1958,B500,'עסקאות'!$A$2:$A$1958,"&gt;="&amp;DATE(2026,1,1),'עסקאות'!$A$2:$A$1958,"&lt;"&amp;DATE(2027,1,1))</f>
        <v>0</v>
      </c>
      <c r="K500" s="77"/>
    </row>
    <row r="501" ht="13.65" customHeight="1">
      <c r="A501" s="70"/>
      <c r="B501" t="s" s="27">
        <v>686</v>
      </c>
      <c r="C501" t="s" s="86">
        <v>133</v>
      </c>
      <c r="D501" s="119">
        <v>1</v>
      </c>
      <c r="E501" s="119">
        <v>1</v>
      </c>
      <c r="F501" s="87" cm="1">
        <f t="array" ref="F501">_xlfn.SUMIFS('עסקאות'!$M$2:$M$1958,'עסקאות'!$F$2:$F$1958,B501)</f>
        <v>15</v>
      </c>
      <c r="G501" s="87" cm="1">
        <f t="array" ref="G501">IF(D501=0,"",F501/D501)</f>
        <v>15</v>
      </c>
      <c r="H501" s="87" cm="1">
        <f t="array" ref="H501">F501/20</f>
        <v>0.75</v>
      </c>
      <c r="I501" s="87" cm="1">
        <f t="array" ref="I501">_xlfn.SUMIFS('עסקאות'!$M$2:$M$1958,'עסקאות'!$F$2:$F$1958,B501,'עסקאות'!$A$2:$A$1958,"&gt;="&amp;DATE(2025,1,1),'עסקאות'!$A$2:$A$1958,"&lt;"&amp;DATE(2026,1,1))</f>
        <v>0</v>
      </c>
      <c r="J501" s="28" cm="1">
        <f t="array" ref="J501">_xlfn.SUMIFS('עסקאות'!$M$2:$M$1958,'עסקאות'!$F$2:$F$1958,B501,'עסקאות'!$A$2:$A$1958,"&gt;="&amp;DATE(2026,1,1),'עסקאות'!$A$2:$A$1958,"&lt;"&amp;DATE(2027,1,1))</f>
        <v>15</v>
      </c>
      <c r="K501" s="77"/>
    </row>
    <row r="502" ht="13.65" customHeight="1">
      <c r="A502" s="70"/>
      <c r="B502" t="s" s="94">
        <v>687</v>
      </c>
      <c r="C502" t="s" s="80">
        <v>113</v>
      </c>
      <c r="D502" s="118">
        <v>1</v>
      </c>
      <c r="E502" s="118">
        <v>1</v>
      </c>
      <c r="F502" s="81" cm="1">
        <f t="array" ref="F502">_xlfn.SUMIFS('עסקאות'!$M$2:$M$1958,'עסקאות'!$F$2:$F$1958,B502)</f>
        <v>14</v>
      </c>
      <c r="G502" s="81" cm="1">
        <f t="array" ref="G502">IF(D502=0,"",F502/D502)</f>
        <v>14</v>
      </c>
      <c r="H502" s="81" cm="1">
        <f t="array" ref="H502">F502/20</f>
        <v>0.7</v>
      </c>
      <c r="I502" s="81" cm="1">
        <f t="array" ref="I502">_xlfn.SUMIFS('עסקאות'!$M$2:$M$1958,'עסקאות'!$F$2:$F$1958,B502,'עסקאות'!$A$2:$A$1958,"&gt;="&amp;DATE(2025,1,1),'עסקאות'!$A$2:$A$1958,"&lt;"&amp;DATE(2026,1,1))</f>
        <v>14</v>
      </c>
      <c r="J502" s="83" cm="1">
        <f t="array" ref="J502">_xlfn.SUMIFS('עסקאות'!$M$2:$M$1958,'עסקאות'!$F$2:$F$1958,B502,'עסקאות'!$A$2:$A$1958,"&gt;="&amp;DATE(2026,1,1),'עסקאות'!$A$2:$A$1958,"&lt;"&amp;DATE(2027,1,1))</f>
        <v>0</v>
      </c>
      <c r="K502" s="77"/>
    </row>
    <row r="503" ht="13.65" customHeight="1">
      <c r="A503" s="70"/>
      <c r="B503" t="s" s="27">
        <v>688</v>
      </c>
      <c r="C503" t="s" s="86">
        <v>113</v>
      </c>
      <c r="D503" s="119">
        <v>1</v>
      </c>
      <c r="E503" s="119">
        <v>1</v>
      </c>
      <c r="F503" s="87" cm="1">
        <f t="array" ref="F503">_xlfn.SUMIFS('עסקאות'!$M$2:$M$1958,'עסקאות'!$F$2:$F$1958,B503)</f>
        <v>14</v>
      </c>
      <c r="G503" s="87" cm="1">
        <f t="array" ref="G503">IF(D503=0,"",F503/D503)</f>
        <v>14</v>
      </c>
      <c r="H503" s="87" cm="1">
        <f t="array" ref="H503">F503/20</f>
        <v>0.7</v>
      </c>
      <c r="I503" s="87" cm="1">
        <f t="array" ref="I503">_xlfn.SUMIFS('עסקאות'!$M$2:$M$1958,'עסקאות'!$F$2:$F$1958,B503,'עסקאות'!$A$2:$A$1958,"&gt;="&amp;DATE(2025,1,1),'עסקאות'!$A$2:$A$1958,"&lt;"&amp;DATE(2026,1,1))</f>
        <v>14</v>
      </c>
      <c r="J503" s="28" cm="1">
        <f t="array" ref="J503">_xlfn.SUMIFS('עסקאות'!$M$2:$M$1958,'עסקאות'!$F$2:$F$1958,B503,'עסקאות'!$A$2:$A$1958,"&gt;="&amp;DATE(2026,1,1),'עסקאות'!$A$2:$A$1958,"&lt;"&amp;DATE(2027,1,1))</f>
        <v>0</v>
      </c>
      <c r="K503" s="77"/>
    </row>
    <row r="504" ht="13.65" customHeight="1">
      <c r="A504" s="70"/>
      <c r="B504" t="s" s="94">
        <v>689</v>
      </c>
      <c r="C504" t="s" s="80">
        <v>113</v>
      </c>
      <c r="D504" s="118">
        <v>2</v>
      </c>
      <c r="E504" s="118">
        <v>1</v>
      </c>
      <c r="F504" s="81" cm="1">
        <f t="array" ref="F504">_xlfn.SUMIFS('עסקאות'!$M$2:$M$1958,'עסקאות'!$F$2:$F$1958,B504)</f>
        <v>14</v>
      </c>
      <c r="G504" s="81" cm="1">
        <f t="array" ref="G504">IF(D504=0,"",F504/D504)</f>
        <v>7</v>
      </c>
      <c r="H504" s="81" cm="1">
        <f t="array" ref="H504">F504/20</f>
        <v>0.7</v>
      </c>
      <c r="I504" s="81" cm="1">
        <f t="array" ref="I504">_xlfn.SUMIFS('עסקאות'!$M$2:$M$1958,'עסקאות'!$F$2:$F$1958,B504,'עסקאות'!$A$2:$A$1958,"&gt;="&amp;DATE(2025,1,1),'עסקאות'!$A$2:$A$1958,"&lt;"&amp;DATE(2026,1,1))</f>
        <v>14</v>
      </c>
      <c r="J504" s="83" cm="1">
        <f t="array" ref="J504">_xlfn.SUMIFS('עסקאות'!$M$2:$M$1958,'עסקאות'!$F$2:$F$1958,B504,'עסקאות'!$A$2:$A$1958,"&gt;="&amp;DATE(2026,1,1),'עסקאות'!$A$2:$A$1958,"&lt;"&amp;DATE(2027,1,1))</f>
        <v>0</v>
      </c>
      <c r="K504" s="77"/>
    </row>
    <row r="505" ht="13.65" customHeight="1">
      <c r="A505" s="70"/>
      <c r="B505" t="s" s="27">
        <v>690</v>
      </c>
      <c r="C505" t="s" s="86">
        <v>109</v>
      </c>
      <c r="D505" s="119">
        <v>2</v>
      </c>
      <c r="E505" s="119">
        <v>1</v>
      </c>
      <c r="F505" s="87" cm="1">
        <f t="array" ref="F505">_xlfn.SUMIFS('עסקאות'!$M$2:$M$1958,'עסקאות'!$F$2:$F$1958,B505)</f>
        <v>14</v>
      </c>
      <c r="G505" s="87" cm="1">
        <f t="array" ref="G505">IF(D505=0,"",F505/D505)</f>
        <v>7</v>
      </c>
      <c r="H505" s="87" cm="1">
        <f t="array" ref="H505">F505/20</f>
        <v>0.7</v>
      </c>
      <c r="I505" s="87" cm="1">
        <f t="array" ref="I505">_xlfn.SUMIFS('עסקאות'!$M$2:$M$1958,'עסקאות'!$F$2:$F$1958,B505,'עסקאות'!$A$2:$A$1958,"&gt;="&amp;DATE(2025,1,1),'עסקאות'!$A$2:$A$1958,"&lt;"&amp;DATE(2026,1,1))</f>
        <v>14</v>
      </c>
      <c r="J505" s="28" cm="1">
        <f t="array" ref="J505">_xlfn.SUMIFS('עסקאות'!$M$2:$M$1958,'עסקאות'!$F$2:$F$1958,B505,'עסקאות'!$A$2:$A$1958,"&gt;="&amp;DATE(2026,1,1),'עסקאות'!$A$2:$A$1958,"&lt;"&amp;DATE(2027,1,1))</f>
        <v>0</v>
      </c>
      <c r="K505" s="77"/>
    </row>
    <row r="506" ht="13.65" customHeight="1">
      <c r="A506" s="70"/>
      <c r="B506" t="s" s="94">
        <v>691</v>
      </c>
      <c r="C506" t="s" s="80">
        <v>109</v>
      </c>
      <c r="D506" s="118">
        <v>1</v>
      </c>
      <c r="E506" s="118">
        <v>1</v>
      </c>
      <c r="F506" s="81" cm="1">
        <f t="array" ref="F506">_xlfn.SUMIFS('עסקאות'!$M$2:$M$1958,'עסקאות'!$F$2:$F$1958,B506)</f>
        <v>14</v>
      </c>
      <c r="G506" s="81" cm="1">
        <f t="array" ref="G506">IF(D506=0,"",F506/D506)</f>
        <v>14</v>
      </c>
      <c r="H506" s="81" cm="1">
        <f t="array" ref="H506">F506/20</f>
        <v>0.7</v>
      </c>
      <c r="I506" s="81" cm="1">
        <f t="array" ref="I506">_xlfn.SUMIFS('עסקאות'!$M$2:$M$1958,'עסקאות'!$F$2:$F$1958,B506,'עסקאות'!$A$2:$A$1958,"&gt;="&amp;DATE(2025,1,1),'עסקאות'!$A$2:$A$1958,"&lt;"&amp;DATE(2026,1,1))</f>
        <v>0</v>
      </c>
      <c r="J506" s="83" cm="1">
        <f t="array" ref="J506">_xlfn.SUMIFS('עסקאות'!$M$2:$M$1958,'עסקאות'!$F$2:$F$1958,B506,'עסקאות'!$A$2:$A$1958,"&gt;="&amp;DATE(2026,1,1),'עסקאות'!$A$2:$A$1958,"&lt;"&amp;DATE(2027,1,1))</f>
        <v>14</v>
      </c>
      <c r="K506" s="77"/>
    </row>
    <row r="507" ht="13.65" customHeight="1">
      <c r="A507" s="70"/>
      <c r="B507" t="s" s="120">
        <v>692</v>
      </c>
      <c r="C507" t="s" s="86">
        <v>113</v>
      </c>
      <c r="D507" s="119">
        <v>1</v>
      </c>
      <c r="E507" s="119">
        <v>1</v>
      </c>
      <c r="F507" s="87" cm="1">
        <f t="array" ref="F507">_xlfn.SUMIFS('עסקאות'!$M$2:$M$1958,'עסקאות'!$F$2:$F$1958,B507)</f>
        <v>14</v>
      </c>
      <c r="G507" s="87" cm="1">
        <f t="array" ref="G507">IF(D507=0,"",F507/D507)</f>
        <v>14</v>
      </c>
      <c r="H507" s="87" cm="1">
        <f t="array" ref="H507">F507/20</f>
        <v>0.7</v>
      </c>
      <c r="I507" s="87" cm="1">
        <f t="array" ref="I507">_xlfn.SUMIFS('עסקאות'!$M$2:$M$1958,'עסקאות'!$F$2:$F$1958,B507,'עסקאות'!$A$2:$A$1958,"&gt;="&amp;DATE(2025,1,1),'עסקאות'!$A$2:$A$1958,"&lt;"&amp;DATE(2026,1,1))</f>
        <v>0</v>
      </c>
      <c r="J507" s="28" cm="1">
        <f t="array" ref="J507">_xlfn.SUMIFS('עסקאות'!$M$2:$M$1958,'עסקאות'!$F$2:$F$1958,B507,'עסקאות'!$A$2:$A$1958,"&gt;="&amp;DATE(2026,1,1),'עסקאות'!$A$2:$A$1958,"&lt;"&amp;DATE(2027,1,1))</f>
        <v>14</v>
      </c>
      <c r="K507" s="77"/>
    </row>
    <row r="508" ht="13.65" customHeight="1">
      <c r="A508" s="70"/>
      <c r="B508" t="s" s="94">
        <v>693</v>
      </c>
      <c r="C508" t="s" s="80">
        <v>113</v>
      </c>
      <c r="D508" s="118">
        <v>1</v>
      </c>
      <c r="E508" s="118">
        <v>1</v>
      </c>
      <c r="F508" s="81" cm="1">
        <f t="array" ref="F508">_xlfn.SUMIFS('עסקאות'!$M$2:$M$1958,'עסקאות'!$F$2:$F$1958,B508)</f>
        <v>14</v>
      </c>
      <c r="G508" s="81" cm="1">
        <f t="array" ref="G508">IF(D508=0,"",F508/D508)</f>
        <v>14</v>
      </c>
      <c r="H508" s="81" cm="1">
        <f t="array" ref="H508">F508/20</f>
        <v>0.7</v>
      </c>
      <c r="I508" s="81" cm="1">
        <f t="array" ref="I508">_xlfn.SUMIFS('עסקאות'!$M$2:$M$1958,'עסקאות'!$F$2:$F$1958,B508,'עסקאות'!$A$2:$A$1958,"&gt;="&amp;DATE(2025,1,1),'עסקאות'!$A$2:$A$1958,"&lt;"&amp;DATE(2026,1,1))</f>
        <v>0</v>
      </c>
      <c r="J508" s="83" cm="1">
        <f t="array" ref="J508">_xlfn.SUMIFS('עסקאות'!$M$2:$M$1958,'עסקאות'!$F$2:$F$1958,B508,'עסקאות'!$A$2:$A$1958,"&gt;="&amp;DATE(2026,1,1),'עסקאות'!$A$2:$A$1958,"&lt;"&amp;DATE(2027,1,1))</f>
        <v>14</v>
      </c>
      <c r="K508" s="77"/>
    </row>
    <row r="509" ht="13.65" customHeight="1">
      <c r="A509" s="70"/>
      <c r="B509" t="s" s="27">
        <v>694</v>
      </c>
      <c r="C509" t="s" s="86">
        <v>113</v>
      </c>
      <c r="D509" s="119">
        <v>1</v>
      </c>
      <c r="E509" s="119">
        <v>1</v>
      </c>
      <c r="F509" s="87" cm="1">
        <f t="array" ref="F509">_xlfn.SUMIFS('עסקאות'!$M$2:$M$1958,'עסקאות'!$F$2:$F$1958,B509)</f>
        <v>13</v>
      </c>
      <c r="G509" s="87" cm="1">
        <f t="array" ref="G509">IF(D509=0,"",F509/D509)</f>
        <v>13</v>
      </c>
      <c r="H509" s="87" cm="1">
        <f t="array" ref="H509">F509/20</f>
        <v>0.65</v>
      </c>
      <c r="I509" s="87" cm="1">
        <f t="array" ref="I509">_xlfn.SUMIFS('עסקאות'!$M$2:$M$1958,'עסקאות'!$F$2:$F$1958,B509,'עסקאות'!$A$2:$A$1958,"&gt;="&amp;DATE(2025,1,1),'עסקאות'!$A$2:$A$1958,"&lt;"&amp;DATE(2026,1,1))</f>
        <v>13</v>
      </c>
      <c r="J509" s="28" cm="1">
        <f t="array" ref="J509">_xlfn.SUMIFS('עסקאות'!$M$2:$M$1958,'עסקאות'!$F$2:$F$1958,B509,'עסקאות'!$A$2:$A$1958,"&gt;="&amp;DATE(2026,1,1),'עסקאות'!$A$2:$A$1958,"&lt;"&amp;DATE(2027,1,1))</f>
        <v>0</v>
      </c>
      <c r="K509" s="77"/>
    </row>
    <row r="510" ht="13.65" customHeight="1">
      <c r="A510" s="70"/>
      <c r="B510" t="s" s="94">
        <v>695</v>
      </c>
      <c r="C510" t="s" s="80">
        <v>113</v>
      </c>
      <c r="D510" s="118">
        <v>1</v>
      </c>
      <c r="E510" s="118">
        <v>1</v>
      </c>
      <c r="F510" s="81" cm="1">
        <f t="array" ref="F510">_xlfn.SUMIFS('עסקאות'!$M$2:$M$1958,'עסקאות'!$F$2:$F$1958,B510)</f>
        <v>12</v>
      </c>
      <c r="G510" s="81" cm="1">
        <f t="array" ref="G510">IF(D510=0,"",F510/D510)</f>
        <v>12</v>
      </c>
      <c r="H510" s="81" cm="1">
        <f t="array" ref="H510">F510/20</f>
        <v>0.6</v>
      </c>
      <c r="I510" s="81" cm="1">
        <f t="array" ref="I510">_xlfn.SUMIFS('עסקאות'!$M$2:$M$1958,'עסקאות'!$F$2:$F$1958,B510,'עסקאות'!$A$2:$A$1958,"&gt;="&amp;DATE(2025,1,1),'עסקאות'!$A$2:$A$1958,"&lt;"&amp;DATE(2026,1,1))</f>
        <v>0</v>
      </c>
      <c r="J510" s="83" cm="1">
        <f t="array" ref="J510">_xlfn.SUMIFS('עסקאות'!$M$2:$M$1958,'עסקאות'!$F$2:$F$1958,B510,'עסקאות'!$A$2:$A$1958,"&gt;="&amp;DATE(2026,1,1),'עסקאות'!$A$2:$A$1958,"&lt;"&amp;DATE(2027,1,1))</f>
        <v>12</v>
      </c>
      <c r="K510" s="77"/>
    </row>
    <row r="511" ht="13.65" customHeight="1">
      <c r="A511" s="70"/>
      <c r="B511" t="s" s="27">
        <v>696</v>
      </c>
      <c r="C511" t="s" s="86">
        <v>113</v>
      </c>
      <c r="D511" s="119">
        <v>1</v>
      </c>
      <c r="E511" s="119">
        <v>1</v>
      </c>
      <c r="F511" s="87" cm="1">
        <f t="array" ref="F511">_xlfn.SUMIFS('עסקאות'!$M$2:$M$1958,'עסקאות'!$F$2:$F$1958,B511)</f>
        <v>11</v>
      </c>
      <c r="G511" s="87" cm="1">
        <f t="array" ref="G511">IF(D511=0,"",F511/D511)</f>
        <v>11</v>
      </c>
      <c r="H511" s="87" cm="1">
        <f t="array" ref="H511">F511/20</f>
        <v>0.55</v>
      </c>
      <c r="I511" s="87" cm="1">
        <f t="array" ref="I511">_xlfn.SUMIFS('עסקאות'!$M$2:$M$1958,'עסקאות'!$F$2:$F$1958,B511,'עסקאות'!$A$2:$A$1958,"&gt;="&amp;DATE(2025,1,1),'עסקאות'!$A$2:$A$1958,"&lt;"&amp;DATE(2026,1,1))</f>
        <v>0</v>
      </c>
      <c r="J511" s="28" cm="1">
        <f t="array" ref="J511">_xlfn.SUMIFS('עסקאות'!$M$2:$M$1958,'עסקאות'!$F$2:$F$1958,B511,'עסקאות'!$A$2:$A$1958,"&gt;="&amp;DATE(2026,1,1),'עסקאות'!$A$2:$A$1958,"&lt;"&amp;DATE(2027,1,1))</f>
        <v>11</v>
      </c>
      <c r="K511" s="77"/>
    </row>
    <row r="512" ht="13.65" customHeight="1">
      <c r="A512" s="70"/>
      <c r="B512" t="s" s="94">
        <v>697</v>
      </c>
      <c r="C512" t="s" s="80">
        <v>115</v>
      </c>
      <c r="D512" s="118">
        <v>1</v>
      </c>
      <c r="E512" s="118">
        <v>1</v>
      </c>
      <c r="F512" s="81" cm="1">
        <f t="array" ref="F512">_xlfn.SUMIFS('עסקאות'!$M$2:$M$1958,'עסקאות'!$F$2:$F$1958,B512)</f>
        <v>10</v>
      </c>
      <c r="G512" s="81" cm="1">
        <f t="array" ref="G512">IF(D512=0,"",F512/D512)</f>
        <v>10</v>
      </c>
      <c r="H512" s="81" cm="1">
        <f t="array" ref="H512">F512/20</f>
        <v>0.5</v>
      </c>
      <c r="I512" s="81" cm="1">
        <f t="array" ref="I512">_xlfn.SUMIFS('עסקאות'!$M$2:$M$1958,'עסקאות'!$F$2:$F$1958,B512,'עסקאות'!$A$2:$A$1958,"&gt;="&amp;DATE(2025,1,1),'עסקאות'!$A$2:$A$1958,"&lt;"&amp;DATE(2026,1,1))</f>
        <v>10</v>
      </c>
      <c r="J512" s="83" cm="1">
        <f t="array" ref="J512">_xlfn.SUMIFS('עסקאות'!$M$2:$M$1958,'עסקאות'!$F$2:$F$1958,B512,'עסקאות'!$A$2:$A$1958,"&gt;="&amp;DATE(2026,1,1),'עסקאות'!$A$2:$A$1958,"&lt;"&amp;DATE(2027,1,1))</f>
        <v>0</v>
      </c>
      <c r="K512" s="77"/>
    </row>
    <row r="513" ht="13.65" customHeight="1">
      <c r="A513" s="70"/>
      <c r="B513" t="s" s="27">
        <v>698</v>
      </c>
      <c r="C513" t="s" s="86">
        <v>121</v>
      </c>
      <c r="D513" s="119">
        <v>1</v>
      </c>
      <c r="E513" s="119">
        <v>1</v>
      </c>
      <c r="F513" s="87" cm="1">
        <f t="array" ref="F513">_xlfn.SUMIFS('עסקאות'!$M$2:$M$1958,'עסקאות'!$F$2:$F$1958,B513)</f>
        <v>9</v>
      </c>
      <c r="G513" s="87" cm="1">
        <f t="array" ref="G513">IF(D513=0,"",F513/D513)</f>
        <v>9</v>
      </c>
      <c r="H513" s="87" cm="1">
        <f t="array" ref="H513">F513/20</f>
        <v>0.45</v>
      </c>
      <c r="I513" s="87" cm="1">
        <f t="array" ref="I513">_xlfn.SUMIFS('עסקאות'!$M$2:$M$1958,'עסקאות'!$F$2:$F$1958,B513,'עסקאות'!$A$2:$A$1958,"&gt;="&amp;DATE(2025,1,1),'עסקאות'!$A$2:$A$1958,"&lt;"&amp;DATE(2026,1,1))</f>
        <v>0</v>
      </c>
      <c r="J513" s="28" cm="1">
        <f t="array" ref="J513">_xlfn.SUMIFS('עסקאות'!$M$2:$M$1958,'עסקאות'!$F$2:$F$1958,B513,'עסקאות'!$A$2:$A$1958,"&gt;="&amp;DATE(2026,1,1),'עסקאות'!$A$2:$A$1958,"&lt;"&amp;DATE(2027,1,1))</f>
        <v>9</v>
      </c>
      <c r="K513" s="77"/>
    </row>
    <row r="514" ht="13.65" customHeight="1">
      <c r="A514" s="70"/>
      <c r="B514" t="s" s="94">
        <v>699</v>
      </c>
      <c r="C514" t="s" s="80">
        <v>99</v>
      </c>
      <c r="D514" s="118">
        <v>1</v>
      </c>
      <c r="E514" s="118">
        <v>1</v>
      </c>
      <c r="F514" s="81" cm="1">
        <f t="array" ref="F514">_xlfn.SUMIFS('עסקאות'!$M$2:$M$1958,'עסקאות'!$F$2:$F$1958,B514)</f>
        <v>8</v>
      </c>
      <c r="G514" s="81" cm="1">
        <f t="array" ref="G514">IF(D514=0,"",F514/D514)</f>
        <v>8</v>
      </c>
      <c r="H514" s="81" cm="1">
        <f t="array" ref="H514">F514/20</f>
        <v>0.4</v>
      </c>
      <c r="I514" s="81" cm="1">
        <f t="array" ref="I514">_xlfn.SUMIFS('עסקאות'!$M$2:$M$1958,'עסקאות'!$F$2:$F$1958,B514,'עסקאות'!$A$2:$A$1958,"&gt;="&amp;DATE(2025,1,1),'עסקאות'!$A$2:$A$1958,"&lt;"&amp;DATE(2026,1,1))</f>
        <v>8</v>
      </c>
      <c r="J514" s="83" cm="1">
        <f t="array" ref="J514">_xlfn.SUMIFS('עסקאות'!$M$2:$M$1958,'עסקאות'!$F$2:$F$1958,B514,'עסקאות'!$A$2:$A$1958,"&gt;="&amp;DATE(2026,1,1),'עסקאות'!$A$2:$A$1958,"&lt;"&amp;DATE(2027,1,1))</f>
        <v>0</v>
      </c>
      <c r="K514" s="77"/>
    </row>
    <row r="515" ht="13.65" customHeight="1">
      <c r="A515" s="70"/>
      <c r="B515" t="s" s="27">
        <v>700</v>
      </c>
      <c r="C515" t="s" s="86">
        <v>115</v>
      </c>
      <c r="D515" s="119">
        <v>1</v>
      </c>
      <c r="E515" s="119">
        <v>1</v>
      </c>
      <c r="F515" s="87" cm="1">
        <f t="array" ref="F515">_xlfn.SUMIFS('עסקאות'!$M$2:$M$1958,'עסקאות'!$F$2:$F$1958,B515)</f>
        <v>8</v>
      </c>
      <c r="G515" s="87" cm="1">
        <f t="array" ref="G515">IF(D515=0,"",F515/D515)</f>
        <v>8</v>
      </c>
      <c r="H515" s="87" cm="1">
        <f t="array" ref="H515">F515/20</f>
        <v>0.4</v>
      </c>
      <c r="I515" s="87" cm="1">
        <f t="array" ref="I515">_xlfn.SUMIFS('עסקאות'!$M$2:$M$1958,'עסקאות'!$F$2:$F$1958,B515,'עסקאות'!$A$2:$A$1958,"&gt;="&amp;DATE(2025,1,1),'עסקאות'!$A$2:$A$1958,"&lt;"&amp;DATE(2026,1,1))</f>
        <v>8</v>
      </c>
      <c r="J515" s="28" cm="1">
        <f t="array" ref="J515">_xlfn.SUMIFS('עסקאות'!$M$2:$M$1958,'עסקאות'!$F$2:$F$1958,B515,'עסקאות'!$A$2:$A$1958,"&gt;="&amp;DATE(2026,1,1),'עסקאות'!$A$2:$A$1958,"&lt;"&amp;DATE(2027,1,1))</f>
        <v>0</v>
      </c>
      <c r="K515" s="77"/>
    </row>
    <row r="516" ht="13.65" customHeight="1">
      <c r="A516" s="70"/>
      <c r="B516" t="s" s="94">
        <v>701</v>
      </c>
      <c r="C516" t="s" s="80">
        <v>113</v>
      </c>
      <c r="D516" s="118">
        <v>1</v>
      </c>
      <c r="E516" s="118">
        <v>1</v>
      </c>
      <c r="F516" s="81" cm="1">
        <f t="array" ref="F516">_xlfn.SUMIFS('עסקאות'!$M$2:$M$1958,'עסקאות'!$F$2:$F$1958,B516)</f>
        <v>8</v>
      </c>
      <c r="G516" s="81" cm="1">
        <f t="array" ref="G516">IF(D516=0,"",F516/D516)</f>
        <v>8</v>
      </c>
      <c r="H516" s="81" cm="1">
        <f t="array" ref="H516">F516/20</f>
        <v>0.4</v>
      </c>
      <c r="I516" s="81" cm="1">
        <f t="array" ref="I516">_xlfn.SUMIFS('עסקאות'!$M$2:$M$1958,'עסקאות'!$F$2:$F$1958,B516,'עסקאות'!$A$2:$A$1958,"&gt;="&amp;DATE(2025,1,1),'עסקאות'!$A$2:$A$1958,"&lt;"&amp;DATE(2026,1,1))</f>
        <v>0</v>
      </c>
      <c r="J516" s="83" cm="1">
        <f t="array" ref="J516">_xlfn.SUMIFS('עסקאות'!$M$2:$M$1958,'עסקאות'!$F$2:$F$1958,B516,'עסקאות'!$A$2:$A$1958,"&gt;="&amp;DATE(2026,1,1),'עסקאות'!$A$2:$A$1958,"&lt;"&amp;DATE(2027,1,1))</f>
        <v>8</v>
      </c>
      <c r="K516" s="77"/>
    </row>
    <row r="517" ht="13.65" customHeight="1">
      <c r="A517" s="70"/>
      <c r="B517" t="s" s="27">
        <v>702</v>
      </c>
      <c r="C517" t="s" s="86">
        <v>115</v>
      </c>
      <c r="D517" s="119">
        <v>1</v>
      </c>
      <c r="E517" s="119">
        <v>1</v>
      </c>
      <c r="F517" s="87" cm="1">
        <f t="array" ref="F517">_xlfn.SUMIFS('עסקאות'!$M$2:$M$1958,'עסקאות'!$F$2:$F$1958,B517)</f>
        <v>5</v>
      </c>
      <c r="G517" s="87" cm="1">
        <f t="array" ref="G517">IF(D517=0,"",F517/D517)</f>
        <v>5</v>
      </c>
      <c r="H517" s="87" cm="1">
        <f t="array" ref="H517">F517/20</f>
        <v>0.25</v>
      </c>
      <c r="I517" s="87" cm="1">
        <f t="array" ref="I517">_xlfn.SUMIFS('עסקאות'!$M$2:$M$1958,'עסקאות'!$F$2:$F$1958,B517,'עסקאות'!$A$2:$A$1958,"&gt;="&amp;DATE(2025,1,1),'עסקאות'!$A$2:$A$1958,"&lt;"&amp;DATE(2026,1,1))</f>
        <v>5</v>
      </c>
      <c r="J517" s="28" cm="1">
        <f t="array" ref="J517">_xlfn.SUMIFS('עסקאות'!$M$2:$M$1958,'עסקאות'!$F$2:$F$1958,B517,'עסקאות'!$A$2:$A$1958,"&gt;="&amp;DATE(2026,1,1),'עסקאות'!$A$2:$A$1958,"&lt;"&amp;DATE(2027,1,1))</f>
        <v>0</v>
      </c>
      <c r="K517" s="77"/>
    </row>
    <row r="518" ht="13.65" customHeight="1">
      <c r="A518" s="70"/>
      <c r="B518" t="s" s="94">
        <v>703</v>
      </c>
      <c r="C518" t="s" s="80">
        <v>105</v>
      </c>
      <c r="D518" s="118">
        <v>1</v>
      </c>
      <c r="E518" s="118">
        <v>1</v>
      </c>
      <c r="F518" s="81" cm="1">
        <f t="array" ref="F518">_xlfn.SUMIFS('עסקאות'!$M$2:$M$1958,'עסקאות'!$F$2:$F$1958,B518)</f>
        <v>5</v>
      </c>
      <c r="G518" s="81" cm="1">
        <f t="array" ref="G518">IF(D518=0,"",F518/D518)</f>
        <v>5</v>
      </c>
      <c r="H518" s="81" cm="1">
        <f t="array" ref="H518">F518/20</f>
        <v>0.25</v>
      </c>
      <c r="I518" s="81" cm="1">
        <f t="array" ref="I518">_xlfn.SUMIFS('עסקאות'!$M$2:$M$1958,'עסקאות'!$F$2:$F$1958,B518,'עסקאות'!$A$2:$A$1958,"&gt;="&amp;DATE(2025,1,1),'עסקאות'!$A$2:$A$1958,"&lt;"&amp;DATE(2026,1,1))</f>
        <v>5</v>
      </c>
      <c r="J518" s="83" cm="1">
        <f t="array" ref="J518">_xlfn.SUMIFS('עסקאות'!$M$2:$M$1958,'עסקאות'!$F$2:$F$1958,B518,'עסקאות'!$A$2:$A$1958,"&gt;="&amp;DATE(2026,1,1),'עסקאות'!$A$2:$A$1958,"&lt;"&amp;DATE(2027,1,1))</f>
        <v>0</v>
      </c>
      <c r="K518" s="77"/>
    </row>
    <row r="519" ht="13.65" customHeight="1">
      <c r="A519" s="70"/>
      <c r="B519" t="s" s="27">
        <v>704</v>
      </c>
      <c r="C519" t="s" s="86">
        <v>139</v>
      </c>
      <c r="D519" s="119">
        <v>1</v>
      </c>
      <c r="E519" s="119">
        <v>1</v>
      </c>
      <c r="F519" s="87" cm="1">
        <f t="array" ref="F519">_xlfn.SUMIFS('עסקאות'!$M$2:$M$1958,'עסקאות'!$F$2:$F$1958,B519)</f>
        <v>2</v>
      </c>
      <c r="G519" s="87" cm="1">
        <f t="array" ref="G519">IF(D519=0,"",F519/D519)</f>
        <v>2</v>
      </c>
      <c r="H519" s="87" cm="1">
        <f t="array" ref="H519">F519/20</f>
        <v>0.1</v>
      </c>
      <c r="I519" s="87" cm="1">
        <f t="array" ref="I519">_xlfn.SUMIFS('עסקאות'!$M$2:$M$1958,'עסקאות'!$F$2:$F$1958,B519,'עסקאות'!$A$2:$A$1958,"&gt;="&amp;DATE(2025,1,1),'עסקאות'!$A$2:$A$1958,"&lt;"&amp;DATE(2026,1,1))</f>
        <v>0</v>
      </c>
      <c r="J519" s="28" cm="1">
        <f t="array" ref="J519">_xlfn.SUMIFS('עסקאות'!$M$2:$M$1958,'עסקאות'!$F$2:$F$1958,B519,'עסקאות'!$A$2:$A$1958,"&gt;="&amp;DATE(2026,1,1),'עסקאות'!$A$2:$A$1958,"&lt;"&amp;DATE(2027,1,1))</f>
        <v>2</v>
      </c>
      <c r="K519" s="77"/>
    </row>
    <row r="520" ht="13.65" customHeight="1">
      <c r="A520" s="70"/>
      <c r="B520" t="s" s="94">
        <v>705</v>
      </c>
      <c r="C520" t="s" s="80">
        <v>99</v>
      </c>
      <c r="D520" s="118">
        <v>1</v>
      </c>
      <c r="E520" s="118">
        <v>1</v>
      </c>
      <c r="F520" s="81" cm="1">
        <f t="array" ref="F520">_xlfn.SUMIFS('עסקאות'!$M$2:$M$1958,'עסקאות'!$F$2:$F$1958,B520)</f>
        <v>-33</v>
      </c>
      <c r="G520" s="81" cm="1">
        <f t="array" ref="G520">IF(D520=0,"",F520/D520)</f>
        <v>-33</v>
      </c>
      <c r="H520" s="81" cm="1">
        <f t="array" ref="H520">F520/20</f>
        <v>-1.65</v>
      </c>
      <c r="I520" s="81" cm="1">
        <f t="array" ref="I520">_xlfn.SUMIFS('עסקאות'!$M$2:$M$1958,'עסקאות'!$F$2:$F$1958,B520,'עסקאות'!$A$2:$A$1958,"&gt;="&amp;DATE(2025,1,1),'עסקאות'!$A$2:$A$1958,"&lt;"&amp;DATE(2026,1,1))</f>
        <v>-33</v>
      </c>
      <c r="J520" s="83" cm="1">
        <f t="array" ref="J520">_xlfn.SUMIFS('עסקאות'!$M$2:$M$1958,'עסקאות'!$F$2:$F$1958,B520,'עסקאות'!$A$2:$A$1958,"&gt;="&amp;DATE(2026,1,1),'עסקאות'!$A$2:$A$1958,"&lt;"&amp;DATE(2027,1,1))</f>
        <v>0</v>
      </c>
      <c r="K520" s="77"/>
    </row>
    <row r="521" ht="13.65" customHeight="1">
      <c r="A521" s="70"/>
      <c r="B521" t="s" s="27">
        <v>706</v>
      </c>
      <c r="C521" t="s" s="86">
        <v>115</v>
      </c>
      <c r="D521" s="119">
        <v>1</v>
      </c>
      <c r="E521" s="119">
        <v>1</v>
      </c>
      <c r="F521" s="87" cm="1">
        <f t="array" ref="F521">_xlfn.SUMIFS('עסקאות'!$M$2:$M$1958,'עסקאות'!$F$2:$F$1958,B521)</f>
        <v>-50</v>
      </c>
      <c r="G521" s="87" cm="1">
        <f t="array" ref="G521">IF(D521=0,"",F521/D521)</f>
        <v>-50</v>
      </c>
      <c r="H521" s="87" cm="1">
        <f t="array" ref="H521">F521/20</f>
        <v>-2.5</v>
      </c>
      <c r="I521" s="87" cm="1">
        <f t="array" ref="I521">_xlfn.SUMIFS('עסקאות'!$M$2:$M$1958,'עסקאות'!$F$2:$F$1958,B521,'עסקאות'!$A$2:$A$1958,"&gt;="&amp;DATE(2025,1,1),'עסקאות'!$A$2:$A$1958,"&lt;"&amp;DATE(2026,1,1))</f>
        <v>-50</v>
      </c>
      <c r="J521" s="28" cm="1">
        <f t="array" ref="J521">_xlfn.SUMIFS('עסקאות'!$M$2:$M$1958,'עסקאות'!$F$2:$F$1958,B521,'עסקאות'!$A$2:$A$1958,"&gt;="&amp;DATE(2026,1,1),'עסקאות'!$A$2:$A$1958,"&lt;"&amp;DATE(2027,1,1))</f>
        <v>0</v>
      </c>
      <c r="K521" s="77"/>
    </row>
    <row r="522" ht="13.65" customHeight="1">
      <c r="A522" s="70"/>
      <c r="B522" t="s" s="94">
        <v>707</v>
      </c>
      <c r="C522" t="s" s="80">
        <v>135</v>
      </c>
      <c r="D522" s="118">
        <v>1</v>
      </c>
      <c r="E522" s="118">
        <v>1</v>
      </c>
      <c r="F522" s="81" cm="1">
        <f t="array" ref="F522">_xlfn.SUMIFS('עסקאות'!$M$2:$M$1958,'עסקאות'!$F$2:$F$1958,B522)</f>
        <v>-55</v>
      </c>
      <c r="G522" s="81" cm="1">
        <f t="array" ref="G522">IF(D522=0,"",F522/D522)</f>
        <v>-55</v>
      </c>
      <c r="H522" s="81" cm="1">
        <f t="array" ref="H522">F522/20</f>
        <v>-2.75</v>
      </c>
      <c r="I522" s="81" cm="1">
        <f t="array" ref="I522">_xlfn.SUMIFS('עסקאות'!$M$2:$M$1958,'עסקאות'!$F$2:$F$1958,B522,'עסקאות'!$A$2:$A$1958,"&gt;="&amp;DATE(2025,1,1),'עסקאות'!$A$2:$A$1958,"&lt;"&amp;DATE(2026,1,1))</f>
        <v>-55</v>
      </c>
      <c r="J522" s="83" cm="1">
        <f t="array" ref="J522">_xlfn.SUMIFS('עסקאות'!$M$2:$M$1958,'עסקאות'!$F$2:$F$1958,B522,'עסקאות'!$A$2:$A$1958,"&gt;="&amp;DATE(2026,1,1),'עסקאות'!$A$2:$A$1958,"&lt;"&amp;DATE(2027,1,1))</f>
        <v>0</v>
      </c>
      <c r="K522" s="77"/>
    </row>
    <row r="523" ht="13.65" customHeight="1">
      <c r="A523" s="70"/>
      <c r="B523" t="s" s="27">
        <v>708</v>
      </c>
      <c r="C523" t="s" s="86">
        <v>117</v>
      </c>
      <c r="D523" s="119">
        <v>3</v>
      </c>
      <c r="E523" s="119">
        <v>1</v>
      </c>
      <c r="F523" s="87" cm="1">
        <f t="array" ref="F523">_xlfn.SUMIFS('עסקאות'!$M$2:$M$1958,'עסקאות'!$F$2:$F$1958,B523)</f>
        <v>-66</v>
      </c>
      <c r="G523" s="87" cm="1">
        <f t="array" ref="G523">IF(D523=0,"",F523/D523)</f>
        <v>-22</v>
      </c>
      <c r="H523" s="87" cm="1">
        <f t="array" ref="H523">F523/20</f>
        <v>-3.3</v>
      </c>
      <c r="I523" s="87" cm="1">
        <f t="array" ref="I523">_xlfn.SUMIFS('עסקאות'!$M$2:$M$1958,'עסקאות'!$F$2:$F$1958,B523,'עסקאות'!$A$2:$A$1958,"&gt;="&amp;DATE(2025,1,1),'עסקאות'!$A$2:$A$1958,"&lt;"&amp;DATE(2026,1,1))</f>
        <v>-66</v>
      </c>
      <c r="J523" s="28" cm="1">
        <f t="array" ref="J523">_xlfn.SUMIFS('עסקאות'!$M$2:$M$1958,'עסקאות'!$F$2:$F$1958,B523,'עסקאות'!$A$2:$A$1958,"&gt;="&amp;DATE(2026,1,1),'עסקאות'!$A$2:$A$1958,"&lt;"&amp;DATE(2027,1,1))</f>
        <v>0</v>
      </c>
      <c r="K523" s="77"/>
    </row>
    <row r="524" ht="13.65" customHeight="1">
      <c r="A524" s="70"/>
      <c r="B524" t="s" s="94">
        <v>709</v>
      </c>
      <c r="C524" t="s" s="80">
        <v>102</v>
      </c>
      <c r="D524" s="118">
        <v>1</v>
      </c>
      <c r="E524" s="118">
        <v>1</v>
      </c>
      <c r="F524" s="81" cm="1">
        <f t="array" ref="F524">_xlfn.SUMIFS('עסקאות'!$M$2:$M$1958,'עסקאות'!$F$2:$F$1958,B524)</f>
        <v>-76</v>
      </c>
      <c r="G524" s="81" cm="1">
        <f t="array" ref="G524">IF(D524=0,"",F524/D524)</f>
        <v>-76</v>
      </c>
      <c r="H524" s="81" cm="1">
        <f t="array" ref="H524">F524/20</f>
        <v>-3.8</v>
      </c>
      <c r="I524" s="81" cm="1">
        <f t="array" ref="I524">_xlfn.SUMIFS('עסקאות'!$M$2:$M$1958,'עסקאות'!$F$2:$F$1958,B524,'עסקאות'!$A$2:$A$1958,"&gt;="&amp;DATE(2025,1,1),'עסקאות'!$A$2:$A$1958,"&lt;"&amp;DATE(2026,1,1))</f>
        <v>-76</v>
      </c>
      <c r="J524" s="83" cm="1">
        <f t="array" ref="J524">_xlfn.SUMIFS('עסקאות'!$M$2:$M$1958,'עסקאות'!$F$2:$F$1958,B524,'עסקאות'!$A$2:$A$1958,"&gt;="&amp;DATE(2026,1,1),'עסקאות'!$A$2:$A$1958,"&lt;"&amp;DATE(2027,1,1))</f>
        <v>0</v>
      </c>
      <c r="K524" s="77"/>
    </row>
    <row r="525" ht="13.65" customHeight="1">
      <c r="A525" s="70"/>
      <c r="B525" t="s" s="27">
        <v>710</v>
      </c>
      <c r="C525" t="s" s="86">
        <v>131</v>
      </c>
      <c r="D525" s="119">
        <v>1</v>
      </c>
      <c r="E525" s="119">
        <v>1</v>
      </c>
      <c r="F525" s="87" cm="1">
        <f t="array" ref="F525">_xlfn.SUMIFS('עסקאות'!$M$2:$M$1958,'עסקאות'!$F$2:$F$1958,B525)</f>
        <v>-112</v>
      </c>
      <c r="G525" s="87" cm="1">
        <f t="array" ref="G525">IF(D525=0,"",F525/D525)</f>
        <v>-112</v>
      </c>
      <c r="H525" s="87" cm="1">
        <f t="array" ref="H525">F525/20</f>
        <v>-5.6</v>
      </c>
      <c r="I525" s="87" cm="1">
        <f t="array" ref="I525">_xlfn.SUMIFS('עסקאות'!$M$2:$M$1958,'עסקאות'!$F$2:$F$1958,B525,'עסקאות'!$A$2:$A$1958,"&gt;="&amp;DATE(2025,1,1),'עסקאות'!$A$2:$A$1958,"&lt;"&amp;DATE(2026,1,1))</f>
        <v>0</v>
      </c>
      <c r="J525" s="28" cm="1">
        <f t="array" ref="J525">_xlfn.SUMIFS('עסקאות'!$M$2:$M$1958,'עסקאות'!$F$2:$F$1958,B525,'עסקאות'!$A$2:$A$1958,"&gt;="&amp;DATE(2026,1,1),'עסקאות'!$A$2:$A$1958,"&lt;"&amp;DATE(2027,1,1))</f>
        <v>-112</v>
      </c>
      <c r="K525" s="77"/>
    </row>
    <row r="526" ht="13.65" customHeight="1">
      <c r="A526" s="70"/>
      <c r="B526" t="s" s="94">
        <v>711</v>
      </c>
      <c r="C526" t="s" s="80">
        <v>109</v>
      </c>
      <c r="D526" s="118">
        <v>1</v>
      </c>
      <c r="E526" s="118">
        <v>1</v>
      </c>
      <c r="F526" s="81" cm="1">
        <f t="array" ref="F526">_xlfn.SUMIFS('עסקאות'!$M$2:$M$1958,'עסקאות'!$F$2:$F$1958,B526)</f>
        <v>-130</v>
      </c>
      <c r="G526" s="81" cm="1">
        <f t="array" ref="G526">IF(D526=0,"",F526/D526)</f>
        <v>-130</v>
      </c>
      <c r="H526" s="81" cm="1">
        <f t="array" ref="H526">F526/20</f>
        <v>-6.5</v>
      </c>
      <c r="I526" s="81" cm="1">
        <f t="array" ref="I526">_xlfn.SUMIFS('עסקאות'!$M$2:$M$1958,'עסקאות'!$F$2:$F$1958,B526,'עסקאות'!$A$2:$A$1958,"&gt;="&amp;DATE(2025,1,1),'עסקאות'!$A$2:$A$1958,"&lt;"&amp;DATE(2026,1,1))</f>
        <v>-130</v>
      </c>
      <c r="J526" s="83" cm="1">
        <f t="array" ref="J526">_xlfn.SUMIFS('עסקאות'!$M$2:$M$1958,'עסקאות'!$F$2:$F$1958,B526,'עסקאות'!$A$2:$A$1958,"&gt;="&amp;DATE(2026,1,1),'עסקאות'!$A$2:$A$1958,"&lt;"&amp;DATE(2027,1,1))</f>
        <v>0</v>
      </c>
      <c r="K526" s="77"/>
    </row>
    <row r="527" ht="13.65" customHeight="1">
      <c r="A527" s="70"/>
      <c r="B527" t="s" s="27">
        <v>712</v>
      </c>
      <c r="C527" t="s" s="86">
        <v>113</v>
      </c>
      <c r="D527" s="119">
        <v>1</v>
      </c>
      <c r="E527" s="119">
        <v>1</v>
      </c>
      <c r="F527" s="87" cm="1">
        <f t="array" ref="F527">_xlfn.SUMIFS('עסקאות'!$M$2:$M$1958,'עסקאות'!$F$2:$F$1958,B527)</f>
        <v>-138</v>
      </c>
      <c r="G527" s="87" cm="1">
        <f t="array" ref="G527">IF(D527=0,"",F527/D527)</f>
        <v>-138</v>
      </c>
      <c r="H527" s="87" cm="1">
        <f t="array" ref="H527">F527/20</f>
        <v>-6.9</v>
      </c>
      <c r="I527" s="87" cm="1">
        <f t="array" ref="I527">_xlfn.SUMIFS('עסקאות'!$M$2:$M$1958,'עסקאות'!$F$2:$F$1958,B527,'עסקאות'!$A$2:$A$1958,"&gt;="&amp;DATE(2025,1,1),'עסקאות'!$A$2:$A$1958,"&lt;"&amp;DATE(2026,1,1))</f>
        <v>0</v>
      </c>
      <c r="J527" s="28" cm="1">
        <f t="array" ref="J527">_xlfn.SUMIFS('עסקאות'!$M$2:$M$1958,'עסקאות'!$F$2:$F$1958,B527,'עסקאות'!$A$2:$A$1958,"&gt;="&amp;DATE(2026,1,1),'עסקאות'!$A$2:$A$1958,"&lt;"&amp;DATE(2027,1,1))</f>
        <v>-138</v>
      </c>
      <c r="K527" s="77"/>
    </row>
    <row r="528" ht="13.65" customHeight="1">
      <c r="A528" s="70"/>
      <c r="B528" t="s" s="94">
        <v>713</v>
      </c>
      <c r="C528" t="s" s="80">
        <v>117</v>
      </c>
      <c r="D528" s="118">
        <v>1</v>
      </c>
      <c r="E528" s="118">
        <v>1</v>
      </c>
      <c r="F528" s="81" cm="1">
        <f t="array" ref="F528">_xlfn.SUMIFS('עסקאות'!$M$2:$M$1958,'עסקאות'!$F$2:$F$1958,B528)</f>
        <v>-149</v>
      </c>
      <c r="G528" s="81" cm="1">
        <f t="array" ref="G528">IF(D528=0,"",F528/D528)</f>
        <v>-149</v>
      </c>
      <c r="H528" s="81" cm="1">
        <f t="array" ref="H528">F528/20</f>
        <v>-7.45</v>
      </c>
      <c r="I528" s="81" cm="1">
        <f t="array" ref="I528">_xlfn.SUMIFS('עסקאות'!$M$2:$M$1958,'עסקאות'!$F$2:$F$1958,B528,'עסקאות'!$A$2:$A$1958,"&gt;="&amp;DATE(2025,1,1),'עסקאות'!$A$2:$A$1958,"&lt;"&amp;DATE(2026,1,1))</f>
        <v>-149</v>
      </c>
      <c r="J528" s="83" cm="1">
        <f t="array" ref="J528">_xlfn.SUMIFS('עסקאות'!$M$2:$M$1958,'עסקאות'!$F$2:$F$1958,B528,'עסקאות'!$A$2:$A$1958,"&gt;="&amp;DATE(2026,1,1),'עסקאות'!$A$2:$A$1958,"&lt;"&amp;DATE(2027,1,1))</f>
        <v>0</v>
      </c>
      <c r="K528" s="77"/>
    </row>
    <row r="529" ht="13.65" customHeight="1">
      <c r="A529" s="70"/>
      <c r="B529" t="s" s="27">
        <v>714</v>
      </c>
      <c r="C529" t="s" s="86">
        <v>113</v>
      </c>
      <c r="D529" s="119">
        <v>2</v>
      </c>
      <c r="E529" s="119">
        <v>1</v>
      </c>
      <c r="F529" s="87" cm="1">
        <f t="array" ref="F529">_xlfn.SUMIFS('עסקאות'!$M$2:$M$1958,'עסקאות'!$F$2:$F$1958,B529)</f>
        <v>-199</v>
      </c>
      <c r="G529" s="87" cm="1">
        <f t="array" ref="G529">IF(D529=0,"",F529/D529)</f>
        <v>-99.5</v>
      </c>
      <c r="H529" s="87" cm="1">
        <f t="array" ref="H529">F529/20</f>
        <v>-9.949999999999999</v>
      </c>
      <c r="I529" s="87" cm="1">
        <f t="array" ref="I529">_xlfn.SUMIFS('עסקאות'!$M$2:$M$1958,'עסקאות'!$F$2:$F$1958,B529,'עסקאות'!$A$2:$A$1958,"&gt;="&amp;DATE(2025,1,1),'עסקאות'!$A$2:$A$1958,"&lt;"&amp;DATE(2026,1,1))</f>
        <v>-199</v>
      </c>
      <c r="J529" s="28" cm="1">
        <f t="array" ref="J529">_xlfn.SUMIFS('עסקאות'!$M$2:$M$1958,'עסקאות'!$F$2:$F$1958,B529,'עסקאות'!$A$2:$A$1958,"&gt;="&amp;DATE(2026,1,1),'עסקאות'!$A$2:$A$1958,"&lt;"&amp;DATE(2027,1,1))</f>
        <v>0</v>
      </c>
      <c r="K529" s="77"/>
    </row>
    <row r="530" ht="13.65" customHeight="1">
      <c r="A530" s="70"/>
      <c r="B530" t="s" s="94">
        <v>715</v>
      </c>
      <c r="C530" t="s" s="80">
        <v>123</v>
      </c>
      <c r="D530" s="118">
        <v>1</v>
      </c>
      <c r="E530" s="118">
        <v>1</v>
      </c>
      <c r="F530" s="81" cm="1">
        <f t="array" ref="F530">_xlfn.SUMIFS('עסקאות'!$M$2:$M$1958,'עסקאות'!$F$2:$F$1958,B530)</f>
        <v>-261</v>
      </c>
      <c r="G530" s="81" cm="1">
        <f t="array" ref="G530">IF(D530=0,"",F530/D530)</f>
        <v>-261</v>
      </c>
      <c r="H530" s="81" cm="1">
        <f t="array" ref="H530">F530/20</f>
        <v>-13.05</v>
      </c>
      <c r="I530" s="81" cm="1">
        <f t="array" ref="I530">_xlfn.SUMIFS('עסקאות'!$M$2:$M$1958,'עסקאות'!$F$2:$F$1958,B530,'עסקאות'!$A$2:$A$1958,"&gt;="&amp;DATE(2025,1,1),'עסקאות'!$A$2:$A$1958,"&lt;"&amp;DATE(2026,1,1))</f>
        <v>-261</v>
      </c>
      <c r="J530" s="83" cm="1">
        <f t="array" ref="J530">_xlfn.SUMIFS('עסקאות'!$M$2:$M$1958,'עסקאות'!$F$2:$F$1958,B530,'עסקאות'!$A$2:$A$1958,"&gt;="&amp;DATE(2026,1,1),'עסקאות'!$A$2:$A$1958,"&lt;"&amp;DATE(2027,1,1))</f>
        <v>0</v>
      </c>
      <c r="K530" s="77"/>
    </row>
    <row r="531" ht="13.65" customHeight="1">
      <c r="A531" s="70"/>
      <c r="B531" t="s" s="27">
        <v>716</v>
      </c>
      <c r="C531" t="s" s="86">
        <v>102</v>
      </c>
      <c r="D531" s="119">
        <v>1</v>
      </c>
      <c r="E531" s="119">
        <v>1</v>
      </c>
      <c r="F531" s="87" cm="1">
        <f t="array" ref="F531">_xlfn.SUMIFS('עסקאות'!$M$2:$M$1958,'עסקאות'!$F$2:$F$1958,B531)</f>
        <v>-279</v>
      </c>
      <c r="G531" s="87" cm="1">
        <f t="array" ref="G531">IF(D531=0,"",F531/D531)</f>
        <v>-279</v>
      </c>
      <c r="H531" s="87" cm="1">
        <f t="array" ref="H531">F531/20</f>
        <v>-13.95</v>
      </c>
      <c r="I531" s="87" cm="1">
        <f t="array" ref="I531">_xlfn.SUMIFS('עסקאות'!$M$2:$M$1958,'עסקאות'!$F$2:$F$1958,B531,'עסקאות'!$A$2:$A$1958,"&gt;="&amp;DATE(2025,1,1),'עסקאות'!$A$2:$A$1958,"&lt;"&amp;DATE(2026,1,1))</f>
        <v>-279</v>
      </c>
      <c r="J531" s="28" cm="1">
        <f t="array" ref="J531">_xlfn.SUMIFS('עסקאות'!$M$2:$M$1958,'עסקאות'!$F$2:$F$1958,B531,'עסקאות'!$A$2:$A$1958,"&gt;="&amp;DATE(2026,1,1),'עסקאות'!$A$2:$A$1958,"&lt;"&amp;DATE(2027,1,1))</f>
        <v>0</v>
      </c>
      <c r="K531" s="77"/>
    </row>
    <row r="532" ht="13.65" customHeight="1">
      <c r="A532" s="70"/>
      <c r="B532" t="s" s="94">
        <v>717</v>
      </c>
      <c r="C532" t="s" s="80">
        <v>102</v>
      </c>
      <c r="D532" s="118">
        <v>3</v>
      </c>
      <c r="E532" s="118">
        <v>3</v>
      </c>
      <c r="F532" s="81" cm="1">
        <f t="array" ref="F532">_xlfn.SUMIFS('עסקאות'!$M$2:$M$1958,'עסקאות'!$F$2:$F$1958,B532)</f>
        <v>-375</v>
      </c>
      <c r="G532" s="81" cm="1">
        <f t="array" ref="G532">IF(D532=0,"",F532/D532)</f>
        <v>-125</v>
      </c>
      <c r="H532" s="81" cm="1">
        <f t="array" ref="H532">F532/20</f>
        <v>-18.75</v>
      </c>
      <c r="I532" s="81" cm="1">
        <f t="array" ref="I532">_xlfn.SUMIFS('עסקאות'!$M$2:$M$1958,'עסקאות'!$F$2:$F$1958,B532,'עסקאות'!$A$2:$A$1958,"&gt;="&amp;DATE(2025,1,1),'עסקאות'!$A$2:$A$1958,"&lt;"&amp;DATE(2026,1,1))</f>
        <v>-187</v>
      </c>
      <c r="J532" s="83" cm="1">
        <f t="array" ref="J532">_xlfn.SUMIFS('עסקאות'!$M$2:$M$1958,'עסקאות'!$F$2:$F$1958,B532,'עסקאות'!$A$2:$A$1958,"&gt;="&amp;DATE(2026,1,1),'עסקאות'!$A$2:$A$1958,"&lt;"&amp;DATE(2027,1,1))</f>
        <v>-188</v>
      </c>
      <c r="K532" s="77"/>
    </row>
    <row r="533" ht="13.65" customHeight="1">
      <c r="A533" s="70"/>
      <c r="B533" t="s" s="27">
        <v>718</v>
      </c>
      <c r="C533" t="s" s="86">
        <v>125</v>
      </c>
      <c r="D533" s="119">
        <v>1</v>
      </c>
      <c r="E533" s="119">
        <v>1</v>
      </c>
      <c r="F533" s="87" cm="1">
        <f t="array" ref="F533">_xlfn.SUMIFS('עסקאות'!$M$2:$M$1958,'עסקאות'!$F$2:$F$1958,B533)</f>
        <v>-500</v>
      </c>
      <c r="G533" s="87" cm="1">
        <f t="array" ref="G533">IF(D533=0,"",F533/D533)</f>
        <v>-500</v>
      </c>
      <c r="H533" s="87" cm="1">
        <f t="array" ref="H533">F533/20</f>
        <v>-25</v>
      </c>
      <c r="I533" s="87" cm="1">
        <f t="array" ref="I533">_xlfn.SUMIFS('עסקאות'!$M$2:$M$1958,'עסקאות'!$F$2:$F$1958,B533,'עסקאות'!$A$2:$A$1958,"&gt;="&amp;DATE(2025,1,1),'עסקאות'!$A$2:$A$1958,"&lt;"&amp;DATE(2026,1,1))</f>
        <v>-500</v>
      </c>
      <c r="J533" s="28" cm="1">
        <f t="array" ref="J533">_xlfn.SUMIFS('עסקאות'!$M$2:$M$1958,'עסקאות'!$F$2:$F$1958,B533,'עסקאות'!$A$2:$A$1958,"&gt;="&amp;DATE(2026,1,1),'עסקאות'!$A$2:$A$1958,"&lt;"&amp;DATE(2027,1,1))</f>
        <v>0</v>
      </c>
      <c r="K533" s="77"/>
    </row>
    <row r="534" ht="13.65" customHeight="1">
      <c r="A534" s="70"/>
      <c r="B534" t="s" s="94">
        <v>719</v>
      </c>
      <c r="C534" t="s" s="80">
        <v>102</v>
      </c>
      <c r="D534" s="118">
        <v>2</v>
      </c>
      <c r="E534" s="118">
        <v>2</v>
      </c>
      <c r="F534" s="81" cm="1">
        <f t="array" ref="F534">_xlfn.SUMIFS('עסקאות'!$M$2:$M$1958,'עסקאות'!$F$2:$F$1958,B534)</f>
        <v>-590</v>
      </c>
      <c r="G534" s="81" cm="1">
        <f t="array" ref="G534">IF(D534=0,"",F534/D534)</f>
        <v>-295</v>
      </c>
      <c r="H534" s="81" cm="1">
        <f t="array" ref="H534">F534/20</f>
        <v>-29.5</v>
      </c>
      <c r="I534" s="81" cm="1">
        <f t="array" ref="I534">_xlfn.SUMIFS('עסקאות'!$M$2:$M$1958,'עסקאות'!$F$2:$F$1958,B534,'עסקאות'!$A$2:$A$1958,"&gt;="&amp;DATE(2025,1,1),'עסקאות'!$A$2:$A$1958,"&lt;"&amp;DATE(2026,1,1))</f>
        <v>0</v>
      </c>
      <c r="J534" s="83" cm="1">
        <f t="array" ref="J534">_xlfn.SUMIFS('עסקאות'!$M$2:$M$1958,'עסקאות'!$F$2:$F$1958,B534,'עסקאות'!$A$2:$A$1958,"&gt;="&amp;DATE(2026,1,1),'עסקאות'!$A$2:$A$1958,"&lt;"&amp;DATE(2027,1,1))</f>
        <v>-590</v>
      </c>
      <c r="K534" s="77"/>
    </row>
    <row r="535" ht="13.65" customHeight="1">
      <c r="A535" s="70"/>
      <c r="B535" t="s" s="27">
        <v>720</v>
      </c>
      <c r="C535" t="s" s="86">
        <v>123</v>
      </c>
      <c r="D535" s="119">
        <v>1</v>
      </c>
      <c r="E535" s="119">
        <v>1</v>
      </c>
      <c r="F535" s="87" cm="1">
        <f t="array" ref="F535">_xlfn.SUMIFS('עסקאות'!$M$2:$M$1958,'עסקאות'!$F$2:$F$1958,B535)</f>
        <v>-715</v>
      </c>
      <c r="G535" s="87" cm="1">
        <f t="array" ref="G535">IF(D535=0,"",F535/D535)</f>
        <v>-715</v>
      </c>
      <c r="H535" s="87" cm="1">
        <f t="array" ref="H535">F535/20</f>
        <v>-35.75</v>
      </c>
      <c r="I535" s="87" cm="1">
        <f t="array" ref="I535">_xlfn.SUMIFS('עסקאות'!$M$2:$M$1958,'עסקאות'!$F$2:$F$1958,B535,'עסקאות'!$A$2:$A$1958,"&gt;="&amp;DATE(2025,1,1),'עסקאות'!$A$2:$A$1958,"&lt;"&amp;DATE(2026,1,1))</f>
        <v>-715</v>
      </c>
      <c r="J535" s="28" cm="1">
        <f t="array" ref="J535">_xlfn.SUMIFS('עסקאות'!$M$2:$M$1958,'עסקאות'!$F$2:$F$1958,B535,'עסקאות'!$A$2:$A$1958,"&gt;="&amp;DATE(2026,1,1),'עסקאות'!$A$2:$A$1958,"&lt;"&amp;DATE(2027,1,1))</f>
        <v>0</v>
      </c>
      <c r="K535" s="77"/>
    </row>
    <row r="536" ht="13.65" customHeight="1">
      <c r="A536" s="70"/>
      <c r="B536" t="s" s="94">
        <v>721</v>
      </c>
      <c r="C536" t="s" s="80">
        <v>123</v>
      </c>
      <c r="D536" s="118">
        <v>5</v>
      </c>
      <c r="E536" s="118">
        <v>5</v>
      </c>
      <c r="F536" s="81" cm="1">
        <f t="array" ref="F536">_xlfn.SUMIFS('עסקאות'!$M$2:$M$1958,'עסקאות'!$F$2:$F$1958,B536)</f>
        <v>-1569</v>
      </c>
      <c r="G536" s="81" cm="1">
        <f t="array" ref="G536">IF(D536=0,"",F536/D536)</f>
        <v>-313.8</v>
      </c>
      <c r="H536" s="81" cm="1">
        <f t="array" ref="H536">F536/20</f>
        <v>-78.45</v>
      </c>
      <c r="I536" s="81" cm="1">
        <f t="array" ref="I536">_xlfn.SUMIFS('עסקאות'!$M$2:$M$1958,'עסקאות'!$F$2:$F$1958,B536,'עסקאות'!$A$2:$A$1958,"&gt;="&amp;DATE(2025,1,1),'עסקאות'!$A$2:$A$1958,"&lt;"&amp;DATE(2026,1,1))</f>
        <v>-1051</v>
      </c>
      <c r="J536" s="83" cm="1">
        <f t="array" ref="J536">_xlfn.SUMIFS('עסקאות'!$M$2:$M$1958,'עסקאות'!$F$2:$F$1958,B536,'עסקאות'!$A$2:$A$1958,"&gt;="&amp;DATE(2026,1,1),'עסקאות'!$A$2:$A$1958,"&lt;"&amp;DATE(2027,1,1))</f>
        <v>-518</v>
      </c>
      <c r="K536" s="77"/>
    </row>
    <row r="537" ht="13.65" customHeight="1">
      <c r="A537" s="70"/>
      <c r="B537" t="s" s="27">
        <v>722</v>
      </c>
      <c r="C537" t="s" s="86">
        <v>102</v>
      </c>
      <c r="D537" s="119">
        <v>1</v>
      </c>
      <c r="E537" s="119">
        <v>1</v>
      </c>
      <c r="F537" s="87" cm="1">
        <f t="array" ref="F537">_xlfn.SUMIFS('עסקאות'!$M$2:$M$1958,'עסקאות'!$F$2:$F$1958,B537)</f>
        <v>-2120</v>
      </c>
      <c r="G537" s="87" cm="1">
        <f t="array" ref="G537">IF(D537=0,"",F537/D537)</f>
        <v>-2120</v>
      </c>
      <c r="H537" s="87" cm="1">
        <f t="array" ref="H537">F537/20</f>
        <v>-106</v>
      </c>
      <c r="I537" s="87" cm="1">
        <f t="array" ref="I537">_xlfn.SUMIFS('עסקאות'!$M$2:$M$1958,'עסקאות'!$F$2:$F$1958,B537,'עסקאות'!$A$2:$A$1958,"&gt;="&amp;DATE(2025,1,1),'עסקאות'!$A$2:$A$1958,"&lt;"&amp;DATE(2026,1,1))</f>
        <v>-2120</v>
      </c>
      <c r="J537" s="28" cm="1">
        <f t="array" ref="J537">_xlfn.SUMIFS('עסקאות'!$M$2:$M$1958,'עסקאות'!$F$2:$F$1958,B537,'עסקאות'!$A$2:$A$1958,"&gt;="&amp;DATE(2026,1,1),'עסקאות'!$A$2:$A$1958,"&lt;"&amp;DATE(2027,1,1))</f>
        <v>0</v>
      </c>
      <c r="K537" s="77"/>
    </row>
    <row r="538" ht="13.65" customHeight="1">
      <c r="A538" s="70"/>
      <c r="B538" t="s" s="94">
        <v>723</v>
      </c>
      <c r="C538" t="s" s="80">
        <v>102</v>
      </c>
      <c r="D538" s="118">
        <v>2</v>
      </c>
      <c r="E538" s="118">
        <v>1</v>
      </c>
      <c r="F538" s="81" cm="1">
        <f t="array" ref="F538">_xlfn.SUMIFS('עסקאות'!$M$2:$M$1958,'עסקאות'!$F$2:$F$1958,B538)</f>
        <v>-4190</v>
      </c>
      <c r="G538" s="81" cm="1">
        <f t="array" ref="G538">IF(D538=0,"",F538/D538)</f>
        <v>-2095</v>
      </c>
      <c r="H538" s="81" cm="1">
        <f t="array" ref="H538">F538/20</f>
        <v>-209.5</v>
      </c>
      <c r="I538" s="81" cm="1">
        <f t="array" ref="I538">_xlfn.SUMIFS('עסקאות'!$M$2:$M$1958,'עסקאות'!$F$2:$F$1958,B538,'עסקאות'!$A$2:$A$1958,"&gt;="&amp;DATE(2025,1,1),'עסקאות'!$A$2:$A$1958,"&lt;"&amp;DATE(2026,1,1))</f>
        <v>-4190</v>
      </c>
      <c r="J538" s="83" cm="1">
        <f t="array" ref="J538">_xlfn.SUMIFS('עסקאות'!$M$2:$M$1958,'עסקאות'!$F$2:$F$1958,B538,'עסקאות'!$A$2:$A$1958,"&gt;="&amp;DATE(2026,1,1),'עסקאות'!$A$2:$A$1958,"&lt;"&amp;DATE(2027,1,1))</f>
        <v>0</v>
      </c>
      <c r="K538" s="77"/>
    </row>
    <row r="539" ht="13.55" customHeight="1">
      <c r="A539" s="62"/>
      <c r="B539" s="89"/>
      <c r="C539" s="89"/>
      <c r="D539" s="89"/>
      <c r="E539" s="89"/>
      <c r="F539" s="89"/>
      <c r="G539" s="89"/>
      <c r="H539" s="89"/>
      <c r="I539" s="89"/>
      <c r="J539" s="89"/>
      <c r="K539" s="62"/>
    </row>
  </sheetData>
  <conditionalFormatting sqref="F7:J538">
    <cfRule type="cellIs" dxfId="5"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S1959"/>
  <sheetViews>
    <sheetView workbookViewId="0" showGridLines="0" defaultGridColor="1"/>
  </sheetViews>
  <sheetFormatPr defaultColWidth="8.83333" defaultRowHeight="15" customHeight="1" outlineLevelRow="0" outlineLevelCol="0"/>
  <cols>
    <col min="1" max="1" width="12" style="122" customWidth="1"/>
    <col min="2" max="2" width="11" style="122" customWidth="1"/>
    <col min="3" max="3" width="15" style="122" customWidth="1"/>
    <col min="4" max="4" width="10" style="122" customWidth="1"/>
    <col min="5" max="5" width="12" style="122" customWidth="1"/>
    <col min="6" max="6" width="28" style="122" customWidth="1"/>
    <col min="7" max="7" width="14" style="122" customWidth="1"/>
    <col min="8" max="8" width="18" style="122" customWidth="1"/>
    <col min="9" max="9" width="24" style="122" customWidth="1"/>
    <col min="10" max="10" width="17" style="122" customWidth="1"/>
    <col min="11" max="11" width="24" style="122" customWidth="1"/>
    <col min="12" max="12" width="11" style="122" customWidth="1"/>
    <col min="13" max="14" width="14" style="122" customWidth="1"/>
    <col min="15" max="16" width="18" style="122" customWidth="1"/>
    <col min="17" max="17" width="28" style="122" customWidth="1"/>
    <col min="18" max="18" width="13" style="122" customWidth="1"/>
    <col min="19" max="19" width="8.85156" style="122" customWidth="1"/>
    <col min="20" max="16384" width="8.85156" style="122" customWidth="1"/>
  </cols>
  <sheetData>
    <row r="1" ht="13.65" customHeight="1">
      <c r="A1" t="s" s="19">
        <v>66</v>
      </c>
      <c r="B1" t="s" s="19">
        <v>24</v>
      </c>
      <c r="C1" t="s" s="19">
        <v>725</v>
      </c>
      <c r="D1" t="s" s="19">
        <v>726</v>
      </c>
      <c r="E1" t="s" s="19">
        <v>727</v>
      </c>
      <c r="F1" t="s" s="19">
        <v>188</v>
      </c>
      <c r="G1" t="s" s="19">
        <v>728</v>
      </c>
      <c r="H1" t="s" s="19">
        <v>729</v>
      </c>
      <c r="I1" t="s" s="19">
        <v>730</v>
      </c>
      <c r="J1" t="s" s="19">
        <v>731</v>
      </c>
      <c r="K1" t="s" s="19">
        <v>732</v>
      </c>
      <c r="L1" t="s" s="19">
        <v>67</v>
      </c>
      <c r="M1" t="s" s="19">
        <v>733</v>
      </c>
      <c r="N1" t="s" s="19">
        <v>734</v>
      </c>
      <c r="O1" t="s" s="19">
        <v>142</v>
      </c>
      <c r="P1" t="s" s="19">
        <v>735</v>
      </c>
      <c r="Q1" t="s" s="19">
        <v>736</v>
      </c>
      <c r="R1" t="s" s="19">
        <v>737</v>
      </c>
      <c r="S1" s="69"/>
    </row>
    <row r="2" ht="13.65" customHeight="1">
      <c r="A2" s="71">
        <v>45658</v>
      </c>
      <c r="B2" t="s" s="72">
        <v>29</v>
      </c>
      <c r="C2" t="s" s="73">
        <v>738</v>
      </c>
      <c r="D2" s="123">
        <v>2</v>
      </c>
      <c r="E2" t="s" s="72">
        <v>739</v>
      </c>
      <c r="F2" t="s" s="73">
        <v>740</v>
      </c>
      <c r="G2" s="124">
        <v>-6500</v>
      </c>
      <c r="H2" t="s" s="125">
        <v>279</v>
      </c>
      <c r="I2" t="s" s="126">
        <v>99</v>
      </c>
      <c r="J2" t="s" s="126">
        <v>100</v>
      </c>
      <c r="K2" t="str" s="127" cm="1">
        <f t="array" ref="K2">IF(OR(H2="ריביות",AND(H2="דירה כצנלסון",G2&lt;0,ISNUMBER(SEARCH("הכנסה",F2)))),"הכנסה שסווגה מחדש",J2)</f>
        <v>הכנסה שסווגה מחדש</v>
      </c>
      <c r="L2" t="s" s="126">
        <v>741</v>
      </c>
      <c r="M2" s="128" cm="1">
        <f t="array" ref="M2">IF(L2="מאושר",IF(K2="הכנסה שסווגה מחדש",0,G2),0)</f>
        <v>0</v>
      </c>
      <c r="N2" s="128" cm="1">
        <f t="array" ref="N2">IF(K2="שוטף",M2,0)</f>
        <v>0</v>
      </c>
      <c r="O2" s="128" cm="1">
        <f t="array" ref="O2">IF(K2="הכנסה שסווגה מחדש",-G2,0)</f>
        <v>6500</v>
      </c>
      <c r="P2" t="s" s="72">
        <v>742</v>
      </c>
      <c r="Q2" s="129"/>
      <c r="R2" t="s" s="130">
        <v>743</v>
      </c>
      <c r="S2" s="77"/>
    </row>
    <row r="3" ht="13.65" customHeight="1">
      <c r="A3" s="78">
        <v>45658</v>
      </c>
      <c r="B3" t="s" s="79">
        <v>29</v>
      </c>
      <c r="C3" t="s" s="80">
        <v>738</v>
      </c>
      <c r="D3" s="131">
        <v>3</v>
      </c>
      <c r="E3" t="s" s="79">
        <v>744</v>
      </c>
      <c r="F3" t="s" s="80">
        <v>745</v>
      </c>
      <c r="G3" s="132">
        <v>-143</v>
      </c>
      <c r="H3" t="s" s="133">
        <v>746</v>
      </c>
      <c r="I3" t="s" s="134">
        <v>141</v>
      </c>
      <c r="J3" t="s" s="134">
        <v>142</v>
      </c>
      <c r="K3" t="str" s="135" cm="1">
        <f t="array" ref="K3">IF(OR(H3="ריביות",AND(H3="דירה כצנלסון",G3&lt;0,ISNUMBER(SEARCH("הכנסה",F3)))),"הכנסה שסווגה מחדש",J3)</f>
        <v>הכנסה שסווגה מחדש</v>
      </c>
      <c r="L3" t="s" s="134">
        <v>741</v>
      </c>
      <c r="M3" s="136" cm="1">
        <f t="array" ref="M3">IF(L3="מאושר",IF(K3="הכנסה שסווגה מחדש",0,G3),0)</f>
        <v>0</v>
      </c>
      <c r="N3" s="136" cm="1">
        <f t="array" ref="N3">IF(K3="שוטף",M3,0)</f>
        <v>0</v>
      </c>
      <c r="O3" s="136" cm="1">
        <f t="array" ref="O3">IF(K3="הכנסה שסווגה מחדש",-G3,0)</f>
        <v>143</v>
      </c>
      <c r="P3" t="s" s="79">
        <v>742</v>
      </c>
      <c r="Q3" s="100"/>
      <c r="R3" t="s" s="137">
        <v>743</v>
      </c>
      <c r="S3" s="77"/>
    </row>
    <row r="4" ht="13.65" customHeight="1">
      <c r="A4" s="84">
        <v>45658</v>
      </c>
      <c r="B4" t="s" s="85">
        <v>29</v>
      </c>
      <c r="C4" t="s" s="86">
        <v>738</v>
      </c>
      <c r="D4" s="138">
        <v>4</v>
      </c>
      <c r="E4" s="99"/>
      <c r="F4" t="s" s="86">
        <v>210</v>
      </c>
      <c r="G4" s="139">
        <v>1098</v>
      </c>
      <c r="H4" t="s" s="140">
        <v>210</v>
      </c>
      <c r="I4" t="s" s="141">
        <v>102</v>
      </c>
      <c r="J4" t="s" s="141">
        <v>103</v>
      </c>
      <c r="K4" t="str" s="142" cm="1">
        <f t="array" ref="K4">IF(OR(H4="ריביות",AND(H4="דירה כצנלסון",G4&lt;0,ISNUMBER(SEARCH("הכנסה",F4)))),"הכנסה שסווגה מחדש",J4)</f>
        <v>חריג</v>
      </c>
      <c r="L4" t="s" s="141">
        <v>741</v>
      </c>
      <c r="M4" s="143" cm="1">
        <f t="array" ref="M4">IF(L4="מאושר",IF(K4="הכנסה שסווגה מחדש",0,G4),0)</f>
        <v>1098</v>
      </c>
      <c r="N4" s="143" cm="1">
        <f t="array" ref="N4">IF(K4="שוטף",M4,0)</f>
        <v>0</v>
      </c>
      <c r="O4" s="143" cm="1">
        <f t="array" ref="O4">IF(K4="הכנסה שסווגה מחדש",-G4,0)</f>
        <v>0</v>
      </c>
      <c r="P4" t="s" s="85">
        <v>748</v>
      </c>
      <c r="Q4" s="99"/>
      <c r="R4" t="s" s="144">
        <v>743</v>
      </c>
      <c r="S4" s="77"/>
    </row>
    <row r="5" ht="13.65" customHeight="1">
      <c r="A5" s="78">
        <v>45658</v>
      </c>
      <c r="B5" t="s" s="79">
        <v>29</v>
      </c>
      <c r="C5" t="s" s="80">
        <v>738</v>
      </c>
      <c r="D5" s="131">
        <v>5</v>
      </c>
      <c r="E5" t="s" s="79">
        <v>749</v>
      </c>
      <c r="F5" t="s" s="80">
        <v>586</v>
      </c>
      <c r="G5" s="132">
        <v>60</v>
      </c>
      <c r="H5" t="s" s="133">
        <v>279</v>
      </c>
      <c r="I5" t="s" s="134">
        <v>99</v>
      </c>
      <c r="J5" t="s" s="134">
        <v>100</v>
      </c>
      <c r="K5" t="str" s="135" cm="1">
        <f t="array" ref="K5">IF(OR(H5="ריביות",AND(H5="דירה כצנלסון",G5&lt;0,ISNUMBER(SEARCH("הכנסה",F5)))),"הכנסה שסווגה מחדש",J5)</f>
        <v>חריג/נכס</v>
      </c>
      <c r="L5" t="s" s="134">
        <v>741</v>
      </c>
      <c r="M5" s="136" cm="1">
        <f t="array" ref="M5">IF(L5="מאושר",IF(K5="הכנסה שסווגה מחדש",0,G5),0)</f>
        <v>60</v>
      </c>
      <c r="N5" s="136" cm="1">
        <f t="array" ref="N5">IF(K5="שוטף",M5,0)</f>
        <v>0</v>
      </c>
      <c r="O5" s="136" cm="1">
        <f t="array" ref="O5">IF(K5="הכנסה שסווגה מחדש",-G5,0)</f>
        <v>0</v>
      </c>
      <c r="P5" t="s" s="79">
        <v>748</v>
      </c>
      <c r="Q5" s="100"/>
      <c r="R5" t="s" s="137">
        <v>743</v>
      </c>
      <c r="S5" s="77"/>
    </row>
    <row r="6" ht="13.65" customHeight="1">
      <c r="A6" s="84">
        <v>45658</v>
      </c>
      <c r="B6" t="s" s="85">
        <v>29</v>
      </c>
      <c r="C6" t="s" s="86">
        <v>738</v>
      </c>
      <c r="D6" s="138">
        <v>6</v>
      </c>
      <c r="E6" t="s" s="85">
        <v>751</v>
      </c>
      <c r="F6" t="s" s="86">
        <v>303</v>
      </c>
      <c r="G6" s="139">
        <v>954</v>
      </c>
      <c r="H6" t="s" s="140">
        <v>123</v>
      </c>
      <c r="I6" t="s" s="141">
        <v>123</v>
      </c>
      <c r="J6" t="s" s="141">
        <v>97</v>
      </c>
      <c r="K6" t="str" s="142" cm="1">
        <f t="array" ref="K6">IF(OR(H6="ריביות",AND(H6="דירה כצנלסון",G6&lt;0,ISNUMBER(SEARCH("הכנסה",F6)))),"הכנסה שסווגה מחדש",J6)</f>
        <v>שוטף</v>
      </c>
      <c r="L6" t="s" s="141">
        <v>741</v>
      </c>
      <c r="M6" s="143" cm="1">
        <f t="array" ref="M6">IF(L6="מאושר",IF(K6="הכנסה שסווגה מחדש",0,G6),0)</f>
        <v>954</v>
      </c>
      <c r="N6" s="143" cm="1">
        <f t="array" ref="N6">IF(K6="שוטף",M6,0)</f>
        <v>954</v>
      </c>
      <c r="O6" s="143" cm="1">
        <f t="array" ref="O6">IF(K6="הכנסה שסווגה מחדש",-G6,0)</f>
        <v>0</v>
      </c>
      <c r="P6" t="s" s="85">
        <v>748</v>
      </c>
      <c r="Q6" s="99"/>
      <c r="R6" t="s" s="144">
        <v>743</v>
      </c>
      <c r="S6" s="77"/>
    </row>
    <row r="7" ht="13.65" customHeight="1">
      <c r="A7" s="78">
        <v>45658</v>
      </c>
      <c r="B7" t="s" s="79">
        <v>29</v>
      </c>
      <c r="C7" t="s" s="80">
        <v>738</v>
      </c>
      <c r="D7" s="131">
        <v>7</v>
      </c>
      <c r="E7" t="s" s="79">
        <v>753</v>
      </c>
      <c r="F7" t="s" s="80">
        <v>559</v>
      </c>
      <c r="G7" s="132">
        <v>76</v>
      </c>
      <c r="H7" t="s" s="133">
        <v>127</v>
      </c>
      <c r="I7" t="s" s="134">
        <v>127</v>
      </c>
      <c r="J7" t="s" s="134">
        <v>97</v>
      </c>
      <c r="K7" t="str" s="135" cm="1">
        <f t="array" ref="K7">IF(OR(H7="ריביות",AND(H7="דירה כצנלסון",G7&lt;0,ISNUMBER(SEARCH("הכנסה",F7)))),"הכנסה שסווגה מחדש",J7)</f>
        <v>שוטף</v>
      </c>
      <c r="L7" t="s" s="134">
        <v>741</v>
      </c>
      <c r="M7" s="136" cm="1">
        <f t="array" ref="M7">IF(L7="מאושר",IF(K7="הכנסה שסווגה מחדש",0,G7),0)</f>
        <v>76</v>
      </c>
      <c r="N7" s="136" cm="1">
        <f t="array" ref="N7">IF(K7="שוטף",M7,0)</f>
        <v>76</v>
      </c>
      <c r="O7" s="136" cm="1">
        <f t="array" ref="O7">IF(K7="הכנסה שסווגה מחדש",-G7,0)</f>
        <v>0</v>
      </c>
      <c r="P7" t="s" s="79">
        <v>748</v>
      </c>
      <c r="Q7" s="100"/>
      <c r="R7" t="s" s="137">
        <v>743</v>
      </c>
      <c r="S7" s="77"/>
    </row>
    <row r="8" ht="13.65" customHeight="1">
      <c r="A8" s="84">
        <v>45658</v>
      </c>
      <c r="B8" t="s" s="85">
        <v>29</v>
      </c>
      <c r="C8" t="s" s="86">
        <v>738</v>
      </c>
      <c r="D8" s="138">
        <v>8</v>
      </c>
      <c r="E8" t="s" s="85">
        <v>754</v>
      </c>
      <c r="F8" t="s" s="86">
        <v>377</v>
      </c>
      <c r="G8" s="139">
        <v>14</v>
      </c>
      <c r="H8" t="s" s="140">
        <v>113</v>
      </c>
      <c r="I8" t="s" s="141">
        <v>113</v>
      </c>
      <c r="J8" t="s" s="141">
        <v>97</v>
      </c>
      <c r="K8" t="str" s="142" cm="1">
        <f t="array" ref="K8">IF(OR(H8="ריביות",AND(H8="דירה כצנלסון",G8&lt;0,ISNUMBER(SEARCH("הכנסה",F8)))),"הכנסה שסווגה מחדש",J8)</f>
        <v>שוטף</v>
      </c>
      <c r="L8" t="s" s="141">
        <v>741</v>
      </c>
      <c r="M8" s="143" cm="1">
        <f t="array" ref="M8">IF(L8="מאושר",IF(K8="הכנסה שסווגה מחדש",0,G8),0)</f>
        <v>14</v>
      </c>
      <c r="N8" s="143" cm="1">
        <f t="array" ref="N8">IF(K8="שוטף",M8,0)</f>
        <v>14</v>
      </c>
      <c r="O8" s="143" cm="1">
        <f t="array" ref="O8">IF(K8="הכנסה שסווגה מחדש",-G8,0)</f>
        <v>0</v>
      </c>
      <c r="P8" t="s" s="85">
        <v>748</v>
      </c>
      <c r="Q8" s="99"/>
      <c r="R8" t="s" s="144">
        <v>743</v>
      </c>
      <c r="S8" s="77"/>
    </row>
    <row r="9" ht="13.65" customHeight="1">
      <c r="A9" s="78">
        <v>45658</v>
      </c>
      <c r="B9" t="s" s="79">
        <v>29</v>
      </c>
      <c r="C9" t="s" s="80">
        <v>738</v>
      </c>
      <c r="D9" s="131">
        <v>9</v>
      </c>
      <c r="E9" t="s" s="79">
        <v>755</v>
      </c>
      <c r="F9" t="s" s="80">
        <v>378</v>
      </c>
      <c r="G9" s="132">
        <v>365</v>
      </c>
      <c r="H9" t="s" s="133">
        <v>113</v>
      </c>
      <c r="I9" t="s" s="134">
        <v>113</v>
      </c>
      <c r="J9" t="s" s="134">
        <v>97</v>
      </c>
      <c r="K9" t="str" s="135" cm="1">
        <f t="array" ref="K9">IF(OR(H9="ריביות",AND(H9="דירה כצנלסון",G9&lt;0,ISNUMBER(SEARCH("הכנסה",F9)))),"הכנסה שסווגה מחדש",J9)</f>
        <v>שוטף</v>
      </c>
      <c r="L9" t="s" s="134">
        <v>741</v>
      </c>
      <c r="M9" s="136" cm="1">
        <f t="array" ref="M9">IF(L9="מאושר",IF(K9="הכנסה שסווגה מחדש",0,G9),0)</f>
        <v>365</v>
      </c>
      <c r="N9" s="136" cm="1">
        <f t="array" ref="N9">IF(K9="שוטף",M9,0)</f>
        <v>365</v>
      </c>
      <c r="O9" s="136" cm="1">
        <f t="array" ref="O9">IF(K9="הכנסה שסווגה מחדש",-G9,0)</f>
        <v>0</v>
      </c>
      <c r="P9" t="s" s="79">
        <v>748</v>
      </c>
      <c r="Q9" s="100"/>
      <c r="R9" t="s" s="137">
        <v>743</v>
      </c>
      <c r="S9" s="77"/>
    </row>
    <row r="10" ht="13.65" customHeight="1">
      <c r="A10" s="84">
        <v>45658</v>
      </c>
      <c r="B10" t="s" s="85">
        <v>29</v>
      </c>
      <c r="C10" t="s" s="86">
        <v>738</v>
      </c>
      <c r="D10" s="138">
        <v>10</v>
      </c>
      <c r="E10" t="s" s="85">
        <v>756</v>
      </c>
      <c r="F10" t="s" s="86">
        <v>443</v>
      </c>
      <c r="G10" s="139">
        <v>205</v>
      </c>
      <c r="H10" t="s" s="140">
        <v>113</v>
      </c>
      <c r="I10" t="s" s="141">
        <v>113</v>
      </c>
      <c r="J10" t="s" s="141">
        <v>97</v>
      </c>
      <c r="K10" t="str" s="142" cm="1">
        <f t="array" ref="K10">IF(OR(H10="ריביות",AND(H10="דירה כצנלסון",G10&lt;0,ISNUMBER(SEARCH("הכנסה",F10)))),"הכנסה שסווגה מחדש",J10)</f>
        <v>שוטף</v>
      </c>
      <c r="L10" t="s" s="141">
        <v>741</v>
      </c>
      <c r="M10" s="143" cm="1">
        <f t="array" ref="M10">IF(L10="מאושר",IF(K10="הכנסה שסווגה מחדש",0,G10),0)</f>
        <v>205</v>
      </c>
      <c r="N10" s="143" cm="1">
        <f t="array" ref="N10">IF(K10="שוטף",M10,0)</f>
        <v>205</v>
      </c>
      <c r="O10" s="143" cm="1">
        <f t="array" ref="O10">IF(K10="הכנסה שסווגה מחדש",-G10,0)</f>
        <v>0</v>
      </c>
      <c r="P10" t="s" s="85">
        <v>748</v>
      </c>
      <c r="Q10" s="99"/>
      <c r="R10" t="s" s="144">
        <v>743</v>
      </c>
      <c r="S10" s="77"/>
    </row>
    <row r="11" ht="13.65" customHeight="1">
      <c r="A11" s="78">
        <v>45658</v>
      </c>
      <c r="B11" t="s" s="79">
        <v>29</v>
      </c>
      <c r="C11" t="s" s="80">
        <v>738</v>
      </c>
      <c r="D11" s="131">
        <v>11</v>
      </c>
      <c r="E11" t="s" s="79">
        <v>749</v>
      </c>
      <c r="F11" t="s" s="80">
        <v>272</v>
      </c>
      <c r="G11" s="132">
        <v>125</v>
      </c>
      <c r="H11" t="s" s="133">
        <v>757</v>
      </c>
      <c r="I11" t="s" s="134">
        <v>96</v>
      </c>
      <c r="J11" t="s" s="134">
        <v>97</v>
      </c>
      <c r="K11" t="str" s="135" cm="1">
        <f t="array" ref="K11">IF(OR(H11="ריביות",AND(H11="דירה כצנלסון",G11&lt;0,ISNUMBER(SEARCH("הכנסה",F11)))),"הכנסה שסווגה מחדש",J11)</f>
        <v>שוטף</v>
      </c>
      <c r="L11" t="s" s="134">
        <v>741</v>
      </c>
      <c r="M11" s="136" cm="1">
        <f t="array" ref="M11">IF(L11="מאושר",IF(K11="הכנסה שסווגה מחדש",0,G11),0)</f>
        <v>125</v>
      </c>
      <c r="N11" s="136" cm="1">
        <f t="array" ref="N11">IF(K11="שוטף",M11,0)</f>
        <v>125</v>
      </c>
      <c r="O11" s="136" cm="1">
        <f t="array" ref="O11">IF(K11="הכנסה שסווגה מחדש",-G11,0)</f>
        <v>0</v>
      </c>
      <c r="P11" t="s" s="79">
        <v>758</v>
      </c>
      <c r="Q11" s="100"/>
      <c r="R11" t="s" s="137">
        <v>743</v>
      </c>
      <c r="S11" s="77"/>
    </row>
    <row r="12" ht="13.65" customHeight="1">
      <c r="A12" s="84">
        <v>45658</v>
      </c>
      <c r="B12" t="s" s="85">
        <v>29</v>
      </c>
      <c r="C12" t="s" s="86">
        <v>738</v>
      </c>
      <c r="D12" s="138">
        <v>12</v>
      </c>
      <c r="E12" t="s" s="85">
        <v>749</v>
      </c>
      <c r="F12" t="s" s="86">
        <v>699</v>
      </c>
      <c r="G12" s="139">
        <v>8</v>
      </c>
      <c r="H12" t="s" s="140">
        <v>279</v>
      </c>
      <c r="I12" t="s" s="141">
        <v>99</v>
      </c>
      <c r="J12" t="s" s="141">
        <v>100</v>
      </c>
      <c r="K12" t="str" s="142" cm="1">
        <f t="array" ref="K12">IF(OR(H12="ריביות",AND(H12="דירה כצנלסון",G12&lt;0,ISNUMBER(SEARCH("הכנסה",F12)))),"הכנסה שסווגה מחדש",J12)</f>
        <v>חריג/נכס</v>
      </c>
      <c r="L12" t="s" s="141">
        <v>741</v>
      </c>
      <c r="M12" s="143" cm="1">
        <f t="array" ref="M12">IF(L12="מאושר",IF(K12="הכנסה שסווגה מחדש",0,G12),0)</f>
        <v>8</v>
      </c>
      <c r="N12" s="143" cm="1">
        <f t="array" ref="N12">IF(K12="שוטף",M12,0)</f>
        <v>0</v>
      </c>
      <c r="O12" s="143" cm="1">
        <f t="array" ref="O12">IF(K12="הכנסה שסווגה מחדש",-G12,0)</f>
        <v>0</v>
      </c>
      <c r="P12" t="s" s="85">
        <v>758</v>
      </c>
      <c r="Q12" s="99"/>
      <c r="R12" t="s" s="144">
        <v>743</v>
      </c>
      <c r="S12" s="77"/>
    </row>
    <row r="13" ht="13.65" customHeight="1">
      <c r="A13" s="78">
        <v>45658</v>
      </c>
      <c r="B13" t="s" s="79">
        <v>29</v>
      </c>
      <c r="C13" t="s" s="80">
        <v>738</v>
      </c>
      <c r="D13" s="131">
        <v>13</v>
      </c>
      <c r="E13" t="s" s="79">
        <v>739</v>
      </c>
      <c r="F13" t="s" s="80">
        <v>250</v>
      </c>
      <c r="G13" s="132">
        <v>110</v>
      </c>
      <c r="H13" t="s" s="133">
        <v>127</v>
      </c>
      <c r="I13" t="s" s="134">
        <v>127</v>
      </c>
      <c r="J13" t="s" s="134">
        <v>97</v>
      </c>
      <c r="K13" t="str" s="135" cm="1">
        <f t="array" ref="K13">IF(OR(H13="ריביות",AND(H13="דירה כצנלסון",G13&lt;0,ISNUMBER(SEARCH("הכנסה",F13)))),"הכנסה שסווגה מחדש",J13)</f>
        <v>שוטף</v>
      </c>
      <c r="L13" t="s" s="134">
        <v>741</v>
      </c>
      <c r="M13" s="136" cm="1">
        <f t="array" ref="M13">IF(L13="מאושר",IF(K13="הכנסה שסווגה מחדש",0,G13),0)</f>
        <v>110</v>
      </c>
      <c r="N13" s="136" cm="1">
        <f t="array" ref="N13">IF(K13="שוטף",M13,0)</f>
        <v>110</v>
      </c>
      <c r="O13" s="136" cm="1">
        <f t="array" ref="O13">IF(K13="הכנסה שסווגה מחדש",-G13,0)</f>
        <v>0</v>
      </c>
      <c r="P13" t="s" s="79">
        <v>758</v>
      </c>
      <c r="Q13" s="100"/>
      <c r="R13" t="s" s="137">
        <v>743</v>
      </c>
      <c r="S13" s="77"/>
    </row>
    <row r="14" ht="13.65" customHeight="1">
      <c r="A14" s="84">
        <v>45658</v>
      </c>
      <c r="B14" t="s" s="85">
        <v>29</v>
      </c>
      <c r="C14" t="s" s="86">
        <v>738</v>
      </c>
      <c r="D14" s="138">
        <v>14</v>
      </c>
      <c r="E14" t="s" s="85">
        <v>739</v>
      </c>
      <c r="F14" t="s" s="86">
        <v>200</v>
      </c>
      <c r="G14" s="139">
        <v>14</v>
      </c>
      <c r="H14" t="s" s="140">
        <v>109</v>
      </c>
      <c r="I14" t="s" s="141">
        <v>109</v>
      </c>
      <c r="J14" t="s" s="141">
        <v>97</v>
      </c>
      <c r="K14" t="str" s="142" cm="1">
        <f t="array" ref="K14">IF(OR(H14="ריביות",AND(H14="דירה כצנלסון",G14&lt;0,ISNUMBER(SEARCH("הכנסה",F14)))),"הכנסה שסווגה מחדש",J14)</f>
        <v>שוטף</v>
      </c>
      <c r="L14" t="s" s="141">
        <v>741</v>
      </c>
      <c r="M14" s="143" cm="1">
        <f t="array" ref="M14">IF(L14="מאושר",IF(K14="הכנסה שסווגה מחדש",0,G14),0)</f>
        <v>14</v>
      </c>
      <c r="N14" s="143" cm="1">
        <f t="array" ref="N14">IF(K14="שוטף",M14,0)</f>
        <v>14</v>
      </c>
      <c r="O14" s="143" cm="1">
        <f t="array" ref="O14">IF(K14="הכנסה שסווגה מחדש",-G14,0)</f>
        <v>0</v>
      </c>
      <c r="P14" t="s" s="85">
        <v>758</v>
      </c>
      <c r="Q14" s="99"/>
      <c r="R14" t="s" s="144">
        <v>743</v>
      </c>
      <c r="S14" s="77"/>
    </row>
    <row r="15" ht="13.65" customHeight="1">
      <c r="A15" s="78">
        <v>45658</v>
      </c>
      <c r="B15" t="s" s="79">
        <v>29</v>
      </c>
      <c r="C15" t="s" s="80">
        <v>738</v>
      </c>
      <c r="D15" s="131">
        <v>15</v>
      </c>
      <c r="E15" s="100"/>
      <c r="F15" t="s" s="80">
        <v>435</v>
      </c>
      <c r="G15" s="132">
        <v>50</v>
      </c>
      <c r="H15" t="s" s="133">
        <v>121</v>
      </c>
      <c r="I15" t="s" s="134">
        <v>121</v>
      </c>
      <c r="J15" t="s" s="134">
        <v>97</v>
      </c>
      <c r="K15" t="str" s="135" cm="1">
        <f t="array" ref="K15">IF(OR(H15="ריביות",AND(H15="דירה כצנלסון",G15&lt;0,ISNUMBER(SEARCH("הכנסה",F15)))),"הכנסה שסווגה מחדש",J15)</f>
        <v>שוטף</v>
      </c>
      <c r="L15" t="s" s="134">
        <v>741</v>
      </c>
      <c r="M15" s="136" cm="1">
        <f t="array" ref="M15">IF(L15="מאושר",IF(K15="הכנסה שסווגה מחדש",0,G15),0)</f>
        <v>50</v>
      </c>
      <c r="N15" s="136" cm="1">
        <f t="array" ref="N15">IF(K15="שוטף",M15,0)</f>
        <v>50</v>
      </c>
      <c r="O15" s="136" cm="1">
        <f t="array" ref="O15">IF(K15="הכנסה שסווגה מחדש",-G15,0)</f>
        <v>0</v>
      </c>
      <c r="P15" t="s" s="79">
        <v>758</v>
      </c>
      <c r="Q15" s="100"/>
      <c r="R15" t="s" s="137">
        <v>743</v>
      </c>
      <c r="S15" s="77"/>
    </row>
    <row r="16" ht="13.65" customHeight="1">
      <c r="A16" s="84">
        <v>45658</v>
      </c>
      <c r="B16" t="s" s="85">
        <v>29</v>
      </c>
      <c r="C16" t="s" s="86">
        <v>738</v>
      </c>
      <c r="D16" s="138">
        <v>16</v>
      </c>
      <c r="E16" s="99"/>
      <c r="F16" t="s" s="86">
        <v>210</v>
      </c>
      <c r="G16" s="139">
        <v>1065</v>
      </c>
      <c r="H16" t="s" s="140">
        <v>210</v>
      </c>
      <c r="I16" t="s" s="141">
        <v>102</v>
      </c>
      <c r="J16" t="s" s="141">
        <v>103</v>
      </c>
      <c r="K16" t="str" s="142" cm="1">
        <f t="array" ref="K16">IF(OR(H16="ריביות",AND(H16="דירה כצנלסון",G16&lt;0,ISNUMBER(SEARCH("הכנסה",F16)))),"הכנסה שסווגה מחדש",J16)</f>
        <v>חריג</v>
      </c>
      <c r="L16" t="s" s="141">
        <v>741</v>
      </c>
      <c r="M16" s="143" cm="1">
        <f t="array" ref="M16">IF(L16="מאושר",IF(K16="הכנסה שסווגה מחדש",0,G16),0)</f>
        <v>1065</v>
      </c>
      <c r="N16" s="143" cm="1">
        <f t="array" ref="N16">IF(K16="שוטף",M16,0)</f>
        <v>0</v>
      </c>
      <c r="O16" s="143" cm="1">
        <f t="array" ref="O16">IF(K16="הכנסה שסווגה מחדש",-G16,0)</f>
        <v>0</v>
      </c>
      <c r="P16" t="s" s="85">
        <v>758</v>
      </c>
      <c r="Q16" s="99"/>
      <c r="R16" t="s" s="144">
        <v>743</v>
      </c>
      <c r="S16" s="77"/>
    </row>
    <row r="17" ht="13.65" customHeight="1">
      <c r="A17" s="78">
        <v>45658</v>
      </c>
      <c r="B17" t="s" s="79">
        <v>29</v>
      </c>
      <c r="C17" t="s" s="80">
        <v>738</v>
      </c>
      <c r="D17" s="131">
        <v>17</v>
      </c>
      <c r="E17" t="s" s="79">
        <v>759</v>
      </c>
      <c r="F17" t="s" s="80">
        <v>256</v>
      </c>
      <c r="G17" s="132">
        <v>286</v>
      </c>
      <c r="H17" t="s" s="133">
        <v>123</v>
      </c>
      <c r="I17" t="s" s="134">
        <v>123</v>
      </c>
      <c r="J17" t="s" s="134">
        <v>97</v>
      </c>
      <c r="K17" t="str" s="135" cm="1">
        <f t="array" ref="K17">IF(OR(H17="ריביות",AND(H17="דירה כצנלסון",G17&lt;0,ISNUMBER(SEARCH("הכנסה",F17)))),"הכנסה שסווגה מחדש",J17)</f>
        <v>שוטף</v>
      </c>
      <c r="L17" t="s" s="134">
        <v>741</v>
      </c>
      <c r="M17" s="136" cm="1">
        <f t="array" ref="M17">IF(L17="מאושר",IF(K17="הכנסה שסווגה מחדש",0,G17),0)</f>
        <v>286</v>
      </c>
      <c r="N17" s="136" cm="1">
        <f t="array" ref="N17">IF(K17="שוטף",M17,0)</f>
        <v>286</v>
      </c>
      <c r="O17" s="136" cm="1">
        <f t="array" ref="O17">IF(K17="הכנסה שסווגה מחדש",-G17,0)</f>
        <v>0</v>
      </c>
      <c r="P17" t="s" s="79">
        <v>758</v>
      </c>
      <c r="Q17" s="100"/>
      <c r="R17" t="s" s="137">
        <v>743</v>
      </c>
      <c r="S17" s="77"/>
    </row>
    <row r="18" ht="13.65" customHeight="1">
      <c r="A18" s="84">
        <v>45658</v>
      </c>
      <c r="B18" t="s" s="85">
        <v>29</v>
      </c>
      <c r="C18" t="s" s="86">
        <v>738</v>
      </c>
      <c r="D18" s="138">
        <v>18</v>
      </c>
      <c r="E18" s="99"/>
      <c r="F18" t="s" s="86">
        <v>205</v>
      </c>
      <c r="G18" s="139">
        <v>522</v>
      </c>
      <c r="H18" t="s" s="140">
        <v>111</v>
      </c>
      <c r="I18" t="s" s="141">
        <v>111</v>
      </c>
      <c r="J18" t="s" s="141">
        <v>97</v>
      </c>
      <c r="K18" t="str" s="142" cm="1">
        <f t="array" ref="K18">IF(OR(H18="ריביות",AND(H18="דירה כצנלסון",G18&lt;0,ISNUMBER(SEARCH("הכנסה",F18)))),"הכנסה שסווגה מחדש",J18)</f>
        <v>שוטף</v>
      </c>
      <c r="L18" t="s" s="141">
        <v>741</v>
      </c>
      <c r="M18" s="143" cm="1">
        <f t="array" ref="M18">IF(L18="מאושר",IF(K18="הכנסה שסווגה מחדש",0,G18),0)</f>
        <v>522</v>
      </c>
      <c r="N18" s="143" cm="1">
        <f t="array" ref="N18">IF(K18="שוטף",M18,0)</f>
        <v>522</v>
      </c>
      <c r="O18" s="143" cm="1">
        <f t="array" ref="O18">IF(K18="הכנסה שסווגה מחדש",-G18,0)</f>
        <v>0</v>
      </c>
      <c r="P18" t="s" s="86">
        <v>760</v>
      </c>
      <c r="Q18" s="99"/>
      <c r="R18" t="s" s="144">
        <v>743</v>
      </c>
      <c r="S18" s="77"/>
    </row>
    <row r="19" ht="13.65" customHeight="1">
      <c r="A19" s="78">
        <v>45658</v>
      </c>
      <c r="B19" t="s" s="79">
        <v>29</v>
      </c>
      <c r="C19" t="s" s="80">
        <v>738</v>
      </c>
      <c r="D19" s="131">
        <v>19</v>
      </c>
      <c r="E19" t="s" s="79">
        <v>761</v>
      </c>
      <c r="F19" t="s" s="80">
        <v>212</v>
      </c>
      <c r="G19" s="132">
        <v>950</v>
      </c>
      <c r="H19" t="s" s="133">
        <v>757</v>
      </c>
      <c r="I19" t="s" s="134">
        <v>96</v>
      </c>
      <c r="J19" t="s" s="134">
        <v>97</v>
      </c>
      <c r="K19" t="str" s="135" cm="1">
        <f t="array" ref="K19">IF(OR(H19="ריביות",AND(H19="דירה כצנלסון",G19&lt;0,ISNUMBER(SEARCH("הכנסה",F19)))),"הכנסה שסווגה מחדש",J19)</f>
        <v>שוטף</v>
      </c>
      <c r="L19" t="s" s="134">
        <v>741</v>
      </c>
      <c r="M19" s="136" cm="1">
        <f t="array" ref="M19">IF(L19="מאושר",IF(K19="הכנסה שסווגה מחדש",0,G19),0)</f>
        <v>950</v>
      </c>
      <c r="N19" s="136" cm="1">
        <f t="array" ref="N19">IF(K19="שוטף",M19,0)</f>
        <v>950</v>
      </c>
      <c r="O19" s="136" cm="1">
        <f t="array" ref="O19">IF(K19="הכנסה שסווגה מחדש",-G19,0)</f>
        <v>0</v>
      </c>
      <c r="P19" t="s" s="80">
        <v>762</v>
      </c>
      <c r="Q19" s="100"/>
      <c r="R19" t="s" s="137">
        <v>743</v>
      </c>
      <c r="S19" s="77"/>
    </row>
    <row r="20" ht="13.65" customHeight="1">
      <c r="A20" s="84">
        <v>45658</v>
      </c>
      <c r="B20" t="s" s="85">
        <v>29</v>
      </c>
      <c r="C20" t="s" s="86">
        <v>738</v>
      </c>
      <c r="D20" s="138">
        <v>20</v>
      </c>
      <c r="E20" t="s" s="85">
        <v>761</v>
      </c>
      <c r="F20" t="s" s="86">
        <v>374</v>
      </c>
      <c r="G20" s="139">
        <v>39</v>
      </c>
      <c r="H20" t="s" s="140">
        <v>757</v>
      </c>
      <c r="I20" t="s" s="141">
        <v>96</v>
      </c>
      <c r="J20" t="s" s="141">
        <v>97</v>
      </c>
      <c r="K20" t="str" s="142" cm="1">
        <f t="array" ref="K20">IF(OR(H20="ריביות",AND(H20="דירה כצנלסון",G20&lt;0,ISNUMBER(SEARCH("הכנסה",F20)))),"הכנסה שסווגה מחדש",J20)</f>
        <v>שוטף</v>
      </c>
      <c r="L20" t="s" s="141">
        <v>741</v>
      </c>
      <c r="M20" s="143" cm="1">
        <f t="array" ref="M20">IF(L20="מאושר",IF(K20="הכנסה שסווגה מחדש",0,G20),0)</f>
        <v>39</v>
      </c>
      <c r="N20" s="143" cm="1">
        <f t="array" ref="N20">IF(K20="שוטף",M20,0)</f>
        <v>39</v>
      </c>
      <c r="O20" s="143" cm="1">
        <f t="array" ref="O20">IF(K20="הכנסה שסווגה מחדש",-G20,0)</f>
        <v>0</v>
      </c>
      <c r="P20" t="s" s="86">
        <v>762</v>
      </c>
      <c r="Q20" s="99"/>
      <c r="R20" t="s" s="144">
        <v>743</v>
      </c>
      <c r="S20" s="77"/>
    </row>
    <row r="21" ht="13.65" customHeight="1">
      <c r="A21" s="78">
        <v>45658</v>
      </c>
      <c r="B21" t="s" s="79">
        <v>29</v>
      </c>
      <c r="C21" t="s" s="80">
        <v>738</v>
      </c>
      <c r="D21" s="131">
        <v>21</v>
      </c>
      <c r="E21" t="s" s="79">
        <v>739</v>
      </c>
      <c r="F21" t="s" s="80">
        <v>276</v>
      </c>
      <c r="G21" s="132">
        <v>169</v>
      </c>
      <c r="H21" t="s" s="133">
        <v>763</v>
      </c>
      <c r="I21" t="s" s="134">
        <v>96</v>
      </c>
      <c r="J21" t="s" s="134">
        <v>97</v>
      </c>
      <c r="K21" t="str" s="135" cm="1">
        <f t="array" ref="K21">IF(OR(H21="ריביות",AND(H21="דירה כצנלסון",G21&lt;0,ISNUMBER(SEARCH("הכנסה",F21)))),"הכנסה שסווגה מחדש",J21)</f>
        <v>שוטף</v>
      </c>
      <c r="L21" t="s" s="134">
        <v>741</v>
      </c>
      <c r="M21" s="136" cm="1">
        <f t="array" ref="M21">IF(L21="מאושר",IF(K21="הכנסה שסווגה מחדש",0,G21),0)</f>
        <v>169</v>
      </c>
      <c r="N21" s="136" cm="1">
        <f t="array" ref="N21">IF(K21="שוטף",M21,0)</f>
        <v>169</v>
      </c>
      <c r="O21" s="136" cm="1">
        <f t="array" ref="O21">IF(K21="הכנסה שסווגה מחדש",-G21,0)</f>
        <v>0</v>
      </c>
      <c r="P21" t="s" s="80">
        <v>762</v>
      </c>
      <c r="Q21" s="100"/>
      <c r="R21" t="s" s="137">
        <v>743</v>
      </c>
      <c r="S21" s="77"/>
    </row>
    <row r="22" ht="13.65" customHeight="1">
      <c r="A22" s="84">
        <v>45658</v>
      </c>
      <c r="B22" t="s" s="85">
        <v>29</v>
      </c>
      <c r="C22" t="s" s="86">
        <v>738</v>
      </c>
      <c r="D22" s="138">
        <v>22</v>
      </c>
      <c r="E22" t="s" s="85">
        <v>764</v>
      </c>
      <c r="F22" t="s" s="86">
        <v>273</v>
      </c>
      <c r="G22" s="139">
        <v>87</v>
      </c>
      <c r="H22" t="s" s="140">
        <v>279</v>
      </c>
      <c r="I22" t="s" s="141">
        <v>99</v>
      </c>
      <c r="J22" t="s" s="141">
        <v>100</v>
      </c>
      <c r="K22" t="str" s="142" cm="1">
        <f t="array" ref="K22">IF(OR(H22="ריביות",AND(H22="דירה כצנלסון",G22&lt;0,ISNUMBER(SEARCH("הכנסה",F22)))),"הכנסה שסווגה מחדש",J22)</f>
        <v>חריג/נכס</v>
      </c>
      <c r="L22" t="s" s="141">
        <v>741</v>
      </c>
      <c r="M22" s="143" cm="1">
        <f t="array" ref="M22">IF(L22="מאושר",IF(K22="הכנסה שסווגה מחדש",0,G22),0)</f>
        <v>87</v>
      </c>
      <c r="N22" s="143" cm="1">
        <f t="array" ref="N22">IF(K22="שוטף",M22,0)</f>
        <v>0</v>
      </c>
      <c r="O22" s="143" cm="1">
        <f t="array" ref="O22">IF(K22="הכנסה שסווגה מחדש",-G22,0)</f>
        <v>0</v>
      </c>
      <c r="P22" t="s" s="86">
        <v>762</v>
      </c>
      <c r="Q22" s="99"/>
      <c r="R22" t="s" s="144">
        <v>743</v>
      </c>
      <c r="S22" s="77"/>
    </row>
    <row r="23" ht="13.65" customHeight="1">
      <c r="A23" s="78">
        <v>45658</v>
      </c>
      <c r="B23" t="s" s="79">
        <v>29</v>
      </c>
      <c r="C23" t="s" s="80">
        <v>738</v>
      </c>
      <c r="D23" s="131">
        <v>23</v>
      </c>
      <c r="E23" t="s" s="79">
        <v>764</v>
      </c>
      <c r="F23" t="s" s="80">
        <v>328</v>
      </c>
      <c r="G23" s="132">
        <v>29</v>
      </c>
      <c r="H23" t="s" s="133">
        <v>279</v>
      </c>
      <c r="I23" t="s" s="134">
        <v>99</v>
      </c>
      <c r="J23" t="s" s="134">
        <v>100</v>
      </c>
      <c r="K23" t="str" s="135" cm="1">
        <f t="array" ref="K23">IF(OR(H23="ריביות",AND(H23="דירה כצנלסון",G23&lt;0,ISNUMBER(SEARCH("הכנסה",F23)))),"הכנסה שסווגה מחדש",J23)</f>
        <v>חריג/נכס</v>
      </c>
      <c r="L23" t="s" s="134">
        <v>741</v>
      </c>
      <c r="M23" s="136" cm="1">
        <f t="array" ref="M23">IF(L23="מאושר",IF(K23="הכנסה שסווגה מחדש",0,G23),0)</f>
        <v>29</v>
      </c>
      <c r="N23" s="136" cm="1">
        <f t="array" ref="N23">IF(K23="שוטף",M23,0)</f>
        <v>0</v>
      </c>
      <c r="O23" s="136" cm="1">
        <f t="array" ref="O23">IF(K23="הכנסה שסווגה מחדש",-G23,0)</f>
        <v>0</v>
      </c>
      <c r="P23" t="s" s="80">
        <v>762</v>
      </c>
      <c r="Q23" s="100"/>
      <c r="R23" t="s" s="137">
        <v>743</v>
      </c>
      <c r="S23" s="77"/>
    </row>
    <row r="24" ht="13.65" customHeight="1">
      <c r="A24" s="84">
        <v>45658</v>
      </c>
      <c r="B24" t="s" s="85">
        <v>29</v>
      </c>
      <c r="C24" t="s" s="86">
        <v>738</v>
      </c>
      <c r="D24" s="138">
        <v>24</v>
      </c>
      <c r="E24" t="s" s="85">
        <v>765</v>
      </c>
      <c r="F24" t="s" s="86">
        <v>604</v>
      </c>
      <c r="G24" s="139">
        <v>54</v>
      </c>
      <c r="H24" t="s" s="140">
        <v>115</v>
      </c>
      <c r="I24" t="s" s="141">
        <v>115</v>
      </c>
      <c r="J24" t="s" s="141">
        <v>97</v>
      </c>
      <c r="K24" t="str" s="142" cm="1">
        <f t="array" ref="K24">IF(OR(H24="ריביות",AND(H24="דירה כצנלסון",G24&lt;0,ISNUMBER(SEARCH("הכנסה",F24)))),"הכנסה שסווגה מחדש",J24)</f>
        <v>שוטף</v>
      </c>
      <c r="L24" t="s" s="141">
        <v>741</v>
      </c>
      <c r="M24" s="143" cm="1">
        <f t="array" ref="M24">IF(L24="מאושר",IF(K24="הכנסה שסווגה מחדש",0,G24),0)</f>
        <v>54</v>
      </c>
      <c r="N24" s="143" cm="1">
        <f t="array" ref="N24">IF(K24="שוטף",M24,0)</f>
        <v>54</v>
      </c>
      <c r="O24" s="143" cm="1">
        <f t="array" ref="O24">IF(K24="הכנסה שסווגה מחדש",-G24,0)</f>
        <v>0</v>
      </c>
      <c r="P24" t="s" s="86">
        <v>762</v>
      </c>
      <c r="Q24" s="99"/>
      <c r="R24" t="s" s="144">
        <v>743</v>
      </c>
      <c r="S24" s="77"/>
    </row>
    <row r="25" ht="13.65" customHeight="1">
      <c r="A25" s="78">
        <v>45658</v>
      </c>
      <c r="B25" t="s" s="79">
        <v>29</v>
      </c>
      <c r="C25" t="s" s="80">
        <v>738</v>
      </c>
      <c r="D25" s="131">
        <v>25</v>
      </c>
      <c r="E25" t="s" s="79">
        <v>765</v>
      </c>
      <c r="F25" t="s" s="80">
        <v>277</v>
      </c>
      <c r="G25" s="132">
        <v>36</v>
      </c>
      <c r="H25" t="s" s="133">
        <v>115</v>
      </c>
      <c r="I25" t="s" s="134">
        <v>115</v>
      </c>
      <c r="J25" t="s" s="134">
        <v>97</v>
      </c>
      <c r="K25" t="str" s="135" cm="1">
        <f t="array" ref="K25">IF(OR(H25="ריביות",AND(H25="דירה כצנלסון",G25&lt;0,ISNUMBER(SEARCH("הכנסה",F25)))),"הכנסה שסווגה מחדש",J25)</f>
        <v>שוטף</v>
      </c>
      <c r="L25" t="s" s="134">
        <v>741</v>
      </c>
      <c r="M25" s="136" cm="1">
        <f t="array" ref="M25">IF(L25="מאושר",IF(K25="הכנסה שסווגה מחדש",0,G25),0)</f>
        <v>36</v>
      </c>
      <c r="N25" s="136" cm="1">
        <f t="array" ref="N25">IF(K25="שוטף",M25,0)</f>
        <v>36</v>
      </c>
      <c r="O25" s="136" cm="1">
        <f t="array" ref="O25">IF(K25="הכנסה שסווגה מחדש",-G25,0)</f>
        <v>0</v>
      </c>
      <c r="P25" t="s" s="80">
        <v>762</v>
      </c>
      <c r="Q25" s="100"/>
      <c r="R25" t="s" s="137">
        <v>743</v>
      </c>
      <c r="S25" s="77"/>
    </row>
    <row r="26" ht="13.65" customHeight="1">
      <c r="A26" s="84">
        <v>45658</v>
      </c>
      <c r="B26" t="s" s="85">
        <v>29</v>
      </c>
      <c r="C26" t="s" s="86">
        <v>738</v>
      </c>
      <c r="D26" s="138">
        <v>26</v>
      </c>
      <c r="E26" t="s" s="85">
        <v>765</v>
      </c>
      <c r="F26" t="s" s="86">
        <v>213</v>
      </c>
      <c r="G26" s="139">
        <v>208</v>
      </c>
      <c r="H26" t="s" s="140">
        <v>115</v>
      </c>
      <c r="I26" t="s" s="141">
        <v>115</v>
      </c>
      <c r="J26" t="s" s="141">
        <v>97</v>
      </c>
      <c r="K26" t="str" s="142" cm="1">
        <f t="array" ref="K26">IF(OR(H26="ריביות",AND(H26="דירה כצנלסון",G26&lt;0,ISNUMBER(SEARCH("הכנסה",F26)))),"הכנסה שסווגה מחדש",J26)</f>
        <v>שוטף</v>
      </c>
      <c r="L26" t="s" s="141">
        <v>741</v>
      </c>
      <c r="M26" s="143" cm="1">
        <f t="array" ref="M26">IF(L26="מאושר",IF(K26="הכנסה שסווגה מחדש",0,G26),0)</f>
        <v>208</v>
      </c>
      <c r="N26" s="143" cm="1">
        <f t="array" ref="N26">IF(K26="שוטף",M26,0)</f>
        <v>208</v>
      </c>
      <c r="O26" s="143" cm="1">
        <f t="array" ref="O26">IF(K26="הכנסה שסווגה מחדש",-G26,0)</f>
        <v>0</v>
      </c>
      <c r="P26" t="s" s="86">
        <v>762</v>
      </c>
      <c r="Q26" s="99"/>
      <c r="R26" t="s" s="144">
        <v>743</v>
      </c>
      <c r="S26" s="77"/>
    </row>
    <row r="27" ht="13.65" customHeight="1">
      <c r="A27" s="78">
        <v>45658</v>
      </c>
      <c r="B27" t="s" s="79">
        <v>29</v>
      </c>
      <c r="C27" t="s" s="80">
        <v>738</v>
      </c>
      <c r="D27" s="131">
        <v>27</v>
      </c>
      <c r="E27" t="s" s="79">
        <v>766</v>
      </c>
      <c r="F27" t="s" s="80">
        <v>336</v>
      </c>
      <c r="G27" s="132">
        <v>34</v>
      </c>
      <c r="H27" t="s" s="133">
        <v>767</v>
      </c>
      <c r="I27" t="s" s="134">
        <v>107</v>
      </c>
      <c r="J27" t="s" s="134">
        <v>97</v>
      </c>
      <c r="K27" t="str" s="135" cm="1">
        <f t="array" ref="K27">IF(OR(H27="ריביות",AND(H27="דירה כצנלסון",G27&lt;0,ISNUMBER(SEARCH("הכנסה",F27)))),"הכנסה שסווגה מחדש",J27)</f>
        <v>שוטף</v>
      </c>
      <c r="L27" t="s" s="134">
        <v>741</v>
      </c>
      <c r="M27" s="136" cm="1">
        <f t="array" ref="M27">IF(L27="מאושר",IF(K27="הכנסה שסווגה מחדש",0,G27),0)</f>
        <v>34</v>
      </c>
      <c r="N27" s="136" cm="1">
        <f t="array" ref="N27">IF(K27="שוטף",M27,0)</f>
        <v>34</v>
      </c>
      <c r="O27" s="136" cm="1">
        <f t="array" ref="O27">IF(K27="הכנסה שסווגה מחדש",-G27,0)</f>
        <v>0</v>
      </c>
      <c r="P27" t="s" s="80">
        <v>762</v>
      </c>
      <c r="Q27" s="100"/>
      <c r="R27" t="s" s="137">
        <v>743</v>
      </c>
      <c r="S27" s="77"/>
    </row>
    <row r="28" ht="13.65" customHeight="1">
      <c r="A28" s="84">
        <v>45658</v>
      </c>
      <c r="B28" t="s" s="85">
        <v>29</v>
      </c>
      <c r="C28" t="s" s="86">
        <v>738</v>
      </c>
      <c r="D28" s="138">
        <v>28</v>
      </c>
      <c r="E28" t="s" s="85">
        <v>768</v>
      </c>
      <c r="F28" t="s" s="86">
        <v>336</v>
      </c>
      <c r="G28" s="139">
        <v>20</v>
      </c>
      <c r="H28" t="s" s="140">
        <v>767</v>
      </c>
      <c r="I28" t="s" s="141">
        <v>107</v>
      </c>
      <c r="J28" t="s" s="141">
        <v>97</v>
      </c>
      <c r="K28" t="str" s="142" cm="1">
        <f t="array" ref="K28">IF(OR(H28="ריביות",AND(H28="דירה כצנלסון",G28&lt;0,ISNUMBER(SEARCH("הכנסה",F28)))),"הכנסה שסווגה מחדש",J28)</f>
        <v>שוטף</v>
      </c>
      <c r="L28" t="s" s="141">
        <v>741</v>
      </c>
      <c r="M28" s="143" cm="1">
        <f t="array" ref="M28">IF(L28="מאושר",IF(K28="הכנסה שסווגה מחדש",0,G28),0)</f>
        <v>20</v>
      </c>
      <c r="N28" s="143" cm="1">
        <f t="array" ref="N28">IF(K28="שוטף",M28,0)</f>
        <v>20</v>
      </c>
      <c r="O28" s="143" cm="1">
        <f t="array" ref="O28">IF(K28="הכנסה שסווגה מחדש",-G28,0)</f>
        <v>0</v>
      </c>
      <c r="P28" t="s" s="86">
        <v>762</v>
      </c>
      <c r="Q28" s="99"/>
      <c r="R28" t="s" s="144">
        <v>743</v>
      </c>
      <c r="S28" s="77"/>
    </row>
    <row r="29" ht="13.65" customHeight="1">
      <c r="A29" s="78">
        <v>45658</v>
      </c>
      <c r="B29" t="s" s="79">
        <v>29</v>
      </c>
      <c r="C29" t="s" s="80">
        <v>738</v>
      </c>
      <c r="D29" s="131">
        <v>29</v>
      </c>
      <c r="E29" t="s" s="79">
        <v>768</v>
      </c>
      <c r="F29" t="s" s="80">
        <v>255</v>
      </c>
      <c r="G29" s="132">
        <v>110</v>
      </c>
      <c r="H29" t="s" s="133">
        <v>767</v>
      </c>
      <c r="I29" t="s" s="134">
        <v>107</v>
      </c>
      <c r="J29" t="s" s="134">
        <v>97</v>
      </c>
      <c r="K29" t="str" s="135" cm="1">
        <f t="array" ref="K29">IF(OR(H29="ריביות",AND(H29="דירה כצנלסון",G29&lt;0,ISNUMBER(SEARCH("הכנסה",F29)))),"הכנסה שסווגה מחדש",J29)</f>
        <v>שוטף</v>
      </c>
      <c r="L29" t="s" s="134">
        <v>741</v>
      </c>
      <c r="M29" s="136" cm="1">
        <f t="array" ref="M29">IF(L29="מאושר",IF(K29="הכנסה שסווגה מחדש",0,G29),0)</f>
        <v>110</v>
      </c>
      <c r="N29" s="136" cm="1">
        <f t="array" ref="N29">IF(K29="שוטף",M29,0)</f>
        <v>110</v>
      </c>
      <c r="O29" s="136" cm="1">
        <f t="array" ref="O29">IF(K29="הכנסה שסווגה מחדש",-G29,0)</f>
        <v>0</v>
      </c>
      <c r="P29" t="s" s="80">
        <v>762</v>
      </c>
      <c r="Q29" s="100"/>
      <c r="R29" t="s" s="137">
        <v>743</v>
      </c>
      <c r="S29" s="77"/>
    </row>
    <row r="30" ht="13.65" customHeight="1">
      <c r="A30" s="84">
        <v>45658</v>
      </c>
      <c r="B30" t="s" s="85">
        <v>29</v>
      </c>
      <c r="C30" t="s" s="86">
        <v>738</v>
      </c>
      <c r="D30" s="138">
        <v>30</v>
      </c>
      <c r="E30" t="s" s="85">
        <v>744</v>
      </c>
      <c r="F30" t="s" s="86">
        <v>499</v>
      </c>
      <c r="G30" s="139">
        <v>123</v>
      </c>
      <c r="H30" t="s" s="140">
        <v>115</v>
      </c>
      <c r="I30" t="s" s="141">
        <v>115</v>
      </c>
      <c r="J30" t="s" s="141">
        <v>97</v>
      </c>
      <c r="K30" t="str" s="142" cm="1">
        <f t="array" ref="K30">IF(OR(H30="ריביות",AND(H30="דירה כצנלסון",G30&lt;0,ISNUMBER(SEARCH("הכנסה",F30)))),"הכנסה שסווגה מחדש",J30)</f>
        <v>שוטף</v>
      </c>
      <c r="L30" t="s" s="141">
        <v>741</v>
      </c>
      <c r="M30" s="143" cm="1">
        <f t="array" ref="M30">IF(L30="מאושר",IF(K30="הכנסה שסווגה מחדש",0,G30),0)</f>
        <v>123</v>
      </c>
      <c r="N30" s="143" cm="1">
        <f t="array" ref="N30">IF(K30="שוטף",M30,0)</f>
        <v>123</v>
      </c>
      <c r="O30" s="143" cm="1">
        <f t="array" ref="O30">IF(K30="הכנסה שסווגה מחדש",-G30,0)</f>
        <v>0</v>
      </c>
      <c r="P30" t="s" s="86">
        <v>762</v>
      </c>
      <c r="Q30" s="99"/>
      <c r="R30" t="s" s="144">
        <v>743</v>
      </c>
      <c r="S30" s="77"/>
    </row>
    <row r="31" ht="13.65" customHeight="1">
      <c r="A31" s="78">
        <v>45658</v>
      </c>
      <c r="B31" t="s" s="79">
        <v>29</v>
      </c>
      <c r="C31" t="s" s="80">
        <v>738</v>
      </c>
      <c r="D31" s="131">
        <v>31</v>
      </c>
      <c r="E31" t="s" s="79">
        <v>739</v>
      </c>
      <c r="F31" t="s" s="80">
        <v>210</v>
      </c>
      <c r="G31" s="132">
        <v>8332</v>
      </c>
      <c r="H31" t="s" s="133">
        <v>210</v>
      </c>
      <c r="I31" t="s" s="134">
        <v>102</v>
      </c>
      <c r="J31" t="s" s="134">
        <v>103</v>
      </c>
      <c r="K31" t="str" s="135" cm="1">
        <f t="array" ref="K31">IF(OR(H31="ריביות",AND(H31="דירה כצנלסון",G31&lt;0,ISNUMBER(SEARCH("הכנסה",F31)))),"הכנסה שסווגה מחדש",J31)</f>
        <v>חריג</v>
      </c>
      <c r="L31" t="s" s="134">
        <v>741</v>
      </c>
      <c r="M31" s="136" cm="1">
        <f t="array" ref="M31">IF(L31="מאושר",IF(K31="הכנסה שסווגה מחדש",0,G31),0)</f>
        <v>8332</v>
      </c>
      <c r="N31" s="136" cm="1">
        <f t="array" ref="N31">IF(K31="שוטף",M31,0)</f>
        <v>0</v>
      </c>
      <c r="O31" s="136" cm="1">
        <f t="array" ref="O31">IF(K31="הכנסה שסווגה מחדש",-G31,0)</f>
        <v>0</v>
      </c>
      <c r="P31" t="s" s="80">
        <v>762</v>
      </c>
      <c r="Q31" s="100"/>
      <c r="R31" t="s" s="137">
        <v>743</v>
      </c>
      <c r="S31" s="77"/>
    </row>
    <row r="32" ht="13.65" customHeight="1">
      <c r="A32" s="84">
        <v>45658</v>
      </c>
      <c r="B32" t="s" s="85">
        <v>29</v>
      </c>
      <c r="C32" t="s" s="86">
        <v>738</v>
      </c>
      <c r="D32" s="138">
        <v>32</v>
      </c>
      <c r="E32" t="s" s="85">
        <v>769</v>
      </c>
      <c r="F32" t="s" s="86">
        <v>245</v>
      </c>
      <c r="G32" s="139">
        <v>53</v>
      </c>
      <c r="H32" t="s" s="140">
        <v>767</v>
      </c>
      <c r="I32" t="s" s="141">
        <v>107</v>
      </c>
      <c r="J32" t="s" s="141">
        <v>97</v>
      </c>
      <c r="K32" t="str" s="142" cm="1">
        <f t="array" ref="K32">IF(OR(H32="ריביות",AND(H32="דירה כצנלסון",G32&lt;0,ISNUMBER(SEARCH("הכנסה",F32)))),"הכנסה שסווגה מחדש",J32)</f>
        <v>שוטף</v>
      </c>
      <c r="L32" t="s" s="141">
        <v>741</v>
      </c>
      <c r="M32" s="143" cm="1">
        <f t="array" ref="M32">IF(L32="מאושר",IF(K32="הכנסה שסווגה מחדש",0,G32),0)</f>
        <v>53</v>
      </c>
      <c r="N32" s="143" cm="1">
        <f t="array" ref="N32">IF(K32="שוטף",M32,0)</f>
        <v>53</v>
      </c>
      <c r="O32" s="143" cm="1">
        <f t="array" ref="O32">IF(K32="הכנסה שסווגה מחדש",-G32,0)</f>
        <v>0</v>
      </c>
      <c r="P32" t="s" s="86">
        <v>762</v>
      </c>
      <c r="Q32" s="99"/>
      <c r="R32" t="s" s="144">
        <v>743</v>
      </c>
      <c r="S32" s="77"/>
    </row>
    <row r="33" ht="13.65" customHeight="1">
      <c r="A33" s="78">
        <v>45658</v>
      </c>
      <c r="B33" t="s" s="79">
        <v>29</v>
      </c>
      <c r="C33" t="s" s="80">
        <v>738</v>
      </c>
      <c r="D33" s="131">
        <v>33</v>
      </c>
      <c r="E33" t="s" s="79">
        <v>46</v>
      </c>
      <c r="F33" t="s" s="80">
        <v>337</v>
      </c>
      <c r="G33" s="132">
        <v>600</v>
      </c>
      <c r="H33" t="s" s="133">
        <v>279</v>
      </c>
      <c r="I33" t="s" s="134">
        <v>99</v>
      </c>
      <c r="J33" t="s" s="134">
        <v>100</v>
      </c>
      <c r="K33" t="str" s="135" cm="1">
        <f t="array" ref="K33">IF(OR(H33="ריביות",AND(H33="דירה כצנלסון",G33&lt;0,ISNUMBER(SEARCH("הכנסה",F33)))),"הכנסה שסווגה מחדש",J33)</f>
        <v>חריג/נכס</v>
      </c>
      <c r="L33" t="s" s="134">
        <v>741</v>
      </c>
      <c r="M33" s="136" cm="1">
        <f t="array" ref="M33">IF(L33="מאושר",IF(K33="הכנסה שסווגה מחדש",0,G33),0)</f>
        <v>600</v>
      </c>
      <c r="N33" s="136" cm="1">
        <f t="array" ref="N33">IF(K33="שוטף",M33,0)</f>
        <v>0</v>
      </c>
      <c r="O33" s="136" cm="1">
        <f t="array" ref="O33">IF(K33="הכנסה שסווגה מחדש",-G33,0)</f>
        <v>0</v>
      </c>
      <c r="P33" t="s" s="80">
        <v>762</v>
      </c>
      <c r="Q33" s="100"/>
      <c r="R33" t="s" s="137">
        <v>743</v>
      </c>
      <c r="S33" s="77"/>
    </row>
    <row r="34" ht="13.65" customHeight="1">
      <c r="A34" s="84">
        <v>45658</v>
      </c>
      <c r="B34" t="s" s="85">
        <v>29</v>
      </c>
      <c r="C34" t="s" s="86">
        <v>738</v>
      </c>
      <c r="D34" s="138">
        <v>34</v>
      </c>
      <c r="E34" t="s" s="85">
        <v>46</v>
      </c>
      <c r="F34" t="s" s="86">
        <v>671</v>
      </c>
      <c r="G34" s="139">
        <v>20</v>
      </c>
      <c r="H34" t="s" s="140">
        <v>125</v>
      </c>
      <c r="I34" t="s" s="141">
        <v>125</v>
      </c>
      <c r="J34" t="s" s="141">
        <v>97</v>
      </c>
      <c r="K34" t="str" s="142" cm="1">
        <f t="array" ref="K34">IF(OR(H34="ריביות",AND(H34="דירה כצנלסון",G34&lt;0,ISNUMBER(SEARCH("הכנסה",F34)))),"הכנסה שסווגה מחדש",J34)</f>
        <v>שוטף</v>
      </c>
      <c r="L34" t="s" s="141">
        <v>741</v>
      </c>
      <c r="M34" s="143" cm="1">
        <f t="array" ref="M34">IF(L34="מאושר",IF(K34="הכנסה שסווגה מחדש",0,G34),0)</f>
        <v>20</v>
      </c>
      <c r="N34" s="143" cm="1">
        <f t="array" ref="N34">IF(K34="שוטף",M34,0)</f>
        <v>20</v>
      </c>
      <c r="O34" s="143" cm="1">
        <f t="array" ref="O34">IF(K34="הכנסה שסווגה מחדש",-G34,0)</f>
        <v>0</v>
      </c>
      <c r="P34" t="s" s="86">
        <v>762</v>
      </c>
      <c r="Q34" s="99"/>
      <c r="R34" t="s" s="144">
        <v>743</v>
      </c>
      <c r="S34" s="77"/>
    </row>
    <row r="35" ht="13.65" customHeight="1">
      <c r="A35" s="78">
        <v>45658</v>
      </c>
      <c r="B35" t="s" s="79">
        <v>29</v>
      </c>
      <c r="C35" t="s" s="80">
        <v>738</v>
      </c>
      <c r="D35" s="131">
        <v>35</v>
      </c>
      <c r="E35" t="s" s="79">
        <v>46</v>
      </c>
      <c r="F35" t="s" s="80">
        <v>307</v>
      </c>
      <c r="G35" s="132">
        <v>35</v>
      </c>
      <c r="H35" t="s" s="133">
        <v>115</v>
      </c>
      <c r="I35" t="s" s="134">
        <v>115</v>
      </c>
      <c r="J35" t="s" s="134">
        <v>97</v>
      </c>
      <c r="K35" t="str" s="135" cm="1">
        <f t="array" ref="K35">IF(OR(H35="ריביות",AND(H35="דירה כצנלסון",G35&lt;0,ISNUMBER(SEARCH("הכנסה",F35)))),"הכנסה שסווגה מחדש",J35)</f>
        <v>שוטף</v>
      </c>
      <c r="L35" t="s" s="134">
        <v>741</v>
      </c>
      <c r="M35" s="136" cm="1">
        <f t="array" ref="M35">IF(L35="מאושר",IF(K35="הכנסה שסווגה מחדש",0,G35),0)</f>
        <v>35</v>
      </c>
      <c r="N35" s="136" cm="1">
        <f t="array" ref="N35">IF(K35="שוטף",M35,0)</f>
        <v>35</v>
      </c>
      <c r="O35" s="136" cm="1">
        <f t="array" ref="O35">IF(K35="הכנסה שסווגה מחדש",-G35,0)</f>
        <v>0</v>
      </c>
      <c r="P35" t="s" s="80">
        <v>762</v>
      </c>
      <c r="Q35" s="100"/>
      <c r="R35" t="s" s="137">
        <v>743</v>
      </c>
      <c r="S35" s="77"/>
    </row>
    <row r="36" ht="13.65" customHeight="1">
      <c r="A36" s="84">
        <v>45658</v>
      </c>
      <c r="B36" t="s" s="85">
        <v>29</v>
      </c>
      <c r="C36" t="s" s="86">
        <v>738</v>
      </c>
      <c r="D36" s="138">
        <v>36</v>
      </c>
      <c r="E36" t="s" s="85">
        <v>30</v>
      </c>
      <c r="F36" t="s" s="86">
        <v>275</v>
      </c>
      <c r="G36" s="139">
        <v>174</v>
      </c>
      <c r="H36" t="s" s="140">
        <v>127</v>
      </c>
      <c r="I36" t="s" s="141">
        <v>127</v>
      </c>
      <c r="J36" t="s" s="141">
        <v>97</v>
      </c>
      <c r="K36" t="str" s="142" cm="1">
        <f t="array" ref="K36">IF(OR(H36="ריביות",AND(H36="דירה כצנלסון",G36&lt;0,ISNUMBER(SEARCH("הכנסה",F36)))),"הכנסה שסווגה מחדש",J36)</f>
        <v>שוטף</v>
      </c>
      <c r="L36" t="s" s="141">
        <v>741</v>
      </c>
      <c r="M36" s="143" cm="1">
        <f t="array" ref="M36">IF(L36="מאושר",IF(K36="הכנסה שסווגה מחדש",0,G36),0)</f>
        <v>174</v>
      </c>
      <c r="N36" s="143" cm="1">
        <f t="array" ref="N36">IF(K36="שוטף",M36,0)</f>
        <v>174</v>
      </c>
      <c r="O36" s="143" cm="1">
        <f t="array" ref="O36">IF(K36="הכנסה שסווגה מחדש",-G36,0)</f>
        <v>0</v>
      </c>
      <c r="P36" t="s" s="86">
        <v>770</v>
      </c>
      <c r="Q36" s="99"/>
      <c r="R36" t="s" s="144">
        <v>743</v>
      </c>
      <c r="S36" s="77"/>
    </row>
    <row r="37" ht="13.65" customHeight="1">
      <c r="A37" s="78">
        <v>45658</v>
      </c>
      <c r="B37" t="s" s="79">
        <v>29</v>
      </c>
      <c r="C37" t="s" s="80">
        <v>738</v>
      </c>
      <c r="D37" s="131">
        <v>37</v>
      </c>
      <c r="E37" t="s" s="79">
        <v>769</v>
      </c>
      <c r="F37" t="s" s="80">
        <v>245</v>
      </c>
      <c r="G37" s="132">
        <v>92</v>
      </c>
      <c r="H37" t="s" s="133">
        <v>767</v>
      </c>
      <c r="I37" t="s" s="134">
        <v>107</v>
      </c>
      <c r="J37" t="s" s="134">
        <v>97</v>
      </c>
      <c r="K37" t="str" s="135" cm="1">
        <f t="array" ref="K37">IF(OR(H37="ריביות",AND(H37="דירה כצנלסון",G37&lt;0,ISNUMBER(SEARCH("הכנסה",F37)))),"הכנסה שסווגה מחדש",J37)</f>
        <v>שוטף</v>
      </c>
      <c r="L37" t="s" s="134">
        <v>741</v>
      </c>
      <c r="M37" s="136" cm="1">
        <f t="array" ref="M37">IF(L37="מאושר",IF(K37="הכנסה שסווגה מחדש",0,G37),0)</f>
        <v>92</v>
      </c>
      <c r="N37" s="136" cm="1">
        <f t="array" ref="N37">IF(K37="שוטף",M37,0)</f>
        <v>92</v>
      </c>
      <c r="O37" s="136" cm="1">
        <f t="array" ref="O37">IF(K37="הכנסה שסווגה מחדש",-G37,0)</f>
        <v>0</v>
      </c>
      <c r="P37" t="s" s="80">
        <v>770</v>
      </c>
      <c r="Q37" s="100"/>
      <c r="R37" t="s" s="137">
        <v>743</v>
      </c>
      <c r="S37" s="77"/>
    </row>
    <row r="38" ht="13.65" customHeight="1">
      <c r="A38" s="84">
        <v>45658</v>
      </c>
      <c r="B38" t="s" s="85">
        <v>29</v>
      </c>
      <c r="C38" t="s" s="86">
        <v>738</v>
      </c>
      <c r="D38" s="138">
        <v>38</v>
      </c>
      <c r="E38" t="s" s="85">
        <v>771</v>
      </c>
      <c r="F38" t="s" s="86">
        <v>381</v>
      </c>
      <c r="G38" s="139">
        <v>207</v>
      </c>
      <c r="H38" t="s" s="140">
        <v>121</v>
      </c>
      <c r="I38" t="s" s="141">
        <v>121</v>
      </c>
      <c r="J38" t="s" s="141">
        <v>97</v>
      </c>
      <c r="K38" t="str" s="142" cm="1">
        <f t="array" ref="K38">IF(OR(H38="ריביות",AND(H38="דירה כצנלסון",G38&lt;0,ISNUMBER(SEARCH("הכנסה",F38)))),"הכנסה שסווגה מחדש",J38)</f>
        <v>שוטף</v>
      </c>
      <c r="L38" t="s" s="141">
        <v>741</v>
      </c>
      <c r="M38" s="143" cm="1">
        <f t="array" ref="M38">IF(L38="מאושר",IF(K38="הכנסה שסווגה מחדש",0,G38),0)</f>
        <v>207</v>
      </c>
      <c r="N38" s="143" cm="1">
        <f t="array" ref="N38">IF(K38="שוטף",M38,0)</f>
        <v>207</v>
      </c>
      <c r="O38" s="143" cm="1">
        <f t="array" ref="O38">IF(K38="הכנסה שסווגה מחדש",-G38,0)</f>
        <v>0</v>
      </c>
      <c r="P38" t="s" s="86">
        <v>770</v>
      </c>
      <c r="Q38" s="99"/>
      <c r="R38" t="s" s="144">
        <v>743</v>
      </c>
      <c r="S38" s="77"/>
    </row>
    <row r="39" ht="13.65" customHeight="1">
      <c r="A39" s="78">
        <v>45658</v>
      </c>
      <c r="B39" t="s" s="79">
        <v>29</v>
      </c>
      <c r="C39" t="s" s="80">
        <v>738</v>
      </c>
      <c r="D39" s="131">
        <v>39</v>
      </c>
      <c r="E39" t="s" s="79">
        <v>772</v>
      </c>
      <c r="F39" t="s" s="80">
        <v>293</v>
      </c>
      <c r="G39" s="132">
        <v>1058</v>
      </c>
      <c r="H39" t="s" s="133">
        <v>115</v>
      </c>
      <c r="I39" t="s" s="134">
        <v>115</v>
      </c>
      <c r="J39" t="s" s="134">
        <v>97</v>
      </c>
      <c r="K39" t="str" s="135" cm="1">
        <f t="array" ref="K39">IF(OR(H39="ריביות",AND(H39="דירה כצנלסון",G39&lt;0,ISNUMBER(SEARCH("הכנסה",F39)))),"הכנסה שסווגה מחדש",J39)</f>
        <v>שוטף</v>
      </c>
      <c r="L39" t="s" s="134">
        <v>741</v>
      </c>
      <c r="M39" s="136" cm="1">
        <f t="array" ref="M39">IF(L39="מאושר",IF(K39="הכנסה שסווגה מחדש",0,G39),0)</f>
        <v>1058</v>
      </c>
      <c r="N39" s="136" cm="1">
        <f t="array" ref="N39">IF(K39="שוטף",M39,0)</f>
        <v>1058</v>
      </c>
      <c r="O39" s="136" cm="1">
        <f t="array" ref="O39">IF(K39="הכנסה שסווגה מחדש",-G39,0)</f>
        <v>0</v>
      </c>
      <c r="P39" t="s" s="80">
        <v>770</v>
      </c>
      <c r="Q39" s="100"/>
      <c r="R39" t="s" s="137">
        <v>743</v>
      </c>
      <c r="S39" s="77"/>
    </row>
    <row r="40" ht="13.65" customHeight="1">
      <c r="A40" s="84">
        <v>45658</v>
      </c>
      <c r="B40" t="s" s="85">
        <v>29</v>
      </c>
      <c r="C40" t="s" s="86">
        <v>738</v>
      </c>
      <c r="D40" s="138">
        <v>40</v>
      </c>
      <c r="E40" t="s" s="85">
        <v>772</v>
      </c>
      <c r="F40" t="s" s="86">
        <v>267</v>
      </c>
      <c r="G40" s="139">
        <v>9</v>
      </c>
      <c r="H40" t="s" s="140">
        <v>109</v>
      </c>
      <c r="I40" t="s" s="141">
        <v>109</v>
      </c>
      <c r="J40" t="s" s="141">
        <v>97</v>
      </c>
      <c r="K40" t="str" s="142" cm="1">
        <f t="array" ref="K40">IF(OR(H40="ריביות",AND(H40="דירה כצנלסון",G40&lt;0,ISNUMBER(SEARCH("הכנסה",F40)))),"הכנסה שסווגה מחדש",J40)</f>
        <v>שוטף</v>
      </c>
      <c r="L40" t="s" s="141">
        <v>741</v>
      </c>
      <c r="M40" s="143" cm="1">
        <f t="array" ref="M40">IF(L40="מאושר",IF(K40="הכנסה שסווגה מחדש",0,G40),0)</f>
        <v>9</v>
      </c>
      <c r="N40" s="143" cm="1">
        <f t="array" ref="N40">IF(K40="שוטף",M40,0)</f>
        <v>9</v>
      </c>
      <c r="O40" s="143" cm="1">
        <f t="array" ref="O40">IF(K40="הכנסה שסווגה מחדש",-G40,0)</f>
        <v>0</v>
      </c>
      <c r="P40" t="s" s="86">
        <v>770</v>
      </c>
      <c r="Q40" s="99"/>
      <c r="R40" t="s" s="144">
        <v>743</v>
      </c>
      <c r="S40" s="77"/>
    </row>
    <row r="41" ht="13.65" customHeight="1">
      <c r="A41" s="78">
        <v>45658</v>
      </c>
      <c r="B41" t="s" s="79">
        <v>29</v>
      </c>
      <c r="C41" t="s" s="80">
        <v>738</v>
      </c>
      <c r="D41" s="131">
        <v>41</v>
      </c>
      <c r="E41" t="s" s="79">
        <v>773</v>
      </c>
      <c r="F41" t="s" s="80">
        <v>200</v>
      </c>
      <c r="G41" s="132">
        <v>652</v>
      </c>
      <c r="H41" t="s" s="133">
        <v>109</v>
      </c>
      <c r="I41" t="s" s="134">
        <v>109</v>
      </c>
      <c r="J41" t="s" s="134">
        <v>97</v>
      </c>
      <c r="K41" t="str" s="135" cm="1">
        <f t="array" ref="K41">IF(OR(H41="ריביות",AND(H41="דירה כצנלסון",G41&lt;0,ISNUMBER(SEARCH("הכנסה",F41)))),"הכנסה שסווגה מחדש",J41)</f>
        <v>שוטף</v>
      </c>
      <c r="L41" t="s" s="134">
        <v>741</v>
      </c>
      <c r="M41" s="136" cm="1">
        <f t="array" ref="M41">IF(L41="מאושר",IF(K41="הכנסה שסווגה מחדש",0,G41),0)</f>
        <v>652</v>
      </c>
      <c r="N41" s="136" cm="1">
        <f t="array" ref="N41">IF(K41="שוטף",M41,0)</f>
        <v>652</v>
      </c>
      <c r="O41" s="136" cm="1">
        <f t="array" ref="O41">IF(K41="הכנסה שסווגה מחדש",-G41,0)</f>
        <v>0</v>
      </c>
      <c r="P41" t="s" s="80">
        <v>770</v>
      </c>
      <c r="Q41" s="100"/>
      <c r="R41" t="s" s="137">
        <v>743</v>
      </c>
      <c r="S41" s="77"/>
    </row>
    <row r="42" ht="13.65" customHeight="1">
      <c r="A42" s="84">
        <v>45658</v>
      </c>
      <c r="B42" t="s" s="85">
        <v>29</v>
      </c>
      <c r="C42" t="s" s="86">
        <v>738</v>
      </c>
      <c r="D42" s="138">
        <v>42</v>
      </c>
      <c r="E42" t="s" s="85">
        <v>774</v>
      </c>
      <c r="F42" t="s" s="86">
        <v>706</v>
      </c>
      <c r="G42" s="139">
        <v>-50</v>
      </c>
      <c r="H42" t="s" s="140">
        <v>115</v>
      </c>
      <c r="I42" t="s" s="141">
        <v>115</v>
      </c>
      <c r="J42" t="s" s="141">
        <v>97</v>
      </c>
      <c r="K42" t="str" s="142" cm="1">
        <f t="array" ref="K42">IF(OR(H42="ריביות",AND(H42="דירה כצנלסון",G42&lt;0,ISNUMBER(SEARCH("הכנסה",F42)))),"הכנסה שסווגה מחדש",J42)</f>
        <v>שוטף</v>
      </c>
      <c r="L42" t="s" s="141">
        <v>741</v>
      </c>
      <c r="M42" s="143" cm="1">
        <f t="array" ref="M42">IF(L42="מאושר",IF(K42="הכנסה שסווגה מחדש",0,G42),0)</f>
        <v>-50</v>
      </c>
      <c r="N42" s="143" cm="1">
        <f t="array" ref="N42">IF(K42="שוטף",M42,0)</f>
        <v>-50</v>
      </c>
      <c r="O42" s="143" cm="1">
        <f t="array" ref="O42">IF(K42="הכנסה שסווגה מחדש",-G42,0)</f>
        <v>0</v>
      </c>
      <c r="P42" t="s" s="86">
        <v>770</v>
      </c>
      <c r="Q42" s="99"/>
      <c r="R42" t="s" s="144">
        <v>743</v>
      </c>
      <c r="S42" s="77"/>
    </row>
    <row r="43" ht="13.65" customHeight="1">
      <c r="A43" s="78">
        <v>45658</v>
      </c>
      <c r="B43" t="s" s="79">
        <v>29</v>
      </c>
      <c r="C43" t="s" s="80">
        <v>738</v>
      </c>
      <c r="D43" s="131">
        <v>43</v>
      </c>
      <c r="E43" t="s" s="79">
        <v>775</v>
      </c>
      <c r="F43" t="s" s="80">
        <v>267</v>
      </c>
      <c r="G43" s="132">
        <v>50</v>
      </c>
      <c r="H43" t="s" s="133">
        <v>109</v>
      </c>
      <c r="I43" t="s" s="134">
        <v>109</v>
      </c>
      <c r="J43" t="s" s="134">
        <v>97</v>
      </c>
      <c r="K43" t="str" s="135" cm="1">
        <f t="array" ref="K43">IF(OR(H43="ריביות",AND(H43="דירה כצנלסון",G43&lt;0,ISNUMBER(SEARCH("הכנסה",F43)))),"הכנסה שסווגה מחדש",J43)</f>
        <v>שוטף</v>
      </c>
      <c r="L43" t="s" s="134">
        <v>741</v>
      </c>
      <c r="M43" s="136" cm="1">
        <f t="array" ref="M43">IF(L43="מאושר",IF(K43="הכנסה שסווגה מחדש",0,G43),0)</f>
        <v>50</v>
      </c>
      <c r="N43" s="136" cm="1">
        <f t="array" ref="N43">IF(K43="שוטף",M43,0)</f>
        <v>50</v>
      </c>
      <c r="O43" s="136" cm="1">
        <f t="array" ref="O43">IF(K43="הכנסה שסווגה מחדש",-G43,0)</f>
        <v>0</v>
      </c>
      <c r="P43" t="s" s="80">
        <v>770</v>
      </c>
      <c r="Q43" s="100"/>
      <c r="R43" t="s" s="137">
        <v>743</v>
      </c>
      <c r="S43" s="77"/>
    </row>
    <row r="44" ht="13.65" customHeight="1">
      <c r="A44" s="84">
        <v>45658</v>
      </c>
      <c r="B44" t="s" s="85">
        <v>29</v>
      </c>
      <c r="C44" t="s" s="86">
        <v>738</v>
      </c>
      <c r="D44" s="138">
        <v>44</v>
      </c>
      <c r="E44" t="s" s="85">
        <v>775</v>
      </c>
      <c r="F44" t="s" s="86">
        <v>564</v>
      </c>
      <c r="G44" s="139">
        <v>72</v>
      </c>
      <c r="H44" t="s" s="140">
        <v>127</v>
      </c>
      <c r="I44" t="s" s="141">
        <v>127</v>
      </c>
      <c r="J44" t="s" s="141">
        <v>97</v>
      </c>
      <c r="K44" t="str" s="142" cm="1">
        <f t="array" ref="K44">IF(OR(H44="ריביות",AND(H44="דירה כצנלסון",G44&lt;0,ISNUMBER(SEARCH("הכנסה",F44)))),"הכנסה שסווגה מחדש",J44)</f>
        <v>שוטף</v>
      </c>
      <c r="L44" t="s" s="141">
        <v>741</v>
      </c>
      <c r="M44" s="143" cm="1">
        <f t="array" ref="M44">IF(L44="מאושר",IF(K44="הכנסה שסווגה מחדש",0,G44),0)</f>
        <v>72</v>
      </c>
      <c r="N44" s="143" cm="1">
        <f t="array" ref="N44">IF(K44="שוטף",M44,0)</f>
        <v>72</v>
      </c>
      <c r="O44" s="143" cm="1">
        <f t="array" ref="O44">IF(K44="הכנסה שסווגה מחדש",-G44,0)</f>
        <v>0</v>
      </c>
      <c r="P44" t="s" s="86">
        <v>770</v>
      </c>
      <c r="Q44" s="99"/>
      <c r="R44" t="s" s="144">
        <v>743</v>
      </c>
      <c r="S44" s="77"/>
    </row>
    <row r="45" ht="13.65" customHeight="1">
      <c r="A45" s="78">
        <v>45658</v>
      </c>
      <c r="B45" t="s" s="79">
        <v>29</v>
      </c>
      <c r="C45" t="s" s="80">
        <v>738</v>
      </c>
      <c r="D45" s="131">
        <v>45</v>
      </c>
      <c r="E45" t="s" s="79">
        <v>776</v>
      </c>
      <c r="F45" t="s" s="80">
        <v>267</v>
      </c>
      <c r="G45" s="132">
        <v>50</v>
      </c>
      <c r="H45" t="s" s="133">
        <v>109</v>
      </c>
      <c r="I45" t="s" s="134">
        <v>109</v>
      </c>
      <c r="J45" t="s" s="134">
        <v>97</v>
      </c>
      <c r="K45" t="str" s="135" cm="1">
        <f t="array" ref="K45">IF(OR(H45="ריביות",AND(H45="דירה כצנלסון",G45&lt;0,ISNUMBER(SEARCH("הכנסה",F45)))),"הכנסה שסווגה מחדש",J45)</f>
        <v>שוטף</v>
      </c>
      <c r="L45" t="s" s="134">
        <v>741</v>
      </c>
      <c r="M45" s="136" cm="1">
        <f t="array" ref="M45">IF(L45="מאושר",IF(K45="הכנסה שסווגה מחדש",0,G45),0)</f>
        <v>50</v>
      </c>
      <c r="N45" s="136" cm="1">
        <f t="array" ref="N45">IF(K45="שוטף",M45,0)</f>
        <v>50</v>
      </c>
      <c r="O45" s="136" cm="1">
        <f t="array" ref="O45">IF(K45="הכנסה שסווגה מחדש",-G45,0)</f>
        <v>0</v>
      </c>
      <c r="P45" t="s" s="80">
        <v>770</v>
      </c>
      <c r="Q45" s="100"/>
      <c r="R45" t="s" s="137">
        <v>743</v>
      </c>
      <c r="S45" s="77"/>
    </row>
    <row r="46" ht="13.65" customHeight="1">
      <c r="A46" s="84">
        <v>45658</v>
      </c>
      <c r="B46" t="s" s="85">
        <v>29</v>
      </c>
      <c r="C46" t="s" s="86">
        <v>738</v>
      </c>
      <c r="D46" s="138">
        <v>46</v>
      </c>
      <c r="E46" t="s" s="85">
        <v>776</v>
      </c>
      <c r="F46" t="s" s="86">
        <v>508</v>
      </c>
      <c r="G46" s="139">
        <v>17</v>
      </c>
      <c r="H46" t="s" s="140">
        <v>117</v>
      </c>
      <c r="I46" t="s" s="141">
        <v>117</v>
      </c>
      <c r="J46" t="s" s="141">
        <v>97</v>
      </c>
      <c r="K46" t="str" s="142" cm="1">
        <f t="array" ref="K46">IF(OR(H46="ריביות",AND(H46="דירה כצנלסון",G46&lt;0,ISNUMBER(SEARCH("הכנסה",F46)))),"הכנסה שסווגה מחדש",J46)</f>
        <v>שוטף</v>
      </c>
      <c r="L46" t="s" s="141">
        <v>741</v>
      </c>
      <c r="M46" s="143" cm="1">
        <f t="array" ref="M46">IF(L46="מאושר",IF(K46="הכנסה שסווגה מחדש",0,G46),0)</f>
        <v>17</v>
      </c>
      <c r="N46" s="143" cm="1">
        <f t="array" ref="N46">IF(K46="שוטף",M46,0)</f>
        <v>17</v>
      </c>
      <c r="O46" s="143" cm="1">
        <f t="array" ref="O46">IF(K46="הכנסה שסווגה מחדש",-G46,0)</f>
        <v>0</v>
      </c>
      <c r="P46" t="s" s="86">
        <v>770</v>
      </c>
      <c r="Q46" s="99"/>
      <c r="R46" t="s" s="144">
        <v>743</v>
      </c>
      <c r="S46" s="77"/>
    </row>
    <row r="47" ht="13.65" customHeight="1">
      <c r="A47" s="78">
        <v>45658</v>
      </c>
      <c r="B47" t="s" s="79">
        <v>29</v>
      </c>
      <c r="C47" t="s" s="80">
        <v>738</v>
      </c>
      <c r="D47" s="131">
        <v>47</v>
      </c>
      <c r="E47" t="s" s="79">
        <v>776</v>
      </c>
      <c r="F47" t="s" s="80">
        <v>262</v>
      </c>
      <c r="G47" s="132">
        <v>840</v>
      </c>
      <c r="H47" t="s" s="133">
        <v>767</v>
      </c>
      <c r="I47" t="s" s="134">
        <v>107</v>
      </c>
      <c r="J47" t="s" s="134">
        <v>97</v>
      </c>
      <c r="K47" t="str" s="135" cm="1">
        <f t="array" ref="K47">IF(OR(H47="ריביות",AND(H47="דירה כצנלסון",G47&lt;0,ISNUMBER(SEARCH("הכנסה",F47)))),"הכנסה שסווגה מחדש",J47)</f>
        <v>שוטף</v>
      </c>
      <c r="L47" t="s" s="134">
        <v>741</v>
      </c>
      <c r="M47" s="136" cm="1">
        <f t="array" ref="M47">IF(L47="מאושר",IF(K47="הכנסה שסווגה מחדש",0,G47),0)</f>
        <v>840</v>
      </c>
      <c r="N47" s="136" cm="1">
        <f t="array" ref="N47">IF(K47="שוטף",M47,0)</f>
        <v>840</v>
      </c>
      <c r="O47" s="136" cm="1">
        <f t="array" ref="O47">IF(K47="הכנסה שסווגה מחדש",-G47,0)</f>
        <v>0</v>
      </c>
      <c r="P47" t="s" s="80">
        <v>770</v>
      </c>
      <c r="Q47" s="100"/>
      <c r="R47" t="s" s="137">
        <v>743</v>
      </c>
      <c r="S47" s="77"/>
    </row>
    <row r="48" ht="13.65" customHeight="1">
      <c r="A48" s="84">
        <v>45658</v>
      </c>
      <c r="B48" t="s" s="85">
        <v>29</v>
      </c>
      <c r="C48" t="s" s="86">
        <v>738</v>
      </c>
      <c r="D48" s="138">
        <v>48</v>
      </c>
      <c r="E48" t="s" s="85">
        <v>777</v>
      </c>
      <c r="F48" t="s" s="86">
        <v>329</v>
      </c>
      <c r="G48" s="139">
        <v>70</v>
      </c>
      <c r="H48" t="s" s="140">
        <v>127</v>
      </c>
      <c r="I48" t="s" s="141">
        <v>127</v>
      </c>
      <c r="J48" t="s" s="141">
        <v>97</v>
      </c>
      <c r="K48" t="str" s="142" cm="1">
        <f t="array" ref="K48">IF(OR(H48="ריביות",AND(H48="דירה כצנלסון",G48&lt;0,ISNUMBER(SEARCH("הכנסה",F48)))),"הכנסה שסווגה מחדש",J48)</f>
        <v>שוטף</v>
      </c>
      <c r="L48" t="s" s="141">
        <v>741</v>
      </c>
      <c r="M48" s="143" cm="1">
        <f t="array" ref="M48">IF(L48="מאושר",IF(K48="הכנסה שסווגה מחדש",0,G48),0)</f>
        <v>70</v>
      </c>
      <c r="N48" s="143" cm="1">
        <f t="array" ref="N48">IF(K48="שוטף",M48,0)</f>
        <v>70</v>
      </c>
      <c r="O48" s="143" cm="1">
        <f t="array" ref="O48">IF(K48="הכנסה שסווגה מחדש",-G48,0)</f>
        <v>0</v>
      </c>
      <c r="P48" t="s" s="86">
        <v>770</v>
      </c>
      <c r="Q48" s="99"/>
      <c r="R48" t="s" s="144">
        <v>743</v>
      </c>
      <c r="S48" s="77"/>
    </row>
    <row r="49" ht="13.65" customHeight="1">
      <c r="A49" s="78">
        <v>45658</v>
      </c>
      <c r="B49" t="s" s="79">
        <v>29</v>
      </c>
      <c r="C49" t="s" s="80">
        <v>738</v>
      </c>
      <c r="D49" s="131">
        <v>49</v>
      </c>
      <c r="E49" t="s" s="79">
        <v>772</v>
      </c>
      <c r="F49" t="s" s="80">
        <v>196</v>
      </c>
      <c r="G49" s="132">
        <v>7500</v>
      </c>
      <c r="H49" t="s" s="133">
        <v>763</v>
      </c>
      <c r="I49" t="s" s="134">
        <v>96</v>
      </c>
      <c r="J49" t="s" s="134">
        <v>97</v>
      </c>
      <c r="K49" t="str" s="135" cm="1">
        <f t="array" ref="K49">IF(OR(H49="ריביות",AND(H49="דירה כצנלסון",G49&lt;0,ISNUMBER(SEARCH("הכנסה",F49)))),"הכנסה שסווגה מחדש",J49)</f>
        <v>שוטף</v>
      </c>
      <c r="L49" t="s" s="134">
        <v>741</v>
      </c>
      <c r="M49" s="136" cm="1">
        <f t="array" ref="M49">IF(L49="מאושר",IF(K49="הכנסה שסווגה מחדש",0,G49),0)</f>
        <v>7500</v>
      </c>
      <c r="N49" s="136" cm="1">
        <f t="array" ref="N49">IF(K49="שוטף",M49,0)</f>
        <v>7500</v>
      </c>
      <c r="O49" s="136" cm="1">
        <f t="array" ref="O49">IF(K49="הכנסה שסווגה מחדש",-G49,0)</f>
        <v>0</v>
      </c>
      <c r="P49" t="s" s="80">
        <v>778</v>
      </c>
      <c r="Q49" s="100"/>
      <c r="R49" t="s" s="137">
        <v>743</v>
      </c>
      <c r="S49" s="77"/>
    </row>
    <row r="50" ht="13.65" customHeight="1">
      <c r="A50" s="84">
        <v>45658</v>
      </c>
      <c r="B50" t="s" s="85">
        <v>29</v>
      </c>
      <c r="C50" t="s" s="86">
        <v>738</v>
      </c>
      <c r="D50" s="138">
        <v>50</v>
      </c>
      <c r="E50" t="s" s="85">
        <v>751</v>
      </c>
      <c r="F50" t="s" s="86">
        <v>197</v>
      </c>
      <c r="G50" s="139">
        <v>6123</v>
      </c>
      <c r="H50" t="s" s="140">
        <v>279</v>
      </c>
      <c r="I50" t="s" s="141">
        <v>99</v>
      </c>
      <c r="J50" t="s" s="141">
        <v>100</v>
      </c>
      <c r="K50" t="str" s="142" cm="1">
        <f t="array" ref="K50">IF(OR(H50="ריביות",AND(H50="דירה כצנלסון",G50&lt;0,ISNUMBER(SEARCH("הכנסה",F50)))),"הכנסה שסווגה מחדש",J50)</f>
        <v>חריג/נכס</v>
      </c>
      <c r="L50" t="s" s="141">
        <v>741</v>
      </c>
      <c r="M50" s="143" cm="1">
        <f t="array" ref="M50">IF(L50="מאושר",IF(K50="הכנסה שסווגה מחדש",0,G50),0)</f>
        <v>6123</v>
      </c>
      <c r="N50" s="143" cm="1">
        <f t="array" ref="N50">IF(K50="שוטף",M50,0)</f>
        <v>0</v>
      </c>
      <c r="O50" s="143" cm="1">
        <f t="array" ref="O50">IF(K50="הכנסה שסווגה מחדש",-G50,0)</f>
        <v>0</v>
      </c>
      <c r="P50" t="s" s="86">
        <v>778</v>
      </c>
      <c r="Q50" s="99"/>
      <c r="R50" t="s" s="144">
        <v>743</v>
      </c>
      <c r="S50" s="77"/>
    </row>
    <row r="51" ht="13.65" customHeight="1">
      <c r="A51" s="78">
        <v>45658</v>
      </c>
      <c r="B51" t="s" s="79">
        <v>29</v>
      </c>
      <c r="C51" t="s" s="80">
        <v>738</v>
      </c>
      <c r="D51" s="131">
        <v>51</v>
      </c>
      <c r="E51" t="s" s="79">
        <v>749</v>
      </c>
      <c r="F51" t="s" s="80">
        <v>651</v>
      </c>
      <c r="G51" s="132">
        <v>28</v>
      </c>
      <c r="H51" t="s" s="133">
        <v>139</v>
      </c>
      <c r="I51" t="s" s="134">
        <v>139</v>
      </c>
      <c r="J51" t="s" s="134">
        <v>97</v>
      </c>
      <c r="K51" t="str" s="135" cm="1">
        <f t="array" ref="K51">IF(OR(H51="ריביות",AND(H51="דירה כצנלסון",G51&lt;0,ISNUMBER(SEARCH("הכנסה",F51)))),"הכנסה שסווגה מחדש",J51)</f>
        <v>שוטף</v>
      </c>
      <c r="L51" t="s" s="134">
        <v>741</v>
      </c>
      <c r="M51" s="136" cm="1">
        <f t="array" ref="M51">IF(L51="מאושר",IF(K51="הכנסה שסווגה מחדש",0,G51),0)</f>
        <v>28</v>
      </c>
      <c r="N51" s="136" cm="1">
        <f t="array" ref="N51">IF(K51="שוטף",M51,0)</f>
        <v>28</v>
      </c>
      <c r="O51" s="136" cm="1">
        <f t="array" ref="O51">IF(K51="הכנסה שסווגה מחדש",-G51,0)</f>
        <v>0</v>
      </c>
      <c r="P51" t="s" s="80">
        <v>778</v>
      </c>
      <c r="Q51" s="100"/>
      <c r="R51" t="s" s="137">
        <v>743</v>
      </c>
      <c r="S51" s="77"/>
    </row>
    <row r="52" ht="13.65" customHeight="1">
      <c r="A52" s="84">
        <v>45658</v>
      </c>
      <c r="B52" t="s" s="85">
        <v>29</v>
      </c>
      <c r="C52" t="s" s="86">
        <v>738</v>
      </c>
      <c r="D52" s="138">
        <v>52</v>
      </c>
      <c r="E52" t="s" s="85">
        <v>46</v>
      </c>
      <c r="F52" t="s" s="86">
        <v>371</v>
      </c>
      <c r="G52" s="139">
        <v>400</v>
      </c>
      <c r="H52" t="s" s="140">
        <v>767</v>
      </c>
      <c r="I52" t="s" s="141">
        <v>107</v>
      </c>
      <c r="J52" t="s" s="141">
        <v>97</v>
      </c>
      <c r="K52" t="str" s="142" cm="1">
        <f t="array" ref="K52">IF(OR(H52="ריביות",AND(H52="דירה כצנלסון",G52&lt;0,ISNUMBER(SEARCH("הכנסה",F52)))),"הכנסה שסווגה מחדש",J52)</f>
        <v>שוטף</v>
      </c>
      <c r="L52" t="s" s="141">
        <v>741</v>
      </c>
      <c r="M52" s="143" cm="1">
        <f t="array" ref="M52">IF(L52="מאושר",IF(K52="הכנסה שסווגה מחדש",0,G52),0)</f>
        <v>400</v>
      </c>
      <c r="N52" s="143" cm="1">
        <f t="array" ref="N52">IF(K52="שוטף",M52,0)</f>
        <v>400</v>
      </c>
      <c r="O52" s="143" cm="1">
        <f t="array" ref="O52">IF(K52="הכנסה שסווגה מחדש",-G52,0)</f>
        <v>0</v>
      </c>
      <c r="P52" t="s" s="86">
        <v>779</v>
      </c>
      <c r="Q52" s="99"/>
      <c r="R52" t="s" s="144">
        <v>743</v>
      </c>
      <c r="S52" s="77"/>
    </row>
    <row r="53" ht="13.65" customHeight="1">
      <c r="A53" s="78">
        <v>45658</v>
      </c>
      <c r="B53" t="s" s="79">
        <v>29</v>
      </c>
      <c r="C53" t="s" s="80">
        <v>738</v>
      </c>
      <c r="D53" s="131">
        <v>53</v>
      </c>
      <c r="E53" t="s" s="79">
        <v>755</v>
      </c>
      <c r="F53" t="s" s="80">
        <v>200</v>
      </c>
      <c r="G53" s="132">
        <v>327</v>
      </c>
      <c r="H53" t="s" s="133">
        <v>109</v>
      </c>
      <c r="I53" t="s" s="134">
        <v>109</v>
      </c>
      <c r="J53" t="s" s="134">
        <v>97</v>
      </c>
      <c r="K53" t="str" s="135" cm="1">
        <f t="array" ref="K53">IF(OR(H53="ריביות",AND(H53="דירה כצנלסון",G53&lt;0,ISNUMBER(SEARCH("הכנסה",F53)))),"הכנסה שסווגה מחדש",J53)</f>
        <v>שוטף</v>
      </c>
      <c r="L53" t="s" s="134">
        <v>741</v>
      </c>
      <c r="M53" s="136" cm="1">
        <f t="array" ref="M53">IF(L53="מאושר",IF(K53="הכנסה שסווגה מחדש",0,G53),0)</f>
        <v>327</v>
      </c>
      <c r="N53" s="136" cm="1">
        <f t="array" ref="N53">IF(K53="שוטף",M53,0)</f>
        <v>327</v>
      </c>
      <c r="O53" s="136" cm="1">
        <f t="array" ref="O53">IF(K53="הכנסה שסווגה מחדש",-G53,0)</f>
        <v>0</v>
      </c>
      <c r="P53" t="s" s="80">
        <v>780</v>
      </c>
      <c r="Q53" s="100"/>
      <c r="R53" t="s" s="137">
        <v>743</v>
      </c>
      <c r="S53" s="77"/>
    </row>
    <row r="54" ht="13.65" customHeight="1">
      <c r="A54" s="84">
        <v>45658</v>
      </c>
      <c r="B54" t="s" s="85">
        <v>29</v>
      </c>
      <c r="C54" t="s" s="86">
        <v>738</v>
      </c>
      <c r="D54" s="138">
        <v>54</v>
      </c>
      <c r="E54" s="99"/>
      <c r="F54" t="s" s="86">
        <v>211</v>
      </c>
      <c r="G54" s="139">
        <v>400</v>
      </c>
      <c r="H54" t="s" s="140">
        <v>757</v>
      </c>
      <c r="I54" t="s" s="141">
        <v>96</v>
      </c>
      <c r="J54" t="s" s="141">
        <v>97</v>
      </c>
      <c r="K54" t="str" s="142" cm="1">
        <f t="array" ref="K54">IF(OR(H54="ריביות",AND(H54="דירה כצנלסון",G54&lt;0,ISNUMBER(SEARCH("הכנסה",F54)))),"הכנסה שסווגה מחדש",J54)</f>
        <v>שוטף</v>
      </c>
      <c r="L54" t="s" s="141">
        <v>741</v>
      </c>
      <c r="M54" s="143" cm="1">
        <f t="array" ref="M54">IF(L54="מאושר",IF(K54="הכנסה שסווגה מחדש",0,G54),0)</f>
        <v>400</v>
      </c>
      <c r="N54" s="143" cm="1">
        <f t="array" ref="N54">IF(K54="שוטף",M54,0)</f>
        <v>400</v>
      </c>
      <c r="O54" s="143" cm="1">
        <f t="array" ref="O54">IF(K54="הכנסה שסווגה מחדש",-G54,0)</f>
        <v>0</v>
      </c>
      <c r="P54" t="s" s="86">
        <v>781</v>
      </c>
      <c r="Q54" s="99"/>
      <c r="R54" t="s" s="144">
        <v>743</v>
      </c>
      <c r="S54" s="77"/>
    </row>
    <row r="55" ht="13.65" customHeight="1">
      <c r="A55" s="78">
        <v>45658</v>
      </c>
      <c r="B55" t="s" s="79">
        <v>29</v>
      </c>
      <c r="C55" t="s" s="80">
        <v>738</v>
      </c>
      <c r="D55" s="131">
        <v>55</v>
      </c>
      <c r="E55" t="s" s="79">
        <v>764</v>
      </c>
      <c r="F55" t="s" s="80">
        <v>383</v>
      </c>
      <c r="G55" s="132">
        <v>13</v>
      </c>
      <c r="H55" t="s" s="133">
        <v>109</v>
      </c>
      <c r="I55" t="s" s="134">
        <v>109</v>
      </c>
      <c r="J55" t="s" s="134">
        <v>97</v>
      </c>
      <c r="K55" t="str" s="135" cm="1">
        <f t="array" ref="K55">IF(OR(H55="ריביות",AND(H55="דירה כצנלסון",G55&lt;0,ISNUMBER(SEARCH("הכנסה",F55)))),"הכנסה שסווגה מחדש",J55)</f>
        <v>שוטף</v>
      </c>
      <c r="L55" t="s" s="134">
        <v>741</v>
      </c>
      <c r="M55" s="136" cm="1">
        <f t="array" ref="M55">IF(L55="מאושר",IF(K55="הכנסה שסווגה מחדש",0,G55),0)</f>
        <v>13</v>
      </c>
      <c r="N55" s="136" cm="1">
        <f t="array" ref="N55">IF(K55="שוטף",M55,0)</f>
        <v>13</v>
      </c>
      <c r="O55" s="136" cm="1">
        <f t="array" ref="O55">IF(K55="הכנסה שסווגה מחדש",-G55,0)</f>
        <v>0</v>
      </c>
      <c r="P55" t="s" s="80">
        <v>782</v>
      </c>
      <c r="Q55" s="100"/>
      <c r="R55" t="s" s="137">
        <v>743</v>
      </c>
      <c r="S55" s="77"/>
    </row>
    <row r="56" ht="13.65" customHeight="1">
      <c r="A56" s="84">
        <v>45658</v>
      </c>
      <c r="B56" t="s" s="85">
        <v>29</v>
      </c>
      <c r="C56" t="s" s="86">
        <v>738</v>
      </c>
      <c r="D56" s="138">
        <v>56</v>
      </c>
      <c r="E56" t="s" s="85">
        <v>773</v>
      </c>
      <c r="F56" t="s" s="86">
        <v>285</v>
      </c>
      <c r="G56" s="139">
        <v>1221</v>
      </c>
      <c r="H56" t="s" s="140">
        <v>115</v>
      </c>
      <c r="I56" t="s" s="141">
        <v>115</v>
      </c>
      <c r="J56" t="s" s="141">
        <v>97</v>
      </c>
      <c r="K56" t="str" s="142" cm="1">
        <f t="array" ref="K56">IF(OR(H56="ריביות",AND(H56="דירה כצנלסון",G56&lt;0,ISNUMBER(SEARCH("הכנסה",F56)))),"הכנסה שסווגה מחדש",J56)</f>
        <v>שוטף</v>
      </c>
      <c r="L56" t="s" s="141">
        <v>741</v>
      </c>
      <c r="M56" s="143" cm="1">
        <f t="array" ref="M56">IF(L56="מאושר",IF(K56="הכנסה שסווגה מחדש",0,G56),0)</f>
        <v>1221</v>
      </c>
      <c r="N56" s="143" cm="1">
        <f t="array" ref="N56">IF(K56="שוטף",M56,0)</f>
        <v>1221</v>
      </c>
      <c r="O56" s="143" cm="1">
        <f t="array" ref="O56">IF(K56="הכנסה שסווגה מחדש",-G56,0)</f>
        <v>0</v>
      </c>
      <c r="P56" t="s" s="86">
        <v>783</v>
      </c>
      <c r="Q56" s="99"/>
      <c r="R56" t="s" s="144">
        <v>743</v>
      </c>
      <c r="S56" s="77"/>
    </row>
    <row r="57" ht="13.65" customHeight="1">
      <c r="A57" s="78">
        <v>45658</v>
      </c>
      <c r="B57" t="s" s="79">
        <v>29</v>
      </c>
      <c r="C57" t="s" s="80">
        <v>738</v>
      </c>
      <c r="D57" s="131">
        <v>57</v>
      </c>
      <c r="E57" t="s" s="79">
        <v>744</v>
      </c>
      <c r="F57" t="s" s="80">
        <v>308</v>
      </c>
      <c r="G57" s="132">
        <v>59</v>
      </c>
      <c r="H57" t="s" s="133">
        <v>113</v>
      </c>
      <c r="I57" t="s" s="134">
        <v>113</v>
      </c>
      <c r="J57" t="s" s="134">
        <v>97</v>
      </c>
      <c r="K57" t="str" s="135" cm="1">
        <f t="array" ref="K57">IF(OR(H57="ריביות",AND(H57="דירה כצנלסון",G57&lt;0,ISNUMBER(SEARCH("הכנסה",F57)))),"הכנסה שסווגה מחדש",J57)</f>
        <v>שוטף</v>
      </c>
      <c r="L57" t="s" s="134">
        <v>741</v>
      </c>
      <c r="M57" s="136" cm="1">
        <f t="array" ref="M57">IF(L57="מאושר",IF(K57="הכנסה שסווגה מחדש",0,G57),0)</f>
        <v>59</v>
      </c>
      <c r="N57" s="136" cm="1">
        <f t="array" ref="N57">IF(K57="שוטף",M57,0)</f>
        <v>59</v>
      </c>
      <c r="O57" s="136" cm="1">
        <f t="array" ref="O57">IF(K57="הכנסה שסווגה מחדש",-G57,0)</f>
        <v>0</v>
      </c>
      <c r="P57" t="s" s="80">
        <v>783</v>
      </c>
      <c r="Q57" s="100"/>
      <c r="R57" t="s" s="137">
        <v>743</v>
      </c>
      <c r="S57" s="77"/>
    </row>
    <row r="58" ht="13.65" customHeight="1">
      <c r="A58" s="84">
        <v>45658</v>
      </c>
      <c r="B58" t="s" s="85">
        <v>29</v>
      </c>
      <c r="C58" t="s" s="86">
        <v>738</v>
      </c>
      <c r="D58" s="138">
        <v>58</v>
      </c>
      <c r="E58" t="s" s="85">
        <v>765</v>
      </c>
      <c r="F58" t="s" s="86">
        <v>349</v>
      </c>
      <c r="G58" s="139">
        <v>33</v>
      </c>
      <c r="H58" t="s" s="140">
        <v>113</v>
      </c>
      <c r="I58" t="s" s="141">
        <v>113</v>
      </c>
      <c r="J58" t="s" s="141">
        <v>97</v>
      </c>
      <c r="K58" t="str" s="142" cm="1">
        <f t="array" ref="K58">IF(OR(H58="ריביות",AND(H58="דירה כצנלסון",G58&lt;0,ISNUMBER(SEARCH("הכנסה",F58)))),"הכנסה שסווגה מחדש",J58)</f>
        <v>שוטף</v>
      </c>
      <c r="L58" t="s" s="141">
        <v>741</v>
      </c>
      <c r="M58" s="143" cm="1">
        <f t="array" ref="M58">IF(L58="מאושר",IF(K58="הכנסה שסווגה מחדש",0,G58),0)</f>
        <v>33</v>
      </c>
      <c r="N58" s="143" cm="1">
        <f t="array" ref="N58">IF(K58="שוטף",M58,0)</f>
        <v>33</v>
      </c>
      <c r="O58" s="143" cm="1">
        <f t="array" ref="O58">IF(K58="הכנסה שסווגה מחדש",-G58,0)</f>
        <v>0</v>
      </c>
      <c r="P58" t="s" s="86">
        <v>783</v>
      </c>
      <c r="Q58" s="99"/>
      <c r="R58" t="s" s="144">
        <v>743</v>
      </c>
      <c r="S58" s="77"/>
    </row>
    <row r="59" ht="13.65" customHeight="1">
      <c r="A59" s="78">
        <v>45658</v>
      </c>
      <c r="B59" t="s" s="79">
        <v>29</v>
      </c>
      <c r="C59" t="s" s="80">
        <v>738</v>
      </c>
      <c r="D59" s="131">
        <v>59</v>
      </c>
      <c r="E59" t="s" s="79">
        <v>759</v>
      </c>
      <c r="F59" t="s" s="80">
        <v>655</v>
      </c>
      <c r="G59" s="132">
        <v>25</v>
      </c>
      <c r="H59" t="s" s="133">
        <v>113</v>
      </c>
      <c r="I59" t="s" s="134">
        <v>113</v>
      </c>
      <c r="J59" t="s" s="134">
        <v>97</v>
      </c>
      <c r="K59" t="str" s="135" cm="1">
        <f t="array" ref="K59">IF(OR(H59="ריביות",AND(H59="דירה כצנלסון",G59&lt;0,ISNUMBER(SEARCH("הכנסה",F59)))),"הכנסה שסווגה מחדש",J59)</f>
        <v>שוטף</v>
      </c>
      <c r="L59" t="s" s="134">
        <v>741</v>
      </c>
      <c r="M59" s="136" cm="1">
        <f t="array" ref="M59">IF(L59="מאושר",IF(K59="הכנסה שסווגה מחדש",0,G59),0)</f>
        <v>25</v>
      </c>
      <c r="N59" s="136" cm="1">
        <f t="array" ref="N59">IF(K59="שוטף",M59,0)</f>
        <v>25</v>
      </c>
      <c r="O59" s="136" cm="1">
        <f t="array" ref="O59">IF(K59="הכנסה שסווגה מחדש",-G59,0)</f>
        <v>0</v>
      </c>
      <c r="P59" t="s" s="80">
        <v>783</v>
      </c>
      <c r="Q59" s="100"/>
      <c r="R59" t="s" s="137">
        <v>743</v>
      </c>
      <c r="S59" s="77"/>
    </row>
    <row r="60" ht="13.65" customHeight="1">
      <c r="A60" s="84">
        <v>45658</v>
      </c>
      <c r="B60" t="s" s="85">
        <v>29</v>
      </c>
      <c r="C60" t="s" s="86">
        <v>738</v>
      </c>
      <c r="D60" s="138">
        <v>60</v>
      </c>
      <c r="E60" t="s" s="85">
        <v>759</v>
      </c>
      <c r="F60" t="s" s="86">
        <v>244</v>
      </c>
      <c r="G60" s="139">
        <v>2500</v>
      </c>
      <c r="H60" t="s" s="140">
        <v>105</v>
      </c>
      <c r="I60" t="s" s="141">
        <v>105</v>
      </c>
      <c r="J60" t="s" s="141">
        <v>103</v>
      </c>
      <c r="K60" t="str" s="142" cm="1">
        <f t="array" ref="K60">IF(OR(H60="ריביות",AND(H60="דירה כצנלסון",G60&lt;0,ISNUMBER(SEARCH("הכנסה",F60)))),"הכנסה שסווגה מחדש",J60)</f>
        <v>חריג</v>
      </c>
      <c r="L60" t="s" s="141">
        <v>741</v>
      </c>
      <c r="M60" s="143" cm="1">
        <f t="array" ref="M60">IF(L60="מאושר",IF(K60="הכנסה שסווגה מחדש",0,G60),0)</f>
        <v>2500</v>
      </c>
      <c r="N60" s="143" cm="1">
        <f t="array" ref="N60">IF(K60="שוטף",M60,0)</f>
        <v>0</v>
      </c>
      <c r="O60" s="143" cm="1">
        <f t="array" ref="O60">IF(K60="הכנסה שסווגה מחדש",-G60,0)</f>
        <v>0</v>
      </c>
      <c r="P60" t="s" s="86">
        <v>783</v>
      </c>
      <c r="Q60" s="99"/>
      <c r="R60" t="s" s="144">
        <v>743</v>
      </c>
      <c r="S60" s="77"/>
    </row>
    <row r="61" ht="13.65" customHeight="1">
      <c r="A61" s="78">
        <v>45658</v>
      </c>
      <c r="B61" t="s" s="79">
        <v>29</v>
      </c>
      <c r="C61" t="s" s="80">
        <v>738</v>
      </c>
      <c r="D61" s="131">
        <v>61</v>
      </c>
      <c r="E61" t="s" s="79">
        <v>775</v>
      </c>
      <c r="F61" t="s" s="80">
        <v>261</v>
      </c>
      <c r="G61" s="132">
        <v>1797</v>
      </c>
      <c r="H61" t="s" s="133">
        <v>115</v>
      </c>
      <c r="I61" t="s" s="134">
        <v>115</v>
      </c>
      <c r="J61" t="s" s="134">
        <v>97</v>
      </c>
      <c r="K61" t="str" s="135" cm="1">
        <f t="array" ref="K61">IF(OR(H61="ריביות",AND(H61="דירה כצנלסון",G61&lt;0,ISNUMBER(SEARCH("הכנסה",F61)))),"הכנסה שסווגה מחדש",J61)</f>
        <v>שוטף</v>
      </c>
      <c r="L61" t="s" s="134">
        <v>741</v>
      </c>
      <c r="M61" s="136" cm="1">
        <f t="array" ref="M61">IF(L61="מאושר",IF(K61="הכנסה שסווגה מחדש",0,G61),0)</f>
        <v>1797</v>
      </c>
      <c r="N61" s="136" cm="1">
        <f t="array" ref="N61">IF(K61="שוטף",M61,0)</f>
        <v>1797</v>
      </c>
      <c r="O61" s="136" cm="1">
        <f t="array" ref="O61">IF(K61="הכנסה שסווגה מחדש",-G61,0)</f>
        <v>0</v>
      </c>
      <c r="P61" t="s" s="80">
        <v>783</v>
      </c>
      <c r="Q61" s="100"/>
      <c r="R61" t="s" s="137">
        <v>743</v>
      </c>
      <c r="S61" s="77"/>
    </row>
    <row r="62" ht="13.65" customHeight="1">
      <c r="A62" s="84">
        <v>45658</v>
      </c>
      <c r="B62" t="s" s="85">
        <v>29</v>
      </c>
      <c r="C62" t="s" s="86">
        <v>738</v>
      </c>
      <c r="D62" s="138">
        <v>62</v>
      </c>
      <c r="E62" t="s" s="85">
        <v>764</v>
      </c>
      <c r="F62" t="s" s="86">
        <v>228</v>
      </c>
      <c r="G62" s="139">
        <v>2683</v>
      </c>
      <c r="H62" t="s" s="140">
        <v>115</v>
      </c>
      <c r="I62" t="s" s="141">
        <v>115</v>
      </c>
      <c r="J62" t="s" s="141">
        <v>97</v>
      </c>
      <c r="K62" t="str" s="142" cm="1">
        <f t="array" ref="K62">IF(OR(H62="ריביות",AND(H62="דירה כצנלסון",G62&lt;0,ISNUMBER(SEARCH("הכנסה",F62)))),"הכנסה שסווגה מחדש",J62)</f>
        <v>שוטף</v>
      </c>
      <c r="L62" t="s" s="141">
        <v>741</v>
      </c>
      <c r="M62" s="143" cm="1">
        <f t="array" ref="M62">IF(L62="מאושר",IF(K62="הכנסה שסווגה מחדש",0,G62),0)</f>
        <v>2683</v>
      </c>
      <c r="N62" s="143" cm="1">
        <f t="array" ref="N62">IF(K62="שוטף",M62,0)</f>
        <v>2683</v>
      </c>
      <c r="O62" s="143" cm="1">
        <f t="array" ref="O62">IF(K62="הכנסה שסווגה מחדש",-G62,0)</f>
        <v>0</v>
      </c>
      <c r="P62" t="s" s="86">
        <v>783</v>
      </c>
      <c r="Q62" s="99"/>
      <c r="R62" t="s" s="144">
        <v>743</v>
      </c>
      <c r="S62" s="77"/>
    </row>
    <row r="63" ht="13.65" customHeight="1">
      <c r="A63" s="78">
        <v>45658</v>
      </c>
      <c r="B63" t="s" s="79">
        <v>29</v>
      </c>
      <c r="C63" t="s" s="80">
        <v>738</v>
      </c>
      <c r="D63" s="131">
        <v>63</v>
      </c>
      <c r="E63" t="s" s="79">
        <v>777</v>
      </c>
      <c r="F63" t="s" s="80">
        <v>634</v>
      </c>
      <c r="G63" s="132">
        <v>35</v>
      </c>
      <c r="H63" t="s" s="133">
        <v>117</v>
      </c>
      <c r="I63" t="s" s="134">
        <v>117</v>
      </c>
      <c r="J63" t="s" s="134">
        <v>97</v>
      </c>
      <c r="K63" t="str" s="135" cm="1">
        <f t="array" ref="K63">IF(OR(H63="ריביות",AND(H63="דירה כצנלסון",G63&lt;0,ISNUMBER(SEARCH("הכנסה",F63)))),"הכנסה שסווגה מחדש",J63)</f>
        <v>שוטף</v>
      </c>
      <c r="L63" t="s" s="134">
        <v>741</v>
      </c>
      <c r="M63" s="136" cm="1">
        <f t="array" ref="M63">IF(L63="מאושר",IF(K63="הכנסה שסווגה מחדש",0,G63),0)</f>
        <v>35</v>
      </c>
      <c r="N63" s="136" cm="1">
        <f t="array" ref="N63">IF(K63="שוטף",M63,0)</f>
        <v>35</v>
      </c>
      <c r="O63" s="136" cm="1">
        <f t="array" ref="O63">IF(K63="הכנסה שסווגה מחדש",-G63,0)</f>
        <v>0</v>
      </c>
      <c r="P63" t="s" s="80">
        <v>783</v>
      </c>
      <c r="Q63" s="100"/>
      <c r="R63" t="s" s="137">
        <v>743</v>
      </c>
      <c r="S63" s="77"/>
    </row>
    <row r="64" ht="13.65" customHeight="1">
      <c r="A64" s="84">
        <v>45658</v>
      </c>
      <c r="B64" t="s" s="85">
        <v>29</v>
      </c>
      <c r="C64" t="s" s="86">
        <v>738</v>
      </c>
      <c r="D64" s="138">
        <v>64</v>
      </c>
      <c r="E64" t="s" s="85">
        <v>739</v>
      </c>
      <c r="F64" t="s" s="86">
        <v>200</v>
      </c>
      <c r="G64" s="139">
        <v>205</v>
      </c>
      <c r="H64" t="s" s="140">
        <v>109</v>
      </c>
      <c r="I64" t="s" s="141">
        <v>109</v>
      </c>
      <c r="J64" t="s" s="141">
        <v>97</v>
      </c>
      <c r="K64" t="str" s="142" cm="1">
        <f t="array" ref="K64">IF(OR(H64="ריביות",AND(H64="דירה כצנלסון",G64&lt;0,ISNUMBER(SEARCH("הכנסה",F64)))),"הכנסה שסווגה מחדש",J64)</f>
        <v>שוטף</v>
      </c>
      <c r="L64" t="s" s="141">
        <v>741</v>
      </c>
      <c r="M64" s="143" cm="1">
        <f t="array" ref="M64">IF(L64="מאושר",IF(K64="הכנסה שסווגה מחדש",0,G64),0)</f>
        <v>205</v>
      </c>
      <c r="N64" s="143" cm="1">
        <f t="array" ref="N64">IF(K64="שוטף",M64,0)</f>
        <v>205</v>
      </c>
      <c r="O64" s="143" cm="1">
        <f t="array" ref="O64">IF(K64="הכנסה שסווגה מחדש",-G64,0)</f>
        <v>0</v>
      </c>
      <c r="P64" t="s" s="86">
        <v>784</v>
      </c>
      <c r="Q64" s="99"/>
      <c r="R64" t="s" s="144">
        <v>743</v>
      </c>
      <c r="S64" s="77"/>
    </row>
    <row r="65" ht="13.65" customHeight="1">
      <c r="A65" s="78">
        <v>45658</v>
      </c>
      <c r="B65" t="s" s="79">
        <v>29</v>
      </c>
      <c r="C65" t="s" s="80">
        <v>738</v>
      </c>
      <c r="D65" s="131">
        <v>65</v>
      </c>
      <c r="E65" t="s" s="79">
        <v>774</v>
      </c>
      <c r="F65" t="s" s="80">
        <v>200</v>
      </c>
      <c r="G65" s="132">
        <v>104</v>
      </c>
      <c r="H65" t="s" s="133">
        <v>109</v>
      </c>
      <c r="I65" t="s" s="134">
        <v>109</v>
      </c>
      <c r="J65" t="s" s="134">
        <v>97</v>
      </c>
      <c r="K65" t="str" s="135" cm="1">
        <f t="array" ref="K65">IF(OR(H65="ריביות",AND(H65="דירה כצנלסון",G65&lt;0,ISNUMBER(SEARCH("הכנסה",F65)))),"הכנסה שסווגה מחדש",J65)</f>
        <v>שוטף</v>
      </c>
      <c r="L65" t="s" s="134">
        <v>741</v>
      </c>
      <c r="M65" s="136" cm="1">
        <f t="array" ref="M65">IF(L65="מאושר",IF(K65="הכנסה שסווגה מחדש",0,G65),0)</f>
        <v>104</v>
      </c>
      <c r="N65" s="136" cm="1">
        <f t="array" ref="N65">IF(K65="שוטף",M65,0)</f>
        <v>104</v>
      </c>
      <c r="O65" s="136" cm="1">
        <f t="array" ref="O65">IF(K65="הכנסה שסווגה מחדש",-G65,0)</f>
        <v>0</v>
      </c>
      <c r="P65" t="s" s="80">
        <v>784</v>
      </c>
      <c r="Q65" s="100"/>
      <c r="R65" t="s" s="137">
        <v>743</v>
      </c>
      <c r="S65" s="77"/>
    </row>
    <row r="66" ht="13.65" customHeight="1">
      <c r="A66" s="84">
        <v>45658</v>
      </c>
      <c r="B66" t="s" s="85">
        <v>29</v>
      </c>
      <c r="C66" t="s" s="86">
        <v>738</v>
      </c>
      <c r="D66" s="138">
        <v>66</v>
      </c>
      <c r="E66" t="s" s="85">
        <v>768</v>
      </c>
      <c r="F66" t="s" s="86">
        <v>200</v>
      </c>
      <c r="G66" s="139">
        <v>8</v>
      </c>
      <c r="H66" t="s" s="140">
        <v>109</v>
      </c>
      <c r="I66" t="s" s="141">
        <v>109</v>
      </c>
      <c r="J66" t="s" s="141">
        <v>97</v>
      </c>
      <c r="K66" t="str" s="142" cm="1">
        <f t="array" ref="K66">IF(OR(H66="ריביות",AND(H66="דירה כצנלסון",G66&lt;0,ISNUMBER(SEARCH("הכנסה",F66)))),"הכנסה שסווגה מחדש",J66)</f>
        <v>שוטף</v>
      </c>
      <c r="L66" t="s" s="141">
        <v>741</v>
      </c>
      <c r="M66" s="143" cm="1">
        <f t="array" ref="M66">IF(L66="מאושר",IF(K66="הכנסה שסווגה מחדש",0,G66),0)</f>
        <v>8</v>
      </c>
      <c r="N66" s="143" cm="1">
        <f t="array" ref="N66">IF(K66="שוטף",M66,0)</f>
        <v>8</v>
      </c>
      <c r="O66" s="143" cm="1">
        <f t="array" ref="O66">IF(K66="הכנסה שסווגה מחדש",-G66,0)</f>
        <v>0</v>
      </c>
      <c r="P66" t="s" s="86">
        <v>784</v>
      </c>
      <c r="Q66" s="99"/>
      <c r="R66" t="s" s="144">
        <v>743</v>
      </c>
      <c r="S66" s="77"/>
    </row>
    <row r="67" ht="13.65" customHeight="1">
      <c r="A67" s="78">
        <v>45658</v>
      </c>
      <c r="B67" t="s" s="79">
        <v>29</v>
      </c>
      <c r="C67" t="s" s="80">
        <v>738</v>
      </c>
      <c r="D67" s="131">
        <v>67</v>
      </c>
      <c r="E67" t="s" s="79">
        <v>766</v>
      </c>
      <c r="F67" t="s" s="80">
        <v>200</v>
      </c>
      <c r="G67" s="132">
        <v>47</v>
      </c>
      <c r="H67" t="s" s="133">
        <v>109</v>
      </c>
      <c r="I67" t="s" s="134">
        <v>109</v>
      </c>
      <c r="J67" t="s" s="134">
        <v>97</v>
      </c>
      <c r="K67" t="str" s="135" cm="1">
        <f t="array" ref="K67">IF(OR(H67="ריביות",AND(H67="דירה כצנלסון",G67&lt;0,ISNUMBER(SEARCH("הכנסה",F67)))),"הכנסה שסווגה מחדש",J67)</f>
        <v>שוטף</v>
      </c>
      <c r="L67" t="s" s="134">
        <v>741</v>
      </c>
      <c r="M67" s="136" cm="1">
        <f t="array" ref="M67">IF(L67="מאושר",IF(K67="הכנסה שסווגה מחדש",0,G67),0)</f>
        <v>47</v>
      </c>
      <c r="N67" s="136" cm="1">
        <f t="array" ref="N67">IF(K67="שוטף",M67,0)</f>
        <v>47</v>
      </c>
      <c r="O67" s="136" cm="1">
        <f t="array" ref="O67">IF(K67="הכנסה שסווגה מחדש",-G67,0)</f>
        <v>0</v>
      </c>
      <c r="P67" t="s" s="80">
        <v>784</v>
      </c>
      <c r="Q67" s="100"/>
      <c r="R67" t="s" s="137">
        <v>743</v>
      </c>
      <c r="S67" s="77"/>
    </row>
    <row r="68" ht="13.65" customHeight="1">
      <c r="A68" s="84">
        <v>45658</v>
      </c>
      <c r="B68" t="s" s="85">
        <v>29</v>
      </c>
      <c r="C68" t="s" s="86">
        <v>738</v>
      </c>
      <c r="D68" s="138">
        <v>68</v>
      </c>
      <c r="E68" t="s" s="85">
        <v>759</v>
      </c>
      <c r="F68" t="s" s="86">
        <v>296</v>
      </c>
      <c r="G68" s="139">
        <v>635</v>
      </c>
      <c r="H68" t="s" s="140">
        <v>113</v>
      </c>
      <c r="I68" t="s" s="141">
        <v>113</v>
      </c>
      <c r="J68" t="s" s="141">
        <v>97</v>
      </c>
      <c r="K68" t="str" s="142" cm="1">
        <f t="array" ref="K68">IF(OR(H68="ריביות",AND(H68="דירה כצנלסון",G68&lt;0,ISNUMBER(SEARCH("הכנסה",F68)))),"הכנסה שסווגה מחדש",J68)</f>
        <v>שוטף</v>
      </c>
      <c r="L68" t="s" s="141">
        <v>741</v>
      </c>
      <c r="M68" s="143" cm="1">
        <f t="array" ref="M68">IF(L68="מאושר",IF(K68="הכנסה שסווגה מחדש",0,G68),0)</f>
        <v>635</v>
      </c>
      <c r="N68" s="143" cm="1">
        <f t="array" ref="N68">IF(K68="שוטף",M68,0)</f>
        <v>635</v>
      </c>
      <c r="O68" s="143" cm="1">
        <f t="array" ref="O68">IF(K68="הכנסה שסווגה מחדש",-G68,0)</f>
        <v>0</v>
      </c>
      <c r="P68" t="s" s="86">
        <v>784</v>
      </c>
      <c r="Q68" s="99"/>
      <c r="R68" t="s" s="144">
        <v>743</v>
      </c>
      <c r="S68" s="77"/>
    </row>
    <row r="69" ht="13.65" customHeight="1">
      <c r="A69" s="78">
        <v>45658</v>
      </c>
      <c r="B69" t="s" s="79">
        <v>29</v>
      </c>
      <c r="C69" t="s" s="80">
        <v>738</v>
      </c>
      <c r="D69" s="131">
        <v>69</v>
      </c>
      <c r="E69" t="s" s="79">
        <v>775</v>
      </c>
      <c r="F69" t="s" s="80">
        <v>200</v>
      </c>
      <c r="G69" s="132">
        <v>62</v>
      </c>
      <c r="H69" t="s" s="133">
        <v>109</v>
      </c>
      <c r="I69" t="s" s="134">
        <v>109</v>
      </c>
      <c r="J69" t="s" s="134">
        <v>97</v>
      </c>
      <c r="K69" t="str" s="135" cm="1">
        <f t="array" ref="K69">IF(OR(H69="ריביות",AND(H69="דירה כצנלסון",G69&lt;0,ISNUMBER(SEARCH("הכנסה",F69)))),"הכנסה שסווגה מחדש",J69)</f>
        <v>שוטף</v>
      </c>
      <c r="L69" t="s" s="134">
        <v>741</v>
      </c>
      <c r="M69" s="136" cm="1">
        <f t="array" ref="M69">IF(L69="מאושר",IF(K69="הכנסה שסווגה מחדש",0,G69),0)</f>
        <v>62</v>
      </c>
      <c r="N69" s="136" cm="1">
        <f t="array" ref="N69">IF(K69="שוטף",M69,0)</f>
        <v>62</v>
      </c>
      <c r="O69" s="136" cm="1">
        <f t="array" ref="O69">IF(K69="הכנסה שסווגה מחדש",-G69,0)</f>
        <v>0</v>
      </c>
      <c r="P69" t="s" s="80">
        <v>784</v>
      </c>
      <c r="Q69" s="100"/>
      <c r="R69" t="s" s="137">
        <v>743</v>
      </c>
      <c r="S69" s="77"/>
    </row>
    <row r="70" ht="13.65" customHeight="1">
      <c r="A70" s="84">
        <v>45658</v>
      </c>
      <c r="B70" t="s" s="85">
        <v>29</v>
      </c>
      <c r="C70" t="s" s="86">
        <v>738</v>
      </c>
      <c r="D70" s="138">
        <v>70</v>
      </c>
      <c r="E70" t="s" s="85">
        <v>764</v>
      </c>
      <c r="F70" t="s" s="86">
        <v>200</v>
      </c>
      <c r="G70" s="139">
        <v>151</v>
      </c>
      <c r="H70" t="s" s="140">
        <v>109</v>
      </c>
      <c r="I70" t="s" s="141">
        <v>109</v>
      </c>
      <c r="J70" t="s" s="141">
        <v>97</v>
      </c>
      <c r="K70" t="str" s="142" cm="1">
        <f t="array" ref="K70">IF(OR(H70="ריביות",AND(H70="דירה כצנלסון",G70&lt;0,ISNUMBER(SEARCH("הכנסה",F70)))),"הכנסה שסווגה מחדש",J70)</f>
        <v>שוטף</v>
      </c>
      <c r="L70" t="s" s="141">
        <v>741</v>
      </c>
      <c r="M70" s="143" cm="1">
        <f t="array" ref="M70">IF(L70="מאושר",IF(K70="הכנסה שסווגה מחדש",0,G70),0)</f>
        <v>151</v>
      </c>
      <c r="N70" s="143" cm="1">
        <f t="array" ref="N70">IF(K70="שוטף",M70,0)</f>
        <v>151</v>
      </c>
      <c r="O70" s="143" cm="1">
        <f t="array" ref="O70">IF(K70="הכנסה שסווגה מחדש",-G70,0)</f>
        <v>0</v>
      </c>
      <c r="P70" t="s" s="86">
        <v>784</v>
      </c>
      <c r="Q70" s="99"/>
      <c r="R70" t="s" s="144">
        <v>743</v>
      </c>
      <c r="S70" s="77"/>
    </row>
    <row r="71" ht="13.65" customHeight="1">
      <c r="A71" s="78">
        <v>45658</v>
      </c>
      <c r="B71" t="s" s="79">
        <v>29</v>
      </c>
      <c r="C71" t="s" s="80">
        <v>738</v>
      </c>
      <c r="D71" s="131">
        <v>71</v>
      </c>
      <c r="E71" t="s" s="79">
        <v>777</v>
      </c>
      <c r="F71" t="s" s="80">
        <v>200</v>
      </c>
      <c r="G71" s="132">
        <v>59</v>
      </c>
      <c r="H71" t="s" s="133">
        <v>109</v>
      </c>
      <c r="I71" t="s" s="134">
        <v>109</v>
      </c>
      <c r="J71" t="s" s="134">
        <v>97</v>
      </c>
      <c r="K71" t="str" s="135" cm="1">
        <f t="array" ref="K71">IF(OR(H71="ריביות",AND(H71="דירה כצנלסון",G71&lt;0,ISNUMBER(SEARCH("הכנסה",F71)))),"הכנסה שסווגה מחדש",J71)</f>
        <v>שוטף</v>
      </c>
      <c r="L71" t="s" s="134">
        <v>741</v>
      </c>
      <c r="M71" s="136" cm="1">
        <f t="array" ref="M71">IF(L71="מאושר",IF(K71="הכנסה שסווגה מחדש",0,G71),0)</f>
        <v>59</v>
      </c>
      <c r="N71" s="136" cm="1">
        <f t="array" ref="N71">IF(K71="שוטף",M71,0)</f>
        <v>59</v>
      </c>
      <c r="O71" s="136" cm="1">
        <f t="array" ref="O71">IF(K71="הכנסה שסווגה מחדש",-G71,0)</f>
        <v>0</v>
      </c>
      <c r="P71" t="s" s="80">
        <v>784</v>
      </c>
      <c r="Q71" s="100"/>
      <c r="R71" t="s" s="137">
        <v>743</v>
      </c>
      <c r="S71" s="77"/>
    </row>
    <row r="72" ht="13.65" customHeight="1">
      <c r="A72" s="84">
        <v>45658</v>
      </c>
      <c r="B72" t="s" s="85">
        <v>29</v>
      </c>
      <c r="C72" t="s" s="86">
        <v>738</v>
      </c>
      <c r="D72" s="138">
        <v>72</v>
      </c>
      <c r="E72" s="99"/>
      <c r="F72" t="s" s="86">
        <v>221</v>
      </c>
      <c r="G72" s="139">
        <v>0</v>
      </c>
      <c r="H72" t="s" s="140">
        <v>757</v>
      </c>
      <c r="I72" t="s" s="141">
        <v>96</v>
      </c>
      <c r="J72" t="s" s="141">
        <v>97</v>
      </c>
      <c r="K72" t="str" s="142" cm="1">
        <f t="array" ref="K72">IF(OR(H72="ריביות",AND(H72="דירה כצנלסון",G72&lt;0,ISNUMBER(SEARCH("הכנסה",F72)))),"הכנסה שסווגה מחדש",J72)</f>
        <v>שוטף</v>
      </c>
      <c r="L72" t="s" s="141">
        <v>741</v>
      </c>
      <c r="M72" s="143" cm="1">
        <f t="array" ref="M72">IF(L72="מאושר",IF(K72="הכנסה שסווגה מחדש",0,G72),0)</f>
        <v>0</v>
      </c>
      <c r="N72" s="143" cm="1">
        <f t="array" ref="N72">IF(K72="שוטף",M72,0)</f>
        <v>0</v>
      </c>
      <c r="O72" s="143" cm="1">
        <f t="array" ref="O72">IF(K72="הכנסה שסווגה מחדש",-G72,0)</f>
        <v>0</v>
      </c>
      <c r="P72" s="99"/>
      <c r="Q72" s="99"/>
      <c r="R72" t="s" s="144">
        <v>743</v>
      </c>
      <c r="S72" s="77"/>
    </row>
    <row r="73" ht="13.65" customHeight="1">
      <c r="A73" s="78">
        <v>45658</v>
      </c>
      <c r="B73" t="s" s="79">
        <v>29</v>
      </c>
      <c r="C73" t="s" s="80">
        <v>738</v>
      </c>
      <c r="D73" s="131">
        <v>73</v>
      </c>
      <c r="E73" s="100"/>
      <c r="F73" t="s" s="80">
        <v>232</v>
      </c>
      <c r="G73" s="132">
        <v>0</v>
      </c>
      <c r="H73" t="s" s="133">
        <v>757</v>
      </c>
      <c r="I73" t="s" s="134">
        <v>96</v>
      </c>
      <c r="J73" t="s" s="134">
        <v>97</v>
      </c>
      <c r="K73" t="str" s="135" cm="1">
        <f t="array" ref="K73">IF(OR(H73="ריביות",AND(H73="דירה כצנלסון",G73&lt;0,ISNUMBER(SEARCH("הכנסה",F73)))),"הכנסה שסווגה מחדש",J73)</f>
        <v>שוטף</v>
      </c>
      <c r="L73" t="s" s="134">
        <v>741</v>
      </c>
      <c r="M73" s="136" cm="1">
        <f t="array" ref="M73">IF(L73="מאושר",IF(K73="הכנסה שסווגה מחדש",0,G73),0)</f>
        <v>0</v>
      </c>
      <c r="N73" s="136" cm="1">
        <f t="array" ref="N73">IF(K73="שוטף",M73,0)</f>
        <v>0</v>
      </c>
      <c r="O73" s="136" cm="1">
        <f t="array" ref="O73">IF(K73="הכנסה שסווגה מחדש",-G73,0)</f>
        <v>0</v>
      </c>
      <c r="P73" s="100"/>
      <c r="Q73" s="100"/>
      <c r="R73" t="s" s="137">
        <v>743</v>
      </c>
      <c r="S73" s="77"/>
    </row>
    <row r="74" ht="13.65" customHeight="1">
      <c r="A74" s="84">
        <v>45689</v>
      </c>
      <c r="B74" t="s" s="85">
        <v>33</v>
      </c>
      <c r="C74" t="s" s="86">
        <v>785</v>
      </c>
      <c r="D74" s="138">
        <v>2</v>
      </c>
      <c r="E74" t="s" s="85">
        <v>772</v>
      </c>
      <c r="F74" t="s" s="86">
        <v>196</v>
      </c>
      <c r="G74" s="139">
        <v>7500</v>
      </c>
      <c r="H74" t="s" s="140">
        <v>763</v>
      </c>
      <c r="I74" t="s" s="141">
        <v>96</v>
      </c>
      <c r="J74" t="s" s="141">
        <v>97</v>
      </c>
      <c r="K74" t="str" s="142" cm="1">
        <f t="array" ref="K74">IF(OR(H74="ריביות",AND(H74="דירה כצנלסון",G74&lt;0,ISNUMBER(SEARCH("הכנסה",F74)))),"הכנסה שסווגה מחדש",J74)</f>
        <v>שוטף</v>
      </c>
      <c r="L74" t="s" s="141">
        <v>741</v>
      </c>
      <c r="M74" s="143" cm="1">
        <f t="array" ref="M74">IF(L74="מאושר",IF(K74="הכנסה שסווגה מחדש",0,G74),0)</f>
        <v>7500</v>
      </c>
      <c r="N74" s="143" cm="1">
        <f t="array" ref="N74">IF(K74="שוטף",M74,0)</f>
        <v>7500</v>
      </c>
      <c r="O74" s="143" cm="1">
        <f t="array" ref="O74">IF(K74="הכנסה שסווגה מחדש",-G74,0)</f>
        <v>0</v>
      </c>
      <c r="P74" t="s" s="86">
        <v>786</v>
      </c>
      <c r="Q74" s="99"/>
      <c r="R74" t="s" s="144">
        <v>743</v>
      </c>
      <c r="S74" s="77"/>
    </row>
    <row r="75" ht="13.65" customHeight="1">
      <c r="A75" s="78">
        <v>45689</v>
      </c>
      <c r="B75" t="s" s="79">
        <v>33</v>
      </c>
      <c r="C75" t="s" s="80">
        <v>785</v>
      </c>
      <c r="D75" s="131">
        <v>3</v>
      </c>
      <c r="E75" t="s" s="79">
        <v>751</v>
      </c>
      <c r="F75" t="s" s="80">
        <v>197</v>
      </c>
      <c r="G75" s="132">
        <v>6121</v>
      </c>
      <c r="H75" t="s" s="133">
        <v>279</v>
      </c>
      <c r="I75" t="s" s="134">
        <v>99</v>
      </c>
      <c r="J75" t="s" s="134">
        <v>100</v>
      </c>
      <c r="K75" t="str" s="135" cm="1">
        <f t="array" ref="K75">IF(OR(H75="ריביות",AND(H75="דירה כצנלסון",G75&lt;0,ISNUMBER(SEARCH("הכנסה",F75)))),"הכנסה שסווגה מחדש",J75)</f>
        <v>חריג/נכס</v>
      </c>
      <c r="L75" t="s" s="134">
        <v>741</v>
      </c>
      <c r="M75" s="136" cm="1">
        <f t="array" ref="M75">IF(L75="מאושר",IF(K75="הכנסה שסווגה מחדש",0,G75),0)</f>
        <v>6121</v>
      </c>
      <c r="N75" s="136" cm="1">
        <f t="array" ref="N75">IF(K75="שוטף",M75,0)</f>
        <v>0</v>
      </c>
      <c r="O75" s="136" cm="1">
        <f t="array" ref="O75">IF(K75="הכנסה שסווגה מחדש",-G75,0)</f>
        <v>0</v>
      </c>
      <c r="P75" t="s" s="80">
        <v>786</v>
      </c>
      <c r="Q75" s="100"/>
      <c r="R75" t="s" s="137">
        <v>743</v>
      </c>
      <c r="S75" s="77"/>
    </row>
    <row r="76" ht="13.65" customHeight="1">
      <c r="A76" s="84">
        <v>45689</v>
      </c>
      <c r="B76" t="s" s="85">
        <v>33</v>
      </c>
      <c r="C76" t="s" s="86">
        <v>785</v>
      </c>
      <c r="D76" s="138">
        <v>4</v>
      </c>
      <c r="E76" s="99"/>
      <c r="F76" t="s" s="86">
        <v>740</v>
      </c>
      <c r="G76" s="139">
        <v>-6500</v>
      </c>
      <c r="H76" t="s" s="140">
        <v>279</v>
      </c>
      <c r="I76" t="s" s="141">
        <v>99</v>
      </c>
      <c r="J76" t="s" s="141">
        <v>100</v>
      </c>
      <c r="K76" t="str" s="142" cm="1">
        <f t="array" ref="K76">IF(OR(H76="ריביות",AND(H76="דירה כצנלסון",G76&lt;0,ISNUMBER(SEARCH("הכנסה",F76)))),"הכנסה שסווגה מחדש",J76)</f>
        <v>הכנסה שסווגה מחדש</v>
      </c>
      <c r="L76" t="s" s="141">
        <v>741</v>
      </c>
      <c r="M76" s="143" cm="1">
        <f t="array" ref="M76">IF(L76="מאושר",IF(K76="הכנסה שסווגה מחדש",0,G76),0)</f>
        <v>0</v>
      </c>
      <c r="N76" s="143" cm="1">
        <f t="array" ref="N76">IF(K76="שוטף",M76,0)</f>
        <v>0</v>
      </c>
      <c r="O76" s="143" cm="1">
        <f t="array" ref="O76">IF(K76="הכנסה שסווגה מחדש",-G76,0)</f>
        <v>6500</v>
      </c>
      <c r="P76" t="s" s="86">
        <v>786</v>
      </c>
      <c r="Q76" s="99"/>
      <c r="R76" t="s" s="144">
        <v>743</v>
      </c>
      <c r="S76" s="77"/>
    </row>
    <row r="77" ht="13.65" customHeight="1">
      <c r="A77" s="78">
        <v>45689</v>
      </c>
      <c r="B77" t="s" s="79">
        <v>33</v>
      </c>
      <c r="C77" t="s" s="80">
        <v>785</v>
      </c>
      <c r="D77" s="131">
        <v>5</v>
      </c>
      <c r="E77" s="100"/>
      <c r="F77" t="s" s="80">
        <v>212</v>
      </c>
      <c r="G77" s="132">
        <v>976</v>
      </c>
      <c r="H77" t="s" s="133">
        <v>757</v>
      </c>
      <c r="I77" t="s" s="134">
        <v>96</v>
      </c>
      <c r="J77" t="s" s="134">
        <v>97</v>
      </c>
      <c r="K77" t="str" s="135" cm="1">
        <f t="array" ref="K77">IF(OR(H77="ריביות",AND(H77="דירה כצנלסון",G77&lt;0,ISNUMBER(SEARCH("הכנסה",F77)))),"הכנסה שסווגה מחדש",J77)</f>
        <v>שוטף</v>
      </c>
      <c r="L77" t="s" s="134">
        <v>741</v>
      </c>
      <c r="M77" s="136" cm="1">
        <f t="array" ref="M77">IF(L77="מאושר",IF(K77="הכנסה שסווגה מחדש",0,G77),0)</f>
        <v>976</v>
      </c>
      <c r="N77" s="136" cm="1">
        <f t="array" ref="N77">IF(K77="שוטף",M77,0)</f>
        <v>976</v>
      </c>
      <c r="O77" s="136" cm="1">
        <f t="array" ref="O77">IF(K77="הכנסה שסווגה מחדש",-G77,0)</f>
        <v>0</v>
      </c>
      <c r="P77" s="100"/>
      <c r="Q77" s="100"/>
      <c r="R77" t="s" s="137">
        <v>743</v>
      </c>
      <c r="S77" s="77"/>
    </row>
    <row r="78" ht="13.65" customHeight="1">
      <c r="A78" s="84">
        <v>45689</v>
      </c>
      <c r="B78" t="s" s="85">
        <v>33</v>
      </c>
      <c r="C78" t="s" s="86">
        <v>785</v>
      </c>
      <c r="D78" s="138">
        <v>6</v>
      </c>
      <c r="E78" t="s" s="85">
        <v>34</v>
      </c>
      <c r="F78" t="s" s="86">
        <v>221</v>
      </c>
      <c r="G78" s="139">
        <v>106</v>
      </c>
      <c r="H78" t="s" s="140">
        <v>757</v>
      </c>
      <c r="I78" t="s" s="141">
        <v>96</v>
      </c>
      <c r="J78" t="s" s="141">
        <v>97</v>
      </c>
      <c r="K78" t="str" s="142" cm="1">
        <f t="array" ref="K78">IF(OR(H78="ריביות",AND(H78="דירה כצנלסון",G78&lt;0,ISNUMBER(SEARCH("הכנסה",F78)))),"הכנסה שסווגה מחדש",J78)</f>
        <v>שוטף</v>
      </c>
      <c r="L78" t="s" s="141">
        <v>741</v>
      </c>
      <c r="M78" s="143" cm="1">
        <f t="array" ref="M78">IF(L78="מאושר",IF(K78="הכנסה שסווגה מחדש",0,G78),0)</f>
        <v>106</v>
      </c>
      <c r="N78" s="143" cm="1">
        <f t="array" ref="N78">IF(K78="שוטף",M78,0)</f>
        <v>106</v>
      </c>
      <c r="O78" s="143" cm="1">
        <f t="array" ref="O78">IF(K78="הכנסה שסווגה מחדש",-G78,0)</f>
        <v>0</v>
      </c>
      <c r="P78" t="s" s="86">
        <v>782</v>
      </c>
      <c r="Q78" s="99"/>
      <c r="R78" t="s" s="144">
        <v>743</v>
      </c>
      <c r="S78" s="77"/>
    </row>
    <row r="79" ht="13.65" customHeight="1">
      <c r="A79" s="78">
        <v>45689</v>
      </c>
      <c r="B79" t="s" s="79">
        <v>33</v>
      </c>
      <c r="C79" t="s" s="80">
        <v>785</v>
      </c>
      <c r="D79" s="131">
        <v>7</v>
      </c>
      <c r="E79" s="100"/>
      <c r="F79" t="s" s="80">
        <v>272</v>
      </c>
      <c r="G79" s="132">
        <v>0</v>
      </c>
      <c r="H79" t="s" s="133">
        <v>757</v>
      </c>
      <c r="I79" t="s" s="134">
        <v>96</v>
      </c>
      <c r="J79" t="s" s="134">
        <v>97</v>
      </c>
      <c r="K79" t="str" s="135" cm="1">
        <f t="array" ref="K79">IF(OR(H79="ריביות",AND(H79="דירה כצנלסון",G79&lt;0,ISNUMBER(SEARCH("הכנסה",F79)))),"הכנסה שסווגה מחדש",J79)</f>
        <v>שוטף</v>
      </c>
      <c r="L79" t="s" s="134">
        <v>741</v>
      </c>
      <c r="M79" s="136" cm="1">
        <f t="array" ref="M79">IF(L79="מאושר",IF(K79="הכנסה שסווגה מחדש",0,G79),0)</f>
        <v>0</v>
      </c>
      <c r="N79" s="136" cm="1">
        <f t="array" ref="N79">IF(K79="שוטף",M79,0)</f>
        <v>0</v>
      </c>
      <c r="O79" s="136" cm="1">
        <f t="array" ref="O79">IF(K79="הכנסה שסווגה מחדש",-G79,0)</f>
        <v>0</v>
      </c>
      <c r="P79" s="100"/>
      <c r="Q79" s="100"/>
      <c r="R79" t="s" s="137">
        <v>743</v>
      </c>
      <c r="S79" s="77"/>
    </row>
    <row r="80" ht="13.65" customHeight="1">
      <c r="A80" s="84">
        <v>45689</v>
      </c>
      <c r="B80" t="s" s="85">
        <v>33</v>
      </c>
      <c r="C80" t="s" s="86">
        <v>785</v>
      </c>
      <c r="D80" s="138">
        <v>8</v>
      </c>
      <c r="E80" s="99"/>
      <c r="F80" t="s" s="86">
        <v>232</v>
      </c>
      <c r="G80" s="139">
        <v>0</v>
      </c>
      <c r="H80" t="s" s="140">
        <v>757</v>
      </c>
      <c r="I80" t="s" s="141">
        <v>96</v>
      </c>
      <c r="J80" t="s" s="141">
        <v>97</v>
      </c>
      <c r="K80" t="str" s="142" cm="1">
        <f t="array" ref="K80">IF(OR(H80="ריביות",AND(H80="דירה כצנלסון",G80&lt;0,ISNUMBER(SEARCH("הכנסה",F80)))),"הכנסה שסווגה מחדש",J80)</f>
        <v>שוטף</v>
      </c>
      <c r="L80" t="s" s="141">
        <v>741</v>
      </c>
      <c r="M80" s="143" cm="1">
        <f t="array" ref="M80">IF(L80="מאושר",IF(K80="הכנסה שסווגה מחדש",0,G80),0)</f>
        <v>0</v>
      </c>
      <c r="N80" s="143" cm="1">
        <f t="array" ref="N80">IF(K80="שוטף",M80,0)</f>
        <v>0</v>
      </c>
      <c r="O80" s="143" cm="1">
        <f t="array" ref="O80">IF(K80="הכנסה שסווגה מחדש",-G80,0)</f>
        <v>0</v>
      </c>
      <c r="P80" s="99"/>
      <c r="Q80" s="99"/>
      <c r="R80" t="s" s="144">
        <v>743</v>
      </c>
      <c r="S80" s="77"/>
    </row>
    <row r="81" ht="13.65" customHeight="1">
      <c r="A81" s="78">
        <v>45689</v>
      </c>
      <c r="B81" t="s" s="79">
        <v>33</v>
      </c>
      <c r="C81" t="s" s="80">
        <v>785</v>
      </c>
      <c r="D81" s="131">
        <v>9</v>
      </c>
      <c r="E81" s="100"/>
      <c r="F81" t="s" s="80">
        <v>374</v>
      </c>
      <c r="G81" s="132">
        <v>0</v>
      </c>
      <c r="H81" t="s" s="133">
        <v>757</v>
      </c>
      <c r="I81" t="s" s="134">
        <v>96</v>
      </c>
      <c r="J81" t="s" s="134">
        <v>97</v>
      </c>
      <c r="K81" t="str" s="135" cm="1">
        <f t="array" ref="K81">IF(OR(H81="ריביות",AND(H81="דירה כצנלסון",G81&lt;0,ISNUMBER(SEARCH("הכנסה",F81)))),"הכנסה שסווגה מחדש",J81)</f>
        <v>שוטף</v>
      </c>
      <c r="L81" t="s" s="134">
        <v>741</v>
      </c>
      <c r="M81" s="136" cm="1">
        <f t="array" ref="M81">IF(L81="מאושר",IF(K81="הכנסה שסווגה מחדש",0,G81),0)</f>
        <v>0</v>
      </c>
      <c r="N81" s="136" cm="1">
        <f t="array" ref="N81">IF(K81="שוטף",M81,0)</f>
        <v>0</v>
      </c>
      <c r="O81" s="136" cm="1">
        <f t="array" ref="O81">IF(K81="הכנסה שסווגה מחדש",-G81,0)</f>
        <v>0</v>
      </c>
      <c r="P81" s="100"/>
      <c r="Q81" s="100"/>
      <c r="R81" t="s" s="137">
        <v>743</v>
      </c>
      <c r="S81" s="77"/>
    </row>
    <row r="82" ht="13.65" customHeight="1">
      <c r="A82" s="84">
        <v>45689</v>
      </c>
      <c r="B82" t="s" s="85">
        <v>33</v>
      </c>
      <c r="C82" t="s" s="86">
        <v>785</v>
      </c>
      <c r="D82" s="138">
        <v>10</v>
      </c>
      <c r="E82" t="s" s="85">
        <v>753</v>
      </c>
      <c r="F82" t="s" s="86">
        <v>276</v>
      </c>
      <c r="G82" s="139">
        <v>169</v>
      </c>
      <c r="H82" t="s" s="140">
        <v>763</v>
      </c>
      <c r="I82" t="s" s="141">
        <v>96</v>
      </c>
      <c r="J82" t="s" s="141">
        <v>97</v>
      </c>
      <c r="K82" t="str" s="142" cm="1">
        <f t="array" ref="K82">IF(OR(H82="ריביות",AND(H82="דירה כצנלסון",G82&lt;0,ISNUMBER(SEARCH("הכנסה",F82)))),"הכנסה שסווגה מחדש",J82)</f>
        <v>שוטף</v>
      </c>
      <c r="L82" t="s" s="141">
        <v>741</v>
      </c>
      <c r="M82" s="143" cm="1">
        <f t="array" ref="M82">IF(L82="מאושר",IF(K82="הכנסה שסווגה מחדש",0,G82),0)</f>
        <v>169</v>
      </c>
      <c r="N82" s="143" cm="1">
        <f t="array" ref="N82">IF(K82="שוטף",M82,0)</f>
        <v>169</v>
      </c>
      <c r="O82" s="143" cm="1">
        <f t="array" ref="O82">IF(K82="הכנסה שסווגה מחדש",-G82,0)</f>
        <v>0</v>
      </c>
      <c r="P82" t="s" s="86">
        <v>762</v>
      </c>
      <c r="Q82" s="99"/>
      <c r="R82" t="s" s="144">
        <v>743</v>
      </c>
      <c r="S82" s="77"/>
    </row>
    <row r="83" ht="13.65" customHeight="1">
      <c r="A83" s="78">
        <v>45689</v>
      </c>
      <c r="B83" t="s" s="79">
        <v>33</v>
      </c>
      <c r="C83" t="s" s="80">
        <v>785</v>
      </c>
      <c r="D83" s="131">
        <v>11</v>
      </c>
      <c r="E83" t="s" s="79">
        <v>765</v>
      </c>
      <c r="F83" t="s" s="80">
        <v>273</v>
      </c>
      <c r="G83" s="132">
        <v>87</v>
      </c>
      <c r="H83" t="s" s="133">
        <v>279</v>
      </c>
      <c r="I83" t="s" s="134">
        <v>99</v>
      </c>
      <c r="J83" t="s" s="134">
        <v>100</v>
      </c>
      <c r="K83" t="str" s="135" cm="1">
        <f t="array" ref="K83">IF(OR(H83="ריביות",AND(H83="דירה כצנלסון",G83&lt;0,ISNUMBER(SEARCH("הכנסה",F83)))),"הכנסה שסווגה מחדש",J83)</f>
        <v>חריג/נכס</v>
      </c>
      <c r="L83" t="s" s="134">
        <v>741</v>
      </c>
      <c r="M83" s="136" cm="1">
        <f t="array" ref="M83">IF(L83="מאושר",IF(K83="הכנסה שסווגה מחדש",0,G83),0)</f>
        <v>87</v>
      </c>
      <c r="N83" s="136" cm="1">
        <f t="array" ref="N83">IF(K83="שוטף",M83,0)</f>
        <v>0</v>
      </c>
      <c r="O83" s="136" cm="1">
        <f t="array" ref="O83">IF(K83="הכנסה שסווגה מחדש",-G83,0)</f>
        <v>0</v>
      </c>
      <c r="P83" t="s" s="80">
        <v>762</v>
      </c>
      <c r="Q83" s="100"/>
      <c r="R83" t="s" s="137">
        <v>743</v>
      </c>
      <c r="S83" s="77"/>
    </row>
    <row r="84" ht="13.65" customHeight="1">
      <c r="A84" s="84">
        <v>45689</v>
      </c>
      <c r="B84" t="s" s="85">
        <v>33</v>
      </c>
      <c r="C84" t="s" s="86">
        <v>785</v>
      </c>
      <c r="D84" s="138">
        <v>12</v>
      </c>
      <c r="E84" t="s" s="85">
        <v>765</v>
      </c>
      <c r="F84" t="s" s="86">
        <v>328</v>
      </c>
      <c r="G84" s="139">
        <v>29</v>
      </c>
      <c r="H84" t="s" s="140">
        <v>279</v>
      </c>
      <c r="I84" t="s" s="141">
        <v>99</v>
      </c>
      <c r="J84" t="s" s="141">
        <v>100</v>
      </c>
      <c r="K84" t="str" s="142" cm="1">
        <f t="array" ref="K84">IF(OR(H84="ריביות",AND(H84="דירה כצנלסון",G84&lt;0,ISNUMBER(SEARCH("הכנסה",F84)))),"הכנסה שסווגה מחדש",J84)</f>
        <v>חריג/נכס</v>
      </c>
      <c r="L84" t="s" s="141">
        <v>741</v>
      </c>
      <c r="M84" s="143" cm="1">
        <f t="array" ref="M84">IF(L84="מאושר",IF(K84="הכנסה שסווגה מחדש",0,G84),0)</f>
        <v>29</v>
      </c>
      <c r="N84" s="143" cm="1">
        <f t="array" ref="N84">IF(K84="שוטף",M84,0)</f>
        <v>0</v>
      </c>
      <c r="O84" s="143" cm="1">
        <f t="array" ref="O84">IF(K84="הכנסה שסווגה מחדש",-G84,0)</f>
        <v>0</v>
      </c>
      <c r="P84" t="s" s="86">
        <v>762</v>
      </c>
      <c r="Q84" s="99"/>
      <c r="R84" t="s" s="144">
        <v>743</v>
      </c>
      <c r="S84" s="77"/>
    </row>
    <row r="85" ht="13.65" customHeight="1">
      <c r="A85" s="78">
        <v>45689</v>
      </c>
      <c r="B85" t="s" s="79">
        <v>33</v>
      </c>
      <c r="C85" t="s" s="80">
        <v>785</v>
      </c>
      <c r="D85" s="131">
        <v>13</v>
      </c>
      <c r="E85" s="100"/>
      <c r="F85" t="s" s="80">
        <v>211</v>
      </c>
      <c r="G85" s="132">
        <v>400</v>
      </c>
      <c r="H85" t="s" s="133">
        <v>757</v>
      </c>
      <c r="I85" t="s" s="134">
        <v>96</v>
      </c>
      <c r="J85" t="s" s="134">
        <v>97</v>
      </c>
      <c r="K85" t="str" s="135" cm="1">
        <f t="array" ref="K85">IF(OR(H85="ריביות",AND(H85="דירה כצנלסון",G85&lt;0,ISNUMBER(SEARCH("הכנסה",F85)))),"הכנסה שסווגה מחדש",J85)</f>
        <v>שוטף</v>
      </c>
      <c r="L85" t="s" s="134">
        <v>741</v>
      </c>
      <c r="M85" s="136" cm="1">
        <f t="array" ref="M85">IF(L85="מאושר",IF(K85="הכנסה שסווגה מחדש",0,G85),0)</f>
        <v>400</v>
      </c>
      <c r="N85" s="136" cm="1">
        <f t="array" ref="N85">IF(K85="שוטף",M85,0)</f>
        <v>400</v>
      </c>
      <c r="O85" s="136" cm="1">
        <f t="array" ref="O85">IF(K85="הכנסה שסווגה מחדש",-G85,0)</f>
        <v>0</v>
      </c>
      <c r="P85" t="s" s="80">
        <v>781</v>
      </c>
      <c r="Q85" s="100"/>
      <c r="R85" t="s" s="137">
        <v>743</v>
      </c>
      <c r="S85" s="77"/>
    </row>
    <row r="86" ht="13.65" customHeight="1">
      <c r="A86" s="84">
        <v>45689</v>
      </c>
      <c r="B86" t="s" s="85">
        <v>33</v>
      </c>
      <c r="C86" t="s" s="86">
        <v>785</v>
      </c>
      <c r="D86" s="138">
        <v>14</v>
      </c>
      <c r="E86" t="s" s="85">
        <v>787</v>
      </c>
      <c r="F86" t="s" s="86">
        <v>446</v>
      </c>
      <c r="G86" s="139">
        <v>203</v>
      </c>
      <c r="H86" t="s" s="140">
        <v>129</v>
      </c>
      <c r="I86" t="s" s="141">
        <v>129</v>
      </c>
      <c r="J86" t="s" s="141">
        <v>97</v>
      </c>
      <c r="K86" t="str" s="142" cm="1">
        <f t="array" ref="K86">IF(OR(H86="ריביות",AND(H86="דירה כצנלסון",G86&lt;0,ISNUMBER(SEARCH("הכנסה",F86)))),"הכנסה שסווגה מחדש",J86)</f>
        <v>שוטף</v>
      </c>
      <c r="L86" t="s" s="141">
        <v>741</v>
      </c>
      <c r="M86" s="143" cm="1">
        <f t="array" ref="M86">IF(L86="מאושר",IF(K86="הכנסה שסווגה מחדש",0,G86),0)</f>
        <v>203</v>
      </c>
      <c r="N86" s="143" cm="1">
        <f t="array" ref="N86">IF(K86="שוטף",M86,0)</f>
        <v>203</v>
      </c>
      <c r="O86" s="143" cm="1">
        <f t="array" ref="O86">IF(K86="הכנסה שסווגה מחדש",-G86,0)</f>
        <v>0</v>
      </c>
      <c r="P86" t="s" s="85">
        <v>758</v>
      </c>
      <c r="Q86" s="99"/>
      <c r="R86" t="s" s="144">
        <v>743</v>
      </c>
      <c r="S86" s="77"/>
    </row>
    <row r="87" ht="13.65" customHeight="1">
      <c r="A87" s="78">
        <v>45689</v>
      </c>
      <c r="B87" t="s" s="79">
        <v>33</v>
      </c>
      <c r="C87" t="s" s="80">
        <v>785</v>
      </c>
      <c r="D87" s="131">
        <v>15</v>
      </c>
      <c r="E87" t="s" s="79">
        <v>30</v>
      </c>
      <c r="F87" t="s" s="80">
        <v>323</v>
      </c>
      <c r="G87" s="132">
        <v>349</v>
      </c>
      <c r="H87" t="s" s="133">
        <v>117</v>
      </c>
      <c r="I87" t="s" s="134">
        <v>117</v>
      </c>
      <c r="J87" t="s" s="134">
        <v>97</v>
      </c>
      <c r="K87" t="str" s="135" cm="1">
        <f t="array" ref="K87">IF(OR(H87="ריביות",AND(H87="דירה כצנלסון",G87&lt;0,ISNUMBER(SEARCH("הכנסה",F87)))),"הכנסה שסווגה מחדש",J87)</f>
        <v>שוטף</v>
      </c>
      <c r="L87" t="s" s="134">
        <v>741</v>
      </c>
      <c r="M87" s="136" cm="1">
        <f t="array" ref="M87">IF(L87="מאושר",IF(K87="הכנסה שסווגה מחדש",0,G87),0)</f>
        <v>349</v>
      </c>
      <c r="N87" s="136" cm="1">
        <f t="array" ref="N87">IF(K87="שוטף",M87,0)</f>
        <v>349</v>
      </c>
      <c r="O87" s="136" cm="1">
        <f t="array" ref="O87">IF(K87="הכנסה שסווגה מחדש",-G87,0)</f>
        <v>0</v>
      </c>
      <c r="P87" t="s" s="79">
        <v>758</v>
      </c>
      <c r="Q87" s="100"/>
      <c r="R87" t="s" s="137">
        <v>743</v>
      </c>
      <c r="S87" s="77"/>
    </row>
    <row r="88" ht="13.65" customHeight="1">
      <c r="A88" s="84">
        <v>45689</v>
      </c>
      <c r="B88" t="s" s="85">
        <v>33</v>
      </c>
      <c r="C88" t="s" s="86">
        <v>785</v>
      </c>
      <c r="D88" s="138">
        <v>16</v>
      </c>
      <c r="E88" t="s" s="85">
        <v>788</v>
      </c>
      <c r="F88" t="s" s="86">
        <v>323</v>
      </c>
      <c r="G88" s="139">
        <v>349</v>
      </c>
      <c r="H88" t="s" s="140">
        <v>117</v>
      </c>
      <c r="I88" t="s" s="141">
        <v>117</v>
      </c>
      <c r="J88" t="s" s="141">
        <v>97</v>
      </c>
      <c r="K88" t="str" s="142" cm="1">
        <f t="array" ref="K88">IF(OR(H88="ריביות",AND(H88="דירה כצנלסון",G88&lt;0,ISNUMBER(SEARCH("הכנסה",F88)))),"הכנסה שסווגה מחדש",J88)</f>
        <v>שוטף</v>
      </c>
      <c r="L88" t="s" s="141">
        <v>741</v>
      </c>
      <c r="M88" s="143" cm="1">
        <f t="array" ref="M88">IF(L88="מאושר",IF(K88="הכנסה שסווגה מחדש",0,G88),0)</f>
        <v>349</v>
      </c>
      <c r="N88" s="143" cm="1">
        <f t="array" ref="N88">IF(K88="שוטף",M88,0)</f>
        <v>349</v>
      </c>
      <c r="O88" s="143" cm="1">
        <f t="array" ref="O88">IF(K88="הכנסה שסווגה מחדש",-G88,0)</f>
        <v>0</v>
      </c>
      <c r="P88" t="s" s="85">
        <v>758</v>
      </c>
      <c r="Q88" s="99"/>
      <c r="R88" t="s" s="144">
        <v>743</v>
      </c>
      <c r="S88" s="77"/>
    </row>
    <row r="89" ht="13.65" customHeight="1">
      <c r="A89" s="78">
        <v>45689</v>
      </c>
      <c r="B89" t="s" s="79">
        <v>33</v>
      </c>
      <c r="C89" t="s" s="80">
        <v>785</v>
      </c>
      <c r="D89" s="131">
        <v>17</v>
      </c>
      <c r="E89" t="s" s="79">
        <v>772</v>
      </c>
      <c r="F89" t="s" s="80">
        <v>215</v>
      </c>
      <c r="G89" s="132">
        <v>7000</v>
      </c>
      <c r="H89" t="s" s="133">
        <v>105</v>
      </c>
      <c r="I89" t="s" s="134">
        <v>105</v>
      </c>
      <c r="J89" t="s" s="134">
        <v>103</v>
      </c>
      <c r="K89" t="str" s="135" cm="1">
        <f t="array" ref="K89">IF(OR(H89="ריביות",AND(H89="דירה כצנלסון",G89&lt;0,ISNUMBER(SEARCH("הכנסה",F89)))),"הכנסה שסווגה מחדש",J89)</f>
        <v>חריג</v>
      </c>
      <c r="L89" t="s" s="134">
        <v>741</v>
      </c>
      <c r="M89" s="136" cm="1">
        <f t="array" ref="M89">IF(L89="מאושר",IF(K89="הכנסה שסווגה מחדש",0,G89),0)</f>
        <v>7000</v>
      </c>
      <c r="N89" s="136" cm="1">
        <f t="array" ref="N89">IF(K89="שוטף",M89,0)</f>
        <v>0</v>
      </c>
      <c r="O89" s="136" cm="1">
        <f t="array" ref="O89">IF(K89="הכנסה שסווגה מחדש",-G89,0)</f>
        <v>0</v>
      </c>
      <c r="P89" t="s" s="79">
        <v>742</v>
      </c>
      <c r="Q89" s="100"/>
      <c r="R89" t="s" s="137">
        <v>743</v>
      </c>
      <c r="S89" s="77"/>
    </row>
    <row r="90" ht="13.65" customHeight="1">
      <c r="A90" s="84">
        <v>45689</v>
      </c>
      <c r="B90" t="s" s="85">
        <v>33</v>
      </c>
      <c r="C90" t="s" s="86">
        <v>785</v>
      </c>
      <c r="D90" s="138">
        <v>18</v>
      </c>
      <c r="E90" t="s" s="85">
        <v>755</v>
      </c>
      <c r="F90" t="s" s="86">
        <v>311</v>
      </c>
      <c r="G90" s="139">
        <v>803</v>
      </c>
      <c r="H90" t="s" s="140">
        <v>129</v>
      </c>
      <c r="I90" t="s" s="141">
        <v>129</v>
      </c>
      <c r="J90" t="s" s="141">
        <v>97</v>
      </c>
      <c r="K90" t="str" s="142" cm="1">
        <f t="array" ref="K90">IF(OR(H90="ריביות",AND(H90="דירה כצנלסון",G90&lt;0,ISNUMBER(SEARCH("הכנסה",F90)))),"הכנסה שסווגה מחדש",J90)</f>
        <v>שוטף</v>
      </c>
      <c r="L90" t="s" s="141">
        <v>741</v>
      </c>
      <c r="M90" s="143" cm="1">
        <f t="array" ref="M90">IF(L90="מאושר",IF(K90="הכנסה שסווגה מחדש",0,G90),0)</f>
        <v>803</v>
      </c>
      <c r="N90" s="143" cm="1">
        <f t="array" ref="N90">IF(K90="שוטף",M90,0)</f>
        <v>803</v>
      </c>
      <c r="O90" s="143" cm="1">
        <f t="array" ref="O90">IF(K90="הכנסה שסווגה מחדש",-G90,0)</f>
        <v>0</v>
      </c>
      <c r="P90" t="s" s="85">
        <v>742</v>
      </c>
      <c r="Q90" s="99"/>
      <c r="R90" t="s" s="144">
        <v>743</v>
      </c>
      <c r="S90" s="77"/>
    </row>
    <row r="91" ht="13.65" customHeight="1">
      <c r="A91" s="78">
        <v>45689</v>
      </c>
      <c r="B91" t="s" s="79">
        <v>33</v>
      </c>
      <c r="C91" t="s" s="80">
        <v>785</v>
      </c>
      <c r="D91" s="131">
        <v>19</v>
      </c>
      <c r="E91" t="s" s="79">
        <v>755</v>
      </c>
      <c r="F91" t="s" s="80">
        <v>372</v>
      </c>
      <c r="G91" s="132">
        <v>400</v>
      </c>
      <c r="H91" t="s" s="133">
        <v>105</v>
      </c>
      <c r="I91" t="s" s="134">
        <v>105</v>
      </c>
      <c r="J91" t="s" s="134">
        <v>103</v>
      </c>
      <c r="K91" t="str" s="135" cm="1">
        <f t="array" ref="K91">IF(OR(H91="ריביות",AND(H91="דירה כצנלסון",G91&lt;0,ISNUMBER(SEARCH("הכנסה",F91)))),"הכנסה שסווגה מחדש",J91)</f>
        <v>חריג</v>
      </c>
      <c r="L91" t="s" s="134">
        <v>741</v>
      </c>
      <c r="M91" s="136" cm="1">
        <f t="array" ref="M91">IF(L91="מאושר",IF(K91="הכנסה שסווגה מחדש",0,G91),0)</f>
        <v>400</v>
      </c>
      <c r="N91" s="136" cm="1">
        <f t="array" ref="N91">IF(K91="שוטף",M91,0)</f>
        <v>0</v>
      </c>
      <c r="O91" s="136" cm="1">
        <f t="array" ref="O91">IF(K91="הכנסה שסווגה מחדש",-G91,0)</f>
        <v>0</v>
      </c>
      <c r="P91" t="s" s="79">
        <v>742</v>
      </c>
      <c r="Q91" s="100"/>
      <c r="R91" t="s" s="137">
        <v>743</v>
      </c>
      <c r="S91" s="77"/>
    </row>
    <row r="92" ht="13.65" customHeight="1">
      <c r="A92" s="84">
        <v>45689</v>
      </c>
      <c r="B92" t="s" s="85">
        <v>33</v>
      </c>
      <c r="C92" t="s" s="86">
        <v>785</v>
      </c>
      <c r="D92" s="138">
        <v>20</v>
      </c>
      <c r="E92" t="s" s="85">
        <v>765</v>
      </c>
      <c r="F92" t="s" s="86">
        <v>251</v>
      </c>
      <c r="G92" s="139">
        <v>2050</v>
      </c>
      <c r="H92" t="s" s="140">
        <v>111</v>
      </c>
      <c r="I92" t="s" s="141">
        <v>111</v>
      </c>
      <c r="J92" t="s" s="141">
        <v>97</v>
      </c>
      <c r="K92" t="str" s="142" cm="1">
        <f t="array" ref="K92">IF(OR(H92="ריביות",AND(H92="דירה כצנלסון",G92&lt;0,ISNUMBER(SEARCH("הכנסה",F92)))),"הכנסה שסווגה מחדש",J92)</f>
        <v>שוטף</v>
      </c>
      <c r="L92" t="s" s="141">
        <v>741</v>
      </c>
      <c r="M92" s="143" cm="1">
        <f t="array" ref="M92">IF(L92="מאושר",IF(K92="הכנסה שסווגה מחדש",0,G92),0)</f>
        <v>2050</v>
      </c>
      <c r="N92" s="143" cm="1">
        <f t="array" ref="N92">IF(K92="שוטף",M92,0)</f>
        <v>2050</v>
      </c>
      <c r="O92" s="143" cm="1">
        <f t="array" ref="O92">IF(K92="הכנסה שסווגה מחדש",-G92,0)</f>
        <v>0</v>
      </c>
      <c r="P92" t="s" s="85">
        <v>742</v>
      </c>
      <c r="Q92" s="99"/>
      <c r="R92" t="s" s="144">
        <v>743</v>
      </c>
      <c r="S92" s="77"/>
    </row>
    <row r="93" ht="13.65" customHeight="1">
      <c r="A93" s="78">
        <v>45689</v>
      </c>
      <c r="B93" t="s" s="79">
        <v>33</v>
      </c>
      <c r="C93" t="s" s="80">
        <v>785</v>
      </c>
      <c r="D93" s="131">
        <v>21</v>
      </c>
      <c r="E93" t="s" s="79">
        <v>771</v>
      </c>
      <c r="F93" t="s" s="80">
        <v>338</v>
      </c>
      <c r="G93" s="132">
        <v>600</v>
      </c>
      <c r="H93" t="s" s="133">
        <v>125</v>
      </c>
      <c r="I93" t="s" s="134">
        <v>125</v>
      </c>
      <c r="J93" t="s" s="134">
        <v>97</v>
      </c>
      <c r="K93" t="str" s="135" cm="1">
        <f t="array" ref="K93">IF(OR(H93="ריביות",AND(H93="דירה כצנלסון",G93&lt;0,ISNUMBER(SEARCH("הכנסה",F93)))),"הכנסה שסווגה מחדש",J93)</f>
        <v>שוטף</v>
      </c>
      <c r="L93" t="s" s="134">
        <v>741</v>
      </c>
      <c r="M93" s="136" cm="1">
        <f t="array" ref="M93">IF(L93="מאושר",IF(K93="הכנסה שסווגה מחדש",0,G93),0)</f>
        <v>600</v>
      </c>
      <c r="N93" s="136" cm="1">
        <f t="array" ref="N93">IF(K93="שוטף",M93,0)</f>
        <v>600</v>
      </c>
      <c r="O93" s="136" cm="1">
        <f t="array" ref="O93">IF(K93="הכנסה שסווגה מחדש",-G93,0)</f>
        <v>0</v>
      </c>
      <c r="P93" t="s" s="80">
        <v>786</v>
      </c>
      <c r="Q93" s="100"/>
      <c r="R93" t="s" s="137">
        <v>743</v>
      </c>
      <c r="S93" s="77"/>
    </row>
    <row r="94" ht="13.65" customHeight="1">
      <c r="A94" s="84">
        <v>45689</v>
      </c>
      <c r="B94" t="s" s="85">
        <v>33</v>
      </c>
      <c r="C94" t="s" s="86">
        <v>785</v>
      </c>
      <c r="D94" s="138">
        <v>22</v>
      </c>
      <c r="E94" t="s" s="85">
        <v>34</v>
      </c>
      <c r="F94" t="s" s="86">
        <v>207</v>
      </c>
      <c r="G94" s="139">
        <v>11470</v>
      </c>
      <c r="H94" t="s" s="140">
        <v>210</v>
      </c>
      <c r="I94" t="s" s="141">
        <v>102</v>
      </c>
      <c r="J94" t="s" s="141">
        <v>103</v>
      </c>
      <c r="K94" t="str" s="142" cm="1">
        <f t="array" ref="K94">IF(OR(H94="ריביות",AND(H94="דירה כצנלסון",G94&lt;0,ISNUMBER(SEARCH("הכנסה",F94)))),"הכנסה שסווגה מחדש",J94)</f>
        <v>חריג</v>
      </c>
      <c r="L94" t="s" s="141">
        <v>741</v>
      </c>
      <c r="M94" s="143" cm="1">
        <f t="array" ref="M94">IF(L94="מאושר",IF(K94="הכנסה שסווגה מחדש",0,G94),0)</f>
        <v>11470</v>
      </c>
      <c r="N94" s="143" cm="1">
        <f t="array" ref="N94">IF(K94="שוטף",M94,0)</f>
        <v>0</v>
      </c>
      <c r="O94" s="143" cm="1">
        <f t="array" ref="O94">IF(K94="הכנסה שסווגה מחדש",-G94,0)</f>
        <v>0</v>
      </c>
      <c r="P94" t="s" s="85">
        <v>758</v>
      </c>
      <c r="Q94" s="99"/>
      <c r="R94" t="s" s="144">
        <v>743</v>
      </c>
      <c r="S94" s="77"/>
    </row>
    <row r="95" ht="13.65" customHeight="1">
      <c r="A95" s="78">
        <v>45689</v>
      </c>
      <c r="B95" t="s" s="79">
        <v>33</v>
      </c>
      <c r="C95" t="s" s="80">
        <v>785</v>
      </c>
      <c r="D95" s="131">
        <v>23</v>
      </c>
      <c r="E95" t="s" s="79">
        <v>769</v>
      </c>
      <c r="F95" t="s" s="80">
        <v>344</v>
      </c>
      <c r="G95" s="132">
        <v>90</v>
      </c>
      <c r="H95" t="s" s="133">
        <v>113</v>
      </c>
      <c r="I95" t="s" s="134">
        <v>113</v>
      </c>
      <c r="J95" t="s" s="134">
        <v>97</v>
      </c>
      <c r="K95" t="str" s="135" cm="1">
        <f t="array" ref="K95">IF(OR(H95="ריביות",AND(H95="דירה כצנלסון",G95&lt;0,ISNUMBER(SEARCH("הכנסה",F95)))),"הכנסה שסווגה מחדש",J95)</f>
        <v>שוטף</v>
      </c>
      <c r="L95" t="s" s="134">
        <v>741</v>
      </c>
      <c r="M95" s="136" cm="1">
        <f t="array" ref="M95">IF(L95="מאושר",IF(K95="הכנסה שסווגה מחדש",0,G95),0)</f>
        <v>90</v>
      </c>
      <c r="N95" s="136" cm="1">
        <f t="array" ref="N95">IF(K95="שוטף",M95,0)</f>
        <v>90</v>
      </c>
      <c r="O95" s="136" cm="1">
        <f t="array" ref="O95">IF(K95="הכנסה שסווגה מחדש",-G95,0)</f>
        <v>0</v>
      </c>
      <c r="P95" t="s" s="79">
        <v>758</v>
      </c>
      <c r="Q95" s="100"/>
      <c r="R95" t="s" s="137">
        <v>743</v>
      </c>
      <c r="S95" s="77"/>
    </row>
    <row r="96" ht="13.65" customHeight="1">
      <c r="A96" s="84">
        <v>45689</v>
      </c>
      <c r="B96" t="s" s="85">
        <v>33</v>
      </c>
      <c r="C96" t="s" s="86">
        <v>785</v>
      </c>
      <c r="D96" s="138">
        <v>24</v>
      </c>
      <c r="E96" t="s" s="85">
        <v>772</v>
      </c>
      <c r="F96" t="s" s="86">
        <v>256</v>
      </c>
      <c r="G96" s="139">
        <v>347</v>
      </c>
      <c r="H96" t="s" s="140">
        <v>123</v>
      </c>
      <c r="I96" t="s" s="141">
        <v>123</v>
      </c>
      <c r="J96" t="s" s="141">
        <v>97</v>
      </c>
      <c r="K96" t="str" s="142" cm="1">
        <f t="array" ref="K96">IF(OR(H96="ריביות",AND(H96="דירה כצנלסון",G96&lt;0,ISNUMBER(SEARCH("הכנסה",F96)))),"הכנסה שסווגה מחדש",J96)</f>
        <v>שוטף</v>
      </c>
      <c r="L96" t="s" s="141">
        <v>741</v>
      </c>
      <c r="M96" s="143" cm="1">
        <f t="array" ref="M96">IF(L96="מאושר",IF(K96="הכנסה שסווגה מחדש",0,G96),0)</f>
        <v>347</v>
      </c>
      <c r="N96" s="143" cm="1">
        <f t="array" ref="N96">IF(K96="שוטף",M96,0)</f>
        <v>347</v>
      </c>
      <c r="O96" s="143" cm="1">
        <f t="array" ref="O96">IF(K96="הכנסה שסווגה מחדש",-G96,0)</f>
        <v>0</v>
      </c>
      <c r="P96" t="s" s="85">
        <v>758</v>
      </c>
      <c r="Q96" s="99"/>
      <c r="R96" t="s" s="144">
        <v>743</v>
      </c>
      <c r="S96" s="77"/>
    </row>
    <row r="97" ht="13.65" customHeight="1">
      <c r="A97" s="78">
        <v>45689</v>
      </c>
      <c r="B97" t="s" s="79">
        <v>33</v>
      </c>
      <c r="C97" t="s" s="80">
        <v>785</v>
      </c>
      <c r="D97" s="131">
        <v>25</v>
      </c>
      <c r="E97" t="s" s="79">
        <v>744</v>
      </c>
      <c r="F97" t="s" s="80">
        <v>497</v>
      </c>
      <c r="G97" s="132">
        <v>127</v>
      </c>
      <c r="H97" t="s" s="133">
        <v>105</v>
      </c>
      <c r="I97" t="s" s="134">
        <v>105</v>
      </c>
      <c r="J97" t="s" s="134">
        <v>103</v>
      </c>
      <c r="K97" t="str" s="135" cm="1">
        <f t="array" ref="K97">IF(OR(H97="ריביות",AND(H97="דירה כצנלסון",G97&lt;0,ISNUMBER(SEARCH("הכנסה",F97)))),"הכנסה שסווגה מחדש",J97)</f>
        <v>חריג</v>
      </c>
      <c r="L97" t="s" s="134">
        <v>741</v>
      </c>
      <c r="M97" s="136" cm="1">
        <f t="array" ref="M97">IF(L97="מאושר",IF(K97="הכנסה שסווגה מחדש",0,G97),0)</f>
        <v>127</v>
      </c>
      <c r="N97" s="136" cm="1">
        <f t="array" ref="N97">IF(K97="שוטף",M97,0)</f>
        <v>0</v>
      </c>
      <c r="O97" s="136" cm="1">
        <f t="array" ref="O97">IF(K97="הכנסה שסווגה מחדש",-G97,0)</f>
        <v>0</v>
      </c>
      <c r="P97" t="s" s="79">
        <v>758</v>
      </c>
      <c r="Q97" s="100"/>
      <c r="R97" t="s" s="137">
        <v>743</v>
      </c>
      <c r="S97" s="77"/>
    </row>
    <row r="98" ht="13.65" customHeight="1">
      <c r="A98" s="84">
        <v>45689</v>
      </c>
      <c r="B98" t="s" s="85">
        <v>33</v>
      </c>
      <c r="C98" t="s" s="86">
        <v>785</v>
      </c>
      <c r="D98" s="138">
        <v>26</v>
      </c>
      <c r="E98" t="s" s="85">
        <v>766</v>
      </c>
      <c r="F98" t="s" s="86">
        <v>715</v>
      </c>
      <c r="G98" s="139">
        <v>-261</v>
      </c>
      <c r="H98" t="s" s="140">
        <v>123</v>
      </c>
      <c r="I98" t="s" s="141">
        <v>123</v>
      </c>
      <c r="J98" t="s" s="141">
        <v>97</v>
      </c>
      <c r="K98" t="str" s="142" cm="1">
        <f t="array" ref="K98">IF(OR(H98="ריביות",AND(H98="דירה כצנלסון",G98&lt;0,ISNUMBER(SEARCH("הכנסה",F98)))),"הכנסה שסווגה מחדש",J98)</f>
        <v>שוטף</v>
      </c>
      <c r="L98" t="s" s="141">
        <v>741</v>
      </c>
      <c r="M98" s="143" cm="1">
        <f t="array" ref="M98">IF(L98="מאושר",IF(K98="הכנסה שסווגה מחדש",0,G98),0)</f>
        <v>-261</v>
      </c>
      <c r="N98" s="143" cm="1">
        <f t="array" ref="N98">IF(K98="שוטף",M98,0)</f>
        <v>-261</v>
      </c>
      <c r="O98" s="143" cm="1">
        <f t="array" ref="O98">IF(K98="הכנסה שסווגה מחדש",-G98,0)</f>
        <v>0</v>
      </c>
      <c r="P98" t="s" s="85">
        <v>758</v>
      </c>
      <c r="Q98" s="99"/>
      <c r="R98" t="s" s="144">
        <v>743</v>
      </c>
      <c r="S98" s="77"/>
    </row>
    <row r="99" ht="13.65" customHeight="1">
      <c r="A99" s="78">
        <v>45689</v>
      </c>
      <c r="B99" t="s" s="79">
        <v>33</v>
      </c>
      <c r="C99" t="s" s="80">
        <v>785</v>
      </c>
      <c r="D99" s="131">
        <v>27</v>
      </c>
      <c r="E99" t="s" s="79">
        <v>753</v>
      </c>
      <c r="F99" t="s" s="80">
        <v>235</v>
      </c>
      <c r="G99" s="132">
        <v>321</v>
      </c>
      <c r="H99" t="s" s="133">
        <v>109</v>
      </c>
      <c r="I99" t="s" s="134">
        <v>109</v>
      </c>
      <c r="J99" t="s" s="134">
        <v>97</v>
      </c>
      <c r="K99" t="str" s="135" cm="1">
        <f t="array" ref="K99">IF(OR(H99="ריביות",AND(H99="דירה כצנלסון",G99&lt;0,ISNUMBER(SEARCH("הכנסה",F99)))),"הכנסה שסווגה מחדש",J99)</f>
        <v>שוטף</v>
      </c>
      <c r="L99" t="s" s="134">
        <v>741</v>
      </c>
      <c r="M99" s="136" cm="1">
        <f t="array" ref="M99">IF(L99="מאושר",IF(K99="הכנסה שסווגה מחדש",0,G99),0)</f>
        <v>321</v>
      </c>
      <c r="N99" s="136" cm="1">
        <f t="array" ref="N99">IF(K99="שוטף",M99,0)</f>
        <v>321</v>
      </c>
      <c r="O99" s="136" cm="1">
        <f t="array" ref="O99">IF(K99="הכנסה שסווגה מחדש",-G99,0)</f>
        <v>0</v>
      </c>
      <c r="P99" t="s" s="79">
        <v>748</v>
      </c>
      <c r="Q99" s="100"/>
      <c r="R99" t="s" s="137">
        <v>743</v>
      </c>
      <c r="S99" s="77"/>
    </row>
    <row r="100" ht="13.65" customHeight="1">
      <c r="A100" s="84">
        <v>45689</v>
      </c>
      <c r="B100" t="s" s="85">
        <v>33</v>
      </c>
      <c r="C100" t="s" s="86">
        <v>785</v>
      </c>
      <c r="D100" s="138">
        <v>28</v>
      </c>
      <c r="E100" t="s" s="85">
        <v>771</v>
      </c>
      <c r="F100" t="s" s="86">
        <v>307</v>
      </c>
      <c r="G100" s="139">
        <v>40</v>
      </c>
      <c r="H100" t="s" s="140">
        <v>115</v>
      </c>
      <c r="I100" t="s" s="141">
        <v>115</v>
      </c>
      <c r="J100" t="s" s="141">
        <v>97</v>
      </c>
      <c r="K100" t="str" s="142" cm="1">
        <f t="array" ref="K100">IF(OR(H100="ריביות",AND(H100="דירה כצנלסון",G100&lt;0,ISNUMBER(SEARCH("הכנסה",F100)))),"הכנסה שסווגה מחדש",J100)</f>
        <v>שוטף</v>
      </c>
      <c r="L100" t="s" s="141">
        <v>741</v>
      </c>
      <c r="M100" s="143" cm="1">
        <f t="array" ref="M100">IF(L100="מאושר",IF(K100="הכנסה שסווגה מחדש",0,G100),0)</f>
        <v>40</v>
      </c>
      <c r="N100" s="143" cm="1">
        <f t="array" ref="N100">IF(K100="שוטף",M100,0)</f>
        <v>40</v>
      </c>
      <c r="O100" s="143" cm="1">
        <f t="array" ref="O100">IF(K100="הכנסה שסווגה מחדש",-G100,0)</f>
        <v>0</v>
      </c>
      <c r="P100" t="s" s="85">
        <v>748</v>
      </c>
      <c r="Q100" s="99"/>
      <c r="R100" t="s" s="144">
        <v>743</v>
      </c>
      <c r="S100" s="77"/>
    </row>
    <row r="101" ht="13.65" customHeight="1">
      <c r="A101" s="78">
        <v>45689</v>
      </c>
      <c r="B101" t="s" s="79">
        <v>33</v>
      </c>
      <c r="C101" t="s" s="80">
        <v>785</v>
      </c>
      <c r="D101" s="131">
        <v>29</v>
      </c>
      <c r="E101" s="100"/>
      <c r="F101" t="s" s="80">
        <v>275</v>
      </c>
      <c r="G101" s="132">
        <v>173</v>
      </c>
      <c r="H101" t="s" s="133">
        <v>127</v>
      </c>
      <c r="I101" t="s" s="134">
        <v>127</v>
      </c>
      <c r="J101" t="s" s="134">
        <v>97</v>
      </c>
      <c r="K101" t="str" s="135" cm="1">
        <f t="array" ref="K101">IF(OR(H101="ריביות",AND(H101="דירה כצנלסון",G101&lt;0,ISNUMBER(SEARCH("הכנסה",F101)))),"הכנסה שסווגה מחדש",J101)</f>
        <v>שוטף</v>
      </c>
      <c r="L101" t="s" s="134">
        <v>741</v>
      </c>
      <c r="M101" s="136" cm="1">
        <f t="array" ref="M101">IF(L101="מאושר",IF(K101="הכנסה שסווגה מחדש",0,G101),0)</f>
        <v>173</v>
      </c>
      <c r="N101" s="136" cm="1">
        <f t="array" ref="N101">IF(K101="שוטף",M101,0)</f>
        <v>173</v>
      </c>
      <c r="O101" s="136" cm="1">
        <f t="array" ref="O101">IF(K101="הכנסה שסווגה מחדש",-G101,0)</f>
        <v>0</v>
      </c>
      <c r="P101" t="s" s="80">
        <v>770</v>
      </c>
      <c r="Q101" s="100"/>
      <c r="R101" t="s" s="137">
        <v>743</v>
      </c>
      <c r="S101" s="77"/>
    </row>
    <row r="102" ht="13.65" customHeight="1">
      <c r="A102" s="84">
        <v>45689</v>
      </c>
      <c r="B102" t="s" s="85">
        <v>33</v>
      </c>
      <c r="C102" t="s" s="86">
        <v>785</v>
      </c>
      <c r="D102" s="138">
        <v>30</v>
      </c>
      <c r="E102" t="s" s="85">
        <v>38</v>
      </c>
      <c r="F102" t="s" s="86">
        <v>245</v>
      </c>
      <c r="G102" s="139">
        <v>92</v>
      </c>
      <c r="H102" t="s" s="140">
        <v>767</v>
      </c>
      <c r="I102" t="s" s="141">
        <v>107</v>
      </c>
      <c r="J102" t="s" s="141">
        <v>97</v>
      </c>
      <c r="K102" t="str" s="142" cm="1">
        <f t="array" ref="K102">IF(OR(H102="ריביות",AND(H102="דירה כצנלסון",G102&lt;0,ISNUMBER(SEARCH("הכנסה",F102)))),"הכנסה שסווגה מחדש",J102)</f>
        <v>שוטף</v>
      </c>
      <c r="L102" t="s" s="141">
        <v>741</v>
      </c>
      <c r="M102" s="143" cm="1">
        <f t="array" ref="M102">IF(L102="מאושר",IF(K102="הכנסה שסווגה מחדש",0,G102),0)</f>
        <v>92</v>
      </c>
      <c r="N102" s="143" cm="1">
        <f t="array" ref="N102">IF(K102="שוטף",M102,0)</f>
        <v>92</v>
      </c>
      <c r="O102" s="143" cm="1">
        <f t="array" ref="O102">IF(K102="הכנסה שסווגה מחדש",-G102,0)</f>
        <v>0</v>
      </c>
      <c r="P102" t="s" s="86">
        <v>770</v>
      </c>
      <c r="Q102" s="99"/>
      <c r="R102" t="s" s="144">
        <v>743</v>
      </c>
      <c r="S102" s="77"/>
    </row>
    <row r="103" ht="13.65" customHeight="1">
      <c r="A103" s="78">
        <v>45689</v>
      </c>
      <c r="B103" t="s" s="79">
        <v>33</v>
      </c>
      <c r="C103" t="s" s="80">
        <v>785</v>
      </c>
      <c r="D103" s="131">
        <v>31</v>
      </c>
      <c r="E103" t="s" s="79">
        <v>42</v>
      </c>
      <c r="F103" t="s" s="80">
        <v>626</v>
      </c>
      <c r="G103" s="132">
        <v>40</v>
      </c>
      <c r="H103" t="s" s="133">
        <v>767</v>
      </c>
      <c r="I103" t="s" s="134">
        <v>107</v>
      </c>
      <c r="J103" t="s" s="134">
        <v>97</v>
      </c>
      <c r="K103" t="str" s="135" cm="1">
        <f t="array" ref="K103">IF(OR(H103="ריביות",AND(H103="דירה כצנלסון",G103&lt;0,ISNUMBER(SEARCH("הכנסה",F103)))),"הכנסה שסווגה מחדש",J103)</f>
        <v>שוטף</v>
      </c>
      <c r="L103" t="s" s="134">
        <v>741</v>
      </c>
      <c r="M103" s="136" cm="1">
        <f t="array" ref="M103">IF(L103="מאושר",IF(K103="הכנסה שסווגה מחדש",0,G103),0)</f>
        <v>40</v>
      </c>
      <c r="N103" s="136" cm="1">
        <f t="array" ref="N103">IF(K103="שוטף",M103,0)</f>
        <v>40</v>
      </c>
      <c r="O103" s="136" cm="1">
        <f t="array" ref="O103">IF(K103="הכנסה שסווגה מחדש",-G103,0)</f>
        <v>0</v>
      </c>
      <c r="P103" t="s" s="80">
        <v>770</v>
      </c>
      <c r="Q103" s="100"/>
      <c r="R103" t="s" s="137">
        <v>743</v>
      </c>
      <c r="S103" s="77"/>
    </row>
    <row r="104" ht="13.65" customHeight="1">
      <c r="A104" s="84">
        <v>45689</v>
      </c>
      <c r="B104" t="s" s="85">
        <v>33</v>
      </c>
      <c r="C104" t="s" s="86">
        <v>785</v>
      </c>
      <c r="D104" s="138">
        <v>32</v>
      </c>
      <c r="E104" t="s" s="85">
        <v>42</v>
      </c>
      <c r="F104" t="s" s="86">
        <v>624</v>
      </c>
      <c r="G104" s="139">
        <v>42</v>
      </c>
      <c r="H104" t="s" s="140">
        <v>767</v>
      </c>
      <c r="I104" t="s" s="141">
        <v>107</v>
      </c>
      <c r="J104" t="s" s="141">
        <v>97</v>
      </c>
      <c r="K104" t="str" s="142" cm="1">
        <f t="array" ref="K104">IF(OR(H104="ריביות",AND(H104="דירה כצנלסון",G104&lt;0,ISNUMBER(SEARCH("הכנסה",F104)))),"הכנסה שסווגה מחדש",J104)</f>
        <v>שוטף</v>
      </c>
      <c r="L104" t="s" s="141">
        <v>741</v>
      </c>
      <c r="M104" s="143" cm="1">
        <f t="array" ref="M104">IF(L104="מאושר",IF(K104="הכנסה שסווגה מחדש",0,G104),0)</f>
        <v>42</v>
      </c>
      <c r="N104" s="143" cm="1">
        <f t="array" ref="N104">IF(K104="שוטף",M104,0)</f>
        <v>42</v>
      </c>
      <c r="O104" s="143" cm="1">
        <f t="array" ref="O104">IF(K104="הכנסה שסווגה מחדש",-G104,0)</f>
        <v>0</v>
      </c>
      <c r="P104" t="s" s="86">
        <v>770</v>
      </c>
      <c r="Q104" s="99"/>
      <c r="R104" t="s" s="144">
        <v>743</v>
      </c>
      <c r="S104" s="77"/>
    </row>
    <row r="105" ht="13.65" customHeight="1">
      <c r="A105" s="78">
        <v>45689</v>
      </c>
      <c r="B105" t="s" s="79">
        <v>33</v>
      </c>
      <c r="C105" t="s" s="80">
        <v>785</v>
      </c>
      <c r="D105" s="131">
        <v>33</v>
      </c>
      <c r="E105" t="s" s="79">
        <v>769</v>
      </c>
      <c r="F105" t="s" s="80">
        <v>355</v>
      </c>
      <c r="G105" s="132">
        <v>22</v>
      </c>
      <c r="H105" t="s" s="133">
        <v>113</v>
      </c>
      <c r="I105" t="s" s="134">
        <v>113</v>
      </c>
      <c r="J105" t="s" s="134">
        <v>97</v>
      </c>
      <c r="K105" t="str" s="135" cm="1">
        <f t="array" ref="K105">IF(OR(H105="ריביות",AND(H105="דירה כצנלסון",G105&lt;0,ISNUMBER(SEARCH("הכנסה",F105)))),"הכנסה שסווגה מחדש",J105)</f>
        <v>שוטף</v>
      </c>
      <c r="L105" t="s" s="134">
        <v>741</v>
      </c>
      <c r="M105" s="136" cm="1">
        <f t="array" ref="M105">IF(L105="מאושר",IF(K105="הכנסה שסווגה מחדש",0,G105),0)</f>
        <v>22</v>
      </c>
      <c r="N105" s="136" cm="1">
        <f t="array" ref="N105">IF(K105="שוטף",M105,0)</f>
        <v>22</v>
      </c>
      <c r="O105" s="136" cm="1">
        <f t="array" ref="O105">IF(K105="הכנסה שסווגה מחדש",-G105,0)</f>
        <v>0</v>
      </c>
      <c r="P105" t="s" s="80">
        <v>770</v>
      </c>
      <c r="Q105" s="100"/>
      <c r="R105" t="s" s="137">
        <v>743</v>
      </c>
      <c r="S105" s="77"/>
    </row>
    <row r="106" ht="13.65" customHeight="1">
      <c r="A106" s="84">
        <v>45689</v>
      </c>
      <c r="B106" t="s" s="85">
        <v>33</v>
      </c>
      <c r="C106" t="s" s="86">
        <v>785</v>
      </c>
      <c r="D106" s="138">
        <v>34</v>
      </c>
      <c r="E106" t="s" s="85">
        <v>789</v>
      </c>
      <c r="F106" t="s" s="86">
        <v>419</v>
      </c>
      <c r="G106" s="139">
        <v>257</v>
      </c>
      <c r="H106" t="s" s="140">
        <v>123</v>
      </c>
      <c r="I106" t="s" s="141">
        <v>123</v>
      </c>
      <c r="J106" t="s" s="141">
        <v>97</v>
      </c>
      <c r="K106" t="str" s="142" cm="1">
        <f t="array" ref="K106">IF(OR(H106="ריביות",AND(H106="דירה כצנלסון",G106&lt;0,ISNUMBER(SEARCH("הכנסה",F106)))),"הכנסה שסווגה מחדש",J106)</f>
        <v>שוטף</v>
      </c>
      <c r="L106" t="s" s="141">
        <v>741</v>
      </c>
      <c r="M106" s="143" cm="1">
        <f t="array" ref="M106">IF(L106="מאושר",IF(K106="הכנסה שסווגה מחדש",0,G106),0)</f>
        <v>257</v>
      </c>
      <c r="N106" s="143" cm="1">
        <f t="array" ref="N106">IF(K106="שוטף",M106,0)</f>
        <v>257</v>
      </c>
      <c r="O106" s="143" cm="1">
        <f t="array" ref="O106">IF(K106="הכנסה שסווגה מחדש",-G106,0)</f>
        <v>0</v>
      </c>
      <c r="P106" t="s" s="86">
        <v>770</v>
      </c>
      <c r="Q106" s="99"/>
      <c r="R106" t="s" s="144">
        <v>743</v>
      </c>
      <c r="S106" s="77"/>
    </row>
    <row r="107" ht="13.65" customHeight="1">
      <c r="A107" s="78">
        <v>45689</v>
      </c>
      <c r="B107" t="s" s="79">
        <v>33</v>
      </c>
      <c r="C107" t="s" s="80">
        <v>785</v>
      </c>
      <c r="D107" s="131">
        <v>35</v>
      </c>
      <c r="E107" t="s" s="79">
        <v>789</v>
      </c>
      <c r="F107" t="s" s="80">
        <v>434</v>
      </c>
      <c r="G107" s="132">
        <v>25</v>
      </c>
      <c r="H107" t="s" s="133">
        <v>111</v>
      </c>
      <c r="I107" t="s" s="134">
        <v>111</v>
      </c>
      <c r="J107" t="s" s="134">
        <v>97</v>
      </c>
      <c r="K107" t="str" s="135" cm="1">
        <f t="array" ref="K107">IF(OR(H107="ריביות",AND(H107="דירה כצנלסון",G107&lt;0,ISNUMBER(SEARCH("הכנסה",F107)))),"הכנסה שסווגה מחדש",J107)</f>
        <v>שוטף</v>
      </c>
      <c r="L107" t="s" s="134">
        <v>741</v>
      </c>
      <c r="M107" s="136" cm="1">
        <f t="array" ref="M107">IF(L107="מאושר",IF(K107="הכנסה שסווגה מחדש",0,G107),0)</f>
        <v>25</v>
      </c>
      <c r="N107" s="136" cm="1">
        <f t="array" ref="N107">IF(K107="שוטף",M107,0)</f>
        <v>25</v>
      </c>
      <c r="O107" s="136" cm="1">
        <f t="array" ref="O107">IF(K107="הכנסה שסווגה מחדש",-G107,0)</f>
        <v>0</v>
      </c>
      <c r="P107" t="s" s="80">
        <v>770</v>
      </c>
      <c r="Q107" s="100"/>
      <c r="R107" t="s" s="137">
        <v>743</v>
      </c>
      <c r="S107" s="77"/>
    </row>
    <row r="108" ht="13.65" customHeight="1">
      <c r="A108" s="84">
        <v>45689</v>
      </c>
      <c r="B108" t="s" s="85">
        <v>33</v>
      </c>
      <c r="C108" t="s" s="86">
        <v>785</v>
      </c>
      <c r="D108" s="138">
        <v>36</v>
      </c>
      <c r="E108" t="s" s="85">
        <v>788</v>
      </c>
      <c r="F108" t="s" s="86">
        <v>549</v>
      </c>
      <c r="G108" s="139">
        <v>80</v>
      </c>
      <c r="H108" t="s" s="140">
        <v>133</v>
      </c>
      <c r="I108" t="s" s="141">
        <v>133</v>
      </c>
      <c r="J108" t="s" s="141">
        <v>97</v>
      </c>
      <c r="K108" t="str" s="142" cm="1">
        <f t="array" ref="K108">IF(OR(H108="ריביות",AND(H108="דירה כצנלסון",G108&lt;0,ISNUMBER(SEARCH("הכנסה",F108)))),"הכנסה שסווגה מחדש",J108)</f>
        <v>שוטף</v>
      </c>
      <c r="L108" t="s" s="141">
        <v>741</v>
      </c>
      <c r="M108" s="143" cm="1">
        <f t="array" ref="M108">IF(L108="מאושר",IF(K108="הכנסה שסווגה מחדש",0,G108),0)</f>
        <v>80</v>
      </c>
      <c r="N108" s="143" cm="1">
        <f t="array" ref="N108">IF(K108="שוטף",M108,0)</f>
        <v>80</v>
      </c>
      <c r="O108" s="143" cm="1">
        <f t="array" ref="O108">IF(K108="הכנסה שסווגה מחדש",-G108,0)</f>
        <v>0</v>
      </c>
      <c r="P108" t="s" s="86">
        <v>770</v>
      </c>
      <c r="Q108" s="99"/>
      <c r="R108" t="s" s="144">
        <v>743</v>
      </c>
      <c r="S108" s="77"/>
    </row>
    <row r="109" ht="13.65" customHeight="1">
      <c r="A109" s="78">
        <v>45689</v>
      </c>
      <c r="B109" t="s" s="79">
        <v>33</v>
      </c>
      <c r="C109" t="s" s="80">
        <v>785</v>
      </c>
      <c r="D109" s="131">
        <v>37</v>
      </c>
      <c r="E109" t="s" s="79">
        <v>771</v>
      </c>
      <c r="F109" t="s" s="80">
        <v>336</v>
      </c>
      <c r="G109" s="132">
        <v>156</v>
      </c>
      <c r="H109" t="s" s="133">
        <v>767</v>
      </c>
      <c r="I109" t="s" s="134">
        <v>107</v>
      </c>
      <c r="J109" t="s" s="134">
        <v>97</v>
      </c>
      <c r="K109" t="str" s="135" cm="1">
        <f t="array" ref="K109">IF(OR(H109="ריביות",AND(H109="דירה כצנלסון",G109&lt;0,ISNUMBER(SEARCH("הכנסה",F109)))),"הכנסה שסווגה מחדש",J109)</f>
        <v>שוטף</v>
      </c>
      <c r="L109" t="s" s="134">
        <v>741</v>
      </c>
      <c r="M109" s="136" cm="1">
        <f t="array" ref="M109">IF(L109="מאושר",IF(K109="הכנסה שסווגה מחדש",0,G109),0)</f>
        <v>156</v>
      </c>
      <c r="N109" s="136" cm="1">
        <f t="array" ref="N109">IF(K109="שוטף",M109,0)</f>
        <v>156</v>
      </c>
      <c r="O109" s="136" cm="1">
        <f t="array" ref="O109">IF(K109="הכנסה שסווגה מחדש",-G109,0)</f>
        <v>0</v>
      </c>
      <c r="P109" t="s" s="80">
        <v>770</v>
      </c>
      <c r="Q109" s="100"/>
      <c r="R109" t="s" s="137">
        <v>743</v>
      </c>
      <c r="S109" s="77"/>
    </row>
    <row r="110" ht="13.65" customHeight="1">
      <c r="A110" s="84">
        <v>45689</v>
      </c>
      <c r="B110" t="s" s="85">
        <v>33</v>
      </c>
      <c r="C110" t="s" s="86">
        <v>785</v>
      </c>
      <c r="D110" s="138">
        <v>38</v>
      </c>
      <c r="E110" t="s" s="85">
        <v>771</v>
      </c>
      <c r="F110" t="s" s="86">
        <v>336</v>
      </c>
      <c r="G110" s="139">
        <v>15</v>
      </c>
      <c r="H110" t="s" s="140">
        <v>767</v>
      </c>
      <c r="I110" t="s" s="141">
        <v>107</v>
      </c>
      <c r="J110" t="s" s="141">
        <v>97</v>
      </c>
      <c r="K110" t="str" s="142" cm="1">
        <f t="array" ref="K110">IF(OR(H110="ריביות",AND(H110="דירה כצנלסון",G110&lt;0,ISNUMBER(SEARCH("הכנסה",F110)))),"הכנסה שסווגה מחדש",J110)</f>
        <v>שוטף</v>
      </c>
      <c r="L110" t="s" s="141">
        <v>741</v>
      </c>
      <c r="M110" s="143" cm="1">
        <f t="array" ref="M110">IF(L110="מאושר",IF(K110="הכנסה שסווגה מחדש",0,G110),0)</f>
        <v>15</v>
      </c>
      <c r="N110" s="143" cm="1">
        <f t="array" ref="N110">IF(K110="שוטף",M110,0)</f>
        <v>15</v>
      </c>
      <c r="O110" s="143" cm="1">
        <f t="array" ref="O110">IF(K110="הכנסה שסווגה מחדש",-G110,0)</f>
        <v>0</v>
      </c>
      <c r="P110" t="s" s="86">
        <v>770</v>
      </c>
      <c r="Q110" s="99"/>
      <c r="R110" t="s" s="144">
        <v>743</v>
      </c>
      <c r="S110" s="77"/>
    </row>
    <row r="111" ht="13.65" customHeight="1">
      <c r="A111" s="78">
        <v>45689</v>
      </c>
      <c r="B111" t="s" s="79">
        <v>33</v>
      </c>
      <c r="C111" t="s" s="80">
        <v>785</v>
      </c>
      <c r="D111" s="131">
        <v>39</v>
      </c>
      <c r="E111" t="s" s="79">
        <v>754</v>
      </c>
      <c r="F111" t="s" s="80">
        <v>200</v>
      </c>
      <c r="G111" s="132">
        <v>729</v>
      </c>
      <c r="H111" t="s" s="133">
        <v>109</v>
      </c>
      <c r="I111" t="s" s="134">
        <v>109</v>
      </c>
      <c r="J111" t="s" s="134">
        <v>97</v>
      </c>
      <c r="K111" t="str" s="135" cm="1">
        <f t="array" ref="K111">IF(OR(H111="ריביות",AND(H111="דירה כצנלסון",G111&lt;0,ISNUMBER(SEARCH("הכנסה",F111)))),"הכנסה שסווגה מחדש",J111)</f>
        <v>שוטף</v>
      </c>
      <c r="L111" t="s" s="134">
        <v>741</v>
      </c>
      <c r="M111" s="136" cm="1">
        <f t="array" ref="M111">IF(L111="מאושר",IF(K111="הכנסה שסווגה מחדש",0,G111),0)</f>
        <v>729</v>
      </c>
      <c r="N111" s="136" cm="1">
        <f t="array" ref="N111">IF(K111="שוטף",M111,0)</f>
        <v>729</v>
      </c>
      <c r="O111" s="136" cm="1">
        <f t="array" ref="O111">IF(K111="הכנסה שסווגה מחדש",-G111,0)</f>
        <v>0</v>
      </c>
      <c r="P111" t="s" s="80">
        <v>770</v>
      </c>
      <c r="Q111" s="100"/>
      <c r="R111" t="s" s="137">
        <v>743</v>
      </c>
      <c r="S111" s="77"/>
    </row>
    <row r="112" ht="13.65" customHeight="1">
      <c r="A112" s="84">
        <v>45689</v>
      </c>
      <c r="B112" t="s" s="85">
        <v>33</v>
      </c>
      <c r="C112" t="s" s="86">
        <v>785</v>
      </c>
      <c r="D112" s="138">
        <v>40</v>
      </c>
      <c r="E112" t="s" s="85">
        <v>790</v>
      </c>
      <c r="F112" t="s" s="86">
        <v>267</v>
      </c>
      <c r="G112" s="139">
        <v>25</v>
      </c>
      <c r="H112" t="s" s="140">
        <v>113</v>
      </c>
      <c r="I112" t="s" s="141">
        <v>113</v>
      </c>
      <c r="J112" t="s" s="141">
        <v>97</v>
      </c>
      <c r="K112" t="str" s="142" cm="1">
        <f t="array" ref="K112">IF(OR(H112="ריביות",AND(H112="דירה כצנלסון",G112&lt;0,ISNUMBER(SEARCH("הכנסה",F112)))),"הכנסה שסווגה מחדש",J112)</f>
        <v>שוטף</v>
      </c>
      <c r="L112" t="s" s="141">
        <v>741</v>
      </c>
      <c r="M112" s="143" cm="1">
        <f t="array" ref="M112">IF(L112="מאושר",IF(K112="הכנסה שסווגה מחדש",0,G112),0)</f>
        <v>25</v>
      </c>
      <c r="N112" s="143" cm="1">
        <f t="array" ref="N112">IF(K112="שוטף",M112,0)</f>
        <v>25</v>
      </c>
      <c r="O112" s="143" cm="1">
        <f t="array" ref="O112">IF(K112="הכנסה שסווגה מחדש",-G112,0)</f>
        <v>0</v>
      </c>
      <c r="P112" t="s" s="86">
        <v>770</v>
      </c>
      <c r="Q112" s="99"/>
      <c r="R112" t="s" s="144">
        <v>743</v>
      </c>
      <c r="S112" s="77"/>
    </row>
    <row r="113" ht="13.65" customHeight="1">
      <c r="A113" s="78">
        <v>45689</v>
      </c>
      <c r="B113" t="s" s="79">
        <v>33</v>
      </c>
      <c r="C113" t="s" s="80">
        <v>785</v>
      </c>
      <c r="D113" s="131">
        <v>41</v>
      </c>
      <c r="E113" t="s" s="79">
        <v>744</v>
      </c>
      <c r="F113" t="s" s="80">
        <v>292</v>
      </c>
      <c r="G113" s="132">
        <v>150</v>
      </c>
      <c r="H113" t="s" s="133">
        <v>113</v>
      </c>
      <c r="I113" t="s" s="134">
        <v>113</v>
      </c>
      <c r="J113" t="s" s="134">
        <v>97</v>
      </c>
      <c r="K113" t="str" s="135" cm="1">
        <f t="array" ref="K113">IF(OR(H113="ריביות",AND(H113="דירה כצנלסון",G113&lt;0,ISNUMBER(SEARCH("הכנסה",F113)))),"הכנסה שסווגה מחדש",J113)</f>
        <v>שוטף</v>
      </c>
      <c r="L113" t="s" s="134">
        <v>741</v>
      </c>
      <c r="M113" s="136" cm="1">
        <f t="array" ref="M113">IF(L113="מאושר",IF(K113="הכנסה שסווגה מחדש",0,G113),0)</f>
        <v>150</v>
      </c>
      <c r="N113" s="136" cm="1">
        <f t="array" ref="N113">IF(K113="שוטף",M113,0)</f>
        <v>150</v>
      </c>
      <c r="O113" s="136" cm="1">
        <f t="array" ref="O113">IF(K113="הכנסה שסווגה מחדש",-G113,0)</f>
        <v>0</v>
      </c>
      <c r="P113" t="s" s="80">
        <v>770</v>
      </c>
      <c r="Q113" s="100"/>
      <c r="R113" t="s" s="137">
        <v>743</v>
      </c>
      <c r="S113" s="77"/>
    </row>
    <row r="114" ht="13.65" customHeight="1">
      <c r="A114" s="84">
        <v>45689</v>
      </c>
      <c r="B114" t="s" s="85">
        <v>33</v>
      </c>
      <c r="C114" t="s" s="86">
        <v>785</v>
      </c>
      <c r="D114" s="138">
        <v>42</v>
      </c>
      <c r="E114" t="s" s="85">
        <v>791</v>
      </c>
      <c r="F114" t="s" s="86">
        <v>267</v>
      </c>
      <c r="G114" s="139">
        <v>56</v>
      </c>
      <c r="H114" t="s" s="140">
        <v>109</v>
      </c>
      <c r="I114" t="s" s="141">
        <v>109</v>
      </c>
      <c r="J114" t="s" s="141">
        <v>97</v>
      </c>
      <c r="K114" t="str" s="142" cm="1">
        <f t="array" ref="K114">IF(OR(H114="ריביות",AND(H114="דירה כצנלסון",G114&lt;0,ISNUMBER(SEARCH("הכנסה",F114)))),"הכנסה שסווגה מחדש",J114)</f>
        <v>שוטף</v>
      </c>
      <c r="L114" t="s" s="141">
        <v>741</v>
      </c>
      <c r="M114" s="143" cm="1">
        <f t="array" ref="M114">IF(L114="מאושר",IF(K114="הכנסה שסווגה מחדש",0,G114),0)</f>
        <v>56</v>
      </c>
      <c r="N114" s="143" cm="1">
        <f t="array" ref="N114">IF(K114="שוטף",M114,0)</f>
        <v>56</v>
      </c>
      <c r="O114" s="143" cm="1">
        <f t="array" ref="O114">IF(K114="הכנסה שסווגה מחדש",-G114,0)</f>
        <v>0</v>
      </c>
      <c r="P114" t="s" s="86">
        <v>770</v>
      </c>
      <c r="Q114" s="99"/>
      <c r="R114" t="s" s="144">
        <v>743</v>
      </c>
      <c r="S114" s="77"/>
    </row>
    <row r="115" ht="13.65" customHeight="1">
      <c r="A115" s="78">
        <v>45689</v>
      </c>
      <c r="B115" t="s" s="79">
        <v>33</v>
      </c>
      <c r="C115" t="s" s="80">
        <v>785</v>
      </c>
      <c r="D115" s="131">
        <v>43</v>
      </c>
      <c r="E115" t="s" s="79">
        <v>791</v>
      </c>
      <c r="F115" t="s" s="80">
        <v>434</v>
      </c>
      <c r="G115" s="132">
        <v>25</v>
      </c>
      <c r="H115" t="s" s="133">
        <v>111</v>
      </c>
      <c r="I115" t="s" s="134">
        <v>111</v>
      </c>
      <c r="J115" t="s" s="134">
        <v>97</v>
      </c>
      <c r="K115" t="str" s="135" cm="1">
        <f t="array" ref="K115">IF(OR(H115="ריביות",AND(H115="דירה כצנלסון",G115&lt;0,ISNUMBER(SEARCH("הכנסה",F115)))),"הכנסה שסווגה מחדש",J115)</f>
        <v>שוטף</v>
      </c>
      <c r="L115" t="s" s="134">
        <v>741</v>
      </c>
      <c r="M115" s="136" cm="1">
        <f t="array" ref="M115">IF(L115="מאושר",IF(K115="הכנסה שסווגה מחדש",0,G115),0)</f>
        <v>25</v>
      </c>
      <c r="N115" s="136" cm="1">
        <f t="array" ref="N115">IF(K115="שוטף",M115,0)</f>
        <v>25</v>
      </c>
      <c r="O115" s="136" cm="1">
        <f t="array" ref="O115">IF(K115="הכנסה שסווגה מחדש",-G115,0)</f>
        <v>0</v>
      </c>
      <c r="P115" t="s" s="80">
        <v>770</v>
      </c>
      <c r="Q115" s="100"/>
      <c r="R115" t="s" s="137">
        <v>743</v>
      </c>
      <c r="S115" s="77"/>
    </row>
    <row r="116" ht="13.65" customHeight="1">
      <c r="A116" s="84">
        <v>45689</v>
      </c>
      <c r="B116" t="s" s="85">
        <v>33</v>
      </c>
      <c r="C116" t="s" s="86">
        <v>785</v>
      </c>
      <c r="D116" s="138">
        <v>44</v>
      </c>
      <c r="E116" t="s" s="85">
        <v>755</v>
      </c>
      <c r="F116" t="s" s="86">
        <v>231</v>
      </c>
      <c r="G116" s="139">
        <v>75</v>
      </c>
      <c r="H116" t="s" s="140">
        <v>109</v>
      </c>
      <c r="I116" t="s" s="141">
        <v>109</v>
      </c>
      <c r="J116" t="s" s="141">
        <v>97</v>
      </c>
      <c r="K116" t="str" s="142" cm="1">
        <f t="array" ref="K116">IF(OR(H116="ריביות",AND(H116="דירה כצנלסון",G116&lt;0,ISNUMBER(SEARCH("הכנסה",F116)))),"הכנסה שסווגה מחדש",J116)</f>
        <v>שוטף</v>
      </c>
      <c r="L116" t="s" s="141">
        <v>741</v>
      </c>
      <c r="M116" s="143" cm="1">
        <f t="array" ref="M116">IF(L116="מאושר",IF(K116="הכנסה שסווגה מחדש",0,G116),0)</f>
        <v>75</v>
      </c>
      <c r="N116" s="143" cm="1">
        <f t="array" ref="N116">IF(K116="שוטף",M116,0)</f>
        <v>75</v>
      </c>
      <c r="O116" s="143" cm="1">
        <f t="array" ref="O116">IF(K116="הכנסה שסווגה מחדש",-G116,0)</f>
        <v>0</v>
      </c>
      <c r="P116" t="s" s="86">
        <v>770</v>
      </c>
      <c r="Q116" s="99"/>
      <c r="R116" t="s" s="144">
        <v>743</v>
      </c>
      <c r="S116" s="77"/>
    </row>
    <row r="117" ht="13.65" customHeight="1">
      <c r="A117" s="78">
        <v>45689</v>
      </c>
      <c r="B117" t="s" s="79">
        <v>33</v>
      </c>
      <c r="C117" t="s" s="80">
        <v>785</v>
      </c>
      <c r="D117" s="131">
        <v>45</v>
      </c>
      <c r="E117" t="s" s="79">
        <v>755</v>
      </c>
      <c r="F117" t="s" s="80">
        <v>267</v>
      </c>
      <c r="G117" s="132">
        <v>74</v>
      </c>
      <c r="H117" t="s" s="133">
        <v>109</v>
      </c>
      <c r="I117" t="s" s="134">
        <v>109</v>
      </c>
      <c r="J117" t="s" s="134">
        <v>97</v>
      </c>
      <c r="K117" t="str" s="135" cm="1">
        <f t="array" ref="K117">IF(OR(H117="ריביות",AND(H117="דירה כצנלסון",G117&lt;0,ISNUMBER(SEARCH("הכנסה",F117)))),"הכנסה שסווגה מחדש",J117)</f>
        <v>שוטף</v>
      </c>
      <c r="L117" t="s" s="134">
        <v>741</v>
      </c>
      <c r="M117" s="136" cm="1">
        <f t="array" ref="M117">IF(L117="מאושר",IF(K117="הכנסה שסווגה מחדש",0,G117),0)</f>
        <v>74</v>
      </c>
      <c r="N117" s="136" cm="1">
        <f t="array" ref="N117">IF(K117="שוטף",M117,0)</f>
        <v>74</v>
      </c>
      <c r="O117" s="136" cm="1">
        <f t="array" ref="O117">IF(K117="הכנסה שסווגה מחדש",-G117,0)</f>
        <v>0</v>
      </c>
      <c r="P117" t="s" s="80">
        <v>770</v>
      </c>
      <c r="Q117" s="100"/>
      <c r="R117" t="s" s="137">
        <v>743</v>
      </c>
      <c r="S117" s="77"/>
    </row>
    <row r="118" ht="13.65" customHeight="1">
      <c r="A118" s="84">
        <v>45689</v>
      </c>
      <c r="B118" t="s" s="85">
        <v>33</v>
      </c>
      <c r="C118" t="s" s="86">
        <v>785</v>
      </c>
      <c r="D118" s="138">
        <v>46</v>
      </c>
      <c r="E118" t="s" s="85">
        <v>755</v>
      </c>
      <c r="F118" t="s" s="86">
        <v>316</v>
      </c>
      <c r="G118" s="139">
        <v>438</v>
      </c>
      <c r="H118" t="s" s="140">
        <v>767</v>
      </c>
      <c r="I118" t="s" s="141">
        <v>107</v>
      </c>
      <c r="J118" t="s" s="141">
        <v>97</v>
      </c>
      <c r="K118" t="str" s="142" cm="1">
        <f t="array" ref="K118">IF(OR(H118="ריביות",AND(H118="דירה כצנלסון",G118&lt;0,ISNUMBER(SEARCH("הכנסה",F118)))),"הכנסה שסווגה מחדש",J118)</f>
        <v>שוטף</v>
      </c>
      <c r="L118" t="s" s="141">
        <v>741</v>
      </c>
      <c r="M118" s="143" cm="1">
        <f t="array" ref="M118">IF(L118="מאושר",IF(K118="הכנסה שסווגה מחדש",0,G118),0)</f>
        <v>438</v>
      </c>
      <c r="N118" s="143" cm="1">
        <f t="array" ref="N118">IF(K118="שוטף",M118,0)</f>
        <v>438</v>
      </c>
      <c r="O118" s="143" cm="1">
        <f t="array" ref="O118">IF(K118="הכנסה שסווגה מחדש",-G118,0)</f>
        <v>0</v>
      </c>
      <c r="P118" t="s" s="86">
        <v>770</v>
      </c>
      <c r="Q118" s="99"/>
      <c r="R118" t="s" s="144">
        <v>743</v>
      </c>
      <c r="S118" s="77"/>
    </row>
    <row r="119" ht="13.65" customHeight="1">
      <c r="A119" s="78">
        <v>45689</v>
      </c>
      <c r="B119" t="s" s="79">
        <v>33</v>
      </c>
      <c r="C119" t="s" s="80">
        <v>785</v>
      </c>
      <c r="D119" s="131">
        <v>47</v>
      </c>
      <c r="E119" t="s" s="79">
        <v>759</v>
      </c>
      <c r="F119" t="s" s="80">
        <v>264</v>
      </c>
      <c r="G119" s="132">
        <v>1680</v>
      </c>
      <c r="H119" t="s" s="133">
        <v>767</v>
      </c>
      <c r="I119" t="s" s="134">
        <v>107</v>
      </c>
      <c r="J119" t="s" s="134">
        <v>97</v>
      </c>
      <c r="K119" t="str" s="135" cm="1">
        <f t="array" ref="K119">IF(OR(H119="ריביות",AND(H119="דירה כצנלסון",G119&lt;0,ISNUMBER(SEARCH("הכנסה",F119)))),"הכנסה שסווגה מחדש",J119)</f>
        <v>שוטף</v>
      </c>
      <c r="L119" t="s" s="134">
        <v>741</v>
      </c>
      <c r="M119" s="136" cm="1">
        <f t="array" ref="M119">IF(L119="מאושר",IF(K119="הכנסה שסווגה מחדש",0,G119),0)</f>
        <v>1680</v>
      </c>
      <c r="N119" s="136" cm="1">
        <f t="array" ref="N119">IF(K119="שוטף",M119,0)</f>
        <v>1680</v>
      </c>
      <c r="O119" s="136" cm="1">
        <f t="array" ref="O119">IF(K119="הכנסה שסווגה מחדש",-G119,0)</f>
        <v>0</v>
      </c>
      <c r="P119" t="s" s="80">
        <v>770</v>
      </c>
      <c r="Q119" s="100"/>
      <c r="R119" t="s" s="137">
        <v>743</v>
      </c>
      <c r="S119" s="77"/>
    </row>
    <row r="120" ht="13.65" customHeight="1">
      <c r="A120" s="84">
        <v>45689</v>
      </c>
      <c r="B120" t="s" s="85">
        <v>33</v>
      </c>
      <c r="C120" t="s" s="86">
        <v>785</v>
      </c>
      <c r="D120" s="138">
        <v>48</v>
      </c>
      <c r="E120" t="s" s="85">
        <v>787</v>
      </c>
      <c r="F120" t="s" s="86">
        <v>635</v>
      </c>
      <c r="G120" s="139">
        <v>35</v>
      </c>
      <c r="H120" t="s" s="140">
        <v>117</v>
      </c>
      <c r="I120" t="s" s="141">
        <v>117</v>
      </c>
      <c r="J120" t="s" s="141">
        <v>97</v>
      </c>
      <c r="K120" t="str" s="142" cm="1">
        <f t="array" ref="K120">IF(OR(H120="ריביות",AND(H120="דירה כצנלסון",G120&lt;0,ISNUMBER(SEARCH("הכנסה",F120)))),"הכנסה שסווגה מחדש",J120)</f>
        <v>שוטף</v>
      </c>
      <c r="L120" t="s" s="141">
        <v>741</v>
      </c>
      <c r="M120" s="143" cm="1">
        <f t="array" ref="M120">IF(L120="מאושר",IF(K120="הכנסה שסווגה מחדש",0,G120),0)</f>
        <v>35</v>
      </c>
      <c r="N120" s="143" cm="1">
        <f t="array" ref="N120">IF(K120="שוטף",M120,0)</f>
        <v>35</v>
      </c>
      <c r="O120" s="143" cm="1">
        <f t="array" ref="O120">IF(K120="הכנסה שסווגה מחדש",-G120,0)</f>
        <v>0</v>
      </c>
      <c r="P120" t="s" s="86">
        <v>783</v>
      </c>
      <c r="Q120" s="99"/>
      <c r="R120" t="s" s="144">
        <v>743</v>
      </c>
      <c r="S120" s="77"/>
    </row>
    <row r="121" ht="13.65" customHeight="1">
      <c r="A121" s="78">
        <v>45689</v>
      </c>
      <c r="B121" t="s" s="79">
        <v>33</v>
      </c>
      <c r="C121" t="s" s="80">
        <v>785</v>
      </c>
      <c r="D121" s="131">
        <v>49</v>
      </c>
      <c r="E121" t="s" s="79">
        <v>34</v>
      </c>
      <c r="F121" t="s" s="80">
        <v>358</v>
      </c>
      <c r="G121" s="132">
        <v>470</v>
      </c>
      <c r="H121" t="s" s="133">
        <v>127</v>
      </c>
      <c r="I121" t="s" s="134">
        <v>127</v>
      </c>
      <c r="J121" t="s" s="134">
        <v>97</v>
      </c>
      <c r="K121" t="str" s="135" cm="1">
        <f t="array" ref="K121">IF(OR(H121="ריביות",AND(H121="דירה כצנלסון",G121&lt;0,ISNUMBER(SEARCH("הכנסה",F121)))),"הכנסה שסווגה מחדש",J121)</f>
        <v>שוטף</v>
      </c>
      <c r="L121" t="s" s="134">
        <v>741</v>
      </c>
      <c r="M121" s="136" cm="1">
        <f t="array" ref="M121">IF(L121="מאושר",IF(K121="הכנסה שסווגה מחדש",0,G121),0)</f>
        <v>470</v>
      </c>
      <c r="N121" s="136" cm="1">
        <f t="array" ref="N121">IF(K121="שוטף",M121,0)</f>
        <v>470</v>
      </c>
      <c r="O121" s="136" cm="1">
        <f t="array" ref="O121">IF(K121="הכנסה שסווגה מחדש",-G121,0)</f>
        <v>0</v>
      </c>
      <c r="P121" t="s" s="80">
        <v>783</v>
      </c>
      <c r="Q121" s="100"/>
      <c r="R121" t="s" s="137">
        <v>743</v>
      </c>
      <c r="S121" s="77"/>
    </row>
    <row r="122" ht="13.65" customHeight="1">
      <c r="A122" s="84">
        <v>45689</v>
      </c>
      <c r="B122" t="s" s="85">
        <v>33</v>
      </c>
      <c r="C122" t="s" s="86">
        <v>785</v>
      </c>
      <c r="D122" s="138">
        <v>50</v>
      </c>
      <c r="E122" t="s" s="85">
        <v>788</v>
      </c>
      <c r="F122" t="s" s="86">
        <v>250</v>
      </c>
      <c r="G122" s="139">
        <v>110</v>
      </c>
      <c r="H122" t="s" s="140">
        <v>127</v>
      </c>
      <c r="I122" t="s" s="141">
        <v>127</v>
      </c>
      <c r="J122" t="s" s="141">
        <v>97</v>
      </c>
      <c r="K122" t="str" s="142" cm="1">
        <f t="array" ref="K122">IF(OR(H122="ריביות",AND(H122="דירה כצנלסון",G122&lt;0,ISNUMBER(SEARCH("הכנסה",F122)))),"הכנסה שסווגה מחדש",J122)</f>
        <v>שוטף</v>
      </c>
      <c r="L122" t="s" s="141">
        <v>741</v>
      </c>
      <c r="M122" s="143" cm="1">
        <f t="array" ref="M122">IF(L122="מאושר",IF(K122="הכנסה שסווגה מחדש",0,G122),0)</f>
        <v>110</v>
      </c>
      <c r="N122" s="143" cm="1">
        <f t="array" ref="N122">IF(K122="שוטף",M122,0)</f>
        <v>110</v>
      </c>
      <c r="O122" s="143" cm="1">
        <f t="array" ref="O122">IF(K122="הכנסה שסווגה מחדש",-G122,0)</f>
        <v>0</v>
      </c>
      <c r="P122" t="s" s="86">
        <v>783</v>
      </c>
      <c r="Q122" s="99"/>
      <c r="R122" t="s" s="144">
        <v>743</v>
      </c>
      <c r="S122" s="77"/>
    </row>
    <row r="123" ht="13.65" customHeight="1">
      <c r="A123" s="78">
        <v>45689</v>
      </c>
      <c r="B123" t="s" s="79">
        <v>33</v>
      </c>
      <c r="C123" t="s" s="80">
        <v>785</v>
      </c>
      <c r="D123" s="131">
        <v>51</v>
      </c>
      <c r="E123" t="s" s="79">
        <v>761</v>
      </c>
      <c r="F123" t="s" s="80">
        <v>672</v>
      </c>
      <c r="G123" s="132">
        <v>20</v>
      </c>
      <c r="H123" t="s" s="133">
        <v>125</v>
      </c>
      <c r="I123" t="s" s="134">
        <v>125</v>
      </c>
      <c r="J123" t="s" s="134">
        <v>97</v>
      </c>
      <c r="K123" t="str" s="135" cm="1">
        <f t="array" ref="K123">IF(OR(H123="ריביות",AND(H123="דירה כצנלסון",G123&lt;0,ISNUMBER(SEARCH("הכנסה",F123)))),"הכנסה שסווגה מחדש",J123)</f>
        <v>שוטף</v>
      </c>
      <c r="L123" t="s" s="134">
        <v>741</v>
      </c>
      <c r="M123" s="136" cm="1">
        <f t="array" ref="M123">IF(L123="מאושר",IF(K123="הכנסה שסווגה מחדש",0,G123),0)</f>
        <v>20</v>
      </c>
      <c r="N123" s="136" cm="1">
        <f t="array" ref="N123">IF(K123="שוטף",M123,0)</f>
        <v>20</v>
      </c>
      <c r="O123" s="136" cm="1">
        <f t="array" ref="O123">IF(K123="הכנסה שסווגה מחדש",-G123,0)</f>
        <v>0</v>
      </c>
      <c r="P123" t="s" s="80">
        <v>783</v>
      </c>
      <c r="Q123" s="100"/>
      <c r="R123" t="s" s="137">
        <v>743</v>
      </c>
      <c r="S123" s="77"/>
    </row>
    <row r="124" ht="13.65" customHeight="1">
      <c r="A124" s="84">
        <v>45689</v>
      </c>
      <c r="B124" t="s" s="85">
        <v>33</v>
      </c>
      <c r="C124" t="s" s="86">
        <v>785</v>
      </c>
      <c r="D124" s="138">
        <v>52</v>
      </c>
      <c r="E124" t="s" s="85">
        <v>765</v>
      </c>
      <c r="F124" t="s" s="86">
        <v>583</v>
      </c>
      <c r="G124" s="139">
        <v>6</v>
      </c>
      <c r="H124" t="s" s="140">
        <v>115</v>
      </c>
      <c r="I124" t="s" s="141">
        <v>115</v>
      </c>
      <c r="J124" t="s" s="141">
        <v>97</v>
      </c>
      <c r="K124" t="str" s="142" cm="1">
        <f t="array" ref="K124">IF(OR(H124="ריביות",AND(H124="דירה כצנלסון",G124&lt;0,ISNUMBER(SEARCH("הכנסה",F124)))),"הכנסה שסווגה מחדש",J124)</f>
        <v>שוטף</v>
      </c>
      <c r="L124" t="s" s="141">
        <v>741</v>
      </c>
      <c r="M124" s="143" cm="1">
        <f t="array" ref="M124">IF(L124="מאושר",IF(K124="הכנסה שסווגה מחדש",0,G124),0)</f>
        <v>6</v>
      </c>
      <c r="N124" s="143" cm="1">
        <f t="array" ref="N124">IF(K124="שוטף",M124,0)</f>
        <v>6</v>
      </c>
      <c r="O124" s="143" cm="1">
        <f t="array" ref="O124">IF(K124="הכנסה שסווגה מחדש",-G124,0)</f>
        <v>0</v>
      </c>
      <c r="P124" t="s" s="86">
        <v>783</v>
      </c>
      <c r="Q124" s="99"/>
      <c r="R124" t="s" s="144">
        <v>743</v>
      </c>
      <c r="S124" s="77"/>
    </row>
    <row r="125" ht="13.65" customHeight="1">
      <c r="A125" s="78">
        <v>45689</v>
      </c>
      <c r="B125" t="s" s="79">
        <v>33</v>
      </c>
      <c r="C125" t="s" s="80">
        <v>785</v>
      </c>
      <c r="D125" s="131">
        <v>53</v>
      </c>
      <c r="E125" t="s" s="79">
        <v>34</v>
      </c>
      <c r="F125" t="s" s="80">
        <v>267</v>
      </c>
      <c r="G125" s="132">
        <v>29</v>
      </c>
      <c r="H125" t="s" s="133">
        <v>109</v>
      </c>
      <c r="I125" t="s" s="134">
        <v>109</v>
      </c>
      <c r="J125" t="s" s="134">
        <v>97</v>
      </c>
      <c r="K125" t="str" s="135" cm="1">
        <f t="array" ref="K125">IF(OR(H125="ריביות",AND(H125="דירה כצנלסון",G125&lt;0,ISNUMBER(SEARCH("הכנסה",F125)))),"הכנסה שסווגה מחדש",J125)</f>
        <v>שוטף</v>
      </c>
      <c r="L125" t="s" s="134">
        <v>741</v>
      </c>
      <c r="M125" s="136" cm="1">
        <f t="array" ref="M125">IF(L125="מאושר",IF(K125="הכנסה שסווגה מחדש",0,G125),0)</f>
        <v>29</v>
      </c>
      <c r="N125" s="136" cm="1">
        <f t="array" ref="N125">IF(K125="שוטף",M125,0)</f>
        <v>29</v>
      </c>
      <c r="O125" s="136" cm="1">
        <f t="array" ref="O125">IF(K125="הכנסה שסווגה מחדש",-G125,0)</f>
        <v>0</v>
      </c>
      <c r="P125" t="s" s="80">
        <v>784</v>
      </c>
      <c r="Q125" s="100"/>
      <c r="R125" t="s" s="137">
        <v>743</v>
      </c>
      <c r="S125" s="77"/>
    </row>
    <row r="126" ht="13.65" customHeight="1">
      <c r="A126" s="84">
        <v>45689</v>
      </c>
      <c r="B126" t="s" s="85">
        <v>33</v>
      </c>
      <c r="C126" t="s" s="86">
        <v>785</v>
      </c>
      <c r="D126" s="138">
        <v>54</v>
      </c>
      <c r="E126" t="s" s="85">
        <v>42</v>
      </c>
      <c r="F126" t="s" s="86">
        <v>267</v>
      </c>
      <c r="G126" s="139">
        <v>54</v>
      </c>
      <c r="H126" t="s" s="140">
        <v>109</v>
      </c>
      <c r="I126" t="s" s="141">
        <v>109</v>
      </c>
      <c r="J126" t="s" s="141">
        <v>97</v>
      </c>
      <c r="K126" t="str" s="142" cm="1">
        <f t="array" ref="K126">IF(OR(H126="ריביות",AND(H126="דירה כצנלסון",G126&lt;0,ISNUMBER(SEARCH("הכנסה",F126)))),"הכנסה שסווגה מחדש",J126)</f>
        <v>שוטף</v>
      </c>
      <c r="L126" t="s" s="141">
        <v>741</v>
      </c>
      <c r="M126" s="143" cm="1">
        <f t="array" ref="M126">IF(L126="מאושר",IF(K126="הכנסה שסווגה מחדש",0,G126),0)</f>
        <v>54</v>
      </c>
      <c r="N126" s="143" cm="1">
        <f t="array" ref="N126">IF(K126="שוטף",M126,0)</f>
        <v>54</v>
      </c>
      <c r="O126" s="143" cm="1">
        <f t="array" ref="O126">IF(K126="הכנסה שסווגה מחדש",-G126,0)</f>
        <v>0</v>
      </c>
      <c r="P126" t="s" s="86">
        <v>784</v>
      </c>
      <c r="Q126" s="99"/>
      <c r="R126" t="s" s="144">
        <v>743</v>
      </c>
      <c r="S126" s="77"/>
    </row>
    <row r="127" ht="13.65" customHeight="1">
      <c r="A127" s="78">
        <v>45689</v>
      </c>
      <c r="B127" t="s" s="79">
        <v>33</v>
      </c>
      <c r="C127" t="s" s="80">
        <v>785</v>
      </c>
      <c r="D127" s="131">
        <v>55</v>
      </c>
      <c r="E127" t="s" s="79">
        <v>769</v>
      </c>
      <c r="F127" t="s" s="80">
        <v>231</v>
      </c>
      <c r="G127" s="132">
        <v>90</v>
      </c>
      <c r="H127" t="s" s="133">
        <v>113</v>
      </c>
      <c r="I127" t="s" s="134">
        <v>113</v>
      </c>
      <c r="J127" t="s" s="134">
        <v>97</v>
      </c>
      <c r="K127" t="str" s="135" cm="1">
        <f t="array" ref="K127">IF(OR(H127="ריביות",AND(H127="דירה כצנלסון",G127&lt;0,ISNUMBER(SEARCH("הכנסה",F127)))),"הכנסה שסווגה מחדש",J127)</f>
        <v>שוטף</v>
      </c>
      <c r="L127" t="s" s="134">
        <v>741</v>
      </c>
      <c r="M127" s="136" cm="1">
        <f t="array" ref="M127">IF(L127="מאושר",IF(K127="הכנסה שסווגה מחדש",0,G127),0)</f>
        <v>90</v>
      </c>
      <c r="N127" s="136" cm="1">
        <f t="array" ref="N127">IF(K127="שוטף",M127,0)</f>
        <v>90</v>
      </c>
      <c r="O127" s="136" cm="1">
        <f t="array" ref="O127">IF(K127="הכנסה שסווגה מחדש",-G127,0)</f>
        <v>0</v>
      </c>
      <c r="P127" t="s" s="80">
        <v>784</v>
      </c>
      <c r="Q127" s="100"/>
      <c r="R127" t="s" s="137">
        <v>743</v>
      </c>
      <c r="S127" s="77"/>
    </row>
    <row r="128" ht="13.65" customHeight="1">
      <c r="A128" s="84">
        <v>45689</v>
      </c>
      <c r="B128" t="s" s="85">
        <v>33</v>
      </c>
      <c r="C128" t="s" s="86">
        <v>785</v>
      </c>
      <c r="D128" s="138">
        <v>56</v>
      </c>
      <c r="E128" t="s" s="85">
        <v>769</v>
      </c>
      <c r="F128" t="s" s="86">
        <v>267</v>
      </c>
      <c r="G128" s="139">
        <v>73</v>
      </c>
      <c r="H128" t="s" s="140">
        <v>109</v>
      </c>
      <c r="I128" t="s" s="141">
        <v>109</v>
      </c>
      <c r="J128" t="s" s="141">
        <v>97</v>
      </c>
      <c r="K128" t="str" s="142" cm="1">
        <f t="array" ref="K128">IF(OR(H128="ריביות",AND(H128="דירה כצנלסון",G128&lt;0,ISNUMBER(SEARCH("הכנסה",F128)))),"הכנסה שסווגה מחדש",J128)</f>
        <v>שוטף</v>
      </c>
      <c r="L128" t="s" s="141">
        <v>741</v>
      </c>
      <c r="M128" s="143" cm="1">
        <f t="array" ref="M128">IF(L128="מאושר",IF(K128="הכנסה שסווגה מחדש",0,G128),0)</f>
        <v>73</v>
      </c>
      <c r="N128" s="143" cm="1">
        <f t="array" ref="N128">IF(K128="שוטף",M128,0)</f>
        <v>73</v>
      </c>
      <c r="O128" s="143" cm="1">
        <f t="array" ref="O128">IF(K128="הכנסה שסווגה מחדש",-G128,0)</f>
        <v>0</v>
      </c>
      <c r="P128" t="s" s="86">
        <v>784</v>
      </c>
      <c r="Q128" s="99"/>
      <c r="R128" t="s" s="144">
        <v>743</v>
      </c>
      <c r="S128" s="77"/>
    </row>
    <row r="129" ht="13.65" customHeight="1">
      <c r="A129" s="78">
        <v>45689</v>
      </c>
      <c r="B129" t="s" s="79">
        <v>33</v>
      </c>
      <c r="C129" t="s" s="80">
        <v>785</v>
      </c>
      <c r="D129" s="131">
        <v>57</v>
      </c>
      <c r="E129" t="s" s="79">
        <v>751</v>
      </c>
      <c r="F129" t="s" s="80">
        <v>267</v>
      </c>
      <c r="G129" s="132">
        <v>76</v>
      </c>
      <c r="H129" t="s" s="133">
        <v>109</v>
      </c>
      <c r="I129" t="s" s="134">
        <v>109</v>
      </c>
      <c r="J129" t="s" s="134">
        <v>97</v>
      </c>
      <c r="K129" t="str" s="135" cm="1">
        <f t="array" ref="K129">IF(OR(H129="ריביות",AND(H129="דירה כצנלסון",G129&lt;0,ISNUMBER(SEARCH("הכנסה",F129)))),"הכנסה שסווגה מחדש",J129)</f>
        <v>שוטף</v>
      </c>
      <c r="L129" t="s" s="134">
        <v>741</v>
      </c>
      <c r="M129" s="136" cm="1">
        <f t="array" ref="M129">IF(L129="מאושר",IF(K129="הכנסה שסווגה מחדש",0,G129),0)</f>
        <v>76</v>
      </c>
      <c r="N129" s="136" cm="1">
        <f t="array" ref="N129">IF(K129="שוטף",M129,0)</f>
        <v>76</v>
      </c>
      <c r="O129" s="136" cm="1">
        <f t="array" ref="O129">IF(K129="הכנסה שסווגה מחדש",-G129,0)</f>
        <v>0</v>
      </c>
      <c r="P129" t="s" s="80">
        <v>784</v>
      </c>
      <c r="Q129" s="100"/>
      <c r="R129" t="s" s="137">
        <v>743</v>
      </c>
      <c r="S129" s="77"/>
    </row>
    <row r="130" ht="13.65" customHeight="1">
      <c r="A130" s="84">
        <v>45689</v>
      </c>
      <c r="B130" t="s" s="85">
        <v>33</v>
      </c>
      <c r="C130" t="s" s="86">
        <v>785</v>
      </c>
      <c r="D130" s="138">
        <v>58</v>
      </c>
      <c r="E130" t="s" s="85">
        <v>751</v>
      </c>
      <c r="F130" t="s" s="86">
        <v>267</v>
      </c>
      <c r="G130" s="139">
        <v>96</v>
      </c>
      <c r="H130" t="s" s="140">
        <v>109</v>
      </c>
      <c r="I130" t="s" s="141">
        <v>109</v>
      </c>
      <c r="J130" t="s" s="141">
        <v>97</v>
      </c>
      <c r="K130" t="str" s="142" cm="1">
        <f t="array" ref="K130">IF(OR(H130="ריביות",AND(H130="דירה כצנלסון",G130&lt;0,ISNUMBER(SEARCH("הכנסה",F130)))),"הכנסה שסווגה מחדש",J130)</f>
        <v>שוטף</v>
      </c>
      <c r="L130" t="s" s="141">
        <v>741</v>
      </c>
      <c r="M130" s="143" cm="1">
        <f t="array" ref="M130">IF(L130="מאושר",IF(K130="הכנסה שסווגה מחדש",0,G130),0)</f>
        <v>96</v>
      </c>
      <c r="N130" s="143" cm="1">
        <f t="array" ref="N130">IF(K130="שוטף",M130,0)</f>
        <v>96</v>
      </c>
      <c r="O130" s="143" cm="1">
        <f t="array" ref="O130">IF(K130="הכנסה שסווגה מחדש",-G130,0)</f>
        <v>0</v>
      </c>
      <c r="P130" t="s" s="86">
        <v>784</v>
      </c>
      <c r="Q130" s="99"/>
      <c r="R130" t="s" s="144">
        <v>743</v>
      </c>
      <c r="S130" s="77"/>
    </row>
    <row r="131" ht="13.65" customHeight="1">
      <c r="A131" s="78">
        <v>45689</v>
      </c>
      <c r="B131" t="s" s="79">
        <v>33</v>
      </c>
      <c r="C131" t="s" s="80">
        <v>785</v>
      </c>
      <c r="D131" s="131">
        <v>59</v>
      </c>
      <c r="E131" t="s" s="79">
        <v>753</v>
      </c>
      <c r="F131" t="s" s="80">
        <v>267</v>
      </c>
      <c r="G131" s="132">
        <v>13</v>
      </c>
      <c r="H131" t="s" s="133">
        <v>109</v>
      </c>
      <c r="I131" t="s" s="134">
        <v>109</v>
      </c>
      <c r="J131" t="s" s="134">
        <v>97</v>
      </c>
      <c r="K131" t="str" s="135" cm="1">
        <f t="array" ref="K131">IF(OR(H131="ריביות",AND(H131="דירה כצנלסון",G131&lt;0,ISNUMBER(SEARCH("הכנסה",F131)))),"הכנסה שסווגה מחדש",J131)</f>
        <v>שוטף</v>
      </c>
      <c r="L131" t="s" s="134">
        <v>741</v>
      </c>
      <c r="M131" s="136" cm="1">
        <f t="array" ref="M131">IF(L131="מאושר",IF(K131="הכנסה שסווגה מחדש",0,G131),0)</f>
        <v>13</v>
      </c>
      <c r="N131" s="136" cm="1">
        <f t="array" ref="N131">IF(K131="שוטף",M131,0)</f>
        <v>13</v>
      </c>
      <c r="O131" s="136" cm="1">
        <f t="array" ref="O131">IF(K131="הכנסה שסווגה מחדש",-G131,0)</f>
        <v>0</v>
      </c>
      <c r="P131" t="s" s="80">
        <v>784</v>
      </c>
      <c r="Q131" s="100"/>
      <c r="R131" t="s" s="137">
        <v>743</v>
      </c>
      <c r="S131" s="77"/>
    </row>
    <row r="132" ht="13.65" customHeight="1">
      <c r="A132" s="84">
        <v>45689</v>
      </c>
      <c r="B132" t="s" s="85">
        <v>33</v>
      </c>
      <c r="C132" t="s" s="86">
        <v>785</v>
      </c>
      <c r="D132" s="138">
        <v>60</v>
      </c>
      <c r="E132" t="s" s="85">
        <v>739</v>
      </c>
      <c r="F132" t="s" s="86">
        <v>231</v>
      </c>
      <c r="G132" s="139">
        <v>80</v>
      </c>
      <c r="H132" t="s" s="140">
        <v>113</v>
      </c>
      <c r="I132" t="s" s="141">
        <v>113</v>
      </c>
      <c r="J132" t="s" s="141">
        <v>97</v>
      </c>
      <c r="K132" t="str" s="142" cm="1">
        <f t="array" ref="K132">IF(OR(H132="ריביות",AND(H132="דירה כצנלסון",G132&lt;0,ISNUMBER(SEARCH("הכנסה",F132)))),"הכנסה שסווגה מחדש",J132)</f>
        <v>שוטף</v>
      </c>
      <c r="L132" t="s" s="141">
        <v>741</v>
      </c>
      <c r="M132" s="143" cm="1">
        <f t="array" ref="M132">IF(L132="מאושר",IF(K132="הכנסה שסווגה מחדש",0,G132),0)</f>
        <v>80</v>
      </c>
      <c r="N132" s="143" cm="1">
        <f t="array" ref="N132">IF(K132="שוטף",M132,0)</f>
        <v>80</v>
      </c>
      <c r="O132" s="143" cm="1">
        <f t="array" ref="O132">IF(K132="הכנסה שסווגה מחדש",-G132,0)</f>
        <v>0</v>
      </c>
      <c r="P132" t="s" s="86">
        <v>784</v>
      </c>
      <c r="Q132" s="99"/>
      <c r="R132" t="s" s="144">
        <v>743</v>
      </c>
      <c r="S132" s="77"/>
    </row>
    <row r="133" ht="13.65" customHeight="1">
      <c r="A133" s="78">
        <v>45689</v>
      </c>
      <c r="B133" t="s" s="79">
        <v>33</v>
      </c>
      <c r="C133" t="s" s="80">
        <v>785</v>
      </c>
      <c r="D133" s="131">
        <v>61</v>
      </c>
      <c r="E133" t="s" s="79">
        <v>771</v>
      </c>
      <c r="F133" t="s" s="80">
        <v>231</v>
      </c>
      <c r="G133" s="132">
        <v>88</v>
      </c>
      <c r="H133" t="s" s="133">
        <v>113</v>
      </c>
      <c r="I133" t="s" s="134">
        <v>113</v>
      </c>
      <c r="J133" t="s" s="134">
        <v>97</v>
      </c>
      <c r="K133" t="str" s="135" cm="1">
        <f t="array" ref="K133">IF(OR(H133="ריביות",AND(H133="דירה כצנלסון",G133&lt;0,ISNUMBER(SEARCH("הכנסה",F133)))),"הכנסה שסווגה מחדש",J133)</f>
        <v>שוטף</v>
      </c>
      <c r="L133" t="s" s="134">
        <v>741</v>
      </c>
      <c r="M133" s="136" cm="1">
        <f t="array" ref="M133">IF(L133="מאושר",IF(K133="הכנסה שסווגה מחדש",0,G133),0)</f>
        <v>88</v>
      </c>
      <c r="N133" s="136" cm="1">
        <f t="array" ref="N133">IF(K133="שוטף",M133,0)</f>
        <v>88</v>
      </c>
      <c r="O133" s="136" cm="1">
        <f t="array" ref="O133">IF(K133="הכנסה שסווגה מחדש",-G133,0)</f>
        <v>0</v>
      </c>
      <c r="P133" t="s" s="80">
        <v>784</v>
      </c>
      <c r="Q133" s="100"/>
      <c r="R133" t="s" s="137">
        <v>743</v>
      </c>
      <c r="S133" s="77"/>
    </row>
    <row r="134" ht="13.65" customHeight="1">
      <c r="A134" s="84">
        <v>45689</v>
      </c>
      <c r="B134" t="s" s="85">
        <v>33</v>
      </c>
      <c r="C134" t="s" s="86">
        <v>785</v>
      </c>
      <c r="D134" s="138">
        <v>62</v>
      </c>
      <c r="E134" t="s" s="85">
        <v>772</v>
      </c>
      <c r="F134" t="s" s="86">
        <v>267</v>
      </c>
      <c r="G134" s="139">
        <v>17</v>
      </c>
      <c r="H134" t="s" s="140">
        <v>109</v>
      </c>
      <c r="I134" t="s" s="141">
        <v>109</v>
      </c>
      <c r="J134" t="s" s="141">
        <v>97</v>
      </c>
      <c r="K134" t="str" s="142" cm="1">
        <f t="array" ref="K134">IF(OR(H134="ריביות",AND(H134="דירה כצנלסון",G134&lt;0,ISNUMBER(SEARCH("הכנסה",F134)))),"הכנסה שסווגה מחדש",J134)</f>
        <v>שוטף</v>
      </c>
      <c r="L134" t="s" s="141">
        <v>741</v>
      </c>
      <c r="M134" s="143" cm="1">
        <f t="array" ref="M134">IF(L134="מאושר",IF(K134="הכנסה שסווגה מחדש",0,G134),0)</f>
        <v>17</v>
      </c>
      <c r="N134" s="143" cm="1">
        <f t="array" ref="N134">IF(K134="שוטף",M134,0)</f>
        <v>17</v>
      </c>
      <c r="O134" s="143" cm="1">
        <f t="array" ref="O134">IF(K134="הכנסה שסווגה מחדש",-G134,0)</f>
        <v>0</v>
      </c>
      <c r="P134" t="s" s="86">
        <v>784</v>
      </c>
      <c r="Q134" s="99"/>
      <c r="R134" t="s" s="144">
        <v>743</v>
      </c>
      <c r="S134" s="77"/>
    </row>
    <row r="135" ht="13.65" customHeight="1">
      <c r="A135" s="78">
        <v>45689</v>
      </c>
      <c r="B135" t="s" s="79">
        <v>33</v>
      </c>
      <c r="C135" t="s" s="80">
        <v>785</v>
      </c>
      <c r="D135" s="131">
        <v>63</v>
      </c>
      <c r="E135" t="s" s="79">
        <v>790</v>
      </c>
      <c r="F135" t="s" s="80">
        <v>267</v>
      </c>
      <c r="G135" s="132">
        <v>107</v>
      </c>
      <c r="H135" t="s" s="133">
        <v>109</v>
      </c>
      <c r="I135" t="s" s="134">
        <v>109</v>
      </c>
      <c r="J135" t="s" s="134">
        <v>97</v>
      </c>
      <c r="K135" t="str" s="135" cm="1">
        <f t="array" ref="K135">IF(OR(H135="ריביות",AND(H135="דירה כצנלסון",G135&lt;0,ISNUMBER(SEARCH("הכנסה",F135)))),"הכנסה שסווגה מחדש",J135)</f>
        <v>שוטף</v>
      </c>
      <c r="L135" t="s" s="134">
        <v>741</v>
      </c>
      <c r="M135" s="136" cm="1">
        <f t="array" ref="M135">IF(L135="מאושר",IF(K135="הכנסה שסווגה מחדש",0,G135),0)</f>
        <v>107</v>
      </c>
      <c r="N135" s="136" cm="1">
        <f t="array" ref="N135">IF(K135="שוטף",M135,0)</f>
        <v>107</v>
      </c>
      <c r="O135" s="136" cm="1">
        <f t="array" ref="O135">IF(K135="הכנסה שסווגה מחדש",-G135,0)</f>
        <v>0</v>
      </c>
      <c r="P135" t="s" s="80">
        <v>784</v>
      </c>
      <c r="Q135" s="100"/>
      <c r="R135" t="s" s="137">
        <v>743</v>
      </c>
      <c r="S135" s="77"/>
    </row>
    <row r="136" ht="13.65" customHeight="1">
      <c r="A136" s="84">
        <v>45689</v>
      </c>
      <c r="B136" t="s" s="85">
        <v>33</v>
      </c>
      <c r="C136" t="s" s="86">
        <v>785</v>
      </c>
      <c r="D136" s="138">
        <v>64</v>
      </c>
      <c r="E136" t="s" s="85">
        <v>774</v>
      </c>
      <c r="F136" t="s" s="86">
        <v>231</v>
      </c>
      <c r="G136" s="139">
        <v>61</v>
      </c>
      <c r="H136" t="s" s="140">
        <v>113</v>
      </c>
      <c r="I136" t="s" s="141">
        <v>113</v>
      </c>
      <c r="J136" t="s" s="141">
        <v>97</v>
      </c>
      <c r="K136" t="str" s="142" cm="1">
        <f t="array" ref="K136">IF(OR(H136="ריביות",AND(H136="דירה כצנלסון",G136&lt;0,ISNUMBER(SEARCH("הכנסה",F136)))),"הכנסה שסווגה מחדש",J136)</f>
        <v>שוטף</v>
      </c>
      <c r="L136" t="s" s="141">
        <v>741</v>
      </c>
      <c r="M136" s="143" cm="1">
        <f t="array" ref="M136">IF(L136="מאושר",IF(K136="הכנסה שסווגה מחדש",0,G136),0)</f>
        <v>61</v>
      </c>
      <c r="N136" s="143" cm="1">
        <f t="array" ref="N136">IF(K136="שוטף",M136,0)</f>
        <v>61</v>
      </c>
      <c r="O136" s="143" cm="1">
        <f t="array" ref="O136">IF(K136="הכנסה שסווגה מחדש",-G136,0)</f>
        <v>0</v>
      </c>
      <c r="P136" t="s" s="86">
        <v>784</v>
      </c>
      <c r="Q136" s="99"/>
      <c r="R136" t="s" s="144">
        <v>743</v>
      </c>
      <c r="S136" s="77"/>
    </row>
    <row r="137" ht="13.65" customHeight="1">
      <c r="A137" s="78">
        <v>45689</v>
      </c>
      <c r="B137" t="s" s="79">
        <v>33</v>
      </c>
      <c r="C137" t="s" s="80">
        <v>785</v>
      </c>
      <c r="D137" s="131">
        <v>65</v>
      </c>
      <c r="E137" t="s" s="79">
        <v>764</v>
      </c>
      <c r="F137" t="s" s="80">
        <v>267</v>
      </c>
      <c r="G137" s="132">
        <v>70</v>
      </c>
      <c r="H137" t="s" s="133">
        <v>109</v>
      </c>
      <c r="I137" t="s" s="134">
        <v>109</v>
      </c>
      <c r="J137" t="s" s="134">
        <v>97</v>
      </c>
      <c r="K137" t="str" s="135" cm="1">
        <f t="array" ref="K137">IF(OR(H137="ריביות",AND(H137="דירה כצנלסון",G137&lt;0,ISNUMBER(SEARCH("הכנסה",F137)))),"הכנסה שסווגה מחדש",J137)</f>
        <v>שוטף</v>
      </c>
      <c r="L137" t="s" s="134">
        <v>741</v>
      </c>
      <c r="M137" s="136" cm="1">
        <f t="array" ref="M137">IF(L137="מאושר",IF(K137="הכנסה שסווגה מחדש",0,G137),0)</f>
        <v>70</v>
      </c>
      <c r="N137" s="136" cm="1">
        <f t="array" ref="N137">IF(K137="שוטף",M137,0)</f>
        <v>70</v>
      </c>
      <c r="O137" s="136" cm="1">
        <f t="array" ref="O137">IF(K137="הכנסה שסווגה מחדש",-G137,0)</f>
        <v>0</v>
      </c>
      <c r="P137" t="s" s="80">
        <v>784</v>
      </c>
      <c r="Q137" s="100"/>
      <c r="R137" t="s" s="137">
        <v>743</v>
      </c>
      <c r="S137" s="77"/>
    </row>
    <row r="138" ht="13.65" customHeight="1">
      <c r="A138" s="84">
        <v>45689</v>
      </c>
      <c r="B138" t="s" s="85">
        <v>33</v>
      </c>
      <c r="C138" t="s" s="86">
        <v>785</v>
      </c>
      <c r="D138" s="138">
        <v>66</v>
      </c>
      <c r="E138" t="s" s="85">
        <v>771</v>
      </c>
      <c r="F138" t="s" s="86">
        <v>307</v>
      </c>
      <c r="G138" s="139">
        <v>40</v>
      </c>
      <c r="H138" t="s" s="140">
        <v>115</v>
      </c>
      <c r="I138" t="s" s="141">
        <v>115</v>
      </c>
      <c r="J138" t="s" s="141">
        <v>97</v>
      </c>
      <c r="K138" t="str" s="142" cm="1">
        <f t="array" ref="K138">IF(OR(H138="ריביות",AND(H138="דירה כצנלסון",G138&lt;0,ISNUMBER(SEARCH("הכנסה",F138)))),"הכנסה שסווגה מחדש",J138)</f>
        <v>שוטף</v>
      </c>
      <c r="L138" t="s" s="141">
        <v>741</v>
      </c>
      <c r="M138" s="143" cm="1">
        <f t="array" ref="M138">IF(L138="מאושר",IF(K138="הכנסה שסווגה מחדש",0,G138),0)</f>
        <v>40</v>
      </c>
      <c r="N138" s="143" cm="1">
        <f t="array" ref="N138">IF(K138="שוטף",M138,0)</f>
        <v>40</v>
      </c>
      <c r="O138" s="143" cm="1">
        <f t="array" ref="O138">IF(K138="הכנסה שסווגה מחדש",-G138,0)</f>
        <v>0</v>
      </c>
      <c r="P138" t="s" s="86">
        <v>762</v>
      </c>
      <c r="Q138" s="99"/>
      <c r="R138" t="s" s="144">
        <v>743</v>
      </c>
      <c r="S138" s="77"/>
    </row>
    <row r="139" ht="13.65" customHeight="1">
      <c r="A139" s="78">
        <v>45689</v>
      </c>
      <c r="B139" t="s" s="79">
        <v>33</v>
      </c>
      <c r="C139" t="s" s="80">
        <v>785</v>
      </c>
      <c r="D139" s="131">
        <v>67</v>
      </c>
      <c r="E139" t="s" s="79">
        <v>771</v>
      </c>
      <c r="F139" t="s" s="80">
        <v>307</v>
      </c>
      <c r="G139" s="132">
        <v>35</v>
      </c>
      <c r="H139" t="s" s="133">
        <v>115</v>
      </c>
      <c r="I139" t="s" s="134">
        <v>115</v>
      </c>
      <c r="J139" t="s" s="134">
        <v>97</v>
      </c>
      <c r="K139" t="str" s="135" cm="1">
        <f t="array" ref="K139">IF(OR(H139="ריביות",AND(H139="דירה כצנלסון",G139&lt;0,ISNUMBER(SEARCH("הכנסה",F139)))),"הכנסה שסווגה מחדש",J139)</f>
        <v>שוטף</v>
      </c>
      <c r="L139" t="s" s="134">
        <v>741</v>
      </c>
      <c r="M139" s="136" cm="1">
        <f t="array" ref="M139">IF(L139="מאושר",IF(K139="הכנסה שסווגה מחדש",0,G139),0)</f>
        <v>35</v>
      </c>
      <c r="N139" s="136" cm="1">
        <f t="array" ref="N139">IF(K139="שוטף",M139,0)</f>
        <v>35</v>
      </c>
      <c r="O139" s="136" cm="1">
        <f t="array" ref="O139">IF(K139="הכנסה שסווגה מחדש",-G139,0)</f>
        <v>0</v>
      </c>
      <c r="P139" t="s" s="80">
        <v>762</v>
      </c>
      <c r="Q139" s="100"/>
      <c r="R139" t="s" s="137">
        <v>743</v>
      </c>
      <c r="S139" s="77"/>
    </row>
    <row r="140" ht="13.65" customHeight="1">
      <c r="A140" s="84">
        <v>45689</v>
      </c>
      <c r="B140" t="s" s="85">
        <v>33</v>
      </c>
      <c r="C140" t="s" s="86">
        <v>785</v>
      </c>
      <c r="D140" s="138">
        <v>68</v>
      </c>
      <c r="E140" t="s" s="85">
        <v>768</v>
      </c>
      <c r="F140" t="s" s="86">
        <v>223</v>
      </c>
      <c r="G140" s="139">
        <v>112</v>
      </c>
      <c r="H140" t="s" s="140">
        <v>117</v>
      </c>
      <c r="I140" t="s" s="141">
        <v>117</v>
      </c>
      <c r="J140" t="s" s="141">
        <v>97</v>
      </c>
      <c r="K140" t="str" s="142" cm="1">
        <f t="array" ref="K140">IF(OR(H140="ריביות",AND(H140="דירה כצנלסון",G140&lt;0,ISNUMBER(SEARCH("הכנסה",F140)))),"הכנסה שסווגה מחדש",J140)</f>
        <v>שוטף</v>
      </c>
      <c r="L140" t="s" s="141">
        <v>741</v>
      </c>
      <c r="M140" s="143" cm="1">
        <f t="array" ref="M140">IF(L140="מאושר",IF(K140="הכנסה שסווגה מחדש",0,G140),0)</f>
        <v>112</v>
      </c>
      <c r="N140" s="143" cm="1">
        <f t="array" ref="N140">IF(K140="שוטף",M140,0)</f>
        <v>112</v>
      </c>
      <c r="O140" s="143" cm="1">
        <f t="array" ref="O140">IF(K140="הכנסה שסווגה מחדש",-G140,0)</f>
        <v>0</v>
      </c>
      <c r="P140" t="s" s="86">
        <v>762</v>
      </c>
      <c r="Q140" s="99"/>
      <c r="R140" t="s" s="144">
        <v>743</v>
      </c>
      <c r="S140" s="77"/>
    </row>
    <row r="141" ht="13.65" customHeight="1">
      <c r="A141" s="78">
        <v>45689</v>
      </c>
      <c r="B141" t="s" s="79">
        <v>33</v>
      </c>
      <c r="C141" t="s" s="80">
        <v>785</v>
      </c>
      <c r="D141" s="131">
        <v>69</v>
      </c>
      <c r="E141" t="s" s="79">
        <v>30</v>
      </c>
      <c r="F141" t="s" s="80">
        <v>434</v>
      </c>
      <c r="G141" s="132">
        <v>25</v>
      </c>
      <c r="H141" t="s" s="133">
        <v>111</v>
      </c>
      <c r="I141" t="s" s="134">
        <v>111</v>
      </c>
      <c r="J141" t="s" s="134">
        <v>97</v>
      </c>
      <c r="K141" t="str" s="135" cm="1">
        <f t="array" ref="K141">IF(OR(H141="ריביות",AND(H141="דירה כצנלסון",G141&lt;0,ISNUMBER(SEARCH("הכנסה",F141)))),"הכנסה שסווגה מחדש",J141)</f>
        <v>שוטף</v>
      </c>
      <c r="L141" t="s" s="134">
        <v>741</v>
      </c>
      <c r="M141" s="136" cm="1">
        <f t="array" ref="M141">IF(L141="מאושר",IF(K141="הכנסה שסווגה מחדש",0,G141),0)</f>
        <v>25</v>
      </c>
      <c r="N141" s="136" cm="1">
        <f t="array" ref="N141">IF(K141="שוטף",M141,0)</f>
        <v>25</v>
      </c>
      <c r="O141" s="136" cm="1">
        <f t="array" ref="O141">IF(K141="הכנסה שסווגה מחדש",-G141,0)</f>
        <v>0</v>
      </c>
      <c r="P141" t="s" s="80">
        <v>762</v>
      </c>
      <c r="Q141" s="100"/>
      <c r="R141" t="s" s="137">
        <v>743</v>
      </c>
      <c r="S141" s="77"/>
    </row>
    <row r="142" ht="13.65" customHeight="1">
      <c r="A142" s="84">
        <v>45689</v>
      </c>
      <c r="B142" t="s" s="85">
        <v>33</v>
      </c>
      <c r="C142" t="s" s="86">
        <v>785</v>
      </c>
      <c r="D142" s="138">
        <v>70</v>
      </c>
      <c r="E142" t="s" s="85">
        <v>38</v>
      </c>
      <c r="F142" t="s" s="86">
        <v>475</v>
      </c>
      <c r="G142" s="139">
        <v>8</v>
      </c>
      <c r="H142" t="s" s="140">
        <v>113</v>
      </c>
      <c r="I142" t="s" s="141">
        <v>113</v>
      </c>
      <c r="J142" t="s" s="141">
        <v>97</v>
      </c>
      <c r="K142" t="str" s="142" cm="1">
        <f t="array" ref="K142">IF(OR(H142="ריביות",AND(H142="דירה כצנלסון",G142&lt;0,ISNUMBER(SEARCH("הכנסה",F142)))),"הכנסה שסווגה מחדש",J142)</f>
        <v>שוטף</v>
      </c>
      <c r="L142" t="s" s="141">
        <v>741</v>
      </c>
      <c r="M142" s="143" cm="1">
        <f t="array" ref="M142">IF(L142="מאושר",IF(K142="הכנסה שסווגה מחדש",0,G142),0)</f>
        <v>8</v>
      </c>
      <c r="N142" s="143" cm="1">
        <f t="array" ref="N142">IF(K142="שוטף",M142,0)</f>
        <v>8</v>
      </c>
      <c r="O142" s="143" cm="1">
        <f t="array" ref="O142">IF(K142="הכנסה שסווגה מחדש",-G142,0)</f>
        <v>0</v>
      </c>
      <c r="P142" t="s" s="86">
        <v>762</v>
      </c>
      <c r="Q142" s="99"/>
      <c r="R142" t="s" s="144">
        <v>743</v>
      </c>
      <c r="S142" s="77"/>
    </row>
    <row r="143" ht="13.65" customHeight="1">
      <c r="A143" s="78">
        <v>45689</v>
      </c>
      <c r="B143" t="s" s="79">
        <v>33</v>
      </c>
      <c r="C143" t="s" s="80">
        <v>785</v>
      </c>
      <c r="D143" s="131">
        <v>71</v>
      </c>
      <c r="E143" t="s" s="79">
        <v>38</v>
      </c>
      <c r="F143" t="s" s="80">
        <v>463</v>
      </c>
      <c r="G143" s="132">
        <v>66</v>
      </c>
      <c r="H143" t="s" s="133">
        <v>767</v>
      </c>
      <c r="I143" t="s" s="134">
        <v>107</v>
      </c>
      <c r="J143" t="s" s="134">
        <v>97</v>
      </c>
      <c r="K143" t="str" s="135" cm="1">
        <f t="array" ref="K143">IF(OR(H143="ריביות",AND(H143="דירה כצנלסון",G143&lt;0,ISNUMBER(SEARCH("הכנסה",F143)))),"הכנסה שסווגה מחדש",J143)</f>
        <v>שוטף</v>
      </c>
      <c r="L143" t="s" s="134">
        <v>741</v>
      </c>
      <c r="M143" s="136" cm="1">
        <f t="array" ref="M143">IF(L143="מאושר",IF(K143="הכנסה שסווגה מחדש",0,G143),0)</f>
        <v>66</v>
      </c>
      <c r="N143" s="136" cm="1">
        <f t="array" ref="N143">IF(K143="שוטף",M143,0)</f>
        <v>66</v>
      </c>
      <c r="O143" s="136" cm="1">
        <f t="array" ref="O143">IF(K143="הכנסה שסווגה מחדש",-G143,0)</f>
        <v>0</v>
      </c>
      <c r="P143" t="s" s="80">
        <v>762</v>
      </c>
      <c r="Q143" s="100"/>
      <c r="R143" t="s" s="137">
        <v>743</v>
      </c>
      <c r="S143" s="77"/>
    </row>
    <row r="144" ht="13.65" customHeight="1">
      <c r="A144" s="84">
        <v>45689</v>
      </c>
      <c r="B144" t="s" s="85">
        <v>33</v>
      </c>
      <c r="C144" t="s" s="86">
        <v>785</v>
      </c>
      <c r="D144" s="138">
        <v>72</v>
      </c>
      <c r="E144" t="s" s="85">
        <v>38</v>
      </c>
      <c r="F144" t="s" s="86">
        <v>245</v>
      </c>
      <c r="G144" s="139">
        <v>53</v>
      </c>
      <c r="H144" t="s" s="140">
        <v>767</v>
      </c>
      <c r="I144" t="s" s="141">
        <v>107</v>
      </c>
      <c r="J144" t="s" s="141">
        <v>97</v>
      </c>
      <c r="K144" t="str" s="142" cm="1">
        <f t="array" ref="K144">IF(OR(H144="ריביות",AND(H144="דירה כצנלסון",G144&lt;0,ISNUMBER(SEARCH("הכנסה",F144)))),"הכנסה שסווגה מחדש",J144)</f>
        <v>שוטף</v>
      </c>
      <c r="L144" t="s" s="141">
        <v>741</v>
      </c>
      <c r="M144" s="143" cm="1">
        <f t="array" ref="M144">IF(L144="מאושר",IF(K144="הכנסה שסווגה מחדש",0,G144),0)</f>
        <v>53</v>
      </c>
      <c r="N144" s="143" cm="1">
        <f t="array" ref="N144">IF(K144="שוטף",M144,0)</f>
        <v>53</v>
      </c>
      <c r="O144" s="143" cm="1">
        <f t="array" ref="O144">IF(K144="הכנסה שסווגה מחדש",-G144,0)</f>
        <v>0</v>
      </c>
      <c r="P144" t="s" s="86">
        <v>762</v>
      </c>
      <c r="Q144" s="99"/>
      <c r="R144" t="s" s="144">
        <v>743</v>
      </c>
      <c r="S144" s="77"/>
    </row>
    <row r="145" ht="13.65" customHeight="1">
      <c r="A145" s="78">
        <v>45689</v>
      </c>
      <c r="B145" t="s" s="79">
        <v>33</v>
      </c>
      <c r="C145" t="s" s="80">
        <v>785</v>
      </c>
      <c r="D145" s="131">
        <v>73</v>
      </c>
      <c r="E145" t="s" s="79">
        <v>38</v>
      </c>
      <c r="F145" t="s" s="80">
        <v>267</v>
      </c>
      <c r="G145" s="132">
        <v>49</v>
      </c>
      <c r="H145" t="s" s="133">
        <v>109</v>
      </c>
      <c r="I145" t="s" s="134">
        <v>109</v>
      </c>
      <c r="J145" t="s" s="134">
        <v>97</v>
      </c>
      <c r="K145" t="str" s="135" cm="1">
        <f t="array" ref="K145">IF(OR(H145="ריביות",AND(H145="דירה כצנלסון",G145&lt;0,ISNUMBER(SEARCH("הכנסה",F145)))),"הכנסה שסווגה מחדש",J145)</f>
        <v>שוטף</v>
      </c>
      <c r="L145" t="s" s="134">
        <v>741</v>
      </c>
      <c r="M145" s="136" cm="1">
        <f t="array" ref="M145">IF(L145="מאושר",IF(K145="הכנסה שסווגה מחדש",0,G145),0)</f>
        <v>49</v>
      </c>
      <c r="N145" s="136" cm="1">
        <f t="array" ref="N145">IF(K145="שוטף",M145,0)</f>
        <v>49</v>
      </c>
      <c r="O145" s="136" cm="1">
        <f t="array" ref="O145">IF(K145="הכנסה שסווגה מחדש",-G145,0)</f>
        <v>0</v>
      </c>
      <c r="P145" t="s" s="80">
        <v>762</v>
      </c>
      <c r="Q145" s="100"/>
      <c r="R145" t="s" s="137">
        <v>743</v>
      </c>
      <c r="S145" s="77"/>
    </row>
    <row r="146" ht="13.65" customHeight="1">
      <c r="A146" s="84">
        <v>45689</v>
      </c>
      <c r="B146" t="s" s="85">
        <v>33</v>
      </c>
      <c r="C146" t="s" s="86">
        <v>785</v>
      </c>
      <c r="D146" s="138">
        <v>74</v>
      </c>
      <c r="E146" t="s" s="85">
        <v>46</v>
      </c>
      <c r="F146" t="s" s="86">
        <v>544</v>
      </c>
      <c r="G146" s="139">
        <v>84</v>
      </c>
      <c r="H146" t="s" s="140">
        <v>113</v>
      </c>
      <c r="I146" t="s" s="141">
        <v>113</v>
      </c>
      <c r="J146" t="s" s="141">
        <v>97</v>
      </c>
      <c r="K146" t="str" s="142" cm="1">
        <f t="array" ref="K146">IF(OR(H146="ריביות",AND(H146="דירה כצנלסון",G146&lt;0,ISNUMBER(SEARCH("הכנסה",F146)))),"הכנסה שסווגה מחדש",J146)</f>
        <v>שוטף</v>
      </c>
      <c r="L146" t="s" s="141">
        <v>741</v>
      </c>
      <c r="M146" s="143" cm="1">
        <f t="array" ref="M146">IF(L146="מאושר",IF(K146="הכנסה שסווגה מחדש",0,G146),0)</f>
        <v>84</v>
      </c>
      <c r="N146" s="143" cm="1">
        <f t="array" ref="N146">IF(K146="שוטף",M146,0)</f>
        <v>84</v>
      </c>
      <c r="O146" s="143" cm="1">
        <f t="array" ref="O146">IF(K146="הכנסה שסווגה מחדש",-G146,0)</f>
        <v>0</v>
      </c>
      <c r="P146" t="s" s="86">
        <v>762</v>
      </c>
      <c r="Q146" s="99"/>
      <c r="R146" t="s" s="144">
        <v>743</v>
      </c>
      <c r="S146" s="77"/>
    </row>
    <row r="147" ht="13.65" customHeight="1">
      <c r="A147" s="78">
        <v>45689</v>
      </c>
      <c r="B147" t="s" s="79">
        <v>33</v>
      </c>
      <c r="C147" t="s" s="80">
        <v>785</v>
      </c>
      <c r="D147" s="131">
        <v>75</v>
      </c>
      <c r="E147" t="s" s="79">
        <v>46</v>
      </c>
      <c r="F147" t="s" s="80">
        <v>598</v>
      </c>
      <c r="G147" s="132">
        <v>59</v>
      </c>
      <c r="H147" t="s" s="133">
        <v>121</v>
      </c>
      <c r="I147" t="s" s="134">
        <v>121</v>
      </c>
      <c r="J147" t="s" s="134">
        <v>97</v>
      </c>
      <c r="K147" t="str" s="135" cm="1">
        <f t="array" ref="K147">IF(OR(H147="ריביות",AND(H147="דירה כצנלסון",G147&lt;0,ISNUMBER(SEARCH("הכנסה",F147)))),"הכנסה שסווגה מחדש",J147)</f>
        <v>שוטף</v>
      </c>
      <c r="L147" t="s" s="134">
        <v>741</v>
      </c>
      <c r="M147" s="136" cm="1">
        <f t="array" ref="M147">IF(L147="מאושר",IF(K147="הכנסה שסווגה מחדש",0,G147),0)</f>
        <v>59</v>
      </c>
      <c r="N147" s="136" cm="1">
        <f t="array" ref="N147">IF(K147="שוטף",M147,0)</f>
        <v>59</v>
      </c>
      <c r="O147" s="136" cm="1">
        <f t="array" ref="O147">IF(K147="הכנסה שסווגה מחדש",-G147,0)</f>
        <v>0</v>
      </c>
      <c r="P147" t="s" s="80">
        <v>762</v>
      </c>
      <c r="Q147" s="100"/>
      <c r="R147" t="s" s="137">
        <v>743</v>
      </c>
      <c r="S147" s="77"/>
    </row>
    <row r="148" ht="13.65" customHeight="1">
      <c r="A148" s="84">
        <v>45689</v>
      </c>
      <c r="B148" t="s" s="85">
        <v>33</v>
      </c>
      <c r="C148" t="s" s="86">
        <v>785</v>
      </c>
      <c r="D148" s="138">
        <v>76</v>
      </c>
      <c r="E148" t="s" s="85">
        <v>769</v>
      </c>
      <c r="F148" t="s" s="86">
        <v>267</v>
      </c>
      <c r="G148" s="139">
        <v>13</v>
      </c>
      <c r="H148" t="s" s="140">
        <v>109</v>
      </c>
      <c r="I148" t="s" s="141">
        <v>109</v>
      </c>
      <c r="J148" t="s" s="141">
        <v>97</v>
      </c>
      <c r="K148" t="str" s="142" cm="1">
        <f t="array" ref="K148">IF(OR(H148="ריביות",AND(H148="דירה כצנלסון",G148&lt;0,ISNUMBER(SEARCH("הכנסה",F148)))),"הכנסה שסווגה מחדש",J148)</f>
        <v>שוטף</v>
      </c>
      <c r="L148" t="s" s="141">
        <v>741</v>
      </c>
      <c r="M148" s="143" cm="1">
        <f t="array" ref="M148">IF(L148="מאושר",IF(K148="הכנסה שסווגה מחדש",0,G148),0)</f>
        <v>13</v>
      </c>
      <c r="N148" s="143" cm="1">
        <f t="array" ref="N148">IF(K148="שוטף",M148,0)</f>
        <v>13</v>
      </c>
      <c r="O148" s="143" cm="1">
        <f t="array" ref="O148">IF(K148="הכנסה שסווגה מחדש",-G148,0)</f>
        <v>0</v>
      </c>
      <c r="P148" t="s" s="86">
        <v>762</v>
      </c>
      <c r="Q148" s="99"/>
      <c r="R148" t="s" s="144">
        <v>743</v>
      </c>
      <c r="S148" s="77"/>
    </row>
    <row r="149" ht="13.65" customHeight="1">
      <c r="A149" s="78">
        <v>45689</v>
      </c>
      <c r="B149" t="s" s="79">
        <v>33</v>
      </c>
      <c r="C149" t="s" s="80">
        <v>785</v>
      </c>
      <c r="D149" s="131">
        <v>77</v>
      </c>
      <c r="E149" t="s" s="79">
        <v>769</v>
      </c>
      <c r="F149" t="s" s="80">
        <v>254</v>
      </c>
      <c r="G149" s="132">
        <v>28</v>
      </c>
      <c r="H149" t="s" s="133">
        <v>109</v>
      </c>
      <c r="I149" t="s" s="134">
        <v>109</v>
      </c>
      <c r="J149" t="s" s="134">
        <v>97</v>
      </c>
      <c r="K149" t="str" s="135" cm="1">
        <f t="array" ref="K149">IF(OR(H149="ריביות",AND(H149="דירה כצנלסון",G149&lt;0,ISNUMBER(SEARCH("הכנסה",F149)))),"הכנסה שסווגה מחדש",J149)</f>
        <v>שוטף</v>
      </c>
      <c r="L149" t="s" s="134">
        <v>741</v>
      </c>
      <c r="M149" s="136" cm="1">
        <f t="array" ref="M149">IF(L149="מאושר",IF(K149="הכנסה שסווגה מחדש",0,G149),0)</f>
        <v>28</v>
      </c>
      <c r="N149" s="136" cm="1">
        <f t="array" ref="N149">IF(K149="שוטף",M149,0)</f>
        <v>28</v>
      </c>
      <c r="O149" s="136" cm="1">
        <f t="array" ref="O149">IF(K149="הכנסה שסווגה מחדש",-G149,0)</f>
        <v>0</v>
      </c>
      <c r="P149" t="s" s="80">
        <v>762</v>
      </c>
      <c r="Q149" s="100"/>
      <c r="R149" t="s" s="137">
        <v>743</v>
      </c>
      <c r="S149" s="77"/>
    </row>
    <row r="150" ht="13.65" customHeight="1">
      <c r="A150" s="84">
        <v>45689</v>
      </c>
      <c r="B150" t="s" s="85">
        <v>33</v>
      </c>
      <c r="C150" t="s" s="86">
        <v>785</v>
      </c>
      <c r="D150" s="138">
        <v>78</v>
      </c>
      <c r="E150" t="s" s="85">
        <v>769</v>
      </c>
      <c r="F150" t="s" s="86">
        <v>355</v>
      </c>
      <c r="G150" s="139">
        <v>5</v>
      </c>
      <c r="H150" t="s" s="140">
        <v>113</v>
      </c>
      <c r="I150" t="s" s="141">
        <v>113</v>
      </c>
      <c r="J150" t="s" s="141">
        <v>97</v>
      </c>
      <c r="K150" t="str" s="142" cm="1">
        <f t="array" ref="K150">IF(OR(H150="ריביות",AND(H150="דירה כצנלסון",G150&lt;0,ISNUMBER(SEARCH("הכנסה",F150)))),"הכנסה שסווגה מחדש",J150)</f>
        <v>שוטף</v>
      </c>
      <c r="L150" t="s" s="141">
        <v>741</v>
      </c>
      <c r="M150" s="143" cm="1">
        <f t="array" ref="M150">IF(L150="מאושר",IF(K150="הכנסה שסווגה מחדש",0,G150),0)</f>
        <v>5</v>
      </c>
      <c r="N150" s="143" cm="1">
        <f t="array" ref="N150">IF(K150="שוטף",M150,0)</f>
        <v>5</v>
      </c>
      <c r="O150" s="143" cm="1">
        <f t="array" ref="O150">IF(K150="הכנסה שסווגה מחדש",-G150,0)</f>
        <v>0</v>
      </c>
      <c r="P150" t="s" s="86">
        <v>762</v>
      </c>
      <c r="Q150" s="99"/>
      <c r="R150" t="s" s="144">
        <v>743</v>
      </c>
      <c r="S150" s="77"/>
    </row>
    <row r="151" ht="13.65" customHeight="1">
      <c r="A151" s="78">
        <v>45689</v>
      </c>
      <c r="B151" t="s" s="79">
        <v>33</v>
      </c>
      <c r="C151" t="s" s="80">
        <v>785</v>
      </c>
      <c r="D151" s="131">
        <v>79</v>
      </c>
      <c r="E151" t="s" s="79">
        <v>749</v>
      </c>
      <c r="F151" t="s" s="80">
        <v>213</v>
      </c>
      <c r="G151" s="132">
        <v>233</v>
      </c>
      <c r="H151" t="s" s="133">
        <v>115</v>
      </c>
      <c r="I151" t="s" s="134">
        <v>115</v>
      </c>
      <c r="J151" t="s" s="134">
        <v>97</v>
      </c>
      <c r="K151" t="str" s="135" cm="1">
        <f t="array" ref="K151">IF(OR(H151="ריביות",AND(H151="דירה כצנלסון",G151&lt;0,ISNUMBER(SEARCH("הכנסה",F151)))),"הכנסה שסווגה מחדש",J151)</f>
        <v>שוטף</v>
      </c>
      <c r="L151" t="s" s="134">
        <v>741</v>
      </c>
      <c r="M151" s="136" cm="1">
        <f t="array" ref="M151">IF(L151="מאושר",IF(K151="הכנסה שסווגה מחדש",0,G151),0)</f>
        <v>233</v>
      </c>
      <c r="N151" s="136" cm="1">
        <f t="array" ref="N151">IF(K151="שוטף",M151,0)</f>
        <v>233</v>
      </c>
      <c r="O151" s="136" cm="1">
        <f t="array" ref="O151">IF(K151="הכנסה שסווגה מחדש",-G151,0)</f>
        <v>0</v>
      </c>
      <c r="P151" t="s" s="80">
        <v>762</v>
      </c>
      <c r="Q151" s="100"/>
      <c r="R151" t="s" s="137">
        <v>743</v>
      </c>
      <c r="S151" s="77"/>
    </row>
    <row r="152" ht="13.65" customHeight="1">
      <c r="A152" s="84">
        <v>45689</v>
      </c>
      <c r="B152" t="s" s="85">
        <v>33</v>
      </c>
      <c r="C152" t="s" s="86">
        <v>785</v>
      </c>
      <c r="D152" s="138">
        <v>80</v>
      </c>
      <c r="E152" t="s" s="85">
        <v>789</v>
      </c>
      <c r="F152" t="s" s="86">
        <v>434</v>
      </c>
      <c r="G152" s="139">
        <v>25</v>
      </c>
      <c r="H152" t="s" s="140">
        <v>111</v>
      </c>
      <c r="I152" t="s" s="141">
        <v>111</v>
      </c>
      <c r="J152" t="s" s="141">
        <v>97</v>
      </c>
      <c r="K152" t="str" s="142" cm="1">
        <f t="array" ref="K152">IF(OR(H152="ריביות",AND(H152="דירה כצנלסון",G152&lt;0,ISNUMBER(SEARCH("הכנסה",F152)))),"הכנסה שסווגה מחדש",J152)</f>
        <v>שוטף</v>
      </c>
      <c r="L152" t="s" s="141">
        <v>741</v>
      </c>
      <c r="M152" s="143" cm="1">
        <f t="array" ref="M152">IF(L152="מאושר",IF(K152="הכנסה שסווגה מחדש",0,G152),0)</f>
        <v>25</v>
      </c>
      <c r="N152" s="143" cm="1">
        <f t="array" ref="N152">IF(K152="שוטף",M152,0)</f>
        <v>25</v>
      </c>
      <c r="O152" s="143" cm="1">
        <f t="array" ref="O152">IF(K152="הכנסה שסווגה מחדש",-G152,0)</f>
        <v>0</v>
      </c>
      <c r="P152" t="s" s="86">
        <v>762</v>
      </c>
      <c r="Q152" s="99"/>
      <c r="R152" t="s" s="144">
        <v>743</v>
      </c>
      <c r="S152" s="77"/>
    </row>
    <row r="153" ht="13.65" customHeight="1">
      <c r="A153" s="78">
        <v>45689</v>
      </c>
      <c r="B153" t="s" s="79">
        <v>33</v>
      </c>
      <c r="C153" t="s" s="80">
        <v>785</v>
      </c>
      <c r="D153" s="131">
        <v>81</v>
      </c>
      <c r="E153" t="s" s="79">
        <v>771</v>
      </c>
      <c r="F153" t="s" s="80">
        <v>471</v>
      </c>
      <c r="G153" s="132">
        <v>70</v>
      </c>
      <c r="H153" t="s" s="133">
        <v>109</v>
      </c>
      <c r="I153" t="s" s="134">
        <v>109</v>
      </c>
      <c r="J153" t="s" s="134">
        <v>97</v>
      </c>
      <c r="K153" t="str" s="135" cm="1">
        <f t="array" ref="K153">IF(OR(H153="ריביות",AND(H153="דירה כצנלסון",G153&lt;0,ISNUMBER(SEARCH("הכנסה",F153)))),"הכנסה שסווגה מחדש",J153)</f>
        <v>שוטף</v>
      </c>
      <c r="L153" t="s" s="134">
        <v>741</v>
      </c>
      <c r="M153" s="136" cm="1">
        <f t="array" ref="M153">IF(L153="מאושר",IF(K153="הכנסה שסווגה מחדש",0,G153),0)</f>
        <v>70</v>
      </c>
      <c r="N153" s="136" cm="1">
        <f t="array" ref="N153">IF(K153="שוטף",M153,0)</f>
        <v>70</v>
      </c>
      <c r="O153" s="136" cm="1">
        <f t="array" ref="O153">IF(K153="הכנסה שסווגה מחדש",-G153,0)</f>
        <v>0</v>
      </c>
      <c r="P153" t="s" s="80">
        <v>762</v>
      </c>
      <c r="Q153" s="100"/>
      <c r="R153" t="s" s="137">
        <v>743</v>
      </c>
      <c r="S153" s="77"/>
    </row>
    <row r="154" ht="13.65" customHeight="1">
      <c r="A154" s="84">
        <v>45689</v>
      </c>
      <c r="B154" t="s" s="85">
        <v>33</v>
      </c>
      <c r="C154" t="s" s="86">
        <v>785</v>
      </c>
      <c r="D154" s="138">
        <v>82</v>
      </c>
      <c r="E154" t="s" s="85">
        <v>754</v>
      </c>
      <c r="F154" t="s" s="86">
        <v>471</v>
      </c>
      <c r="G154" s="139">
        <v>38</v>
      </c>
      <c r="H154" t="s" s="140">
        <v>109</v>
      </c>
      <c r="I154" t="s" s="141">
        <v>109</v>
      </c>
      <c r="J154" t="s" s="141">
        <v>97</v>
      </c>
      <c r="K154" t="str" s="142" cm="1">
        <f t="array" ref="K154">IF(OR(H154="ריביות",AND(H154="דירה כצנלסון",G154&lt;0,ISNUMBER(SEARCH("הכנסה",F154)))),"הכנסה שסווגה מחדש",J154)</f>
        <v>שוטף</v>
      </c>
      <c r="L154" t="s" s="141">
        <v>741</v>
      </c>
      <c r="M154" s="143" cm="1">
        <f t="array" ref="M154">IF(L154="מאושר",IF(K154="הכנסה שסווגה מחדש",0,G154),0)</f>
        <v>38</v>
      </c>
      <c r="N154" s="143" cm="1">
        <f t="array" ref="N154">IF(K154="שוטף",M154,0)</f>
        <v>38</v>
      </c>
      <c r="O154" s="143" cm="1">
        <f t="array" ref="O154">IF(K154="הכנסה שסווגה מחדש",-G154,0)</f>
        <v>0</v>
      </c>
      <c r="P154" t="s" s="86">
        <v>762</v>
      </c>
      <c r="Q154" s="99"/>
      <c r="R154" t="s" s="144">
        <v>743</v>
      </c>
      <c r="S154" s="77"/>
    </row>
    <row r="155" ht="13.65" customHeight="1">
      <c r="A155" s="78">
        <v>45689</v>
      </c>
      <c r="B155" t="s" s="79">
        <v>33</v>
      </c>
      <c r="C155" t="s" s="80">
        <v>785</v>
      </c>
      <c r="D155" s="131">
        <v>83</v>
      </c>
      <c r="E155" t="s" s="79">
        <v>761</v>
      </c>
      <c r="F155" t="s" s="80">
        <v>267</v>
      </c>
      <c r="G155" s="132">
        <v>6</v>
      </c>
      <c r="H155" t="s" s="133">
        <v>109</v>
      </c>
      <c r="I155" t="s" s="134">
        <v>109</v>
      </c>
      <c r="J155" t="s" s="134">
        <v>97</v>
      </c>
      <c r="K155" t="str" s="135" cm="1">
        <f t="array" ref="K155">IF(OR(H155="ריביות",AND(H155="דירה כצנלסון",G155&lt;0,ISNUMBER(SEARCH("הכנסה",F155)))),"הכנסה שסווגה מחדש",J155)</f>
        <v>שוטף</v>
      </c>
      <c r="L155" t="s" s="134">
        <v>741</v>
      </c>
      <c r="M155" s="136" cm="1">
        <f t="array" ref="M155">IF(L155="מאושר",IF(K155="הכנסה שסווגה מחדש",0,G155),0)</f>
        <v>6</v>
      </c>
      <c r="N155" s="136" cm="1">
        <f t="array" ref="N155">IF(K155="שוטף",M155,0)</f>
        <v>6</v>
      </c>
      <c r="O155" s="136" cm="1">
        <f t="array" ref="O155">IF(K155="הכנסה שסווגה מחדש",-G155,0)</f>
        <v>0</v>
      </c>
      <c r="P155" t="s" s="80">
        <v>762</v>
      </c>
      <c r="Q155" s="100"/>
      <c r="R155" t="s" s="137">
        <v>743</v>
      </c>
      <c r="S155" s="77"/>
    </row>
    <row r="156" ht="13.65" customHeight="1">
      <c r="A156" s="84">
        <v>45689</v>
      </c>
      <c r="B156" t="s" s="85">
        <v>33</v>
      </c>
      <c r="C156" t="s" s="86">
        <v>785</v>
      </c>
      <c r="D156" s="138">
        <v>84</v>
      </c>
      <c r="E156" t="s" s="85">
        <v>761</v>
      </c>
      <c r="F156" t="s" s="86">
        <v>200</v>
      </c>
      <c r="G156" s="139">
        <v>130</v>
      </c>
      <c r="H156" t="s" s="140">
        <v>109</v>
      </c>
      <c r="I156" t="s" s="141">
        <v>109</v>
      </c>
      <c r="J156" t="s" s="141">
        <v>97</v>
      </c>
      <c r="K156" t="str" s="142" cm="1">
        <f t="array" ref="K156">IF(OR(H156="ריביות",AND(H156="דירה כצנלסון",G156&lt;0,ISNUMBER(SEARCH("הכנסה",F156)))),"הכנסה שסווגה מחדש",J156)</f>
        <v>שוטף</v>
      </c>
      <c r="L156" t="s" s="141">
        <v>741</v>
      </c>
      <c r="M156" s="143" cm="1">
        <f t="array" ref="M156">IF(L156="מאושר",IF(K156="הכנסה שסווגה מחדש",0,G156),0)</f>
        <v>130</v>
      </c>
      <c r="N156" s="143" cm="1">
        <f t="array" ref="N156">IF(K156="שוטף",M156,0)</f>
        <v>130</v>
      </c>
      <c r="O156" s="143" cm="1">
        <f t="array" ref="O156">IF(K156="הכנסה שסווגה מחדש",-G156,0)</f>
        <v>0</v>
      </c>
      <c r="P156" t="s" s="86">
        <v>762</v>
      </c>
      <c r="Q156" s="99"/>
      <c r="R156" t="s" s="144">
        <v>743</v>
      </c>
      <c r="S156" s="77"/>
    </row>
    <row r="157" ht="13.65" customHeight="1">
      <c r="A157" s="78">
        <v>45689</v>
      </c>
      <c r="B157" t="s" s="79">
        <v>33</v>
      </c>
      <c r="C157" t="s" s="80">
        <v>785</v>
      </c>
      <c r="D157" s="131">
        <v>85</v>
      </c>
      <c r="E157" t="s" s="79">
        <v>774</v>
      </c>
      <c r="F157" t="s" s="80">
        <v>602</v>
      </c>
      <c r="G157" s="132">
        <v>55</v>
      </c>
      <c r="H157" t="s" s="133">
        <v>113</v>
      </c>
      <c r="I157" t="s" s="134">
        <v>113</v>
      </c>
      <c r="J157" t="s" s="134">
        <v>97</v>
      </c>
      <c r="K157" t="str" s="135" cm="1">
        <f t="array" ref="K157">IF(OR(H157="ריביות",AND(H157="דירה כצנלסון",G157&lt;0,ISNUMBER(SEARCH("הכנסה",F157)))),"הכנסה שסווגה מחדש",J157)</f>
        <v>שוטף</v>
      </c>
      <c r="L157" t="s" s="134">
        <v>741</v>
      </c>
      <c r="M157" s="136" cm="1">
        <f t="array" ref="M157">IF(L157="מאושר",IF(K157="הכנסה שסווגה מחדש",0,G157),0)</f>
        <v>55</v>
      </c>
      <c r="N157" s="136" cm="1">
        <f t="array" ref="N157">IF(K157="שוטף",M157,0)</f>
        <v>55</v>
      </c>
      <c r="O157" s="136" cm="1">
        <f t="array" ref="O157">IF(K157="הכנסה שסווגה מחדש",-G157,0)</f>
        <v>0</v>
      </c>
      <c r="P157" t="s" s="80">
        <v>762</v>
      </c>
      <c r="Q157" s="100"/>
      <c r="R157" t="s" s="137">
        <v>743</v>
      </c>
      <c r="S157" s="77"/>
    </row>
    <row r="158" ht="13.65" customHeight="1">
      <c r="A158" s="84">
        <v>45689</v>
      </c>
      <c r="B158" t="s" s="85">
        <v>33</v>
      </c>
      <c r="C158" t="s" s="86">
        <v>785</v>
      </c>
      <c r="D158" s="138">
        <v>86</v>
      </c>
      <c r="E158" t="s" s="85">
        <v>791</v>
      </c>
      <c r="F158" t="s" s="86">
        <v>434</v>
      </c>
      <c r="G158" s="139">
        <v>25</v>
      </c>
      <c r="H158" t="s" s="140">
        <v>111</v>
      </c>
      <c r="I158" t="s" s="141">
        <v>111</v>
      </c>
      <c r="J158" t="s" s="141">
        <v>97</v>
      </c>
      <c r="K158" t="str" s="142" cm="1">
        <f t="array" ref="K158">IF(OR(H158="ריביות",AND(H158="דירה כצנלסון",G158&lt;0,ISNUMBER(SEARCH("הכנסה",F158)))),"הכנסה שסווגה מחדש",J158)</f>
        <v>שוטף</v>
      </c>
      <c r="L158" t="s" s="141">
        <v>741</v>
      </c>
      <c r="M158" s="143" cm="1">
        <f t="array" ref="M158">IF(L158="מאושר",IF(K158="הכנסה שסווגה מחדש",0,G158),0)</f>
        <v>25</v>
      </c>
      <c r="N158" s="143" cm="1">
        <f t="array" ref="N158">IF(K158="שוטף",M158,0)</f>
        <v>25</v>
      </c>
      <c r="O158" s="143" cm="1">
        <f t="array" ref="O158">IF(K158="הכנסה שסווגה מחדש",-G158,0)</f>
        <v>0</v>
      </c>
      <c r="P158" t="s" s="86">
        <v>762</v>
      </c>
      <c r="Q158" s="99"/>
      <c r="R158" t="s" s="144">
        <v>743</v>
      </c>
      <c r="S158" s="77"/>
    </row>
    <row r="159" ht="13.65" customHeight="1">
      <c r="A159" s="78">
        <v>45689</v>
      </c>
      <c r="B159" t="s" s="79">
        <v>33</v>
      </c>
      <c r="C159" t="s" s="80">
        <v>785</v>
      </c>
      <c r="D159" s="131">
        <v>87</v>
      </c>
      <c r="E159" t="s" s="79">
        <v>791</v>
      </c>
      <c r="F159" t="s" s="80">
        <v>213</v>
      </c>
      <c r="G159" s="132">
        <v>220</v>
      </c>
      <c r="H159" t="s" s="133">
        <v>115</v>
      </c>
      <c r="I159" t="s" s="134">
        <v>115</v>
      </c>
      <c r="J159" t="s" s="134">
        <v>97</v>
      </c>
      <c r="K159" t="str" s="135" cm="1">
        <f t="array" ref="K159">IF(OR(H159="ריביות",AND(H159="דירה כצנלסון",G159&lt;0,ISNUMBER(SEARCH("הכנסה",F159)))),"הכנסה שסווגה מחדש",J159)</f>
        <v>שוטף</v>
      </c>
      <c r="L159" t="s" s="134">
        <v>741</v>
      </c>
      <c r="M159" s="136" cm="1">
        <f t="array" ref="M159">IF(L159="מאושר",IF(K159="הכנסה שסווגה מחדש",0,G159),0)</f>
        <v>220</v>
      </c>
      <c r="N159" s="136" cm="1">
        <f t="array" ref="N159">IF(K159="שוטף",M159,0)</f>
        <v>220</v>
      </c>
      <c r="O159" s="136" cm="1">
        <f t="array" ref="O159">IF(K159="הכנסה שסווגה מחדש",-G159,0)</f>
        <v>0</v>
      </c>
      <c r="P159" t="s" s="80">
        <v>762</v>
      </c>
      <c r="Q159" s="100"/>
      <c r="R159" t="s" s="137">
        <v>743</v>
      </c>
      <c r="S159" s="77"/>
    </row>
    <row r="160" ht="13.65" customHeight="1">
      <c r="A160" s="84">
        <v>45689</v>
      </c>
      <c r="B160" t="s" s="85">
        <v>33</v>
      </c>
      <c r="C160" t="s" s="86">
        <v>785</v>
      </c>
      <c r="D160" s="138">
        <v>88</v>
      </c>
      <c r="E160" t="s" s="85">
        <v>766</v>
      </c>
      <c r="F160" t="s" s="86">
        <v>200</v>
      </c>
      <c r="G160" s="139">
        <v>56</v>
      </c>
      <c r="H160" t="s" s="140">
        <v>109</v>
      </c>
      <c r="I160" t="s" s="141">
        <v>109</v>
      </c>
      <c r="J160" t="s" s="141">
        <v>97</v>
      </c>
      <c r="K160" t="str" s="142" cm="1">
        <f t="array" ref="K160">IF(OR(H160="ריביות",AND(H160="דירה כצנלסון",G160&lt;0,ISNUMBER(SEARCH("הכנסה",F160)))),"הכנסה שסווגה מחדש",J160)</f>
        <v>שוטף</v>
      </c>
      <c r="L160" t="s" s="141">
        <v>741</v>
      </c>
      <c r="M160" s="143" cm="1">
        <f t="array" ref="M160">IF(L160="מאושר",IF(K160="הכנסה שסווגה מחדש",0,G160),0)</f>
        <v>56</v>
      </c>
      <c r="N160" s="143" cm="1">
        <f t="array" ref="N160">IF(K160="שוטף",M160,0)</f>
        <v>56</v>
      </c>
      <c r="O160" s="143" cm="1">
        <f t="array" ref="O160">IF(K160="הכנסה שסווגה מחדש",-G160,0)</f>
        <v>0</v>
      </c>
      <c r="P160" t="s" s="86">
        <v>762</v>
      </c>
      <c r="Q160" s="99"/>
      <c r="R160" t="s" s="144">
        <v>743</v>
      </c>
      <c r="S160" s="77"/>
    </row>
    <row r="161" ht="13.65" customHeight="1">
      <c r="A161" s="78">
        <v>45689</v>
      </c>
      <c r="B161" t="s" s="79">
        <v>33</v>
      </c>
      <c r="C161" t="s" s="80">
        <v>785</v>
      </c>
      <c r="D161" s="131">
        <v>89</v>
      </c>
      <c r="E161" t="s" s="79">
        <v>765</v>
      </c>
      <c r="F161" t="s" s="80">
        <v>277</v>
      </c>
      <c r="G161" s="132">
        <v>116</v>
      </c>
      <c r="H161" t="s" s="133">
        <v>115</v>
      </c>
      <c r="I161" t="s" s="134">
        <v>115</v>
      </c>
      <c r="J161" t="s" s="134">
        <v>97</v>
      </c>
      <c r="K161" t="str" s="135" cm="1">
        <f t="array" ref="K161">IF(OR(H161="ריביות",AND(H161="דירה כצנלסון",G161&lt;0,ISNUMBER(SEARCH("הכנסה",F161)))),"הכנסה שסווגה מחדש",J161)</f>
        <v>שוטף</v>
      </c>
      <c r="L161" t="s" s="134">
        <v>741</v>
      </c>
      <c r="M161" s="136" cm="1">
        <f t="array" ref="M161">IF(L161="מאושר",IF(K161="הכנסה שסווגה מחדש",0,G161),0)</f>
        <v>116</v>
      </c>
      <c r="N161" s="136" cm="1">
        <f t="array" ref="N161">IF(K161="שוטף",M161,0)</f>
        <v>116</v>
      </c>
      <c r="O161" s="136" cm="1">
        <f t="array" ref="O161">IF(K161="הכנסה שסווגה מחדש",-G161,0)</f>
        <v>0</v>
      </c>
      <c r="P161" t="s" s="80">
        <v>762</v>
      </c>
      <c r="Q161" s="100"/>
      <c r="R161" t="s" s="137">
        <v>743</v>
      </c>
      <c r="S161" s="77"/>
    </row>
    <row r="162" ht="13.65" customHeight="1">
      <c r="A162" s="84">
        <v>45689</v>
      </c>
      <c r="B162" t="s" s="85">
        <v>33</v>
      </c>
      <c r="C162" t="s" s="86">
        <v>785</v>
      </c>
      <c r="D162" s="138">
        <v>90</v>
      </c>
      <c r="E162" t="s" s="85">
        <v>775</v>
      </c>
      <c r="F162" t="s" s="86">
        <v>200</v>
      </c>
      <c r="G162" s="139">
        <v>53</v>
      </c>
      <c r="H162" t="s" s="140">
        <v>109</v>
      </c>
      <c r="I162" t="s" s="141">
        <v>109</v>
      </c>
      <c r="J162" t="s" s="141">
        <v>97</v>
      </c>
      <c r="K162" t="str" s="142" cm="1">
        <f t="array" ref="K162">IF(OR(H162="ריביות",AND(H162="דירה כצנלסון",G162&lt;0,ISNUMBER(SEARCH("הכנסה",F162)))),"הכנסה שסווגה מחדש",J162)</f>
        <v>שוטף</v>
      </c>
      <c r="L162" t="s" s="141">
        <v>741</v>
      </c>
      <c r="M162" s="143" cm="1">
        <f t="array" ref="M162">IF(L162="מאושר",IF(K162="הכנסה שסווגה מחדש",0,G162),0)</f>
        <v>53</v>
      </c>
      <c r="N162" s="143" cm="1">
        <f t="array" ref="N162">IF(K162="שוטף",M162,0)</f>
        <v>53</v>
      </c>
      <c r="O162" s="143" cm="1">
        <f t="array" ref="O162">IF(K162="הכנסה שסווגה מחדש",-G162,0)</f>
        <v>0</v>
      </c>
      <c r="P162" t="s" s="86">
        <v>762</v>
      </c>
      <c r="Q162" s="99"/>
      <c r="R162" t="s" s="144">
        <v>743</v>
      </c>
      <c r="S162" s="77"/>
    </row>
    <row r="163" ht="13.65" customHeight="1">
      <c r="A163" s="78">
        <v>45689</v>
      </c>
      <c r="B163" t="s" s="79">
        <v>33</v>
      </c>
      <c r="C163" t="s" s="80">
        <v>785</v>
      </c>
      <c r="D163" s="131">
        <v>91</v>
      </c>
      <c r="E163" t="s" s="79">
        <v>764</v>
      </c>
      <c r="F163" t="s" s="80">
        <v>475</v>
      </c>
      <c r="G163" s="132">
        <v>38</v>
      </c>
      <c r="H163" t="s" s="133">
        <v>113</v>
      </c>
      <c r="I163" t="s" s="134">
        <v>113</v>
      </c>
      <c r="J163" t="s" s="134">
        <v>97</v>
      </c>
      <c r="K163" t="str" s="135" cm="1">
        <f t="array" ref="K163">IF(OR(H163="ריביות",AND(H163="דירה כצנלסון",G163&lt;0,ISNUMBER(SEARCH("הכנסה",F163)))),"הכנסה שסווגה מחדש",J163)</f>
        <v>שוטף</v>
      </c>
      <c r="L163" t="s" s="134">
        <v>741</v>
      </c>
      <c r="M163" s="136" cm="1">
        <f t="array" ref="M163">IF(L163="מאושר",IF(K163="הכנסה שסווגה מחדש",0,G163),0)</f>
        <v>38</v>
      </c>
      <c r="N163" s="136" cm="1">
        <f t="array" ref="N163">IF(K163="שוטף",M163,0)</f>
        <v>38</v>
      </c>
      <c r="O163" s="136" cm="1">
        <f t="array" ref="O163">IF(K163="הכנסה שסווגה מחדש",-G163,0)</f>
        <v>0</v>
      </c>
      <c r="P163" t="s" s="80">
        <v>762</v>
      </c>
      <c r="Q163" s="100"/>
      <c r="R163" t="s" s="137">
        <v>743</v>
      </c>
      <c r="S163" s="77"/>
    </row>
    <row r="164" ht="13.65" customHeight="1">
      <c r="A164" s="84">
        <v>45689</v>
      </c>
      <c r="B164" t="s" s="85">
        <v>33</v>
      </c>
      <c r="C164" t="s" s="86">
        <v>785</v>
      </c>
      <c r="D164" s="138">
        <v>92</v>
      </c>
      <c r="E164" t="s" s="85">
        <v>764</v>
      </c>
      <c r="F164" t="s" s="86">
        <v>355</v>
      </c>
      <c r="G164" s="139">
        <v>22</v>
      </c>
      <c r="H164" t="s" s="140">
        <v>113</v>
      </c>
      <c r="I164" t="s" s="141">
        <v>113</v>
      </c>
      <c r="J164" t="s" s="141">
        <v>97</v>
      </c>
      <c r="K164" t="str" s="142" cm="1">
        <f t="array" ref="K164">IF(OR(H164="ריביות",AND(H164="דירה כצנלסון",G164&lt;0,ISNUMBER(SEARCH("הכנסה",F164)))),"הכנסה שסווגה מחדש",J164)</f>
        <v>שוטף</v>
      </c>
      <c r="L164" t="s" s="141">
        <v>741</v>
      </c>
      <c r="M164" s="143" cm="1">
        <f t="array" ref="M164">IF(L164="מאושר",IF(K164="הכנסה שסווגה מחדש",0,G164),0)</f>
        <v>22</v>
      </c>
      <c r="N164" s="143" cm="1">
        <f t="array" ref="N164">IF(K164="שוטף",M164,0)</f>
        <v>22</v>
      </c>
      <c r="O164" s="143" cm="1">
        <f t="array" ref="O164">IF(K164="הכנסה שסווגה מחדש",-G164,0)</f>
        <v>0</v>
      </c>
      <c r="P164" t="s" s="86">
        <v>762</v>
      </c>
      <c r="Q164" s="99"/>
      <c r="R164" t="s" s="144">
        <v>743</v>
      </c>
      <c r="S164" s="77"/>
    </row>
    <row r="165" ht="13.65" customHeight="1">
      <c r="A165" s="78">
        <v>45689</v>
      </c>
      <c r="B165" t="s" s="79">
        <v>33</v>
      </c>
      <c r="C165" t="s" s="80">
        <v>785</v>
      </c>
      <c r="D165" s="131">
        <v>93</v>
      </c>
      <c r="E165" t="s" s="79">
        <v>764</v>
      </c>
      <c r="F165" t="s" s="80">
        <v>219</v>
      </c>
      <c r="G165" s="132">
        <v>5404</v>
      </c>
      <c r="H165" t="s" s="133">
        <v>105</v>
      </c>
      <c r="I165" t="s" s="134">
        <v>105</v>
      </c>
      <c r="J165" t="s" s="134">
        <v>103</v>
      </c>
      <c r="K165" t="str" s="135" cm="1">
        <f t="array" ref="K165">IF(OR(H165="ריביות",AND(H165="דירה כצנלסון",G165&lt;0,ISNUMBER(SEARCH("הכנסה",F165)))),"הכנסה שסווגה מחדש",J165)</f>
        <v>חריג</v>
      </c>
      <c r="L165" t="s" s="134">
        <v>741</v>
      </c>
      <c r="M165" s="136" cm="1">
        <f t="array" ref="M165">IF(L165="מאושר",IF(K165="הכנסה שסווגה מחדש",0,G165),0)</f>
        <v>5404</v>
      </c>
      <c r="N165" s="136" cm="1">
        <f t="array" ref="N165">IF(K165="שוטף",M165,0)</f>
        <v>0</v>
      </c>
      <c r="O165" s="136" cm="1">
        <f t="array" ref="O165">IF(K165="הכנסה שסווגה מחדש",-G165,0)</f>
        <v>0</v>
      </c>
      <c r="P165" t="s" s="79">
        <v>748</v>
      </c>
      <c r="Q165" s="100"/>
      <c r="R165" t="s" s="137">
        <v>743</v>
      </c>
      <c r="S165" s="77"/>
    </row>
    <row r="166" ht="13.65" customHeight="1">
      <c r="A166" s="84">
        <v>45689</v>
      </c>
      <c r="B166" t="s" s="85">
        <v>33</v>
      </c>
      <c r="C166" t="s" s="86">
        <v>785</v>
      </c>
      <c r="D166" s="138">
        <v>94</v>
      </c>
      <c r="E166" t="s" s="85">
        <v>764</v>
      </c>
      <c r="F166" t="s" s="86">
        <v>266</v>
      </c>
      <c r="G166" s="139">
        <v>1601</v>
      </c>
      <c r="H166" t="s" s="140">
        <v>105</v>
      </c>
      <c r="I166" t="s" s="141">
        <v>105</v>
      </c>
      <c r="J166" t="s" s="141">
        <v>103</v>
      </c>
      <c r="K166" t="str" s="142" cm="1">
        <f t="array" ref="K166">IF(OR(H166="ריביות",AND(H166="דירה כצנלסון",G166&lt;0,ISNUMBER(SEARCH("הכנסה",F166)))),"הכנסה שסווגה מחדש",J166)</f>
        <v>חריג</v>
      </c>
      <c r="L166" t="s" s="141">
        <v>741</v>
      </c>
      <c r="M166" s="143" cm="1">
        <f t="array" ref="M166">IF(L166="מאושר",IF(K166="הכנסה שסווגה מחדש",0,G166),0)</f>
        <v>1601</v>
      </c>
      <c r="N166" s="143" cm="1">
        <f t="array" ref="N166">IF(K166="שוטף",M166,0)</f>
        <v>0</v>
      </c>
      <c r="O166" s="143" cm="1">
        <f t="array" ref="O166">IF(K166="הכנסה שסווגה מחדש",-G166,0)</f>
        <v>0</v>
      </c>
      <c r="P166" t="s" s="85">
        <v>748</v>
      </c>
      <c r="Q166" s="99"/>
      <c r="R166" t="s" s="144">
        <v>743</v>
      </c>
      <c r="S166" s="77"/>
    </row>
    <row r="167" ht="13.65" customHeight="1">
      <c r="A167" s="78">
        <v>45689</v>
      </c>
      <c r="B167" t="s" s="79">
        <v>33</v>
      </c>
      <c r="C167" t="s" s="80">
        <v>785</v>
      </c>
      <c r="D167" s="131">
        <v>95</v>
      </c>
      <c r="E167" s="100"/>
      <c r="F167" t="s" s="80">
        <v>317</v>
      </c>
      <c r="G167" s="132">
        <v>736</v>
      </c>
      <c r="H167" t="s" s="133">
        <v>111</v>
      </c>
      <c r="I167" t="s" s="134">
        <v>111</v>
      </c>
      <c r="J167" t="s" s="134">
        <v>97</v>
      </c>
      <c r="K167" t="str" s="135" cm="1">
        <f t="array" ref="K167">IF(OR(H167="ריביות",AND(H167="דירה כצנלסון",G167&lt;0,ISNUMBER(SEARCH("הכנסה",F167)))),"הכנסה שסווגה מחדש",J167)</f>
        <v>שוטף</v>
      </c>
      <c r="L167" t="s" s="134">
        <v>741</v>
      </c>
      <c r="M167" s="136" cm="1">
        <f t="array" ref="M167">IF(L167="מאושר",IF(K167="הכנסה שסווגה מחדש",0,G167),0)</f>
        <v>736</v>
      </c>
      <c r="N167" s="136" cm="1">
        <f t="array" ref="N167">IF(K167="שוטף",M167,0)</f>
        <v>736</v>
      </c>
      <c r="O167" s="136" cm="1">
        <f t="array" ref="O167">IF(K167="הכנסה שסווגה מחדש",-G167,0)</f>
        <v>0</v>
      </c>
      <c r="P167" t="s" s="80">
        <v>760</v>
      </c>
      <c r="Q167" s="100"/>
      <c r="R167" t="s" s="137">
        <v>743</v>
      </c>
      <c r="S167" s="77"/>
    </row>
    <row r="168" ht="13.65" customHeight="1">
      <c r="A168" s="84">
        <v>45689</v>
      </c>
      <c r="B168" t="s" s="85">
        <v>33</v>
      </c>
      <c r="C168" t="s" s="86">
        <v>785</v>
      </c>
      <c r="D168" s="138">
        <v>96</v>
      </c>
      <c r="E168" s="99"/>
      <c r="F168" t="s" s="86">
        <v>199</v>
      </c>
      <c r="G168" s="139">
        <v>1350</v>
      </c>
      <c r="H168" t="s" s="140">
        <v>767</v>
      </c>
      <c r="I168" t="s" s="141">
        <v>107</v>
      </c>
      <c r="J168" t="s" s="141">
        <v>97</v>
      </c>
      <c r="K168" t="str" s="142" cm="1">
        <f t="array" ref="K168">IF(OR(H168="ריביות",AND(H168="דירה כצנלסון",G168&lt;0,ISNUMBER(SEARCH("הכנסה",F168)))),"הכנסה שסווגה מחדש",J168)</f>
        <v>שוטף</v>
      </c>
      <c r="L168" t="s" s="141">
        <v>741</v>
      </c>
      <c r="M168" s="143" cm="1">
        <f t="array" ref="M168">IF(L168="מאושר",IF(K168="הכנסה שסווגה מחדש",0,G168),0)</f>
        <v>1350</v>
      </c>
      <c r="N168" s="143" cm="1">
        <f t="array" ref="N168">IF(K168="שוטף",M168,0)</f>
        <v>1350</v>
      </c>
      <c r="O168" s="143" cm="1">
        <f t="array" ref="O168">IF(K168="הכנסה שסווגה מחדש",-G168,0)</f>
        <v>0</v>
      </c>
      <c r="P168" t="s" s="86">
        <v>792</v>
      </c>
      <c r="Q168" s="99"/>
      <c r="R168" t="s" s="144">
        <v>743</v>
      </c>
      <c r="S168" s="77"/>
    </row>
    <row r="169" ht="13.65" customHeight="1">
      <c r="A169" s="78">
        <v>45689</v>
      </c>
      <c r="B169" t="s" s="79">
        <v>33</v>
      </c>
      <c r="C169" t="s" s="80">
        <v>785</v>
      </c>
      <c r="D169" s="131">
        <v>97</v>
      </c>
      <c r="E169" s="100"/>
      <c r="F169" t="s" s="80">
        <v>745</v>
      </c>
      <c r="G169" s="132">
        <v>-163</v>
      </c>
      <c r="H169" t="s" s="133">
        <v>746</v>
      </c>
      <c r="I169" t="s" s="134">
        <v>141</v>
      </c>
      <c r="J169" t="s" s="134">
        <v>142</v>
      </c>
      <c r="K169" t="str" s="135" cm="1">
        <f t="array" ref="K169">IF(OR(H169="ריביות",AND(H169="דירה כצנלסון",G169&lt;0,ISNUMBER(SEARCH("הכנסה",F169)))),"הכנסה שסווגה מחדש",J169)</f>
        <v>הכנסה שסווגה מחדש</v>
      </c>
      <c r="L169" t="s" s="134">
        <v>741</v>
      </c>
      <c r="M169" s="136" cm="1">
        <f t="array" ref="M169">IF(L169="מאושר",IF(K169="הכנסה שסווגה מחדש",0,G169),0)</f>
        <v>0</v>
      </c>
      <c r="N169" s="136" cm="1">
        <f t="array" ref="N169">IF(K169="שוטף",M169,0)</f>
        <v>0</v>
      </c>
      <c r="O169" s="136" cm="1">
        <f t="array" ref="O169">IF(K169="הכנסה שסווגה מחדש",-G169,0)</f>
        <v>163</v>
      </c>
      <c r="P169" t="s" s="79">
        <v>742</v>
      </c>
      <c r="Q169" s="100"/>
      <c r="R169" t="s" s="137">
        <v>743</v>
      </c>
      <c r="S169" s="77"/>
    </row>
    <row r="170" ht="13.65" customHeight="1">
      <c r="A170" s="84">
        <v>45717</v>
      </c>
      <c r="B170" t="s" s="85">
        <v>37</v>
      </c>
      <c r="C170" t="s" s="86">
        <v>793</v>
      </c>
      <c r="D170" s="138">
        <v>2</v>
      </c>
      <c r="E170" t="s" s="85">
        <v>772</v>
      </c>
      <c r="F170" t="s" s="86">
        <v>196</v>
      </c>
      <c r="G170" s="139">
        <v>7500</v>
      </c>
      <c r="H170" t="s" s="140">
        <v>763</v>
      </c>
      <c r="I170" t="s" s="141">
        <v>96</v>
      </c>
      <c r="J170" t="s" s="141">
        <v>97</v>
      </c>
      <c r="K170" t="str" s="142" cm="1">
        <f t="array" ref="K170">IF(OR(H170="ריביות",AND(H170="דירה כצנלסון",G170&lt;0,ISNUMBER(SEARCH("הכנסה",F170)))),"הכנסה שסווגה מחדש",J170)</f>
        <v>שוטף</v>
      </c>
      <c r="L170" t="s" s="141">
        <v>741</v>
      </c>
      <c r="M170" s="143" cm="1">
        <f t="array" ref="M170">IF(L170="מאושר",IF(K170="הכנסה שסווגה מחדש",0,G170),0)</f>
        <v>7500</v>
      </c>
      <c r="N170" s="143" cm="1">
        <f t="array" ref="N170">IF(K170="שוטף",M170,0)</f>
        <v>7500</v>
      </c>
      <c r="O170" s="143" cm="1">
        <f t="array" ref="O170">IF(K170="הכנסה שסווגה מחדש",-G170,0)</f>
        <v>0</v>
      </c>
      <c r="P170" t="s" s="85">
        <v>742</v>
      </c>
      <c r="Q170" s="99"/>
      <c r="R170" t="s" s="144">
        <v>743</v>
      </c>
      <c r="S170" s="77"/>
    </row>
    <row r="171" ht="13.65" customHeight="1">
      <c r="A171" s="78">
        <v>45717</v>
      </c>
      <c r="B171" t="s" s="79">
        <v>37</v>
      </c>
      <c r="C171" t="s" s="80">
        <v>793</v>
      </c>
      <c r="D171" s="131">
        <v>3</v>
      </c>
      <c r="E171" t="s" s="79">
        <v>751</v>
      </c>
      <c r="F171" t="s" s="80">
        <v>197</v>
      </c>
      <c r="G171" s="132">
        <v>6126</v>
      </c>
      <c r="H171" t="s" s="133">
        <v>279</v>
      </c>
      <c r="I171" t="s" s="134">
        <v>99</v>
      </c>
      <c r="J171" t="s" s="134">
        <v>100</v>
      </c>
      <c r="K171" t="str" s="135" cm="1">
        <f t="array" ref="K171">IF(OR(H171="ריביות",AND(H171="דירה כצנלסון",G171&lt;0,ISNUMBER(SEARCH("הכנסה",F171)))),"הכנסה שסווגה מחדש",J171)</f>
        <v>חריג/נכס</v>
      </c>
      <c r="L171" t="s" s="134">
        <v>741</v>
      </c>
      <c r="M171" s="136" cm="1">
        <f t="array" ref="M171">IF(L171="מאושר",IF(K171="הכנסה שסווגה מחדש",0,G171),0)</f>
        <v>6126</v>
      </c>
      <c r="N171" s="136" cm="1">
        <f t="array" ref="N171">IF(K171="שוטף",M171,0)</f>
        <v>0</v>
      </c>
      <c r="O171" s="136" cm="1">
        <f t="array" ref="O171">IF(K171="הכנסה שסווגה מחדש",-G171,0)</f>
        <v>0</v>
      </c>
      <c r="P171" t="s" s="80">
        <v>786</v>
      </c>
      <c r="Q171" s="100"/>
      <c r="R171" t="s" s="137">
        <v>743</v>
      </c>
      <c r="S171" s="77"/>
    </row>
    <row r="172" ht="13.65" customHeight="1">
      <c r="A172" s="84">
        <v>45717</v>
      </c>
      <c r="B172" t="s" s="85">
        <v>37</v>
      </c>
      <c r="C172" t="s" s="86">
        <v>793</v>
      </c>
      <c r="D172" s="138">
        <v>4</v>
      </c>
      <c r="E172" s="99"/>
      <c r="F172" t="s" s="86">
        <v>740</v>
      </c>
      <c r="G172" s="139">
        <v>-6500</v>
      </c>
      <c r="H172" t="s" s="140">
        <v>279</v>
      </c>
      <c r="I172" t="s" s="141">
        <v>99</v>
      </c>
      <c r="J172" t="s" s="141">
        <v>100</v>
      </c>
      <c r="K172" t="str" s="142" cm="1">
        <f t="array" ref="K172">IF(OR(H172="ריביות",AND(H172="דירה כצנלסון",G172&lt;0,ISNUMBER(SEARCH("הכנסה",F172)))),"הכנסה שסווגה מחדש",J172)</f>
        <v>הכנסה שסווגה מחדש</v>
      </c>
      <c r="L172" t="s" s="141">
        <v>741</v>
      </c>
      <c r="M172" s="143" cm="1">
        <f t="array" ref="M172">IF(L172="מאושר",IF(K172="הכנסה שסווגה מחדש",0,G172),0)</f>
        <v>0</v>
      </c>
      <c r="N172" s="143" cm="1">
        <f t="array" ref="N172">IF(K172="שוטף",M172,0)</f>
        <v>0</v>
      </c>
      <c r="O172" s="143" cm="1">
        <f t="array" ref="O172">IF(K172="הכנסה שסווגה מחדש",-G172,0)</f>
        <v>6500</v>
      </c>
      <c r="P172" t="s" s="85">
        <v>742</v>
      </c>
      <c r="Q172" s="99"/>
      <c r="R172" t="s" s="144">
        <v>743</v>
      </c>
      <c r="S172" s="77"/>
    </row>
    <row r="173" ht="13.65" customHeight="1">
      <c r="A173" s="78">
        <v>45717</v>
      </c>
      <c r="B173" t="s" s="79">
        <v>37</v>
      </c>
      <c r="C173" t="s" s="80">
        <v>793</v>
      </c>
      <c r="D173" s="131">
        <v>5</v>
      </c>
      <c r="E173" t="s" s="79">
        <v>753</v>
      </c>
      <c r="F173" t="s" s="80">
        <v>212</v>
      </c>
      <c r="G173" s="132">
        <v>293</v>
      </c>
      <c r="H173" t="s" s="133">
        <v>757</v>
      </c>
      <c r="I173" t="s" s="134">
        <v>96</v>
      </c>
      <c r="J173" t="s" s="134">
        <v>97</v>
      </c>
      <c r="K173" t="str" s="135" cm="1">
        <f t="array" ref="K173">IF(OR(H173="ריביות",AND(H173="דירה כצנלסון",G173&lt;0,ISNUMBER(SEARCH("הכנסה",F173)))),"הכנסה שסווגה מחדש",J173)</f>
        <v>שוטף</v>
      </c>
      <c r="L173" t="s" s="134">
        <v>741</v>
      </c>
      <c r="M173" s="136" cm="1">
        <f t="array" ref="M173">IF(L173="מאושר",IF(K173="הכנסה שסווגה מחדש",0,G173),0)</f>
        <v>293</v>
      </c>
      <c r="N173" s="136" cm="1">
        <f t="array" ref="N173">IF(K173="שוטף",M173,0)</f>
        <v>293</v>
      </c>
      <c r="O173" s="136" cm="1">
        <f t="array" ref="O173">IF(K173="הכנסה שסווגה מחדש",-G173,0)</f>
        <v>0</v>
      </c>
      <c r="P173" t="s" s="80">
        <v>762</v>
      </c>
      <c r="Q173" s="100"/>
      <c r="R173" t="s" s="137">
        <v>743</v>
      </c>
      <c r="S173" s="77"/>
    </row>
    <row r="174" ht="13.65" customHeight="1">
      <c r="A174" s="84">
        <v>45717</v>
      </c>
      <c r="B174" t="s" s="85">
        <v>37</v>
      </c>
      <c r="C174" t="s" s="86">
        <v>793</v>
      </c>
      <c r="D174" s="138">
        <v>6</v>
      </c>
      <c r="E174" t="s" s="85">
        <v>764</v>
      </c>
      <c r="F174" t="s" s="86">
        <v>221</v>
      </c>
      <c r="G174" s="139">
        <v>271</v>
      </c>
      <c r="H174" t="s" s="140">
        <v>757</v>
      </c>
      <c r="I174" t="s" s="141">
        <v>96</v>
      </c>
      <c r="J174" t="s" s="141">
        <v>97</v>
      </c>
      <c r="K174" t="str" s="142" cm="1">
        <f t="array" ref="K174">IF(OR(H174="ריביות",AND(H174="דירה כצנלסון",G174&lt;0,ISNUMBER(SEARCH("הכנסה",F174)))),"הכנסה שסווגה מחדש",J174)</f>
        <v>שוטף</v>
      </c>
      <c r="L174" t="s" s="141">
        <v>741</v>
      </c>
      <c r="M174" s="143" cm="1">
        <f t="array" ref="M174">IF(L174="מאושר",IF(K174="הכנסה שסווגה מחדש",0,G174),0)</f>
        <v>271</v>
      </c>
      <c r="N174" s="143" cm="1">
        <f t="array" ref="N174">IF(K174="שוטף",M174,0)</f>
        <v>271</v>
      </c>
      <c r="O174" s="143" cm="1">
        <f t="array" ref="O174">IF(K174="הכנסה שסווגה מחדש",-G174,0)</f>
        <v>0</v>
      </c>
      <c r="P174" t="s" s="86">
        <v>762</v>
      </c>
      <c r="Q174" t="s" s="86">
        <v>794</v>
      </c>
      <c r="R174" t="s" s="144">
        <v>743</v>
      </c>
      <c r="S174" s="77"/>
    </row>
    <row r="175" ht="13.65" customHeight="1">
      <c r="A175" s="78">
        <v>45717</v>
      </c>
      <c r="B175" t="s" s="79">
        <v>37</v>
      </c>
      <c r="C175" t="s" s="80">
        <v>793</v>
      </c>
      <c r="D175" s="131">
        <v>7</v>
      </c>
      <c r="E175" t="s" s="79">
        <v>30</v>
      </c>
      <c r="F175" t="s" s="80">
        <v>272</v>
      </c>
      <c r="G175" s="132">
        <v>65</v>
      </c>
      <c r="H175" t="s" s="133">
        <v>757</v>
      </c>
      <c r="I175" t="s" s="134">
        <v>96</v>
      </c>
      <c r="J175" t="s" s="134">
        <v>97</v>
      </c>
      <c r="K175" t="str" s="135" cm="1">
        <f t="array" ref="K175">IF(OR(H175="ריביות",AND(H175="דירה כצנלסון",G175&lt;0,ISNUMBER(SEARCH("הכנסה",F175)))),"הכנסה שסווגה מחדש",J175)</f>
        <v>שוטף</v>
      </c>
      <c r="L175" t="s" s="134">
        <v>741</v>
      </c>
      <c r="M175" s="136" cm="1">
        <f t="array" ref="M175">IF(L175="מאושר",IF(K175="הכנסה שסווגה מחדש",0,G175),0)</f>
        <v>65</v>
      </c>
      <c r="N175" s="136" cm="1">
        <f t="array" ref="N175">IF(K175="שוטף",M175,0)</f>
        <v>65</v>
      </c>
      <c r="O175" s="136" cm="1">
        <f t="array" ref="O175">IF(K175="הכנסה שסווגה מחדש",-G175,0)</f>
        <v>0</v>
      </c>
      <c r="P175" t="s" s="79">
        <v>758</v>
      </c>
      <c r="Q175" s="100"/>
      <c r="R175" t="s" s="137">
        <v>743</v>
      </c>
      <c r="S175" s="77"/>
    </row>
    <row r="176" ht="13.65" customHeight="1">
      <c r="A176" s="84">
        <v>45717</v>
      </c>
      <c r="B176" t="s" s="85">
        <v>37</v>
      </c>
      <c r="C176" t="s" s="86">
        <v>793</v>
      </c>
      <c r="D176" s="138">
        <v>8</v>
      </c>
      <c r="E176" s="99"/>
      <c r="F176" t="s" s="86">
        <v>232</v>
      </c>
      <c r="G176" s="139">
        <v>0</v>
      </c>
      <c r="H176" t="s" s="140">
        <v>757</v>
      </c>
      <c r="I176" t="s" s="141">
        <v>96</v>
      </c>
      <c r="J176" t="s" s="141">
        <v>97</v>
      </c>
      <c r="K176" t="str" s="142" cm="1">
        <f t="array" ref="K176">IF(OR(H176="ריביות",AND(H176="דירה כצנלסון",G176&lt;0,ISNUMBER(SEARCH("הכנסה",F176)))),"הכנסה שסווגה מחדש",J176)</f>
        <v>שוטף</v>
      </c>
      <c r="L176" t="s" s="141">
        <v>741</v>
      </c>
      <c r="M176" s="143" cm="1">
        <f t="array" ref="M176">IF(L176="מאושר",IF(K176="הכנסה שסווגה מחדש",0,G176),0)</f>
        <v>0</v>
      </c>
      <c r="N176" s="143" cm="1">
        <f t="array" ref="N176">IF(K176="שוטף",M176,0)</f>
        <v>0</v>
      </c>
      <c r="O176" s="143" cm="1">
        <f t="array" ref="O176">IF(K176="הכנסה שסווגה מחדש",-G176,0)</f>
        <v>0</v>
      </c>
      <c r="P176" s="99"/>
      <c r="Q176" s="99"/>
      <c r="R176" t="s" s="144">
        <v>743</v>
      </c>
      <c r="S176" s="77"/>
    </row>
    <row r="177" ht="13.65" customHeight="1">
      <c r="A177" s="78">
        <v>45717</v>
      </c>
      <c r="B177" t="s" s="79">
        <v>37</v>
      </c>
      <c r="C177" t="s" s="80">
        <v>793</v>
      </c>
      <c r="D177" s="131">
        <v>9</v>
      </c>
      <c r="E177" t="s" s="79">
        <v>751</v>
      </c>
      <c r="F177" t="s" s="80">
        <v>374</v>
      </c>
      <c r="G177" s="132">
        <v>33</v>
      </c>
      <c r="H177" t="s" s="133">
        <v>757</v>
      </c>
      <c r="I177" t="s" s="134">
        <v>96</v>
      </c>
      <c r="J177" t="s" s="134">
        <v>97</v>
      </c>
      <c r="K177" t="str" s="135" cm="1">
        <f t="array" ref="K177">IF(OR(H177="ריביות",AND(H177="דירה כצנלסון",G177&lt;0,ISNUMBER(SEARCH("הכנסה",F177)))),"הכנסה שסווגה מחדש",J177)</f>
        <v>שוטף</v>
      </c>
      <c r="L177" t="s" s="134">
        <v>741</v>
      </c>
      <c r="M177" s="136" cm="1">
        <f t="array" ref="M177">IF(L177="מאושר",IF(K177="הכנסה שסווגה מחדש",0,G177),0)</f>
        <v>33</v>
      </c>
      <c r="N177" s="136" cm="1">
        <f t="array" ref="N177">IF(K177="שוטף",M177,0)</f>
        <v>33</v>
      </c>
      <c r="O177" s="136" cm="1">
        <f t="array" ref="O177">IF(K177="הכנסה שסווגה מחדש",-G177,0)</f>
        <v>0</v>
      </c>
      <c r="P177" t="s" s="80">
        <v>762</v>
      </c>
      <c r="Q177" s="100"/>
      <c r="R177" t="s" s="137">
        <v>743</v>
      </c>
      <c r="S177" s="77"/>
    </row>
    <row r="178" ht="13.65" customHeight="1">
      <c r="A178" s="84">
        <v>45717</v>
      </c>
      <c r="B178" t="s" s="85">
        <v>37</v>
      </c>
      <c r="C178" t="s" s="86">
        <v>793</v>
      </c>
      <c r="D178" s="138">
        <v>10</v>
      </c>
      <c r="E178" s="99"/>
      <c r="F178" t="s" s="86">
        <v>276</v>
      </c>
      <c r="G178" s="139">
        <v>168</v>
      </c>
      <c r="H178" t="s" s="140">
        <v>763</v>
      </c>
      <c r="I178" t="s" s="141">
        <v>96</v>
      </c>
      <c r="J178" t="s" s="141">
        <v>97</v>
      </c>
      <c r="K178" t="str" s="142" cm="1">
        <f t="array" ref="K178">IF(OR(H178="ריביות",AND(H178="דירה כצנלסון",G178&lt;0,ISNUMBER(SEARCH("הכנסה",F178)))),"הכנסה שסווגה מחדש",J178)</f>
        <v>שוטף</v>
      </c>
      <c r="L178" t="s" s="141">
        <v>741</v>
      </c>
      <c r="M178" s="143" cm="1">
        <f t="array" ref="M178">IF(L178="מאושר",IF(K178="הכנסה שסווגה מחדש",0,G178),0)</f>
        <v>168</v>
      </c>
      <c r="N178" s="143" cm="1">
        <f t="array" ref="N178">IF(K178="שוטף",M178,0)</f>
        <v>168</v>
      </c>
      <c r="O178" s="143" cm="1">
        <f t="array" ref="O178">IF(K178="הכנסה שסווגה מחדש",-G178,0)</f>
        <v>0</v>
      </c>
      <c r="P178" t="s" s="86">
        <v>762</v>
      </c>
      <c r="Q178" s="99"/>
      <c r="R178" t="s" s="144">
        <v>743</v>
      </c>
      <c r="S178" s="77"/>
    </row>
    <row r="179" ht="13.65" customHeight="1">
      <c r="A179" s="78">
        <v>45717</v>
      </c>
      <c r="B179" t="s" s="79">
        <v>37</v>
      </c>
      <c r="C179" t="s" s="80">
        <v>793</v>
      </c>
      <c r="D179" s="131">
        <v>11</v>
      </c>
      <c r="E179" s="100"/>
      <c r="F179" t="s" s="80">
        <v>273</v>
      </c>
      <c r="G179" s="132">
        <v>87</v>
      </c>
      <c r="H179" t="s" s="133">
        <v>279</v>
      </c>
      <c r="I179" t="s" s="134">
        <v>99</v>
      </c>
      <c r="J179" t="s" s="134">
        <v>100</v>
      </c>
      <c r="K179" t="str" s="135" cm="1">
        <f t="array" ref="K179">IF(OR(H179="ריביות",AND(H179="דירה כצנלסון",G179&lt;0,ISNUMBER(SEARCH("הכנסה",F179)))),"הכנסה שסווגה מחדש",J179)</f>
        <v>חריג/נכס</v>
      </c>
      <c r="L179" t="s" s="134">
        <v>741</v>
      </c>
      <c r="M179" s="136" cm="1">
        <f t="array" ref="M179">IF(L179="מאושר",IF(K179="הכנסה שסווגה מחדש",0,G179),0)</f>
        <v>87</v>
      </c>
      <c r="N179" s="136" cm="1">
        <f t="array" ref="N179">IF(K179="שוטף",M179,0)</f>
        <v>0</v>
      </c>
      <c r="O179" s="136" cm="1">
        <f t="array" ref="O179">IF(K179="הכנסה שסווגה מחדש",-G179,0)</f>
        <v>0</v>
      </c>
      <c r="P179" t="s" s="80">
        <v>762</v>
      </c>
      <c r="Q179" s="100"/>
      <c r="R179" t="s" s="137">
        <v>743</v>
      </c>
      <c r="S179" s="77"/>
    </row>
    <row r="180" ht="13.65" customHeight="1">
      <c r="A180" s="84">
        <v>45717</v>
      </c>
      <c r="B180" t="s" s="85">
        <v>37</v>
      </c>
      <c r="C180" t="s" s="86">
        <v>793</v>
      </c>
      <c r="D180" s="138">
        <v>12</v>
      </c>
      <c r="E180" s="99"/>
      <c r="F180" t="s" s="86">
        <v>328</v>
      </c>
      <c r="G180" s="139">
        <v>29</v>
      </c>
      <c r="H180" t="s" s="140">
        <v>279</v>
      </c>
      <c r="I180" t="s" s="141">
        <v>99</v>
      </c>
      <c r="J180" t="s" s="141">
        <v>100</v>
      </c>
      <c r="K180" t="str" s="142" cm="1">
        <f t="array" ref="K180">IF(OR(H180="ריביות",AND(H180="דירה כצנלסון",G180&lt;0,ISNUMBER(SEARCH("הכנסה",F180)))),"הכנסה שסווגה מחדש",J180)</f>
        <v>חריג/נכס</v>
      </c>
      <c r="L180" t="s" s="141">
        <v>741</v>
      </c>
      <c r="M180" s="143" cm="1">
        <f t="array" ref="M180">IF(L180="מאושר",IF(K180="הכנסה שסווגה מחדש",0,G180),0)</f>
        <v>29</v>
      </c>
      <c r="N180" s="143" cm="1">
        <f t="array" ref="N180">IF(K180="שוטף",M180,0)</f>
        <v>0</v>
      </c>
      <c r="O180" s="143" cm="1">
        <f t="array" ref="O180">IF(K180="הכנסה שסווגה מחדש",-G180,0)</f>
        <v>0</v>
      </c>
      <c r="P180" t="s" s="86">
        <v>762</v>
      </c>
      <c r="Q180" s="99"/>
      <c r="R180" t="s" s="144">
        <v>743</v>
      </c>
      <c r="S180" s="77"/>
    </row>
    <row r="181" ht="13.65" customHeight="1">
      <c r="A181" s="78">
        <v>45717</v>
      </c>
      <c r="B181" t="s" s="79">
        <v>37</v>
      </c>
      <c r="C181" t="s" s="80">
        <v>793</v>
      </c>
      <c r="D181" s="131">
        <v>13</v>
      </c>
      <c r="E181" s="100"/>
      <c r="F181" t="s" s="80">
        <v>211</v>
      </c>
      <c r="G181" s="132">
        <v>400</v>
      </c>
      <c r="H181" t="s" s="133">
        <v>757</v>
      </c>
      <c r="I181" t="s" s="134">
        <v>96</v>
      </c>
      <c r="J181" t="s" s="134">
        <v>97</v>
      </c>
      <c r="K181" t="str" s="135" cm="1">
        <f t="array" ref="K181">IF(OR(H181="ריביות",AND(H181="דירה כצנלסון",G181&lt;0,ISNUMBER(SEARCH("הכנסה",F181)))),"הכנסה שסווגה מחדש",J181)</f>
        <v>שוטף</v>
      </c>
      <c r="L181" t="s" s="134">
        <v>741</v>
      </c>
      <c r="M181" s="136" cm="1">
        <f t="array" ref="M181">IF(L181="מאושר",IF(K181="הכנסה שסווגה מחדש",0,G181),0)</f>
        <v>400</v>
      </c>
      <c r="N181" s="136" cm="1">
        <f t="array" ref="N181">IF(K181="שוטף",M181,0)</f>
        <v>400</v>
      </c>
      <c r="O181" s="136" cm="1">
        <f t="array" ref="O181">IF(K181="הכנסה שסווגה מחדש",-G181,0)</f>
        <v>0</v>
      </c>
      <c r="P181" t="s" s="80">
        <v>781</v>
      </c>
      <c r="Q181" s="100"/>
      <c r="R181" t="s" s="137">
        <v>743</v>
      </c>
      <c r="S181" s="77"/>
    </row>
    <row r="182" ht="13.65" customHeight="1">
      <c r="A182" s="84">
        <v>45717</v>
      </c>
      <c r="B182" t="s" s="85">
        <v>37</v>
      </c>
      <c r="C182" t="s" s="86">
        <v>793</v>
      </c>
      <c r="D182" s="138">
        <v>14</v>
      </c>
      <c r="E182" t="s" s="85">
        <v>769</v>
      </c>
      <c r="F182" t="s" s="86">
        <v>335</v>
      </c>
      <c r="G182" s="139">
        <v>615</v>
      </c>
      <c r="H182" t="s" s="140">
        <v>129</v>
      </c>
      <c r="I182" t="s" s="141">
        <v>129</v>
      </c>
      <c r="J182" t="s" s="141">
        <v>97</v>
      </c>
      <c r="K182" t="str" s="142" cm="1">
        <f t="array" ref="K182">IF(OR(H182="ריביות",AND(H182="דירה כצנלסון",G182&lt;0,ISNUMBER(SEARCH("הכנסה",F182)))),"הכנסה שסווגה מחדש",J182)</f>
        <v>שוטף</v>
      </c>
      <c r="L182" t="s" s="141">
        <v>741</v>
      </c>
      <c r="M182" s="143" cm="1">
        <f t="array" ref="M182">IF(L182="מאושר",IF(K182="הכנסה שסווגה מחדש",0,G182),0)</f>
        <v>615</v>
      </c>
      <c r="N182" s="143" cm="1">
        <f t="array" ref="N182">IF(K182="שוטף",M182,0)</f>
        <v>615</v>
      </c>
      <c r="O182" s="143" cm="1">
        <f t="array" ref="O182">IF(K182="הכנסה שסווגה מחדש",-G182,0)</f>
        <v>0</v>
      </c>
      <c r="P182" t="s" s="85">
        <v>742</v>
      </c>
      <c r="Q182" s="99"/>
      <c r="R182" t="s" s="144">
        <v>743</v>
      </c>
      <c r="S182" s="77"/>
    </row>
    <row r="183" ht="13.65" customHeight="1">
      <c r="A183" s="78">
        <v>45717</v>
      </c>
      <c r="B183" t="s" s="79">
        <v>37</v>
      </c>
      <c r="C183" t="s" s="80">
        <v>793</v>
      </c>
      <c r="D183" s="131">
        <v>15</v>
      </c>
      <c r="E183" t="s" s="79">
        <v>751</v>
      </c>
      <c r="F183" t="s" s="80">
        <v>721</v>
      </c>
      <c r="G183" s="132">
        <v>-329</v>
      </c>
      <c r="H183" t="s" s="133">
        <v>123</v>
      </c>
      <c r="I183" t="s" s="134">
        <v>123</v>
      </c>
      <c r="J183" t="s" s="134">
        <v>97</v>
      </c>
      <c r="K183" t="str" s="135" cm="1">
        <f t="array" ref="K183">IF(OR(H183="ריביות",AND(H183="דירה כצנלסון",G183&lt;0,ISNUMBER(SEARCH("הכנסה",F183)))),"הכנסה שסווגה מחדש",J183)</f>
        <v>שוטף</v>
      </c>
      <c r="L183" t="s" s="134">
        <v>741</v>
      </c>
      <c r="M183" s="136" cm="1">
        <f t="array" ref="M183">IF(L183="מאושר",IF(K183="הכנסה שסווגה מחדש",0,G183),0)</f>
        <v>-329</v>
      </c>
      <c r="N183" s="136" cm="1">
        <f t="array" ref="N183">IF(K183="שוטף",M183,0)</f>
        <v>-329</v>
      </c>
      <c r="O183" s="136" cm="1">
        <f t="array" ref="O183">IF(K183="הכנסה שסווגה מחדש",-G183,0)</f>
        <v>0</v>
      </c>
      <c r="P183" t="s" s="79">
        <v>742</v>
      </c>
      <c r="Q183" s="100"/>
      <c r="R183" t="s" s="137">
        <v>743</v>
      </c>
      <c r="S183" s="77"/>
    </row>
    <row r="184" ht="13.65" customHeight="1">
      <c r="A184" s="84">
        <v>45717</v>
      </c>
      <c r="B184" t="s" s="85">
        <v>37</v>
      </c>
      <c r="C184" t="s" s="86">
        <v>793</v>
      </c>
      <c r="D184" s="138">
        <v>16</v>
      </c>
      <c r="E184" t="s" s="85">
        <v>765</v>
      </c>
      <c r="F184" t="s" s="86">
        <v>217</v>
      </c>
      <c r="G184" s="139">
        <v>5900</v>
      </c>
      <c r="H184" t="s" s="140">
        <v>129</v>
      </c>
      <c r="I184" t="s" s="141">
        <v>129</v>
      </c>
      <c r="J184" t="s" s="141">
        <v>97</v>
      </c>
      <c r="K184" t="str" s="142" cm="1">
        <f t="array" ref="K184">IF(OR(H184="ריביות",AND(H184="דירה כצנלסון",G184&lt;0,ISNUMBER(SEARCH("הכנסה",F184)))),"הכנסה שסווגה מחדש",J184)</f>
        <v>שוטף</v>
      </c>
      <c r="L184" t="s" s="141">
        <v>741</v>
      </c>
      <c r="M184" s="143" cm="1">
        <f t="array" ref="M184">IF(L184="מאושר",IF(K184="הכנסה שסווגה מחדש",0,G184),0)</f>
        <v>5900</v>
      </c>
      <c r="N184" s="143" cm="1">
        <f t="array" ref="N184">IF(K184="שוטף",M184,0)</f>
        <v>5900</v>
      </c>
      <c r="O184" s="143" cm="1">
        <f t="array" ref="O184">IF(K184="הכנסה שסווגה מחדש",-G184,0)</f>
        <v>0</v>
      </c>
      <c r="P184" t="s" s="85">
        <v>742</v>
      </c>
      <c r="Q184" s="99"/>
      <c r="R184" t="s" s="144">
        <v>743</v>
      </c>
      <c r="S184" s="77"/>
    </row>
    <row r="185" ht="13.65" customHeight="1">
      <c r="A185" s="78">
        <v>45717</v>
      </c>
      <c r="B185" t="s" s="79">
        <v>37</v>
      </c>
      <c r="C185" t="s" s="80">
        <v>793</v>
      </c>
      <c r="D185" s="131">
        <v>17</v>
      </c>
      <c r="E185" t="s" s="79">
        <v>776</v>
      </c>
      <c r="F185" t="s" s="80">
        <v>253</v>
      </c>
      <c r="G185" s="132">
        <v>2000</v>
      </c>
      <c r="H185" t="s" s="133">
        <v>121</v>
      </c>
      <c r="I185" t="s" s="134">
        <v>121</v>
      </c>
      <c r="J185" t="s" s="134">
        <v>97</v>
      </c>
      <c r="K185" t="str" s="135" cm="1">
        <f t="array" ref="K185">IF(OR(H185="ריביות",AND(H185="דירה כצנלסון",G185&lt;0,ISNUMBER(SEARCH("הכנסה",F185)))),"הכנסה שסווגה מחדש",J185)</f>
        <v>שוטף</v>
      </c>
      <c r="L185" t="s" s="134">
        <v>741</v>
      </c>
      <c r="M185" s="136" cm="1">
        <f t="array" ref="M185">IF(L185="מאושר",IF(K185="הכנסה שסווגה מחדש",0,G185),0)</f>
        <v>2000</v>
      </c>
      <c r="N185" s="136" cm="1">
        <f t="array" ref="N185">IF(K185="שוטף",M185,0)</f>
        <v>2000</v>
      </c>
      <c r="O185" s="136" cm="1">
        <f t="array" ref="O185">IF(K185="הכנסה שסווגה מחדש",-G185,0)</f>
        <v>0</v>
      </c>
      <c r="P185" t="s" s="79">
        <v>742</v>
      </c>
      <c r="Q185" s="100"/>
      <c r="R185" t="s" s="137">
        <v>743</v>
      </c>
      <c r="S185" s="77"/>
    </row>
    <row r="186" ht="13.65" customHeight="1">
      <c r="A186" s="84">
        <v>45717</v>
      </c>
      <c r="B186" t="s" s="85">
        <v>37</v>
      </c>
      <c r="C186" t="s" s="86">
        <v>793</v>
      </c>
      <c r="D186" s="138">
        <v>18</v>
      </c>
      <c r="E186" t="s" s="85">
        <v>30</v>
      </c>
      <c r="F186" t="s" s="86">
        <v>326</v>
      </c>
      <c r="G186" s="139">
        <v>52</v>
      </c>
      <c r="H186" t="s" s="140">
        <v>105</v>
      </c>
      <c r="I186" t="s" s="141">
        <v>105</v>
      </c>
      <c r="J186" t="s" s="141">
        <v>103</v>
      </c>
      <c r="K186" t="str" s="142" cm="1">
        <f t="array" ref="K186">IF(OR(H186="ריביות",AND(H186="דירה כצנלסון",G186&lt;0,ISNUMBER(SEARCH("הכנסה",F186)))),"הכנסה שסווגה מחדש",J186)</f>
        <v>חריג</v>
      </c>
      <c r="L186" t="s" s="141">
        <v>741</v>
      </c>
      <c r="M186" s="143" cm="1">
        <f t="array" ref="M186">IF(L186="מאושר",IF(K186="הכנסה שסווגה מחדש",0,G186),0)</f>
        <v>52</v>
      </c>
      <c r="N186" s="143" cm="1">
        <f t="array" ref="N186">IF(K186="שוטף",M186,0)</f>
        <v>0</v>
      </c>
      <c r="O186" s="143" cm="1">
        <f t="array" ref="O186">IF(K186="הכנסה שסווגה מחדש",-G186,0)</f>
        <v>0</v>
      </c>
      <c r="P186" t="s" s="85">
        <v>758</v>
      </c>
      <c r="Q186" s="99"/>
      <c r="R186" t="s" s="144">
        <v>743</v>
      </c>
      <c r="S186" s="77"/>
    </row>
    <row r="187" ht="13.65" customHeight="1">
      <c r="A187" s="78">
        <v>45717</v>
      </c>
      <c r="B187" t="s" s="79">
        <v>37</v>
      </c>
      <c r="C187" t="s" s="80">
        <v>793</v>
      </c>
      <c r="D187" s="131">
        <v>19</v>
      </c>
      <c r="E187" t="s" s="79">
        <v>38</v>
      </c>
      <c r="F187" t="s" s="80">
        <v>326</v>
      </c>
      <c r="G187" s="132">
        <v>188</v>
      </c>
      <c r="H187" t="s" s="133">
        <v>105</v>
      </c>
      <c r="I187" t="s" s="134">
        <v>105</v>
      </c>
      <c r="J187" t="s" s="134">
        <v>103</v>
      </c>
      <c r="K187" t="str" s="135" cm="1">
        <f t="array" ref="K187">IF(OR(H187="ריביות",AND(H187="דירה כצנלסון",G187&lt;0,ISNUMBER(SEARCH("הכנסה",F187)))),"הכנסה שסווגה מחדש",J187)</f>
        <v>חריג</v>
      </c>
      <c r="L187" t="s" s="134">
        <v>741</v>
      </c>
      <c r="M187" s="136" cm="1">
        <f t="array" ref="M187">IF(L187="מאושר",IF(K187="הכנסה שסווגה מחדש",0,G187),0)</f>
        <v>188</v>
      </c>
      <c r="N187" s="136" cm="1">
        <f t="array" ref="N187">IF(K187="שוטף",M187,0)</f>
        <v>0</v>
      </c>
      <c r="O187" s="136" cm="1">
        <f t="array" ref="O187">IF(K187="הכנסה שסווגה מחדש",-G187,0)</f>
        <v>0</v>
      </c>
      <c r="P187" t="s" s="79">
        <v>758</v>
      </c>
      <c r="Q187" s="100"/>
      <c r="R187" t="s" s="137">
        <v>743</v>
      </c>
      <c r="S187" s="77"/>
    </row>
    <row r="188" ht="13.65" customHeight="1">
      <c r="A188" s="84">
        <v>45717</v>
      </c>
      <c r="B188" t="s" s="85">
        <v>37</v>
      </c>
      <c r="C188" t="s" s="86">
        <v>793</v>
      </c>
      <c r="D188" s="138">
        <v>20</v>
      </c>
      <c r="E188" t="s" s="85">
        <v>769</v>
      </c>
      <c r="F188" t="s" s="86">
        <v>326</v>
      </c>
      <c r="G188" s="139">
        <v>35</v>
      </c>
      <c r="H188" t="s" s="140">
        <v>105</v>
      </c>
      <c r="I188" t="s" s="141">
        <v>105</v>
      </c>
      <c r="J188" t="s" s="141">
        <v>103</v>
      </c>
      <c r="K188" t="str" s="142" cm="1">
        <f t="array" ref="K188">IF(OR(H188="ריביות",AND(H188="דירה כצנלסון",G188&lt;0,ISNUMBER(SEARCH("הכנסה",F188)))),"הכנסה שסווגה מחדש",J188)</f>
        <v>חריג</v>
      </c>
      <c r="L188" t="s" s="141">
        <v>741</v>
      </c>
      <c r="M188" s="143" cm="1">
        <f t="array" ref="M188">IF(L188="מאושר",IF(K188="הכנסה שסווגה מחדש",0,G188),0)</f>
        <v>35</v>
      </c>
      <c r="N188" s="143" cm="1">
        <f t="array" ref="N188">IF(K188="שוטף",M188,0)</f>
        <v>0</v>
      </c>
      <c r="O188" s="143" cm="1">
        <f t="array" ref="O188">IF(K188="הכנסה שסווגה מחדש",-G188,0)</f>
        <v>0</v>
      </c>
      <c r="P188" t="s" s="85">
        <v>758</v>
      </c>
      <c r="Q188" s="99"/>
      <c r="R188" t="s" s="144">
        <v>743</v>
      </c>
      <c r="S188" s="77"/>
    </row>
    <row r="189" ht="13.65" customHeight="1">
      <c r="A189" s="78">
        <v>45717</v>
      </c>
      <c r="B189" t="s" s="79">
        <v>37</v>
      </c>
      <c r="C189" t="s" s="80">
        <v>793</v>
      </c>
      <c r="D189" s="131">
        <v>21</v>
      </c>
      <c r="E189" t="s" s="79">
        <v>749</v>
      </c>
      <c r="F189" t="s" s="80">
        <v>326</v>
      </c>
      <c r="G189" s="132">
        <v>92</v>
      </c>
      <c r="H189" t="s" s="133">
        <v>105</v>
      </c>
      <c r="I189" t="s" s="134">
        <v>105</v>
      </c>
      <c r="J189" t="s" s="134">
        <v>103</v>
      </c>
      <c r="K189" t="str" s="135" cm="1">
        <f t="array" ref="K189">IF(OR(H189="ריביות",AND(H189="דירה כצנלסון",G189&lt;0,ISNUMBER(SEARCH("הכנסה",F189)))),"הכנסה שסווגה מחדש",J189)</f>
        <v>חריג</v>
      </c>
      <c r="L189" t="s" s="134">
        <v>741</v>
      </c>
      <c r="M189" s="136" cm="1">
        <f t="array" ref="M189">IF(L189="מאושר",IF(K189="הכנסה שסווגה מחדש",0,G189),0)</f>
        <v>92</v>
      </c>
      <c r="N189" s="136" cm="1">
        <f t="array" ref="N189">IF(K189="שוטף",M189,0)</f>
        <v>0</v>
      </c>
      <c r="O189" s="136" cm="1">
        <f t="array" ref="O189">IF(K189="הכנסה שסווגה מחדש",-G189,0)</f>
        <v>0</v>
      </c>
      <c r="P189" t="s" s="79">
        <v>758</v>
      </c>
      <c r="Q189" s="100"/>
      <c r="R189" t="s" s="137">
        <v>743</v>
      </c>
      <c r="S189" s="77"/>
    </row>
    <row r="190" ht="13.65" customHeight="1">
      <c r="A190" s="84">
        <v>45717</v>
      </c>
      <c r="B190" t="s" s="85">
        <v>37</v>
      </c>
      <c r="C190" t="s" s="86">
        <v>793</v>
      </c>
      <c r="D190" s="138">
        <v>22</v>
      </c>
      <c r="E190" t="s" s="85">
        <v>751</v>
      </c>
      <c r="F190" t="s" s="86">
        <v>454</v>
      </c>
      <c r="G190" s="139">
        <v>199</v>
      </c>
      <c r="H190" t="s" s="140">
        <v>105</v>
      </c>
      <c r="I190" t="s" s="141">
        <v>105</v>
      </c>
      <c r="J190" t="s" s="141">
        <v>103</v>
      </c>
      <c r="K190" t="str" s="142" cm="1">
        <f t="array" ref="K190">IF(OR(H190="ריביות",AND(H190="דירה כצנלסון",G190&lt;0,ISNUMBER(SEARCH("הכנסה",F190)))),"הכנסה שסווגה מחדש",J190)</f>
        <v>חריג</v>
      </c>
      <c r="L190" t="s" s="141">
        <v>741</v>
      </c>
      <c r="M190" s="143" cm="1">
        <f t="array" ref="M190">IF(L190="מאושר",IF(K190="הכנסה שסווגה מחדש",0,G190),0)</f>
        <v>199</v>
      </c>
      <c r="N190" s="143" cm="1">
        <f t="array" ref="N190">IF(K190="שוטף",M190,0)</f>
        <v>0</v>
      </c>
      <c r="O190" s="143" cm="1">
        <f t="array" ref="O190">IF(K190="הכנסה שסווגה מחדש",-G190,0)</f>
        <v>0</v>
      </c>
      <c r="P190" t="s" s="85">
        <v>758</v>
      </c>
      <c r="Q190" s="99"/>
      <c r="R190" t="s" s="144">
        <v>743</v>
      </c>
      <c r="S190" s="77"/>
    </row>
    <row r="191" ht="13.65" customHeight="1">
      <c r="A191" s="78">
        <v>45717</v>
      </c>
      <c r="B191" t="s" s="79">
        <v>37</v>
      </c>
      <c r="C191" t="s" s="80">
        <v>793</v>
      </c>
      <c r="D191" s="131">
        <v>23</v>
      </c>
      <c r="E191" t="s" s="79">
        <v>751</v>
      </c>
      <c r="F191" t="s" s="80">
        <v>237</v>
      </c>
      <c r="G191" s="132">
        <v>2994</v>
      </c>
      <c r="H191" t="s" s="133">
        <v>210</v>
      </c>
      <c r="I191" t="s" s="134">
        <v>102</v>
      </c>
      <c r="J191" t="s" s="134">
        <v>103</v>
      </c>
      <c r="K191" t="str" s="135" cm="1">
        <f t="array" ref="K191">IF(OR(H191="ריביות",AND(H191="דירה כצנלסון",G191&lt;0,ISNUMBER(SEARCH("הכנסה",F191)))),"הכנסה שסווגה מחדש",J191)</f>
        <v>חריג</v>
      </c>
      <c r="L191" t="s" s="134">
        <v>741</v>
      </c>
      <c r="M191" s="136" cm="1">
        <f t="array" ref="M191">IF(L191="מאושר",IF(K191="הכנסה שסווגה מחדש",0,G191),0)</f>
        <v>2994</v>
      </c>
      <c r="N191" s="136" cm="1">
        <f t="array" ref="N191">IF(K191="שוטף",M191,0)</f>
        <v>0</v>
      </c>
      <c r="O191" s="136" cm="1">
        <f t="array" ref="O191">IF(K191="הכנסה שסווגה מחדש",-G191,0)</f>
        <v>0</v>
      </c>
      <c r="P191" t="s" s="79">
        <v>758</v>
      </c>
      <c r="Q191" s="100"/>
      <c r="R191" t="s" s="137">
        <v>743</v>
      </c>
      <c r="S191" s="77"/>
    </row>
    <row r="192" ht="13.65" customHeight="1">
      <c r="A192" s="84">
        <v>45717</v>
      </c>
      <c r="B192" t="s" s="85">
        <v>37</v>
      </c>
      <c r="C192" t="s" s="86">
        <v>793</v>
      </c>
      <c r="D192" s="138">
        <v>24</v>
      </c>
      <c r="E192" t="s" s="85">
        <v>739</v>
      </c>
      <c r="F192" t="s" s="86">
        <v>514</v>
      </c>
      <c r="G192" s="139">
        <v>107</v>
      </c>
      <c r="H192" t="s" s="140">
        <v>105</v>
      </c>
      <c r="I192" t="s" s="141">
        <v>105</v>
      </c>
      <c r="J192" t="s" s="141">
        <v>103</v>
      </c>
      <c r="K192" t="str" s="142" cm="1">
        <f t="array" ref="K192">IF(OR(H192="ריביות",AND(H192="דירה כצנלסון",G192&lt;0,ISNUMBER(SEARCH("הכנסה",F192)))),"הכנסה שסווגה מחדש",J192)</f>
        <v>חריג</v>
      </c>
      <c r="L192" t="s" s="141">
        <v>741</v>
      </c>
      <c r="M192" s="143" cm="1">
        <f t="array" ref="M192">IF(L192="מאושר",IF(K192="הכנסה שסווגה מחדש",0,G192),0)</f>
        <v>107</v>
      </c>
      <c r="N192" s="143" cm="1">
        <f t="array" ref="N192">IF(K192="שוטף",M192,0)</f>
        <v>0</v>
      </c>
      <c r="O192" s="143" cm="1">
        <f t="array" ref="O192">IF(K192="הכנסה שסווגה מחדש",-G192,0)</f>
        <v>0</v>
      </c>
      <c r="P192" t="s" s="85">
        <v>758</v>
      </c>
      <c r="Q192" s="99"/>
      <c r="R192" t="s" s="144">
        <v>743</v>
      </c>
      <c r="S192" s="77"/>
    </row>
    <row r="193" ht="13.65" customHeight="1">
      <c r="A193" s="78">
        <v>45717</v>
      </c>
      <c r="B193" t="s" s="79">
        <v>37</v>
      </c>
      <c r="C193" t="s" s="80">
        <v>793</v>
      </c>
      <c r="D193" s="131">
        <v>25</v>
      </c>
      <c r="E193" t="s" s="79">
        <v>766</v>
      </c>
      <c r="F193" t="s" s="80">
        <v>326</v>
      </c>
      <c r="G193" s="132">
        <v>125</v>
      </c>
      <c r="H193" t="s" s="133">
        <v>105</v>
      </c>
      <c r="I193" t="s" s="134">
        <v>105</v>
      </c>
      <c r="J193" t="s" s="134">
        <v>103</v>
      </c>
      <c r="K193" t="str" s="135" cm="1">
        <f t="array" ref="K193">IF(OR(H193="ריביות",AND(H193="דירה כצנלסון",G193&lt;0,ISNUMBER(SEARCH("הכנסה",F193)))),"הכנסה שסווגה מחדש",J193)</f>
        <v>חריג</v>
      </c>
      <c r="L193" t="s" s="134">
        <v>741</v>
      </c>
      <c r="M193" s="136" cm="1">
        <f t="array" ref="M193">IF(L193="מאושר",IF(K193="הכנסה שסווגה מחדש",0,G193),0)</f>
        <v>125</v>
      </c>
      <c r="N193" s="136" cm="1">
        <f t="array" ref="N193">IF(K193="שוטף",M193,0)</f>
        <v>0</v>
      </c>
      <c r="O193" s="136" cm="1">
        <f t="array" ref="O193">IF(K193="הכנסה שסווגה מחדש",-G193,0)</f>
        <v>0</v>
      </c>
      <c r="P193" t="s" s="79">
        <v>758</v>
      </c>
      <c r="Q193" s="100"/>
      <c r="R193" t="s" s="137">
        <v>743</v>
      </c>
      <c r="S193" s="77"/>
    </row>
    <row r="194" ht="13.65" customHeight="1">
      <c r="A194" s="84">
        <v>45717</v>
      </c>
      <c r="B194" t="s" s="85">
        <v>37</v>
      </c>
      <c r="C194" t="s" s="86">
        <v>793</v>
      </c>
      <c r="D194" s="138">
        <v>26</v>
      </c>
      <c r="E194" t="s" s="85">
        <v>765</v>
      </c>
      <c r="F194" t="s" s="86">
        <v>326</v>
      </c>
      <c r="G194" s="139">
        <v>180</v>
      </c>
      <c r="H194" t="s" s="140">
        <v>105</v>
      </c>
      <c r="I194" t="s" s="141">
        <v>105</v>
      </c>
      <c r="J194" t="s" s="141">
        <v>103</v>
      </c>
      <c r="K194" t="str" s="142" cm="1">
        <f t="array" ref="K194">IF(OR(H194="ריביות",AND(H194="דירה כצנלסון",G194&lt;0,ISNUMBER(SEARCH("הכנסה",F194)))),"הכנסה שסווגה מחדש",J194)</f>
        <v>חריג</v>
      </c>
      <c r="L194" t="s" s="141">
        <v>741</v>
      </c>
      <c r="M194" s="143" cm="1">
        <f t="array" ref="M194">IF(L194="מאושר",IF(K194="הכנסה שסווגה מחדש",0,G194),0)</f>
        <v>180</v>
      </c>
      <c r="N194" s="143" cm="1">
        <f t="array" ref="N194">IF(K194="שוטף",M194,0)</f>
        <v>0</v>
      </c>
      <c r="O194" s="143" cm="1">
        <f t="array" ref="O194">IF(K194="הכנסה שסווגה מחדש",-G194,0)</f>
        <v>0</v>
      </c>
      <c r="P194" t="s" s="85">
        <v>758</v>
      </c>
      <c r="Q194" s="99"/>
      <c r="R194" t="s" s="144">
        <v>743</v>
      </c>
      <c r="S194" s="77"/>
    </row>
    <row r="195" ht="13.65" customHeight="1">
      <c r="A195" s="78">
        <v>45717</v>
      </c>
      <c r="B195" t="s" s="79">
        <v>37</v>
      </c>
      <c r="C195" t="s" s="80">
        <v>793</v>
      </c>
      <c r="D195" s="131">
        <v>27</v>
      </c>
      <c r="E195" t="s" s="79">
        <v>764</v>
      </c>
      <c r="F195" t="s" s="80">
        <v>464</v>
      </c>
      <c r="G195" s="132">
        <v>176</v>
      </c>
      <c r="H195" t="s" s="133">
        <v>113</v>
      </c>
      <c r="I195" t="s" s="134">
        <v>113</v>
      </c>
      <c r="J195" t="s" s="134">
        <v>97</v>
      </c>
      <c r="K195" t="str" s="135" cm="1">
        <f t="array" ref="K195">IF(OR(H195="ריביות",AND(H195="דירה כצנלסון",G195&lt;0,ISNUMBER(SEARCH("הכנסה",F195)))),"הכנסה שסווגה מחדש",J195)</f>
        <v>שוטף</v>
      </c>
      <c r="L195" t="s" s="134">
        <v>741</v>
      </c>
      <c r="M195" s="136" cm="1">
        <f t="array" ref="M195">IF(L195="מאושר",IF(K195="הכנסה שסווגה מחדש",0,G195),0)</f>
        <v>176</v>
      </c>
      <c r="N195" s="136" cm="1">
        <f t="array" ref="N195">IF(K195="שוטף",M195,0)</f>
        <v>176</v>
      </c>
      <c r="O195" s="136" cm="1">
        <f t="array" ref="O195">IF(K195="הכנסה שסווגה מחדש",-G195,0)</f>
        <v>0</v>
      </c>
      <c r="P195" t="s" s="79">
        <v>758</v>
      </c>
      <c r="Q195" s="100"/>
      <c r="R195" t="s" s="137">
        <v>743</v>
      </c>
      <c r="S195" s="77"/>
    </row>
    <row r="196" ht="13.65" customHeight="1">
      <c r="A196" s="84">
        <v>45717</v>
      </c>
      <c r="B196" t="s" s="85">
        <v>37</v>
      </c>
      <c r="C196" t="s" s="86">
        <v>793</v>
      </c>
      <c r="D196" s="138">
        <v>28</v>
      </c>
      <c r="E196" s="99"/>
      <c r="F196" t="s" s="86">
        <v>275</v>
      </c>
      <c r="G196" s="139">
        <v>173</v>
      </c>
      <c r="H196" t="s" s="140">
        <v>127</v>
      </c>
      <c r="I196" t="s" s="141">
        <v>127</v>
      </c>
      <c r="J196" t="s" s="141">
        <v>97</v>
      </c>
      <c r="K196" t="str" s="142" cm="1">
        <f t="array" ref="K196">IF(OR(H196="ריביות",AND(H196="דירה כצנלסון",G196&lt;0,ISNUMBER(SEARCH("הכנסה",F196)))),"הכנסה שסווגה מחדש",J196)</f>
        <v>שוטף</v>
      </c>
      <c r="L196" t="s" s="141">
        <v>741</v>
      </c>
      <c r="M196" s="143" cm="1">
        <f t="array" ref="M196">IF(L196="מאושר",IF(K196="הכנסה שסווגה מחדש",0,G196),0)</f>
        <v>173</v>
      </c>
      <c r="N196" s="143" cm="1">
        <f t="array" ref="N196">IF(K196="שוטף",M196,0)</f>
        <v>173</v>
      </c>
      <c r="O196" s="143" cm="1">
        <f t="array" ref="O196">IF(K196="הכנסה שסווגה מחדש",-G196,0)</f>
        <v>0</v>
      </c>
      <c r="P196" t="s" s="86">
        <v>770</v>
      </c>
      <c r="Q196" s="99"/>
      <c r="R196" t="s" s="144">
        <v>743</v>
      </c>
      <c r="S196" s="77"/>
    </row>
    <row r="197" ht="13.65" customHeight="1">
      <c r="A197" s="78">
        <v>45717</v>
      </c>
      <c r="B197" t="s" s="79">
        <v>37</v>
      </c>
      <c r="C197" t="s" s="80">
        <v>793</v>
      </c>
      <c r="D197" s="131">
        <v>29</v>
      </c>
      <c r="E197" t="s" s="79">
        <v>38</v>
      </c>
      <c r="F197" t="s" s="80">
        <v>245</v>
      </c>
      <c r="G197" s="132">
        <v>337</v>
      </c>
      <c r="H197" t="s" s="133">
        <v>767</v>
      </c>
      <c r="I197" t="s" s="134">
        <v>107</v>
      </c>
      <c r="J197" t="s" s="134">
        <v>97</v>
      </c>
      <c r="K197" t="str" s="135" cm="1">
        <f t="array" ref="K197">IF(OR(H197="ריביות",AND(H197="דירה כצנלסון",G197&lt;0,ISNUMBER(SEARCH("הכנסה",F197)))),"הכנסה שסווגה מחדש",J197)</f>
        <v>שוטף</v>
      </c>
      <c r="L197" t="s" s="134">
        <v>741</v>
      </c>
      <c r="M197" s="136" cm="1">
        <f t="array" ref="M197">IF(L197="מאושר",IF(K197="הכנסה שסווגה מחדש",0,G197),0)</f>
        <v>337</v>
      </c>
      <c r="N197" s="136" cm="1">
        <f t="array" ref="N197">IF(K197="שוטף",M197,0)</f>
        <v>337</v>
      </c>
      <c r="O197" s="136" cm="1">
        <f t="array" ref="O197">IF(K197="הכנסה שסווגה מחדש",-G197,0)</f>
        <v>0</v>
      </c>
      <c r="P197" t="s" s="80">
        <v>770</v>
      </c>
      <c r="Q197" s="100"/>
      <c r="R197" t="s" s="137">
        <v>743</v>
      </c>
      <c r="S197" s="77"/>
    </row>
    <row r="198" ht="13.65" customHeight="1">
      <c r="A198" s="84">
        <v>45717</v>
      </c>
      <c r="B198" t="s" s="85">
        <v>37</v>
      </c>
      <c r="C198" t="s" s="86">
        <v>793</v>
      </c>
      <c r="D198" s="138">
        <v>30</v>
      </c>
      <c r="E198" t="s" s="85">
        <v>42</v>
      </c>
      <c r="F198" t="s" s="86">
        <v>458</v>
      </c>
      <c r="G198" s="139">
        <v>23</v>
      </c>
      <c r="H198" t="s" s="140">
        <v>113</v>
      </c>
      <c r="I198" t="s" s="141">
        <v>113</v>
      </c>
      <c r="J198" t="s" s="141">
        <v>97</v>
      </c>
      <c r="K198" t="str" s="142" cm="1">
        <f t="array" ref="K198">IF(OR(H198="ריביות",AND(H198="דירה כצנלסון",G198&lt;0,ISNUMBER(SEARCH("הכנסה",F198)))),"הכנסה שסווגה מחדש",J198)</f>
        <v>שוטף</v>
      </c>
      <c r="L198" t="s" s="141">
        <v>741</v>
      </c>
      <c r="M198" s="143" cm="1">
        <f t="array" ref="M198">IF(L198="מאושר",IF(K198="הכנסה שסווגה מחדש",0,G198),0)</f>
        <v>23</v>
      </c>
      <c r="N198" s="143" cm="1">
        <f t="array" ref="N198">IF(K198="שוטף",M198,0)</f>
        <v>23</v>
      </c>
      <c r="O198" s="143" cm="1">
        <f t="array" ref="O198">IF(K198="הכנסה שסווגה מחדש",-G198,0)</f>
        <v>0</v>
      </c>
      <c r="P198" t="s" s="86">
        <v>770</v>
      </c>
      <c r="Q198" s="99"/>
      <c r="R198" t="s" s="144">
        <v>743</v>
      </c>
      <c r="S198" s="77"/>
    </row>
    <row r="199" ht="13.65" customHeight="1">
      <c r="A199" s="78">
        <v>45717</v>
      </c>
      <c r="B199" t="s" s="79">
        <v>37</v>
      </c>
      <c r="C199" t="s" s="80">
        <v>793</v>
      </c>
      <c r="D199" s="131">
        <v>31</v>
      </c>
      <c r="E199" t="s" s="79">
        <v>769</v>
      </c>
      <c r="F199" t="s" s="80">
        <v>519</v>
      </c>
      <c r="G199" s="132">
        <v>103</v>
      </c>
      <c r="H199" t="s" s="133">
        <v>105</v>
      </c>
      <c r="I199" t="s" s="134">
        <v>105</v>
      </c>
      <c r="J199" t="s" s="134">
        <v>103</v>
      </c>
      <c r="K199" t="str" s="135" cm="1">
        <f t="array" ref="K199">IF(OR(H199="ריביות",AND(H199="דירה כצנלסון",G199&lt;0,ISNUMBER(SEARCH("הכנסה",F199)))),"הכנסה שסווגה מחדש",J199)</f>
        <v>חריג</v>
      </c>
      <c r="L199" t="s" s="134">
        <v>741</v>
      </c>
      <c r="M199" s="136" cm="1">
        <f t="array" ref="M199">IF(L199="מאושר",IF(K199="הכנסה שסווגה מחדש",0,G199),0)</f>
        <v>103</v>
      </c>
      <c r="N199" s="136" cm="1">
        <f t="array" ref="N199">IF(K199="שוטף",M199,0)</f>
        <v>0</v>
      </c>
      <c r="O199" s="136" cm="1">
        <f t="array" ref="O199">IF(K199="הכנסה שסווגה מחדש",-G199,0)</f>
        <v>0</v>
      </c>
      <c r="P199" t="s" s="80">
        <v>770</v>
      </c>
      <c r="Q199" s="100"/>
      <c r="R199" t="s" s="137">
        <v>743</v>
      </c>
      <c r="S199" s="77"/>
    </row>
    <row r="200" ht="13.65" customHeight="1">
      <c r="A200" s="84">
        <v>45717</v>
      </c>
      <c r="B200" t="s" s="85">
        <v>37</v>
      </c>
      <c r="C200" t="s" s="86">
        <v>793</v>
      </c>
      <c r="D200" s="138">
        <v>32</v>
      </c>
      <c r="E200" t="s" s="85">
        <v>769</v>
      </c>
      <c r="F200" t="s" s="86">
        <v>200</v>
      </c>
      <c r="G200" s="139">
        <v>815</v>
      </c>
      <c r="H200" t="s" s="140">
        <v>109</v>
      </c>
      <c r="I200" t="s" s="141">
        <v>109</v>
      </c>
      <c r="J200" t="s" s="141">
        <v>97</v>
      </c>
      <c r="K200" t="str" s="142" cm="1">
        <f t="array" ref="K200">IF(OR(H200="ריביות",AND(H200="דירה כצנלסון",G200&lt;0,ISNUMBER(SEARCH("הכנסה",F200)))),"הכנסה שסווגה מחדש",J200)</f>
        <v>שוטף</v>
      </c>
      <c r="L200" t="s" s="141">
        <v>741</v>
      </c>
      <c r="M200" s="143" cm="1">
        <f t="array" ref="M200">IF(L200="מאושר",IF(K200="הכנסה שסווגה מחדש",0,G200),0)</f>
        <v>815</v>
      </c>
      <c r="N200" s="143" cm="1">
        <f t="array" ref="N200">IF(K200="שוטף",M200,0)</f>
        <v>815</v>
      </c>
      <c r="O200" s="143" cm="1">
        <f t="array" ref="O200">IF(K200="הכנסה שסווגה מחדש",-G200,0)</f>
        <v>0</v>
      </c>
      <c r="P200" t="s" s="86">
        <v>770</v>
      </c>
      <c r="Q200" s="99"/>
      <c r="R200" t="s" s="144">
        <v>743</v>
      </c>
      <c r="S200" s="77"/>
    </row>
    <row r="201" ht="13.65" customHeight="1">
      <c r="A201" s="78">
        <v>45717</v>
      </c>
      <c r="B201" t="s" s="79">
        <v>37</v>
      </c>
      <c r="C201" t="s" s="80">
        <v>793</v>
      </c>
      <c r="D201" s="131">
        <v>33</v>
      </c>
      <c r="E201" t="s" s="79">
        <v>788</v>
      </c>
      <c r="F201" t="s" s="80">
        <v>329</v>
      </c>
      <c r="G201" s="132">
        <v>70</v>
      </c>
      <c r="H201" t="s" s="133">
        <v>127</v>
      </c>
      <c r="I201" t="s" s="134">
        <v>127</v>
      </c>
      <c r="J201" t="s" s="134">
        <v>97</v>
      </c>
      <c r="K201" t="str" s="135" cm="1">
        <f t="array" ref="K201">IF(OR(H201="ריביות",AND(H201="דירה כצנלסון",G201&lt;0,ISNUMBER(SEARCH("הכנסה",F201)))),"הכנסה שסווגה מחדש",J201)</f>
        <v>שוטף</v>
      </c>
      <c r="L201" t="s" s="134">
        <v>741</v>
      </c>
      <c r="M201" s="136" cm="1">
        <f t="array" ref="M201">IF(L201="מאושר",IF(K201="הכנסה שסווגה מחדש",0,G201),0)</f>
        <v>70</v>
      </c>
      <c r="N201" s="136" cm="1">
        <f t="array" ref="N201">IF(K201="שוטף",M201,0)</f>
        <v>70</v>
      </c>
      <c r="O201" s="136" cm="1">
        <f t="array" ref="O201">IF(K201="הכנסה שסווגה מחדש",-G201,0)</f>
        <v>0</v>
      </c>
      <c r="P201" t="s" s="80">
        <v>770</v>
      </c>
      <c r="Q201" s="100"/>
      <c r="R201" t="s" s="137">
        <v>743</v>
      </c>
      <c r="S201" s="77"/>
    </row>
    <row r="202" ht="13.65" customHeight="1">
      <c r="A202" s="84">
        <v>45717</v>
      </c>
      <c r="B202" t="s" s="85">
        <v>37</v>
      </c>
      <c r="C202" t="s" s="86">
        <v>793</v>
      </c>
      <c r="D202" s="138">
        <v>34</v>
      </c>
      <c r="E202" t="s" s="85">
        <v>751</v>
      </c>
      <c r="F202" t="s" s="86">
        <v>521</v>
      </c>
      <c r="G202" s="139">
        <v>56</v>
      </c>
      <c r="H202" t="s" s="140">
        <v>113</v>
      </c>
      <c r="I202" t="s" s="141">
        <v>113</v>
      </c>
      <c r="J202" t="s" s="141">
        <v>97</v>
      </c>
      <c r="K202" t="str" s="142" cm="1">
        <f t="array" ref="K202">IF(OR(H202="ריביות",AND(H202="דירה כצנלסון",G202&lt;0,ISNUMBER(SEARCH("הכנסה",F202)))),"הכנסה שסווגה מחדש",J202)</f>
        <v>שוטף</v>
      </c>
      <c r="L202" t="s" s="141">
        <v>741</v>
      </c>
      <c r="M202" s="143" cm="1">
        <f t="array" ref="M202">IF(L202="מאושר",IF(K202="הכנסה שסווגה מחדש",0,G202),0)</f>
        <v>56</v>
      </c>
      <c r="N202" s="143" cm="1">
        <f t="array" ref="N202">IF(K202="שוטף",M202,0)</f>
        <v>56</v>
      </c>
      <c r="O202" s="143" cm="1">
        <f t="array" ref="O202">IF(K202="הכנסה שסווגה מחדש",-G202,0)</f>
        <v>0</v>
      </c>
      <c r="P202" t="s" s="86">
        <v>770</v>
      </c>
      <c r="Q202" s="99"/>
      <c r="R202" t="s" s="144">
        <v>743</v>
      </c>
      <c r="S202" s="77"/>
    </row>
    <row r="203" ht="13.65" customHeight="1">
      <c r="A203" s="78">
        <v>45717</v>
      </c>
      <c r="B203" t="s" s="79">
        <v>37</v>
      </c>
      <c r="C203" t="s" s="80">
        <v>793</v>
      </c>
      <c r="D203" s="131">
        <v>35</v>
      </c>
      <c r="E203" t="s" s="79">
        <v>753</v>
      </c>
      <c r="F203" t="s" s="80">
        <v>235</v>
      </c>
      <c r="G203" s="132">
        <v>500</v>
      </c>
      <c r="H203" t="s" s="133">
        <v>109</v>
      </c>
      <c r="I203" t="s" s="134">
        <v>109</v>
      </c>
      <c r="J203" t="s" s="134">
        <v>97</v>
      </c>
      <c r="K203" t="str" s="135" cm="1">
        <f t="array" ref="K203">IF(OR(H203="ריביות",AND(H203="דירה כצנלסון",G203&lt;0,ISNUMBER(SEARCH("הכנסה",F203)))),"הכנסה שסווגה מחדש",J203)</f>
        <v>שוטף</v>
      </c>
      <c r="L203" t="s" s="134">
        <v>741</v>
      </c>
      <c r="M203" s="136" cm="1">
        <f t="array" ref="M203">IF(L203="מאושר",IF(K203="הכנסה שסווגה מחדש",0,G203),0)</f>
        <v>500</v>
      </c>
      <c r="N203" s="136" cm="1">
        <f t="array" ref="N203">IF(K203="שוטף",M203,0)</f>
        <v>500</v>
      </c>
      <c r="O203" s="136" cm="1">
        <f t="array" ref="O203">IF(K203="הכנסה שסווגה מחדש",-G203,0)</f>
        <v>0</v>
      </c>
      <c r="P203" t="s" s="80">
        <v>770</v>
      </c>
      <c r="Q203" s="100"/>
      <c r="R203" t="s" s="137">
        <v>743</v>
      </c>
      <c r="S203" s="77"/>
    </row>
    <row r="204" ht="13.65" customHeight="1">
      <c r="A204" s="84">
        <v>45717</v>
      </c>
      <c r="B204" t="s" s="85">
        <v>37</v>
      </c>
      <c r="C204" t="s" s="86">
        <v>793</v>
      </c>
      <c r="D204" s="138">
        <v>36</v>
      </c>
      <c r="E204" t="s" s="85">
        <v>739</v>
      </c>
      <c r="F204" t="s" s="86">
        <v>711</v>
      </c>
      <c r="G204" s="139">
        <v>-130</v>
      </c>
      <c r="H204" t="s" s="140">
        <v>109</v>
      </c>
      <c r="I204" t="s" s="141">
        <v>109</v>
      </c>
      <c r="J204" t="s" s="141">
        <v>97</v>
      </c>
      <c r="K204" t="str" s="142" cm="1">
        <f t="array" ref="K204">IF(OR(H204="ריביות",AND(H204="דירה כצנלסון",G204&lt;0,ISNUMBER(SEARCH("הכנסה",F204)))),"הכנסה שסווגה מחדש",J204)</f>
        <v>שוטף</v>
      </c>
      <c r="L204" t="s" s="141">
        <v>741</v>
      </c>
      <c r="M204" s="143" cm="1">
        <f t="array" ref="M204">IF(L204="מאושר",IF(K204="הכנסה שסווגה מחדש",0,G204),0)</f>
        <v>-130</v>
      </c>
      <c r="N204" s="143" cm="1">
        <f t="array" ref="N204">IF(K204="שוטף",M204,0)</f>
        <v>-130</v>
      </c>
      <c r="O204" s="143" cm="1">
        <f t="array" ref="O204">IF(K204="הכנסה שסווגה מחדש",-G204,0)</f>
        <v>0</v>
      </c>
      <c r="P204" t="s" s="86">
        <v>770</v>
      </c>
      <c r="Q204" s="99"/>
      <c r="R204" t="s" s="144">
        <v>743</v>
      </c>
      <c r="S204" s="77"/>
    </row>
    <row r="205" ht="13.65" customHeight="1">
      <c r="A205" s="78">
        <v>45717</v>
      </c>
      <c r="B205" t="s" s="79">
        <v>37</v>
      </c>
      <c r="C205" t="s" s="80">
        <v>793</v>
      </c>
      <c r="D205" s="131">
        <v>37</v>
      </c>
      <c r="E205" t="s" s="79">
        <v>773</v>
      </c>
      <c r="F205" t="s" s="80">
        <v>267</v>
      </c>
      <c r="G205" s="132">
        <v>47</v>
      </c>
      <c r="H205" t="s" s="133">
        <v>109</v>
      </c>
      <c r="I205" t="s" s="134">
        <v>109</v>
      </c>
      <c r="J205" t="s" s="134">
        <v>97</v>
      </c>
      <c r="K205" t="str" s="135" cm="1">
        <f t="array" ref="K205">IF(OR(H205="ריביות",AND(H205="דירה כצנלסון",G205&lt;0,ISNUMBER(SEARCH("הכנסה",F205)))),"הכנסה שסווגה מחדש",J205)</f>
        <v>שוטף</v>
      </c>
      <c r="L205" t="s" s="134">
        <v>741</v>
      </c>
      <c r="M205" s="136" cm="1">
        <f t="array" ref="M205">IF(L205="מאושר",IF(K205="הכנסה שסווגה מחדש",0,G205),0)</f>
        <v>47</v>
      </c>
      <c r="N205" s="136" cm="1">
        <f t="array" ref="N205">IF(K205="שוטף",M205,0)</f>
        <v>47</v>
      </c>
      <c r="O205" s="136" cm="1">
        <f t="array" ref="O205">IF(K205="הכנסה שסווגה מחדש",-G205,0)</f>
        <v>0</v>
      </c>
      <c r="P205" t="s" s="80">
        <v>770</v>
      </c>
      <c r="Q205" s="100"/>
      <c r="R205" t="s" s="137">
        <v>743</v>
      </c>
      <c r="S205" s="77"/>
    </row>
    <row r="206" ht="13.65" customHeight="1">
      <c r="A206" s="84">
        <v>45717</v>
      </c>
      <c r="B206" t="s" s="85">
        <v>37</v>
      </c>
      <c r="C206" t="s" s="86">
        <v>793</v>
      </c>
      <c r="D206" s="138">
        <v>38</v>
      </c>
      <c r="E206" t="s" s="85">
        <v>754</v>
      </c>
      <c r="F206" t="s" s="86">
        <v>314</v>
      </c>
      <c r="G206" s="139">
        <v>32</v>
      </c>
      <c r="H206" t="s" s="140">
        <v>105</v>
      </c>
      <c r="I206" t="s" s="141">
        <v>105</v>
      </c>
      <c r="J206" t="s" s="141">
        <v>103</v>
      </c>
      <c r="K206" t="str" s="142" cm="1">
        <f t="array" ref="K206">IF(OR(H206="ריביות",AND(H206="דירה כצנלסון",G206&lt;0,ISNUMBER(SEARCH("הכנסה",F206)))),"הכנסה שסווגה מחדש",J206)</f>
        <v>חריג</v>
      </c>
      <c r="L206" t="s" s="141">
        <v>741</v>
      </c>
      <c r="M206" s="143" cm="1">
        <f t="array" ref="M206">IF(L206="מאושר",IF(K206="הכנסה שסווגה מחדש",0,G206),0)</f>
        <v>32</v>
      </c>
      <c r="N206" s="143" cm="1">
        <f t="array" ref="N206">IF(K206="שוטף",M206,0)</f>
        <v>0</v>
      </c>
      <c r="O206" s="143" cm="1">
        <f t="array" ref="O206">IF(K206="הכנסה שסווגה מחדש",-G206,0)</f>
        <v>0</v>
      </c>
      <c r="P206" t="s" s="86">
        <v>770</v>
      </c>
      <c r="Q206" s="99"/>
      <c r="R206" t="s" s="144">
        <v>743</v>
      </c>
      <c r="S206" s="77"/>
    </row>
    <row r="207" ht="13.65" customHeight="1">
      <c r="A207" s="78">
        <v>45717</v>
      </c>
      <c r="B207" t="s" s="79">
        <v>37</v>
      </c>
      <c r="C207" t="s" s="80">
        <v>793</v>
      </c>
      <c r="D207" s="131">
        <v>39</v>
      </c>
      <c r="E207" t="s" s="79">
        <v>774</v>
      </c>
      <c r="F207" t="s" s="80">
        <v>587</v>
      </c>
      <c r="G207" s="132">
        <v>60</v>
      </c>
      <c r="H207" t="s" s="133">
        <v>115</v>
      </c>
      <c r="I207" t="s" s="134">
        <v>115</v>
      </c>
      <c r="J207" t="s" s="134">
        <v>97</v>
      </c>
      <c r="K207" t="str" s="135" cm="1">
        <f t="array" ref="K207">IF(OR(H207="ריביות",AND(H207="דירה כצנלסון",G207&lt;0,ISNUMBER(SEARCH("הכנסה",F207)))),"הכנסה שסווגה מחדש",J207)</f>
        <v>שוטף</v>
      </c>
      <c r="L207" t="s" s="134">
        <v>741</v>
      </c>
      <c r="M207" s="136" cm="1">
        <f t="array" ref="M207">IF(L207="מאושר",IF(K207="הכנסה שסווגה מחדש",0,G207),0)</f>
        <v>60</v>
      </c>
      <c r="N207" s="136" cm="1">
        <f t="array" ref="N207">IF(K207="שוטף",M207,0)</f>
        <v>60</v>
      </c>
      <c r="O207" s="136" cm="1">
        <f t="array" ref="O207">IF(K207="הכנסה שסווגה מחדש",-G207,0)</f>
        <v>0</v>
      </c>
      <c r="P207" t="s" s="80">
        <v>770</v>
      </c>
      <c r="Q207" s="100"/>
      <c r="R207" t="s" s="137">
        <v>743</v>
      </c>
      <c r="S207" s="77"/>
    </row>
    <row r="208" ht="13.65" customHeight="1">
      <c r="A208" s="84">
        <v>45717</v>
      </c>
      <c r="B208" t="s" s="85">
        <v>37</v>
      </c>
      <c r="C208" t="s" s="86">
        <v>793</v>
      </c>
      <c r="D208" s="138">
        <v>40</v>
      </c>
      <c r="E208" t="s" s="85">
        <v>766</v>
      </c>
      <c r="F208" t="s" s="86">
        <v>681</v>
      </c>
      <c r="G208" s="139">
        <v>16</v>
      </c>
      <c r="H208" t="s" s="140">
        <v>113</v>
      </c>
      <c r="I208" t="s" s="141">
        <v>113</v>
      </c>
      <c r="J208" t="s" s="141">
        <v>97</v>
      </c>
      <c r="K208" t="str" s="142" cm="1">
        <f t="array" ref="K208">IF(OR(H208="ריביות",AND(H208="דירה כצנלסון",G208&lt;0,ISNUMBER(SEARCH("הכנסה",F208)))),"הכנסה שסווגה מחדש",J208)</f>
        <v>שוטף</v>
      </c>
      <c r="L208" t="s" s="141">
        <v>741</v>
      </c>
      <c r="M208" s="143" cm="1">
        <f t="array" ref="M208">IF(L208="מאושר",IF(K208="הכנסה שסווגה מחדש",0,G208),0)</f>
        <v>16</v>
      </c>
      <c r="N208" s="143" cm="1">
        <f t="array" ref="N208">IF(K208="שוטף",M208,0)</f>
        <v>16</v>
      </c>
      <c r="O208" s="143" cm="1">
        <f t="array" ref="O208">IF(K208="הכנסה שסווגה מחדש",-G208,0)</f>
        <v>0</v>
      </c>
      <c r="P208" t="s" s="86">
        <v>770</v>
      </c>
      <c r="Q208" s="99"/>
      <c r="R208" t="s" s="144">
        <v>743</v>
      </c>
      <c r="S208" s="77"/>
    </row>
    <row r="209" ht="13.65" customHeight="1">
      <c r="A209" s="78">
        <v>45717</v>
      </c>
      <c r="B209" t="s" s="79">
        <v>37</v>
      </c>
      <c r="C209" t="s" s="80">
        <v>793</v>
      </c>
      <c r="D209" s="131">
        <v>41</v>
      </c>
      <c r="E209" t="s" s="79">
        <v>766</v>
      </c>
      <c r="F209" t="s" s="80">
        <v>254</v>
      </c>
      <c r="G209" s="132">
        <v>80</v>
      </c>
      <c r="H209" t="s" s="133">
        <v>109</v>
      </c>
      <c r="I209" t="s" s="134">
        <v>109</v>
      </c>
      <c r="J209" t="s" s="134">
        <v>97</v>
      </c>
      <c r="K209" t="str" s="135" cm="1">
        <f t="array" ref="K209">IF(OR(H209="ריביות",AND(H209="דירה כצנלסון",G209&lt;0,ISNUMBER(SEARCH("הכנסה",F209)))),"הכנסה שסווגה מחדש",J209)</f>
        <v>שוטף</v>
      </c>
      <c r="L209" t="s" s="134">
        <v>741</v>
      </c>
      <c r="M209" s="136" cm="1">
        <f t="array" ref="M209">IF(L209="מאושר",IF(K209="הכנסה שסווגה מחדש",0,G209),0)</f>
        <v>80</v>
      </c>
      <c r="N209" s="136" cm="1">
        <f t="array" ref="N209">IF(K209="שוטף",M209,0)</f>
        <v>80</v>
      </c>
      <c r="O209" s="136" cm="1">
        <f t="array" ref="O209">IF(K209="הכנסה שסווגה מחדש",-G209,0)</f>
        <v>0</v>
      </c>
      <c r="P209" t="s" s="80">
        <v>770</v>
      </c>
      <c r="Q209" s="100"/>
      <c r="R209" t="s" s="137">
        <v>743</v>
      </c>
      <c r="S209" s="77"/>
    </row>
    <row r="210" ht="13.65" customHeight="1">
      <c r="A210" s="84">
        <v>45717</v>
      </c>
      <c r="B210" t="s" s="85">
        <v>37</v>
      </c>
      <c r="C210" t="s" s="86">
        <v>793</v>
      </c>
      <c r="D210" s="138">
        <v>42</v>
      </c>
      <c r="E210" t="s" s="85">
        <v>765</v>
      </c>
      <c r="F210" t="s" s="86">
        <v>267</v>
      </c>
      <c r="G210" s="139">
        <v>8</v>
      </c>
      <c r="H210" t="s" s="140">
        <v>109</v>
      </c>
      <c r="I210" t="s" s="141">
        <v>109</v>
      </c>
      <c r="J210" t="s" s="141">
        <v>97</v>
      </c>
      <c r="K210" t="str" s="142" cm="1">
        <f t="array" ref="K210">IF(OR(H210="ריביות",AND(H210="דירה כצנלסון",G210&lt;0,ISNUMBER(SEARCH("הכנסה",F210)))),"הכנסה שסווגה מחדש",J210)</f>
        <v>שוטף</v>
      </c>
      <c r="L210" t="s" s="141">
        <v>741</v>
      </c>
      <c r="M210" s="143" cm="1">
        <f t="array" ref="M210">IF(L210="מאושר",IF(K210="הכנסה שסווגה מחדש",0,G210),0)</f>
        <v>8</v>
      </c>
      <c r="N210" s="143" cm="1">
        <f t="array" ref="N210">IF(K210="שוטף",M210,0)</f>
        <v>8</v>
      </c>
      <c r="O210" s="143" cm="1">
        <f t="array" ref="O210">IF(K210="הכנסה שסווגה מחדש",-G210,0)</f>
        <v>0</v>
      </c>
      <c r="P210" t="s" s="86">
        <v>770</v>
      </c>
      <c r="Q210" s="99"/>
      <c r="R210" t="s" s="144">
        <v>743</v>
      </c>
      <c r="S210" s="77"/>
    </row>
    <row r="211" ht="13.65" customHeight="1">
      <c r="A211" s="78">
        <v>45717</v>
      </c>
      <c r="B211" t="s" s="79">
        <v>37</v>
      </c>
      <c r="C211" t="s" s="80">
        <v>793</v>
      </c>
      <c r="D211" s="131">
        <v>43</v>
      </c>
      <c r="E211" t="s" s="79">
        <v>759</v>
      </c>
      <c r="F211" t="s" s="80">
        <v>700</v>
      </c>
      <c r="G211" s="132">
        <v>8</v>
      </c>
      <c r="H211" t="s" s="133">
        <v>115</v>
      </c>
      <c r="I211" t="s" s="134">
        <v>115</v>
      </c>
      <c r="J211" t="s" s="134">
        <v>97</v>
      </c>
      <c r="K211" t="str" s="135" cm="1">
        <f t="array" ref="K211">IF(OR(H211="ריביות",AND(H211="דירה כצנלסון",G211&lt;0,ISNUMBER(SEARCH("הכנסה",F211)))),"הכנסה שסווגה מחדש",J211)</f>
        <v>שוטף</v>
      </c>
      <c r="L211" t="s" s="134">
        <v>741</v>
      </c>
      <c r="M211" s="136" cm="1">
        <f t="array" ref="M211">IF(L211="מאושר",IF(K211="הכנסה שסווגה מחדש",0,G211),0)</f>
        <v>8</v>
      </c>
      <c r="N211" s="136" cm="1">
        <f t="array" ref="N211">IF(K211="שוטף",M211,0)</f>
        <v>8</v>
      </c>
      <c r="O211" s="136" cm="1">
        <f t="array" ref="O211">IF(K211="הכנסה שסווגה מחדש",-G211,0)</f>
        <v>0</v>
      </c>
      <c r="P211" t="s" s="80">
        <v>770</v>
      </c>
      <c r="Q211" s="100"/>
      <c r="R211" t="s" s="137">
        <v>743</v>
      </c>
      <c r="S211" s="77"/>
    </row>
    <row r="212" ht="13.65" customHeight="1">
      <c r="A212" s="84">
        <v>45717</v>
      </c>
      <c r="B212" t="s" s="85">
        <v>37</v>
      </c>
      <c r="C212" t="s" s="86">
        <v>793</v>
      </c>
      <c r="D212" s="138">
        <v>44</v>
      </c>
      <c r="E212" t="s" s="85">
        <v>759</v>
      </c>
      <c r="F212" t="s" s="86">
        <v>267</v>
      </c>
      <c r="G212" s="139">
        <v>165</v>
      </c>
      <c r="H212" t="s" s="140">
        <v>109</v>
      </c>
      <c r="I212" t="s" s="141">
        <v>109</v>
      </c>
      <c r="J212" t="s" s="141">
        <v>97</v>
      </c>
      <c r="K212" t="str" s="142" cm="1">
        <f t="array" ref="K212">IF(OR(H212="ריביות",AND(H212="דירה כצנלסון",G212&lt;0,ISNUMBER(SEARCH("הכנסה",F212)))),"הכנסה שסווגה מחדש",J212)</f>
        <v>שוטף</v>
      </c>
      <c r="L212" t="s" s="141">
        <v>741</v>
      </c>
      <c r="M212" s="143" cm="1">
        <f t="array" ref="M212">IF(L212="מאושר",IF(K212="הכנסה שסווגה מחדש",0,G212),0)</f>
        <v>165</v>
      </c>
      <c r="N212" s="143" cm="1">
        <f t="array" ref="N212">IF(K212="שוטף",M212,0)</f>
        <v>165</v>
      </c>
      <c r="O212" s="143" cm="1">
        <f t="array" ref="O212">IF(K212="הכנסה שסווגה מחדש",-G212,0)</f>
        <v>0</v>
      </c>
      <c r="P212" t="s" s="86">
        <v>770</v>
      </c>
      <c r="Q212" s="99"/>
      <c r="R212" t="s" s="144">
        <v>743</v>
      </c>
      <c r="S212" s="77"/>
    </row>
    <row r="213" ht="13.65" customHeight="1">
      <c r="A213" s="78">
        <v>45717</v>
      </c>
      <c r="B213" t="s" s="79">
        <v>37</v>
      </c>
      <c r="C213" t="s" s="80">
        <v>793</v>
      </c>
      <c r="D213" s="131">
        <v>45</v>
      </c>
      <c r="E213" t="s" s="79">
        <v>775</v>
      </c>
      <c r="F213" t="s" s="80">
        <v>500</v>
      </c>
      <c r="G213" s="132">
        <v>120</v>
      </c>
      <c r="H213" t="s" s="133">
        <v>767</v>
      </c>
      <c r="I213" t="s" s="134">
        <v>107</v>
      </c>
      <c r="J213" t="s" s="134">
        <v>97</v>
      </c>
      <c r="K213" t="str" s="135" cm="1">
        <f t="array" ref="K213">IF(OR(H213="ריביות",AND(H213="דירה כצנלסון",G213&lt;0,ISNUMBER(SEARCH("הכנסה",F213)))),"הכנסה שסווגה מחדש",J213)</f>
        <v>שוטף</v>
      </c>
      <c r="L213" t="s" s="134">
        <v>741</v>
      </c>
      <c r="M213" s="136" cm="1">
        <f t="array" ref="M213">IF(L213="מאושר",IF(K213="הכנסה שסווגה מחדש",0,G213),0)</f>
        <v>120</v>
      </c>
      <c r="N213" s="136" cm="1">
        <f t="array" ref="N213">IF(K213="שוטף",M213,0)</f>
        <v>120</v>
      </c>
      <c r="O213" s="136" cm="1">
        <f t="array" ref="O213">IF(K213="הכנסה שסווגה מחדש",-G213,0)</f>
        <v>0</v>
      </c>
      <c r="P213" t="s" s="80">
        <v>770</v>
      </c>
      <c r="Q213" s="100"/>
      <c r="R213" t="s" s="137">
        <v>743</v>
      </c>
      <c r="S213" s="77"/>
    </row>
    <row r="214" ht="13.65" customHeight="1">
      <c r="A214" s="84">
        <v>45717</v>
      </c>
      <c r="B214" t="s" s="85">
        <v>37</v>
      </c>
      <c r="C214" t="s" s="86">
        <v>793</v>
      </c>
      <c r="D214" s="138">
        <v>46</v>
      </c>
      <c r="E214" t="s" s="85">
        <v>775</v>
      </c>
      <c r="F214" t="s" s="86">
        <v>455</v>
      </c>
      <c r="G214" s="139">
        <v>199</v>
      </c>
      <c r="H214" t="s" s="140">
        <v>113</v>
      </c>
      <c r="I214" t="s" s="141">
        <v>113</v>
      </c>
      <c r="J214" t="s" s="141">
        <v>97</v>
      </c>
      <c r="K214" t="str" s="142" cm="1">
        <f t="array" ref="K214">IF(OR(H214="ריביות",AND(H214="דירה כצנלסון",G214&lt;0,ISNUMBER(SEARCH("הכנסה",F214)))),"הכנסה שסווגה מחדש",J214)</f>
        <v>שוטף</v>
      </c>
      <c r="L214" t="s" s="141">
        <v>741</v>
      </c>
      <c r="M214" s="143" cm="1">
        <f t="array" ref="M214">IF(L214="מאושר",IF(K214="הכנסה שסווגה מחדש",0,G214),0)</f>
        <v>199</v>
      </c>
      <c r="N214" s="143" cm="1">
        <f t="array" ref="N214">IF(K214="שוטף",M214,0)</f>
        <v>199</v>
      </c>
      <c r="O214" s="143" cm="1">
        <f t="array" ref="O214">IF(K214="הכנסה שסווגה מחדש",-G214,0)</f>
        <v>0</v>
      </c>
      <c r="P214" t="s" s="86">
        <v>770</v>
      </c>
      <c r="Q214" s="99"/>
      <c r="R214" t="s" s="144">
        <v>743</v>
      </c>
      <c r="S214" s="77"/>
    </row>
    <row r="215" ht="13.65" customHeight="1">
      <c r="A215" s="78">
        <v>45717</v>
      </c>
      <c r="B215" t="s" s="79">
        <v>37</v>
      </c>
      <c r="C215" t="s" s="80">
        <v>793</v>
      </c>
      <c r="D215" s="131">
        <v>47</v>
      </c>
      <c r="E215" t="s" s="79">
        <v>775</v>
      </c>
      <c r="F215" t="s" s="80">
        <v>694</v>
      </c>
      <c r="G215" s="132">
        <v>13</v>
      </c>
      <c r="H215" t="s" s="133">
        <v>113</v>
      </c>
      <c r="I215" t="s" s="134">
        <v>113</v>
      </c>
      <c r="J215" t="s" s="134">
        <v>97</v>
      </c>
      <c r="K215" t="str" s="135" cm="1">
        <f t="array" ref="K215">IF(OR(H215="ריביות",AND(H215="דירה כצנלסון",G215&lt;0,ISNUMBER(SEARCH("הכנסה",F215)))),"הכנסה שסווגה מחדש",J215)</f>
        <v>שוטף</v>
      </c>
      <c r="L215" t="s" s="134">
        <v>741</v>
      </c>
      <c r="M215" s="136" cm="1">
        <f t="array" ref="M215">IF(L215="מאושר",IF(K215="הכנסה שסווגה מחדש",0,G215),0)</f>
        <v>13</v>
      </c>
      <c r="N215" s="136" cm="1">
        <f t="array" ref="N215">IF(K215="שוטף",M215,0)</f>
        <v>13</v>
      </c>
      <c r="O215" s="136" cm="1">
        <f t="array" ref="O215">IF(K215="הכנסה שסווגה מחדש",-G215,0)</f>
        <v>0</v>
      </c>
      <c r="P215" t="s" s="80">
        <v>770</v>
      </c>
      <c r="Q215" s="100"/>
      <c r="R215" t="s" s="137">
        <v>743</v>
      </c>
      <c r="S215" s="77"/>
    </row>
    <row r="216" ht="13.65" customHeight="1">
      <c r="A216" s="84">
        <v>45717</v>
      </c>
      <c r="B216" t="s" s="85">
        <v>37</v>
      </c>
      <c r="C216" t="s" s="86">
        <v>793</v>
      </c>
      <c r="D216" s="138">
        <v>48</v>
      </c>
      <c r="E216" t="s" s="85">
        <v>764</v>
      </c>
      <c r="F216" t="s" s="86">
        <v>687</v>
      </c>
      <c r="G216" s="139">
        <v>14</v>
      </c>
      <c r="H216" t="s" s="140">
        <v>113</v>
      </c>
      <c r="I216" t="s" s="141">
        <v>113</v>
      </c>
      <c r="J216" t="s" s="141">
        <v>97</v>
      </c>
      <c r="K216" t="str" s="142" cm="1">
        <f t="array" ref="K216">IF(OR(H216="ריביות",AND(H216="דירה כצנלסון",G216&lt;0,ISNUMBER(SEARCH("הכנסה",F216)))),"הכנסה שסווגה מחדש",J216)</f>
        <v>שוטף</v>
      </c>
      <c r="L216" t="s" s="141">
        <v>741</v>
      </c>
      <c r="M216" s="143" cm="1">
        <f t="array" ref="M216">IF(L216="מאושר",IF(K216="הכנסה שסווגה מחדש",0,G216),0)</f>
        <v>14</v>
      </c>
      <c r="N216" s="143" cm="1">
        <f t="array" ref="N216">IF(K216="שוטף",M216,0)</f>
        <v>14</v>
      </c>
      <c r="O216" s="143" cm="1">
        <f t="array" ref="O216">IF(K216="הכנסה שסווגה מחדש",-G216,0)</f>
        <v>0</v>
      </c>
      <c r="P216" t="s" s="86">
        <v>770</v>
      </c>
      <c r="Q216" s="99"/>
      <c r="R216" t="s" s="144">
        <v>743</v>
      </c>
      <c r="S216" s="77"/>
    </row>
    <row r="217" ht="13.65" customHeight="1">
      <c r="A217" s="78">
        <v>45717</v>
      </c>
      <c r="B217" t="s" s="79">
        <v>37</v>
      </c>
      <c r="C217" t="s" s="80">
        <v>793</v>
      </c>
      <c r="D217" s="131">
        <v>49</v>
      </c>
      <c r="E217" t="s" s="79">
        <v>777</v>
      </c>
      <c r="F217" t="s" s="80">
        <v>471</v>
      </c>
      <c r="G217" s="132">
        <v>51</v>
      </c>
      <c r="H217" t="s" s="133">
        <v>109</v>
      </c>
      <c r="I217" t="s" s="134">
        <v>109</v>
      </c>
      <c r="J217" t="s" s="134">
        <v>97</v>
      </c>
      <c r="K217" t="str" s="135" cm="1">
        <f t="array" ref="K217">IF(OR(H217="ריביות",AND(H217="דירה כצנלסון",G217&lt;0,ISNUMBER(SEARCH("הכנסה",F217)))),"הכנסה שסווגה מחדש",J217)</f>
        <v>שוטף</v>
      </c>
      <c r="L217" t="s" s="134">
        <v>741</v>
      </c>
      <c r="M217" s="136" cm="1">
        <f t="array" ref="M217">IF(L217="מאושר",IF(K217="הכנסה שסווגה מחדש",0,G217),0)</f>
        <v>51</v>
      </c>
      <c r="N217" s="136" cm="1">
        <f t="array" ref="N217">IF(K217="שוטף",M217,0)</f>
        <v>51</v>
      </c>
      <c r="O217" s="136" cm="1">
        <f t="array" ref="O217">IF(K217="הכנסה שסווגה מחדש",-G217,0)</f>
        <v>0</v>
      </c>
      <c r="P217" t="s" s="80">
        <v>770</v>
      </c>
      <c r="Q217" s="100"/>
      <c r="R217" t="s" s="137">
        <v>743</v>
      </c>
      <c r="S217" s="77"/>
    </row>
    <row r="218" ht="13.65" customHeight="1">
      <c r="A218" s="84">
        <v>45717</v>
      </c>
      <c r="B218" t="s" s="85">
        <v>37</v>
      </c>
      <c r="C218" t="s" s="86">
        <v>793</v>
      </c>
      <c r="D218" s="138">
        <v>50</v>
      </c>
      <c r="E218" t="s" s="85">
        <v>749</v>
      </c>
      <c r="F218" t="s" s="86">
        <v>426</v>
      </c>
      <c r="G218" s="139">
        <v>120</v>
      </c>
      <c r="H218" t="s" s="140">
        <v>127</v>
      </c>
      <c r="I218" t="s" s="141">
        <v>127</v>
      </c>
      <c r="J218" t="s" s="141">
        <v>97</v>
      </c>
      <c r="K218" t="str" s="142" cm="1">
        <f t="array" ref="K218">IF(OR(H218="ריביות",AND(H218="דירה כצנלסון",G218&lt;0,ISNUMBER(SEARCH("הכנסה",F218)))),"הכנסה שסווגה מחדש",J218)</f>
        <v>שוטף</v>
      </c>
      <c r="L218" t="s" s="141">
        <v>741</v>
      </c>
      <c r="M218" s="143" cm="1">
        <f t="array" ref="M218">IF(L218="מאושר",IF(K218="הכנסה שסווגה מחדש",0,G218),0)</f>
        <v>120</v>
      </c>
      <c r="N218" s="143" cm="1">
        <f t="array" ref="N218">IF(K218="שוטף",M218,0)</f>
        <v>120</v>
      </c>
      <c r="O218" s="143" cm="1">
        <f t="array" ref="O218">IF(K218="הכנסה שסווגה מחדש",-G218,0)</f>
        <v>0</v>
      </c>
      <c r="P218" t="s" s="86">
        <v>783</v>
      </c>
      <c r="Q218" s="99"/>
      <c r="R218" t="s" s="144">
        <v>743</v>
      </c>
      <c r="S218" s="77"/>
    </row>
    <row r="219" ht="13.65" customHeight="1">
      <c r="A219" s="78">
        <v>45717</v>
      </c>
      <c r="B219" t="s" s="79">
        <v>37</v>
      </c>
      <c r="C219" t="s" s="80">
        <v>793</v>
      </c>
      <c r="D219" s="131">
        <v>51</v>
      </c>
      <c r="E219" t="s" s="79">
        <v>749</v>
      </c>
      <c r="F219" t="s" s="80">
        <v>667</v>
      </c>
      <c r="G219" s="132">
        <v>8</v>
      </c>
      <c r="H219" t="s" s="133">
        <v>115</v>
      </c>
      <c r="I219" t="s" s="134">
        <v>115</v>
      </c>
      <c r="J219" t="s" s="134">
        <v>97</v>
      </c>
      <c r="K219" t="str" s="135" cm="1">
        <f t="array" ref="K219">IF(OR(H219="ריביות",AND(H219="דירה כצנלסון",G219&lt;0,ISNUMBER(SEARCH("הכנסה",F219)))),"הכנסה שסווגה מחדש",J219)</f>
        <v>שוטף</v>
      </c>
      <c r="L219" t="s" s="134">
        <v>741</v>
      </c>
      <c r="M219" s="136" cm="1">
        <f t="array" ref="M219">IF(L219="מאושר",IF(K219="הכנסה שסווגה מחדש",0,G219),0)</f>
        <v>8</v>
      </c>
      <c r="N219" s="136" cm="1">
        <f t="array" ref="N219">IF(K219="שוטף",M219,0)</f>
        <v>8</v>
      </c>
      <c r="O219" s="136" cm="1">
        <f t="array" ref="O219">IF(K219="הכנסה שסווגה מחדש",-G219,0)</f>
        <v>0</v>
      </c>
      <c r="P219" t="s" s="80">
        <v>783</v>
      </c>
      <c r="Q219" s="100"/>
      <c r="R219" t="s" s="137">
        <v>743</v>
      </c>
      <c r="S219" s="77"/>
    </row>
    <row r="220" ht="13.65" customHeight="1">
      <c r="A220" s="84">
        <v>45717</v>
      </c>
      <c r="B220" t="s" s="85">
        <v>37</v>
      </c>
      <c r="C220" t="s" s="86">
        <v>793</v>
      </c>
      <c r="D220" s="138">
        <v>52</v>
      </c>
      <c r="E220" t="s" s="85">
        <v>751</v>
      </c>
      <c r="F220" t="s" s="86">
        <v>339</v>
      </c>
      <c r="G220" s="139">
        <v>600</v>
      </c>
      <c r="H220" t="s" s="140">
        <v>105</v>
      </c>
      <c r="I220" t="s" s="141">
        <v>105</v>
      </c>
      <c r="J220" t="s" s="141">
        <v>103</v>
      </c>
      <c r="K220" t="str" s="142" cm="1">
        <f t="array" ref="K220">IF(OR(H220="ריביות",AND(H220="דירה כצנלסון",G220&lt;0,ISNUMBER(SEARCH("הכנסה",F220)))),"הכנסה שסווגה מחדש",J220)</f>
        <v>חריג</v>
      </c>
      <c r="L220" t="s" s="141">
        <v>741</v>
      </c>
      <c r="M220" s="143" cm="1">
        <f t="array" ref="M220">IF(L220="מאושר",IF(K220="הכנסה שסווגה מחדש",0,G220),0)</f>
        <v>600</v>
      </c>
      <c r="N220" s="143" cm="1">
        <f t="array" ref="N220">IF(K220="שוטף",M220,0)</f>
        <v>0</v>
      </c>
      <c r="O220" s="143" cm="1">
        <f t="array" ref="O220">IF(K220="הכנסה שסווגה מחדש",-G220,0)</f>
        <v>0</v>
      </c>
      <c r="P220" t="s" s="86">
        <v>783</v>
      </c>
      <c r="Q220" s="99"/>
      <c r="R220" t="s" s="144">
        <v>743</v>
      </c>
      <c r="S220" s="77"/>
    </row>
    <row r="221" ht="13.65" customHeight="1">
      <c r="A221" s="78">
        <v>45717</v>
      </c>
      <c r="B221" t="s" s="79">
        <v>37</v>
      </c>
      <c r="C221" t="s" s="80">
        <v>793</v>
      </c>
      <c r="D221" s="131">
        <v>53</v>
      </c>
      <c r="E221" t="s" s="79">
        <v>765</v>
      </c>
      <c r="F221" t="s" s="80">
        <v>395</v>
      </c>
      <c r="G221" s="132">
        <v>25</v>
      </c>
      <c r="H221" t="s" s="133">
        <v>115</v>
      </c>
      <c r="I221" t="s" s="134">
        <v>115</v>
      </c>
      <c r="J221" t="s" s="134">
        <v>97</v>
      </c>
      <c r="K221" t="str" s="135" cm="1">
        <f t="array" ref="K221">IF(OR(H221="ריביות",AND(H221="דירה כצנלסון",G221&lt;0,ISNUMBER(SEARCH("הכנסה",F221)))),"הכנסה שסווגה מחדש",J221)</f>
        <v>שוטף</v>
      </c>
      <c r="L221" t="s" s="134">
        <v>741</v>
      </c>
      <c r="M221" s="136" cm="1">
        <f t="array" ref="M221">IF(L221="מאושר",IF(K221="הכנסה שסווגה מחדש",0,G221),0)</f>
        <v>25</v>
      </c>
      <c r="N221" s="136" cm="1">
        <f t="array" ref="N221">IF(K221="שוטף",M221,0)</f>
        <v>25</v>
      </c>
      <c r="O221" s="136" cm="1">
        <f t="array" ref="O221">IF(K221="הכנסה שסווגה מחדש",-G221,0)</f>
        <v>0</v>
      </c>
      <c r="P221" t="s" s="80">
        <v>783</v>
      </c>
      <c r="Q221" s="100"/>
      <c r="R221" t="s" s="137">
        <v>743</v>
      </c>
      <c r="S221" s="77"/>
    </row>
    <row r="222" ht="13.65" customHeight="1">
      <c r="A222" s="84">
        <v>45717</v>
      </c>
      <c r="B222" t="s" s="85">
        <v>37</v>
      </c>
      <c r="C222" t="s" s="86">
        <v>793</v>
      </c>
      <c r="D222" s="138">
        <v>54</v>
      </c>
      <c r="E222" t="s" s="85">
        <v>775</v>
      </c>
      <c r="F222" t="s" s="86">
        <v>667</v>
      </c>
      <c r="G222" s="139">
        <v>14</v>
      </c>
      <c r="H222" t="s" s="140">
        <v>115</v>
      </c>
      <c r="I222" t="s" s="141">
        <v>115</v>
      </c>
      <c r="J222" t="s" s="141">
        <v>97</v>
      </c>
      <c r="K222" t="str" s="142" cm="1">
        <f t="array" ref="K222">IF(OR(H222="ריביות",AND(H222="דירה כצנלסון",G222&lt;0,ISNUMBER(SEARCH("הכנסה",F222)))),"הכנסה שסווגה מחדש",J222)</f>
        <v>שוטף</v>
      </c>
      <c r="L222" t="s" s="141">
        <v>741</v>
      </c>
      <c r="M222" s="143" cm="1">
        <f t="array" ref="M222">IF(L222="מאושר",IF(K222="הכנסה שסווגה מחדש",0,G222),0)</f>
        <v>14</v>
      </c>
      <c r="N222" s="143" cm="1">
        <f t="array" ref="N222">IF(K222="שוטף",M222,0)</f>
        <v>14</v>
      </c>
      <c r="O222" s="143" cm="1">
        <f t="array" ref="O222">IF(K222="הכנסה שסווגה מחדש",-G222,0)</f>
        <v>0</v>
      </c>
      <c r="P222" t="s" s="86">
        <v>783</v>
      </c>
      <c r="Q222" s="99"/>
      <c r="R222" t="s" s="144">
        <v>743</v>
      </c>
      <c r="S222" s="77"/>
    </row>
    <row r="223" ht="13.65" customHeight="1">
      <c r="A223" s="78">
        <v>45717</v>
      </c>
      <c r="B223" t="s" s="79">
        <v>37</v>
      </c>
      <c r="C223" t="s" s="80">
        <v>793</v>
      </c>
      <c r="D223" s="131">
        <v>55</v>
      </c>
      <c r="E223" t="s" s="79">
        <v>34</v>
      </c>
      <c r="F223" t="s" s="80">
        <v>568</v>
      </c>
      <c r="G223" s="132">
        <v>70</v>
      </c>
      <c r="H223" t="s" s="133">
        <v>109</v>
      </c>
      <c r="I223" t="s" s="134">
        <v>109</v>
      </c>
      <c r="J223" t="s" s="134">
        <v>97</v>
      </c>
      <c r="K223" t="str" s="135" cm="1">
        <f t="array" ref="K223">IF(OR(H223="ריביות",AND(H223="דירה כצנלסון",G223&lt;0,ISNUMBER(SEARCH("הכנסה",F223)))),"הכנסה שסווגה מחדש",J223)</f>
        <v>שוטף</v>
      </c>
      <c r="L223" t="s" s="134">
        <v>741</v>
      </c>
      <c r="M223" s="136" cm="1">
        <f t="array" ref="M223">IF(L223="מאושר",IF(K223="הכנסה שסווגה מחדש",0,G223),0)</f>
        <v>70</v>
      </c>
      <c r="N223" s="136" cm="1">
        <f t="array" ref="N223">IF(K223="שוטף",M223,0)</f>
        <v>70</v>
      </c>
      <c r="O223" s="136" cm="1">
        <f t="array" ref="O223">IF(K223="הכנסה שסווגה מחדש",-G223,0)</f>
        <v>0</v>
      </c>
      <c r="P223" t="s" s="79">
        <v>748</v>
      </c>
      <c r="Q223" s="100"/>
      <c r="R223" t="s" s="137">
        <v>743</v>
      </c>
      <c r="S223" s="77"/>
    </row>
    <row r="224" ht="13.65" customHeight="1">
      <c r="A224" s="84">
        <v>45717</v>
      </c>
      <c r="B224" t="s" s="85">
        <v>37</v>
      </c>
      <c r="C224" t="s" s="86">
        <v>793</v>
      </c>
      <c r="D224" s="138">
        <v>56</v>
      </c>
      <c r="E224" t="s" s="85">
        <v>769</v>
      </c>
      <c r="F224" t="s" s="86">
        <v>307</v>
      </c>
      <c r="G224" s="139">
        <v>7</v>
      </c>
      <c r="H224" t="s" s="140">
        <v>115</v>
      </c>
      <c r="I224" t="s" s="141">
        <v>115</v>
      </c>
      <c r="J224" t="s" s="141">
        <v>97</v>
      </c>
      <c r="K224" t="str" s="142" cm="1">
        <f t="array" ref="K224">IF(OR(H224="ריביות",AND(H224="דירה כצנלסון",G224&lt;0,ISNUMBER(SEARCH("הכנסה",F224)))),"הכנסה שסווגה מחדש",J224)</f>
        <v>שוטף</v>
      </c>
      <c r="L224" t="s" s="141">
        <v>741</v>
      </c>
      <c r="M224" s="143" cm="1">
        <f t="array" ref="M224">IF(L224="מאושר",IF(K224="הכנסה שסווגה מחדש",0,G224),0)</f>
        <v>7</v>
      </c>
      <c r="N224" s="143" cm="1">
        <f t="array" ref="N224">IF(K224="שוטף",M224,0)</f>
        <v>7</v>
      </c>
      <c r="O224" s="143" cm="1">
        <f t="array" ref="O224">IF(K224="הכנסה שסווגה מחדש",-G224,0)</f>
        <v>0</v>
      </c>
      <c r="P224" t="s" s="85">
        <v>748</v>
      </c>
      <c r="Q224" s="99"/>
      <c r="R224" t="s" s="144">
        <v>743</v>
      </c>
      <c r="S224" s="77"/>
    </row>
    <row r="225" ht="13.65" customHeight="1">
      <c r="A225" s="78">
        <v>45717</v>
      </c>
      <c r="B225" t="s" s="79">
        <v>37</v>
      </c>
      <c r="C225" t="s" s="80">
        <v>793</v>
      </c>
      <c r="D225" s="131">
        <v>57</v>
      </c>
      <c r="E225" t="s" s="79">
        <v>769</v>
      </c>
      <c r="F225" t="s" s="80">
        <v>218</v>
      </c>
      <c r="G225" s="132">
        <v>3652</v>
      </c>
      <c r="H225" t="s" s="133">
        <v>105</v>
      </c>
      <c r="I225" t="s" s="134">
        <v>105</v>
      </c>
      <c r="J225" t="s" s="134">
        <v>103</v>
      </c>
      <c r="K225" t="str" s="135" cm="1">
        <f t="array" ref="K225">IF(OR(H225="ריביות",AND(H225="דירה כצנלסון",G225&lt;0,ISNUMBER(SEARCH("הכנסה",F225)))),"הכנסה שסווגה מחדש",J225)</f>
        <v>חריג</v>
      </c>
      <c r="L225" t="s" s="134">
        <v>741</v>
      </c>
      <c r="M225" s="136" cm="1">
        <f t="array" ref="M225">IF(L225="מאושר",IF(K225="הכנסה שסווגה מחדש",0,G225),0)</f>
        <v>3652</v>
      </c>
      <c r="N225" s="136" cm="1">
        <f t="array" ref="N225">IF(K225="שוטף",M225,0)</f>
        <v>0</v>
      </c>
      <c r="O225" s="136" cm="1">
        <f t="array" ref="O225">IF(K225="הכנסה שסווגה מחדש",-G225,0)</f>
        <v>0</v>
      </c>
      <c r="P225" t="s" s="79">
        <v>748</v>
      </c>
      <c r="Q225" s="100"/>
      <c r="R225" t="s" s="137">
        <v>743</v>
      </c>
      <c r="S225" s="77"/>
    </row>
    <row r="226" ht="13.65" customHeight="1">
      <c r="A226" s="84">
        <v>45717</v>
      </c>
      <c r="B226" t="s" s="85">
        <v>37</v>
      </c>
      <c r="C226" t="s" s="86">
        <v>793</v>
      </c>
      <c r="D226" s="138">
        <v>58</v>
      </c>
      <c r="E226" t="s" s="85">
        <v>749</v>
      </c>
      <c r="F226" t="s" s="86">
        <v>308</v>
      </c>
      <c r="G226" s="139">
        <v>115</v>
      </c>
      <c r="H226" t="s" s="140">
        <v>109</v>
      </c>
      <c r="I226" t="s" s="141">
        <v>109</v>
      </c>
      <c r="J226" t="s" s="141">
        <v>97</v>
      </c>
      <c r="K226" t="str" s="142" cm="1">
        <f t="array" ref="K226">IF(OR(H226="ריביות",AND(H226="דירה כצנלסון",G226&lt;0,ISNUMBER(SEARCH("הכנסה",F226)))),"הכנסה שסווגה מחדש",J226)</f>
        <v>שוטף</v>
      </c>
      <c r="L226" t="s" s="141">
        <v>741</v>
      </c>
      <c r="M226" s="143" cm="1">
        <f t="array" ref="M226">IF(L226="מאושר",IF(K226="הכנסה שסווגה מחדש",0,G226),0)</f>
        <v>115</v>
      </c>
      <c r="N226" s="143" cm="1">
        <f t="array" ref="N226">IF(K226="שוטף",M226,0)</f>
        <v>115</v>
      </c>
      <c r="O226" s="143" cm="1">
        <f t="array" ref="O226">IF(K226="הכנסה שסווגה מחדש",-G226,0)</f>
        <v>0</v>
      </c>
      <c r="P226" t="s" s="85">
        <v>748</v>
      </c>
      <c r="Q226" s="99"/>
      <c r="R226" t="s" s="144">
        <v>743</v>
      </c>
      <c r="S226" s="77"/>
    </row>
    <row r="227" ht="13.65" customHeight="1">
      <c r="A227" s="78">
        <v>45717</v>
      </c>
      <c r="B227" t="s" s="79">
        <v>37</v>
      </c>
      <c r="C227" t="s" s="80">
        <v>793</v>
      </c>
      <c r="D227" s="131">
        <v>59</v>
      </c>
      <c r="E227" t="s" s="79">
        <v>788</v>
      </c>
      <c r="F227" t="s" s="80">
        <v>223</v>
      </c>
      <c r="G227" s="132">
        <v>60</v>
      </c>
      <c r="H227" t="s" s="133">
        <v>117</v>
      </c>
      <c r="I227" t="s" s="134">
        <v>117</v>
      </c>
      <c r="J227" t="s" s="134">
        <v>97</v>
      </c>
      <c r="K227" t="str" s="135" cm="1">
        <f t="array" ref="K227">IF(OR(H227="ריביות",AND(H227="דירה כצנלסון",G227&lt;0,ISNUMBER(SEARCH("הכנסה",F227)))),"הכנסה שסווגה מחדש",J227)</f>
        <v>שוטף</v>
      </c>
      <c r="L227" t="s" s="134">
        <v>741</v>
      </c>
      <c r="M227" s="136" cm="1">
        <f t="array" ref="M227">IF(L227="מאושר",IF(K227="הכנסה שסווגה מחדש",0,G227),0)</f>
        <v>60</v>
      </c>
      <c r="N227" s="136" cm="1">
        <f t="array" ref="N227">IF(K227="שוטף",M227,0)</f>
        <v>60</v>
      </c>
      <c r="O227" s="136" cm="1">
        <f t="array" ref="O227">IF(K227="הכנסה שסווגה מחדש",-G227,0)</f>
        <v>0</v>
      </c>
      <c r="P227" t="s" s="79">
        <v>748</v>
      </c>
      <c r="Q227" s="100"/>
      <c r="R227" t="s" s="137">
        <v>743</v>
      </c>
      <c r="S227" s="77"/>
    </row>
    <row r="228" ht="13.65" customHeight="1">
      <c r="A228" s="84">
        <v>45717</v>
      </c>
      <c r="B228" t="s" s="85">
        <v>37</v>
      </c>
      <c r="C228" t="s" s="86">
        <v>793</v>
      </c>
      <c r="D228" s="138">
        <v>60</v>
      </c>
      <c r="E228" t="s" s="85">
        <v>788</v>
      </c>
      <c r="F228" t="s" s="86">
        <v>259</v>
      </c>
      <c r="G228" s="139">
        <v>1835</v>
      </c>
      <c r="H228" t="s" s="140">
        <v>105</v>
      </c>
      <c r="I228" t="s" s="141">
        <v>105</v>
      </c>
      <c r="J228" t="s" s="141">
        <v>103</v>
      </c>
      <c r="K228" t="str" s="142" cm="1">
        <f t="array" ref="K228">IF(OR(H228="ריביות",AND(H228="דירה כצנלסון",G228&lt;0,ISNUMBER(SEARCH("הכנסה",F228)))),"הכנסה שסווגה מחדש",J228)</f>
        <v>חריג</v>
      </c>
      <c r="L228" t="s" s="141">
        <v>741</v>
      </c>
      <c r="M228" s="143" cm="1">
        <f t="array" ref="M228">IF(L228="מאושר",IF(K228="הכנסה שסווגה מחדש",0,G228),0)</f>
        <v>1835</v>
      </c>
      <c r="N228" s="143" cm="1">
        <f t="array" ref="N228">IF(K228="שוטף",M228,0)</f>
        <v>0</v>
      </c>
      <c r="O228" s="143" cm="1">
        <f t="array" ref="O228">IF(K228="הכנסה שסווגה מחדש",-G228,0)</f>
        <v>0</v>
      </c>
      <c r="P228" t="s" s="85">
        <v>748</v>
      </c>
      <c r="Q228" s="99"/>
      <c r="R228" t="s" s="144">
        <v>743</v>
      </c>
      <c r="S228" s="77"/>
    </row>
    <row r="229" ht="13.65" customHeight="1">
      <c r="A229" s="78">
        <v>45717</v>
      </c>
      <c r="B229" t="s" s="79">
        <v>37</v>
      </c>
      <c r="C229" t="s" s="80">
        <v>793</v>
      </c>
      <c r="D229" s="131">
        <v>61</v>
      </c>
      <c r="E229" t="s" s="79">
        <v>751</v>
      </c>
      <c r="F229" t="s" s="80">
        <v>223</v>
      </c>
      <c r="G229" s="132">
        <v>78</v>
      </c>
      <c r="H229" t="s" s="133">
        <v>117</v>
      </c>
      <c r="I229" t="s" s="134">
        <v>117</v>
      </c>
      <c r="J229" t="s" s="134">
        <v>97</v>
      </c>
      <c r="K229" t="str" s="135" cm="1">
        <f t="array" ref="K229">IF(OR(H229="ריביות",AND(H229="דירה כצנלסון",G229&lt;0,ISNUMBER(SEARCH("הכנסה",F229)))),"הכנסה שסווגה מחדש",J229)</f>
        <v>שוטף</v>
      </c>
      <c r="L229" t="s" s="134">
        <v>741</v>
      </c>
      <c r="M229" s="136" cm="1">
        <f t="array" ref="M229">IF(L229="מאושר",IF(K229="הכנסה שסווגה מחדש",0,G229),0)</f>
        <v>78</v>
      </c>
      <c r="N229" s="136" cm="1">
        <f t="array" ref="N229">IF(K229="שוטף",M229,0)</f>
        <v>78</v>
      </c>
      <c r="O229" s="136" cm="1">
        <f t="array" ref="O229">IF(K229="הכנסה שסווגה מחדש",-G229,0)</f>
        <v>0</v>
      </c>
      <c r="P229" t="s" s="79">
        <v>748</v>
      </c>
      <c r="Q229" s="100"/>
      <c r="R229" t="s" s="137">
        <v>743</v>
      </c>
      <c r="S229" s="77"/>
    </row>
    <row r="230" ht="13.65" customHeight="1">
      <c r="A230" s="84">
        <v>45717</v>
      </c>
      <c r="B230" t="s" s="85">
        <v>37</v>
      </c>
      <c r="C230" t="s" s="86">
        <v>793</v>
      </c>
      <c r="D230" s="138">
        <v>62</v>
      </c>
      <c r="E230" t="s" s="85">
        <v>753</v>
      </c>
      <c r="F230" t="s" s="86">
        <v>504</v>
      </c>
      <c r="G230" s="139">
        <v>119</v>
      </c>
      <c r="H230" t="s" s="140">
        <v>105</v>
      </c>
      <c r="I230" t="s" s="141">
        <v>105</v>
      </c>
      <c r="J230" t="s" s="141">
        <v>103</v>
      </c>
      <c r="K230" t="str" s="142" cm="1">
        <f t="array" ref="K230">IF(OR(H230="ריביות",AND(H230="דירה כצנלסון",G230&lt;0,ISNUMBER(SEARCH("הכנסה",F230)))),"הכנסה שסווגה מחדש",J230)</f>
        <v>חריג</v>
      </c>
      <c r="L230" t="s" s="141">
        <v>741</v>
      </c>
      <c r="M230" s="143" cm="1">
        <f t="array" ref="M230">IF(L230="מאושר",IF(K230="הכנסה שסווגה מחדש",0,G230),0)</f>
        <v>119</v>
      </c>
      <c r="N230" s="143" cm="1">
        <f t="array" ref="N230">IF(K230="שוטף",M230,0)</f>
        <v>0</v>
      </c>
      <c r="O230" s="143" cm="1">
        <f t="array" ref="O230">IF(K230="הכנסה שסווגה מחדש",-G230,0)</f>
        <v>0</v>
      </c>
      <c r="P230" t="s" s="85">
        <v>748</v>
      </c>
      <c r="Q230" s="99"/>
      <c r="R230" t="s" s="144">
        <v>743</v>
      </c>
      <c r="S230" s="77"/>
    </row>
    <row r="231" ht="13.65" customHeight="1">
      <c r="A231" s="78">
        <v>45717</v>
      </c>
      <c r="B231" t="s" s="79">
        <v>37</v>
      </c>
      <c r="C231" t="s" s="80">
        <v>793</v>
      </c>
      <c r="D231" s="131">
        <v>63</v>
      </c>
      <c r="E231" t="s" s="79">
        <v>772</v>
      </c>
      <c r="F231" t="s" s="80">
        <v>307</v>
      </c>
      <c r="G231" s="132">
        <v>40</v>
      </c>
      <c r="H231" t="s" s="133">
        <v>115</v>
      </c>
      <c r="I231" t="s" s="134">
        <v>115</v>
      </c>
      <c r="J231" t="s" s="134">
        <v>97</v>
      </c>
      <c r="K231" t="str" s="135" cm="1">
        <f t="array" ref="K231">IF(OR(H231="ריביות",AND(H231="דירה כצנלסון",G231&lt;0,ISNUMBER(SEARCH("הכנסה",F231)))),"הכנסה שסווגה מחדש",J231)</f>
        <v>שוטף</v>
      </c>
      <c r="L231" t="s" s="134">
        <v>741</v>
      </c>
      <c r="M231" s="136" cm="1">
        <f t="array" ref="M231">IF(L231="מאושר",IF(K231="הכנסה שסווגה מחדש",0,G231),0)</f>
        <v>40</v>
      </c>
      <c r="N231" s="136" cm="1">
        <f t="array" ref="N231">IF(K231="שוטף",M231,0)</f>
        <v>40</v>
      </c>
      <c r="O231" s="136" cm="1">
        <f t="array" ref="O231">IF(K231="הכנסה שסווגה מחדש",-G231,0)</f>
        <v>0</v>
      </c>
      <c r="P231" t="s" s="79">
        <v>748</v>
      </c>
      <c r="Q231" s="100"/>
      <c r="R231" t="s" s="137">
        <v>743</v>
      </c>
      <c r="S231" s="77"/>
    </row>
    <row r="232" ht="13.65" customHeight="1">
      <c r="A232" s="84">
        <v>45717</v>
      </c>
      <c r="B232" t="s" s="85">
        <v>37</v>
      </c>
      <c r="C232" t="s" s="86">
        <v>793</v>
      </c>
      <c r="D232" s="138">
        <v>64</v>
      </c>
      <c r="E232" t="s" s="85">
        <v>772</v>
      </c>
      <c r="F232" t="s" s="86">
        <v>229</v>
      </c>
      <c r="G232" s="139">
        <v>372</v>
      </c>
      <c r="H232" t="s" s="140">
        <v>210</v>
      </c>
      <c r="I232" t="s" s="141">
        <v>102</v>
      </c>
      <c r="J232" t="s" s="141">
        <v>103</v>
      </c>
      <c r="K232" t="str" s="142" cm="1">
        <f t="array" ref="K232">IF(OR(H232="ריביות",AND(H232="דירה כצנלסון",G232&lt;0,ISNUMBER(SEARCH("הכנסה",F232)))),"הכנסה שסווגה מחדש",J232)</f>
        <v>חריג</v>
      </c>
      <c r="L232" t="s" s="141">
        <v>741</v>
      </c>
      <c r="M232" s="143" cm="1">
        <f t="array" ref="M232">IF(L232="מאושר",IF(K232="הכנסה שסווגה מחדש",0,G232),0)</f>
        <v>372</v>
      </c>
      <c r="N232" s="143" cm="1">
        <f t="array" ref="N232">IF(K232="שוטף",M232,0)</f>
        <v>0</v>
      </c>
      <c r="O232" s="143" cm="1">
        <f t="array" ref="O232">IF(K232="הכנסה שסווגה מחדש",-G232,0)</f>
        <v>0</v>
      </c>
      <c r="P232" t="s" s="85">
        <v>748</v>
      </c>
      <c r="Q232" s="99"/>
      <c r="R232" t="s" s="144">
        <v>743</v>
      </c>
      <c r="S232" s="77"/>
    </row>
    <row r="233" ht="13.65" customHeight="1">
      <c r="A233" s="78">
        <v>45717</v>
      </c>
      <c r="B233" t="s" s="79">
        <v>37</v>
      </c>
      <c r="C233" t="s" s="80">
        <v>793</v>
      </c>
      <c r="D233" s="131">
        <v>65</v>
      </c>
      <c r="E233" t="s" s="79">
        <v>772</v>
      </c>
      <c r="F233" t="s" s="80">
        <v>229</v>
      </c>
      <c r="G233" s="132">
        <v>320</v>
      </c>
      <c r="H233" t="s" s="133">
        <v>210</v>
      </c>
      <c r="I233" t="s" s="134">
        <v>102</v>
      </c>
      <c r="J233" t="s" s="134">
        <v>103</v>
      </c>
      <c r="K233" t="str" s="135" cm="1">
        <f t="array" ref="K233">IF(OR(H233="ריביות",AND(H233="דירה כצנלסון",G233&lt;0,ISNUMBER(SEARCH("הכנסה",F233)))),"הכנסה שסווגה מחדש",J233)</f>
        <v>חריג</v>
      </c>
      <c r="L233" t="s" s="134">
        <v>741</v>
      </c>
      <c r="M233" s="136" cm="1">
        <f t="array" ref="M233">IF(L233="מאושר",IF(K233="הכנסה שסווגה מחדש",0,G233),0)</f>
        <v>320</v>
      </c>
      <c r="N233" s="136" cm="1">
        <f t="array" ref="N233">IF(K233="שוטף",M233,0)</f>
        <v>0</v>
      </c>
      <c r="O233" s="136" cm="1">
        <f t="array" ref="O233">IF(K233="הכנסה שסווגה מחדש",-G233,0)</f>
        <v>0</v>
      </c>
      <c r="P233" t="s" s="79">
        <v>748</v>
      </c>
      <c r="Q233" s="100"/>
      <c r="R233" t="s" s="137">
        <v>743</v>
      </c>
      <c r="S233" s="77"/>
    </row>
    <row r="234" ht="13.65" customHeight="1">
      <c r="A234" s="84">
        <v>45717</v>
      </c>
      <c r="B234" t="s" s="85">
        <v>37</v>
      </c>
      <c r="C234" t="s" s="86">
        <v>793</v>
      </c>
      <c r="D234" s="138">
        <v>66</v>
      </c>
      <c r="E234" t="s" s="85">
        <v>772</v>
      </c>
      <c r="F234" t="s" s="86">
        <v>229</v>
      </c>
      <c r="G234" s="139">
        <v>3549</v>
      </c>
      <c r="H234" t="s" s="140">
        <v>210</v>
      </c>
      <c r="I234" t="s" s="141">
        <v>102</v>
      </c>
      <c r="J234" t="s" s="141">
        <v>103</v>
      </c>
      <c r="K234" t="str" s="142" cm="1">
        <f t="array" ref="K234">IF(OR(H234="ריביות",AND(H234="דירה כצנלסון",G234&lt;0,ISNUMBER(SEARCH("הכנסה",F234)))),"הכנסה שסווגה מחדש",J234)</f>
        <v>חריג</v>
      </c>
      <c r="L234" t="s" s="141">
        <v>741</v>
      </c>
      <c r="M234" s="143" cm="1">
        <f t="array" ref="M234">IF(L234="מאושר",IF(K234="הכנסה שסווגה מחדש",0,G234),0)</f>
        <v>3549</v>
      </c>
      <c r="N234" s="143" cm="1">
        <f t="array" ref="N234">IF(K234="שוטף",M234,0)</f>
        <v>0</v>
      </c>
      <c r="O234" s="143" cm="1">
        <f t="array" ref="O234">IF(K234="הכנסה שסווגה מחדש",-G234,0)</f>
        <v>0</v>
      </c>
      <c r="P234" t="s" s="85">
        <v>748</v>
      </c>
      <c r="Q234" s="99"/>
      <c r="R234" t="s" s="144">
        <v>743</v>
      </c>
      <c r="S234" s="77"/>
    </row>
    <row r="235" ht="13.65" customHeight="1">
      <c r="A235" s="78">
        <v>45717</v>
      </c>
      <c r="B235" t="s" s="79">
        <v>37</v>
      </c>
      <c r="C235" t="s" s="80">
        <v>793</v>
      </c>
      <c r="D235" s="131">
        <v>67</v>
      </c>
      <c r="E235" t="s" s="79">
        <v>768</v>
      </c>
      <c r="F235" t="s" s="80">
        <v>362</v>
      </c>
      <c r="G235" s="132">
        <v>437</v>
      </c>
      <c r="H235" t="s" s="133">
        <v>109</v>
      </c>
      <c r="I235" t="s" s="134">
        <v>109</v>
      </c>
      <c r="J235" t="s" s="134">
        <v>97</v>
      </c>
      <c r="K235" t="str" s="135" cm="1">
        <f t="array" ref="K235">IF(OR(H235="ריביות",AND(H235="דירה כצנלסון",G235&lt;0,ISNUMBER(SEARCH("הכנסה",F235)))),"הכנסה שסווגה מחדש",J235)</f>
        <v>שוטף</v>
      </c>
      <c r="L235" t="s" s="134">
        <v>741</v>
      </c>
      <c r="M235" s="136" cm="1">
        <f t="array" ref="M235">IF(L235="מאושר",IF(K235="הכנסה שסווגה מחדש",0,G235),0)</f>
        <v>437</v>
      </c>
      <c r="N235" s="136" cm="1">
        <f t="array" ref="N235">IF(K235="שוטף",M235,0)</f>
        <v>437</v>
      </c>
      <c r="O235" s="136" cm="1">
        <f t="array" ref="O235">IF(K235="הכנסה שסווגה מחדש",-G235,0)</f>
        <v>0</v>
      </c>
      <c r="P235" t="s" s="79">
        <v>748</v>
      </c>
      <c r="Q235" s="100"/>
      <c r="R235" t="s" s="137">
        <v>743</v>
      </c>
      <c r="S235" s="77"/>
    </row>
    <row r="236" ht="13.65" customHeight="1">
      <c r="A236" s="84">
        <v>45717</v>
      </c>
      <c r="B236" t="s" s="85">
        <v>37</v>
      </c>
      <c r="C236" t="s" s="86">
        <v>793</v>
      </c>
      <c r="D236" s="138">
        <v>68</v>
      </c>
      <c r="E236" t="s" s="85">
        <v>766</v>
      </c>
      <c r="F236" t="s" s="86">
        <v>684</v>
      </c>
      <c r="G236" s="139">
        <v>15</v>
      </c>
      <c r="H236" t="s" s="140">
        <v>129</v>
      </c>
      <c r="I236" t="s" s="141">
        <v>129</v>
      </c>
      <c r="J236" t="s" s="141">
        <v>97</v>
      </c>
      <c r="K236" t="str" s="142" cm="1">
        <f t="array" ref="K236">IF(OR(H236="ריביות",AND(H236="דירה כצנלסון",G236&lt;0,ISNUMBER(SEARCH("הכנסה",F236)))),"הכנסה שסווגה מחדש",J236)</f>
        <v>שוטף</v>
      </c>
      <c r="L236" t="s" s="141">
        <v>741</v>
      </c>
      <c r="M236" s="143" cm="1">
        <f t="array" ref="M236">IF(L236="מאושר",IF(K236="הכנסה שסווגה מחדש",0,G236),0)</f>
        <v>15</v>
      </c>
      <c r="N236" s="143" cm="1">
        <f t="array" ref="N236">IF(K236="שוטף",M236,0)</f>
        <v>15</v>
      </c>
      <c r="O236" s="143" cm="1">
        <f t="array" ref="O236">IF(K236="הכנסה שסווגה מחדש",-G236,0)</f>
        <v>0</v>
      </c>
      <c r="P236" t="s" s="85">
        <v>748</v>
      </c>
      <c r="Q236" s="99"/>
      <c r="R236" t="s" s="144">
        <v>743</v>
      </c>
      <c r="S236" s="77"/>
    </row>
    <row r="237" ht="13.65" customHeight="1">
      <c r="A237" s="78">
        <v>45717</v>
      </c>
      <c r="B237" t="s" s="79">
        <v>37</v>
      </c>
      <c r="C237" t="s" s="80">
        <v>793</v>
      </c>
      <c r="D237" s="131">
        <v>69</v>
      </c>
      <c r="E237" t="s" s="79">
        <v>755</v>
      </c>
      <c r="F237" t="s" s="80">
        <v>307</v>
      </c>
      <c r="G237" s="132">
        <v>7</v>
      </c>
      <c r="H237" t="s" s="133">
        <v>115</v>
      </c>
      <c r="I237" t="s" s="134">
        <v>115</v>
      </c>
      <c r="J237" t="s" s="134">
        <v>97</v>
      </c>
      <c r="K237" t="str" s="135" cm="1">
        <f t="array" ref="K237">IF(OR(H237="ריביות",AND(H237="דירה כצנלסון",G237&lt;0,ISNUMBER(SEARCH("הכנסה",F237)))),"הכנסה שסווגה מחדש",J237)</f>
        <v>שוטף</v>
      </c>
      <c r="L237" t="s" s="134">
        <v>741</v>
      </c>
      <c r="M237" s="136" cm="1">
        <f t="array" ref="M237">IF(L237="מאושר",IF(K237="הכנסה שסווגה מחדש",0,G237),0)</f>
        <v>7</v>
      </c>
      <c r="N237" s="136" cm="1">
        <f t="array" ref="N237">IF(K237="שוטף",M237,0)</f>
        <v>7</v>
      </c>
      <c r="O237" s="136" cm="1">
        <f t="array" ref="O237">IF(K237="הכנסה שסווגה מחדש",-G237,0)</f>
        <v>0</v>
      </c>
      <c r="P237" t="s" s="79">
        <v>748</v>
      </c>
      <c r="Q237" s="100"/>
      <c r="R237" t="s" s="137">
        <v>743</v>
      </c>
      <c r="S237" s="77"/>
    </row>
    <row r="238" ht="13.65" customHeight="1">
      <c r="A238" s="84">
        <v>45717</v>
      </c>
      <c r="B238" t="s" s="85">
        <v>37</v>
      </c>
      <c r="C238" t="s" s="86">
        <v>793</v>
      </c>
      <c r="D238" s="138">
        <v>70</v>
      </c>
      <c r="E238" t="s" s="85">
        <v>755</v>
      </c>
      <c r="F238" t="s" s="86">
        <v>307</v>
      </c>
      <c r="G238" s="139">
        <v>6</v>
      </c>
      <c r="H238" t="s" s="140">
        <v>115</v>
      </c>
      <c r="I238" t="s" s="141">
        <v>115</v>
      </c>
      <c r="J238" t="s" s="141">
        <v>97</v>
      </c>
      <c r="K238" t="str" s="142" cm="1">
        <f t="array" ref="K238">IF(OR(H238="ריביות",AND(H238="דירה כצנלסון",G238&lt;0,ISNUMBER(SEARCH("הכנסה",F238)))),"הכנסה שסווגה מחדש",J238)</f>
        <v>שוטף</v>
      </c>
      <c r="L238" t="s" s="141">
        <v>741</v>
      </c>
      <c r="M238" s="143" cm="1">
        <f t="array" ref="M238">IF(L238="מאושר",IF(K238="הכנסה שסווגה מחדש",0,G238),0)</f>
        <v>6</v>
      </c>
      <c r="N238" s="143" cm="1">
        <f t="array" ref="N238">IF(K238="שוטף",M238,0)</f>
        <v>6</v>
      </c>
      <c r="O238" s="143" cm="1">
        <f t="array" ref="O238">IF(K238="הכנסה שסווגה מחדש",-G238,0)</f>
        <v>0</v>
      </c>
      <c r="P238" t="s" s="85">
        <v>748</v>
      </c>
      <c r="Q238" s="99"/>
      <c r="R238" t="s" s="144">
        <v>743</v>
      </c>
      <c r="S238" s="77"/>
    </row>
    <row r="239" ht="13.65" customHeight="1">
      <c r="A239" s="78">
        <v>45717</v>
      </c>
      <c r="B239" t="s" s="79">
        <v>37</v>
      </c>
      <c r="C239" t="s" s="80">
        <v>793</v>
      </c>
      <c r="D239" s="131">
        <v>71</v>
      </c>
      <c r="E239" t="s" s="79">
        <v>759</v>
      </c>
      <c r="F239" t="s" s="80">
        <v>307</v>
      </c>
      <c r="G239" s="132">
        <v>13</v>
      </c>
      <c r="H239" t="s" s="133">
        <v>115</v>
      </c>
      <c r="I239" t="s" s="134">
        <v>115</v>
      </c>
      <c r="J239" t="s" s="134">
        <v>97</v>
      </c>
      <c r="K239" t="str" s="135" cm="1">
        <f t="array" ref="K239">IF(OR(H239="ריביות",AND(H239="דירה כצנלסון",G239&lt;0,ISNUMBER(SEARCH("הכנסה",F239)))),"הכנסה שסווגה מחדש",J239)</f>
        <v>שוטף</v>
      </c>
      <c r="L239" t="s" s="134">
        <v>741</v>
      </c>
      <c r="M239" s="136" cm="1">
        <f t="array" ref="M239">IF(L239="מאושר",IF(K239="הכנסה שסווגה מחדש",0,G239),0)</f>
        <v>13</v>
      </c>
      <c r="N239" s="136" cm="1">
        <f t="array" ref="N239">IF(K239="שוטף",M239,0)</f>
        <v>13</v>
      </c>
      <c r="O239" s="136" cm="1">
        <f t="array" ref="O239">IF(K239="הכנסה שסווגה מחדש",-G239,0)</f>
        <v>0</v>
      </c>
      <c r="P239" t="s" s="79">
        <v>748</v>
      </c>
      <c r="Q239" s="100"/>
      <c r="R239" t="s" s="137">
        <v>743</v>
      </c>
      <c r="S239" s="77"/>
    </row>
    <row r="240" ht="13.65" customHeight="1">
      <c r="A240" s="84">
        <v>45717</v>
      </c>
      <c r="B240" t="s" s="85">
        <v>37</v>
      </c>
      <c r="C240" t="s" s="86">
        <v>793</v>
      </c>
      <c r="D240" s="138">
        <v>72</v>
      </c>
      <c r="E240" t="s" s="85">
        <v>756</v>
      </c>
      <c r="F240" t="s" s="86">
        <v>223</v>
      </c>
      <c r="G240" s="139">
        <v>65</v>
      </c>
      <c r="H240" t="s" s="140">
        <v>117</v>
      </c>
      <c r="I240" t="s" s="141">
        <v>117</v>
      </c>
      <c r="J240" t="s" s="141">
        <v>97</v>
      </c>
      <c r="K240" t="str" s="142" cm="1">
        <f t="array" ref="K240">IF(OR(H240="ריביות",AND(H240="דירה כצנלסון",G240&lt;0,ISNUMBER(SEARCH("הכנסה",F240)))),"הכנסה שסווגה מחדש",J240)</f>
        <v>שוטף</v>
      </c>
      <c r="L240" t="s" s="141">
        <v>741</v>
      </c>
      <c r="M240" s="143" cm="1">
        <f t="array" ref="M240">IF(L240="מאושר",IF(K240="הכנסה שסווגה מחדש",0,G240),0)</f>
        <v>65</v>
      </c>
      <c r="N240" s="143" cm="1">
        <f t="array" ref="N240">IF(K240="שוטף",M240,0)</f>
        <v>65</v>
      </c>
      <c r="O240" s="143" cm="1">
        <f t="array" ref="O240">IF(K240="הכנסה שסווגה מחדש",-G240,0)</f>
        <v>0</v>
      </c>
      <c r="P240" t="s" s="85">
        <v>748</v>
      </c>
      <c r="Q240" s="99"/>
      <c r="R240" t="s" s="144">
        <v>743</v>
      </c>
      <c r="S240" s="77"/>
    </row>
    <row r="241" ht="13.65" customHeight="1">
      <c r="A241" s="78">
        <v>45717</v>
      </c>
      <c r="B241" t="s" s="79">
        <v>37</v>
      </c>
      <c r="C241" t="s" s="80">
        <v>793</v>
      </c>
      <c r="D241" s="131">
        <v>73</v>
      </c>
      <c r="E241" t="s" s="79">
        <v>756</v>
      </c>
      <c r="F241" t="s" s="80">
        <v>620</v>
      </c>
      <c r="G241" s="132">
        <v>44</v>
      </c>
      <c r="H241" t="s" s="133">
        <v>113</v>
      </c>
      <c r="I241" t="s" s="134">
        <v>113</v>
      </c>
      <c r="J241" t="s" s="134">
        <v>97</v>
      </c>
      <c r="K241" t="str" s="135" cm="1">
        <f t="array" ref="K241">IF(OR(H241="ריביות",AND(H241="דירה כצנלסון",G241&lt;0,ISNUMBER(SEARCH("הכנסה",F241)))),"הכנסה שסווגה מחדש",J241)</f>
        <v>שוטף</v>
      </c>
      <c r="L241" t="s" s="134">
        <v>741</v>
      </c>
      <c r="M241" s="136" cm="1">
        <f t="array" ref="M241">IF(L241="מאושר",IF(K241="הכנסה שסווגה מחדש",0,G241),0)</f>
        <v>44</v>
      </c>
      <c r="N241" s="136" cm="1">
        <f t="array" ref="N241">IF(K241="שוטף",M241,0)</f>
        <v>44</v>
      </c>
      <c r="O241" s="136" cm="1">
        <f t="array" ref="O241">IF(K241="הכנסה שסווגה מחדש",-G241,0)</f>
        <v>0</v>
      </c>
      <c r="P241" t="s" s="79">
        <v>748</v>
      </c>
      <c r="Q241" s="100"/>
      <c r="R241" t="s" s="137">
        <v>743</v>
      </c>
      <c r="S241" s="77"/>
    </row>
    <row r="242" ht="13.65" customHeight="1">
      <c r="A242" s="84">
        <v>45717</v>
      </c>
      <c r="B242" t="s" s="85">
        <v>37</v>
      </c>
      <c r="C242" t="s" s="86">
        <v>793</v>
      </c>
      <c r="D242" s="138">
        <v>74</v>
      </c>
      <c r="E242" t="s" s="85">
        <v>756</v>
      </c>
      <c r="F242" t="s" s="86">
        <v>536</v>
      </c>
      <c r="G242" s="139">
        <v>90</v>
      </c>
      <c r="H242" t="s" s="140">
        <v>121</v>
      </c>
      <c r="I242" t="s" s="141">
        <v>121</v>
      </c>
      <c r="J242" t="s" s="141">
        <v>97</v>
      </c>
      <c r="K242" t="str" s="142" cm="1">
        <f t="array" ref="K242">IF(OR(H242="ריביות",AND(H242="דירה כצנלסון",G242&lt;0,ISNUMBER(SEARCH("הכנסה",F242)))),"הכנסה שסווגה מחדש",J242)</f>
        <v>שוטף</v>
      </c>
      <c r="L242" t="s" s="141">
        <v>741</v>
      </c>
      <c r="M242" s="143" cm="1">
        <f t="array" ref="M242">IF(L242="מאושר",IF(K242="הכנסה שסווגה מחדש",0,G242),0)</f>
        <v>90</v>
      </c>
      <c r="N242" s="143" cm="1">
        <f t="array" ref="N242">IF(K242="שוטף",M242,0)</f>
        <v>90</v>
      </c>
      <c r="O242" s="143" cm="1">
        <f t="array" ref="O242">IF(K242="הכנסה שסווגה מחדש",-G242,0)</f>
        <v>0</v>
      </c>
      <c r="P242" t="s" s="85">
        <v>748</v>
      </c>
      <c r="Q242" s="99"/>
      <c r="R242" t="s" s="144">
        <v>743</v>
      </c>
      <c r="S242" s="77"/>
    </row>
    <row r="243" ht="13.65" customHeight="1">
      <c r="A243" s="78">
        <v>45717</v>
      </c>
      <c r="B243" t="s" s="79">
        <v>37</v>
      </c>
      <c r="C243" t="s" s="80">
        <v>793</v>
      </c>
      <c r="D243" s="131">
        <v>75</v>
      </c>
      <c r="E243" t="s" s="79">
        <v>795</v>
      </c>
      <c r="F243" t="s" s="80">
        <v>223</v>
      </c>
      <c r="G243" s="132">
        <v>234</v>
      </c>
      <c r="H243" t="s" s="133">
        <v>117</v>
      </c>
      <c r="I243" t="s" s="134">
        <v>117</v>
      </c>
      <c r="J243" t="s" s="134">
        <v>97</v>
      </c>
      <c r="K243" t="str" s="135" cm="1">
        <f t="array" ref="K243">IF(OR(H243="ריביות",AND(H243="דירה כצנלסון",G243&lt;0,ISNUMBER(SEARCH("הכנסה",F243)))),"הכנסה שסווגה מחדש",J243)</f>
        <v>שוטף</v>
      </c>
      <c r="L243" t="s" s="134">
        <v>741</v>
      </c>
      <c r="M243" s="136" cm="1">
        <f t="array" ref="M243">IF(L243="מאושר",IF(K243="הכנסה שסווגה מחדש",0,G243),0)</f>
        <v>234</v>
      </c>
      <c r="N243" s="136" cm="1">
        <f t="array" ref="N243">IF(K243="שוטף",M243,0)</f>
        <v>234</v>
      </c>
      <c r="O243" s="136" cm="1">
        <f t="array" ref="O243">IF(K243="הכנסה שסווגה מחדש",-G243,0)</f>
        <v>0</v>
      </c>
      <c r="P243" t="s" s="80">
        <v>762</v>
      </c>
      <c r="Q243" s="100"/>
      <c r="R243" t="s" s="137">
        <v>743</v>
      </c>
      <c r="S243" s="77"/>
    </row>
    <row r="244" ht="13.65" customHeight="1">
      <c r="A244" s="84">
        <v>45717</v>
      </c>
      <c r="B244" t="s" s="85">
        <v>37</v>
      </c>
      <c r="C244" t="s" s="86">
        <v>793</v>
      </c>
      <c r="D244" s="138">
        <v>76</v>
      </c>
      <c r="E244" t="s" s="85">
        <v>34</v>
      </c>
      <c r="F244" t="s" s="86">
        <v>199</v>
      </c>
      <c r="G244" s="139">
        <v>1800</v>
      </c>
      <c r="H244" t="s" s="140">
        <v>767</v>
      </c>
      <c r="I244" t="s" s="141">
        <v>107</v>
      </c>
      <c r="J244" t="s" s="141">
        <v>97</v>
      </c>
      <c r="K244" t="str" s="142" cm="1">
        <f t="array" ref="K244">IF(OR(H244="ריביות",AND(H244="דירה כצנלסון",G244&lt;0,ISNUMBER(SEARCH("הכנסה",F244)))),"הכנסה שסווגה מחדש",J244)</f>
        <v>שוטף</v>
      </c>
      <c r="L244" t="s" s="141">
        <v>741</v>
      </c>
      <c r="M244" s="143" cm="1">
        <f t="array" ref="M244">IF(L244="מאושר",IF(K244="הכנסה שסווגה מחדש",0,G244),0)</f>
        <v>1800</v>
      </c>
      <c r="N244" s="143" cm="1">
        <f t="array" ref="N244">IF(K244="שוטף",M244,0)</f>
        <v>1800</v>
      </c>
      <c r="O244" s="143" cm="1">
        <f t="array" ref="O244">IF(K244="הכנסה שסווגה מחדש",-G244,0)</f>
        <v>0</v>
      </c>
      <c r="P244" t="s" s="86">
        <v>762</v>
      </c>
      <c r="Q244" s="99"/>
      <c r="R244" t="s" s="144">
        <v>743</v>
      </c>
      <c r="S244" s="77"/>
    </row>
    <row r="245" ht="13.65" customHeight="1">
      <c r="A245" s="78">
        <v>45717</v>
      </c>
      <c r="B245" t="s" s="79">
        <v>37</v>
      </c>
      <c r="C245" t="s" s="80">
        <v>793</v>
      </c>
      <c r="D245" s="131">
        <v>77</v>
      </c>
      <c r="E245" t="s" s="79">
        <v>34</v>
      </c>
      <c r="F245" t="s" s="80">
        <v>347</v>
      </c>
      <c r="G245" s="132">
        <v>517</v>
      </c>
      <c r="H245" t="s" s="133">
        <v>105</v>
      </c>
      <c r="I245" t="s" s="134">
        <v>105</v>
      </c>
      <c r="J245" t="s" s="134">
        <v>103</v>
      </c>
      <c r="K245" t="str" s="135" cm="1">
        <f t="array" ref="K245">IF(OR(H245="ריביות",AND(H245="דירה כצנלסון",G245&lt;0,ISNUMBER(SEARCH("הכנסה",F245)))),"הכנסה שסווגה מחדש",J245)</f>
        <v>חריג</v>
      </c>
      <c r="L245" t="s" s="134">
        <v>741</v>
      </c>
      <c r="M245" s="136" cm="1">
        <f t="array" ref="M245">IF(L245="מאושר",IF(K245="הכנסה שסווגה מחדש",0,G245),0)</f>
        <v>517</v>
      </c>
      <c r="N245" s="136" cm="1">
        <f t="array" ref="N245">IF(K245="שוטף",M245,0)</f>
        <v>0</v>
      </c>
      <c r="O245" s="136" cm="1">
        <f t="array" ref="O245">IF(K245="הכנסה שסווגה מחדש",-G245,0)</f>
        <v>0</v>
      </c>
      <c r="P245" t="s" s="80">
        <v>762</v>
      </c>
      <c r="Q245" s="100"/>
      <c r="R245" t="s" s="137">
        <v>743</v>
      </c>
      <c r="S245" s="77"/>
    </row>
    <row r="246" ht="13.65" customHeight="1">
      <c r="A246" s="84">
        <v>45717</v>
      </c>
      <c r="B246" t="s" s="85">
        <v>37</v>
      </c>
      <c r="C246" t="s" s="86">
        <v>793</v>
      </c>
      <c r="D246" s="138">
        <v>78</v>
      </c>
      <c r="E246" t="s" s="85">
        <v>34</v>
      </c>
      <c r="F246" t="s" s="86">
        <v>297</v>
      </c>
      <c r="G246" s="139">
        <v>1000</v>
      </c>
      <c r="H246" t="s" s="140">
        <v>105</v>
      </c>
      <c r="I246" t="s" s="141">
        <v>105</v>
      </c>
      <c r="J246" t="s" s="141">
        <v>103</v>
      </c>
      <c r="K246" t="str" s="142" cm="1">
        <f t="array" ref="K246">IF(OR(H246="ריביות",AND(H246="דירה כצנלסון",G246&lt;0,ISNUMBER(SEARCH("הכנסה",F246)))),"הכנסה שסווגה מחדש",J246)</f>
        <v>חריג</v>
      </c>
      <c r="L246" t="s" s="141">
        <v>741</v>
      </c>
      <c r="M246" s="143" cm="1">
        <f t="array" ref="M246">IF(L246="מאושר",IF(K246="הכנסה שסווגה מחדש",0,G246),0)</f>
        <v>1000</v>
      </c>
      <c r="N246" s="143" cm="1">
        <f t="array" ref="N246">IF(K246="שוטף",M246,0)</f>
        <v>0</v>
      </c>
      <c r="O246" s="143" cm="1">
        <f t="array" ref="O246">IF(K246="הכנסה שסווגה מחדש",-G246,0)</f>
        <v>0</v>
      </c>
      <c r="P246" t="s" s="86">
        <v>762</v>
      </c>
      <c r="Q246" s="99"/>
      <c r="R246" t="s" s="144">
        <v>743</v>
      </c>
      <c r="S246" s="77"/>
    </row>
    <row r="247" ht="13.65" customHeight="1">
      <c r="A247" s="78">
        <v>45717</v>
      </c>
      <c r="B247" t="s" s="79">
        <v>37</v>
      </c>
      <c r="C247" t="s" s="80">
        <v>793</v>
      </c>
      <c r="D247" s="131">
        <v>79</v>
      </c>
      <c r="E247" t="s" s="79">
        <v>34</v>
      </c>
      <c r="F247" t="s" s="80">
        <v>517</v>
      </c>
      <c r="G247" s="132">
        <v>105</v>
      </c>
      <c r="H247" t="s" s="133">
        <v>113</v>
      </c>
      <c r="I247" t="s" s="134">
        <v>113</v>
      </c>
      <c r="J247" t="s" s="134">
        <v>97</v>
      </c>
      <c r="K247" t="str" s="135" cm="1">
        <f t="array" ref="K247">IF(OR(H247="ריביות",AND(H247="דירה כצנלסון",G247&lt;0,ISNUMBER(SEARCH("הכנסה",F247)))),"הכנסה שסווגה מחדש",J247)</f>
        <v>שוטף</v>
      </c>
      <c r="L247" t="s" s="134">
        <v>741</v>
      </c>
      <c r="M247" s="136" cm="1">
        <f t="array" ref="M247">IF(L247="מאושר",IF(K247="הכנסה שסווגה מחדש",0,G247),0)</f>
        <v>105</v>
      </c>
      <c r="N247" s="136" cm="1">
        <f t="array" ref="N247">IF(K247="שוטף",M247,0)</f>
        <v>105</v>
      </c>
      <c r="O247" s="136" cm="1">
        <f t="array" ref="O247">IF(K247="הכנסה שסווגה מחדש",-G247,0)</f>
        <v>0</v>
      </c>
      <c r="P247" t="s" s="80">
        <v>762</v>
      </c>
      <c r="Q247" s="100"/>
      <c r="R247" t="s" s="137">
        <v>743</v>
      </c>
      <c r="S247" s="77"/>
    </row>
    <row r="248" ht="13.65" customHeight="1">
      <c r="A248" s="84">
        <v>45717</v>
      </c>
      <c r="B248" t="s" s="85">
        <v>37</v>
      </c>
      <c r="C248" t="s" s="86">
        <v>793</v>
      </c>
      <c r="D248" s="138">
        <v>80</v>
      </c>
      <c r="E248" t="s" s="85">
        <v>38</v>
      </c>
      <c r="F248" t="s" s="86">
        <v>245</v>
      </c>
      <c r="G248" s="139">
        <v>92</v>
      </c>
      <c r="H248" t="s" s="140">
        <v>767</v>
      </c>
      <c r="I248" t="s" s="141">
        <v>107</v>
      </c>
      <c r="J248" t="s" s="141">
        <v>97</v>
      </c>
      <c r="K248" t="str" s="142" cm="1">
        <f t="array" ref="K248">IF(OR(H248="ריביות",AND(H248="דירה כצנלסון",G248&lt;0,ISNUMBER(SEARCH("הכנסה",F248)))),"הכנסה שסווגה מחדש",J248)</f>
        <v>שוטף</v>
      </c>
      <c r="L248" t="s" s="141">
        <v>741</v>
      </c>
      <c r="M248" s="143" cm="1">
        <f t="array" ref="M248">IF(L248="מאושר",IF(K248="הכנסה שסווגה מחדש",0,G248),0)</f>
        <v>92</v>
      </c>
      <c r="N248" s="143" cm="1">
        <f t="array" ref="N248">IF(K248="שוטף",M248,0)</f>
        <v>92</v>
      </c>
      <c r="O248" s="143" cm="1">
        <f t="array" ref="O248">IF(K248="הכנסה שסווגה מחדש",-G248,0)</f>
        <v>0</v>
      </c>
      <c r="P248" t="s" s="86">
        <v>762</v>
      </c>
      <c r="Q248" s="99"/>
      <c r="R248" t="s" s="144">
        <v>743</v>
      </c>
      <c r="S248" s="77"/>
    </row>
    <row r="249" ht="13.65" customHeight="1">
      <c r="A249" s="78">
        <v>45717</v>
      </c>
      <c r="B249" t="s" s="79">
        <v>37</v>
      </c>
      <c r="C249" t="s" s="80">
        <v>793</v>
      </c>
      <c r="D249" s="131">
        <v>81</v>
      </c>
      <c r="E249" t="s" s="79">
        <v>38</v>
      </c>
      <c r="F249" t="s" s="80">
        <v>460</v>
      </c>
      <c r="G249" s="132">
        <v>119</v>
      </c>
      <c r="H249" t="s" s="133">
        <v>113</v>
      </c>
      <c r="I249" t="s" s="134">
        <v>113</v>
      </c>
      <c r="J249" t="s" s="134">
        <v>97</v>
      </c>
      <c r="K249" t="str" s="135" cm="1">
        <f t="array" ref="K249">IF(OR(H249="ריביות",AND(H249="דירה כצנלסון",G249&lt;0,ISNUMBER(SEARCH("הכנסה",F249)))),"הכנסה שסווגה מחדש",J249)</f>
        <v>שוטף</v>
      </c>
      <c r="L249" t="s" s="134">
        <v>741</v>
      </c>
      <c r="M249" s="136" cm="1">
        <f t="array" ref="M249">IF(L249="מאושר",IF(K249="הכנסה שסווגה מחדש",0,G249),0)</f>
        <v>119</v>
      </c>
      <c r="N249" s="136" cm="1">
        <f t="array" ref="N249">IF(K249="שוטף",M249,0)</f>
        <v>119</v>
      </c>
      <c r="O249" s="136" cm="1">
        <f t="array" ref="O249">IF(K249="הכנסה שסווגה מחדש",-G249,0)</f>
        <v>0</v>
      </c>
      <c r="P249" t="s" s="80">
        <v>762</v>
      </c>
      <c r="Q249" s="100"/>
      <c r="R249" t="s" s="137">
        <v>743</v>
      </c>
      <c r="S249" s="77"/>
    </row>
    <row r="250" ht="13.65" customHeight="1">
      <c r="A250" s="84">
        <v>45717</v>
      </c>
      <c r="B250" t="s" s="85">
        <v>37</v>
      </c>
      <c r="C250" t="s" s="86">
        <v>793</v>
      </c>
      <c r="D250" s="138">
        <v>82</v>
      </c>
      <c r="E250" t="s" s="85">
        <v>769</v>
      </c>
      <c r="F250" t="s" s="86">
        <v>475</v>
      </c>
      <c r="G250" s="139">
        <v>20</v>
      </c>
      <c r="H250" t="s" s="140">
        <v>113</v>
      </c>
      <c r="I250" t="s" s="141">
        <v>113</v>
      </c>
      <c r="J250" t="s" s="141">
        <v>97</v>
      </c>
      <c r="K250" t="str" s="142" cm="1">
        <f t="array" ref="K250">IF(OR(H250="ריביות",AND(H250="דירה כצנלסון",G250&lt;0,ISNUMBER(SEARCH("הכנסה",F250)))),"הכנסה שסווגה מחדש",J250)</f>
        <v>שוטף</v>
      </c>
      <c r="L250" t="s" s="141">
        <v>741</v>
      </c>
      <c r="M250" s="143" cm="1">
        <f t="array" ref="M250">IF(L250="מאושר",IF(K250="הכנסה שסווגה מחדש",0,G250),0)</f>
        <v>20</v>
      </c>
      <c r="N250" s="143" cm="1">
        <f t="array" ref="N250">IF(K250="שוטף",M250,0)</f>
        <v>20</v>
      </c>
      <c r="O250" s="143" cm="1">
        <f t="array" ref="O250">IF(K250="הכנסה שסווגה מחדש",-G250,0)</f>
        <v>0</v>
      </c>
      <c r="P250" t="s" s="86">
        <v>762</v>
      </c>
      <c r="Q250" s="99"/>
      <c r="R250" t="s" s="144">
        <v>743</v>
      </c>
      <c r="S250" s="77"/>
    </row>
    <row r="251" ht="13.65" customHeight="1">
      <c r="A251" s="78">
        <v>45717</v>
      </c>
      <c r="B251" t="s" s="79">
        <v>37</v>
      </c>
      <c r="C251" t="s" s="80">
        <v>793</v>
      </c>
      <c r="D251" s="131">
        <v>83</v>
      </c>
      <c r="E251" t="s" s="79">
        <v>769</v>
      </c>
      <c r="F251" t="s" s="80">
        <v>377</v>
      </c>
      <c r="G251" s="132">
        <v>7</v>
      </c>
      <c r="H251" t="s" s="133">
        <v>109</v>
      </c>
      <c r="I251" t="s" s="134">
        <v>109</v>
      </c>
      <c r="J251" t="s" s="134">
        <v>97</v>
      </c>
      <c r="K251" t="str" s="135" cm="1">
        <f t="array" ref="K251">IF(OR(H251="ריביות",AND(H251="דירה כצנלסון",G251&lt;0,ISNUMBER(SEARCH("הכנסה",F251)))),"הכנסה שסווגה מחדש",J251)</f>
        <v>שוטף</v>
      </c>
      <c r="L251" t="s" s="134">
        <v>741</v>
      </c>
      <c r="M251" s="136" cm="1">
        <f t="array" ref="M251">IF(L251="מאושר",IF(K251="הכנסה שסווגה מחדש",0,G251),0)</f>
        <v>7</v>
      </c>
      <c r="N251" s="136" cm="1">
        <f t="array" ref="N251">IF(K251="שוטף",M251,0)</f>
        <v>7</v>
      </c>
      <c r="O251" s="136" cm="1">
        <f t="array" ref="O251">IF(K251="הכנסה שסווגה מחדש",-G251,0)</f>
        <v>0</v>
      </c>
      <c r="P251" t="s" s="80">
        <v>762</v>
      </c>
      <c r="Q251" s="100"/>
      <c r="R251" t="s" s="137">
        <v>743</v>
      </c>
      <c r="S251" s="77"/>
    </row>
    <row r="252" ht="13.65" customHeight="1">
      <c r="A252" s="84">
        <v>45717</v>
      </c>
      <c r="B252" t="s" s="85">
        <v>37</v>
      </c>
      <c r="C252" t="s" s="86">
        <v>793</v>
      </c>
      <c r="D252" s="138">
        <v>84</v>
      </c>
      <c r="E252" t="s" s="85">
        <v>749</v>
      </c>
      <c r="F252" t="s" s="86">
        <v>241</v>
      </c>
      <c r="G252" s="139">
        <v>1750</v>
      </c>
      <c r="H252" t="s" s="140">
        <v>105</v>
      </c>
      <c r="I252" t="s" s="141">
        <v>105</v>
      </c>
      <c r="J252" t="s" s="141">
        <v>103</v>
      </c>
      <c r="K252" t="str" s="142" cm="1">
        <f t="array" ref="K252">IF(OR(H252="ריביות",AND(H252="דירה כצנלסון",G252&lt;0,ISNUMBER(SEARCH("הכנסה",F252)))),"הכנסה שסווגה מחדש",J252)</f>
        <v>חריג</v>
      </c>
      <c r="L252" t="s" s="141">
        <v>741</v>
      </c>
      <c r="M252" s="143" cm="1">
        <f t="array" ref="M252">IF(L252="מאושר",IF(K252="הכנסה שסווגה מחדש",0,G252),0)</f>
        <v>1750</v>
      </c>
      <c r="N252" s="143" cm="1">
        <f t="array" ref="N252">IF(K252="שוטף",M252,0)</f>
        <v>0</v>
      </c>
      <c r="O252" s="143" cm="1">
        <f t="array" ref="O252">IF(K252="הכנסה שסווגה מחדש",-G252,0)</f>
        <v>0</v>
      </c>
      <c r="P252" t="s" s="86">
        <v>762</v>
      </c>
      <c r="Q252" s="99"/>
      <c r="R252" t="s" s="144">
        <v>743</v>
      </c>
      <c r="S252" s="77"/>
    </row>
    <row r="253" ht="13.65" customHeight="1">
      <c r="A253" s="78">
        <v>45717</v>
      </c>
      <c r="B253" t="s" s="79">
        <v>37</v>
      </c>
      <c r="C253" t="s" s="80">
        <v>793</v>
      </c>
      <c r="D253" s="131">
        <v>85</v>
      </c>
      <c r="E253" t="s" s="79">
        <v>753</v>
      </c>
      <c r="F253" t="s" s="80">
        <v>249</v>
      </c>
      <c r="G253" s="132">
        <v>1715</v>
      </c>
      <c r="H253" t="s" s="133">
        <v>105</v>
      </c>
      <c r="I253" t="s" s="134">
        <v>105</v>
      </c>
      <c r="J253" t="s" s="134">
        <v>103</v>
      </c>
      <c r="K253" t="str" s="135" cm="1">
        <f t="array" ref="K253">IF(OR(H253="ריביות",AND(H253="דירה כצנלסון",G253&lt;0,ISNUMBER(SEARCH("הכנסה",F253)))),"הכנסה שסווגה מחדש",J253)</f>
        <v>חריג</v>
      </c>
      <c r="L253" t="s" s="134">
        <v>741</v>
      </c>
      <c r="M253" s="136" cm="1">
        <f t="array" ref="M253">IF(L253="מאושר",IF(K253="הכנסה שסווגה מחדש",0,G253),0)</f>
        <v>1715</v>
      </c>
      <c r="N253" s="136" cm="1">
        <f t="array" ref="N253">IF(K253="שוטף",M253,0)</f>
        <v>0</v>
      </c>
      <c r="O253" s="136" cm="1">
        <f t="array" ref="O253">IF(K253="הכנסה שסווגה מחדש",-G253,0)</f>
        <v>0</v>
      </c>
      <c r="P253" t="s" s="80">
        <v>762</v>
      </c>
      <c r="Q253" s="100"/>
      <c r="R253" t="s" s="137">
        <v>743</v>
      </c>
      <c r="S253" s="77"/>
    </row>
    <row r="254" ht="13.65" customHeight="1">
      <c r="A254" s="84">
        <v>45717</v>
      </c>
      <c r="B254" t="s" s="85">
        <v>37</v>
      </c>
      <c r="C254" t="s" s="86">
        <v>793</v>
      </c>
      <c r="D254" s="138">
        <v>86</v>
      </c>
      <c r="E254" t="s" s="85">
        <v>739</v>
      </c>
      <c r="F254" t="s" s="86">
        <v>113</v>
      </c>
      <c r="G254" s="139">
        <v>89</v>
      </c>
      <c r="H254" t="s" s="140">
        <v>113</v>
      </c>
      <c r="I254" t="s" s="141">
        <v>113</v>
      </c>
      <c r="J254" t="s" s="141">
        <v>97</v>
      </c>
      <c r="K254" t="str" s="142" cm="1">
        <f t="array" ref="K254">IF(OR(H254="ריביות",AND(H254="דירה כצנלסון",G254&lt;0,ISNUMBER(SEARCH("הכנסה",F254)))),"הכנסה שסווגה מחדש",J254)</f>
        <v>שוטף</v>
      </c>
      <c r="L254" t="s" s="141">
        <v>741</v>
      </c>
      <c r="M254" s="143" cm="1">
        <f t="array" ref="M254">IF(L254="מאושר",IF(K254="הכנסה שסווגה מחדש",0,G254),0)</f>
        <v>89</v>
      </c>
      <c r="N254" s="143" cm="1">
        <f t="array" ref="N254">IF(K254="שוטף",M254,0)</f>
        <v>89</v>
      </c>
      <c r="O254" s="143" cm="1">
        <f t="array" ref="O254">IF(K254="הכנסה שסווגה מחדש",-G254,0)</f>
        <v>0</v>
      </c>
      <c r="P254" t="s" s="86">
        <v>762</v>
      </c>
      <c r="Q254" s="99"/>
      <c r="R254" t="s" s="144">
        <v>743</v>
      </c>
      <c r="S254" s="77"/>
    </row>
    <row r="255" ht="13.65" customHeight="1">
      <c r="A255" s="78">
        <v>45717</v>
      </c>
      <c r="B255" t="s" s="79">
        <v>37</v>
      </c>
      <c r="C255" t="s" s="80">
        <v>793</v>
      </c>
      <c r="D255" s="131">
        <v>87</v>
      </c>
      <c r="E255" t="s" s="79">
        <v>739</v>
      </c>
      <c r="F255" t="s" s="80">
        <v>355</v>
      </c>
      <c r="G255" s="132">
        <v>12</v>
      </c>
      <c r="H255" t="s" s="133">
        <v>113</v>
      </c>
      <c r="I255" t="s" s="134">
        <v>113</v>
      </c>
      <c r="J255" t="s" s="134">
        <v>97</v>
      </c>
      <c r="K255" t="str" s="135" cm="1">
        <f t="array" ref="K255">IF(OR(H255="ריביות",AND(H255="דירה כצנלסון",G255&lt;0,ISNUMBER(SEARCH("הכנסה",F255)))),"הכנסה שסווגה מחדש",J255)</f>
        <v>שוטף</v>
      </c>
      <c r="L255" t="s" s="134">
        <v>741</v>
      </c>
      <c r="M255" s="136" cm="1">
        <f t="array" ref="M255">IF(L255="מאושר",IF(K255="הכנסה שסווגה מחדש",0,G255),0)</f>
        <v>12</v>
      </c>
      <c r="N255" s="136" cm="1">
        <f t="array" ref="N255">IF(K255="שוטף",M255,0)</f>
        <v>12</v>
      </c>
      <c r="O255" s="136" cm="1">
        <f t="array" ref="O255">IF(K255="הכנסה שסווגה מחדש",-G255,0)</f>
        <v>0</v>
      </c>
      <c r="P255" t="s" s="80">
        <v>762</v>
      </c>
      <c r="Q255" s="100"/>
      <c r="R255" t="s" s="137">
        <v>743</v>
      </c>
      <c r="S255" s="77"/>
    </row>
    <row r="256" ht="13.65" customHeight="1">
      <c r="A256" s="84">
        <v>45717</v>
      </c>
      <c r="B256" t="s" s="85">
        <v>37</v>
      </c>
      <c r="C256" t="s" s="86">
        <v>793</v>
      </c>
      <c r="D256" s="138">
        <v>88</v>
      </c>
      <c r="E256" t="s" s="85">
        <v>771</v>
      </c>
      <c r="F256" t="s" s="86">
        <v>643</v>
      </c>
      <c r="G256" s="139">
        <v>31</v>
      </c>
      <c r="H256" t="s" s="140">
        <v>113</v>
      </c>
      <c r="I256" t="s" s="141">
        <v>113</v>
      </c>
      <c r="J256" t="s" s="141">
        <v>97</v>
      </c>
      <c r="K256" t="str" s="142" cm="1">
        <f t="array" ref="K256">IF(OR(H256="ריביות",AND(H256="דירה כצנלסון",G256&lt;0,ISNUMBER(SEARCH("הכנסה",F256)))),"הכנסה שסווגה מחדש",J256)</f>
        <v>שוטף</v>
      </c>
      <c r="L256" t="s" s="141">
        <v>741</v>
      </c>
      <c r="M256" s="143" cm="1">
        <f t="array" ref="M256">IF(L256="מאושר",IF(K256="הכנסה שסווגה מחדש",0,G256),0)</f>
        <v>31</v>
      </c>
      <c r="N256" s="143" cm="1">
        <f t="array" ref="N256">IF(K256="שוטף",M256,0)</f>
        <v>31</v>
      </c>
      <c r="O256" s="143" cm="1">
        <f t="array" ref="O256">IF(K256="הכנסה שסווגה מחדש",-G256,0)</f>
        <v>0</v>
      </c>
      <c r="P256" t="s" s="86">
        <v>762</v>
      </c>
      <c r="Q256" s="99"/>
      <c r="R256" t="s" s="144">
        <v>743</v>
      </c>
      <c r="S256" s="77"/>
    </row>
    <row r="257" ht="13.65" customHeight="1">
      <c r="A257" s="78">
        <v>45717</v>
      </c>
      <c r="B257" t="s" s="79">
        <v>37</v>
      </c>
      <c r="C257" t="s" s="80">
        <v>793</v>
      </c>
      <c r="D257" s="131">
        <v>89</v>
      </c>
      <c r="E257" t="s" s="79">
        <v>773</v>
      </c>
      <c r="F257" t="s" s="80">
        <v>468</v>
      </c>
      <c r="G257" s="132">
        <v>160</v>
      </c>
      <c r="H257" t="s" s="133">
        <v>113</v>
      </c>
      <c r="I257" t="s" s="134">
        <v>113</v>
      </c>
      <c r="J257" t="s" s="134">
        <v>97</v>
      </c>
      <c r="K257" t="str" s="135" cm="1">
        <f t="array" ref="K257">IF(OR(H257="ריביות",AND(H257="דירה כצנלסון",G257&lt;0,ISNUMBER(SEARCH("הכנסה",F257)))),"הכנסה שסווגה מחדש",J257)</f>
        <v>שוטף</v>
      </c>
      <c r="L257" t="s" s="134">
        <v>741</v>
      </c>
      <c r="M257" s="136" cm="1">
        <f t="array" ref="M257">IF(L257="מאושר",IF(K257="הכנסה שסווגה מחדש",0,G257),0)</f>
        <v>160</v>
      </c>
      <c r="N257" s="136" cm="1">
        <f t="array" ref="N257">IF(K257="שוטף",M257,0)</f>
        <v>160</v>
      </c>
      <c r="O257" s="136" cm="1">
        <f t="array" ref="O257">IF(K257="הכנסה שסווגה מחדש",-G257,0)</f>
        <v>0</v>
      </c>
      <c r="P257" t="s" s="80">
        <v>762</v>
      </c>
      <c r="Q257" s="100"/>
      <c r="R257" t="s" s="137">
        <v>743</v>
      </c>
      <c r="S257" s="77"/>
    </row>
    <row r="258" ht="13.65" customHeight="1">
      <c r="A258" s="84">
        <v>45717</v>
      </c>
      <c r="B258" t="s" s="85">
        <v>37</v>
      </c>
      <c r="C258" t="s" s="86">
        <v>793</v>
      </c>
      <c r="D258" s="138">
        <v>90</v>
      </c>
      <c r="E258" t="s" s="85">
        <v>773</v>
      </c>
      <c r="F258" t="s" s="86">
        <v>213</v>
      </c>
      <c r="G258" s="139">
        <v>171</v>
      </c>
      <c r="H258" t="s" s="140">
        <v>115</v>
      </c>
      <c r="I258" t="s" s="141">
        <v>115</v>
      </c>
      <c r="J258" t="s" s="141">
        <v>97</v>
      </c>
      <c r="K258" t="str" s="142" cm="1">
        <f t="array" ref="K258">IF(OR(H258="ריביות",AND(H258="דירה כצנלסון",G258&lt;0,ISNUMBER(SEARCH("הכנסה",F258)))),"הכנסה שסווגה מחדש",J258)</f>
        <v>שוטף</v>
      </c>
      <c r="L258" t="s" s="141">
        <v>741</v>
      </c>
      <c r="M258" s="143" cm="1">
        <f t="array" ref="M258">IF(L258="מאושר",IF(K258="הכנסה שסווגה מחדש",0,G258),0)</f>
        <v>171</v>
      </c>
      <c r="N258" s="143" cm="1">
        <f t="array" ref="N258">IF(K258="שוטף",M258,0)</f>
        <v>171</v>
      </c>
      <c r="O258" s="143" cm="1">
        <f t="array" ref="O258">IF(K258="הכנסה שסווגה מחדש",-G258,0)</f>
        <v>0</v>
      </c>
      <c r="P258" t="s" s="86">
        <v>762</v>
      </c>
      <c r="Q258" s="99"/>
      <c r="R258" t="s" s="144">
        <v>743</v>
      </c>
      <c r="S258" s="77"/>
    </row>
    <row r="259" ht="13.65" customHeight="1">
      <c r="A259" s="78">
        <v>45717</v>
      </c>
      <c r="B259" t="s" s="79">
        <v>37</v>
      </c>
      <c r="C259" t="s" s="80">
        <v>793</v>
      </c>
      <c r="D259" s="131">
        <v>91</v>
      </c>
      <c r="E259" t="s" s="79">
        <v>790</v>
      </c>
      <c r="F259" t="s" s="80">
        <v>200</v>
      </c>
      <c r="G259" s="132">
        <v>70</v>
      </c>
      <c r="H259" t="s" s="133">
        <v>109</v>
      </c>
      <c r="I259" t="s" s="134">
        <v>109</v>
      </c>
      <c r="J259" t="s" s="134">
        <v>97</v>
      </c>
      <c r="K259" t="str" s="135" cm="1">
        <f t="array" ref="K259">IF(OR(H259="ריביות",AND(H259="דירה כצנלסון",G259&lt;0,ISNUMBER(SEARCH("הכנסה",F259)))),"הכנסה שסווגה מחדש",J259)</f>
        <v>שוטף</v>
      </c>
      <c r="L259" t="s" s="134">
        <v>741</v>
      </c>
      <c r="M259" s="136" cm="1">
        <f t="array" ref="M259">IF(L259="מאושר",IF(K259="הכנסה שסווגה מחדש",0,G259),0)</f>
        <v>70</v>
      </c>
      <c r="N259" s="136" cm="1">
        <f t="array" ref="N259">IF(K259="שוטף",M259,0)</f>
        <v>70</v>
      </c>
      <c r="O259" s="136" cm="1">
        <f t="array" ref="O259">IF(K259="הכנסה שסווגה מחדש",-G259,0)</f>
        <v>0</v>
      </c>
      <c r="P259" t="s" s="80">
        <v>762</v>
      </c>
      <c r="Q259" s="100"/>
      <c r="R259" t="s" s="137">
        <v>743</v>
      </c>
      <c r="S259" s="77"/>
    </row>
    <row r="260" ht="13.65" customHeight="1">
      <c r="A260" s="84">
        <v>45717</v>
      </c>
      <c r="B260" t="s" s="85">
        <v>37</v>
      </c>
      <c r="C260" t="s" s="86">
        <v>793</v>
      </c>
      <c r="D260" s="138">
        <v>92</v>
      </c>
      <c r="E260" t="s" s="85">
        <v>761</v>
      </c>
      <c r="F260" t="s" s="85">
        <v>523</v>
      </c>
      <c r="G260" s="139">
        <v>100</v>
      </c>
      <c r="H260" t="s" s="140">
        <v>105</v>
      </c>
      <c r="I260" t="s" s="141">
        <v>105</v>
      </c>
      <c r="J260" t="s" s="141">
        <v>103</v>
      </c>
      <c r="K260" t="str" s="142" cm="1">
        <f t="array" ref="K260">IF(OR(H260="ריביות",AND(H260="דירה כצנלסון",G260&lt;0,ISNUMBER(SEARCH("הכנסה",F260)))),"הכנסה שסווגה מחדש",J260)</f>
        <v>חריג</v>
      </c>
      <c r="L260" t="s" s="141">
        <v>741</v>
      </c>
      <c r="M260" s="143" cm="1">
        <f t="array" ref="M260">IF(L260="מאושר",IF(K260="הכנסה שסווגה מחדש",0,G260),0)</f>
        <v>100</v>
      </c>
      <c r="N260" s="143" cm="1">
        <f t="array" ref="N260">IF(K260="שוטף",M260,0)</f>
        <v>0</v>
      </c>
      <c r="O260" s="143" cm="1">
        <f t="array" ref="O260">IF(K260="הכנסה שסווגה מחדש",-G260,0)</f>
        <v>0</v>
      </c>
      <c r="P260" t="s" s="86">
        <v>762</v>
      </c>
      <c r="Q260" s="99"/>
      <c r="R260" t="s" s="144">
        <v>743</v>
      </c>
      <c r="S260" s="77"/>
    </row>
    <row r="261" ht="13.65" customHeight="1">
      <c r="A261" s="78">
        <v>45717</v>
      </c>
      <c r="B261" t="s" s="79">
        <v>37</v>
      </c>
      <c r="C261" t="s" s="80">
        <v>793</v>
      </c>
      <c r="D261" s="131">
        <v>93</v>
      </c>
      <c r="E261" t="s" s="79">
        <v>744</v>
      </c>
      <c r="F261" t="s" s="80">
        <v>355</v>
      </c>
      <c r="G261" s="132">
        <v>6</v>
      </c>
      <c r="H261" t="s" s="133">
        <v>113</v>
      </c>
      <c r="I261" t="s" s="134">
        <v>113</v>
      </c>
      <c r="J261" t="s" s="134">
        <v>97</v>
      </c>
      <c r="K261" t="str" s="135" cm="1">
        <f t="array" ref="K261">IF(OR(H261="ריביות",AND(H261="דירה כצנלסון",G261&lt;0,ISNUMBER(SEARCH("הכנסה",F261)))),"הכנסה שסווגה מחדש",J261)</f>
        <v>שוטף</v>
      </c>
      <c r="L261" t="s" s="134">
        <v>741</v>
      </c>
      <c r="M261" s="136" cm="1">
        <f t="array" ref="M261">IF(L261="מאושר",IF(K261="הכנסה שסווגה מחדש",0,G261),0)</f>
        <v>6</v>
      </c>
      <c r="N261" s="136" cm="1">
        <f t="array" ref="N261">IF(K261="שוטף",M261,0)</f>
        <v>6</v>
      </c>
      <c r="O261" s="136" cm="1">
        <f t="array" ref="O261">IF(K261="הכנסה שסווגה מחדש",-G261,0)</f>
        <v>0</v>
      </c>
      <c r="P261" t="s" s="80">
        <v>762</v>
      </c>
      <c r="Q261" s="100"/>
      <c r="R261" t="s" s="137">
        <v>743</v>
      </c>
      <c r="S261" s="77"/>
    </row>
    <row r="262" ht="13.65" customHeight="1">
      <c r="A262" s="84">
        <v>45717</v>
      </c>
      <c r="B262" t="s" s="85">
        <v>37</v>
      </c>
      <c r="C262" t="s" s="86">
        <v>793</v>
      </c>
      <c r="D262" s="138">
        <v>94</v>
      </c>
      <c r="E262" t="s" s="85">
        <v>744</v>
      </c>
      <c r="F262" t="s" s="86">
        <v>223</v>
      </c>
      <c r="G262" s="139">
        <v>-89</v>
      </c>
      <c r="H262" t="s" s="140">
        <v>117</v>
      </c>
      <c r="I262" t="s" s="141">
        <v>117</v>
      </c>
      <c r="J262" t="s" s="141">
        <v>97</v>
      </c>
      <c r="K262" t="str" s="142" cm="1">
        <f t="array" ref="K262">IF(OR(H262="ריביות",AND(H262="דירה כצנלסון",G262&lt;0,ISNUMBER(SEARCH("הכנסה",F262)))),"הכנסה שסווגה מחדש",J262)</f>
        <v>שוטף</v>
      </c>
      <c r="L262" t="s" s="141">
        <v>741</v>
      </c>
      <c r="M262" s="143" cm="1">
        <f t="array" ref="M262">IF(L262="מאושר",IF(K262="הכנסה שסווגה מחדש",0,G262),0)</f>
        <v>-89</v>
      </c>
      <c r="N262" s="143" cm="1">
        <f t="array" ref="N262">IF(K262="שוטף",M262,0)</f>
        <v>-89</v>
      </c>
      <c r="O262" s="143" cm="1">
        <f t="array" ref="O262">IF(K262="הכנסה שסווגה מחדש",-G262,0)</f>
        <v>0</v>
      </c>
      <c r="P262" t="s" s="86">
        <v>762</v>
      </c>
      <c r="Q262" s="99"/>
      <c r="R262" t="s" s="144">
        <v>743</v>
      </c>
      <c r="S262" s="77"/>
    </row>
    <row r="263" ht="13.65" customHeight="1">
      <c r="A263" s="78">
        <v>45717</v>
      </c>
      <c r="B263" t="s" s="79">
        <v>37</v>
      </c>
      <c r="C263" t="s" s="80">
        <v>793</v>
      </c>
      <c r="D263" s="131">
        <v>95</v>
      </c>
      <c r="E263" t="s" s="79">
        <v>791</v>
      </c>
      <c r="F263" t="s" s="80">
        <v>507</v>
      </c>
      <c r="G263" s="132">
        <v>23</v>
      </c>
      <c r="H263" t="s" s="133">
        <v>113</v>
      </c>
      <c r="I263" t="s" s="134">
        <v>113</v>
      </c>
      <c r="J263" t="s" s="134">
        <v>97</v>
      </c>
      <c r="K263" t="str" s="135" cm="1">
        <f t="array" ref="K263">IF(OR(H263="ריביות",AND(H263="דירה כצנלסון",G263&lt;0,ISNUMBER(SEARCH("הכנסה",F263)))),"הכנסה שסווגה מחדש",J263)</f>
        <v>שוטף</v>
      </c>
      <c r="L263" t="s" s="134">
        <v>741</v>
      </c>
      <c r="M263" s="136" cm="1">
        <f t="array" ref="M263">IF(L263="מאושר",IF(K263="הכנסה שסווגה מחדש",0,G263),0)</f>
        <v>23</v>
      </c>
      <c r="N263" s="136" cm="1">
        <f t="array" ref="N263">IF(K263="שוטף",M263,0)</f>
        <v>23</v>
      </c>
      <c r="O263" s="136" cm="1">
        <f t="array" ref="O263">IF(K263="הכנסה שסווגה מחדש",-G263,0)</f>
        <v>0</v>
      </c>
      <c r="P263" t="s" s="80">
        <v>762</v>
      </c>
      <c r="Q263" s="100"/>
      <c r="R263" t="s" s="137">
        <v>743</v>
      </c>
      <c r="S263" s="77"/>
    </row>
    <row r="264" ht="13.65" customHeight="1">
      <c r="A264" s="84">
        <v>45717</v>
      </c>
      <c r="B264" t="s" s="85">
        <v>37</v>
      </c>
      <c r="C264" t="s" s="86">
        <v>793</v>
      </c>
      <c r="D264" s="138">
        <v>96</v>
      </c>
      <c r="E264" t="s" s="85">
        <v>766</v>
      </c>
      <c r="F264" t="s" s="86">
        <v>508</v>
      </c>
      <c r="G264" s="139">
        <v>98</v>
      </c>
      <c r="H264" t="s" s="140">
        <v>117</v>
      </c>
      <c r="I264" t="s" s="141">
        <v>117</v>
      </c>
      <c r="J264" t="s" s="141">
        <v>97</v>
      </c>
      <c r="K264" t="str" s="142" cm="1">
        <f t="array" ref="K264">IF(OR(H264="ריביות",AND(H264="דירה כצנלסון",G264&lt;0,ISNUMBER(SEARCH("הכנסה",F264)))),"הכנסה שסווגה מחדש",J264)</f>
        <v>שוטף</v>
      </c>
      <c r="L264" t="s" s="141">
        <v>741</v>
      </c>
      <c r="M264" s="143" cm="1">
        <f t="array" ref="M264">IF(L264="מאושר",IF(K264="הכנסה שסווגה מחדש",0,G264),0)</f>
        <v>98</v>
      </c>
      <c r="N264" s="143" cm="1">
        <f t="array" ref="N264">IF(K264="שוטף",M264,0)</f>
        <v>98</v>
      </c>
      <c r="O264" s="143" cm="1">
        <f t="array" ref="O264">IF(K264="הכנסה שסווגה מחדש",-G264,0)</f>
        <v>0</v>
      </c>
      <c r="P264" t="s" s="86">
        <v>762</v>
      </c>
      <c r="Q264" s="99"/>
      <c r="R264" t="s" s="144">
        <v>743</v>
      </c>
      <c r="S264" s="77"/>
    </row>
    <row r="265" ht="13.65" customHeight="1">
      <c r="A265" s="78">
        <v>45717</v>
      </c>
      <c r="B265" t="s" s="79">
        <v>37</v>
      </c>
      <c r="C265" t="s" s="80">
        <v>793</v>
      </c>
      <c r="D265" s="131">
        <v>97</v>
      </c>
      <c r="E265" t="s" s="79">
        <v>759</v>
      </c>
      <c r="F265" t="s" s="80">
        <v>583</v>
      </c>
      <c r="G265" s="132">
        <v>55</v>
      </c>
      <c r="H265" t="s" s="133">
        <v>115</v>
      </c>
      <c r="I265" t="s" s="134">
        <v>115</v>
      </c>
      <c r="J265" t="s" s="134">
        <v>97</v>
      </c>
      <c r="K265" t="str" s="135" cm="1">
        <f t="array" ref="K265">IF(OR(H265="ריביות",AND(H265="דירה כצנלסון",G265&lt;0,ISNUMBER(SEARCH("הכנסה",F265)))),"הכנסה שסווגה מחדש",J265)</f>
        <v>שוטף</v>
      </c>
      <c r="L265" t="s" s="134">
        <v>741</v>
      </c>
      <c r="M265" s="136" cm="1">
        <f t="array" ref="M265">IF(L265="מאושר",IF(K265="הכנסה שסווגה מחדש",0,G265),0)</f>
        <v>55</v>
      </c>
      <c r="N265" s="136" cm="1">
        <f t="array" ref="N265">IF(K265="שוטף",M265,0)</f>
        <v>55</v>
      </c>
      <c r="O265" s="136" cm="1">
        <f t="array" ref="O265">IF(K265="הכנסה שסווגה מחדש",-G265,0)</f>
        <v>0</v>
      </c>
      <c r="P265" t="s" s="80">
        <v>762</v>
      </c>
      <c r="Q265" s="100"/>
      <c r="R265" t="s" s="137">
        <v>743</v>
      </c>
      <c r="S265" s="77"/>
    </row>
    <row r="266" ht="13.65" customHeight="1">
      <c r="A266" s="84">
        <v>45717</v>
      </c>
      <c r="B266" t="s" s="85">
        <v>37</v>
      </c>
      <c r="C266" t="s" s="86">
        <v>793</v>
      </c>
      <c r="D266" s="138">
        <v>98</v>
      </c>
      <c r="E266" t="s" s="85">
        <v>759</v>
      </c>
      <c r="F266" t="s" s="86">
        <v>420</v>
      </c>
      <c r="G266" s="139">
        <v>79</v>
      </c>
      <c r="H266" t="s" s="140">
        <v>109</v>
      </c>
      <c r="I266" t="s" s="141">
        <v>109</v>
      </c>
      <c r="J266" t="s" s="141">
        <v>97</v>
      </c>
      <c r="K266" t="str" s="142" cm="1">
        <f t="array" ref="K266">IF(OR(H266="ריביות",AND(H266="דירה כצנלסון",G266&lt;0,ISNUMBER(SEARCH("הכנסה",F266)))),"הכנסה שסווגה מחדש",J266)</f>
        <v>שוטף</v>
      </c>
      <c r="L266" t="s" s="141">
        <v>741</v>
      </c>
      <c r="M266" s="143" cm="1">
        <f t="array" ref="M266">IF(L266="מאושר",IF(K266="הכנסה שסווגה מחדש",0,G266),0)</f>
        <v>79</v>
      </c>
      <c r="N266" s="143" cm="1">
        <f t="array" ref="N266">IF(K266="שוטף",M266,0)</f>
        <v>79</v>
      </c>
      <c r="O266" s="143" cm="1">
        <f t="array" ref="O266">IF(K266="הכנסה שסווגה מחדש",-G266,0)</f>
        <v>0</v>
      </c>
      <c r="P266" t="s" s="86">
        <v>762</v>
      </c>
      <c r="Q266" s="99"/>
      <c r="R266" t="s" s="144">
        <v>743</v>
      </c>
      <c r="S266" s="77"/>
    </row>
    <row r="267" ht="13.65" customHeight="1">
      <c r="A267" s="78">
        <v>45717</v>
      </c>
      <c r="B267" t="s" s="79">
        <v>37</v>
      </c>
      <c r="C267" t="s" s="80">
        <v>793</v>
      </c>
      <c r="D267" s="131">
        <v>99</v>
      </c>
      <c r="E267" t="s" s="79">
        <v>759</v>
      </c>
      <c r="F267" t="s" s="80">
        <v>507</v>
      </c>
      <c r="G267" s="132">
        <v>95</v>
      </c>
      <c r="H267" t="s" s="133">
        <v>113</v>
      </c>
      <c r="I267" t="s" s="134">
        <v>113</v>
      </c>
      <c r="J267" t="s" s="134">
        <v>97</v>
      </c>
      <c r="K267" t="str" s="135" cm="1">
        <f t="array" ref="K267">IF(OR(H267="ריביות",AND(H267="דירה כצנלסון",G267&lt;0,ISNUMBER(SEARCH("הכנסה",F267)))),"הכנסה שסווגה מחדש",J267)</f>
        <v>שוטף</v>
      </c>
      <c r="L267" t="s" s="134">
        <v>741</v>
      </c>
      <c r="M267" s="136" cm="1">
        <f t="array" ref="M267">IF(L267="מאושר",IF(K267="הכנסה שסווגה מחדש",0,G267),0)</f>
        <v>95</v>
      </c>
      <c r="N267" s="136" cm="1">
        <f t="array" ref="N267">IF(K267="שוטף",M267,0)</f>
        <v>95</v>
      </c>
      <c r="O267" s="136" cm="1">
        <f t="array" ref="O267">IF(K267="הכנסה שסווגה מחדש",-G267,0)</f>
        <v>0</v>
      </c>
      <c r="P267" t="s" s="80">
        <v>762</v>
      </c>
      <c r="Q267" s="100"/>
      <c r="R267" t="s" s="137">
        <v>743</v>
      </c>
      <c r="S267" s="77"/>
    </row>
    <row r="268" ht="13.65" customHeight="1">
      <c r="A268" s="84">
        <v>45717</v>
      </c>
      <c r="B268" t="s" s="85">
        <v>37</v>
      </c>
      <c r="C268" t="s" s="86">
        <v>793</v>
      </c>
      <c r="D268" s="138">
        <v>100</v>
      </c>
      <c r="E268" t="s" s="85">
        <v>759</v>
      </c>
      <c r="F268" t="s" s="86">
        <v>255</v>
      </c>
      <c r="G268" s="139">
        <v>1585</v>
      </c>
      <c r="H268" t="s" s="140">
        <v>105</v>
      </c>
      <c r="I268" t="s" s="141">
        <v>105</v>
      </c>
      <c r="J268" t="s" s="141">
        <v>103</v>
      </c>
      <c r="K268" t="str" s="142" cm="1">
        <f t="array" ref="K268">IF(OR(H268="ריביות",AND(H268="דירה כצנלסון",G268&lt;0,ISNUMBER(SEARCH("הכנסה",F268)))),"הכנסה שסווגה מחדש",J268)</f>
        <v>חריג</v>
      </c>
      <c r="L268" t="s" s="141">
        <v>741</v>
      </c>
      <c r="M268" s="143" cm="1">
        <f t="array" ref="M268">IF(L268="מאושר",IF(K268="הכנסה שסווגה מחדש",0,G268),0)</f>
        <v>1585</v>
      </c>
      <c r="N268" s="143" cm="1">
        <f t="array" ref="N268">IF(K268="שוטף",M268,0)</f>
        <v>0</v>
      </c>
      <c r="O268" s="143" cm="1">
        <f t="array" ref="O268">IF(K268="הכנסה שסווגה מחדש",-G268,0)</f>
        <v>0</v>
      </c>
      <c r="P268" t="s" s="86">
        <v>762</v>
      </c>
      <c r="Q268" s="99"/>
      <c r="R268" t="s" s="144">
        <v>743</v>
      </c>
      <c r="S268" s="77"/>
    </row>
    <row r="269" ht="13.65" customHeight="1">
      <c r="A269" s="78">
        <v>45717</v>
      </c>
      <c r="B269" t="s" s="79">
        <v>37</v>
      </c>
      <c r="C269" t="s" s="80">
        <v>793</v>
      </c>
      <c r="D269" s="131">
        <v>101</v>
      </c>
      <c r="E269" t="s" s="79">
        <v>759</v>
      </c>
      <c r="F269" t="s" s="80">
        <v>336</v>
      </c>
      <c r="G269" s="132">
        <v>17</v>
      </c>
      <c r="H269" t="s" s="133">
        <v>767</v>
      </c>
      <c r="I269" t="s" s="134">
        <v>107</v>
      </c>
      <c r="J269" t="s" s="134">
        <v>97</v>
      </c>
      <c r="K269" t="str" s="135" cm="1">
        <f t="array" ref="K269">IF(OR(H269="ריביות",AND(H269="דירה כצנלסון",G269&lt;0,ISNUMBER(SEARCH("הכנסה",F269)))),"הכנסה שסווגה מחדש",J269)</f>
        <v>שוטף</v>
      </c>
      <c r="L269" t="s" s="134">
        <v>741</v>
      </c>
      <c r="M269" s="136" cm="1">
        <f t="array" ref="M269">IF(L269="מאושר",IF(K269="הכנסה שסווגה מחדש",0,G269),0)</f>
        <v>17</v>
      </c>
      <c r="N269" s="136" cm="1">
        <f t="array" ref="N269">IF(K269="שוטף",M269,0)</f>
        <v>17</v>
      </c>
      <c r="O269" s="136" cm="1">
        <f t="array" ref="O269">IF(K269="הכנסה שסווגה מחדש",-G269,0)</f>
        <v>0</v>
      </c>
      <c r="P269" t="s" s="80">
        <v>762</v>
      </c>
      <c r="Q269" s="100"/>
      <c r="R269" t="s" s="137">
        <v>743</v>
      </c>
      <c r="S269" s="77"/>
    </row>
    <row r="270" ht="13.65" customHeight="1">
      <c r="A270" s="84">
        <v>45717</v>
      </c>
      <c r="B270" t="s" s="85">
        <v>37</v>
      </c>
      <c r="C270" t="s" s="86">
        <v>793</v>
      </c>
      <c r="D270" s="138">
        <v>102</v>
      </c>
      <c r="E270" t="s" s="85">
        <v>775</v>
      </c>
      <c r="F270" t="s" s="86">
        <v>545</v>
      </c>
      <c r="G270" s="139">
        <v>83</v>
      </c>
      <c r="H270" t="s" s="140">
        <v>113</v>
      </c>
      <c r="I270" t="s" s="141">
        <v>113</v>
      </c>
      <c r="J270" t="s" s="141">
        <v>97</v>
      </c>
      <c r="K270" t="str" s="142" cm="1">
        <f t="array" ref="K270">IF(OR(H270="ריביות",AND(H270="דירה כצנלסון",G270&lt;0,ISNUMBER(SEARCH("הכנסה",F270)))),"הכנסה שסווגה מחדש",J270)</f>
        <v>שוטף</v>
      </c>
      <c r="L270" t="s" s="141">
        <v>741</v>
      </c>
      <c r="M270" s="143" cm="1">
        <f t="array" ref="M270">IF(L270="מאושר",IF(K270="הכנסה שסווגה מחדש",0,G270),0)</f>
        <v>83</v>
      </c>
      <c r="N270" s="143" cm="1">
        <f t="array" ref="N270">IF(K270="שוטף",M270,0)</f>
        <v>83</v>
      </c>
      <c r="O270" s="143" cm="1">
        <f t="array" ref="O270">IF(K270="הכנסה שסווגה מחדש",-G270,0)</f>
        <v>0</v>
      </c>
      <c r="P270" t="s" s="86">
        <v>762</v>
      </c>
      <c r="Q270" s="99"/>
      <c r="R270" t="s" s="144">
        <v>743</v>
      </c>
      <c r="S270" s="77"/>
    </row>
    <row r="271" ht="13.65" customHeight="1">
      <c r="A271" s="78">
        <v>45717</v>
      </c>
      <c r="B271" t="s" s="79">
        <v>37</v>
      </c>
      <c r="C271" t="s" s="80">
        <v>793</v>
      </c>
      <c r="D271" s="131">
        <v>103</v>
      </c>
      <c r="E271" t="s" s="79">
        <v>775</v>
      </c>
      <c r="F271" t="s" s="80">
        <v>241</v>
      </c>
      <c r="G271" s="132">
        <v>740</v>
      </c>
      <c r="H271" t="s" s="133">
        <v>105</v>
      </c>
      <c r="I271" t="s" s="134">
        <v>105</v>
      </c>
      <c r="J271" t="s" s="134">
        <v>103</v>
      </c>
      <c r="K271" t="str" s="135" cm="1">
        <f t="array" ref="K271">IF(OR(H271="ריביות",AND(H271="דירה כצנלסון",G271&lt;0,ISNUMBER(SEARCH("הכנסה",F271)))),"הכנסה שסווגה מחדש",J271)</f>
        <v>חריג</v>
      </c>
      <c r="L271" t="s" s="134">
        <v>741</v>
      </c>
      <c r="M271" s="136" cm="1">
        <f t="array" ref="M271">IF(L271="מאושר",IF(K271="הכנסה שסווגה מחדש",0,G271),0)</f>
        <v>740</v>
      </c>
      <c r="N271" s="136" cm="1">
        <f t="array" ref="N271">IF(K271="שוטף",M271,0)</f>
        <v>0</v>
      </c>
      <c r="O271" s="136" cm="1">
        <f t="array" ref="O271">IF(K271="הכנסה שסווגה מחדש",-G271,0)</f>
        <v>0</v>
      </c>
      <c r="P271" t="s" s="80">
        <v>762</v>
      </c>
      <c r="Q271" s="100"/>
      <c r="R271" t="s" s="137">
        <v>743</v>
      </c>
      <c r="S271" s="77"/>
    </row>
    <row r="272" ht="13.65" customHeight="1">
      <c r="A272" s="84">
        <v>45717</v>
      </c>
      <c r="B272" t="s" s="85">
        <v>37</v>
      </c>
      <c r="C272" t="s" s="86">
        <v>793</v>
      </c>
      <c r="D272" s="138">
        <v>104</v>
      </c>
      <c r="E272" t="s" s="85">
        <v>775</v>
      </c>
      <c r="F272" t="s" s="86">
        <v>213</v>
      </c>
      <c r="G272" s="139">
        <v>237</v>
      </c>
      <c r="H272" t="s" s="140">
        <v>115</v>
      </c>
      <c r="I272" t="s" s="141">
        <v>115</v>
      </c>
      <c r="J272" t="s" s="141">
        <v>97</v>
      </c>
      <c r="K272" t="str" s="142" cm="1">
        <f t="array" ref="K272">IF(OR(H272="ריביות",AND(H272="דירה כצנלסון",G272&lt;0,ISNUMBER(SEARCH("הכנסה",F272)))),"הכנסה שסווגה מחדש",J272)</f>
        <v>שוטף</v>
      </c>
      <c r="L272" t="s" s="141">
        <v>741</v>
      </c>
      <c r="M272" s="143" cm="1">
        <f t="array" ref="M272">IF(L272="מאושר",IF(K272="הכנסה שסווגה מחדש",0,G272),0)</f>
        <v>237</v>
      </c>
      <c r="N272" s="143" cm="1">
        <f t="array" ref="N272">IF(K272="שוטף",M272,0)</f>
        <v>237</v>
      </c>
      <c r="O272" s="143" cm="1">
        <f t="array" ref="O272">IF(K272="הכנסה שסווגה מחדש",-G272,0)</f>
        <v>0</v>
      </c>
      <c r="P272" t="s" s="86">
        <v>762</v>
      </c>
      <c r="Q272" s="99"/>
      <c r="R272" t="s" s="144">
        <v>743</v>
      </c>
      <c r="S272" s="77"/>
    </row>
    <row r="273" ht="13.65" customHeight="1">
      <c r="A273" s="78">
        <v>45717</v>
      </c>
      <c r="B273" t="s" s="79">
        <v>37</v>
      </c>
      <c r="C273" t="s" s="80">
        <v>793</v>
      </c>
      <c r="D273" s="131">
        <v>105</v>
      </c>
      <c r="E273" t="s" s="79">
        <v>756</v>
      </c>
      <c r="F273" t="s" s="80">
        <v>569</v>
      </c>
      <c r="G273" s="132">
        <v>70</v>
      </c>
      <c r="H273" t="s" s="133">
        <v>105</v>
      </c>
      <c r="I273" t="s" s="134">
        <v>105</v>
      </c>
      <c r="J273" t="s" s="134">
        <v>103</v>
      </c>
      <c r="K273" t="str" s="135" cm="1">
        <f t="array" ref="K273">IF(OR(H273="ריביות",AND(H273="דירה כצנלסון",G273&lt;0,ISNUMBER(SEARCH("הכנסה",F273)))),"הכנסה שסווגה מחדש",J273)</f>
        <v>חריג</v>
      </c>
      <c r="L273" t="s" s="134">
        <v>741</v>
      </c>
      <c r="M273" s="136" cm="1">
        <f t="array" ref="M273">IF(L273="מאושר",IF(K273="הכנסה שסווגה מחדש",0,G273),0)</f>
        <v>70</v>
      </c>
      <c r="N273" s="136" cm="1">
        <f t="array" ref="N273">IF(K273="שוטף",M273,0)</f>
        <v>0</v>
      </c>
      <c r="O273" s="136" cm="1">
        <f t="array" ref="O273">IF(K273="הכנסה שסווגה מחדש",-G273,0)</f>
        <v>0</v>
      </c>
      <c r="P273" t="s" s="80">
        <v>762</v>
      </c>
      <c r="Q273" s="100"/>
      <c r="R273" t="s" s="137">
        <v>743</v>
      </c>
      <c r="S273" s="77"/>
    </row>
    <row r="274" ht="13.65" customHeight="1">
      <c r="A274" s="84">
        <v>45717</v>
      </c>
      <c r="B274" t="s" s="85">
        <v>37</v>
      </c>
      <c r="C274" t="s" s="86">
        <v>793</v>
      </c>
      <c r="D274" s="138">
        <v>106</v>
      </c>
      <c r="E274" t="s" s="85">
        <v>756</v>
      </c>
      <c r="F274" t="s" s="86">
        <v>213</v>
      </c>
      <c r="G274" s="139">
        <v>173</v>
      </c>
      <c r="H274" t="s" s="140">
        <v>115</v>
      </c>
      <c r="I274" t="s" s="141">
        <v>115</v>
      </c>
      <c r="J274" t="s" s="141">
        <v>97</v>
      </c>
      <c r="K274" t="str" s="142" cm="1">
        <f t="array" ref="K274">IF(OR(H274="ריביות",AND(H274="דירה כצנלסון",G274&lt;0,ISNUMBER(SEARCH("הכנסה",F274)))),"הכנסה שסווגה מחדש",J274)</f>
        <v>שוטף</v>
      </c>
      <c r="L274" t="s" s="141">
        <v>741</v>
      </c>
      <c r="M274" s="143" cm="1">
        <f t="array" ref="M274">IF(L274="מאושר",IF(K274="הכנסה שסווגה מחדש",0,G274),0)</f>
        <v>173</v>
      </c>
      <c r="N274" s="143" cm="1">
        <f t="array" ref="N274">IF(K274="שוטף",M274,0)</f>
        <v>173</v>
      </c>
      <c r="O274" s="143" cm="1">
        <f t="array" ref="O274">IF(K274="הכנסה שסווגה מחדש",-G274,0)</f>
        <v>0</v>
      </c>
      <c r="P274" t="s" s="86">
        <v>762</v>
      </c>
      <c r="Q274" s="99"/>
      <c r="R274" t="s" s="144">
        <v>743</v>
      </c>
      <c r="S274" s="77"/>
    </row>
    <row r="275" ht="13.65" customHeight="1">
      <c r="A275" s="78">
        <v>45717</v>
      </c>
      <c r="B275" t="s" s="79">
        <v>37</v>
      </c>
      <c r="C275" t="s" s="80">
        <v>793</v>
      </c>
      <c r="D275" s="131">
        <v>107</v>
      </c>
      <c r="E275" t="s" s="79">
        <v>777</v>
      </c>
      <c r="F275" t="s" s="80">
        <v>214</v>
      </c>
      <c r="G275" s="132">
        <v>2100</v>
      </c>
      <c r="H275" t="s" s="133">
        <v>767</v>
      </c>
      <c r="I275" t="s" s="134">
        <v>107</v>
      </c>
      <c r="J275" t="s" s="134">
        <v>97</v>
      </c>
      <c r="K275" t="str" s="135" cm="1">
        <f t="array" ref="K275">IF(OR(H275="ריביות",AND(H275="דירה כצנלסון",G275&lt;0,ISNUMBER(SEARCH("הכנסה",F275)))),"הכנסה שסווגה מחדש",J275)</f>
        <v>שוטף</v>
      </c>
      <c r="L275" t="s" s="134">
        <v>741</v>
      </c>
      <c r="M275" s="136" cm="1">
        <f t="array" ref="M275">IF(L275="מאושר",IF(K275="הכנסה שסווגה מחדש",0,G275),0)</f>
        <v>2100</v>
      </c>
      <c r="N275" s="136" cm="1">
        <f t="array" ref="N275">IF(K275="שוטף",M275,0)</f>
        <v>2100</v>
      </c>
      <c r="O275" s="136" cm="1">
        <f t="array" ref="O275">IF(K275="הכנסה שסווגה מחדש",-G275,0)</f>
        <v>0</v>
      </c>
      <c r="P275" t="s" s="80">
        <v>762</v>
      </c>
      <c r="Q275" s="100"/>
      <c r="R275" t="s" s="137">
        <v>743</v>
      </c>
      <c r="S275" s="77"/>
    </row>
    <row r="276" ht="13.65" customHeight="1">
      <c r="A276" s="84">
        <v>45717</v>
      </c>
      <c r="B276" t="s" s="85">
        <v>37</v>
      </c>
      <c r="C276" t="s" s="86">
        <v>793</v>
      </c>
      <c r="D276" s="138">
        <v>108</v>
      </c>
      <c r="E276" t="s" s="85">
        <v>777</v>
      </c>
      <c r="F276" t="s" s="86">
        <v>709</v>
      </c>
      <c r="G276" s="139">
        <v>-76</v>
      </c>
      <c r="H276" t="s" s="140">
        <v>210</v>
      </c>
      <c r="I276" t="s" s="141">
        <v>102</v>
      </c>
      <c r="J276" t="s" s="141">
        <v>103</v>
      </c>
      <c r="K276" t="str" s="142" cm="1">
        <f t="array" ref="K276">IF(OR(H276="ריביות",AND(H276="דירה כצנלסון",G276&lt;0,ISNUMBER(SEARCH("הכנסה",F276)))),"הכנסה שסווגה מחדש",J276)</f>
        <v>חריג</v>
      </c>
      <c r="L276" t="s" s="141">
        <v>741</v>
      </c>
      <c r="M276" s="143" cm="1">
        <f t="array" ref="M276">IF(L276="מאושר",IF(K276="הכנסה שסווגה מחדש",0,G276),0)</f>
        <v>-76</v>
      </c>
      <c r="N276" s="143" cm="1">
        <f t="array" ref="N276">IF(K276="שוטף",M276,0)</f>
        <v>0</v>
      </c>
      <c r="O276" s="143" cm="1">
        <f t="array" ref="O276">IF(K276="הכנסה שסווגה מחדש",-G276,0)</f>
        <v>0</v>
      </c>
      <c r="P276" t="s" s="86">
        <v>780</v>
      </c>
      <c r="Q276" s="99"/>
      <c r="R276" t="s" s="144">
        <v>743</v>
      </c>
      <c r="S276" s="77"/>
    </row>
    <row r="277" ht="13.65" customHeight="1">
      <c r="A277" s="78">
        <v>45717</v>
      </c>
      <c r="B277" t="s" s="79">
        <v>37</v>
      </c>
      <c r="C277" t="s" s="80">
        <v>793</v>
      </c>
      <c r="D277" s="131">
        <v>109</v>
      </c>
      <c r="E277" t="s" s="79">
        <v>34</v>
      </c>
      <c r="F277" t="s" s="80">
        <v>200</v>
      </c>
      <c r="G277" s="132">
        <v>67</v>
      </c>
      <c r="H277" t="s" s="133">
        <v>109</v>
      </c>
      <c r="I277" t="s" s="134">
        <v>109</v>
      </c>
      <c r="J277" t="s" s="134">
        <v>97</v>
      </c>
      <c r="K277" t="str" s="135" cm="1">
        <f t="array" ref="K277">IF(OR(H277="ריביות",AND(H277="דירה כצנלסון",G277&lt;0,ISNUMBER(SEARCH("הכנסה",F277)))),"הכנסה שסווגה מחדש",J277)</f>
        <v>שוטף</v>
      </c>
      <c r="L277" t="s" s="134">
        <v>741</v>
      </c>
      <c r="M277" s="136" cm="1">
        <f t="array" ref="M277">IF(L277="מאושר",IF(K277="הכנסה שסווגה מחדש",0,G277),0)</f>
        <v>67</v>
      </c>
      <c r="N277" s="136" cm="1">
        <f t="array" ref="N277">IF(K277="שוטף",M277,0)</f>
        <v>67</v>
      </c>
      <c r="O277" s="136" cm="1">
        <f t="array" ref="O277">IF(K277="הכנסה שסווגה מחדש",-G277,0)</f>
        <v>0</v>
      </c>
      <c r="P277" t="s" s="80">
        <v>784</v>
      </c>
      <c r="Q277" s="100"/>
      <c r="R277" t="s" s="137">
        <v>743</v>
      </c>
      <c r="S277" s="77"/>
    </row>
    <row r="278" ht="13.65" customHeight="1">
      <c r="A278" s="84">
        <v>45717</v>
      </c>
      <c r="B278" t="s" s="85">
        <v>37</v>
      </c>
      <c r="C278" t="s" s="86">
        <v>793</v>
      </c>
      <c r="D278" s="138">
        <v>110</v>
      </c>
      <c r="E278" t="s" s="85">
        <v>42</v>
      </c>
      <c r="F278" t="s" s="86">
        <v>113</v>
      </c>
      <c r="G278" s="139">
        <v>75</v>
      </c>
      <c r="H278" t="s" s="140">
        <v>113</v>
      </c>
      <c r="I278" t="s" s="141">
        <v>113</v>
      </c>
      <c r="J278" t="s" s="141">
        <v>97</v>
      </c>
      <c r="K278" t="str" s="142" cm="1">
        <f t="array" ref="K278">IF(OR(H278="ריביות",AND(H278="דירה כצנלסון",G278&lt;0,ISNUMBER(SEARCH("הכנסה",F278)))),"הכנסה שסווגה מחדש",J278)</f>
        <v>שוטף</v>
      </c>
      <c r="L278" t="s" s="141">
        <v>741</v>
      </c>
      <c r="M278" s="143" cm="1">
        <f t="array" ref="M278">IF(L278="מאושר",IF(K278="הכנסה שסווגה מחדש",0,G278),0)</f>
        <v>75</v>
      </c>
      <c r="N278" s="143" cm="1">
        <f t="array" ref="N278">IF(K278="שוטף",M278,0)</f>
        <v>75</v>
      </c>
      <c r="O278" s="143" cm="1">
        <f t="array" ref="O278">IF(K278="הכנסה שסווגה מחדש",-G278,0)</f>
        <v>0</v>
      </c>
      <c r="P278" t="s" s="86">
        <v>784</v>
      </c>
      <c r="Q278" s="99"/>
      <c r="R278" t="s" s="144">
        <v>743</v>
      </c>
      <c r="S278" s="77"/>
    </row>
    <row r="279" ht="13.65" customHeight="1">
      <c r="A279" s="78">
        <v>45717</v>
      </c>
      <c r="B279" t="s" s="79">
        <v>37</v>
      </c>
      <c r="C279" t="s" s="80">
        <v>793</v>
      </c>
      <c r="D279" s="131">
        <v>111</v>
      </c>
      <c r="E279" t="s" s="79">
        <v>769</v>
      </c>
      <c r="F279" t="s" s="80">
        <v>113</v>
      </c>
      <c r="G279" s="132">
        <v>21</v>
      </c>
      <c r="H279" t="s" s="133">
        <v>113</v>
      </c>
      <c r="I279" t="s" s="134">
        <v>113</v>
      </c>
      <c r="J279" t="s" s="134">
        <v>97</v>
      </c>
      <c r="K279" t="str" s="135" cm="1">
        <f t="array" ref="K279">IF(OR(H279="ריביות",AND(H279="דירה כצנלסון",G279&lt;0,ISNUMBER(SEARCH("הכנסה",F279)))),"הכנסה שסווגה מחדש",J279)</f>
        <v>שוטף</v>
      </c>
      <c r="L279" t="s" s="134">
        <v>741</v>
      </c>
      <c r="M279" s="136" cm="1">
        <f t="array" ref="M279">IF(L279="מאושר",IF(K279="הכנסה שסווגה מחדש",0,G279),0)</f>
        <v>21</v>
      </c>
      <c r="N279" s="136" cm="1">
        <f t="array" ref="N279">IF(K279="שוטף",M279,0)</f>
        <v>21</v>
      </c>
      <c r="O279" s="136" cm="1">
        <f t="array" ref="O279">IF(K279="הכנסה שסווגה מחדש",-G279,0)</f>
        <v>0</v>
      </c>
      <c r="P279" t="s" s="80">
        <v>784</v>
      </c>
      <c r="Q279" s="100"/>
      <c r="R279" t="s" s="137">
        <v>743</v>
      </c>
      <c r="S279" s="77"/>
    </row>
    <row r="280" ht="13.65" customHeight="1">
      <c r="A280" s="84">
        <v>45717</v>
      </c>
      <c r="B280" t="s" s="85">
        <v>37</v>
      </c>
      <c r="C280" t="s" s="86">
        <v>793</v>
      </c>
      <c r="D280" s="138">
        <v>112</v>
      </c>
      <c r="E280" t="s" s="85">
        <v>751</v>
      </c>
      <c r="F280" t="s" s="86">
        <v>113</v>
      </c>
      <c r="G280" s="139">
        <v>21</v>
      </c>
      <c r="H280" t="s" s="140">
        <v>113</v>
      </c>
      <c r="I280" t="s" s="141">
        <v>113</v>
      </c>
      <c r="J280" t="s" s="141">
        <v>97</v>
      </c>
      <c r="K280" t="str" s="142" cm="1">
        <f t="array" ref="K280">IF(OR(H280="ריביות",AND(H280="דירה כצנלסון",G280&lt;0,ISNUMBER(SEARCH("הכנסה",F280)))),"הכנסה שסווגה מחדש",J280)</f>
        <v>שוטף</v>
      </c>
      <c r="L280" t="s" s="141">
        <v>741</v>
      </c>
      <c r="M280" s="143" cm="1">
        <f t="array" ref="M280">IF(L280="מאושר",IF(K280="הכנסה שסווגה מחדש",0,G280),0)</f>
        <v>21</v>
      </c>
      <c r="N280" s="143" cm="1">
        <f t="array" ref="N280">IF(K280="שוטף",M280,0)</f>
        <v>21</v>
      </c>
      <c r="O280" s="143" cm="1">
        <f t="array" ref="O280">IF(K280="הכנסה שסווגה מחדש",-G280,0)</f>
        <v>0</v>
      </c>
      <c r="P280" t="s" s="86">
        <v>784</v>
      </c>
      <c r="Q280" s="99"/>
      <c r="R280" t="s" s="144">
        <v>743</v>
      </c>
      <c r="S280" s="77"/>
    </row>
    <row r="281" ht="13.65" customHeight="1">
      <c r="A281" s="78">
        <v>45717</v>
      </c>
      <c r="B281" t="s" s="79">
        <v>37</v>
      </c>
      <c r="C281" t="s" s="80">
        <v>793</v>
      </c>
      <c r="D281" s="131">
        <v>113</v>
      </c>
      <c r="E281" t="s" s="79">
        <v>753</v>
      </c>
      <c r="F281" t="s" s="80">
        <v>200</v>
      </c>
      <c r="G281" s="132">
        <v>182</v>
      </c>
      <c r="H281" t="s" s="133">
        <v>109</v>
      </c>
      <c r="I281" t="s" s="134">
        <v>109</v>
      </c>
      <c r="J281" t="s" s="134">
        <v>97</v>
      </c>
      <c r="K281" t="str" s="135" cm="1">
        <f t="array" ref="K281">IF(OR(H281="ריביות",AND(H281="דירה כצנלסון",G281&lt;0,ISNUMBER(SEARCH("הכנסה",F281)))),"הכנסה שסווגה מחדש",J281)</f>
        <v>שוטף</v>
      </c>
      <c r="L281" t="s" s="134">
        <v>741</v>
      </c>
      <c r="M281" s="136" cm="1">
        <f t="array" ref="M281">IF(L281="מאושר",IF(K281="הכנסה שסווגה מחדש",0,G281),0)</f>
        <v>182</v>
      </c>
      <c r="N281" s="136" cm="1">
        <f t="array" ref="N281">IF(K281="שוטף",M281,0)</f>
        <v>182</v>
      </c>
      <c r="O281" s="136" cm="1">
        <f t="array" ref="O281">IF(K281="הכנסה שסווגה מחדש",-G281,0)</f>
        <v>0</v>
      </c>
      <c r="P281" t="s" s="80">
        <v>784</v>
      </c>
      <c r="Q281" s="100"/>
      <c r="R281" t="s" s="137">
        <v>743</v>
      </c>
      <c r="S281" s="77"/>
    </row>
    <row r="282" ht="13.65" customHeight="1">
      <c r="A282" s="84">
        <v>45717</v>
      </c>
      <c r="B282" t="s" s="85">
        <v>37</v>
      </c>
      <c r="C282" t="s" s="86">
        <v>793</v>
      </c>
      <c r="D282" s="138">
        <v>114</v>
      </c>
      <c r="E282" t="s" s="85">
        <v>771</v>
      </c>
      <c r="F282" t="s" s="86">
        <v>200</v>
      </c>
      <c r="G282" s="139">
        <v>43</v>
      </c>
      <c r="H282" t="s" s="140">
        <v>109</v>
      </c>
      <c r="I282" t="s" s="141">
        <v>109</v>
      </c>
      <c r="J282" t="s" s="141">
        <v>97</v>
      </c>
      <c r="K282" t="str" s="142" cm="1">
        <f t="array" ref="K282">IF(OR(H282="ריביות",AND(H282="דירה כצנלסון",G282&lt;0,ISNUMBER(SEARCH("הכנסה",F282)))),"הכנסה שסווגה מחדש",J282)</f>
        <v>שוטף</v>
      </c>
      <c r="L282" t="s" s="141">
        <v>741</v>
      </c>
      <c r="M282" s="143" cm="1">
        <f t="array" ref="M282">IF(L282="מאושר",IF(K282="הכנסה שסווגה מחדש",0,G282),0)</f>
        <v>43</v>
      </c>
      <c r="N282" s="143" cm="1">
        <f t="array" ref="N282">IF(K282="שוטף",M282,0)</f>
        <v>43</v>
      </c>
      <c r="O282" s="143" cm="1">
        <f t="array" ref="O282">IF(K282="הכנסה שסווגה מחדש",-G282,0)</f>
        <v>0</v>
      </c>
      <c r="P282" t="s" s="86">
        <v>784</v>
      </c>
      <c r="Q282" s="99"/>
      <c r="R282" t="s" s="144">
        <v>743</v>
      </c>
      <c r="S282" s="77"/>
    </row>
    <row r="283" ht="13.65" customHeight="1">
      <c r="A283" s="78">
        <v>45717</v>
      </c>
      <c r="B283" t="s" s="79">
        <v>37</v>
      </c>
      <c r="C283" t="s" s="80">
        <v>793</v>
      </c>
      <c r="D283" s="131">
        <v>115</v>
      </c>
      <c r="E283" t="s" s="79">
        <v>754</v>
      </c>
      <c r="F283" t="s" s="80">
        <v>200</v>
      </c>
      <c r="G283" s="132">
        <v>19</v>
      </c>
      <c r="H283" t="s" s="133">
        <v>109</v>
      </c>
      <c r="I283" t="s" s="134">
        <v>109</v>
      </c>
      <c r="J283" t="s" s="134">
        <v>97</v>
      </c>
      <c r="K283" t="str" s="135" cm="1">
        <f t="array" ref="K283">IF(OR(H283="ריביות",AND(H283="דירה כצנלסון",G283&lt;0,ISNUMBER(SEARCH("הכנסה",F283)))),"הכנסה שסווגה מחדש",J283)</f>
        <v>שוטף</v>
      </c>
      <c r="L283" t="s" s="134">
        <v>741</v>
      </c>
      <c r="M283" s="136" cm="1">
        <f t="array" ref="M283">IF(L283="מאושר",IF(K283="הכנסה שסווגה מחדש",0,G283),0)</f>
        <v>19</v>
      </c>
      <c r="N283" s="136" cm="1">
        <f t="array" ref="N283">IF(K283="שוטף",M283,0)</f>
        <v>19</v>
      </c>
      <c r="O283" s="136" cm="1">
        <f t="array" ref="O283">IF(K283="הכנסה שסווגה מחדש",-G283,0)</f>
        <v>0</v>
      </c>
      <c r="P283" t="s" s="80">
        <v>784</v>
      </c>
      <c r="Q283" s="100"/>
      <c r="R283" t="s" s="137">
        <v>743</v>
      </c>
      <c r="S283" s="77"/>
    </row>
    <row r="284" ht="13.65" customHeight="1">
      <c r="A284" s="84">
        <v>45717</v>
      </c>
      <c r="B284" t="s" s="85">
        <v>37</v>
      </c>
      <c r="C284" t="s" s="86">
        <v>793</v>
      </c>
      <c r="D284" s="138">
        <v>116</v>
      </c>
      <c r="E284" t="s" s="85">
        <v>766</v>
      </c>
      <c r="F284" t="s" s="86">
        <v>200</v>
      </c>
      <c r="G284" s="139">
        <v>71</v>
      </c>
      <c r="H284" t="s" s="140">
        <v>109</v>
      </c>
      <c r="I284" t="s" s="141">
        <v>109</v>
      </c>
      <c r="J284" t="s" s="141">
        <v>97</v>
      </c>
      <c r="K284" t="str" s="142" cm="1">
        <f t="array" ref="K284">IF(OR(H284="ריביות",AND(H284="דירה כצנלסון",G284&lt;0,ISNUMBER(SEARCH("הכנסה",F284)))),"הכנסה שסווגה מחדש",J284)</f>
        <v>שוטף</v>
      </c>
      <c r="L284" t="s" s="141">
        <v>741</v>
      </c>
      <c r="M284" s="143" cm="1">
        <f t="array" ref="M284">IF(L284="מאושר",IF(K284="הכנסה שסווגה מחדש",0,G284),0)</f>
        <v>71</v>
      </c>
      <c r="N284" s="143" cm="1">
        <f t="array" ref="N284">IF(K284="שוטף",M284,0)</f>
        <v>71</v>
      </c>
      <c r="O284" s="143" cm="1">
        <f t="array" ref="O284">IF(K284="הכנסה שסווגה מחדש",-G284,0)</f>
        <v>0</v>
      </c>
      <c r="P284" t="s" s="86">
        <v>784</v>
      </c>
      <c r="Q284" s="99"/>
      <c r="R284" t="s" s="144">
        <v>743</v>
      </c>
      <c r="S284" s="77"/>
    </row>
    <row r="285" ht="13.65" customHeight="1">
      <c r="A285" s="78">
        <v>45717</v>
      </c>
      <c r="B285" t="s" s="79">
        <v>37</v>
      </c>
      <c r="C285" t="s" s="80">
        <v>793</v>
      </c>
      <c r="D285" s="131">
        <v>117</v>
      </c>
      <c r="E285" t="s" s="79">
        <v>766</v>
      </c>
      <c r="F285" t="s" s="80">
        <v>113</v>
      </c>
      <c r="G285" s="132">
        <v>19</v>
      </c>
      <c r="H285" t="s" s="133">
        <v>113</v>
      </c>
      <c r="I285" t="s" s="134">
        <v>113</v>
      </c>
      <c r="J285" t="s" s="134">
        <v>97</v>
      </c>
      <c r="K285" t="str" s="135" cm="1">
        <f t="array" ref="K285">IF(OR(H285="ריביות",AND(H285="דירה כצנלסון",G285&lt;0,ISNUMBER(SEARCH("הכנסה",F285)))),"הכנסה שסווגה מחדש",J285)</f>
        <v>שוטף</v>
      </c>
      <c r="L285" t="s" s="134">
        <v>741</v>
      </c>
      <c r="M285" s="136" cm="1">
        <f t="array" ref="M285">IF(L285="מאושר",IF(K285="הכנסה שסווגה מחדש",0,G285),0)</f>
        <v>19</v>
      </c>
      <c r="N285" s="136" cm="1">
        <f t="array" ref="N285">IF(K285="שוטף",M285,0)</f>
        <v>19</v>
      </c>
      <c r="O285" s="136" cm="1">
        <f t="array" ref="O285">IF(K285="הכנסה שסווגה מחדש",-G285,0)</f>
        <v>0</v>
      </c>
      <c r="P285" t="s" s="80">
        <v>784</v>
      </c>
      <c r="Q285" s="100"/>
      <c r="R285" t="s" s="137">
        <v>743</v>
      </c>
      <c r="S285" s="77"/>
    </row>
    <row r="286" ht="13.65" customHeight="1">
      <c r="A286" s="84">
        <v>45717</v>
      </c>
      <c r="B286" t="s" s="85">
        <v>37</v>
      </c>
      <c r="C286" t="s" s="86">
        <v>793</v>
      </c>
      <c r="D286" s="138">
        <v>118</v>
      </c>
      <c r="E286" t="s" s="85">
        <v>766</v>
      </c>
      <c r="F286" t="s" s="86">
        <v>113</v>
      </c>
      <c r="G286" s="139">
        <v>41</v>
      </c>
      <c r="H286" t="s" s="140">
        <v>113</v>
      </c>
      <c r="I286" t="s" s="141">
        <v>113</v>
      </c>
      <c r="J286" t="s" s="141">
        <v>97</v>
      </c>
      <c r="K286" t="str" s="142" cm="1">
        <f t="array" ref="K286">IF(OR(H286="ריביות",AND(H286="דירה כצנלסון",G286&lt;0,ISNUMBER(SEARCH("הכנסה",F286)))),"הכנסה שסווגה מחדש",J286)</f>
        <v>שוטף</v>
      </c>
      <c r="L286" t="s" s="141">
        <v>741</v>
      </c>
      <c r="M286" s="143" cm="1">
        <f t="array" ref="M286">IF(L286="מאושר",IF(K286="הכנסה שסווגה מחדש",0,G286),0)</f>
        <v>41</v>
      </c>
      <c r="N286" s="143" cm="1">
        <f t="array" ref="N286">IF(K286="שוטף",M286,0)</f>
        <v>41</v>
      </c>
      <c r="O286" s="143" cm="1">
        <f t="array" ref="O286">IF(K286="הכנסה שסווגה מחדש",-G286,0)</f>
        <v>0</v>
      </c>
      <c r="P286" t="s" s="86">
        <v>784</v>
      </c>
      <c r="Q286" s="99"/>
      <c r="R286" t="s" s="144">
        <v>743</v>
      </c>
      <c r="S286" s="77"/>
    </row>
    <row r="287" ht="13.65" customHeight="1">
      <c r="A287" s="78">
        <v>45717</v>
      </c>
      <c r="B287" t="s" s="79">
        <v>37</v>
      </c>
      <c r="C287" t="s" s="80">
        <v>793</v>
      </c>
      <c r="D287" s="131">
        <v>119</v>
      </c>
      <c r="E287" t="s" s="79">
        <v>759</v>
      </c>
      <c r="F287" t="s" s="80">
        <v>420</v>
      </c>
      <c r="G287" s="132">
        <v>175</v>
      </c>
      <c r="H287" t="s" s="133">
        <v>113</v>
      </c>
      <c r="I287" t="s" s="134">
        <v>113</v>
      </c>
      <c r="J287" t="s" s="134">
        <v>97</v>
      </c>
      <c r="K287" t="str" s="135" cm="1">
        <f t="array" ref="K287">IF(OR(H287="ריביות",AND(H287="דירה כצנלסון",G287&lt;0,ISNUMBER(SEARCH("הכנסה",F287)))),"הכנסה שסווגה מחדש",J287)</f>
        <v>שוטף</v>
      </c>
      <c r="L287" t="s" s="134">
        <v>741</v>
      </c>
      <c r="M287" s="136" cm="1">
        <f t="array" ref="M287">IF(L287="מאושר",IF(K287="הכנסה שסווגה מחדש",0,G287),0)</f>
        <v>175</v>
      </c>
      <c r="N287" s="136" cm="1">
        <f t="array" ref="N287">IF(K287="שוטף",M287,0)</f>
        <v>175</v>
      </c>
      <c r="O287" s="136" cm="1">
        <f t="array" ref="O287">IF(K287="הכנסה שסווגה מחדש",-G287,0)</f>
        <v>0</v>
      </c>
      <c r="P287" t="s" s="80">
        <v>784</v>
      </c>
      <c r="Q287" s="100"/>
      <c r="R287" t="s" s="137">
        <v>743</v>
      </c>
      <c r="S287" s="77"/>
    </row>
    <row r="288" ht="13.65" customHeight="1">
      <c r="A288" s="84">
        <v>45717</v>
      </c>
      <c r="B288" t="s" s="85">
        <v>37</v>
      </c>
      <c r="C288" t="s" s="86">
        <v>793</v>
      </c>
      <c r="D288" s="138">
        <v>120</v>
      </c>
      <c r="E288" t="s" s="85">
        <v>756</v>
      </c>
      <c r="F288" t="s" s="86">
        <v>113</v>
      </c>
      <c r="G288" s="139">
        <v>89</v>
      </c>
      <c r="H288" t="s" s="140">
        <v>113</v>
      </c>
      <c r="I288" t="s" s="141">
        <v>113</v>
      </c>
      <c r="J288" t="s" s="141">
        <v>97</v>
      </c>
      <c r="K288" t="str" s="142" cm="1">
        <f t="array" ref="K288">IF(OR(H288="ריביות",AND(H288="דירה כצנלסון",G288&lt;0,ISNUMBER(SEARCH("הכנסה",F288)))),"הכנסה שסווגה מחדש",J288)</f>
        <v>שוטף</v>
      </c>
      <c r="L288" t="s" s="141">
        <v>741</v>
      </c>
      <c r="M288" s="143" cm="1">
        <f t="array" ref="M288">IF(L288="מאושר",IF(K288="הכנסה שסווגה מחדש",0,G288),0)</f>
        <v>89</v>
      </c>
      <c r="N288" s="143" cm="1">
        <f t="array" ref="N288">IF(K288="שוטף",M288,0)</f>
        <v>89</v>
      </c>
      <c r="O288" s="143" cm="1">
        <f t="array" ref="O288">IF(K288="הכנסה שסווגה מחדש",-G288,0)</f>
        <v>0</v>
      </c>
      <c r="P288" t="s" s="86">
        <v>784</v>
      </c>
      <c r="Q288" s="99"/>
      <c r="R288" t="s" s="144">
        <v>743</v>
      </c>
      <c r="S288" s="77"/>
    </row>
    <row r="289" ht="13.65" customHeight="1">
      <c r="A289" s="78">
        <v>45717</v>
      </c>
      <c r="B289" t="s" s="79">
        <v>37</v>
      </c>
      <c r="C289" t="s" s="80">
        <v>793</v>
      </c>
      <c r="D289" s="131">
        <v>121</v>
      </c>
      <c r="E289" t="s" s="79">
        <v>756</v>
      </c>
      <c r="F289" t="s" s="80">
        <v>200</v>
      </c>
      <c r="G289" s="132">
        <v>242</v>
      </c>
      <c r="H289" t="s" s="133">
        <v>109</v>
      </c>
      <c r="I289" t="s" s="134">
        <v>109</v>
      </c>
      <c r="J289" t="s" s="134">
        <v>97</v>
      </c>
      <c r="K289" t="str" s="135" cm="1">
        <f t="array" ref="K289">IF(OR(H289="ריביות",AND(H289="דירה כצנלסון",G289&lt;0,ISNUMBER(SEARCH("הכנסה",F289)))),"הכנסה שסווגה מחדש",J289)</f>
        <v>שוטף</v>
      </c>
      <c r="L289" t="s" s="134">
        <v>741</v>
      </c>
      <c r="M289" s="136" cm="1">
        <f t="array" ref="M289">IF(L289="מאושר",IF(K289="הכנסה שסווגה מחדש",0,G289),0)</f>
        <v>242</v>
      </c>
      <c r="N289" s="136" cm="1">
        <f t="array" ref="N289">IF(K289="שוטף",M289,0)</f>
        <v>242</v>
      </c>
      <c r="O289" s="136" cm="1">
        <f t="array" ref="O289">IF(K289="הכנסה שסווגה מחדש",-G289,0)</f>
        <v>0</v>
      </c>
      <c r="P289" t="s" s="80">
        <v>784</v>
      </c>
      <c r="Q289" s="100"/>
      <c r="R289" t="s" s="137">
        <v>743</v>
      </c>
      <c r="S289" s="77"/>
    </row>
    <row r="290" ht="13.65" customHeight="1">
      <c r="A290" s="84">
        <v>45717</v>
      </c>
      <c r="B290" t="s" s="85">
        <v>37</v>
      </c>
      <c r="C290" t="s" s="86">
        <v>793</v>
      </c>
      <c r="D290" s="138">
        <v>122</v>
      </c>
      <c r="E290" t="s" s="85">
        <v>30</v>
      </c>
      <c r="F290" t="s" s="86">
        <v>205</v>
      </c>
      <c r="G290" s="139">
        <v>819</v>
      </c>
      <c r="H290" t="s" s="140">
        <v>111</v>
      </c>
      <c r="I290" t="s" s="141">
        <v>111</v>
      </c>
      <c r="J290" t="s" s="141">
        <v>97</v>
      </c>
      <c r="K290" t="str" s="142" cm="1">
        <f t="array" ref="K290">IF(OR(H290="ריביות",AND(H290="דירה כצנלסון",G290&lt;0,ISNUMBER(SEARCH("הכנסה",F290)))),"הכנסה שסווגה מחדש",J290)</f>
        <v>שוטף</v>
      </c>
      <c r="L290" t="s" s="141">
        <v>741</v>
      </c>
      <c r="M290" s="143" cm="1">
        <f t="array" ref="M290">IF(L290="מאושר",IF(K290="הכנסה שסווגה מחדש",0,G290),0)</f>
        <v>819</v>
      </c>
      <c r="N290" s="143" cm="1">
        <f t="array" ref="N290">IF(K290="שוטף",M290,0)</f>
        <v>819</v>
      </c>
      <c r="O290" s="143" cm="1">
        <f t="array" ref="O290">IF(K290="הכנסה שסווגה מחדש",-G290,0)</f>
        <v>0</v>
      </c>
      <c r="P290" t="s" s="86">
        <v>760</v>
      </c>
      <c r="Q290" s="99"/>
      <c r="R290" t="s" s="144">
        <v>743</v>
      </c>
      <c r="S290" s="77"/>
    </row>
    <row r="291" ht="13.65" customHeight="1">
      <c r="A291" s="78">
        <v>45717</v>
      </c>
      <c r="B291" t="s" s="79">
        <v>37</v>
      </c>
      <c r="C291" t="s" s="80">
        <v>793</v>
      </c>
      <c r="D291" s="131">
        <v>123</v>
      </c>
      <c r="E291" s="100"/>
      <c r="F291" t="s" s="80">
        <v>745</v>
      </c>
      <c r="G291" s="132">
        <v>-31</v>
      </c>
      <c r="H291" t="s" s="133">
        <v>746</v>
      </c>
      <c r="I291" t="s" s="134">
        <v>141</v>
      </c>
      <c r="J291" t="s" s="134">
        <v>142</v>
      </c>
      <c r="K291" t="str" s="135" cm="1">
        <f t="array" ref="K291">IF(OR(H291="ריביות",AND(H291="דירה כצנלסון",G291&lt;0,ISNUMBER(SEARCH("הכנסה",F291)))),"הכנסה שסווגה מחדש",J291)</f>
        <v>הכנסה שסווגה מחדש</v>
      </c>
      <c r="L291" t="s" s="134">
        <v>741</v>
      </c>
      <c r="M291" s="136" cm="1">
        <f t="array" ref="M291">IF(L291="מאושר",IF(K291="הכנסה שסווגה מחדש",0,G291),0)</f>
        <v>0</v>
      </c>
      <c r="N291" s="136" cm="1">
        <f t="array" ref="N291">IF(K291="שוטף",M291,0)</f>
        <v>0</v>
      </c>
      <c r="O291" s="136" cm="1">
        <f t="array" ref="O291">IF(K291="הכנסה שסווגה מחדש",-G291,0)</f>
        <v>31</v>
      </c>
      <c r="P291" t="s" s="79">
        <v>742</v>
      </c>
      <c r="Q291" s="100"/>
      <c r="R291" t="s" s="137">
        <v>743</v>
      </c>
      <c r="S291" s="77"/>
    </row>
    <row r="292" ht="13.65" customHeight="1">
      <c r="A292" s="84">
        <v>45717</v>
      </c>
      <c r="B292" t="s" s="85">
        <v>37</v>
      </c>
      <c r="C292" t="s" s="86">
        <v>793</v>
      </c>
      <c r="D292" s="138">
        <v>124</v>
      </c>
      <c r="E292" s="99"/>
      <c r="F292" t="s" s="86">
        <v>745</v>
      </c>
      <c r="G292" s="139">
        <v>-40</v>
      </c>
      <c r="H292" t="s" s="140">
        <v>746</v>
      </c>
      <c r="I292" t="s" s="141">
        <v>141</v>
      </c>
      <c r="J292" t="s" s="141">
        <v>142</v>
      </c>
      <c r="K292" t="str" s="142" cm="1">
        <f t="array" ref="K292">IF(OR(H292="ריביות",AND(H292="דירה כצנלסון",G292&lt;0,ISNUMBER(SEARCH("הכנסה",F292)))),"הכנסה שסווגה מחדש",J292)</f>
        <v>הכנסה שסווגה מחדש</v>
      </c>
      <c r="L292" t="s" s="141">
        <v>741</v>
      </c>
      <c r="M292" s="143" cm="1">
        <f t="array" ref="M292">IF(L292="מאושר",IF(K292="הכנסה שסווגה מחדש",0,G292),0)</f>
        <v>0</v>
      </c>
      <c r="N292" s="143" cm="1">
        <f t="array" ref="N292">IF(K292="שוטף",M292,0)</f>
        <v>0</v>
      </c>
      <c r="O292" s="143" cm="1">
        <f t="array" ref="O292">IF(K292="הכנסה שסווגה מחדש",-G292,0)</f>
        <v>40</v>
      </c>
      <c r="P292" t="s" s="85">
        <v>742</v>
      </c>
      <c r="Q292" s="99"/>
      <c r="R292" t="s" s="144">
        <v>743</v>
      </c>
      <c r="S292" s="77"/>
    </row>
    <row r="293" ht="13.65" customHeight="1">
      <c r="A293" s="78">
        <v>45717</v>
      </c>
      <c r="B293" t="s" s="79">
        <v>37</v>
      </c>
      <c r="C293" t="s" s="80">
        <v>793</v>
      </c>
      <c r="D293" s="131">
        <v>125</v>
      </c>
      <c r="E293" s="100"/>
      <c r="F293" t="s" s="80">
        <v>745</v>
      </c>
      <c r="G293" s="132">
        <v>-418</v>
      </c>
      <c r="H293" t="s" s="133">
        <v>746</v>
      </c>
      <c r="I293" t="s" s="134">
        <v>141</v>
      </c>
      <c r="J293" t="s" s="134">
        <v>142</v>
      </c>
      <c r="K293" t="str" s="135" cm="1">
        <f t="array" ref="K293">IF(OR(H293="ריביות",AND(H293="דירה כצנלסון",G293&lt;0,ISNUMBER(SEARCH("הכנסה",F293)))),"הכנסה שסווגה מחדש",J293)</f>
        <v>הכנסה שסווגה מחדש</v>
      </c>
      <c r="L293" t="s" s="134">
        <v>741</v>
      </c>
      <c r="M293" s="136" cm="1">
        <f t="array" ref="M293">IF(L293="מאושר",IF(K293="הכנסה שסווגה מחדש",0,G293),0)</f>
        <v>0</v>
      </c>
      <c r="N293" s="136" cm="1">
        <f t="array" ref="N293">IF(K293="שוטף",M293,0)</f>
        <v>0</v>
      </c>
      <c r="O293" s="136" cm="1">
        <f t="array" ref="O293">IF(K293="הכנסה שסווגה מחדש",-G293,0)</f>
        <v>418</v>
      </c>
      <c r="P293" t="s" s="79">
        <v>742</v>
      </c>
      <c r="Q293" s="100"/>
      <c r="R293" t="s" s="137">
        <v>743</v>
      </c>
      <c r="S293" s="77"/>
    </row>
    <row r="294" ht="13.65" customHeight="1">
      <c r="A294" s="84">
        <v>45748</v>
      </c>
      <c r="B294" t="s" s="85">
        <v>41</v>
      </c>
      <c r="C294" t="s" s="86">
        <v>796</v>
      </c>
      <c r="D294" s="138">
        <v>2</v>
      </c>
      <c r="E294" t="s" s="85">
        <v>772</v>
      </c>
      <c r="F294" t="s" s="86">
        <v>196</v>
      </c>
      <c r="G294" s="139">
        <v>7500</v>
      </c>
      <c r="H294" t="s" s="140">
        <v>763</v>
      </c>
      <c r="I294" t="s" s="141">
        <v>96</v>
      </c>
      <c r="J294" t="s" s="141">
        <v>97</v>
      </c>
      <c r="K294" t="str" s="142" cm="1">
        <f t="array" ref="K294">IF(OR(H294="ריביות",AND(H294="דירה כצנלסון",G294&lt;0,ISNUMBER(SEARCH("הכנסה",F294)))),"הכנסה שסווגה מחדש",J294)</f>
        <v>שוטף</v>
      </c>
      <c r="L294" t="s" s="141">
        <v>741</v>
      </c>
      <c r="M294" s="143" cm="1">
        <f t="array" ref="M294">IF(L294="מאושר",IF(K294="הכנסה שסווגה מחדש",0,G294),0)</f>
        <v>7500</v>
      </c>
      <c r="N294" s="143" cm="1">
        <f t="array" ref="N294">IF(K294="שוטף",M294,0)</f>
        <v>7500</v>
      </c>
      <c r="O294" s="143" cm="1">
        <f t="array" ref="O294">IF(K294="הכנסה שסווגה מחדש",-G294,0)</f>
        <v>0</v>
      </c>
      <c r="P294" t="s" s="85">
        <v>742</v>
      </c>
      <c r="Q294" s="99"/>
      <c r="R294" t="s" s="144">
        <v>743</v>
      </c>
      <c r="S294" s="77"/>
    </row>
    <row r="295" ht="13.65" customHeight="1">
      <c r="A295" s="78">
        <v>45748</v>
      </c>
      <c r="B295" t="s" s="79">
        <v>41</v>
      </c>
      <c r="C295" t="s" s="80">
        <v>796</v>
      </c>
      <c r="D295" s="131">
        <v>3</v>
      </c>
      <c r="E295" t="s" s="79">
        <v>751</v>
      </c>
      <c r="F295" t="s" s="80">
        <v>197</v>
      </c>
      <c r="G295" s="132">
        <v>6126</v>
      </c>
      <c r="H295" t="s" s="133">
        <v>279</v>
      </c>
      <c r="I295" t="s" s="134">
        <v>99</v>
      </c>
      <c r="J295" t="s" s="134">
        <v>100</v>
      </c>
      <c r="K295" t="str" s="135" cm="1">
        <f t="array" ref="K295">IF(OR(H295="ריביות",AND(H295="דירה כצנלסון",G295&lt;0,ISNUMBER(SEARCH("הכנסה",F295)))),"הכנסה שסווגה מחדש",J295)</f>
        <v>חריג/נכס</v>
      </c>
      <c r="L295" t="s" s="134">
        <v>741</v>
      </c>
      <c r="M295" s="136" cm="1">
        <f t="array" ref="M295">IF(L295="מאושר",IF(K295="הכנסה שסווגה מחדש",0,G295),0)</f>
        <v>6126</v>
      </c>
      <c r="N295" s="136" cm="1">
        <f t="array" ref="N295">IF(K295="שוטף",M295,0)</f>
        <v>0</v>
      </c>
      <c r="O295" s="136" cm="1">
        <f t="array" ref="O295">IF(K295="הכנסה שסווגה מחדש",-G295,0)</f>
        <v>0</v>
      </c>
      <c r="P295" t="s" s="80">
        <v>786</v>
      </c>
      <c r="Q295" s="100"/>
      <c r="R295" t="s" s="137">
        <v>743</v>
      </c>
      <c r="S295" s="77"/>
    </row>
    <row r="296" ht="13.65" customHeight="1">
      <c r="A296" s="84">
        <v>45748</v>
      </c>
      <c r="B296" t="s" s="85">
        <v>41</v>
      </c>
      <c r="C296" t="s" s="86">
        <v>796</v>
      </c>
      <c r="D296" s="138">
        <v>4</v>
      </c>
      <c r="E296" t="s" s="85">
        <v>788</v>
      </c>
      <c r="F296" t="s" s="86">
        <v>740</v>
      </c>
      <c r="G296" s="139">
        <v>-6500</v>
      </c>
      <c r="H296" t="s" s="140">
        <v>279</v>
      </c>
      <c r="I296" t="s" s="141">
        <v>99</v>
      </c>
      <c r="J296" t="s" s="141">
        <v>100</v>
      </c>
      <c r="K296" t="str" s="142" cm="1">
        <f t="array" ref="K296">IF(OR(H296="ריביות",AND(H296="דירה כצנלסון",G296&lt;0,ISNUMBER(SEARCH("הכנסה",F296)))),"הכנסה שסווגה מחדש",J296)</f>
        <v>הכנסה שסווגה מחדש</v>
      </c>
      <c r="L296" t="s" s="141">
        <v>741</v>
      </c>
      <c r="M296" s="143" cm="1">
        <f t="array" ref="M296">IF(L296="מאושר",IF(K296="הכנסה שסווגה מחדש",0,G296),0)</f>
        <v>0</v>
      </c>
      <c r="N296" s="143" cm="1">
        <f t="array" ref="N296">IF(K296="שוטף",M296,0)</f>
        <v>0</v>
      </c>
      <c r="O296" s="143" cm="1">
        <f t="array" ref="O296">IF(K296="הכנסה שסווגה מחדש",-G296,0)</f>
        <v>6500</v>
      </c>
      <c r="P296" t="s" s="85">
        <v>742</v>
      </c>
      <c r="Q296" s="99"/>
      <c r="R296" t="s" s="144">
        <v>743</v>
      </c>
      <c r="S296" s="77"/>
    </row>
    <row r="297" ht="13.65" customHeight="1">
      <c r="A297" s="78">
        <v>45748</v>
      </c>
      <c r="B297" t="s" s="79">
        <v>41</v>
      </c>
      <c r="C297" t="s" s="80">
        <v>796</v>
      </c>
      <c r="D297" s="131">
        <v>5</v>
      </c>
      <c r="E297" t="s" s="79">
        <v>791</v>
      </c>
      <c r="F297" t="s" s="80">
        <v>212</v>
      </c>
      <c r="G297" s="132">
        <v>981</v>
      </c>
      <c r="H297" t="s" s="133">
        <v>757</v>
      </c>
      <c r="I297" t="s" s="134">
        <v>96</v>
      </c>
      <c r="J297" t="s" s="134">
        <v>97</v>
      </c>
      <c r="K297" t="str" s="135" cm="1">
        <f t="array" ref="K297">IF(OR(H297="ריביות",AND(H297="דירה כצנלסון",G297&lt;0,ISNUMBER(SEARCH("הכנסה",F297)))),"הכנסה שסווגה מחדש",J297)</f>
        <v>שוטף</v>
      </c>
      <c r="L297" t="s" s="134">
        <v>741</v>
      </c>
      <c r="M297" s="136" cm="1">
        <f t="array" ref="M297">IF(L297="מאושר",IF(K297="הכנסה שסווגה מחדש",0,G297),0)</f>
        <v>981</v>
      </c>
      <c r="N297" s="136" cm="1">
        <f t="array" ref="N297">IF(K297="שוטף",M297,0)</f>
        <v>981</v>
      </c>
      <c r="O297" s="136" cm="1">
        <f t="array" ref="O297">IF(K297="הכנסה שסווגה מחדש",-G297,0)</f>
        <v>0</v>
      </c>
      <c r="P297" s="100"/>
      <c r="Q297" s="100"/>
      <c r="R297" t="s" s="137">
        <v>743</v>
      </c>
      <c r="S297" s="77"/>
    </row>
    <row r="298" ht="13.65" customHeight="1">
      <c r="A298" s="84">
        <v>45748</v>
      </c>
      <c r="B298" t="s" s="85">
        <v>41</v>
      </c>
      <c r="C298" t="s" s="86">
        <v>796</v>
      </c>
      <c r="D298" s="138">
        <v>6</v>
      </c>
      <c r="E298" s="99"/>
      <c r="F298" t="s" s="86">
        <v>221</v>
      </c>
      <c r="G298" s="139">
        <v>0</v>
      </c>
      <c r="H298" t="s" s="140">
        <v>757</v>
      </c>
      <c r="I298" t="s" s="141">
        <v>96</v>
      </c>
      <c r="J298" t="s" s="141">
        <v>97</v>
      </c>
      <c r="K298" t="str" s="142" cm="1">
        <f t="array" ref="K298">IF(OR(H298="ריביות",AND(H298="דירה כצנלסון",G298&lt;0,ISNUMBER(SEARCH("הכנסה",F298)))),"הכנסה שסווגה מחדש",J298)</f>
        <v>שוטף</v>
      </c>
      <c r="L298" t="s" s="141">
        <v>741</v>
      </c>
      <c r="M298" s="143" cm="1">
        <f t="array" ref="M298">IF(L298="מאושר",IF(K298="הכנסה שסווגה מחדש",0,G298),0)</f>
        <v>0</v>
      </c>
      <c r="N298" s="143" cm="1">
        <f t="array" ref="N298">IF(K298="שוטף",M298,0)</f>
        <v>0</v>
      </c>
      <c r="O298" s="143" cm="1">
        <f t="array" ref="O298">IF(K298="הכנסה שסווגה מחדש",-G298,0)</f>
        <v>0</v>
      </c>
      <c r="P298" s="99"/>
      <c r="Q298" s="99"/>
      <c r="R298" t="s" s="144">
        <v>743</v>
      </c>
      <c r="S298" s="77"/>
    </row>
    <row r="299" ht="13.65" customHeight="1">
      <c r="A299" s="78">
        <v>45748</v>
      </c>
      <c r="B299" t="s" s="79">
        <v>41</v>
      </c>
      <c r="C299" t="s" s="80">
        <v>796</v>
      </c>
      <c r="D299" s="131">
        <v>7</v>
      </c>
      <c r="E299" s="100"/>
      <c r="F299" t="s" s="80">
        <v>272</v>
      </c>
      <c r="G299" s="132">
        <v>0</v>
      </c>
      <c r="H299" t="s" s="133">
        <v>757</v>
      </c>
      <c r="I299" t="s" s="134">
        <v>96</v>
      </c>
      <c r="J299" t="s" s="134">
        <v>97</v>
      </c>
      <c r="K299" t="str" s="135" cm="1">
        <f t="array" ref="K299">IF(OR(H299="ריביות",AND(H299="דירה כצנלסון",G299&lt;0,ISNUMBER(SEARCH("הכנסה",F299)))),"הכנסה שסווגה מחדש",J299)</f>
        <v>שוטף</v>
      </c>
      <c r="L299" t="s" s="134">
        <v>741</v>
      </c>
      <c r="M299" s="136" cm="1">
        <f t="array" ref="M299">IF(L299="מאושר",IF(K299="הכנסה שסווגה מחדש",0,G299),0)</f>
        <v>0</v>
      </c>
      <c r="N299" s="136" cm="1">
        <f t="array" ref="N299">IF(K299="שוטף",M299,0)</f>
        <v>0</v>
      </c>
      <c r="O299" s="136" cm="1">
        <f t="array" ref="O299">IF(K299="הכנסה שסווגה מחדש",-G299,0)</f>
        <v>0</v>
      </c>
      <c r="P299" s="100"/>
      <c r="Q299" s="100"/>
      <c r="R299" t="s" s="137">
        <v>743</v>
      </c>
      <c r="S299" s="77"/>
    </row>
    <row r="300" ht="13.65" customHeight="1">
      <c r="A300" s="84">
        <v>45748</v>
      </c>
      <c r="B300" t="s" s="85">
        <v>41</v>
      </c>
      <c r="C300" t="s" s="86">
        <v>796</v>
      </c>
      <c r="D300" s="138">
        <v>8</v>
      </c>
      <c r="E300" s="99"/>
      <c r="F300" t="s" s="86">
        <v>232</v>
      </c>
      <c r="G300" s="139">
        <v>600</v>
      </c>
      <c r="H300" t="s" s="140">
        <v>757</v>
      </c>
      <c r="I300" t="s" s="141">
        <v>96</v>
      </c>
      <c r="J300" t="s" s="141">
        <v>97</v>
      </c>
      <c r="K300" t="str" s="142" cm="1">
        <f t="array" ref="K300">IF(OR(H300="ריביות",AND(H300="דירה כצנלסון",G300&lt;0,ISNUMBER(SEARCH("הכנסה",F300)))),"הכנסה שסווגה מחדש",J300)</f>
        <v>שוטף</v>
      </c>
      <c r="L300" t="s" s="141">
        <v>741</v>
      </c>
      <c r="M300" s="143" cm="1">
        <f t="array" ref="M300">IF(L300="מאושר",IF(K300="הכנסה שסווגה מחדש",0,G300),0)</f>
        <v>600</v>
      </c>
      <c r="N300" s="143" cm="1">
        <f t="array" ref="N300">IF(K300="שוטף",M300,0)</f>
        <v>600</v>
      </c>
      <c r="O300" s="143" cm="1">
        <f t="array" ref="O300">IF(K300="הכנסה שסווגה מחדש",-G300,0)</f>
        <v>0</v>
      </c>
      <c r="P300" t="s" s="86">
        <v>781</v>
      </c>
      <c r="Q300" s="99"/>
      <c r="R300" t="s" s="144">
        <v>743</v>
      </c>
      <c r="S300" s="77"/>
    </row>
    <row r="301" ht="13.65" customHeight="1">
      <c r="A301" s="78">
        <v>45748</v>
      </c>
      <c r="B301" t="s" s="79">
        <v>41</v>
      </c>
      <c r="C301" t="s" s="80">
        <v>796</v>
      </c>
      <c r="D301" s="131">
        <v>9</v>
      </c>
      <c r="E301" s="100"/>
      <c r="F301" t="s" s="80">
        <v>374</v>
      </c>
      <c r="G301" s="132">
        <v>0</v>
      </c>
      <c r="H301" t="s" s="133">
        <v>757</v>
      </c>
      <c r="I301" t="s" s="134">
        <v>96</v>
      </c>
      <c r="J301" t="s" s="134">
        <v>97</v>
      </c>
      <c r="K301" t="str" s="135" cm="1">
        <f t="array" ref="K301">IF(OR(H301="ריביות",AND(H301="דירה כצנלסון",G301&lt;0,ISNUMBER(SEARCH("הכנסה",F301)))),"הכנסה שסווגה מחדש",J301)</f>
        <v>שוטף</v>
      </c>
      <c r="L301" t="s" s="134">
        <v>741</v>
      </c>
      <c r="M301" s="136" cm="1">
        <f t="array" ref="M301">IF(L301="מאושר",IF(K301="הכנסה שסווגה מחדש",0,G301),0)</f>
        <v>0</v>
      </c>
      <c r="N301" s="136" cm="1">
        <f t="array" ref="N301">IF(K301="שוטף",M301,0)</f>
        <v>0</v>
      </c>
      <c r="O301" s="136" cm="1">
        <f t="array" ref="O301">IF(K301="הכנסה שסווגה מחדש",-G301,0)</f>
        <v>0</v>
      </c>
      <c r="P301" s="100"/>
      <c r="Q301" s="100"/>
      <c r="R301" t="s" s="137">
        <v>743</v>
      </c>
      <c r="S301" s="77"/>
    </row>
    <row r="302" ht="13.65" customHeight="1">
      <c r="A302" s="84">
        <v>45748</v>
      </c>
      <c r="B302" t="s" s="85">
        <v>41</v>
      </c>
      <c r="C302" t="s" s="86">
        <v>796</v>
      </c>
      <c r="D302" s="138">
        <v>10</v>
      </c>
      <c r="E302" t="s" s="85">
        <v>773</v>
      </c>
      <c r="F302" t="s" s="86">
        <v>276</v>
      </c>
      <c r="G302" s="139">
        <v>170</v>
      </c>
      <c r="H302" t="s" s="140">
        <v>763</v>
      </c>
      <c r="I302" t="s" s="141">
        <v>96</v>
      </c>
      <c r="J302" t="s" s="141">
        <v>97</v>
      </c>
      <c r="K302" t="str" s="142" cm="1">
        <f t="array" ref="K302">IF(OR(H302="ריביות",AND(H302="דירה כצנלסון",G302&lt;0,ISNUMBER(SEARCH("הכנסה",F302)))),"הכנסה שסווגה מחדש",J302)</f>
        <v>שוטף</v>
      </c>
      <c r="L302" t="s" s="141">
        <v>741</v>
      </c>
      <c r="M302" s="143" cm="1">
        <f t="array" ref="M302">IF(L302="מאושר",IF(K302="הכנסה שסווגה מחדש",0,G302),0)</f>
        <v>170</v>
      </c>
      <c r="N302" s="143" cm="1">
        <f t="array" ref="N302">IF(K302="שוטף",M302,0)</f>
        <v>170</v>
      </c>
      <c r="O302" s="143" cm="1">
        <f t="array" ref="O302">IF(K302="הכנסה שסווגה מחדש",-G302,0)</f>
        <v>0</v>
      </c>
      <c r="P302" t="s" s="86">
        <v>762</v>
      </c>
      <c r="Q302" s="99"/>
      <c r="R302" t="s" s="144">
        <v>743</v>
      </c>
      <c r="S302" s="77"/>
    </row>
    <row r="303" ht="13.65" customHeight="1">
      <c r="A303" s="78">
        <v>45748</v>
      </c>
      <c r="B303" t="s" s="79">
        <v>41</v>
      </c>
      <c r="C303" t="s" s="80">
        <v>796</v>
      </c>
      <c r="D303" s="131">
        <v>11</v>
      </c>
      <c r="E303" t="s" s="79">
        <v>764</v>
      </c>
      <c r="F303" t="s" s="80">
        <v>273</v>
      </c>
      <c r="G303" s="132">
        <v>87</v>
      </c>
      <c r="H303" t="s" s="133">
        <v>279</v>
      </c>
      <c r="I303" t="s" s="134">
        <v>99</v>
      </c>
      <c r="J303" t="s" s="134">
        <v>100</v>
      </c>
      <c r="K303" t="str" s="135" cm="1">
        <f t="array" ref="K303">IF(OR(H303="ריביות",AND(H303="דירה כצנלסון",G303&lt;0,ISNUMBER(SEARCH("הכנסה",F303)))),"הכנסה שסווגה מחדש",J303)</f>
        <v>חריג/נכס</v>
      </c>
      <c r="L303" t="s" s="134">
        <v>741</v>
      </c>
      <c r="M303" s="136" cm="1">
        <f t="array" ref="M303">IF(L303="מאושר",IF(K303="הכנסה שסווגה מחדש",0,G303),0)</f>
        <v>87</v>
      </c>
      <c r="N303" s="136" cm="1">
        <f t="array" ref="N303">IF(K303="שוטף",M303,0)</f>
        <v>0</v>
      </c>
      <c r="O303" s="136" cm="1">
        <f t="array" ref="O303">IF(K303="הכנסה שסווגה מחדש",-G303,0)</f>
        <v>0</v>
      </c>
      <c r="P303" t="s" s="80">
        <v>762</v>
      </c>
      <c r="Q303" s="100"/>
      <c r="R303" t="s" s="137">
        <v>743</v>
      </c>
      <c r="S303" s="77"/>
    </row>
    <row r="304" ht="13.65" customHeight="1">
      <c r="A304" s="84">
        <v>45748</v>
      </c>
      <c r="B304" t="s" s="85">
        <v>41</v>
      </c>
      <c r="C304" t="s" s="86">
        <v>796</v>
      </c>
      <c r="D304" s="138">
        <v>12</v>
      </c>
      <c r="E304" t="s" s="85">
        <v>764</v>
      </c>
      <c r="F304" t="s" s="86">
        <v>328</v>
      </c>
      <c r="G304" s="139">
        <v>29</v>
      </c>
      <c r="H304" t="s" s="140">
        <v>279</v>
      </c>
      <c r="I304" t="s" s="141">
        <v>99</v>
      </c>
      <c r="J304" t="s" s="141">
        <v>100</v>
      </c>
      <c r="K304" t="str" s="142" cm="1">
        <f t="array" ref="K304">IF(OR(H304="ריביות",AND(H304="דירה כצנלסון",G304&lt;0,ISNUMBER(SEARCH("הכנסה",F304)))),"הכנסה שסווגה מחדש",J304)</f>
        <v>חריג/נכס</v>
      </c>
      <c r="L304" t="s" s="141">
        <v>741</v>
      </c>
      <c r="M304" s="143" cm="1">
        <f t="array" ref="M304">IF(L304="מאושר",IF(K304="הכנסה שסווגה מחדש",0,G304),0)</f>
        <v>29</v>
      </c>
      <c r="N304" s="143" cm="1">
        <f t="array" ref="N304">IF(K304="שוטף",M304,0)</f>
        <v>0</v>
      </c>
      <c r="O304" s="143" cm="1">
        <f t="array" ref="O304">IF(K304="הכנסה שסווגה מחדש",-G304,0)</f>
        <v>0</v>
      </c>
      <c r="P304" t="s" s="86">
        <v>762</v>
      </c>
      <c r="Q304" s="99"/>
      <c r="R304" t="s" s="144">
        <v>743</v>
      </c>
      <c r="S304" s="77"/>
    </row>
    <row r="305" ht="13.65" customHeight="1">
      <c r="A305" s="78">
        <v>45748</v>
      </c>
      <c r="B305" t="s" s="79">
        <v>41</v>
      </c>
      <c r="C305" t="s" s="80">
        <v>796</v>
      </c>
      <c r="D305" s="131">
        <v>13</v>
      </c>
      <c r="E305" s="100"/>
      <c r="F305" t="s" s="80">
        <v>211</v>
      </c>
      <c r="G305" s="132">
        <v>400</v>
      </c>
      <c r="H305" t="s" s="133">
        <v>757</v>
      </c>
      <c r="I305" t="s" s="134">
        <v>96</v>
      </c>
      <c r="J305" t="s" s="134">
        <v>97</v>
      </c>
      <c r="K305" t="str" s="135" cm="1">
        <f t="array" ref="K305">IF(OR(H305="ריביות",AND(H305="דירה כצנלסון",G305&lt;0,ISNUMBER(SEARCH("הכנסה",F305)))),"הכנסה שסווגה מחדש",J305)</f>
        <v>שוטף</v>
      </c>
      <c r="L305" t="s" s="134">
        <v>741</v>
      </c>
      <c r="M305" s="136" cm="1">
        <f t="array" ref="M305">IF(L305="מאושר",IF(K305="הכנסה שסווגה מחדש",0,G305),0)</f>
        <v>400</v>
      </c>
      <c r="N305" s="136" cm="1">
        <f t="array" ref="N305">IF(K305="שוטף",M305,0)</f>
        <v>400</v>
      </c>
      <c r="O305" s="136" cm="1">
        <f t="array" ref="O305">IF(K305="הכנסה שסווגה מחדש",-G305,0)</f>
        <v>0</v>
      </c>
      <c r="P305" t="s" s="80">
        <v>781</v>
      </c>
      <c r="Q305" s="100"/>
      <c r="R305" t="s" s="137">
        <v>743</v>
      </c>
      <c r="S305" s="77"/>
    </row>
    <row r="306" ht="13.65" customHeight="1">
      <c r="A306" s="84">
        <v>45748</v>
      </c>
      <c r="B306" t="s" s="85">
        <v>41</v>
      </c>
      <c r="C306" t="s" s="86">
        <v>796</v>
      </c>
      <c r="D306" s="138">
        <v>14</v>
      </c>
      <c r="E306" t="s" s="85">
        <v>788</v>
      </c>
      <c r="F306" t="s" s="86">
        <v>225</v>
      </c>
      <c r="G306" s="139">
        <v>4600</v>
      </c>
      <c r="H306" t="s" s="140">
        <v>111</v>
      </c>
      <c r="I306" t="s" s="141">
        <v>111</v>
      </c>
      <c r="J306" t="s" s="141">
        <v>97</v>
      </c>
      <c r="K306" t="str" s="142" cm="1">
        <f t="array" ref="K306">IF(OR(H306="ריביות",AND(H306="דירה כצנלסון",G306&lt;0,ISNUMBER(SEARCH("הכנסה",F306)))),"הכנסה שסווגה מחדש",J306)</f>
        <v>שוטף</v>
      </c>
      <c r="L306" t="s" s="141">
        <v>741</v>
      </c>
      <c r="M306" s="143" cm="1">
        <f t="array" ref="M306">IF(L306="מאושר",IF(K306="הכנסה שסווגה מחדש",0,G306),0)</f>
        <v>4600</v>
      </c>
      <c r="N306" s="143" cm="1">
        <f t="array" ref="N306">IF(K306="שוטף",M306,0)</f>
        <v>4600</v>
      </c>
      <c r="O306" s="143" cm="1">
        <f t="array" ref="O306">IF(K306="הכנסה שסווגה מחדש",-G306,0)</f>
        <v>0</v>
      </c>
      <c r="P306" t="s" s="85">
        <v>742</v>
      </c>
      <c r="Q306" s="99"/>
      <c r="R306" t="s" s="144">
        <v>743</v>
      </c>
      <c r="S306" s="77"/>
    </row>
    <row r="307" ht="13.65" customHeight="1">
      <c r="A307" s="78">
        <v>45748</v>
      </c>
      <c r="B307" t="s" s="79">
        <v>41</v>
      </c>
      <c r="C307" t="s" s="80">
        <v>796</v>
      </c>
      <c r="D307" s="131">
        <v>15</v>
      </c>
      <c r="E307" t="s" s="79">
        <v>751</v>
      </c>
      <c r="F307" t="s" s="80">
        <v>284</v>
      </c>
      <c r="G307" s="132">
        <v>792</v>
      </c>
      <c r="H307" t="s" s="133">
        <v>123</v>
      </c>
      <c r="I307" t="s" s="134">
        <v>123</v>
      </c>
      <c r="J307" t="s" s="134">
        <v>97</v>
      </c>
      <c r="K307" t="str" s="135" cm="1">
        <f t="array" ref="K307">IF(OR(H307="ריביות",AND(H307="דירה כצנלסון",G307&lt;0,ISNUMBER(SEARCH("הכנסה",F307)))),"הכנסה שסווגה מחדש",J307)</f>
        <v>שוטף</v>
      </c>
      <c r="L307" t="s" s="134">
        <v>741</v>
      </c>
      <c r="M307" s="136" cm="1">
        <f t="array" ref="M307">IF(L307="מאושר",IF(K307="הכנסה שסווגה מחדש",0,G307),0)</f>
        <v>792</v>
      </c>
      <c r="N307" s="136" cm="1">
        <f t="array" ref="N307">IF(K307="שוטף",M307,0)</f>
        <v>792</v>
      </c>
      <c r="O307" s="136" cm="1">
        <f t="array" ref="O307">IF(K307="הכנסה שסווגה מחדש",-G307,0)</f>
        <v>0</v>
      </c>
      <c r="P307" t="s" s="79">
        <v>758</v>
      </c>
      <c r="Q307" s="100"/>
      <c r="R307" t="s" s="137">
        <v>743</v>
      </c>
      <c r="S307" s="77"/>
    </row>
    <row r="308" ht="13.65" customHeight="1">
      <c r="A308" s="84">
        <v>45748</v>
      </c>
      <c r="B308" t="s" s="85">
        <v>41</v>
      </c>
      <c r="C308" t="s" s="86">
        <v>796</v>
      </c>
      <c r="D308" s="138">
        <v>16</v>
      </c>
      <c r="E308" t="s" s="85">
        <v>739</v>
      </c>
      <c r="F308" t="s" s="86">
        <v>354</v>
      </c>
      <c r="G308" s="139">
        <v>265</v>
      </c>
      <c r="H308" t="s" s="140">
        <v>127</v>
      </c>
      <c r="I308" t="s" s="141">
        <v>127</v>
      </c>
      <c r="J308" t="s" s="141">
        <v>97</v>
      </c>
      <c r="K308" t="str" s="142" cm="1">
        <f t="array" ref="K308">IF(OR(H308="ריביות",AND(H308="דירה כצנלסון",G308&lt;0,ISNUMBER(SEARCH("הכנסה",F308)))),"הכנסה שסווגה מחדש",J308)</f>
        <v>שוטף</v>
      </c>
      <c r="L308" t="s" s="141">
        <v>741</v>
      </c>
      <c r="M308" s="143" cm="1">
        <f t="array" ref="M308">IF(L308="מאושר",IF(K308="הכנסה שסווגה מחדש",0,G308),0)</f>
        <v>265</v>
      </c>
      <c r="N308" s="143" cm="1">
        <f t="array" ref="N308">IF(K308="שוטף",M308,0)</f>
        <v>265</v>
      </c>
      <c r="O308" s="143" cm="1">
        <f t="array" ref="O308">IF(K308="הכנסה שסווגה מחדש",-G308,0)</f>
        <v>0</v>
      </c>
      <c r="P308" t="s" s="85">
        <v>758</v>
      </c>
      <c r="Q308" s="99"/>
      <c r="R308" t="s" s="144">
        <v>743</v>
      </c>
      <c r="S308" s="77"/>
    </row>
    <row r="309" ht="13.65" customHeight="1">
      <c r="A309" s="78">
        <v>45748</v>
      </c>
      <c r="B309" t="s" s="79">
        <v>41</v>
      </c>
      <c r="C309" t="s" s="80">
        <v>796</v>
      </c>
      <c r="D309" s="131">
        <v>17</v>
      </c>
      <c r="E309" t="s" s="79">
        <v>761</v>
      </c>
      <c r="F309" t="s" s="80">
        <v>354</v>
      </c>
      <c r="G309" s="132">
        <v>233</v>
      </c>
      <c r="H309" t="s" s="133">
        <v>105</v>
      </c>
      <c r="I309" t="s" s="134">
        <v>105</v>
      </c>
      <c r="J309" t="s" s="134">
        <v>103</v>
      </c>
      <c r="K309" t="str" s="135" cm="1">
        <f t="array" ref="K309">IF(OR(H309="ריביות",AND(H309="דירה כצנלסון",G309&lt;0,ISNUMBER(SEARCH("הכנסה",F309)))),"הכנסה שסווגה מחדש",J309)</f>
        <v>חריג</v>
      </c>
      <c r="L309" t="s" s="134">
        <v>741</v>
      </c>
      <c r="M309" s="136" cm="1">
        <f t="array" ref="M309">IF(L309="מאושר",IF(K309="הכנסה שסווגה מחדש",0,G309),0)</f>
        <v>233</v>
      </c>
      <c r="N309" s="136" cm="1">
        <f t="array" ref="N309">IF(K309="שוטף",M309,0)</f>
        <v>0</v>
      </c>
      <c r="O309" s="136" cm="1">
        <f t="array" ref="O309">IF(K309="הכנסה שסווגה מחדש",-G309,0)</f>
        <v>0</v>
      </c>
      <c r="P309" t="s" s="79">
        <v>758</v>
      </c>
      <c r="Q309" s="100"/>
      <c r="R309" t="s" s="137">
        <v>743</v>
      </c>
      <c r="S309" s="77"/>
    </row>
    <row r="310" ht="13.65" customHeight="1">
      <c r="A310" s="84">
        <v>45748</v>
      </c>
      <c r="B310" t="s" s="85">
        <v>41</v>
      </c>
      <c r="C310" t="s" s="86">
        <v>796</v>
      </c>
      <c r="D310" s="138">
        <v>18</v>
      </c>
      <c r="E310" t="s" s="85">
        <v>761</v>
      </c>
      <c r="F310" t="s" s="86">
        <v>256</v>
      </c>
      <c r="G310" s="139">
        <v>458</v>
      </c>
      <c r="H310" t="s" s="140">
        <v>123</v>
      </c>
      <c r="I310" t="s" s="141">
        <v>123</v>
      </c>
      <c r="J310" t="s" s="141">
        <v>97</v>
      </c>
      <c r="K310" t="str" s="142" cm="1">
        <f t="array" ref="K310">IF(OR(H310="ריביות",AND(H310="דירה כצנלסון",G310&lt;0,ISNUMBER(SEARCH("הכנסה",F310)))),"הכנסה שסווגה מחדש",J310)</f>
        <v>שוטף</v>
      </c>
      <c r="L310" t="s" s="141">
        <v>741</v>
      </c>
      <c r="M310" s="143" cm="1">
        <f t="array" ref="M310">IF(L310="מאושר",IF(K310="הכנסה שסווגה מחדש",0,G310),0)</f>
        <v>458</v>
      </c>
      <c r="N310" s="143" cm="1">
        <f t="array" ref="N310">IF(K310="שוטף",M310,0)</f>
        <v>458</v>
      </c>
      <c r="O310" s="143" cm="1">
        <f t="array" ref="O310">IF(K310="הכנסה שסווגה מחדש",-G310,0)</f>
        <v>0</v>
      </c>
      <c r="P310" t="s" s="85">
        <v>758</v>
      </c>
      <c r="Q310" s="99"/>
      <c r="R310" t="s" s="144">
        <v>743</v>
      </c>
      <c r="S310" s="77"/>
    </row>
    <row r="311" ht="13.65" customHeight="1">
      <c r="A311" s="78">
        <v>45748</v>
      </c>
      <c r="B311" t="s" s="79">
        <v>41</v>
      </c>
      <c r="C311" t="s" s="80">
        <v>796</v>
      </c>
      <c r="D311" s="131">
        <v>19</v>
      </c>
      <c r="E311" t="s" s="79">
        <v>755</v>
      </c>
      <c r="F311" t="s" s="80">
        <v>576</v>
      </c>
      <c r="G311" s="132">
        <v>37</v>
      </c>
      <c r="H311" t="s" s="133">
        <v>105</v>
      </c>
      <c r="I311" t="s" s="134">
        <v>105</v>
      </c>
      <c r="J311" t="s" s="134">
        <v>103</v>
      </c>
      <c r="K311" t="str" s="135" cm="1">
        <f t="array" ref="K311">IF(OR(H311="ריביות",AND(H311="דירה כצנלסון",G311&lt;0,ISNUMBER(SEARCH("הכנסה",F311)))),"הכנסה שסווגה מחדש",J311)</f>
        <v>חריג</v>
      </c>
      <c r="L311" t="s" s="134">
        <v>741</v>
      </c>
      <c r="M311" s="136" cm="1">
        <f t="array" ref="M311">IF(L311="מאושר",IF(K311="הכנסה שסווגה מחדש",0,G311),0)</f>
        <v>37</v>
      </c>
      <c r="N311" s="136" cm="1">
        <f t="array" ref="N311">IF(K311="שוטף",M311,0)</f>
        <v>0</v>
      </c>
      <c r="O311" s="136" cm="1">
        <f t="array" ref="O311">IF(K311="הכנסה שסווגה מחדש",-G311,0)</f>
        <v>0</v>
      </c>
      <c r="P311" t="s" s="79">
        <v>748</v>
      </c>
      <c r="Q311" s="100"/>
      <c r="R311" t="s" s="137">
        <v>743</v>
      </c>
      <c r="S311" s="77"/>
    </row>
    <row r="312" ht="13.65" customHeight="1">
      <c r="A312" s="84">
        <v>45748</v>
      </c>
      <c r="B312" t="s" s="85">
        <v>41</v>
      </c>
      <c r="C312" t="s" s="86">
        <v>796</v>
      </c>
      <c r="D312" s="138">
        <v>20</v>
      </c>
      <c r="E312" t="s" s="85">
        <v>749</v>
      </c>
      <c r="F312" t="s" s="86">
        <v>632</v>
      </c>
      <c r="G312" s="139">
        <v>37</v>
      </c>
      <c r="H312" t="s" s="140">
        <v>139</v>
      </c>
      <c r="I312" t="s" s="141">
        <v>139</v>
      </c>
      <c r="J312" t="s" s="141">
        <v>97</v>
      </c>
      <c r="K312" t="str" s="142" cm="1">
        <f t="array" ref="K312">IF(OR(H312="ריביות",AND(H312="דירה כצנלסון",G312&lt;0,ISNUMBER(SEARCH("הכנסה",F312)))),"הכנסה שסווגה מחדש",J312)</f>
        <v>שוטף</v>
      </c>
      <c r="L312" t="s" s="141">
        <v>741</v>
      </c>
      <c r="M312" s="143" cm="1">
        <f t="array" ref="M312">IF(L312="מאושר",IF(K312="הכנסה שסווגה מחדש",0,G312),0)</f>
        <v>37</v>
      </c>
      <c r="N312" s="143" cm="1">
        <f t="array" ref="N312">IF(K312="שוטף",M312,0)</f>
        <v>37</v>
      </c>
      <c r="O312" s="143" cm="1">
        <f t="array" ref="O312">IF(K312="הכנסה שסווגה מחדש",-G312,0)</f>
        <v>0</v>
      </c>
      <c r="P312" t="s" s="86">
        <v>786</v>
      </c>
      <c r="Q312" s="99"/>
      <c r="R312" t="s" s="144">
        <v>743</v>
      </c>
      <c r="S312" s="77"/>
    </row>
    <row r="313" ht="13.65" customHeight="1">
      <c r="A313" s="78">
        <v>45748</v>
      </c>
      <c r="B313" t="s" s="79">
        <v>41</v>
      </c>
      <c r="C313" t="s" s="80">
        <v>796</v>
      </c>
      <c r="D313" s="131">
        <v>21</v>
      </c>
      <c r="E313" t="s" s="79">
        <v>42</v>
      </c>
      <c r="F313" t="s" s="80">
        <v>250</v>
      </c>
      <c r="G313" s="132">
        <v>120</v>
      </c>
      <c r="H313" t="s" s="133">
        <v>127</v>
      </c>
      <c r="I313" t="s" s="134">
        <v>127</v>
      </c>
      <c r="J313" t="s" s="134">
        <v>97</v>
      </c>
      <c r="K313" t="str" s="135" cm="1">
        <f t="array" ref="K313">IF(OR(H313="ריביות",AND(H313="דירה כצנלסון",G313&lt;0,ISNUMBER(SEARCH("הכנסה",F313)))),"הכנסה שסווגה מחדש",J313)</f>
        <v>שוטף</v>
      </c>
      <c r="L313" t="s" s="134">
        <v>741</v>
      </c>
      <c r="M313" s="136" cm="1">
        <f t="array" ref="M313">IF(L313="מאושר",IF(K313="הכנסה שסווגה מחדש",0,G313),0)</f>
        <v>120</v>
      </c>
      <c r="N313" s="136" cm="1">
        <f t="array" ref="N313">IF(K313="שוטף",M313,0)</f>
        <v>120</v>
      </c>
      <c r="O313" s="136" cm="1">
        <f t="array" ref="O313">IF(K313="הכנסה שסווגה מחדש",-G313,0)</f>
        <v>0</v>
      </c>
      <c r="P313" t="s" s="80">
        <v>783</v>
      </c>
      <c r="Q313" s="100"/>
      <c r="R313" t="s" s="137">
        <v>743</v>
      </c>
      <c r="S313" s="77"/>
    </row>
    <row r="314" ht="13.65" customHeight="1">
      <c r="A314" s="84">
        <v>45748</v>
      </c>
      <c r="B314" t="s" s="85">
        <v>41</v>
      </c>
      <c r="C314" t="s" s="86">
        <v>796</v>
      </c>
      <c r="D314" s="138">
        <v>22</v>
      </c>
      <c r="E314" t="s" s="85">
        <v>788</v>
      </c>
      <c r="F314" t="s" s="86">
        <v>385</v>
      </c>
      <c r="G314" s="139">
        <v>350</v>
      </c>
      <c r="H314" t="s" s="140">
        <v>105</v>
      </c>
      <c r="I314" t="s" s="141">
        <v>105</v>
      </c>
      <c r="J314" t="s" s="141">
        <v>103</v>
      </c>
      <c r="K314" t="str" s="142" cm="1">
        <f t="array" ref="K314">IF(OR(H314="ריביות",AND(H314="דירה כצנלסון",G314&lt;0,ISNUMBER(SEARCH("הכנסה",F314)))),"הכנסה שסווגה מחדש",J314)</f>
        <v>חריג</v>
      </c>
      <c r="L314" t="s" s="141">
        <v>741</v>
      </c>
      <c r="M314" s="143" cm="1">
        <f t="array" ref="M314">IF(L314="מאושר",IF(K314="הכנסה שסווגה מחדש",0,G314),0)</f>
        <v>350</v>
      </c>
      <c r="N314" s="143" cm="1">
        <f t="array" ref="N314">IF(K314="שוטף",M314,0)</f>
        <v>0</v>
      </c>
      <c r="O314" s="143" cm="1">
        <f t="array" ref="O314">IF(K314="הכנסה שסווגה מחדש",-G314,0)</f>
        <v>0</v>
      </c>
      <c r="P314" t="s" s="86">
        <v>783</v>
      </c>
      <c r="Q314" s="99"/>
      <c r="R314" t="s" s="144">
        <v>743</v>
      </c>
      <c r="S314" s="77"/>
    </row>
    <row r="315" ht="13.65" customHeight="1">
      <c r="A315" s="78">
        <v>45748</v>
      </c>
      <c r="B315" t="s" s="79">
        <v>41</v>
      </c>
      <c r="C315" t="s" s="80">
        <v>796</v>
      </c>
      <c r="D315" s="131">
        <v>23</v>
      </c>
      <c r="E315" t="s" s="79">
        <v>774</v>
      </c>
      <c r="F315" t="s" s="80">
        <v>421</v>
      </c>
      <c r="G315" s="132">
        <v>251</v>
      </c>
      <c r="H315" t="s" s="133">
        <v>105</v>
      </c>
      <c r="I315" t="s" s="134">
        <v>105</v>
      </c>
      <c r="J315" t="s" s="134">
        <v>103</v>
      </c>
      <c r="K315" t="str" s="135" cm="1">
        <f t="array" ref="K315">IF(OR(H315="ריביות",AND(H315="דירה כצנלסון",G315&lt;0,ISNUMBER(SEARCH("הכנסה",F315)))),"הכנסה שסווגה מחדש",J315)</f>
        <v>חריג</v>
      </c>
      <c r="L315" t="s" s="134">
        <v>741</v>
      </c>
      <c r="M315" s="136" cm="1">
        <f t="array" ref="M315">IF(L315="מאושר",IF(K315="הכנסה שסווגה מחדש",0,G315),0)</f>
        <v>251</v>
      </c>
      <c r="N315" s="136" cm="1">
        <f t="array" ref="N315">IF(K315="שוטף",M315,0)</f>
        <v>0</v>
      </c>
      <c r="O315" s="136" cm="1">
        <f t="array" ref="O315">IF(K315="הכנסה שסווגה מחדש",-G315,0)</f>
        <v>0</v>
      </c>
      <c r="P315" t="s" s="80">
        <v>783</v>
      </c>
      <c r="Q315" s="100"/>
      <c r="R315" t="s" s="137">
        <v>743</v>
      </c>
      <c r="S315" s="77"/>
    </row>
    <row r="316" ht="13.65" customHeight="1">
      <c r="A316" s="84">
        <v>45748</v>
      </c>
      <c r="B316" t="s" s="85">
        <v>41</v>
      </c>
      <c r="C316" t="s" s="86">
        <v>796</v>
      </c>
      <c r="D316" s="138">
        <v>24</v>
      </c>
      <c r="E316" s="99"/>
      <c r="F316" t="s" s="86">
        <v>275</v>
      </c>
      <c r="G316" s="139">
        <v>173</v>
      </c>
      <c r="H316" t="s" s="140">
        <v>127</v>
      </c>
      <c r="I316" t="s" s="141">
        <v>127</v>
      </c>
      <c r="J316" t="s" s="141">
        <v>97</v>
      </c>
      <c r="K316" t="str" s="142" cm="1">
        <f t="array" ref="K316">IF(OR(H316="ריביות",AND(H316="דירה כצנלסון",G316&lt;0,ISNUMBER(SEARCH("הכנסה",F316)))),"הכנסה שסווגה מחדש",J316)</f>
        <v>שוטף</v>
      </c>
      <c r="L316" t="s" s="141">
        <v>741</v>
      </c>
      <c r="M316" s="143" cm="1">
        <f t="array" ref="M316">IF(L316="מאושר",IF(K316="הכנסה שסווגה מחדש",0,G316),0)</f>
        <v>173</v>
      </c>
      <c r="N316" s="143" cm="1">
        <f t="array" ref="N316">IF(K316="שוטף",M316,0)</f>
        <v>173</v>
      </c>
      <c r="O316" s="143" cm="1">
        <f t="array" ref="O316">IF(K316="הכנסה שסווגה מחדש",-G316,0)</f>
        <v>0</v>
      </c>
      <c r="P316" t="s" s="86">
        <v>770</v>
      </c>
      <c r="Q316" s="99"/>
      <c r="R316" t="s" s="144">
        <v>743</v>
      </c>
      <c r="S316" s="77"/>
    </row>
    <row r="317" ht="13.65" customHeight="1">
      <c r="A317" s="78">
        <v>45748</v>
      </c>
      <c r="B317" t="s" s="79">
        <v>41</v>
      </c>
      <c r="C317" t="s" s="80">
        <v>796</v>
      </c>
      <c r="D317" s="131">
        <v>25</v>
      </c>
      <c r="E317" t="s" s="79">
        <v>30</v>
      </c>
      <c r="F317" t="s" s="80">
        <v>336</v>
      </c>
      <c r="G317" s="132">
        <v>234</v>
      </c>
      <c r="H317" t="s" s="133">
        <v>767</v>
      </c>
      <c r="I317" t="s" s="134">
        <v>107</v>
      </c>
      <c r="J317" t="s" s="134">
        <v>97</v>
      </c>
      <c r="K317" t="str" s="135" cm="1">
        <f t="array" ref="K317">IF(OR(H317="ריביות",AND(H317="דירה כצנלסון",G317&lt;0,ISNUMBER(SEARCH("הכנסה",F317)))),"הכנסה שסווגה מחדש",J317)</f>
        <v>שוטף</v>
      </c>
      <c r="L317" t="s" s="134">
        <v>741</v>
      </c>
      <c r="M317" s="136" cm="1">
        <f t="array" ref="M317">IF(L317="מאושר",IF(K317="הכנסה שסווגה מחדש",0,G317),0)</f>
        <v>234</v>
      </c>
      <c r="N317" s="136" cm="1">
        <f t="array" ref="N317">IF(K317="שוטף",M317,0)</f>
        <v>234</v>
      </c>
      <c r="O317" s="136" cm="1">
        <f t="array" ref="O317">IF(K317="הכנסה שסווגה מחדש",-G317,0)</f>
        <v>0</v>
      </c>
      <c r="P317" t="s" s="80">
        <v>770</v>
      </c>
      <c r="Q317" s="100"/>
      <c r="R317" t="s" s="137">
        <v>743</v>
      </c>
      <c r="S317" s="77"/>
    </row>
    <row r="318" ht="13.65" customHeight="1">
      <c r="A318" s="84">
        <v>45748</v>
      </c>
      <c r="B318" t="s" s="85">
        <v>41</v>
      </c>
      <c r="C318" t="s" s="86">
        <v>796</v>
      </c>
      <c r="D318" s="138">
        <v>26</v>
      </c>
      <c r="E318" t="s" s="85">
        <v>30</v>
      </c>
      <c r="F318" t="s" s="86">
        <v>255</v>
      </c>
      <c r="G318" s="139">
        <v>110</v>
      </c>
      <c r="H318" t="s" s="140">
        <v>767</v>
      </c>
      <c r="I318" t="s" s="141">
        <v>107</v>
      </c>
      <c r="J318" t="s" s="141">
        <v>97</v>
      </c>
      <c r="K318" t="str" s="142" cm="1">
        <f t="array" ref="K318">IF(OR(H318="ריביות",AND(H318="דירה כצנלסון",G318&lt;0,ISNUMBER(SEARCH("הכנסה",F318)))),"הכנסה שסווגה מחדש",J318)</f>
        <v>שוטף</v>
      </c>
      <c r="L318" t="s" s="141">
        <v>741</v>
      </c>
      <c r="M318" s="143" cm="1">
        <f t="array" ref="M318">IF(L318="מאושר",IF(K318="הכנסה שסווגה מחדש",0,G318),0)</f>
        <v>110</v>
      </c>
      <c r="N318" s="143" cm="1">
        <f t="array" ref="N318">IF(K318="שוטף",M318,0)</f>
        <v>110</v>
      </c>
      <c r="O318" s="143" cm="1">
        <f t="array" ref="O318">IF(K318="הכנסה שסווגה מחדש",-G318,0)</f>
        <v>0</v>
      </c>
      <c r="P318" t="s" s="86">
        <v>770</v>
      </c>
      <c r="Q318" s="99"/>
      <c r="R318" t="s" s="144">
        <v>743</v>
      </c>
      <c r="S318" s="77"/>
    </row>
    <row r="319" ht="13.65" customHeight="1">
      <c r="A319" s="78">
        <v>45748</v>
      </c>
      <c r="B319" t="s" s="79">
        <v>41</v>
      </c>
      <c r="C319" t="s" s="80">
        <v>796</v>
      </c>
      <c r="D319" s="131">
        <v>27</v>
      </c>
      <c r="E319" t="s" s="79">
        <v>30</v>
      </c>
      <c r="F319" t="s" s="80">
        <v>702</v>
      </c>
      <c r="G319" s="132">
        <v>5</v>
      </c>
      <c r="H319" t="s" s="133">
        <v>115</v>
      </c>
      <c r="I319" t="s" s="134">
        <v>115</v>
      </c>
      <c r="J319" t="s" s="134">
        <v>97</v>
      </c>
      <c r="K319" t="str" s="135" cm="1">
        <f t="array" ref="K319">IF(OR(H319="ריביות",AND(H319="דירה כצנלסון",G319&lt;0,ISNUMBER(SEARCH("הכנסה",F319)))),"הכנסה שסווגה מחדש",J319)</f>
        <v>שוטף</v>
      </c>
      <c r="L319" t="s" s="134">
        <v>741</v>
      </c>
      <c r="M319" s="136" cm="1">
        <f t="array" ref="M319">IF(L319="מאושר",IF(K319="הכנסה שסווגה מחדש",0,G319),0)</f>
        <v>5</v>
      </c>
      <c r="N319" s="136" cm="1">
        <f t="array" ref="N319">IF(K319="שוטף",M319,0)</f>
        <v>5</v>
      </c>
      <c r="O319" s="136" cm="1">
        <f t="array" ref="O319">IF(K319="הכנסה שסווגה מחדש",-G319,0)</f>
        <v>0</v>
      </c>
      <c r="P319" t="s" s="80">
        <v>770</v>
      </c>
      <c r="Q319" s="100"/>
      <c r="R319" t="s" s="137">
        <v>743</v>
      </c>
      <c r="S319" s="77"/>
    </row>
    <row r="320" ht="13.65" customHeight="1">
      <c r="A320" s="84">
        <v>45748</v>
      </c>
      <c r="B320" t="s" s="85">
        <v>41</v>
      </c>
      <c r="C320" t="s" s="86">
        <v>796</v>
      </c>
      <c r="D320" s="138">
        <v>28</v>
      </c>
      <c r="E320" t="s" s="85">
        <v>30</v>
      </c>
      <c r="F320" t="s" s="86">
        <v>316</v>
      </c>
      <c r="G320" s="139">
        <v>304</v>
      </c>
      <c r="H320" t="s" s="140">
        <v>767</v>
      </c>
      <c r="I320" t="s" s="141">
        <v>107</v>
      </c>
      <c r="J320" t="s" s="141">
        <v>97</v>
      </c>
      <c r="K320" t="str" s="142" cm="1">
        <f t="array" ref="K320">IF(OR(H320="ריביות",AND(H320="דירה כצנלסון",G320&lt;0,ISNUMBER(SEARCH("הכנסה",F320)))),"הכנסה שסווגה מחדש",J320)</f>
        <v>שוטף</v>
      </c>
      <c r="L320" t="s" s="141">
        <v>741</v>
      </c>
      <c r="M320" s="143" cm="1">
        <f t="array" ref="M320">IF(L320="מאושר",IF(K320="הכנסה שסווגה מחדש",0,G320),0)</f>
        <v>304</v>
      </c>
      <c r="N320" s="143" cm="1">
        <f t="array" ref="N320">IF(K320="שוטף",M320,0)</f>
        <v>304</v>
      </c>
      <c r="O320" s="143" cm="1">
        <f t="array" ref="O320">IF(K320="הכנסה שסווגה מחדש",-G320,0)</f>
        <v>0</v>
      </c>
      <c r="P320" t="s" s="86">
        <v>770</v>
      </c>
      <c r="Q320" s="99"/>
      <c r="R320" t="s" s="144">
        <v>743</v>
      </c>
      <c r="S320" s="77"/>
    </row>
    <row r="321" ht="13.65" customHeight="1">
      <c r="A321" s="78">
        <v>45748</v>
      </c>
      <c r="B321" t="s" s="79">
        <v>41</v>
      </c>
      <c r="C321" t="s" s="80">
        <v>796</v>
      </c>
      <c r="D321" s="131">
        <v>29</v>
      </c>
      <c r="E321" t="s" s="79">
        <v>34</v>
      </c>
      <c r="F321" t="s" s="80">
        <v>245</v>
      </c>
      <c r="G321" s="132">
        <v>93</v>
      </c>
      <c r="H321" t="s" s="133">
        <v>767</v>
      </c>
      <c r="I321" t="s" s="134">
        <v>107</v>
      </c>
      <c r="J321" t="s" s="134">
        <v>97</v>
      </c>
      <c r="K321" t="str" s="135" cm="1">
        <f t="array" ref="K321">IF(OR(H321="ריביות",AND(H321="דירה כצנלסון",G321&lt;0,ISNUMBER(SEARCH("הכנסה",F321)))),"הכנסה שסווגה מחדש",J321)</f>
        <v>שוטף</v>
      </c>
      <c r="L321" t="s" s="134">
        <v>741</v>
      </c>
      <c r="M321" s="136" cm="1">
        <f t="array" ref="M321">IF(L321="מאושר",IF(K321="הכנסה שסווגה מחדש",0,G321),0)</f>
        <v>93</v>
      </c>
      <c r="N321" s="136" cm="1">
        <f t="array" ref="N321">IF(K321="שוטף",M321,0)</f>
        <v>93</v>
      </c>
      <c r="O321" s="136" cm="1">
        <f t="array" ref="O321">IF(K321="הכנסה שסווגה מחדש",-G321,0)</f>
        <v>0</v>
      </c>
      <c r="P321" t="s" s="80">
        <v>770</v>
      </c>
      <c r="Q321" s="100"/>
      <c r="R321" t="s" s="137">
        <v>743</v>
      </c>
      <c r="S321" s="77"/>
    </row>
    <row r="322" ht="13.65" customHeight="1">
      <c r="A322" s="84">
        <v>45748</v>
      </c>
      <c r="B322" t="s" s="85">
        <v>41</v>
      </c>
      <c r="C322" t="s" s="86">
        <v>796</v>
      </c>
      <c r="D322" s="138">
        <v>30</v>
      </c>
      <c r="E322" t="s" s="85">
        <v>38</v>
      </c>
      <c r="F322" t="s" s="86">
        <v>588</v>
      </c>
      <c r="G322" s="139">
        <v>60</v>
      </c>
      <c r="H322" t="s" s="140">
        <v>105</v>
      </c>
      <c r="I322" t="s" s="141">
        <v>105</v>
      </c>
      <c r="J322" t="s" s="141">
        <v>103</v>
      </c>
      <c r="K322" t="str" s="142" cm="1">
        <f t="array" ref="K322">IF(OR(H322="ריביות",AND(H322="דירה כצנלסון",G322&lt;0,ISNUMBER(SEARCH("הכנסה",F322)))),"הכנסה שסווגה מחדש",J322)</f>
        <v>חריג</v>
      </c>
      <c r="L322" t="s" s="141">
        <v>741</v>
      </c>
      <c r="M322" s="143" cm="1">
        <f t="array" ref="M322">IF(L322="מאושר",IF(K322="הכנסה שסווגה מחדש",0,G322),0)</f>
        <v>60</v>
      </c>
      <c r="N322" s="143" cm="1">
        <f t="array" ref="N322">IF(K322="שוטף",M322,0)</f>
        <v>0</v>
      </c>
      <c r="O322" s="143" cm="1">
        <f t="array" ref="O322">IF(K322="הכנסה שסווגה מחדש",-G322,0)</f>
        <v>0</v>
      </c>
      <c r="P322" t="s" s="86">
        <v>770</v>
      </c>
      <c r="Q322" s="99"/>
      <c r="R322" t="s" s="144">
        <v>743</v>
      </c>
      <c r="S322" s="77"/>
    </row>
    <row r="323" ht="13.65" customHeight="1">
      <c r="A323" s="78">
        <v>45748</v>
      </c>
      <c r="B323" t="s" s="79">
        <v>41</v>
      </c>
      <c r="C323" t="s" s="80">
        <v>796</v>
      </c>
      <c r="D323" s="131">
        <v>31</v>
      </c>
      <c r="E323" t="s" s="79">
        <v>769</v>
      </c>
      <c r="F323" t="s" s="80">
        <v>314</v>
      </c>
      <c r="G323" s="132">
        <v>18</v>
      </c>
      <c r="H323" t="s" s="133">
        <v>105</v>
      </c>
      <c r="I323" t="s" s="134">
        <v>105</v>
      </c>
      <c r="J323" t="s" s="134">
        <v>103</v>
      </c>
      <c r="K323" t="str" s="135" cm="1">
        <f t="array" ref="K323">IF(OR(H323="ריביות",AND(H323="דירה כצנלסון",G323&lt;0,ISNUMBER(SEARCH("הכנסה",F323)))),"הכנסה שסווגה מחדש",J323)</f>
        <v>חריג</v>
      </c>
      <c r="L323" t="s" s="134">
        <v>741</v>
      </c>
      <c r="M323" s="136" cm="1">
        <f t="array" ref="M323">IF(L323="מאושר",IF(K323="הכנסה שסווגה מחדש",0,G323),0)</f>
        <v>18</v>
      </c>
      <c r="N323" s="136" cm="1">
        <f t="array" ref="N323">IF(K323="שוטף",M323,0)</f>
        <v>0</v>
      </c>
      <c r="O323" s="136" cm="1">
        <f t="array" ref="O323">IF(K323="הכנסה שסווגה מחדש",-G323,0)</f>
        <v>0</v>
      </c>
      <c r="P323" t="s" s="80">
        <v>770</v>
      </c>
      <c r="Q323" s="100"/>
      <c r="R323" t="s" s="137">
        <v>743</v>
      </c>
      <c r="S323" s="77"/>
    </row>
    <row r="324" ht="13.65" customHeight="1">
      <c r="A324" s="84">
        <v>45748</v>
      </c>
      <c r="B324" t="s" s="85">
        <v>41</v>
      </c>
      <c r="C324" t="s" s="86">
        <v>796</v>
      </c>
      <c r="D324" s="138">
        <v>32</v>
      </c>
      <c r="E324" t="s" s="85">
        <v>769</v>
      </c>
      <c r="F324" t="s" s="86">
        <v>329</v>
      </c>
      <c r="G324" s="139">
        <v>70</v>
      </c>
      <c r="H324" t="s" s="140">
        <v>127</v>
      </c>
      <c r="I324" t="s" s="141">
        <v>127</v>
      </c>
      <c r="J324" t="s" s="141">
        <v>97</v>
      </c>
      <c r="K324" t="str" s="142" cm="1">
        <f t="array" ref="K324">IF(OR(H324="ריביות",AND(H324="דירה כצנלסון",G324&lt;0,ISNUMBER(SEARCH("הכנסה",F324)))),"הכנסה שסווגה מחדש",J324)</f>
        <v>שוטף</v>
      </c>
      <c r="L324" t="s" s="141">
        <v>741</v>
      </c>
      <c r="M324" s="143" cm="1">
        <f t="array" ref="M324">IF(L324="מאושר",IF(K324="הכנסה שסווגה מחדש",0,G324),0)</f>
        <v>70</v>
      </c>
      <c r="N324" s="143" cm="1">
        <f t="array" ref="N324">IF(K324="שוטף",M324,0)</f>
        <v>70</v>
      </c>
      <c r="O324" s="143" cm="1">
        <f t="array" ref="O324">IF(K324="הכנסה שסווגה מחדש",-G324,0)</f>
        <v>0</v>
      </c>
      <c r="P324" t="s" s="86">
        <v>770</v>
      </c>
      <c r="Q324" s="99"/>
      <c r="R324" t="s" s="144">
        <v>743</v>
      </c>
      <c r="S324" s="77"/>
    </row>
    <row r="325" ht="13.65" customHeight="1">
      <c r="A325" s="78">
        <v>45748</v>
      </c>
      <c r="B325" t="s" s="79">
        <v>41</v>
      </c>
      <c r="C325" t="s" s="80">
        <v>796</v>
      </c>
      <c r="D325" s="131">
        <v>33</v>
      </c>
      <c r="E325" t="s" s="79">
        <v>789</v>
      </c>
      <c r="F325" t="s" s="80">
        <v>255</v>
      </c>
      <c r="G325" s="132">
        <v>68</v>
      </c>
      <c r="H325" t="s" s="133">
        <v>767</v>
      </c>
      <c r="I325" t="s" s="134">
        <v>107</v>
      </c>
      <c r="J325" t="s" s="134">
        <v>97</v>
      </c>
      <c r="K325" t="str" s="135" cm="1">
        <f t="array" ref="K325">IF(OR(H325="ריביות",AND(H325="דירה כצנלסון",G325&lt;0,ISNUMBER(SEARCH("הכנסה",F325)))),"הכנסה שסווגה מחדש",J325)</f>
        <v>שוטף</v>
      </c>
      <c r="L325" t="s" s="134">
        <v>741</v>
      </c>
      <c r="M325" s="136" cm="1">
        <f t="array" ref="M325">IF(L325="מאושר",IF(K325="הכנסה שסווגה מחדש",0,G325),0)</f>
        <v>68</v>
      </c>
      <c r="N325" s="136" cm="1">
        <f t="array" ref="N325">IF(K325="שוטף",M325,0)</f>
        <v>68</v>
      </c>
      <c r="O325" s="136" cm="1">
        <f t="array" ref="O325">IF(K325="הכנסה שסווגה מחדש",-G325,0)</f>
        <v>0</v>
      </c>
      <c r="P325" t="s" s="80">
        <v>770</v>
      </c>
      <c r="Q325" s="100"/>
      <c r="R325" t="s" s="137">
        <v>743</v>
      </c>
      <c r="S325" s="77"/>
    </row>
    <row r="326" ht="13.65" customHeight="1">
      <c r="A326" s="84">
        <v>45748</v>
      </c>
      <c r="B326" t="s" s="85">
        <v>41</v>
      </c>
      <c r="C326" t="s" s="86">
        <v>796</v>
      </c>
      <c r="D326" s="138">
        <v>34</v>
      </c>
      <c r="E326" t="s" s="85">
        <v>789</v>
      </c>
      <c r="F326" t="s" s="86">
        <v>200</v>
      </c>
      <c r="G326" s="139">
        <v>62</v>
      </c>
      <c r="H326" t="s" s="140">
        <v>109</v>
      </c>
      <c r="I326" t="s" s="141">
        <v>109</v>
      </c>
      <c r="J326" t="s" s="141">
        <v>97</v>
      </c>
      <c r="K326" t="str" s="142" cm="1">
        <f t="array" ref="K326">IF(OR(H326="ריביות",AND(H326="דירה כצנלסון",G326&lt;0,ISNUMBER(SEARCH("הכנסה",F326)))),"הכנסה שסווגה מחדש",J326)</f>
        <v>שוטף</v>
      </c>
      <c r="L326" t="s" s="141">
        <v>741</v>
      </c>
      <c r="M326" s="143" cm="1">
        <f t="array" ref="M326">IF(L326="מאושר",IF(K326="הכנסה שסווגה מחדש",0,G326),0)</f>
        <v>62</v>
      </c>
      <c r="N326" s="143" cm="1">
        <f t="array" ref="N326">IF(K326="שוטף",M326,0)</f>
        <v>62</v>
      </c>
      <c r="O326" s="143" cm="1">
        <f t="array" ref="O326">IF(K326="הכנסה שסווגה מחדש",-G326,0)</f>
        <v>0</v>
      </c>
      <c r="P326" t="s" s="86">
        <v>770</v>
      </c>
      <c r="Q326" s="99"/>
      <c r="R326" t="s" s="144">
        <v>743</v>
      </c>
      <c r="S326" s="77"/>
    </row>
    <row r="327" ht="13.65" customHeight="1">
      <c r="A327" s="78">
        <v>45748</v>
      </c>
      <c r="B327" t="s" s="79">
        <v>41</v>
      </c>
      <c r="C327" t="s" s="80">
        <v>796</v>
      </c>
      <c r="D327" s="131">
        <v>35</v>
      </c>
      <c r="E327" t="s" s="79">
        <v>751</v>
      </c>
      <c r="F327" t="s" s="80">
        <v>467</v>
      </c>
      <c r="G327" s="132">
        <v>122</v>
      </c>
      <c r="H327" t="s" s="133">
        <v>113</v>
      </c>
      <c r="I327" t="s" s="134">
        <v>113</v>
      </c>
      <c r="J327" t="s" s="134">
        <v>97</v>
      </c>
      <c r="K327" t="str" s="135" cm="1">
        <f t="array" ref="K327">IF(OR(H327="ריביות",AND(H327="דירה כצנלסון",G327&lt;0,ISNUMBER(SEARCH("הכנסה",F327)))),"הכנסה שסווגה מחדש",J327)</f>
        <v>שוטף</v>
      </c>
      <c r="L327" t="s" s="134">
        <v>741</v>
      </c>
      <c r="M327" s="136" cm="1">
        <f t="array" ref="M327">IF(L327="מאושר",IF(K327="הכנסה שסווגה מחדש",0,G327),0)</f>
        <v>122</v>
      </c>
      <c r="N327" s="136" cm="1">
        <f t="array" ref="N327">IF(K327="שוטף",M327,0)</f>
        <v>122</v>
      </c>
      <c r="O327" s="136" cm="1">
        <f t="array" ref="O327">IF(K327="הכנסה שסווגה מחדש",-G327,0)</f>
        <v>0</v>
      </c>
      <c r="P327" t="s" s="80">
        <v>770</v>
      </c>
      <c r="Q327" s="100"/>
      <c r="R327" t="s" s="137">
        <v>743</v>
      </c>
      <c r="S327" s="77"/>
    </row>
    <row r="328" ht="13.65" customHeight="1">
      <c r="A328" s="84">
        <v>45748</v>
      </c>
      <c r="B328" t="s" s="85">
        <v>41</v>
      </c>
      <c r="C328" t="s" s="86">
        <v>796</v>
      </c>
      <c r="D328" s="138">
        <v>36</v>
      </c>
      <c r="E328" t="s" s="85">
        <v>753</v>
      </c>
      <c r="F328" t="s" s="86">
        <v>255</v>
      </c>
      <c r="G328" s="139">
        <v>34</v>
      </c>
      <c r="H328" t="s" s="140">
        <v>767</v>
      </c>
      <c r="I328" t="s" s="141">
        <v>107</v>
      </c>
      <c r="J328" t="s" s="141">
        <v>97</v>
      </c>
      <c r="K328" t="str" s="142" cm="1">
        <f t="array" ref="K328">IF(OR(H328="ריביות",AND(H328="דירה כצנלסון",G328&lt;0,ISNUMBER(SEARCH("הכנסה",F328)))),"הכנסה שסווגה מחדש",J328)</f>
        <v>שוטף</v>
      </c>
      <c r="L328" t="s" s="141">
        <v>741</v>
      </c>
      <c r="M328" s="143" cm="1">
        <f t="array" ref="M328">IF(L328="מאושר",IF(K328="הכנסה שסווגה מחדש",0,G328),0)</f>
        <v>34</v>
      </c>
      <c r="N328" s="143" cm="1">
        <f t="array" ref="N328">IF(K328="שוטף",M328,0)</f>
        <v>34</v>
      </c>
      <c r="O328" s="143" cm="1">
        <f t="array" ref="O328">IF(K328="הכנסה שסווגה מחדש",-G328,0)</f>
        <v>0</v>
      </c>
      <c r="P328" t="s" s="86">
        <v>770</v>
      </c>
      <c r="Q328" s="99"/>
      <c r="R328" t="s" s="144">
        <v>743</v>
      </c>
      <c r="S328" s="77"/>
    </row>
    <row r="329" ht="13.65" customHeight="1">
      <c r="A329" s="78">
        <v>45748</v>
      </c>
      <c r="B329" t="s" s="79">
        <v>41</v>
      </c>
      <c r="C329" t="s" s="80">
        <v>796</v>
      </c>
      <c r="D329" s="131">
        <v>37</v>
      </c>
      <c r="E329" t="s" s="79">
        <v>790</v>
      </c>
      <c r="F329" t="s" s="80">
        <v>584</v>
      </c>
      <c r="G329" s="132">
        <v>20</v>
      </c>
      <c r="H329" t="s" s="133">
        <v>123</v>
      </c>
      <c r="I329" t="s" s="134">
        <v>123</v>
      </c>
      <c r="J329" t="s" s="134">
        <v>97</v>
      </c>
      <c r="K329" t="str" s="135" cm="1">
        <f t="array" ref="K329">IF(OR(H329="ריביות",AND(H329="דירה כצנלסון",G329&lt;0,ISNUMBER(SEARCH("הכנסה",F329)))),"הכנסה שסווגה מחדש",J329)</f>
        <v>שוטף</v>
      </c>
      <c r="L329" t="s" s="134">
        <v>741</v>
      </c>
      <c r="M329" s="136" cm="1">
        <f t="array" ref="M329">IF(L329="מאושר",IF(K329="הכנסה שסווגה מחדש",0,G329),0)</f>
        <v>20</v>
      </c>
      <c r="N329" s="136" cm="1">
        <f t="array" ref="N329">IF(K329="שוטף",M329,0)</f>
        <v>20</v>
      </c>
      <c r="O329" s="136" cm="1">
        <f t="array" ref="O329">IF(K329="הכנסה שסווגה מחדש",-G329,0)</f>
        <v>0</v>
      </c>
      <c r="P329" t="s" s="80">
        <v>770</v>
      </c>
      <c r="Q329" s="100"/>
      <c r="R329" t="s" s="137">
        <v>743</v>
      </c>
      <c r="S329" s="77"/>
    </row>
    <row r="330" ht="13.65" customHeight="1">
      <c r="A330" s="84">
        <v>45748</v>
      </c>
      <c r="B330" t="s" s="85">
        <v>41</v>
      </c>
      <c r="C330" t="s" s="86">
        <v>796</v>
      </c>
      <c r="D330" s="138">
        <v>38</v>
      </c>
      <c r="E330" t="s" s="85">
        <v>761</v>
      </c>
      <c r="F330" t="s" s="86">
        <v>231</v>
      </c>
      <c r="G330" s="139">
        <v>16</v>
      </c>
      <c r="H330" t="s" s="140">
        <v>113</v>
      </c>
      <c r="I330" t="s" s="141">
        <v>113</v>
      </c>
      <c r="J330" t="s" s="141">
        <v>97</v>
      </c>
      <c r="K330" t="str" s="142" cm="1">
        <f t="array" ref="K330">IF(OR(H330="ריביות",AND(H330="דירה כצנלסון",G330&lt;0,ISNUMBER(SEARCH("הכנסה",F330)))),"הכנסה שסווגה מחדש",J330)</f>
        <v>שוטף</v>
      </c>
      <c r="L330" t="s" s="141">
        <v>741</v>
      </c>
      <c r="M330" s="143" cm="1">
        <f t="array" ref="M330">IF(L330="מאושר",IF(K330="הכנסה שסווגה מחדש",0,G330),0)</f>
        <v>16</v>
      </c>
      <c r="N330" s="143" cm="1">
        <f t="array" ref="N330">IF(K330="שוטף",M330,0)</f>
        <v>16</v>
      </c>
      <c r="O330" s="143" cm="1">
        <f t="array" ref="O330">IF(K330="הכנסה שסווגה מחדש",-G330,0)</f>
        <v>0</v>
      </c>
      <c r="P330" t="s" s="86">
        <v>770</v>
      </c>
      <c r="Q330" s="99"/>
      <c r="R330" t="s" s="144">
        <v>743</v>
      </c>
      <c r="S330" s="77"/>
    </row>
    <row r="331" ht="13.65" customHeight="1">
      <c r="A331" s="78">
        <v>45748</v>
      </c>
      <c r="B331" t="s" s="79">
        <v>41</v>
      </c>
      <c r="C331" t="s" s="80">
        <v>796</v>
      </c>
      <c r="D331" s="131">
        <v>39</v>
      </c>
      <c r="E331" t="s" s="79">
        <v>774</v>
      </c>
      <c r="F331" t="s" s="80">
        <v>430</v>
      </c>
      <c r="G331" s="132">
        <v>238</v>
      </c>
      <c r="H331" t="s" s="133">
        <v>105</v>
      </c>
      <c r="I331" t="s" s="134">
        <v>105</v>
      </c>
      <c r="J331" t="s" s="134">
        <v>103</v>
      </c>
      <c r="K331" t="str" s="135" cm="1">
        <f t="array" ref="K331">IF(OR(H331="ריביות",AND(H331="דירה כצנלסון",G331&lt;0,ISNUMBER(SEARCH("הכנסה",F331)))),"הכנסה שסווגה מחדש",J331)</f>
        <v>חריג</v>
      </c>
      <c r="L331" t="s" s="134">
        <v>741</v>
      </c>
      <c r="M331" s="136" cm="1">
        <f t="array" ref="M331">IF(L331="מאושר",IF(K331="הכנסה שסווגה מחדש",0,G331),0)</f>
        <v>238</v>
      </c>
      <c r="N331" s="136" cm="1">
        <f t="array" ref="N331">IF(K331="שוטף",M331,0)</f>
        <v>0</v>
      </c>
      <c r="O331" s="136" cm="1">
        <f t="array" ref="O331">IF(K331="הכנסה שסווגה מחדש",-G331,0)</f>
        <v>0</v>
      </c>
      <c r="P331" t="s" s="80">
        <v>770</v>
      </c>
      <c r="Q331" s="100"/>
      <c r="R331" t="s" s="137">
        <v>743</v>
      </c>
      <c r="S331" s="77"/>
    </row>
    <row r="332" ht="13.65" customHeight="1">
      <c r="A332" s="84">
        <v>45748</v>
      </c>
      <c r="B332" t="s" s="85">
        <v>41</v>
      </c>
      <c r="C332" t="s" s="86">
        <v>796</v>
      </c>
      <c r="D332" s="138">
        <v>40</v>
      </c>
      <c r="E332" t="s" s="85">
        <v>791</v>
      </c>
      <c r="F332" t="s" s="86">
        <v>267</v>
      </c>
      <c r="G332" s="139">
        <v>34</v>
      </c>
      <c r="H332" t="s" s="140">
        <v>109</v>
      </c>
      <c r="I332" t="s" s="141">
        <v>109</v>
      </c>
      <c r="J332" t="s" s="141">
        <v>97</v>
      </c>
      <c r="K332" t="str" s="142" cm="1">
        <f t="array" ref="K332">IF(OR(H332="ריביות",AND(H332="דירה כצנלסון",G332&lt;0,ISNUMBER(SEARCH("הכנסה",F332)))),"הכנסה שסווגה מחדש",J332)</f>
        <v>שוטף</v>
      </c>
      <c r="L332" t="s" s="141">
        <v>741</v>
      </c>
      <c r="M332" s="143" cm="1">
        <f t="array" ref="M332">IF(L332="מאושר",IF(K332="הכנסה שסווגה מחדש",0,G332),0)</f>
        <v>34</v>
      </c>
      <c r="N332" s="143" cm="1">
        <f t="array" ref="N332">IF(K332="שוטף",M332,0)</f>
        <v>34</v>
      </c>
      <c r="O332" s="143" cm="1">
        <f t="array" ref="O332">IF(K332="הכנסה שסווגה מחדש",-G332,0)</f>
        <v>0</v>
      </c>
      <c r="P332" t="s" s="86">
        <v>770</v>
      </c>
      <c r="Q332" s="99"/>
      <c r="R332" t="s" s="144">
        <v>743</v>
      </c>
      <c r="S332" s="77"/>
    </row>
    <row r="333" ht="13.65" customHeight="1">
      <c r="A333" s="78">
        <v>45748</v>
      </c>
      <c r="B333" t="s" s="79">
        <v>41</v>
      </c>
      <c r="C333" t="s" s="80">
        <v>796</v>
      </c>
      <c r="D333" s="131">
        <v>41</v>
      </c>
      <c r="E333" t="s" s="79">
        <v>791</v>
      </c>
      <c r="F333" t="s" s="80">
        <v>200</v>
      </c>
      <c r="G333" s="132">
        <v>695</v>
      </c>
      <c r="H333" t="s" s="133">
        <v>109</v>
      </c>
      <c r="I333" t="s" s="134">
        <v>109</v>
      </c>
      <c r="J333" t="s" s="134">
        <v>97</v>
      </c>
      <c r="K333" t="str" s="135" cm="1">
        <f t="array" ref="K333">IF(OR(H333="ריביות",AND(H333="דירה כצנלסון",G333&lt;0,ISNUMBER(SEARCH("הכנסה",F333)))),"הכנסה שסווגה מחדש",J333)</f>
        <v>שוטף</v>
      </c>
      <c r="L333" t="s" s="134">
        <v>741</v>
      </c>
      <c r="M333" s="136" cm="1">
        <f t="array" ref="M333">IF(L333="מאושר",IF(K333="הכנסה שסווגה מחדש",0,G333),0)</f>
        <v>695</v>
      </c>
      <c r="N333" s="136" cm="1">
        <f t="array" ref="N333">IF(K333="שוטף",M333,0)</f>
        <v>695</v>
      </c>
      <c r="O333" s="136" cm="1">
        <f t="array" ref="O333">IF(K333="הכנסה שסווגה מחדש",-G333,0)</f>
        <v>0</v>
      </c>
      <c r="P333" t="s" s="80">
        <v>770</v>
      </c>
      <c r="Q333" s="100"/>
      <c r="R333" t="s" s="137">
        <v>743</v>
      </c>
      <c r="S333" s="77"/>
    </row>
    <row r="334" ht="13.65" customHeight="1">
      <c r="A334" s="84">
        <v>45748</v>
      </c>
      <c r="B334" t="s" s="85">
        <v>41</v>
      </c>
      <c r="C334" t="s" s="86">
        <v>796</v>
      </c>
      <c r="D334" s="138">
        <v>42</v>
      </c>
      <c r="E334" t="s" s="85">
        <v>791</v>
      </c>
      <c r="F334" t="s" s="86">
        <v>288</v>
      </c>
      <c r="G334" s="139">
        <v>769</v>
      </c>
      <c r="H334" t="s" s="140">
        <v>105</v>
      </c>
      <c r="I334" t="s" s="141">
        <v>105</v>
      </c>
      <c r="J334" t="s" s="141">
        <v>103</v>
      </c>
      <c r="K334" t="str" s="142" cm="1">
        <f t="array" ref="K334">IF(OR(H334="ריביות",AND(H334="דירה כצנלסון",G334&lt;0,ISNUMBER(SEARCH("הכנסה",F334)))),"הכנסה שסווגה מחדש",J334)</f>
        <v>חריג</v>
      </c>
      <c r="L334" t="s" s="141">
        <v>741</v>
      </c>
      <c r="M334" s="143" cm="1">
        <f t="array" ref="M334">IF(L334="מאושר",IF(K334="הכנסה שסווגה מחדש",0,G334),0)</f>
        <v>769</v>
      </c>
      <c r="N334" s="143" cm="1">
        <f t="array" ref="N334">IF(K334="שוטף",M334,0)</f>
        <v>0</v>
      </c>
      <c r="O334" s="143" cm="1">
        <f t="array" ref="O334">IF(K334="הכנסה שסווגה מחדש",-G334,0)</f>
        <v>0</v>
      </c>
      <c r="P334" t="s" s="86">
        <v>770</v>
      </c>
      <c r="Q334" s="99"/>
      <c r="R334" t="s" s="144">
        <v>743</v>
      </c>
      <c r="S334" s="77"/>
    </row>
    <row r="335" ht="13.65" customHeight="1">
      <c r="A335" s="78">
        <v>45748</v>
      </c>
      <c r="B335" t="s" s="79">
        <v>41</v>
      </c>
      <c r="C335" t="s" s="80">
        <v>796</v>
      </c>
      <c r="D335" s="131">
        <v>43</v>
      </c>
      <c r="E335" t="s" s="79">
        <v>764</v>
      </c>
      <c r="F335" t="s" s="80">
        <v>703</v>
      </c>
      <c r="G335" s="132">
        <v>5</v>
      </c>
      <c r="H335" t="s" s="133">
        <v>105</v>
      </c>
      <c r="I335" t="s" s="134">
        <v>105</v>
      </c>
      <c r="J335" t="s" s="134">
        <v>103</v>
      </c>
      <c r="K335" t="str" s="135" cm="1">
        <f t="array" ref="K335">IF(OR(H335="ריביות",AND(H335="דירה כצנלסון",G335&lt;0,ISNUMBER(SEARCH("הכנסה",F335)))),"הכנסה שסווגה מחדש",J335)</f>
        <v>חריג</v>
      </c>
      <c r="L335" t="s" s="134">
        <v>741</v>
      </c>
      <c r="M335" s="136" cm="1">
        <f t="array" ref="M335">IF(L335="מאושר",IF(K335="הכנסה שסווגה מחדש",0,G335),0)</f>
        <v>5</v>
      </c>
      <c r="N335" s="136" cm="1">
        <f t="array" ref="N335">IF(K335="שוטף",M335,0)</f>
        <v>0</v>
      </c>
      <c r="O335" s="136" cm="1">
        <f t="array" ref="O335">IF(K335="הכנסה שסווגה מחדש",-G335,0)</f>
        <v>0</v>
      </c>
      <c r="P335" t="s" s="80">
        <v>770</v>
      </c>
      <c r="Q335" s="100"/>
      <c r="R335" t="s" s="137">
        <v>743</v>
      </c>
      <c r="S335" s="77"/>
    </row>
    <row r="336" ht="13.65" customHeight="1">
      <c r="A336" s="84">
        <v>45748</v>
      </c>
      <c r="B336" t="s" s="85">
        <v>41</v>
      </c>
      <c r="C336" t="s" s="86">
        <v>796</v>
      </c>
      <c r="D336" s="138">
        <v>44</v>
      </c>
      <c r="E336" s="99"/>
      <c r="F336" t="s" s="86">
        <v>673</v>
      </c>
      <c r="G336" s="139">
        <v>20</v>
      </c>
      <c r="H336" t="s" s="140">
        <v>139</v>
      </c>
      <c r="I336" t="s" s="141">
        <v>139</v>
      </c>
      <c r="J336" t="s" s="141">
        <v>97</v>
      </c>
      <c r="K336" t="str" s="142" cm="1">
        <f t="array" ref="K336">IF(OR(H336="ריביות",AND(H336="דירה כצנלסון",G336&lt;0,ISNUMBER(SEARCH("הכנסה",F336)))),"הכנסה שסווגה מחדש",J336)</f>
        <v>שוטף</v>
      </c>
      <c r="L336" t="s" s="141">
        <v>741</v>
      </c>
      <c r="M336" s="143" cm="1">
        <f t="array" ref="M336">IF(L336="מאושר",IF(K336="הכנסה שסווגה מחדש",0,G336),0)</f>
        <v>20</v>
      </c>
      <c r="N336" s="143" cm="1">
        <f t="array" ref="N336">IF(K336="שוטף",M336,0)</f>
        <v>20</v>
      </c>
      <c r="O336" s="143" cm="1">
        <f t="array" ref="O336">IF(K336="הכנסה שסווגה מחדש",-G336,0)</f>
        <v>0</v>
      </c>
      <c r="P336" t="s" s="86">
        <v>770</v>
      </c>
      <c r="Q336" s="99"/>
      <c r="R336" t="s" s="144">
        <v>743</v>
      </c>
      <c r="S336" s="77"/>
    </row>
    <row r="337" ht="13.65" customHeight="1">
      <c r="A337" s="78">
        <v>45748</v>
      </c>
      <c r="B337" t="s" s="79">
        <v>41</v>
      </c>
      <c r="C337" t="s" s="80">
        <v>796</v>
      </c>
      <c r="D337" s="131">
        <v>45</v>
      </c>
      <c r="E337" t="s" s="79">
        <v>34</v>
      </c>
      <c r="F337" t="s" s="80">
        <v>231</v>
      </c>
      <c r="G337" s="132">
        <v>151</v>
      </c>
      <c r="H337" t="s" s="133">
        <v>113</v>
      </c>
      <c r="I337" t="s" s="134">
        <v>113</v>
      </c>
      <c r="J337" t="s" s="134">
        <v>97</v>
      </c>
      <c r="K337" t="str" s="135" cm="1">
        <f t="array" ref="K337">IF(OR(H337="ריביות",AND(H337="דירה כצנלסון",G337&lt;0,ISNUMBER(SEARCH("הכנסה",F337)))),"הכנסה שסווגה מחדש",J337)</f>
        <v>שוטף</v>
      </c>
      <c r="L337" t="s" s="134">
        <v>741</v>
      </c>
      <c r="M337" s="136" cm="1">
        <f t="array" ref="M337">IF(L337="מאושר",IF(K337="הכנסה שסווגה מחדש",0,G337),0)</f>
        <v>151</v>
      </c>
      <c r="N337" s="136" cm="1">
        <f t="array" ref="N337">IF(K337="שוטף",M337,0)</f>
        <v>151</v>
      </c>
      <c r="O337" s="136" cm="1">
        <f t="array" ref="O337">IF(K337="הכנסה שסווגה מחדש",-G337,0)</f>
        <v>0</v>
      </c>
      <c r="P337" t="s" s="80">
        <v>784</v>
      </c>
      <c r="Q337" s="100"/>
      <c r="R337" t="s" s="137">
        <v>743</v>
      </c>
      <c r="S337" s="77"/>
    </row>
    <row r="338" ht="13.65" customHeight="1">
      <c r="A338" s="84">
        <v>45748</v>
      </c>
      <c r="B338" t="s" s="85">
        <v>41</v>
      </c>
      <c r="C338" t="s" s="86">
        <v>796</v>
      </c>
      <c r="D338" s="138">
        <v>46</v>
      </c>
      <c r="E338" t="s" s="85">
        <v>42</v>
      </c>
      <c r="F338" t="s" s="86">
        <v>200</v>
      </c>
      <c r="G338" s="139">
        <v>36</v>
      </c>
      <c r="H338" t="s" s="140">
        <v>109</v>
      </c>
      <c r="I338" t="s" s="141">
        <v>109</v>
      </c>
      <c r="J338" t="s" s="141">
        <v>97</v>
      </c>
      <c r="K338" t="str" s="142" cm="1">
        <f t="array" ref="K338">IF(OR(H338="ריביות",AND(H338="דירה כצנלסון",G338&lt;0,ISNUMBER(SEARCH("הכנסה",F338)))),"הכנסה שסווגה מחדש",J338)</f>
        <v>שוטף</v>
      </c>
      <c r="L338" t="s" s="141">
        <v>741</v>
      </c>
      <c r="M338" s="143" cm="1">
        <f t="array" ref="M338">IF(L338="מאושר",IF(K338="הכנסה שסווגה מחדש",0,G338),0)</f>
        <v>36</v>
      </c>
      <c r="N338" s="143" cm="1">
        <f t="array" ref="N338">IF(K338="שוטף",M338,0)</f>
        <v>36</v>
      </c>
      <c r="O338" s="143" cm="1">
        <f t="array" ref="O338">IF(K338="הכנסה שסווגה מחדש",-G338,0)</f>
        <v>0</v>
      </c>
      <c r="P338" t="s" s="86">
        <v>784</v>
      </c>
      <c r="Q338" s="99"/>
      <c r="R338" t="s" s="144">
        <v>743</v>
      </c>
      <c r="S338" s="77"/>
    </row>
    <row r="339" ht="13.65" customHeight="1">
      <c r="A339" s="78">
        <v>45748</v>
      </c>
      <c r="B339" t="s" s="79">
        <v>41</v>
      </c>
      <c r="C339" t="s" s="80">
        <v>796</v>
      </c>
      <c r="D339" s="131">
        <v>47</v>
      </c>
      <c r="E339" t="s" s="79">
        <v>751</v>
      </c>
      <c r="F339" t="s" s="80">
        <v>231</v>
      </c>
      <c r="G339" s="132">
        <v>24</v>
      </c>
      <c r="H339" t="s" s="133">
        <v>113</v>
      </c>
      <c r="I339" t="s" s="134">
        <v>113</v>
      </c>
      <c r="J339" t="s" s="134">
        <v>97</v>
      </c>
      <c r="K339" t="str" s="135" cm="1">
        <f t="array" ref="K339">IF(OR(H339="ריביות",AND(H339="דירה כצנלסון",G339&lt;0,ISNUMBER(SEARCH("הכנסה",F339)))),"הכנסה שסווגה מחדש",J339)</f>
        <v>שוטף</v>
      </c>
      <c r="L339" t="s" s="134">
        <v>741</v>
      </c>
      <c r="M339" s="136" cm="1">
        <f t="array" ref="M339">IF(L339="מאושר",IF(K339="הכנסה שסווגה מחדש",0,G339),0)</f>
        <v>24</v>
      </c>
      <c r="N339" s="136" cm="1">
        <f t="array" ref="N339">IF(K339="שוטף",M339,0)</f>
        <v>24</v>
      </c>
      <c r="O339" s="136" cm="1">
        <f t="array" ref="O339">IF(K339="הכנסה שסווגה מחדש",-G339,0)</f>
        <v>0</v>
      </c>
      <c r="P339" t="s" s="80">
        <v>784</v>
      </c>
      <c r="Q339" s="100"/>
      <c r="R339" t="s" s="137">
        <v>743</v>
      </c>
      <c r="S339" s="77"/>
    </row>
    <row r="340" ht="13.65" customHeight="1">
      <c r="A340" s="84">
        <v>45748</v>
      </c>
      <c r="B340" t="s" s="85">
        <v>41</v>
      </c>
      <c r="C340" t="s" s="86">
        <v>796</v>
      </c>
      <c r="D340" s="138">
        <v>48</v>
      </c>
      <c r="E340" t="s" s="85">
        <v>772</v>
      </c>
      <c r="F340" t="s" s="86">
        <v>200</v>
      </c>
      <c r="G340" s="139">
        <v>41</v>
      </c>
      <c r="H340" t="s" s="140">
        <v>109</v>
      </c>
      <c r="I340" t="s" s="141">
        <v>109</v>
      </c>
      <c r="J340" t="s" s="141">
        <v>97</v>
      </c>
      <c r="K340" t="str" s="142" cm="1">
        <f t="array" ref="K340">IF(OR(H340="ריביות",AND(H340="דירה כצנלסון",G340&lt;0,ISNUMBER(SEARCH("הכנסה",F340)))),"הכנסה שסווגה מחדש",J340)</f>
        <v>שוטף</v>
      </c>
      <c r="L340" t="s" s="141">
        <v>741</v>
      </c>
      <c r="M340" s="143" cm="1">
        <f t="array" ref="M340">IF(L340="מאושר",IF(K340="הכנסה שסווגה מחדש",0,G340),0)</f>
        <v>41</v>
      </c>
      <c r="N340" s="143" cm="1">
        <f t="array" ref="N340">IF(K340="שוטף",M340,0)</f>
        <v>41</v>
      </c>
      <c r="O340" s="143" cm="1">
        <f t="array" ref="O340">IF(K340="הכנסה שסווגה מחדש",-G340,0)</f>
        <v>0</v>
      </c>
      <c r="P340" t="s" s="86">
        <v>784</v>
      </c>
      <c r="Q340" s="99"/>
      <c r="R340" t="s" s="144">
        <v>743</v>
      </c>
      <c r="S340" s="77"/>
    </row>
    <row r="341" ht="13.65" customHeight="1">
      <c r="A341" s="78">
        <v>45748</v>
      </c>
      <c r="B341" t="s" s="79">
        <v>41</v>
      </c>
      <c r="C341" t="s" s="80">
        <v>796</v>
      </c>
      <c r="D341" s="131">
        <v>49</v>
      </c>
      <c r="E341" t="s" s="79">
        <v>790</v>
      </c>
      <c r="F341" t="s" s="80">
        <v>200</v>
      </c>
      <c r="G341" s="132">
        <v>28</v>
      </c>
      <c r="H341" t="s" s="133">
        <v>109</v>
      </c>
      <c r="I341" t="s" s="134">
        <v>109</v>
      </c>
      <c r="J341" t="s" s="134">
        <v>97</v>
      </c>
      <c r="K341" t="str" s="135" cm="1">
        <f t="array" ref="K341">IF(OR(H341="ריביות",AND(H341="דירה כצנלסון",G341&lt;0,ISNUMBER(SEARCH("הכנסה",F341)))),"הכנסה שסווגה מחדש",J341)</f>
        <v>שוטף</v>
      </c>
      <c r="L341" t="s" s="134">
        <v>741</v>
      </c>
      <c r="M341" s="136" cm="1">
        <f t="array" ref="M341">IF(L341="מאושר",IF(K341="הכנסה שסווגה מחדש",0,G341),0)</f>
        <v>28</v>
      </c>
      <c r="N341" s="136" cm="1">
        <f t="array" ref="N341">IF(K341="שוטף",M341,0)</f>
        <v>28</v>
      </c>
      <c r="O341" s="136" cm="1">
        <f t="array" ref="O341">IF(K341="הכנסה שסווגה מחדש",-G341,0)</f>
        <v>0</v>
      </c>
      <c r="P341" t="s" s="80">
        <v>784</v>
      </c>
      <c r="Q341" s="100"/>
      <c r="R341" t="s" s="137">
        <v>743</v>
      </c>
      <c r="S341" s="77"/>
    </row>
    <row r="342" ht="13.65" customHeight="1">
      <c r="A342" s="84">
        <v>45748</v>
      </c>
      <c r="B342" t="s" s="85">
        <v>41</v>
      </c>
      <c r="C342" t="s" s="86">
        <v>796</v>
      </c>
      <c r="D342" s="138">
        <v>50</v>
      </c>
      <c r="E342" t="s" s="85">
        <v>761</v>
      </c>
      <c r="F342" t="s" s="86">
        <v>200</v>
      </c>
      <c r="G342" s="139">
        <v>71</v>
      </c>
      <c r="H342" t="s" s="140">
        <v>109</v>
      </c>
      <c r="I342" t="s" s="141">
        <v>109</v>
      </c>
      <c r="J342" t="s" s="141">
        <v>97</v>
      </c>
      <c r="K342" t="str" s="142" cm="1">
        <f t="array" ref="K342">IF(OR(H342="ריביות",AND(H342="דירה כצנלסון",G342&lt;0,ISNUMBER(SEARCH("הכנסה",F342)))),"הכנסה שסווגה מחדש",J342)</f>
        <v>שוטף</v>
      </c>
      <c r="L342" t="s" s="141">
        <v>741</v>
      </c>
      <c r="M342" s="143" cm="1">
        <f t="array" ref="M342">IF(L342="מאושר",IF(K342="הכנסה שסווגה מחדש",0,G342),0)</f>
        <v>71</v>
      </c>
      <c r="N342" s="143" cm="1">
        <f t="array" ref="N342">IF(K342="שוטף",M342,0)</f>
        <v>71</v>
      </c>
      <c r="O342" s="143" cm="1">
        <f t="array" ref="O342">IF(K342="הכנסה שסווגה מחדש",-G342,0)</f>
        <v>0</v>
      </c>
      <c r="P342" t="s" s="86">
        <v>784</v>
      </c>
      <c r="Q342" s="99"/>
      <c r="R342" t="s" s="144">
        <v>743</v>
      </c>
      <c r="S342" s="77"/>
    </row>
    <row r="343" ht="13.65" customHeight="1">
      <c r="A343" s="78">
        <v>45748</v>
      </c>
      <c r="B343" t="s" s="79">
        <v>41</v>
      </c>
      <c r="C343" t="s" s="80">
        <v>796</v>
      </c>
      <c r="D343" s="131">
        <v>51</v>
      </c>
      <c r="E343" t="s" s="79">
        <v>791</v>
      </c>
      <c r="F343" t="s" s="80">
        <v>231</v>
      </c>
      <c r="G343" s="132">
        <v>62</v>
      </c>
      <c r="H343" t="s" s="133">
        <v>113</v>
      </c>
      <c r="I343" t="s" s="134">
        <v>113</v>
      </c>
      <c r="J343" t="s" s="134">
        <v>97</v>
      </c>
      <c r="K343" t="str" s="135" cm="1">
        <f t="array" ref="K343">IF(OR(H343="ריביות",AND(H343="דירה כצנלסון",G343&lt;0,ISNUMBER(SEARCH("הכנסה",F343)))),"הכנסה שסווגה מחדש",J343)</f>
        <v>שוטף</v>
      </c>
      <c r="L343" t="s" s="134">
        <v>741</v>
      </c>
      <c r="M343" s="136" cm="1">
        <f t="array" ref="M343">IF(L343="מאושר",IF(K343="הכנסה שסווגה מחדש",0,G343),0)</f>
        <v>62</v>
      </c>
      <c r="N343" s="136" cm="1">
        <f t="array" ref="N343">IF(K343="שוטף",M343,0)</f>
        <v>62</v>
      </c>
      <c r="O343" s="136" cm="1">
        <f t="array" ref="O343">IF(K343="הכנסה שסווגה מחדש",-G343,0)</f>
        <v>0</v>
      </c>
      <c r="P343" t="s" s="80">
        <v>784</v>
      </c>
      <c r="Q343" s="100"/>
      <c r="R343" t="s" s="137">
        <v>743</v>
      </c>
      <c r="S343" s="77"/>
    </row>
    <row r="344" ht="13.65" customHeight="1">
      <c r="A344" s="84">
        <v>45748</v>
      </c>
      <c r="B344" t="s" s="85">
        <v>41</v>
      </c>
      <c r="C344" t="s" s="86">
        <v>796</v>
      </c>
      <c r="D344" s="138">
        <v>52</v>
      </c>
      <c r="E344" t="s" s="85">
        <v>755</v>
      </c>
      <c r="F344" t="s" s="86">
        <v>200</v>
      </c>
      <c r="G344" s="139">
        <v>218</v>
      </c>
      <c r="H344" t="s" s="140">
        <v>109</v>
      </c>
      <c r="I344" t="s" s="141">
        <v>109</v>
      </c>
      <c r="J344" t="s" s="141">
        <v>97</v>
      </c>
      <c r="K344" t="str" s="142" cm="1">
        <f t="array" ref="K344">IF(OR(H344="ריביות",AND(H344="דירה כצנלסון",G344&lt;0,ISNUMBER(SEARCH("הכנסה",F344)))),"הכנסה שסווגה מחדש",J344)</f>
        <v>שוטף</v>
      </c>
      <c r="L344" t="s" s="141">
        <v>741</v>
      </c>
      <c r="M344" s="143" cm="1">
        <f t="array" ref="M344">IF(L344="מאושר",IF(K344="הכנסה שסווגה מחדש",0,G344),0)</f>
        <v>218</v>
      </c>
      <c r="N344" s="143" cm="1">
        <f t="array" ref="N344">IF(K344="שוטף",M344,0)</f>
        <v>218</v>
      </c>
      <c r="O344" s="143" cm="1">
        <f t="array" ref="O344">IF(K344="הכנסה שסווגה מחדש",-G344,0)</f>
        <v>0</v>
      </c>
      <c r="P344" t="s" s="86">
        <v>784</v>
      </c>
      <c r="Q344" s="99"/>
      <c r="R344" t="s" s="144">
        <v>743</v>
      </c>
      <c r="S344" s="77"/>
    </row>
    <row r="345" ht="13.65" customHeight="1">
      <c r="A345" s="78">
        <v>45748</v>
      </c>
      <c r="B345" t="s" s="79">
        <v>41</v>
      </c>
      <c r="C345" t="s" s="80">
        <v>796</v>
      </c>
      <c r="D345" s="131">
        <v>53</v>
      </c>
      <c r="E345" t="s" s="79">
        <v>764</v>
      </c>
      <c r="F345" t="s" s="80">
        <v>231</v>
      </c>
      <c r="G345" s="132">
        <v>66</v>
      </c>
      <c r="H345" t="s" s="133">
        <v>113</v>
      </c>
      <c r="I345" t="s" s="134">
        <v>113</v>
      </c>
      <c r="J345" t="s" s="134">
        <v>97</v>
      </c>
      <c r="K345" t="str" s="135" cm="1">
        <f t="array" ref="K345">IF(OR(H345="ריביות",AND(H345="דירה כצנלסון",G345&lt;0,ISNUMBER(SEARCH("הכנסה",F345)))),"הכנסה שסווגה מחדש",J345)</f>
        <v>שוטף</v>
      </c>
      <c r="L345" t="s" s="134">
        <v>741</v>
      </c>
      <c r="M345" s="136" cm="1">
        <f t="array" ref="M345">IF(L345="מאושר",IF(K345="הכנסה שסווגה מחדש",0,G345),0)</f>
        <v>66</v>
      </c>
      <c r="N345" s="136" cm="1">
        <f t="array" ref="N345">IF(K345="שוטף",M345,0)</f>
        <v>66</v>
      </c>
      <c r="O345" s="136" cm="1">
        <f t="array" ref="O345">IF(K345="הכנסה שסווגה מחדש",-G345,0)</f>
        <v>0</v>
      </c>
      <c r="P345" t="s" s="80">
        <v>784</v>
      </c>
      <c r="Q345" s="100"/>
      <c r="R345" t="s" s="137">
        <v>743</v>
      </c>
      <c r="S345" s="77"/>
    </row>
    <row r="346" ht="13.65" customHeight="1">
      <c r="A346" s="84">
        <v>45748</v>
      </c>
      <c r="B346" t="s" s="85">
        <v>41</v>
      </c>
      <c r="C346" t="s" s="86">
        <v>796</v>
      </c>
      <c r="D346" s="138">
        <v>54</v>
      </c>
      <c r="E346" t="s" s="85">
        <v>756</v>
      </c>
      <c r="F346" t="s" s="86">
        <v>200</v>
      </c>
      <c r="G346" s="139">
        <v>80</v>
      </c>
      <c r="H346" t="s" s="140">
        <v>109</v>
      </c>
      <c r="I346" t="s" s="141">
        <v>109</v>
      </c>
      <c r="J346" t="s" s="141">
        <v>97</v>
      </c>
      <c r="K346" t="str" s="142" cm="1">
        <f t="array" ref="K346">IF(OR(H346="ריביות",AND(H346="דירה כצנלסון",G346&lt;0,ISNUMBER(SEARCH("הכנסה",F346)))),"הכנסה שסווגה מחדש",J346)</f>
        <v>שוטף</v>
      </c>
      <c r="L346" t="s" s="141">
        <v>741</v>
      </c>
      <c r="M346" s="143" cm="1">
        <f t="array" ref="M346">IF(L346="מאושר",IF(K346="הכנסה שסווגה מחדש",0,G346),0)</f>
        <v>80</v>
      </c>
      <c r="N346" s="143" cm="1">
        <f t="array" ref="N346">IF(K346="שוטף",M346,0)</f>
        <v>80</v>
      </c>
      <c r="O346" s="143" cm="1">
        <f t="array" ref="O346">IF(K346="הכנסה שסווגה מחדש",-G346,0)</f>
        <v>0</v>
      </c>
      <c r="P346" t="s" s="86">
        <v>784</v>
      </c>
      <c r="Q346" s="99"/>
      <c r="R346" t="s" s="144">
        <v>743</v>
      </c>
      <c r="S346" s="77"/>
    </row>
    <row r="347" ht="13.65" customHeight="1">
      <c r="A347" s="78">
        <v>45748</v>
      </c>
      <c r="B347" t="s" s="79">
        <v>41</v>
      </c>
      <c r="C347" t="s" s="80">
        <v>796</v>
      </c>
      <c r="D347" s="131">
        <v>55</v>
      </c>
      <c r="E347" t="s" s="79">
        <v>789</v>
      </c>
      <c r="F347" t="s" s="80">
        <v>242</v>
      </c>
      <c r="G347" s="132">
        <v>2625</v>
      </c>
      <c r="H347" t="s" s="133">
        <v>105</v>
      </c>
      <c r="I347" t="s" s="134">
        <v>105</v>
      </c>
      <c r="J347" t="s" s="134">
        <v>103</v>
      </c>
      <c r="K347" t="str" s="135" cm="1">
        <f t="array" ref="K347">IF(OR(H347="ריביות",AND(H347="דירה כצנלסון",G347&lt;0,ISNUMBER(SEARCH("הכנסה",F347)))),"הכנסה שסווגה מחדש",J347)</f>
        <v>חריג</v>
      </c>
      <c r="L347" t="s" s="134">
        <v>741</v>
      </c>
      <c r="M347" s="136" cm="1">
        <f t="array" ref="M347">IF(L347="מאושר",IF(K347="הכנסה שסווגה מחדש",0,G347),0)</f>
        <v>2625</v>
      </c>
      <c r="N347" s="136" cm="1">
        <f t="array" ref="N347">IF(K347="שוטף",M347,0)</f>
        <v>0</v>
      </c>
      <c r="O347" s="136" cm="1">
        <f t="array" ref="O347">IF(K347="הכנסה שסווגה מחדש",-G347,0)</f>
        <v>0</v>
      </c>
      <c r="P347" t="s" s="79">
        <v>748</v>
      </c>
      <c r="Q347" t="s" s="80">
        <v>797</v>
      </c>
      <c r="R347" t="s" s="137">
        <v>743</v>
      </c>
      <c r="S347" s="77"/>
    </row>
    <row r="348" ht="13.65" customHeight="1">
      <c r="A348" s="84">
        <v>45748</v>
      </c>
      <c r="B348" t="s" s="85">
        <v>41</v>
      </c>
      <c r="C348" t="s" s="86">
        <v>796</v>
      </c>
      <c r="D348" s="138">
        <v>56</v>
      </c>
      <c r="E348" t="s" s="85">
        <v>788</v>
      </c>
      <c r="F348" t="s" s="86">
        <v>307</v>
      </c>
      <c r="G348" s="139">
        <v>18</v>
      </c>
      <c r="H348" t="s" s="140">
        <v>115</v>
      </c>
      <c r="I348" t="s" s="141">
        <v>115</v>
      </c>
      <c r="J348" t="s" s="141">
        <v>97</v>
      </c>
      <c r="K348" t="str" s="142" cm="1">
        <f t="array" ref="K348">IF(OR(H348="ריביות",AND(H348="דירה כצנלסון",G348&lt;0,ISNUMBER(SEARCH("הכנסה",F348)))),"הכנסה שסווגה מחדש",J348)</f>
        <v>שוטף</v>
      </c>
      <c r="L348" t="s" s="141">
        <v>741</v>
      </c>
      <c r="M348" s="143" cm="1">
        <f t="array" ref="M348">IF(L348="מאושר",IF(K348="הכנסה שסווגה מחדש",0,G348),0)</f>
        <v>18</v>
      </c>
      <c r="N348" s="143" cm="1">
        <f t="array" ref="N348">IF(K348="שוטף",M348,0)</f>
        <v>18</v>
      </c>
      <c r="O348" s="143" cm="1">
        <f t="array" ref="O348">IF(K348="הכנסה שסווגה מחדש",-G348,0)</f>
        <v>0</v>
      </c>
      <c r="P348" t="s" s="85">
        <v>748</v>
      </c>
      <c r="Q348" t="s" s="86">
        <v>797</v>
      </c>
      <c r="R348" t="s" s="144">
        <v>743</v>
      </c>
      <c r="S348" s="77"/>
    </row>
    <row r="349" ht="13.65" customHeight="1">
      <c r="A349" s="78">
        <v>45748</v>
      </c>
      <c r="B349" t="s" s="79">
        <v>41</v>
      </c>
      <c r="C349" t="s" s="80">
        <v>796</v>
      </c>
      <c r="D349" s="131">
        <v>57</v>
      </c>
      <c r="E349" t="s" s="79">
        <v>751</v>
      </c>
      <c r="F349" t="s" s="80">
        <v>576</v>
      </c>
      <c r="G349" s="132">
        <v>31</v>
      </c>
      <c r="H349" t="s" s="133">
        <v>117</v>
      </c>
      <c r="I349" t="s" s="134">
        <v>117</v>
      </c>
      <c r="J349" t="s" s="134">
        <v>97</v>
      </c>
      <c r="K349" t="str" s="135" cm="1">
        <f t="array" ref="K349">IF(OR(H349="ריביות",AND(H349="דירה כצנלסון",G349&lt;0,ISNUMBER(SEARCH("הכנסה",F349)))),"הכנסה שסווגה מחדש",J349)</f>
        <v>שוטף</v>
      </c>
      <c r="L349" t="s" s="134">
        <v>741</v>
      </c>
      <c r="M349" s="136" cm="1">
        <f t="array" ref="M349">IF(L349="מאושר",IF(K349="הכנסה שסווגה מחדש",0,G349),0)</f>
        <v>31</v>
      </c>
      <c r="N349" s="136" cm="1">
        <f t="array" ref="N349">IF(K349="שוטף",M349,0)</f>
        <v>31</v>
      </c>
      <c r="O349" s="136" cm="1">
        <f t="array" ref="O349">IF(K349="הכנסה שסווגה מחדש",-G349,0)</f>
        <v>0</v>
      </c>
      <c r="P349" t="s" s="79">
        <v>748</v>
      </c>
      <c r="Q349" t="s" s="80">
        <v>797</v>
      </c>
      <c r="R349" t="s" s="137">
        <v>743</v>
      </c>
      <c r="S349" s="77"/>
    </row>
    <row r="350" ht="13.65" customHeight="1">
      <c r="A350" s="84">
        <v>45748</v>
      </c>
      <c r="B350" t="s" s="85">
        <v>41</v>
      </c>
      <c r="C350" t="s" s="86">
        <v>796</v>
      </c>
      <c r="D350" s="138">
        <v>58</v>
      </c>
      <c r="E350" t="s" s="85">
        <v>771</v>
      </c>
      <c r="F350" t="s" s="86">
        <v>307</v>
      </c>
      <c r="G350" s="139">
        <v>40</v>
      </c>
      <c r="H350" t="s" s="140">
        <v>115</v>
      </c>
      <c r="I350" t="s" s="141">
        <v>115</v>
      </c>
      <c r="J350" t="s" s="141">
        <v>97</v>
      </c>
      <c r="K350" t="str" s="142" cm="1">
        <f t="array" ref="K350">IF(OR(H350="ריביות",AND(H350="דירה כצנלסון",G350&lt;0,ISNUMBER(SEARCH("הכנסה",F350)))),"הכנסה שסווגה מחדש",J350)</f>
        <v>שוטף</v>
      </c>
      <c r="L350" t="s" s="141">
        <v>741</v>
      </c>
      <c r="M350" s="143" cm="1">
        <f t="array" ref="M350">IF(L350="מאושר",IF(K350="הכנסה שסווגה מחדש",0,G350),0)</f>
        <v>40</v>
      </c>
      <c r="N350" s="143" cm="1">
        <f t="array" ref="N350">IF(K350="שוטף",M350,0)</f>
        <v>40</v>
      </c>
      <c r="O350" s="143" cm="1">
        <f t="array" ref="O350">IF(K350="הכנסה שסווגה מחדש",-G350,0)</f>
        <v>0</v>
      </c>
      <c r="P350" t="s" s="85">
        <v>748</v>
      </c>
      <c r="Q350" t="s" s="86">
        <v>797</v>
      </c>
      <c r="R350" t="s" s="144">
        <v>743</v>
      </c>
      <c r="S350" s="77"/>
    </row>
    <row r="351" ht="13.65" customHeight="1">
      <c r="A351" s="78">
        <v>45748</v>
      </c>
      <c r="B351" t="s" s="79">
        <v>41</v>
      </c>
      <c r="C351" t="s" s="80">
        <v>796</v>
      </c>
      <c r="D351" s="131">
        <v>59</v>
      </c>
      <c r="E351" t="s" s="79">
        <v>776</v>
      </c>
      <c r="F351" t="s" s="80">
        <v>717</v>
      </c>
      <c r="G351" s="132">
        <v>-187</v>
      </c>
      <c r="H351" t="s" s="133">
        <v>210</v>
      </c>
      <c r="I351" t="s" s="134">
        <v>102</v>
      </c>
      <c r="J351" t="s" s="134">
        <v>103</v>
      </c>
      <c r="K351" t="str" s="135" cm="1">
        <f t="array" ref="K351">IF(OR(H351="ריביות",AND(H351="דירה כצנלסון",G351&lt;0,ISNUMBER(SEARCH("הכנסה",F351)))),"הכנסה שסווגה מחדש",J351)</f>
        <v>חריג</v>
      </c>
      <c r="L351" t="s" s="134">
        <v>741</v>
      </c>
      <c r="M351" s="136" cm="1">
        <f t="array" ref="M351">IF(L351="מאושר",IF(K351="הכנסה שסווגה מחדש",0,G351),0)</f>
        <v>-187</v>
      </c>
      <c r="N351" s="136" cm="1">
        <f t="array" ref="N351">IF(K351="שוטף",M351,0)</f>
        <v>0</v>
      </c>
      <c r="O351" s="136" cm="1">
        <f t="array" ref="O351">IF(K351="הכנסה שסווגה מחדש",-G351,0)</f>
        <v>0</v>
      </c>
      <c r="P351" t="s" s="80">
        <v>780</v>
      </c>
      <c r="Q351" t="s" s="80">
        <v>797</v>
      </c>
      <c r="R351" t="s" s="137">
        <v>743</v>
      </c>
      <c r="S351" s="77"/>
    </row>
    <row r="352" ht="13.65" customHeight="1">
      <c r="A352" s="84">
        <v>45748</v>
      </c>
      <c r="B352" t="s" s="85">
        <v>41</v>
      </c>
      <c r="C352" t="s" s="86">
        <v>796</v>
      </c>
      <c r="D352" s="138">
        <v>60</v>
      </c>
      <c r="E352" s="99"/>
      <c r="F352" t="s" s="86">
        <v>218</v>
      </c>
      <c r="G352" s="139">
        <v>1910</v>
      </c>
      <c r="H352" t="s" s="140">
        <v>105</v>
      </c>
      <c r="I352" t="s" s="141">
        <v>105</v>
      </c>
      <c r="J352" t="s" s="141">
        <v>103</v>
      </c>
      <c r="K352" t="str" s="142" cm="1">
        <f t="array" ref="K352">IF(OR(H352="ריביות",AND(H352="דירה כצנלסון",G352&lt;0,ISNUMBER(SEARCH("הכנסה",F352)))),"הכנסה שסווגה מחדש",J352)</f>
        <v>חריג</v>
      </c>
      <c r="L352" t="s" s="141">
        <v>741</v>
      </c>
      <c r="M352" s="143" cm="1">
        <f t="array" ref="M352">IF(L352="מאושר",IF(K352="הכנסה שסווגה מחדש",0,G352),0)</f>
        <v>1910</v>
      </c>
      <c r="N352" s="143" cm="1">
        <f t="array" ref="N352">IF(K352="שוטף",M352,0)</f>
        <v>0</v>
      </c>
      <c r="O352" s="143" cm="1">
        <f t="array" ref="O352">IF(K352="הכנסה שסווגה מחדש",-G352,0)</f>
        <v>0</v>
      </c>
      <c r="P352" t="s" s="86">
        <v>762</v>
      </c>
      <c r="Q352" s="99"/>
      <c r="R352" t="s" s="144">
        <v>743</v>
      </c>
      <c r="S352" s="77"/>
    </row>
    <row r="353" ht="13.65" customHeight="1">
      <c r="A353" s="78">
        <v>45748</v>
      </c>
      <c r="B353" t="s" s="79">
        <v>41</v>
      </c>
      <c r="C353" t="s" s="80">
        <v>796</v>
      </c>
      <c r="D353" s="131">
        <v>61</v>
      </c>
      <c r="E353" t="s" s="79">
        <v>30</v>
      </c>
      <c r="F353" t="s" s="80">
        <v>199</v>
      </c>
      <c r="G353" s="132">
        <v>1800</v>
      </c>
      <c r="H353" t="s" s="133">
        <v>767</v>
      </c>
      <c r="I353" t="s" s="134">
        <v>107</v>
      </c>
      <c r="J353" t="s" s="134">
        <v>97</v>
      </c>
      <c r="K353" t="str" s="135" cm="1">
        <f t="array" ref="K353">IF(OR(H353="ריביות",AND(H353="דירה כצנלסון",G353&lt;0,ISNUMBER(SEARCH("הכנסה",F353)))),"הכנסה שסווגה מחדש",J353)</f>
        <v>שוטף</v>
      </c>
      <c r="L353" t="s" s="134">
        <v>741</v>
      </c>
      <c r="M353" s="136" cm="1">
        <f t="array" ref="M353">IF(L353="מאושר",IF(K353="הכנסה שסווגה מחדש",0,G353),0)</f>
        <v>1800</v>
      </c>
      <c r="N353" s="136" cm="1">
        <f t="array" ref="N353">IF(K353="שוטף",M353,0)</f>
        <v>1800</v>
      </c>
      <c r="O353" s="136" cm="1">
        <f t="array" ref="O353">IF(K353="הכנסה שסווגה מחדש",-G353,0)</f>
        <v>0</v>
      </c>
      <c r="P353" t="s" s="80">
        <v>762</v>
      </c>
      <c r="Q353" s="100"/>
      <c r="R353" t="s" s="137">
        <v>743</v>
      </c>
      <c r="S353" s="77"/>
    </row>
    <row r="354" ht="13.65" customHeight="1">
      <c r="A354" s="84">
        <v>45748</v>
      </c>
      <c r="B354" t="s" s="85">
        <v>41</v>
      </c>
      <c r="C354" t="s" s="86">
        <v>796</v>
      </c>
      <c r="D354" s="138">
        <v>62</v>
      </c>
      <c r="E354" t="s" s="85">
        <v>34</v>
      </c>
      <c r="F354" t="s" s="86">
        <v>355</v>
      </c>
      <c r="G354" s="139">
        <v>6</v>
      </c>
      <c r="H354" t="s" s="140">
        <v>113</v>
      </c>
      <c r="I354" t="s" s="141">
        <v>113</v>
      </c>
      <c r="J354" t="s" s="141">
        <v>97</v>
      </c>
      <c r="K354" t="str" s="142" cm="1">
        <f t="array" ref="K354">IF(OR(H354="ריביות",AND(H354="דירה כצנלסון",G354&lt;0,ISNUMBER(SEARCH("הכנסה",F354)))),"הכנסה שסווגה מחדש",J354)</f>
        <v>שוטף</v>
      </c>
      <c r="L354" t="s" s="141">
        <v>741</v>
      </c>
      <c r="M354" s="143" cm="1">
        <f t="array" ref="M354">IF(L354="מאושר",IF(K354="הכנסה שסווגה מחדש",0,G354),0)</f>
        <v>6</v>
      </c>
      <c r="N354" s="143" cm="1">
        <f t="array" ref="N354">IF(K354="שוטף",M354,0)</f>
        <v>6</v>
      </c>
      <c r="O354" s="143" cm="1">
        <f t="array" ref="O354">IF(K354="הכנסה שסווגה מחדש",-G354,0)</f>
        <v>0</v>
      </c>
      <c r="P354" t="s" s="86">
        <v>762</v>
      </c>
      <c r="Q354" s="99"/>
      <c r="R354" t="s" s="144">
        <v>743</v>
      </c>
      <c r="S354" s="77"/>
    </row>
    <row r="355" ht="13.65" customHeight="1">
      <c r="A355" s="78">
        <v>45748</v>
      </c>
      <c r="B355" t="s" s="79">
        <v>41</v>
      </c>
      <c r="C355" t="s" s="80">
        <v>796</v>
      </c>
      <c r="D355" s="131">
        <v>63</v>
      </c>
      <c r="E355" t="s" s="79">
        <v>34</v>
      </c>
      <c r="F355" t="s" s="80">
        <v>245</v>
      </c>
      <c r="G355" s="132">
        <v>85</v>
      </c>
      <c r="H355" t="s" s="133">
        <v>767</v>
      </c>
      <c r="I355" t="s" s="134">
        <v>107</v>
      </c>
      <c r="J355" t="s" s="134">
        <v>97</v>
      </c>
      <c r="K355" t="str" s="135" cm="1">
        <f t="array" ref="K355">IF(OR(H355="ריביות",AND(H355="דירה כצנלסון",G355&lt;0,ISNUMBER(SEARCH("הכנסה",F355)))),"הכנסה שסווגה מחדש",J355)</f>
        <v>שוטף</v>
      </c>
      <c r="L355" t="s" s="134">
        <v>741</v>
      </c>
      <c r="M355" s="136" cm="1">
        <f t="array" ref="M355">IF(L355="מאושר",IF(K355="הכנסה שסווגה מחדש",0,G355),0)</f>
        <v>85</v>
      </c>
      <c r="N355" s="136" cm="1">
        <f t="array" ref="N355">IF(K355="שוטף",M355,0)</f>
        <v>85</v>
      </c>
      <c r="O355" s="136" cm="1">
        <f t="array" ref="O355">IF(K355="הכנסה שסווגה מחדש",-G355,0)</f>
        <v>0</v>
      </c>
      <c r="P355" t="s" s="80">
        <v>762</v>
      </c>
      <c r="Q355" s="100"/>
      <c r="R355" t="s" s="137">
        <v>743</v>
      </c>
      <c r="S355" s="77"/>
    </row>
    <row r="356" ht="13.65" customHeight="1">
      <c r="A356" s="84">
        <v>45748</v>
      </c>
      <c r="B356" t="s" s="85">
        <v>41</v>
      </c>
      <c r="C356" t="s" s="86">
        <v>796</v>
      </c>
      <c r="D356" s="138">
        <v>64</v>
      </c>
      <c r="E356" t="s" s="85">
        <v>38</v>
      </c>
      <c r="F356" t="s" s="86">
        <v>368</v>
      </c>
      <c r="G356" s="139">
        <v>198</v>
      </c>
      <c r="H356" t="s" s="140">
        <v>121</v>
      </c>
      <c r="I356" t="s" s="141">
        <v>121</v>
      </c>
      <c r="J356" t="s" s="141">
        <v>97</v>
      </c>
      <c r="K356" t="str" s="142" cm="1">
        <f t="array" ref="K356">IF(OR(H356="ריביות",AND(H356="דירה כצנלסון",G356&lt;0,ISNUMBER(SEARCH("הכנסה",F356)))),"הכנסה שסווגה מחדש",J356)</f>
        <v>שוטף</v>
      </c>
      <c r="L356" t="s" s="141">
        <v>741</v>
      </c>
      <c r="M356" s="143" cm="1">
        <f t="array" ref="M356">IF(L356="מאושר",IF(K356="הכנסה שסווגה מחדש",0,G356),0)</f>
        <v>198</v>
      </c>
      <c r="N356" s="143" cm="1">
        <f t="array" ref="N356">IF(K356="שוטף",M356,0)</f>
        <v>198</v>
      </c>
      <c r="O356" s="143" cm="1">
        <f t="array" ref="O356">IF(K356="הכנסה שסווגה מחדש",-G356,0)</f>
        <v>0</v>
      </c>
      <c r="P356" t="s" s="86">
        <v>762</v>
      </c>
      <c r="Q356" s="99"/>
      <c r="R356" t="s" s="144">
        <v>743</v>
      </c>
      <c r="S356" s="77"/>
    </row>
    <row r="357" ht="13.65" customHeight="1">
      <c r="A357" s="78">
        <v>45748</v>
      </c>
      <c r="B357" t="s" s="79">
        <v>41</v>
      </c>
      <c r="C357" t="s" s="80">
        <v>796</v>
      </c>
      <c r="D357" s="131">
        <v>65</v>
      </c>
      <c r="E357" t="s" s="79">
        <v>789</v>
      </c>
      <c r="F357" t="s" s="80">
        <v>355</v>
      </c>
      <c r="G357" s="132">
        <v>13</v>
      </c>
      <c r="H357" t="s" s="133">
        <v>113</v>
      </c>
      <c r="I357" t="s" s="134">
        <v>113</v>
      </c>
      <c r="J357" t="s" s="134">
        <v>97</v>
      </c>
      <c r="K357" t="str" s="135" cm="1">
        <f t="array" ref="K357">IF(OR(H357="ריביות",AND(H357="דירה כצנלסון",G357&lt;0,ISNUMBER(SEARCH("הכנסה",F357)))),"הכנסה שסווגה מחדש",J357)</f>
        <v>שוטף</v>
      </c>
      <c r="L357" t="s" s="134">
        <v>741</v>
      </c>
      <c r="M357" s="136" cm="1">
        <f t="array" ref="M357">IF(L357="מאושר",IF(K357="הכנסה שסווגה מחדש",0,G357),0)</f>
        <v>13</v>
      </c>
      <c r="N357" s="136" cm="1">
        <f t="array" ref="N357">IF(K357="שוטף",M357,0)</f>
        <v>13</v>
      </c>
      <c r="O357" s="136" cm="1">
        <f t="array" ref="O357">IF(K357="הכנסה שסווגה מחדש",-G357,0)</f>
        <v>0</v>
      </c>
      <c r="P357" t="s" s="80">
        <v>762</v>
      </c>
      <c r="Q357" s="100"/>
      <c r="R357" t="s" s="137">
        <v>743</v>
      </c>
      <c r="S357" s="77"/>
    </row>
    <row r="358" ht="13.65" customHeight="1">
      <c r="A358" s="84">
        <v>45748</v>
      </c>
      <c r="B358" t="s" s="85">
        <v>41</v>
      </c>
      <c r="C358" t="s" s="86">
        <v>796</v>
      </c>
      <c r="D358" s="138">
        <v>66</v>
      </c>
      <c r="E358" t="s" s="85">
        <v>788</v>
      </c>
      <c r="F358" t="s" s="86">
        <v>341</v>
      </c>
      <c r="G358" s="139">
        <v>575</v>
      </c>
      <c r="H358" t="s" s="140">
        <v>279</v>
      </c>
      <c r="I358" t="s" s="141">
        <v>99</v>
      </c>
      <c r="J358" t="s" s="141">
        <v>100</v>
      </c>
      <c r="K358" t="str" s="142" cm="1">
        <f t="array" ref="K358">IF(OR(H358="ריביות",AND(H358="דירה כצנלסון",G358&lt;0,ISNUMBER(SEARCH("הכנסה",F358)))),"הכנסה שסווגה מחדש",J358)</f>
        <v>חריג/נכס</v>
      </c>
      <c r="L358" t="s" s="141">
        <v>741</v>
      </c>
      <c r="M358" s="143" cm="1">
        <f t="array" ref="M358">IF(L358="מאושר",IF(K358="הכנסה שסווגה מחדש",0,G358),0)</f>
        <v>575</v>
      </c>
      <c r="N358" s="143" cm="1">
        <f t="array" ref="N358">IF(K358="שוטף",M358,0)</f>
        <v>0</v>
      </c>
      <c r="O358" s="143" cm="1">
        <f t="array" ref="O358">IF(K358="הכנסה שסווגה מחדש",-G358,0)</f>
        <v>0</v>
      </c>
      <c r="P358" t="s" s="86">
        <v>762</v>
      </c>
      <c r="Q358" s="99"/>
      <c r="R358" t="s" s="144">
        <v>743</v>
      </c>
      <c r="S358" s="77"/>
    </row>
    <row r="359" ht="13.65" customHeight="1">
      <c r="A359" s="78">
        <v>45748</v>
      </c>
      <c r="B359" t="s" s="79">
        <v>41</v>
      </c>
      <c r="C359" t="s" s="80">
        <v>796</v>
      </c>
      <c r="D359" s="131">
        <v>67</v>
      </c>
      <c r="E359" t="s" s="79">
        <v>771</v>
      </c>
      <c r="F359" t="s" s="80">
        <v>213</v>
      </c>
      <c r="G359" s="132">
        <v>193</v>
      </c>
      <c r="H359" t="s" s="133">
        <v>115</v>
      </c>
      <c r="I359" t="s" s="134">
        <v>115</v>
      </c>
      <c r="J359" t="s" s="134">
        <v>97</v>
      </c>
      <c r="K359" t="str" s="135" cm="1">
        <f t="array" ref="K359">IF(OR(H359="ריביות",AND(H359="דירה כצנלסון",G359&lt;0,ISNUMBER(SEARCH("הכנסה",F359)))),"הכנסה שסווגה מחדש",J359)</f>
        <v>שוטף</v>
      </c>
      <c r="L359" t="s" s="134">
        <v>741</v>
      </c>
      <c r="M359" s="136" cm="1">
        <f t="array" ref="M359">IF(L359="מאושר",IF(K359="הכנסה שסווגה מחדש",0,G359),0)</f>
        <v>193</v>
      </c>
      <c r="N359" s="136" cm="1">
        <f t="array" ref="N359">IF(K359="שוטף",M359,0)</f>
        <v>193</v>
      </c>
      <c r="O359" s="136" cm="1">
        <f t="array" ref="O359">IF(K359="הכנסה שסווגה מחדש",-G359,0)</f>
        <v>0</v>
      </c>
      <c r="P359" t="s" s="80">
        <v>762</v>
      </c>
      <c r="Q359" s="100"/>
      <c r="R359" t="s" s="137">
        <v>743</v>
      </c>
      <c r="S359" s="77"/>
    </row>
    <row r="360" ht="13.65" customHeight="1">
      <c r="A360" s="84">
        <v>45748</v>
      </c>
      <c r="B360" t="s" s="85">
        <v>41</v>
      </c>
      <c r="C360" t="s" s="86">
        <v>796</v>
      </c>
      <c r="D360" s="138">
        <v>68</v>
      </c>
      <c r="E360" t="s" s="85">
        <v>772</v>
      </c>
      <c r="F360" t="s" s="86">
        <v>249</v>
      </c>
      <c r="G360" s="139">
        <v>350</v>
      </c>
      <c r="H360" t="s" s="140">
        <v>105</v>
      </c>
      <c r="I360" t="s" s="141">
        <v>105</v>
      </c>
      <c r="J360" t="s" s="141">
        <v>103</v>
      </c>
      <c r="K360" t="str" s="142" cm="1">
        <f t="array" ref="K360">IF(OR(H360="ריביות",AND(H360="דירה כצנלסון",G360&lt;0,ISNUMBER(SEARCH("הכנסה",F360)))),"הכנסה שסווגה מחדש",J360)</f>
        <v>חריג</v>
      </c>
      <c r="L360" t="s" s="141">
        <v>741</v>
      </c>
      <c r="M360" s="143" cm="1">
        <f t="array" ref="M360">IF(L360="מאושר",IF(K360="הכנסה שסווגה מחדש",0,G360),0)</f>
        <v>350</v>
      </c>
      <c r="N360" s="143" cm="1">
        <f t="array" ref="N360">IF(K360="שוטף",M360,0)</f>
        <v>0</v>
      </c>
      <c r="O360" s="143" cm="1">
        <f t="array" ref="O360">IF(K360="הכנסה שסווגה מחדש",-G360,0)</f>
        <v>0</v>
      </c>
      <c r="P360" t="s" s="86">
        <v>762</v>
      </c>
      <c r="Q360" s="99"/>
      <c r="R360" t="s" s="144">
        <v>743</v>
      </c>
      <c r="S360" s="77"/>
    </row>
    <row r="361" ht="13.65" customHeight="1">
      <c r="A361" s="78">
        <v>45748</v>
      </c>
      <c r="B361" t="s" s="79">
        <v>41</v>
      </c>
      <c r="C361" t="s" s="80">
        <v>796</v>
      </c>
      <c r="D361" s="131">
        <v>69</v>
      </c>
      <c r="E361" t="s" s="79">
        <v>773</v>
      </c>
      <c r="F361" t="s" s="80">
        <v>607</v>
      </c>
      <c r="G361" s="132">
        <v>50</v>
      </c>
      <c r="H361" t="s" s="133">
        <v>121</v>
      </c>
      <c r="I361" t="s" s="134">
        <v>121</v>
      </c>
      <c r="J361" t="s" s="134">
        <v>97</v>
      </c>
      <c r="K361" t="str" s="135" cm="1">
        <f t="array" ref="K361">IF(OR(H361="ריביות",AND(H361="דירה כצנלסון",G361&lt;0,ISNUMBER(SEARCH("הכנסה",F361)))),"הכנסה שסווגה מחדש",J361)</f>
        <v>שוטף</v>
      </c>
      <c r="L361" t="s" s="134">
        <v>741</v>
      </c>
      <c r="M361" s="136" cm="1">
        <f t="array" ref="M361">IF(L361="מאושר",IF(K361="הכנסה שסווגה מחדש",0,G361),0)</f>
        <v>50</v>
      </c>
      <c r="N361" s="136" cm="1">
        <f t="array" ref="N361">IF(K361="שוטף",M361,0)</f>
        <v>50</v>
      </c>
      <c r="O361" s="136" cm="1">
        <f t="array" ref="O361">IF(K361="הכנסה שסווגה מחדש",-G361,0)</f>
        <v>0</v>
      </c>
      <c r="P361" t="s" s="80">
        <v>762</v>
      </c>
      <c r="Q361" s="100"/>
      <c r="R361" t="s" s="137">
        <v>743</v>
      </c>
      <c r="S361" s="77"/>
    </row>
    <row r="362" ht="13.65" customHeight="1">
      <c r="A362" s="84">
        <v>45748</v>
      </c>
      <c r="B362" t="s" s="85">
        <v>41</v>
      </c>
      <c r="C362" t="s" s="86">
        <v>796</v>
      </c>
      <c r="D362" s="138">
        <v>70</v>
      </c>
      <c r="E362" t="s" s="85">
        <v>773</v>
      </c>
      <c r="F362" t="s" s="86">
        <v>267</v>
      </c>
      <c r="G362" s="139">
        <v>7</v>
      </c>
      <c r="H362" t="s" s="140">
        <v>109</v>
      </c>
      <c r="I362" t="s" s="141">
        <v>109</v>
      </c>
      <c r="J362" t="s" s="141">
        <v>97</v>
      </c>
      <c r="K362" t="str" s="142" cm="1">
        <f t="array" ref="K362">IF(OR(H362="ריביות",AND(H362="דירה כצנלסון",G362&lt;0,ISNUMBER(SEARCH("הכנסה",F362)))),"הכנסה שסווגה מחדש",J362)</f>
        <v>שוטף</v>
      </c>
      <c r="L362" t="s" s="141">
        <v>741</v>
      </c>
      <c r="M362" s="143" cm="1">
        <f t="array" ref="M362">IF(L362="מאושר",IF(K362="הכנסה שסווגה מחדש",0,G362),0)</f>
        <v>7</v>
      </c>
      <c r="N362" s="143" cm="1">
        <f t="array" ref="N362">IF(K362="שוטף",M362,0)</f>
        <v>7</v>
      </c>
      <c r="O362" s="143" cm="1">
        <f t="array" ref="O362">IF(K362="הכנסה שסווגה מחדש",-G362,0)</f>
        <v>0</v>
      </c>
      <c r="P362" t="s" s="86">
        <v>762</v>
      </c>
      <c r="Q362" s="99"/>
      <c r="R362" t="s" s="144">
        <v>743</v>
      </c>
      <c r="S362" s="77"/>
    </row>
    <row r="363" ht="13.65" customHeight="1">
      <c r="A363" s="78">
        <v>45748</v>
      </c>
      <c r="B363" t="s" s="79">
        <v>41</v>
      </c>
      <c r="C363" t="s" s="80">
        <v>796</v>
      </c>
      <c r="D363" s="131">
        <v>71</v>
      </c>
      <c r="E363" t="s" s="79">
        <v>761</v>
      </c>
      <c r="F363" t="s" s="80">
        <v>254</v>
      </c>
      <c r="G363" s="132">
        <v>92</v>
      </c>
      <c r="H363" t="s" s="133">
        <v>109</v>
      </c>
      <c r="I363" t="s" s="134">
        <v>109</v>
      </c>
      <c r="J363" t="s" s="134">
        <v>97</v>
      </c>
      <c r="K363" t="str" s="135" cm="1">
        <f t="array" ref="K363">IF(OR(H363="ריביות",AND(H363="דירה כצנלסון",G363&lt;0,ISNUMBER(SEARCH("הכנסה",F363)))),"הכנסה שסווגה מחדש",J363)</f>
        <v>שוטף</v>
      </c>
      <c r="L363" t="s" s="134">
        <v>741</v>
      </c>
      <c r="M363" s="136" cm="1">
        <f t="array" ref="M363">IF(L363="מאושר",IF(K363="הכנסה שסווגה מחדש",0,G363),0)</f>
        <v>92</v>
      </c>
      <c r="N363" s="136" cm="1">
        <f t="array" ref="N363">IF(K363="שוטף",M363,0)</f>
        <v>92</v>
      </c>
      <c r="O363" s="136" cm="1">
        <f t="array" ref="O363">IF(K363="הכנסה שסווגה מחדש",-G363,0)</f>
        <v>0</v>
      </c>
      <c r="P363" t="s" s="80">
        <v>762</v>
      </c>
      <c r="Q363" s="100"/>
      <c r="R363" t="s" s="137">
        <v>743</v>
      </c>
      <c r="S363" s="77"/>
    </row>
    <row r="364" ht="13.65" customHeight="1">
      <c r="A364" s="84">
        <v>45748</v>
      </c>
      <c r="B364" t="s" s="85">
        <v>41</v>
      </c>
      <c r="C364" t="s" s="86">
        <v>796</v>
      </c>
      <c r="D364" s="138">
        <v>72</v>
      </c>
      <c r="E364" t="s" s="85">
        <v>755</v>
      </c>
      <c r="F364" t="s" s="86">
        <v>231</v>
      </c>
      <c r="G364" s="139">
        <v>25</v>
      </c>
      <c r="H364" t="s" s="140">
        <v>113</v>
      </c>
      <c r="I364" t="s" s="141">
        <v>113</v>
      </c>
      <c r="J364" t="s" s="141">
        <v>97</v>
      </c>
      <c r="K364" t="str" s="142" cm="1">
        <f t="array" ref="K364">IF(OR(H364="ריביות",AND(H364="דירה כצנלסון",G364&lt;0,ISNUMBER(SEARCH("הכנסה",F364)))),"הכנסה שסווגה מחדש",J364)</f>
        <v>שוטף</v>
      </c>
      <c r="L364" t="s" s="141">
        <v>741</v>
      </c>
      <c r="M364" s="143" cm="1">
        <f t="array" ref="M364">IF(L364="מאושר",IF(K364="הכנסה שסווגה מחדש",0,G364),0)</f>
        <v>25</v>
      </c>
      <c r="N364" s="143" cm="1">
        <f t="array" ref="N364">IF(K364="שוטף",M364,0)</f>
        <v>25</v>
      </c>
      <c r="O364" s="143" cm="1">
        <f t="array" ref="O364">IF(K364="הכנסה שסווגה מחדש",-G364,0)</f>
        <v>0</v>
      </c>
      <c r="P364" t="s" s="86">
        <v>762</v>
      </c>
      <c r="Q364" s="99"/>
      <c r="R364" t="s" s="144">
        <v>743</v>
      </c>
      <c r="S364" s="77"/>
    </row>
    <row r="365" ht="13.65" customHeight="1">
      <c r="A365" s="78">
        <v>45748</v>
      </c>
      <c r="B365" t="s" s="79">
        <v>41</v>
      </c>
      <c r="C365" t="s" s="80">
        <v>796</v>
      </c>
      <c r="D365" s="131">
        <v>73</v>
      </c>
      <c r="E365" t="s" s="79">
        <v>765</v>
      </c>
      <c r="F365" t="s" s="80">
        <v>288</v>
      </c>
      <c r="G365" s="132">
        <v>329</v>
      </c>
      <c r="H365" t="s" s="133">
        <v>105</v>
      </c>
      <c r="I365" t="s" s="134">
        <v>105</v>
      </c>
      <c r="J365" t="s" s="134">
        <v>103</v>
      </c>
      <c r="K365" t="str" s="135" cm="1">
        <f t="array" ref="K365">IF(OR(H365="ריביות",AND(H365="דירה כצנלסון",G365&lt;0,ISNUMBER(SEARCH("הכנסה",F365)))),"הכנסה שסווגה מחדש",J365)</f>
        <v>חריג</v>
      </c>
      <c r="L365" t="s" s="134">
        <v>741</v>
      </c>
      <c r="M365" s="136" cm="1">
        <f t="array" ref="M365">IF(L365="מאושר",IF(K365="הכנסה שסווגה מחדש",0,G365),0)</f>
        <v>329</v>
      </c>
      <c r="N365" s="136" cm="1">
        <f t="array" ref="N365">IF(K365="שוטף",M365,0)</f>
        <v>0</v>
      </c>
      <c r="O365" s="136" cm="1">
        <f t="array" ref="O365">IF(K365="הכנסה שסווגה מחדש",-G365,0)</f>
        <v>0</v>
      </c>
      <c r="P365" t="s" s="80">
        <v>762</v>
      </c>
      <c r="Q365" s="100"/>
      <c r="R365" t="s" s="137">
        <v>743</v>
      </c>
      <c r="S365" s="77"/>
    </row>
    <row r="366" ht="13.65" customHeight="1">
      <c r="A366" s="84">
        <v>45748</v>
      </c>
      <c r="B366" t="s" s="85">
        <v>41</v>
      </c>
      <c r="C366" t="s" s="86">
        <v>796</v>
      </c>
      <c r="D366" s="138">
        <v>74</v>
      </c>
      <c r="E366" t="s" s="85">
        <v>765</v>
      </c>
      <c r="F366" t="s" s="86">
        <v>213</v>
      </c>
      <c r="G366" s="139">
        <v>223</v>
      </c>
      <c r="H366" t="s" s="140">
        <v>115</v>
      </c>
      <c r="I366" t="s" s="141">
        <v>115</v>
      </c>
      <c r="J366" t="s" s="141">
        <v>97</v>
      </c>
      <c r="K366" t="str" s="142" cm="1">
        <f t="array" ref="K366">IF(OR(H366="ריביות",AND(H366="דירה כצנלסון",G366&lt;0,ISNUMBER(SEARCH("הכנסה",F366)))),"הכנסה שסווגה מחדש",J366)</f>
        <v>שוטף</v>
      </c>
      <c r="L366" t="s" s="141">
        <v>741</v>
      </c>
      <c r="M366" s="143" cm="1">
        <f t="array" ref="M366">IF(L366="מאושר",IF(K366="הכנסה שסווגה מחדש",0,G366),0)</f>
        <v>223</v>
      </c>
      <c r="N366" s="143" cm="1">
        <f t="array" ref="N366">IF(K366="שוטף",M366,0)</f>
        <v>223</v>
      </c>
      <c r="O366" s="143" cm="1">
        <f t="array" ref="O366">IF(K366="הכנסה שסווגה מחדש",-G366,0)</f>
        <v>0</v>
      </c>
      <c r="P366" t="s" s="86">
        <v>762</v>
      </c>
      <c r="Q366" s="99"/>
      <c r="R366" t="s" s="144">
        <v>743</v>
      </c>
      <c r="S366" s="77"/>
    </row>
    <row r="367" ht="13.65" customHeight="1">
      <c r="A367" s="78">
        <v>45748</v>
      </c>
      <c r="B367" t="s" s="79">
        <v>41</v>
      </c>
      <c r="C367" t="s" s="80">
        <v>796</v>
      </c>
      <c r="D367" s="131">
        <v>75</v>
      </c>
      <c r="E367" t="s" s="79">
        <v>765</v>
      </c>
      <c r="F367" t="s" s="80">
        <v>277</v>
      </c>
      <c r="G367" s="132">
        <v>144</v>
      </c>
      <c r="H367" t="s" s="133">
        <v>115</v>
      </c>
      <c r="I367" t="s" s="134">
        <v>115</v>
      </c>
      <c r="J367" t="s" s="134">
        <v>97</v>
      </c>
      <c r="K367" t="str" s="135" cm="1">
        <f t="array" ref="K367">IF(OR(H367="ריביות",AND(H367="דירה כצנלסון",G367&lt;0,ISNUMBER(SEARCH("הכנסה",F367)))),"הכנסה שסווגה מחדש",J367)</f>
        <v>שוטף</v>
      </c>
      <c r="L367" t="s" s="134">
        <v>741</v>
      </c>
      <c r="M367" s="136" cm="1">
        <f t="array" ref="M367">IF(L367="מאושר",IF(K367="הכנסה שסווגה מחדש",0,G367),0)</f>
        <v>144</v>
      </c>
      <c r="N367" s="136" cm="1">
        <f t="array" ref="N367">IF(K367="שוטף",M367,0)</f>
        <v>144</v>
      </c>
      <c r="O367" s="136" cm="1">
        <f t="array" ref="O367">IF(K367="הכנסה שסווגה מחדש",-G367,0)</f>
        <v>0</v>
      </c>
      <c r="P367" t="s" s="80">
        <v>762</v>
      </c>
      <c r="Q367" s="100"/>
      <c r="R367" t="s" s="137">
        <v>743</v>
      </c>
      <c r="S367" s="77"/>
    </row>
    <row r="368" ht="13.65" customHeight="1">
      <c r="A368" s="84">
        <v>45748</v>
      </c>
      <c r="B368" t="s" s="85">
        <v>41</v>
      </c>
      <c r="C368" t="s" s="86">
        <v>796</v>
      </c>
      <c r="D368" s="138">
        <v>76</v>
      </c>
      <c r="E368" t="s" s="85">
        <v>759</v>
      </c>
      <c r="F368" t="s" s="86">
        <v>355</v>
      </c>
      <c r="G368" s="139">
        <v>72</v>
      </c>
      <c r="H368" t="s" s="140">
        <v>113</v>
      </c>
      <c r="I368" t="s" s="141">
        <v>113</v>
      </c>
      <c r="J368" t="s" s="141">
        <v>97</v>
      </c>
      <c r="K368" t="str" s="142" cm="1">
        <f t="array" ref="K368">IF(OR(H368="ריביות",AND(H368="דירה כצנלסון",G368&lt;0,ISNUMBER(SEARCH("הכנסה",F368)))),"הכנסה שסווגה מחדש",J368)</f>
        <v>שוטף</v>
      </c>
      <c r="L368" t="s" s="141">
        <v>741</v>
      </c>
      <c r="M368" s="143" cm="1">
        <f t="array" ref="M368">IF(L368="מאושר",IF(K368="הכנסה שסווגה מחדש",0,G368),0)</f>
        <v>72</v>
      </c>
      <c r="N368" s="143" cm="1">
        <f t="array" ref="N368">IF(K368="שוטף",M368,0)</f>
        <v>72</v>
      </c>
      <c r="O368" s="143" cm="1">
        <f t="array" ref="O368">IF(K368="הכנסה שסווגה מחדש",-G368,0)</f>
        <v>0</v>
      </c>
      <c r="P368" t="s" s="86">
        <v>762</v>
      </c>
      <c r="Q368" s="99"/>
      <c r="R368" t="s" s="144">
        <v>743</v>
      </c>
      <c r="S368" s="77"/>
    </row>
    <row r="369" ht="13.65" customHeight="1">
      <c r="A369" s="78">
        <v>45748</v>
      </c>
      <c r="B369" t="s" s="79">
        <v>41</v>
      </c>
      <c r="C369" t="s" s="80">
        <v>796</v>
      </c>
      <c r="D369" s="131">
        <v>77</v>
      </c>
      <c r="E369" t="s" s="79">
        <v>775</v>
      </c>
      <c r="F369" t="s" s="80">
        <v>685</v>
      </c>
      <c r="G369" s="132">
        <v>15</v>
      </c>
      <c r="H369" t="s" s="133">
        <v>105</v>
      </c>
      <c r="I369" t="s" s="134">
        <v>105</v>
      </c>
      <c r="J369" t="s" s="134">
        <v>103</v>
      </c>
      <c r="K369" t="str" s="135" cm="1">
        <f t="array" ref="K369">IF(OR(H369="ריביות",AND(H369="דירה כצנלסון",G369&lt;0,ISNUMBER(SEARCH("הכנסה",F369)))),"הכנסה שסווגה מחדש",J369)</f>
        <v>חריג</v>
      </c>
      <c r="L369" t="s" s="134">
        <v>741</v>
      </c>
      <c r="M369" s="136" cm="1">
        <f t="array" ref="M369">IF(L369="מאושר",IF(K369="הכנסה שסווגה מחדש",0,G369),0)</f>
        <v>15</v>
      </c>
      <c r="N369" s="136" cm="1">
        <f t="array" ref="N369">IF(K369="שוטף",M369,0)</f>
        <v>0</v>
      </c>
      <c r="O369" s="136" cm="1">
        <f t="array" ref="O369">IF(K369="הכנסה שסווגה מחדש",-G369,0)</f>
        <v>0</v>
      </c>
      <c r="P369" t="s" s="80">
        <v>762</v>
      </c>
      <c r="Q369" s="100"/>
      <c r="R369" t="s" s="137">
        <v>743</v>
      </c>
      <c r="S369" s="77"/>
    </row>
    <row r="370" ht="13.65" customHeight="1">
      <c r="A370" s="84">
        <v>45748</v>
      </c>
      <c r="B370" t="s" s="85">
        <v>41</v>
      </c>
      <c r="C370" t="s" s="86">
        <v>796</v>
      </c>
      <c r="D370" s="138">
        <v>78</v>
      </c>
      <c r="E370" t="s" s="85">
        <v>764</v>
      </c>
      <c r="F370" t="s" s="86">
        <v>608</v>
      </c>
      <c r="G370" s="139">
        <v>50</v>
      </c>
      <c r="H370" t="s" s="140">
        <v>105</v>
      </c>
      <c r="I370" t="s" s="141">
        <v>105</v>
      </c>
      <c r="J370" t="s" s="141">
        <v>103</v>
      </c>
      <c r="K370" t="str" s="142" cm="1">
        <f t="array" ref="K370">IF(OR(H370="ריביות",AND(H370="דירה כצנלסון",G370&lt;0,ISNUMBER(SEARCH("הכנסה",F370)))),"הכנסה שסווגה מחדש",J370)</f>
        <v>חריג</v>
      </c>
      <c r="L370" t="s" s="141">
        <v>741</v>
      </c>
      <c r="M370" s="143" cm="1">
        <f t="array" ref="M370">IF(L370="מאושר",IF(K370="הכנסה שסווגה מחדש",0,G370),0)</f>
        <v>50</v>
      </c>
      <c r="N370" s="143" cm="1">
        <f t="array" ref="N370">IF(K370="שוטף",M370,0)</f>
        <v>0</v>
      </c>
      <c r="O370" s="143" cm="1">
        <f t="array" ref="O370">IF(K370="הכנסה שסווגה מחדש",-G370,0)</f>
        <v>0</v>
      </c>
      <c r="P370" t="s" s="86">
        <v>762</v>
      </c>
      <c r="Q370" s="99"/>
      <c r="R370" t="s" s="144">
        <v>743</v>
      </c>
      <c r="S370" s="77"/>
    </row>
    <row r="371" ht="13.65" customHeight="1">
      <c r="A371" s="78">
        <v>45748</v>
      </c>
      <c r="B371" t="s" s="79">
        <v>41</v>
      </c>
      <c r="C371" t="s" s="80">
        <v>796</v>
      </c>
      <c r="D371" s="131">
        <v>79</v>
      </c>
      <c r="E371" t="s" s="79">
        <v>764</v>
      </c>
      <c r="F371" t="s" s="80">
        <v>633</v>
      </c>
      <c r="G371" s="132">
        <v>36</v>
      </c>
      <c r="H371" t="s" s="133">
        <v>105</v>
      </c>
      <c r="I371" t="s" s="134">
        <v>105</v>
      </c>
      <c r="J371" t="s" s="134">
        <v>103</v>
      </c>
      <c r="K371" t="str" s="135" cm="1">
        <f t="array" ref="K371">IF(OR(H371="ריביות",AND(H371="דירה כצנלסון",G371&lt;0,ISNUMBER(SEARCH("הכנסה",F371)))),"הכנסה שסווגה מחדש",J371)</f>
        <v>חריג</v>
      </c>
      <c r="L371" t="s" s="134">
        <v>741</v>
      </c>
      <c r="M371" s="136" cm="1">
        <f t="array" ref="M371">IF(L371="מאושר",IF(K371="הכנסה שסווגה מחדש",0,G371),0)</f>
        <v>36</v>
      </c>
      <c r="N371" s="136" cm="1">
        <f t="array" ref="N371">IF(K371="שוטף",M371,0)</f>
        <v>0</v>
      </c>
      <c r="O371" s="136" cm="1">
        <f t="array" ref="O371">IF(K371="הכנסה שסווגה מחדש",-G371,0)</f>
        <v>0</v>
      </c>
      <c r="P371" t="s" s="80">
        <v>762</v>
      </c>
      <c r="Q371" s="100"/>
      <c r="R371" t="s" s="137">
        <v>743</v>
      </c>
      <c r="S371" s="77"/>
    </row>
    <row r="372" ht="13.65" customHeight="1">
      <c r="A372" s="84">
        <v>45748</v>
      </c>
      <c r="B372" t="s" s="85">
        <v>41</v>
      </c>
      <c r="C372" t="s" s="86">
        <v>796</v>
      </c>
      <c r="D372" s="138">
        <v>80</v>
      </c>
      <c r="E372" t="s" s="85">
        <v>776</v>
      </c>
      <c r="F372" t="s" s="86">
        <v>661</v>
      </c>
      <c r="G372" s="139">
        <v>24</v>
      </c>
      <c r="H372" t="s" s="140">
        <v>117</v>
      </c>
      <c r="I372" t="s" s="141">
        <v>117</v>
      </c>
      <c r="J372" t="s" s="141">
        <v>97</v>
      </c>
      <c r="K372" t="str" s="142" cm="1">
        <f t="array" ref="K372">IF(OR(H372="ריביות",AND(H372="דירה כצנלסון",G372&lt;0,ISNUMBER(SEARCH("הכנסה",F372)))),"הכנסה שסווגה מחדש",J372)</f>
        <v>שוטף</v>
      </c>
      <c r="L372" t="s" s="141">
        <v>741</v>
      </c>
      <c r="M372" s="143" cm="1">
        <f t="array" ref="M372">IF(L372="מאושר",IF(K372="הכנסה שסווגה מחדש",0,G372),0)</f>
        <v>24</v>
      </c>
      <c r="N372" s="143" cm="1">
        <f t="array" ref="N372">IF(K372="שוטף",M372,0)</f>
        <v>24</v>
      </c>
      <c r="O372" s="143" cm="1">
        <f t="array" ref="O372">IF(K372="הכנסה שסווגה מחדש",-G372,0)</f>
        <v>0</v>
      </c>
      <c r="P372" t="s" s="86">
        <v>762</v>
      </c>
      <c r="Q372" s="99"/>
      <c r="R372" t="s" s="144">
        <v>743</v>
      </c>
      <c r="S372" s="77"/>
    </row>
    <row r="373" ht="13.65" customHeight="1">
      <c r="A373" s="78">
        <v>45748</v>
      </c>
      <c r="B373" t="s" s="79">
        <v>41</v>
      </c>
      <c r="C373" t="s" s="80">
        <v>796</v>
      </c>
      <c r="D373" s="131">
        <v>81</v>
      </c>
      <c r="E373" t="s" s="79">
        <v>776</v>
      </c>
      <c r="F373" t="s" s="80">
        <v>314</v>
      </c>
      <c r="G373" s="132">
        <v>74</v>
      </c>
      <c r="H373" t="s" s="133">
        <v>117</v>
      </c>
      <c r="I373" t="s" s="134">
        <v>117</v>
      </c>
      <c r="J373" t="s" s="134">
        <v>97</v>
      </c>
      <c r="K373" t="str" s="135" cm="1">
        <f t="array" ref="K373">IF(OR(H373="ריביות",AND(H373="דירה כצנלסון",G373&lt;0,ISNUMBER(SEARCH("הכנסה",F373)))),"הכנסה שסווגה מחדש",J373)</f>
        <v>שוטף</v>
      </c>
      <c r="L373" t="s" s="134">
        <v>741</v>
      </c>
      <c r="M373" s="136" cm="1">
        <f t="array" ref="M373">IF(L373="מאושר",IF(K373="הכנסה שסווגה מחדש",0,G373),0)</f>
        <v>74</v>
      </c>
      <c r="N373" s="136" cm="1">
        <f t="array" ref="N373">IF(K373="שוטף",M373,0)</f>
        <v>74</v>
      </c>
      <c r="O373" s="136" cm="1">
        <f t="array" ref="O373">IF(K373="הכנסה שסווגה מחדש",-G373,0)</f>
        <v>0</v>
      </c>
      <c r="P373" t="s" s="80">
        <v>762</v>
      </c>
      <c r="Q373" s="100"/>
      <c r="R373" t="s" s="137">
        <v>743</v>
      </c>
      <c r="S373" s="77"/>
    </row>
    <row r="374" ht="13.65" customHeight="1">
      <c r="A374" s="84">
        <v>45748</v>
      </c>
      <c r="B374" t="s" s="85">
        <v>41</v>
      </c>
      <c r="C374" t="s" s="86">
        <v>796</v>
      </c>
      <c r="D374" s="138">
        <v>82</v>
      </c>
      <c r="E374" t="s" s="85">
        <v>776</v>
      </c>
      <c r="F374" t="s" s="86">
        <v>682</v>
      </c>
      <c r="G374" s="139">
        <v>16</v>
      </c>
      <c r="H374" t="s" s="140">
        <v>113</v>
      </c>
      <c r="I374" t="s" s="141">
        <v>113</v>
      </c>
      <c r="J374" t="s" s="141">
        <v>97</v>
      </c>
      <c r="K374" t="str" s="142" cm="1">
        <f t="array" ref="K374">IF(OR(H374="ריביות",AND(H374="דירה כצנלסון",G374&lt;0,ISNUMBER(SEARCH("הכנסה",F374)))),"הכנסה שסווגה מחדש",J374)</f>
        <v>שוטף</v>
      </c>
      <c r="L374" t="s" s="141">
        <v>741</v>
      </c>
      <c r="M374" s="143" cm="1">
        <f t="array" ref="M374">IF(L374="מאושר",IF(K374="הכנסה שסווגה מחדש",0,G374),0)</f>
        <v>16</v>
      </c>
      <c r="N374" s="143" cm="1">
        <f t="array" ref="N374">IF(K374="שוטף",M374,0)</f>
        <v>16</v>
      </c>
      <c r="O374" s="143" cm="1">
        <f t="array" ref="O374">IF(K374="הכנסה שסווגה מחדש",-G374,0)</f>
        <v>0</v>
      </c>
      <c r="P374" t="s" s="86">
        <v>781</v>
      </c>
      <c r="Q374" s="99"/>
      <c r="R374" t="s" s="144">
        <v>743</v>
      </c>
      <c r="S374" s="77"/>
    </row>
    <row r="375" ht="13.65" customHeight="1">
      <c r="A375" s="78">
        <v>45748</v>
      </c>
      <c r="B375" t="s" s="79">
        <v>41</v>
      </c>
      <c r="C375" t="s" s="80">
        <v>796</v>
      </c>
      <c r="D375" s="131">
        <v>83</v>
      </c>
      <c r="E375" t="s" s="79">
        <v>30</v>
      </c>
      <c r="F375" t="s" s="80">
        <v>295</v>
      </c>
      <c r="G375" s="132">
        <v>506</v>
      </c>
      <c r="H375" t="s" s="133">
        <v>109</v>
      </c>
      <c r="I375" t="s" s="134">
        <v>109</v>
      </c>
      <c r="J375" t="s" s="134">
        <v>97</v>
      </c>
      <c r="K375" t="str" s="135" cm="1">
        <f t="array" ref="K375">IF(OR(H375="ריביות",AND(H375="דירה כצנלסון",G375&lt;0,ISNUMBER(SEARCH("הכנסה",F375)))),"הכנסה שסווגה מחדש",J375)</f>
        <v>שוטף</v>
      </c>
      <c r="L375" t="s" s="134">
        <v>741</v>
      </c>
      <c r="M375" s="136" cm="1">
        <f t="array" ref="M375">IF(L375="מאושר",IF(K375="הכנסה שסווגה מחדש",0,G375),0)</f>
        <v>506</v>
      </c>
      <c r="N375" s="136" cm="1">
        <f t="array" ref="N375">IF(K375="שוטף",M375,0)</f>
        <v>506</v>
      </c>
      <c r="O375" s="136" cm="1">
        <f t="array" ref="O375">IF(K375="הכנסה שסווגה מחדש",-G375,0)</f>
        <v>0</v>
      </c>
      <c r="P375" t="s" s="80">
        <v>780</v>
      </c>
      <c r="Q375" s="100"/>
      <c r="R375" t="s" s="137">
        <v>743</v>
      </c>
      <c r="S375" s="77"/>
    </row>
    <row r="376" ht="13.65" customHeight="1">
      <c r="A376" s="84">
        <v>45748</v>
      </c>
      <c r="B376" t="s" s="85">
        <v>41</v>
      </c>
      <c r="C376" t="s" s="86">
        <v>796</v>
      </c>
      <c r="D376" s="138">
        <v>84</v>
      </c>
      <c r="E376" t="s" s="85">
        <v>42</v>
      </c>
      <c r="F376" t="s" s="86">
        <v>295</v>
      </c>
      <c r="G376" s="139">
        <v>506</v>
      </c>
      <c r="H376" t="s" s="140">
        <v>109</v>
      </c>
      <c r="I376" t="s" s="141">
        <v>109</v>
      </c>
      <c r="J376" t="s" s="141">
        <v>97</v>
      </c>
      <c r="K376" t="str" s="142" cm="1">
        <f t="array" ref="K376">IF(OR(H376="ריביות",AND(H376="דירה כצנלסון",G376&lt;0,ISNUMBER(SEARCH("הכנסה",F376)))),"הכנסה שסווגה מחדש",J376)</f>
        <v>שוטף</v>
      </c>
      <c r="L376" t="s" s="141">
        <v>741</v>
      </c>
      <c r="M376" s="143" cm="1">
        <f t="array" ref="M376">IF(L376="מאושר",IF(K376="הכנסה שסווגה מחדש",0,G376),0)</f>
        <v>506</v>
      </c>
      <c r="N376" s="143" cm="1">
        <f t="array" ref="N376">IF(K376="שוטף",M376,0)</f>
        <v>506</v>
      </c>
      <c r="O376" s="143" cm="1">
        <f t="array" ref="O376">IF(K376="הכנסה שסווגה מחדש",-G376,0)</f>
        <v>0</v>
      </c>
      <c r="P376" t="s" s="86">
        <v>780</v>
      </c>
      <c r="Q376" s="99"/>
      <c r="R376" t="s" s="144">
        <v>743</v>
      </c>
      <c r="S376" s="77"/>
    </row>
    <row r="377" ht="13.65" customHeight="1">
      <c r="A377" s="78">
        <v>45748</v>
      </c>
      <c r="B377" t="s" s="79">
        <v>41</v>
      </c>
      <c r="C377" t="s" s="80">
        <v>796</v>
      </c>
      <c r="D377" s="131">
        <v>85</v>
      </c>
      <c r="E377" t="s" s="79">
        <v>776</v>
      </c>
      <c r="F377" t="s" s="80">
        <v>489</v>
      </c>
      <c r="G377" s="132">
        <v>138</v>
      </c>
      <c r="H377" t="s" s="133">
        <v>121</v>
      </c>
      <c r="I377" t="s" s="134">
        <v>121</v>
      </c>
      <c r="J377" t="s" s="134">
        <v>97</v>
      </c>
      <c r="K377" t="str" s="135" cm="1">
        <f t="array" ref="K377">IF(OR(H377="ריביות",AND(H377="דירה כצנלסון",G377&lt;0,ISNUMBER(SEARCH("הכנסה",F377)))),"הכנסה שסווגה מחדש",J377)</f>
        <v>שוטף</v>
      </c>
      <c r="L377" t="s" s="134">
        <v>741</v>
      </c>
      <c r="M377" s="136" cm="1">
        <f t="array" ref="M377">IF(L377="מאושר",IF(K377="הכנסה שסווגה מחדש",0,G377),0)</f>
        <v>138</v>
      </c>
      <c r="N377" s="136" cm="1">
        <f t="array" ref="N377">IF(K377="שוטף",M377,0)</f>
        <v>138</v>
      </c>
      <c r="O377" s="136" cm="1">
        <f t="array" ref="O377">IF(K377="הכנסה שסווגה מחדש",-G377,0)</f>
        <v>0</v>
      </c>
      <c r="P377" t="s" s="80">
        <v>798</v>
      </c>
      <c r="Q377" s="100"/>
      <c r="R377" t="s" s="137">
        <v>743</v>
      </c>
      <c r="S377" s="77"/>
    </row>
    <row r="378" ht="13.65" customHeight="1">
      <c r="A378" s="84">
        <v>45748</v>
      </c>
      <c r="B378" t="s" s="85">
        <v>41</v>
      </c>
      <c r="C378" t="s" s="86">
        <v>796</v>
      </c>
      <c r="D378" s="138">
        <v>86</v>
      </c>
      <c r="E378" s="99"/>
      <c r="F378" t="s" s="86">
        <v>306</v>
      </c>
      <c r="G378" s="139">
        <v>926</v>
      </c>
      <c r="H378" t="s" s="140">
        <v>111</v>
      </c>
      <c r="I378" t="s" s="141">
        <v>111</v>
      </c>
      <c r="J378" t="s" s="141">
        <v>97</v>
      </c>
      <c r="K378" t="str" s="142" cm="1">
        <f t="array" ref="K378">IF(OR(H378="ריביות",AND(H378="דירה כצנלסון",G378&lt;0,ISNUMBER(SEARCH("הכנסה",F378)))),"הכנסה שסווגה מחדש",J378)</f>
        <v>שוטף</v>
      </c>
      <c r="L378" t="s" s="141">
        <v>741</v>
      </c>
      <c r="M378" s="143" cm="1">
        <f t="array" ref="M378">IF(L378="מאושר",IF(K378="הכנסה שסווגה מחדש",0,G378),0)</f>
        <v>926</v>
      </c>
      <c r="N378" s="143" cm="1">
        <f t="array" ref="N378">IF(K378="שוטף",M378,0)</f>
        <v>926</v>
      </c>
      <c r="O378" s="143" cm="1">
        <f t="array" ref="O378">IF(K378="הכנסה שסווגה מחדש",-G378,0)</f>
        <v>0</v>
      </c>
      <c r="P378" t="s" s="86">
        <v>760</v>
      </c>
      <c r="Q378" s="99"/>
      <c r="R378" t="s" s="144">
        <v>743</v>
      </c>
      <c r="S378" s="77"/>
    </row>
    <row r="379" ht="13.65" customHeight="1">
      <c r="A379" s="78">
        <v>45748</v>
      </c>
      <c r="B379" t="s" s="79">
        <v>41</v>
      </c>
      <c r="C379" t="s" s="80">
        <v>796</v>
      </c>
      <c r="D379" s="131">
        <v>87</v>
      </c>
      <c r="E379" s="100"/>
      <c r="F379" t="s" s="80">
        <v>364</v>
      </c>
      <c r="G379" s="132">
        <v>250</v>
      </c>
      <c r="H379" t="s" s="133">
        <v>757</v>
      </c>
      <c r="I379" t="s" s="134">
        <v>96</v>
      </c>
      <c r="J379" t="s" s="134">
        <v>97</v>
      </c>
      <c r="K379" t="str" s="135" cm="1">
        <f t="array" ref="K379">IF(OR(H379="ריביות",AND(H379="דירה כצנלסון",G379&lt;0,ISNUMBER(SEARCH("הכנסה",F379)))),"הכנסה שסווגה מחדש",J379)</f>
        <v>שוטף</v>
      </c>
      <c r="L379" t="s" s="134">
        <v>741</v>
      </c>
      <c r="M379" s="136" cm="1">
        <f t="array" ref="M379">IF(L379="מאושר",IF(K379="הכנסה שסווגה מחדש",0,G379),0)</f>
        <v>250</v>
      </c>
      <c r="N379" s="136" cm="1">
        <f t="array" ref="N379">IF(K379="שוטף",M379,0)</f>
        <v>250</v>
      </c>
      <c r="O379" s="136" cm="1">
        <f t="array" ref="O379">IF(K379="הכנסה שסווגה מחדש",-G379,0)</f>
        <v>0</v>
      </c>
      <c r="P379" t="s" s="80">
        <v>781</v>
      </c>
      <c r="Q379" s="100"/>
      <c r="R379" t="s" s="137">
        <v>743</v>
      </c>
      <c r="S379" s="77"/>
    </row>
    <row r="380" ht="13.65" customHeight="1">
      <c r="A380" s="84">
        <v>45748</v>
      </c>
      <c r="B380" t="s" s="85">
        <v>41</v>
      </c>
      <c r="C380" t="s" s="86">
        <v>796</v>
      </c>
      <c r="D380" s="138">
        <v>88</v>
      </c>
      <c r="E380" s="99"/>
      <c r="F380" t="s" s="86">
        <v>330</v>
      </c>
      <c r="G380" s="139">
        <v>650</v>
      </c>
      <c r="H380" t="s" s="140">
        <v>105</v>
      </c>
      <c r="I380" t="s" s="141">
        <v>105</v>
      </c>
      <c r="J380" t="s" s="141">
        <v>103</v>
      </c>
      <c r="K380" t="str" s="142" cm="1">
        <f t="array" ref="K380">IF(OR(H380="ריביות",AND(H380="דירה כצנלסון",G380&lt;0,ISNUMBER(SEARCH("הכנסה",F380)))),"הכנסה שסווגה מחדש",J380)</f>
        <v>חריג</v>
      </c>
      <c r="L380" t="s" s="141">
        <v>741</v>
      </c>
      <c r="M380" s="143" cm="1">
        <f t="array" ref="M380">IF(L380="מאושר",IF(K380="הכנסה שסווגה מחדש",0,G380),0)</f>
        <v>650</v>
      </c>
      <c r="N380" s="143" cm="1">
        <f t="array" ref="N380">IF(K380="שוטף",M380,0)</f>
        <v>0</v>
      </c>
      <c r="O380" s="143" cm="1">
        <f t="array" ref="O380">IF(K380="הכנסה שסווגה מחדש",-G380,0)</f>
        <v>0</v>
      </c>
      <c r="P380" t="s" s="86">
        <v>781</v>
      </c>
      <c r="Q380" s="99"/>
      <c r="R380" t="s" s="144">
        <v>743</v>
      </c>
      <c r="S380" s="77"/>
    </row>
    <row r="381" ht="13.65" customHeight="1">
      <c r="A381" s="78">
        <v>45748</v>
      </c>
      <c r="B381" t="s" s="79">
        <v>41</v>
      </c>
      <c r="C381" t="s" s="80">
        <v>796</v>
      </c>
      <c r="D381" s="131">
        <v>89</v>
      </c>
      <c r="E381" s="100"/>
      <c r="F381" t="s" s="80">
        <v>745</v>
      </c>
      <c r="G381" s="132">
        <v>-70</v>
      </c>
      <c r="H381" t="s" s="133">
        <v>746</v>
      </c>
      <c r="I381" t="s" s="134">
        <v>141</v>
      </c>
      <c r="J381" t="s" s="134">
        <v>142</v>
      </c>
      <c r="K381" t="str" s="135" cm="1">
        <f t="array" ref="K381">IF(OR(H381="ריביות",AND(H381="דירה כצנלסון",G381&lt;0,ISNUMBER(SEARCH("הכנסה",F381)))),"הכנסה שסווגה מחדש",J381)</f>
        <v>הכנסה שסווגה מחדש</v>
      </c>
      <c r="L381" t="s" s="134">
        <v>741</v>
      </c>
      <c r="M381" s="136" cm="1">
        <f t="array" ref="M381">IF(L381="מאושר",IF(K381="הכנסה שסווגה מחדש",0,G381),0)</f>
        <v>0</v>
      </c>
      <c r="N381" s="136" cm="1">
        <f t="array" ref="N381">IF(K381="שוטף",M381,0)</f>
        <v>0</v>
      </c>
      <c r="O381" s="136" cm="1">
        <f t="array" ref="O381">IF(K381="הכנסה שסווגה מחדש",-G381,0)</f>
        <v>70</v>
      </c>
      <c r="P381" t="s" s="79">
        <v>742</v>
      </c>
      <c r="Q381" s="100"/>
      <c r="R381" t="s" s="137">
        <v>743</v>
      </c>
      <c r="S381" s="77"/>
    </row>
    <row r="382" ht="13.65" customHeight="1">
      <c r="A382" s="84">
        <v>45748</v>
      </c>
      <c r="B382" t="s" s="85">
        <v>41</v>
      </c>
      <c r="C382" t="s" s="86">
        <v>796</v>
      </c>
      <c r="D382" s="138">
        <v>90</v>
      </c>
      <c r="E382" s="99"/>
      <c r="F382" t="s" s="86">
        <v>745</v>
      </c>
      <c r="G382" s="139">
        <v>-1567</v>
      </c>
      <c r="H382" t="s" s="140">
        <v>746</v>
      </c>
      <c r="I382" t="s" s="141">
        <v>141</v>
      </c>
      <c r="J382" t="s" s="141">
        <v>142</v>
      </c>
      <c r="K382" t="str" s="142" cm="1">
        <f t="array" ref="K382">IF(OR(H382="ריביות",AND(H382="דירה כצנלסון",G382&lt;0,ISNUMBER(SEARCH("הכנסה",F382)))),"הכנסה שסווגה מחדש",J382)</f>
        <v>הכנסה שסווגה מחדש</v>
      </c>
      <c r="L382" t="s" s="141">
        <v>741</v>
      </c>
      <c r="M382" s="143" cm="1">
        <f t="array" ref="M382">IF(L382="מאושר",IF(K382="הכנסה שסווגה מחדש",0,G382),0)</f>
        <v>0</v>
      </c>
      <c r="N382" s="143" cm="1">
        <f t="array" ref="N382">IF(K382="שוטף",M382,0)</f>
        <v>0</v>
      </c>
      <c r="O382" s="143" cm="1">
        <f t="array" ref="O382">IF(K382="הכנסה שסווגה מחדש",-G382,0)</f>
        <v>1567</v>
      </c>
      <c r="P382" t="s" s="85">
        <v>742</v>
      </c>
      <c r="Q382" s="99"/>
      <c r="R382" t="s" s="144">
        <v>743</v>
      </c>
      <c r="S382" s="77"/>
    </row>
    <row r="383" ht="13.65" customHeight="1">
      <c r="A383" s="78">
        <v>45778</v>
      </c>
      <c r="B383" t="s" s="79">
        <v>45</v>
      </c>
      <c r="C383" t="s" s="80">
        <v>799</v>
      </c>
      <c r="D383" s="131">
        <v>2</v>
      </c>
      <c r="E383" t="s" s="79">
        <v>772</v>
      </c>
      <c r="F383" t="s" s="80">
        <v>196</v>
      </c>
      <c r="G383" s="132">
        <v>7500</v>
      </c>
      <c r="H383" t="s" s="133">
        <v>763</v>
      </c>
      <c r="I383" t="s" s="134">
        <v>96</v>
      </c>
      <c r="J383" t="s" s="134">
        <v>97</v>
      </c>
      <c r="K383" t="str" s="135" cm="1">
        <f t="array" ref="K383">IF(OR(H383="ריביות",AND(H383="דירה כצנלסון",G383&lt;0,ISNUMBER(SEARCH("הכנסה",F383)))),"הכנסה שסווגה מחדש",J383)</f>
        <v>שוטף</v>
      </c>
      <c r="L383" t="s" s="134">
        <v>741</v>
      </c>
      <c r="M383" s="136" cm="1">
        <f t="array" ref="M383">IF(L383="מאושר",IF(K383="הכנסה שסווגה מחדש",0,G383),0)</f>
        <v>7500</v>
      </c>
      <c r="N383" s="136" cm="1">
        <f t="array" ref="N383">IF(K383="שוטף",M383,0)</f>
        <v>7500</v>
      </c>
      <c r="O383" s="136" cm="1">
        <f t="array" ref="O383">IF(K383="הכנסה שסווגה מחדש",-G383,0)</f>
        <v>0</v>
      </c>
      <c r="P383" t="s" s="80">
        <v>786</v>
      </c>
      <c r="Q383" s="100"/>
      <c r="R383" t="s" s="137">
        <v>743</v>
      </c>
      <c r="S383" s="77"/>
    </row>
    <row r="384" ht="13.65" customHeight="1">
      <c r="A384" s="84">
        <v>45778</v>
      </c>
      <c r="B384" t="s" s="85">
        <v>45</v>
      </c>
      <c r="C384" t="s" s="86">
        <v>799</v>
      </c>
      <c r="D384" s="138">
        <v>3</v>
      </c>
      <c r="E384" t="s" s="85">
        <v>751</v>
      </c>
      <c r="F384" t="s" s="86">
        <v>197</v>
      </c>
      <c r="G384" s="139">
        <v>6130</v>
      </c>
      <c r="H384" t="s" s="140">
        <v>279</v>
      </c>
      <c r="I384" t="s" s="141">
        <v>99</v>
      </c>
      <c r="J384" t="s" s="141">
        <v>100</v>
      </c>
      <c r="K384" t="str" s="142" cm="1">
        <f t="array" ref="K384">IF(OR(H384="ריביות",AND(H384="דירה כצנלסון",G384&lt;0,ISNUMBER(SEARCH("הכנסה",F384)))),"הכנסה שסווגה מחדש",J384)</f>
        <v>חריג/נכס</v>
      </c>
      <c r="L384" t="s" s="141">
        <v>741</v>
      </c>
      <c r="M384" s="143" cm="1">
        <f t="array" ref="M384">IF(L384="מאושר",IF(K384="הכנסה שסווגה מחדש",0,G384),0)</f>
        <v>6130</v>
      </c>
      <c r="N384" s="143" cm="1">
        <f t="array" ref="N384">IF(K384="שוטף",M384,0)</f>
        <v>0</v>
      </c>
      <c r="O384" s="143" cm="1">
        <f t="array" ref="O384">IF(K384="הכנסה שסווגה מחדש",-G384,0)</f>
        <v>0</v>
      </c>
      <c r="P384" t="s" s="86">
        <v>786</v>
      </c>
      <c r="Q384" s="99"/>
      <c r="R384" t="s" s="144">
        <v>743</v>
      </c>
      <c r="S384" s="77"/>
    </row>
    <row r="385" ht="13.65" customHeight="1">
      <c r="A385" s="78">
        <v>45778</v>
      </c>
      <c r="B385" t="s" s="79">
        <v>45</v>
      </c>
      <c r="C385" t="s" s="80">
        <v>799</v>
      </c>
      <c r="D385" s="131">
        <v>4</v>
      </c>
      <c r="E385" t="s" s="79">
        <v>788</v>
      </c>
      <c r="F385" t="s" s="80">
        <v>740</v>
      </c>
      <c r="G385" s="132">
        <v>-6500</v>
      </c>
      <c r="H385" t="s" s="133">
        <v>279</v>
      </c>
      <c r="I385" t="s" s="134">
        <v>99</v>
      </c>
      <c r="J385" t="s" s="134">
        <v>100</v>
      </c>
      <c r="K385" t="str" s="135" cm="1">
        <f t="array" ref="K385">IF(OR(H385="ריביות",AND(H385="דירה כצנלסון",G385&lt;0,ISNUMBER(SEARCH("הכנסה",F385)))),"הכנסה שסווגה מחדש",J385)</f>
        <v>הכנסה שסווגה מחדש</v>
      </c>
      <c r="L385" t="s" s="134">
        <v>741</v>
      </c>
      <c r="M385" s="136" cm="1">
        <f t="array" ref="M385">IF(L385="מאושר",IF(K385="הכנסה שסווגה מחדש",0,G385),0)</f>
        <v>0</v>
      </c>
      <c r="N385" s="136" cm="1">
        <f t="array" ref="N385">IF(K385="שוטף",M385,0)</f>
        <v>0</v>
      </c>
      <c r="O385" s="136" cm="1">
        <f t="array" ref="O385">IF(K385="הכנסה שסווגה מחדש",-G385,0)</f>
        <v>6500</v>
      </c>
      <c r="P385" t="s" s="79">
        <v>742</v>
      </c>
      <c r="Q385" s="100"/>
      <c r="R385" t="s" s="137">
        <v>743</v>
      </c>
      <c r="S385" s="77"/>
    </row>
    <row r="386" ht="13.65" customHeight="1">
      <c r="A386" s="84">
        <v>45778</v>
      </c>
      <c r="B386" t="s" s="85">
        <v>45</v>
      </c>
      <c r="C386" t="s" s="86">
        <v>799</v>
      </c>
      <c r="D386" s="138">
        <v>5</v>
      </c>
      <c r="E386" t="s" s="85">
        <v>791</v>
      </c>
      <c r="F386" t="s" s="86">
        <v>212</v>
      </c>
      <c r="G386" s="139">
        <v>0</v>
      </c>
      <c r="H386" t="s" s="140">
        <v>757</v>
      </c>
      <c r="I386" t="s" s="141">
        <v>96</v>
      </c>
      <c r="J386" t="s" s="141">
        <v>97</v>
      </c>
      <c r="K386" t="str" s="142" cm="1">
        <f t="array" ref="K386">IF(OR(H386="ריביות",AND(H386="דירה כצנלסון",G386&lt;0,ISNUMBER(SEARCH("הכנסה",F386)))),"הכנסה שסווגה מחדש",J386)</f>
        <v>שוטף</v>
      </c>
      <c r="L386" t="s" s="141">
        <v>741</v>
      </c>
      <c r="M386" s="143" cm="1">
        <f t="array" ref="M386">IF(L386="מאושר",IF(K386="הכנסה שסווגה מחדש",0,G386),0)</f>
        <v>0</v>
      </c>
      <c r="N386" s="143" cm="1">
        <f t="array" ref="N386">IF(K386="שוטף",M386,0)</f>
        <v>0</v>
      </c>
      <c r="O386" s="143" cm="1">
        <f t="array" ref="O386">IF(K386="הכנסה שסווגה מחדש",-G386,0)</f>
        <v>0</v>
      </c>
      <c r="P386" s="99"/>
      <c r="Q386" s="99"/>
      <c r="R386" t="s" s="144">
        <v>743</v>
      </c>
      <c r="S386" s="77"/>
    </row>
    <row r="387" ht="13.65" customHeight="1">
      <c r="A387" s="78">
        <v>45778</v>
      </c>
      <c r="B387" t="s" s="79">
        <v>45</v>
      </c>
      <c r="C387" t="s" s="80">
        <v>799</v>
      </c>
      <c r="D387" s="131">
        <v>6</v>
      </c>
      <c r="E387" t="s" s="79">
        <v>774</v>
      </c>
      <c r="F387" t="s" s="80">
        <v>221</v>
      </c>
      <c r="G387" s="132">
        <v>755</v>
      </c>
      <c r="H387" t="s" s="133">
        <v>757</v>
      </c>
      <c r="I387" t="s" s="134">
        <v>96</v>
      </c>
      <c r="J387" t="s" s="134">
        <v>97</v>
      </c>
      <c r="K387" t="str" s="135" cm="1">
        <f t="array" ref="K387">IF(OR(H387="ריביות",AND(H387="דירה כצנלסון",G387&lt;0,ISNUMBER(SEARCH("הכנסה",F387)))),"הכנסה שסווגה מחדש",J387)</f>
        <v>שוטף</v>
      </c>
      <c r="L387" t="s" s="134">
        <v>741</v>
      </c>
      <c r="M387" s="136" cm="1">
        <f t="array" ref="M387">IF(L387="מאושר",IF(K387="הכנסה שסווגה מחדש",0,G387),0)</f>
        <v>755</v>
      </c>
      <c r="N387" s="136" cm="1">
        <f t="array" ref="N387">IF(K387="שוטף",M387,0)</f>
        <v>755</v>
      </c>
      <c r="O387" s="136" cm="1">
        <f t="array" ref="O387">IF(K387="הכנסה שסווגה מחדש",-G387,0)</f>
        <v>0</v>
      </c>
      <c r="P387" t="s" s="80">
        <v>762</v>
      </c>
      <c r="Q387" s="100"/>
      <c r="R387" t="s" s="137">
        <v>743</v>
      </c>
      <c r="S387" s="77"/>
    </row>
    <row r="388" ht="13.65" customHeight="1">
      <c r="A388" s="84">
        <v>45778</v>
      </c>
      <c r="B388" t="s" s="85">
        <v>45</v>
      </c>
      <c r="C388" t="s" s="86">
        <v>799</v>
      </c>
      <c r="D388" s="138">
        <v>7</v>
      </c>
      <c r="E388" t="s" s="85">
        <v>769</v>
      </c>
      <c r="F388" t="s" s="86">
        <v>272</v>
      </c>
      <c r="G388" s="139">
        <v>123</v>
      </c>
      <c r="H388" t="s" s="140">
        <v>757</v>
      </c>
      <c r="I388" t="s" s="141">
        <v>96</v>
      </c>
      <c r="J388" t="s" s="141">
        <v>97</v>
      </c>
      <c r="K388" t="str" s="142" cm="1">
        <f t="array" ref="K388">IF(OR(H388="ריביות",AND(H388="דירה כצנלסון",G388&lt;0,ISNUMBER(SEARCH("הכנסה",F388)))),"הכנסה שסווגה מחדש",J388)</f>
        <v>שוטף</v>
      </c>
      <c r="L388" t="s" s="141">
        <v>741</v>
      </c>
      <c r="M388" s="143" cm="1">
        <f t="array" ref="M388">IF(L388="מאושר",IF(K388="הכנסה שסווגה מחדש",0,G388),0)</f>
        <v>123</v>
      </c>
      <c r="N388" s="143" cm="1">
        <f t="array" ref="N388">IF(K388="שוטף",M388,0)</f>
        <v>123</v>
      </c>
      <c r="O388" s="143" cm="1">
        <f t="array" ref="O388">IF(K388="הכנסה שסווגה מחדש",-G388,0)</f>
        <v>0</v>
      </c>
      <c r="P388" t="s" s="85">
        <v>758</v>
      </c>
      <c r="Q388" s="99"/>
      <c r="R388" t="s" s="144">
        <v>743</v>
      </c>
      <c r="S388" s="77"/>
    </row>
    <row r="389" ht="13.65" customHeight="1">
      <c r="A389" s="78">
        <v>45778</v>
      </c>
      <c r="B389" t="s" s="79">
        <v>45</v>
      </c>
      <c r="C389" t="s" s="80">
        <v>799</v>
      </c>
      <c r="D389" s="131">
        <v>8</v>
      </c>
      <c r="E389" s="100"/>
      <c r="F389" t="s" s="80">
        <v>232</v>
      </c>
      <c r="G389" s="132">
        <v>0</v>
      </c>
      <c r="H389" t="s" s="133">
        <v>757</v>
      </c>
      <c r="I389" t="s" s="134">
        <v>96</v>
      </c>
      <c r="J389" t="s" s="134">
        <v>97</v>
      </c>
      <c r="K389" t="str" s="135" cm="1">
        <f t="array" ref="K389">IF(OR(H389="ריביות",AND(H389="דירה כצנלסון",G389&lt;0,ISNUMBER(SEARCH("הכנסה",F389)))),"הכנסה שסווגה מחדש",J389)</f>
        <v>שוטף</v>
      </c>
      <c r="L389" t="s" s="134">
        <v>741</v>
      </c>
      <c r="M389" s="136" cm="1">
        <f t="array" ref="M389">IF(L389="מאושר",IF(K389="הכנסה שסווגה מחדש",0,G389),0)</f>
        <v>0</v>
      </c>
      <c r="N389" s="136" cm="1">
        <f t="array" ref="N389">IF(K389="שוטף",M389,0)</f>
        <v>0</v>
      </c>
      <c r="O389" s="136" cm="1">
        <f t="array" ref="O389">IF(K389="הכנסה שסווגה מחדש",-G389,0)</f>
        <v>0</v>
      </c>
      <c r="P389" s="100"/>
      <c r="Q389" s="100"/>
      <c r="R389" t="s" s="137">
        <v>743</v>
      </c>
      <c r="S389" s="77"/>
    </row>
    <row r="390" ht="13.65" customHeight="1">
      <c r="A390" s="84">
        <v>45778</v>
      </c>
      <c r="B390" t="s" s="85">
        <v>45</v>
      </c>
      <c r="C390" t="s" s="86">
        <v>799</v>
      </c>
      <c r="D390" s="138">
        <v>9</v>
      </c>
      <c r="E390" t="s" s="85">
        <v>789</v>
      </c>
      <c r="F390" t="s" s="86">
        <v>374</v>
      </c>
      <c r="G390" s="139">
        <v>48</v>
      </c>
      <c r="H390" t="s" s="140">
        <v>757</v>
      </c>
      <c r="I390" t="s" s="141">
        <v>96</v>
      </c>
      <c r="J390" t="s" s="141">
        <v>97</v>
      </c>
      <c r="K390" t="str" s="142" cm="1">
        <f t="array" ref="K390">IF(OR(H390="ריביות",AND(H390="דירה כצנלסון",G390&lt;0,ISNUMBER(SEARCH("הכנסה",F390)))),"הכנסה שסווגה מחדש",J390)</f>
        <v>שוטף</v>
      </c>
      <c r="L390" t="s" s="141">
        <v>741</v>
      </c>
      <c r="M390" s="143" cm="1">
        <f t="array" ref="M390">IF(L390="מאושר",IF(K390="הכנסה שסווגה מחדש",0,G390),0)</f>
        <v>48</v>
      </c>
      <c r="N390" s="143" cm="1">
        <f t="array" ref="N390">IF(K390="שוטף",M390,0)</f>
        <v>48</v>
      </c>
      <c r="O390" s="143" cm="1">
        <f t="array" ref="O390">IF(K390="הכנסה שסווגה מחדש",-G390,0)</f>
        <v>0</v>
      </c>
      <c r="P390" t="s" s="86">
        <v>762</v>
      </c>
      <c r="Q390" s="99"/>
      <c r="R390" t="s" s="144">
        <v>743</v>
      </c>
      <c r="S390" s="77"/>
    </row>
    <row r="391" ht="13.65" customHeight="1">
      <c r="A391" s="78">
        <v>45778</v>
      </c>
      <c r="B391" t="s" s="79">
        <v>45</v>
      </c>
      <c r="C391" t="s" s="80">
        <v>799</v>
      </c>
      <c r="D391" s="131">
        <v>10</v>
      </c>
      <c r="E391" t="s" s="79">
        <v>739</v>
      </c>
      <c r="F391" t="s" s="80">
        <v>276</v>
      </c>
      <c r="G391" s="132">
        <v>170</v>
      </c>
      <c r="H391" t="s" s="133">
        <v>763</v>
      </c>
      <c r="I391" t="s" s="134">
        <v>96</v>
      </c>
      <c r="J391" t="s" s="134">
        <v>97</v>
      </c>
      <c r="K391" t="str" s="135" cm="1">
        <f t="array" ref="K391">IF(OR(H391="ריביות",AND(H391="דירה כצנלסון",G391&lt;0,ISNUMBER(SEARCH("הכנסה",F391)))),"הכנסה שסווגה מחדש",J391)</f>
        <v>שוטף</v>
      </c>
      <c r="L391" t="s" s="134">
        <v>741</v>
      </c>
      <c r="M391" s="136" cm="1">
        <f t="array" ref="M391">IF(L391="מאושר",IF(K391="הכנסה שסווגה מחדש",0,G391),0)</f>
        <v>170</v>
      </c>
      <c r="N391" s="136" cm="1">
        <f t="array" ref="N391">IF(K391="שוטף",M391,0)</f>
        <v>170</v>
      </c>
      <c r="O391" s="136" cm="1">
        <f t="array" ref="O391">IF(K391="הכנסה שסווגה מחדש",-G391,0)</f>
        <v>0</v>
      </c>
      <c r="P391" t="s" s="80">
        <v>762</v>
      </c>
      <c r="Q391" s="100"/>
      <c r="R391" t="s" s="137">
        <v>743</v>
      </c>
      <c r="S391" s="77"/>
    </row>
    <row r="392" ht="13.65" customHeight="1">
      <c r="A392" s="84">
        <v>45778</v>
      </c>
      <c r="B392" t="s" s="85">
        <v>45</v>
      </c>
      <c r="C392" t="s" s="86">
        <v>799</v>
      </c>
      <c r="D392" s="138">
        <v>11</v>
      </c>
      <c r="E392" t="s" s="85">
        <v>764</v>
      </c>
      <c r="F392" t="s" s="86">
        <v>273</v>
      </c>
      <c r="G392" s="139">
        <v>87</v>
      </c>
      <c r="H392" t="s" s="140">
        <v>279</v>
      </c>
      <c r="I392" t="s" s="141">
        <v>99</v>
      </c>
      <c r="J392" t="s" s="141">
        <v>100</v>
      </c>
      <c r="K392" t="str" s="142" cm="1">
        <f t="array" ref="K392">IF(OR(H392="ריביות",AND(H392="דירה כצנלסון",G392&lt;0,ISNUMBER(SEARCH("הכנסה",F392)))),"הכנסה שסווגה מחדש",J392)</f>
        <v>חריג/נכס</v>
      </c>
      <c r="L392" t="s" s="141">
        <v>741</v>
      </c>
      <c r="M392" s="143" cm="1">
        <f t="array" ref="M392">IF(L392="מאושר",IF(K392="הכנסה שסווגה מחדש",0,G392),0)</f>
        <v>87</v>
      </c>
      <c r="N392" s="143" cm="1">
        <f t="array" ref="N392">IF(K392="שוטף",M392,0)</f>
        <v>0</v>
      </c>
      <c r="O392" s="143" cm="1">
        <f t="array" ref="O392">IF(K392="הכנסה שסווגה מחדש",-G392,0)</f>
        <v>0</v>
      </c>
      <c r="P392" t="s" s="86">
        <v>762</v>
      </c>
      <c r="Q392" s="99"/>
      <c r="R392" t="s" s="144">
        <v>743</v>
      </c>
      <c r="S392" s="77"/>
    </row>
    <row r="393" ht="13.65" customHeight="1">
      <c r="A393" s="78">
        <v>45778</v>
      </c>
      <c r="B393" t="s" s="79">
        <v>45</v>
      </c>
      <c r="C393" t="s" s="80">
        <v>799</v>
      </c>
      <c r="D393" s="131">
        <v>12</v>
      </c>
      <c r="E393" t="s" s="79">
        <v>764</v>
      </c>
      <c r="F393" t="s" s="80">
        <v>328</v>
      </c>
      <c r="G393" s="132">
        <v>30</v>
      </c>
      <c r="H393" t="s" s="133">
        <v>279</v>
      </c>
      <c r="I393" t="s" s="134">
        <v>99</v>
      </c>
      <c r="J393" t="s" s="134">
        <v>100</v>
      </c>
      <c r="K393" t="str" s="135" cm="1">
        <f t="array" ref="K393">IF(OR(H393="ריביות",AND(H393="דירה כצנלסון",G393&lt;0,ISNUMBER(SEARCH("הכנסה",F393)))),"הכנסה שסווגה מחדש",J393)</f>
        <v>חריג/נכס</v>
      </c>
      <c r="L393" t="s" s="134">
        <v>741</v>
      </c>
      <c r="M393" s="136" cm="1">
        <f t="array" ref="M393">IF(L393="מאושר",IF(K393="הכנסה שסווגה מחדש",0,G393),0)</f>
        <v>30</v>
      </c>
      <c r="N393" s="136" cm="1">
        <f t="array" ref="N393">IF(K393="שוטף",M393,0)</f>
        <v>0</v>
      </c>
      <c r="O393" s="136" cm="1">
        <f t="array" ref="O393">IF(K393="הכנסה שסווגה מחדש",-G393,0)</f>
        <v>0</v>
      </c>
      <c r="P393" t="s" s="80">
        <v>762</v>
      </c>
      <c r="Q393" s="100"/>
      <c r="R393" t="s" s="137">
        <v>743</v>
      </c>
      <c r="S393" s="77"/>
    </row>
    <row r="394" ht="13.65" customHeight="1">
      <c r="A394" s="84">
        <v>45778</v>
      </c>
      <c r="B394" t="s" s="85">
        <v>45</v>
      </c>
      <c r="C394" t="s" s="86">
        <v>799</v>
      </c>
      <c r="D394" s="138">
        <v>13</v>
      </c>
      <c r="E394" s="99"/>
      <c r="F394" t="s" s="86">
        <v>211</v>
      </c>
      <c r="G394" s="139">
        <v>230</v>
      </c>
      <c r="H394" t="s" s="140">
        <v>757</v>
      </c>
      <c r="I394" t="s" s="141">
        <v>96</v>
      </c>
      <c r="J394" t="s" s="141">
        <v>97</v>
      </c>
      <c r="K394" t="str" s="142" cm="1">
        <f t="array" ref="K394">IF(OR(H394="ריביות",AND(H394="דירה כצנלסון",G394&lt;0,ISNUMBER(SEARCH("הכנסה",F394)))),"הכנסה שסווגה מחדש",J394)</f>
        <v>שוטף</v>
      </c>
      <c r="L394" t="s" s="141">
        <v>741</v>
      </c>
      <c r="M394" s="143" cm="1">
        <f t="array" ref="M394">IF(L394="מאושר",IF(K394="הכנסה שסווגה מחדש",0,G394),0)</f>
        <v>230</v>
      </c>
      <c r="N394" s="143" cm="1">
        <f t="array" ref="N394">IF(K394="שוטף",M394,0)</f>
        <v>230</v>
      </c>
      <c r="O394" s="143" cm="1">
        <f t="array" ref="O394">IF(K394="הכנסה שסווגה מחדש",-G394,0)</f>
        <v>0</v>
      </c>
      <c r="P394" t="s" s="86">
        <v>781</v>
      </c>
      <c r="Q394" s="99"/>
      <c r="R394" t="s" s="144">
        <v>743</v>
      </c>
      <c r="S394" s="77"/>
    </row>
    <row r="395" ht="13.65" customHeight="1">
      <c r="A395" s="78">
        <v>45778</v>
      </c>
      <c r="B395" t="s" s="79">
        <v>45</v>
      </c>
      <c r="C395" t="s" s="80">
        <v>799</v>
      </c>
      <c r="D395" s="131">
        <v>14</v>
      </c>
      <c r="E395" t="s" s="79">
        <v>753</v>
      </c>
      <c r="F395" t="s" s="80">
        <v>243</v>
      </c>
      <c r="G395" s="132">
        <v>2530</v>
      </c>
      <c r="H395" t="s" s="133">
        <v>105</v>
      </c>
      <c r="I395" t="s" s="134">
        <v>105</v>
      </c>
      <c r="J395" t="s" s="134">
        <v>103</v>
      </c>
      <c r="K395" t="str" s="135" cm="1">
        <f t="array" ref="K395">IF(OR(H395="ריביות",AND(H395="דירה כצנלסון",G395&lt;0,ISNUMBER(SEARCH("הכנסה",F395)))),"הכנסה שסווגה מחדש",J395)</f>
        <v>חריג</v>
      </c>
      <c r="L395" t="s" s="134">
        <v>741</v>
      </c>
      <c r="M395" s="136" cm="1">
        <f t="array" ref="M395">IF(L395="מאושר",IF(K395="הכנסה שסווגה מחדש",0,G395),0)</f>
        <v>2530</v>
      </c>
      <c r="N395" s="136" cm="1">
        <f t="array" ref="N395">IF(K395="שוטף",M395,0)</f>
        <v>0</v>
      </c>
      <c r="O395" s="136" cm="1">
        <f t="array" ref="O395">IF(K395="הכנסה שסווגה מחדש",-G395,0)</f>
        <v>0</v>
      </c>
      <c r="P395" t="s" s="80">
        <v>786</v>
      </c>
      <c r="Q395" s="100"/>
      <c r="R395" t="s" s="137">
        <v>743</v>
      </c>
      <c r="S395" s="77"/>
    </row>
    <row r="396" ht="13.65" customHeight="1">
      <c r="A396" s="84">
        <v>45778</v>
      </c>
      <c r="B396" t="s" s="85">
        <v>45</v>
      </c>
      <c r="C396" t="s" s="86">
        <v>799</v>
      </c>
      <c r="D396" s="138">
        <v>15</v>
      </c>
      <c r="E396" t="s" s="85">
        <v>753</v>
      </c>
      <c r="F396" t="s" s="86">
        <v>198</v>
      </c>
      <c r="G396" s="139">
        <v>32471</v>
      </c>
      <c r="H396" t="s" s="140">
        <v>105</v>
      </c>
      <c r="I396" t="s" s="141">
        <v>105</v>
      </c>
      <c r="J396" t="s" s="141">
        <v>103</v>
      </c>
      <c r="K396" t="str" s="142" cm="1">
        <f t="array" ref="K396">IF(OR(H396="ריביות",AND(H396="דירה כצנלסון",G396&lt;0,ISNUMBER(SEARCH("הכנסה",F396)))),"הכנסה שסווגה מחדש",J396)</f>
        <v>חריג</v>
      </c>
      <c r="L396" t="s" s="141">
        <v>741</v>
      </c>
      <c r="M396" s="143" cm="1">
        <f t="array" ref="M396">IF(L396="מאושר",IF(K396="הכנסה שסווגה מחדש",0,G396),0)</f>
        <v>32471</v>
      </c>
      <c r="N396" s="143" cm="1">
        <f t="array" ref="N396">IF(K396="שוטף",M396,0)</f>
        <v>0</v>
      </c>
      <c r="O396" s="143" cm="1">
        <f t="array" ref="O396">IF(K396="הכנסה שסווגה מחדש",-G396,0)</f>
        <v>0</v>
      </c>
      <c r="P396" t="s" s="85">
        <v>742</v>
      </c>
      <c r="Q396" s="99"/>
      <c r="R396" t="s" s="144">
        <v>743</v>
      </c>
      <c r="S396" s="77"/>
    </row>
    <row r="397" ht="13.65" customHeight="1">
      <c r="A397" s="78">
        <v>45778</v>
      </c>
      <c r="B397" t="s" s="79">
        <v>45</v>
      </c>
      <c r="C397" t="s" s="80">
        <v>799</v>
      </c>
      <c r="D397" s="131">
        <v>16</v>
      </c>
      <c r="E397" t="s" s="79">
        <v>753</v>
      </c>
      <c r="F397" t="s" s="80">
        <v>224</v>
      </c>
      <c r="G397" s="132">
        <v>5000</v>
      </c>
      <c r="H397" t="s" s="133">
        <v>105</v>
      </c>
      <c r="I397" t="s" s="134">
        <v>105</v>
      </c>
      <c r="J397" t="s" s="134">
        <v>103</v>
      </c>
      <c r="K397" t="str" s="135" cm="1">
        <f t="array" ref="K397">IF(OR(H397="ריביות",AND(H397="דירה כצנלסון",G397&lt;0,ISNUMBER(SEARCH("הכנסה",F397)))),"הכנסה שסווגה מחדש",J397)</f>
        <v>חריג</v>
      </c>
      <c r="L397" t="s" s="134">
        <v>741</v>
      </c>
      <c r="M397" s="136" cm="1">
        <f t="array" ref="M397">IF(L397="מאושר",IF(K397="הכנסה שסווגה מחדש",0,G397),0)</f>
        <v>5000</v>
      </c>
      <c r="N397" s="136" cm="1">
        <f t="array" ref="N397">IF(K397="שוטף",M397,0)</f>
        <v>0</v>
      </c>
      <c r="O397" s="136" cm="1">
        <f t="array" ref="O397">IF(K397="הכנסה שסווגה מחדש",-G397,0)</f>
        <v>0</v>
      </c>
      <c r="P397" t="s" s="79">
        <v>742</v>
      </c>
      <c r="Q397" s="100"/>
      <c r="R397" t="s" s="137">
        <v>743</v>
      </c>
      <c r="S397" s="77"/>
    </row>
    <row r="398" ht="13.65" customHeight="1">
      <c r="A398" s="84">
        <v>45778</v>
      </c>
      <c r="B398" t="s" s="85">
        <v>45</v>
      </c>
      <c r="C398" t="s" s="86">
        <v>799</v>
      </c>
      <c r="D398" s="138">
        <v>17</v>
      </c>
      <c r="E398" t="s" s="85">
        <v>771</v>
      </c>
      <c r="F398" t="s" s="86">
        <v>256</v>
      </c>
      <c r="G398" s="139">
        <v>-341</v>
      </c>
      <c r="H398" t="s" s="140">
        <v>123</v>
      </c>
      <c r="I398" t="s" s="141">
        <v>123</v>
      </c>
      <c r="J398" t="s" s="141">
        <v>97</v>
      </c>
      <c r="K398" t="str" s="142" cm="1">
        <f t="array" ref="K398">IF(OR(H398="ריביות",AND(H398="דירה כצנלסון",G398&lt;0,ISNUMBER(SEARCH("הכנסה",F398)))),"הכנסה שסווגה מחדש",J398)</f>
        <v>שוטף</v>
      </c>
      <c r="L398" t="s" s="141">
        <v>741</v>
      </c>
      <c r="M398" s="143" cm="1">
        <f t="array" ref="M398">IF(L398="מאושר",IF(K398="הכנסה שסווגה מחדש",0,G398),0)</f>
        <v>-341</v>
      </c>
      <c r="N398" s="143" cm="1">
        <f t="array" ref="N398">IF(K398="שוטף",M398,0)</f>
        <v>-341</v>
      </c>
      <c r="O398" s="143" cm="1">
        <f t="array" ref="O398">IF(K398="הכנסה שסווגה מחדש",-G398,0)</f>
        <v>0</v>
      </c>
      <c r="P398" t="s" s="85">
        <v>742</v>
      </c>
      <c r="Q398" s="99"/>
      <c r="R398" t="s" s="144">
        <v>743</v>
      </c>
      <c r="S398" s="77"/>
    </row>
    <row r="399" ht="13.65" customHeight="1">
      <c r="A399" s="78">
        <v>45778</v>
      </c>
      <c r="B399" t="s" s="79">
        <v>45</v>
      </c>
      <c r="C399" t="s" s="80">
        <v>799</v>
      </c>
      <c r="D399" s="131">
        <v>18</v>
      </c>
      <c r="E399" t="s" s="79">
        <v>42</v>
      </c>
      <c r="F399" t="s" s="80">
        <v>292</v>
      </c>
      <c r="G399" s="132">
        <v>778</v>
      </c>
      <c r="H399" t="s" s="133">
        <v>105</v>
      </c>
      <c r="I399" t="s" s="134">
        <v>105</v>
      </c>
      <c r="J399" t="s" s="134">
        <v>103</v>
      </c>
      <c r="K399" t="str" s="135" cm="1">
        <f t="array" ref="K399">IF(OR(H399="ריביות",AND(H399="דירה כצנלסון",G399&lt;0,ISNUMBER(SEARCH("הכנסה",F399)))),"הכנסה שסווגה מחדש",J399)</f>
        <v>חריג</v>
      </c>
      <c r="L399" t="s" s="134">
        <v>741</v>
      </c>
      <c r="M399" s="136" cm="1">
        <f t="array" ref="M399">IF(L399="מאושר",IF(K399="הכנסה שסווגה מחדש",0,G399),0)</f>
        <v>778</v>
      </c>
      <c r="N399" s="136" cm="1">
        <f t="array" ref="N399">IF(K399="שוטף",M399,0)</f>
        <v>0</v>
      </c>
      <c r="O399" s="136" cm="1">
        <f t="array" ref="O399">IF(K399="הכנסה שסווגה מחדש",-G399,0)</f>
        <v>0</v>
      </c>
      <c r="P399" t="s" s="79">
        <v>758</v>
      </c>
      <c r="Q399" s="100"/>
      <c r="R399" t="s" s="137">
        <v>743</v>
      </c>
      <c r="S399" s="77"/>
    </row>
    <row r="400" ht="13.65" customHeight="1">
      <c r="A400" s="84">
        <v>45778</v>
      </c>
      <c r="B400" t="s" s="85">
        <v>45</v>
      </c>
      <c r="C400" t="s" s="86">
        <v>799</v>
      </c>
      <c r="D400" s="138">
        <v>19</v>
      </c>
      <c r="E400" s="99"/>
      <c r="F400" t="s" s="86">
        <v>367</v>
      </c>
      <c r="G400" s="139">
        <v>422</v>
      </c>
      <c r="H400" t="s" s="140">
        <v>105</v>
      </c>
      <c r="I400" t="s" s="141">
        <v>105</v>
      </c>
      <c r="J400" t="s" s="141">
        <v>103</v>
      </c>
      <c r="K400" t="str" s="142" cm="1">
        <f t="array" ref="K400">IF(OR(H400="ריביות",AND(H400="דירה כצנלסון",G400&lt;0,ISNUMBER(SEARCH("הכנסה",F400)))),"הכנסה שסווגה מחדש",J400)</f>
        <v>חריג</v>
      </c>
      <c r="L400" t="s" s="141">
        <v>741</v>
      </c>
      <c r="M400" s="143" cm="1">
        <f t="array" ref="M400">IF(L400="מאושר",IF(K400="הכנסה שסווגה מחדש",0,G400),0)</f>
        <v>422</v>
      </c>
      <c r="N400" s="143" cm="1">
        <f t="array" ref="N400">IF(K400="שוטף",M400,0)</f>
        <v>0</v>
      </c>
      <c r="O400" s="143" cm="1">
        <f t="array" ref="O400">IF(K400="הכנסה שסווגה מחדש",-G400,0)</f>
        <v>0</v>
      </c>
      <c r="P400" t="s" s="85">
        <v>758</v>
      </c>
      <c r="Q400" s="99"/>
      <c r="R400" t="s" s="144">
        <v>743</v>
      </c>
      <c r="S400" s="77"/>
    </row>
    <row r="401" ht="13.65" customHeight="1">
      <c r="A401" s="78">
        <v>45778</v>
      </c>
      <c r="B401" t="s" s="79">
        <v>45</v>
      </c>
      <c r="C401" t="s" s="80">
        <v>799</v>
      </c>
      <c r="D401" s="131">
        <v>20</v>
      </c>
      <c r="E401" t="s" s="79">
        <v>791</v>
      </c>
      <c r="F401" t="s" s="80">
        <v>256</v>
      </c>
      <c r="G401" s="132">
        <v>477</v>
      </c>
      <c r="H401" t="s" s="133">
        <v>123</v>
      </c>
      <c r="I401" t="s" s="134">
        <v>123</v>
      </c>
      <c r="J401" t="s" s="134">
        <v>97</v>
      </c>
      <c r="K401" t="str" s="135" cm="1">
        <f t="array" ref="K401">IF(OR(H401="ריביות",AND(H401="דירה כצנלסון",G401&lt;0,ISNUMBER(SEARCH("הכנסה",F401)))),"הכנסה שסווגה מחדש",J401)</f>
        <v>שוטף</v>
      </c>
      <c r="L401" t="s" s="134">
        <v>741</v>
      </c>
      <c r="M401" s="136" cm="1">
        <f t="array" ref="M401">IF(L401="מאושר",IF(K401="הכנסה שסווגה מחדש",0,G401),0)</f>
        <v>477</v>
      </c>
      <c r="N401" s="136" cm="1">
        <f t="array" ref="N401">IF(K401="שוטף",M401,0)</f>
        <v>477</v>
      </c>
      <c r="O401" s="136" cm="1">
        <f t="array" ref="O401">IF(K401="הכנסה שסווגה מחדש",-G401,0)</f>
        <v>0</v>
      </c>
      <c r="P401" t="s" s="79">
        <v>758</v>
      </c>
      <c r="Q401" s="100"/>
      <c r="R401" t="s" s="137">
        <v>743</v>
      </c>
      <c r="S401" s="77"/>
    </row>
    <row r="402" ht="13.65" customHeight="1">
      <c r="A402" s="84">
        <v>45778</v>
      </c>
      <c r="B402" t="s" s="85">
        <v>45</v>
      </c>
      <c r="C402" t="s" s="86">
        <v>799</v>
      </c>
      <c r="D402" s="138">
        <v>21</v>
      </c>
      <c r="E402" t="s" s="85">
        <v>753</v>
      </c>
      <c r="F402" t="s" s="86">
        <v>417</v>
      </c>
      <c r="G402" s="139">
        <v>258</v>
      </c>
      <c r="H402" t="s" s="140">
        <v>113</v>
      </c>
      <c r="I402" t="s" s="141">
        <v>113</v>
      </c>
      <c r="J402" t="s" s="141">
        <v>97</v>
      </c>
      <c r="K402" t="str" s="142" cm="1">
        <f t="array" ref="K402">IF(OR(H402="ריביות",AND(H402="דירה כצנלסון",G402&lt;0,ISNUMBER(SEARCH("הכנסה",F402)))),"הכנסה שסווגה מחדש",J402)</f>
        <v>שוטף</v>
      </c>
      <c r="L402" t="s" s="141">
        <v>741</v>
      </c>
      <c r="M402" s="143" cm="1">
        <f t="array" ref="M402">IF(L402="מאושר",IF(K402="הכנסה שסווגה מחדש",0,G402),0)</f>
        <v>258</v>
      </c>
      <c r="N402" s="143" cm="1">
        <f t="array" ref="N402">IF(K402="שוטף",M402,0)</f>
        <v>258</v>
      </c>
      <c r="O402" s="143" cm="1">
        <f t="array" ref="O402">IF(K402="הכנסה שסווגה מחדש",-G402,0)</f>
        <v>0</v>
      </c>
      <c r="P402" t="s" s="85">
        <v>748</v>
      </c>
      <c r="Q402" s="99"/>
      <c r="R402" t="s" s="144">
        <v>743</v>
      </c>
      <c r="S402" s="77"/>
    </row>
    <row r="403" ht="13.65" customHeight="1">
      <c r="A403" s="78">
        <v>45778</v>
      </c>
      <c r="B403" t="s" s="79">
        <v>45</v>
      </c>
      <c r="C403" t="s" s="80">
        <v>799</v>
      </c>
      <c r="D403" s="131">
        <v>22</v>
      </c>
      <c r="E403" t="s" s="79">
        <v>739</v>
      </c>
      <c r="F403" t="s" s="80">
        <v>231</v>
      </c>
      <c r="G403" s="132">
        <v>242</v>
      </c>
      <c r="H403" t="s" s="133">
        <v>113</v>
      </c>
      <c r="I403" t="s" s="134">
        <v>113</v>
      </c>
      <c r="J403" t="s" s="134">
        <v>97</v>
      </c>
      <c r="K403" t="str" s="135" cm="1">
        <f t="array" ref="K403">IF(OR(H403="ריביות",AND(H403="דירה כצנלסון",G403&lt;0,ISNUMBER(SEARCH("הכנסה",F403)))),"הכנסה שסווגה מחדש",J403)</f>
        <v>שוטף</v>
      </c>
      <c r="L403" t="s" s="134">
        <v>741</v>
      </c>
      <c r="M403" s="136" cm="1">
        <f t="array" ref="M403">IF(L403="מאושר",IF(K403="הכנסה שסווגה מחדש",0,G403),0)</f>
        <v>242</v>
      </c>
      <c r="N403" s="136" cm="1">
        <f t="array" ref="N403">IF(K403="שוטף",M403,0)</f>
        <v>242</v>
      </c>
      <c r="O403" s="136" cm="1">
        <f t="array" ref="O403">IF(K403="הכנסה שסווגה מחדש",-G403,0)</f>
        <v>0</v>
      </c>
      <c r="P403" t="s" s="79">
        <v>748</v>
      </c>
      <c r="Q403" s="100"/>
      <c r="R403" t="s" s="137">
        <v>743</v>
      </c>
      <c r="S403" s="77"/>
    </row>
    <row r="404" ht="13.65" customHeight="1">
      <c r="A404" s="84">
        <v>45778</v>
      </c>
      <c r="B404" t="s" s="85">
        <v>45</v>
      </c>
      <c r="C404" t="s" s="86">
        <v>799</v>
      </c>
      <c r="D404" s="138">
        <v>23</v>
      </c>
      <c r="E404" s="99"/>
      <c r="F404" t="s" s="86">
        <v>238</v>
      </c>
      <c r="G404" s="139">
        <v>2941</v>
      </c>
      <c r="H404" t="s" s="140">
        <v>105</v>
      </c>
      <c r="I404" t="s" s="141">
        <v>105</v>
      </c>
      <c r="J404" t="s" s="141">
        <v>103</v>
      </c>
      <c r="K404" t="str" s="142" cm="1">
        <f t="array" ref="K404">IF(OR(H404="ריביות",AND(H404="דירה כצנלסון",G404&lt;0,ISNUMBER(SEARCH("הכנסה",F404)))),"הכנסה שסווגה מחדש",J404)</f>
        <v>חריג</v>
      </c>
      <c r="L404" t="s" s="141">
        <v>741</v>
      </c>
      <c r="M404" s="143" cm="1">
        <f t="array" ref="M404">IF(L404="מאושר",IF(K404="הכנסה שסווגה מחדש",0,G404),0)</f>
        <v>2941</v>
      </c>
      <c r="N404" s="143" cm="1">
        <f t="array" ref="N404">IF(K404="שוטף",M404,0)</f>
        <v>0</v>
      </c>
      <c r="O404" s="143" cm="1">
        <f t="array" ref="O404">IF(K404="הכנסה שסווגה מחדש",-G404,0)</f>
        <v>0</v>
      </c>
      <c r="P404" t="s" s="85">
        <v>748</v>
      </c>
      <c r="Q404" s="99"/>
      <c r="R404" t="s" s="144">
        <v>743</v>
      </c>
      <c r="S404" s="77"/>
    </row>
    <row r="405" ht="13.65" customHeight="1">
      <c r="A405" s="78">
        <v>45778</v>
      </c>
      <c r="B405" t="s" s="79">
        <v>45</v>
      </c>
      <c r="C405" t="s" s="80">
        <v>799</v>
      </c>
      <c r="D405" s="131">
        <v>24</v>
      </c>
      <c r="E405" t="s" s="79">
        <v>791</v>
      </c>
      <c r="F405" t="s" s="80">
        <v>231</v>
      </c>
      <c r="G405" s="132">
        <v>138</v>
      </c>
      <c r="H405" t="s" s="133">
        <v>113</v>
      </c>
      <c r="I405" t="s" s="134">
        <v>113</v>
      </c>
      <c r="J405" t="s" s="134">
        <v>97</v>
      </c>
      <c r="K405" t="str" s="135" cm="1">
        <f t="array" ref="K405">IF(OR(H405="ריביות",AND(H405="דירה כצנלסון",G405&lt;0,ISNUMBER(SEARCH("הכנסה",F405)))),"הכנסה שסווגה מחדש",J405)</f>
        <v>שוטף</v>
      </c>
      <c r="L405" t="s" s="134">
        <v>741</v>
      </c>
      <c r="M405" s="136" cm="1">
        <f t="array" ref="M405">IF(L405="מאושר",IF(K405="הכנסה שסווגה מחדש",0,G405),0)</f>
        <v>138</v>
      </c>
      <c r="N405" s="136" cm="1">
        <f t="array" ref="N405">IF(K405="שוטף",M405,0)</f>
        <v>138</v>
      </c>
      <c r="O405" s="136" cm="1">
        <f t="array" ref="O405">IF(K405="הכנסה שסווגה מחדש",-G405,0)</f>
        <v>0</v>
      </c>
      <c r="P405" t="s" s="79">
        <v>748</v>
      </c>
      <c r="Q405" s="100"/>
      <c r="R405" t="s" s="137">
        <v>743</v>
      </c>
      <c r="S405" s="77"/>
    </row>
    <row r="406" ht="13.65" customHeight="1">
      <c r="A406" s="84">
        <v>45778</v>
      </c>
      <c r="B406" t="s" s="85">
        <v>45</v>
      </c>
      <c r="C406" t="s" s="86">
        <v>799</v>
      </c>
      <c r="D406" s="138">
        <v>25</v>
      </c>
      <c r="E406" t="s" s="85">
        <v>791</v>
      </c>
      <c r="F406" t="s" s="86">
        <v>425</v>
      </c>
      <c r="G406" s="139">
        <v>170</v>
      </c>
      <c r="H406" t="s" s="140">
        <v>117</v>
      </c>
      <c r="I406" t="s" s="141">
        <v>117</v>
      </c>
      <c r="J406" t="s" s="141">
        <v>97</v>
      </c>
      <c r="K406" t="str" s="142" cm="1">
        <f t="array" ref="K406">IF(OR(H406="ריביות",AND(H406="דירה כצנלסון",G406&lt;0,ISNUMBER(SEARCH("הכנסה",F406)))),"הכנסה שסווגה מחדש",J406)</f>
        <v>שוטף</v>
      </c>
      <c r="L406" t="s" s="141">
        <v>741</v>
      </c>
      <c r="M406" s="143" cm="1">
        <f t="array" ref="M406">IF(L406="מאושר",IF(K406="הכנסה שסווגה מחדש",0,G406),0)</f>
        <v>170</v>
      </c>
      <c r="N406" s="143" cm="1">
        <f t="array" ref="N406">IF(K406="שוטף",M406,0)</f>
        <v>170</v>
      </c>
      <c r="O406" s="143" cm="1">
        <f t="array" ref="O406">IF(K406="הכנסה שסווגה מחדש",-G406,0)</f>
        <v>0</v>
      </c>
      <c r="P406" t="s" s="85">
        <v>748</v>
      </c>
      <c r="Q406" s="99"/>
      <c r="R406" t="s" s="144">
        <v>743</v>
      </c>
      <c r="S406" s="77"/>
    </row>
    <row r="407" ht="13.65" customHeight="1">
      <c r="A407" s="78">
        <v>45778</v>
      </c>
      <c r="B407" t="s" s="79">
        <v>45</v>
      </c>
      <c r="C407" t="s" s="80">
        <v>799</v>
      </c>
      <c r="D407" s="131">
        <v>26</v>
      </c>
      <c r="E407" t="s" s="79">
        <v>766</v>
      </c>
      <c r="F407" t="s" s="80">
        <v>524</v>
      </c>
      <c r="G407" s="132">
        <v>5</v>
      </c>
      <c r="H407" t="s" s="133">
        <v>117</v>
      </c>
      <c r="I407" t="s" s="134">
        <v>117</v>
      </c>
      <c r="J407" t="s" s="134">
        <v>97</v>
      </c>
      <c r="K407" t="str" s="135" cm="1">
        <f t="array" ref="K407">IF(OR(H407="ריביות",AND(H407="דירה כצנלסון",G407&lt;0,ISNUMBER(SEARCH("הכנסה",F407)))),"הכנסה שסווגה מחדש",J407)</f>
        <v>שוטף</v>
      </c>
      <c r="L407" t="s" s="134">
        <v>741</v>
      </c>
      <c r="M407" s="136" cm="1">
        <f t="array" ref="M407">IF(L407="מאושר",IF(K407="הכנסה שסווגה מחדש",0,G407),0)</f>
        <v>5</v>
      </c>
      <c r="N407" s="136" cm="1">
        <f t="array" ref="N407">IF(K407="שוטף",M407,0)</f>
        <v>5</v>
      </c>
      <c r="O407" s="136" cm="1">
        <f t="array" ref="O407">IF(K407="הכנסה שסווגה מחדש",-G407,0)</f>
        <v>0</v>
      </c>
      <c r="P407" t="s" s="79">
        <v>748</v>
      </c>
      <c r="Q407" s="100"/>
      <c r="R407" t="s" s="137">
        <v>743</v>
      </c>
      <c r="S407" s="77"/>
    </row>
    <row r="408" ht="13.65" customHeight="1">
      <c r="A408" s="84">
        <v>45778</v>
      </c>
      <c r="B408" t="s" s="85">
        <v>45</v>
      </c>
      <c r="C408" t="s" s="86">
        <v>799</v>
      </c>
      <c r="D408" s="138">
        <v>27</v>
      </c>
      <c r="E408" t="s" s="85">
        <v>766</v>
      </c>
      <c r="F408" t="s" s="86">
        <v>524</v>
      </c>
      <c r="G408" s="139">
        <v>5</v>
      </c>
      <c r="H408" t="s" s="140">
        <v>117</v>
      </c>
      <c r="I408" t="s" s="141">
        <v>117</v>
      </c>
      <c r="J408" t="s" s="141">
        <v>97</v>
      </c>
      <c r="K408" t="str" s="142" cm="1">
        <f t="array" ref="K408">IF(OR(H408="ריביות",AND(H408="דירה כצנלסון",G408&lt;0,ISNUMBER(SEARCH("הכנסה",F408)))),"הכנסה שסווגה מחדש",J408)</f>
        <v>שוטף</v>
      </c>
      <c r="L408" t="s" s="141">
        <v>741</v>
      </c>
      <c r="M408" s="143" cm="1">
        <f t="array" ref="M408">IF(L408="מאושר",IF(K408="הכנסה שסווגה מחדש",0,G408),0)</f>
        <v>5</v>
      </c>
      <c r="N408" s="143" cm="1">
        <f t="array" ref="N408">IF(K408="שוטף",M408,0)</f>
        <v>5</v>
      </c>
      <c r="O408" s="143" cm="1">
        <f t="array" ref="O408">IF(K408="הכנסה שסווגה מחדש",-G408,0)</f>
        <v>0</v>
      </c>
      <c r="P408" t="s" s="85">
        <v>748</v>
      </c>
      <c r="Q408" s="99"/>
      <c r="R408" t="s" s="144">
        <v>743</v>
      </c>
      <c r="S408" s="77"/>
    </row>
    <row r="409" ht="13.65" customHeight="1">
      <c r="A409" s="78">
        <v>45778</v>
      </c>
      <c r="B409" t="s" s="79">
        <v>45</v>
      </c>
      <c r="C409" t="s" s="80">
        <v>799</v>
      </c>
      <c r="D409" s="131">
        <v>28</v>
      </c>
      <c r="E409" t="s" s="79">
        <v>775</v>
      </c>
      <c r="F409" t="s" s="80">
        <v>425</v>
      </c>
      <c r="G409" s="132">
        <v>72</v>
      </c>
      <c r="H409" t="s" s="133">
        <v>117</v>
      </c>
      <c r="I409" t="s" s="134">
        <v>117</v>
      </c>
      <c r="J409" t="s" s="134">
        <v>97</v>
      </c>
      <c r="K409" t="str" s="135" cm="1">
        <f t="array" ref="K409">IF(OR(H409="ריביות",AND(H409="דירה כצנלסון",G409&lt;0,ISNUMBER(SEARCH("הכנסה",F409)))),"הכנסה שסווגה מחדש",J409)</f>
        <v>שוטף</v>
      </c>
      <c r="L409" t="s" s="134">
        <v>741</v>
      </c>
      <c r="M409" s="136" cm="1">
        <f t="array" ref="M409">IF(L409="מאושר",IF(K409="הכנסה שסווגה מחדש",0,G409),0)</f>
        <v>72</v>
      </c>
      <c r="N409" s="136" cm="1">
        <f t="array" ref="N409">IF(K409="שוטף",M409,0)</f>
        <v>72</v>
      </c>
      <c r="O409" s="136" cm="1">
        <f t="array" ref="O409">IF(K409="הכנסה שסווגה מחדש",-G409,0)</f>
        <v>0</v>
      </c>
      <c r="P409" t="s" s="79">
        <v>748</v>
      </c>
      <c r="Q409" s="100"/>
      <c r="R409" t="s" s="137">
        <v>743</v>
      </c>
      <c r="S409" s="77"/>
    </row>
    <row r="410" ht="13.65" customHeight="1">
      <c r="A410" s="84">
        <v>45778</v>
      </c>
      <c r="B410" t="s" s="85">
        <v>45</v>
      </c>
      <c r="C410" t="s" s="86">
        <v>799</v>
      </c>
      <c r="D410" s="138">
        <v>29</v>
      </c>
      <c r="E410" s="99"/>
      <c r="F410" t="s" s="86">
        <v>275</v>
      </c>
      <c r="G410" s="139">
        <v>173</v>
      </c>
      <c r="H410" t="s" s="140">
        <v>127</v>
      </c>
      <c r="I410" t="s" s="141">
        <v>127</v>
      </c>
      <c r="J410" t="s" s="141">
        <v>97</v>
      </c>
      <c r="K410" t="str" s="142" cm="1">
        <f t="array" ref="K410">IF(OR(H410="ריביות",AND(H410="דירה כצנלסון",G410&lt;0,ISNUMBER(SEARCH("הכנסה",F410)))),"הכנסה שסווגה מחדש",J410)</f>
        <v>שוטף</v>
      </c>
      <c r="L410" t="s" s="141">
        <v>741</v>
      </c>
      <c r="M410" s="143" cm="1">
        <f t="array" ref="M410">IF(L410="מאושר",IF(K410="הכנסה שסווגה מחדש",0,G410),0)</f>
        <v>173</v>
      </c>
      <c r="N410" s="143" cm="1">
        <f t="array" ref="N410">IF(K410="שוטף",M410,0)</f>
        <v>173</v>
      </c>
      <c r="O410" s="143" cm="1">
        <f t="array" ref="O410">IF(K410="הכנסה שסווגה מחדש",-G410,0)</f>
        <v>0</v>
      </c>
      <c r="P410" t="s" s="86">
        <v>770</v>
      </c>
      <c r="Q410" s="99"/>
      <c r="R410" t="s" s="144">
        <v>743</v>
      </c>
      <c r="S410" s="77"/>
    </row>
    <row r="411" ht="13.65" customHeight="1">
      <c r="A411" s="78">
        <v>45778</v>
      </c>
      <c r="B411" t="s" s="79">
        <v>45</v>
      </c>
      <c r="C411" t="s" s="80">
        <v>799</v>
      </c>
      <c r="D411" s="131">
        <v>30</v>
      </c>
      <c r="E411" t="s" s="79">
        <v>34</v>
      </c>
      <c r="F411" t="s" s="80">
        <v>509</v>
      </c>
      <c r="G411" s="132">
        <v>50</v>
      </c>
      <c r="H411" t="s" s="133">
        <v>109</v>
      </c>
      <c r="I411" t="s" s="134">
        <v>109</v>
      </c>
      <c r="J411" t="s" s="134">
        <v>97</v>
      </c>
      <c r="K411" t="str" s="135" cm="1">
        <f t="array" ref="K411">IF(OR(H411="ריביות",AND(H411="דירה כצנלסון",G411&lt;0,ISNUMBER(SEARCH("הכנסה",F411)))),"הכנסה שסווגה מחדש",J411)</f>
        <v>שוטף</v>
      </c>
      <c r="L411" t="s" s="134">
        <v>741</v>
      </c>
      <c r="M411" s="136" cm="1">
        <f t="array" ref="M411">IF(L411="מאושר",IF(K411="הכנסה שסווגה מחדש",0,G411),0)</f>
        <v>50</v>
      </c>
      <c r="N411" s="136" cm="1">
        <f t="array" ref="N411">IF(K411="שוטף",M411,0)</f>
        <v>50</v>
      </c>
      <c r="O411" s="136" cm="1">
        <f t="array" ref="O411">IF(K411="הכנסה שסווגה מחדש",-G411,0)</f>
        <v>0</v>
      </c>
      <c r="P411" t="s" s="80">
        <v>770</v>
      </c>
      <c r="Q411" s="100"/>
      <c r="R411" t="s" s="137">
        <v>743</v>
      </c>
      <c r="S411" s="77"/>
    </row>
    <row r="412" ht="13.65" customHeight="1">
      <c r="A412" s="84">
        <v>45778</v>
      </c>
      <c r="B412" t="s" s="85">
        <v>45</v>
      </c>
      <c r="C412" t="s" s="86">
        <v>799</v>
      </c>
      <c r="D412" s="138">
        <v>31</v>
      </c>
      <c r="E412" t="s" s="85">
        <v>34</v>
      </c>
      <c r="F412" t="s" s="85">
        <v>423</v>
      </c>
      <c r="G412" s="139">
        <v>10</v>
      </c>
      <c r="H412" t="s" s="140">
        <v>105</v>
      </c>
      <c r="I412" t="s" s="141">
        <v>105</v>
      </c>
      <c r="J412" t="s" s="141">
        <v>103</v>
      </c>
      <c r="K412" t="str" s="142" cm="1">
        <f t="array" ref="K412">IF(OR(H412="ריביות",AND(H412="דירה כצנלסון",G412&lt;0,ISNUMBER(SEARCH("הכנסה",F412)))),"הכנסה שסווגה מחדש",J412)</f>
        <v>חריג</v>
      </c>
      <c r="L412" t="s" s="141">
        <v>741</v>
      </c>
      <c r="M412" s="143" cm="1">
        <f t="array" ref="M412">IF(L412="מאושר",IF(K412="הכנסה שסווגה מחדש",0,G412),0)</f>
        <v>10</v>
      </c>
      <c r="N412" s="143" cm="1">
        <f t="array" ref="N412">IF(K412="שוטף",M412,0)</f>
        <v>0</v>
      </c>
      <c r="O412" s="143" cm="1">
        <f t="array" ref="O412">IF(K412="הכנסה שסווגה מחדש",-G412,0)</f>
        <v>0</v>
      </c>
      <c r="P412" t="s" s="86">
        <v>770</v>
      </c>
      <c r="Q412" s="99"/>
      <c r="R412" t="s" s="144">
        <v>743</v>
      </c>
      <c r="S412" s="77"/>
    </row>
    <row r="413" ht="13.65" customHeight="1">
      <c r="A413" s="78">
        <v>45778</v>
      </c>
      <c r="B413" t="s" s="79">
        <v>45</v>
      </c>
      <c r="C413" t="s" s="80">
        <v>799</v>
      </c>
      <c r="D413" s="131">
        <v>32</v>
      </c>
      <c r="E413" t="s" s="79">
        <v>42</v>
      </c>
      <c r="F413" t="s" s="80">
        <v>231</v>
      </c>
      <c r="G413" s="132">
        <v>250</v>
      </c>
      <c r="H413" t="s" s="133">
        <v>113</v>
      </c>
      <c r="I413" t="s" s="134">
        <v>113</v>
      </c>
      <c r="J413" t="s" s="134">
        <v>97</v>
      </c>
      <c r="K413" t="str" s="135" cm="1">
        <f t="array" ref="K413">IF(OR(H413="ריביות",AND(H413="דירה כצנלסון",G413&lt;0,ISNUMBER(SEARCH("הכנסה",F413)))),"הכנסה שסווגה מחדש",J413)</f>
        <v>שוטף</v>
      </c>
      <c r="L413" t="s" s="134">
        <v>741</v>
      </c>
      <c r="M413" s="136" cm="1">
        <f t="array" ref="M413">IF(L413="מאושר",IF(K413="הכנסה שסווגה מחדש",0,G413),0)</f>
        <v>250</v>
      </c>
      <c r="N413" s="136" cm="1">
        <f t="array" ref="N413">IF(K413="שוטף",M413,0)</f>
        <v>250</v>
      </c>
      <c r="O413" s="136" cm="1">
        <f t="array" ref="O413">IF(K413="הכנסה שסווגה מחדש",-G413,0)</f>
        <v>0</v>
      </c>
      <c r="P413" t="s" s="80">
        <v>770</v>
      </c>
      <c r="Q413" s="100"/>
      <c r="R413" t="s" s="137">
        <v>743</v>
      </c>
      <c r="S413" s="77"/>
    </row>
    <row r="414" ht="13.65" customHeight="1">
      <c r="A414" s="84">
        <v>45778</v>
      </c>
      <c r="B414" t="s" s="85">
        <v>45</v>
      </c>
      <c r="C414" t="s" s="86">
        <v>799</v>
      </c>
      <c r="D414" s="138">
        <v>33</v>
      </c>
      <c r="E414" t="s" s="85">
        <v>42</v>
      </c>
      <c r="F414" t="s" s="86">
        <v>589</v>
      </c>
      <c r="G414" s="139">
        <v>60</v>
      </c>
      <c r="H414" t="s" s="140">
        <v>105</v>
      </c>
      <c r="I414" t="s" s="141">
        <v>105</v>
      </c>
      <c r="J414" t="s" s="141">
        <v>103</v>
      </c>
      <c r="K414" t="str" s="142" cm="1">
        <f t="array" ref="K414">IF(OR(H414="ריביות",AND(H414="דירה כצנלסון",G414&lt;0,ISNUMBER(SEARCH("הכנסה",F414)))),"הכנסה שסווגה מחדש",J414)</f>
        <v>חריג</v>
      </c>
      <c r="L414" t="s" s="141">
        <v>741</v>
      </c>
      <c r="M414" s="143" cm="1">
        <f t="array" ref="M414">IF(L414="מאושר",IF(K414="הכנסה שסווגה מחדש",0,G414),0)</f>
        <v>60</v>
      </c>
      <c r="N414" s="143" cm="1">
        <f t="array" ref="N414">IF(K414="שוטף",M414,0)</f>
        <v>0</v>
      </c>
      <c r="O414" s="143" cm="1">
        <f t="array" ref="O414">IF(K414="הכנסה שסווגה מחדש",-G414,0)</f>
        <v>0</v>
      </c>
      <c r="P414" t="s" s="86">
        <v>770</v>
      </c>
      <c r="Q414" s="99"/>
      <c r="R414" t="s" s="144">
        <v>743</v>
      </c>
      <c r="S414" s="77"/>
    </row>
    <row r="415" ht="13.65" customHeight="1">
      <c r="A415" s="78">
        <v>45778</v>
      </c>
      <c r="B415" t="s" s="79">
        <v>45</v>
      </c>
      <c r="C415" t="s" s="80">
        <v>799</v>
      </c>
      <c r="D415" s="131">
        <v>34</v>
      </c>
      <c r="E415" t="s" s="79">
        <v>46</v>
      </c>
      <c r="F415" t="s" s="80">
        <v>245</v>
      </c>
      <c r="G415" s="132">
        <v>95</v>
      </c>
      <c r="H415" t="s" s="133">
        <v>767</v>
      </c>
      <c r="I415" t="s" s="134">
        <v>107</v>
      </c>
      <c r="J415" t="s" s="134">
        <v>97</v>
      </c>
      <c r="K415" t="str" s="135" cm="1">
        <f t="array" ref="K415">IF(OR(H415="ריביות",AND(H415="דירה כצנלסון",G415&lt;0,ISNUMBER(SEARCH("הכנסה",F415)))),"הכנסה שסווגה מחדש",J415)</f>
        <v>שוטף</v>
      </c>
      <c r="L415" t="s" s="134">
        <v>741</v>
      </c>
      <c r="M415" s="136" cm="1">
        <f t="array" ref="M415">IF(L415="מאושר",IF(K415="הכנסה שסווגה מחדש",0,G415),0)</f>
        <v>95</v>
      </c>
      <c r="N415" s="136" cm="1">
        <f t="array" ref="N415">IF(K415="שוטף",M415,0)</f>
        <v>95</v>
      </c>
      <c r="O415" s="136" cm="1">
        <f t="array" ref="O415">IF(K415="הכנסה שסווגה מחדש",-G415,0)</f>
        <v>0</v>
      </c>
      <c r="P415" t="s" s="80">
        <v>770</v>
      </c>
      <c r="Q415" s="100"/>
      <c r="R415" t="s" s="137">
        <v>743</v>
      </c>
      <c r="S415" s="77"/>
    </row>
    <row r="416" ht="13.65" customHeight="1">
      <c r="A416" s="84">
        <v>45778</v>
      </c>
      <c r="B416" t="s" s="85">
        <v>45</v>
      </c>
      <c r="C416" t="s" s="86">
        <v>799</v>
      </c>
      <c r="D416" s="138">
        <v>35</v>
      </c>
      <c r="E416" t="s" s="85">
        <v>46</v>
      </c>
      <c r="F416" t="s" s="86">
        <v>584</v>
      </c>
      <c r="G416" s="139">
        <v>1</v>
      </c>
      <c r="H416" t="s" s="140">
        <v>105</v>
      </c>
      <c r="I416" t="s" s="141">
        <v>105</v>
      </c>
      <c r="J416" t="s" s="141">
        <v>103</v>
      </c>
      <c r="K416" t="str" s="142" cm="1">
        <f t="array" ref="K416">IF(OR(H416="ריביות",AND(H416="דירה כצנלסון",G416&lt;0,ISNUMBER(SEARCH("הכנסה",F416)))),"הכנסה שסווגה מחדש",J416)</f>
        <v>חריג</v>
      </c>
      <c r="L416" t="s" s="141">
        <v>741</v>
      </c>
      <c r="M416" s="143" cm="1">
        <f t="array" ref="M416">IF(L416="מאושר",IF(K416="הכנסה שסווגה מחדש",0,G416),0)</f>
        <v>1</v>
      </c>
      <c r="N416" s="143" cm="1">
        <f t="array" ref="N416">IF(K416="שוטף",M416,0)</f>
        <v>0</v>
      </c>
      <c r="O416" s="143" cm="1">
        <f t="array" ref="O416">IF(K416="הכנסה שסווגה מחדש",-G416,0)</f>
        <v>0</v>
      </c>
      <c r="P416" t="s" s="86">
        <v>770</v>
      </c>
      <c r="Q416" s="99"/>
      <c r="R416" t="s" s="144">
        <v>743</v>
      </c>
      <c r="S416" s="77"/>
    </row>
    <row r="417" ht="13.65" customHeight="1">
      <c r="A417" s="78">
        <v>45778</v>
      </c>
      <c r="B417" t="s" s="79">
        <v>45</v>
      </c>
      <c r="C417" t="s" s="80">
        <v>799</v>
      </c>
      <c r="D417" s="131">
        <v>36</v>
      </c>
      <c r="E417" t="s" s="79">
        <v>46</v>
      </c>
      <c r="F417" t="s" s="80">
        <v>289</v>
      </c>
      <c r="G417" s="132">
        <v>57</v>
      </c>
      <c r="H417" t="s" s="133">
        <v>767</v>
      </c>
      <c r="I417" t="s" s="134">
        <v>107</v>
      </c>
      <c r="J417" t="s" s="134">
        <v>97</v>
      </c>
      <c r="K417" t="str" s="135" cm="1">
        <f t="array" ref="K417">IF(OR(H417="ריביות",AND(H417="דירה כצנלסון",G417&lt;0,ISNUMBER(SEARCH("הכנסה",F417)))),"הכנסה שסווגה מחדש",J417)</f>
        <v>שוטף</v>
      </c>
      <c r="L417" t="s" s="134">
        <v>741</v>
      </c>
      <c r="M417" s="136" cm="1">
        <f t="array" ref="M417">IF(L417="מאושר",IF(K417="הכנסה שסווגה מחדש",0,G417),0)</f>
        <v>57</v>
      </c>
      <c r="N417" s="136" cm="1">
        <f t="array" ref="N417">IF(K417="שוטף",M417,0)</f>
        <v>57</v>
      </c>
      <c r="O417" s="136" cm="1">
        <f t="array" ref="O417">IF(K417="הכנסה שסווגה מחדש",-G417,0)</f>
        <v>0</v>
      </c>
      <c r="P417" t="s" s="80">
        <v>770</v>
      </c>
      <c r="Q417" s="100"/>
      <c r="R417" t="s" s="137">
        <v>743</v>
      </c>
      <c r="S417" s="77"/>
    </row>
    <row r="418" ht="13.65" customHeight="1">
      <c r="A418" s="84">
        <v>45778</v>
      </c>
      <c r="B418" t="s" s="85">
        <v>45</v>
      </c>
      <c r="C418" t="s" s="86">
        <v>799</v>
      </c>
      <c r="D418" s="138">
        <v>37</v>
      </c>
      <c r="E418" t="s" s="85">
        <v>769</v>
      </c>
      <c r="F418" t="s" s="86">
        <v>200</v>
      </c>
      <c r="G418" s="139">
        <v>30</v>
      </c>
      <c r="H418" t="s" s="140">
        <v>109</v>
      </c>
      <c r="I418" t="s" s="141">
        <v>109</v>
      </c>
      <c r="J418" t="s" s="141">
        <v>97</v>
      </c>
      <c r="K418" t="str" s="142" cm="1">
        <f t="array" ref="K418">IF(OR(H418="ריביות",AND(H418="דירה כצנלסון",G418&lt;0,ISNUMBER(SEARCH("הכנסה",F418)))),"הכנסה שסווגה מחדש",J418)</f>
        <v>שוטף</v>
      </c>
      <c r="L418" t="s" s="141">
        <v>741</v>
      </c>
      <c r="M418" s="143" cm="1">
        <f t="array" ref="M418">IF(L418="מאושר",IF(K418="הכנסה שסווגה מחדש",0,G418),0)</f>
        <v>30</v>
      </c>
      <c r="N418" s="143" cm="1">
        <f t="array" ref="N418">IF(K418="שוטף",M418,0)</f>
        <v>30</v>
      </c>
      <c r="O418" s="143" cm="1">
        <f t="array" ref="O418">IF(K418="הכנסה שסווגה מחדש",-G418,0)</f>
        <v>0</v>
      </c>
      <c r="P418" t="s" s="86">
        <v>770</v>
      </c>
      <c r="Q418" s="99"/>
      <c r="R418" t="s" s="144">
        <v>743</v>
      </c>
      <c r="S418" s="77"/>
    </row>
    <row r="419" ht="13.65" customHeight="1">
      <c r="A419" s="78">
        <v>45778</v>
      </c>
      <c r="B419" t="s" s="79">
        <v>45</v>
      </c>
      <c r="C419" t="s" s="80">
        <v>799</v>
      </c>
      <c r="D419" s="131">
        <v>38</v>
      </c>
      <c r="E419" t="s" s="79">
        <v>769</v>
      </c>
      <c r="F419" t="s" s="80">
        <v>231</v>
      </c>
      <c r="G419" s="132">
        <v>75</v>
      </c>
      <c r="H419" t="s" s="133">
        <v>113</v>
      </c>
      <c r="I419" t="s" s="134">
        <v>113</v>
      </c>
      <c r="J419" t="s" s="134">
        <v>97</v>
      </c>
      <c r="K419" t="str" s="135" cm="1">
        <f t="array" ref="K419">IF(OR(H419="ריביות",AND(H419="דירה כצנלסון",G419&lt;0,ISNUMBER(SEARCH("הכנסה",F419)))),"הכנסה שסווגה מחדש",J419)</f>
        <v>שוטף</v>
      </c>
      <c r="L419" t="s" s="134">
        <v>741</v>
      </c>
      <c r="M419" s="136" cm="1">
        <f t="array" ref="M419">IF(L419="מאושר",IF(K419="הכנסה שסווגה מחדש",0,G419),0)</f>
        <v>75</v>
      </c>
      <c r="N419" s="136" cm="1">
        <f t="array" ref="N419">IF(K419="שוטף",M419,0)</f>
        <v>75</v>
      </c>
      <c r="O419" s="136" cm="1">
        <f t="array" ref="O419">IF(K419="הכנסה שסווגה מחדש",-G419,0)</f>
        <v>0</v>
      </c>
      <c r="P419" t="s" s="80">
        <v>770</v>
      </c>
      <c r="Q419" s="100"/>
      <c r="R419" t="s" s="137">
        <v>743</v>
      </c>
      <c r="S419" s="77"/>
    </row>
    <row r="420" ht="13.65" customHeight="1">
      <c r="A420" s="84">
        <v>45778</v>
      </c>
      <c r="B420" t="s" s="85">
        <v>45</v>
      </c>
      <c r="C420" t="s" s="86">
        <v>799</v>
      </c>
      <c r="D420" s="138">
        <v>39</v>
      </c>
      <c r="E420" t="s" s="85">
        <v>749</v>
      </c>
      <c r="F420" t="s" s="86">
        <v>329</v>
      </c>
      <c r="G420" s="139">
        <v>70</v>
      </c>
      <c r="H420" t="s" s="140">
        <v>105</v>
      </c>
      <c r="I420" t="s" s="141">
        <v>105</v>
      </c>
      <c r="J420" t="s" s="141">
        <v>103</v>
      </c>
      <c r="K420" t="str" s="142" cm="1">
        <f t="array" ref="K420">IF(OR(H420="ריביות",AND(H420="דירה כצנלסון",G420&lt;0,ISNUMBER(SEARCH("הכנסה",F420)))),"הכנסה שסווגה מחדש",J420)</f>
        <v>חריג</v>
      </c>
      <c r="L420" t="s" s="141">
        <v>741</v>
      </c>
      <c r="M420" s="143" cm="1">
        <f t="array" ref="M420">IF(L420="מאושר",IF(K420="הכנסה שסווגה מחדש",0,G420),0)</f>
        <v>70</v>
      </c>
      <c r="N420" s="143" cm="1">
        <f t="array" ref="N420">IF(K420="שוטף",M420,0)</f>
        <v>0</v>
      </c>
      <c r="O420" s="143" cm="1">
        <f t="array" ref="O420">IF(K420="הכנסה שסווגה מחדש",-G420,0)</f>
        <v>0</v>
      </c>
      <c r="P420" t="s" s="86">
        <v>770</v>
      </c>
      <c r="Q420" s="99"/>
      <c r="R420" t="s" s="144">
        <v>743</v>
      </c>
      <c r="S420" s="77"/>
    </row>
    <row r="421" ht="13.65" customHeight="1">
      <c r="A421" s="78">
        <v>45778</v>
      </c>
      <c r="B421" t="s" s="79">
        <v>45</v>
      </c>
      <c r="C421" t="s" s="80">
        <v>799</v>
      </c>
      <c r="D421" s="131">
        <v>40</v>
      </c>
      <c r="E421" t="s" s="79">
        <v>789</v>
      </c>
      <c r="F421" t="s" s="80">
        <v>200</v>
      </c>
      <c r="G421" s="132">
        <v>79</v>
      </c>
      <c r="H421" t="s" s="133">
        <v>109</v>
      </c>
      <c r="I421" t="s" s="134">
        <v>109</v>
      </c>
      <c r="J421" t="s" s="134">
        <v>97</v>
      </c>
      <c r="K421" t="str" s="135" cm="1">
        <f t="array" ref="K421">IF(OR(H421="ריביות",AND(H421="דירה כצנלסון",G421&lt;0,ISNUMBER(SEARCH("הכנסה",F421)))),"הכנסה שסווגה מחדש",J421)</f>
        <v>שוטף</v>
      </c>
      <c r="L421" t="s" s="134">
        <v>741</v>
      </c>
      <c r="M421" s="136" cm="1">
        <f t="array" ref="M421">IF(L421="מאושר",IF(K421="הכנסה שסווגה מחדש",0,G421),0)</f>
        <v>79</v>
      </c>
      <c r="N421" s="136" cm="1">
        <f t="array" ref="N421">IF(K421="שוטף",M421,0)</f>
        <v>79</v>
      </c>
      <c r="O421" s="136" cm="1">
        <f t="array" ref="O421">IF(K421="הכנסה שסווגה מחדש",-G421,0)</f>
        <v>0</v>
      </c>
      <c r="P421" t="s" s="80">
        <v>770</v>
      </c>
      <c r="Q421" s="100"/>
      <c r="R421" t="s" s="137">
        <v>743</v>
      </c>
      <c r="S421" s="77"/>
    </row>
    <row r="422" ht="13.65" customHeight="1">
      <c r="A422" s="84">
        <v>45778</v>
      </c>
      <c r="B422" t="s" s="85">
        <v>45</v>
      </c>
      <c r="C422" t="s" s="86">
        <v>799</v>
      </c>
      <c r="D422" s="138">
        <v>41</v>
      </c>
      <c r="E422" t="s" s="85">
        <v>789</v>
      </c>
      <c r="F422" t="s" s="86">
        <v>469</v>
      </c>
      <c r="G422" s="139">
        <v>160</v>
      </c>
      <c r="H422" t="s" s="140">
        <v>105</v>
      </c>
      <c r="I422" t="s" s="141">
        <v>105</v>
      </c>
      <c r="J422" t="s" s="141">
        <v>103</v>
      </c>
      <c r="K422" t="str" s="142" cm="1">
        <f t="array" ref="K422">IF(OR(H422="ריביות",AND(H422="דירה כצנלסון",G422&lt;0,ISNUMBER(SEARCH("הכנסה",F422)))),"הכנסה שסווגה מחדש",J422)</f>
        <v>חריג</v>
      </c>
      <c r="L422" t="s" s="141">
        <v>741</v>
      </c>
      <c r="M422" s="143" cm="1">
        <f t="array" ref="M422">IF(L422="מאושר",IF(K422="הכנסה שסווגה מחדש",0,G422),0)</f>
        <v>160</v>
      </c>
      <c r="N422" s="143" cm="1">
        <f t="array" ref="N422">IF(K422="שוטף",M422,0)</f>
        <v>0</v>
      </c>
      <c r="O422" s="143" cm="1">
        <f t="array" ref="O422">IF(K422="הכנסה שסווגה מחדש",-G422,0)</f>
        <v>0</v>
      </c>
      <c r="P422" t="s" s="86">
        <v>770</v>
      </c>
      <c r="Q422" s="99"/>
      <c r="R422" t="s" s="144">
        <v>743</v>
      </c>
      <c r="S422" s="77"/>
    </row>
    <row r="423" ht="13.65" customHeight="1">
      <c r="A423" s="78">
        <v>45778</v>
      </c>
      <c r="B423" t="s" s="79">
        <v>45</v>
      </c>
      <c r="C423" t="s" s="80">
        <v>799</v>
      </c>
      <c r="D423" s="131">
        <v>42</v>
      </c>
      <c r="E423" t="s" s="79">
        <v>789</v>
      </c>
      <c r="F423" t="s" s="80">
        <v>281</v>
      </c>
      <c r="G423" s="132">
        <v>62</v>
      </c>
      <c r="H423" t="s" s="133">
        <v>105</v>
      </c>
      <c r="I423" t="s" s="134">
        <v>105</v>
      </c>
      <c r="J423" t="s" s="134">
        <v>103</v>
      </c>
      <c r="K423" t="str" s="135" cm="1">
        <f t="array" ref="K423">IF(OR(H423="ריביות",AND(H423="דירה כצנלסון",G423&lt;0,ISNUMBER(SEARCH("הכנסה",F423)))),"הכנסה שסווגה מחדש",J423)</f>
        <v>חריג</v>
      </c>
      <c r="L423" t="s" s="134">
        <v>741</v>
      </c>
      <c r="M423" s="136" cm="1">
        <f t="array" ref="M423">IF(L423="מאושר",IF(K423="הכנסה שסווגה מחדש",0,G423),0)</f>
        <v>62</v>
      </c>
      <c r="N423" s="136" cm="1">
        <f t="array" ref="N423">IF(K423="שוטף",M423,0)</f>
        <v>0</v>
      </c>
      <c r="O423" s="136" cm="1">
        <f t="array" ref="O423">IF(K423="הכנסה שסווגה מחדש",-G423,0)</f>
        <v>0</v>
      </c>
      <c r="P423" t="s" s="80">
        <v>770</v>
      </c>
      <c r="Q423" s="100"/>
      <c r="R423" t="s" s="137">
        <v>743</v>
      </c>
      <c r="S423" s="77"/>
    </row>
    <row r="424" ht="13.65" customHeight="1">
      <c r="A424" s="84">
        <v>45778</v>
      </c>
      <c r="B424" t="s" s="85">
        <v>45</v>
      </c>
      <c r="C424" t="s" s="86">
        <v>799</v>
      </c>
      <c r="D424" s="138">
        <v>43</v>
      </c>
      <c r="E424" t="s" s="85">
        <v>789</v>
      </c>
      <c r="F424" t="s" s="86">
        <v>200</v>
      </c>
      <c r="G424" s="139">
        <v>17</v>
      </c>
      <c r="H424" t="s" s="140">
        <v>109</v>
      </c>
      <c r="I424" t="s" s="141">
        <v>109</v>
      </c>
      <c r="J424" t="s" s="141">
        <v>97</v>
      </c>
      <c r="K424" t="str" s="142" cm="1">
        <f t="array" ref="K424">IF(OR(H424="ריביות",AND(H424="דירה כצנלסון",G424&lt;0,ISNUMBER(SEARCH("הכנסה",F424)))),"הכנסה שסווגה מחדש",J424)</f>
        <v>שוטף</v>
      </c>
      <c r="L424" t="s" s="141">
        <v>741</v>
      </c>
      <c r="M424" s="143" cm="1">
        <f t="array" ref="M424">IF(L424="מאושר",IF(K424="הכנסה שסווגה מחדש",0,G424),0)</f>
        <v>17</v>
      </c>
      <c r="N424" s="143" cm="1">
        <f t="array" ref="N424">IF(K424="שוטף",M424,0)</f>
        <v>17</v>
      </c>
      <c r="O424" s="143" cm="1">
        <f t="array" ref="O424">IF(K424="הכנסה שסווגה מחדש",-G424,0)</f>
        <v>0</v>
      </c>
      <c r="P424" t="s" s="86">
        <v>770</v>
      </c>
      <c r="Q424" s="99"/>
      <c r="R424" t="s" s="144">
        <v>743</v>
      </c>
      <c r="S424" s="77"/>
    </row>
    <row r="425" ht="13.65" customHeight="1">
      <c r="A425" s="78">
        <v>45778</v>
      </c>
      <c r="B425" t="s" s="79">
        <v>45</v>
      </c>
      <c r="C425" t="s" s="80">
        <v>799</v>
      </c>
      <c r="D425" s="131">
        <v>44</v>
      </c>
      <c r="E425" t="s" s="79">
        <v>751</v>
      </c>
      <c r="F425" t="s" s="80">
        <v>521</v>
      </c>
      <c r="G425" s="132">
        <v>46</v>
      </c>
      <c r="H425" t="s" s="133">
        <v>109</v>
      </c>
      <c r="I425" t="s" s="134">
        <v>109</v>
      </c>
      <c r="J425" t="s" s="134">
        <v>97</v>
      </c>
      <c r="K425" t="str" s="135" cm="1">
        <f t="array" ref="K425">IF(OR(H425="ריביות",AND(H425="דירה כצנלסון",G425&lt;0,ISNUMBER(SEARCH("הכנסה",F425)))),"הכנסה שסווגה מחדש",J425)</f>
        <v>שוטף</v>
      </c>
      <c r="L425" t="s" s="134">
        <v>741</v>
      </c>
      <c r="M425" s="136" cm="1">
        <f t="array" ref="M425">IF(L425="מאושר",IF(K425="הכנסה שסווגה מחדש",0,G425),0)</f>
        <v>46</v>
      </c>
      <c r="N425" s="136" cm="1">
        <f t="array" ref="N425">IF(K425="שוטף",M425,0)</f>
        <v>46</v>
      </c>
      <c r="O425" s="136" cm="1">
        <f t="array" ref="O425">IF(K425="הכנסה שסווגה מחדש",-G425,0)</f>
        <v>0</v>
      </c>
      <c r="P425" t="s" s="80">
        <v>770</v>
      </c>
      <c r="Q425" s="100"/>
      <c r="R425" t="s" s="137">
        <v>743</v>
      </c>
      <c r="S425" s="77"/>
    </row>
    <row r="426" ht="13.65" customHeight="1">
      <c r="A426" s="84">
        <v>45778</v>
      </c>
      <c r="B426" t="s" s="85">
        <v>45</v>
      </c>
      <c r="C426" t="s" s="86">
        <v>799</v>
      </c>
      <c r="D426" s="138">
        <v>45</v>
      </c>
      <c r="E426" t="s" s="85">
        <v>772</v>
      </c>
      <c r="F426" t="s" s="86">
        <v>231</v>
      </c>
      <c r="G426" s="139">
        <v>24</v>
      </c>
      <c r="H426" t="s" s="140">
        <v>113</v>
      </c>
      <c r="I426" t="s" s="141">
        <v>113</v>
      </c>
      <c r="J426" t="s" s="141">
        <v>97</v>
      </c>
      <c r="K426" t="str" s="142" cm="1">
        <f t="array" ref="K426">IF(OR(H426="ריביות",AND(H426="דירה כצנלסון",G426&lt;0,ISNUMBER(SEARCH("הכנסה",F426)))),"הכנסה שסווגה מחדש",J426)</f>
        <v>שוטף</v>
      </c>
      <c r="L426" t="s" s="141">
        <v>741</v>
      </c>
      <c r="M426" s="143" cm="1">
        <f t="array" ref="M426">IF(L426="מאושר",IF(K426="הכנסה שסווגה מחדש",0,G426),0)</f>
        <v>24</v>
      </c>
      <c r="N426" s="143" cm="1">
        <f t="array" ref="N426">IF(K426="שוטף",M426,0)</f>
        <v>24</v>
      </c>
      <c r="O426" s="143" cm="1">
        <f t="array" ref="O426">IF(K426="הכנסה שסווגה מחדש",-G426,0)</f>
        <v>0</v>
      </c>
      <c r="P426" t="s" s="86">
        <v>770</v>
      </c>
      <c r="Q426" s="99"/>
      <c r="R426" t="s" s="144">
        <v>743</v>
      </c>
      <c r="S426" s="77"/>
    </row>
    <row r="427" ht="13.65" customHeight="1">
      <c r="A427" s="78">
        <v>45778</v>
      </c>
      <c r="B427" t="s" s="79">
        <v>45</v>
      </c>
      <c r="C427" t="s" s="80">
        <v>799</v>
      </c>
      <c r="D427" s="131">
        <v>46</v>
      </c>
      <c r="E427" t="s" s="79">
        <v>772</v>
      </c>
      <c r="F427" t="s" s="80">
        <v>200</v>
      </c>
      <c r="G427" s="132">
        <v>49</v>
      </c>
      <c r="H427" t="s" s="133">
        <v>109</v>
      </c>
      <c r="I427" t="s" s="134">
        <v>109</v>
      </c>
      <c r="J427" t="s" s="134">
        <v>97</v>
      </c>
      <c r="K427" t="str" s="135" cm="1">
        <f t="array" ref="K427">IF(OR(H427="ריביות",AND(H427="דירה כצנלסון",G427&lt;0,ISNUMBER(SEARCH("הכנסה",F427)))),"הכנסה שסווגה מחדש",J427)</f>
        <v>שוטף</v>
      </c>
      <c r="L427" t="s" s="134">
        <v>741</v>
      </c>
      <c r="M427" s="136" cm="1">
        <f t="array" ref="M427">IF(L427="מאושר",IF(K427="הכנסה שסווגה מחדש",0,G427),0)</f>
        <v>49</v>
      </c>
      <c r="N427" s="136" cm="1">
        <f t="array" ref="N427">IF(K427="שוטף",M427,0)</f>
        <v>49</v>
      </c>
      <c r="O427" s="136" cm="1">
        <f t="array" ref="O427">IF(K427="הכנסה שסווגה מחדש",-G427,0)</f>
        <v>0</v>
      </c>
      <c r="P427" t="s" s="80">
        <v>770</v>
      </c>
      <c r="Q427" s="100"/>
      <c r="R427" t="s" s="137">
        <v>743</v>
      </c>
      <c r="S427" s="77"/>
    </row>
    <row r="428" ht="13.65" customHeight="1">
      <c r="A428" s="84">
        <v>45778</v>
      </c>
      <c r="B428" t="s" s="85">
        <v>45</v>
      </c>
      <c r="C428" t="s" s="86">
        <v>799</v>
      </c>
      <c r="D428" s="138">
        <v>47</v>
      </c>
      <c r="E428" t="s" s="85">
        <v>772</v>
      </c>
      <c r="F428" t="s" s="86">
        <v>350</v>
      </c>
      <c r="G428" s="139">
        <v>502</v>
      </c>
      <c r="H428" t="s" s="140">
        <v>105</v>
      </c>
      <c r="I428" t="s" s="141">
        <v>105</v>
      </c>
      <c r="J428" t="s" s="141">
        <v>103</v>
      </c>
      <c r="K428" t="str" s="142" cm="1">
        <f t="array" ref="K428">IF(OR(H428="ריביות",AND(H428="דירה כצנלסון",G428&lt;0,ISNUMBER(SEARCH("הכנסה",F428)))),"הכנסה שסווגה מחדש",J428)</f>
        <v>חריג</v>
      </c>
      <c r="L428" t="s" s="141">
        <v>741</v>
      </c>
      <c r="M428" s="143" cm="1">
        <f t="array" ref="M428">IF(L428="מאושר",IF(K428="הכנסה שסווגה מחדש",0,G428),0)</f>
        <v>502</v>
      </c>
      <c r="N428" s="143" cm="1">
        <f t="array" ref="N428">IF(K428="שוטף",M428,0)</f>
        <v>0</v>
      </c>
      <c r="O428" s="143" cm="1">
        <f t="array" ref="O428">IF(K428="הכנסה שסווגה מחדש",-G428,0)</f>
        <v>0</v>
      </c>
      <c r="P428" t="s" s="86">
        <v>770</v>
      </c>
      <c r="Q428" s="99"/>
      <c r="R428" t="s" s="144">
        <v>743</v>
      </c>
      <c r="S428" s="77"/>
    </row>
    <row r="429" ht="13.65" customHeight="1">
      <c r="A429" s="78">
        <v>45778</v>
      </c>
      <c r="B429" t="s" s="79">
        <v>45</v>
      </c>
      <c r="C429" t="s" s="80">
        <v>799</v>
      </c>
      <c r="D429" s="131">
        <v>49</v>
      </c>
      <c r="E429" t="s" s="79">
        <v>791</v>
      </c>
      <c r="F429" t="s" s="80">
        <v>509</v>
      </c>
      <c r="G429" s="132">
        <v>12</v>
      </c>
      <c r="H429" t="s" s="133">
        <v>109</v>
      </c>
      <c r="I429" t="s" s="134">
        <v>109</v>
      </c>
      <c r="J429" t="s" s="134">
        <v>97</v>
      </c>
      <c r="K429" t="str" s="135" cm="1">
        <f t="array" ref="K429">IF(OR(H429="ריביות",AND(H429="דירה כצנלסון",G429&lt;0,ISNUMBER(SEARCH("הכנסה",F429)))),"הכנסה שסווגה מחדש",J429)</f>
        <v>שוטף</v>
      </c>
      <c r="L429" t="s" s="134">
        <v>741</v>
      </c>
      <c r="M429" s="136" cm="1">
        <f t="array" ref="M429">IF(L429="מאושר",IF(K429="הכנסה שסווגה מחדש",0,G429),0)</f>
        <v>12</v>
      </c>
      <c r="N429" s="136" cm="1">
        <f t="array" ref="N429">IF(K429="שוטף",M429,0)</f>
        <v>12</v>
      </c>
      <c r="O429" s="136" cm="1">
        <f t="array" ref="O429">IF(K429="הכנסה שסווגה מחדש",-G429,0)</f>
        <v>0</v>
      </c>
      <c r="P429" t="s" s="80">
        <v>770</v>
      </c>
      <c r="Q429" s="100"/>
      <c r="R429" t="s" s="137">
        <v>743</v>
      </c>
      <c r="S429" s="77"/>
    </row>
    <row r="430" ht="13.65" customHeight="1">
      <c r="A430" s="84">
        <v>45778</v>
      </c>
      <c r="B430" t="s" s="85">
        <v>45</v>
      </c>
      <c r="C430" t="s" s="86">
        <v>799</v>
      </c>
      <c r="D430" s="138">
        <v>50</v>
      </c>
      <c r="E430" t="s" s="85">
        <v>791</v>
      </c>
      <c r="F430" t="s" s="86">
        <v>231</v>
      </c>
      <c r="G430" s="139">
        <v>77</v>
      </c>
      <c r="H430" t="s" s="140">
        <v>113</v>
      </c>
      <c r="I430" t="s" s="141">
        <v>113</v>
      </c>
      <c r="J430" t="s" s="141">
        <v>97</v>
      </c>
      <c r="K430" t="str" s="142" cm="1">
        <f t="array" ref="K430">IF(OR(H430="ריביות",AND(H430="דירה כצנלסון",G430&lt;0,ISNUMBER(SEARCH("הכנסה",F430)))),"הכנסה שסווגה מחדש",J430)</f>
        <v>שוטף</v>
      </c>
      <c r="L430" t="s" s="141">
        <v>741</v>
      </c>
      <c r="M430" s="143" cm="1">
        <f t="array" ref="M430">IF(L430="מאושר",IF(K430="הכנסה שסווגה מחדש",0,G430),0)</f>
        <v>77</v>
      </c>
      <c r="N430" s="143" cm="1">
        <f t="array" ref="N430">IF(K430="שוטף",M430,0)</f>
        <v>77</v>
      </c>
      <c r="O430" s="143" cm="1">
        <f t="array" ref="O430">IF(K430="הכנסה שסווגה מחדש",-G430,0)</f>
        <v>0</v>
      </c>
      <c r="P430" t="s" s="86">
        <v>770</v>
      </c>
      <c r="Q430" s="99"/>
      <c r="R430" t="s" s="144">
        <v>743</v>
      </c>
      <c r="S430" s="77"/>
    </row>
    <row r="431" ht="13.65" customHeight="1">
      <c r="A431" s="78">
        <v>45778</v>
      </c>
      <c r="B431" t="s" s="79">
        <v>45</v>
      </c>
      <c r="C431" t="s" s="80">
        <v>799</v>
      </c>
      <c r="D431" s="131">
        <v>51</v>
      </c>
      <c r="E431" t="s" s="79">
        <v>791</v>
      </c>
      <c r="F431" t="s" s="80">
        <v>200</v>
      </c>
      <c r="G431" s="132">
        <v>221</v>
      </c>
      <c r="H431" t="s" s="133">
        <v>109</v>
      </c>
      <c r="I431" t="s" s="134">
        <v>109</v>
      </c>
      <c r="J431" t="s" s="134">
        <v>97</v>
      </c>
      <c r="K431" t="str" s="135" cm="1">
        <f t="array" ref="K431">IF(OR(H431="ריביות",AND(H431="דירה כצנלסון",G431&lt;0,ISNUMBER(SEARCH("הכנסה",F431)))),"הכנסה שסווגה מחדש",J431)</f>
        <v>שוטף</v>
      </c>
      <c r="L431" t="s" s="134">
        <v>741</v>
      </c>
      <c r="M431" s="136" cm="1">
        <f t="array" ref="M431">IF(L431="מאושר",IF(K431="הכנסה שסווגה מחדש",0,G431),0)</f>
        <v>221</v>
      </c>
      <c r="N431" s="136" cm="1">
        <f t="array" ref="N431">IF(K431="שוטף",M431,0)</f>
        <v>221</v>
      </c>
      <c r="O431" s="136" cm="1">
        <f t="array" ref="O431">IF(K431="הכנסה שסווגה מחדש",-G431,0)</f>
        <v>0</v>
      </c>
      <c r="P431" t="s" s="80">
        <v>770</v>
      </c>
      <c r="Q431" s="100"/>
      <c r="R431" t="s" s="137">
        <v>743</v>
      </c>
      <c r="S431" s="77"/>
    </row>
    <row r="432" ht="13.65" customHeight="1">
      <c r="A432" s="84">
        <v>45778</v>
      </c>
      <c r="B432" t="s" s="85">
        <v>45</v>
      </c>
      <c r="C432" t="s" s="86">
        <v>799</v>
      </c>
      <c r="D432" s="138">
        <v>52</v>
      </c>
      <c r="E432" t="s" s="85">
        <v>766</v>
      </c>
      <c r="F432" t="s" s="86">
        <v>200</v>
      </c>
      <c r="G432" s="139">
        <v>260</v>
      </c>
      <c r="H432" t="s" s="140">
        <v>109</v>
      </c>
      <c r="I432" t="s" s="141">
        <v>109</v>
      </c>
      <c r="J432" t="s" s="141">
        <v>97</v>
      </c>
      <c r="K432" t="str" s="142" cm="1">
        <f t="array" ref="K432">IF(OR(H432="ריביות",AND(H432="דירה כצנלסון",G432&lt;0,ISNUMBER(SEARCH("הכנסה",F432)))),"הכנסה שסווגה מחדש",J432)</f>
        <v>שוטף</v>
      </c>
      <c r="L432" t="s" s="141">
        <v>741</v>
      </c>
      <c r="M432" s="143" cm="1">
        <f t="array" ref="M432">IF(L432="מאושר",IF(K432="הכנסה שסווגה מחדש",0,G432),0)</f>
        <v>260</v>
      </c>
      <c r="N432" s="143" cm="1">
        <f t="array" ref="N432">IF(K432="שוטף",M432,0)</f>
        <v>260</v>
      </c>
      <c r="O432" s="143" cm="1">
        <f t="array" ref="O432">IF(K432="הכנסה שסווגה מחדש",-G432,0)</f>
        <v>0</v>
      </c>
      <c r="P432" t="s" s="86">
        <v>770</v>
      </c>
      <c r="Q432" s="99"/>
      <c r="R432" t="s" s="144">
        <v>743</v>
      </c>
      <c r="S432" s="77"/>
    </row>
    <row r="433" ht="13.65" customHeight="1">
      <c r="A433" s="78">
        <v>45778</v>
      </c>
      <c r="B433" t="s" s="79">
        <v>45</v>
      </c>
      <c r="C433" t="s" s="80">
        <v>799</v>
      </c>
      <c r="D433" s="131">
        <v>53</v>
      </c>
      <c r="E433" t="s" s="79">
        <v>765</v>
      </c>
      <c r="F433" t="s" s="80">
        <v>200</v>
      </c>
      <c r="G433" s="132">
        <v>-29</v>
      </c>
      <c r="H433" t="s" s="133">
        <v>109</v>
      </c>
      <c r="I433" t="s" s="134">
        <v>109</v>
      </c>
      <c r="J433" t="s" s="134">
        <v>97</v>
      </c>
      <c r="K433" t="str" s="135" cm="1">
        <f t="array" ref="K433">IF(OR(H433="ריביות",AND(H433="דירה כצנלסון",G433&lt;0,ISNUMBER(SEARCH("הכנסה",F433)))),"הכנסה שסווגה מחדש",J433)</f>
        <v>שוטף</v>
      </c>
      <c r="L433" t="s" s="134">
        <v>741</v>
      </c>
      <c r="M433" s="136" cm="1">
        <f t="array" ref="M433">IF(L433="מאושר",IF(K433="הכנסה שסווגה מחדש",0,G433),0)</f>
        <v>-29</v>
      </c>
      <c r="N433" s="136" cm="1">
        <f t="array" ref="N433">IF(K433="שוטף",M433,0)</f>
        <v>-29</v>
      </c>
      <c r="O433" s="136" cm="1">
        <f t="array" ref="O433">IF(K433="הכנסה שסווגה מחדש",-G433,0)</f>
        <v>0</v>
      </c>
      <c r="P433" t="s" s="80">
        <v>770</v>
      </c>
      <c r="Q433" s="100"/>
      <c r="R433" t="s" s="137">
        <v>743</v>
      </c>
      <c r="S433" s="77"/>
    </row>
    <row r="434" ht="13.65" customHeight="1">
      <c r="A434" s="84">
        <v>45778</v>
      </c>
      <c r="B434" t="s" s="85">
        <v>45</v>
      </c>
      <c r="C434" t="s" s="86">
        <v>799</v>
      </c>
      <c r="D434" s="138">
        <v>54</v>
      </c>
      <c r="E434" t="s" s="85">
        <v>765</v>
      </c>
      <c r="F434" t="s" s="86">
        <v>269</v>
      </c>
      <c r="G434" s="139">
        <v>90</v>
      </c>
      <c r="H434" t="s" s="140">
        <v>113</v>
      </c>
      <c r="I434" t="s" s="141">
        <v>113</v>
      </c>
      <c r="J434" t="s" s="141">
        <v>97</v>
      </c>
      <c r="K434" t="str" s="142" cm="1">
        <f t="array" ref="K434">IF(OR(H434="ריביות",AND(H434="דירה כצנלסון",G434&lt;0,ISNUMBER(SEARCH("הכנסה",F434)))),"הכנסה שסווגה מחדש",J434)</f>
        <v>שוטף</v>
      </c>
      <c r="L434" t="s" s="141">
        <v>741</v>
      </c>
      <c r="M434" s="143" cm="1">
        <f t="array" ref="M434">IF(L434="מאושר",IF(K434="הכנסה שסווגה מחדש",0,G434),0)</f>
        <v>90</v>
      </c>
      <c r="N434" s="143" cm="1">
        <f t="array" ref="N434">IF(K434="שוטף",M434,0)</f>
        <v>90</v>
      </c>
      <c r="O434" s="143" cm="1">
        <f t="array" ref="O434">IF(K434="הכנסה שסווגה מחדש",-G434,0)</f>
        <v>0</v>
      </c>
      <c r="P434" t="s" s="86">
        <v>770</v>
      </c>
      <c r="Q434" s="99"/>
      <c r="R434" t="s" s="144">
        <v>743</v>
      </c>
      <c r="S434" s="77"/>
    </row>
    <row r="435" ht="13.65" customHeight="1">
      <c r="A435" s="78">
        <v>45778</v>
      </c>
      <c r="B435" t="s" s="79">
        <v>45</v>
      </c>
      <c r="C435" t="s" s="80">
        <v>799</v>
      </c>
      <c r="D435" s="131">
        <v>55</v>
      </c>
      <c r="E435" t="s" s="79">
        <v>765</v>
      </c>
      <c r="F435" t="s" s="80">
        <v>200</v>
      </c>
      <c r="G435" s="132">
        <v>118</v>
      </c>
      <c r="H435" t="s" s="133">
        <v>109</v>
      </c>
      <c r="I435" t="s" s="134">
        <v>109</v>
      </c>
      <c r="J435" t="s" s="134">
        <v>97</v>
      </c>
      <c r="K435" t="str" s="135" cm="1">
        <f t="array" ref="K435">IF(OR(H435="ריביות",AND(H435="דירה כצנלסון",G435&lt;0,ISNUMBER(SEARCH("הכנסה",F435)))),"הכנסה שסווגה מחדש",J435)</f>
        <v>שוטף</v>
      </c>
      <c r="L435" t="s" s="134">
        <v>741</v>
      </c>
      <c r="M435" s="136" cm="1">
        <f t="array" ref="M435">IF(L435="מאושר",IF(K435="הכנסה שסווגה מחדש",0,G435),0)</f>
        <v>118</v>
      </c>
      <c r="N435" s="136" cm="1">
        <f t="array" ref="N435">IF(K435="שוטף",M435,0)</f>
        <v>118</v>
      </c>
      <c r="O435" s="136" cm="1">
        <f t="array" ref="O435">IF(K435="הכנסה שסווגה מחדש",-G435,0)</f>
        <v>0</v>
      </c>
      <c r="P435" t="s" s="80">
        <v>770</v>
      </c>
      <c r="Q435" s="100"/>
      <c r="R435" t="s" s="137">
        <v>743</v>
      </c>
      <c r="S435" s="77"/>
    </row>
    <row r="436" ht="13.65" customHeight="1">
      <c r="A436" s="84">
        <v>45778</v>
      </c>
      <c r="B436" t="s" s="85">
        <v>45</v>
      </c>
      <c r="C436" t="s" s="86">
        <v>799</v>
      </c>
      <c r="D436" s="138">
        <v>56</v>
      </c>
      <c r="E436" t="s" s="85">
        <v>759</v>
      </c>
      <c r="F436" t="s" s="86">
        <v>269</v>
      </c>
      <c r="G436" s="139">
        <v>85</v>
      </c>
      <c r="H436" t="s" s="140">
        <v>113</v>
      </c>
      <c r="I436" t="s" s="141">
        <v>113</v>
      </c>
      <c r="J436" t="s" s="141">
        <v>97</v>
      </c>
      <c r="K436" t="str" s="142" cm="1">
        <f t="array" ref="K436">IF(OR(H436="ריביות",AND(H436="דירה כצנלסון",G436&lt;0,ISNUMBER(SEARCH("הכנסה",F436)))),"הכנסה שסווגה מחדש",J436)</f>
        <v>שוטף</v>
      </c>
      <c r="L436" t="s" s="141">
        <v>741</v>
      </c>
      <c r="M436" s="143" cm="1">
        <f t="array" ref="M436">IF(L436="מאושר",IF(K436="הכנסה שסווגה מחדש",0,G436),0)</f>
        <v>85</v>
      </c>
      <c r="N436" s="143" cm="1">
        <f t="array" ref="N436">IF(K436="שוטף",M436,0)</f>
        <v>85</v>
      </c>
      <c r="O436" s="143" cm="1">
        <f t="array" ref="O436">IF(K436="הכנסה שסווגה מחדש",-G436,0)</f>
        <v>0</v>
      </c>
      <c r="P436" t="s" s="86">
        <v>770</v>
      </c>
      <c r="Q436" s="99"/>
      <c r="R436" t="s" s="144">
        <v>743</v>
      </c>
      <c r="S436" s="77"/>
    </row>
    <row r="437" ht="13.65" customHeight="1">
      <c r="A437" s="78">
        <v>45778</v>
      </c>
      <c r="B437" t="s" s="79">
        <v>45</v>
      </c>
      <c r="C437" t="s" s="80">
        <v>799</v>
      </c>
      <c r="D437" s="131">
        <v>57</v>
      </c>
      <c r="E437" t="s" s="79">
        <v>775</v>
      </c>
      <c r="F437" t="s" s="80">
        <v>231</v>
      </c>
      <c r="G437" s="132">
        <v>50</v>
      </c>
      <c r="H437" t="s" s="133">
        <v>113</v>
      </c>
      <c r="I437" t="s" s="134">
        <v>113</v>
      </c>
      <c r="J437" t="s" s="134">
        <v>97</v>
      </c>
      <c r="K437" t="str" s="135" cm="1">
        <f t="array" ref="K437">IF(OR(H437="ריביות",AND(H437="דירה כצנלסון",G437&lt;0,ISNUMBER(SEARCH("הכנסה",F437)))),"הכנסה שסווגה מחדש",J437)</f>
        <v>שוטף</v>
      </c>
      <c r="L437" t="s" s="134">
        <v>741</v>
      </c>
      <c r="M437" s="136" cm="1">
        <f t="array" ref="M437">IF(L437="מאושר",IF(K437="הכנסה שסווגה מחדש",0,G437),0)</f>
        <v>50</v>
      </c>
      <c r="N437" s="136" cm="1">
        <f t="array" ref="N437">IF(K437="שוטף",M437,0)</f>
        <v>50</v>
      </c>
      <c r="O437" s="136" cm="1">
        <f t="array" ref="O437">IF(K437="הכנסה שסווגה מחדש",-G437,0)</f>
        <v>0</v>
      </c>
      <c r="P437" t="s" s="80">
        <v>770</v>
      </c>
      <c r="Q437" s="100"/>
      <c r="R437" t="s" s="137">
        <v>743</v>
      </c>
      <c r="S437" s="77"/>
    </row>
    <row r="438" ht="13.65" customHeight="1">
      <c r="A438" s="84">
        <v>45778</v>
      </c>
      <c r="B438" t="s" s="85">
        <v>45</v>
      </c>
      <c r="C438" t="s" s="86">
        <v>799</v>
      </c>
      <c r="D438" s="138">
        <v>58</v>
      </c>
      <c r="E438" t="s" s="85">
        <v>775</v>
      </c>
      <c r="F438" t="s" s="86">
        <v>200</v>
      </c>
      <c r="G438" s="139">
        <v>660</v>
      </c>
      <c r="H438" t="s" s="140">
        <v>109</v>
      </c>
      <c r="I438" t="s" s="141">
        <v>109</v>
      </c>
      <c r="J438" t="s" s="141">
        <v>97</v>
      </c>
      <c r="K438" t="str" s="142" cm="1">
        <f t="array" ref="K438">IF(OR(H438="ריביות",AND(H438="דירה כצנלסון",G438&lt;0,ISNUMBER(SEARCH("הכנסה",F438)))),"הכנסה שסווגה מחדש",J438)</f>
        <v>שוטף</v>
      </c>
      <c r="L438" t="s" s="141">
        <v>741</v>
      </c>
      <c r="M438" s="143" cm="1">
        <f t="array" ref="M438">IF(L438="מאושר",IF(K438="הכנסה שסווגה מחדש",0,G438),0)</f>
        <v>660</v>
      </c>
      <c r="N438" s="143" cm="1">
        <f t="array" ref="N438">IF(K438="שוטף",M438,0)</f>
        <v>660</v>
      </c>
      <c r="O438" s="143" cm="1">
        <f t="array" ref="O438">IF(K438="הכנסה שסווגה מחדש",-G438,0)</f>
        <v>0</v>
      </c>
      <c r="P438" t="s" s="86">
        <v>770</v>
      </c>
      <c r="Q438" s="99"/>
      <c r="R438" t="s" s="144">
        <v>743</v>
      </c>
      <c r="S438" s="77"/>
    </row>
    <row r="439" ht="13.65" customHeight="1">
      <c r="A439" s="78">
        <v>45778</v>
      </c>
      <c r="B439" t="s" s="79">
        <v>45</v>
      </c>
      <c r="C439" t="s" s="80">
        <v>799</v>
      </c>
      <c r="D439" s="131">
        <v>59</v>
      </c>
      <c r="E439" t="s" s="79">
        <v>775</v>
      </c>
      <c r="F439" t="s" s="80">
        <v>200</v>
      </c>
      <c r="G439" s="132">
        <v>58</v>
      </c>
      <c r="H439" t="s" s="133">
        <v>109</v>
      </c>
      <c r="I439" t="s" s="134">
        <v>109</v>
      </c>
      <c r="J439" t="s" s="134">
        <v>97</v>
      </c>
      <c r="K439" t="str" s="135" cm="1">
        <f t="array" ref="K439">IF(OR(H439="ריביות",AND(H439="דירה כצנלסון",G439&lt;0,ISNUMBER(SEARCH("הכנסה",F439)))),"הכנסה שסווגה מחדש",J439)</f>
        <v>שוטף</v>
      </c>
      <c r="L439" t="s" s="134">
        <v>741</v>
      </c>
      <c r="M439" s="136" cm="1">
        <f t="array" ref="M439">IF(L439="מאושר",IF(K439="הכנסה שסווגה מחדש",0,G439),0)</f>
        <v>58</v>
      </c>
      <c r="N439" s="136" cm="1">
        <f t="array" ref="N439">IF(K439="שוטף",M439,0)</f>
        <v>58</v>
      </c>
      <c r="O439" s="136" cm="1">
        <f t="array" ref="O439">IF(K439="הכנסה שסווגה מחדש",-G439,0)</f>
        <v>0</v>
      </c>
      <c r="P439" t="s" s="80">
        <v>770</v>
      </c>
      <c r="Q439" s="100"/>
      <c r="R439" t="s" s="137">
        <v>743</v>
      </c>
      <c r="S439" s="77"/>
    </row>
    <row r="440" ht="13.65" customHeight="1">
      <c r="A440" s="84">
        <v>45778</v>
      </c>
      <c r="B440" t="s" s="85">
        <v>45</v>
      </c>
      <c r="C440" t="s" s="86">
        <v>799</v>
      </c>
      <c r="D440" s="138">
        <v>60</v>
      </c>
      <c r="E440" t="s" s="85">
        <v>764</v>
      </c>
      <c r="F440" t="s" s="86">
        <v>231</v>
      </c>
      <c r="G440" s="139">
        <v>73</v>
      </c>
      <c r="H440" t="s" s="140">
        <v>113</v>
      </c>
      <c r="I440" t="s" s="141">
        <v>113</v>
      </c>
      <c r="J440" t="s" s="141">
        <v>97</v>
      </c>
      <c r="K440" t="str" s="142" cm="1">
        <f t="array" ref="K440">IF(OR(H440="ריביות",AND(H440="דירה כצנלסון",G440&lt;0,ISNUMBER(SEARCH("הכנסה",F440)))),"הכנסה שסווגה מחדש",J440)</f>
        <v>שוטף</v>
      </c>
      <c r="L440" t="s" s="141">
        <v>741</v>
      </c>
      <c r="M440" s="143" cm="1">
        <f t="array" ref="M440">IF(L440="מאושר",IF(K440="הכנסה שסווגה מחדש",0,G440),0)</f>
        <v>73</v>
      </c>
      <c r="N440" s="143" cm="1">
        <f t="array" ref="N440">IF(K440="שוטף",M440,0)</f>
        <v>73</v>
      </c>
      <c r="O440" s="143" cm="1">
        <f t="array" ref="O440">IF(K440="הכנסה שסווגה מחדש",-G440,0)</f>
        <v>0</v>
      </c>
      <c r="P440" t="s" s="86">
        <v>770</v>
      </c>
      <c r="Q440" s="99"/>
      <c r="R440" t="s" s="144">
        <v>743</v>
      </c>
      <c r="S440" s="77"/>
    </row>
    <row r="441" ht="13.65" customHeight="1">
      <c r="A441" s="78">
        <v>45778</v>
      </c>
      <c r="B441" t="s" s="79">
        <v>45</v>
      </c>
      <c r="C441" t="s" s="80">
        <v>799</v>
      </c>
      <c r="D441" s="131">
        <v>61</v>
      </c>
      <c r="E441" t="s" s="79">
        <v>756</v>
      </c>
      <c r="F441" t="s" s="80">
        <v>321</v>
      </c>
      <c r="G441" s="132">
        <v>700</v>
      </c>
      <c r="H441" t="s" s="133">
        <v>125</v>
      </c>
      <c r="I441" t="s" s="134">
        <v>125</v>
      </c>
      <c r="J441" t="s" s="134">
        <v>97</v>
      </c>
      <c r="K441" t="str" s="135" cm="1">
        <f t="array" ref="K441">IF(OR(H441="ריביות",AND(H441="דירה כצנלסון",G441&lt;0,ISNUMBER(SEARCH("הכנסה",F441)))),"הכנסה שסווגה מחדש",J441)</f>
        <v>שוטף</v>
      </c>
      <c r="L441" t="s" s="134">
        <v>741</v>
      </c>
      <c r="M441" s="136" cm="1">
        <f t="array" ref="M441">IF(L441="מאושר",IF(K441="הכנסה שסווגה מחדש",0,G441),0)</f>
        <v>700</v>
      </c>
      <c r="N441" s="136" cm="1">
        <f t="array" ref="N441">IF(K441="שוטף",M441,0)</f>
        <v>700</v>
      </c>
      <c r="O441" s="136" cm="1">
        <f t="array" ref="O441">IF(K441="הכנסה שסווגה מחדש",-G441,0)</f>
        <v>0</v>
      </c>
      <c r="P441" t="s" s="80">
        <v>770</v>
      </c>
      <c r="Q441" s="100"/>
      <c r="R441" t="s" s="137">
        <v>743</v>
      </c>
      <c r="S441" s="77"/>
    </row>
    <row r="442" ht="13.65" customHeight="1">
      <c r="A442" s="84">
        <v>45778</v>
      </c>
      <c r="B442" t="s" s="85">
        <v>45</v>
      </c>
      <c r="C442" t="s" s="86">
        <v>799</v>
      </c>
      <c r="D442" s="138">
        <v>62</v>
      </c>
      <c r="E442" t="s" s="85">
        <v>756</v>
      </c>
      <c r="F442" t="s" s="86">
        <v>269</v>
      </c>
      <c r="G442" s="139">
        <v>90</v>
      </c>
      <c r="H442" t="s" s="140">
        <v>113</v>
      </c>
      <c r="I442" t="s" s="141">
        <v>113</v>
      </c>
      <c r="J442" t="s" s="141">
        <v>97</v>
      </c>
      <c r="K442" t="str" s="142" cm="1">
        <f t="array" ref="K442">IF(OR(H442="ריביות",AND(H442="דירה כצנלסון",G442&lt;0,ISNUMBER(SEARCH("הכנסה",F442)))),"הכנסה שסווגה מחדש",J442)</f>
        <v>שוטף</v>
      </c>
      <c r="L442" t="s" s="141">
        <v>741</v>
      </c>
      <c r="M442" s="143" cm="1">
        <f t="array" ref="M442">IF(L442="מאושר",IF(K442="הכנסה שסווגה מחדש",0,G442),0)</f>
        <v>90</v>
      </c>
      <c r="N442" s="143" cm="1">
        <f t="array" ref="N442">IF(K442="שוטף",M442,0)</f>
        <v>90</v>
      </c>
      <c r="O442" s="143" cm="1">
        <f t="array" ref="O442">IF(K442="הכנסה שסווגה מחדש",-G442,0)</f>
        <v>0</v>
      </c>
      <c r="P442" t="s" s="86">
        <v>770</v>
      </c>
      <c r="Q442" s="99"/>
      <c r="R442" t="s" s="144">
        <v>743</v>
      </c>
      <c r="S442" s="77"/>
    </row>
    <row r="443" ht="13.65" customHeight="1">
      <c r="A443" s="78">
        <v>45778</v>
      </c>
      <c r="B443" t="s" s="79">
        <v>45</v>
      </c>
      <c r="C443" t="s" s="80">
        <v>799</v>
      </c>
      <c r="D443" s="131">
        <v>63</v>
      </c>
      <c r="E443" t="s" s="79">
        <v>776</v>
      </c>
      <c r="F443" t="s" s="80">
        <v>231</v>
      </c>
      <c r="G443" s="132">
        <v>21</v>
      </c>
      <c r="H443" t="s" s="133">
        <v>113</v>
      </c>
      <c r="I443" t="s" s="134">
        <v>113</v>
      </c>
      <c r="J443" t="s" s="134">
        <v>97</v>
      </c>
      <c r="K443" t="str" s="135" cm="1">
        <f t="array" ref="K443">IF(OR(H443="ריביות",AND(H443="דירה כצנלסון",G443&lt;0,ISNUMBER(SEARCH("הכנסה",F443)))),"הכנסה שסווגה מחדש",J443)</f>
        <v>שוטף</v>
      </c>
      <c r="L443" t="s" s="134">
        <v>741</v>
      </c>
      <c r="M443" s="136" cm="1">
        <f t="array" ref="M443">IF(L443="מאושר",IF(K443="הכנסה שסווגה מחדש",0,G443),0)</f>
        <v>21</v>
      </c>
      <c r="N443" s="136" cm="1">
        <f t="array" ref="N443">IF(K443="שוטף",M443,0)</f>
        <v>21</v>
      </c>
      <c r="O443" s="136" cm="1">
        <f t="array" ref="O443">IF(K443="הכנסה שסווגה מחדש",-G443,0)</f>
        <v>0</v>
      </c>
      <c r="P443" t="s" s="80">
        <v>770</v>
      </c>
      <c r="Q443" s="100"/>
      <c r="R443" t="s" s="137">
        <v>743</v>
      </c>
      <c r="S443" s="77"/>
    </row>
    <row r="444" ht="13.65" customHeight="1">
      <c r="A444" s="84">
        <v>45778</v>
      </c>
      <c r="B444" t="s" s="85">
        <v>45</v>
      </c>
      <c r="C444" t="s" s="86">
        <v>799</v>
      </c>
      <c r="D444" s="138">
        <v>64</v>
      </c>
      <c r="E444" t="s" s="85">
        <v>776</v>
      </c>
      <c r="F444" t="s" s="86">
        <v>200</v>
      </c>
      <c r="G444" s="139">
        <v>66</v>
      </c>
      <c r="H444" t="s" s="140">
        <v>109</v>
      </c>
      <c r="I444" t="s" s="141">
        <v>109</v>
      </c>
      <c r="J444" t="s" s="141">
        <v>97</v>
      </c>
      <c r="K444" t="str" s="142" cm="1">
        <f t="array" ref="K444">IF(OR(H444="ריביות",AND(H444="דירה כצנלסון",G444&lt;0,ISNUMBER(SEARCH("הכנסה",F444)))),"הכנסה שסווגה מחדש",J444)</f>
        <v>שוטף</v>
      </c>
      <c r="L444" t="s" s="141">
        <v>741</v>
      </c>
      <c r="M444" s="143" cm="1">
        <f t="array" ref="M444">IF(L444="מאושר",IF(K444="הכנסה שסווגה מחדש",0,G444),0)</f>
        <v>66</v>
      </c>
      <c r="N444" s="143" cm="1">
        <f t="array" ref="N444">IF(K444="שוטף",M444,0)</f>
        <v>66</v>
      </c>
      <c r="O444" s="143" cm="1">
        <f t="array" ref="O444">IF(K444="הכנסה שסווגה מחדש",-G444,0)</f>
        <v>0</v>
      </c>
      <c r="P444" t="s" s="86">
        <v>770</v>
      </c>
      <c r="Q444" s="99"/>
      <c r="R444" t="s" s="144">
        <v>743</v>
      </c>
      <c r="S444" s="77"/>
    </row>
    <row r="445" ht="13.65" customHeight="1">
      <c r="A445" s="78">
        <v>45778</v>
      </c>
      <c r="B445" t="s" s="79">
        <v>45</v>
      </c>
      <c r="C445" t="s" s="80">
        <v>799</v>
      </c>
      <c r="D445" s="131">
        <v>65</v>
      </c>
      <c r="E445" t="s" s="79">
        <v>749</v>
      </c>
      <c r="F445" t="s" s="80">
        <v>426</v>
      </c>
      <c r="G445" s="132">
        <v>120</v>
      </c>
      <c r="H445" t="s" s="133">
        <v>105</v>
      </c>
      <c r="I445" t="s" s="134">
        <v>105</v>
      </c>
      <c r="J445" t="s" s="134">
        <v>103</v>
      </c>
      <c r="K445" t="str" s="135" cm="1">
        <f t="array" ref="K445">IF(OR(H445="ריביות",AND(H445="דירה כצנלסון",G445&lt;0,ISNUMBER(SEARCH("הכנסה",F445)))),"הכנסה שסווגה מחדש",J445)</f>
        <v>חריג</v>
      </c>
      <c r="L445" t="s" s="134">
        <v>741</v>
      </c>
      <c r="M445" s="136" cm="1">
        <f t="array" ref="M445">IF(L445="מאושר",IF(K445="הכנסה שסווגה מחדש",0,G445),0)</f>
        <v>120</v>
      </c>
      <c r="N445" s="136" cm="1">
        <f t="array" ref="N445">IF(K445="שוטף",M445,0)</f>
        <v>0</v>
      </c>
      <c r="O445" s="136" cm="1">
        <f t="array" ref="O445">IF(K445="הכנסה שסווגה מחדש",-G445,0)</f>
        <v>0</v>
      </c>
      <c r="P445" t="s" s="80">
        <v>783</v>
      </c>
      <c r="Q445" s="100"/>
      <c r="R445" t="s" s="137">
        <v>743</v>
      </c>
      <c r="S445" s="77"/>
    </row>
    <row r="446" ht="13.65" customHeight="1">
      <c r="A446" s="84">
        <v>45778</v>
      </c>
      <c r="B446" t="s" s="85">
        <v>45</v>
      </c>
      <c r="C446" t="s" s="86">
        <v>799</v>
      </c>
      <c r="D446" s="138">
        <v>66</v>
      </c>
      <c r="E446" t="s" s="85">
        <v>772</v>
      </c>
      <c r="F446" t="s" s="86">
        <v>616</v>
      </c>
      <c r="G446" s="139">
        <v>45</v>
      </c>
      <c r="H446" t="s" s="140">
        <v>105</v>
      </c>
      <c r="I446" t="s" s="141">
        <v>105</v>
      </c>
      <c r="J446" t="s" s="141">
        <v>103</v>
      </c>
      <c r="K446" t="str" s="142" cm="1">
        <f t="array" ref="K446">IF(OR(H446="ריביות",AND(H446="דירה כצנלסון",G446&lt;0,ISNUMBER(SEARCH("הכנסה",F446)))),"הכנסה שסווגה מחדש",J446)</f>
        <v>חריג</v>
      </c>
      <c r="L446" t="s" s="141">
        <v>741</v>
      </c>
      <c r="M446" s="143" cm="1">
        <f t="array" ref="M446">IF(L446="מאושר",IF(K446="הכנסה שסווגה מחדש",0,G446),0)</f>
        <v>45</v>
      </c>
      <c r="N446" s="143" cm="1">
        <f t="array" ref="N446">IF(K446="שוטף",M446,0)</f>
        <v>0</v>
      </c>
      <c r="O446" s="143" cm="1">
        <f t="array" ref="O446">IF(K446="הכנסה שסווגה מחדש",-G446,0)</f>
        <v>0</v>
      </c>
      <c r="P446" t="s" s="86">
        <v>783</v>
      </c>
      <c r="Q446" s="99"/>
      <c r="R446" t="s" s="144">
        <v>743</v>
      </c>
      <c r="S446" s="77"/>
    </row>
    <row r="447" ht="13.65" customHeight="1">
      <c r="A447" s="78">
        <v>45778</v>
      </c>
      <c r="B447" t="s" s="79">
        <v>45</v>
      </c>
      <c r="C447" t="s" s="80">
        <v>799</v>
      </c>
      <c r="D447" s="131">
        <v>67</v>
      </c>
      <c r="E447" t="s" s="79">
        <v>765</v>
      </c>
      <c r="F447" t="s" s="80">
        <v>395</v>
      </c>
      <c r="G447" s="132">
        <v>42</v>
      </c>
      <c r="H447" t="s" s="133">
        <v>115</v>
      </c>
      <c r="I447" t="s" s="134">
        <v>115</v>
      </c>
      <c r="J447" t="s" s="134">
        <v>97</v>
      </c>
      <c r="K447" t="str" s="135" cm="1">
        <f t="array" ref="K447">IF(OR(H447="ריביות",AND(H447="דירה כצנלסון",G447&lt;0,ISNUMBER(SEARCH("הכנסה",F447)))),"הכנסה שסווגה מחדש",J447)</f>
        <v>שוטף</v>
      </c>
      <c r="L447" t="s" s="134">
        <v>741</v>
      </c>
      <c r="M447" s="136" cm="1">
        <f t="array" ref="M447">IF(L447="מאושר",IF(K447="הכנסה שסווגה מחדש",0,G447),0)</f>
        <v>42</v>
      </c>
      <c r="N447" s="136" cm="1">
        <f t="array" ref="N447">IF(K447="שוטף",M447,0)</f>
        <v>42</v>
      </c>
      <c r="O447" s="136" cm="1">
        <f t="array" ref="O447">IF(K447="הכנסה שסווגה מחדש",-G447,0)</f>
        <v>0</v>
      </c>
      <c r="P447" t="s" s="80">
        <v>783</v>
      </c>
      <c r="Q447" s="100"/>
      <c r="R447" t="s" s="137">
        <v>743</v>
      </c>
      <c r="S447" s="77"/>
    </row>
    <row r="448" ht="13.65" customHeight="1">
      <c r="A448" s="84">
        <v>45778</v>
      </c>
      <c r="B448" t="s" s="85">
        <v>45</v>
      </c>
      <c r="C448" t="s" s="86">
        <v>799</v>
      </c>
      <c r="D448" s="138">
        <v>68</v>
      </c>
      <c r="E448" t="s" s="85">
        <v>775</v>
      </c>
      <c r="F448" t="s" s="86">
        <v>590</v>
      </c>
      <c r="G448" s="139">
        <v>60</v>
      </c>
      <c r="H448" t="s" s="140">
        <v>105</v>
      </c>
      <c r="I448" t="s" s="141">
        <v>105</v>
      </c>
      <c r="J448" t="s" s="141">
        <v>103</v>
      </c>
      <c r="K448" t="str" s="142" cm="1">
        <f t="array" ref="K448">IF(OR(H448="ריביות",AND(H448="דירה כצנלסון",G448&lt;0,ISNUMBER(SEARCH("הכנסה",F448)))),"הכנסה שסווגה מחדש",J448)</f>
        <v>חריג</v>
      </c>
      <c r="L448" t="s" s="141">
        <v>741</v>
      </c>
      <c r="M448" s="143" cm="1">
        <f t="array" ref="M448">IF(L448="מאושר",IF(K448="הכנסה שסווגה מחדש",0,G448),0)</f>
        <v>60</v>
      </c>
      <c r="N448" s="143" cm="1">
        <f t="array" ref="N448">IF(K448="שוטף",M448,0)</f>
        <v>0</v>
      </c>
      <c r="O448" s="143" cm="1">
        <f t="array" ref="O448">IF(K448="הכנסה שסווגה מחדש",-G448,0)</f>
        <v>0</v>
      </c>
      <c r="P448" t="s" s="86">
        <v>783</v>
      </c>
      <c r="Q448" s="99"/>
      <c r="R448" t="s" s="144">
        <v>743</v>
      </c>
      <c r="S448" s="77"/>
    </row>
    <row r="449" ht="13.65" customHeight="1">
      <c r="A449" s="78">
        <v>45778</v>
      </c>
      <c r="B449" t="s" s="79">
        <v>45</v>
      </c>
      <c r="C449" t="s" s="80">
        <v>799</v>
      </c>
      <c r="D449" s="131">
        <v>69</v>
      </c>
      <c r="E449" t="s" s="79">
        <v>764</v>
      </c>
      <c r="F449" t="s" s="80">
        <v>248</v>
      </c>
      <c r="G449" s="132">
        <v>2120</v>
      </c>
      <c r="H449" t="s" s="133">
        <v>210</v>
      </c>
      <c r="I449" t="s" s="134">
        <v>102</v>
      </c>
      <c r="J449" t="s" s="134">
        <v>103</v>
      </c>
      <c r="K449" t="str" s="135" cm="1">
        <f t="array" ref="K449">IF(OR(H449="ריביות",AND(H449="דירה כצנלסון",G449&lt;0,ISNUMBER(SEARCH("הכנסה",F449)))),"הכנסה שסווגה מחדש",J449)</f>
        <v>חריג</v>
      </c>
      <c r="L449" t="s" s="134">
        <v>741</v>
      </c>
      <c r="M449" s="136" cm="1">
        <f t="array" ref="M449">IF(L449="מאושר",IF(K449="הכנסה שסווגה מחדש",0,G449),0)</f>
        <v>2120</v>
      </c>
      <c r="N449" s="136" cm="1">
        <f t="array" ref="N449">IF(K449="שוטף",M449,0)</f>
        <v>0</v>
      </c>
      <c r="O449" s="136" cm="1">
        <f t="array" ref="O449">IF(K449="הכנסה שסווגה מחדש",-G449,0)</f>
        <v>0</v>
      </c>
      <c r="P449" t="s" s="80">
        <v>782</v>
      </c>
      <c r="Q449" s="100"/>
      <c r="R449" t="s" s="137">
        <v>743</v>
      </c>
      <c r="S449" s="77"/>
    </row>
    <row r="450" ht="13.65" customHeight="1">
      <c r="A450" s="84">
        <v>45778</v>
      </c>
      <c r="B450" t="s" s="85">
        <v>45</v>
      </c>
      <c r="C450" t="s" s="86">
        <v>799</v>
      </c>
      <c r="D450" s="138">
        <v>70</v>
      </c>
      <c r="E450" t="s" s="85">
        <v>42</v>
      </c>
      <c r="F450" t="s" s="86">
        <v>355</v>
      </c>
      <c r="G450" s="139">
        <v>22</v>
      </c>
      <c r="H450" t="s" s="140">
        <v>113</v>
      </c>
      <c r="I450" t="s" s="141">
        <v>113</v>
      </c>
      <c r="J450" t="s" s="141">
        <v>97</v>
      </c>
      <c r="K450" t="str" s="142" cm="1">
        <f t="array" ref="K450">IF(OR(H450="ריביות",AND(H450="דירה כצנלסון",G450&lt;0,ISNUMBER(SEARCH("הכנסה",F450)))),"הכנסה שסווגה מחדש",J450)</f>
        <v>שוטף</v>
      </c>
      <c r="L450" t="s" s="141">
        <v>741</v>
      </c>
      <c r="M450" s="143" cm="1">
        <f t="array" ref="M450">IF(L450="מאושר",IF(K450="הכנסה שסווגה מחדש",0,G450),0)</f>
        <v>22</v>
      </c>
      <c r="N450" s="143" cm="1">
        <f t="array" ref="N450">IF(K450="שוטף",M450,0)</f>
        <v>22</v>
      </c>
      <c r="O450" s="143" cm="1">
        <f t="array" ref="O450">IF(K450="הכנסה שסווגה מחדש",-G450,0)</f>
        <v>0</v>
      </c>
      <c r="P450" t="s" s="86">
        <v>800</v>
      </c>
      <c r="Q450" s="99"/>
      <c r="R450" t="s" s="144">
        <v>743</v>
      </c>
      <c r="S450" s="77"/>
    </row>
    <row r="451" ht="13.65" customHeight="1">
      <c r="A451" s="78">
        <v>45778</v>
      </c>
      <c r="B451" t="s" s="79">
        <v>45</v>
      </c>
      <c r="C451" t="s" s="80">
        <v>799</v>
      </c>
      <c r="D451" s="131">
        <v>71</v>
      </c>
      <c r="E451" t="s" s="79">
        <v>801</v>
      </c>
      <c r="F451" t="s" s="80">
        <v>235</v>
      </c>
      <c r="G451" s="132">
        <v>258</v>
      </c>
      <c r="H451" t="s" s="133">
        <v>109</v>
      </c>
      <c r="I451" t="s" s="134">
        <v>109</v>
      </c>
      <c r="J451" t="s" s="134">
        <v>97</v>
      </c>
      <c r="K451" t="str" s="135" cm="1">
        <f t="array" ref="K451">IF(OR(H451="ריביות",AND(H451="דירה כצנלסון",G451&lt;0,ISNUMBER(SEARCH("הכנסה",F451)))),"הכנסה שסווגה מחדש",J451)</f>
        <v>שוטף</v>
      </c>
      <c r="L451" t="s" s="134">
        <v>741</v>
      </c>
      <c r="M451" s="136" cm="1">
        <f t="array" ref="M451">IF(L451="מאושר",IF(K451="הכנסה שסווגה מחדש",0,G451),0)</f>
        <v>258</v>
      </c>
      <c r="N451" s="136" cm="1">
        <f t="array" ref="N451">IF(K451="שוטף",M451,0)</f>
        <v>258</v>
      </c>
      <c r="O451" s="136" cm="1">
        <f t="array" ref="O451">IF(K451="הכנסה שסווגה מחדש",-G451,0)</f>
        <v>0</v>
      </c>
      <c r="P451" t="s" s="80">
        <v>762</v>
      </c>
      <c r="Q451" s="100"/>
      <c r="R451" t="s" s="137">
        <v>743</v>
      </c>
      <c r="S451" s="77"/>
    </row>
    <row r="452" ht="13.65" customHeight="1">
      <c r="A452" s="84">
        <v>45778</v>
      </c>
      <c r="B452" t="s" s="85">
        <v>45</v>
      </c>
      <c r="C452" t="s" s="86">
        <v>799</v>
      </c>
      <c r="D452" s="138">
        <v>72</v>
      </c>
      <c r="E452" t="s" s="85">
        <v>802</v>
      </c>
      <c r="F452" t="s" s="86">
        <v>307</v>
      </c>
      <c r="G452" s="139">
        <v>31</v>
      </c>
      <c r="H452" t="s" s="140">
        <v>115</v>
      </c>
      <c r="I452" t="s" s="141">
        <v>115</v>
      </c>
      <c r="J452" t="s" s="141">
        <v>97</v>
      </c>
      <c r="K452" t="str" s="142" cm="1">
        <f t="array" ref="K452">IF(OR(H452="ריביות",AND(H452="דירה כצנלסון",G452&lt;0,ISNUMBER(SEARCH("הכנסה",F452)))),"הכנסה שסווגה מחדש",J452)</f>
        <v>שוטף</v>
      </c>
      <c r="L452" t="s" s="141">
        <v>741</v>
      </c>
      <c r="M452" s="143" cm="1">
        <f t="array" ref="M452">IF(L452="מאושר",IF(K452="הכנסה שסווגה מחדש",0,G452),0)</f>
        <v>31</v>
      </c>
      <c r="N452" s="143" cm="1">
        <f t="array" ref="N452">IF(K452="שוטף",M452,0)</f>
        <v>31</v>
      </c>
      <c r="O452" s="143" cm="1">
        <f t="array" ref="O452">IF(K452="הכנסה שסווגה מחדש",-G452,0)</f>
        <v>0</v>
      </c>
      <c r="P452" t="s" s="86">
        <v>762</v>
      </c>
      <c r="Q452" s="99"/>
      <c r="R452" t="s" s="144">
        <v>743</v>
      </c>
      <c r="S452" s="77"/>
    </row>
    <row r="453" ht="13.65" customHeight="1">
      <c r="A453" s="78">
        <v>45778</v>
      </c>
      <c r="B453" t="s" s="79">
        <v>45</v>
      </c>
      <c r="C453" t="s" s="80">
        <v>799</v>
      </c>
      <c r="D453" s="131">
        <v>73</v>
      </c>
      <c r="E453" t="s" s="79">
        <v>803</v>
      </c>
      <c r="F453" t="s" s="80">
        <v>307</v>
      </c>
      <c r="G453" s="132">
        <v>16</v>
      </c>
      <c r="H453" t="s" s="133">
        <v>115</v>
      </c>
      <c r="I453" t="s" s="134">
        <v>115</v>
      </c>
      <c r="J453" t="s" s="134">
        <v>97</v>
      </c>
      <c r="K453" t="str" s="135" cm="1">
        <f t="array" ref="K453">IF(OR(H453="ריביות",AND(H453="דירה כצנלסון",G453&lt;0,ISNUMBER(SEARCH("הכנסה",F453)))),"הכנסה שסווגה מחדש",J453)</f>
        <v>שוטף</v>
      </c>
      <c r="L453" t="s" s="134">
        <v>741</v>
      </c>
      <c r="M453" s="136" cm="1">
        <f t="array" ref="M453">IF(L453="מאושר",IF(K453="הכנסה שסווגה מחדש",0,G453),0)</f>
        <v>16</v>
      </c>
      <c r="N453" s="136" cm="1">
        <f t="array" ref="N453">IF(K453="שוטף",M453,0)</f>
        <v>16</v>
      </c>
      <c r="O453" s="136" cm="1">
        <f t="array" ref="O453">IF(K453="הכנסה שסווגה מחדש",-G453,0)</f>
        <v>0</v>
      </c>
      <c r="P453" t="s" s="80">
        <v>762</v>
      </c>
      <c r="Q453" s="100"/>
      <c r="R453" t="s" s="137">
        <v>743</v>
      </c>
      <c r="S453" s="77"/>
    </row>
    <row r="454" ht="13.65" customHeight="1">
      <c r="A454" s="84">
        <v>45778</v>
      </c>
      <c r="B454" t="s" s="85">
        <v>45</v>
      </c>
      <c r="C454" t="s" s="86">
        <v>799</v>
      </c>
      <c r="D454" s="138">
        <v>74</v>
      </c>
      <c r="E454" t="s" s="85">
        <v>804</v>
      </c>
      <c r="F454" t="s" s="86">
        <v>368</v>
      </c>
      <c r="G454" s="139">
        <v>67</v>
      </c>
      <c r="H454" t="s" s="140">
        <v>121</v>
      </c>
      <c r="I454" t="s" s="141">
        <v>121</v>
      </c>
      <c r="J454" t="s" s="141">
        <v>97</v>
      </c>
      <c r="K454" t="str" s="142" cm="1">
        <f t="array" ref="K454">IF(OR(H454="ריביות",AND(H454="דירה כצנלסון",G454&lt;0,ISNUMBER(SEARCH("הכנסה",F454)))),"הכנסה שסווגה מחדש",J454)</f>
        <v>שוטף</v>
      </c>
      <c r="L454" t="s" s="141">
        <v>741</v>
      </c>
      <c r="M454" s="143" cm="1">
        <f t="array" ref="M454">IF(L454="מאושר",IF(K454="הכנסה שסווגה מחדש",0,G454),0)</f>
        <v>67</v>
      </c>
      <c r="N454" s="143" cm="1">
        <f t="array" ref="N454">IF(K454="שוטף",M454,0)</f>
        <v>67</v>
      </c>
      <c r="O454" s="143" cm="1">
        <f t="array" ref="O454">IF(K454="הכנסה שסווגה מחדש",-G454,0)</f>
        <v>0</v>
      </c>
      <c r="P454" t="s" s="86">
        <v>762</v>
      </c>
      <c r="Q454" s="99"/>
      <c r="R454" t="s" s="144">
        <v>743</v>
      </c>
      <c r="S454" s="77"/>
    </row>
    <row r="455" ht="13.65" customHeight="1">
      <c r="A455" s="78">
        <v>45778</v>
      </c>
      <c r="B455" t="s" s="79">
        <v>45</v>
      </c>
      <c r="C455" t="s" s="80">
        <v>799</v>
      </c>
      <c r="D455" s="131">
        <v>75</v>
      </c>
      <c r="E455" t="s" s="79">
        <v>30</v>
      </c>
      <c r="F455" t="s" s="80">
        <v>214</v>
      </c>
      <c r="G455" s="132">
        <v>420</v>
      </c>
      <c r="H455" t="s" s="133">
        <v>767</v>
      </c>
      <c r="I455" t="s" s="134">
        <v>107</v>
      </c>
      <c r="J455" t="s" s="134">
        <v>97</v>
      </c>
      <c r="K455" t="str" s="135" cm="1">
        <f t="array" ref="K455">IF(OR(H455="ריביות",AND(H455="דירה כצנלסון",G455&lt;0,ISNUMBER(SEARCH("הכנסה",F455)))),"הכנסה שסווגה מחדש",J455)</f>
        <v>שוטף</v>
      </c>
      <c r="L455" t="s" s="134">
        <v>741</v>
      </c>
      <c r="M455" s="136" cm="1">
        <f t="array" ref="M455">IF(L455="מאושר",IF(K455="הכנסה שסווגה מחדש",0,G455),0)</f>
        <v>420</v>
      </c>
      <c r="N455" s="136" cm="1">
        <f t="array" ref="N455">IF(K455="שוטף",M455,0)</f>
        <v>420</v>
      </c>
      <c r="O455" s="136" cm="1">
        <f t="array" ref="O455">IF(K455="הכנסה שסווגה מחדש",-G455,0)</f>
        <v>0</v>
      </c>
      <c r="P455" t="s" s="80">
        <v>762</v>
      </c>
      <c r="Q455" s="100"/>
      <c r="R455" t="s" s="137">
        <v>743</v>
      </c>
      <c r="S455" s="77"/>
    </row>
    <row r="456" ht="13.65" customHeight="1">
      <c r="A456" s="84">
        <v>45778</v>
      </c>
      <c r="B456" t="s" s="85">
        <v>45</v>
      </c>
      <c r="C456" t="s" s="86">
        <v>799</v>
      </c>
      <c r="D456" s="138">
        <v>76</v>
      </c>
      <c r="E456" t="s" s="85">
        <v>34</v>
      </c>
      <c r="F456" t="s" s="86">
        <v>199</v>
      </c>
      <c r="G456" s="139">
        <v>1350</v>
      </c>
      <c r="H456" t="s" s="140">
        <v>767</v>
      </c>
      <c r="I456" t="s" s="141">
        <v>107</v>
      </c>
      <c r="J456" t="s" s="141">
        <v>97</v>
      </c>
      <c r="K456" t="str" s="142" cm="1">
        <f t="array" ref="K456">IF(OR(H456="ריביות",AND(H456="דירה כצנלסון",G456&lt;0,ISNUMBER(SEARCH("הכנסה",F456)))),"הכנסה שסווגה מחדש",J456)</f>
        <v>שוטף</v>
      </c>
      <c r="L456" t="s" s="141">
        <v>741</v>
      </c>
      <c r="M456" s="143" cm="1">
        <f t="array" ref="M456">IF(L456="מאושר",IF(K456="הכנסה שסווגה מחדש",0,G456),0)</f>
        <v>1350</v>
      </c>
      <c r="N456" s="143" cm="1">
        <f t="array" ref="N456">IF(K456="שוטף",M456,0)</f>
        <v>1350</v>
      </c>
      <c r="O456" s="143" cm="1">
        <f t="array" ref="O456">IF(K456="הכנסה שסווגה מחדש",-G456,0)</f>
        <v>0</v>
      </c>
      <c r="P456" t="s" s="86">
        <v>762</v>
      </c>
      <c r="Q456" s="99"/>
      <c r="R456" t="s" s="144">
        <v>743</v>
      </c>
      <c r="S456" s="77"/>
    </row>
    <row r="457" ht="13.65" customHeight="1">
      <c r="A457" s="78">
        <v>45778</v>
      </c>
      <c r="B457" t="s" s="79">
        <v>45</v>
      </c>
      <c r="C457" t="s" s="80">
        <v>799</v>
      </c>
      <c r="D457" s="131">
        <v>77</v>
      </c>
      <c r="E457" t="s" s="79">
        <v>42</v>
      </c>
      <c r="F457" t="s" s="80">
        <v>281</v>
      </c>
      <c r="G457" s="132">
        <v>300</v>
      </c>
      <c r="H457" t="s" s="133">
        <v>105</v>
      </c>
      <c r="I457" t="s" s="134">
        <v>105</v>
      </c>
      <c r="J457" t="s" s="134">
        <v>103</v>
      </c>
      <c r="K457" t="str" s="135" cm="1">
        <f t="array" ref="K457">IF(OR(H457="ריביות",AND(H457="דירה כצנלסון",G457&lt;0,ISNUMBER(SEARCH("הכנסה",F457)))),"הכנסה שסווגה מחדש",J457)</f>
        <v>חריג</v>
      </c>
      <c r="L457" t="s" s="134">
        <v>741</v>
      </c>
      <c r="M457" s="136" cm="1">
        <f t="array" ref="M457">IF(L457="מאושר",IF(K457="הכנסה שסווגה מחדש",0,G457),0)</f>
        <v>300</v>
      </c>
      <c r="N457" s="136" cm="1">
        <f t="array" ref="N457">IF(K457="שוטף",M457,0)</f>
        <v>0</v>
      </c>
      <c r="O457" s="136" cm="1">
        <f t="array" ref="O457">IF(K457="הכנסה שסווגה מחדש",-G457,0)</f>
        <v>0</v>
      </c>
      <c r="P457" t="s" s="80">
        <v>762</v>
      </c>
      <c r="Q457" s="100"/>
      <c r="R457" t="s" s="137">
        <v>743</v>
      </c>
      <c r="S457" s="77"/>
    </row>
    <row r="458" ht="13.65" customHeight="1">
      <c r="A458" s="84">
        <v>45778</v>
      </c>
      <c r="B458" t="s" s="85">
        <v>45</v>
      </c>
      <c r="C458" t="s" s="86">
        <v>799</v>
      </c>
      <c r="D458" s="138">
        <v>78</v>
      </c>
      <c r="E458" t="s" s="85">
        <v>46</v>
      </c>
      <c r="F458" t="s" s="86">
        <v>245</v>
      </c>
      <c r="G458" s="139">
        <v>55</v>
      </c>
      <c r="H458" t="s" s="140">
        <v>767</v>
      </c>
      <c r="I458" t="s" s="141">
        <v>107</v>
      </c>
      <c r="J458" t="s" s="141">
        <v>97</v>
      </c>
      <c r="K458" t="str" s="142" cm="1">
        <f t="array" ref="K458">IF(OR(H458="ריביות",AND(H458="דירה כצנלסון",G458&lt;0,ISNUMBER(SEARCH("הכנסה",F458)))),"הכנסה שסווגה מחדש",J458)</f>
        <v>שוטף</v>
      </c>
      <c r="L458" t="s" s="141">
        <v>741</v>
      </c>
      <c r="M458" s="143" cm="1">
        <f t="array" ref="M458">IF(L458="מאושר",IF(K458="הכנסה שסווגה מחדש",0,G458),0)</f>
        <v>55</v>
      </c>
      <c r="N458" s="143" cm="1">
        <f t="array" ref="N458">IF(K458="שוטף",M458,0)</f>
        <v>55</v>
      </c>
      <c r="O458" s="143" cm="1">
        <f t="array" ref="O458">IF(K458="הכנסה שסווגה מחדש",-G458,0)</f>
        <v>0</v>
      </c>
      <c r="P458" t="s" s="86">
        <v>762</v>
      </c>
      <c r="Q458" s="99"/>
      <c r="R458" t="s" s="144">
        <v>743</v>
      </c>
      <c r="S458" s="77"/>
    </row>
    <row r="459" ht="13.65" customHeight="1">
      <c r="A459" s="78">
        <v>45778</v>
      </c>
      <c r="B459" t="s" s="79">
        <v>45</v>
      </c>
      <c r="C459" t="s" s="80">
        <v>799</v>
      </c>
      <c r="D459" s="131">
        <v>79</v>
      </c>
      <c r="E459" t="s" s="79">
        <v>789</v>
      </c>
      <c r="F459" t="s" s="80">
        <v>525</v>
      </c>
      <c r="G459" s="132">
        <v>100</v>
      </c>
      <c r="H459" t="s" s="133">
        <v>105</v>
      </c>
      <c r="I459" t="s" s="134">
        <v>105</v>
      </c>
      <c r="J459" t="s" s="134">
        <v>103</v>
      </c>
      <c r="K459" t="str" s="135" cm="1">
        <f t="array" ref="K459">IF(OR(H459="ריביות",AND(H459="דירה כצנלסון",G459&lt;0,ISNUMBER(SEARCH("הכנסה",F459)))),"הכנסה שסווגה מחדש",J459)</f>
        <v>חריג</v>
      </c>
      <c r="L459" t="s" s="134">
        <v>741</v>
      </c>
      <c r="M459" s="136" cm="1">
        <f t="array" ref="M459">IF(L459="מאושר",IF(K459="הכנסה שסווגה מחדש",0,G459),0)</f>
        <v>100</v>
      </c>
      <c r="N459" s="136" cm="1">
        <f t="array" ref="N459">IF(K459="שוטף",M459,0)</f>
        <v>0</v>
      </c>
      <c r="O459" s="136" cm="1">
        <f t="array" ref="O459">IF(K459="הכנסה שסווגה מחדש",-G459,0)</f>
        <v>0</v>
      </c>
      <c r="P459" t="s" s="80">
        <v>762</v>
      </c>
      <c r="Q459" s="100"/>
      <c r="R459" t="s" s="137">
        <v>743</v>
      </c>
      <c r="S459" s="77"/>
    </row>
    <row r="460" ht="13.65" customHeight="1">
      <c r="A460" s="84">
        <v>45778</v>
      </c>
      <c r="B460" t="s" s="85">
        <v>45</v>
      </c>
      <c r="C460" t="s" s="86">
        <v>799</v>
      </c>
      <c r="D460" s="138">
        <v>80</v>
      </c>
      <c r="E460" t="s" s="85">
        <v>788</v>
      </c>
      <c r="F460" t="s" s="86">
        <v>200</v>
      </c>
      <c r="G460" s="139">
        <v>37</v>
      </c>
      <c r="H460" t="s" s="140">
        <v>109</v>
      </c>
      <c r="I460" t="s" s="141">
        <v>109</v>
      </c>
      <c r="J460" t="s" s="141">
        <v>97</v>
      </c>
      <c r="K460" t="str" s="142" cm="1">
        <f t="array" ref="K460">IF(OR(H460="ריביות",AND(H460="דירה כצנלסון",G460&lt;0,ISNUMBER(SEARCH("הכנסה",F460)))),"הכנסה שסווגה מחדש",J460)</f>
        <v>שוטף</v>
      </c>
      <c r="L460" t="s" s="141">
        <v>741</v>
      </c>
      <c r="M460" s="143" cm="1">
        <f t="array" ref="M460">IF(L460="מאושר",IF(K460="הכנסה שסווגה מחדש",0,G460),0)</f>
        <v>37</v>
      </c>
      <c r="N460" s="143" cm="1">
        <f t="array" ref="N460">IF(K460="שוטף",M460,0)</f>
        <v>37</v>
      </c>
      <c r="O460" s="143" cm="1">
        <f t="array" ref="O460">IF(K460="הכנסה שסווגה מחדש",-G460,0)</f>
        <v>0</v>
      </c>
      <c r="P460" t="s" s="86">
        <v>762</v>
      </c>
      <c r="Q460" s="99"/>
      <c r="R460" t="s" s="144">
        <v>743</v>
      </c>
      <c r="S460" s="77"/>
    </row>
    <row r="461" ht="13.65" customHeight="1">
      <c r="A461" s="78">
        <v>45778</v>
      </c>
      <c r="B461" t="s" s="79">
        <v>45</v>
      </c>
      <c r="C461" t="s" s="80">
        <v>799</v>
      </c>
      <c r="D461" s="131">
        <v>81</v>
      </c>
      <c r="E461" t="s" s="79">
        <v>751</v>
      </c>
      <c r="F461" t="s" s="80">
        <v>213</v>
      </c>
      <c r="G461" s="132">
        <v>238</v>
      </c>
      <c r="H461" t="s" s="133">
        <v>115</v>
      </c>
      <c r="I461" t="s" s="134">
        <v>115</v>
      </c>
      <c r="J461" t="s" s="134">
        <v>97</v>
      </c>
      <c r="K461" t="str" s="135" cm="1">
        <f t="array" ref="K461">IF(OR(H461="ריביות",AND(H461="דירה כצנלסון",G461&lt;0,ISNUMBER(SEARCH("הכנסה",F461)))),"הכנסה שסווגה מחדש",J461)</f>
        <v>שוטף</v>
      </c>
      <c r="L461" t="s" s="134">
        <v>741</v>
      </c>
      <c r="M461" s="136" cm="1">
        <f t="array" ref="M461">IF(L461="מאושר",IF(K461="הכנסה שסווגה מחדש",0,G461),0)</f>
        <v>238</v>
      </c>
      <c r="N461" s="136" cm="1">
        <f t="array" ref="N461">IF(K461="שוטף",M461,0)</f>
        <v>238</v>
      </c>
      <c r="O461" s="136" cm="1">
        <f t="array" ref="O461">IF(K461="הכנסה שסווגה מחדש",-G461,0)</f>
        <v>0</v>
      </c>
      <c r="P461" t="s" s="80">
        <v>762</v>
      </c>
      <c r="Q461" s="100"/>
      <c r="R461" t="s" s="137">
        <v>743</v>
      </c>
      <c r="S461" s="77"/>
    </row>
    <row r="462" ht="13.65" customHeight="1">
      <c r="A462" s="84">
        <v>45778</v>
      </c>
      <c r="B462" t="s" s="85">
        <v>45</v>
      </c>
      <c r="C462" t="s" s="86">
        <v>799</v>
      </c>
      <c r="D462" s="138">
        <v>82</v>
      </c>
      <c r="E462" t="s" s="85">
        <v>753</v>
      </c>
      <c r="F462" t="s" s="86">
        <v>267</v>
      </c>
      <c r="G462" s="139">
        <v>10</v>
      </c>
      <c r="H462" t="s" s="140">
        <v>113</v>
      </c>
      <c r="I462" t="s" s="141">
        <v>113</v>
      </c>
      <c r="J462" t="s" s="141">
        <v>97</v>
      </c>
      <c r="K462" t="str" s="142" cm="1">
        <f t="array" ref="K462">IF(OR(H462="ריביות",AND(H462="דירה כצנלסון",G462&lt;0,ISNUMBER(SEARCH("הכנסה",F462)))),"הכנסה שסווגה מחדש",J462)</f>
        <v>שוטף</v>
      </c>
      <c r="L462" t="s" s="141">
        <v>741</v>
      </c>
      <c r="M462" s="143" cm="1">
        <f t="array" ref="M462">IF(L462="מאושר",IF(K462="הכנסה שסווגה מחדש",0,G462),0)</f>
        <v>10</v>
      </c>
      <c r="N462" s="143" cm="1">
        <f t="array" ref="N462">IF(K462="שוטף",M462,0)</f>
        <v>10</v>
      </c>
      <c r="O462" s="143" cm="1">
        <f t="array" ref="O462">IF(K462="הכנסה שסווגה מחדש",-G462,0)</f>
        <v>0</v>
      </c>
      <c r="P462" t="s" s="86">
        <v>762</v>
      </c>
      <c r="Q462" s="99"/>
      <c r="R462" t="s" s="144">
        <v>743</v>
      </c>
      <c r="S462" s="77"/>
    </row>
    <row r="463" ht="13.65" customHeight="1">
      <c r="A463" s="78">
        <v>45778</v>
      </c>
      <c r="B463" t="s" s="79">
        <v>45</v>
      </c>
      <c r="C463" t="s" s="80">
        <v>799</v>
      </c>
      <c r="D463" s="131">
        <v>83</v>
      </c>
      <c r="E463" t="s" s="79">
        <v>739</v>
      </c>
      <c r="F463" t="s" s="80">
        <v>231</v>
      </c>
      <c r="G463" s="132">
        <v>25</v>
      </c>
      <c r="H463" t="s" s="133">
        <v>113</v>
      </c>
      <c r="I463" t="s" s="134">
        <v>113</v>
      </c>
      <c r="J463" t="s" s="134">
        <v>97</v>
      </c>
      <c r="K463" t="str" s="135" cm="1">
        <f t="array" ref="K463">IF(OR(H463="ריביות",AND(H463="דירה כצנלסון",G463&lt;0,ISNUMBER(SEARCH("הכנסה",F463)))),"הכנסה שסווגה מחדש",J463)</f>
        <v>שוטף</v>
      </c>
      <c r="L463" t="s" s="134">
        <v>741</v>
      </c>
      <c r="M463" s="136" cm="1">
        <f t="array" ref="M463">IF(L463="מאושר",IF(K463="הכנסה שסווגה מחדש",0,G463),0)</f>
        <v>25</v>
      </c>
      <c r="N463" s="136" cm="1">
        <f t="array" ref="N463">IF(K463="שוטף",M463,0)</f>
        <v>25</v>
      </c>
      <c r="O463" s="136" cm="1">
        <f t="array" ref="O463">IF(K463="הכנסה שסווגה מחדש",-G463,0)</f>
        <v>0</v>
      </c>
      <c r="P463" t="s" s="80">
        <v>762</v>
      </c>
      <c r="Q463" s="100"/>
      <c r="R463" t="s" s="137">
        <v>743</v>
      </c>
      <c r="S463" s="77"/>
    </row>
    <row r="464" ht="13.65" customHeight="1">
      <c r="A464" s="84">
        <v>45778</v>
      </c>
      <c r="B464" t="s" s="85">
        <v>45</v>
      </c>
      <c r="C464" t="s" s="86">
        <v>799</v>
      </c>
      <c r="D464" s="138">
        <v>84</v>
      </c>
      <c r="E464" t="s" s="85">
        <v>772</v>
      </c>
      <c r="F464" t="s" s="86">
        <v>267</v>
      </c>
      <c r="G464" s="139">
        <v>4</v>
      </c>
      <c r="H464" t="s" s="140">
        <v>113</v>
      </c>
      <c r="I464" t="s" s="141">
        <v>113</v>
      </c>
      <c r="J464" t="s" s="141">
        <v>97</v>
      </c>
      <c r="K464" t="str" s="142" cm="1">
        <f t="array" ref="K464">IF(OR(H464="ריביות",AND(H464="דירה כצנלסון",G464&lt;0,ISNUMBER(SEARCH("הכנסה",F464)))),"הכנסה שסווגה מחדש",J464)</f>
        <v>שוטף</v>
      </c>
      <c r="L464" t="s" s="141">
        <v>741</v>
      </c>
      <c r="M464" s="143" cm="1">
        <f t="array" ref="M464">IF(L464="מאושר",IF(K464="הכנסה שסווגה מחדש",0,G464),0)</f>
        <v>4</v>
      </c>
      <c r="N464" s="143" cm="1">
        <f t="array" ref="N464">IF(K464="שוטף",M464,0)</f>
        <v>4</v>
      </c>
      <c r="O464" s="143" cm="1">
        <f t="array" ref="O464">IF(K464="הכנסה שסווגה מחדש",-G464,0)</f>
        <v>0</v>
      </c>
      <c r="P464" t="s" s="86">
        <v>762</v>
      </c>
      <c r="Q464" s="99"/>
      <c r="R464" t="s" s="144">
        <v>743</v>
      </c>
      <c r="S464" s="77"/>
    </row>
    <row r="465" ht="13.65" customHeight="1">
      <c r="A465" s="78">
        <v>45778</v>
      </c>
      <c r="B465" t="s" s="79">
        <v>45</v>
      </c>
      <c r="C465" t="s" s="80">
        <v>799</v>
      </c>
      <c r="D465" s="131">
        <v>85</v>
      </c>
      <c r="E465" t="s" s="79">
        <v>754</v>
      </c>
      <c r="F465" t="s" s="80">
        <v>613</v>
      </c>
      <c r="G465" s="132">
        <v>47</v>
      </c>
      <c r="H465" t="s" s="133">
        <v>125</v>
      </c>
      <c r="I465" t="s" s="134">
        <v>125</v>
      </c>
      <c r="J465" t="s" s="134">
        <v>97</v>
      </c>
      <c r="K465" t="str" s="135" cm="1">
        <f t="array" ref="K465">IF(OR(H465="ריביות",AND(H465="דירה כצנלסון",G465&lt;0,ISNUMBER(SEARCH("הכנסה",F465)))),"הכנסה שסווגה מחדש",J465)</f>
        <v>שוטף</v>
      </c>
      <c r="L465" t="s" s="134">
        <v>741</v>
      </c>
      <c r="M465" s="136" cm="1">
        <f t="array" ref="M465">IF(L465="מאושר",IF(K465="הכנסה שסווגה מחדש",0,G465),0)</f>
        <v>47</v>
      </c>
      <c r="N465" s="136" cm="1">
        <f t="array" ref="N465">IF(K465="שוטף",M465,0)</f>
        <v>47</v>
      </c>
      <c r="O465" s="136" cm="1">
        <f t="array" ref="O465">IF(K465="הכנסה שסווגה מחדש",-G465,0)</f>
        <v>0</v>
      </c>
      <c r="P465" t="s" s="80">
        <v>762</v>
      </c>
      <c r="Q465" s="100"/>
      <c r="R465" t="s" s="137">
        <v>743</v>
      </c>
      <c r="S465" s="77"/>
    </row>
    <row r="466" ht="13.65" customHeight="1">
      <c r="A466" s="84">
        <v>45778</v>
      </c>
      <c r="B466" t="s" s="85">
        <v>45</v>
      </c>
      <c r="C466" t="s" s="86">
        <v>799</v>
      </c>
      <c r="D466" s="138">
        <v>86</v>
      </c>
      <c r="E466" t="s" s="85">
        <v>755</v>
      </c>
      <c r="F466" t="s" s="86">
        <v>267</v>
      </c>
      <c r="G466" s="139">
        <v>37</v>
      </c>
      <c r="H466" t="s" s="140">
        <v>109</v>
      </c>
      <c r="I466" t="s" s="141">
        <v>109</v>
      </c>
      <c r="J466" t="s" s="141">
        <v>97</v>
      </c>
      <c r="K466" t="str" s="142" cm="1">
        <f t="array" ref="K466">IF(OR(H466="ריביות",AND(H466="דירה כצנלסון",G466&lt;0,ISNUMBER(SEARCH("הכנסה",F466)))),"הכנסה שסווגה מחדש",J466)</f>
        <v>שוטף</v>
      </c>
      <c r="L466" t="s" s="141">
        <v>741</v>
      </c>
      <c r="M466" s="143" cm="1">
        <f t="array" ref="M466">IF(L466="מאושר",IF(K466="הכנסה שסווגה מחדש",0,G466),0)</f>
        <v>37</v>
      </c>
      <c r="N466" s="143" cm="1">
        <f t="array" ref="N466">IF(K466="שוטף",M466,0)</f>
        <v>37</v>
      </c>
      <c r="O466" s="143" cm="1">
        <f t="array" ref="O466">IF(K466="הכנסה שסווגה מחדש",-G466,0)</f>
        <v>0</v>
      </c>
      <c r="P466" t="s" s="86">
        <v>762</v>
      </c>
      <c r="Q466" s="99"/>
      <c r="R466" t="s" s="144">
        <v>743</v>
      </c>
      <c r="S466" s="77"/>
    </row>
    <row r="467" ht="13.65" customHeight="1">
      <c r="A467" s="78">
        <v>45778</v>
      </c>
      <c r="B467" t="s" s="79">
        <v>45</v>
      </c>
      <c r="C467" t="s" s="80">
        <v>799</v>
      </c>
      <c r="D467" s="131">
        <v>87</v>
      </c>
      <c r="E467" t="s" s="79">
        <v>765</v>
      </c>
      <c r="F467" t="s" s="80">
        <v>395</v>
      </c>
      <c r="G467" s="132">
        <v>8</v>
      </c>
      <c r="H467" t="s" s="133">
        <v>115</v>
      </c>
      <c r="I467" t="s" s="134">
        <v>115</v>
      </c>
      <c r="J467" t="s" s="134">
        <v>97</v>
      </c>
      <c r="K467" t="str" s="135" cm="1">
        <f t="array" ref="K467">IF(OR(H467="ריביות",AND(H467="דירה כצנלסון",G467&lt;0,ISNUMBER(SEARCH("הכנסה",F467)))),"הכנסה שסווגה מחדש",J467)</f>
        <v>שוטף</v>
      </c>
      <c r="L467" t="s" s="134">
        <v>741</v>
      </c>
      <c r="M467" s="136" cm="1">
        <f t="array" ref="M467">IF(L467="מאושר",IF(K467="הכנסה שסווגה מחדש",0,G467),0)</f>
        <v>8</v>
      </c>
      <c r="N467" s="136" cm="1">
        <f t="array" ref="N467">IF(K467="שוטף",M467,0)</f>
        <v>8</v>
      </c>
      <c r="O467" s="136" cm="1">
        <f t="array" ref="O467">IF(K467="הכנסה שסווגה מחדש",-G467,0)</f>
        <v>0</v>
      </c>
      <c r="P467" t="s" s="80">
        <v>762</v>
      </c>
      <c r="Q467" s="100"/>
      <c r="R467" t="s" s="137">
        <v>743</v>
      </c>
      <c r="S467" s="77"/>
    </row>
    <row r="468" ht="13.65" customHeight="1">
      <c r="A468" s="84">
        <v>45778</v>
      </c>
      <c r="B468" t="s" s="85">
        <v>45</v>
      </c>
      <c r="C468" t="s" s="86">
        <v>799</v>
      </c>
      <c r="D468" s="138">
        <v>88</v>
      </c>
      <c r="E468" t="s" s="85">
        <v>765</v>
      </c>
      <c r="F468" t="s" s="86">
        <v>410</v>
      </c>
      <c r="G468" s="139">
        <v>270</v>
      </c>
      <c r="H468" t="s" s="140">
        <v>105</v>
      </c>
      <c r="I468" t="s" s="141">
        <v>105</v>
      </c>
      <c r="J468" t="s" s="141">
        <v>103</v>
      </c>
      <c r="K468" t="str" s="142" cm="1">
        <f t="array" ref="K468">IF(OR(H468="ריביות",AND(H468="דירה כצנלסון",G468&lt;0,ISNUMBER(SEARCH("הכנסה",F468)))),"הכנסה שסווגה מחדש",J468)</f>
        <v>חריג</v>
      </c>
      <c r="L468" t="s" s="141">
        <v>741</v>
      </c>
      <c r="M468" s="143" cm="1">
        <f t="array" ref="M468">IF(L468="מאושר",IF(K468="הכנסה שסווגה מחדש",0,G468),0)</f>
        <v>270</v>
      </c>
      <c r="N468" s="143" cm="1">
        <f t="array" ref="N468">IF(K468="שוטף",M468,0)</f>
        <v>0</v>
      </c>
      <c r="O468" s="143" cm="1">
        <f t="array" ref="O468">IF(K468="הכנסה שסווגה מחדש",-G468,0)</f>
        <v>0</v>
      </c>
      <c r="P468" t="s" s="86">
        <v>762</v>
      </c>
      <c r="Q468" s="99"/>
      <c r="R468" t="s" s="144">
        <v>743</v>
      </c>
      <c r="S468" s="77"/>
    </row>
    <row r="469" ht="13.65" customHeight="1">
      <c r="A469" s="78">
        <v>45778</v>
      </c>
      <c r="B469" t="s" s="79">
        <v>45</v>
      </c>
      <c r="C469" t="s" s="80">
        <v>799</v>
      </c>
      <c r="D469" s="131">
        <v>89</v>
      </c>
      <c r="E469" t="s" s="79">
        <v>775</v>
      </c>
      <c r="F469" t="s" s="80">
        <v>314</v>
      </c>
      <c r="G469" s="132">
        <v>171</v>
      </c>
      <c r="H469" t="s" s="133">
        <v>117</v>
      </c>
      <c r="I469" t="s" s="134">
        <v>117</v>
      </c>
      <c r="J469" t="s" s="134">
        <v>97</v>
      </c>
      <c r="K469" t="str" s="135" cm="1">
        <f t="array" ref="K469">IF(OR(H469="ריביות",AND(H469="דירה כצנלסון",G469&lt;0,ISNUMBER(SEARCH("הכנסה",F469)))),"הכנסה שסווגה מחדש",J469)</f>
        <v>שוטף</v>
      </c>
      <c r="L469" t="s" s="134">
        <v>741</v>
      </c>
      <c r="M469" s="136" cm="1">
        <f t="array" ref="M469">IF(L469="מאושר",IF(K469="הכנסה שסווגה מחדש",0,G469),0)</f>
        <v>171</v>
      </c>
      <c r="N469" s="136" cm="1">
        <f t="array" ref="N469">IF(K469="שוטף",M469,0)</f>
        <v>171</v>
      </c>
      <c r="O469" s="136" cm="1">
        <f t="array" ref="O469">IF(K469="הכנסה שסווגה מחדש",-G469,0)</f>
        <v>0</v>
      </c>
      <c r="P469" t="s" s="80">
        <v>762</v>
      </c>
      <c r="Q469" s="100"/>
      <c r="R469" t="s" s="137">
        <v>743</v>
      </c>
      <c r="S469" s="77"/>
    </row>
    <row r="470" ht="13.65" customHeight="1">
      <c r="A470" s="84">
        <v>45778</v>
      </c>
      <c r="B470" t="s" s="85">
        <v>45</v>
      </c>
      <c r="C470" t="s" s="86">
        <v>799</v>
      </c>
      <c r="D470" s="138">
        <v>90</v>
      </c>
      <c r="E470" t="s" s="85">
        <v>775</v>
      </c>
      <c r="F470" t="s" s="86">
        <v>674</v>
      </c>
      <c r="G470" s="139">
        <v>20</v>
      </c>
      <c r="H470" t="s" s="140">
        <v>125</v>
      </c>
      <c r="I470" t="s" s="141">
        <v>125</v>
      </c>
      <c r="J470" t="s" s="141">
        <v>97</v>
      </c>
      <c r="K470" t="str" s="142" cm="1">
        <f t="array" ref="K470">IF(OR(H470="ריביות",AND(H470="דירה כצנלסון",G470&lt;0,ISNUMBER(SEARCH("הכנסה",F470)))),"הכנסה שסווגה מחדש",J470)</f>
        <v>שוטף</v>
      </c>
      <c r="L470" t="s" s="141">
        <v>741</v>
      </c>
      <c r="M470" s="143" cm="1">
        <f t="array" ref="M470">IF(L470="מאושר",IF(K470="הכנסה שסווגה מחדש",0,G470),0)</f>
        <v>20</v>
      </c>
      <c r="N470" s="143" cm="1">
        <f t="array" ref="N470">IF(K470="שוטף",M470,0)</f>
        <v>20</v>
      </c>
      <c r="O470" s="143" cm="1">
        <f t="array" ref="O470">IF(K470="הכנסה שסווגה מחדש",-G470,0)</f>
        <v>0</v>
      </c>
      <c r="P470" t="s" s="86">
        <v>762</v>
      </c>
      <c r="Q470" s="99"/>
      <c r="R470" t="s" s="144">
        <v>743</v>
      </c>
      <c r="S470" s="77"/>
    </row>
    <row r="471" ht="13.65" customHeight="1">
      <c r="A471" s="78">
        <v>45778</v>
      </c>
      <c r="B471" t="s" s="79">
        <v>45</v>
      </c>
      <c r="C471" t="s" s="80">
        <v>799</v>
      </c>
      <c r="D471" s="131">
        <v>91</v>
      </c>
      <c r="E471" t="s" s="79">
        <v>775</v>
      </c>
      <c r="F471" t="s" s="80">
        <v>269</v>
      </c>
      <c r="G471" s="132">
        <v>167</v>
      </c>
      <c r="H471" t="s" s="133">
        <v>113</v>
      </c>
      <c r="I471" t="s" s="134">
        <v>113</v>
      </c>
      <c r="J471" t="s" s="134">
        <v>97</v>
      </c>
      <c r="K471" t="str" s="135" cm="1">
        <f t="array" ref="K471">IF(OR(H471="ריביות",AND(H471="דירה כצנלסון",G471&lt;0,ISNUMBER(SEARCH("הכנסה",F471)))),"הכנסה שסווגה מחדש",J471)</f>
        <v>שוטף</v>
      </c>
      <c r="L471" t="s" s="134">
        <v>741</v>
      </c>
      <c r="M471" s="136" cm="1">
        <f t="array" ref="M471">IF(L471="מאושר",IF(K471="הכנסה שסווגה מחדש",0,G471),0)</f>
        <v>167</v>
      </c>
      <c r="N471" s="136" cm="1">
        <f t="array" ref="N471">IF(K471="שוטף",M471,0)</f>
        <v>167</v>
      </c>
      <c r="O471" s="136" cm="1">
        <f t="array" ref="O471">IF(K471="הכנסה שסווגה מחדש",-G471,0)</f>
        <v>0</v>
      </c>
      <c r="P471" t="s" s="80">
        <v>762</v>
      </c>
      <c r="Q471" s="100"/>
      <c r="R471" t="s" s="137">
        <v>743</v>
      </c>
      <c r="S471" s="77"/>
    </row>
    <row r="472" ht="13.65" customHeight="1">
      <c r="A472" s="84">
        <v>45778</v>
      </c>
      <c r="B472" t="s" s="85">
        <v>45</v>
      </c>
      <c r="C472" t="s" s="86">
        <v>799</v>
      </c>
      <c r="D472" s="138">
        <v>92</v>
      </c>
      <c r="E472" t="s" s="85">
        <v>775</v>
      </c>
      <c r="F472" t="s" s="86">
        <v>213</v>
      </c>
      <c r="G472" s="139">
        <v>222</v>
      </c>
      <c r="H472" t="s" s="140">
        <v>115</v>
      </c>
      <c r="I472" t="s" s="141">
        <v>115</v>
      </c>
      <c r="J472" t="s" s="141">
        <v>97</v>
      </c>
      <c r="K472" t="str" s="142" cm="1">
        <f t="array" ref="K472">IF(OR(H472="ריביות",AND(H472="דירה כצנלסון",G472&lt;0,ISNUMBER(SEARCH("הכנסה",F472)))),"הכנסה שסווגה מחדש",J472)</f>
        <v>שוטף</v>
      </c>
      <c r="L472" t="s" s="141">
        <v>741</v>
      </c>
      <c r="M472" s="143" cm="1">
        <f t="array" ref="M472">IF(L472="מאושר",IF(K472="הכנסה שסווגה מחדש",0,G472),0)</f>
        <v>222</v>
      </c>
      <c r="N472" s="143" cm="1">
        <f t="array" ref="N472">IF(K472="שוטף",M472,0)</f>
        <v>222</v>
      </c>
      <c r="O472" s="143" cm="1">
        <f t="array" ref="O472">IF(K472="הכנסה שסווגה מחדש",-G472,0)</f>
        <v>0</v>
      </c>
      <c r="P472" t="s" s="86">
        <v>762</v>
      </c>
      <c r="Q472" s="99"/>
      <c r="R472" t="s" s="144">
        <v>743</v>
      </c>
      <c r="S472" s="77"/>
    </row>
    <row r="473" ht="13.65" customHeight="1">
      <c r="A473" s="78">
        <v>45778</v>
      </c>
      <c r="B473" t="s" s="79">
        <v>45</v>
      </c>
      <c r="C473" t="s" s="80">
        <v>799</v>
      </c>
      <c r="D473" s="131">
        <v>93</v>
      </c>
      <c r="E473" t="s" s="79">
        <v>764</v>
      </c>
      <c r="F473" t="s" s="80">
        <v>267</v>
      </c>
      <c r="G473" s="132">
        <v>7</v>
      </c>
      <c r="H473" t="s" s="133">
        <v>109</v>
      </c>
      <c r="I473" t="s" s="134">
        <v>109</v>
      </c>
      <c r="J473" t="s" s="134">
        <v>97</v>
      </c>
      <c r="K473" t="str" s="135" cm="1">
        <f t="array" ref="K473">IF(OR(H473="ריביות",AND(H473="דירה כצנלסון",G473&lt;0,ISNUMBER(SEARCH("הכנסה",F473)))),"הכנסה שסווגה מחדש",J473)</f>
        <v>שוטף</v>
      </c>
      <c r="L473" t="s" s="134">
        <v>741</v>
      </c>
      <c r="M473" s="136" cm="1">
        <f t="array" ref="M473">IF(L473="מאושר",IF(K473="הכנסה שסווגה מחדש",0,G473),0)</f>
        <v>7</v>
      </c>
      <c r="N473" s="136" cm="1">
        <f t="array" ref="N473">IF(K473="שוטף",M473,0)</f>
        <v>7</v>
      </c>
      <c r="O473" s="136" cm="1">
        <f t="array" ref="O473">IF(K473="הכנסה שסווגה מחדש",-G473,0)</f>
        <v>0</v>
      </c>
      <c r="P473" t="s" s="80">
        <v>762</v>
      </c>
      <c r="Q473" s="100"/>
      <c r="R473" t="s" s="137">
        <v>743</v>
      </c>
      <c r="S473" s="77"/>
    </row>
    <row r="474" ht="13.65" customHeight="1">
      <c r="A474" s="84">
        <v>45778</v>
      </c>
      <c r="B474" t="s" s="85">
        <v>45</v>
      </c>
      <c r="C474" t="s" s="86">
        <v>799</v>
      </c>
      <c r="D474" s="138">
        <v>94</v>
      </c>
      <c r="E474" t="s" s="85">
        <v>764</v>
      </c>
      <c r="F474" t="s" s="86">
        <v>458</v>
      </c>
      <c r="G474" s="139">
        <v>48</v>
      </c>
      <c r="H474" t="s" s="140">
        <v>113</v>
      </c>
      <c r="I474" t="s" s="141">
        <v>113</v>
      </c>
      <c r="J474" t="s" s="141">
        <v>97</v>
      </c>
      <c r="K474" t="str" s="142" cm="1">
        <f t="array" ref="K474">IF(OR(H474="ריביות",AND(H474="דירה כצנלסון",G474&lt;0,ISNUMBER(SEARCH("הכנסה",F474)))),"הכנסה שסווגה מחדש",J474)</f>
        <v>שוטף</v>
      </c>
      <c r="L474" t="s" s="141">
        <v>741</v>
      </c>
      <c r="M474" s="143" cm="1">
        <f t="array" ref="M474">IF(L474="מאושר",IF(K474="הכנסה שסווגה מחדש",0,G474),0)</f>
        <v>48</v>
      </c>
      <c r="N474" s="143" cm="1">
        <f t="array" ref="N474">IF(K474="שוטף",M474,0)</f>
        <v>48</v>
      </c>
      <c r="O474" s="143" cm="1">
        <f t="array" ref="O474">IF(K474="הכנסה שסווגה מחדש",-G474,0)</f>
        <v>0</v>
      </c>
      <c r="P474" t="s" s="86">
        <v>762</v>
      </c>
      <c r="Q474" s="99"/>
      <c r="R474" t="s" s="144">
        <v>743</v>
      </c>
      <c r="S474" s="77"/>
    </row>
    <row r="475" ht="13.65" customHeight="1">
      <c r="A475" s="78">
        <v>45778</v>
      </c>
      <c r="B475" t="s" s="79">
        <v>45</v>
      </c>
      <c r="C475" t="s" s="80">
        <v>799</v>
      </c>
      <c r="D475" s="131">
        <v>95</v>
      </c>
      <c r="E475" t="s" s="79">
        <v>756</v>
      </c>
      <c r="F475" t="s" s="80">
        <v>200</v>
      </c>
      <c r="G475" s="132">
        <v>47</v>
      </c>
      <c r="H475" t="s" s="133">
        <v>109</v>
      </c>
      <c r="I475" t="s" s="134">
        <v>109</v>
      </c>
      <c r="J475" t="s" s="134">
        <v>97</v>
      </c>
      <c r="K475" t="str" s="135" cm="1">
        <f t="array" ref="K475">IF(OR(H475="ריביות",AND(H475="דירה כצנלסון",G475&lt;0,ISNUMBER(SEARCH("הכנסה",F475)))),"הכנסה שסווגה מחדש",J475)</f>
        <v>שוטף</v>
      </c>
      <c r="L475" t="s" s="134">
        <v>741</v>
      </c>
      <c r="M475" s="136" cm="1">
        <f t="array" ref="M475">IF(L475="מאושר",IF(K475="הכנסה שסווגה מחדש",0,G475),0)</f>
        <v>47</v>
      </c>
      <c r="N475" s="136" cm="1">
        <f t="array" ref="N475">IF(K475="שוטף",M475,0)</f>
        <v>47</v>
      </c>
      <c r="O475" s="136" cm="1">
        <f t="array" ref="O475">IF(K475="הכנסה שסווגה מחדש",-G475,0)</f>
        <v>0</v>
      </c>
      <c r="P475" t="s" s="80">
        <v>762</v>
      </c>
      <c r="Q475" s="100"/>
      <c r="R475" t="s" s="137">
        <v>743</v>
      </c>
      <c r="S475" s="77"/>
    </row>
    <row r="476" ht="13.65" customHeight="1">
      <c r="A476" s="84">
        <v>45778</v>
      </c>
      <c r="B476" t="s" s="85">
        <v>45</v>
      </c>
      <c r="C476" t="s" s="86">
        <v>799</v>
      </c>
      <c r="D476" s="138">
        <v>96</v>
      </c>
      <c r="E476" t="s" s="85">
        <v>776</v>
      </c>
      <c r="F476" t="s" s="86">
        <v>509</v>
      </c>
      <c r="G476" s="139">
        <v>48</v>
      </c>
      <c r="H476" t="s" s="140">
        <v>113</v>
      </c>
      <c r="I476" t="s" s="141">
        <v>113</v>
      </c>
      <c r="J476" t="s" s="141">
        <v>97</v>
      </c>
      <c r="K476" t="str" s="142" cm="1">
        <f t="array" ref="K476">IF(OR(H476="ריביות",AND(H476="דירה כצנלסון",G476&lt;0,ISNUMBER(SEARCH("הכנסה",F476)))),"הכנסה שסווגה מחדש",J476)</f>
        <v>שוטף</v>
      </c>
      <c r="L476" t="s" s="141">
        <v>741</v>
      </c>
      <c r="M476" s="143" cm="1">
        <f t="array" ref="M476">IF(L476="מאושר",IF(K476="הכנסה שסווגה מחדש",0,G476),0)</f>
        <v>48</v>
      </c>
      <c r="N476" s="143" cm="1">
        <f t="array" ref="N476">IF(K476="שוטף",M476,0)</f>
        <v>48</v>
      </c>
      <c r="O476" s="143" cm="1">
        <f t="array" ref="O476">IF(K476="הכנסה שסווגה מחדש",-G476,0)</f>
        <v>0</v>
      </c>
      <c r="P476" t="s" s="86">
        <v>762</v>
      </c>
      <c r="Q476" s="99"/>
      <c r="R476" t="s" s="144">
        <v>743</v>
      </c>
      <c r="S476" s="77"/>
    </row>
    <row r="477" ht="13.65" customHeight="1">
      <c r="A477" s="78">
        <v>45778</v>
      </c>
      <c r="B477" t="s" s="79">
        <v>45</v>
      </c>
      <c r="C477" t="s" s="80">
        <v>799</v>
      </c>
      <c r="D477" s="131">
        <v>97</v>
      </c>
      <c r="E477" t="s" s="79">
        <v>755</v>
      </c>
      <c r="F477" t="s" s="80">
        <v>231</v>
      </c>
      <c r="G477" s="132">
        <v>30</v>
      </c>
      <c r="H477" t="s" s="133">
        <v>113</v>
      </c>
      <c r="I477" t="s" s="134">
        <v>113</v>
      </c>
      <c r="J477" t="s" s="134">
        <v>97</v>
      </c>
      <c r="K477" t="str" s="135" cm="1">
        <f t="array" ref="K477">IF(OR(H477="ריביות",AND(H477="דירה כצנלסון",G477&lt;0,ISNUMBER(SEARCH("הכנסה",F477)))),"הכנסה שסווגה מחדש",J477)</f>
        <v>שוטף</v>
      </c>
      <c r="L477" t="s" s="134">
        <v>741</v>
      </c>
      <c r="M477" s="136" cm="1">
        <f t="array" ref="M477">IF(L477="מאושר",IF(K477="הכנסה שסווגה מחדש",0,G477),0)</f>
        <v>30</v>
      </c>
      <c r="N477" s="136" cm="1">
        <f t="array" ref="N477">IF(K477="שוטף",M477,0)</f>
        <v>30</v>
      </c>
      <c r="O477" s="136" cm="1">
        <f t="array" ref="O477">IF(K477="הכנסה שסווגה מחדש",-G477,0)</f>
        <v>0</v>
      </c>
      <c r="P477" t="s" s="80">
        <v>798</v>
      </c>
      <c r="Q477" s="100"/>
      <c r="R477" t="s" s="137">
        <v>743</v>
      </c>
      <c r="S477" s="77"/>
    </row>
    <row r="478" ht="13.65" customHeight="1">
      <c r="A478" s="84">
        <v>45778</v>
      </c>
      <c r="B478" t="s" s="85">
        <v>45</v>
      </c>
      <c r="C478" t="s" s="86">
        <v>799</v>
      </c>
      <c r="D478" s="138">
        <v>98</v>
      </c>
      <c r="E478" t="s" s="85">
        <v>751</v>
      </c>
      <c r="F478" t="s" s="86">
        <v>216</v>
      </c>
      <c r="G478" s="139">
        <v>6000</v>
      </c>
      <c r="H478" t="s" s="140">
        <v>105</v>
      </c>
      <c r="I478" t="s" s="141">
        <v>105</v>
      </c>
      <c r="J478" t="s" s="141">
        <v>103</v>
      </c>
      <c r="K478" t="str" s="142" cm="1">
        <f t="array" ref="K478">IF(OR(H478="ריביות",AND(H478="דירה כצנלסון",G478&lt;0,ISNUMBER(SEARCH("הכנסה",F478)))),"הכנסה שסווגה מחדש",J478)</f>
        <v>חריג</v>
      </c>
      <c r="L478" t="s" s="141">
        <v>741</v>
      </c>
      <c r="M478" s="143" cm="1">
        <f t="array" ref="M478">IF(L478="מאושר",IF(K478="הכנסה שסווגה מחדש",0,G478),0)</f>
        <v>6000</v>
      </c>
      <c r="N478" s="143" cm="1">
        <f t="array" ref="N478">IF(K478="שוטף",M478,0)</f>
        <v>0</v>
      </c>
      <c r="O478" s="143" cm="1">
        <f t="array" ref="O478">IF(K478="הכנסה שסווגה מחדש",-G478,0)</f>
        <v>0</v>
      </c>
      <c r="P478" t="s" s="86">
        <v>781</v>
      </c>
      <c r="Q478" s="99"/>
      <c r="R478" t="s" s="144">
        <v>743</v>
      </c>
      <c r="S478" s="77"/>
    </row>
    <row r="479" ht="13.65" customHeight="1">
      <c r="A479" s="78">
        <v>45778</v>
      </c>
      <c r="B479" t="s" s="79">
        <v>45</v>
      </c>
      <c r="C479" t="s" s="80">
        <v>799</v>
      </c>
      <c r="D479" s="131">
        <v>99</v>
      </c>
      <c r="E479" t="s" s="79">
        <v>751</v>
      </c>
      <c r="F479" t="s" s="80">
        <v>274</v>
      </c>
      <c r="G479" s="132">
        <v>1400</v>
      </c>
      <c r="H479" t="s" s="133">
        <v>105</v>
      </c>
      <c r="I479" t="s" s="134">
        <v>105</v>
      </c>
      <c r="J479" t="s" s="134">
        <v>103</v>
      </c>
      <c r="K479" t="str" s="135" cm="1">
        <f t="array" ref="K479">IF(OR(H479="ריביות",AND(H479="דירה כצנלסון",G479&lt;0,ISNUMBER(SEARCH("הכנסה",F479)))),"הכנסה שסווגה מחדש",J479)</f>
        <v>חריג</v>
      </c>
      <c r="L479" t="s" s="134">
        <v>741</v>
      </c>
      <c r="M479" s="136" cm="1">
        <f t="array" ref="M479">IF(L479="מאושר",IF(K479="הכנסה שסווגה מחדש",0,G479),0)</f>
        <v>1400</v>
      </c>
      <c r="N479" s="136" cm="1">
        <f t="array" ref="N479">IF(K479="שוטף",M479,0)</f>
        <v>0</v>
      </c>
      <c r="O479" s="136" cm="1">
        <f t="array" ref="O479">IF(K479="הכנסה שסווגה מחדש",-G479,0)</f>
        <v>0</v>
      </c>
      <c r="P479" t="s" s="80">
        <v>781</v>
      </c>
      <c r="Q479" s="100"/>
      <c r="R479" t="s" s="137">
        <v>743</v>
      </c>
      <c r="S479" s="77"/>
    </row>
    <row r="480" ht="13.65" customHeight="1">
      <c r="A480" s="84">
        <v>45778</v>
      </c>
      <c r="B480" t="s" s="85">
        <v>45</v>
      </c>
      <c r="C480" t="s" s="86">
        <v>799</v>
      </c>
      <c r="D480" s="138">
        <v>100</v>
      </c>
      <c r="E480" s="99"/>
      <c r="F480" t="s" s="86">
        <v>515</v>
      </c>
      <c r="G480" s="139">
        <v>107</v>
      </c>
      <c r="H480" t="s" s="140">
        <v>111</v>
      </c>
      <c r="I480" t="s" s="141">
        <v>111</v>
      </c>
      <c r="J480" t="s" s="141">
        <v>97</v>
      </c>
      <c r="K480" t="str" s="142" cm="1">
        <f t="array" ref="K480">IF(OR(H480="ריביות",AND(H480="דירה כצנלסון",G480&lt;0,ISNUMBER(SEARCH("הכנסה",F480)))),"הכנסה שסווגה מחדש",J480)</f>
        <v>שוטף</v>
      </c>
      <c r="L480" t="s" s="141">
        <v>741</v>
      </c>
      <c r="M480" s="143" cm="1">
        <f t="array" ref="M480">IF(L480="מאושר",IF(K480="הכנסה שסווגה מחדש",0,G480),0)</f>
        <v>107</v>
      </c>
      <c r="N480" s="143" cm="1">
        <f t="array" ref="N480">IF(K480="שוטף",M480,0)</f>
        <v>107</v>
      </c>
      <c r="O480" s="143" cm="1">
        <f t="array" ref="O480">IF(K480="הכנסה שסווגה מחדש",-G480,0)</f>
        <v>0</v>
      </c>
      <c r="P480" t="s" s="86">
        <v>760</v>
      </c>
      <c r="Q480" s="99"/>
      <c r="R480" t="s" s="144">
        <v>743</v>
      </c>
      <c r="S480" s="77"/>
    </row>
    <row r="481" ht="13.65" customHeight="1">
      <c r="A481" s="78">
        <v>45809</v>
      </c>
      <c r="B481" t="s" s="79">
        <v>49</v>
      </c>
      <c r="C481" t="s" s="80">
        <v>805</v>
      </c>
      <c r="D481" s="131">
        <v>2</v>
      </c>
      <c r="E481" t="s" s="79">
        <v>772</v>
      </c>
      <c r="F481" t="s" s="80">
        <v>196</v>
      </c>
      <c r="G481" s="132">
        <v>0</v>
      </c>
      <c r="H481" t="s" s="133">
        <v>763</v>
      </c>
      <c r="I481" t="s" s="134">
        <v>96</v>
      </c>
      <c r="J481" t="s" s="134">
        <v>97</v>
      </c>
      <c r="K481" t="str" s="135" cm="1">
        <f t="array" ref="K481">IF(OR(H481="ריביות",AND(H481="דירה כצנלסון",G481&lt;0,ISNUMBER(SEARCH("הכנסה",F481)))),"הכנסה שסווגה מחדש",J481)</f>
        <v>שוטף</v>
      </c>
      <c r="L481" t="s" s="134">
        <v>741</v>
      </c>
      <c r="M481" s="136" cm="1">
        <f t="array" ref="M481">IF(L481="מאושר",IF(K481="הכנסה שסווגה מחדש",0,G481),0)</f>
        <v>0</v>
      </c>
      <c r="N481" s="136" cm="1">
        <f t="array" ref="N481">IF(K481="שוטף",M481,0)</f>
        <v>0</v>
      </c>
      <c r="O481" s="136" cm="1">
        <f t="array" ref="O481">IF(K481="הכנסה שסווגה מחדש",-G481,0)</f>
        <v>0</v>
      </c>
      <c r="P481" s="100"/>
      <c r="Q481" s="100"/>
      <c r="R481" t="s" s="137">
        <v>743</v>
      </c>
      <c r="S481" s="77"/>
    </row>
    <row r="482" ht="13.65" customHeight="1">
      <c r="A482" s="84">
        <v>45809</v>
      </c>
      <c r="B482" t="s" s="85">
        <v>49</v>
      </c>
      <c r="C482" t="s" s="86">
        <v>805</v>
      </c>
      <c r="D482" s="138">
        <v>3</v>
      </c>
      <c r="E482" t="s" s="85">
        <v>751</v>
      </c>
      <c r="F482" t="s" s="86">
        <v>197</v>
      </c>
      <c r="G482" s="139">
        <v>6138</v>
      </c>
      <c r="H482" t="s" s="140">
        <v>279</v>
      </c>
      <c r="I482" t="s" s="141">
        <v>99</v>
      </c>
      <c r="J482" t="s" s="141">
        <v>100</v>
      </c>
      <c r="K482" t="str" s="142" cm="1">
        <f t="array" ref="K482">IF(OR(H482="ריביות",AND(H482="דירה כצנלסון",G482&lt;0,ISNUMBER(SEARCH("הכנסה",F482)))),"הכנסה שסווגה מחדש",J482)</f>
        <v>חריג/נכס</v>
      </c>
      <c r="L482" t="s" s="141">
        <v>741</v>
      </c>
      <c r="M482" s="143" cm="1">
        <f t="array" ref="M482">IF(L482="מאושר",IF(K482="הכנסה שסווגה מחדש",0,G482),0)</f>
        <v>6138</v>
      </c>
      <c r="N482" s="143" cm="1">
        <f t="array" ref="N482">IF(K482="שוטף",M482,0)</f>
        <v>0</v>
      </c>
      <c r="O482" s="143" cm="1">
        <f t="array" ref="O482">IF(K482="הכנסה שסווגה מחדש",-G482,0)</f>
        <v>0</v>
      </c>
      <c r="P482" t="s" s="86">
        <v>786</v>
      </c>
      <c r="Q482" s="99"/>
      <c r="R482" t="s" s="144">
        <v>743</v>
      </c>
      <c r="S482" s="77"/>
    </row>
    <row r="483" ht="13.65" customHeight="1">
      <c r="A483" s="78">
        <v>45809</v>
      </c>
      <c r="B483" t="s" s="79">
        <v>49</v>
      </c>
      <c r="C483" t="s" s="80">
        <v>805</v>
      </c>
      <c r="D483" s="131">
        <v>4</v>
      </c>
      <c r="E483" s="100"/>
      <c r="F483" t="s" s="80">
        <v>740</v>
      </c>
      <c r="G483" s="132">
        <v>-6500</v>
      </c>
      <c r="H483" t="s" s="133">
        <v>279</v>
      </c>
      <c r="I483" t="s" s="134">
        <v>99</v>
      </c>
      <c r="J483" t="s" s="134">
        <v>100</v>
      </c>
      <c r="K483" t="str" s="135" cm="1">
        <f t="array" ref="K483">IF(OR(H483="ריביות",AND(H483="דירה כצנלסון",G483&lt;0,ISNUMBER(SEARCH("הכנסה",F483)))),"הכנסה שסווגה מחדש",J483)</f>
        <v>הכנסה שסווגה מחדש</v>
      </c>
      <c r="L483" t="s" s="134">
        <v>741</v>
      </c>
      <c r="M483" s="136" cm="1">
        <f t="array" ref="M483">IF(L483="מאושר",IF(K483="הכנסה שסווגה מחדש",0,G483),0)</f>
        <v>0</v>
      </c>
      <c r="N483" s="136" cm="1">
        <f t="array" ref="N483">IF(K483="שוטף",M483,0)</f>
        <v>0</v>
      </c>
      <c r="O483" s="136" cm="1">
        <f t="array" ref="O483">IF(K483="הכנסה שסווגה מחדש",-G483,0)</f>
        <v>6500</v>
      </c>
      <c r="P483" t="s" s="79">
        <v>742</v>
      </c>
      <c r="Q483" s="100"/>
      <c r="R483" t="s" s="137">
        <v>743</v>
      </c>
      <c r="S483" s="77"/>
    </row>
    <row r="484" ht="13.65" customHeight="1">
      <c r="A484" s="84">
        <v>45809</v>
      </c>
      <c r="B484" t="s" s="85">
        <v>49</v>
      </c>
      <c r="C484" t="s" s="86">
        <v>805</v>
      </c>
      <c r="D484" s="138">
        <v>5</v>
      </c>
      <c r="E484" t="s" s="85">
        <v>791</v>
      </c>
      <c r="F484" t="s" s="86">
        <v>212</v>
      </c>
      <c r="G484" s="139">
        <v>1013</v>
      </c>
      <c r="H484" t="s" s="140">
        <v>757</v>
      </c>
      <c r="I484" t="s" s="141">
        <v>96</v>
      </c>
      <c r="J484" t="s" s="141">
        <v>97</v>
      </c>
      <c r="K484" t="str" s="142" cm="1">
        <f t="array" ref="K484">IF(OR(H484="ריביות",AND(H484="דירה כצנלסון",G484&lt;0,ISNUMBER(SEARCH("הכנסה",F484)))),"הכנסה שסווגה מחדש",J484)</f>
        <v>שוטף</v>
      </c>
      <c r="L484" t="s" s="141">
        <v>741</v>
      </c>
      <c r="M484" s="143" cm="1">
        <f t="array" ref="M484">IF(L484="מאושר",IF(K484="הכנסה שסווגה מחדש",0,G484),0)</f>
        <v>1013</v>
      </c>
      <c r="N484" s="143" cm="1">
        <f t="array" ref="N484">IF(K484="שוטף",M484,0)</f>
        <v>1013</v>
      </c>
      <c r="O484" s="143" cm="1">
        <f t="array" ref="O484">IF(K484="הכנסה שסווגה מחדש",-G484,0)</f>
        <v>0</v>
      </c>
      <c r="P484" t="s" s="86">
        <v>782</v>
      </c>
      <c r="Q484" s="99"/>
      <c r="R484" t="s" s="144">
        <v>743</v>
      </c>
      <c r="S484" s="77"/>
    </row>
    <row r="485" ht="13.65" customHeight="1">
      <c r="A485" s="78">
        <v>45809</v>
      </c>
      <c r="B485" t="s" s="79">
        <v>49</v>
      </c>
      <c r="C485" t="s" s="80">
        <v>805</v>
      </c>
      <c r="D485" s="131">
        <v>6</v>
      </c>
      <c r="E485" t="s" s="79">
        <v>34</v>
      </c>
      <c r="F485" t="s" s="80">
        <v>221</v>
      </c>
      <c r="G485" s="132">
        <v>280</v>
      </c>
      <c r="H485" t="s" s="133">
        <v>757</v>
      </c>
      <c r="I485" t="s" s="134">
        <v>96</v>
      </c>
      <c r="J485" t="s" s="134">
        <v>97</v>
      </c>
      <c r="K485" t="str" s="135" cm="1">
        <f t="array" ref="K485">IF(OR(H485="ריביות",AND(H485="דירה כצנלסון",G485&lt;0,ISNUMBER(SEARCH("הכנסה",F485)))),"הכנסה שסווגה מחדש",J485)</f>
        <v>שוטף</v>
      </c>
      <c r="L485" t="s" s="134">
        <v>741</v>
      </c>
      <c r="M485" s="136" cm="1">
        <f t="array" ref="M485">IF(L485="מאושר",IF(K485="הכנסה שסווגה מחדש",0,G485),0)</f>
        <v>280</v>
      </c>
      <c r="N485" s="136" cm="1">
        <f t="array" ref="N485">IF(K485="שוטף",M485,0)</f>
        <v>280</v>
      </c>
      <c r="O485" s="136" cm="1">
        <f t="array" ref="O485">IF(K485="הכנסה שסווגה מחדש",-G485,0)</f>
        <v>0</v>
      </c>
      <c r="P485" t="s" s="80">
        <v>762</v>
      </c>
      <c r="Q485" s="100"/>
      <c r="R485" t="s" s="137">
        <v>743</v>
      </c>
      <c r="S485" s="77"/>
    </row>
    <row r="486" ht="13.65" customHeight="1">
      <c r="A486" s="84">
        <v>45809</v>
      </c>
      <c r="B486" t="s" s="85">
        <v>49</v>
      </c>
      <c r="C486" t="s" s="86">
        <v>805</v>
      </c>
      <c r="D486" s="138">
        <v>7</v>
      </c>
      <c r="E486" t="s" s="85">
        <v>776</v>
      </c>
      <c r="F486" t="s" s="86">
        <v>272</v>
      </c>
      <c r="G486" s="139">
        <v>136</v>
      </c>
      <c r="H486" t="s" s="140">
        <v>757</v>
      </c>
      <c r="I486" t="s" s="141">
        <v>96</v>
      </c>
      <c r="J486" t="s" s="141">
        <v>97</v>
      </c>
      <c r="K486" t="str" s="142" cm="1">
        <f t="array" ref="K486">IF(OR(H486="ריביות",AND(H486="דירה כצנלסון",G486&lt;0,ISNUMBER(SEARCH("הכנסה",F486)))),"הכנסה שסווגה מחדש",J486)</f>
        <v>שוטף</v>
      </c>
      <c r="L486" t="s" s="141">
        <v>741</v>
      </c>
      <c r="M486" s="143" cm="1">
        <f t="array" ref="M486">IF(L486="מאושר",IF(K486="הכנסה שסווגה מחדש",0,G486),0)</f>
        <v>136</v>
      </c>
      <c r="N486" s="143" cm="1">
        <f t="array" ref="N486">IF(K486="שוטף",M486,0)</f>
        <v>136</v>
      </c>
      <c r="O486" s="143" cm="1">
        <f t="array" ref="O486">IF(K486="הכנסה שסווגה מחדש",-G486,0)</f>
        <v>0</v>
      </c>
      <c r="P486" t="s" s="85">
        <v>758</v>
      </c>
      <c r="Q486" s="99"/>
      <c r="R486" t="s" s="144">
        <v>743</v>
      </c>
      <c r="S486" s="77"/>
    </row>
    <row r="487" ht="13.65" customHeight="1">
      <c r="A487" s="78">
        <v>45809</v>
      </c>
      <c r="B487" t="s" s="79">
        <v>49</v>
      </c>
      <c r="C487" t="s" s="80">
        <v>805</v>
      </c>
      <c r="D487" s="131">
        <v>8</v>
      </c>
      <c r="E487" s="100"/>
      <c r="F487" t="s" s="80">
        <v>232</v>
      </c>
      <c r="G487" s="132">
        <v>0</v>
      </c>
      <c r="H487" t="s" s="133">
        <v>757</v>
      </c>
      <c r="I487" t="s" s="134">
        <v>96</v>
      </c>
      <c r="J487" t="s" s="134">
        <v>97</v>
      </c>
      <c r="K487" t="str" s="135" cm="1">
        <f t="array" ref="K487">IF(OR(H487="ריביות",AND(H487="דירה כצנלסון",G487&lt;0,ISNUMBER(SEARCH("הכנסה",F487)))),"הכנסה שסווגה מחדש",J487)</f>
        <v>שוטף</v>
      </c>
      <c r="L487" t="s" s="134">
        <v>741</v>
      </c>
      <c r="M487" s="136" cm="1">
        <f t="array" ref="M487">IF(L487="מאושר",IF(K487="הכנסה שסווגה מחדש",0,G487),0)</f>
        <v>0</v>
      </c>
      <c r="N487" s="136" cm="1">
        <f t="array" ref="N487">IF(K487="שוטף",M487,0)</f>
        <v>0</v>
      </c>
      <c r="O487" s="136" cm="1">
        <f t="array" ref="O487">IF(K487="הכנסה שסווגה מחדש",-G487,0)</f>
        <v>0</v>
      </c>
      <c r="P487" s="100"/>
      <c r="Q487" s="100"/>
      <c r="R487" t="s" s="137">
        <v>743</v>
      </c>
      <c r="S487" s="77"/>
    </row>
    <row r="488" ht="13.65" customHeight="1">
      <c r="A488" s="84">
        <v>45809</v>
      </c>
      <c r="B488" t="s" s="85">
        <v>49</v>
      </c>
      <c r="C488" t="s" s="86">
        <v>805</v>
      </c>
      <c r="D488" s="138">
        <v>9</v>
      </c>
      <c r="E488" s="99"/>
      <c r="F488" t="s" s="86">
        <v>374</v>
      </c>
      <c r="G488" s="139">
        <v>0</v>
      </c>
      <c r="H488" t="s" s="140">
        <v>757</v>
      </c>
      <c r="I488" t="s" s="141">
        <v>96</v>
      </c>
      <c r="J488" t="s" s="141">
        <v>97</v>
      </c>
      <c r="K488" t="str" s="142" cm="1">
        <f t="array" ref="K488">IF(OR(H488="ריביות",AND(H488="דירה כצנלסון",G488&lt;0,ISNUMBER(SEARCH("הכנסה",F488)))),"הכנסה שסווגה מחדש",J488)</f>
        <v>שוטף</v>
      </c>
      <c r="L488" t="s" s="141">
        <v>741</v>
      </c>
      <c r="M488" s="143" cm="1">
        <f t="array" ref="M488">IF(L488="מאושר",IF(K488="הכנסה שסווגה מחדש",0,G488),0)</f>
        <v>0</v>
      </c>
      <c r="N488" s="143" cm="1">
        <f t="array" ref="N488">IF(K488="שוטף",M488,0)</f>
        <v>0</v>
      </c>
      <c r="O488" s="143" cm="1">
        <f t="array" ref="O488">IF(K488="הכנסה שסווגה מחדש",-G488,0)</f>
        <v>0</v>
      </c>
      <c r="P488" s="99"/>
      <c r="Q488" s="99"/>
      <c r="R488" t="s" s="144">
        <v>743</v>
      </c>
      <c r="S488" s="77"/>
    </row>
    <row r="489" ht="13.65" customHeight="1">
      <c r="A489" s="78">
        <v>45809</v>
      </c>
      <c r="B489" t="s" s="79">
        <v>49</v>
      </c>
      <c r="C489" t="s" s="80">
        <v>805</v>
      </c>
      <c r="D489" s="131">
        <v>10</v>
      </c>
      <c r="E489" t="s" s="79">
        <v>739</v>
      </c>
      <c r="F489" t="s" s="80">
        <v>276</v>
      </c>
      <c r="G489" s="132">
        <v>169</v>
      </c>
      <c r="H489" t="s" s="133">
        <v>763</v>
      </c>
      <c r="I489" t="s" s="134">
        <v>96</v>
      </c>
      <c r="J489" t="s" s="134">
        <v>97</v>
      </c>
      <c r="K489" t="str" s="135" cm="1">
        <f t="array" ref="K489">IF(OR(H489="ריביות",AND(H489="דירה כצנלסון",G489&lt;0,ISNUMBER(SEARCH("הכנסה",F489)))),"הכנסה שסווגה מחדש",J489)</f>
        <v>שוטף</v>
      </c>
      <c r="L489" t="s" s="134">
        <v>741</v>
      </c>
      <c r="M489" s="136" cm="1">
        <f t="array" ref="M489">IF(L489="מאושר",IF(K489="הכנסה שסווגה מחדש",0,G489),0)</f>
        <v>169</v>
      </c>
      <c r="N489" s="136" cm="1">
        <f t="array" ref="N489">IF(K489="שוטף",M489,0)</f>
        <v>169</v>
      </c>
      <c r="O489" s="136" cm="1">
        <f t="array" ref="O489">IF(K489="הכנסה שסווגה מחדש",-G489,0)</f>
        <v>0</v>
      </c>
      <c r="P489" t="s" s="80">
        <v>762</v>
      </c>
      <c r="Q489" s="100"/>
      <c r="R489" t="s" s="137">
        <v>743</v>
      </c>
      <c r="S489" s="77"/>
    </row>
    <row r="490" ht="13.65" customHeight="1">
      <c r="A490" s="84">
        <v>45809</v>
      </c>
      <c r="B490" t="s" s="85">
        <v>49</v>
      </c>
      <c r="C490" t="s" s="86">
        <v>805</v>
      </c>
      <c r="D490" s="138">
        <v>11</v>
      </c>
      <c r="E490" t="s" s="85">
        <v>764</v>
      </c>
      <c r="F490" t="s" s="86">
        <v>273</v>
      </c>
      <c r="G490" s="139">
        <v>87</v>
      </c>
      <c r="H490" t="s" s="140">
        <v>279</v>
      </c>
      <c r="I490" t="s" s="141">
        <v>99</v>
      </c>
      <c r="J490" t="s" s="141">
        <v>100</v>
      </c>
      <c r="K490" t="str" s="142" cm="1">
        <f t="array" ref="K490">IF(OR(H490="ריביות",AND(H490="דירה כצנלסון",G490&lt;0,ISNUMBER(SEARCH("הכנסה",F490)))),"הכנסה שסווגה מחדש",J490)</f>
        <v>חריג/נכס</v>
      </c>
      <c r="L490" t="s" s="141">
        <v>741</v>
      </c>
      <c r="M490" s="143" cm="1">
        <f t="array" ref="M490">IF(L490="מאושר",IF(K490="הכנסה שסווגה מחדש",0,G490),0)</f>
        <v>87</v>
      </c>
      <c r="N490" s="143" cm="1">
        <f t="array" ref="N490">IF(K490="שוטף",M490,0)</f>
        <v>0</v>
      </c>
      <c r="O490" s="143" cm="1">
        <f t="array" ref="O490">IF(K490="הכנסה שסווגה מחדש",-G490,0)</f>
        <v>0</v>
      </c>
      <c r="P490" t="s" s="86">
        <v>762</v>
      </c>
      <c r="Q490" s="99"/>
      <c r="R490" t="s" s="144">
        <v>743</v>
      </c>
      <c r="S490" s="77"/>
    </row>
    <row r="491" ht="13.65" customHeight="1">
      <c r="A491" s="78">
        <v>45809</v>
      </c>
      <c r="B491" t="s" s="79">
        <v>49</v>
      </c>
      <c r="C491" t="s" s="80">
        <v>805</v>
      </c>
      <c r="D491" s="131">
        <v>12</v>
      </c>
      <c r="E491" t="s" s="79">
        <v>764</v>
      </c>
      <c r="F491" t="s" s="80">
        <v>328</v>
      </c>
      <c r="G491" s="132">
        <v>29</v>
      </c>
      <c r="H491" t="s" s="133">
        <v>279</v>
      </c>
      <c r="I491" t="s" s="134">
        <v>99</v>
      </c>
      <c r="J491" t="s" s="134">
        <v>100</v>
      </c>
      <c r="K491" t="str" s="135" cm="1">
        <f t="array" ref="K491">IF(OR(H491="ריביות",AND(H491="דירה כצנלסון",G491&lt;0,ISNUMBER(SEARCH("הכנסה",F491)))),"הכנסה שסווגה מחדש",J491)</f>
        <v>חריג/נכס</v>
      </c>
      <c r="L491" t="s" s="134">
        <v>741</v>
      </c>
      <c r="M491" s="136" cm="1">
        <f t="array" ref="M491">IF(L491="מאושר",IF(K491="הכנסה שסווגה מחדש",0,G491),0)</f>
        <v>29</v>
      </c>
      <c r="N491" s="136" cm="1">
        <f t="array" ref="N491">IF(K491="שוטף",M491,0)</f>
        <v>0</v>
      </c>
      <c r="O491" s="136" cm="1">
        <f t="array" ref="O491">IF(K491="הכנסה שסווגה מחדש",-G491,0)</f>
        <v>0</v>
      </c>
      <c r="P491" t="s" s="80">
        <v>762</v>
      </c>
      <c r="Q491" s="100"/>
      <c r="R491" t="s" s="137">
        <v>743</v>
      </c>
      <c r="S491" s="77"/>
    </row>
    <row r="492" ht="13.65" customHeight="1">
      <c r="A492" s="84">
        <v>45809</v>
      </c>
      <c r="B492" t="s" s="85">
        <v>49</v>
      </c>
      <c r="C492" t="s" s="86">
        <v>805</v>
      </c>
      <c r="D492" s="138">
        <v>13</v>
      </c>
      <c r="E492" s="99"/>
      <c r="F492" t="s" s="86">
        <v>263</v>
      </c>
      <c r="G492" s="139">
        <v>115</v>
      </c>
      <c r="H492" t="s" s="140">
        <v>135</v>
      </c>
      <c r="I492" t="s" s="141">
        <v>135</v>
      </c>
      <c r="J492" t="s" s="141">
        <v>97</v>
      </c>
      <c r="K492" t="str" s="142" cm="1">
        <f t="array" ref="K492">IF(OR(H492="ריביות",AND(H492="דירה כצנלסון",G492&lt;0,ISNUMBER(SEARCH("הכנסה",F492)))),"הכנסה שסווגה מחדש",J492)</f>
        <v>שוטף</v>
      </c>
      <c r="L492" t="s" s="141">
        <v>741</v>
      </c>
      <c r="M492" s="143" cm="1">
        <f t="array" ref="M492">IF(L492="מאושר",IF(K492="הכנסה שסווגה מחדש",0,G492),0)</f>
        <v>115</v>
      </c>
      <c r="N492" s="143" cm="1">
        <f t="array" ref="N492">IF(K492="שוטף",M492,0)</f>
        <v>115</v>
      </c>
      <c r="O492" s="143" cm="1">
        <f t="array" ref="O492">IF(K492="הכנסה שסווגה מחדש",-G492,0)</f>
        <v>0</v>
      </c>
      <c r="P492" t="s" s="86">
        <v>770</v>
      </c>
      <c r="Q492" s="99"/>
      <c r="R492" t="s" s="144">
        <v>743</v>
      </c>
      <c r="S492" s="77"/>
    </row>
    <row r="493" ht="13.65" customHeight="1">
      <c r="A493" s="78">
        <v>45809</v>
      </c>
      <c r="B493" t="s" s="79">
        <v>49</v>
      </c>
      <c r="C493" t="s" s="80">
        <v>805</v>
      </c>
      <c r="D493" s="131">
        <v>14</v>
      </c>
      <c r="E493" s="100"/>
      <c r="F493" t="s" s="80">
        <v>211</v>
      </c>
      <c r="G493" s="132">
        <v>400</v>
      </c>
      <c r="H493" t="s" s="133">
        <v>757</v>
      </c>
      <c r="I493" t="s" s="134">
        <v>96</v>
      </c>
      <c r="J493" t="s" s="134">
        <v>97</v>
      </c>
      <c r="K493" t="str" s="135" cm="1">
        <f t="array" ref="K493">IF(OR(H493="ריביות",AND(H493="דירה כצנלסון",G493&lt;0,ISNUMBER(SEARCH("הכנסה",F493)))),"הכנסה שסווגה מחדש",J493)</f>
        <v>שוטף</v>
      </c>
      <c r="L493" t="s" s="134">
        <v>741</v>
      </c>
      <c r="M493" s="136" cm="1">
        <f t="array" ref="M493">IF(L493="מאושר",IF(K493="הכנסה שסווגה מחדש",0,G493),0)</f>
        <v>400</v>
      </c>
      <c r="N493" s="136" cm="1">
        <f t="array" ref="N493">IF(K493="שוטף",M493,0)</f>
        <v>400</v>
      </c>
      <c r="O493" s="136" cm="1">
        <f t="array" ref="O493">IF(K493="הכנסה שסווגה מחדש",-G493,0)</f>
        <v>0</v>
      </c>
      <c r="P493" t="s" s="80">
        <v>781</v>
      </c>
      <c r="Q493" s="100"/>
      <c r="R493" t="s" s="137">
        <v>743</v>
      </c>
      <c r="S493" s="77"/>
    </row>
    <row r="494" ht="13.65" customHeight="1">
      <c r="A494" s="84">
        <v>45809</v>
      </c>
      <c r="B494" t="s" s="85">
        <v>49</v>
      </c>
      <c r="C494" t="s" s="86">
        <v>805</v>
      </c>
      <c r="D494" s="138">
        <v>15</v>
      </c>
      <c r="E494" s="99"/>
      <c r="F494" t="s" s="86">
        <v>373</v>
      </c>
      <c r="G494" s="139">
        <v>400</v>
      </c>
      <c r="H494" t="s" s="140">
        <v>127</v>
      </c>
      <c r="I494" t="s" s="141">
        <v>127</v>
      </c>
      <c r="J494" t="s" s="141">
        <v>97</v>
      </c>
      <c r="K494" t="str" s="142" cm="1">
        <f t="array" ref="K494">IF(OR(H494="ריביות",AND(H494="דירה כצנלסון",G494&lt;0,ISNUMBER(SEARCH("הכנסה",F494)))),"הכנסה שסווגה מחדש",J494)</f>
        <v>שוטף</v>
      </c>
      <c r="L494" t="s" s="141">
        <v>741</v>
      </c>
      <c r="M494" s="143" cm="1">
        <f t="array" ref="M494">IF(L494="מאושר",IF(K494="הכנסה שסווגה מחדש",0,G494),0)</f>
        <v>400</v>
      </c>
      <c r="N494" s="143" cm="1">
        <f t="array" ref="N494">IF(K494="שוטף",M494,0)</f>
        <v>400</v>
      </c>
      <c r="O494" s="143" cm="1">
        <f t="array" ref="O494">IF(K494="הכנסה שסווגה מחדש",-G494,0)</f>
        <v>0</v>
      </c>
      <c r="P494" t="s" s="86">
        <v>781</v>
      </c>
      <c r="Q494" s="99"/>
      <c r="R494" t="s" s="144">
        <v>743</v>
      </c>
      <c r="S494" s="77"/>
    </row>
    <row r="495" ht="13.65" customHeight="1">
      <c r="A495" s="78">
        <v>45809</v>
      </c>
      <c r="B495" t="s" s="79">
        <v>49</v>
      </c>
      <c r="C495" t="s" s="80">
        <v>805</v>
      </c>
      <c r="D495" s="131">
        <v>16</v>
      </c>
      <c r="E495" s="100"/>
      <c r="F495" t="s" s="80">
        <v>240</v>
      </c>
      <c r="G495" s="132">
        <v>2799</v>
      </c>
      <c r="H495" t="s" s="133">
        <v>210</v>
      </c>
      <c r="I495" t="s" s="134">
        <v>102</v>
      </c>
      <c r="J495" t="s" s="134">
        <v>103</v>
      </c>
      <c r="K495" t="str" s="135" cm="1">
        <f t="array" ref="K495">IF(OR(H495="ריביות",AND(H495="דירה כצנלסון",G495&lt;0,ISNUMBER(SEARCH("הכנסה",F495)))),"הכנסה שסווגה מחדש",J495)</f>
        <v>חריג</v>
      </c>
      <c r="L495" t="s" s="134">
        <v>741</v>
      </c>
      <c r="M495" s="136" cm="1">
        <f t="array" ref="M495">IF(L495="מאושר",IF(K495="הכנסה שסווגה מחדש",0,G495),0)</f>
        <v>2799</v>
      </c>
      <c r="N495" s="136" cm="1">
        <f t="array" ref="N495">IF(K495="שוטף",M495,0)</f>
        <v>0</v>
      </c>
      <c r="O495" s="136" cm="1">
        <f t="array" ref="O495">IF(K495="הכנסה שסווגה מחדש",-G495,0)</f>
        <v>0</v>
      </c>
      <c r="P495" t="s" s="80">
        <v>762</v>
      </c>
      <c r="Q495" s="100"/>
      <c r="R495" t="s" s="137">
        <v>743</v>
      </c>
      <c r="S495" s="77"/>
    </row>
    <row r="496" ht="13.65" customHeight="1">
      <c r="A496" s="84">
        <v>45809</v>
      </c>
      <c r="B496" t="s" s="85">
        <v>49</v>
      </c>
      <c r="C496" t="s" s="86">
        <v>805</v>
      </c>
      <c r="D496" s="138">
        <v>17</v>
      </c>
      <c r="E496" s="99"/>
      <c r="F496" t="s" s="86">
        <v>307</v>
      </c>
      <c r="G496" s="139">
        <v>71</v>
      </c>
      <c r="H496" t="s" s="140">
        <v>115</v>
      </c>
      <c r="I496" t="s" s="141">
        <v>115</v>
      </c>
      <c r="J496" t="s" s="141">
        <v>97</v>
      </c>
      <c r="K496" t="str" s="142" cm="1">
        <f t="array" ref="K496">IF(OR(H496="ריביות",AND(H496="דירה כצנלסון",G496&lt;0,ISNUMBER(SEARCH("הכנסה",F496)))),"הכנסה שסווגה מחדש",J496)</f>
        <v>שוטף</v>
      </c>
      <c r="L496" t="s" s="141">
        <v>741</v>
      </c>
      <c r="M496" s="143" cm="1">
        <f t="array" ref="M496">IF(L496="מאושר",IF(K496="הכנסה שסווגה מחדש",0,G496),0)</f>
        <v>71</v>
      </c>
      <c r="N496" s="143" cm="1">
        <f t="array" ref="N496">IF(K496="שוטף",M496,0)</f>
        <v>71</v>
      </c>
      <c r="O496" s="143" cm="1">
        <f t="array" ref="O496">IF(K496="הכנסה שסווגה מחדש",-G496,0)</f>
        <v>0</v>
      </c>
      <c r="P496" t="s" s="86">
        <v>762</v>
      </c>
      <c r="Q496" s="99"/>
      <c r="R496" t="s" s="144">
        <v>743</v>
      </c>
      <c r="S496" s="77"/>
    </row>
    <row r="497" ht="13.65" customHeight="1">
      <c r="A497" s="78">
        <v>45809</v>
      </c>
      <c r="B497" t="s" s="79">
        <v>49</v>
      </c>
      <c r="C497" t="s" s="80">
        <v>805</v>
      </c>
      <c r="D497" s="131">
        <v>18</v>
      </c>
      <c r="E497" t="s" s="79">
        <v>30</v>
      </c>
      <c r="F497" t="s" s="80">
        <v>533</v>
      </c>
      <c r="G497" s="132">
        <v>95</v>
      </c>
      <c r="H497" t="s" s="133">
        <v>127</v>
      </c>
      <c r="I497" t="s" s="134">
        <v>127</v>
      </c>
      <c r="J497" t="s" s="134">
        <v>97</v>
      </c>
      <c r="K497" t="str" s="135" cm="1">
        <f t="array" ref="K497">IF(OR(H497="ריביות",AND(H497="דירה כצנלסון",G497&lt;0,ISNUMBER(SEARCH("הכנסה",F497)))),"הכנסה שסווגה מחדש",J497)</f>
        <v>שוטף</v>
      </c>
      <c r="L497" t="s" s="134">
        <v>741</v>
      </c>
      <c r="M497" s="136" cm="1">
        <f t="array" ref="M497">IF(L497="מאושר",IF(K497="הכנסה שסווגה מחדש",0,G497),0)</f>
        <v>95</v>
      </c>
      <c r="N497" s="136" cm="1">
        <f t="array" ref="N497">IF(K497="שוטף",M497,0)</f>
        <v>95</v>
      </c>
      <c r="O497" s="136" cm="1">
        <f t="array" ref="O497">IF(K497="הכנסה שסווגה מחדש",-G497,0)</f>
        <v>0</v>
      </c>
      <c r="P497" t="s" s="80">
        <v>762</v>
      </c>
      <c r="Q497" s="100"/>
      <c r="R497" t="s" s="137">
        <v>743</v>
      </c>
      <c r="S497" s="77"/>
    </row>
    <row r="498" ht="13.65" customHeight="1">
      <c r="A498" s="84">
        <v>45809</v>
      </c>
      <c r="B498" t="s" s="85">
        <v>49</v>
      </c>
      <c r="C498" t="s" s="86">
        <v>805</v>
      </c>
      <c r="D498" s="138">
        <v>19</v>
      </c>
      <c r="E498" t="s" s="85">
        <v>30</v>
      </c>
      <c r="F498" t="s" s="86">
        <v>199</v>
      </c>
      <c r="G498" s="139">
        <v>1800</v>
      </c>
      <c r="H498" t="s" s="140">
        <v>767</v>
      </c>
      <c r="I498" t="s" s="141">
        <v>107</v>
      </c>
      <c r="J498" t="s" s="141">
        <v>97</v>
      </c>
      <c r="K498" t="str" s="142" cm="1">
        <f t="array" ref="K498">IF(OR(H498="ריביות",AND(H498="דירה כצנלסון",G498&lt;0,ISNUMBER(SEARCH("הכנסה",F498)))),"הכנסה שסווגה מחדש",J498)</f>
        <v>שוטף</v>
      </c>
      <c r="L498" t="s" s="141">
        <v>741</v>
      </c>
      <c r="M498" s="143" cm="1">
        <f t="array" ref="M498">IF(L498="מאושר",IF(K498="הכנסה שסווגה מחדש",0,G498),0)</f>
        <v>1800</v>
      </c>
      <c r="N498" s="143" cm="1">
        <f t="array" ref="N498">IF(K498="שוטף",M498,0)</f>
        <v>1800</v>
      </c>
      <c r="O498" s="143" cm="1">
        <f t="array" ref="O498">IF(K498="הכנסה שסווגה מחדש",-G498,0)</f>
        <v>0</v>
      </c>
      <c r="P498" t="s" s="86">
        <v>762</v>
      </c>
      <c r="Q498" s="99"/>
      <c r="R498" t="s" s="144">
        <v>743</v>
      </c>
      <c r="S498" s="77"/>
    </row>
    <row r="499" ht="13.65" customHeight="1">
      <c r="A499" s="78">
        <v>45809</v>
      </c>
      <c r="B499" t="s" s="79">
        <v>49</v>
      </c>
      <c r="C499" t="s" s="80">
        <v>805</v>
      </c>
      <c r="D499" s="131">
        <v>20</v>
      </c>
      <c r="E499" t="s" s="79">
        <v>38</v>
      </c>
      <c r="F499" t="s" s="80">
        <v>267</v>
      </c>
      <c r="G499" s="132">
        <v>12</v>
      </c>
      <c r="H499" t="s" s="133">
        <v>109</v>
      </c>
      <c r="I499" t="s" s="134">
        <v>109</v>
      </c>
      <c r="J499" t="s" s="134">
        <v>97</v>
      </c>
      <c r="K499" t="str" s="135" cm="1">
        <f t="array" ref="K499">IF(OR(H499="ריביות",AND(H499="דירה כצנלסון",G499&lt;0,ISNUMBER(SEARCH("הכנסה",F499)))),"הכנסה שסווגה מחדש",J499)</f>
        <v>שוטף</v>
      </c>
      <c r="L499" t="s" s="134">
        <v>741</v>
      </c>
      <c r="M499" s="136" cm="1">
        <f t="array" ref="M499">IF(L499="מאושר",IF(K499="הכנסה שסווגה מחדש",0,G499),0)</f>
        <v>12</v>
      </c>
      <c r="N499" s="136" cm="1">
        <f t="array" ref="N499">IF(K499="שוטף",M499,0)</f>
        <v>12</v>
      </c>
      <c r="O499" s="136" cm="1">
        <f t="array" ref="O499">IF(K499="הכנסה שסווגה מחדש",-G499,0)</f>
        <v>0</v>
      </c>
      <c r="P499" t="s" s="80">
        <v>762</v>
      </c>
      <c r="Q499" s="100"/>
      <c r="R499" t="s" s="137">
        <v>743</v>
      </c>
      <c r="S499" s="77"/>
    </row>
    <row r="500" ht="13.65" customHeight="1">
      <c r="A500" s="84">
        <v>45809</v>
      </c>
      <c r="B500" t="s" s="85">
        <v>49</v>
      </c>
      <c r="C500" t="s" s="86">
        <v>805</v>
      </c>
      <c r="D500" s="138">
        <v>21</v>
      </c>
      <c r="E500" t="s" s="85">
        <v>42</v>
      </c>
      <c r="F500" t="s" s="86">
        <v>356</v>
      </c>
      <c r="G500" s="139">
        <v>55</v>
      </c>
      <c r="H500" t="s" s="140">
        <v>767</v>
      </c>
      <c r="I500" t="s" s="141">
        <v>107</v>
      </c>
      <c r="J500" t="s" s="141">
        <v>97</v>
      </c>
      <c r="K500" t="str" s="142" cm="1">
        <f t="array" ref="K500">IF(OR(H500="ריביות",AND(H500="דירה כצנלסון",G500&lt;0,ISNUMBER(SEARCH("הכנסה",F500)))),"הכנסה שסווגה מחדש",J500)</f>
        <v>שוטף</v>
      </c>
      <c r="L500" t="s" s="141">
        <v>741</v>
      </c>
      <c r="M500" s="143" cm="1">
        <f t="array" ref="M500">IF(L500="מאושר",IF(K500="הכנסה שסווגה מחדש",0,G500),0)</f>
        <v>55</v>
      </c>
      <c r="N500" s="143" cm="1">
        <f t="array" ref="N500">IF(K500="שוטף",M500,0)</f>
        <v>55</v>
      </c>
      <c r="O500" s="143" cm="1">
        <f t="array" ref="O500">IF(K500="הכנסה שסווגה מחדש",-G500,0)</f>
        <v>0</v>
      </c>
      <c r="P500" t="s" s="86">
        <v>762</v>
      </c>
      <c r="Q500" s="99"/>
      <c r="R500" t="s" s="144">
        <v>743</v>
      </c>
      <c r="S500" s="77"/>
    </row>
    <row r="501" ht="13.65" customHeight="1">
      <c r="A501" s="78">
        <v>45809</v>
      </c>
      <c r="B501" t="s" s="79">
        <v>49</v>
      </c>
      <c r="C501" t="s" s="80">
        <v>805</v>
      </c>
      <c r="D501" s="131">
        <v>22</v>
      </c>
      <c r="E501" t="s" s="79">
        <v>769</v>
      </c>
      <c r="F501" t="s" s="80">
        <v>652</v>
      </c>
      <c r="G501" s="132">
        <v>28</v>
      </c>
      <c r="H501" t="s" s="133">
        <v>113</v>
      </c>
      <c r="I501" t="s" s="134">
        <v>113</v>
      </c>
      <c r="J501" t="s" s="134">
        <v>97</v>
      </c>
      <c r="K501" t="str" s="135" cm="1">
        <f t="array" ref="K501">IF(OR(H501="ריביות",AND(H501="דירה כצנלסון",G501&lt;0,ISNUMBER(SEARCH("הכנסה",F501)))),"הכנסה שסווגה מחדש",J501)</f>
        <v>שוטף</v>
      </c>
      <c r="L501" t="s" s="134">
        <v>741</v>
      </c>
      <c r="M501" s="136" cm="1">
        <f t="array" ref="M501">IF(L501="מאושר",IF(K501="הכנסה שסווגה מחדש",0,G501),0)</f>
        <v>28</v>
      </c>
      <c r="N501" s="136" cm="1">
        <f t="array" ref="N501">IF(K501="שוטף",M501,0)</f>
        <v>28</v>
      </c>
      <c r="O501" s="136" cm="1">
        <f t="array" ref="O501">IF(K501="הכנסה שסווגה מחדש",-G501,0)</f>
        <v>0</v>
      </c>
      <c r="P501" t="s" s="80">
        <v>762</v>
      </c>
      <c r="Q501" s="100"/>
      <c r="R501" t="s" s="137">
        <v>743</v>
      </c>
      <c r="S501" s="77"/>
    </row>
    <row r="502" ht="13.65" customHeight="1">
      <c r="A502" s="84">
        <v>45809</v>
      </c>
      <c r="B502" t="s" s="85">
        <v>49</v>
      </c>
      <c r="C502" t="s" s="86">
        <v>805</v>
      </c>
      <c r="D502" s="138">
        <v>23</v>
      </c>
      <c r="E502" t="s" s="85">
        <v>769</v>
      </c>
      <c r="F502" t="s" s="86">
        <v>609</v>
      </c>
      <c r="G502" s="139">
        <v>50</v>
      </c>
      <c r="H502" t="s" s="140">
        <v>113</v>
      </c>
      <c r="I502" t="s" s="141">
        <v>113</v>
      </c>
      <c r="J502" t="s" s="141">
        <v>97</v>
      </c>
      <c r="K502" t="str" s="142" cm="1">
        <f t="array" ref="K502">IF(OR(H502="ריביות",AND(H502="דירה כצנלסון",G502&lt;0,ISNUMBER(SEARCH("הכנסה",F502)))),"הכנסה שסווגה מחדש",J502)</f>
        <v>שוטף</v>
      </c>
      <c r="L502" t="s" s="141">
        <v>741</v>
      </c>
      <c r="M502" s="143" cm="1">
        <f t="array" ref="M502">IF(L502="מאושר",IF(K502="הכנסה שסווגה מחדש",0,G502),0)</f>
        <v>50</v>
      </c>
      <c r="N502" s="143" cm="1">
        <f t="array" ref="N502">IF(K502="שוטף",M502,0)</f>
        <v>50</v>
      </c>
      <c r="O502" s="143" cm="1">
        <f t="array" ref="O502">IF(K502="הכנסה שסווגה מחדש",-G502,0)</f>
        <v>0</v>
      </c>
      <c r="P502" t="s" s="86">
        <v>762</v>
      </c>
      <c r="Q502" s="99"/>
      <c r="R502" t="s" s="144">
        <v>743</v>
      </c>
      <c r="S502" s="77"/>
    </row>
    <row r="503" ht="13.65" customHeight="1">
      <c r="A503" s="78">
        <v>45809</v>
      </c>
      <c r="B503" t="s" s="79">
        <v>49</v>
      </c>
      <c r="C503" t="s" s="80">
        <v>805</v>
      </c>
      <c r="D503" s="131">
        <v>24</v>
      </c>
      <c r="E503" t="s" s="79">
        <v>749</v>
      </c>
      <c r="F503" t="s" s="80">
        <v>458</v>
      </c>
      <c r="G503" s="132">
        <v>40</v>
      </c>
      <c r="H503" t="s" s="133">
        <v>113</v>
      </c>
      <c r="I503" t="s" s="134">
        <v>113</v>
      </c>
      <c r="J503" t="s" s="134">
        <v>97</v>
      </c>
      <c r="K503" t="str" s="135" cm="1">
        <f t="array" ref="K503">IF(OR(H503="ריביות",AND(H503="דירה כצנלסון",G503&lt;0,ISNUMBER(SEARCH("הכנסה",F503)))),"הכנסה שסווגה מחדש",J503)</f>
        <v>שוטף</v>
      </c>
      <c r="L503" t="s" s="134">
        <v>741</v>
      </c>
      <c r="M503" s="136" cm="1">
        <f t="array" ref="M503">IF(L503="מאושר",IF(K503="הכנסה שסווגה מחדש",0,G503),0)</f>
        <v>40</v>
      </c>
      <c r="N503" s="136" cm="1">
        <f t="array" ref="N503">IF(K503="שוטף",M503,0)</f>
        <v>40</v>
      </c>
      <c r="O503" s="136" cm="1">
        <f t="array" ref="O503">IF(K503="הכנסה שסווגה מחדש",-G503,0)</f>
        <v>0</v>
      </c>
      <c r="P503" t="s" s="80">
        <v>762</v>
      </c>
      <c r="Q503" s="100"/>
      <c r="R503" t="s" s="137">
        <v>743</v>
      </c>
      <c r="S503" s="77"/>
    </row>
    <row r="504" ht="13.65" customHeight="1">
      <c r="A504" s="84">
        <v>45809</v>
      </c>
      <c r="B504" t="s" s="85">
        <v>49</v>
      </c>
      <c r="C504" t="s" s="86">
        <v>805</v>
      </c>
      <c r="D504" s="138">
        <v>25</v>
      </c>
      <c r="E504" t="s" s="85">
        <v>749</v>
      </c>
      <c r="F504" t="s" s="86">
        <v>462</v>
      </c>
      <c r="G504" s="139">
        <v>128</v>
      </c>
      <c r="H504" t="s" s="140">
        <v>113</v>
      </c>
      <c r="I504" t="s" s="141">
        <v>113</v>
      </c>
      <c r="J504" t="s" s="141">
        <v>97</v>
      </c>
      <c r="K504" t="str" s="142" cm="1">
        <f t="array" ref="K504">IF(OR(H504="ריביות",AND(H504="דירה כצנלסון",G504&lt;0,ISNUMBER(SEARCH("הכנסה",F504)))),"הכנסה שסווגה מחדש",J504)</f>
        <v>שוטף</v>
      </c>
      <c r="L504" t="s" s="141">
        <v>741</v>
      </c>
      <c r="M504" s="143" cm="1">
        <f t="array" ref="M504">IF(L504="מאושר",IF(K504="הכנסה שסווגה מחדש",0,G504),0)</f>
        <v>128</v>
      </c>
      <c r="N504" s="143" cm="1">
        <f t="array" ref="N504">IF(K504="שוטף",M504,0)</f>
        <v>128</v>
      </c>
      <c r="O504" s="143" cm="1">
        <f t="array" ref="O504">IF(K504="הכנסה שסווגה מחדש",-G504,0)</f>
        <v>0</v>
      </c>
      <c r="P504" t="s" s="86">
        <v>762</v>
      </c>
      <c r="Q504" s="99"/>
      <c r="R504" t="s" s="144">
        <v>743</v>
      </c>
      <c r="S504" s="77"/>
    </row>
    <row r="505" ht="13.65" customHeight="1">
      <c r="A505" s="78">
        <v>45809</v>
      </c>
      <c r="B505" t="s" s="79">
        <v>49</v>
      </c>
      <c r="C505" t="s" s="80">
        <v>805</v>
      </c>
      <c r="D505" s="131">
        <v>26</v>
      </c>
      <c r="E505" t="s" s="79">
        <v>789</v>
      </c>
      <c r="F505" t="s" s="80">
        <v>200</v>
      </c>
      <c r="G505" s="132">
        <v>151</v>
      </c>
      <c r="H505" t="s" s="133">
        <v>109</v>
      </c>
      <c r="I505" t="s" s="134">
        <v>109</v>
      </c>
      <c r="J505" t="s" s="134">
        <v>97</v>
      </c>
      <c r="K505" t="str" s="135" cm="1">
        <f t="array" ref="K505">IF(OR(H505="ריביות",AND(H505="דירה כצנלסון",G505&lt;0,ISNUMBER(SEARCH("הכנסה",F505)))),"הכנסה שסווגה מחדש",J505)</f>
        <v>שוטף</v>
      </c>
      <c r="L505" t="s" s="134">
        <v>741</v>
      </c>
      <c r="M505" s="136" cm="1">
        <f t="array" ref="M505">IF(L505="מאושר",IF(K505="הכנסה שסווגה מחדש",0,G505),0)</f>
        <v>151</v>
      </c>
      <c r="N505" s="136" cm="1">
        <f t="array" ref="N505">IF(K505="שוטף",M505,0)</f>
        <v>151</v>
      </c>
      <c r="O505" s="136" cm="1">
        <f t="array" ref="O505">IF(K505="הכנסה שסווגה מחדש",-G505,0)</f>
        <v>0</v>
      </c>
      <c r="P505" t="s" s="80">
        <v>762</v>
      </c>
      <c r="Q505" s="100"/>
      <c r="R505" t="s" s="137">
        <v>743</v>
      </c>
      <c r="S505" s="77"/>
    </row>
    <row r="506" ht="13.65" customHeight="1">
      <c r="A506" s="84">
        <v>45809</v>
      </c>
      <c r="B506" t="s" s="85">
        <v>49</v>
      </c>
      <c r="C506" t="s" s="86">
        <v>805</v>
      </c>
      <c r="D506" s="138">
        <v>27</v>
      </c>
      <c r="E506" t="s" s="85">
        <v>751</v>
      </c>
      <c r="F506" t="s" s="86">
        <v>542</v>
      </c>
      <c r="G506" s="139">
        <v>85</v>
      </c>
      <c r="H506" t="s" s="140">
        <v>117</v>
      </c>
      <c r="I506" t="s" s="141">
        <v>117</v>
      </c>
      <c r="J506" t="s" s="141">
        <v>97</v>
      </c>
      <c r="K506" t="str" s="142" cm="1">
        <f t="array" ref="K506">IF(OR(H506="ריביות",AND(H506="דירה כצנלסון",G506&lt;0,ISNUMBER(SEARCH("הכנסה",F506)))),"הכנסה שסווגה מחדש",J506)</f>
        <v>שוטף</v>
      </c>
      <c r="L506" t="s" s="141">
        <v>741</v>
      </c>
      <c r="M506" s="143" cm="1">
        <f t="array" ref="M506">IF(L506="מאושר",IF(K506="הכנסה שסווגה מחדש",0,G506),0)</f>
        <v>85</v>
      </c>
      <c r="N506" s="143" cm="1">
        <f t="array" ref="N506">IF(K506="שוטף",M506,0)</f>
        <v>85</v>
      </c>
      <c r="O506" s="143" cm="1">
        <f t="array" ref="O506">IF(K506="הכנסה שסווגה מחדש",-G506,0)</f>
        <v>0</v>
      </c>
      <c r="P506" t="s" s="86">
        <v>762</v>
      </c>
      <c r="Q506" s="99"/>
      <c r="R506" t="s" s="144">
        <v>743</v>
      </c>
      <c r="S506" s="77"/>
    </row>
    <row r="507" ht="13.65" customHeight="1">
      <c r="A507" s="78">
        <v>45809</v>
      </c>
      <c r="B507" t="s" s="79">
        <v>49</v>
      </c>
      <c r="C507" t="s" s="80">
        <v>805</v>
      </c>
      <c r="D507" s="131">
        <v>28</v>
      </c>
      <c r="E507" t="s" s="79">
        <v>751</v>
      </c>
      <c r="F507" t="s" s="80">
        <v>625</v>
      </c>
      <c r="G507" s="132">
        <v>41</v>
      </c>
      <c r="H507" t="s" s="133">
        <v>113</v>
      </c>
      <c r="I507" t="s" s="134">
        <v>113</v>
      </c>
      <c r="J507" t="s" s="134">
        <v>97</v>
      </c>
      <c r="K507" t="str" s="135" cm="1">
        <f t="array" ref="K507">IF(OR(H507="ריביות",AND(H507="דירה כצנלסון",G507&lt;0,ISNUMBER(SEARCH("הכנסה",F507)))),"הכנסה שסווגה מחדש",J507)</f>
        <v>שוטף</v>
      </c>
      <c r="L507" t="s" s="134">
        <v>741</v>
      </c>
      <c r="M507" s="136" cm="1">
        <f t="array" ref="M507">IF(L507="מאושר",IF(K507="הכנסה שסווגה מחדש",0,G507),0)</f>
        <v>41</v>
      </c>
      <c r="N507" s="136" cm="1">
        <f t="array" ref="N507">IF(K507="שוטף",M507,0)</f>
        <v>41</v>
      </c>
      <c r="O507" s="136" cm="1">
        <f t="array" ref="O507">IF(K507="הכנסה שסווגה מחדש",-G507,0)</f>
        <v>0</v>
      </c>
      <c r="P507" t="s" s="80">
        <v>762</v>
      </c>
      <c r="Q507" s="100"/>
      <c r="R507" t="s" s="137">
        <v>743</v>
      </c>
      <c r="S507" s="77"/>
    </row>
    <row r="508" ht="13.65" customHeight="1">
      <c r="A508" s="84">
        <v>45809</v>
      </c>
      <c r="B508" t="s" s="85">
        <v>49</v>
      </c>
      <c r="C508" t="s" s="86">
        <v>805</v>
      </c>
      <c r="D508" s="138">
        <v>29</v>
      </c>
      <c r="E508" t="s" s="85">
        <v>751</v>
      </c>
      <c r="F508" t="s" s="86">
        <v>355</v>
      </c>
      <c r="G508" s="139">
        <v>35</v>
      </c>
      <c r="H508" t="s" s="140">
        <v>113</v>
      </c>
      <c r="I508" t="s" s="141">
        <v>113</v>
      </c>
      <c r="J508" t="s" s="141">
        <v>97</v>
      </c>
      <c r="K508" t="str" s="142" cm="1">
        <f t="array" ref="K508">IF(OR(H508="ריביות",AND(H508="דירה כצנלסון",G508&lt;0,ISNUMBER(SEARCH("הכנסה",F508)))),"הכנסה שסווגה מחדש",J508)</f>
        <v>שוטף</v>
      </c>
      <c r="L508" t="s" s="141">
        <v>741</v>
      </c>
      <c r="M508" s="143" cm="1">
        <f t="array" ref="M508">IF(L508="מאושר",IF(K508="הכנסה שסווגה מחדש",0,G508),0)</f>
        <v>35</v>
      </c>
      <c r="N508" s="143" cm="1">
        <f t="array" ref="N508">IF(K508="שוטף",M508,0)</f>
        <v>35</v>
      </c>
      <c r="O508" s="143" cm="1">
        <f t="array" ref="O508">IF(K508="הכנסה שסווגה מחדש",-G508,0)</f>
        <v>0</v>
      </c>
      <c r="P508" t="s" s="86">
        <v>762</v>
      </c>
      <c r="Q508" s="99"/>
      <c r="R508" t="s" s="144">
        <v>743</v>
      </c>
      <c r="S508" s="77"/>
    </row>
    <row r="509" ht="13.65" customHeight="1">
      <c r="A509" s="78">
        <v>45809</v>
      </c>
      <c r="B509" t="s" s="79">
        <v>49</v>
      </c>
      <c r="C509" t="s" s="80">
        <v>805</v>
      </c>
      <c r="D509" s="131">
        <v>30</v>
      </c>
      <c r="E509" s="100"/>
      <c r="F509" t="s" s="80">
        <v>447</v>
      </c>
      <c r="G509" s="132">
        <v>200</v>
      </c>
      <c r="H509" t="s" s="133">
        <v>127</v>
      </c>
      <c r="I509" t="s" s="134">
        <v>127</v>
      </c>
      <c r="J509" t="s" s="134">
        <v>97</v>
      </c>
      <c r="K509" t="str" s="135" cm="1">
        <f t="array" ref="K509">IF(OR(H509="ריביות",AND(H509="דירה כצנלסון",G509&lt;0,ISNUMBER(SEARCH("הכנסה",F509)))),"הכנסה שסווגה מחדש",J509)</f>
        <v>שוטף</v>
      </c>
      <c r="L509" t="s" s="134">
        <v>741</v>
      </c>
      <c r="M509" s="136" cm="1">
        <f t="array" ref="M509">IF(L509="מאושר",IF(K509="הכנסה שסווגה מחדש",0,G509),0)</f>
        <v>200</v>
      </c>
      <c r="N509" s="136" cm="1">
        <f t="array" ref="N509">IF(K509="שוטף",M509,0)</f>
        <v>200</v>
      </c>
      <c r="O509" s="136" cm="1">
        <f t="array" ref="O509">IF(K509="הכנסה שסווגה מחדש",-G509,0)</f>
        <v>0</v>
      </c>
      <c r="P509" t="s" s="80">
        <v>781</v>
      </c>
      <c r="Q509" s="100"/>
      <c r="R509" t="s" s="137">
        <v>743</v>
      </c>
      <c r="S509" s="77"/>
    </row>
    <row r="510" ht="13.65" customHeight="1">
      <c r="A510" s="84">
        <v>45809</v>
      </c>
      <c r="B510" t="s" s="85">
        <v>49</v>
      </c>
      <c r="C510" t="s" s="86">
        <v>805</v>
      </c>
      <c r="D510" s="138">
        <v>31</v>
      </c>
      <c r="E510" s="99"/>
      <c r="F510" t="s" s="86">
        <v>351</v>
      </c>
      <c r="G510" s="139">
        <v>500</v>
      </c>
      <c r="H510" t="s" s="140">
        <v>117</v>
      </c>
      <c r="I510" t="s" s="141">
        <v>117</v>
      </c>
      <c r="J510" t="s" s="141">
        <v>97</v>
      </c>
      <c r="K510" t="str" s="142" cm="1">
        <f t="array" ref="K510">IF(OR(H510="ריביות",AND(H510="דירה כצנלסון",G510&lt;0,ISNUMBER(SEARCH("הכנסה",F510)))),"הכנסה שסווגה מחדש",J510)</f>
        <v>שוטף</v>
      </c>
      <c r="L510" t="s" s="141">
        <v>741</v>
      </c>
      <c r="M510" s="143" cm="1">
        <f t="array" ref="M510">IF(L510="מאושר",IF(K510="הכנסה שסווגה מחדש",0,G510),0)</f>
        <v>500</v>
      </c>
      <c r="N510" s="143" cm="1">
        <f t="array" ref="N510">IF(K510="שוטף",M510,0)</f>
        <v>500</v>
      </c>
      <c r="O510" s="143" cm="1">
        <f t="array" ref="O510">IF(K510="הכנסה שסווגה מחדש",-G510,0)</f>
        <v>0</v>
      </c>
      <c r="P510" t="s" s="86">
        <v>781</v>
      </c>
      <c r="Q510" s="99"/>
      <c r="R510" t="s" s="144">
        <v>743</v>
      </c>
      <c r="S510" s="77"/>
    </row>
    <row r="511" ht="13.65" customHeight="1">
      <c r="A511" s="78">
        <v>45809</v>
      </c>
      <c r="B511" t="s" s="79">
        <v>49</v>
      </c>
      <c r="C511" t="s" s="80">
        <v>805</v>
      </c>
      <c r="D511" s="131">
        <v>32</v>
      </c>
      <c r="E511" t="s" s="79">
        <v>755</v>
      </c>
      <c r="F511" t="s" s="80">
        <v>205</v>
      </c>
      <c r="G511" s="132">
        <v>4600</v>
      </c>
      <c r="H511" t="s" s="133">
        <v>111</v>
      </c>
      <c r="I511" t="s" s="134">
        <v>111</v>
      </c>
      <c r="J511" t="s" s="134">
        <v>97</v>
      </c>
      <c r="K511" t="str" s="135" cm="1">
        <f t="array" ref="K511">IF(OR(H511="ריביות",AND(H511="דירה כצנלסון",G511&lt;0,ISNUMBER(SEARCH("הכנסה",F511)))),"הכנסה שסווגה מחדש",J511)</f>
        <v>שוטף</v>
      </c>
      <c r="L511" t="s" s="134">
        <v>741</v>
      </c>
      <c r="M511" s="136" cm="1">
        <f t="array" ref="M511">IF(L511="מאושר",IF(K511="הכנסה שסווגה מחדש",0,G511),0)</f>
        <v>4600</v>
      </c>
      <c r="N511" s="136" cm="1">
        <f t="array" ref="N511">IF(K511="שוטף",M511,0)</f>
        <v>4600</v>
      </c>
      <c r="O511" s="136" cm="1">
        <f t="array" ref="O511">IF(K511="הכנסה שסווגה מחדש",-G511,0)</f>
        <v>0</v>
      </c>
      <c r="P511" t="s" s="79">
        <v>742</v>
      </c>
      <c r="Q511" s="100"/>
      <c r="R511" t="s" s="137">
        <v>743</v>
      </c>
      <c r="S511" s="77"/>
    </row>
    <row r="512" ht="13.65" customHeight="1">
      <c r="A512" s="84">
        <v>45809</v>
      </c>
      <c r="B512" t="s" s="85">
        <v>49</v>
      </c>
      <c r="C512" t="s" s="86">
        <v>805</v>
      </c>
      <c r="D512" s="138">
        <v>33</v>
      </c>
      <c r="E512" t="s" s="85">
        <v>791</v>
      </c>
      <c r="F512" t="s" s="86">
        <v>411</v>
      </c>
      <c r="G512" s="139">
        <v>268</v>
      </c>
      <c r="H512" t="s" s="140">
        <v>127</v>
      </c>
      <c r="I512" t="s" s="141">
        <v>127</v>
      </c>
      <c r="J512" t="s" s="141">
        <v>97</v>
      </c>
      <c r="K512" t="str" s="142" cm="1">
        <f t="array" ref="K512">IF(OR(H512="ריביות",AND(H512="דירה כצנלסון",G512&lt;0,ISNUMBER(SEARCH("הכנסה",F512)))),"הכנסה שסווגה מחדש",J512)</f>
        <v>שוטף</v>
      </c>
      <c r="L512" t="s" s="141">
        <v>741</v>
      </c>
      <c r="M512" s="143" cm="1">
        <f t="array" ref="M512">IF(L512="מאושר",IF(K512="הכנסה שסווגה מחדש",0,G512),0)</f>
        <v>268</v>
      </c>
      <c r="N512" s="143" cm="1">
        <f t="array" ref="N512">IF(K512="שוטף",M512,0)</f>
        <v>268</v>
      </c>
      <c r="O512" s="143" cm="1">
        <f t="array" ref="O512">IF(K512="הכנסה שסווגה מחדש",-G512,0)</f>
        <v>0</v>
      </c>
      <c r="P512" t="s" s="85">
        <v>758</v>
      </c>
      <c r="Q512" s="99"/>
      <c r="R512" t="s" s="144">
        <v>743</v>
      </c>
      <c r="S512" s="77"/>
    </row>
    <row r="513" ht="13.65" customHeight="1">
      <c r="A513" s="78">
        <v>45809</v>
      </c>
      <c r="B513" t="s" s="79">
        <v>49</v>
      </c>
      <c r="C513" t="s" s="80">
        <v>805</v>
      </c>
      <c r="D513" s="131">
        <v>34</v>
      </c>
      <c r="E513" t="s" s="79">
        <v>765</v>
      </c>
      <c r="F513" t="s" s="80">
        <v>395</v>
      </c>
      <c r="G513" s="132">
        <v>98</v>
      </c>
      <c r="H513" t="s" s="133">
        <v>115</v>
      </c>
      <c r="I513" t="s" s="134">
        <v>115</v>
      </c>
      <c r="J513" t="s" s="134">
        <v>97</v>
      </c>
      <c r="K513" t="str" s="135" cm="1">
        <f t="array" ref="K513">IF(OR(H513="ריביות",AND(H513="דירה כצנלסון",G513&lt;0,ISNUMBER(SEARCH("הכנסה",F513)))),"הכנסה שסווגה מחדש",J513)</f>
        <v>שוטף</v>
      </c>
      <c r="L513" t="s" s="134">
        <v>741</v>
      </c>
      <c r="M513" s="136" cm="1">
        <f t="array" ref="M513">IF(L513="מאושר",IF(K513="הכנסה שסווגה מחדש",0,G513),0)</f>
        <v>98</v>
      </c>
      <c r="N513" s="136" cm="1">
        <f t="array" ref="N513">IF(K513="שוטף",M513,0)</f>
        <v>98</v>
      </c>
      <c r="O513" s="136" cm="1">
        <f t="array" ref="O513">IF(K513="הכנסה שסווגה מחדש",-G513,0)</f>
        <v>0</v>
      </c>
      <c r="P513" t="s" s="79">
        <v>758</v>
      </c>
      <c r="Q513" s="100"/>
      <c r="R513" t="s" s="137">
        <v>743</v>
      </c>
      <c r="S513" s="77"/>
    </row>
    <row r="514" ht="13.65" customHeight="1">
      <c r="A514" s="84">
        <v>45809</v>
      </c>
      <c r="B514" t="s" s="85">
        <v>49</v>
      </c>
      <c r="C514" t="s" s="86">
        <v>805</v>
      </c>
      <c r="D514" s="138">
        <v>35</v>
      </c>
      <c r="E514" t="s" s="85">
        <v>34</v>
      </c>
      <c r="F514" t="s" s="86">
        <v>441</v>
      </c>
      <c r="G514" s="139">
        <v>78</v>
      </c>
      <c r="H514" t="s" s="140">
        <v>117</v>
      </c>
      <c r="I514" t="s" s="141">
        <v>117</v>
      </c>
      <c r="J514" t="s" s="141">
        <v>97</v>
      </c>
      <c r="K514" t="str" s="142" cm="1">
        <f t="array" ref="K514">IF(OR(H514="ריביות",AND(H514="דירה כצנלסון",G514&lt;0,ISNUMBER(SEARCH("הכנסה",F514)))),"הכנסה שסווגה מחדש",J514)</f>
        <v>שוטף</v>
      </c>
      <c r="L514" t="s" s="141">
        <v>741</v>
      </c>
      <c r="M514" s="143" cm="1">
        <f t="array" ref="M514">IF(L514="מאושר",IF(K514="הכנסה שסווגה מחדש",0,G514),0)</f>
        <v>78</v>
      </c>
      <c r="N514" s="143" cm="1">
        <f t="array" ref="N514">IF(K514="שוטף",M514,0)</f>
        <v>78</v>
      </c>
      <c r="O514" s="143" cm="1">
        <f t="array" ref="O514">IF(K514="הכנסה שסווגה מחדש",-G514,0)</f>
        <v>0</v>
      </c>
      <c r="P514" t="s" s="85">
        <v>758</v>
      </c>
      <c r="Q514" s="99"/>
      <c r="R514" t="s" s="144">
        <v>743</v>
      </c>
      <c r="S514" s="77"/>
    </row>
    <row r="515" ht="13.65" customHeight="1">
      <c r="A515" s="78">
        <v>45809</v>
      </c>
      <c r="B515" t="s" s="79">
        <v>49</v>
      </c>
      <c r="C515" t="s" s="80">
        <v>805</v>
      </c>
      <c r="D515" s="131">
        <v>36</v>
      </c>
      <c r="E515" t="s" s="79">
        <v>744</v>
      </c>
      <c r="F515" t="s" s="80">
        <v>721</v>
      </c>
      <c r="G515" s="132">
        <v>-388</v>
      </c>
      <c r="H515" t="s" s="133">
        <v>123</v>
      </c>
      <c r="I515" t="s" s="134">
        <v>123</v>
      </c>
      <c r="J515" t="s" s="134">
        <v>97</v>
      </c>
      <c r="K515" t="str" s="135" cm="1">
        <f t="array" ref="K515">IF(OR(H515="ריביות",AND(H515="דירה כצנלסון",G515&lt;0,ISNUMBER(SEARCH("הכנסה",F515)))),"הכנסה שסווגה מחדש",J515)</f>
        <v>שוטף</v>
      </c>
      <c r="L515" t="s" s="134">
        <v>741</v>
      </c>
      <c r="M515" s="136" cm="1">
        <f t="array" ref="M515">IF(L515="מאושר",IF(K515="הכנסה שסווגה מחדש",0,G515),0)</f>
        <v>-388</v>
      </c>
      <c r="N515" s="136" cm="1">
        <f t="array" ref="N515">IF(K515="שוטף",M515,0)</f>
        <v>-388</v>
      </c>
      <c r="O515" s="136" cm="1">
        <f t="array" ref="O515">IF(K515="הכנסה שסווגה מחדש",-G515,0)</f>
        <v>0</v>
      </c>
      <c r="P515" t="s" s="79">
        <v>758</v>
      </c>
      <c r="Q515" s="100"/>
      <c r="R515" t="s" s="137">
        <v>743</v>
      </c>
      <c r="S515" s="77"/>
    </row>
    <row r="516" ht="13.65" customHeight="1">
      <c r="A516" s="84">
        <v>45809</v>
      </c>
      <c r="B516" t="s" s="85">
        <v>49</v>
      </c>
      <c r="C516" t="s" s="86">
        <v>805</v>
      </c>
      <c r="D516" s="138">
        <v>37</v>
      </c>
      <c r="E516" t="s" s="85">
        <v>744</v>
      </c>
      <c r="F516" t="s" s="86">
        <v>441</v>
      </c>
      <c r="G516" s="139">
        <v>129</v>
      </c>
      <c r="H516" t="s" s="140">
        <v>117</v>
      </c>
      <c r="I516" t="s" s="141">
        <v>117</v>
      </c>
      <c r="J516" t="s" s="141">
        <v>97</v>
      </c>
      <c r="K516" t="str" s="142" cm="1">
        <f t="array" ref="K516">IF(OR(H516="ריביות",AND(H516="דירה כצנלסון",G516&lt;0,ISNUMBER(SEARCH("הכנסה",F516)))),"הכנסה שסווגה מחדש",J516)</f>
        <v>שוטף</v>
      </c>
      <c r="L516" t="s" s="141">
        <v>741</v>
      </c>
      <c r="M516" s="143" cm="1">
        <f t="array" ref="M516">IF(L516="מאושר",IF(K516="הכנסה שסווגה מחדש",0,G516),0)</f>
        <v>129</v>
      </c>
      <c r="N516" s="143" cm="1">
        <f t="array" ref="N516">IF(K516="שוטף",M516,0)</f>
        <v>129</v>
      </c>
      <c r="O516" s="143" cm="1">
        <f t="array" ref="O516">IF(K516="הכנסה שסווגה מחדש",-G516,0)</f>
        <v>0</v>
      </c>
      <c r="P516" t="s" s="85">
        <v>748</v>
      </c>
      <c r="Q516" s="99"/>
      <c r="R516" t="s" s="144">
        <v>743</v>
      </c>
      <c r="S516" s="77"/>
    </row>
    <row r="517" ht="13.65" customHeight="1">
      <c r="A517" s="78">
        <v>45809</v>
      </c>
      <c r="B517" t="s" s="79">
        <v>49</v>
      </c>
      <c r="C517" t="s" s="80">
        <v>805</v>
      </c>
      <c r="D517" s="131">
        <v>38</v>
      </c>
      <c r="E517" t="s" s="79">
        <v>791</v>
      </c>
      <c r="F517" t="s" s="80">
        <v>636</v>
      </c>
      <c r="G517" s="132">
        <v>35</v>
      </c>
      <c r="H517" t="s" s="133">
        <v>109</v>
      </c>
      <c r="I517" t="s" s="134">
        <v>109</v>
      </c>
      <c r="J517" t="s" s="134">
        <v>97</v>
      </c>
      <c r="K517" t="str" s="135" cm="1">
        <f t="array" ref="K517">IF(OR(H517="ריביות",AND(H517="דירה כצנלסון",G517&lt;0,ISNUMBER(SEARCH("הכנסה",F517)))),"הכנסה שסווגה מחדש",J517)</f>
        <v>שוטף</v>
      </c>
      <c r="L517" t="s" s="134">
        <v>741</v>
      </c>
      <c r="M517" s="136" cm="1">
        <f t="array" ref="M517">IF(L517="מאושר",IF(K517="הכנסה שסווגה מחדש",0,G517),0)</f>
        <v>35</v>
      </c>
      <c r="N517" s="136" cm="1">
        <f t="array" ref="N517">IF(K517="שוטף",M517,0)</f>
        <v>35</v>
      </c>
      <c r="O517" s="136" cm="1">
        <f t="array" ref="O517">IF(K517="הכנסה שסווגה מחדש",-G517,0)</f>
        <v>0</v>
      </c>
      <c r="P517" t="s" s="79">
        <v>748</v>
      </c>
      <c r="Q517" s="100"/>
      <c r="R517" t="s" s="137">
        <v>743</v>
      </c>
      <c r="S517" s="77"/>
    </row>
    <row r="518" ht="13.65" customHeight="1">
      <c r="A518" s="84">
        <v>45809</v>
      </c>
      <c r="B518" t="s" s="85">
        <v>49</v>
      </c>
      <c r="C518" t="s" s="86">
        <v>805</v>
      </c>
      <c r="D518" s="138">
        <v>39</v>
      </c>
      <c r="E518" t="s" s="85">
        <v>775</v>
      </c>
      <c r="F518" t="s" s="86">
        <v>201</v>
      </c>
      <c r="G518" s="139">
        <v>922</v>
      </c>
      <c r="H518" t="s" s="140">
        <v>210</v>
      </c>
      <c r="I518" t="s" s="141">
        <v>102</v>
      </c>
      <c r="J518" t="s" s="141">
        <v>103</v>
      </c>
      <c r="K518" t="str" s="142" cm="1">
        <f t="array" ref="K518">IF(OR(H518="ריביות",AND(H518="דירה כצנלסון",G518&lt;0,ISNUMBER(SEARCH("הכנסה",F518)))),"הכנסה שסווגה מחדש",J518)</f>
        <v>חריג</v>
      </c>
      <c r="L518" t="s" s="141">
        <v>741</v>
      </c>
      <c r="M518" s="143" cm="1">
        <f t="array" ref="M518">IF(L518="מאושר",IF(K518="הכנסה שסווגה מחדש",0,G518),0)</f>
        <v>922</v>
      </c>
      <c r="N518" s="143" cm="1">
        <f t="array" ref="N518">IF(K518="שוטף",M518,0)</f>
        <v>0</v>
      </c>
      <c r="O518" s="143" cm="1">
        <f t="array" ref="O518">IF(K518="הכנסה שסווגה מחדש",-G518,0)</f>
        <v>0</v>
      </c>
      <c r="P518" t="s" s="85">
        <v>748</v>
      </c>
      <c r="Q518" s="99"/>
      <c r="R518" t="s" s="144">
        <v>743</v>
      </c>
      <c r="S518" s="77"/>
    </row>
    <row r="519" ht="13.65" customHeight="1">
      <c r="A519" s="78">
        <v>45809</v>
      </c>
      <c r="B519" t="s" s="79">
        <v>49</v>
      </c>
      <c r="C519" t="s" s="80">
        <v>805</v>
      </c>
      <c r="D519" s="131">
        <v>40</v>
      </c>
      <c r="E519" t="s" s="79">
        <v>776</v>
      </c>
      <c r="F519" t="s" s="80">
        <v>467</v>
      </c>
      <c r="G519" s="132">
        <v>39</v>
      </c>
      <c r="H519" t="s" s="133">
        <v>113</v>
      </c>
      <c r="I519" t="s" s="134">
        <v>113</v>
      </c>
      <c r="J519" t="s" s="134">
        <v>97</v>
      </c>
      <c r="K519" t="str" s="135" cm="1">
        <f t="array" ref="K519">IF(OR(H519="ריביות",AND(H519="דירה כצנלסון",G519&lt;0,ISNUMBER(SEARCH("הכנסה",F519)))),"הכנסה שסווגה מחדש",J519)</f>
        <v>שוטף</v>
      </c>
      <c r="L519" t="s" s="134">
        <v>741</v>
      </c>
      <c r="M519" s="136" cm="1">
        <f t="array" ref="M519">IF(L519="מאושר",IF(K519="הכנסה שסווגה מחדש",0,G519),0)</f>
        <v>39</v>
      </c>
      <c r="N519" s="136" cm="1">
        <f t="array" ref="N519">IF(K519="שוטף",M519,0)</f>
        <v>39</v>
      </c>
      <c r="O519" s="136" cm="1">
        <f t="array" ref="O519">IF(K519="הכנסה שסווגה מחדש",-G519,0)</f>
        <v>0</v>
      </c>
      <c r="P519" t="s" s="79">
        <v>748</v>
      </c>
      <c r="Q519" s="100"/>
      <c r="R519" t="s" s="137">
        <v>743</v>
      </c>
      <c r="S519" s="77"/>
    </row>
    <row r="520" ht="13.65" customHeight="1">
      <c r="A520" s="84">
        <v>45809</v>
      </c>
      <c r="B520" t="s" s="85">
        <v>49</v>
      </c>
      <c r="C520" t="s" s="86">
        <v>805</v>
      </c>
      <c r="D520" s="138">
        <v>41</v>
      </c>
      <c r="E520" s="99"/>
      <c r="F520" t="s" s="86">
        <v>275</v>
      </c>
      <c r="G520" s="139">
        <v>174</v>
      </c>
      <c r="H520" t="s" s="140">
        <v>127</v>
      </c>
      <c r="I520" t="s" s="141">
        <v>127</v>
      </c>
      <c r="J520" t="s" s="141">
        <v>97</v>
      </c>
      <c r="K520" t="str" s="142" cm="1">
        <f t="array" ref="K520">IF(OR(H520="ריביות",AND(H520="דירה כצנלסון",G520&lt;0,ISNUMBER(SEARCH("הכנסה",F520)))),"הכנסה שסווגה מחדש",J520)</f>
        <v>שוטף</v>
      </c>
      <c r="L520" t="s" s="141">
        <v>741</v>
      </c>
      <c r="M520" s="143" cm="1">
        <f t="array" ref="M520">IF(L520="מאושר",IF(K520="הכנסה שסווגה מחדש",0,G520),0)</f>
        <v>174</v>
      </c>
      <c r="N520" s="143" cm="1">
        <f t="array" ref="N520">IF(K520="שוטף",M520,0)</f>
        <v>174</v>
      </c>
      <c r="O520" s="143" cm="1">
        <f t="array" ref="O520">IF(K520="הכנסה שסווגה מחדש",-G520,0)</f>
        <v>0</v>
      </c>
      <c r="P520" t="s" s="86">
        <v>770</v>
      </c>
      <c r="Q520" s="99"/>
      <c r="R520" t="s" s="144">
        <v>743</v>
      </c>
      <c r="S520" s="77"/>
    </row>
    <row r="521" ht="13.65" customHeight="1">
      <c r="A521" s="78">
        <v>45809</v>
      </c>
      <c r="B521" t="s" s="79">
        <v>49</v>
      </c>
      <c r="C521" t="s" s="80">
        <v>805</v>
      </c>
      <c r="D521" s="131">
        <v>42</v>
      </c>
      <c r="E521" t="s" s="79">
        <v>38</v>
      </c>
      <c r="F521" t="s" s="80">
        <v>209</v>
      </c>
      <c r="G521" s="132">
        <v>40</v>
      </c>
      <c r="H521" t="s" s="133">
        <v>113</v>
      </c>
      <c r="I521" t="s" s="134">
        <v>113</v>
      </c>
      <c r="J521" t="s" s="134">
        <v>97</v>
      </c>
      <c r="K521" t="str" s="135" cm="1">
        <f t="array" ref="K521">IF(OR(H521="ריביות",AND(H521="דירה כצנלסון",G521&lt;0,ISNUMBER(SEARCH("הכנסה",F521)))),"הכנסה שסווגה מחדש",J521)</f>
        <v>שוטף</v>
      </c>
      <c r="L521" t="s" s="134">
        <v>741</v>
      </c>
      <c r="M521" s="136" cm="1">
        <f t="array" ref="M521">IF(L521="מאושר",IF(K521="הכנסה שסווגה מחדש",0,G521),0)</f>
        <v>40</v>
      </c>
      <c r="N521" s="136" cm="1">
        <f t="array" ref="N521">IF(K521="שוטף",M521,0)</f>
        <v>40</v>
      </c>
      <c r="O521" s="136" cm="1">
        <f t="array" ref="O521">IF(K521="הכנסה שסווגה מחדש",-G521,0)</f>
        <v>0</v>
      </c>
      <c r="P521" t="s" s="80">
        <v>770</v>
      </c>
      <c r="Q521" s="100"/>
      <c r="R521" t="s" s="137">
        <v>743</v>
      </c>
      <c r="S521" s="77"/>
    </row>
    <row r="522" ht="13.65" customHeight="1">
      <c r="A522" s="84">
        <v>45809</v>
      </c>
      <c r="B522" t="s" s="85">
        <v>49</v>
      </c>
      <c r="C522" t="s" s="86">
        <v>805</v>
      </c>
      <c r="D522" s="138">
        <v>43</v>
      </c>
      <c r="E522" t="s" s="85">
        <v>38</v>
      </c>
      <c r="F522" t="s" s="86">
        <v>334</v>
      </c>
      <c r="G522" s="139">
        <v>15</v>
      </c>
      <c r="H522" t="s" s="140">
        <v>109</v>
      </c>
      <c r="I522" t="s" s="141">
        <v>109</v>
      </c>
      <c r="J522" t="s" s="141">
        <v>97</v>
      </c>
      <c r="K522" t="str" s="142" cm="1">
        <f t="array" ref="K522">IF(OR(H522="ריביות",AND(H522="דירה כצנלסון",G522&lt;0,ISNUMBER(SEARCH("הכנסה",F522)))),"הכנסה שסווגה מחדש",J522)</f>
        <v>שוטף</v>
      </c>
      <c r="L522" t="s" s="141">
        <v>741</v>
      </c>
      <c r="M522" s="143" cm="1">
        <f t="array" ref="M522">IF(L522="מאושר",IF(K522="הכנסה שסווגה מחדש",0,G522),0)</f>
        <v>15</v>
      </c>
      <c r="N522" s="143" cm="1">
        <f t="array" ref="N522">IF(K522="שוטף",M522,0)</f>
        <v>15</v>
      </c>
      <c r="O522" s="143" cm="1">
        <f t="array" ref="O522">IF(K522="הכנסה שסווגה מחדש",-G522,0)</f>
        <v>0</v>
      </c>
      <c r="P522" t="s" s="86">
        <v>770</v>
      </c>
      <c r="Q522" s="99"/>
      <c r="R522" t="s" s="144">
        <v>743</v>
      </c>
      <c r="S522" s="77"/>
    </row>
    <row r="523" ht="13.65" customHeight="1">
      <c r="A523" s="78">
        <v>45809</v>
      </c>
      <c r="B523" t="s" s="79">
        <v>49</v>
      </c>
      <c r="C523" t="s" s="80">
        <v>805</v>
      </c>
      <c r="D523" s="131">
        <v>44</v>
      </c>
      <c r="E523" t="s" s="79">
        <v>38</v>
      </c>
      <c r="F523" t="s" s="80">
        <v>200</v>
      </c>
      <c r="G523" s="132">
        <v>56</v>
      </c>
      <c r="H523" t="s" s="133">
        <v>109</v>
      </c>
      <c r="I523" t="s" s="134">
        <v>109</v>
      </c>
      <c r="J523" t="s" s="134">
        <v>97</v>
      </c>
      <c r="K523" t="str" s="135" cm="1">
        <f t="array" ref="K523">IF(OR(H523="ריביות",AND(H523="דירה כצנלסון",G523&lt;0,ISNUMBER(SEARCH("הכנסה",F523)))),"הכנסה שסווגה מחדש",J523)</f>
        <v>שוטף</v>
      </c>
      <c r="L523" t="s" s="134">
        <v>741</v>
      </c>
      <c r="M523" s="136" cm="1">
        <f t="array" ref="M523">IF(L523="מאושר",IF(K523="הכנסה שסווגה מחדש",0,G523),0)</f>
        <v>56</v>
      </c>
      <c r="N523" s="136" cm="1">
        <f t="array" ref="N523">IF(K523="שוטף",M523,0)</f>
        <v>56</v>
      </c>
      <c r="O523" s="136" cm="1">
        <f t="array" ref="O523">IF(K523="הכנסה שסווגה מחדש",-G523,0)</f>
        <v>0</v>
      </c>
      <c r="P523" t="s" s="80">
        <v>770</v>
      </c>
      <c r="Q523" s="100"/>
      <c r="R523" t="s" s="137">
        <v>743</v>
      </c>
      <c r="S523" s="77"/>
    </row>
    <row r="524" ht="13.65" customHeight="1">
      <c r="A524" s="84">
        <v>45809</v>
      </c>
      <c r="B524" t="s" s="85">
        <v>49</v>
      </c>
      <c r="C524" t="s" s="86">
        <v>805</v>
      </c>
      <c r="D524" s="138">
        <v>45</v>
      </c>
      <c r="E524" t="s" s="85">
        <v>42</v>
      </c>
      <c r="F524" t="s" s="86">
        <v>245</v>
      </c>
      <c r="G524" s="139">
        <v>96</v>
      </c>
      <c r="H524" t="s" s="140">
        <v>767</v>
      </c>
      <c r="I524" t="s" s="141">
        <v>107</v>
      </c>
      <c r="J524" t="s" s="141">
        <v>97</v>
      </c>
      <c r="K524" t="str" s="142" cm="1">
        <f t="array" ref="K524">IF(OR(H524="ריביות",AND(H524="דירה כצנלסון",G524&lt;0,ISNUMBER(SEARCH("הכנסה",F524)))),"הכנסה שסווגה מחדש",J524)</f>
        <v>שוטף</v>
      </c>
      <c r="L524" t="s" s="141">
        <v>741</v>
      </c>
      <c r="M524" s="143" cm="1">
        <f t="array" ref="M524">IF(L524="מאושר",IF(K524="הכנסה שסווגה מחדש",0,G524),0)</f>
        <v>96</v>
      </c>
      <c r="N524" s="143" cm="1">
        <f t="array" ref="N524">IF(K524="שוטף",M524,0)</f>
        <v>96</v>
      </c>
      <c r="O524" s="143" cm="1">
        <f t="array" ref="O524">IF(K524="הכנסה שסווגה מחדש",-G524,0)</f>
        <v>0</v>
      </c>
      <c r="P524" t="s" s="86">
        <v>770</v>
      </c>
      <c r="Q524" s="99"/>
      <c r="R524" t="s" s="144">
        <v>743</v>
      </c>
      <c r="S524" s="77"/>
    </row>
    <row r="525" ht="13.65" customHeight="1">
      <c r="A525" s="78">
        <v>45809</v>
      </c>
      <c r="B525" t="s" s="79">
        <v>49</v>
      </c>
      <c r="C525" t="s" s="80">
        <v>805</v>
      </c>
      <c r="D525" s="131">
        <v>46</v>
      </c>
      <c r="E525" t="s" s="79">
        <v>42</v>
      </c>
      <c r="F525" t="s" s="80">
        <v>475</v>
      </c>
      <c r="G525" s="132">
        <v>19</v>
      </c>
      <c r="H525" t="s" s="133">
        <v>113</v>
      </c>
      <c r="I525" t="s" s="134">
        <v>113</v>
      </c>
      <c r="J525" t="s" s="134">
        <v>97</v>
      </c>
      <c r="K525" t="str" s="135" cm="1">
        <f t="array" ref="K525">IF(OR(H525="ריביות",AND(H525="דירה כצנלסון",G525&lt;0,ISNUMBER(SEARCH("הכנסה",F525)))),"הכנסה שסווגה מחדש",J525)</f>
        <v>שוטף</v>
      </c>
      <c r="L525" t="s" s="134">
        <v>741</v>
      </c>
      <c r="M525" s="136" cm="1">
        <f t="array" ref="M525">IF(L525="מאושר",IF(K525="הכנסה שסווגה מחדש",0,G525),0)</f>
        <v>19</v>
      </c>
      <c r="N525" s="136" cm="1">
        <f t="array" ref="N525">IF(K525="שוטף",M525,0)</f>
        <v>19</v>
      </c>
      <c r="O525" s="136" cm="1">
        <f t="array" ref="O525">IF(K525="הכנסה שסווגה מחדש",-G525,0)</f>
        <v>0</v>
      </c>
      <c r="P525" t="s" s="80">
        <v>770</v>
      </c>
      <c r="Q525" s="100"/>
      <c r="R525" t="s" s="137">
        <v>743</v>
      </c>
      <c r="S525" s="77"/>
    </row>
    <row r="526" ht="13.65" customHeight="1">
      <c r="A526" s="84">
        <v>45809</v>
      </c>
      <c r="B526" t="s" s="85">
        <v>49</v>
      </c>
      <c r="C526" t="s" s="86">
        <v>805</v>
      </c>
      <c r="D526" s="138">
        <v>47</v>
      </c>
      <c r="E526" t="s" s="85">
        <v>46</v>
      </c>
      <c r="F526" t="s" s="86">
        <v>383</v>
      </c>
      <c r="G526" s="139">
        <v>323</v>
      </c>
      <c r="H526" t="s" s="140">
        <v>109</v>
      </c>
      <c r="I526" t="s" s="141">
        <v>109</v>
      </c>
      <c r="J526" t="s" s="141">
        <v>97</v>
      </c>
      <c r="K526" t="str" s="142" cm="1">
        <f t="array" ref="K526">IF(OR(H526="ריביות",AND(H526="דירה כצנלסון",G526&lt;0,ISNUMBER(SEARCH("הכנסה",F526)))),"הכנסה שסווגה מחדש",J526)</f>
        <v>שוטף</v>
      </c>
      <c r="L526" t="s" s="141">
        <v>741</v>
      </c>
      <c r="M526" s="143" cm="1">
        <f t="array" ref="M526">IF(L526="מאושר",IF(K526="הכנסה שסווגה מחדש",0,G526),0)</f>
        <v>323</v>
      </c>
      <c r="N526" s="143" cm="1">
        <f t="array" ref="N526">IF(K526="שוטף",M526,0)</f>
        <v>323</v>
      </c>
      <c r="O526" s="143" cm="1">
        <f t="array" ref="O526">IF(K526="הכנסה שסווגה מחדש",-G526,0)</f>
        <v>0</v>
      </c>
      <c r="P526" t="s" s="86">
        <v>770</v>
      </c>
      <c r="Q526" s="99"/>
      <c r="R526" t="s" s="144">
        <v>743</v>
      </c>
      <c r="S526" s="77"/>
    </row>
    <row r="527" ht="13.65" customHeight="1">
      <c r="A527" s="78">
        <v>45809</v>
      </c>
      <c r="B527" t="s" s="79">
        <v>49</v>
      </c>
      <c r="C527" t="s" s="80">
        <v>805</v>
      </c>
      <c r="D527" s="131">
        <v>48</v>
      </c>
      <c r="E527" t="s" s="79">
        <v>769</v>
      </c>
      <c r="F527" t="s" s="80">
        <v>281</v>
      </c>
      <c r="G527" s="132">
        <v>35</v>
      </c>
      <c r="H527" t="s" s="133">
        <v>117</v>
      </c>
      <c r="I527" t="s" s="134">
        <v>117</v>
      </c>
      <c r="J527" t="s" s="134">
        <v>97</v>
      </c>
      <c r="K527" t="str" s="135" cm="1">
        <f t="array" ref="K527">IF(OR(H527="ריביות",AND(H527="דירה כצנלסון",G527&lt;0,ISNUMBER(SEARCH("הכנסה",F527)))),"הכנסה שסווגה מחדש",J527)</f>
        <v>שוטף</v>
      </c>
      <c r="L527" t="s" s="134">
        <v>741</v>
      </c>
      <c r="M527" s="136" cm="1">
        <f t="array" ref="M527">IF(L527="מאושר",IF(K527="הכנסה שסווגה מחדש",0,G527),0)</f>
        <v>35</v>
      </c>
      <c r="N527" s="136" cm="1">
        <f t="array" ref="N527">IF(K527="שוטף",M527,0)</f>
        <v>35</v>
      </c>
      <c r="O527" s="136" cm="1">
        <f t="array" ref="O527">IF(K527="הכנסה שסווגה מחדש",-G527,0)</f>
        <v>0</v>
      </c>
      <c r="P527" t="s" s="80">
        <v>770</v>
      </c>
      <c r="Q527" s="100"/>
      <c r="R527" t="s" s="137">
        <v>743</v>
      </c>
      <c r="S527" s="77"/>
    </row>
    <row r="528" ht="13.65" customHeight="1">
      <c r="A528" s="84">
        <v>45809</v>
      </c>
      <c r="B528" t="s" s="85">
        <v>49</v>
      </c>
      <c r="C528" t="s" s="86">
        <v>805</v>
      </c>
      <c r="D528" s="138">
        <v>49</v>
      </c>
      <c r="E528" t="s" s="85">
        <v>789</v>
      </c>
      <c r="F528" t="s" s="86">
        <v>314</v>
      </c>
      <c r="G528" s="139">
        <v>21</v>
      </c>
      <c r="H528" t="s" s="140">
        <v>117</v>
      </c>
      <c r="I528" t="s" s="141">
        <v>117</v>
      </c>
      <c r="J528" t="s" s="141">
        <v>97</v>
      </c>
      <c r="K528" t="str" s="142" cm="1">
        <f t="array" ref="K528">IF(OR(H528="ריביות",AND(H528="דירה כצנלסון",G528&lt;0,ISNUMBER(SEARCH("הכנסה",F528)))),"הכנסה שסווגה מחדש",J528)</f>
        <v>שוטף</v>
      </c>
      <c r="L528" t="s" s="141">
        <v>741</v>
      </c>
      <c r="M528" s="143" cm="1">
        <f t="array" ref="M528">IF(L528="מאושר",IF(K528="הכנסה שסווגה מחדש",0,G528),0)</f>
        <v>21</v>
      </c>
      <c r="N528" s="143" cm="1">
        <f t="array" ref="N528">IF(K528="שוטף",M528,0)</f>
        <v>21</v>
      </c>
      <c r="O528" s="143" cm="1">
        <f t="array" ref="O528">IF(K528="הכנסה שסווגה מחדש",-G528,0)</f>
        <v>0</v>
      </c>
      <c r="P528" t="s" s="86">
        <v>770</v>
      </c>
      <c r="Q528" s="99"/>
      <c r="R528" t="s" s="144">
        <v>743</v>
      </c>
      <c r="S528" s="77"/>
    </row>
    <row r="529" ht="13.65" customHeight="1">
      <c r="A529" s="78">
        <v>45809</v>
      </c>
      <c r="B529" t="s" s="79">
        <v>49</v>
      </c>
      <c r="C529" t="s" s="80">
        <v>805</v>
      </c>
      <c r="D529" s="131">
        <v>50</v>
      </c>
      <c r="E529" t="s" s="79">
        <v>789</v>
      </c>
      <c r="F529" t="s" s="80">
        <v>486</v>
      </c>
      <c r="G529" s="132">
        <v>140</v>
      </c>
      <c r="H529" t="s" s="133">
        <v>121</v>
      </c>
      <c r="I529" t="s" s="134">
        <v>121</v>
      </c>
      <c r="J529" t="s" s="134">
        <v>97</v>
      </c>
      <c r="K529" t="str" s="135" cm="1">
        <f t="array" ref="K529">IF(OR(H529="ריביות",AND(H529="דירה כצנלסון",G529&lt;0,ISNUMBER(SEARCH("הכנסה",F529)))),"הכנסה שסווגה מחדש",J529)</f>
        <v>שוטף</v>
      </c>
      <c r="L529" t="s" s="134">
        <v>741</v>
      </c>
      <c r="M529" s="136" cm="1">
        <f t="array" ref="M529">IF(L529="מאושר",IF(K529="הכנסה שסווגה מחדש",0,G529),0)</f>
        <v>140</v>
      </c>
      <c r="N529" s="136" cm="1">
        <f t="array" ref="N529">IF(K529="שוטף",M529,0)</f>
        <v>140</v>
      </c>
      <c r="O529" s="136" cm="1">
        <f t="array" ref="O529">IF(K529="הכנסה שסווגה מחדש",-G529,0)</f>
        <v>0</v>
      </c>
      <c r="P529" t="s" s="80">
        <v>770</v>
      </c>
      <c r="Q529" s="100"/>
      <c r="R529" t="s" s="137">
        <v>743</v>
      </c>
      <c r="S529" s="77"/>
    </row>
    <row r="530" ht="13.65" customHeight="1">
      <c r="A530" s="84">
        <v>45809</v>
      </c>
      <c r="B530" t="s" s="85">
        <v>49</v>
      </c>
      <c r="C530" t="s" s="86">
        <v>805</v>
      </c>
      <c r="D530" s="138">
        <v>51</v>
      </c>
      <c r="E530" t="s" s="85">
        <v>788</v>
      </c>
      <c r="F530" t="s" s="86">
        <v>314</v>
      </c>
      <c r="G530" s="139">
        <v>13</v>
      </c>
      <c r="H530" t="s" s="140">
        <v>806</v>
      </c>
      <c r="I530" t="s" s="141">
        <v>131</v>
      </c>
      <c r="J530" t="s" s="141">
        <v>97</v>
      </c>
      <c r="K530" t="str" s="142" cm="1">
        <f t="array" ref="K530">IF(OR(H530="ריביות",AND(H530="דירה כצנלסון",G530&lt;0,ISNUMBER(SEARCH("הכנסה",F530)))),"הכנסה שסווגה מחדש",J530)</f>
        <v>שוטף</v>
      </c>
      <c r="L530" t="s" s="141">
        <v>741</v>
      </c>
      <c r="M530" s="143" cm="1">
        <f t="array" ref="M530">IF(L530="מאושר",IF(K530="הכנסה שסווגה מחדש",0,G530),0)</f>
        <v>13</v>
      </c>
      <c r="N530" s="143" cm="1">
        <f t="array" ref="N530">IF(K530="שוטף",M530,0)</f>
        <v>13</v>
      </c>
      <c r="O530" s="143" cm="1">
        <f t="array" ref="O530">IF(K530="הכנסה שסווגה מחדש",-G530,0)</f>
        <v>0</v>
      </c>
      <c r="P530" t="s" s="86">
        <v>770</v>
      </c>
      <c r="Q530" s="99"/>
      <c r="R530" t="s" s="144">
        <v>743</v>
      </c>
      <c r="S530" s="77"/>
    </row>
    <row r="531" ht="13.65" customHeight="1">
      <c r="A531" s="78">
        <v>45809</v>
      </c>
      <c r="B531" t="s" s="79">
        <v>49</v>
      </c>
      <c r="C531" t="s" s="80">
        <v>805</v>
      </c>
      <c r="D531" s="131">
        <v>52</v>
      </c>
      <c r="E531" t="s" s="79">
        <v>788</v>
      </c>
      <c r="F531" t="s" s="80">
        <v>334</v>
      </c>
      <c r="G531" s="132">
        <v>18</v>
      </c>
      <c r="H531" t="s" s="133">
        <v>109</v>
      </c>
      <c r="I531" t="s" s="134">
        <v>109</v>
      </c>
      <c r="J531" t="s" s="134">
        <v>97</v>
      </c>
      <c r="K531" t="str" s="135" cm="1">
        <f t="array" ref="K531">IF(OR(H531="ריביות",AND(H531="דירה כצנלסון",G531&lt;0,ISNUMBER(SEARCH("הכנסה",F531)))),"הכנסה שסווגה מחדש",J531)</f>
        <v>שוטף</v>
      </c>
      <c r="L531" t="s" s="134">
        <v>741</v>
      </c>
      <c r="M531" s="136" cm="1">
        <f t="array" ref="M531">IF(L531="מאושר",IF(K531="הכנסה שסווגה מחדש",0,G531),0)</f>
        <v>18</v>
      </c>
      <c r="N531" s="136" cm="1">
        <f t="array" ref="N531">IF(K531="שוטף",M531,0)</f>
        <v>18</v>
      </c>
      <c r="O531" s="136" cm="1">
        <f t="array" ref="O531">IF(K531="הכנסה שסווגה מחדש",-G531,0)</f>
        <v>0</v>
      </c>
      <c r="P531" t="s" s="80">
        <v>770</v>
      </c>
      <c r="Q531" s="100"/>
      <c r="R531" t="s" s="137">
        <v>743</v>
      </c>
      <c r="S531" s="77"/>
    </row>
    <row r="532" ht="13.65" customHeight="1">
      <c r="A532" s="84">
        <v>45809</v>
      </c>
      <c r="B532" t="s" s="85">
        <v>49</v>
      </c>
      <c r="C532" t="s" s="86">
        <v>805</v>
      </c>
      <c r="D532" s="138">
        <v>53</v>
      </c>
      <c r="E532" t="s" s="85">
        <v>788</v>
      </c>
      <c r="F532" t="s" s="86">
        <v>460</v>
      </c>
      <c r="G532" s="139">
        <v>69</v>
      </c>
      <c r="H532" t="s" s="140">
        <v>113</v>
      </c>
      <c r="I532" t="s" s="141">
        <v>113</v>
      </c>
      <c r="J532" t="s" s="141">
        <v>97</v>
      </c>
      <c r="K532" t="str" s="142" cm="1">
        <f t="array" ref="K532">IF(OR(H532="ריביות",AND(H532="דירה כצנלסון",G532&lt;0,ISNUMBER(SEARCH("הכנסה",F532)))),"הכנסה שסווגה מחדש",J532)</f>
        <v>שוטף</v>
      </c>
      <c r="L532" t="s" s="141">
        <v>741</v>
      </c>
      <c r="M532" s="143" cm="1">
        <f t="array" ref="M532">IF(L532="מאושר",IF(K532="הכנסה שסווגה מחדש",0,G532),0)</f>
        <v>69</v>
      </c>
      <c r="N532" s="143" cm="1">
        <f t="array" ref="N532">IF(K532="שוטף",M532,0)</f>
        <v>69</v>
      </c>
      <c r="O532" s="143" cm="1">
        <f t="array" ref="O532">IF(K532="הכנסה שסווגה מחדש",-G532,0)</f>
        <v>0</v>
      </c>
      <c r="P532" t="s" s="86">
        <v>770</v>
      </c>
      <c r="Q532" s="99"/>
      <c r="R532" t="s" s="144">
        <v>743</v>
      </c>
      <c r="S532" s="77"/>
    </row>
    <row r="533" ht="13.65" customHeight="1">
      <c r="A533" s="78">
        <v>45809</v>
      </c>
      <c r="B533" t="s" s="79">
        <v>49</v>
      </c>
      <c r="C533" t="s" s="80">
        <v>805</v>
      </c>
      <c r="D533" s="131">
        <v>54</v>
      </c>
      <c r="E533" t="s" s="79">
        <v>751</v>
      </c>
      <c r="F533" t="s" s="80">
        <v>637</v>
      </c>
      <c r="G533" s="132">
        <v>29</v>
      </c>
      <c r="H533" t="s" s="133">
        <v>109</v>
      </c>
      <c r="I533" t="s" s="134">
        <v>109</v>
      </c>
      <c r="J533" t="s" s="134">
        <v>97</v>
      </c>
      <c r="K533" t="str" s="135" cm="1">
        <f t="array" ref="K533">IF(OR(H533="ריביות",AND(H533="דירה כצנלסון",G533&lt;0,ISNUMBER(SEARCH("הכנסה",F533)))),"הכנסה שסווגה מחדש",J533)</f>
        <v>שוטף</v>
      </c>
      <c r="L533" t="s" s="134">
        <v>741</v>
      </c>
      <c r="M533" s="136" cm="1">
        <f t="array" ref="M533">IF(L533="מאושר",IF(K533="הכנסה שסווגה מחדש",0,G533),0)</f>
        <v>29</v>
      </c>
      <c r="N533" s="136" cm="1">
        <f t="array" ref="N533">IF(K533="שוטף",M533,0)</f>
        <v>29</v>
      </c>
      <c r="O533" s="136" cm="1">
        <f t="array" ref="O533">IF(K533="הכנסה שסווגה מחדש",-G533,0)</f>
        <v>0</v>
      </c>
      <c r="P533" t="s" s="80">
        <v>770</v>
      </c>
      <c r="Q533" s="100"/>
      <c r="R533" t="s" s="137">
        <v>743</v>
      </c>
      <c r="S533" s="77"/>
    </row>
    <row r="534" ht="13.65" customHeight="1">
      <c r="A534" s="84">
        <v>45809</v>
      </c>
      <c r="B534" t="s" s="85">
        <v>49</v>
      </c>
      <c r="C534" t="s" s="86">
        <v>805</v>
      </c>
      <c r="D534" s="138">
        <v>55</v>
      </c>
      <c r="E534" t="s" s="85">
        <v>751</v>
      </c>
      <c r="F534" t="s" s="86">
        <v>314</v>
      </c>
      <c r="G534" s="139">
        <v>10</v>
      </c>
      <c r="H534" t="s" s="140">
        <v>806</v>
      </c>
      <c r="I534" t="s" s="141">
        <v>131</v>
      </c>
      <c r="J534" t="s" s="141">
        <v>97</v>
      </c>
      <c r="K534" t="str" s="142" cm="1">
        <f t="array" ref="K534">IF(OR(H534="ריביות",AND(H534="דירה כצנלסון",G534&lt;0,ISNUMBER(SEARCH("הכנסה",F534)))),"הכנסה שסווגה מחדש",J534)</f>
        <v>שוטף</v>
      </c>
      <c r="L534" t="s" s="141">
        <v>741</v>
      </c>
      <c r="M534" s="143" cm="1">
        <f t="array" ref="M534">IF(L534="מאושר",IF(K534="הכנסה שסווגה מחדש",0,G534),0)</f>
        <v>10</v>
      </c>
      <c r="N534" s="143" cm="1">
        <f t="array" ref="N534">IF(K534="שוטף",M534,0)</f>
        <v>10</v>
      </c>
      <c r="O534" s="143" cm="1">
        <f t="array" ref="O534">IF(K534="הכנסה שסווגה מחדש",-G534,0)</f>
        <v>0</v>
      </c>
      <c r="P534" t="s" s="86">
        <v>770</v>
      </c>
      <c r="Q534" s="99"/>
      <c r="R534" t="s" s="144">
        <v>743</v>
      </c>
      <c r="S534" s="77"/>
    </row>
    <row r="535" ht="13.65" customHeight="1">
      <c r="A535" s="78">
        <v>45809</v>
      </c>
      <c r="B535" t="s" s="79">
        <v>49</v>
      </c>
      <c r="C535" t="s" s="80">
        <v>805</v>
      </c>
      <c r="D535" s="131">
        <v>56</v>
      </c>
      <c r="E535" t="s" s="79">
        <v>753</v>
      </c>
      <c r="F535" t="s" s="80">
        <v>213</v>
      </c>
      <c r="G535" s="132">
        <v>245</v>
      </c>
      <c r="H535" t="s" s="133">
        <v>115</v>
      </c>
      <c r="I535" t="s" s="134">
        <v>115</v>
      </c>
      <c r="J535" t="s" s="134">
        <v>97</v>
      </c>
      <c r="K535" t="str" s="135" cm="1">
        <f t="array" ref="K535">IF(OR(H535="ריביות",AND(H535="דירה כצנלסון",G535&lt;0,ISNUMBER(SEARCH("הכנסה",F535)))),"הכנסה שסווגה מחדש",J535)</f>
        <v>שוטף</v>
      </c>
      <c r="L535" t="s" s="134">
        <v>741</v>
      </c>
      <c r="M535" s="136" cm="1">
        <f t="array" ref="M535">IF(L535="מאושר",IF(K535="הכנסה שסווגה מחדש",0,G535),0)</f>
        <v>245</v>
      </c>
      <c r="N535" s="136" cm="1">
        <f t="array" ref="N535">IF(K535="שוטף",M535,0)</f>
        <v>245</v>
      </c>
      <c r="O535" s="136" cm="1">
        <f t="array" ref="O535">IF(K535="הכנסה שסווגה מחדש",-G535,0)</f>
        <v>0</v>
      </c>
      <c r="P535" t="s" s="80">
        <v>770</v>
      </c>
      <c r="Q535" s="100"/>
      <c r="R535" t="s" s="137">
        <v>743</v>
      </c>
      <c r="S535" s="77"/>
    </row>
    <row r="536" ht="13.65" customHeight="1">
      <c r="A536" s="84">
        <v>45809</v>
      </c>
      <c r="B536" t="s" s="85">
        <v>49</v>
      </c>
      <c r="C536" t="s" s="86">
        <v>805</v>
      </c>
      <c r="D536" s="138">
        <v>57</v>
      </c>
      <c r="E536" t="s" s="85">
        <v>753</v>
      </c>
      <c r="F536" t="s" s="86">
        <v>679</v>
      </c>
      <c r="G536" s="139">
        <v>19</v>
      </c>
      <c r="H536" t="s" s="140">
        <v>806</v>
      </c>
      <c r="I536" t="s" s="141">
        <v>131</v>
      </c>
      <c r="J536" t="s" s="141">
        <v>97</v>
      </c>
      <c r="K536" t="str" s="142" cm="1">
        <f t="array" ref="K536">IF(OR(H536="ריביות",AND(H536="דירה כצנלסון",G536&lt;0,ISNUMBER(SEARCH("הכנסה",F536)))),"הכנסה שסווגה מחדש",J536)</f>
        <v>שוטף</v>
      </c>
      <c r="L536" t="s" s="141">
        <v>741</v>
      </c>
      <c r="M536" s="143" cm="1">
        <f t="array" ref="M536">IF(L536="מאושר",IF(K536="הכנסה שסווגה מחדש",0,G536),0)</f>
        <v>19</v>
      </c>
      <c r="N536" s="143" cm="1">
        <f t="array" ref="N536">IF(K536="שוטף",M536,0)</f>
        <v>19</v>
      </c>
      <c r="O536" s="143" cm="1">
        <f t="array" ref="O536">IF(K536="הכנסה שסווגה מחדש",-G536,0)</f>
        <v>0</v>
      </c>
      <c r="P536" t="s" s="86">
        <v>770</v>
      </c>
      <c r="Q536" s="99"/>
      <c r="R536" t="s" s="144">
        <v>743</v>
      </c>
      <c r="S536" s="77"/>
    </row>
    <row r="537" ht="13.65" customHeight="1">
      <c r="A537" s="78">
        <v>45809</v>
      </c>
      <c r="B537" t="s" s="79">
        <v>49</v>
      </c>
      <c r="C537" t="s" s="80">
        <v>805</v>
      </c>
      <c r="D537" s="131">
        <v>58</v>
      </c>
      <c r="E537" t="s" s="79">
        <v>753</v>
      </c>
      <c r="F537" t="s" s="80">
        <v>269</v>
      </c>
      <c r="G537" s="132">
        <v>105</v>
      </c>
      <c r="H537" t="s" s="133">
        <v>113</v>
      </c>
      <c r="I537" t="s" s="134">
        <v>113</v>
      </c>
      <c r="J537" t="s" s="134">
        <v>97</v>
      </c>
      <c r="K537" t="str" s="135" cm="1">
        <f t="array" ref="K537">IF(OR(H537="ריביות",AND(H537="דירה כצנלסון",G537&lt;0,ISNUMBER(SEARCH("הכנסה",F537)))),"הכנסה שסווגה מחדש",J537)</f>
        <v>שוטף</v>
      </c>
      <c r="L537" t="s" s="134">
        <v>741</v>
      </c>
      <c r="M537" s="136" cm="1">
        <f t="array" ref="M537">IF(L537="מאושר",IF(K537="הכנסה שסווגה מחדש",0,G537),0)</f>
        <v>105</v>
      </c>
      <c r="N537" s="136" cm="1">
        <f t="array" ref="N537">IF(K537="שוטף",M537,0)</f>
        <v>105</v>
      </c>
      <c r="O537" s="136" cm="1">
        <f t="array" ref="O537">IF(K537="הכנסה שסווגה מחדש",-G537,0)</f>
        <v>0</v>
      </c>
      <c r="P537" t="s" s="80">
        <v>770</v>
      </c>
      <c r="Q537" s="100"/>
      <c r="R537" t="s" s="137">
        <v>743</v>
      </c>
      <c r="S537" s="77"/>
    </row>
    <row r="538" ht="13.65" customHeight="1">
      <c r="A538" s="84">
        <v>45809</v>
      </c>
      <c r="B538" t="s" s="85">
        <v>49</v>
      </c>
      <c r="C538" t="s" s="86">
        <v>805</v>
      </c>
      <c r="D538" s="138">
        <v>59</v>
      </c>
      <c r="E538" t="s" s="85">
        <v>739</v>
      </c>
      <c r="F538" t="s" s="86">
        <v>200</v>
      </c>
      <c r="G538" s="139">
        <v>85</v>
      </c>
      <c r="H538" t="s" s="140">
        <v>109</v>
      </c>
      <c r="I538" t="s" s="141">
        <v>109</v>
      </c>
      <c r="J538" t="s" s="141">
        <v>97</v>
      </c>
      <c r="K538" t="str" s="142" cm="1">
        <f t="array" ref="K538">IF(OR(H538="ריביות",AND(H538="דירה כצנלסון",G538&lt;0,ISNUMBER(SEARCH("הכנסה",F538)))),"הכנסה שסווגה מחדש",J538)</f>
        <v>שוטף</v>
      </c>
      <c r="L538" t="s" s="141">
        <v>741</v>
      </c>
      <c r="M538" s="143" cm="1">
        <f t="array" ref="M538">IF(L538="מאושר",IF(K538="הכנסה שסווגה מחדש",0,G538),0)</f>
        <v>85</v>
      </c>
      <c r="N538" s="143" cm="1">
        <f t="array" ref="N538">IF(K538="שוטף",M538,0)</f>
        <v>85</v>
      </c>
      <c r="O538" s="143" cm="1">
        <f t="array" ref="O538">IF(K538="הכנסה שסווגה מחדש",-G538,0)</f>
        <v>0</v>
      </c>
      <c r="P538" t="s" s="86">
        <v>770</v>
      </c>
      <c r="Q538" s="99"/>
      <c r="R538" t="s" s="144">
        <v>743</v>
      </c>
      <c r="S538" s="77"/>
    </row>
    <row r="539" ht="13.65" customHeight="1">
      <c r="A539" s="78">
        <v>45809</v>
      </c>
      <c r="B539" t="s" s="79">
        <v>49</v>
      </c>
      <c r="C539" t="s" s="80">
        <v>805</v>
      </c>
      <c r="D539" s="131">
        <v>60</v>
      </c>
      <c r="E539" t="s" s="79">
        <v>739</v>
      </c>
      <c r="F539" t="s" s="80">
        <v>355</v>
      </c>
      <c r="G539" s="132">
        <v>23</v>
      </c>
      <c r="H539" t="s" s="133">
        <v>113</v>
      </c>
      <c r="I539" t="s" s="134">
        <v>113</v>
      </c>
      <c r="J539" t="s" s="134">
        <v>97</v>
      </c>
      <c r="K539" t="str" s="135" cm="1">
        <f t="array" ref="K539">IF(OR(H539="ריביות",AND(H539="דירה כצנלסון",G539&lt;0,ISNUMBER(SEARCH("הכנסה",F539)))),"הכנסה שסווגה מחדש",J539)</f>
        <v>שוטף</v>
      </c>
      <c r="L539" t="s" s="134">
        <v>741</v>
      </c>
      <c r="M539" s="136" cm="1">
        <f t="array" ref="M539">IF(L539="מאושר",IF(K539="הכנסה שסווגה מחדש",0,G539),0)</f>
        <v>23</v>
      </c>
      <c r="N539" s="136" cm="1">
        <f t="array" ref="N539">IF(K539="שוטף",M539,0)</f>
        <v>23</v>
      </c>
      <c r="O539" s="136" cm="1">
        <f t="array" ref="O539">IF(K539="הכנסה שסווגה מחדש",-G539,0)</f>
        <v>0</v>
      </c>
      <c r="P539" t="s" s="80">
        <v>770</v>
      </c>
      <c r="Q539" s="100"/>
      <c r="R539" t="s" s="137">
        <v>743</v>
      </c>
      <c r="S539" s="77"/>
    </row>
    <row r="540" ht="13.65" customHeight="1">
      <c r="A540" s="84">
        <v>45809</v>
      </c>
      <c r="B540" t="s" s="85">
        <v>49</v>
      </c>
      <c r="C540" t="s" s="86">
        <v>805</v>
      </c>
      <c r="D540" s="138">
        <v>61</v>
      </c>
      <c r="E540" t="s" s="85">
        <v>739</v>
      </c>
      <c r="F540" t="s" s="86">
        <v>269</v>
      </c>
      <c r="G540" s="139">
        <v>79</v>
      </c>
      <c r="H540" t="s" s="140">
        <v>113</v>
      </c>
      <c r="I540" t="s" s="141">
        <v>113</v>
      </c>
      <c r="J540" t="s" s="141">
        <v>97</v>
      </c>
      <c r="K540" t="str" s="142" cm="1">
        <f t="array" ref="K540">IF(OR(H540="ריביות",AND(H540="דירה כצנלסון",G540&lt;0,ISNUMBER(SEARCH("הכנסה",F540)))),"הכנסה שסווגה מחדש",J540)</f>
        <v>שוטף</v>
      </c>
      <c r="L540" t="s" s="141">
        <v>741</v>
      </c>
      <c r="M540" s="143" cm="1">
        <f t="array" ref="M540">IF(L540="מאושר",IF(K540="הכנסה שסווגה מחדש",0,G540),0)</f>
        <v>79</v>
      </c>
      <c r="N540" s="143" cm="1">
        <f t="array" ref="N540">IF(K540="שוטף",M540,0)</f>
        <v>79</v>
      </c>
      <c r="O540" s="143" cm="1">
        <f t="array" ref="O540">IF(K540="הכנסה שסווגה מחדש",-G540,0)</f>
        <v>0</v>
      </c>
      <c r="P540" t="s" s="86">
        <v>770</v>
      </c>
      <c r="Q540" s="99"/>
      <c r="R540" t="s" s="144">
        <v>743</v>
      </c>
      <c r="S540" s="77"/>
    </row>
    <row r="541" ht="13.65" customHeight="1">
      <c r="A541" s="78">
        <v>45809</v>
      </c>
      <c r="B541" t="s" s="79">
        <v>49</v>
      </c>
      <c r="C541" t="s" s="80">
        <v>805</v>
      </c>
      <c r="D541" s="131">
        <v>62</v>
      </c>
      <c r="E541" t="s" s="79">
        <v>739</v>
      </c>
      <c r="F541" t="s" s="80">
        <v>267</v>
      </c>
      <c r="G541" s="132">
        <v>10</v>
      </c>
      <c r="H541" t="s" s="133">
        <v>109</v>
      </c>
      <c r="I541" t="s" s="134">
        <v>109</v>
      </c>
      <c r="J541" t="s" s="134">
        <v>97</v>
      </c>
      <c r="K541" t="str" s="135" cm="1">
        <f t="array" ref="K541">IF(OR(H541="ריביות",AND(H541="דירה כצנלסון",G541&lt;0,ISNUMBER(SEARCH("הכנסה",F541)))),"הכנסה שסווגה מחדש",J541)</f>
        <v>שוטף</v>
      </c>
      <c r="L541" t="s" s="134">
        <v>741</v>
      </c>
      <c r="M541" s="136" cm="1">
        <f t="array" ref="M541">IF(L541="מאושר",IF(K541="הכנסה שסווגה מחדש",0,G541),0)</f>
        <v>10</v>
      </c>
      <c r="N541" s="136" cm="1">
        <f t="array" ref="N541">IF(K541="שוטף",M541,0)</f>
        <v>10</v>
      </c>
      <c r="O541" s="136" cm="1">
        <f t="array" ref="O541">IF(K541="הכנסה שסווגה מחדש",-G541,0)</f>
        <v>0</v>
      </c>
      <c r="P541" t="s" s="80">
        <v>770</v>
      </c>
      <c r="Q541" s="100"/>
      <c r="R541" t="s" s="137">
        <v>743</v>
      </c>
      <c r="S541" s="77"/>
    </row>
    <row r="542" ht="13.65" customHeight="1">
      <c r="A542" s="84">
        <v>45809</v>
      </c>
      <c r="B542" t="s" s="85">
        <v>49</v>
      </c>
      <c r="C542" t="s" s="86">
        <v>805</v>
      </c>
      <c r="D542" s="138">
        <v>63</v>
      </c>
      <c r="E542" t="s" s="85">
        <v>790</v>
      </c>
      <c r="F542" t="s" s="86">
        <v>200</v>
      </c>
      <c r="G542" s="139">
        <v>48</v>
      </c>
      <c r="H542" t="s" s="140">
        <v>109</v>
      </c>
      <c r="I542" t="s" s="141">
        <v>109</v>
      </c>
      <c r="J542" t="s" s="141">
        <v>97</v>
      </c>
      <c r="K542" t="str" s="142" cm="1">
        <f t="array" ref="K542">IF(OR(H542="ריביות",AND(H542="דירה כצנלסון",G542&lt;0,ISNUMBER(SEARCH("הכנסה",F542)))),"הכנסה שסווגה מחדש",J542)</f>
        <v>שוטף</v>
      </c>
      <c r="L542" t="s" s="141">
        <v>741</v>
      </c>
      <c r="M542" s="143" cm="1">
        <f t="array" ref="M542">IF(L542="מאושר",IF(K542="הכנסה שסווגה מחדש",0,G542),0)</f>
        <v>48</v>
      </c>
      <c r="N542" s="143" cm="1">
        <f t="array" ref="N542">IF(K542="שוטף",M542,0)</f>
        <v>48</v>
      </c>
      <c r="O542" s="143" cm="1">
        <f t="array" ref="O542">IF(K542="הכנסה שסווגה מחדש",-G542,0)</f>
        <v>0</v>
      </c>
      <c r="P542" t="s" s="86">
        <v>770</v>
      </c>
      <c r="Q542" s="99"/>
      <c r="R542" t="s" s="144">
        <v>743</v>
      </c>
      <c r="S542" s="77"/>
    </row>
    <row r="543" ht="13.65" customHeight="1">
      <c r="A543" s="78">
        <v>45809</v>
      </c>
      <c r="B543" t="s" s="79">
        <v>49</v>
      </c>
      <c r="C543" t="s" s="80">
        <v>805</v>
      </c>
      <c r="D543" s="131">
        <v>64</v>
      </c>
      <c r="E543" t="s" s="79">
        <v>761</v>
      </c>
      <c r="F543" t="s" s="80">
        <v>348</v>
      </c>
      <c r="G543" s="132">
        <v>310</v>
      </c>
      <c r="H543" t="s" s="133">
        <v>806</v>
      </c>
      <c r="I543" t="s" s="134">
        <v>131</v>
      </c>
      <c r="J543" t="s" s="134">
        <v>97</v>
      </c>
      <c r="K543" t="str" s="135" cm="1">
        <f t="array" ref="K543">IF(OR(H543="ריביות",AND(H543="דירה כצנלסון",G543&lt;0,ISNUMBER(SEARCH("הכנסה",F543)))),"הכנסה שסווגה מחדש",J543)</f>
        <v>שוטף</v>
      </c>
      <c r="L543" t="s" s="134">
        <v>741</v>
      </c>
      <c r="M543" s="136" cm="1">
        <f t="array" ref="M543">IF(L543="מאושר",IF(K543="הכנסה שסווגה מחדש",0,G543),0)</f>
        <v>310</v>
      </c>
      <c r="N543" s="136" cm="1">
        <f t="array" ref="N543">IF(K543="שוטף",M543,0)</f>
        <v>310</v>
      </c>
      <c r="O543" s="136" cm="1">
        <f t="array" ref="O543">IF(K543="הכנסה שסווגה מחדש",-G543,0)</f>
        <v>0</v>
      </c>
      <c r="P543" t="s" s="80">
        <v>770</v>
      </c>
      <c r="Q543" s="100"/>
      <c r="R543" t="s" s="137">
        <v>743</v>
      </c>
      <c r="S543" s="77"/>
    </row>
    <row r="544" ht="13.65" customHeight="1">
      <c r="A544" s="84">
        <v>45809</v>
      </c>
      <c r="B544" t="s" s="85">
        <v>49</v>
      </c>
      <c r="C544" t="s" s="86">
        <v>805</v>
      </c>
      <c r="D544" s="138">
        <v>65</v>
      </c>
      <c r="E544" t="s" s="85">
        <v>744</v>
      </c>
      <c r="F544" t="s" s="86">
        <v>348</v>
      </c>
      <c r="G544" s="139">
        <v>12</v>
      </c>
      <c r="H544" t="s" s="140">
        <v>806</v>
      </c>
      <c r="I544" t="s" s="141">
        <v>131</v>
      </c>
      <c r="J544" t="s" s="141">
        <v>97</v>
      </c>
      <c r="K544" t="str" s="142" cm="1">
        <f t="array" ref="K544">IF(OR(H544="ריביות",AND(H544="דירה כצנלסון",G544&lt;0,ISNUMBER(SEARCH("הכנסה",F544)))),"הכנסה שסווגה מחדש",J544)</f>
        <v>שוטף</v>
      </c>
      <c r="L544" t="s" s="141">
        <v>741</v>
      </c>
      <c r="M544" s="143" cm="1">
        <f t="array" ref="M544">IF(L544="מאושר",IF(K544="הכנסה שסווגה מחדש",0,G544),0)</f>
        <v>12</v>
      </c>
      <c r="N544" s="143" cm="1">
        <f t="array" ref="N544">IF(K544="שוטף",M544,0)</f>
        <v>12</v>
      </c>
      <c r="O544" s="143" cm="1">
        <f t="array" ref="O544">IF(K544="הכנסה שסווגה מחדש",-G544,0)</f>
        <v>0</v>
      </c>
      <c r="P544" t="s" s="86">
        <v>770</v>
      </c>
      <c r="Q544" s="99"/>
      <c r="R544" t="s" s="144">
        <v>743</v>
      </c>
      <c r="S544" s="77"/>
    </row>
    <row r="545" ht="13.65" customHeight="1">
      <c r="A545" s="78">
        <v>45809</v>
      </c>
      <c r="B545" t="s" s="79">
        <v>49</v>
      </c>
      <c r="C545" t="s" s="80">
        <v>805</v>
      </c>
      <c r="D545" s="131">
        <v>66</v>
      </c>
      <c r="E545" t="s" s="79">
        <v>744</v>
      </c>
      <c r="F545" t="s" s="80">
        <v>267</v>
      </c>
      <c r="G545" s="132">
        <v>6</v>
      </c>
      <c r="H545" t="s" s="133">
        <v>109</v>
      </c>
      <c r="I545" t="s" s="134">
        <v>109</v>
      </c>
      <c r="J545" t="s" s="134">
        <v>97</v>
      </c>
      <c r="K545" t="str" s="135" cm="1">
        <f t="array" ref="K545">IF(OR(H545="ריביות",AND(H545="דירה כצנלסון",G545&lt;0,ISNUMBER(SEARCH("הכנסה",F545)))),"הכנסה שסווגה מחדש",J545)</f>
        <v>שוטף</v>
      </c>
      <c r="L545" t="s" s="134">
        <v>741</v>
      </c>
      <c r="M545" s="136" cm="1">
        <f t="array" ref="M545">IF(L545="מאושר",IF(K545="הכנסה שסווגה מחדש",0,G545),0)</f>
        <v>6</v>
      </c>
      <c r="N545" s="136" cm="1">
        <f t="array" ref="N545">IF(K545="שוטף",M545,0)</f>
        <v>6</v>
      </c>
      <c r="O545" s="136" cm="1">
        <f t="array" ref="O545">IF(K545="הכנסה שסווגה מחדש",-G545,0)</f>
        <v>0</v>
      </c>
      <c r="P545" t="s" s="80">
        <v>770</v>
      </c>
      <c r="Q545" s="100"/>
      <c r="R545" t="s" s="137">
        <v>743</v>
      </c>
      <c r="S545" s="77"/>
    </row>
    <row r="546" ht="13.65" customHeight="1">
      <c r="A546" s="84">
        <v>45809</v>
      </c>
      <c r="B546" t="s" s="85">
        <v>49</v>
      </c>
      <c r="C546" t="s" s="86">
        <v>805</v>
      </c>
      <c r="D546" s="138">
        <v>67</v>
      </c>
      <c r="E546" t="s" s="85">
        <v>744</v>
      </c>
      <c r="F546" t="s" s="85">
        <v>423</v>
      </c>
      <c r="G546" s="139">
        <v>176</v>
      </c>
      <c r="H546" t="s" s="140">
        <v>767</v>
      </c>
      <c r="I546" t="s" s="141">
        <v>107</v>
      </c>
      <c r="J546" t="s" s="141">
        <v>97</v>
      </c>
      <c r="K546" t="str" s="142" cm="1">
        <f t="array" ref="K546">IF(OR(H546="ריביות",AND(H546="דירה כצנלסון",G546&lt;0,ISNUMBER(SEARCH("הכנסה",F546)))),"הכנסה שסווגה מחדש",J546)</f>
        <v>שוטף</v>
      </c>
      <c r="L546" t="s" s="141">
        <v>741</v>
      </c>
      <c r="M546" s="143" cm="1">
        <f t="array" ref="M546">IF(L546="מאושר",IF(K546="הכנסה שסווגה מחדש",0,G546),0)</f>
        <v>176</v>
      </c>
      <c r="N546" s="143" cm="1">
        <f t="array" ref="N546">IF(K546="שוטף",M546,0)</f>
        <v>176</v>
      </c>
      <c r="O546" s="143" cm="1">
        <f t="array" ref="O546">IF(K546="הכנסה שסווגה מחדש",-G546,0)</f>
        <v>0</v>
      </c>
      <c r="P546" t="s" s="86">
        <v>770</v>
      </c>
      <c r="Q546" s="99"/>
      <c r="R546" t="s" s="144">
        <v>743</v>
      </c>
      <c r="S546" s="77"/>
    </row>
    <row r="547" ht="13.65" customHeight="1">
      <c r="A547" s="78">
        <v>45809</v>
      </c>
      <c r="B547" t="s" s="79">
        <v>49</v>
      </c>
      <c r="C547" t="s" s="80">
        <v>805</v>
      </c>
      <c r="D547" s="131">
        <v>68</v>
      </c>
      <c r="E547" t="s" s="79">
        <v>744</v>
      </c>
      <c r="F547" t="s" s="80">
        <v>267</v>
      </c>
      <c r="G547" s="132">
        <v>13</v>
      </c>
      <c r="H547" t="s" s="133">
        <v>109</v>
      </c>
      <c r="I547" t="s" s="134">
        <v>109</v>
      </c>
      <c r="J547" t="s" s="134">
        <v>97</v>
      </c>
      <c r="K547" t="str" s="135" cm="1">
        <f t="array" ref="K547">IF(OR(H547="ריביות",AND(H547="דירה כצנלסון",G547&lt;0,ISNUMBER(SEARCH("הכנסה",F547)))),"הכנסה שסווגה מחדש",J547)</f>
        <v>שוטף</v>
      </c>
      <c r="L547" t="s" s="134">
        <v>741</v>
      </c>
      <c r="M547" s="136" cm="1">
        <f t="array" ref="M547">IF(L547="מאושר",IF(K547="הכנסה שסווגה מחדש",0,G547),0)</f>
        <v>13</v>
      </c>
      <c r="N547" s="136" cm="1">
        <f t="array" ref="N547">IF(K547="שוטף",M547,0)</f>
        <v>13</v>
      </c>
      <c r="O547" s="136" cm="1">
        <f t="array" ref="O547">IF(K547="הכנסה שסווגה מחדש",-G547,0)</f>
        <v>0</v>
      </c>
      <c r="P547" t="s" s="80">
        <v>770</v>
      </c>
      <c r="Q547" s="100"/>
      <c r="R547" t="s" s="137">
        <v>743</v>
      </c>
      <c r="S547" s="77"/>
    </row>
    <row r="548" ht="13.65" customHeight="1">
      <c r="A548" s="84">
        <v>45809</v>
      </c>
      <c r="B548" t="s" s="85">
        <v>49</v>
      </c>
      <c r="C548" t="s" s="86">
        <v>805</v>
      </c>
      <c r="D548" s="138">
        <v>69</v>
      </c>
      <c r="E548" t="s" s="85">
        <v>774</v>
      </c>
      <c r="F548" t="s" s="86">
        <v>209</v>
      </c>
      <c r="G548" s="139">
        <v>241</v>
      </c>
      <c r="H548" t="s" s="140">
        <v>113</v>
      </c>
      <c r="I548" t="s" s="141">
        <v>113</v>
      </c>
      <c r="J548" t="s" s="141">
        <v>97</v>
      </c>
      <c r="K548" t="str" s="142" cm="1">
        <f t="array" ref="K548">IF(OR(H548="ריביות",AND(H548="דירה כצנלסון",G548&lt;0,ISNUMBER(SEARCH("הכנסה",F548)))),"הכנסה שסווגה מחדש",J548)</f>
        <v>שוטף</v>
      </c>
      <c r="L548" t="s" s="141">
        <v>741</v>
      </c>
      <c r="M548" s="143" cm="1">
        <f t="array" ref="M548">IF(L548="מאושר",IF(K548="הכנסה שסווגה מחדש",0,G548),0)</f>
        <v>241</v>
      </c>
      <c r="N548" s="143" cm="1">
        <f t="array" ref="N548">IF(K548="שוטף",M548,0)</f>
        <v>241</v>
      </c>
      <c r="O548" s="143" cm="1">
        <f t="array" ref="O548">IF(K548="הכנסה שסווגה מחדש",-G548,0)</f>
        <v>0</v>
      </c>
      <c r="P548" t="s" s="86">
        <v>770</v>
      </c>
      <c r="Q548" s="99"/>
      <c r="R548" t="s" s="144">
        <v>743</v>
      </c>
      <c r="S548" s="77"/>
    </row>
    <row r="549" ht="13.65" customHeight="1">
      <c r="A549" s="78">
        <v>45809</v>
      </c>
      <c r="B549" t="s" s="79">
        <v>49</v>
      </c>
      <c r="C549" t="s" s="80">
        <v>805</v>
      </c>
      <c r="D549" s="131">
        <v>70</v>
      </c>
      <c r="E549" t="s" s="79">
        <v>774</v>
      </c>
      <c r="F549" t="s" s="80">
        <v>697</v>
      </c>
      <c r="G549" s="132">
        <v>10</v>
      </c>
      <c r="H549" t="s" s="133">
        <v>115</v>
      </c>
      <c r="I549" t="s" s="134">
        <v>115</v>
      </c>
      <c r="J549" t="s" s="134">
        <v>97</v>
      </c>
      <c r="K549" t="str" s="135" cm="1">
        <f t="array" ref="K549">IF(OR(H549="ריביות",AND(H549="דירה כצנלסון",G549&lt;0,ISNUMBER(SEARCH("הכנסה",F549)))),"הכנסה שסווגה מחדש",J549)</f>
        <v>שוטף</v>
      </c>
      <c r="L549" t="s" s="134">
        <v>741</v>
      </c>
      <c r="M549" s="136" cm="1">
        <f t="array" ref="M549">IF(L549="מאושר",IF(K549="הכנסה שסווגה מחדש",0,G549),0)</f>
        <v>10</v>
      </c>
      <c r="N549" s="136" cm="1">
        <f t="array" ref="N549">IF(K549="שוטף",M549,0)</f>
        <v>10</v>
      </c>
      <c r="O549" s="136" cm="1">
        <f t="array" ref="O549">IF(K549="הכנסה שסווגה מחדש",-G549,0)</f>
        <v>0</v>
      </c>
      <c r="P549" t="s" s="80">
        <v>770</v>
      </c>
      <c r="Q549" s="100"/>
      <c r="R549" t="s" s="137">
        <v>743</v>
      </c>
      <c r="S549" s="77"/>
    </row>
    <row r="550" ht="13.65" customHeight="1">
      <c r="A550" s="84">
        <v>45809</v>
      </c>
      <c r="B550" t="s" s="85">
        <v>49</v>
      </c>
      <c r="C550" t="s" s="86">
        <v>805</v>
      </c>
      <c r="D550" s="138">
        <v>71</v>
      </c>
      <c r="E550" t="s" s="85">
        <v>791</v>
      </c>
      <c r="F550" t="s" s="86">
        <v>200</v>
      </c>
      <c r="G550" s="139">
        <v>75</v>
      </c>
      <c r="H550" t="s" s="140">
        <v>109</v>
      </c>
      <c r="I550" t="s" s="141">
        <v>109</v>
      </c>
      <c r="J550" t="s" s="141">
        <v>97</v>
      </c>
      <c r="K550" t="str" s="142" cm="1">
        <f t="array" ref="K550">IF(OR(H550="ריביות",AND(H550="דירה כצנלסון",G550&lt;0,ISNUMBER(SEARCH("הכנסה",F550)))),"הכנסה שסווגה מחדש",J550)</f>
        <v>שוטף</v>
      </c>
      <c r="L550" t="s" s="141">
        <v>741</v>
      </c>
      <c r="M550" s="143" cm="1">
        <f t="array" ref="M550">IF(L550="מאושר",IF(K550="הכנסה שסווגה מחדש",0,G550),0)</f>
        <v>75</v>
      </c>
      <c r="N550" s="143" cm="1">
        <f t="array" ref="N550">IF(K550="שוטף",M550,0)</f>
        <v>75</v>
      </c>
      <c r="O550" s="143" cm="1">
        <f t="array" ref="O550">IF(K550="הכנסה שסווגה מחדש",-G550,0)</f>
        <v>0</v>
      </c>
      <c r="P550" t="s" s="86">
        <v>770</v>
      </c>
      <c r="Q550" s="99"/>
      <c r="R550" t="s" s="144">
        <v>743</v>
      </c>
      <c r="S550" s="77"/>
    </row>
    <row r="551" ht="13.65" customHeight="1">
      <c r="A551" s="78">
        <v>45809</v>
      </c>
      <c r="B551" t="s" s="79">
        <v>49</v>
      </c>
      <c r="C551" t="s" s="80">
        <v>805</v>
      </c>
      <c r="D551" s="131">
        <v>72</v>
      </c>
      <c r="E551" t="s" s="79">
        <v>791</v>
      </c>
      <c r="F551" t="s" s="80">
        <v>213</v>
      </c>
      <c r="G551" s="132">
        <v>197</v>
      </c>
      <c r="H551" t="s" s="133">
        <v>115</v>
      </c>
      <c r="I551" t="s" s="134">
        <v>115</v>
      </c>
      <c r="J551" t="s" s="134">
        <v>97</v>
      </c>
      <c r="K551" t="str" s="135" cm="1">
        <f t="array" ref="K551">IF(OR(H551="ריביות",AND(H551="דירה כצנלסון",G551&lt;0,ISNUMBER(SEARCH("הכנסה",F551)))),"הכנסה שסווגה מחדש",J551)</f>
        <v>שוטף</v>
      </c>
      <c r="L551" t="s" s="134">
        <v>741</v>
      </c>
      <c r="M551" s="136" cm="1">
        <f t="array" ref="M551">IF(L551="מאושר",IF(K551="הכנסה שסווגה מחדש",0,G551),0)</f>
        <v>197</v>
      </c>
      <c r="N551" s="136" cm="1">
        <f t="array" ref="N551">IF(K551="שוטף",M551,0)</f>
        <v>197</v>
      </c>
      <c r="O551" s="136" cm="1">
        <f t="array" ref="O551">IF(K551="הכנסה שסווגה מחדש",-G551,0)</f>
        <v>0</v>
      </c>
      <c r="P551" t="s" s="80">
        <v>770</v>
      </c>
      <c r="Q551" s="100"/>
      <c r="R551" t="s" s="137">
        <v>743</v>
      </c>
      <c r="S551" s="77"/>
    </row>
    <row r="552" ht="13.65" customHeight="1">
      <c r="A552" s="84">
        <v>45809</v>
      </c>
      <c r="B552" t="s" s="85">
        <v>49</v>
      </c>
      <c r="C552" t="s" s="86">
        <v>805</v>
      </c>
      <c r="D552" s="138">
        <v>73</v>
      </c>
      <c r="E552" t="s" s="85">
        <v>791</v>
      </c>
      <c r="F552" t="s" s="86">
        <v>231</v>
      </c>
      <c r="G552" s="139">
        <v>48</v>
      </c>
      <c r="H552" t="s" s="140">
        <v>113</v>
      </c>
      <c r="I552" t="s" s="141">
        <v>113</v>
      </c>
      <c r="J552" t="s" s="141">
        <v>97</v>
      </c>
      <c r="K552" t="str" s="142" cm="1">
        <f t="array" ref="K552">IF(OR(H552="ריביות",AND(H552="דירה כצנלסון",G552&lt;0,ISNUMBER(SEARCH("הכנסה",F552)))),"הכנסה שסווגה מחדש",J552)</f>
        <v>שוטף</v>
      </c>
      <c r="L552" t="s" s="141">
        <v>741</v>
      </c>
      <c r="M552" s="143" cm="1">
        <f t="array" ref="M552">IF(L552="מאושר",IF(K552="הכנסה שסווגה מחדש",0,G552),0)</f>
        <v>48</v>
      </c>
      <c r="N552" s="143" cm="1">
        <f t="array" ref="N552">IF(K552="שוטף",M552,0)</f>
        <v>48</v>
      </c>
      <c r="O552" s="143" cm="1">
        <f t="array" ref="O552">IF(K552="הכנסה שסווגה מחדש",-G552,0)</f>
        <v>0</v>
      </c>
      <c r="P552" t="s" s="86">
        <v>770</v>
      </c>
      <c r="Q552" s="99"/>
      <c r="R552" t="s" s="144">
        <v>743</v>
      </c>
      <c r="S552" s="77"/>
    </row>
    <row r="553" ht="13.65" customHeight="1">
      <c r="A553" s="78">
        <v>45809</v>
      </c>
      <c r="B553" t="s" s="79">
        <v>49</v>
      </c>
      <c r="C553" t="s" s="80">
        <v>805</v>
      </c>
      <c r="D553" s="131">
        <v>74</v>
      </c>
      <c r="E553" t="s" s="79">
        <v>755</v>
      </c>
      <c r="F553" t="s" s="80">
        <v>267</v>
      </c>
      <c r="G553" s="132">
        <v>26</v>
      </c>
      <c r="H553" t="s" s="133">
        <v>109</v>
      </c>
      <c r="I553" t="s" s="134">
        <v>109</v>
      </c>
      <c r="J553" t="s" s="134">
        <v>97</v>
      </c>
      <c r="K553" t="str" s="135" cm="1">
        <f t="array" ref="K553">IF(OR(H553="ריביות",AND(H553="דירה כצנלסון",G553&lt;0,ISNUMBER(SEARCH("הכנסה",F553)))),"הכנסה שסווגה מחדש",J553)</f>
        <v>שוטף</v>
      </c>
      <c r="L553" t="s" s="134">
        <v>741</v>
      </c>
      <c r="M553" s="136" cm="1">
        <f t="array" ref="M553">IF(L553="מאושר",IF(K553="הכנסה שסווגה מחדש",0,G553),0)</f>
        <v>26</v>
      </c>
      <c r="N553" s="136" cm="1">
        <f t="array" ref="N553">IF(K553="שוטף",M553,0)</f>
        <v>26</v>
      </c>
      <c r="O553" s="136" cm="1">
        <f t="array" ref="O553">IF(K553="הכנסה שסווגה מחדש",-G553,0)</f>
        <v>0</v>
      </c>
      <c r="P553" t="s" s="80">
        <v>770</v>
      </c>
      <c r="Q553" s="100"/>
      <c r="R553" t="s" s="137">
        <v>743</v>
      </c>
      <c r="S553" s="77"/>
    </row>
    <row r="554" ht="13.65" customHeight="1">
      <c r="A554" s="84">
        <v>45809</v>
      </c>
      <c r="B554" t="s" s="85">
        <v>49</v>
      </c>
      <c r="C554" t="s" s="86">
        <v>805</v>
      </c>
      <c r="D554" s="138">
        <v>75</v>
      </c>
      <c r="E554" t="s" s="85">
        <v>765</v>
      </c>
      <c r="F554" t="s" s="86">
        <v>209</v>
      </c>
      <c r="G554" s="139">
        <v>204</v>
      </c>
      <c r="H554" t="s" s="140">
        <v>113</v>
      </c>
      <c r="I554" t="s" s="141">
        <v>113</v>
      </c>
      <c r="J554" t="s" s="141">
        <v>97</v>
      </c>
      <c r="K554" t="str" s="142" cm="1">
        <f t="array" ref="K554">IF(OR(H554="ריביות",AND(H554="דירה כצנלסון",G554&lt;0,ISNUMBER(SEARCH("הכנסה",F554)))),"הכנסה שסווגה מחדש",J554)</f>
        <v>שוטף</v>
      </c>
      <c r="L554" t="s" s="141">
        <v>741</v>
      </c>
      <c r="M554" s="143" cm="1">
        <f t="array" ref="M554">IF(L554="מאושר",IF(K554="הכנסה שסווגה מחדש",0,G554),0)</f>
        <v>204</v>
      </c>
      <c r="N554" s="143" cm="1">
        <f t="array" ref="N554">IF(K554="שוטף",M554,0)</f>
        <v>204</v>
      </c>
      <c r="O554" s="143" cm="1">
        <f t="array" ref="O554">IF(K554="הכנסה שסווגה מחדש",-G554,0)</f>
        <v>0</v>
      </c>
      <c r="P554" t="s" s="86">
        <v>770</v>
      </c>
      <c r="Q554" s="99"/>
      <c r="R554" t="s" s="144">
        <v>743</v>
      </c>
      <c r="S554" s="77"/>
    </row>
    <row r="555" ht="13.65" customHeight="1">
      <c r="A555" s="78">
        <v>45809</v>
      </c>
      <c r="B555" t="s" s="79">
        <v>49</v>
      </c>
      <c r="C555" t="s" s="80">
        <v>805</v>
      </c>
      <c r="D555" s="131">
        <v>76</v>
      </c>
      <c r="E555" t="s" s="79">
        <v>759</v>
      </c>
      <c r="F555" t="s" s="80">
        <v>329</v>
      </c>
      <c r="G555" s="132">
        <v>70</v>
      </c>
      <c r="H555" t="s" s="133">
        <v>127</v>
      </c>
      <c r="I555" t="s" s="134">
        <v>127</v>
      </c>
      <c r="J555" t="s" s="134">
        <v>97</v>
      </c>
      <c r="K555" t="str" s="135" cm="1">
        <f t="array" ref="K555">IF(OR(H555="ריביות",AND(H555="דירה כצנלסון",G555&lt;0,ISNUMBER(SEARCH("הכנסה",F555)))),"הכנסה שסווגה מחדש",J555)</f>
        <v>שוטף</v>
      </c>
      <c r="L555" t="s" s="134">
        <v>741</v>
      </c>
      <c r="M555" s="136" cm="1">
        <f t="array" ref="M555">IF(L555="מאושר",IF(K555="הכנסה שסווגה מחדש",0,G555),0)</f>
        <v>70</v>
      </c>
      <c r="N555" s="136" cm="1">
        <f t="array" ref="N555">IF(K555="שוטף",M555,0)</f>
        <v>70</v>
      </c>
      <c r="O555" s="136" cm="1">
        <f t="array" ref="O555">IF(K555="הכנסה שסווגה מחדש",-G555,0)</f>
        <v>0</v>
      </c>
      <c r="P555" t="s" s="80">
        <v>770</v>
      </c>
      <c r="Q555" s="100"/>
      <c r="R555" t="s" s="137">
        <v>743</v>
      </c>
      <c r="S555" s="77"/>
    </row>
    <row r="556" ht="13.65" customHeight="1">
      <c r="A556" s="84">
        <v>45809</v>
      </c>
      <c r="B556" t="s" s="85">
        <v>49</v>
      </c>
      <c r="C556" t="s" s="86">
        <v>805</v>
      </c>
      <c r="D556" s="138">
        <v>77</v>
      </c>
      <c r="E556" t="s" s="85">
        <v>759</v>
      </c>
      <c r="F556" t="s" s="86">
        <v>314</v>
      </c>
      <c r="G556" s="139">
        <v>11</v>
      </c>
      <c r="H556" t="s" s="140">
        <v>117</v>
      </c>
      <c r="I556" t="s" s="141">
        <v>117</v>
      </c>
      <c r="J556" t="s" s="141">
        <v>97</v>
      </c>
      <c r="K556" t="str" s="142" cm="1">
        <f t="array" ref="K556">IF(OR(H556="ריביות",AND(H556="דירה כצנלסון",G556&lt;0,ISNUMBER(SEARCH("הכנסה",F556)))),"הכנסה שסווגה מחדש",J556)</f>
        <v>שוטף</v>
      </c>
      <c r="L556" t="s" s="141">
        <v>741</v>
      </c>
      <c r="M556" s="143" cm="1">
        <f t="array" ref="M556">IF(L556="מאושר",IF(K556="הכנסה שסווגה מחדש",0,G556),0)</f>
        <v>11</v>
      </c>
      <c r="N556" s="143" cm="1">
        <f t="array" ref="N556">IF(K556="שוטף",M556,0)</f>
        <v>11</v>
      </c>
      <c r="O556" s="143" cm="1">
        <f t="array" ref="O556">IF(K556="הכנסה שסווגה מחדש",-G556,0)</f>
        <v>0</v>
      </c>
      <c r="P556" t="s" s="86">
        <v>770</v>
      </c>
      <c r="Q556" s="99"/>
      <c r="R556" t="s" s="144">
        <v>743</v>
      </c>
      <c r="S556" s="77"/>
    </row>
    <row r="557" ht="13.65" customHeight="1">
      <c r="A557" s="78">
        <v>45809</v>
      </c>
      <c r="B557" t="s" s="79">
        <v>49</v>
      </c>
      <c r="C557" t="s" s="80">
        <v>805</v>
      </c>
      <c r="D557" s="131">
        <v>78</v>
      </c>
      <c r="E557" t="s" s="79">
        <v>759</v>
      </c>
      <c r="F557" t="s" s="80">
        <v>200</v>
      </c>
      <c r="G557" s="132">
        <v>10</v>
      </c>
      <c r="H557" t="s" s="133">
        <v>109</v>
      </c>
      <c r="I557" t="s" s="134">
        <v>109</v>
      </c>
      <c r="J557" t="s" s="134">
        <v>97</v>
      </c>
      <c r="K557" t="str" s="135" cm="1">
        <f t="array" ref="K557">IF(OR(H557="ריביות",AND(H557="דירה כצנלסון",G557&lt;0,ISNUMBER(SEARCH("הכנסה",F557)))),"הכנסה שסווגה מחדש",J557)</f>
        <v>שוטף</v>
      </c>
      <c r="L557" t="s" s="134">
        <v>741</v>
      </c>
      <c r="M557" s="136" cm="1">
        <f t="array" ref="M557">IF(L557="מאושר",IF(K557="הכנסה שסווגה מחדש",0,G557),0)</f>
        <v>10</v>
      </c>
      <c r="N557" s="136" cm="1">
        <f t="array" ref="N557">IF(K557="שוטף",M557,0)</f>
        <v>10</v>
      </c>
      <c r="O557" s="136" cm="1">
        <f t="array" ref="O557">IF(K557="הכנסה שסווגה מחדש",-G557,0)</f>
        <v>0</v>
      </c>
      <c r="P557" t="s" s="80">
        <v>770</v>
      </c>
      <c r="Q557" s="100"/>
      <c r="R557" t="s" s="137">
        <v>743</v>
      </c>
      <c r="S557" s="77"/>
    </row>
    <row r="558" ht="13.65" customHeight="1">
      <c r="A558" s="84">
        <v>45809</v>
      </c>
      <c r="B558" t="s" s="85">
        <v>49</v>
      </c>
      <c r="C558" t="s" s="86">
        <v>805</v>
      </c>
      <c r="D558" s="138">
        <v>79</v>
      </c>
      <c r="E558" t="s" s="85">
        <v>764</v>
      </c>
      <c r="F558" t="s" s="86">
        <v>434</v>
      </c>
      <c r="G558" s="139">
        <v>25</v>
      </c>
      <c r="H558" t="s" s="140">
        <v>111</v>
      </c>
      <c r="I558" t="s" s="141">
        <v>111</v>
      </c>
      <c r="J558" t="s" s="141">
        <v>97</v>
      </c>
      <c r="K558" t="str" s="142" cm="1">
        <f t="array" ref="K558">IF(OR(H558="ריביות",AND(H558="דירה כצנלסון",G558&lt;0,ISNUMBER(SEARCH("הכנסה",F558)))),"הכנסה שסווגה מחדש",J558)</f>
        <v>שוטף</v>
      </c>
      <c r="L558" t="s" s="141">
        <v>741</v>
      </c>
      <c r="M558" s="143" cm="1">
        <f t="array" ref="M558">IF(L558="מאושר",IF(K558="הכנסה שסווגה מחדש",0,G558),0)</f>
        <v>25</v>
      </c>
      <c r="N558" s="143" cm="1">
        <f t="array" ref="N558">IF(K558="שוטף",M558,0)</f>
        <v>25</v>
      </c>
      <c r="O558" s="143" cm="1">
        <f t="array" ref="O558">IF(K558="הכנסה שסווגה מחדש",-G558,0)</f>
        <v>0</v>
      </c>
      <c r="P558" t="s" s="86">
        <v>770</v>
      </c>
      <c r="Q558" s="99"/>
      <c r="R558" t="s" s="144">
        <v>743</v>
      </c>
      <c r="S558" s="77"/>
    </row>
    <row r="559" ht="13.65" customHeight="1">
      <c r="A559" s="78">
        <v>45809</v>
      </c>
      <c r="B559" t="s" s="79">
        <v>49</v>
      </c>
      <c r="C559" t="s" s="80">
        <v>805</v>
      </c>
      <c r="D559" s="131">
        <v>80</v>
      </c>
      <c r="E559" t="s" s="79">
        <v>756</v>
      </c>
      <c r="F559" t="s" s="80">
        <v>427</v>
      </c>
      <c r="G559" s="132">
        <v>240</v>
      </c>
      <c r="H559" t="s" s="133">
        <v>121</v>
      </c>
      <c r="I559" t="s" s="134">
        <v>121</v>
      </c>
      <c r="J559" t="s" s="134">
        <v>97</v>
      </c>
      <c r="K559" t="str" s="135" cm="1">
        <f t="array" ref="K559">IF(OR(H559="ריביות",AND(H559="דירה כצנלסון",G559&lt;0,ISNUMBER(SEARCH("הכנסה",F559)))),"הכנסה שסווגה מחדש",J559)</f>
        <v>שוטף</v>
      </c>
      <c r="L559" t="s" s="134">
        <v>741</v>
      </c>
      <c r="M559" s="136" cm="1">
        <f t="array" ref="M559">IF(L559="מאושר",IF(K559="הכנסה שסווגה מחדש",0,G559),0)</f>
        <v>240</v>
      </c>
      <c r="N559" s="136" cm="1">
        <f t="array" ref="N559">IF(K559="שוטף",M559,0)</f>
        <v>240</v>
      </c>
      <c r="O559" s="136" cm="1">
        <f t="array" ref="O559">IF(K559="הכנסה שסווגה מחדש",-G559,0)</f>
        <v>0</v>
      </c>
      <c r="P559" t="s" s="80">
        <v>770</v>
      </c>
      <c r="Q559" s="100"/>
      <c r="R559" t="s" s="137">
        <v>743</v>
      </c>
      <c r="S559" s="77"/>
    </row>
    <row r="560" ht="13.65" customHeight="1">
      <c r="A560" s="84">
        <v>45809</v>
      </c>
      <c r="B560" t="s" s="85">
        <v>49</v>
      </c>
      <c r="C560" t="s" s="86">
        <v>805</v>
      </c>
      <c r="D560" s="138">
        <v>81</v>
      </c>
      <c r="E560" t="s" s="85">
        <v>776</v>
      </c>
      <c r="F560" t="s" s="86">
        <v>404</v>
      </c>
      <c r="G560" s="139">
        <v>283</v>
      </c>
      <c r="H560" t="s" s="140">
        <v>117</v>
      </c>
      <c r="I560" t="s" s="141">
        <v>117</v>
      </c>
      <c r="J560" t="s" s="141">
        <v>97</v>
      </c>
      <c r="K560" t="str" s="142" cm="1">
        <f t="array" ref="K560">IF(OR(H560="ריביות",AND(H560="דירה כצנלסון",G560&lt;0,ISNUMBER(SEARCH("הכנסה",F560)))),"הכנסה שסווגה מחדש",J560)</f>
        <v>שוטף</v>
      </c>
      <c r="L560" t="s" s="141">
        <v>741</v>
      </c>
      <c r="M560" s="143" cm="1">
        <f t="array" ref="M560">IF(L560="מאושר",IF(K560="הכנסה שסווגה מחדש",0,G560),0)</f>
        <v>283</v>
      </c>
      <c r="N560" s="143" cm="1">
        <f t="array" ref="N560">IF(K560="שוטף",M560,0)</f>
        <v>283</v>
      </c>
      <c r="O560" s="143" cm="1">
        <f t="array" ref="O560">IF(K560="הכנסה שסווגה מחדש",-G560,0)</f>
        <v>0</v>
      </c>
      <c r="P560" t="s" s="86">
        <v>770</v>
      </c>
      <c r="Q560" s="99"/>
      <c r="R560" t="s" s="144">
        <v>743</v>
      </c>
      <c r="S560" s="77"/>
    </row>
    <row r="561" ht="13.65" customHeight="1">
      <c r="A561" s="78">
        <v>45809</v>
      </c>
      <c r="B561" t="s" s="79">
        <v>49</v>
      </c>
      <c r="C561" t="s" s="80">
        <v>805</v>
      </c>
      <c r="D561" s="131">
        <v>82</v>
      </c>
      <c r="E561" t="s" s="79">
        <v>776</v>
      </c>
      <c r="F561" t="s" s="80">
        <v>318</v>
      </c>
      <c r="G561" s="132">
        <v>736</v>
      </c>
      <c r="H561" t="s" s="133">
        <v>109</v>
      </c>
      <c r="I561" t="s" s="134">
        <v>109</v>
      </c>
      <c r="J561" t="s" s="134">
        <v>97</v>
      </c>
      <c r="K561" t="str" s="135" cm="1">
        <f t="array" ref="K561">IF(OR(H561="ריביות",AND(H561="דירה כצנלסון",G561&lt;0,ISNUMBER(SEARCH("הכנסה",F561)))),"הכנסה שסווגה מחדש",J561)</f>
        <v>שוטף</v>
      </c>
      <c r="L561" t="s" s="134">
        <v>741</v>
      </c>
      <c r="M561" s="136" cm="1">
        <f t="array" ref="M561">IF(L561="מאושר",IF(K561="הכנסה שסווגה מחדש",0,G561),0)</f>
        <v>736</v>
      </c>
      <c r="N561" s="136" cm="1">
        <f t="array" ref="N561">IF(K561="שוטף",M561,0)</f>
        <v>736</v>
      </c>
      <c r="O561" s="136" cm="1">
        <f t="array" ref="O561">IF(K561="הכנסה שסווגה מחדש",-G561,0)</f>
        <v>0</v>
      </c>
      <c r="P561" t="s" s="80">
        <v>770</v>
      </c>
      <c r="Q561" s="100"/>
      <c r="R561" t="s" s="137">
        <v>743</v>
      </c>
      <c r="S561" s="77"/>
    </row>
    <row r="562" ht="13.65" customHeight="1">
      <c r="A562" s="84">
        <v>45809</v>
      </c>
      <c r="B562" t="s" s="85">
        <v>49</v>
      </c>
      <c r="C562" t="s" s="86">
        <v>805</v>
      </c>
      <c r="D562" s="138">
        <v>83</v>
      </c>
      <c r="E562" t="s" s="85">
        <v>776</v>
      </c>
      <c r="F562" t="s" s="86">
        <v>383</v>
      </c>
      <c r="G562" s="139">
        <v>18</v>
      </c>
      <c r="H562" t="s" s="140">
        <v>109</v>
      </c>
      <c r="I562" t="s" s="141">
        <v>109</v>
      </c>
      <c r="J562" t="s" s="141">
        <v>97</v>
      </c>
      <c r="K562" t="str" s="142" cm="1">
        <f t="array" ref="K562">IF(OR(H562="ריביות",AND(H562="דירה כצנלסון",G562&lt;0,ISNUMBER(SEARCH("הכנסה",F562)))),"הכנסה שסווגה מחדש",J562)</f>
        <v>שוטף</v>
      </c>
      <c r="L562" t="s" s="141">
        <v>741</v>
      </c>
      <c r="M562" s="143" cm="1">
        <f t="array" ref="M562">IF(L562="מאושר",IF(K562="הכנסה שסווגה מחדש",0,G562),0)</f>
        <v>18</v>
      </c>
      <c r="N562" s="143" cm="1">
        <f t="array" ref="N562">IF(K562="שוטף",M562,0)</f>
        <v>18</v>
      </c>
      <c r="O562" s="143" cm="1">
        <f t="array" ref="O562">IF(K562="הכנסה שסווגה מחדש",-G562,0)</f>
        <v>0</v>
      </c>
      <c r="P562" t="s" s="86">
        <v>770</v>
      </c>
      <c r="Q562" s="99"/>
      <c r="R562" t="s" s="144">
        <v>743</v>
      </c>
      <c r="S562" s="77"/>
    </row>
    <row r="563" ht="13.65" customHeight="1">
      <c r="A563" s="78">
        <v>45809</v>
      </c>
      <c r="B563" t="s" s="79">
        <v>49</v>
      </c>
      <c r="C563" t="s" s="80">
        <v>805</v>
      </c>
      <c r="D563" s="131">
        <v>84</v>
      </c>
      <c r="E563" t="s" s="79">
        <v>788</v>
      </c>
      <c r="F563" t="s" s="80">
        <v>209</v>
      </c>
      <c r="G563" s="132">
        <v>75</v>
      </c>
      <c r="H563" t="s" s="133">
        <v>113</v>
      </c>
      <c r="I563" t="s" s="134">
        <v>113</v>
      </c>
      <c r="J563" t="s" s="134">
        <v>97</v>
      </c>
      <c r="K563" t="str" s="135" cm="1">
        <f t="array" ref="K563">IF(OR(H563="ריביות",AND(H563="דירה כצנלסון",G563&lt;0,ISNUMBER(SEARCH("הכנסה",F563)))),"הכנסה שסווגה מחדש",J563)</f>
        <v>שוטף</v>
      </c>
      <c r="L563" t="s" s="134">
        <v>741</v>
      </c>
      <c r="M563" s="136" cm="1">
        <f t="array" ref="M563">IF(L563="מאושר",IF(K563="הכנסה שסווגה מחדש",0,G563),0)</f>
        <v>75</v>
      </c>
      <c r="N563" s="136" cm="1">
        <f t="array" ref="N563">IF(K563="שוטף",M563,0)</f>
        <v>75</v>
      </c>
      <c r="O563" s="136" cm="1">
        <f t="array" ref="O563">IF(K563="הכנסה שסווגה מחדש",-G563,0)</f>
        <v>0</v>
      </c>
      <c r="P563" t="s" s="80">
        <v>783</v>
      </c>
      <c r="Q563" s="100"/>
      <c r="R563" t="s" s="137">
        <v>743</v>
      </c>
      <c r="S563" s="77"/>
    </row>
    <row r="564" ht="13.65" customHeight="1">
      <c r="A564" s="84">
        <v>45809</v>
      </c>
      <c r="B564" t="s" s="85">
        <v>49</v>
      </c>
      <c r="C564" t="s" s="86">
        <v>805</v>
      </c>
      <c r="D564" s="138">
        <v>85</v>
      </c>
      <c r="E564" t="s" s="85">
        <v>753</v>
      </c>
      <c r="F564" t="s" s="86">
        <v>247</v>
      </c>
      <c r="G564" s="139">
        <v>2178</v>
      </c>
      <c r="H564" t="s" s="140">
        <v>133</v>
      </c>
      <c r="I564" t="s" s="141">
        <v>133</v>
      </c>
      <c r="J564" t="s" s="141">
        <v>97</v>
      </c>
      <c r="K564" t="str" s="142" cm="1">
        <f t="array" ref="K564">IF(OR(H564="ריביות",AND(H564="דירה כצנלסון",G564&lt;0,ISNUMBER(SEARCH("הכנסה",F564)))),"הכנסה שסווגה מחדש",J564)</f>
        <v>שוטף</v>
      </c>
      <c r="L564" t="s" s="141">
        <v>741</v>
      </c>
      <c r="M564" s="143" cm="1">
        <f t="array" ref="M564">IF(L564="מאושר",IF(K564="הכנסה שסווגה מחדש",0,G564),0)</f>
        <v>2178</v>
      </c>
      <c r="N564" s="143" cm="1">
        <f t="array" ref="N564">IF(K564="שוטף",M564,0)</f>
        <v>2178</v>
      </c>
      <c r="O564" s="143" cm="1">
        <f t="array" ref="O564">IF(K564="הכנסה שסווגה מחדש",-G564,0)</f>
        <v>0</v>
      </c>
      <c r="P564" t="s" s="86">
        <v>783</v>
      </c>
      <c r="Q564" s="99"/>
      <c r="R564" t="s" s="144">
        <v>743</v>
      </c>
      <c r="S564" s="77"/>
    </row>
    <row r="565" ht="13.65" customHeight="1">
      <c r="A565" s="78">
        <v>45809</v>
      </c>
      <c r="B565" t="s" s="79">
        <v>49</v>
      </c>
      <c r="C565" t="s" s="80">
        <v>805</v>
      </c>
      <c r="D565" s="131">
        <v>86</v>
      </c>
      <c r="E565" t="s" s="79">
        <v>790</v>
      </c>
      <c r="F565" t="s" s="80">
        <v>308</v>
      </c>
      <c r="G565" s="132">
        <v>27</v>
      </c>
      <c r="H565" t="s" s="133">
        <v>109</v>
      </c>
      <c r="I565" t="s" s="134">
        <v>109</v>
      </c>
      <c r="J565" t="s" s="134">
        <v>97</v>
      </c>
      <c r="K565" t="str" s="135" cm="1">
        <f t="array" ref="K565">IF(OR(H565="ריביות",AND(H565="דירה כצנלסון",G565&lt;0,ISNUMBER(SEARCH("הכנסה",F565)))),"הכנסה שסווגה מחדש",J565)</f>
        <v>שוטף</v>
      </c>
      <c r="L565" t="s" s="134">
        <v>741</v>
      </c>
      <c r="M565" s="136" cm="1">
        <f t="array" ref="M565">IF(L565="מאושר",IF(K565="הכנסה שסווגה מחדש",0,G565),0)</f>
        <v>27</v>
      </c>
      <c r="N565" s="136" cm="1">
        <f t="array" ref="N565">IF(K565="שוטף",M565,0)</f>
        <v>27</v>
      </c>
      <c r="O565" s="136" cm="1">
        <f t="array" ref="O565">IF(K565="הכנסה שסווגה מחדש",-G565,0)</f>
        <v>0</v>
      </c>
      <c r="P565" t="s" s="80">
        <v>783</v>
      </c>
      <c r="Q565" s="100"/>
      <c r="R565" t="s" s="137">
        <v>743</v>
      </c>
      <c r="S565" s="77"/>
    </row>
    <row r="566" ht="13.65" customHeight="1">
      <c r="A566" s="84">
        <v>45809</v>
      </c>
      <c r="B566" t="s" s="85">
        <v>49</v>
      </c>
      <c r="C566" t="s" s="86">
        <v>805</v>
      </c>
      <c r="D566" s="138">
        <v>87</v>
      </c>
      <c r="E566" t="s" s="85">
        <v>774</v>
      </c>
      <c r="F566" t="s" s="86">
        <v>606</v>
      </c>
      <c r="G566" s="139">
        <v>51</v>
      </c>
      <c r="H566" t="s" s="140">
        <v>109</v>
      </c>
      <c r="I566" t="s" s="141">
        <v>109</v>
      </c>
      <c r="J566" t="s" s="141">
        <v>97</v>
      </c>
      <c r="K566" t="str" s="142" cm="1">
        <f t="array" ref="K566">IF(OR(H566="ריביות",AND(H566="דירה כצנלסון",G566&lt;0,ISNUMBER(SEARCH("הכנסה",F566)))),"הכנסה שסווגה מחדש",J566)</f>
        <v>שוטף</v>
      </c>
      <c r="L566" t="s" s="141">
        <v>741</v>
      </c>
      <c r="M566" s="143" cm="1">
        <f t="array" ref="M566">IF(L566="מאושר",IF(K566="הכנסה שסווגה מחדש",0,G566),0)</f>
        <v>51</v>
      </c>
      <c r="N566" s="143" cm="1">
        <f t="array" ref="N566">IF(K566="שוטף",M566,0)</f>
        <v>51</v>
      </c>
      <c r="O566" s="143" cm="1">
        <f t="array" ref="O566">IF(K566="הכנסה שסווגה מחדש",-G566,0)</f>
        <v>0</v>
      </c>
      <c r="P566" t="s" s="86">
        <v>783</v>
      </c>
      <c r="Q566" s="99"/>
      <c r="R566" t="s" s="144">
        <v>743</v>
      </c>
      <c r="S566" s="77"/>
    </row>
    <row r="567" ht="13.65" customHeight="1">
      <c r="A567" s="78">
        <v>45809</v>
      </c>
      <c r="B567" t="s" s="79">
        <v>49</v>
      </c>
      <c r="C567" t="s" s="80">
        <v>805</v>
      </c>
      <c r="D567" s="131">
        <v>88</v>
      </c>
      <c r="E567" t="s" s="79">
        <v>759</v>
      </c>
      <c r="F567" t="s" s="80">
        <v>510</v>
      </c>
      <c r="G567" s="132">
        <v>110</v>
      </c>
      <c r="H567" t="s" s="133">
        <v>121</v>
      </c>
      <c r="I567" t="s" s="134">
        <v>121</v>
      </c>
      <c r="J567" t="s" s="134">
        <v>97</v>
      </c>
      <c r="K567" t="str" s="135" cm="1">
        <f t="array" ref="K567">IF(OR(H567="ריביות",AND(H567="דירה כצנלסון",G567&lt;0,ISNUMBER(SEARCH("הכנסה",F567)))),"הכנסה שסווגה מחדש",J567)</f>
        <v>שוטף</v>
      </c>
      <c r="L567" t="s" s="134">
        <v>741</v>
      </c>
      <c r="M567" s="136" cm="1">
        <f t="array" ref="M567">IF(L567="מאושר",IF(K567="הכנסה שסווגה מחדש",0,G567),0)</f>
        <v>110</v>
      </c>
      <c r="N567" s="136" cm="1">
        <f t="array" ref="N567">IF(K567="שוטף",M567,0)</f>
        <v>110</v>
      </c>
      <c r="O567" s="136" cm="1">
        <f t="array" ref="O567">IF(K567="הכנסה שסווגה מחדש",-G567,0)</f>
        <v>0</v>
      </c>
      <c r="P567" t="s" s="80">
        <v>783</v>
      </c>
      <c r="Q567" s="100"/>
      <c r="R567" t="s" s="137">
        <v>743</v>
      </c>
      <c r="S567" s="77"/>
    </row>
    <row r="568" ht="13.65" customHeight="1">
      <c r="A568" s="84">
        <v>45809</v>
      </c>
      <c r="B568" t="s" s="85">
        <v>49</v>
      </c>
      <c r="C568" t="s" s="86">
        <v>805</v>
      </c>
      <c r="D568" s="138">
        <v>89</v>
      </c>
      <c r="E568" t="s" s="85">
        <v>775</v>
      </c>
      <c r="F568" t="s" s="86">
        <v>250</v>
      </c>
      <c r="G568" s="139">
        <v>120</v>
      </c>
      <c r="H568" t="s" s="140">
        <v>127</v>
      </c>
      <c r="I568" t="s" s="141">
        <v>127</v>
      </c>
      <c r="J568" t="s" s="141">
        <v>97</v>
      </c>
      <c r="K568" t="str" s="142" cm="1">
        <f t="array" ref="K568">IF(OR(H568="ריביות",AND(H568="דירה כצנלסון",G568&lt;0,ISNUMBER(SEARCH("הכנסה",F568)))),"הכנסה שסווגה מחדש",J568)</f>
        <v>שוטף</v>
      </c>
      <c r="L568" t="s" s="141">
        <v>741</v>
      </c>
      <c r="M568" s="143" cm="1">
        <f t="array" ref="M568">IF(L568="מאושר",IF(K568="הכנסה שסווגה מחדש",0,G568),0)</f>
        <v>120</v>
      </c>
      <c r="N568" s="143" cm="1">
        <f t="array" ref="N568">IF(K568="שוטף",M568,0)</f>
        <v>120</v>
      </c>
      <c r="O568" s="143" cm="1">
        <f t="array" ref="O568">IF(K568="הכנסה שסווגה מחדש",-G568,0)</f>
        <v>0</v>
      </c>
      <c r="P568" t="s" s="86">
        <v>783</v>
      </c>
      <c r="Q568" s="99"/>
      <c r="R568" t="s" s="144">
        <v>743</v>
      </c>
      <c r="S568" s="77"/>
    </row>
    <row r="569" ht="13.65" customHeight="1">
      <c r="A569" s="78">
        <v>45809</v>
      </c>
      <c r="B569" t="s" s="79">
        <v>49</v>
      </c>
      <c r="C569" t="s" s="80">
        <v>805</v>
      </c>
      <c r="D569" s="131">
        <v>90</v>
      </c>
      <c r="E569" t="s" s="79">
        <v>739</v>
      </c>
      <c r="F569" t="s" s="80">
        <v>349</v>
      </c>
      <c r="G569" s="132">
        <v>48</v>
      </c>
      <c r="H569" t="s" s="133">
        <v>113</v>
      </c>
      <c r="I569" t="s" s="134">
        <v>113</v>
      </c>
      <c r="J569" t="s" s="134">
        <v>97</v>
      </c>
      <c r="K569" t="str" s="135" cm="1">
        <f t="array" ref="K569">IF(OR(H569="ריביות",AND(H569="דירה כצנלסון",G569&lt;0,ISNUMBER(SEARCH("הכנסה",F569)))),"הכנסה שסווגה מחדש",J569)</f>
        <v>שוטף</v>
      </c>
      <c r="L569" t="s" s="134">
        <v>741</v>
      </c>
      <c r="M569" s="136" cm="1">
        <f t="array" ref="M569">IF(L569="מאושר",IF(K569="הכנסה שסווגה מחדש",0,G569),0)</f>
        <v>48</v>
      </c>
      <c r="N569" s="136" cm="1">
        <f t="array" ref="N569">IF(K569="שוטף",M569,0)</f>
        <v>48</v>
      </c>
      <c r="O569" s="136" cm="1">
        <f t="array" ref="O569">IF(K569="הכנסה שסווגה מחדש",-G569,0)</f>
        <v>0</v>
      </c>
      <c r="P569" t="s" s="80">
        <v>782</v>
      </c>
      <c r="Q569" s="100"/>
      <c r="R569" t="s" s="137">
        <v>743</v>
      </c>
      <c r="S569" s="77"/>
    </row>
    <row r="570" ht="13.65" customHeight="1">
      <c r="A570" s="84">
        <v>45809</v>
      </c>
      <c r="B570" t="s" s="85">
        <v>49</v>
      </c>
      <c r="C570" t="s" s="86">
        <v>805</v>
      </c>
      <c r="D570" s="138">
        <v>91</v>
      </c>
      <c r="E570" t="s" s="85">
        <v>772</v>
      </c>
      <c r="F570" t="s" s="86">
        <v>267</v>
      </c>
      <c r="G570" s="139">
        <v>15</v>
      </c>
      <c r="H570" t="s" s="140">
        <v>109</v>
      </c>
      <c r="I570" t="s" s="141">
        <v>109</v>
      </c>
      <c r="J570" t="s" s="141">
        <v>97</v>
      </c>
      <c r="K570" t="str" s="142" cm="1">
        <f t="array" ref="K570">IF(OR(H570="ריביות",AND(H570="דירה כצנלסון",G570&lt;0,ISNUMBER(SEARCH("הכנסה",F570)))),"הכנסה שסווגה מחדש",J570)</f>
        <v>שוטף</v>
      </c>
      <c r="L570" t="s" s="141">
        <v>741</v>
      </c>
      <c r="M570" s="143" cm="1">
        <f t="array" ref="M570">IF(L570="מאושר",IF(K570="הכנסה שסווגה מחדש",0,G570),0)</f>
        <v>15</v>
      </c>
      <c r="N570" s="143" cm="1">
        <f t="array" ref="N570">IF(K570="שוטף",M570,0)</f>
        <v>15</v>
      </c>
      <c r="O570" s="143" cm="1">
        <f t="array" ref="O570">IF(K570="הכנסה שסווגה מחדש",-G570,0)</f>
        <v>0</v>
      </c>
      <c r="P570" t="s" s="86">
        <v>782</v>
      </c>
      <c r="Q570" s="99"/>
      <c r="R570" t="s" s="144">
        <v>743</v>
      </c>
      <c r="S570" s="77"/>
    </row>
    <row r="571" ht="13.65" customHeight="1">
      <c r="A571" s="78">
        <v>45809</v>
      </c>
      <c r="B571" t="s" s="79">
        <v>49</v>
      </c>
      <c r="C571" t="s" s="80">
        <v>805</v>
      </c>
      <c r="D571" s="131">
        <v>92</v>
      </c>
      <c r="E571" t="s" s="79">
        <v>754</v>
      </c>
      <c r="F571" t="s" s="80">
        <v>200</v>
      </c>
      <c r="G571" s="132">
        <v>54</v>
      </c>
      <c r="H571" t="s" s="133">
        <v>109</v>
      </c>
      <c r="I571" t="s" s="134">
        <v>109</v>
      </c>
      <c r="J571" t="s" s="134">
        <v>97</v>
      </c>
      <c r="K571" t="str" s="135" cm="1">
        <f t="array" ref="K571">IF(OR(H571="ריביות",AND(H571="דירה כצנלסון",G571&lt;0,ISNUMBER(SEARCH("הכנסה",F571)))),"הכנסה שסווגה מחדש",J571)</f>
        <v>שוטף</v>
      </c>
      <c r="L571" t="s" s="134">
        <v>741</v>
      </c>
      <c r="M571" s="136" cm="1">
        <f t="array" ref="M571">IF(L571="מאושר",IF(K571="הכנסה שסווגה מחדש",0,G571),0)</f>
        <v>54</v>
      </c>
      <c r="N571" s="136" cm="1">
        <f t="array" ref="N571">IF(K571="שוטף",M571,0)</f>
        <v>54</v>
      </c>
      <c r="O571" s="136" cm="1">
        <f t="array" ref="O571">IF(K571="הכנסה שסווגה מחדש",-G571,0)</f>
        <v>0</v>
      </c>
      <c r="P571" t="s" s="80">
        <v>782</v>
      </c>
      <c r="Q571" s="100"/>
      <c r="R571" t="s" s="137">
        <v>743</v>
      </c>
      <c r="S571" s="77"/>
    </row>
    <row r="572" ht="13.65" customHeight="1">
      <c r="A572" s="84">
        <v>45809</v>
      </c>
      <c r="B572" t="s" s="85">
        <v>49</v>
      </c>
      <c r="C572" t="s" s="86">
        <v>805</v>
      </c>
      <c r="D572" s="138">
        <v>93</v>
      </c>
      <c r="E572" t="s" s="85">
        <v>790</v>
      </c>
      <c r="F572" t="s" s="86">
        <v>334</v>
      </c>
      <c r="G572" s="139">
        <v>4</v>
      </c>
      <c r="H572" t="s" s="140">
        <v>109</v>
      </c>
      <c r="I572" t="s" s="141">
        <v>109</v>
      </c>
      <c r="J572" t="s" s="141">
        <v>97</v>
      </c>
      <c r="K572" t="str" s="142" cm="1">
        <f t="array" ref="K572">IF(OR(H572="ריביות",AND(H572="דירה כצנלסון",G572&lt;0,ISNUMBER(SEARCH("הכנסה",F572)))),"הכנסה שסווגה מחדש",J572)</f>
        <v>שוטף</v>
      </c>
      <c r="L572" t="s" s="141">
        <v>741</v>
      </c>
      <c r="M572" s="143" cm="1">
        <f t="array" ref="M572">IF(L572="מאושר",IF(K572="הכנסה שסווגה מחדש",0,G572),0)</f>
        <v>4</v>
      </c>
      <c r="N572" s="143" cm="1">
        <f t="array" ref="N572">IF(K572="שוטף",M572,0)</f>
        <v>4</v>
      </c>
      <c r="O572" s="143" cm="1">
        <f t="array" ref="O572">IF(K572="הכנסה שסווגה מחדש",-G572,0)</f>
        <v>0</v>
      </c>
      <c r="P572" t="s" s="86">
        <v>782</v>
      </c>
      <c r="Q572" s="99"/>
      <c r="R572" t="s" s="144">
        <v>743</v>
      </c>
      <c r="S572" s="77"/>
    </row>
    <row r="573" ht="13.65" customHeight="1">
      <c r="A573" s="78">
        <v>45809</v>
      </c>
      <c r="B573" t="s" s="79">
        <v>49</v>
      </c>
      <c r="C573" t="s" s="80">
        <v>805</v>
      </c>
      <c r="D573" s="131">
        <v>94</v>
      </c>
      <c r="E573" t="s" s="79">
        <v>790</v>
      </c>
      <c r="F573" t="s" s="80">
        <v>334</v>
      </c>
      <c r="G573" s="132">
        <v>10</v>
      </c>
      <c r="H573" t="s" s="133">
        <v>109</v>
      </c>
      <c r="I573" t="s" s="134">
        <v>109</v>
      </c>
      <c r="J573" t="s" s="134">
        <v>97</v>
      </c>
      <c r="K573" t="str" s="135" cm="1">
        <f t="array" ref="K573">IF(OR(H573="ריביות",AND(H573="דירה כצנלסון",G573&lt;0,ISNUMBER(SEARCH("הכנסה",F573)))),"הכנסה שסווגה מחדש",J573)</f>
        <v>שוטף</v>
      </c>
      <c r="L573" t="s" s="134">
        <v>741</v>
      </c>
      <c r="M573" s="136" cm="1">
        <f t="array" ref="M573">IF(L573="מאושר",IF(K573="הכנסה שסווגה מחדש",0,G573),0)</f>
        <v>10</v>
      </c>
      <c r="N573" s="136" cm="1">
        <f t="array" ref="N573">IF(K573="שוטף",M573,0)</f>
        <v>10</v>
      </c>
      <c r="O573" s="136" cm="1">
        <f t="array" ref="O573">IF(K573="הכנסה שסווגה מחדש",-G573,0)</f>
        <v>0</v>
      </c>
      <c r="P573" t="s" s="80">
        <v>782</v>
      </c>
      <c r="Q573" s="100"/>
      <c r="R573" t="s" s="137">
        <v>743</v>
      </c>
      <c r="S573" s="77"/>
    </row>
    <row r="574" ht="13.65" customHeight="1">
      <c r="A574" s="84">
        <v>45809</v>
      </c>
      <c r="B574" t="s" s="85">
        <v>49</v>
      </c>
      <c r="C574" t="s" s="86">
        <v>805</v>
      </c>
      <c r="D574" s="138">
        <v>95</v>
      </c>
      <c r="E574" t="s" s="85">
        <v>761</v>
      </c>
      <c r="F574" t="s" s="86">
        <v>349</v>
      </c>
      <c r="G574" s="139">
        <v>83</v>
      </c>
      <c r="H574" t="s" s="140">
        <v>113</v>
      </c>
      <c r="I574" t="s" s="141">
        <v>113</v>
      </c>
      <c r="J574" t="s" s="141">
        <v>97</v>
      </c>
      <c r="K574" t="str" s="142" cm="1">
        <f t="array" ref="K574">IF(OR(H574="ריביות",AND(H574="דירה כצנלסון",G574&lt;0,ISNUMBER(SEARCH("הכנסה",F574)))),"הכנסה שסווגה מחדש",J574)</f>
        <v>שוטף</v>
      </c>
      <c r="L574" t="s" s="141">
        <v>741</v>
      </c>
      <c r="M574" s="143" cm="1">
        <f t="array" ref="M574">IF(L574="מאושר",IF(K574="הכנסה שסווגה מחדש",0,G574),0)</f>
        <v>83</v>
      </c>
      <c r="N574" s="143" cm="1">
        <f t="array" ref="N574">IF(K574="שוטף",M574,0)</f>
        <v>83</v>
      </c>
      <c r="O574" s="143" cm="1">
        <f t="array" ref="O574">IF(K574="הכנסה שסווגה מחדש",-G574,0)</f>
        <v>0</v>
      </c>
      <c r="P574" t="s" s="86">
        <v>782</v>
      </c>
      <c r="Q574" s="99"/>
      <c r="R574" t="s" s="144">
        <v>743</v>
      </c>
      <c r="S574" s="77"/>
    </row>
    <row r="575" ht="13.65" customHeight="1">
      <c r="A575" s="78">
        <v>45809</v>
      </c>
      <c r="B575" t="s" s="79">
        <v>49</v>
      </c>
      <c r="C575" t="s" s="80">
        <v>805</v>
      </c>
      <c r="D575" s="131">
        <v>96</v>
      </c>
      <c r="E575" t="s" s="79">
        <v>744</v>
      </c>
      <c r="F575" t="s" s="80">
        <v>308</v>
      </c>
      <c r="G575" s="132">
        <v>16</v>
      </c>
      <c r="H575" t="s" s="133">
        <v>113</v>
      </c>
      <c r="I575" t="s" s="134">
        <v>113</v>
      </c>
      <c r="J575" t="s" s="134">
        <v>97</v>
      </c>
      <c r="K575" t="str" s="135" cm="1">
        <f t="array" ref="K575">IF(OR(H575="ריביות",AND(H575="דירה כצנלסון",G575&lt;0,ISNUMBER(SEARCH("הכנסה",F575)))),"הכנסה שסווגה מחדש",J575)</f>
        <v>שוטף</v>
      </c>
      <c r="L575" t="s" s="134">
        <v>741</v>
      </c>
      <c r="M575" s="136" cm="1">
        <f t="array" ref="M575">IF(L575="מאושר",IF(K575="הכנסה שסווגה מחדש",0,G575),0)</f>
        <v>16</v>
      </c>
      <c r="N575" s="136" cm="1">
        <f t="array" ref="N575">IF(K575="שוטף",M575,0)</f>
        <v>16</v>
      </c>
      <c r="O575" s="136" cm="1">
        <f t="array" ref="O575">IF(K575="הכנסה שסווגה מחדש",-G575,0)</f>
        <v>0</v>
      </c>
      <c r="P575" t="s" s="80">
        <v>782</v>
      </c>
      <c r="Q575" s="100"/>
      <c r="R575" t="s" s="137">
        <v>743</v>
      </c>
      <c r="S575" s="77"/>
    </row>
    <row r="576" ht="13.65" customHeight="1">
      <c r="A576" s="84">
        <v>45809</v>
      </c>
      <c r="B576" t="s" s="85">
        <v>49</v>
      </c>
      <c r="C576" t="s" s="86">
        <v>805</v>
      </c>
      <c r="D576" s="138">
        <v>97</v>
      </c>
      <c r="E576" t="s" s="85">
        <v>744</v>
      </c>
      <c r="F576" t="s" s="86">
        <v>334</v>
      </c>
      <c r="G576" s="139">
        <v>16</v>
      </c>
      <c r="H576" t="s" s="140">
        <v>109</v>
      </c>
      <c r="I576" t="s" s="141">
        <v>109</v>
      </c>
      <c r="J576" t="s" s="141">
        <v>97</v>
      </c>
      <c r="K576" t="str" s="142" cm="1">
        <f t="array" ref="K576">IF(OR(H576="ריביות",AND(H576="דירה כצנלסון",G576&lt;0,ISNUMBER(SEARCH("הכנסה",F576)))),"הכנסה שסווגה מחדש",J576)</f>
        <v>שוטף</v>
      </c>
      <c r="L576" t="s" s="141">
        <v>741</v>
      </c>
      <c r="M576" s="143" cm="1">
        <f t="array" ref="M576">IF(L576="מאושר",IF(K576="הכנסה שסווגה מחדש",0,G576),0)</f>
        <v>16</v>
      </c>
      <c r="N576" s="143" cm="1">
        <f t="array" ref="N576">IF(K576="שוטף",M576,0)</f>
        <v>16</v>
      </c>
      <c r="O576" s="143" cm="1">
        <f t="array" ref="O576">IF(K576="הכנסה שסווגה מחדש",-G576,0)</f>
        <v>0</v>
      </c>
      <c r="P576" t="s" s="86">
        <v>782</v>
      </c>
      <c r="Q576" s="99"/>
      <c r="R576" t="s" s="144">
        <v>743</v>
      </c>
      <c r="S576" s="77"/>
    </row>
    <row r="577" ht="13.65" customHeight="1">
      <c r="A577" s="78">
        <v>45809</v>
      </c>
      <c r="B577" t="s" s="79">
        <v>49</v>
      </c>
      <c r="C577" t="s" s="80">
        <v>805</v>
      </c>
      <c r="D577" s="131">
        <v>98</v>
      </c>
      <c r="E577" t="s" s="79">
        <v>744</v>
      </c>
      <c r="F577" t="s" s="80">
        <v>722</v>
      </c>
      <c r="G577" s="132">
        <v>-2120</v>
      </c>
      <c r="H577" t="s" s="133">
        <v>210</v>
      </c>
      <c r="I577" t="s" s="134">
        <v>102</v>
      </c>
      <c r="J577" t="s" s="134">
        <v>103</v>
      </c>
      <c r="K577" t="str" s="135" cm="1">
        <f t="array" ref="K577">IF(OR(H577="ריביות",AND(H577="דירה כצנלסון",G577&lt;0,ISNUMBER(SEARCH("הכנסה",F577)))),"הכנסה שסווגה מחדש",J577)</f>
        <v>חריג</v>
      </c>
      <c r="L577" t="s" s="134">
        <v>741</v>
      </c>
      <c r="M577" s="136" cm="1">
        <f t="array" ref="M577">IF(L577="מאושר",IF(K577="הכנסה שסווגה מחדש",0,G577),0)</f>
        <v>-2120</v>
      </c>
      <c r="N577" s="136" cm="1">
        <f t="array" ref="N577">IF(K577="שוטף",M577,0)</f>
        <v>0</v>
      </c>
      <c r="O577" s="136" cm="1">
        <f t="array" ref="O577">IF(K577="הכנסה שסווגה מחדש",-G577,0)</f>
        <v>0</v>
      </c>
      <c r="P577" t="s" s="80">
        <v>782</v>
      </c>
      <c r="Q577" s="100"/>
      <c r="R577" t="s" s="137">
        <v>743</v>
      </c>
      <c r="S577" s="77"/>
    </row>
    <row r="578" ht="13.65" customHeight="1">
      <c r="A578" s="84">
        <v>45809</v>
      </c>
      <c r="B578" t="s" s="85">
        <v>49</v>
      </c>
      <c r="C578" t="s" s="86">
        <v>805</v>
      </c>
      <c r="D578" s="138">
        <v>99</v>
      </c>
      <c r="E578" t="s" s="85">
        <v>791</v>
      </c>
      <c r="F578" t="s" s="86">
        <v>526</v>
      </c>
      <c r="G578" s="139">
        <v>100</v>
      </c>
      <c r="H578" t="s" s="140">
        <v>113</v>
      </c>
      <c r="I578" t="s" s="141">
        <v>113</v>
      </c>
      <c r="J578" t="s" s="141">
        <v>97</v>
      </c>
      <c r="K578" t="str" s="142" cm="1">
        <f t="array" ref="K578">IF(OR(H578="ריביות",AND(H578="דירה כצנלסון",G578&lt;0,ISNUMBER(SEARCH("הכנסה",F578)))),"הכנסה שסווגה מחדש",J578)</f>
        <v>שוטף</v>
      </c>
      <c r="L578" t="s" s="141">
        <v>741</v>
      </c>
      <c r="M578" s="143" cm="1">
        <f t="array" ref="M578">IF(L578="מאושר",IF(K578="הכנסה שסווגה מחדש",0,G578),0)</f>
        <v>100</v>
      </c>
      <c r="N578" s="143" cm="1">
        <f t="array" ref="N578">IF(K578="שוטף",M578,0)</f>
        <v>100</v>
      </c>
      <c r="O578" s="143" cm="1">
        <f t="array" ref="O578">IF(K578="הכנסה שסווגה מחדש",-G578,0)</f>
        <v>0</v>
      </c>
      <c r="P578" t="s" s="86">
        <v>762</v>
      </c>
      <c r="Q578" s="99"/>
      <c r="R578" t="s" s="144">
        <v>743</v>
      </c>
      <c r="S578" s="77"/>
    </row>
    <row r="579" ht="13.65" customHeight="1">
      <c r="A579" s="78">
        <v>45809</v>
      </c>
      <c r="B579" t="s" s="79">
        <v>49</v>
      </c>
      <c r="C579" t="s" s="80">
        <v>805</v>
      </c>
      <c r="D579" s="131">
        <v>100</v>
      </c>
      <c r="E579" t="s" s="79">
        <v>791</v>
      </c>
      <c r="F579" t="s" s="80">
        <v>458</v>
      </c>
      <c r="G579" s="132">
        <v>83</v>
      </c>
      <c r="H579" t="s" s="133">
        <v>113</v>
      </c>
      <c r="I579" t="s" s="134">
        <v>113</v>
      </c>
      <c r="J579" t="s" s="134">
        <v>97</v>
      </c>
      <c r="K579" t="str" s="135" cm="1">
        <f t="array" ref="K579">IF(OR(H579="ריביות",AND(H579="דירה כצנלסון",G579&lt;0,ISNUMBER(SEARCH("הכנסה",F579)))),"הכנסה שסווגה מחדש",J579)</f>
        <v>שוטף</v>
      </c>
      <c r="L579" t="s" s="134">
        <v>741</v>
      </c>
      <c r="M579" s="136" cm="1">
        <f t="array" ref="M579">IF(L579="מאושר",IF(K579="הכנסה שסווגה מחדש",0,G579),0)</f>
        <v>83</v>
      </c>
      <c r="N579" s="136" cm="1">
        <f t="array" ref="N579">IF(K579="שוטף",M579,0)</f>
        <v>83</v>
      </c>
      <c r="O579" s="136" cm="1">
        <f t="array" ref="O579">IF(K579="הכנסה שסווגה מחדש",-G579,0)</f>
        <v>0</v>
      </c>
      <c r="P579" t="s" s="80">
        <v>762</v>
      </c>
      <c r="Q579" s="100"/>
      <c r="R579" t="s" s="137">
        <v>743</v>
      </c>
      <c r="S579" s="77"/>
    </row>
    <row r="580" ht="13.65" customHeight="1">
      <c r="A580" s="84">
        <v>45809</v>
      </c>
      <c r="B580" t="s" s="85">
        <v>49</v>
      </c>
      <c r="C580" t="s" s="86">
        <v>805</v>
      </c>
      <c r="D580" s="138">
        <v>101</v>
      </c>
      <c r="E580" t="s" s="85">
        <v>791</v>
      </c>
      <c r="F580" t="s" s="86">
        <v>334</v>
      </c>
      <c r="G580" s="139">
        <v>41</v>
      </c>
      <c r="H580" t="s" s="140">
        <v>109</v>
      </c>
      <c r="I580" t="s" s="141">
        <v>109</v>
      </c>
      <c r="J580" t="s" s="141">
        <v>97</v>
      </c>
      <c r="K580" t="str" s="142" cm="1">
        <f t="array" ref="K580">IF(OR(H580="ריביות",AND(H580="דירה כצנלסון",G580&lt;0,ISNUMBER(SEARCH("הכנסה",F580)))),"הכנסה שסווגה מחדש",J580)</f>
        <v>שוטף</v>
      </c>
      <c r="L580" t="s" s="141">
        <v>741</v>
      </c>
      <c r="M580" s="143" cm="1">
        <f t="array" ref="M580">IF(L580="מאושר",IF(K580="הכנסה שסווגה מחדש",0,G580),0)</f>
        <v>41</v>
      </c>
      <c r="N580" s="143" cm="1">
        <f t="array" ref="N580">IF(K580="שוטף",M580,0)</f>
        <v>41</v>
      </c>
      <c r="O580" s="143" cm="1">
        <f t="array" ref="O580">IF(K580="הכנסה שסווגה מחדש",-G580,0)</f>
        <v>0</v>
      </c>
      <c r="P580" t="s" s="86">
        <v>762</v>
      </c>
      <c r="Q580" s="99"/>
      <c r="R580" t="s" s="144">
        <v>743</v>
      </c>
      <c r="S580" s="77"/>
    </row>
    <row r="581" ht="13.65" customHeight="1">
      <c r="A581" s="78">
        <v>45809</v>
      </c>
      <c r="B581" t="s" s="79">
        <v>49</v>
      </c>
      <c r="C581" t="s" s="80">
        <v>805</v>
      </c>
      <c r="D581" s="131">
        <v>102</v>
      </c>
      <c r="E581" t="s" s="79">
        <v>791</v>
      </c>
      <c r="F581" t="s" s="79">
        <v>423</v>
      </c>
      <c r="G581" s="132">
        <v>59</v>
      </c>
      <c r="H581" t="s" s="133">
        <v>767</v>
      </c>
      <c r="I581" t="s" s="134">
        <v>107</v>
      </c>
      <c r="J581" t="s" s="134">
        <v>97</v>
      </c>
      <c r="K581" t="str" s="135" cm="1">
        <f t="array" ref="K581">IF(OR(H581="ריביות",AND(H581="דירה כצנלסון",G581&lt;0,ISNUMBER(SEARCH("הכנסה",F581)))),"הכנסה שסווגה מחדש",J581)</f>
        <v>שוטף</v>
      </c>
      <c r="L581" t="s" s="134">
        <v>741</v>
      </c>
      <c r="M581" s="136" cm="1">
        <f t="array" ref="M581">IF(L581="מאושר",IF(K581="הכנסה שסווגה מחדש",0,G581),0)</f>
        <v>59</v>
      </c>
      <c r="N581" s="136" cm="1">
        <f t="array" ref="N581">IF(K581="שוטף",M581,0)</f>
        <v>59</v>
      </c>
      <c r="O581" s="136" cm="1">
        <f t="array" ref="O581">IF(K581="הכנסה שסווגה מחדש",-G581,0)</f>
        <v>0</v>
      </c>
      <c r="P581" t="s" s="80">
        <v>762</v>
      </c>
      <c r="Q581" s="100"/>
      <c r="R581" t="s" s="137">
        <v>743</v>
      </c>
      <c r="S581" s="77"/>
    </row>
    <row r="582" ht="13.65" customHeight="1">
      <c r="A582" s="84">
        <v>45809</v>
      </c>
      <c r="B582" t="s" s="85">
        <v>49</v>
      </c>
      <c r="C582" t="s" s="86">
        <v>805</v>
      </c>
      <c r="D582" s="138">
        <v>103</v>
      </c>
      <c r="E582" t="s" s="85">
        <v>765</v>
      </c>
      <c r="F582" t="s" s="86">
        <v>209</v>
      </c>
      <c r="G582" s="139">
        <v>58</v>
      </c>
      <c r="H582" t="s" s="140">
        <v>113</v>
      </c>
      <c r="I582" t="s" s="141">
        <v>113</v>
      </c>
      <c r="J582" t="s" s="141">
        <v>97</v>
      </c>
      <c r="K582" t="str" s="142" cm="1">
        <f t="array" ref="K582">IF(OR(H582="ריביות",AND(H582="דירה כצנלסון",G582&lt;0,ISNUMBER(SEARCH("הכנסה",F582)))),"הכנסה שסווגה מחדש",J582)</f>
        <v>שוטף</v>
      </c>
      <c r="L582" t="s" s="141">
        <v>741</v>
      </c>
      <c r="M582" s="143" cm="1">
        <f t="array" ref="M582">IF(L582="מאושר",IF(K582="הכנסה שסווגה מחדש",0,G582),0)</f>
        <v>58</v>
      </c>
      <c r="N582" s="143" cm="1">
        <f t="array" ref="N582">IF(K582="שוטף",M582,0)</f>
        <v>58</v>
      </c>
      <c r="O582" s="143" cm="1">
        <f t="array" ref="O582">IF(K582="הכנסה שסווגה מחדש",-G582,0)</f>
        <v>0</v>
      </c>
      <c r="P582" t="s" s="86">
        <v>762</v>
      </c>
      <c r="Q582" s="99"/>
      <c r="R582" t="s" s="144">
        <v>743</v>
      </c>
      <c r="S582" s="77"/>
    </row>
    <row r="583" ht="13.65" customHeight="1">
      <c r="A583" s="78">
        <v>45809</v>
      </c>
      <c r="B583" t="s" s="79">
        <v>49</v>
      </c>
      <c r="C583" t="s" s="80">
        <v>805</v>
      </c>
      <c r="D583" s="131">
        <v>104</v>
      </c>
      <c r="E583" t="s" s="79">
        <v>759</v>
      </c>
      <c r="F583" t="s" s="80">
        <v>267</v>
      </c>
      <c r="G583" s="132">
        <v>7</v>
      </c>
      <c r="H583" t="s" s="133">
        <v>109</v>
      </c>
      <c r="I583" t="s" s="134">
        <v>109</v>
      </c>
      <c r="J583" t="s" s="134">
        <v>97</v>
      </c>
      <c r="K583" t="str" s="135" cm="1">
        <f t="array" ref="K583">IF(OR(H583="ריביות",AND(H583="דירה כצנלסון",G583&lt;0,ISNUMBER(SEARCH("הכנסה",F583)))),"הכנסה שסווגה מחדש",J583)</f>
        <v>שוטף</v>
      </c>
      <c r="L583" t="s" s="134">
        <v>741</v>
      </c>
      <c r="M583" s="136" cm="1">
        <f t="array" ref="M583">IF(L583="מאושר",IF(K583="הכנסה שסווגה מחדש",0,G583),0)</f>
        <v>7</v>
      </c>
      <c r="N583" s="136" cm="1">
        <f t="array" ref="N583">IF(K583="שוטף",M583,0)</f>
        <v>7</v>
      </c>
      <c r="O583" s="136" cm="1">
        <f t="array" ref="O583">IF(K583="הכנסה שסווגה מחדש",-G583,0)</f>
        <v>0</v>
      </c>
      <c r="P583" t="s" s="80">
        <v>762</v>
      </c>
      <c r="Q583" s="100"/>
      <c r="R583" t="s" s="137">
        <v>743</v>
      </c>
      <c r="S583" s="77"/>
    </row>
    <row r="584" ht="13.65" customHeight="1">
      <c r="A584" s="84">
        <v>45809</v>
      </c>
      <c r="B584" t="s" s="85">
        <v>49</v>
      </c>
      <c r="C584" t="s" s="86">
        <v>805</v>
      </c>
      <c r="D584" s="138">
        <v>105</v>
      </c>
      <c r="E584" t="s" s="85">
        <v>759</v>
      </c>
      <c r="F584" t="s" s="86">
        <v>209</v>
      </c>
      <c r="G584" s="139">
        <v>173</v>
      </c>
      <c r="H584" t="s" s="140">
        <v>113</v>
      </c>
      <c r="I584" t="s" s="141">
        <v>113</v>
      </c>
      <c r="J584" t="s" s="141">
        <v>97</v>
      </c>
      <c r="K584" t="str" s="142" cm="1">
        <f t="array" ref="K584">IF(OR(H584="ריביות",AND(H584="דירה כצנלסון",G584&lt;0,ISNUMBER(SEARCH("הכנסה",F584)))),"הכנסה שסווגה מחדש",J584)</f>
        <v>שוטף</v>
      </c>
      <c r="L584" t="s" s="141">
        <v>741</v>
      </c>
      <c r="M584" s="143" cm="1">
        <f t="array" ref="M584">IF(L584="מאושר",IF(K584="הכנסה שסווגה מחדש",0,G584),0)</f>
        <v>173</v>
      </c>
      <c r="N584" s="143" cm="1">
        <f t="array" ref="N584">IF(K584="שוטף",M584,0)</f>
        <v>173</v>
      </c>
      <c r="O584" s="143" cm="1">
        <f t="array" ref="O584">IF(K584="הכנסה שסווגה מחדש",-G584,0)</f>
        <v>0</v>
      </c>
      <c r="P584" t="s" s="86">
        <v>762</v>
      </c>
      <c r="Q584" s="99"/>
      <c r="R584" t="s" s="144">
        <v>743</v>
      </c>
      <c r="S584" s="77"/>
    </row>
    <row r="585" ht="13.65" customHeight="1">
      <c r="A585" s="78">
        <v>45809</v>
      </c>
      <c r="B585" t="s" s="79">
        <v>49</v>
      </c>
      <c r="C585" t="s" s="80">
        <v>805</v>
      </c>
      <c r="D585" s="131">
        <v>106</v>
      </c>
      <c r="E585" t="s" s="79">
        <v>759</v>
      </c>
      <c r="F585" t="s" s="80">
        <v>334</v>
      </c>
      <c r="G585" s="132">
        <v>54</v>
      </c>
      <c r="H585" t="s" s="133">
        <v>109</v>
      </c>
      <c r="I585" t="s" s="134">
        <v>109</v>
      </c>
      <c r="J585" t="s" s="134">
        <v>97</v>
      </c>
      <c r="K585" t="str" s="135" cm="1">
        <f t="array" ref="K585">IF(OR(H585="ריביות",AND(H585="דירה כצנלסון",G585&lt;0,ISNUMBER(SEARCH("הכנסה",F585)))),"הכנסה שסווגה מחדש",J585)</f>
        <v>שוטף</v>
      </c>
      <c r="L585" t="s" s="134">
        <v>741</v>
      </c>
      <c r="M585" s="136" cm="1">
        <f t="array" ref="M585">IF(L585="מאושר",IF(K585="הכנסה שסווגה מחדש",0,G585),0)</f>
        <v>54</v>
      </c>
      <c r="N585" s="136" cm="1">
        <f t="array" ref="N585">IF(K585="שוטף",M585,0)</f>
        <v>54</v>
      </c>
      <c r="O585" s="136" cm="1">
        <f t="array" ref="O585">IF(K585="הכנסה שסווגה מחדש",-G585,0)</f>
        <v>0</v>
      </c>
      <c r="P585" t="s" s="80">
        <v>762</v>
      </c>
      <c r="Q585" s="100"/>
      <c r="R585" t="s" s="137">
        <v>743</v>
      </c>
      <c r="S585" s="77"/>
    </row>
    <row r="586" ht="13.65" customHeight="1">
      <c r="A586" s="84">
        <v>45809</v>
      </c>
      <c r="B586" t="s" s="85">
        <v>49</v>
      </c>
      <c r="C586" t="s" s="86">
        <v>805</v>
      </c>
      <c r="D586" s="138">
        <v>107</v>
      </c>
      <c r="E586" t="s" s="85">
        <v>756</v>
      </c>
      <c r="F586" t="s" s="86">
        <v>434</v>
      </c>
      <c r="G586" s="139">
        <v>25</v>
      </c>
      <c r="H586" t="s" s="140">
        <v>111</v>
      </c>
      <c r="I586" t="s" s="141">
        <v>111</v>
      </c>
      <c r="J586" t="s" s="141">
        <v>97</v>
      </c>
      <c r="K586" t="str" s="142" cm="1">
        <f t="array" ref="K586">IF(OR(H586="ריביות",AND(H586="דירה כצנלסון",G586&lt;0,ISNUMBER(SEARCH("הכנסה",F586)))),"הכנסה שסווגה מחדש",J586)</f>
        <v>שוטף</v>
      </c>
      <c r="L586" t="s" s="141">
        <v>741</v>
      </c>
      <c r="M586" s="143" cm="1">
        <f t="array" ref="M586">IF(L586="מאושר",IF(K586="הכנסה שסווגה מחדש",0,G586),0)</f>
        <v>25</v>
      </c>
      <c r="N586" s="143" cm="1">
        <f t="array" ref="N586">IF(K586="שוטף",M586,0)</f>
        <v>25</v>
      </c>
      <c r="O586" s="143" cm="1">
        <f t="array" ref="O586">IF(K586="הכנסה שסווגה מחדש",-G586,0)</f>
        <v>0</v>
      </c>
      <c r="P586" t="s" s="86">
        <v>762</v>
      </c>
      <c r="Q586" s="99"/>
      <c r="R586" t="s" s="144">
        <v>743</v>
      </c>
      <c r="S586" s="77"/>
    </row>
    <row r="587" ht="13.65" customHeight="1">
      <c r="A587" s="78">
        <v>45809</v>
      </c>
      <c r="B587" t="s" s="79">
        <v>49</v>
      </c>
      <c r="C587" t="s" s="80">
        <v>805</v>
      </c>
      <c r="D587" s="131">
        <v>108</v>
      </c>
      <c r="E587" t="s" s="79">
        <v>756</v>
      </c>
      <c r="F587" t="s" s="80">
        <v>200</v>
      </c>
      <c r="G587" s="132">
        <v>25</v>
      </c>
      <c r="H587" t="s" s="133">
        <v>109</v>
      </c>
      <c r="I587" t="s" s="134">
        <v>109</v>
      </c>
      <c r="J587" t="s" s="134">
        <v>97</v>
      </c>
      <c r="K587" t="str" s="135" cm="1">
        <f t="array" ref="K587">IF(OR(H587="ריביות",AND(H587="דירה כצנלסון",G587&lt;0,ISNUMBER(SEARCH("הכנסה",F587)))),"הכנסה שסווגה מחדש",J587)</f>
        <v>שוטף</v>
      </c>
      <c r="L587" t="s" s="134">
        <v>741</v>
      </c>
      <c r="M587" s="136" cm="1">
        <f t="array" ref="M587">IF(L587="מאושר",IF(K587="הכנסה שסווגה מחדש",0,G587),0)</f>
        <v>25</v>
      </c>
      <c r="N587" s="136" cm="1">
        <f t="array" ref="N587">IF(K587="שוטף",M587,0)</f>
        <v>25</v>
      </c>
      <c r="O587" s="136" cm="1">
        <f t="array" ref="O587">IF(K587="הכנסה שסווגה מחדש",-G587,0)</f>
        <v>0</v>
      </c>
      <c r="P587" t="s" s="80">
        <v>762</v>
      </c>
      <c r="Q587" s="100"/>
      <c r="R587" t="s" s="137">
        <v>743</v>
      </c>
      <c r="S587" s="77"/>
    </row>
    <row r="588" ht="13.65" customHeight="1">
      <c r="A588" s="84">
        <v>45809</v>
      </c>
      <c r="B588" t="s" s="85">
        <v>49</v>
      </c>
      <c r="C588" t="s" s="86">
        <v>805</v>
      </c>
      <c r="D588" s="138">
        <v>109</v>
      </c>
      <c r="E588" t="s" s="85">
        <v>776</v>
      </c>
      <c r="F588" t="s" s="86">
        <v>348</v>
      </c>
      <c r="G588" s="139">
        <v>190</v>
      </c>
      <c r="H588" t="s" s="140">
        <v>121</v>
      </c>
      <c r="I588" t="s" s="141">
        <v>121</v>
      </c>
      <c r="J588" t="s" s="141">
        <v>97</v>
      </c>
      <c r="K588" t="str" s="142" cm="1">
        <f t="array" ref="K588">IF(OR(H588="ריביות",AND(H588="דירה כצנלסון",G588&lt;0,ISNUMBER(SEARCH("הכנסה",F588)))),"הכנסה שסווגה מחדש",J588)</f>
        <v>שוטף</v>
      </c>
      <c r="L588" t="s" s="141">
        <v>741</v>
      </c>
      <c r="M588" s="143" cm="1">
        <f t="array" ref="M588">IF(L588="מאושר",IF(K588="הכנסה שסווגה מחדש",0,G588),0)</f>
        <v>190</v>
      </c>
      <c r="N588" s="143" cm="1">
        <f t="array" ref="N588">IF(K588="שוטף",M588,0)</f>
        <v>190</v>
      </c>
      <c r="O588" s="143" cm="1">
        <f t="array" ref="O588">IF(K588="הכנסה שסווגה מחדש",-G588,0)</f>
        <v>0</v>
      </c>
      <c r="P588" t="s" s="86">
        <v>762</v>
      </c>
      <c r="Q588" s="99"/>
      <c r="R588" t="s" s="144">
        <v>743</v>
      </c>
      <c r="S588" s="77"/>
    </row>
    <row r="589" ht="13.65" customHeight="1">
      <c r="A589" s="78">
        <v>45809</v>
      </c>
      <c r="B589" t="s" s="79">
        <v>49</v>
      </c>
      <c r="C589" t="s" s="80">
        <v>805</v>
      </c>
      <c r="D589" s="131">
        <v>110</v>
      </c>
      <c r="E589" t="s" s="79">
        <v>776</v>
      </c>
      <c r="F589" t="s" s="80">
        <v>269</v>
      </c>
      <c r="G589" s="132">
        <v>195</v>
      </c>
      <c r="H589" t="s" s="133">
        <v>113</v>
      </c>
      <c r="I589" t="s" s="134">
        <v>113</v>
      </c>
      <c r="J589" t="s" s="134">
        <v>97</v>
      </c>
      <c r="K589" t="str" s="135" cm="1">
        <f t="array" ref="K589">IF(OR(H589="ריביות",AND(H589="דירה כצנלסון",G589&lt;0,ISNUMBER(SEARCH("הכנסה",F589)))),"הכנסה שסווגה מחדש",J589)</f>
        <v>שוטף</v>
      </c>
      <c r="L589" t="s" s="134">
        <v>741</v>
      </c>
      <c r="M589" s="136" cm="1">
        <f t="array" ref="M589">IF(L589="מאושר",IF(K589="הכנסה שסווגה מחדש",0,G589),0)</f>
        <v>195</v>
      </c>
      <c r="N589" s="136" cm="1">
        <f t="array" ref="N589">IF(K589="שוטף",M589,0)</f>
        <v>195</v>
      </c>
      <c r="O589" s="136" cm="1">
        <f t="array" ref="O589">IF(K589="הכנסה שסווגה מחדש",-G589,0)</f>
        <v>0</v>
      </c>
      <c r="P589" t="s" s="80">
        <v>762</v>
      </c>
      <c r="Q589" s="100"/>
      <c r="R589" t="s" s="137">
        <v>743</v>
      </c>
      <c r="S589" s="77"/>
    </row>
    <row r="590" ht="13.65" customHeight="1">
      <c r="A590" s="84">
        <v>45809</v>
      </c>
      <c r="B590" t="s" s="85">
        <v>49</v>
      </c>
      <c r="C590" t="s" s="86">
        <v>805</v>
      </c>
      <c r="D590" s="138">
        <v>111</v>
      </c>
      <c r="E590" t="s" s="85">
        <v>776</v>
      </c>
      <c r="F590" t="s" s="86">
        <v>644</v>
      </c>
      <c r="G590" s="139">
        <v>30</v>
      </c>
      <c r="H590" t="s" s="140">
        <v>113</v>
      </c>
      <c r="I590" t="s" s="141">
        <v>113</v>
      </c>
      <c r="J590" t="s" s="141">
        <v>97</v>
      </c>
      <c r="K590" t="str" s="142" cm="1">
        <f t="array" ref="K590">IF(OR(H590="ריביות",AND(H590="דירה כצנלסון",G590&lt;0,ISNUMBER(SEARCH("הכנסה",F590)))),"הכנסה שסווגה מחדש",J590)</f>
        <v>שוטף</v>
      </c>
      <c r="L590" t="s" s="141">
        <v>741</v>
      </c>
      <c r="M590" s="143" cm="1">
        <f t="array" ref="M590">IF(L590="מאושר",IF(K590="הכנסה שסווגה מחדש",0,G590),0)</f>
        <v>30</v>
      </c>
      <c r="N590" s="143" cm="1">
        <f t="array" ref="N590">IF(K590="שוטף",M590,0)</f>
        <v>30</v>
      </c>
      <c r="O590" s="143" cm="1">
        <f t="array" ref="O590">IF(K590="הכנסה שסווגה מחדש",-G590,0)</f>
        <v>0</v>
      </c>
      <c r="P590" t="s" s="86">
        <v>762</v>
      </c>
      <c r="Q590" s="99"/>
      <c r="R590" t="s" s="144">
        <v>743</v>
      </c>
      <c r="S590" s="77"/>
    </row>
    <row r="591" ht="13.65" customHeight="1">
      <c r="A591" s="78">
        <v>45809</v>
      </c>
      <c r="B591" t="s" s="79">
        <v>49</v>
      </c>
      <c r="C591" t="s" s="80">
        <v>805</v>
      </c>
      <c r="D591" s="131">
        <v>112</v>
      </c>
      <c r="E591" t="s" s="79">
        <v>776</v>
      </c>
      <c r="F591" t="s" s="80">
        <v>472</v>
      </c>
      <c r="G591" s="132">
        <v>50</v>
      </c>
      <c r="H591" t="s" s="133">
        <v>115</v>
      </c>
      <c r="I591" t="s" s="134">
        <v>115</v>
      </c>
      <c r="J591" t="s" s="134">
        <v>97</v>
      </c>
      <c r="K591" t="str" s="135" cm="1">
        <f t="array" ref="K591">IF(OR(H591="ריביות",AND(H591="דירה כצנלסון",G591&lt;0,ISNUMBER(SEARCH("הכנסה",F591)))),"הכנסה שסווגה מחדש",J591)</f>
        <v>שוטף</v>
      </c>
      <c r="L591" t="s" s="134">
        <v>741</v>
      </c>
      <c r="M591" s="136" cm="1">
        <f t="array" ref="M591">IF(L591="מאושר",IF(K591="הכנסה שסווגה מחדש",0,G591),0)</f>
        <v>50</v>
      </c>
      <c r="N591" s="136" cm="1">
        <f t="array" ref="N591">IF(K591="שוטף",M591,0)</f>
        <v>50</v>
      </c>
      <c r="O591" s="136" cm="1">
        <f t="array" ref="O591">IF(K591="הכנסה שסווגה מחדש",-G591,0)</f>
        <v>0</v>
      </c>
      <c r="P591" t="s" s="80">
        <v>762</v>
      </c>
      <c r="Q591" s="100"/>
      <c r="R591" t="s" s="137">
        <v>743</v>
      </c>
      <c r="S591" s="77"/>
    </row>
    <row r="592" ht="13.65" customHeight="1">
      <c r="A592" s="84">
        <v>45809</v>
      </c>
      <c r="B592" t="s" s="85">
        <v>49</v>
      </c>
      <c r="C592" t="s" s="86">
        <v>805</v>
      </c>
      <c r="D592" s="138">
        <v>113</v>
      </c>
      <c r="E592" t="s" s="85">
        <v>776</v>
      </c>
      <c r="F592" t="s" s="86">
        <v>476</v>
      </c>
      <c r="G592" s="139">
        <v>150</v>
      </c>
      <c r="H592" t="s" s="140">
        <v>117</v>
      </c>
      <c r="I592" t="s" s="141">
        <v>117</v>
      </c>
      <c r="J592" t="s" s="141">
        <v>97</v>
      </c>
      <c r="K592" t="str" s="142" cm="1">
        <f t="array" ref="K592">IF(OR(H592="ריביות",AND(H592="דירה כצנלסון",G592&lt;0,ISNUMBER(SEARCH("הכנסה",F592)))),"הכנסה שסווגה מחדש",J592)</f>
        <v>שוטף</v>
      </c>
      <c r="L592" t="s" s="141">
        <v>741</v>
      </c>
      <c r="M592" s="143" cm="1">
        <f t="array" ref="M592">IF(L592="מאושר",IF(K592="הכנסה שסווגה מחדש",0,G592),0)</f>
        <v>150</v>
      </c>
      <c r="N592" s="143" cm="1">
        <f t="array" ref="N592">IF(K592="שוטף",M592,0)</f>
        <v>150</v>
      </c>
      <c r="O592" s="143" cm="1">
        <f t="array" ref="O592">IF(K592="הכנסה שסווגה מחדש",-G592,0)</f>
        <v>0</v>
      </c>
      <c r="P592" t="s" s="86">
        <v>762</v>
      </c>
      <c r="Q592" s="99"/>
      <c r="R592" t="s" s="144">
        <v>743</v>
      </c>
      <c r="S592" s="77"/>
    </row>
    <row r="593" ht="13.65" customHeight="1">
      <c r="A593" s="78">
        <v>45809</v>
      </c>
      <c r="B593" t="s" s="79">
        <v>49</v>
      </c>
      <c r="C593" t="s" s="80">
        <v>805</v>
      </c>
      <c r="D593" s="131">
        <v>114</v>
      </c>
      <c r="E593" t="s" s="79">
        <v>776</v>
      </c>
      <c r="F593" t="s" s="80">
        <v>209</v>
      </c>
      <c r="G593" s="132">
        <v>39</v>
      </c>
      <c r="H593" t="s" s="133">
        <v>113</v>
      </c>
      <c r="I593" t="s" s="134">
        <v>113</v>
      </c>
      <c r="J593" t="s" s="134">
        <v>97</v>
      </c>
      <c r="K593" t="str" s="135" cm="1">
        <f t="array" ref="K593">IF(OR(H593="ריביות",AND(H593="דירה כצנלסון",G593&lt;0,ISNUMBER(SEARCH("הכנסה",F593)))),"הכנסה שסווגה מחדש",J593)</f>
        <v>שוטף</v>
      </c>
      <c r="L593" t="s" s="134">
        <v>741</v>
      </c>
      <c r="M593" s="136" cm="1">
        <f t="array" ref="M593">IF(L593="מאושר",IF(K593="הכנסה שסווגה מחדש",0,G593),0)</f>
        <v>39</v>
      </c>
      <c r="N593" s="136" cm="1">
        <f t="array" ref="N593">IF(K593="שוטף",M593,0)</f>
        <v>39</v>
      </c>
      <c r="O593" s="136" cm="1">
        <f t="array" ref="O593">IF(K593="הכנסה שסווגה מחדש",-G593,0)</f>
        <v>0</v>
      </c>
      <c r="P593" t="s" s="80">
        <v>762</v>
      </c>
      <c r="Q593" s="100"/>
      <c r="R593" t="s" s="137">
        <v>743</v>
      </c>
      <c r="S593" s="77"/>
    </row>
    <row r="594" ht="13.65" customHeight="1">
      <c r="A594" s="84">
        <v>45809</v>
      </c>
      <c r="B594" t="s" s="85">
        <v>49</v>
      </c>
      <c r="C594" t="s" s="86">
        <v>805</v>
      </c>
      <c r="D594" s="138">
        <v>115</v>
      </c>
      <c r="E594" t="s" s="85">
        <v>769</v>
      </c>
      <c r="F594" t="s" s="86">
        <v>230</v>
      </c>
      <c r="G594" s="139">
        <v>3900</v>
      </c>
      <c r="H594" t="s" s="140">
        <v>117</v>
      </c>
      <c r="I594" t="s" s="141">
        <v>117</v>
      </c>
      <c r="J594" t="s" s="141">
        <v>97</v>
      </c>
      <c r="K594" t="str" s="142" cm="1">
        <f t="array" ref="K594">IF(OR(H594="ריביות",AND(H594="דירה כצנלסון",G594&lt;0,ISNUMBER(SEARCH("הכנסה",F594)))),"הכנסה שסווגה מחדש",J594)</f>
        <v>שוטף</v>
      </c>
      <c r="L594" t="s" s="141">
        <v>741</v>
      </c>
      <c r="M594" s="143" cm="1">
        <f t="array" ref="M594">IF(L594="מאושר",IF(K594="הכנסה שסווגה מחדש",0,G594),0)</f>
        <v>3900</v>
      </c>
      <c r="N594" s="143" cm="1">
        <f t="array" ref="N594">IF(K594="שוטף",M594,0)</f>
        <v>3900</v>
      </c>
      <c r="O594" s="143" cm="1">
        <f t="array" ref="O594">IF(K594="הכנסה שסווגה מחדש",-G594,0)</f>
        <v>0</v>
      </c>
      <c r="P594" t="s" s="86">
        <v>807</v>
      </c>
      <c r="Q594" s="99"/>
      <c r="R594" t="s" s="144">
        <v>743</v>
      </c>
      <c r="S594" s="77"/>
    </row>
    <row r="595" ht="13.65" customHeight="1">
      <c r="A595" s="78">
        <v>45809</v>
      </c>
      <c r="B595" t="s" s="79">
        <v>49</v>
      </c>
      <c r="C595" t="s" s="80">
        <v>805</v>
      </c>
      <c r="D595" s="131">
        <v>116</v>
      </c>
      <c r="E595" t="s" s="79">
        <v>769</v>
      </c>
      <c r="F595" t="s" s="80">
        <v>267</v>
      </c>
      <c r="G595" s="132">
        <v>28</v>
      </c>
      <c r="H595" t="s" s="133">
        <v>109</v>
      </c>
      <c r="I595" t="s" s="134">
        <v>109</v>
      </c>
      <c r="J595" t="s" s="134">
        <v>97</v>
      </c>
      <c r="K595" t="str" s="135" cm="1">
        <f t="array" ref="K595">IF(OR(H595="ריביות",AND(H595="דירה כצנלסון",G595&lt;0,ISNUMBER(SEARCH("הכנסה",F595)))),"הכנסה שסווגה מחדש",J595)</f>
        <v>שוטף</v>
      </c>
      <c r="L595" t="s" s="134">
        <v>741</v>
      </c>
      <c r="M595" s="136" cm="1">
        <f t="array" ref="M595">IF(L595="מאושר",IF(K595="הכנסה שסווגה מחדש",0,G595),0)</f>
        <v>28</v>
      </c>
      <c r="N595" s="136" cm="1">
        <f t="array" ref="N595">IF(K595="שוטף",M595,0)</f>
        <v>28</v>
      </c>
      <c r="O595" s="136" cm="1">
        <f t="array" ref="O595">IF(K595="הכנסה שסווגה מחדש",-G595,0)</f>
        <v>0</v>
      </c>
      <c r="P595" t="s" s="80">
        <v>807</v>
      </c>
      <c r="Q595" s="100"/>
      <c r="R595" t="s" s="137">
        <v>743</v>
      </c>
      <c r="S595" s="77"/>
    </row>
    <row r="596" ht="13.65" customHeight="1">
      <c r="A596" s="84">
        <v>45809</v>
      </c>
      <c r="B596" t="s" s="85">
        <v>49</v>
      </c>
      <c r="C596" t="s" s="86">
        <v>805</v>
      </c>
      <c r="D596" s="138">
        <v>117</v>
      </c>
      <c r="E596" t="s" s="85">
        <v>753</v>
      </c>
      <c r="F596" t="s" s="86">
        <v>664</v>
      </c>
      <c r="G596" s="139">
        <v>23</v>
      </c>
      <c r="H596" t="s" s="140">
        <v>129</v>
      </c>
      <c r="I596" t="s" s="141">
        <v>129</v>
      </c>
      <c r="J596" t="s" s="141">
        <v>97</v>
      </c>
      <c r="K596" t="str" s="142" cm="1">
        <f t="array" ref="K596">IF(OR(H596="ריביות",AND(H596="דירה כצנלסון",G596&lt;0,ISNUMBER(SEARCH("הכנסה",F596)))),"הכנסה שסווגה מחדש",J596)</f>
        <v>שוטף</v>
      </c>
      <c r="L596" t="s" s="141">
        <v>741</v>
      </c>
      <c r="M596" s="143" cm="1">
        <f t="array" ref="M596">IF(L596="מאושר",IF(K596="הכנסה שסווגה מחדש",0,G596),0)</f>
        <v>23</v>
      </c>
      <c r="N596" s="143" cm="1">
        <f t="array" ref="N596">IF(K596="שוטף",M596,0)</f>
        <v>23</v>
      </c>
      <c r="O596" s="143" cm="1">
        <f t="array" ref="O596">IF(K596="הכנסה שסווגה מחדש",-G596,0)</f>
        <v>0</v>
      </c>
      <c r="P596" t="s" s="86">
        <v>807</v>
      </c>
      <c r="Q596" s="99"/>
      <c r="R596" t="s" s="144">
        <v>743</v>
      </c>
      <c r="S596" s="77"/>
    </row>
    <row r="597" ht="13.65" customHeight="1">
      <c r="A597" s="78">
        <v>45809</v>
      </c>
      <c r="B597" t="s" s="79">
        <v>49</v>
      </c>
      <c r="C597" t="s" s="80">
        <v>805</v>
      </c>
      <c r="D597" s="131">
        <v>118</v>
      </c>
      <c r="E597" t="s" s="79">
        <v>771</v>
      </c>
      <c r="F597" t="s" s="80">
        <v>307</v>
      </c>
      <c r="G597" s="132">
        <v>51</v>
      </c>
      <c r="H597" t="s" s="133">
        <v>115</v>
      </c>
      <c r="I597" t="s" s="134">
        <v>115</v>
      </c>
      <c r="J597" t="s" s="134">
        <v>97</v>
      </c>
      <c r="K597" t="str" s="135" cm="1">
        <f t="array" ref="K597">IF(OR(H597="ריביות",AND(H597="דירה כצנלסון",G597&lt;0,ISNUMBER(SEARCH("הכנסה",F597)))),"הכנסה שסווגה מחדש",J597)</f>
        <v>שוטף</v>
      </c>
      <c r="L597" t="s" s="134">
        <v>741</v>
      </c>
      <c r="M597" s="136" cm="1">
        <f t="array" ref="M597">IF(L597="מאושר",IF(K597="הכנסה שסווגה מחדש",0,G597),0)</f>
        <v>51</v>
      </c>
      <c r="N597" s="136" cm="1">
        <f t="array" ref="N597">IF(K597="שוטף",M597,0)</f>
        <v>51</v>
      </c>
      <c r="O597" s="136" cm="1">
        <f t="array" ref="O597">IF(K597="הכנסה שסווגה מחדש",-G597,0)</f>
        <v>0</v>
      </c>
      <c r="P597" t="s" s="80">
        <v>807</v>
      </c>
      <c r="Q597" s="100"/>
      <c r="R597" t="s" s="137">
        <v>743</v>
      </c>
      <c r="S597" s="77"/>
    </row>
    <row r="598" ht="13.65" customHeight="1">
      <c r="A598" s="84">
        <v>45809</v>
      </c>
      <c r="B598" t="s" s="85">
        <v>49</v>
      </c>
      <c r="C598" t="s" s="86">
        <v>805</v>
      </c>
      <c r="D598" s="138">
        <v>119</v>
      </c>
      <c r="E598" t="s" s="85">
        <v>765</v>
      </c>
      <c r="F598" t="s" s="86">
        <v>277</v>
      </c>
      <c r="G598" s="139">
        <v>16</v>
      </c>
      <c r="H598" t="s" s="140">
        <v>115</v>
      </c>
      <c r="I598" t="s" s="141">
        <v>115</v>
      </c>
      <c r="J598" t="s" s="141">
        <v>97</v>
      </c>
      <c r="K598" t="str" s="142" cm="1">
        <f t="array" ref="K598">IF(OR(H598="ריביות",AND(H598="דירה כצנלסון",G598&lt;0,ISNUMBER(SEARCH("הכנסה",F598)))),"הכנסה שסווגה מחדש",J598)</f>
        <v>שוטף</v>
      </c>
      <c r="L598" t="s" s="141">
        <v>741</v>
      </c>
      <c r="M598" s="143" cm="1">
        <f t="array" ref="M598">IF(L598="מאושר",IF(K598="הכנסה שסווגה מחדש",0,G598),0)</f>
        <v>16</v>
      </c>
      <c r="N598" s="143" cm="1">
        <f t="array" ref="N598">IF(K598="שוטף",M598,0)</f>
        <v>16</v>
      </c>
      <c r="O598" s="143" cm="1">
        <f t="array" ref="O598">IF(K598="הכנסה שסווגה מחדש",-G598,0)</f>
        <v>0</v>
      </c>
      <c r="P598" t="s" s="86">
        <v>807</v>
      </c>
      <c r="Q598" s="99"/>
      <c r="R598" t="s" s="144">
        <v>743</v>
      </c>
      <c r="S598" s="77"/>
    </row>
    <row r="599" ht="13.65" customHeight="1">
      <c r="A599" s="78">
        <v>45839</v>
      </c>
      <c r="B599" t="s" s="79">
        <v>50</v>
      </c>
      <c r="C599" t="s" s="80">
        <v>808</v>
      </c>
      <c r="D599" s="131">
        <v>2</v>
      </c>
      <c r="E599" t="s" s="79">
        <v>772</v>
      </c>
      <c r="F599" t="s" s="80">
        <v>196</v>
      </c>
      <c r="G599" s="132">
        <v>0</v>
      </c>
      <c r="H599" t="s" s="133">
        <v>763</v>
      </c>
      <c r="I599" t="s" s="134">
        <v>96</v>
      </c>
      <c r="J599" t="s" s="134">
        <v>97</v>
      </c>
      <c r="K599" t="str" s="135" cm="1">
        <f t="array" ref="K599">IF(OR(H599="ריביות",AND(H599="דירה כצנלסון",G599&lt;0,ISNUMBER(SEARCH("הכנסה",F599)))),"הכנסה שסווגה מחדש",J599)</f>
        <v>שוטף</v>
      </c>
      <c r="L599" t="s" s="134">
        <v>741</v>
      </c>
      <c r="M599" s="136" cm="1">
        <f t="array" ref="M599">IF(L599="מאושר",IF(K599="הכנסה שסווגה מחדש",0,G599),0)</f>
        <v>0</v>
      </c>
      <c r="N599" s="136" cm="1">
        <f t="array" ref="N599">IF(K599="שוטף",M599,0)</f>
        <v>0</v>
      </c>
      <c r="O599" s="136" cm="1">
        <f t="array" ref="O599">IF(K599="הכנסה שסווגה מחדש",-G599,0)</f>
        <v>0</v>
      </c>
      <c r="P599" s="100"/>
      <c r="Q599" s="100"/>
      <c r="R599" t="s" s="137">
        <v>743</v>
      </c>
      <c r="S599" s="77"/>
    </row>
    <row r="600" ht="13.65" customHeight="1">
      <c r="A600" s="84">
        <v>45839</v>
      </c>
      <c r="B600" t="s" s="85">
        <v>50</v>
      </c>
      <c r="C600" t="s" s="86">
        <v>808</v>
      </c>
      <c r="D600" s="138">
        <v>3</v>
      </c>
      <c r="E600" t="s" s="85">
        <v>751</v>
      </c>
      <c r="F600" t="s" s="86">
        <v>197</v>
      </c>
      <c r="G600" s="139">
        <v>6136</v>
      </c>
      <c r="H600" t="s" s="140">
        <v>279</v>
      </c>
      <c r="I600" t="s" s="141">
        <v>99</v>
      </c>
      <c r="J600" t="s" s="141">
        <v>100</v>
      </c>
      <c r="K600" t="str" s="142" cm="1">
        <f t="array" ref="K600">IF(OR(H600="ריביות",AND(H600="דירה כצנלסון",G600&lt;0,ISNUMBER(SEARCH("הכנסה",F600)))),"הכנסה שסווגה מחדש",J600)</f>
        <v>חריג/נכס</v>
      </c>
      <c r="L600" t="s" s="141">
        <v>741</v>
      </c>
      <c r="M600" s="143" cm="1">
        <f t="array" ref="M600">IF(L600="מאושר",IF(K600="הכנסה שסווגה מחדש",0,G600),0)</f>
        <v>6136</v>
      </c>
      <c r="N600" s="143" cm="1">
        <f t="array" ref="N600">IF(K600="שוטף",M600,0)</f>
        <v>0</v>
      </c>
      <c r="O600" s="143" cm="1">
        <f t="array" ref="O600">IF(K600="הכנסה שסווגה מחדש",-G600,0)</f>
        <v>0</v>
      </c>
      <c r="P600" t="s" s="86">
        <v>786</v>
      </c>
      <c r="Q600" s="99"/>
      <c r="R600" t="s" s="144">
        <v>743</v>
      </c>
      <c r="S600" s="77"/>
    </row>
    <row r="601" ht="13.65" customHeight="1">
      <c r="A601" s="78">
        <v>45839</v>
      </c>
      <c r="B601" t="s" s="79">
        <v>50</v>
      </c>
      <c r="C601" t="s" s="80">
        <v>808</v>
      </c>
      <c r="D601" s="131">
        <v>4</v>
      </c>
      <c r="E601" s="100"/>
      <c r="F601" t="s" s="80">
        <v>740</v>
      </c>
      <c r="G601" s="132">
        <v>-6500</v>
      </c>
      <c r="H601" t="s" s="133">
        <v>279</v>
      </c>
      <c r="I601" t="s" s="134">
        <v>99</v>
      </c>
      <c r="J601" t="s" s="134">
        <v>100</v>
      </c>
      <c r="K601" t="str" s="135" cm="1">
        <f t="array" ref="K601">IF(OR(H601="ריביות",AND(H601="דירה כצנלסון",G601&lt;0,ISNUMBER(SEARCH("הכנסה",F601)))),"הכנסה שסווגה מחדש",J601)</f>
        <v>הכנסה שסווגה מחדש</v>
      </c>
      <c r="L601" t="s" s="134">
        <v>741</v>
      </c>
      <c r="M601" s="136" cm="1">
        <f t="array" ref="M601">IF(L601="מאושר",IF(K601="הכנסה שסווגה מחדש",0,G601),0)</f>
        <v>0</v>
      </c>
      <c r="N601" s="136" cm="1">
        <f t="array" ref="N601">IF(K601="שוטף",M601,0)</f>
        <v>0</v>
      </c>
      <c r="O601" s="136" cm="1">
        <f t="array" ref="O601">IF(K601="הכנסה שסווגה מחדש",-G601,0)</f>
        <v>6500</v>
      </c>
      <c r="P601" t="s" s="79">
        <v>742</v>
      </c>
      <c r="Q601" s="100"/>
      <c r="R601" t="s" s="137">
        <v>743</v>
      </c>
      <c r="S601" s="77"/>
    </row>
    <row r="602" ht="13.65" customHeight="1">
      <c r="A602" s="84">
        <v>45839</v>
      </c>
      <c r="B602" t="s" s="85">
        <v>50</v>
      </c>
      <c r="C602" t="s" s="86">
        <v>808</v>
      </c>
      <c r="D602" s="138">
        <v>5</v>
      </c>
      <c r="E602" s="99"/>
      <c r="F602" t="s" s="86">
        <v>212</v>
      </c>
      <c r="G602" s="139">
        <v>0</v>
      </c>
      <c r="H602" t="s" s="140">
        <v>757</v>
      </c>
      <c r="I602" t="s" s="141">
        <v>96</v>
      </c>
      <c r="J602" t="s" s="141">
        <v>97</v>
      </c>
      <c r="K602" t="str" s="142" cm="1">
        <f t="array" ref="K602">IF(OR(H602="ריביות",AND(H602="דירה כצנלסון",G602&lt;0,ISNUMBER(SEARCH("הכנסה",F602)))),"הכנסה שסווגה מחדש",J602)</f>
        <v>שוטף</v>
      </c>
      <c r="L602" t="s" s="141">
        <v>741</v>
      </c>
      <c r="M602" s="143" cm="1">
        <f t="array" ref="M602">IF(L602="מאושר",IF(K602="הכנסה שסווגה מחדש",0,G602),0)</f>
        <v>0</v>
      </c>
      <c r="N602" s="143" cm="1">
        <f t="array" ref="N602">IF(K602="שוטף",M602,0)</f>
        <v>0</v>
      </c>
      <c r="O602" s="143" cm="1">
        <f t="array" ref="O602">IF(K602="הכנסה שסווגה מחדש",-G602,0)</f>
        <v>0</v>
      </c>
      <c r="P602" s="99"/>
      <c r="Q602" s="99"/>
      <c r="R602" t="s" s="144">
        <v>743</v>
      </c>
      <c r="S602" s="77"/>
    </row>
    <row r="603" ht="13.65" customHeight="1">
      <c r="A603" s="78">
        <v>45839</v>
      </c>
      <c r="B603" t="s" s="79">
        <v>50</v>
      </c>
      <c r="C603" t="s" s="80">
        <v>808</v>
      </c>
      <c r="D603" s="131">
        <v>6</v>
      </c>
      <c r="E603" t="s" s="79">
        <v>753</v>
      </c>
      <c r="F603" t="s" s="80">
        <v>221</v>
      </c>
      <c r="G603" s="132">
        <v>-123</v>
      </c>
      <c r="H603" t="s" s="133">
        <v>757</v>
      </c>
      <c r="I603" t="s" s="134">
        <v>96</v>
      </c>
      <c r="J603" t="s" s="134">
        <v>97</v>
      </c>
      <c r="K603" t="str" s="135" cm="1">
        <f t="array" ref="K603">IF(OR(H603="ריביות",AND(H603="דירה כצנלסון",G603&lt;0,ISNUMBER(SEARCH("הכנסה",F603)))),"הכנסה שסווגה מחדש",J603)</f>
        <v>שוטף</v>
      </c>
      <c r="L603" t="s" s="134">
        <v>741</v>
      </c>
      <c r="M603" s="136" cm="1">
        <f t="array" ref="M603">IF(L603="מאושר",IF(K603="הכנסה שסווגה מחדש",0,G603),0)</f>
        <v>-123</v>
      </c>
      <c r="N603" s="136" cm="1">
        <f t="array" ref="N603">IF(K603="שוטף",M603,0)</f>
        <v>-123</v>
      </c>
      <c r="O603" s="136" cm="1">
        <f t="array" ref="O603">IF(K603="הכנסה שסווגה מחדש",-G603,0)</f>
        <v>0</v>
      </c>
      <c r="P603" t="s" s="80">
        <v>762</v>
      </c>
      <c r="Q603" s="100"/>
      <c r="R603" t="s" s="137">
        <v>743</v>
      </c>
      <c r="S603" s="77"/>
    </row>
    <row r="604" ht="13.65" customHeight="1">
      <c r="A604" s="84">
        <v>45839</v>
      </c>
      <c r="B604" t="s" s="85">
        <v>50</v>
      </c>
      <c r="C604" t="s" s="86">
        <v>808</v>
      </c>
      <c r="D604" s="138">
        <v>7</v>
      </c>
      <c r="E604" s="99"/>
      <c r="F604" t="s" s="86">
        <v>272</v>
      </c>
      <c r="G604" s="139">
        <v>0</v>
      </c>
      <c r="H604" t="s" s="140">
        <v>757</v>
      </c>
      <c r="I604" t="s" s="141">
        <v>96</v>
      </c>
      <c r="J604" t="s" s="141">
        <v>97</v>
      </c>
      <c r="K604" t="str" s="142" cm="1">
        <f t="array" ref="K604">IF(OR(H604="ריביות",AND(H604="דירה כצנלסון",G604&lt;0,ISNUMBER(SEARCH("הכנסה",F604)))),"הכנסה שסווגה מחדש",J604)</f>
        <v>שוטף</v>
      </c>
      <c r="L604" t="s" s="141">
        <v>741</v>
      </c>
      <c r="M604" s="143" cm="1">
        <f t="array" ref="M604">IF(L604="מאושר",IF(K604="הכנסה שסווגה מחדש",0,G604),0)</f>
        <v>0</v>
      </c>
      <c r="N604" s="143" cm="1">
        <f t="array" ref="N604">IF(K604="שוטף",M604,0)</f>
        <v>0</v>
      </c>
      <c r="O604" s="143" cm="1">
        <f t="array" ref="O604">IF(K604="הכנסה שסווגה מחדש",-G604,0)</f>
        <v>0</v>
      </c>
      <c r="P604" s="99"/>
      <c r="Q604" s="99"/>
      <c r="R604" t="s" s="144">
        <v>743</v>
      </c>
      <c r="S604" s="77"/>
    </row>
    <row r="605" ht="13.65" customHeight="1">
      <c r="A605" s="78">
        <v>45839</v>
      </c>
      <c r="B605" t="s" s="79">
        <v>50</v>
      </c>
      <c r="C605" t="s" s="80">
        <v>808</v>
      </c>
      <c r="D605" s="131">
        <v>8</v>
      </c>
      <c r="E605" s="100"/>
      <c r="F605" t="s" s="80">
        <v>232</v>
      </c>
      <c r="G605" s="132">
        <v>600</v>
      </c>
      <c r="H605" t="s" s="133">
        <v>757</v>
      </c>
      <c r="I605" t="s" s="134">
        <v>96</v>
      </c>
      <c r="J605" t="s" s="134">
        <v>97</v>
      </c>
      <c r="K605" t="str" s="135" cm="1">
        <f t="array" ref="K605">IF(OR(H605="ריביות",AND(H605="דירה כצנלסון",G605&lt;0,ISNUMBER(SEARCH("הכנסה",F605)))),"הכנסה שסווגה מחדש",J605)</f>
        <v>שוטף</v>
      </c>
      <c r="L605" t="s" s="134">
        <v>741</v>
      </c>
      <c r="M605" s="136" cm="1">
        <f t="array" ref="M605">IF(L605="מאושר",IF(K605="הכנסה שסווגה מחדש",0,G605),0)</f>
        <v>600</v>
      </c>
      <c r="N605" s="136" cm="1">
        <f t="array" ref="N605">IF(K605="שוטף",M605,0)</f>
        <v>600</v>
      </c>
      <c r="O605" s="136" cm="1">
        <f t="array" ref="O605">IF(K605="הכנסה שסווגה מחדש",-G605,0)</f>
        <v>0</v>
      </c>
      <c r="P605" t="s" s="80">
        <v>781</v>
      </c>
      <c r="Q605" s="100"/>
      <c r="R605" t="s" s="137">
        <v>743</v>
      </c>
      <c r="S605" s="77"/>
    </row>
    <row r="606" ht="13.65" customHeight="1">
      <c r="A606" s="84">
        <v>45839</v>
      </c>
      <c r="B606" t="s" s="85">
        <v>50</v>
      </c>
      <c r="C606" t="s" s="86">
        <v>808</v>
      </c>
      <c r="D606" s="138">
        <v>9</v>
      </c>
      <c r="E606" t="s" s="85">
        <v>788</v>
      </c>
      <c r="F606" t="s" s="86">
        <v>374</v>
      </c>
      <c r="G606" s="139">
        <v>38</v>
      </c>
      <c r="H606" t="s" s="140">
        <v>757</v>
      </c>
      <c r="I606" t="s" s="141">
        <v>96</v>
      </c>
      <c r="J606" t="s" s="141">
        <v>97</v>
      </c>
      <c r="K606" t="str" s="142" cm="1">
        <f t="array" ref="K606">IF(OR(H606="ריביות",AND(H606="דירה כצנלסון",G606&lt;0,ISNUMBER(SEARCH("הכנסה",F606)))),"הכנסה שסווגה מחדש",J606)</f>
        <v>שוטף</v>
      </c>
      <c r="L606" t="s" s="141">
        <v>741</v>
      </c>
      <c r="M606" s="143" cm="1">
        <f t="array" ref="M606">IF(L606="מאושר",IF(K606="הכנסה שסווגה מחדש",0,G606),0)</f>
        <v>38</v>
      </c>
      <c r="N606" s="143" cm="1">
        <f t="array" ref="N606">IF(K606="שוטף",M606,0)</f>
        <v>38</v>
      </c>
      <c r="O606" s="143" cm="1">
        <f t="array" ref="O606">IF(K606="הכנסה שסווגה מחדש",-G606,0)</f>
        <v>0</v>
      </c>
      <c r="P606" t="s" s="86">
        <v>762</v>
      </c>
      <c r="Q606" s="99"/>
      <c r="R606" t="s" s="144">
        <v>743</v>
      </c>
      <c r="S606" s="77"/>
    </row>
    <row r="607" ht="13.65" customHeight="1">
      <c r="A607" s="78">
        <v>45839</v>
      </c>
      <c r="B607" t="s" s="79">
        <v>50</v>
      </c>
      <c r="C607" t="s" s="80">
        <v>808</v>
      </c>
      <c r="D607" s="131">
        <v>10</v>
      </c>
      <c r="E607" t="s" s="79">
        <v>771</v>
      </c>
      <c r="F607" t="s" s="80">
        <v>276</v>
      </c>
      <c r="G607" s="132">
        <v>170</v>
      </c>
      <c r="H607" t="s" s="133">
        <v>763</v>
      </c>
      <c r="I607" t="s" s="134">
        <v>96</v>
      </c>
      <c r="J607" t="s" s="134">
        <v>97</v>
      </c>
      <c r="K607" t="str" s="135" cm="1">
        <f t="array" ref="K607">IF(OR(H607="ריביות",AND(H607="דירה כצנלסון",G607&lt;0,ISNUMBER(SEARCH("הכנסה",F607)))),"הכנסה שסווגה מחדש",J607)</f>
        <v>שוטף</v>
      </c>
      <c r="L607" t="s" s="134">
        <v>741</v>
      </c>
      <c r="M607" s="136" cm="1">
        <f t="array" ref="M607">IF(L607="מאושר",IF(K607="הכנסה שסווגה מחדש",0,G607),0)</f>
        <v>170</v>
      </c>
      <c r="N607" s="136" cm="1">
        <f t="array" ref="N607">IF(K607="שוטף",M607,0)</f>
        <v>170</v>
      </c>
      <c r="O607" s="136" cm="1">
        <f t="array" ref="O607">IF(K607="הכנסה שסווגה מחדש",-G607,0)</f>
        <v>0</v>
      </c>
      <c r="P607" t="s" s="80">
        <v>762</v>
      </c>
      <c r="Q607" s="100"/>
      <c r="R607" t="s" s="137">
        <v>743</v>
      </c>
      <c r="S607" s="77"/>
    </row>
    <row r="608" ht="13.65" customHeight="1">
      <c r="A608" s="84">
        <v>45839</v>
      </c>
      <c r="B608" t="s" s="85">
        <v>50</v>
      </c>
      <c r="C608" t="s" s="86">
        <v>808</v>
      </c>
      <c r="D608" s="138">
        <v>11</v>
      </c>
      <c r="E608" t="s" s="85">
        <v>764</v>
      </c>
      <c r="F608" t="s" s="86">
        <v>273</v>
      </c>
      <c r="G608" s="139">
        <v>87</v>
      </c>
      <c r="H608" t="s" s="140">
        <v>279</v>
      </c>
      <c r="I608" t="s" s="141">
        <v>99</v>
      </c>
      <c r="J608" t="s" s="141">
        <v>100</v>
      </c>
      <c r="K608" t="str" s="142" cm="1">
        <f t="array" ref="K608">IF(OR(H608="ריביות",AND(H608="דירה כצנלסון",G608&lt;0,ISNUMBER(SEARCH("הכנסה",F608)))),"הכנסה שסווגה מחדש",J608)</f>
        <v>חריג/נכס</v>
      </c>
      <c r="L608" t="s" s="141">
        <v>741</v>
      </c>
      <c r="M608" s="143" cm="1">
        <f t="array" ref="M608">IF(L608="מאושר",IF(K608="הכנסה שסווגה מחדש",0,G608),0)</f>
        <v>87</v>
      </c>
      <c r="N608" s="143" cm="1">
        <f t="array" ref="N608">IF(K608="שוטף",M608,0)</f>
        <v>0</v>
      </c>
      <c r="O608" s="143" cm="1">
        <f t="array" ref="O608">IF(K608="הכנסה שסווגה מחדש",-G608,0)</f>
        <v>0</v>
      </c>
      <c r="P608" t="s" s="86">
        <v>762</v>
      </c>
      <c r="Q608" s="99"/>
      <c r="R608" t="s" s="144">
        <v>743</v>
      </c>
      <c r="S608" s="77"/>
    </row>
    <row r="609" ht="13.65" customHeight="1">
      <c r="A609" s="78">
        <v>45839</v>
      </c>
      <c r="B609" t="s" s="79">
        <v>50</v>
      </c>
      <c r="C609" t="s" s="80">
        <v>808</v>
      </c>
      <c r="D609" s="131">
        <v>12</v>
      </c>
      <c r="E609" t="s" s="79">
        <v>764</v>
      </c>
      <c r="F609" t="s" s="80">
        <v>328</v>
      </c>
      <c r="G609" s="132">
        <v>30</v>
      </c>
      <c r="H609" t="s" s="133">
        <v>279</v>
      </c>
      <c r="I609" t="s" s="134">
        <v>99</v>
      </c>
      <c r="J609" t="s" s="134">
        <v>100</v>
      </c>
      <c r="K609" t="str" s="135" cm="1">
        <f t="array" ref="K609">IF(OR(H609="ריביות",AND(H609="דירה כצנלסון",G609&lt;0,ISNUMBER(SEARCH("הכנסה",F609)))),"הכנסה שסווגה מחדש",J609)</f>
        <v>חריג/נכס</v>
      </c>
      <c r="L609" t="s" s="134">
        <v>741</v>
      </c>
      <c r="M609" s="136" cm="1">
        <f t="array" ref="M609">IF(L609="מאושר",IF(K609="הכנסה שסווגה מחדש",0,G609),0)</f>
        <v>30</v>
      </c>
      <c r="N609" s="136" cm="1">
        <f t="array" ref="N609">IF(K609="שוטף",M609,0)</f>
        <v>0</v>
      </c>
      <c r="O609" s="136" cm="1">
        <f t="array" ref="O609">IF(K609="הכנסה שסווגה מחדש",-G609,0)</f>
        <v>0</v>
      </c>
      <c r="P609" t="s" s="80">
        <v>762</v>
      </c>
      <c r="Q609" s="100"/>
      <c r="R609" t="s" s="137">
        <v>743</v>
      </c>
      <c r="S609" s="77"/>
    </row>
    <row r="610" ht="13.65" customHeight="1">
      <c r="A610" s="84">
        <v>45839</v>
      </c>
      <c r="B610" t="s" s="85">
        <v>50</v>
      </c>
      <c r="C610" t="s" s="86">
        <v>808</v>
      </c>
      <c r="D610" s="138">
        <v>13</v>
      </c>
      <c r="E610" t="s" s="85">
        <v>775</v>
      </c>
      <c r="F610" t="s" s="86">
        <v>263</v>
      </c>
      <c r="G610" s="139">
        <v>115</v>
      </c>
      <c r="H610" t="s" s="140">
        <v>135</v>
      </c>
      <c r="I610" t="s" s="141">
        <v>135</v>
      </c>
      <c r="J610" t="s" s="141">
        <v>97</v>
      </c>
      <c r="K610" t="str" s="142" cm="1">
        <f t="array" ref="K610">IF(OR(H610="ריביות",AND(H610="דירה כצנלסון",G610&lt;0,ISNUMBER(SEARCH("הכנסה",F610)))),"הכנסה שסווגה מחדש",J610)</f>
        <v>שוטף</v>
      </c>
      <c r="L610" t="s" s="141">
        <v>741</v>
      </c>
      <c r="M610" s="143" cm="1">
        <f t="array" ref="M610">IF(L610="מאושר",IF(K610="הכנסה שסווגה מחדש",0,G610),0)</f>
        <v>115</v>
      </c>
      <c r="N610" s="143" cm="1">
        <f t="array" ref="N610">IF(K610="שוטף",M610,0)</f>
        <v>115</v>
      </c>
      <c r="O610" s="143" cm="1">
        <f t="array" ref="O610">IF(K610="הכנסה שסווגה מחדש",-G610,0)</f>
        <v>0</v>
      </c>
      <c r="P610" t="s" s="86">
        <v>770</v>
      </c>
      <c r="Q610" s="99"/>
      <c r="R610" t="s" s="144">
        <v>743</v>
      </c>
      <c r="S610" s="77"/>
    </row>
    <row r="611" ht="13.65" customHeight="1">
      <c r="A611" s="78">
        <v>45839</v>
      </c>
      <c r="B611" t="s" s="79">
        <v>50</v>
      </c>
      <c r="C611" t="s" s="80">
        <v>808</v>
      </c>
      <c r="D611" s="131">
        <v>14</v>
      </c>
      <c r="E611" s="100"/>
      <c r="F611" t="s" s="80">
        <v>211</v>
      </c>
      <c r="G611" s="132">
        <v>400</v>
      </c>
      <c r="H611" t="s" s="133">
        <v>757</v>
      </c>
      <c r="I611" t="s" s="134">
        <v>96</v>
      </c>
      <c r="J611" t="s" s="134">
        <v>97</v>
      </c>
      <c r="K611" t="str" s="135" cm="1">
        <f t="array" ref="K611">IF(OR(H611="ריביות",AND(H611="דירה כצנלסון",G611&lt;0,ISNUMBER(SEARCH("הכנסה",F611)))),"הכנסה שסווגה מחדש",J611)</f>
        <v>שוטף</v>
      </c>
      <c r="L611" t="s" s="134">
        <v>741</v>
      </c>
      <c r="M611" s="136" cm="1">
        <f t="array" ref="M611">IF(L611="מאושר",IF(K611="הכנסה שסווגה מחדש",0,G611),0)</f>
        <v>400</v>
      </c>
      <c r="N611" s="136" cm="1">
        <f t="array" ref="N611">IF(K611="שוטף",M611,0)</f>
        <v>400</v>
      </c>
      <c r="O611" s="136" cm="1">
        <f t="array" ref="O611">IF(K611="הכנסה שסווגה מחדש",-G611,0)</f>
        <v>0</v>
      </c>
      <c r="P611" t="s" s="80">
        <v>781</v>
      </c>
      <c r="Q611" s="100"/>
      <c r="R611" t="s" s="137">
        <v>743</v>
      </c>
      <c r="S611" s="77"/>
    </row>
    <row r="612" ht="13.65" customHeight="1">
      <c r="A612" s="84">
        <v>45839</v>
      </c>
      <c r="B612" t="s" s="85">
        <v>50</v>
      </c>
      <c r="C612" t="s" s="86">
        <v>808</v>
      </c>
      <c r="D612" s="138">
        <v>15</v>
      </c>
      <c r="E612" t="s" s="85">
        <v>34</v>
      </c>
      <c r="F612" t="s" s="86">
        <v>223</v>
      </c>
      <c r="G612" s="139">
        <v>187</v>
      </c>
      <c r="H612" t="s" s="140">
        <v>117</v>
      </c>
      <c r="I612" t="s" s="141">
        <v>117</v>
      </c>
      <c r="J612" t="s" s="141">
        <v>97</v>
      </c>
      <c r="K612" t="str" s="142" cm="1">
        <f t="array" ref="K612">IF(OR(H612="ריביות",AND(H612="דירה כצנלסון",G612&lt;0,ISNUMBER(SEARCH("הכנסה",F612)))),"הכנסה שסווגה מחדש",J612)</f>
        <v>שוטף</v>
      </c>
      <c r="L612" t="s" s="141">
        <v>741</v>
      </c>
      <c r="M612" s="143" cm="1">
        <f t="array" ref="M612">IF(L612="מאושר",IF(K612="הכנסה שסווגה מחדש",0,G612),0)</f>
        <v>187</v>
      </c>
      <c r="N612" s="143" cm="1">
        <f t="array" ref="N612">IF(K612="שוטף",M612,0)</f>
        <v>187</v>
      </c>
      <c r="O612" s="143" cm="1">
        <f t="array" ref="O612">IF(K612="הכנסה שסווגה מחדש",-G612,0)</f>
        <v>0</v>
      </c>
      <c r="P612" t="s" s="85">
        <v>758</v>
      </c>
      <c r="Q612" s="99"/>
      <c r="R612" t="s" s="144">
        <v>743</v>
      </c>
      <c r="S612" s="77"/>
    </row>
    <row r="613" ht="13.65" customHeight="1">
      <c r="A613" s="78">
        <v>45839</v>
      </c>
      <c r="B613" t="s" s="79">
        <v>50</v>
      </c>
      <c r="C613" t="s" s="80">
        <v>808</v>
      </c>
      <c r="D613" s="131">
        <v>16</v>
      </c>
      <c r="E613" t="s" s="79">
        <v>34</v>
      </c>
      <c r="F613" t="s" s="80">
        <v>223</v>
      </c>
      <c r="G613" s="132">
        <v>-53</v>
      </c>
      <c r="H613" t="s" s="133">
        <v>117</v>
      </c>
      <c r="I613" t="s" s="134">
        <v>117</v>
      </c>
      <c r="J613" t="s" s="134">
        <v>97</v>
      </c>
      <c r="K613" t="str" s="135" cm="1">
        <f t="array" ref="K613">IF(OR(H613="ריביות",AND(H613="דירה כצנלסון",G613&lt;0,ISNUMBER(SEARCH("הכנסה",F613)))),"הכנסה שסווגה מחדש",J613)</f>
        <v>שוטף</v>
      </c>
      <c r="L613" t="s" s="134">
        <v>741</v>
      </c>
      <c r="M613" s="136" cm="1">
        <f t="array" ref="M613">IF(L613="מאושר",IF(K613="הכנסה שסווגה מחדש",0,G613),0)</f>
        <v>-53</v>
      </c>
      <c r="N613" s="136" cm="1">
        <f t="array" ref="N613">IF(K613="שוטף",M613,0)</f>
        <v>-53</v>
      </c>
      <c r="O613" s="136" cm="1">
        <f t="array" ref="O613">IF(K613="הכנסה שסווגה מחדש",-G613,0)</f>
        <v>0</v>
      </c>
      <c r="P613" t="s" s="79">
        <v>758</v>
      </c>
      <c r="Q613" s="100"/>
      <c r="R613" t="s" s="137">
        <v>743</v>
      </c>
      <c r="S613" s="77"/>
    </row>
    <row r="614" ht="13.65" customHeight="1">
      <c r="A614" s="84">
        <v>45839</v>
      </c>
      <c r="B614" t="s" s="85">
        <v>50</v>
      </c>
      <c r="C614" t="s" s="86">
        <v>808</v>
      </c>
      <c r="D614" s="138">
        <v>17</v>
      </c>
      <c r="E614" t="s" s="85">
        <v>46</v>
      </c>
      <c r="F614" t="s" s="86">
        <v>256</v>
      </c>
      <c r="G614" s="139">
        <v>475</v>
      </c>
      <c r="H614" t="s" s="140">
        <v>123</v>
      </c>
      <c r="I614" t="s" s="141">
        <v>123</v>
      </c>
      <c r="J614" t="s" s="141">
        <v>97</v>
      </c>
      <c r="K614" t="str" s="142" cm="1">
        <f t="array" ref="K614">IF(OR(H614="ריביות",AND(H614="דירה כצנלסון",G614&lt;0,ISNUMBER(SEARCH("הכנסה",F614)))),"הכנסה שסווגה מחדש",J614)</f>
        <v>שוטף</v>
      </c>
      <c r="L614" t="s" s="141">
        <v>741</v>
      </c>
      <c r="M614" s="143" cm="1">
        <f t="array" ref="M614">IF(L614="מאושר",IF(K614="הכנסה שסווגה מחדש",0,G614),0)</f>
        <v>475</v>
      </c>
      <c r="N614" s="143" cm="1">
        <f t="array" ref="N614">IF(K614="שוטף",M614,0)</f>
        <v>475</v>
      </c>
      <c r="O614" s="143" cm="1">
        <f t="array" ref="O614">IF(K614="הכנסה שסווגה מחדש",-G614,0)</f>
        <v>0</v>
      </c>
      <c r="P614" t="s" s="85">
        <v>758</v>
      </c>
      <c r="Q614" s="99"/>
      <c r="R614" t="s" s="144">
        <v>743</v>
      </c>
      <c r="S614" s="77"/>
    </row>
    <row r="615" ht="13.65" customHeight="1">
      <c r="A615" s="78">
        <v>45839</v>
      </c>
      <c r="B615" t="s" s="79">
        <v>50</v>
      </c>
      <c r="C615" t="s" s="80">
        <v>808</v>
      </c>
      <c r="D615" s="131">
        <v>18</v>
      </c>
      <c r="E615" t="s" s="79">
        <v>790</v>
      </c>
      <c r="F615" t="s" s="80">
        <v>357</v>
      </c>
      <c r="G615" s="132">
        <v>475</v>
      </c>
      <c r="H615" t="s" s="133">
        <v>105</v>
      </c>
      <c r="I615" t="s" s="134">
        <v>105</v>
      </c>
      <c r="J615" t="s" s="134">
        <v>103</v>
      </c>
      <c r="K615" t="str" s="135" cm="1">
        <f t="array" ref="K615">IF(OR(H615="ריביות",AND(H615="דירה כצנלסון",G615&lt;0,ISNUMBER(SEARCH("הכנסה",F615)))),"הכנסה שסווגה מחדש",J615)</f>
        <v>חריג</v>
      </c>
      <c r="L615" t="s" s="134">
        <v>741</v>
      </c>
      <c r="M615" s="136" cm="1">
        <f t="array" ref="M615">IF(L615="מאושר",IF(K615="הכנסה שסווגה מחדש",0,G615),0)</f>
        <v>475</v>
      </c>
      <c r="N615" s="136" cm="1">
        <f t="array" ref="N615">IF(K615="שוטף",M615,0)</f>
        <v>0</v>
      </c>
      <c r="O615" s="136" cm="1">
        <f t="array" ref="O615">IF(K615="הכנסה שסווגה מחדש",-G615,0)</f>
        <v>0</v>
      </c>
      <c r="P615" t="s" s="79">
        <v>758</v>
      </c>
      <c r="Q615" s="100"/>
      <c r="R615" t="s" s="137">
        <v>743</v>
      </c>
      <c r="S615" s="77"/>
    </row>
    <row r="616" ht="13.65" customHeight="1">
      <c r="A616" s="84">
        <v>45839</v>
      </c>
      <c r="B616" t="s" s="85">
        <v>50</v>
      </c>
      <c r="C616" t="s" s="86">
        <v>808</v>
      </c>
      <c r="D616" s="138">
        <v>19</v>
      </c>
      <c r="E616" t="s" s="85">
        <v>765</v>
      </c>
      <c r="F616" t="s" s="86">
        <v>277</v>
      </c>
      <c r="G616" s="139">
        <v>56</v>
      </c>
      <c r="H616" t="s" s="140">
        <v>115</v>
      </c>
      <c r="I616" t="s" s="141">
        <v>115</v>
      </c>
      <c r="J616" t="s" s="141">
        <v>97</v>
      </c>
      <c r="K616" t="str" s="142" cm="1">
        <f t="array" ref="K616">IF(OR(H616="ריביות",AND(H616="דירה כצנלסון",G616&lt;0,ISNUMBER(SEARCH("הכנסה",F616)))),"הכנסה שסווגה מחדש",J616)</f>
        <v>שוטף</v>
      </c>
      <c r="L616" t="s" s="141">
        <v>741</v>
      </c>
      <c r="M616" s="143" cm="1">
        <f t="array" ref="M616">IF(L616="מאושר",IF(K616="הכנסה שסווגה מחדש",0,G616),0)</f>
        <v>56</v>
      </c>
      <c r="N616" s="143" cm="1">
        <f t="array" ref="N616">IF(K616="שוטף",M616,0)</f>
        <v>56</v>
      </c>
      <c r="O616" s="143" cm="1">
        <f t="array" ref="O616">IF(K616="הכנסה שסווגה מחדש",-G616,0)</f>
        <v>0</v>
      </c>
      <c r="P616" t="s" s="85">
        <v>758</v>
      </c>
      <c r="Q616" s="99"/>
      <c r="R616" t="s" s="144">
        <v>743</v>
      </c>
      <c r="S616" s="77"/>
    </row>
    <row r="617" ht="13.65" customHeight="1">
      <c r="A617" s="78">
        <v>45839</v>
      </c>
      <c r="B617" t="s" s="79">
        <v>50</v>
      </c>
      <c r="C617" t="s" s="80">
        <v>808</v>
      </c>
      <c r="D617" s="131">
        <v>20</v>
      </c>
      <c r="E617" t="s" s="79">
        <v>756</v>
      </c>
      <c r="F617" t="s" s="80">
        <v>256</v>
      </c>
      <c r="G617" s="132">
        <v>-304</v>
      </c>
      <c r="H617" t="s" s="133">
        <v>123</v>
      </c>
      <c r="I617" t="s" s="134">
        <v>123</v>
      </c>
      <c r="J617" t="s" s="134">
        <v>97</v>
      </c>
      <c r="K617" t="str" s="135" cm="1">
        <f t="array" ref="K617">IF(OR(H617="ריביות",AND(H617="דירה כצנלסון",G617&lt;0,ISNUMBER(SEARCH("הכנסה",F617)))),"הכנסה שסווגה מחדש",J617)</f>
        <v>שוטף</v>
      </c>
      <c r="L617" t="s" s="134">
        <v>741</v>
      </c>
      <c r="M617" s="136" cm="1">
        <f t="array" ref="M617">IF(L617="מאושר",IF(K617="הכנסה שסווגה מחדש",0,G617),0)</f>
        <v>-304</v>
      </c>
      <c r="N617" s="136" cm="1">
        <f t="array" ref="N617">IF(K617="שוטף",M617,0)</f>
        <v>-304</v>
      </c>
      <c r="O617" s="136" cm="1">
        <f t="array" ref="O617">IF(K617="הכנסה שסווגה מחדש",-G617,0)</f>
        <v>0</v>
      </c>
      <c r="P617" t="s" s="79">
        <v>758</v>
      </c>
      <c r="Q617" s="100"/>
      <c r="R617" t="s" s="137">
        <v>743</v>
      </c>
      <c r="S617" s="77"/>
    </row>
    <row r="618" ht="13.65" customHeight="1">
      <c r="A618" s="84">
        <v>45839</v>
      </c>
      <c r="B618" t="s" s="85">
        <v>50</v>
      </c>
      <c r="C618" t="s" s="86">
        <v>808</v>
      </c>
      <c r="D618" s="138">
        <v>21</v>
      </c>
      <c r="E618" t="s" s="85">
        <v>776</v>
      </c>
      <c r="F618" t="s" s="86">
        <v>223</v>
      </c>
      <c r="G618" s="139">
        <v>-31</v>
      </c>
      <c r="H618" t="s" s="140">
        <v>117</v>
      </c>
      <c r="I618" t="s" s="141">
        <v>117</v>
      </c>
      <c r="J618" t="s" s="141">
        <v>97</v>
      </c>
      <c r="K618" t="str" s="142" cm="1">
        <f t="array" ref="K618">IF(OR(H618="ריביות",AND(H618="דירה כצנלסון",G618&lt;0,ISNUMBER(SEARCH("הכנסה",F618)))),"הכנסה שסווגה מחדש",J618)</f>
        <v>שוטף</v>
      </c>
      <c r="L618" t="s" s="141">
        <v>741</v>
      </c>
      <c r="M618" s="143" cm="1">
        <f t="array" ref="M618">IF(L618="מאושר",IF(K618="הכנסה שסווגה מחדש",0,G618),0)</f>
        <v>-31</v>
      </c>
      <c r="N618" s="143" cm="1">
        <f t="array" ref="N618">IF(K618="שוטף",M618,0)</f>
        <v>-31</v>
      </c>
      <c r="O618" s="143" cm="1">
        <f t="array" ref="O618">IF(K618="הכנסה שסווגה מחדש",-G618,0)</f>
        <v>0</v>
      </c>
      <c r="P618" t="s" s="85">
        <v>758</v>
      </c>
      <c r="Q618" s="99"/>
      <c r="R618" t="s" s="144">
        <v>743</v>
      </c>
      <c r="S618" s="77"/>
    </row>
    <row r="619" ht="13.65" customHeight="1">
      <c r="A619" s="78">
        <v>45839</v>
      </c>
      <c r="B619" t="s" s="79">
        <v>50</v>
      </c>
      <c r="C619" t="s" s="80">
        <v>808</v>
      </c>
      <c r="D619" s="131">
        <v>22</v>
      </c>
      <c r="E619" t="s" s="79">
        <v>789</v>
      </c>
      <c r="F619" t="s" s="80">
        <v>223</v>
      </c>
      <c r="G619" s="132">
        <v>58</v>
      </c>
      <c r="H619" t="s" s="133">
        <v>117</v>
      </c>
      <c r="I619" t="s" s="134">
        <v>117</v>
      </c>
      <c r="J619" t="s" s="134">
        <v>97</v>
      </c>
      <c r="K619" t="str" s="135" cm="1">
        <f t="array" ref="K619">IF(OR(H619="ריביות",AND(H619="דירה כצנלסון",G619&lt;0,ISNUMBER(SEARCH("הכנסה",F619)))),"הכנסה שסווגה מחדש",J619)</f>
        <v>שוטף</v>
      </c>
      <c r="L619" t="s" s="134">
        <v>741</v>
      </c>
      <c r="M619" s="136" cm="1">
        <f t="array" ref="M619">IF(L619="מאושר",IF(K619="הכנסה שסווגה מחדש",0,G619),0)</f>
        <v>58</v>
      </c>
      <c r="N619" s="136" cm="1">
        <f t="array" ref="N619">IF(K619="שוטף",M619,0)</f>
        <v>58</v>
      </c>
      <c r="O619" s="136" cm="1">
        <f t="array" ref="O619">IF(K619="הכנסה שסווגה מחדש",-G619,0)</f>
        <v>0</v>
      </c>
      <c r="P619" t="s" s="79">
        <v>748</v>
      </c>
      <c r="Q619" s="100"/>
      <c r="R619" t="s" s="137">
        <v>743</v>
      </c>
      <c r="S619" s="77"/>
    </row>
    <row r="620" ht="13.65" customHeight="1">
      <c r="A620" s="84">
        <v>45839</v>
      </c>
      <c r="B620" t="s" s="85">
        <v>50</v>
      </c>
      <c r="C620" t="s" s="86">
        <v>808</v>
      </c>
      <c r="D620" s="138">
        <v>23</v>
      </c>
      <c r="E620" t="s" s="85">
        <v>769</v>
      </c>
      <c r="F620" t="s" s="86">
        <v>394</v>
      </c>
      <c r="G620" s="139">
        <v>304</v>
      </c>
      <c r="H620" t="s" s="140">
        <v>109</v>
      </c>
      <c r="I620" t="s" s="141">
        <v>109</v>
      </c>
      <c r="J620" t="s" s="141">
        <v>97</v>
      </c>
      <c r="K620" t="str" s="142" cm="1">
        <f t="array" ref="K620">IF(OR(H620="ריביות",AND(H620="דירה כצנלסון",G620&lt;0,ISNUMBER(SEARCH("הכנסה",F620)))),"הכנסה שסווגה מחדש",J620)</f>
        <v>שוטף</v>
      </c>
      <c r="L620" t="s" s="141">
        <v>741</v>
      </c>
      <c r="M620" s="143" cm="1">
        <f t="array" ref="M620">IF(L620="מאושר",IF(K620="הכנסה שסווגה מחדש",0,G620),0)</f>
        <v>304</v>
      </c>
      <c r="N620" s="143" cm="1">
        <f t="array" ref="N620">IF(K620="שוטף",M620,0)</f>
        <v>304</v>
      </c>
      <c r="O620" s="143" cm="1">
        <f t="array" ref="O620">IF(K620="הכנסה שסווגה מחדש",-G620,0)</f>
        <v>0</v>
      </c>
      <c r="P620" t="s" s="85">
        <v>748</v>
      </c>
      <c r="Q620" s="99"/>
      <c r="R620" t="s" s="144">
        <v>743</v>
      </c>
      <c r="S620" s="77"/>
    </row>
    <row r="621" ht="13.65" customHeight="1">
      <c r="A621" s="78">
        <v>45839</v>
      </c>
      <c r="B621" t="s" s="79">
        <v>50</v>
      </c>
      <c r="C621" t="s" s="80">
        <v>808</v>
      </c>
      <c r="D621" s="131">
        <v>24</v>
      </c>
      <c r="E621" t="s" s="79">
        <v>759</v>
      </c>
      <c r="F621" t="s" s="80">
        <v>413</v>
      </c>
      <c r="G621" s="132">
        <v>262</v>
      </c>
      <c r="H621" t="s" s="133">
        <v>210</v>
      </c>
      <c r="I621" t="s" s="134">
        <v>102</v>
      </c>
      <c r="J621" t="s" s="134">
        <v>103</v>
      </c>
      <c r="K621" t="str" s="135" cm="1">
        <f t="array" ref="K621">IF(OR(H621="ריביות",AND(H621="דירה כצנלסון",G621&lt;0,ISNUMBER(SEARCH("הכנסה",F621)))),"הכנסה שסווגה מחדש",J621)</f>
        <v>חריג</v>
      </c>
      <c r="L621" t="s" s="134">
        <v>741</v>
      </c>
      <c r="M621" s="136" cm="1">
        <f t="array" ref="M621">IF(L621="מאושר",IF(K621="הכנסה שסווגה מחדש",0,G621),0)</f>
        <v>262</v>
      </c>
      <c r="N621" s="136" cm="1">
        <f t="array" ref="N621">IF(K621="שוטף",M621,0)</f>
        <v>0</v>
      </c>
      <c r="O621" s="136" cm="1">
        <f t="array" ref="O621">IF(K621="הכנסה שסווגה מחדש",-G621,0)</f>
        <v>0</v>
      </c>
      <c r="P621" t="s" s="79">
        <v>748</v>
      </c>
      <c r="Q621" s="100"/>
      <c r="R621" t="s" s="137">
        <v>743</v>
      </c>
      <c r="S621" s="77"/>
    </row>
    <row r="622" ht="13.65" customHeight="1">
      <c r="A622" s="84">
        <v>45839</v>
      </c>
      <c r="B622" t="s" s="85">
        <v>50</v>
      </c>
      <c r="C622" t="s" s="86">
        <v>808</v>
      </c>
      <c r="D622" s="138">
        <v>25</v>
      </c>
      <c r="E622" t="s" s="85">
        <v>759</v>
      </c>
      <c r="F622" t="s" s="86">
        <v>342</v>
      </c>
      <c r="G622" s="139">
        <v>280</v>
      </c>
      <c r="H622" t="s" s="140">
        <v>210</v>
      </c>
      <c r="I622" t="s" s="141">
        <v>102</v>
      </c>
      <c r="J622" t="s" s="141">
        <v>103</v>
      </c>
      <c r="K622" t="str" s="142" cm="1">
        <f t="array" ref="K622">IF(OR(H622="ריביות",AND(H622="דירה כצנלסון",G622&lt;0,ISNUMBER(SEARCH("הכנסה",F622)))),"הכנסה שסווגה מחדש",J622)</f>
        <v>חריג</v>
      </c>
      <c r="L622" t="s" s="141">
        <v>741</v>
      </c>
      <c r="M622" s="143" cm="1">
        <f t="array" ref="M622">IF(L622="מאושר",IF(K622="הכנסה שסווגה מחדש",0,G622),0)</f>
        <v>280</v>
      </c>
      <c r="N622" s="143" cm="1">
        <f t="array" ref="N622">IF(K622="שוטף",M622,0)</f>
        <v>0</v>
      </c>
      <c r="O622" s="143" cm="1">
        <f t="array" ref="O622">IF(K622="הכנסה שסווגה מחדש",-G622,0)</f>
        <v>0</v>
      </c>
      <c r="P622" t="s" s="86">
        <v>809</v>
      </c>
      <c r="Q622" s="99"/>
      <c r="R622" t="s" s="144">
        <v>743</v>
      </c>
      <c r="S622" s="77"/>
    </row>
    <row r="623" ht="13.65" customHeight="1">
      <c r="A623" s="78">
        <v>45839</v>
      </c>
      <c r="B623" t="s" s="79">
        <v>50</v>
      </c>
      <c r="C623" t="s" s="80">
        <v>808</v>
      </c>
      <c r="D623" s="131">
        <v>26</v>
      </c>
      <c r="E623" t="s" s="79">
        <v>759</v>
      </c>
      <c r="F623" t="s" s="80">
        <v>342</v>
      </c>
      <c r="G623" s="132">
        <v>280</v>
      </c>
      <c r="H623" t="s" s="133">
        <v>210</v>
      </c>
      <c r="I623" t="s" s="134">
        <v>102</v>
      </c>
      <c r="J623" t="s" s="134">
        <v>103</v>
      </c>
      <c r="K623" t="str" s="135" cm="1">
        <f t="array" ref="K623">IF(OR(H623="ריביות",AND(H623="דירה כצנלסון",G623&lt;0,ISNUMBER(SEARCH("הכנסה",F623)))),"הכנסה שסווגה מחדש",J623)</f>
        <v>חריג</v>
      </c>
      <c r="L623" t="s" s="134">
        <v>741</v>
      </c>
      <c r="M623" s="136" cm="1">
        <f t="array" ref="M623">IF(L623="מאושר",IF(K623="הכנסה שסווגה מחדש",0,G623),0)</f>
        <v>280</v>
      </c>
      <c r="N623" s="136" cm="1">
        <f t="array" ref="N623">IF(K623="שוטף",M623,0)</f>
        <v>0</v>
      </c>
      <c r="O623" s="136" cm="1">
        <f t="array" ref="O623">IF(K623="הכנסה שסווגה מחדש",-G623,0)</f>
        <v>0</v>
      </c>
      <c r="P623" t="s" s="80">
        <v>809</v>
      </c>
      <c r="Q623" s="100"/>
      <c r="R623" t="s" s="137">
        <v>743</v>
      </c>
      <c r="S623" s="77"/>
    </row>
    <row r="624" ht="13.65" customHeight="1">
      <c r="A624" s="84">
        <v>45839</v>
      </c>
      <c r="B624" t="s" s="85">
        <v>50</v>
      </c>
      <c r="C624" t="s" s="86">
        <v>808</v>
      </c>
      <c r="D624" s="138">
        <v>27</v>
      </c>
      <c r="E624" t="s" s="85">
        <v>776</v>
      </c>
      <c r="F624" t="s" s="86">
        <v>200</v>
      </c>
      <c r="G624" s="139">
        <v>78</v>
      </c>
      <c r="H624" t="s" s="140">
        <v>109</v>
      </c>
      <c r="I624" t="s" s="141">
        <v>109</v>
      </c>
      <c r="J624" t="s" s="141">
        <v>97</v>
      </c>
      <c r="K624" t="str" s="142" cm="1">
        <f t="array" ref="K624">IF(OR(H624="ריביות",AND(H624="דירה כצנלסון",G624&lt;0,ISNUMBER(SEARCH("הכנסה",F624)))),"הכנסה שסווגה מחדש",J624)</f>
        <v>שוטף</v>
      </c>
      <c r="L624" t="s" s="141">
        <v>741</v>
      </c>
      <c r="M624" s="143" cm="1">
        <f t="array" ref="M624">IF(L624="מאושר",IF(K624="הכנסה שסווגה מחדש",0,G624),0)</f>
        <v>78</v>
      </c>
      <c r="N624" s="143" cm="1">
        <f t="array" ref="N624">IF(K624="שוטף",M624,0)</f>
        <v>78</v>
      </c>
      <c r="O624" s="143" cm="1">
        <f t="array" ref="O624">IF(K624="הכנסה שסווגה מחדש",-G624,0)</f>
        <v>0</v>
      </c>
      <c r="P624" t="s" s="86">
        <v>809</v>
      </c>
      <c r="Q624" s="99"/>
      <c r="R624" t="s" s="144">
        <v>743</v>
      </c>
      <c r="S624" s="77"/>
    </row>
    <row r="625" ht="13.65" customHeight="1">
      <c r="A625" s="78">
        <v>45839</v>
      </c>
      <c r="B625" t="s" s="79">
        <v>50</v>
      </c>
      <c r="C625" t="s" s="80">
        <v>808</v>
      </c>
      <c r="D625" s="131">
        <v>28</v>
      </c>
      <c r="E625" t="s" s="79">
        <v>30</v>
      </c>
      <c r="F625" t="s" s="80">
        <v>254</v>
      </c>
      <c r="G625" s="132">
        <v>50</v>
      </c>
      <c r="H625" t="s" s="133">
        <v>109</v>
      </c>
      <c r="I625" t="s" s="134">
        <v>109</v>
      </c>
      <c r="J625" t="s" s="134">
        <v>97</v>
      </c>
      <c r="K625" t="str" s="135" cm="1">
        <f t="array" ref="K625">IF(OR(H625="ריביות",AND(H625="דירה כצנלסון",G625&lt;0,ISNUMBER(SEARCH("הכנסה",F625)))),"הכנסה שסווגה מחדש",J625)</f>
        <v>שוטף</v>
      </c>
      <c r="L625" t="s" s="134">
        <v>741</v>
      </c>
      <c r="M625" s="136" cm="1">
        <f t="array" ref="M625">IF(L625="מאושר",IF(K625="הכנסה שסווגה מחדש",0,G625),0)</f>
        <v>50</v>
      </c>
      <c r="N625" s="136" cm="1">
        <f t="array" ref="N625">IF(K625="שוטף",M625,0)</f>
        <v>50</v>
      </c>
      <c r="O625" s="136" cm="1">
        <f t="array" ref="O625">IF(K625="הכנסה שסווגה מחדש",-G625,0)</f>
        <v>0</v>
      </c>
      <c r="P625" t="s" s="80">
        <v>762</v>
      </c>
      <c r="Q625" s="100"/>
      <c r="R625" t="s" s="137">
        <v>743</v>
      </c>
      <c r="S625" s="77"/>
    </row>
    <row r="626" ht="13.65" customHeight="1">
      <c r="A626" s="84">
        <v>45839</v>
      </c>
      <c r="B626" t="s" s="85">
        <v>50</v>
      </c>
      <c r="C626" t="s" s="86">
        <v>808</v>
      </c>
      <c r="D626" s="138">
        <v>29</v>
      </c>
      <c r="E626" t="s" s="85">
        <v>30</v>
      </c>
      <c r="F626" t="s" s="86">
        <v>267</v>
      </c>
      <c r="G626" s="139">
        <v>19</v>
      </c>
      <c r="H626" t="s" s="140">
        <v>109</v>
      </c>
      <c r="I626" t="s" s="141">
        <v>109</v>
      </c>
      <c r="J626" t="s" s="141">
        <v>97</v>
      </c>
      <c r="K626" t="str" s="142" cm="1">
        <f t="array" ref="K626">IF(OR(H626="ריביות",AND(H626="דירה כצנלסון",G626&lt;0,ISNUMBER(SEARCH("הכנסה",F626)))),"הכנסה שסווגה מחדש",J626)</f>
        <v>שוטף</v>
      </c>
      <c r="L626" t="s" s="141">
        <v>741</v>
      </c>
      <c r="M626" s="143" cm="1">
        <f t="array" ref="M626">IF(L626="מאושר",IF(K626="הכנסה שסווגה מחדש",0,G626),0)</f>
        <v>19</v>
      </c>
      <c r="N626" s="143" cm="1">
        <f t="array" ref="N626">IF(K626="שוטף",M626,0)</f>
        <v>19</v>
      </c>
      <c r="O626" s="143" cm="1">
        <f t="array" ref="O626">IF(K626="הכנסה שסווגה מחדש",-G626,0)</f>
        <v>0</v>
      </c>
      <c r="P626" t="s" s="86">
        <v>762</v>
      </c>
      <c r="Q626" s="99"/>
      <c r="R626" t="s" s="144">
        <v>743</v>
      </c>
      <c r="S626" s="77"/>
    </row>
    <row r="627" ht="13.65" customHeight="1">
      <c r="A627" s="78">
        <v>45839</v>
      </c>
      <c r="B627" t="s" s="79">
        <v>50</v>
      </c>
      <c r="C627" t="s" s="80">
        <v>808</v>
      </c>
      <c r="D627" s="131">
        <v>30</v>
      </c>
      <c r="E627" t="s" s="79">
        <v>30</v>
      </c>
      <c r="F627" t="s" s="80">
        <v>199</v>
      </c>
      <c r="G627" s="132">
        <v>1350</v>
      </c>
      <c r="H627" t="s" s="133">
        <v>767</v>
      </c>
      <c r="I627" t="s" s="134">
        <v>107</v>
      </c>
      <c r="J627" t="s" s="134">
        <v>97</v>
      </c>
      <c r="K627" t="str" s="135" cm="1">
        <f t="array" ref="K627">IF(OR(H627="ריביות",AND(H627="דירה כצנלסון",G627&lt;0,ISNUMBER(SEARCH("הכנסה",F627)))),"הכנסה שסווגה מחדש",J627)</f>
        <v>שוטף</v>
      </c>
      <c r="L627" t="s" s="134">
        <v>741</v>
      </c>
      <c r="M627" s="136" cm="1">
        <f t="array" ref="M627">IF(L627="מאושר",IF(K627="הכנסה שסווגה מחדש",0,G627),0)</f>
        <v>1350</v>
      </c>
      <c r="N627" s="136" cm="1">
        <f t="array" ref="N627">IF(K627="שוטף",M627,0)</f>
        <v>1350</v>
      </c>
      <c r="O627" s="136" cm="1">
        <f t="array" ref="O627">IF(K627="הכנסה שסווגה מחדש",-G627,0)</f>
        <v>0</v>
      </c>
      <c r="P627" t="s" s="80">
        <v>762</v>
      </c>
      <c r="Q627" s="100"/>
      <c r="R627" t="s" s="137">
        <v>743</v>
      </c>
      <c r="S627" s="77"/>
    </row>
    <row r="628" ht="13.65" customHeight="1">
      <c r="A628" s="84">
        <v>45839</v>
      </c>
      <c r="B628" t="s" s="85">
        <v>50</v>
      </c>
      <c r="C628" t="s" s="86">
        <v>808</v>
      </c>
      <c r="D628" s="138">
        <v>31</v>
      </c>
      <c r="E628" t="s" s="85">
        <v>34</v>
      </c>
      <c r="F628" t="s" s="86">
        <v>245</v>
      </c>
      <c r="G628" s="139">
        <v>55</v>
      </c>
      <c r="H628" t="s" s="140">
        <v>767</v>
      </c>
      <c r="I628" t="s" s="141">
        <v>107</v>
      </c>
      <c r="J628" t="s" s="141">
        <v>97</v>
      </c>
      <c r="K628" t="str" s="142" cm="1">
        <f t="array" ref="K628">IF(OR(H628="ריביות",AND(H628="דירה כצנלסון",G628&lt;0,ISNUMBER(SEARCH("הכנסה",F628)))),"הכנסה שסווגה מחדש",J628)</f>
        <v>שוטף</v>
      </c>
      <c r="L628" t="s" s="141">
        <v>741</v>
      </c>
      <c r="M628" s="143" cm="1">
        <f t="array" ref="M628">IF(L628="מאושר",IF(K628="הכנסה שסווגה מחדש",0,G628),0)</f>
        <v>55</v>
      </c>
      <c r="N628" s="143" cm="1">
        <f t="array" ref="N628">IF(K628="שוטף",M628,0)</f>
        <v>55</v>
      </c>
      <c r="O628" s="143" cm="1">
        <f t="array" ref="O628">IF(K628="הכנסה שסווגה מחדש",-G628,0)</f>
        <v>0</v>
      </c>
      <c r="P628" t="s" s="86">
        <v>762</v>
      </c>
      <c r="Q628" s="99"/>
      <c r="R628" t="s" s="144">
        <v>743</v>
      </c>
      <c r="S628" s="77"/>
    </row>
    <row r="629" ht="13.65" customHeight="1">
      <c r="A629" s="78">
        <v>45839</v>
      </c>
      <c r="B629" t="s" s="79">
        <v>50</v>
      </c>
      <c r="C629" t="s" s="80">
        <v>808</v>
      </c>
      <c r="D629" s="131">
        <v>32</v>
      </c>
      <c r="E629" t="s" s="79">
        <v>46</v>
      </c>
      <c r="F629" t="s" s="80">
        <v>213</v>
      </c>
      <c r="G629" s="132">
        <v>219</v>
      </c>
      <c r="H629" t="s" s="133">
        <v>115</v>
      </c>
      <c r="I629" t="s" s="134">
        <v>115</v>
      </c>
      <c r="J629" t="s" s="134">
        <v>97</v>
      </c>
      <c r="K629" t="str" s="135" cm="1">
        <f t="array" ref="K629">IF(OR(H629="ריביות",AND(H629="דירה כצנלסון",G629&lt;0,ISNUMBER(SEARCH("הכנסה",F629)))),"הכנסה שסווגה מחדש",J629)</f>
        <v>שוטף</v>
      </c>
      <c r="L629" t="s" s="134">
        <v>741</v>
      </c>
      <c r="M629" s="136" cm="1">
        <f t="array" ref="M629">IF(L629="מאושר",IF(K629="הכנסה שסווגה מחדש",0,G629),0)</f>
        <v>219</v>
      </c>
      <c r="N629" s="136" cm="1">
        <f t="array" ref="N629">IF(K629="שוטף",M629,0)</f>
        <v>219</v>
      </c>
      <c r="O629" s="136" cm="1">
        <f t="array" ref="O629">IF(K629="הכנסה שסווגה מחדש",-G629,0)</f>
        <v>0</v>
      </c>
      <c r="P629" t="s" s="80">
        <v>762</v>
      </c>
      <c r="Q629" s="100"/>
      <c r="R629" t="s" s="137">
        <v>743</v>
      </c>
      <c r="S629" s="77"/>
    </row>
    <row r="630" ht="13.65" customHeight="1">
      <c r="A630" s="84">
        <v>45839</v>
      </c>
      <c r="B630" t="s" s="85">
        <v>50</v>
      </c>
      <c r="C630" t="s" s="86">
        <v>808</v>
      </c>
      <c r="D630" s="138">
        <v>33</v>
      </c>
      <c r="E630" t="s" s="85">
        <v>46</v>
      </c>
      <c r="F630" t="s" s="86">
        <v>349</v>
      </c>
      <c r="G630" s="139">
        <v>120</v>
      </c>
      <c r="H630" t="s" s="140">
        <v>113</v>
      </c>
      <c r="I630" t="s" s="141">
        <v>113</v>
      </c>
      <c r="J630" t="s" s="141">
        <v>97</v>
      </c>
      <c r="K630" t="str" s="142" cm="1">
        <f t="array" ref="K630">IF(OR(H630="ריביות",AND(H630="דירה כצנלסון",G630&lt;0,ISNUMBER(SEARCH("הכנסה",F630)))),"הכנסה שסווגה מחדש",J630)</f>
        <v>שוטף</v>
      </c>
      <c r="L630" t="s" s="141">
        <v>741</v>
      </c>
      <c r="M630" s="143" cm="1">
        <f t="array" ref="M630">IF(L630="מאושר",IF(K630="הכנסה שסווגה מחדש",0,G630),0)</f>
        <v>120</v>
      </c>
      <c r="N630" s="143" cm="1">
        <f t="array" ref="N630">IF(K630="שוטף",M630,0)</f>
        <v>120</v>
      </c>
      <c r="O630" s="143" cm="1">
        <f t="array" ref="O630">IF(K630="הכנסה שסווגה מחדש",-G630,0)</f>
        <v>0</v>
      </c>
      <c r="P630" t="s" s="86">
        <v>762</v>
      </c>
      <c r="Q630" s="99"/>
      <c r="R630" t="s" s="144">
        <v>743</v>
      </c>
      <c r="S630" s="77"/>
    </row>
    <row r="631" ht="13.65" customHeight="1">
      <c r="A631" s="78">
        <v>45839</v>
      </c>
      <c r="B631" t="s" s="79">
        <v>50</v>
      </c>
      <c r="C631" t="s" s="80">
        <v>808</v>
      </c>
      <c r="D631" s="131">
        <v>34</v>
      </c>
      <c r="E631" t="s" s="79">
        <v>769</v>
      </c>
      <c r="F631" t="s" s="80">
        <v>200</v>
      </c>
      <c r="G631" s="132">
        <v>177</v>
      </c>
      <c r="H631" t="s" s="133">
        <v>109</v>
      </c>
      <c r="I631" t="s" s="134">
        <v>109</v>
      </c>
      <c r="J631" t="s" s="134">
        <v>97</v>
      </c>
      <c r="K631" t="str" s="135" cm="1">
        <f t="array" ref="K631">IF(OR(H631="ריביות",AND(H631="דירה כצנלסון",G631&lt;0,ISNUMBER(SEARCH("הכנסה",F631)))),"הכנסה שסווגה מחדש",J631)</f>
        <v>שוטף</v>
      </c>
      <c r="L631" t="s" s="134">
        <v>741</v>
      </c>
      <c r="M631" s="136" cm="1">
        <f t="array" ref="M631">IF(L631="מאושר",IF(K631="הכנסה שסווגה מחדש",0,G631),0)</f>
        <v>177</v>
      </c>
      <c r="N631" s="136" cm="1">
        <f t="array" ref="N631">IF(K631="שוטף",M631,0)</f>
        <v>177</v>
      </c>
      <c r="O631" s="136" cm="1">
        <f t="array" ref="O631">IF(K631="הכנסה שסווגה מחדש",-G631,0)</f>
        <v>0</v>
      </c>
      <c r="P631" t="s" s="80">
        <v>762</v>
      </c>
      <c r="Q631" s="100"/>
      <c r="R631" t="s" s="137">
        <v>743</v>
      </c>
      <c r="S631" s="77"/>
    </row>
    <row r="632" ht="13.65" customHeight="1">
      <c r="A632" s="84">
        <v>45839</v>
      </c>
      <c r="B632" t="s" s="85">
        <v>50</v>
      </c>
      <c r="C632" t="s" s="86">
        <v>808</v>
      </c>
      <c r="D632" s="138">
        <v>35</v>
      </c>
      <c r="E632" t="s" s="85">
        <v>769</v>
      </c>
      <c r="F632" t="s" s="86">
        <v>281</v>
      </c>
      <c r="G632" s="139">
        <v>100</v>
      </c>
      <c r="H632" t="s" s="140">
        <v>117</v>
      </c>
      <c r="I632" t="s" s="141">
        <v>117</v>
      </c>
      <c r="J632" t="s" s="141">
        <v>97</v>
      </c>
      <c r="K632" t="str" s="142" cm="1">
        <f t="array" ref="K632">IF(OR(H632="ריביות",AND(H632="דירה כצנלסון",G632&lt;0,ISNUMBER(SEARCH("הכנסה",F632)))),"הכנסה שסווגה מחדש",J632)</f>
        <v>שוטף</v>
      </c>
      <c r="L632" t="s" s="141">
        <v>741</v>
      </c>
      <c r="M632" s="143" cm="1">
        <f t="array" ref="M632">IF(L632="מאושר",IF(K632="הכנסה שסווגה מחדש",0,G632),0)</f>
        <v>100</v>
      </c>
      <c r="N632" s="143" cm="1">
        <f t="array" ref="N632">IF(K632="שוטף",M632,0)</f>
        <v>100</v>
      </c>
      <c r="O632" s="143" cm="1">
        <f t="array" ref="O632">IF(K632="הכנסה שסווגה מחדש",-G632,0)</f>
        <v>0</v>
      </c>
      <c r="P632" t="s" s="86">
        <v>762</v>
      </c>
      <c r="Q632" s="99"/>
      <c r="R632" t="s" s="144">
        <v>743</v>
      </c>
      <c r="S632" s="77"/>
    </row>
    <row r="633" ht="13.65" customHeight="1">
      <c r="A633" s="78">
        <v>45839</v>
      </c>
      <c r="B633" t="s" s="79">
        <v>50</v>
      </c>
      <c r="C633" t="s" s="80">
        <v>808</v>
      </c>
      <c r="D633" s="131">
        <v>36</v>
      </c>
      <c r="E633" t="s" s="79">
        <v>749</v>
      </c>
      <c r="F633" t="s" s="80">
        <v>267</v>
      </c>
      <c r="G633" s="132">
        <v>123</v>
      </c>
      <c r="H633" t="s" s="133">
        <v>109</v>
      </c>
      <c r="I633" t="s" s="134">
        <v>109</v>
      </c>
      <c r="J633" t="s" s="134">
        <v>97</v>
      </c>
      <c r="K633" t="str" s="135" cm="1">
        <f t="array" ref="K633">IF(OR(H633="ריביות",AND(H633="דירה כצנלסון",G633&lt;0,ISNUMBER(SEARCH("הכנסה",F633)))),"הכנסה שסווגה מחדש",J633)</f>
        <v>שוטף</v>
      </c>
      <c r="L633" t="s" s="134">
        <v>741</v>
      </c>
      <c r="M633" s="136" cm="1">
        <f t="array" ref="M633">IF(L633="מאושר",IF(K633="הכנסה שסווגה מחדש",0,G633),0)</f>
        <v>123</v>
      </c>
      <c r="N633" s="136" cm="1">
        <f t="array" ref="N633">IF(K633="שוטף",M633,0)</f>
        <v>123</v>
      </c>
      <c r="O633" s="136" cm="1">
        <f t="array" ref="O633">IF(K633="הכנסה שסווגה מחדש",-G633,0)</f>
        <v>0</v>
      </c>
      <c r="P633" t="s" s="80">
        <v>762</v>
      </c>
      <c r="Q633" s="100"/>
      <c r="R633" t="s" s="137">
        <v>743</v>
      </c>
      <c r="S633" s="77"/>
    </row>
    <row r="634" ht="13.65" customHeight="1">
      <c r="A634" s="84">
        <v>45839</v>
      </c>
      <c r="B634" t="s" s="85">
        <v>50</v>
      </c>
      <c r="C634" t="s" s="86">
        <v>808</v>
      </c>
      <c r="D634" s="138">
        <v>37</v>
      </c>
      <c r="E634" t="s" s="85">
        <v>789</v>
      </c>
      <c r="F634" t="s" s="86">
        <v>209</v>
      </c>
      <c r="G634" s="139">
        <v>139</v>
      </c>
      <c r="H634" t="s" s="140">
        <v>113</v>
      </c>
      <c r="I634" t="s" s="141">
        <v>113</v>
      </c>
      <c r="J634" t="s" s="141">
        <v>97</v>
      </c>
      <c r="K634" t="str" s="142" cm="1">
        <f t="array" ref="K634">IF(OR(H634="ריביות",AND(H634="דירה כצנלסון",G634&lt;0,ISNUMBER(SEARCH("הכנסה",F634)))),"הכנסה שסווגה מחדש",J634)</f>
        <v>שוטף</v>
      </c>
      <c r="L634" t="s" s="141">
        <v>741</v>
      </c>
      <c r="M634" s="143" cm="1">
        <f t="array" ref="M634">IF(L634="מאושר",IF(K634="הכנסה שסווגה מחדש",0,G634),0)</f>
        <v>139</v>
      </c>
      <c r="N634" s="143" cm="1">
        <f t="array" ref="N634">IF(K634="שוטף",M634,0)</f>
        <v>139</v>
      </c>
      <c r="O634" s="143" cm="1">
        <f t="array" ref="O634">IF(K634="הכנסה שסווגה מחדש",-G634,0)</f>
        <v>0</v>
      </c>
      <c r="P634" t="s" s="86">
        <v>762</v>
      </c>
      <c r="Q634" s="99"/>
      <c r="R634" t="s" s="144">
        <v>743</v>
      </c>
      <c r="S634" s="77"/>
    </row>
    <row r="635" ht="13.65" customHeight="1">
      <c r="A635" s="78">
        <v>45839</v>
      </c>
      <c r="B635" t="s" s="79">
        <v>50</v>
      </c>
      <c r="C635" t="s" s="80">
        <v>808</v>
      </c>
      <c r="D635" s="131">
        <v>38</v>
      </c>
      <c r="E635" t="s" s="79">
        <v>788</v>
      </c>
      <c r="F635" t="s" s="80">
        <v>355</v>
      </c>
      <c r="G635" s="132">
        <v>11</v>
      </c>
      <c r="H635" t="s" s="133">
        <v>113</v>
      </c>
      <c r="I635" t="s" s="134">
        <v>113</v>
      </c>
      <c r="J635" t="s" s="134">
        <v>97</v>
      </c>
      <c r="K635" t="str" s="135" cm="1">
        <f t="array" ref="K635">IF(OR(H635="ריביות",AND(H635="דירה כצנלסון",G635&lt;0,ISNUMBER(SEARCH("הכנסה",F635)))),"הכנסה שסווגה מחדש",J635)</f>
        <v>שוטף</v>
      </c>
      <c r="L635" t="s" s="134">
        <v>741</v>
      </c>
      <c r="M635" s="136" cm="1">
        <f t="array" ref="M635">IF(L635="מאושר",IF(K635="הכנסה שסווגה מחדש",0,G635),0)</f>
        <v>11</v>
      </c>
      <c r="N635" s="136" cm="1">
        <f t="array" ref="N635">IF(K635="שוטף",M635,0)</f>
        <v>11</v>
      </c>
      <c r="O635" s="136" cm="1">
        <f t="array" ref="O635">IF(K635="הכנסה שסווגה מחדש",-G635,0)</f>
        <v>0</v>
      </c>
      <c r="P635" t="s" s="80">
        <v>762</v>
      </c>
      <c r="Q635" s="100"/>
      <c r="R635" t="s" s="137">
        <v>743</v>
      </c>
      <c r="S635" s="77"/>
    </row>
    <row r="636" ht="13.65" customHeight="1">
      <c r="A636" s="84">
        <v>45839</v>
      </c>
      <c r="B636" t="s" s="85">
        <v>50</v>
      </c>
      <c r="C636" t="s" s="86">
        <v>808</v>
      </c>
      <c r="D636" s="138">
        <v>39</v>
      </c>
      <c r="E636" t="s" s="85">
        <v>788</v>
      </c>
      <c r="F636" t="s" s="86">
        <v>472</v>
      </c>
      <c r="G636" s="139">
        <v>5</v>
      </c>
      <c r="H636" t="s" s="140">
        <v>115</v>
      </c>
      <c r="I636" t="s" s="141">
        <v>115</v>
      </c>
      <c r="J636" t="s" s="141">
        <v>97</v>
      </c>
      <c r="K636" t="str" s="142" cm="1">
        <f t="array" ref="K636">IF(OR(H636="ריביות",AND(H636="דירה כצנלסון",G636&lt;0,ISNUMBER(SEARCH("הכנסה",F636)))),"הכנסה שסווגה מחדש",J636)</f>
        <v>שוטף</v>
      </c>
      <c r="L636" t="s" s="141">
        <v>741</v>
      </c>
      <c r="M636" s="143" cm="1">
        <f t="array" ref="M636">IF(L636="מאושר",IF(K636="הכנסה שסווגה מחדש",0,G636),0)</f>
        <v>5</v>
      </c>
      <c r="N636" s="143" cm="1">
        <f t="array" ref="N636">IF(K636="שוטף",M636,0)</f>
        <v>5</v>
      </c>
      <c r="O636" s="143" cm="1">
        <f t="array" ref="O636">IF(K636="הכנסה שסווגה מחדש",-G636,0)</f>
        <v>0</v>
      </c>
      <c r="P636" t="s" s="86">
        <v>762</v>
      </c>
      <c r="Q636" s="99"/>
      <c r="R636" t="s" s="144">
        <v>743</v>
      </c>
      <c r="S636" s="77"/>
    </row>
    <row r="637" ht="13.65" customHeight="1">
      <c r="A637" s="78">
        <v>45839</v>
      </c>
      <c r="B637" t="s" s="79">
        <v>50</v>
      </c>
      <c r="C637" t="s" s="80">
        <v>808</v>
      </c>
      <c r="D637" s="131">
        <v>40</v>
      </c>
      <c r="E637" t="s" s="79">
        <v>751</v>
      </c>
      <c r="F637" t="s" s="80">
        <v>254</v>
      </c>
      <c r="G637" s="132">
        <v>58</v>
      </c>
      <c r="H637" t="s" s="133">
        <v>109</v>
      </c>
      <c r="I637" t="s" s="134">
        <v>109</v>
      </c>
      <c r="J637" t="s" s="134">
        <v>97</v>
      </c>
      <c r="K637" t="str" s="135" cm="1">
        <f t="array" ref="K637">IF(OR(H637="ריביות",AND(H637="דירה כצנלסון",G637&lt;0,ISNUMBER(SEARCH("הכנסה",F637)))),"הכנסה שסווגה מחדש",J637)</f>
        <v>שוטף</v>
      </c>
      <c r="L637" t="s" s="134">
        <v>741</v>
      </c>
      <c r="M637" s="136" cm="1">
        <f t="array" ref="M637">IF(L637="מאושר",IF(K637="הכנסה שסווגה מחדש",0,G637),0)</f>
        <v>58</v>
      </c>
      <c r="N637" s="136" cm="1">
        <f t="array" ref="N637">IF(K637="שוטף",M637,0)</f>
        <v>58</v>
      </c>
      <c r="O637" s="136" cm="1">
        <f t="array" ref="O637">IF(K637="הכנסה שסווגה מחדש",-G637,0)</f>
        <v>0</v>
      </c>
      <c r="P637" t="s" s="80">
        <v>762</v>
      </c>
      <c r="Q637" s="100"/>
      <c r="R637" t="s" s="137">
        <v>743</v>
      </c>
      <c r="S637" s="77"/>
    </row>
    <row r="638" ht="13.65" customHeight="1">
      <c r="A638" s="84">
        <v>45839</v>
      </c>
      <c r="B638" t="s" s="85">
        <v>50</v>
      </c>
      <c r="C638" t="s" s="86">
        <v>808</v>
      </c>
      <c r="D638" s="138">
        <v>41</v>
      </c>
      <c r="E638" t="s" s="85">
        <v>751</v>
      </c>
      <c r="F638" t="s" s="86">
        <v>200</v>
      </c>
      <c r="G638" s="139">
        <v>67</v>
      </c>
      <c r="H638" t="s" s="140">
        <v>109</v>
      </c>
      <c r="I638" t="s" s="141">
        <v>109</v>
      </c>
      <c r="J638" t="s" s="141">
        <v>97</v>
      </c>
      <c r="K638" t="str" s="142" cm="1">
        <f t="array" ref="K638">IF(OR(H638="ריביות",AND(H638="דירה כצנלסון",G638&lt;0,ISNUMBER(SEARCH("הכנסה",F638)))),"הכנסה שסווגה מחדש",J638)</f>
        <v>שוטף</v>
      </c>
      <c r="L638" t="s" s="141">
        <v>741</v>
      </c>
      <c r="M638" s="143" cm="1">
        <f t="array" ref="M638">IF(L638="מאושר",IF(K638="הכנסה שסווגה מחדש",0,G638),0)</f>
        <v>67</v>
      </c>
      <c r="N638" s="143" cm="1">
        <f t="array" ref="N638">IF(K638="שוטף",M638,0)</f>
        <v>67</v>
      </c>
      <c r="O638" s="143" cm="1">
        <f t="array" ref="O638">IF(K638="הכנסה שסווגה מחדש",-G638,0)</f>
        <v>0</v>
      </c>
      <c r="P638" t="s" s="86">
        <v>762</v>
      </c>
      <c r="Q638" s="99"/>
      <c r="R638" t="s" s="144">
        <v>743</v>
      </c>
      <c r="S638" s="77"/>
    </row>
    <row r="639" ht="13.65" customHeight="1">
      <c r="A639" s="78">
        <v>45839</v>
      </c>
      <c r="B639" t="s" s="79">
        <v>50</v>
      </c>
      <c r="C639" t="s" s="80">
        <v>808</v>
      </c>
      <c r="D639" s="131">
        <v>42</v>
      </c>
      <c r="E639" t="s" s="79">
        <v>753</v>
      </c>
      <c r="F639" t="s" s="80">
        <v>349</v>
      </c>
      <c r="G639" s="132">
        <v>43</v>
      </c>
      <c r="H639" t="s" s="133">
        <v>113</v>
      </c>
      <c r="I639" t="s" s="134">
        <v>113</v>
      </c>
      <c r="J639" t="s" s="134">
        <v>97</v>
      </c>
      <c r="K639" t="str" s="135" cm="1">
        <f t="array" ref="K639">IF(OR(H639="ריביות",AND(H639="דירה כצנלסון",G639&lt;0,ISNUMBER(SEARCH("הכנסה",F639)))),"הכנסה שסווגה מחדש",J639)</f>
        <v>שוטף</v>
      </c>
      <c r="L639" t="s" s="134">
        <v>741</v>
      </c>
      <c r="M639" s="136" cm="1">
        <f t="array" ref="M639">IF(L639="מאושר",IF(K639="הכנסה שסווגה מחדש",0,G639),0)</f>
        <v>43</v>
      </c>
      <c r="N639" s="136" cm="1">
        <f t="array" ref="N639">IF(K639="שוטף",M639,0)</f>
        <v>43</v>
      </c>
      <c r="O639" s="136" cm="1">
        <f t="array" ref="O639">IF(K639="הכנסה שסווגה מחדש",-G639,0)</f>
        <v>0</v>
      </c>
      <c r="P639" t="s" s="80">
        <v>762</v>
      </c>
      <c r="Q639" s="100"/>
      <c r="R639" t="s" s="137">
        <v>743</v>
      </c>
      <c r="S639" s="77"/>
    </row>
    <row r="640" ht="13.65" customHeight="1">
      <c r="A640" s="84">
        <v>45839</v>
      </c>
      <c r="B640" t="s" s="85">
        <v>50</v>
      </c>
      <c r="C640" t="s" s="86">
        <v>808</v>
      </c>
      <c r="D640" s="138">
        <v>43</v>
      </c>
      <c r="E640" t="s" s="85">
        <v>753</v>
      </c>
      <c r="F640" t="s" s="86">
        <v>462</v>
      </c>
      <c r="G640" s="139">
        <v>54</v>
      </c>
      <c r="H640" t="s" s="140">
        <v>113</v>
      </c>
      <c r="I640" t="s" s="141">
        <v>113</v>
      </c>
      <c r="J640" t="s" s="141">
        <v>97</v>
      </c>
      <c r="K640" t="str" s="142" cm="1">
        <f t="array" ref="K640">IF(OR(H640="ריביות",AND(H640="דירה כצנלסון",G640&lt;0,ISNUMBER(SEARCH("הכנסה",F640)))),"הכנסה שסווגה מחדש",J640)</f>
        <v>שוטף</v>
      </c>
      <c r="L640" t="s" s="141">
        <v>741</v>
      </c>
      <c r="M640" s="143" cm="1">
        <f t="array" ref="M640">IF(L640="מאושר",IF(K640="הכנסה שסווגה מחדש",0,G640),0)</f>
        <v>54</v>
      </c>
      <c r="N640" s="143" cm="1">
        <f t="array" ref="N640">IF(K640="שוטף",M640,0)</f>
        <v>54</v>
      </c>
      <c r="O640" s="143" cm="1">
        <f t="array" ref="O640">IF(K640="הכנסה שסווגה מחדש",-G640,0)</f>
        <v>0</v>
      </c>
      <c r="P640" t="s" s="86">
        <v>762</v>
      </c>
      <c r="Q640" s="99"/>
      <c r="R640" t="s" s="144">
        <v>743</v>
      </c>
      <c r="S640" s="77"/>
    </row>
    <row r="641" ht="13.65" customHeight="1">
      <c r="A641" s="78">
        <v>45839</v>
      </c>
      <c r="B641" t="s" s="79">
        <v>50</v>
      </c>
      <c r="C641" t="s" s="80">
        <v>808</v>
      </c>
      <c r="D641" s="131">
        <v>44</v>
      </c>
      <c r="E641" t="s" s="79">
        <v>753</v>
      </c>
      <c r="F641" t="s" s="80">
        <v>436</v>
      </c>
      <c r="G641" s="132">
        <v>219</v>
      </c>
      <c r="H641" t="s" s="133">
        <v>117</v>
      </c>
      <c r="I641" t="s" s="134">
        <v>117</v>
      </c>
      <c r="J641" t="s" s="134">
        <v>97</v>
      </c>
      <c r="K641" t="str" s="135" cm="1">
        <f t="array" ref="K641">IF(OR(H641="ריביות",AND(H641="דירה כצנלסון",G641&lt;0,ISNUMBER(SEARCH("הכנסה",F641)))),"הכנסה שסווגה מחדש",J641)</f>
        <v>שוטף</v>
      </c>
      <c r="L641" t="s" s="134">
        <v>741</v>
      </c>
      <c r="M641" s="136" cm="1">
        <f t="array" ref="M641">IF(L641="מאושר",IF(K641="הכנסה שסווגה מחדש",0,G641),0)</f>
        <v>219</v>
      </c>
      <c r="N641" s="136" cm="1">
        <f t="array" ref="N641">IF(K641="שוטף",M641,0)</f>
        <v>219</v>
      </c>
      <c r="O641" s="136" cm="1">
        <f t="array" ref="O641">IF(K641="הכנסה שסווגה מחדש",-G641,0)</f>
        <v>0</v>
      </c>
      <c r="P641" t="s" s="80">
        <v>762</v>
      </c>
      <c r="Q641" s="100"/>
      <c r="R641" t="s" s="137">
        <v>743</v>
      </c>
      <c r="S641" s="77"/>
    </row>
    <row r="642" ht="13.65" customHeight="1">
      <c r="A642" s="84">
        <v>45839</v>
      </c>
      <c r="B642" t="s" s="85">
        <v>50</v>
      </c>
      <c r="C642" t="s" s="86">
        <v>808</v>
      </c>
      <c r="D642" s="138">
        <v>45</v>
      </c>
      <c r="E642" t="s" s="85">
        <v>753</v>
      </c>
      <c r="F642" t="s" s="86">
        <v>675</v>
      </c>
      <c r="G642" s="139">
        <v>20</v>
      </c>
      <c r="H642" t="s" s="140">
        <v>113</v>
      </c>
      <c r="I642" t="s" s="141">
        <v>113</v>
      </c>
      <c r="J642" t="s" s="141">
        <v>97</v>
      </c>
      <c r="K642" t="str" s="142" cm="1">
        <f t="array" ref="K642">IF(OR(H642="ריביות",AND(H642="דירה כצנלסון",G642&lt;0,ISNUMBER(SEARCH("הכנסה",F642)))),"הכנסה שסווגה מחדש",J642)</f>
        <v>שוטף</v>
      </c>
      <c r="L642" t="s" s="141">
        <v>741</v>
      </c>
      <c r="M642" s="143" cm="1">
        <f t="array" ref="M642">IF(L642="מאושר",IF(K642="הכנסה שסווגה מחדש",0,G642),0)</f>
        <v>20</v>
      </c>
      <c r="N642" s="143" cm="1">
        <f t="array" ref="N642">IF(K642="שוטף",M642,0)</f>
        <v>20</v>
      </c>
      <c r="O642" s="143" cm="1">
        <f t="array" ref="O642">IF(K642="הכנסה שסווגה מחדש",-G642,0)</f>
        <v>0</v>
      </c>
      <c r="P642" t="s" s="86">
        <v>762</v>
      </c>
      <c r="Q642" s="99"/>
      <c r="R642" t="s" s="144">
        <v>743</v>
      </c>
      <c r="S642" s="77"/>
    </row>
    <row r="643" ht="13.65" customHeight="1">
      <c r="A643" s="78">
        <v>45839</v>
      </c>
      <c r="B643" t="s" s="79">
        <v>50</v>
      </c>
      <c r="C643" t="s" s="80">
        <v>808</v>
      </c>
      <c r="D643" s="131">
        <v>46</v>
      </c>
      <c r="E643" t="s" s="79">
        <v>739</v>
      </c>
      <c r="F643" t="s" s="80">
        <v>377</v>
      </c>
      <c r="G643" s="132">
        <v>6</v>
      </c>
      <c r="H643" t="s" s="133">
        <v>113</v>
      </c>
      <c r="I643" t="s" s="134">
        <v>113</v>
      </c>
      <c r="J643" t="s" s="134">
        <v>97</v>
      </c>
      <c r="K643" t="str" s="135" cm="1">
        <f t="array" ref="K643">IF(OR(H643="ריביות",AND(H643="דירה כצנלסון",G643&lt;0,ISNUMBER(SEARCH("הכנסה",F643)))),"הכנסה שסווגה מחדש",J643)</f>
        <v>שוטף</v>
      </c>
      <c r="L643" t="s" s="134">
        <v>741</v>
      </c>
      <c r="M643" s="136" cm="1">
        <f t="array" ref="M643">IF(L643="מאושר",IF(K643="הכנסה שסווגה מחדש",0,G643),0)</f>
        <v>6</v>
      </c>
      <c r="N643" s="136" cm="1">
        <f t="array" ref="N643">IF(K643="שוטף",M643,0)</f>
        <v>6</v>
      </c>
      <c r="O643" s="136" cm="1">
        <f t="array" ref="O643">IF(K643="הכנסה שסווגה מחדש",-G643,0)</f>
        <v>0</v>
      </c>
      <c r="P643" t="s" s="80">
        <v>762</v>
      </c>
      <c r="Q643" s="100"/>
      <c r="R643" t="s" s="137">
        <v>743</v>
      </c>
      <c r="S643" s="77"/>
    </row>
    <row r="644" ht="13.65" customHeight="1">
      <c r="A644" s="84">
        <v>45839</v>
      </c>
      <c r="B644" t="s" s="85">
        <v>50</v>
      </c>
      <c r="C644" t="s" s="86">
        <v>808</v>
      </c>
      <c r="D644" s="138">
        <v>47</v>
      </c>
      <c r="E644" t="s" s="85">
        <v>739</v>
      </c>
      <c r="F644" t="s" s="86">
        <v>434</v>
      </c>
      <c r="G644" s="139">
        <v>25</v>
      </c>
      <c r="H644" t="s" s="140">
        <v>111</v>
      </c>
      <c r="I644" t="s" s="141">
        <v>111</v>
      </c>
      <c r="J644" t="s" s="141">
        <v>97</v>
      </c>
      <c r="K644" t="str" s="142" cm="1">
        <f t="array" ref="K644">IF(OR(H644="ריביות",AND(H644="דירה כצנלסון",G644&lt;0,ISNUMBER(SEARCH("הכנסה",F644)))),"הכנסה שסווגה מחדש",J644)</f>
        <v>שוטף</v>
      </c>
      <c r="L644" t="s" s="141">
        <v>741</v>
      </c>
      <c r="M644" s="143" cm="1">
        <f t="array" ref="M644">IF(L644="מאושר",IF(K644="הכנסה שסווגה מחדש",0,G644),0)</f>
        <v>25</v>
      </c>
      <c r="N644" s="143" cm="1">
        <f t="array" ref="N644">IF(K644="שוטף",M644,0)</f>
        <v>25</v>
      </c>
      <c r="O644" s="143" cm="1">
        <f t="array" ref="O644">IF(K644="הכנסה שסווגה מחדש",-G644,0)</f>
        <v>0</v>
      </c>
      <c r="P644" t="s" s="86">
        <v>762</v>
      </c>
      <c r="Q644" s="99"/>
      <c r="R644" t="s" s="144">
        <v>743</v>
      </c>
      <c r="S644" s="77"/>
    </row>
    <row r="645" ht="13.65" customHeight="1">
      <c r="A645" s="78">
        <v>45839</v>
      </c>
      <c r="B645" t="s" s="79">
        <v>50</v>
      </c>
      <c r="C645" t="s" s="80">
        <v>808</v>
      </c>
      <c r="D645" s="131">
        <v>48</v>
      </c>
      <c r="E645" t="s" s="79">
        <v>771</v>
      </c>
      <c r="F645" t="s" s="80">
        <v>200</v>
      </c>
      <c r="G645" s="132">
        <v>18</v>
      </c>
      <c r="H645" t="s" s="133">
        <v>109</v>
      </c>
      <c r="I645" t="s" s="134">
        <v>109</v>
      </c>
      <c r="J645" t="s" s="134">
        <v>97</v>
      </c>
      <c r="K645" t="str" s="135" cm="1">
        <f t="array" ref="K645">IF(OR(H645="ריביות",AND(H645="דירה כצנלסון",G645&lt;0,ISNUMBER(SEARCH("הכנסה",F645)))),"הכנסה שסווגה מחדש",J645)</f>
        <v>שוטף</v>
      </c>
      <c r="L645" t="s" s="134">
        <v>741</v>
      </c>
      <c r="M645" s="136" cm="1">
        <f t="array" ref="M645">IF(L645="מאושר",IF(K645="הכנסה שסווגה מחדש",0,G645),0)</f>
        <v>18</v>
      </c>
      <c r="N645" s="136" cm="1">
        <f t="array" ref="N645">IF(K645="שוטף",M645,0)</f>
        <v>18</v>
      </c>
      <c r="O645" s="136" cm="1">
        <f t="array" ref="O645">IF(K645="הכנסה שסווגה מחדש",-G645,0)</f>
        <v>0</v>
      </c>
      <c r="P645" t="s" s="80">
        <v>762</v>
      </c>
      <c r="Q645" s="100"/>
      <c r="R645" t="s" s="137">
        <v>743</v>
      </c>
      <c r="S645" s="77"/>
    </row>
    <row r="646" ht="13.65" customHeight="1">
      <c r="A646" s="84">
        <v>45839</v>
      </c>
      <c r="B646" t="s" s="85">
        <v>50</v>
      </c>
      <c r="C646" t="s" s="86">
        <v>808</v>
      </c>
      <c r="D646" s="138">
        <v>49</v>
      </c>
      <c r="E646" t="s" s="85">
        <v>771</v>
      </c>
      <c r="F646" t="s" s="86">
        <v>254</v>
      </c>
      <c r="G646" s="139">
        <v>7</v>
      </c>
      <c r="H646" t="s" s="140">
        <v>109</v>
      </c>
      <c r="I646" t="s" s="141">
        <v>109</v>
      </c>
      <c r="J646" t="s" s="141">
        <v>97</v>
      </c>
      <c r="K646" t="str" s="142" cm="1">
        <f t="array" ref="K646">IF(OR(H646="ריביות",AND(H646="דירה כצנלסון",G646&lt;0,ISNUMBER(SEARCH("הכנסה",F646)))),"הכנסה שסווגה מחדש",J646)</f>
        <v>שוטף</v>
      </c>
      <c r="L646" t="s" s="141">
        <v>741</v>
      </c>
      <c r="M646" s="143" cm="1">
        <f t="array" ref="M646">IF(L646="מאושר",IF(K646="הכנסה שסווגה מחדש",0,G646),0)</f>
        <v>7</v>
      </c>
      <c r="N646" s="143" cm="1">
        <f t="array" ref="N646">IF(K646="שוטף",M646,0)</f>
        <v>7</v>
      </c>
      <c r="O646" s="143" cm="1">
        <f t="array" ref="O646">IF(K646="הכנסה שסווגה מחדש",-G646,0)</f>
        <v>0</v>
      </c>
      <c r="P646" t="s" s="86">
        <v>762</v>
      </c>
      <c r="Q646" s="99"/>
      <c r="R646" t="s" s="144">
        <v>743</v>
      </c>
      <c r="S646" s="77"/>
    </row>
    <row r="647" ht="13.65" customHeight="1">
      <c r="A647" s="78">
        <v>45839</v>
      </c>
      <c r="B647" t="s" s="79">
        <v>50</v>
      </c>
      <c r="C647" t="s" s="80">
        <v>808</v>
      </c>
      <c r="D647" s="131">
        <v>50</v>
      </c>
      <c r="E647" t="s" s="79">
        <v>772</v>
      </c>
      <c r="F647" t="s" s="80">
        <v>200</v>
      </c>
      <c r="G647" s="132">
        <v>127</v>
      </c>
      <c r="H647" t="s" s="133">
        <v>109</v>
      </c>
      <c r="I647" t="s" s="134">
        <v>109</v>
      </c>
      <c r="J647" t="s" s="134">
        <v>97</v>
      </c>
      <c r="K647" t="str" s="135" cm="1">
        <f t="array" ref="K647">IF(OR(H647="ריביות",AND(H647="דירה כצנלסון",G647&lt;0,ISNUMBER(SEARCH("הכנסה",F647)))),"הכנסה שסווגה מחדש",J647)</f>
        <v>שוטף</v>
      </c>
      <c r="L647" t="s" s="134">
        <v>741</v>
      </c>
      <c r="M647" s="136" cm="1">
        <f t="array" ref="M647">IF(L647="מאושר",IF(K647="הכנסה שסווגה מחדש",0,G647),0)</f>
        <v>127</v>
      </c>
      <c r="N647" s="136" cm="1">
        <f t="array" ref="N647">IF(K647="שוטף",M647,0)</f>
        <v>127</v>
      </c>
      <c r="O647" s="136" cm="1">
        <f t="array" ref="O647">IF(K647="הכנסה שסווגה מחדש",-G647,0)</f>
        <v>0</v>
      </c>
      <c r="P647" t="s" s="80">
        <v>762</v>
      </c>
      <c r="Q647" s="100"/>
      <c r="R647" t="s" s="137">
        <v>743</v>
      </c>
      <c r="S647" s="77"/>
    </row>
    <row r="648" ht="13.65" customHeight="1">
      <c r="A648" s="84">
        <v>45839</v>
      </c>
      <c r="B648" t="s" s="85">
        <v>50</v>
      </c>
      <c r="C648" t="s" s="86">
        <v>808</v>
      </c>
      <c r="D648" s="138">
        <v>51</v>
      </c>
      <c r="E648" t="s" s="85">
        <v>772</v>
      </c>
      <c r="F648" t="s" s="86">
        <v>260</v>
      </c>
      <c r="G648" s="139">
        <v>1800</v>
      </c>
      <c r="H648" t="s" s="140">
        <v>105</v>
      </c>
      <c r="I648" t="s" s="141">
        <v>105</v>
      </c>
      <c r="J648" t="s" s="141">
        <v>103</v>
      </c>
      <c r="K648" t="str" s="142" cm="1">
        <f t="array" ref="K648">IF(OR(H648="ריביות",AND(H648="דירה כצנלסון",G648&lt;0,ISNUMBER(SEARCH("הכנסה",F648)))),"הכנסה שסווגה מחדש",J648)</f>
        <v>חריג</v>
      </c>
      <c r="L648" t="s" s="141">
        <v>741</v>
      </c>
      <c r="M648" s="143" cm="1">
        <f t="array" ref="M648">IF(L648="מאושר",IF(K648="הכנסה שסווגה מחדש",0,G648),0)</f>
        <v>1800</v>
      </c>
      <c r="N648" s="143" cm="1">
        <f t="array" ref="N648">IF(K648="שוטף",M648,0)</f>
        <v>0</v>
      </c>
      <c r="O648" s="143" cm="1">
        <f t="array" ref="O648">IF(K648="הכנסה שסווגה מחדש",-G648,0)</f>
        <v>0</v>
      </c>
      <c r="P648" t="s" s="86">
        <v>762</v>
      </c>
      <c r="Q648" s="99"/>
      <c r="R648" t="s" s="144">
        <v>743</v>
      </c>
      <c r="S648" s="77"/>
    </row>
    <row r="649" ht="13.65" customHeight="1">
      <c r="A649" s="78">
        <v>45839</v>
      </c>
      <c r="B649" t="s" s="79">
        <v>50</v>
      </c>
      <c r="C649" t="s" s="80">
        <v>808</v>
      </c>
      <c r="D649" s="131">
        <v>52</v>
      </c>
      <c r="E649" t="s" s="79">
        <v>771</v>
      </c>
      <c r="F649" t="s" s="80">
        <v>200</v>
      </c>
      <c r="G649" s="132">
        <v>299</v>
      </c>
      <c r="H649" t="s" s="133">
        <v>109</v>
      </c>
      <c r="I649" t="s" s="134">
        <v>109</v>
      </c>
      <c r="J649" t="s" s="134">
        <v>97</v>
      </c>
      <c r="K649" t="str" s="135" cm="1">
        <f t="array" ref="K649">IF(OR(H649="ריביות",AND(H649="דירה כצנלסון",G649&lt;0,ISNUMBER(SEARCH("הכנסה",F649)))),"הכנסה שסווגה מחדש",J649)</f>
        <v>שוטף</v>
      </c>
      <c r="L649" t="s" s="134">
        <v>741</v>
      </c>
      <c r="M649" s="136" cm="1">
        <f t="array" ref="M649">IF(L649="מאושר",IF(K649="הכנסה שסווגה מחדש",0,G649),0)</f>
        <v>299</v>
      </c>
      <c r="N649" s="136" cm="1">
        <f t="array" ref="N649">IF(K649="שוטף",M649,0)</f>
        <v>299</v>
      </c>
      <c r="O649" s="136" cm="1">
        <f t="array" ref="O649">IF(K649="הכנסה שסווגה מחדש",-G649,0)</f>
        <v>0</v>
      </c>
      <c r="P649" t="s" s="80">
        <v>762</v>
      </c>
      <c r="Q649" s="100"/>
      <c r="R649" t="s" s="137">
        <v>743</v>
      </c>
      <c r="S649" s="77"/>
    </row>
    <row r="650" ht="13.65" customHeight="1">
      <c r="A650" s="84">
        <v>45839</v>
      </c>
      <c r="B650" t="s" s="85">
        <v>50</v>
      </c>
      <c r="C650" t="s" s="86">
        <v>808</v>
      </c>
      <c r="D650" s="138">
        <v>53</v>
      </c>
      <c r="E650" t="s" s="85">
        <v>773</v>
      </c>
      <c r="F650" t="s" s="86">
        <v>254</v>
      </c>
      <c r="G650" s="139">
        <v>51</v>
      </c>
      <c r="H650" t="s" s="140">
        <v>109</v>
      </c>
      <c r="I650" t="s" s="141">
        <v>109</v>
      </c>
      <c r="J650" t="s" s="141">
        <v>97</v>
      </c>
      <c r="K650" t="str" s="142" cm="1">
        <f t="array" ref="K650">IF(OR(H650="ריביות",AND(H650="דירה כצנלסון",G650&lt;0,ISNUMBER(SEARCH("הכנסה",F650)))),"הכנסה שסווגה מחדש",J650)</f>
        <v>שוטף</v>
      </c>
      <c r="L650" t="s" s="141">
        <v>741</v>
      </c>
      <c r="M650" s="143" cm="1">
        <f t="array" ref="M650">IF(L650="מאושר",IF(K650="הכנסה שסווגה מחדש",0,G650),0)</f>
        <v>51</v>
      </c>
      <c r="N650" s="143" cm="1">
        <f t="array" ref="N650">IF(K650="שוטף",M650,0)</f>
        <v>51</v>
      </c>
      <c r="O650" s="143" cm="1">
        <f t="array" ref="O650">IF(K650="הכנסה שסווגה מחדש",-G650,0)</f>
        <v>0</v>
      </c>
      <c r="P650" t="s" s="86">
        <v>762</v>
      </c>
      <c r="Q650" s="99"/>
      <c r="R650" t="s" s="144">
        <v>743</v>
      </c>
      <c r="S650" s="77"/>
    </row>
    <row r="651" ht="13.65" customHeight="1">
      <c r="A651" s="78">
        <v>45839</v>
      </c>
      <c r="B651" t="s" s="79">
        <v>50</v>
      </c>
      <c r="C651" t="s" s="80">
        <v>808</v>
      </c>
      <c r="D651" s="131">
        <v>54</v>
      </c>
      <c r="E651" t="s" s="79">
        <v>790</v>
      </c>
      <c r="F651" t="s" s="80">
        <v>550</v>
      </c>
      <c r="G651" s="132">
        <v>80</v>
      </c>
      <c r="H651" t="s" s="133">
        <v>105</v>
      </c>
      <c r="I651" t="s" s="134">
        <v>105</v>
      </c>
      <c r="J651" t="s" s="134">
        <v>103</v>
      </c>
      <c r="K651" t="str" s="135" cm="1">
        <f t="array" ref="K651">IF(OR(H651="ריביות",AND(H651="דירה כצנלסון",G651&lt;0,ISNUMBER(SEARCH("הכנסה",F651)))),"הכנסה שסווגה מחדש",J651)</f>
        <v>חריג</v>
      </c>
      <c r="L651" t="s" s="134">
        <v>741</v>
      </c>
      <c r="M651" s="136" cm="1">
        <f t="array" ref="M651">IF(L651="מאושר",IF(K651="הכנסה שסווגה מחדש",0,G651),0)</f>
        <v>80</v>
      </c>
      <c r="N651" s="136" cm="1">
        <f t="array" ref="N651">IF(K651="שוטף",M651,0)</f>
        <v>0</v>
      </c>
      <c r="O651" s="136" cm="1">
        <f t="array" ref="O651">IF(K651="הכנסה שסווגה מחדש",-G651,0)</f>
        <v>0</v>
      </c>
      <c r="P651" t="s" s="80">
        <v>762</v>
      </c>
      <c r="Q651" s="100"/>
      <c r="R651" t="s" s="137">
        <v>743</v>
      </c>
      <c r="S651" s="77"/>
    </row>
    <row r="652" ht="13.65" customHeight="1">
      <c r="A652" s="84">
        <v>45839</v>
      </c>
      <c r="B652" t="s" s="85">
        <v>50</v>
      </c>
      <c r="C652" t="s" s="86">
        <v>808</v>
      </c>
      <c r="D652" s="138">
        <v>55</v>
      </c>
      <c r="E652" t="s" s="85">
        <v>761</v>
      </c>
      <c r="F652" t="s" s="86">
        <v>213</v>
      </c>
      <c r="G652" s="139">
        <v>209</v>
      </c>
      <c r="H652" t="s" s="140">
        <v>115</v>
      </c>
      <c r="I652" t="s" s="141">
        <v>115</v>
      </c>
      <c r="J652" t="s" s="141">
        <v>97</v>
      </c>
      <c r="K652" t="str" s="142" cm="1">
        <f t="array" ref="K652">IF(OR(H652="ריביות",AND(H652="דירה כצנלסון",G652&lt;0,ISNUMBER(SEARCH("הכנסה",F652)))),"הכנסה שסווגה מחדש",J652)</f>
        <v>שוטף</v>
      </c>
      <c r="L652" t="s" s="141">
        <v>741</v>
      </c>
      <c r="M652" s="143" cm="1">
        <f t="array" ref="M652">IF(L652="מאושר",IF(K652="הכנסה שסווגה מחדש",0,G652),0)</f>
        <v>209</v>
      </c>
      <c r="N652" s="143" cm="1">
        <f t="array" ref="N652">IF(K652="שוטף",M652,0)</f>
        <v>209</v>
      </c>
      <c r="O652" s="143" cm="1">
        <f t="array" ref="O652">IF(K652="הכנסה שסווגה מחדש",-G652,0)</f>
        <v>0</v>
      </c>
      <c r="P652" t="s" s="86">
        <v>762</v>
      </c>
      <c r="Q652" s="99"/>
      <c r="R652" t="s" s="144">
        <v>743</v>
      </c>
      <c r="S652" s="77"/>
    </row>
    <row r="653" ht="13.65" customHeight="1">
      <c r="A653" s="78">
        <v>45839</v>
      </c>
      <c r="B653" t="s" s="79">
        <v>50</v>
      </c>
      <c r="C653" t="s" s="80">
        <v>808</v>
      </c>
      <c r="D653" s="131">
        <v>56</v>
      </c>
      <c r="E653" t="s" s="79">
        <v>755</v>
      </c>
      <c r="F653" t="s" s="80">
        <v>377</v>
      </c>
      <c r="G653" s="132">
        <v>7</v>
      </c>
      <c r="H653" t="s" s="133">
        <v>113</v>
      </c>
      <c r="I653" t="s" s="134">
        <v>113</v>
      </c>
      <c r="J653" t="s" s="134">
        <v>97</v>
      </c>
      <c r="K653" t="str" s="135" cm="1">
        <f t="array" ref="K653">IF(OR(H653="ריביות",AND(H653="דירה כצנלסון",G653&lt;0,ISNUMBER(SEARCH("הכנסה",F653)))),"הכנסה שסווגה מחדש",J653)</f>
        <v>שוטף</v>
      </c>
      <c r="L653" t="s" s="134">
        <v>741</v>
      </c>
      <c r="M653" s="136" cm="1">
        <f t="array" ref="M653">IF(L653="מאושר",IF(K653="הכנסה שסווגה מחדש",0,G653),0)</f>
        <v>7</v>
      </c>
      <c r="N653" s="136" cm="1">
        <f t="array" ref="N653">IF(K653="שוטף",M653,0)</f>
        <v>7</v>
      </c>
      <c r="O653" s="136" cm="1">
        <f t="array" ref="O653">IF(K653="הכנסה שסווגה מחדש",-G653,0)</f>
        <v>0</v>
      </c>
      <c r="P653" t="s" s="80">
        <v>762</v>
      </c>
      <c r="Q653" s="100"/>
      <c r="R653" t="s" s="137">
        <v>743</v>
      </c>
      <c r="S653" s="77"/>
    </row>
    <row r="654" ht="13.65" customHeight="1">
      <c r="A654" s="84">
        <v>45839</v>
      </c>
      <c r="B654" t="s" s="85">
        <v>50</v>
      </c>
      <c r="C654" t="s" s="86">
        <v>808</v>
      </c>
      <c r="D654" s="138">
        <v>57</v>
      </c>
      <c r="E654" t="s" s="85">
        <v>755</v>
      </c>
      <c r="F654" t="s" s="86">
        <v>200</v>
      </c>
      <c r="G654" s="139">
        <v>55</v>
      </c>
      <c r="H654" t="s" s="140">
        <v>109</v>
      </c>
      <c r="I654" t="s" s="141">
        <v>109</v>
      </c>
      <c r="J654" t="s" s="141">
        <v>97</v>
      </c>
      <c r="K654" t="str" s="142" cm="1">
        <f t="array" ref="K654">IF(OR(H654="ריביות",AND(H654="דירה כצנלסון",G654&lt;0,ISNUMBER(SEARCH("הכנסה",F654)))),"הכנסה שסווגה מחדש",J654)</f>
        <v>שוטף</v>
      </c>
      <c r="L654" t="s" s="141">
        <v>741</v>
      </c>
      <c r="M654" s="143" cm="1">
        <f t="array" ref="M654">IF(L654="מאושר",IF(K654="הכנסה שסווגה מחדש",0,G654),0)</f>
        <v>55</v>
      </c>
      <c r="N654" s="143" cm="1">
        <f t="array" ref="N654">IF(K654="שוטף",M654,0)</f>
        <v>55</v>
      </c>
      <c r="O654" s="143" cm="1">
        <f t="array" ref="O654">IF(K654="הכנסה שסווגה מחדש",-G654,0)</f>
        <v>0</v>
      </c>
      <c r="P654" t="s" s="86">
        <v>762</v>
      </c>
      <c r="Q654" s="99"/>
      <c r="R654" t="s" s="144">
        <v>743</v>
      </c>
      <c r="S654" s="77"/>
    </row>
    <row r="655" ht="13.65" customHeight="1">
      <c r="A655" s="78">
        <v>45839</v>
      </c>
      <c r="B655" t="s" s="79">
        <v>50</v>
      </c>
      <c r="C655" t="s" s="80">
        <v>808</v>
      </c>
      <c r="D655" s="131">
        <v>58</v>
      </c>
      <c r="E655" t="s" s="79">
        <v>755</v>
      </c>
      <c r="F655" t="s" s="80">
        <v>209</v>
      </c>
      <c r="G655" s="132">
        <v>17</v>
      </c>
      <c r="H655" t="s" s="133">
        <v>113</v>
      </c>
      <c r="I655" t="s" s="134">
        <v>113</v>
      </c>
      <c r="J655" t="s" s="134">
        <v>97</v>
      </c>
      <c r="K655" t="str" s="135" cm="1">
        <f t="array" ref="K655">IF(OR(H655="ריביות",AND(H655="דירה כצנלסון",G655&lt;0,ISNUMBER(SEARCH("הכנסה",F655)))),"הכנסה שסווגה מחדש",J655)</f>
        <v>שוטף</v>
      </c>
      <c r="L655" t="s" s="134">
        <v>741</v>
      </c>
      <c r="M655" s="136" cm="1">
        <f t="array" ref="M655">IF(L655="מאושר",IF(K655="הכנסה שסווגה מחדש",0,G655),0)</f>
        <v>17</v>
      </c>
      <c r="N655" s="136" cm="1">
        <f t="array" ref="N655">IF(K655="שוטף",M655,0)</f>
        <v>17</v>
      </c>
      <c r="O655" s="136" cm="1">
        <f t="array" ref="O655">IF(K655="הכנסה שסווגה מחדש",-G655,0)</f>
        <v>0</v>
      </c>
      <c r="P655" t="s" s="80">
        <v>762</v>
      </c>
      <c r="Q655" s="100"/>
      <c r="R655" t="s" s="137">
        <v>743</v>
      </c>
      <c r="S655" s="77"/>
    </row>
    <row r="656" ht="13.65" customHeight="1">
      <c r="A656" s="84">
        <v>45839</v>
      </c>
      <c r="B656" t="s" s="85">
        <v>50</v>
      </c>
      <c r="C656" t="s" s="86">
        <v>808</v>
      </c>
      <c r="D656" s="138">
        <v>59</v>
      </c>
      <c r="E656" t="s" s="85">
        <v>765</v>
      </c>
      <c r="F656" t="s" s="86">
        <v>284</v>
      </c>
      <c r="G656" s="139">
        <v>449</v>
      </c>
      <c r="H656" t="s" s="140">
        <v>123</v>
      </c>
      <c r="I656" t="s" s="141">
        <v>123</v>
      </c>
      <c r="J656" t="s" s="141">
        <v>97</v>
      </c>
      <c r="K656" t="str" s="142" cm="1">
        <f t="array" ref="K656">IF(OR(H656="ריביות",AND(H656="דירה כצנלסון",G656&lt;0,ISNUMBER(SEARCH("הכנסה",F656)))),"הכנסה שסווגה מחדש",J656)</f>
        <v>שוטף</v>
      </c>
      <c r="L656" t="s" s="141">
        <v>741</v>
      </c>
      <c r="M656" s="143" cm="1">
        <f t="array" ref="M656">IF(L656="מאושר",IF(K656="הכנסה שסווגה מחדש",0,G656),0)</f>
        <v>449</v>
      </c>
      <c r="N656" s="143" cm="1">
        <f t="array" ref="N656">IF(K656="שוטף",M656,0)</f>
        <v>449</v>
      </c>
      <c r="O656" s="143" cm="1">
        <f t="array" ref="O656">IF(K656="הכנסה שסווגה מחדש",-G656,0)</f>
        <v>0</v>
      </c>
      <c r="P656" t="s" s="86">
        <v>762</v>
      </c>
      <c r="Q656" s="99"/>
      <c r="R656" t="s" s="144">
        <v>743</v>
      </c>
      <c r="S656" s="77"/>
    </row>
    <row r="657" ht="13.65" customHeight="1">
      <c r="A657" s="78">
        <v>45839</v>
      </c>
      <c r="B657" t="s" s="79">
        <v>50</v>
      </c>
      <c r="C657" t="s" s="80">
        <v>808</v>
      </c>
      <c r="D657" s="131">
        <v>60</v>
      </c>
      <c r="E657" t="s" s="79">
        <v>765</v>
      </c>
      <c r="F657" t="s" s="80">
        <v>496</v>
      </c>
      <c r="G657" s="132">
        <v>128</v>
      </c>
      <c r="H657" t="s" s="133">
        <v>113</v>
      </c>
      <c r="I657" t="s" s="134">
        <v>113</v>
      </c>
      <c r="J657" t="s" s="134">
        <v>97</v>
      </c>
      <c r="K657" t="str" s="135" cm="1">
        <f t="array" ref="K657">IF(OR(H657="ריביות",AND(H657="דירה כצנלסון",G657&lt;0,ISNUMBER(SEARCH("הכנסה",F657)))),"הכנסה שסווגה מחדש",J657)</f>
        <v>שוטף</v>
      </c>
      <c r="L657" t="s" s="134">
        <v>741</v>
      </c>
      <c r="M657" s="136" cm="1">
        <f t="array" ref="M657">IF(L657="מאושר",IF(K657="הכנסה שסווגה מחדש",0,G657),0)</f>
        <v>128</v>
      </c>
      <c r="N657" s="136" cm="1">
        <f t="array" ref="N657">IF(K657="שוטף",M657,0)</f>
        <v>128</v>
      </c>
      <c r="O657" s="136" cm="1">
        <f t="array" ref="O657">IF(K657="הכנסה שסווגה מחדש",-G657,0)</f>
        <v>0</v>
      </c>
      <c r="P657" t="s" s="80">
        <v>762</v>
      </c>
      <c r="Q657" s="100"/>
      <c r="R657" t="s" s="137">
        <v>743</v>
      </c>
      <c r="S657" s="77"/>
    </row>
    <row r="658" ht="13.65" customHeight="1">
      <c r="A658" s="84">
        <v>45839</v>
      </c>
      <c r="B658" t="s" s="85">
        <v>50</v>
      </c>
      <c r="C658" t="s" s="86">
        <v>808</v>
      </c>
      <c r="D658" s="138">
        <v>61</v>
      </c>
      <c r="E658" t="s" s="85">
        <v>756</v>
      </c>
      <c r="F658" t="s" s="86">
        <v>269</v>
      </c>
      <c r="G658" s="139">
        <v>155</v>
      </c>
      <c r="H658" t="s" s="140">
        <v>113</v>
      </c>
      <c r="I658" t="s" s="141">
        <v>113</v>
      </c>
      <c r="J658" t="s" s="141">
        <v>97</v>
      </c>
      <c r="K658" t="str" s="142" cm="1">
        <f t="array" ref="K658">IF(OR(H658="ריביות",AND(H658="דירה כצנלסון",G658&lt;0,ISNUMBER(SEARCH("הכנסה",F658)))),"הכנסה שסווגה מחדש",J658)</f>
        <v>שוטף</v>
      </c>
      <c r="L658" t="s" s="141">
        <v>741</v>
      </c>
      <c r="M658" s="143" cm="1">
        <f t="array" ref="M658">IF(L658="מאושר",IF(K658="הכנסה שסווגה מחדש",0,G658),0)</f>
        <v>155</v>
      </c>
      <c r="N658" s="143" cm="1">
        <f t="array" ref="N658">IF(K658="שוטף",M658,0)</f>
        <v>155</v>
      </c>
      <c r="O658" s="143" cm="1">
        <f t="array" ref="O658">IF(K658="הכנסה שסווגה מחדש",-G658,0)</f>
        <v>0</v>
      </c>
      <c r="P658" t="s" s="86">
        <v>762</v>
      </c>
      <c r="Q658" s="99"/>
      <c r="R658" t="s" s="144">
        <v>743</v>
      </c>
      <c r="S658" s="77"/>
    </row>
    <row r="659" ht="13.65" customHeight="1">
      <c r="A659" s="78">
        <v>45839</v>
      </c>
      <c r="B659" t="s" s="79">
        <v>50</v>
      </c>
      <c r="C659" t="s" s="80">
        <v>808</v>
      </c>
      <c r="D659" s="131">
        <v>62</v>
      </c>
      <c r="E659" t="s" s="79">
        <v>756</v>
      </c>
      <c r="F659" t="s" s="80">
        <v>200</v>
      </c>
      <c r="G659" s="132">
        <v>539</v>
      </c>
      <c r="H659" t="s" s="133">
        <v>109</v>
      </c>
      <c r="I659" t="s" s="134">
        <v>109</v>
      </c>
      <c r="J659" t="s" s="134">
        <v>97</v>
      </c>
      <c r="K659" t="str" s="135" cm="1">
        <f t="array" ref="K659">IF(OR(H659="ריביות",AND(H659="דירה כצנלסון",G659&lt;0,ISNUMBER(SEARCH("הכנסה",F659)))),"הכנסה שסווגה מחדש",J659)</f>
        <v>שוטף</v>
      </c>
      <c r="L659" t="s" s="134">
        <v>741</v>
      </c>
      <c r="M659" s="136" cm="1">
        <f t="array" ref="M659">IF(L659="מאושר",IF(K659="הכנסה שסווגה מחדש",0,G659),0)</f>
        <v>539</v>
      </c>
      <c r="N659" s="136" cm="1">
        <f t="array" ref="N659">IF(K659="שוטף",M659,0)</f>
        <v>539</v>
      </c>
      <c r="O659" s="136" cm="1">
        <f t="array" ref="O659">IF(K659="הכנסה שסווגה מחדש",-G659,0)</f>
        <v>0</v>
      </c>
      <c r="P659" t="s" s="80">
        <v>762</v>
      </c>
      <c r="Q659" s="100"/>
      <c r="R659" t="s" s="137">
        <v>743</v>
      </c>
      <c r="S659" s="77"/>
    </row>
    <row r="660" ht="13.65" customHeight="1">
      <c r="A660" s="84">
        <v>45839</v>
      </c>
      <c r="B660" t="s" s="85">
        <v>50</v>
      </c>
      <c r="C660" t="s" s="86">
        <v>808</v>
      </c>
      <c r="D660" s="138">
        <v>63</v>
      </c>
      <c r="E660" t="s" s="85">
        <v>776</v>
      </c>
      <c r="F660" t="s" s="86">
        <v>208</v>
      </c>
      <c r="G660" s="139">
        <v>3531</v>
      </c>
      <c r="H660" t="s" s="140">
        <v>210</v>
      </c>
      <c r="I660" t="s" s="141">
        <v>102</v>
      </c>
      <c r="J660" t="s" s="141">
        <v>103</v>
      </c>
      <c r="K660" t="str" s="142" cm="1">
        <f t="array" ref="K660">IF(OR(H660="ריביות",AND(H660="דירה כצנלסון",G660&lt;0,ISNUMBER(SEARCH("הכנסה",F660)))),"הכנסה שסווגה מחדש",J660)</f>
        <v>חריג</v>
      </c>
      <c r="L660" t="s" s="141">
        <v>741</v>
      </c>
      <c r="M660" s="143" cm="1">
        <f t="array" ref="M660">IF(L660="מאושר",IF(K660="הכנסה שסווגה מחדש",0,G660),0)</f>
        <v>3531</v>
      </c>
      <c r="N660" s="143" cm="1">
        <f t="array" ref="N660">IF(K660="שוטף",M660,0)</f>
        <v>0</v>
      </c>
      <c r="O660" s="143" cm="1">
        <f t="array" ref="O660">IF(K660="הכנסה שסווגה מחדש",-G660,0)</f>
        <v>0</v>
      </c>
      <c r="P660" t="s" s="86">
        <v>762</v>
      </c>
      <c r="Q660" s="99"/>
      <c r="R660" t="s" s="144">
        <v>743</v>
      </c>
      <c r="S660" s="77"/>
    </row>
    <row r="661" ht="13.65" customHeight="1">
      <c r="A661" s="78">
        <v>45839</v>
      </c>
      <c r="B661" t="s" s="79">
        <v>50</v>
      </c>
      <c r="C661" t="s" s="80">
        <v>808</v>
      </c>
      <c r="D661" s="131">
        <v>64</v>
      </c>
      <c r="E661" t="s" s="79">
        <v>776</v>
      </c>
      <c r="F661" t="s" s="80">
        <v>214</v>
      </c>
      <c r="G661" s="132">
        <v>900</v>
      </c>
      <c r="H661" t="s" s="133">
        <v>767</v>
      </c>
      <c r="I661" t="s" s="134">
        <v>107</v>
      </c>
      <c r="J661" t="s" s="134">
        <v>97</v>
      </c>
      <c r="K661" t="str" s="135" cm="1">
        <f t="array" ref="K661">IF(OR(H661="ריביות",AND(H661="דירה כצנלסון",G661&lt;0,ISNUMBER(SEARCH("הכנסה",F661)))),"הכנסה שסווגה מחדש",J661)</f>
        <v>שוטף</v>
      </c>
      <c r="L661" t="s" s="134">
        <v>741</v>
      </c>
      <c r="M661" s="136" cm="1">
        <f t="array" ref="M661">IF(L661="מאושר",IF(K661="הכנסה שסווגה מחדש",0,G661),0)</f>
        <v>900</v>
      </c>
      <c r="N661" s="136" cm="1">
        <f t="array" ref="N661">IF(K661="שוטף",M661,0)</f>
        <v>900</v>
      </c>
      <c r="O661" s="136" cm="1">
        <f t="array" ref="O661">IF(K661="הכנסה שסווגה מחדש",-G661,0)</f>
        <v>0</v>
      </c>
      <c r="P661" t="s" s="80">
        <v>762</v>
      </c>
      <c r="Q661" s="100"/>
      <c r="R661" t="s" s="137">
        <v>743</v>
      </c>
      <c r="S661" s="77"/>
    </row>
    <row r="662" ht="13.65" customHeight="1">
      <c r="A662" s="84">
        <v>45839</v>
      </c>
      <c r="B662" t="s" s="85">
        <v>50</v>
      </c>
      <c r="C662" t="s" s="86">
        <v>808</v>
      </c>
      <c r="D662" s="138">
        <v>65</v>
      </c>
      <c r="E662" t="s" s="85">
        <v>777</v>
      </c>
      <c r="F662" t="s" s="86">
        <v>448</v>
      </c>
      <c r="G662" s="139">
        <v>112</v>
      </c>
      <c r="H662" t="s" s="140">
        <v>121</v>
      </c>
      <c r="I662" t="s" s="141">
        <v>121</v>
      </c>
      <c r="J662" t="s" s="141">
        <v>97</v>
      </c>
      <c r="K662" t="str" s="142" cm="1">
        <f t="array" ref="K662">IF(OR(H662="ריביות",AND(H662="דירה כצנלסון",G662&lt;0,ISNUMBER(SEARCH("הכנסה",F662)))),"הכנסה שסווגה מחדש",J662)</f>
        <v>שוטף</v>
      </c>
      <c r="L662" t="s" s="141">
        <v>741</v>
      </c>
      <c r="M662" s="143" cm="1">
        <f t="array" ref="M662">IF(L662="מאושר",IF(K662="הכנסה שסווגה מחדש",0,G662),0)</f>
        <v>112</v>
      </c>
      <c r="N662" s="143" cm="1">
        <f t="array" ref="N662">IF(K662="שוטף",M662,0)</f>
        <v>112</v>
      </c>
      <c r="O662" s="143" cm="1">
        <f t="array" ref="O662">IF(K662="הכנסה שסווגה מחדש",-G662,0)</f>
        <v>0</v>
      </c>
      <c r="P662" t="s" s="86">
        <v>762</v>
      </c>
      <c r="Q662" s="99"/>
      <c r="R662" t="s" s="144">
        <v>743</v>
      </c>
      <c r="S662" s="77"/>
    </row>
    <row r="663" ht="13.65" customHeight="1">
      <c r="A663" s="78">
        <v>45839</v>
      </c>
      <c r="B663" t="s" s="79">
        <v>50</v>
      </c>
      <c r="C663" t="s" s="80">
        <v>808</v>
      </c>
      <c r="D663" s="131">
        <v>66</v>
      </c>
      <c r="E663" t="s" s="79">
        <v>777</v>
      </c>
      <c r="F663" t="s" s="80">
        <v>254</v>
      </c>
      <c r="G663" s="132">
        <v>46</v>
      </c>
      <c r="H663" t="s" s="133">
        <v>109</v>
      </c>
      <c r="I663" t="s" s="134">
        <v>109</v>
      </c>
      <c r="J663" t="s" s="134">
        <v>97</v>
      </c>
      <c r="K663" t="str" s="135" cm="1">
        <f t="array" ref="K663">IF(OR(H663="ריביות",AND(H663="דירה כצנלסון",G663&lt;0,ISNUMBER(SEARCH("הכנסה",F663)))),"הכנסה שסווגה מחדש",J663)</f>
        <v>שוטף</v>
      </c>
      <c r="L663" t="s" s="134">
        <v>741</v>
      </c>
      <c r="M663" s="136" cm="1">
        <f t="array" ref="M663">IF(L663="מאושר",IF(K663="הכנסה שסווגה מחדש",0,G663),0)</f>
        <v>46</v>
      </c>
      <c r="N663" s="136" cm="1">
        <f t="array" ref="N663">IF(K663="שוטף",M663,0)</f>
        <v>46</v>
      </c>
      <c r="O663" s="136" cm="1">
        <f t="array" ref="O663">IF(K663="הכנסה שסווגה מחדש",-G663,0)</f>
        <v>0</v>
      </c>
      <c r="P663" t="s" s="80">
        <v>762</v>
      </c>
      <c r="Q663" s="100"/>
      <c r="R663" t="s" s="137">
        <v>743</v>
      </c>
      <c r="S663" s="77"/>
    </row>
    <row r="664" ht="13.65" customHeight="1">
      <c r="A664" s="84">
        <v>45839</v>
      </c>
      <c r="B664" t="s" s="85">
        <v>50</v>
      </c>
      <c r="C664" t="s" s="86">
        <v>808</v>
      </c>
      <c r="D664" s="138">
        <v>67</v>
      </c>
      <c r="E664" s="99"/>
      <c r="F664" t="s" s="86">
        <v>307</v>
      </c>
      <c r="G664" s="139">
        <v>25</v>
      </c>
      <c r="H664" t="s" s="140">
        <v>115</v>
      </c>
      <c r="I664" t="s" s="141">
        <v>115</v>
      </c>
      <c r="J664" t="s" s="141">
        <v>97</v>
      </c>
      <c r="K664" t="str" s="142" cm="1">
        <f t="array" ref="K664">IF(OR(H664="ריביות",AND(H664="דירה כצנלסון",G664&lt;0,ISNUMBER(SEARCH("הכנסה",F664)))),"הכנסה שסווגה מחדש",J664)</f>
        <v>שוטף</v>
      </c>
      <c r="L664" t="s" s="141">
        <v>741</v>
      </c>
      <c r="M664" s="143" cm="1">
        <f t="array" ref="M664">IF(L664="מאושר",IF(K664="הכנסה שסווגה מחדש",0,G664),0)</f>
        <v>25</v>
      </c>
      <c r="N664" s="143" cm="1">
        <f t="array" ref="N664">IF(K664="שוטף",M664,0)</f>
        <v>25</v>
      </c>
      <c r="O664" s="143" cm="1">
        <f t="array" ref="O664">IF(K664="הכנסה שסווגה מחדש",-G664,0)</f>
        <v>0</v>
      </c>
      <c r="P664" t="s" s="86">
        <v>762</v>
      </c>
      <c r="Q664" t="s" s="86">
        <v>810</v>
      </c>
      <c r="R664" t="s" s="144">
        <v>743</v>
      </c>
      <c r="S664" s="77"/>
    </row>
    <row r="665" ht="13.65" customHeight="1">
      <c r="A665" s="78">
        <v>45839</v>
      </c>
      <c r="B665" t="s" s="79">
        <v>50</v>
      </c>
      <c r="C665" t="s" s="80">
        <v>808</v>
      </c>
      <c r="D665" s="131">
        <v>68</v>
      </c>
      <c r="E665" t="s" s="79">
        <v>773</v>
      </c>
      <c r="F665" t="s" s="80">
        <v>200</v>
      </c>
      <c r="G665" s="132">
        <v>35</v>
      </c>
      <c r="H665" t="s" s="133">
        <v>109</v>
      </c>
      <c r="I665" t="s" s="134">
        <v>109</v>
      </c>
      <c r="J665" t="s" s="134">
        <v>97</v>
      </c>
      <c r="K665" t="str" s="135" cm="1">
        <f t="array" ref="K665">IF(OR(H665="ריביות",AND(H665="דירה כצנלסון",G665&lt;0,ISNUMBER(SEARCH("הכנסה",F665)))),"הכנסה שסווגה מחדש",J665)</f>
        <v>שוטף</v>
      </c>
      <c r="L665" t="s" s="134">
        <v>741</v>
      </c>
      <c r="M665" s="136" cm="1">
        <f t="array" ref="M665">IF(L665="מאושר",IF(K665="הכנסה שסווגה מחדש",0,G665),0)</f>
        <v>35</v>
      </c>
      <c r="N665" s="136" cm="1">
        <f t="array" ref="N665">IF(K665="שוטף",M665,0)</f>
        <v>35</v>
      </c>
      <c r="O665" s="136" cm="1">
        <f t="array" ref="O665">IF(K665="הכנסה שסווגה מחדש",-G665,0)</f>
        <v>0</v>
      </c>
      <c r="P665" t="s" s="80">
        <v>811</v>
      </c>
      <c r="Q665" s="100"/>
      <c r="R665" t="s" s="137">
        <v>743</v>
      </c>
      <c r="S665" s="77"/>
    </row>
    <row r="666" ht="13.65" customHeight="1">
      <c r="A666" s="84">
        <v>45839</v>
      </c>
      <c r="B666" t="s" s="85">
        <v>50</v>
      </c>
      <c r="C666" t="s" s="86">
        <v>808</v>
      </c>
      <c r="D666" s="138">
        <v>69</v>
      </c>
      <c r="E666" s="99"/>
      <c r="F666" t="s" s="86">
        <v>275</v>
      </c>
      <c r="G666" s="139">
        <v>173</v>
      </c>
      <c r="H666" t="s" s="140">
        <v>127</v>
      </c>
      <c r="I666" t="s" s="141">
        <v>127</v>
      </c>
      <c r="J666" t="s" s="141">
        <v>97</v>
      </c>
      <c r="K666" t="str" s="142" cm="1">
        <f t="array" ref="K666">IF(OR(H666="ריביות",AND(H666="דירה כצנלסון",G666&lt;0,ISNUMBER(SEARCH("הכנסה",F666)))),"הכנסה שסווגה מחדש",J666)</f>
        <v>שוטף</v>
      </c>
      <c r="L666" t="s" s="141">
        <v>741</v>
      </c>
      <c r="M666" s="143" cm="1">
        <f t="array" ref="M666">IF(L666="מאושר",IF(K666="הכנסה שסווגה מחדש",0,G666),0)</f>
        <v>173</v>
      </c>
      <c r="N666" s="143" cm="1">
        <f t="array" ref="N666">IF(K666="שוטף",M666,0)</f>
        <v>173</v>
      </c>
      <c r="O666" s="143" cm="1">
        <f t="array" ref="O666">IF(K666="הכנסה שסווגה מחדש",-G666,0)</f>
        <v>0</v>
      </c>
      <c r="P666" t="s" s="86">
        <v>770</v>
      </c>
      <c r="Q666" t="s" s="86">
        <v>812</v>
      </c>
      <c r="R666" t="s" s="144">
        <v>743</v>
      </c>
      <c r="S666" s="77"/>
    </row>
    <row r="667" ht="13.65" customHeight="1">
      <c r="A667" s="78">
        <v>45839</v>
      </c>
      <c r="B667" t="s" s="79">
        <v>50</v>
      </c>
      <c r="C667" t="s" s="80">
        <v>808</v>
      </c>
      <c r="D667" s="131">
        <v>70</v>
      </c>
      <c r="E667" t="s" s="79">
        <v>34</v>
      </c>
      <c r="F667" t="s" s="80">
        <v>245</v>
      </c>
      <c r="G667" s="132">
        <v>95</v>
      </c>
      <c r="H667" t="s" s="133">
        <v>767</v>
      </c>
      <c r="I667" t="s" s="134">
        <v>107</v>
      </c>
      <c r="J667" t="s" s="134">
        <v>97</v>
      </c>
      <c r="K667" t="str" s="135" cm="1">
        <f t="array" ref="K667">IF(OR(H667="ריביות",AND(H667="דירה כצנלסון",G667&lt;0,ISNUMBER(SEARCH("הכנסה",F667)))),"הכנסה שסווגה מחדש",J667)</f>
        <v>שוטף</v>
      </c>
      <c r="L667" t="s" s="134">
        <v>741</v>
      </c>
      <c r="M667" s="136" cm="1">
        <f t="array" ref="M667">IF(L667="מאושר",IF(K667="הכנסה שסווגה מחדש",0,G667),0)</f>
        <v>95</v>
      </c>
      <c r="N667" s="136" cm="1">
        <f t="array" ref="N667">IF(K667="שוטף",M667,0)</f>
        <v>95</v>
      </c>
      <c r="O667" s="136" cm="1">
        <f t="array" ref="O667">IF(K667="הכנסה שסווגה מחדש",-G667,0)</f>
        <v>0</v>
      </c>
      <c r="P667" t="s" s="80">
        <v>770</v>
      </c>
      <c r="Q667" t="s" s="80">
        <v>812</v>
      </c>
      <c r="R667" t="s" s="137">
        <v>743</v>
      </c>
      <c r="S667" s="77"/>
    </row>
    <row r="668" ht="13.65" customHeight="1">
      <c r="A668" s="84">
        <v>45839</v>
      </c>
      <c r="B668" t="s" s="85">
        <v>50</v>
      </c>
      <c r="C668" t="s" s="86">
        <v>808</v>
      </c>
      <c r="D668" s="138">
        <v>71</v>
      </c>
      <c r="E668" t="s" s="85">
        <v>38</v>
      </c>
      <c r="F668" t="s" s="86">
        <v>214</v>
      </c>
      <c r="G668" s="139">
        <v>900</v>
      </c>
      <c r="H668" t="s" s="140">
        <v>767</v>
      </c>
      <c r="I668" t="s" s="141">
        <v>107</v>
      </c>
      <c r="J668" t="s" s="141">
        <v>97</v>
      </c>
      <c r="K668" t="str" s="142" cm="1">
        <f t="array" ref="K668">IF(OR(H668="ריביות",AND(H668="דירה כצנלסון",G668&lt;0,ISNUMBER(SEARCH("הכנסה",F668)))),"הכנסה שסווגה מחדש",J668)</f>
        <v>שוטף</v>
      </c>
      <c r="L668" t="s" s="141">
        <v>741</v>
      </c>
      <c r="M668" s="143" cm="1">
        <f t="array" ref="M668">IF(L668="מאושר",IF(K668="הכנסה שסווגה מחדש",0,G668),0)</f>
        <v>900</v>
      </c>
      <c r="N668" s="143" cm="1">
        <f t="array" ref="N668">IF(K668="שוטף",M668,0)</f>
        <v>900</v>
      </c>
      <c r="O668" s="143" cm="1">
        <f t="array" ref="O668">IF(K668="הכנסה שסווגה מחדש",-G668,0)</f>
        <v>0</v>
      </c>
      <c r="P668" t="s" s="86">
        <v>770</v>
      </c>
      <c r="Q668" t="s" s="86">
        <v>812</v>
      </c>
      <c r="R668" t="s" s="144">
        <v>743</v>
      </c>
      <c r="S668" s="77"/>
    </row>
    <row r="669" ht="13.65" customHeight="1">
      <c r="A669" s="78">
        <v>45839</v>
      </c>
      <c r="B669" t="s" s="79">
        <v>50</v>
      </c>
      <c r="C669" t="s" s="80">
        <v>808</v>
      </c>
      <c r="D669" s="131">
        <v>72</v>
      </c>
      <c r="E669" t="s" s="79">
        <v>42</v>
      </c>
      <c r="F669" t="s" s="80">
        <v>449</v>
      </c>
      <c r="G669" s="132">
        <v>100</v>
      </c>
      <c r="H669" t="s" s="133">
        <v>117</v>
      </c>
      <c r="I669" t="s" s="134">
        <v>117</v>
      </c>
      <c r="J669" t="s" s="134">
        <v>97</v>
      </c>
      <c r="K669" t="str" s="135" cm="1">
        <f t="array" ref="K669">IF(OR(H669="ריביות",AND(H669="דירה כצנלסון",G669&lt;0,ISNUMBER(SEARCH("הכנסה",F669)))),"הכנסה שסווגה מחדש",J669)</f>
        <v>שוטף</v>
      </c>
      <c r="L669" t="s" s="134">
        <v>741</v>
      </c>
      <c r="M669" s="136" cm="1">
        <f t="array" ref="M669">IF(L669="מאושר",IF(K669="הכנסה שסווגה מחדש",0,G669),0)</f>
        <v>100</v>
      </c>
      <c r="N669" s="136" cm="1">
        <f t="array" ref="N669">IF(K669="שוטף",M669,0)</f>
        <v>100</v>
      </c>
      <c r="O669" s="136" cm="1">
        <f t="array" ref="O669">IF(K669="הכנסה שסווגה מחדש",-G669,0)</f>
        <v>0</v>
      </c>
      <c r="P669" t="s" s="80">
        <v>770</v>
      </c>
      <c r="Q669" t="s" s="80">
        <v>812</v>
      </c>
      <c r="R669" t="s" s="137">
        <v>743</v>
      </c>
      <c r="S669" s="77"/>
    </row>
    <row r="670" ht="13.65" customHeight="1">
      <c r="A670" s="84">
        <v>45839</v>
      </c>
      <c r="B670" t="s" s="85">
        <v>50</v>
      </c>
      <c r="C670" t="s" s="86">
        <v>808</v>
      </c>
      <c r="D670" s="138">
        <v>73</v>
      </c>
      <c r="E670" t="s" s="85">
        <v>788</v>
      </c>
      <c r="F670" t="s" s="86">
        <v>406</v>
      </c>
      <c r="G670" s="139">
        <v>278</v>
      </c>
      <c r="H670" t="s" s="140">
        <v>117</v>
      </c>
      <c r="I670" t="s" s="141">
        <v>117</v>
      </c>
      <c r="J670" t="s" s="141">
        <v>97</v>
      </c>
      <c r="K670" t="str" s="142" cm="1">
        <f t="array" ref="K670">IF(OR(H670="ריביות",AND(H670="דירה כצנלסון",G670&lt;0,ISNUMBER(SEARCH("הכנסה",F670)))),"הכנסה שסווגה מחדש",J670)</f>
        <v>שוטף</v>
      </c>
      <c r="L670" t="s" s="141">
        <v>741</v>
      </c>
      <c r="M670" s="143" cm="1">
        <f t="array" ref="M670">IF(L670="מאושר",IF(K670="הכנסה שסווגה מחדש",0,G670),0)</f>
        <v>278</v>
      </c>
      <c r="N670" s="143" cm="1">
        <f t="array" ref="N670">IF(K670="שוטף",M670,0)</f>
        <v>278</v>
      </c>
      <c r="O670" s="143" cm="1">
        <f t="array" ref="O670">IF(K670="הכנסה שסווגה מחדש",-G670,0)</f>
        <v>0</v>
      </c>
      <c r="P670" t="s" s="86">
        <v>770</v>
      </c>
      <c r="Q670" t="s" s="86">
        <v>812</v>
      </c>
      <c r="R670" t="s" s="144">
        <v>743</v>
      </c>
      <c r="S670" s="77"/>
    </row>
    <row r="671" ht="13.65" customHeight="1">
      <c r="A671" s="78">
        <v>45839</v>
      </c>
      <c r="B671" t="s" s="79">
        <v>50</v>
      </c>
      <c r="C671" t="s" s="80">
        <v>808</v>
      </c>
      <c r="D671" s="131">
        <v>74</v>
      </c>
      <c r="E671" t="s" s="79">
        <v>751</v>
      </c>
      <c r="F671" t="s" s="80">
        <v>449</v>
      </c>
      <c r="G671" s="132">
        <v>100</v>
      </c>
      <c r="H671" t="s" s="133">
        <v>117</v>
      </c>
      <c r="I671" t="s" s="134">
        <v>117</v>
      </c>
      <c r="J671" t="s" s="134">
        <v>97</v>
      </c>
      <c r="K671" t="str" s="135" cm="1">
        <f t="array" ref="K671">IF(OR(H671="ריביות",AND(H671="דירה כצנלסון",G671&lt;0,ISNUMBER(SEARCH("הכנסה",F671)))),"הכנסה שסווגה מחדש",J671)</f>
        <v>שוטף</v>
      </c>
      <c r="L671" t="s" s="134">
        <v>741</v>
      </c>
      <c r="M671" s="136" cm="1">
        <f t="array" ref="M671">IF(L671="מאושר",IF(K671="הכנסה שסווגה מחדש",0,G671),0)</f>
        <v>100</v>
      </c>
      <c r="N671" s="136" cm="1">
        <f t="array" ref="N671">IF(K671="שוטף",M671,0)</f>
        <v>100</v>
      </c>
      <c r="O671" s="136" cm="1">
        <f t="array" ref="O671">IF(K671="הכנסה שסווגה מחדש",-G671,0)</f>
        <v>0</v>
      </c>
      <c r="P671" t="s" s="80">
        <v>770</v>
      </c>
      <c r="Q671" t="s" s="80">
        <v>812</v>
      </c>
      <c r="R671" t="s" s="137">
        <v>743</v>
      </c>
      <c r="S671" s="77"/>
    </row>
    <row r="672" ht="13.65" customHeight="1">
      <c r="A672" s="84">
        <v>45839</v>
      </c>
      <c r="B672" t="s" s="85">
        <v>50</v>
      </c>
      <c r="C672" t="s" s="86">
        <v>808</v>
      </c>
      <c r="D672" s="138">
        <v>75</v>
      </c>
      <c r="E672" t="s" s="85">
        <v>34</v>
      </c>
      <c r="F672" t="s" s="86">
        <v>269</v>
      </c>
      <c r="G672" s="139">
        <v>82</v>
      </c>
      <c r="H672" t="s" s="140">
        <v>113</v>
      </c>
      <c r="I672" t="s" s="141">
        <v>113</v>
      </c>
      <c r="J672" t="s" s="141">
        <v>97</v>
      </c>
      <c r="K672" t="str" s="142" cm="1">
        <f t="array" ref="K672">IF(OR(H672="ריביות",AND(H672="דירה כצנלסון",G672&lt;0,ISNUMBER(SEARCH("הכנסה",F672)))),"הכנסה שסווגה מחדש",J672)</f>
        <v>שוטף</v>
      </c>
      <c r="L672" t="s" s="141">
        <v>741</v>
      </c>
      <c r="M672" s="143" cm="1">
        <f t="array" ref="M672">IF(L672="מאושר",IF(K672="הכנסה שסווגה מחדש",0,G672),0)</f>
        <v>82</v>
      </c>
      <c r="N672" s="143" cm="1">
        <f t="array" ref="N672">IF(K672="שוטף",M672,0)</f>
        <v>82</v>
      </c>
      <c r="O672" s="143" cm="1">
        <f t="array" ref="O672">IF(K672="הכנסה שסווגה מחדש",-G672,0)</f>
        <v>0</v>
      </c>
      <c r="P672" t="s" s="86">
        <v>770</v>
      </c>
      <c r="Q672" s="99"/>
      <c r="R672" t="s" s="144">
        <v>743</v>
      </c>
      <c r="S672" s="77"/>
    </row>
    <row r="673" ht="13.65" customHeight="1">
      <c r="A673" s="78">
        <v>45839</v>
      </c>
      <c r="B673" t="s" s="79">
        <v>50</v>
      </c>
      <c r="C673" t="s" s="80">
        <v>808</v>
      </c>
      <c r="D673" s="131">
        <v>76</v>
      </c>
      <c r="E673" t="s" s="79">
        <v>38</v>
      </c>
      <c r="F673" t="s" s="80">
        <v>200</v>
      </c>
      <c r="G673" s="132">
        <v>35</v>
      </c>
      <c r="H673" t="s" s="133">
        <v>109</v>
      </c>
      <c r="I673" t="s" s="134">
        <v>109</v>
      </c>
      <c r="J673" t="s" s="134">
        <v>97</v>
      </c>
      <c r="K673" t="str" s="135" cm="1">
        <f t="array" ref="K673">IF(OR(H673="ריביות",AND(H673="דירה כצנלסון",G673&lt;0,ISNUMBER(SEARCH("הכנסה",F673)))),"הכנסה שסווגה מחדש",J673)</f>
        <v>שוטף</v>
      </c>
      <c r="L673" t="s" s="134">
        <v>741</v>
      </c>
      <c r="M673" s="136" cm="1">
        <f t="array" ref="M673">IF(L673="מאושר",IF(K673="הכנסה שסווגה מחדש",0,G673),0)</f>
        <v>35</v>
      </c>
      <c r="N673" s="136" cm="1">
        <f t="array" ref="N673">IF(K673="שוטף",M673,0)</f>
        <v>35</v>
      </c>
      <c r="O673" s="136" cm="1">
        <f t="array" ref="O673">IF(K673="הכנסה שסווגה מחדש",-G673,0)</f>
        <v>0</v>
      </c>
      <c r="P673" t="s" s="80">
        <v>770</v>
      </c>
      <c r="Q673" s="100"/>
      <c r="R673" t="s" s="137">
        <v>743</v>
      </c>
      <c r="S673" s="77"/>
    </row>
    <row r="674" ht="13.65" customHeight="1">
      <c r="A674" s="84">
        <v>45839</v>
      </c>
      <c r="B674" t="s" s="85">
        <v>50</v>
      </c>
      <c r="C674" t="s" s="86">
        <v>808</v>
      </c>
      <c r="D674" s="138">
        <v>77</v>
      </c>
      <c r="E674" t="s" s="85">
        <v>38</v>
      </c>
      <c r="F674" t="s" s="86">
        <v>223</v>
      </c>
      <c r="G674" s="139">
        <v>46</v>
      </c>
      <c r="H674" t="s" s="140">
        <v>117</v>
      </c>
      <c r="I674" t="s" s="141">
        <v>117</v>
      </c>
      <c r="J674" t="s" s="141">
        <v>97</v>
      </c>
      <c r="K674" t="str" s="142" cm="1">
        <f t="array" ref="K674">IF(OR(H674="ריביות",AND(H674="דירה כצנלסון",G674&lt;0,ISNUMBER(SEARCH("הכנסה",F674)))),"הכנסה שסווגה מחדש",J674)</f>
        <v>שוטף</v>
      </c>
      <c r="L674" t="s" s="141">
        <v>741</v>
      </c>
      <c r="M674" s="143" cm="1">
        <f t="array" ref="M674">IF(L674="מאושר",IF(K674="הכנסה שסווגה מחדש",0,G674),0)</f>
        <v>46</v>
      </c>
      <c r="N674" s="143" cm="1">
        <f t="array" ref="N674">IF(K674="שוטף",M674,0)</f>
        <v>46</v>
      </c>
      <c r="O674" s="143" cm="1">
        <f t="array" ref="O674">IF(K674="הכנסה שסווגה מחדש",-G674,0)</f>
        <v>0</v>
      </c>
      <c r="P674" t="s" s="86">
        <v>770</v>
      </c>
      <c r="Q674" s="99"/>
      <c r="R674" t="s" s="144">
        <v>743</v>
      </c>
      <c r="S674" s="77"/>
    </row>
    <row r="675" ht="13.65" customHeight="1">
      <c r="A675" s="78">
        <v>45839</v>
      </c>
      <c r="B675" t="s" s="79">
        <v>50</v>
      </c>
      <c r="C675" t="s" s="80">
        <v>808</v>
      </c>
      <c r="D675" s="131">
        <v>78</v>
      </c>
      <c r="E675" t="s" s="79">
        <v>769</v>
      </c>
      <c r="F675" t="s" s="80">
        <v>209</v>
      </c>
      <c r="G675" s="132">
        <v>89</v>
      </c>
      <c r="H675" t="s" s="133">
        <v>113</v>
      </c>
      <c r="I675" t="s" s="134">
        <v>113</v>
      </c>
      <c r="J675" t="s" s="134">
        <v>97</v>
      </c>
      <c r="K675" t="str" s="135" cm="1">
        <f t="array" ref="K675">IF(OR(H675="ריביות",AND(H675="דירה כצנלסון",G675&lt;0,ISNUMBER(SEARCH("הכנסה",F675)))),"הכנסה שסווגה מחדש",J675)</f>
        <v>שוטף</v>
      </c>
      <c r="L675" t="s" s="134">
        <v>741</v>
      </c>
      <c r="M675" s="136" cm="1">
        <f t="array" ref="M675">IF(L675="מאושר",IF(K675="הכנסה שסווגה מחדש",0,G675),0)</f>
        <v>89</v>
      </c>
      <c r="N675" s="136" cm="1">
        <f t="array" ref="N675">IF(K675="שוטף",M675,0)</f>
        <v>89</v>
      </c>
      <c r="O675" s="136" cm="1">
        <f t="array" ref="O675">IF(K675="הכנסה שסווגה מחדש",-G675,0)</f>
        <v>0</v>
      </c>
      <c r="P675" t="s" s="80">
        <v>770</v>
      </c>
      <c r="Q675" s="100"/>
      <c r="R675" t="s" s="137">
        <v>743</v>
      </c>
      <c r="S675" s="77"/>
    </row>
    <row r="676" ht="13.65" customHeight="1">
      <c r="A676" s="84">
        <v>45839</v>
      </c>
      <c r="B676" t="s" s="85">
        <v>50</v>
      </c>
      <c r="C676" t="s" s="86">
        <v>808</v>
      </c>
      <c r="D676" s="138">
        <v>79</v>
      </c>
      <c r="E676" t="s" s="85">
        <v>749</v>
      </c>
      <c r="F676" t="s" s="86">
        <v>269</v>
      </c>
      <c r="G676" s="139">
        <v>86</v>
      </c>
      <c r="H676" t="s" s="140">
        <v>113</v>
      </c>
      <c r="I676" t="s" s="141">
        <v>113</v>
      </c>
      <c r="J676" t="s" s="141">
        <v>97</v>
      </c>
      <c r="K676" t="str" s="142" cm="1">
        <f t="array" ref="K676">IF(OR(H676="ריביות",AND(H676="דירה כצנלסון",G676&lt;0,ISNUMBER(SEARCH("הכנסה",F676)))),"הכנסה שסווגה מחדש",J676)</f>
        <v>שוטף</v>
      </c>
      <c r="L676" t="s" s="141">
        <v>741</v>
      </c>
      <c r="M676" s="143" cm="1">
        <f t="array" ref="M676">IF(L676="מאושר",IF(K676="הכנסה שסווגה מחדש",0,G676),0)</f>
        <v>86</v>
      </c>
      <c r="N676" s="143" cm="1">
        <f t="array" ref="N676">IF(K676="שוטף",M676,0)</f>
        <v>86</v>
      </c>
      <c r="O676" s="143" cm="1">
        <f t="array" ref="O676">IF(K676="הכנסה שסווגה מחדש",-G676,0)</f>
        <v>0</v>
      </c>
      <c r="P676" t="s" s="86">
        <v>770</v>
      </c>
      <c r="Q676" s="99"/>
      <c r="R676" t="s" s="144">
        <v>743</v>
      </c>
      <c r="S676" s="77"/>
    </row>
    <row r="677" ht="13.65" customHeight="1">
      <c r="A677" s="78">
        <v>45839</v>
      </c>
      <c r="B677" t="s" s="79">
        <v>50</v>
      </c>
      <c r="C677" t="s" s="80">
        <v>808</v>
      </c>
      <c r="D677" s="131">
        <v>80</v>
      </c>
      <c r="E677" t="s" s="79">
        <v>789</v>
      </c>
      <c r="F677" t="s" s="80">
        <v>472</v>
      </c>
      <c r="G677" s="132">
        <v>5</v>
      </c>
      <c r="H677" t="s" s="133">
        <v>115</v>
      </c>
      <c r="I677" t="s" s="134">
        <v>115</v>
      </c>
      <c r="J677" t="s" s="134">
        <v>97</v>
      </c>
      <c r="K677" t="str" s="135" cm="1">
        <f t="array" ref="K677">IF(OR(H677="ריביות",AND(H677="דירה כצנלסון",G677&lt;0,ISNUMBER(SEARCH("הכנסה",F677)))),"הכנסה שסווגה מחדש",J677)</f>
        <v>שוטף</v>
      </c>
      <c r="L677" t="s" s="134">
        <v>741</v>
      </c>
      <c r="M677" s="136" cm="1">
        <f t="array" ref="M677">IF(L677="מאושר",IF(K677="הכנסה שסווגה מחדש",0,G677),0)</f>
        <v>5</v>
      </c>
      <c r="N677" s="136" cm="1">
        <f t="array" ref="N677">IF(K677="שוטף",M677,0)</f>
        <v>5</v>
      </c>
      <c r="O677" s="136" cm="1">
        <f t="array" ref="O677">IF(K677="הכנסה שסווגה מחדש",-G677,0)</f>
        <v>0</v>
      </c>
      <c r="P677" t="s" s="80">
        <v>770</v>
      </c>
      <c r="Q677" s="100"/>
      <c r="R677" t="s" s="137">
        <v>743</v>
      </c>
      <c r="S677" s="77"/>
    </row>
    <row r="678" ht="13.65" customHeight="1">
      <c r="A678" s="84">
        <v>45839</v>
      </c>
      <c r="B678" t="s" s="85">
        <v>50</v>
      </c>
      <c r="C678" t="s" s="86">
        <v>808</v>
      </c>
      <c r="D678" s="138">
        <v>81</v>
      </c>
      <c r="E678" t="s" s="85">
        <v>788</v>
      </c>
      <c r="F678" t="s" s="86">
        <v>402</v>
      </c>
      <c r="G678" s="139">
        <v>135</v>
      </c>
      <c r="H678" t="s" s="140">
        <v>123</v>
      </c>
      <c r="I678" t="s" s="141">
        <v>123</v>
      </c>
      <c r="J678" t="s" s="141">
        <v>97</v>
      </c>
      <c r="K678" t="str" s="142" cm="1">
        <f t="array" ref="K678">IF(OR(H678="ריביות",AND(H678="דירה כצנלסון",G678&lt;0,ISNUMBER(SEARCH("הכנסה",F678)))),"הכנסה שסווגה מחדש",J678)</f>
        <v>שוטף</v>
      </c>
      <c r="L678" t="s" s="141">
        <v>741</v>
      </c>
      <c r="M678" s="143" cm="1">
        <f t="array" ref="M678">IF(L678="מאושר",IF(K678="הכנסה שסווגה מחדש",0,G678),0)</f>
        <v>135</v>
      </c>
      <c r="N678" s="143" cm="1">
        <f t="array" ref="N678">IF(K678="שוטף",M678,0)</f>
        <v>135</v>
      </c>
      <c r="O678" s="143" cm="1">
        <f t="array" ref="O678">IF(K678="הכנסה שסווגה מחדש",-G678,0)</f>
        <v>0</v>
      </c>
      <c r="P678" t="s" s="86">
        <v>770</v>
      </c>
      <c r="Q678" s="99"/>
      <c r="R678" t="s" s="144">
        <v>743</v>
      </c>
      <c r="S678" s="77"/>
    </row>
    <row r="679" ht="13.65" customHeight="1">
      <c r="A679" s="78">
        <v>45839</v>
      </c>
      <c r="B679" t="s" s="79">
        <v>50</v>
      </c>
      <c r="C679" t="s" s="80">
        <v>808</v>
      </c>
      <c r="D679" s="131">
        <v>82</v>
      </c>
      <c r="E679" t="s" s="79">
        <v>788</v>
      </c>
      <c r="F679" t="s" s="80">
        <v>603</v>
      </c>
      <c r="G679" s="132">
        <v>55</v>
      </c>
      <c r="H679" t="s" s="133">
        <v>105</v>
      </c>
      <c r="I679" t="s" s="134">
        <v>105</v>
      </c>
      <c r="J679" t="s" s="134">
        <v>103</v>
      </c>
      <c r="K679" t="str" s="135" cm="1">
        <f t="array" ref="K679">IF(OR(H679="ריביות",AND(H679="דירה כצנלסון",G679&lt;0,ISNUMBER(SEARCH("הכנסה",F679)))),"הכנסה שסווגה מחדש",J679)</f>
        <v>חריג</v>
      </c>
      <c r="L679" t="s" s="134">
        <v>741</v>
      </c>
      <c r="M679" s="136" cm="1">
        <f t="array" ref="M679">IF(L679="מאושר",IF(K679="הכנסה שסווגה מחדש",0,G679),0)</f>
        <v>55</v>
      </c>
      <c r="N679" s="136" cm="1">
        <f t="array" ref="N679">IF(K679="שוטף",M679,0)</f>
        <v>0</v>
      </c>
      <c r="O679" s="136" cm="1">
        <f t="array" ref="O679">IF(K679="הכנסה שסווגה מחדש",-G679,0)</f>
        <v>0</v>
      </c>
      <c r="P679" t="s" s="80">
        <v>770</v>
      </c>
      <c r="Q679" s="100"/>
      <c r="R679" t="s" s="137">
        <v>743</v>
      </c>
      <c r="S679" s="77"/>
    </row>
    <row r="680" ht="13.65" customHeight="1">
      <c r="A680" s="84">
        <v>45839</v>
      </c>
      <c r="B680" t="s" s="85">
        <v>50</v>
      </c>
      <c r="C680" t="s" s="86">
        <v>808</v>
      </c>
      <c r="D680" s="138">
        <v>83</v>
      </c>
      <c r="E680" t="s" s="85">
        <v>788</v>
      </c>
      <c r="F680" t="s" s="86">
        <v>209</v>
      </c>
      <c r="G680" s="139">
        <v>59</v>
      </c>
      <c r="H680" t="s" s="140">
        <v>113</v>
      </c>
      <c r="I680" t="s" s="141">
        <v>113</v>
      </c>
      <c r="J680" t="s" s="141">
        <v>97</v>
      </c>
      <c r="K680" t="str" s="142" cm="1">
        <f t="array" ref="K680">IF(OR(H680="ריביות",AND(H680="דירה כצנלסון",G680&lt;0,ISNUMBER(SEARCH("הכנסה",F680)))),"הכנסה שסווגה מחדש",J680)</f>
        <v>שוטף</v>
      </c>
      <c r="L680" t="s" s="141">
        <v>741</v>
      </c>
      <c r="M680" s="143" cm="1">
        <f t="array" ref="M680">IF(L680="מאושר",IF(K680="הכנסה שסווגה מחדש",0,G680),0)</f>
        <v>59</v>
      </c>
      <c r="N680" s="143" cm="1">
        <f t="array" ref="N680">IF(K680="שוטף",M680,0)</f>
        <v>59</v>
      </c>
      <c r="O680" s="143" cm="1">
        <f t="array" ref="O680">IF(K680="הכנסה שסווגה מחדש",-G680,0)</f>
        <v>0</v>
      </c>
      <c r="P680" t="s" s="86">
        <v>770</v>
      </c>
      <c r="Q680" s="99"/>
      <c r="R680" t="s" s="144">
        <v>743</v>
      </c>
      <c r="S680" s="77"/>
    </row>
    <row r="681" ht="13.65" customHeight="1">
      <c r="A681" s="78">
        <v>45839</v>
      </c>
      <c r="B681" t="s" s="79">
        <v>50</v>
      </c>
      <c r="C681" t="s" s="80">
        <v>808</v>
      </c>
      <c r="D681" s="131">
        <v>84</v>
      </c>
      <c r="E681" t="s" s="79">
        <v>753</v>
      </c>
      <c r="F681" t="s" s="80">
        <v>209</v>
      </c>
      <c r="G681" s="132">
        <v>165</v>
      </c>
      <c r="H681" t="s" s="133">
        <v>113</v>
      </c>
      <c r="I681" t="s" s="134">
        <v>113</v>
      </c>
      <c r="J681" t="s" s="134">
        <v>97</v>
      </c>
      <c r="K681" t="str" s="135" cm="1">
        <f t="array" ref="K681">IF(OR(H681="ריביות",AND(H681="דירה כצנלסון",G681&lt;0,ISNUMBER(SEARCH("הכנסה",F681)))),"הכנסה שסווגה מחדש",J681)</f>
        <v>שוטף</v>
      </c>
      <c r="L681" t="s" s="134">
        <v>741</v>
      </c>
      <c r="M681" s="136" cm="1">
        <f t="array" ref="M681">IF(L681="מאושר",IF(K681="הכנסה שסווגה מחדש",0,G681),0)</f>
        <v>165</v>
      </c>
      <c r="N681" s="136" cm="1">
        <f t="array" ref="N681">IF(K681="שוטף",M681,0)</f>
        <v>165</v>
      </c>
      <c r="O681" s="136" cm="1">
        <f t="array" ref="O681">IF(K681="הכנסה שסווגה מחדש",-G681,0)</f>
        <v>0</v>
      </c>
      <c r="P681" t="s" s="80">
        <v>770</v>
      </c>
      <c r="Q681" s="100"/>
      <c r="R681" t="s" s="137">
        <v>743</v>
      </c>
      <c r="S681" s="77"/>
    </row>
    <row r="682" ht="13.65" customHeight="1">
      <c r="A682" s="84">
        <v>45839</v>
      </c>
      <c r="B682" t="s" s="85">
        <v>50</v>
      </c>
      <c r="C682" t="s" s="86">
        <v>808</v>
      </c>
      <c r="D682" s="138">
        <v>85</v>
      </c>
      <c r="E682" t="s" s="85">
        <v>739</v>
      </c>
      <c r="F682" t="s" s="86">
        <v>434</v>
      </c>
      <c r="G682" s="139">
        <v>25</v>
      </c>
      <c r="H682" t="s" s="140">
        <v>111</v>
      </c>
      <c r="I682" t="s" s="141">
        <v>111</v>
      </c>
      <c r="J682" t="s" s="141">
        <v>97</v>
      </c>
      <c r="K682" t="str" s="142" cm="1">
        <f t="array" ref="K682">IF(OR(H682="ריביות",AND(H682="דירה כצנלסון",G682&lt;0,ISNUMBER(SEARCH("הכנסה",F682)))),"הכנסה שסווגה מחדש",J682)</f>
        <v>שוטף</v>
      </c>
      <c r="L682" t="s" s="141">
        <v>741</v>
      </c>
      <c r="M682" s="143" cm="1">
        <f t="array" ref="M682">IF(L682="מאושר",IF(K682="הכנסה שסווגה מחדש",0,G682),0)</f>
        <v>25</v>
      </c>
      <c r="N682" s="143" cm="1">
        <f t="array" ref="N682">IF(K682="שוטף",M682,0)</f>
        <v>25</v>
      </c>
      <c r="O682" s="143" cm="1">
        <f t="array" ref="O682">IF(K682="הכנסה שסווגה מחדש",-G682,0)</f>
        <v>0</v>
      </c>
      <c r="P682" t="s" s="86">
        <v>770</v>
      </c>
      <c r="Q682" s="99"/>
      <c r="R682" t="s" s="144">
        <v>743</v>
      </c>
      <c r="S682" s="77"/>
    </row>
    <row r="683" ht="13.65" customHeight="1">
      <c r="A683" s="78">
        <v>45839</v>
      </c>
      <c r="B683" t="s" s="79">
        <v>50</v>
      </c>
      <c r="C683" t="s" s="80">
        <v>808</v>
      </c>
      <c r="D683" s="131">
        <v>86</v>
      </c>
      <c r="E683" t="s" s="79">
        <v>772</v>
      </c>
      <c r="F683" t="s" s="80">
        <v>377</v>
      </c>
      <c r="G683" s="132">
        <v>8</v>
      </c>
      <c r="H683" t="s" s="133">
        <v>113</v>
      </c>
      <c r="I683" t="s" s="134">
        <v>113</v>
      </c>
      <c r="J683" t="s" s="134">
        <v>97</v>
      </c>
      <c r="K683" t="str" s="135" cm="1">
        <f t="array" ref="K683">IF(OR(H683="ריביות",AND(H683="דירה כצנלסון",G683&lt;0,ISNUMBER(SEARCH("הכנסה",F683)))),"הכנסה שסווגה מחדש",J683)</f>
        <v>שוטף</v>
      </c>
      <c r="L683" t="s" s="134">
        <v>741</v>
      </c>
      <c r="M683" s="136" cm="1">
        <f t="array" ref="M683">IF(L683="מאושר",IF(K683="הכנסה שסווגה מחדש",0,G683),0)</f>
        <v>8</v>
      </c>
      <c r="N683" s="136" cm="1">
        <f t="array" ref="N683">IF(K683="שוטף",M683,0)</f>
        <v>8</v>
      </c>
      <c r="O683" s="136" cm="1">
        <f t="array" ref="O683">IF(K683="הכנסה שסווגה מחדש",-G683,0)</f>
        <v>0</v>
      </c>
      <c r="P683" t="s" s="80">
        <v>770</v>
      </c>
      <c r="Q683" s="100"/>
      <c r="R683" t="s" s="137">
        <v>743</v>
      </c>
      <c r="S683" s="77"/>
    </row>
    <row r="684" ht="13.65" customHeight="1">
      <c r="A684" s="84">
        <v>45839</v>
      </c>
      <c r="B684" t="s" s="85">
        <v>50</v>
      </c>
      <c r="C684" t="s" s="86">
        <v>808</v>
      </c>
      <c r="D684" s="138">
        <v>87</v>
      </c>
      <c r="E684" t="s" s="85">
        <v>772</v>
      </c>
      <c r="F684" t="s" s="86">
        <v>377</v>
      </c>
      <c r="G684" s="139">
        <v>11</v>
      </c>
      <c r="H684" t="s" s="140">
        <v>113</v>
      </c>
      <c r="I684" t="s" s="141">
        <v>113</v>
      </c>
      <c r="J684" t="s" s="141">
        <v>97</v>
      </c>
      <c r="K684" t="str" s="142" cm="1">
        <f t="array" ref="K684">IF(OR(H684="ריביות",AND(H684="דירה כצנלסון",G684&lt;0,ISNUMBER(SEARCH("הכנסה",F684)))),"הכנסה שסווגה מחדש",J684)</f>
        <v>שוטף</v>
      </c>
      <c r="L684" t="s" s="141">
        <v>741</v>
      </c>
      <c r="M684" s="143" cm="1">
        <f t="array" ref="M684">IF(L684="מאושר",IF(K684="הכנסה שסווגה מחדש",0,G684),0)</f>
        <v>11</v>
      </c>
      <c r="N684" s="143" cm="1">
        <f t="array" ref="N684">IF(K684="שוטף",M684,0)</f>
        <v>11</v>
      </c>
      <c r="O684" s="143" cm="1">
        <f t="array" ref="O684">IF(K684="הכנסה שסווגה מחדש",-G684,0)</f>
        <v>0</v>
      </c>
      <c r="P684" t="s" s="86">
        <v>770</v>
      </c>
      <c r="Q684" s="99"/>
      <c r="R684" t="s" s="144">
        <v>743</v>
      </c>
      <c r="S684" s="77"/>
    </row>
    <row r="685" ht="13.65" customHeight="1">
      <c r="A685" s="78">
        <v>45839</v>
      </c>
      <c r="B685" t="s" s="79">
        <v>50</v>
      </c>
      <c r="C685" t="s" s="80">
        <v>808</v>
      </c>
      <c r="D685" s="131">
        <v>88</v>
      </c>
      <c r="E685" t="s" s="79">
        <v>773</v>
      </c>
      <c r="F685" t="s" s="80">
        <v>377</v>
      </c>
      <c r="G685" s="132">
        <v>21</v>
      </c>
      <c r="H685" t="s" s="133">
        <v>113</v>
      </c>
      <c r="I685" t="s" s="134">
        <v>113</v>
      </c>
      <c r="J685" t="s" s="134">
        <v>97</v>
      </c>
      <c r="K685" t="str" s="135" cm="1">
        <f t="array" ref="K685">IF(OR(H685="ריביות",AND(H685="דירה כצנלסון",G685&lt;0,ISNUMBER(SEARCH("הכנסה",F685)))),"הכנסה שסווגה מחדש",J685)</f>
        <v>שוטף</v>
      </c>
      <c r="L685" t="s" s="134">
        <v>741</v>
      </c>
      <c r="M685" s="136" cm="1">
        <f t="array" ref="M685">IF(L685="מאושר",IF(K685="הכנסה שסווגה מחדש",0,G685),0)</f>
        <v>21</v>
      </c>
      <c r="N685" s="136" cm="1">
        <f t="array" ref="N685">IF(K685="שוטף",M685,0)</f>
        <v>21</v>
      </c>
      <c r="O685" s="136" cm="1">
        <f t="array" ref="O685">IF(K685="הכנסה שסווגה מחדש",-G685,0)</f>
        <v>0</v>
      </c>
      <c r="P685" t="s" s="80">
        <v>770</v>
      </c>
      <c r="Q685" s="100"/>
      <c r="R685" t="s" s="137">
        <v>743</v>
      </c>
      <c r="S685" s="77"/>
    </row>
    <row r="686" ht="13.65" customHeight="1">
      <c r="A686" s="84">
        <v>45839</v>
      </c>
      <c r="B686" t="s" s="85">
        <v>50</v>
      </c>
      <c r="C686" t="s" s="86">
        <v>808</v>
      </c>
      <c r="D686" s="138">
        <v>89</v>
      </c>
      <c r="E686" t="s" s="85">
        <v>754</v>
      </c>
      <c r="F686" t="s" s="86">
        <v>105</v>
      </c>
      <c r="G686" s="139">
        <v>600</v>
      </c>
      <c r="H686" t="s" s="140">
        <v>125</v>
      </c>
      <c r="I686" t="s" s="141">
        <v>125</v>
      </c>
      <c r="J686" t="s" s="141">
        <v>97</v>
      </c>
      <c r="K686" t="str" s="142" cm="1">
        <f t="array" ref="K686">IF(OR(H686="ריביות",AND(H686="דירה כצנלסון",G686&lt;0,ISNUMBER(SEARCH("הכנסה",F686)))),"הכנסה שסווגה מחדש",J686)</f>
        <v>שוטף</v>
      </c>
      <c r="L686" t="s" s="141">
        <v>741</v>
      </c>
      <c r="M686" s="143" cm="1">
        <f t="array" ref="M686">IF(L686="מאושר",IF(K686="הכנסה שסווגה מחדש",0,G686),0)</f>
        <v>600</v>
      </c>
      <c r="N686" s="143" cm="1">
        <f t="array" ref="N686">IF(K686="שוטף",M686,0)</f>
        <v>600</v>
      </c>
      <c r="O686" s="143" cm="1">
        <f t="array" ref="O686">IF(K686="הכנסה שסווגה מחדש",-G686,0)</f>
        <v>0</v>
      </c>
      <c r="P686" t="s" s="86">
        <v>770</v>
      </c>
      <c r="Q686" s="99"/>
      <c r="R686" t="s" s="144">
        <v>743</v>
      </c>
      <c r="S686" s="77"/>
    </row>
    <row r="687" ht="13.65" customHeight="1">
      <c r="A687" s="78">
        <v>45839</v>
      </c>
      <c r="B687" t="s" s="79">
        <v>50</v>
      </c>
      <c r="C687" t="s" s="80">
        <v>808</v>
      </c>
      <c r="D687" s="131">
        <v>90</v>
      </c>
      <c r="E687" t="s" s="79">
        <v>790</v>
      </c>
      <c r="F687" t="s" s="80">
        <v>477</v>
      </c>
      <c r="G687" s="132">
        <v>150</v>
      </c>
      <c r="H687" t="s" s="133">
        <v>117</v>
      </c>
      <c r="I687" t="s" s="134">
        <v>117</v>
      </c>
      <c r="J687" t="s" s="134">
        <v>97</v>
      </c>
      <c r="K687" t="str" s="135" cm="1">
        <f t="array" ref="K687">IF(OR(H687="ריביות",AND(H687="דירה כצנלסון",G687&lt;0,ISNUMBER(SEARCH("הכנסה",F687)))),"הכנסה שסווגה מחדש",J687)</f>
        <v>שוטף</v>
      </c>
      <c r="L687" t="s" s="134">
        <v>741</v>
      </c>
      <c r="M687" s="136" cm="1">
        <f t="array" ref="M687">IF(L687="מאושר",IF(K687="הכנסה שסווגה מחדש",0,G687),0)</f>
        <v>150</v>
      </c>
      <c r="N687" s="136" cm="1">
        <f t="array" ref="N687">IF(K687="שוטף",M687,0)</f>
        <v>150</v>
      </c>
      <c r="O687" s="136" cm="1">
        <f t="array" ref="O687">IF(K687="הכנסה שסווגה מחדש",-G687,0)</f>
        <v>0</v>
      </c>
      <c r="P687" t="s" s="80">
        <v>770</v>
      </c>
      <c r="Q687" s="100"/>
      <c r="R687" t="s" s="137">
        <v>743</v>
      </c>
      <c r="S687" s="77"/>
    </row>
    <row r="688" ht="13.65" customHeight="1">
      <c r="A688" s="84">
        <v>45839</v>
      </c>
      <c r="B688" t="s" s="85">
        <v>50</v>
      </c>
      <c r="C688" t="s" s="86">
        <v>808</v>
      </c>
      <c r="D688" s="138">
        <v>91</v>
      </c>
      <c r="E688" t="s" s="85">
        <v>790</v>
      </c>
      <c r="F688" t="s" s="86">
        <v>314</v>
      </c>
      <c r="G688" s="139">
        <v>64</v>
      </c>
      <c r="H688" t="s" s="140">
        <v>117</v>
      </c>
      <c r="I688" t="s" s="141">
        <v>117</v>
      </c>
      <c r="J688" t="s" s="141">
        <v>97</v>
      </c>
      <c r="K688" t="str" s="142" cm="1">
        <f t="array" ref="K688">IF(OR(H688="ריביות",AND(H688="דירה כצנלסון",G688&lt;0,ISNUMBER(SEARCH("הכנסה",F688)))),"הכנסה שסווגה מחדש",J688)</f>
        <v>שוטף</v>
      </c>
      <c r="L688" t="s" s="141">
        <v>741</v>
      </c>
      <c r="M688" s="143" cm="1">
        <f t="array" ref="M688">IF(L688="מאושר",IF(K688="הכנסה שסווגה מחדש",0,G688),0)</f>
        <v>64</v>
      </c>
      <c r="N688" s="143" cm="1">
        <f t="array" ref="N688">IF(K688="שוטף",M688,0)</f>
        <v>64</v>
      </c>
      <c r="O688" s="143" cm="1">
        <f t="array" ref="O688">IF(K688="הכנסה שסווגה מחדש",-G688,0)</f>
        <v>0</v>
      </c>
      <c r="P688" t="s" s="86">
        <v>770</v>
      </c>
      <c r="Q688" s="99"/>
      <c r="R688" t="s" s="144">
        <v>743</v>
      </c>
      <c r="S688" s="77"/>
    </row>
    <row r="689" ht="13.65" customHeight="1">
      <c r="A689" s="78">
        <v>45839</v>
      </c>
      <c r="B689" t="s" s="79">
        <v>50</v>
      </c>
      <c r="C689" t="s" s="80">
        <v>808</v>
      </c>
      <c r="D689" s="131">
        <v>92</v>
      </c>
      <c r="E689" t="s" s="79">
        <v>744</v>
      </c>
      <c r="F689" t="s" s="80">
        <v>209</v>
      </c>
      <c r="G689" s="132">
        <v>156</v>
      </c>
      <c r="H689" t="s" s="133">
        <v>113</v>
      </c>
      <c r="I689" t="s" s="134">
        <v>113</v>
      </c>
      <c r="J689" t="s" s="134">
        <v>97</v>
      </c>
      <c r="K689" t="str" s="135" cm="1">
        <f t="array" ref="K689">IF(OR(H689="ריביות",AND(H689="דירה כצנלסון",G689&lt;0,ISNUMBER(SEARCH("הכנסה",F689)))),"הכנסה שסווגה מחדש",J689)</f>
        <v>שוטף</v>
      </c>
      <c r="L689" t="s" s="134">
        <v>741</v>
      </c>
      <c r="M689" s="136" cm="1">
        <f t="array" ref="M689">IF(L689="מאושר",IF(K689="הכנסה שסווגה מחדש",0,G689),0)</f>
        <v>156</v>
      </c>
      <c r="N689" s="136" cm="1">
        <f t="array" ref="N689">IF(K689="שוטף",M689,0)</f>
        <v>156</v>
      </c>
      <c r="O689" s="136" cm="1">
        <f t="array" ref="O689">IF(K689="הכנסה שסווגה מחדש",-G689,0)</f>
        <v>0</v>
      </c>
      <c r="P689" t="s" s="80">
        <v>770</v>
      </c>
      <c r="Q689" s="100"/>
      <c r="R689" t="s" s="137">
        <v>743</v>
      </c>
      <c r="S689" s="77"/>
    </row>
    <row r="690" ht="13.65" customHeight="1">
      <c r="A690" s="84">
        <v>45839</v>
      </c>
      <c r="B690" t="s" s="85">
        <v>50</v>
      </c>
      <c r="C690" t="s" s="86">
        <v>808</v>
      </c>
      <c r="D690" s="138">
        <v>93</v>
      </c>
      <c r="E690" t="s" s="85">
        <v>744</v>
      </c>
      <c r="F690" t="s" s="86">
        <v>206</v>
      </c>
      <c r="G690" s="139">
        <v>2930</v>
      </c>
      <c r="H690" t="s" s="140">
        <v>210</v>
      </c>
      <c r="I690" t="s" s="141">
        <v>102</v>
      </c>
      <c r="J690" t="s" s="141">
        <v>103</v>
      </c>
      <c r="K690" t="str" s="142" cm="1">
        <f t="array" ref="K690">IF(OR(H690="ריביות",AND(H690="דירה כצנלסון",G690&lt;0,ISNUMBER(SEARCH("הכנסה",F690)))),"הכנסה שסווגה מחדש",J690)</f>
        <v>חריג</v>
      </c>
      <c r="L690" t="s" s="141">
        <v>741</v>
      </c>
      <c r="M690" s="143" cm="1">
        <f t="array" ref="M690">IF(L690="מאושר",IF(K690="הכנסה שסווגה מחדש",0,G690),0)</f>
        <v>2930</v>
      </c>
      <c r="N690" s="143" cm="1">
        <f t="array" ref="N690">IF(K690="שוטף",M690,0)</f>
        <v>0</v>
      </c>
      <c r="O690" s="143" cm="1">
        <f t="array" ref="O690">IF(K690="הכנסה שסווגה מחדש",-G690,0)</f>
        <v>0</v>
      </c>
      <c r="P690" t="s" s="86">
        <v>770</v>
      </c>
      <c r="Q690" s="99"/>
      <c r="R690" t="s" s="144">
        <v>743</v>
      </c>
      <c r="S690" s="77"/>
    </row>
    <row r="691" ht="13.65" customHeight="1">
      <c r="A691" s="78">
        <v>45839</v>
      </c>
      <c r="B691" t="s" s="79">
        <v>50</v>
      </c>
      <c r="C691" t="s" s="80">
        <v>808</v>
      </c>
      <c r="D691" s="131">
        <v>94</v>
      </c>
      <c r="E691" t="s" s="79">
        <v>744</v>
      </c>
      <c r="F691" t="s" s="80">
        <v>206</v>
      </c>
      <c r="G691" s="132">
        <v>619</v>
      </c>
      <c r="H691" t="s" s="133">
        <v>210</v>
      </c>
      <c r="I691" t="s" s="134">
        <v>102</v>
      </c>
      <c r="J691" t="s" s="134">
        <v>103</v>
      </c>
      <c r="K691" t="str" s="135" cm="1">
        <f t="array" ref="K691">IF(OR(H691="ריביות",AND(H691="דירה כצנלסון",G691&lt;0,ISNUMBER(SEARCH("הכנסה",F691)))),"הכנסה שסווגה מחדש",J691)</f>
        <v>חריג</v>
      </c>
      <c r="L691" t="s" s="134">
        <v>741</v>
      </c>
      <c r="M691" s="136" cm="1">
        <f t="array" ref="M691">IF(L691="מאושר",IF(K691="הכנסה שסווגה מחדש",0,G691),0)</f>
        <v>619</v>
      </c>
      <c r="N691" s="136" cm="1">
        <f t="array" ref="N691">IF(K691="שוטף",M691,0)</f>
        <v>0</v>
      </c>
      <c r="O691" s="136" cm="1">
        <f t="array" ref="O691">IF(K691="הכנסה שסווגה מחדש",-G691,0)</f>
        <v>0</v>
      </c>
      <c r="P691" t="s" s="80">
        <v>770</v>
      </c>
      <c r="Q691" s="100"/>
      <c r="R691" t="s" s="137">
        <v>743</v>
      </c>
      <c r="S691" s="77"/>
    </row>
    <row r="692" ht="13.65" customHeight="1">
      <c r="A692" s="84">
        <v>45839</v>
      </c>
      <c r="B692" t="s" s="85">
        <v>50</v>
      </c>
      <c r="C692" t="s" s="86">
        <v>808</v>
      </c>
      <c r="D692" s="138">
        <v>95</v>
      </c>
      <c r="E692" t="s" s="85">
        <v>744</v>
      </c>
      <c r="F692" t="s" s="86">
        <v>206</v>
      </c>
      <c r="G692" s="139">
        <v>496</v>
      </c>
      <c r="H692" t="s" s="140">
        <v>210</v>
      </c>
      <c r="I692" t="s" s="141">
        <v>102</v>
      </c>
      <c r="J692" t="s" s="141">
        <v>103</v>
      </c>
      <c r="K692" t="str" s="142" cm="1">
        <f t="array" ref="K692">IF(OR(H692="ריביות",AND(H692="דירה כצנלסון",G692&lt;0,ISNUMBER(SEARCH("הכנסה",F692)))),"הכנסה שסווגה מחדש",J692)</f>
        <v>חריג</v>
      </c>
      <c r="L692" t="s" s="141">
        <v>741</v>
      </c>
      <c r="M692" s="143" cm="1">
        <f t="array" ref="M692">IF(L692="מאושר",IF(K692="הכנסה שסווגה מחדש",0,G692),0)</f>
        <v>496</v>
      </c>
      <c r="N692" s="143" cm="1">
        <f t="array" ref="N692">IF(K692="שוטף",M692,0)</f>
        <v>0</v>
      </c>
      <c r="O692" s="143" cm="1">
        <f t="array" ref="O692">IF(K692="הכנסה שסווגה מחדש",-G692,0)</f>
        <v>0</v>
      </c>
      <c r="P692" t="s" s="86">
        <v>770</v>
      </c>
      <c r="Q692" s="99"/>
      <c r="R692" t="s" s="144">
        <v>743</v>
      </c>
      <c r="S692" s="77"/>
    </row>
    <row r="693" ht="13.65" customHeight="1">
      <c r="A693" s="78">
        <v>45839</v>
      </c>
      <c r="B693" t="s" s="79">
        <v>50</v>
      </c>
      <c r="C693" t="s" s="80">
        <v>808</v>
      </c>
      <c r="D693" s="131">
        <v>96</v>
      </c>
      <c r="E693" t="s" s="79">
        <v>744</v>
      </c>
      <c r="F693" t="s" s="80">
        <v>206</v>
      </c>
      <c r="G693" s="132">
        <v>1127</v>
      </c>
      <c r="H693" t="s" s="133">
        <v>210</v>
      </c>
      <c r="I693" t="s" s="134">
        <v>102</v>
      </c>
      <c r="J693" t="s" s="134">
        <v>103</v>
      </c>
      <c r="K693" t="str" s="135" cm="1">
        <f t="array" ref="K693">IF(OR(H693="ריביות",AND(H693="דירה כצנלסון",G693&lt;0,ISNUMBER(SEARCH("הכנסה",F693)))),"הכנסה שסווגה מחדש",J693)</f>
        <v>חריג</v>
      </c>
      <c r="L693" t="s" s="134">
        <v>741</v>
      </c>
      <c r="M693" s="136" cm="1">
        <f t="array" ref="M693">IF(L693="מאושר",IF(K693="הכנסה שסווגה מחדש",0,G693),0)</f>
        <v>1127</v>
      </c>
      <c r="N693" s="136" cm="1">
        <f t="array" ref="N693">IF(K693="שוטף",M693,0)</f>
        <v>0</v>
      </c>
      <c r="O693" s="136" cm="1">
        <f t="array" ref="O693">IF(K693="הכנסה שסווגה מחדש",-G693,0)</f>
        <v>0</v>
      </c>
      <c r="P693" t="s" s="80">
        <v>770</v>
      </c>
      <c r="Q693" s="100"/>
      <c r="R693" t="s" s="137">
        <v>743</v>
      </c>
      <c r="S693" s="77"/>
    </row>
    <row r="694" ht="13.65" customHeight="1">
      <c r="A694" s="84">
        <v>45839</v>
      </c>
      <c r="B694" t="s" s="85">
        <v>50</v>
      </c>
      <c r="C694" t="s" s="86">
        <v>808</v>
      </c>
      <c r="D694" s="138">
        <v>97</v>
      </c>
      <c r="E694" t="s" s="85">
        <v>744</v>
      </c>
      <c r="F694" t="s" s="86">
        <v>206</v>
      </c>
      <c r="G694" s="139">
        <v>339</v>
      </c>
      <c r="H694" t="s" s="140">
        <v>210</v>
      </c>
      <c r="I694" t="s" s="141">
        <v>102</v>
      </c>
      <c r="J694" t="s" s="141">
        <v>103</v>
      </c>
      <c r="K694" t="str" s="142" cm="1">
        <f t="array" ref="K694">IF(OR(H694="ריביות",AND(H694="דירה כצנלסון",G694&lt;0,ISNUMBER(SEARCH("הכנסה",F694)))),"הכנסה שסווגה מחדש",J694)</f>
        <v>חריג</v>
      </c>
      <c r="L694" t="s" s="141">
        <v>741</v>
      </c>
      <c r="M694" s="143" cm="1">
        <f t="array" ref="M694">IF(L694="מאושר",IF(K694="הכנסה שסווגה מחדש",0,G694),0)</f>
        <v>339</v>
      </c>
      <c r="N694" s="143" cm="1">
        <f t="array" ref="N694">IF(K694="שוטף",M694,0)</f>
        <v>0</v>
      </c>
      <c r="O694" s="143" cm="1">
        <f t="array" ref="O694">IF(K694="הכנסה שסווגה מחדש",-G694,0)</f>
        <v>0</v>
      </c>
      <c r="P694" t="s" s="86">
        <v>770</v>
      </c>
      <c r="Q694" s="99"/>
      <c r="R694" t="s" s="144">
        <v>743</v>
      </c>
      <c r="S694" s="77"/>
    </row>
    <row r="695" ht="13.65" customHeight="1">
      <c r="A695" s="78">
        <v>45839</v>
      </c>
      <c r="B695" t="s" s="79">
        <v>50</v>
      </c>
      <c r="C695" t="s" s="80">
        <v>808</v>
      </c>
      <c r="D695" s="131">
        <v>98</v>
      </c>
      <c r="E695" t="s" s="79">
        <v>774</v>
      </c>
      <c r="F695" t="s" s="80">
        <v>377</v>
      </c>
      <c r="G695" s="132">
        <v>13</v>
      </c>
      <c r="H695" t="s" s="133">
        <v>113</v>
      </c>
      <c r="I695" t="s" s="134">
        <v>113</v>
      </c>
      <c r="J695" t="s" s="134">
        <v>97</v>
      </c>
      <c r="K695" t="str" s="135" cm="1">
        <f t="array" ref="K695">IF(OR(H695="ריביות",AND(H695="דירה כצנלסון",G695&lt;0,ISNUMBER(SEARCH("הכנסה",F695)))),"הכנסה שסווגה מחדש",J695)</f>
        <v>שוטף</v>
      </c>
      <c r="L695" t="s" s="134">
        <v>741</v>
      </c>
      <c r="M695" s="136" cm="1">
        <f t="array" ref="M695">IF(L695="מאושר",IF(K695="הכנסה שסווגה מחדש",0,G695),0)</f>
        <v>13</v>
      </c>
      <c r="N695" s="136" cm="1">
        <f t="array" ref="N695">IF(K695="שוטף",M695,0)</f>
        <v>13</v>
      </c>
      <c r="O695" s="136" cm="1">
        <f t="array" ref="O695">IF(K695="הכנסה שסווגה מחדש",-G695,0)</f>
        <v>0</v>
      </c>
      <c r="P695" t="s" s="80">
        <v>770</v>
      </c>
      <c r="Q695" s="100"/>
      <c r="R695" t="s" s="137">
        <v>743</v>
      </c>
      <c r="S695" s="77"/>
    </row>
    <row r="696" ht="13.65" customHeight="1">
      <c r="A696" s="84">
        <v>45839</v>
      </c>
      <c r="B696" t="s" s="85">
        <v>50</v>
      </c>
      <c r="C696" t="s" s="86">
        <v>808</v>
      </c>
      <c r="D696" s="138">
        <v>99</v>
      </c>
      <c r="E696" t="s" s="85">
        <v>768</v>
      </c>
      <c r="F696" t="s" s="86">
        <v>269</v>
      </c>
      <c r="G696" s="139">
        <v>80</v>
      </c>
      <c r="H696" t="s" s="140">
        <v>113</v>
      </c>
      <c r="I696" t="s" s="141">
        <v>113</v>
      </c>
      <c r="J696" t="s" s="141">
        <v>97</v>
      </c>
      <c r="K696" t="str" s="142" cm="1">
        <f t="array" ref="K696">IF(OR(H696="ריביות",AND(H696="דירה כצנלסון",G696&lt;0,ISNUMBER(SEARCH("הכנסה",F696)))),"הכנסה שסווגה מחדש",J696)</f>
        <v>שוטף</v>
      </c>
      <c r="L696" t="s" s="141">
        <v>741</v>
      </c>
      <c r="M696" s="143" cm="1">
        <f t="array" ref="M696">IF(L696="מאושר",IF(K696="הכנסה שסווגה מחדש",0,G696),0)</f>
        <v>80</v>
      </c>
      <c r="N696" s="143" cm="1">
        <f t="array" ref="N696">IF(K696="שוטף",M696,0)</f>
        <v>80</v>
      </c>
      <c r="O696" s="143" cm="1">
        <f t="array" ref="O696">IF(K696="הכנסה שסווגה מחדש",-G696,0)</f>
        <v>0</v>
      </c>
      <c r="P696" t="s" s="86">
        <v>770</v>
      </c>
      <c r="Q696" s="99"/>
      <c r="R696" t="s" s="144">
        <v>743</v>
      </c>
      <c r="S696" s="77"/>
    </row>
    <row r="697" ht="13.65" customHeight="1">
      <c r="A697" s="78">
        <v>45839</v>
      </c>
      <c r="B697" t="s" s="79">
        <v>50</v>
      </c>
      <c r="C697" t="s" s="80">
        <v>808</v>
      </c>
      <c r="D697" s="131">
        <v>100</v>
      </c>
      <c r="E697" t="s" s="79">
        <v>768</v>
      </c>
      <c r="F697" t="s" s="80">
        <v>377</v>
      </c>
      <c r="G697" s="132">
        <v>3</v>
      </c>
      <c r="H697" t="s" s="133">
        <v>113</v>
      </c>
      <c r="I697" t="s" s="134">
        <v>113</v>
      </c>
      <c r="J697" t="s" s="134">
        <v>97</v>
      </c>
      <c r="K697" t="str" s="135" cm="1">
        <f t="array" ref="K697">IF(OR(H697="ריביות",AND(H697="דירה כצנלסון",G697&lt;0,ISNUMBER(SEARCH("הכנסה",F697)))),"הכנסה שסווגה מחדש",J697)</f>
        <v>שוטף</v>
      </c>
      <c r="L697" t="s" s="134">
        <v>741</v>
      </c>
      <c r="M697" s="136" cm="1">
        <f t="array" ref="M697">IF(L697="מאושר",IF(K697="הכנסה שסווגה מחדש",0,G697),0)</f>
        <v>3</v>
      </c>
      <c r="N697" s="136" cm="1">
        <f t="array" ref="N697">IF(K697="שוטף",M697,0)</f>
        <v>3</v>
      </c>
      <c r="O697" s="136" cm="1">
        <f t="array" ref="O697">IF(K697="הכנסה שסווגה מחדש",-G697,0)</f>
        <v>0</v>
      </c>
      <c r="P697" t="s" s="80">
        <v>770</v>
      </c>
      <c r="Q697" s="100"/>
      <c r="R697" t="s" s="137">
        <v>743</v>
      </c>
      <c r="S697" s="77"/>
    </row>
    <row r="698" ht="13.65" customHeight="1">
      <c r="A698" s="84">
        <v>45839</v>
      </c>
      <c r="B698" t="s" s="85">
        <v>50</v>
      </c>
      <c r="C698" t="s" s="86">
        <v>808</v>
      </c>
      <c r="D698" s="138">
        <v>101</v>
      </c>
      <c r="E698" t="s" s="85">
        <v>791</v>
      </c>
      <c r="F698" t="s" s="86">
        <v>209</v>
      </c>
      <c r="G698" s="139">
        <v>173</v>
      </c>
      <c r="H698" t="s" s="140">
        <v>113</v>
      </c>
      <c r="I698" t="s" s="141">
        <v>113</v>
      </c>
      <c r="J698" t="s" s="141">
        <v>97</v>
      </c>
      <c r="K698" t="str" s="142" cm="1">
        <f t="array" ref="K698">IF(OR(H698="ריביות",AND(H698="דירה כצנלסון",G698&lt;0,ISNUMBER(SEARCH("הכנסה",F698)))),"הכנסה שסווגה מחדש",J698)</f>
        <v>שוטף</v>
      </c>
      <c r="L698" t="s" s="141">
        <v>741</v>
      </c>
      <c r="M698" s="143" cm="1">
        <f t="array" ref="M698">IF(L698="מאושר",IF(K698="הכנסה שסווגה מחדש",0,G698),0)</f>
        <v>173</v>
      </c>
      <c r="N698" s="143" cm="1">
        <f t="array" ref="N698">IF(K698="שוטף",M698,0)</f>
        <v>173</v>
      </c>
      <c r="O698" s="143" cm="1">
        <f t="array" ref="O698">IF(K698="הכנסה שסווגה מחדש",-G698,0)</f>
        <v>0</v>
      </c>
      <c r="P698" t="s" s="86">
        <v>770</v>
      </c>
      <c r="Q698" s="99"/>
      <c r="R698" t="s" s="144">
        <v>743</v>
      </c>
      <c r="S698" s="77"/>
    </row>
    <row r="699" ht="13.65" customHeight="1">
      <c r="A699" s="78">
        <v>45839</v>
      </c>
      <c r="B699" t="s" s="79">
        <v>50</v>
      </c>
      <c r="C699" t="s" s="80">
        <v>808</v>
      </c>
      <c r="D699" s="131">
        <v>102</v>
      </c>
      <c r="E699" t="s" s="79">
        <v>791</v>
      </c>
      <c r="F699" t="s" s="80">
        <v>377</v>
      </c>
      <c r="G699" s="132">
        <v>8</v>
      </c>
      <c r="H699" t="s" s="133">
        <v>113</v>
      </c>
      <c r="I699" t="s" s="134">
        <v>113</v>
      </c>
      <c r="J699" t="s" s="134">
        <v>97</v>
      </c>
      <c r="K699" t="str" s="135" cm="1">
        <f t="array" ref="K699">IF(OR(H699="ריביות",AND(H699="דירה כצנלסון",G699&lt;0,ISNUMBER(SEARCH("הכנסה",F699)))),"הכנסה שסווגה מחדש",J699)</f>
        <v>שוטף</v>
      </c>
      <c r="L699" t="s" s="134">
        <v>741</v>
      </c>
      <c r="M699" s="136" cm="1">
        <f t="array" ref="M699">IF(L699="מאושר",IF(K699="הכנסה שסווגה מחדש",0,G699),0)</f>
        <v>8</v>
      </c>
      <c r="N699" s="136" cm="1">
        <f t="array" ref="N699">IF(K699="שוטף",M699,0)</f>
        <v>8</v>
      </c>
      <c r="O699" s="136" cm="1">
        <f t="array" ref="O699">IF(K699="הכנסה שסווגה מחדש",-G699,0)</f>
        <v>0</v>
      </c>
      <c r="P699" t="s" s="80">
        <v>770</v>
      </c>
      <c r="Q699" s="100"/>
      <c r="R699" t="s" s="137">
        <v>743</v>
      </c>
      <c r="S699" s="77"/>
    </row>
    <row r="700" ht="13.65" customHeight="1">
      <c r="A700" s="84">
        <v>45839</v>
      </c>
      <c r="B700" t="s" s="85">
        <v>50</v>
      </c>
      <c r="C700" t="s" s="86">
        <v>808</v>
      </c>
      <c r="D700" s="138">
        <v>103</v>
      </c>
      <c r="E700" t="s" s="85">
        <v>791</v>
      </c>
      <c r="F700" t="s" s="86">
        <v>254</v>
      </c>
      <c r="G700" s="139">
        <v>61</v>
      </c>
      <c r="H700" t="s" s="140">
        <v>109</v>
      </c>
      <c r="I700" t="s" s="141">
        <v>109</v>
      </c>
      <c r="J700" t="s" s="141">
        <v>97</v>
      </c>
      <c r="K700" t="str" s="142" cm="1">
        <f t="array" ref="K700">IF(OR(H700="ריביות",AND(H700="דירה כצנלסון",G700&lt;0,ISNUMBER(SEARCH("הכנסה",F700)))),"הכנסה שסווגה מחדש",J700)</f>
        <v>שוטף</v>
      </c>
      <c r="L700" t="s" s="141">
        <v>741</v>
      </c>
      <c r="M700" s="143" cm="1">
        <f t="array" ref="M700">IF(L700="מאושר",IF(K700="הכנסה שסווגה מחדש",0,G700),0)</f>
        <v>61</v>
      </c>
      <c r="N700" s="143" cm="1">
        <f t="array" ref="N700">IF(K700="שוטף",M700,0)</f>
        <v>61</v>
      </c>
      <c r="O700" s="143" cm="1">
        <f t="array" ref="O700">IF(K700="הכנסה שסווגה מחדש",-G700,0)</f>
        <v>0</v>
      </c>
      <c r="P700" t="s" s="86">
        <v>770</v>
      </c>
      <c r="Q700" s="99"/>
      <c r="R700" t="s" s="144">
        <v>743</v>
      </c>
      <c r="S700" s="77"/>
    </row>
    <row r="701" ht="13.65" customHeight="1">
      <c r="A701" s="78">
        <v>45839</v>
      </c>
      <c r="B701" t="s" s="79">
        <v>50</v>
      </c>
      <c r="C701" t="s" s="80">
        <v>808</v>
      </c>
      <c r="D701" s="131">
        <v>104</v>
      </c>
      <c r="E701" t="s" s="79">
        <v>766</v>
      </c>
      <c r="F701" t="s" s="80">
        <v>209</v>
      </c>
      <c r="G701" s="132">
        <v>71</v>
      </c>
      <c r="H701" t="s" s="133">
        <v>113</v>
      </c>
      <c r="I701" t="s" s="134">
        <v>113</v>
      </c>
      <c r="J701" t="s" s="134">
        <v>97</v>
      </c>
      <c r="K701" t="str" s="135" cm="1">
        <f t="array" ref="K701">IF(OR(H701="ריביות",AND(H701="דירה כצנלסון",G701&lt;0,ISNUMBER(SEARCH("הכנסה",F701)))),"הכנסה שסווגה מחדש",J701)</f>
        <v>שוטף</v>
      </c>
      <c r="L701" t="s" s="134">
        <v>741</v>
      </c>
      <c r="M701" s="136" cm="1">
        <f t="array" ref="M701">IF(L701="מאושר",IF(K701="הכנסה שסווגה מחדש",0,G701),0)</f>
        <v>71</v>
      </c>
      <c r="N701" s="136" cm="1">
        <f t="array" ref="N701">IF(K701="שוטף",M701,0)</f>
        <v>71</v>
      </c>
      <c r="O701" s="136" cm="1">
        <f t="array" ref="O701">IF(K701="הכנסה שסווגה מחדש",-G701,0)</f>
        <v>0</v>
      </c>
      <c r="P701" t="s" s="80">
        <v>770</v>
      </c>
      <c r="Q701" s="100"/>
      <c r="R701" t="s" s="137">
        <v>743</v>
      </c>
      <c r="S701" s="77"/>
    </row>
    <row r="702" ht="13.65" customHeight="1">
      <c r="A702" s="84">
        <v>45839</v>
      </c>
      <c r="B702" t="s" s="85">
        <v>50</v>
      </c>
      <c r="C702" t="s" s="86">
        <v>808</v>
      </c>
      <c r="D702" s="138">
        <v>105</v>
      </c>
      <c r="E702" t="s" s="85">
        <v>766</v>
      </c>
      <c r="F702" t="s" s="86">
        <v>200</v>
      </c>
      <c r="G702" s="139">
        <v>55</v>
      </c>
      <c r="H702" t="s" s="140">
        <v>109</v>
      </c>
      <c r="I702" t="s" s="141">
        <v>109</v>
      </c>
      <c r="J702" t="s" s="141">
        <v>97</v>
      </c>
      <c r="K702" t="str" s="142" cm="1">
        <f t="array" ref="K702">IF(OR(H702="ריביות",AND(H702="דירה כצנלסון",G702&lt;0,ISNUMBER(SEARCH("הכנסה",F702)))),"הכנסה שסווגה מחדש",J702)</f>
        <v>שוטף</v>
      </c>
      <c r="L702" t="s" s="141">
        <v>741</v>
      </c>
      <c r="M702" s="143" cm="1">
        <f t="array" ref="M702">IF(L702="מאושר",IF(K702="הכנסה שסווגה מחדש",0,G702),0)</f>
        <v>55</v>
      </c>
      <c r="N702" s="143" cm="1">
        <f t="array" ref="N702">IF(K702="שוטף",M702,0)</f>
        <v>55</v>
      </c>
      <c r="O702" s="143" cm="1">
        <f t="array" ref="O702">IF(K702="הכנסה שסווגה מחדש",-G702,0)</f>
        <v>0</v>
      </c>
      <c r="P702" t="s" s="86">
        <v>770</v>
      </c>
      <c r="Q702" s="99"/>
      <c r="R702" t="s" s="144">
        <v>743</v>
      </c>
      <c r="S702" s="77"/>
    </row>
    <row r="703" ht="13.65" customHeight="1">
      <c r="A703" s="78">
        <v>45839</v>
      </c>
      <c r="B703" t="s" s="79">
        <v>50</v>
      </c>
      <c r="C703" t="s" s="80">
        <v>808</v>
      </c>
      <c r="D703" s="131">
        <v>106</v>
      </c>
      <c r="E703" t="s" s="79">
        <v>766</v>
      </c>
      <c r="F703" t="s" s="80">
        <v>377</v>
      </c>
      <c r="G703" s="132">
        <v>13</v>
      </c>
      <c r="H703" t="s" s="133">
        <v>113</v>
      </c>
      <c r="I703" t="s" s="134">
        <v>113</v>
      </c>
      <c r="J703" t="s" s="134">
        <v>97</v>
      </c>
      <c r="K703" t="str" s="135" cm="1">
        <f t="array" ref="K703">IF(OR(H703="ריביות",AND(H703="דירה כצנלסון",G703&lt;0,ISNUMBER(SEARCH("הכנסה",F703)))),"הכנסה שסווגה מחדש",J703)</f>
        <v>שוטף</v>
      </c>
      <c r="L703" t="s" s="134">
        <v>741</v>
      </c>
      <c r="M703" s="136" cm="1">
        <f t="array" ref="M703">IF(L703="מאושר",IF(K703="הכנסה שסווגה מחדש",0,G703),0)</f>
        <v>13</v>
      </c>
      <c r="N703" s="136" cm="1">
        <f t="array" ref="N703">IF(K703="שוטף",M703,0)</f>
        <v>13</v>
      </c>
      <c r="O703" s="136" cm="1">
        <f t="array" ref="O703">IF(K703="הכנסה שסווגה מחדש",-G703,0)</f>
        <v>0</v>
      </c>
      <c r="P703" t="s" s="80">
        <v>770</v>
      </c>
      <c r="Q703" s="100"/>
      <c r="R703" t="s" s="137">
        <v>743</v>
      </c>
      <c r="S703" s="77"/>
    </row>
    <row r="704" ht="13.65" customHeight="1">
      <c r="A704" s="84">
        <v>45839</v>
      </c>
      <c r="B704" t="s" s="85">
        <v>50</v>
      </c>
      <c r="C704" t="s" s="86">
        <v>808</v>
      </c>
      <c r="D704" s="138">
        <v>107</v>
      </c>
      <c r="E704" t="s" s="85">
        <v>755</v>
      </c>
      <c r="F704" t="s" s="86">
        <v>377</v>
      </c>
      <c r="G704" s="139">
        <v>11</v>
      </c>
      <c r="H704" t="s" s="140">
        <v>113</v>
      </c>
      <c r="I704" t="s" s="141">
        <v>113</v>
      </c>
      <c r="J704" t="s" s="141">
        <v>97</v>
      </c>
      <c r="K704" t="str" s="142" cm="1">
        <f t="array" ref="K704">IF(OR(H704="ריביות",AND(H704="דירה כצנלסון",G704&lt;0,ISNUMBER(SEARCH("הכנסה",F704)))),"הכנסה שסווגה מחדש",J704)</f>
        <v>שוטף</v>
      </c>
      <c r="L704" t="s" s="141">
        <v>741</v>
      </c>
      <c r="M704" s="143" cm="1">
        <f t="array" ref="M704">IF(L704="מאושר",IF(K704="הכנסה שסווגה מחדש",0,G704),0)</f>
        <v>11</v>
      </c>
      <c r="N704" s="143" cm="1">
        <f t="array" ref="N704">IF(K704="שוטף",M704,0)</f>
        <v>11</v>
      </c>
      <c r="O704" s="143" cm="1">
        <f t="array" ref="O704">IF(K704="הכנסה שסווגה מחדש",-G704,0)</f>
        <v>0</v>
      </c>
      <c r="P704" t="s" s="86">
        <v>770</v>
      </c>
      <c r="Q704" s="99"/>
      <c r="R704" t="s" s="144">
        <v>743</v>
      </c>
      <c r="S704" s="77"/>
    </row>
    <row r="705" ht="13.65" customHeight="1">
      <c r="A705" s="78">
        <v>45839</v>
      </c>
      <c r="B705" t="s" s="79">
        <v>50</v>
      </c>
      <c r="C705" t="s" s="80">
        <v>808</v>
      </c>
      <c r="D705" s="131">
        <v>108</v>
      </c>
      <c r="E705" t="s" s="79">
        <v>759</v>
      </c>
      <c r="F705" t="s" s="80">
        <v>206</v>
      </c>
      <c r="G705" s="132">
        <v>4784</v>
      </c>
      <c r="H705" t="s" s="133">
        <v>210</v>
      </c>
      <c r="I705" t="s" s="134">
        <v>102</v>
      </c>
      <c r="J705" t="s" s="134">
        <v>103</v>
      </c>
      <c r="K705" t="str" s="135" cm="1">
        <f t="array" ref="K705">IF(OR(H705="ריביות",AND(H705="דירה כצנלסון",G705&lt;0,ISNUMBER(SEARCH("הכנסה",F705)))),"הכנסה שסווגה מחדש",J705)</f>
        <v>חריג</v>
      </c>
      <c r="L705" t="s" s="134">
        <v>741</v>
      </c>
      <c r="M705" s="136" cm="1">
        <f t="array" ref="M705">IF(L705="מאושר",IF(K705="הכנסה שסווגה מחדש",0,G705),0)</f>
        <v>4784</v>
      </c>
      <c r="N705" s="136" cm="1">
        <f t="array" ref="N705">IF(K705="שוטף",M705,0)</f>
        <v>0</v>
      </c>
      <c r="O705" s="136" cm="1">
        <f t="array" ref="O705">IF(K705="הכנסה שסווגה מחדש",-G705,0)</f>
        <v>0</v>
      </c>
      <c r="P705" t="s" s="80">
        <v>770</v>
      </c>
      <c r="Q705" s="100"/>
      <c r="R705" t="s" s="137">
        <v>743</v>
      </c>
      <c r="S705" s="77"/>
    </row>
    <row r="706" ht="13.65" customHeight="1">
      <c r="A706" s="84">
        <v>45839</v>
      </c>
      <c r="B706" t="s" s="85">
        <v>50</v>
      </c>
      <c r="C706" t="s" s="86">
        <v>808</v>
      </c>
      <c r="D706" s="138">
        <v>109</v>
      </c>
      <c r="E706" t="s" s="85">
        <v>775</v>
      </c>
      <c r="F706" t="s" s="86">
        <v>209</v>
      </c>
      <c r="G706" s="139">
        <v>130</v>
      </c>
      <c r="H706" t="s" s="140">
        <v>113</v>
      </c>
      <c r="I706" t="s" s="141">
        <v>113</v>
      </c>
      <c r="J706" t="s" s="141">
        <v>97</v>
      </c>
      <c r="K706" t="str" s="142" cm="1">
        <f t="array" ref="K706">IF(OR(H706="ריביות",AND(H706="דירה כצנלסון",G706&lt;0,ISNUMBER(SEARCH("הכנסה",F706)))),"הכנסה שסווגה מחדש",J706)</f>
        <v>שוטף</v>
      </c>
      <c r="L706" t="s" s="141">
        <v>741</v>
      </c>
      <c r="M706" s="143" cm="1">
        <f t="array" ref="M706">IF(L706="מאושר",IF(K706="הכנסה שסווגה מחדש",0,G706),0)</f>
        <v>130</v>
      </c>
      <c r="N706" s="143" cm="1">
        <f t="array" ref="N706">IF(K706="שוטף",M706,0)</f>
        <v>130</v>
      </c>
      <c r="O706" s="143" cm="1">
        <f t="array" ref="O706">IF(K706="הכנסה שסווגה מחדש",-G706,0)</f>
        <v>0</v>
      </c>
      <c r="P706" t="s" s="86">
        <v>770</v>
      </c>
      <c r="Q706" s="99"/>
      <c r="R706" t="s" s="144">
        <v>743</v>
      </c>
      <c r="S706" s="77"/>
    </row>
    <row r="707" ht="13.65" customHeight="1">
      <c r="A707" s="78">
        <v>45839</v>
      </c>
      <c r="B707" t="s" s="79">
        <v>50</v>
      </c>
      <c r="C707" t="s" s="80">
        <v>808</v>
      </c>
      <c r="D707" s="131">
        <v>110</v>
      </c>
      <c r="E707" t="s" s="79">
        <v>775</v>
      </c>
      <c r="F707" t="s" s="80">
        <v>209</v>
      </c>
      <c r="G707" s="132">
        <v>102</v>
      </c>
      <c r="H707" t="s" s="133">
        <v>113</v>
      </c>
      <c r="I707" t="s" s="134">
        <v>113</v>
      </c>
      <c r="J707" t="s" s="134">
        <v>97</v>
      </c>
      <c r="K707" t="str" s="135" cm="1">
        <f t="array" ref="K707">IF(OR(H707="ריביות",AND(H707="דירה כצנלסון",G707&lt;0,ISNUMBER(SEARCH("הכנסה",F707)))),"הכנסה שסווגה מחדש",J707)</f>
        <v>שוטף</v>
      </c>
      <c r="L707" t="s" s="134">
        <v>741</v>
      </c>
      <c r="M707" s="136" cm="1">
        <f t="array" ref="M707">IF(L707="מאושר",IF(K707="הכנסה שסווגה מחדש",0,G707),0)</f>
        <v>102</v>
      </c>
      <c r="N707" s="136" cm="1">
        <f t="array" ref="N707">IF(K707="שוטף",M707,0)</f>
        <v>102</v>
      </c>
      <c r="O707" s="136" cm="1">
        <f t="array" ref="O707">IF(K707="הכנסה שסווגה מחדש",-G707,0)</f>
        <v>0</v>
      </c>
      <c r="P707" t="s" s="80">
        <v>770</v>
      </c>
      <c r="Q707" s="100"/>
      <c r="R707" t="s" s="137">
        <v>743</v>
      </c>
      <c r="S707" s="77"/>
    </row>
    <row r="708" ht="13.65" customHeight="1">
      <c r="A708" s="84">
        <v>45839</v>
      </c>
      <c r="B708" t="s" s="85">
        <v>50</v>
      </c>
      <c r="C708" t="s" s="86">
        <v>808</v>
      </c>
      <c r="D708" s="138">
        <v>111</v>
      </c>
      <c r="E708" t="s" s="85">
        <v>775</v>
      </c>
      <c r="F708" t="s" s="86">
        <v>355</v>
      </c>
      <c r="G708" s="139">
        <v>16</v>
      </c>
      <c r="H708" t="s" s="140">
        <v>113</v>
      </c>
      <c r="I708" t="s" s="141">
        <v>113</v>
      </c>
      <c r="J708" t="s" s="141">
        <v>97</v>
      </c>
      <c r="K708" t="str" s="142" cm="1">
        <f t="array" ref="K708">IF(OR(H708="ריביות",AND(H708="דירה כצנלסון",G708&lt;0,ISNUMBER(SEARCH("הכנסה",F708)))),"הכנסה שסווגה מחדש",J708)</f>
        <v>שוטף</v>
      </c>
      <c r="L708" t="s" s="141">
        <v>741</v>
      </c>
      <c r="M708" s="143" cm="1">
        <f t="array" ref="M708">IF(L708="מאושר",IF(K708="הכנסה שסווגה מחדש",0,G708),0)</f>
        <v>16</v>
      </c>
      <c r="N708" s="143" cm="1">
        <f t="array" ref="N708">IF(K708="שוטף",M708,0)</f>
        <v>16</v>
      </c>
      <c r="O708" s="143" cm="1">
        <f t="array" ref="O708">IF(K708="הכנסה שסווגה מחדש",-G708,0)</f>
        <v>0</v>
      </c>
      <c r="P708" t="s" s="86">
        <v>770</v>
      </c>
      <c r="Q708" s="99"/>
      <c r="R708" t="s" s="144">
        <v>743</v>
      </c>
      <c r="S708" s="77"/>
    </row>
    <row r="709" ht="13.65" customHeight="1">
      <c r="A709" s="78">
        <v>45839</v>
      </c>
      <c r="B709" t="s" s="79">
        <v>50</v>
      </c>
      <c r="C709" t="s" s="80">
        <v>808</v>
      </c>
      <c r="D709" s="131">
        <v>112</v>
      </c>
      <c r="E709" t="s" s="79">
        <v>764</v>
      </c>
      <c r="F709" t="s" s="80">
        <v>269</v>
      </c>
      <c r="G709" s="132">
        <v>51</v>
      </c>
      <c r="H709" t="s" s="133">
        <v>113</v>
      </c>
      <c r="I709" t="s" s="134">
        <v>113</v>
      </c>
      <c r="J709" t="s" s="134">
        <v>97</v>
      </c>
      <c r="K709" t="str" s="135" cm="1">
        <f t="array" ref="K709">IF(OR(H709="ריביות",AND(H709="דירה כצנלסון",G709&lt;0,ISNUMBER(SEARCH("הכנסה",F709)))),"הכנסה שסווגה מחדש",J709)</f>
        <v>שוטף</v>
      </c>
      <c r="L709" t="s" s="134">
        <v>741</v>
      </c>
      <c r="M709" s="136" cm="1">
        <f t="array" ref="M709">IF(L709="מאושר",IF(K709="הכנסה שסווגה מחדש",0,G709),0)</f>
        <v>51</v>
      </c>
      <c r="N709" s="136" cm="1">
        <f t="array" ref="N709">IF(K709="שוטף",M709,0)</f>
        <v>51</v>
      </c>
      <c r="O709" s="136" cm="1">
        <f t="array" ref="O709">IF(K709="הכנסה שסווגה מחדש",-G709,0)</f>
        <v>0</v>
      </c>
      <c r="P709" t="s" s="80">
        <v>770</v>
      </c>
      <c r="Q709" s="100"/>
      <c r="R709" t="s" s="137">
        <v>743</v>
      </c>
      <c r="S709" s="77"/>
    </row>
    <row r="710" ht="13.65" customHeight="1">
      <c r="A710" s="84">
        <v>45839</v>
      </c>
      <c r="B710" t="s" s="85">
        <v>50</v>
      </c>
      <c r="C710" t="s" s="86">
        <v>808</v>
      </c>
      <c r="D710" s="138">
        <v>113</v>
      </c>
      <c r="E710" t="s" s="85">
        <v>46</v>
      </c>
      <c r="F710" t="s" s="86">
        <v>472</v>
      </c>
      <c r="G710" s="139">
        <v>22</v>
      </c>
      <c r="H710" t="s" s="140">
        <v>115</v>
      </c>
      <c r="I710" t="s" s="141">
        <v>115</v>
      </c>
      <c r="J710" t="s" s="141">
        <v>97</v>
      </c>
      <c r="K710" t="str" s="142" cm="1">
        <f t="array" ref="K710">IF(OR(H710="ריביות",AND(H710="דירה כצנלסון",G710&lt;0,ISNUMBER(SEARCH("הכנסה",F710)))),"הכנסה שסווגה מחדש",J710)</f>
        <v>שוטף</v>
      </c>
      <c r="L710" t="s" s="141">
        <v>741</v>
      </c>
      <c r="M710" s="143" cm="1">
        <f t="array" ref="M710">IF(L710="מאושר",IF(K710="הכנסה שסווגה מחדש",0,G710),0)</f>
        <v>22</v>
      </c>
      <c r="N710" s="143" cm="1">
        <f t="array" ref="N710">IF(K710="שוטף",M710,0)</f>
        <v>22</v>
      </c>
      <c r="O710" s="143" cm="1">
        <f t="array" ref="O710">IF(K710="הכנסה שסווגה מחדש",-G710,0)</f>
        <v>0</v>
      </c>
      <c r="P710" t="s" s="86">
        <v>783</v>
      </c>
      <c r="Q710" s="99"/>
      <c r="R710" t="s" s="144">
        <v>743</v>
      </c>
      <c r="S710" s="77"/>
    </row>
    <row r="711" ht="13.65" customHeight="1">
      <c r="A711" s="78">
        <v>45839</v>
      </c>
      <c r="B711" t="s" s="79">
        <v>50</v>
      </c>
      <c r="C711" t="s" s="80">
        <v>808</v>
      </c>
      <c r="D711" s="131">
        <v>114</v>
      </c>
      <c r="E711" t="s" s="79">
        <v>788</v>
      </c>
      <c r="F711" t="s" s="80">
        <v>209</v>
      </c>
      <c r="G711" s="132">
        <v>53</v>
      </c>
      <c r="H711" t="s" s="133">
        <v>113</v>
      </c>
      <c r="I711" t="s" s="134">
        <v>113</v>
      </c>
      <c r="J711" t="s" s="134">
        <v>97</v>
      </c>
      <c r="K711" t="str" s="135" cm="1">
        <f t="array" ref="K711">IF(OR(H711="ריביות",AND(H711="דירה כצנלסון",G711&lt;0,ISNUMBER(SEARCH("הכנסה",F711)))),"הכנסה שסווגה מחדש",J711)</f>
        <v>שוטף</v>
      </c>
      <c r="L711" t="s" s="134">
        <v>741</v>
      </c>
      <c r="M711" s="136" cm="1">
        <f t="array" ref="M711">IF(L711="מאושר",IF(K711="הכנסה שסווגה מחדש",0,G711),0)</f>
        <v>53</v>
      </c>
      <c r="N711" s="136" cm="1">
        <f t="array" ref="N711">IF(K711="שוטף",M711,0)</f>
        <v>53</v>
      </c>
      <c r="O711" s="136" cm="1">
        <f t="array" ref="O711">IF(K711="הכנסה שסווגה מחדש",-G711,0)</f>
        <v>0</v>
      </c>
      <c r="P711" t="s" s="80">
        <v>783</v>
      </c>
      <c r="Q711" s="100"/>
      <c r="R711" t="s" s="137">
        <v>743</v>
      </c>
      <c r="S711" s="77"/>
    </row>
    <row r="712" ht="13.65" customHeight="1">
      <c r="A712" s="84">
        <v>45839</v>
      </c>
      <c r="B712" t="s" s="85">
        <v>50</v>
      </c>
      <c r="C712" t="s" s="86">
        <v>808</v>
      </c>
      <c r="D712" s="138">
        <v>115</v>
      </c>
      <c r="E712" t="s" s="85">
        <v>739</v>
      </c>
      <c r="F712" t="s" s="86">
        <v>481</v>
      </c>
      <c r="G712" s="139">
        <v>149</v>
      </c>
      <c r="H712" t="s" s="140">
        <v>105</v>
      </c>
      <c r="I712" t="s" s="141">
        <v>105</v>
      </c>
      <c r="J712" t="s" s="141">
        <v>103</v>
      </c>
      <c r="K712" t="str" s="142" cm="1">
        <f t="array" ref="K712">IF(OR(H712="ריביות",AND(H712="דירה כצנלסון",G712&lt;0,ISNUMBER(SEARCH("הכנסה",F712)))),"הכנסה שסווגה מחדש",J712)</f>
        <v>חריג</v>
      </c>
      <c r="L712" t="s" s="141">
        <v>741</v>
      </c>
      <c r="M712" s="143" cm="1">
        <f t="array" ref="M712">IF(L712="מאושר",IF(K712="הכנסה שסווגה מחדש",0,G712),0)</f>
        <v>149</v>
      </c>
      <c r="N712" s="143" cm="1">
        <f t="array" ref="N712">IF(K712="שוטף",M712,0)</f>
        <v>0</v>
      </c>
      <c r="O712" s="143" cm="1">
        <f t="array" ref="O712">IF(K712="הכנסה שסווגה מחדש",-G712,0)</f>
        <v>0</v>
      </c>
      <c r="P712" t="s" s="86">
        <v>783</v>
      </c>
      <c r="Q712" s="99"/>
      <c r="R712" t="s" s="144">
        <v>743</v>
      </c>
      <c r="S712" s="77"/>
    </row>
    <row r="713" ht="13.65" customHeight="1">
      <c r="A713" s="78">
        <v>45839</v>
      </c>
      <c r="B713" t="s" s="79">
        <v>50</v>
      </c>
      <c r="C713" t="s" s="80">
        <v>808</v>
      </c>
      <c r="D713" s="131">
        <v>116</v>
      </c>
      <c r="E713" t="s" s="79">
        <v>771</v>
      </c>
      <c r="F713" t="s" s="80">
        <v>267</v>
      </c>
      <c r="G713" s="132">
        <v>32</v>
      </c>
      <c r="H713" t="s" s="133">
        <v>109</v>
      </c>
      <c r="I713" t="s" s="134">
        <v>109</v>
      </c>
      <c r="J713" t="s" s="134">
        <v>97</v>
      </c>
      <c r="K713" t="str" s="135" cm="1">
        <f t="array" ref="K713">IF(OR(H713="ריביות",AND(H713="דירה כצנלסון",G713&lt;0,ISNUMBER(SEARCH("הכנסה",F713)))),"הכנסה שסווגה מחדש",J713)</f>
        <v>שוטף</v>
      </c>
      <c r="L713" t="s" s="134">
        <v>741</v>
      </c>
      <c r="M713" s="136" cm="1">
        <f t="array" ref="M713">IF(L713="מאושר",IF(K713="הכנסה שסווגה מחדש",0,G713),0)</f>
        <v>32</v>
      </c>
      <c r="N713" s="136" cm="1">
        <f t="array" ref="N713">IF(K713="שוטף",M713,0)</f>
        <v>32</v>
      </c>
      <c r="O713" s="136" cm="1">
        <f t="array" ref="O713">IF(K713="הכנסה שסווגה מחדש",-G713,0)</f>
        <v>0</v>
      </c>
      <c r="P713" t="s" s="80">
        <v>783</v>
      </c>
      <c r="Q713" s="100"/>
      <c r="R713" t="s" s="137">
        <v>743</v>
      </c>
      <c r="S713" s="77"/>
    </row>
    <row r="714" ht="13.65" customHeight="1">
      <c r="A714" s="84">
        <v>45839</v>
      </c>
      <c r="B714" t="s" s="85">
        <v>50</v>
      </c>
      <c r="C714" t="s" s="86">
        <v>808</v>
      </c>
      <c r="D714" s="138">
        <v>117</v>
      </c>
      <c r="E714" t="s" s="85">
        <v>775</v>
      </c>
      <c r="F714" t="s" s="86">
        <v>408</v>
      </c>
      <c r="G714" s="139">
        <v>273</v>
      </c>
      <c r="H714" t="s" s="140">
        <v>135</v>
      </c>
      <c r="I714" t="s" s="141">
        <v>135</v>
      </c>
      <c r="J714" t="s" s="141">
        <v>97</v>
      </c>
      <c r="K714" t="str" s="142" cm="1">
        <f t="array" ref="K714">IF(OR(H714="ריביות",AND(H714="דירה כצנלסון",G714&lt;0,ISNUMBER(SEARCH("הכנסה",F714)))),"הכנסה שסווגה מחדש",J714)</f>
        <v>שוטף</v>
      </c>
      <c r="L714" t="s" s="141">
        <v>741</v>
      </c>
      <c r="M714" s="143" cm="1">
        <f t="array" ref="M714">IF(L714="מאושר",IF(K714="הכנסה שסווגה מחדש",0,G714),0)</f>
        <v>273</v>
      </c>
      <c r="N714" s="143" cm="1">
        <f t="array" ref="N714">IF(K714="שוטף",M714,0)</f>
        <v>273</v>
      </c>
      <c r="O714" s="143" cm="1">
        <f t="array" ref="O714">IF(K714="הכנסה שסווגה מחדש",-G714,0)</f>
        <v>0</v>
      </c>
      <c r="P714" t="s" s="86">
        <v>783</v>
      </c>
      <c r="Q714" s="99"/>
      <c r="R714" t="s" s="144">
        <v>743</v>
      </c>
      <c r="S714" s="77"/>
    </row>
    <row r="715" ht="13.65" customHeight="1">
      <c r="A715" s="78">
        <v>45839</v>
      </c>
      <c r="B715" t="s" s="79">
        <v>50</v>
      </c>
      <c r="C715" t="s" s="80">
        <v>808</v>
      </c>
      <c r="D715" s="131">
        <v>118</v>
      </c>
      <c r="E715" t="s" s="79">
        <v>764</v>
      </c>
      <c r="F715" t="s" s="80">
        <v>591</v>
      </c>
      <c r="G715" s="132">
        <v>60</v>
      </c>
      <c r="H715" t="s" s="133">
        <v>115</v>
      </c>
      <c r="I715" t="s" s="134">
        <v>115</v>
      </c>
      <c r="J715" t="s" s="134">
        <v>97</v>
      </c>
      <c r="K715" t="str" s="135" cm="1">
        <f t="array" ref="K715">IF(OR(H715="ריביות",AND(H715="דירה כצנלסון",G715&lt;0,ISNUMBER(SEARCH("הכנסה",F715)))),"הכנסה שסווגה מחדש",J715)</f>
        <v>שוטף</v>
      </c>
      <c r="L715" t="s" s="134">
        <v>741</v>
      </c>
      <c r="M715" s="136" cm="1">
        <f t="array" ref="M715">IF(L715="מאושר",IF(K715="הכנסה שסווגה מחדש",0,G715),0)</f>
        <v>60</v>
      </c>
      <c r="N715" s="136" cm="1">
        <f t="array" ref="N715">IF(K715="שוטף",M715,0)</f>
        <v>60</v>
      </c>
      <c r="O715" s="136" cm="1">
        <f t="array" ref="O715">IF(K715="הכנסה שסווגה מחדש",-G715,0)</f>
        <v>0</v>
      </c>
      <c r="P715" t="s" s="80">
        <v>783</v>
      </c>
      <c r="Q715" s="100"/>
      <c r="R715" t="s" s="137">
        <v>743</v>
      </c>
      <c r="S715" s="77"/>
    </row>
    <row r="716" ht="13.65" customHeight="1">
      <c r="A716" s="84">
        <v>45839</v>
      </c>
      <c r="B716" t="s" s="85">
        <v>50</v>
      </c>
      <c r="C716" t="s" s="86">
        <v>808</v>
      </c>
      <c r="D716" s="138">
        <v>119</v>
      </c>
      <c r="E716" t="s" s="85">
        <v>764</v>
      </c>
      <c r="F716" t="s" s="86">
        <v>472</v>
      </c>
      <c r="G716" s="139">
        <v>17</v>
      </c>
      <c r="H716" t="s" s="140">
        <v>115</v>
      </c>
      <c r="I716" t="s" s="141">
        <v>115</v>
      </c>
      <c r="J716" t="s" s="141">
        <v>97</v>
      </c>
      <c r="K716" t="str" s="142" cm="1">
        <f t="array" ref="K716">IF(OR(H716="ריביות",AND(H716="דירה כצנלסון",G716&lt;0,ISNUMBER(SEARCH("הכנסה",F716)))),"הכנסה שסווגה מחדש",J716)</f>
        <v>שוטף</v>
      </c>
      <c r="L716" t="s" s="141">
        <v>741</v>
      </c>
      <c r="M716" s="143" cm="1">
        <f t="array" ref="M716">IF(L716="מאושר",IF(K716="הכנסה שסווגה מחדש",0,G716),0)</f>
        <v>17</v>
      </c>
      <c r="N716" s="143" cm="1">
        <f t="array" ref="N716">IF(K716="שוטף",M716,0)</f>
        <v>17</v>
      </c>
      <c r="O716" s="143" cm="1">
        <f t="array" ref="O716">IF(K716="הכנסה שסווגה מחדש",-G716,0)</f>
        <v>0</v>
      </c>
      <c r="P716" t="s" s="86">
        <v>783</v>
      </c>
      <c r="Q716" s="99"/>
      <c r="R716" t="s" s="144">
        <v>743</v>
      </c>
      <c r="S716" s="77"/>
    </row>
    <row r="717" ht="13.65" customHeight="1">
      <c r="A717" s="78">
        <v>45839</v>
      </c>
      <c r="B717" t="s" s="79">
        <v>50</v>
      </c>
      <c r="C717" t="s" s="80">
        <v>808</v>
      </c>
      <c r="D717" s="131">
        <v>120</v>
      </c>
      <c r="E717" t="s" s="79">
        <v>756</v>
      </c>
      <c r="F717" t="s" s="80">
        <v>250</v>
      </c>
      <c r="G717" s="132">
        <v>120</v>
      </c>
      <c r="H717" t="s" s="133">
        <v>127</v>
      </c>
      <c r="I717" t="s" s="134">
        <v>127</v>
      </c>
      <c r="J717" t="s" s="134">
        <v>97</v>
      </c>
      <c r="K717" t="str" s="135" cm="1">
        <f t="array" ref="K717">IF(OR(H717="ריביות",AND(H717="דירה כצנלסון",G717&lt;0,ISNUMBER(SEARCH("הכנסה",F717)))),"הכנסה שסווגה מחדש",J717)</f>
        <v>שוטף</v>
      </c>
      <c r="L717" t="s" s="134">
        <v>741</v>
      </c>
      <c r="M717" s="136" cm="1">
        <f t="array" ref="M717">IF(L717="מאושר",IF(K717="הכנסה שסווגה מחדש",0,G717),0)</f>
        <v>120</v>
      </c>
      <c r="N717" s="136" cm="1">
        <f t="array" ref="N717">IF(K717="שוטף",M717,0)</f>
        <v>120</v>
      </c>
      <c r="O717" s="136" cm="1">
        <f t="array" ref="O717">IF(K717="הכנסה שסווגה מחדש",-G717,0)</f>
        <v>0</v>
      </c>
      <c r="P717" t="s" s="80">
        <v>783</v>
      </c>
      <c r="Q717" s="100"/>
      <c r="R717" t="s" s="137">
        <v>743</v>
      </c>
      <c r="S717" s="77"/>
    </row>
    <row r="718" ht="13.65" customHeight="1">
      <c r="A718" s="84">
        <v>45839</v>
      </c>
      <c r="B718" t="s" s="85">
        <v>50</v>
      </c>
      <c r="C718" t="s" s="86">
        <v>808</v>
      </c>
      <c r="D718" s="138">
        <v>121</v>
      </c>
      <c r="E718" t="s" s="85">
        <v>776</v>
      </c>
      <c r="F718" t="s" s="86">
        <v>209</v>
      </c>
      <c r="G718" s="139">
        <v>15</v>
      </c>
      <c r="H718" t="s" s="140">
        <v>113</v>
      </c>
      <c r="I718" t="s" s="141">
        <v>113</v>
      </c>
      <c r="J718" t="s" s="141">
        <v>97</v>
      </c>
      <c r="K718" t="str" s="142" cm="1">
        <f t="array" ref="K718">IF(OR(H718="ריביות",AND(H718="דירה כצנלסון",G718&lt;0,ISNUMBER(SEARCH("הכנסה",F718)))),"הכנסה שסווגה מחדש",J718)</f>
        <v>שוטף</v>
      </c>
      <c r="L718" t="s" s="141">
        <v>741</v>
      </c>
      <c r="M718" s="143" cm="1">
        <f t="array" ref="M718">IF(L718="מאושר",IF(K718="הכנסה שסווגה מחדש",0,G718),0)</f>
        <v>15</v>
      </c>
      <c r="N718" s="143" cm="1">
        <f t="array" ref="N718">IF(K718="שוטף",M718,0)</f>
        <v>15</v>
      </c>
      <c r="O718" s="143" cm="1">
        <f t="array" ref="O718">IF(K718="הכנסה שסווגה מחדש",-G718,0)</f>
        <v>0</v>
      </c>
      <c r="P718" t="s" s="86">
        <v>783</v>
      </c>
      <c r="Q718" s="99"/>
      <c r="R718" t="s" s="144">
        <v>743</v>
      </c>
      <c r="S718" s="77"/>
    </row>
    <row r="719" ht="13.65" customHeight="1">
      <c r="A719" s="78">
        <v>45839</v>
      </c>
      <c r="B719" t="s" s="79">
        <v>50</v>
      </c>
      <c r="C719" t="s" s="80">
        <v>808</v>
      </c>
      <c r="D719" s="131">
        <v>122</v>
      </c>
      <c r="E719" t="s" s="79">
        <v>776</v>
      </c>
      <c r="F719" t="s" s="80">
        <v>209</v>
      </c>
      <c r="G719" s="132">
        <v>54</v>
      </c>
      <c r="H719" t="s" s="133">
        <v>113</v>
      </c>
      <c r="I719" t="s" s="134">
        <v>113</v>
      </c>
      <c r="J719" t="s" s="134">
        <v>97</v>
      </c>
      <c r="K719" t="str" s="135" cm="1">
        <f t="array" ref="K719">IF(OR(H719="ריביות",AND(H719="דירה כצנלסון",G719&lt;0,ISNUMBER(SEARCH("הכנסה",F719)))),"הכנסה שסווגה מחדש",J719)</f>
        <v>שוטף</v>
      </c>
      <c r="L719" t="s" s="134">
        <v>741</v>
      </c>
      <c r="M719" s="136" cm="1">
        <f t="array" ref="M719">IF(L719="מאושר",IF(K719="הכנסה שסווגה מחדש",0,G719),0)</f>
        <v>54</v>
      </c>
      <c r="N719" s="136" cm="1">
        <f t="array" ref="N719">IF(K719="שוטף",M719,0)</f>
        <v>54</v>
      </c>
      <c r="O719" s="136" cm="1">
        <f t="array" ref="O719">IF(K719="הכנסה שסווגה מחדש",-G719,0)</f>
        <v>0</v>
      </c>
      <c r="P719" t="s" s="80">
        <v>783</v>
      </c>
      <c r="Q719" s="100"/>
      <c r="R719" t="s" s="137">
        <v>743</v>
      </c>
      <c r="S719" s="77"/>
    </row>
    <row r="720" ht="13.65" customHeight="1">
      <c r="A720" s="84">
        <v>45839</v>
      </c>
      <c r="B720" t="s" s="85">
        <v>50</v>
      </c>
      <c r="C720" t="s" s="86">
        <v>808</v>
      </c>
      <c r="D720" s="138">
        <v>123</v>
      </c>
      <c r="E720" t="s" s="85">
        <v>761</v>
      </c>
      <c r="F720" t="s" s="86">
        <v>307</v>
      </c>
      <c r="G720" s="139">
        <v>19</v>
      </c>
      <c r="H720" t="s" s="140">
        <v>115</v>
      </c>
      <c r="I720" t="s" s="141">
        <v>115</v>
      </c>
      <c r="J720" t="s" s="141">
        <v>97</v>
      </c>
      <c r="K720" t="str" s="142" cm="1">
        <f t="array" ref="K720">IF(OR(H720="ריביות",AND(H720="דירה כצנלסון",G720&lt;0,ISNUMBER(SEARCH("הכנסה",F720)))),"הכנסה שסווגה מחדש",J720)</f>
        <v>שוטף</v>
      </c>
      <c r="L720" t="s" s="141">
        <v>741</v>
      </c>
      <c r="M720" s="143" cm="1">
        <f t="array" ref="M720">IF(L720="מאושר",IF(K720="הכנסה שסווגה מחדש",0,G720),0)</f>
        <v>19</v>
      </c>
      <c r="N720" s="143" cm="1">
        <f t="array" ref="N720">IF(K720="שוטף",M720,0)</f>
        <v>19</v>
      </c>
      <c r="O720" s="143" cm="1">
        <f t="array" ref="O720">IF(K720="הכנסה שסווגה מחדש",-G720,0)</f>
        <v>0</v>
      </c>
      <c r="P720" t="s" s="86">
        <v>782</v>
      </c>
      <c r="Q720" s="99"/>
      <c r="R720" t="s" s="144">
        <v>743</v>
      </c>
      <c r="S720" s="77"/>
    </row>
    <row r="721" ht="13.65" customHeight="1">
      <c r="A721" s="78">
        <v>45839</v>
      </c>
      <c r="B721" t="s" s="79">
        <v>50</v>
      </c>
      <c r="C721" t="s" s="80">
        <v>808</v>
      </c>
      <c r="D721" s="131">
        <v>124</v>
      </c>
      <c r="E721" t="s" s="79">
        <v>759</v>
      </c>
      <c r="F721" t="s" s="80">
        <v>307</v>
      </c>
      <c r="G721" s="132">
        <v>3</v>
      </c>
      <c r="H721" t="s" s="133">
        <v>115</v>
      </c>
      <c r="I721" t="s" s="134">
        <v>115</v>
      </c>
      <c r="J721" t="s" s="134">
        <v>97</v>
      </c>
      <c r="K721" t="str" s="135" cm="1">
        <f t="array" ref="K721">IF(OR(H721="ריביות",AND(H721="דירה כצנלסון",G721&lt;0,ISNUMBER(SEARCH("הכנסה",F721)))),"הכנסה שסווגה מחדש",J721)</f>
        <v>שוטף</v>
      </c>
      <c r="L721" t="s" s="134">
        <v>741</v>
      </c>
      <c r="M721" s="136" cm="1">
        <f t="array" ref="M721">IF(L721="מאושר",IF(K721="הכנסה שסווגה מחדש",0,G721),0)</f>
        <v>3</v>
      </c>
      <c r="N721" s="136" cm="1">
        <f t="array" ref="N721">IF(K721="שוטף",M721,0)</f>
        <v>3</v>
      </c>
      <c r="O721" s="136" cm="1">
        <f t="array" ref="O721">IF(K721="הכנסה שסווגה מחדש",-G721,0)</f>
        <v>0</v>
      </c>
      <c r="P721" t="s" s="80">
        <v>782</v>
      </c>
      <c r="Q721" s="100"/>
      <c r="R721" t="s" s="137">
        <v>743</v>
      </c>
      <c r="S721" s="77"/>
    </row>
    <row r="722" ht="13.65" customHeight="1">
      <c r="A722" s="84">
        <v>45839</v>
      </c>
      <c r="B722" t="s" s="85">
        <v>50</v>
      </c>
      <c r="C722" t="s" s="86">
        <v>808</v>
      </c>
      <c r="D722" s="138">
        <v>125</v>
      </c>
      <c r="E722" t="s" s="85">
        <v>46</v>
      </c>
      <c r="F722" t="s" s="86">
        <v>307</v>
      </c>
      <c r="G722" s="139">
        <v>11</v>
      </c>
      <c r="H722" t="s" s="140">
        <v>115</v>
      </c>
      <c r="I722" t="s" s="141">
        <v>115</v>
      </c>
      <c r="J722" t="s" s="141">
        <v>97</v>
      </c>
      <c r="K722" t="str" s="142" cm="1">
        <f t="array" ref="K722">IF(OR(H722="ריביות",AND(H722="דירה כצנלסון",G722&lt;0,ISNUMBER(SEARCH("הכנסה",F722)))),"הכנסה שסווגה מחדש",J722)</f>
        <v>שוטף</v>
      </c>
      <c r="L722" t="s" s="141">
        <v>741</v>
      </c>
      <c r="M722" s="143" cm="1">
        <f t="array" ref="M722">IF(L722="מאושר",IF(K722="הכנסה שסווגה מחדש",0,G722),0)</f>
        <v>11</v>
      </c>
      <c r="N722" s="143" cm="1">
        <f t="array" ref="N722">IF(K722="שוטף",M722,0)</f>
        <v>11</v>
      </c>
      <c r="O722" s="143" cm="1">
        <f t="array" ref="O722">IF(K722="הכנסה שסווגה מחדש",-G722,0)</f>
        <v>0</v>
      </c>
      <c r="P722" t="s" s="86">
        <v>807</v>
      </c>
      <c r="Q722" s="99"/>
      <c r="R722" t="s" s="144">
        <v>743</v>
      </c>
      <c r="S722" s="77"/>
    </row>
    <row r="723" ht="13.65" customHeight="1">
      <c r="A723" s="78">
        <v>45839</v>
      </c>
      <c r="B723" t="s" s="79">
        <v>50</v>
      </c>
      <c r="C723" t="s" s="80">
        <v>808</v>
      </c>
      <c r="D723" s="131">
        <v>126</v>
      </c>
      <c r="E723" t="s" s="79">
        <v>749</v>
      </c>
      <c r="F723" t="s" s="80">
        <v>307</v>
      </c>
      <c r="G723" s="132">
        <v>16</v>
      </c>
      <c r="H723" t="s" s="133">
        <v>115</v>
      </c>
      <c r="I723" t="s" s="134">
        <v>115</v>
      </c>
      <c r="J723" t="s" s="134">
        <v>97</v>
      </c>
      <c r="K723" t="str" s="135" cm="1">
        <f t="array" ref="K723">IF(OR(H723="ריביות",AND(H723="דירה כצנלסון",G723&lt;0,ISNUMBER(SEARCH("הכנסה",F723)))),"הכנסה שסווגה מחדש",J723)</f>
        <v>שוטף</v>
      </c>
      <c r="L723" t="s" s="134">
        <v>741</v>
      </c>
      <c r="M723" s="136" cm="1">
        <f t="array" ref="M723">IF(L723="מאושר",IF(K723="הכנסה שסווגה מחדש",0,G723),0)</f>
        <v>16</v>
      </c>
      <c r="N723" s="136" cm="1">
        <f t="array" ref="N723">IF(K723="שוטף",M723,0)</f>
        <v>16</v>
      </c>
      <c r="O723" s="136" cm="1">
        <f t="array" ref="O723">IF(K723="הכנסה שסווגה מחדש",-G723,0)</f>
        <v>0</v>
      </c>
      <c r="P723" t="s" s="80">
        <v>807</v>
      </c>
      <c r="Q723" s="100"/>
      <c r="R723" t="s" s="137">
        <v>743</v>
      </c>
      <c r="S723" s="77"/>
    </row>
    <row r="724" ht="13.65" customHeight="1">
      <c r="A724" s="84">
        <v>45839</v>
      </c>
      <c r="B724" t="s" s="85">
        <v>50</v>
      </c>
      <c r="C724" t="s" s="86">
        <v>808</v>
      </c>
      <c r="D724" s="138">
        <v>127</v>
      </c>
      <c r="E724" t="s" s="85">
        <v>753</v>
      </c>
      <c r="F724" t="s" s="86">
        <v>307</v>
      </c>
      <c r="G724" s="139">
        <v>12</v>
      </c>
      <c r="H724" t="s" s="140">
        <v>115</v>
      </c>
      <c r="I724" t="s" s="141">
        <v>115</v>
      </c>
      <c r="J724" t="s" s="141">
        <v>97</v>
      </c>
      <c r="K724" t="str" s="142" cm="1">
        <f t="array" ref="K724">IF(OR(H724="ריביות",AND(H724="דירה כצנלסון",G724&lt;0,ISNUMBER(SEARCH("הכנסה",F724)))),"הכנסה שסווגה מחדש",J724)</f>
        <v>שוטף</v>
      </c>
      <c r="L724" t="s" s="141">
        <v>741</v>
      </c>
      <c r="M724" s="143" cm="1">
        <f t="array" ref="M724">IF(L724="מאושר",IF(K724="הכנסה שסווגה מחדש",0,G724),0)</f>
        <v>12</v>
      </c>
      <c r="N724" s="143" cm="1">
        <f t="array" ref="N724">IF(K724="שוטף",M724,0)</f>
        <v>12</v>
      </c>
      <c r="O724" s="143" cm="1">
        <f t="array" ref="O724">IF(K724="הכנסה שסווגה מחדש",-G724,0)</f>
        <v>0</v>
      </c>
      <c r="P724" t="s" s="86">
        <v>807</v>
      </c>
      <c r="Q724" s="99"/>
      <c r="R724" t="s" s="144">
        <v>743</v>
      </c>
      <c r="S724" s="77"/>
    </row>
    <row r="725" ht="13.65" customHeight="1">
      <c r="A725" s="78">
        <v>45839</v>
      </c>
      <c r="B725" t="s" s="79">
        <v>50</v>
      </c>
      <c r="C725" t="s" s="80">
        <v>808</v>
      </c>
      <c r="D725" s="131">
        <v>128</v>
      </c>
      <c r="E725" t="s" s="79">
        <v>754</v>
      </c>
      <c r="F725" t="s" s="80">
        <v>307</v>
      </c>
      <c r="G725" s="132">
        <v>8</v>
      </c>
      <c r="H725" t="s" s="133">
        <v>115</v>
      </c>
      <c r="I725" t="s" s="134">
        <v>115</v>
      </c>
      <c r="J725" t="s" s="134">
        <v>97</v>
      </c>
      <c r="K725" t="str" s="135" cm="1">
        <f t="array" ref="K725">IF(OR(H725="ריביות",AND(H725="דירה כצנלסון",G725&lt;0,ISNUMBER(SEARCH("הכנסה",F725)))),"הכנסה שסווגה מחדש",J725)</f>
        <v>שוטף</v>
      </c>
      <c r="L725" t="s" s="134">
        <v>741</v>
      </c>
      <c r="M725" s="136" cm="1">
        <f t="array" ref="M725">IF(L725="מאושר",IF(K725="הכנסה שסווגה מחדש",0,G725),0)</f>
        <v>8</v>
      </c>
      <c r="N725" s="136" cm="1">
        <f t="array" ref="N725">IF(K725="שוטף",M725,0)</f>
        <v>8</v>
      </c>
      <c r="O725" s="136" cm="1">
        <f t="array" ref="O725">IF(K725="הכנסה שסווגה מחדש",-G725,0)</f>
        <v>0</v>
      </c>
      <c r="P725" t="s" s="80">
        <v>807</v>
      </c>
      <c r="Q725" s="100"/>
      <c r="R725" t="s" s="137">
        <v>743</v>
      </c>
      <c r="S725" s="77"/>
    </row>
    <row r="726" ht="13.65" customHeight="1">
      <c r="A726" s="84">
        <v>45839</v>
      </c>
      <c r="B726" t="s" s="85">
        <v>50</v>
      </c>
      <c r="C726" t="s" s="86">
        <v>808</v>
      </c>
      <c r="D726" s="138">
        <v>129</v>
      </c>
      <c r="E726" t="s" s="85">
        <v>765</v>
      </c>
      <c r="F726" t="s" s="86">
        <v>277</v>
      </c>
      <c r="G726" s="139">
        <v>8</v>
      </c>
      <c r="H726" t="s" s="140">
        <v>115</v>
      </c>
      <c r="I726" t="s" s="141">
        <v>115</v>
      </c>
      <c r="J726" t="s" s="141">
        <v>97</v>
      </c>
      <c r="K726" t="str" s="142" cm="1">
        <f t="array" ref="K726">IF(OR(H726="ריביות",AND(H726="דירה כצנלסון",G726&lt;0,ISNUMBER(SEARCH("הכנסה",F726)))),"הכנסה שסווגה מחדש",J726)</f>
        <v>שוטף</v>
      </c>
      <c r="L726" t="s" s="141">
        <v>741</v>
      </c>
      <c r="M726" s="143" cm="1">
        <f t="array" ref="M726">IF(L726="מאושר",IF(K726="הכנסה שסווגה מחדש",0,G726),0)</f>
        <v>8</v>
      </c>
      <c r="N726" s="143" cm="1">
        <f t="array" ref="N726">IF(K726="שוטף",M726,0)</f>
        <v>8</v>
      </c>
      <c r="O726" s="143" cm="1">
        <f t="array" ref="O726">IF(K726="הכנסה שסווגה מחדש",-G726,0)</f>
        <v>0</v>
      </c>
      <c r="P726" t="s" s="86">
        <v>807</v>
      </c>
      <c r="Q726" s="99"/>
      <c r="R726" t="s" s="144">
        <v>743</v>
      </c>
      <c r="S726" s="77"/>
    </row>
    <row r="727" ht="13.65" customHeight="1">
      <c r="A727" s="78">
        <v>45839</v>
      </c>
      <c r="B727" t="s" s="79">
        <v>50</v>
      </c>
      <c r="C727" t="s" s="80">
        <v>808</v>
      </c>
      <c r="D727" s="131">
        <v>130</v>
      </c>
      <c r="E727" s="100"/>
      <c r="F727" t="s" s="80">
        <v>352</v>
      </c>
      <c r="G727" s="132">
        <v>500</v>
      </c>
      <c r="H727" t="s" s="133">
        <v>117</v>
      </c>
      <c r="I727" t="s" s="134">
        <v>117</v>
      </c>
      <c r="J727" t="s" s="134">
        <v>97</v>
      </c>
      <c r="K727" t="str" s="135" cm="1">
        <f t="array" ref="K727">IF(OR(H727="ריביות",AND(H727="דירה כצנלסון",G727&lt;0,ISNUMBER(SEARCH("הכנסה",F727)))),"הכנסה שסווגה מחדש",J727)</f>
        <v>שוטף</v>
      </c>
      <c r="L727" t="s" s="134">
        <v>741</v>
      </c>
      <c r="M727" s="136" cm="1">
        <f t="array" ref="M727">IF(L727="מאושר",IF(K727="הכנסה שסווגה מחדש",0,G727),0)</f>
        <v>500</v>
      </c>
      <c r="N727" s="136" cm="1">
        <f t="array" ref="N727">IF(K727="שוטף",M727,0)</f>
        <v>500</v>
      </c>
      <c r="O727" s="136" cm="1">
        <f t="array" ref="O727">IF(K727="הכנסה שסווגה מחדש",-G727,0)</f>
        <v>0</v>
      </c>
      <c r="P727" t="s" s="80">
        <v>798</v>
      </c>
      <c r="Q727" s="100"/>
      <c r="R727" t="s" s="137">
        <v>743</v>
      </c>
      <c r="S727" s="77"/>
    </row>
    <row r="728" ht="13.65" customHeight="1">
      <c r="A728" s="84">
        <v>45839</v>
      </c>
      <c r="B728" t="s" s="85">
        <v>50</v>
      </c>
      <c r="C728" t="s" s="86">
        <v>808</v>
      </c>
      <c r="D728" s="138">
        <v>131</v>
      </c>
      <c r="E728" t="s" s="85">
        <v>749</v>
      </c>
      <c r="F728" t="s" s="86">
        <v>139</v>
      </c>
      <c r="G728" s="139">
        <v>48</v>
      </c>
      <c r="H728" t="s" s="140">
        <v>139</v>
      </c>
      <c r="I728" t="s" s="141">
        <v>139</v>
      </c>
      <c r="J728" t="s" s="141">
        <v>97</v>
      </c>
      <c r="K728" t="str" s="142" cm="1">
        <f t="array" ref="K728">IF(OR(H728="ריביות",AND(H728="דירה כצנלסון",G728&lt;0,ISNUMBER(SEARCH("הכנסה",F728)))),"הכנסה שסווגה מחדש",J728)</f>
        <v>שוטף</v>
      </c>
      <c r="L728" t="s" s="141">
        <v>741</v>
      </c>
      <c r="M728" s="143" cm="1">
        <f t="array" ref="M728">IF(L728="מאושר",IF(K728="הכנסה שסווגה מחדש",0,G728),0)</f>
        <v>48</v>
      </c>
      <c r="N728" s="143" cm="1">
        <f t="array" ref="N728">IF(K728="שוטף",M728,0)</f>
        <v>48</v>
      </c>
      <c r="O728" s="143" cm="1">
        <f t="array" ref="O728">IF(K728="הכנסה שסווגה מחדש",-G728,0)</f>
        <v>0</v>
      </c>
      <c r="P728" t="s" s="86">
        <v>786</v>
      </c>
      <c r="Q728" s="99"/>
      <c r="R728" t="s" s="144">
        <v>743</v>
      </c>
      <c r="S728" s="77"/>
    </row>
    <row r="729" ht="13.65" customHeight="1">
      <c r="A729" s="78">
        <v>45839</v>
      </c>
      <c r="B729" t="s" s="79">
        <v>50</v>
      </c>
      <c r="C729" t="s" s="80">
        <v>808</v>
      </c>
      <c r="D729" s="131">
        <v>132</v>
      </c>
      <c r="E729" s="100"/>
      <c r="F729" t="s" s="80">
        <v>745</v>
      </c>
      <c r="G729" s="132">
        <v>-340</v>
      </c>
      <c r="H729" t="s" s="133">
        <v>746</v>
      </c>
      <c r="I729" t="s" s="134">
        <v>141</v>
      </c>
      <c r="J729" t="s" s="134">
        <v>142</v>
      </c>
      <c r="K729" t="str" s="135" cm="1">
        <f t="array" ref="K729">IF(OR(H729="ריביות",AND(H729="דירה כצנלסון",G729&lt;0,ISNUMBER(SEARCH("הכנסה",F729)))),"הכנסה שסווגה מחדש",J729)</f>
        <v>הכנסה שסווגה מחדש</v>
      </c>
      <c r="L729" t="s" s="134">
        <v>741</v>
      </c>
      <c r="M729" s="136" cm="1">
        <f t="array" ref="M729">IF(L729="מאושר",IF(K729="הכנסה שסווגה מחדש",0,G729),0)</f>
        <v>0</v>
      </c>
      <c r="N729" s="136" cm="1">
        <f t="array" ref="N729">IF(K729="שוטף",M729,0)</f>
        <v>0</v>
      </c>
      <c r="O729" s="136" cm="1">
        <f t="array" ref="O729">IF(K729="הכנסה שסווגה מחדש",-G729,0)</f>
        <v>340</v>
      </c>
      <c r="P729" t="s" s="79">
        <v>742</v>
      </c>
      <c r="Q729" s="100"/>
      <c r="R729" t="s" s="137">
        <v>743</v>
      </c>
      <c r="S729" s="77"/>
    </row>
    <row r="730" ht="13.65" customHeight="1">
      <c r="A730" s="84">
        <v>45839</v>
      </c>
      <c r="B730" t="s" s="85">
        <v>50</v>
      </c>
      <c r="C730" t="s" s="86">
        <v>808</v>
      </c>
      <c r="D730" s="138">
        <v>133</v>
      </c>
      <c r="E730" s="99"/>
      <c r="F730" t="s" s="86">
        <v>745</v>
      </c>
      <c r="G730" s="139">
        <v>-84</v>
      </c>
      <c r="H730" t="s" s="140">
        <v>746</v>
      </c>
      <c r="I730" t="s" s="141">
        <v>141</v>
      </c>
      <c r="J730" t="s" s="141">
        <v>142</v>
      </c>
      <c r="K730" t="str" s="142" cm="1">
        <f t="array" ref="K730">IF(OR(H730="ריביות",AND(H730="דירה כצנלסון",G730&lt;0,ISNUMBER(SEARCH("הכנסה",F730)))),"הכנסה שסווגה מחדש",J730)</f>
        <v>הכנסה שסווגה מחדש</v>
      </c>
      <c r="L730" t="s" s="141">
        <v>741</v>
      </c>
      <c r="M730" s="143" cm="1">
        <f t="array" ref="M730">IF(L730="מאושר",IF(K730="הכנסה שסווגה מחדש",0,G730),0)</f>
        <v>0</v>
      </c>
      <c r="N730" s="143" cm="1">
        <f t="array" ref="N730">IF(K730="שוטף",M730,0)</f>
        <v>0</v>
      </c>
      <c r="O730" s="143" cm="1">
        <f t="array" ref="O730">IF(K730="הכנסה שסווגה מחדש",-G730,0)</f>
        <v>84</v>
      </c>
      <c r="P730" t="s" s="85">
        <v>742</v>
      </c>
      <c r="Q730" s="99"/>
      <c r="R730" t="s" s="144">
        <v>743</v>
      </c>
      <c r="S730" s="77"/>
    </row>
    <row r="731" ht="13.65" customHeight="1">
      <c r="A731" s="78">
        <v>45870</v>
      </c>
      <c r="B731" t="s" s="79">
        <v>51</v>
      </c>
      <c r="C731" t="s" s="80">
        <v>813</v>
      </c>
      <c r="D731" s="131">
        <v>2</v>
      </c>
      <c r="E731" t="s" s="79">
        <v>772</v>
      </c>
      <c r="F731" t="s" s="80">
        <v>196</v>
      </c>
      <c r="G731" s="132">
        <v>8000</v>
      </c>
      <c r="H731" t="s" s="133">
        <v>763</v>
      </c>
      <c r="I731" t="s" s="134">
        <v>96</v>
      </c>
      <c r="J731" t="s" s="134">
        <v>97</v>
      </c>
      <c r="K731" t="str" s="135" cm="1">
        <f t="array" ref="K731">IF(OR(H731="ריביות",AND(H731="דירה כצנלסון",G731&lt;0,ISNUMBER(SEARCH("הכנסה",F731)))),"הכנסה שסווגה מחדש",J731)</f>
        <v>שוטף</v>
      </c>
      <c r="L731" t="s" s="134">
        <v>741</v>
      </c>
      <c r="M731" s="136" cm="1">
        <f t="array" ref="M731">IF(L731="מאושר",IF(K731="הכנסה שסווגה מחדש",0,G731),0)</f>
        <v>8000</v>
      </c>
      <c r="N731" s="136" cm="1">
        <f t="array" ref="N731">IF(K731="שוטף",M731,0)</f>
        <v>8000</v>
      </c>
      <c r="O731" s="136" cm="1">
        <f t="array" ref="O731">IF(K731="הכנסה שסווגה מחדש",-G731,0)</f>
        <v>0</v>
      </c>
      <c r="P731" t="s" s="80">
        <v>786</v>
      </c>
      <c r="Q731" s="100"/>
      <c r="R731" t="s" s="137">
        <v>743</v>
      </c>
      <c r="S731" s="77"/>
    </row>
    <row r="732" ht="13.65" customHeight="1">
      <c r="A732" s="84">
        <v>45870</v>
      </c>
      <c r="B732" t="s" s="85">
        <v>51</v>
      </c>
      <c r="C732" t="s" s="86">
        <v>813</v>
      </c>
      <c r="D732" s="138">
        <v>3</v>
      </c>
      <c r="E732" t="s" s="85">
        <v>751</v>
      </c>
      <c r="F732" t="s" s="86">
        <v>197</v>
      </c>
      <c r="G732" s="139">
        <v>6139</v>
      </c>
      <c r="H732" t="s" s="140">
        <v>279</v>
      </c>
      <c r="I732" t="s" s="141">
        <v>99</v>
      </c>
      <c r="J732" t="s" s="141">
        <v>100</v>
      </c>
      <c r="K732" t="str" s="142" cm="1">
        <f t="array" ref="K732">IF(OR(H732="ריביות",AND(H732="דירה כצנלסון",G732&lt;0,ISNUMBER(SEARCH("הכנסה",F732)))),"הכנסה שסווגה מחדש",J732)</f>
        <v>חריג/נכס</v>
      </c>
      <c r="L732" t="s" s="141">
        <v>741</v>
      </c>
      <c r="M732" s="143" cm="1">
        <f t="array" ref="M732">IF(L732="מאושר",IF(K732="הכנסה שסווגה מחדש",0,G732),0)</f>
        <v>6139</v>
      </c>
      <c r="N732" s="143" cm="1">
        <f t="array" ref="N732">IF(K732="שוטף",M732,0)</f>
        <v>0</v>
      </c>
      <c r="O732" s="143" cm="1">
        <f t="array" ref="O732">IF(K732="הכנסה שסווגה מחדש",-G732,0)</f>
        <v>0</v>
      </c>
      <c r="P732" t="s" s="86">
        <v>786</v>
      </c>
      <c r="Q732" s="99"/>
      <c r="R732" t="s" s="144">
        <v>743</v>
      </c>
      <c r="S732" s="77"/>
    </row>
    <row r="733" ht="13.65" customHeight="1">
      <c r="A733" s="78">
        <v>45870</v>
      </c>
      <c r="B733" t="s" s="79">
        <v>51</v>
      </c>
      <c r="C733" t="s" s="80">
        <v>813</v>
      </c>
      <c r="D733" s="131">
        <v>4</v>
      </c>
      <c r="E733" s="100"/>
      <c r="F733" t="s" s="80">
        <v>740</v>
      </c>
      <c r="G733" s="132">
        <v>-6500</v>
      </c>
      <c r="H733" t="s" s="133">
        <v>279</v>
      </c>
      <c r="I733" t="s" s="134">
        <v>99</v>
      </c>
      <c r="J733" t="s" s="134">
        <v>100</v>
      </c>
      <c r="K733" t="str" s="135" cm="1">
        <f t="array" ref="K733">IF(OR(H733="ריביות",AND(H733="דירה כצנלסון",G733&lt;0,ISNUMBER(SEARCH("הכנסה",F733)))),"הכנסה שסווגה מחדש",J733)</f>
        <v>הכנסה שסווגה מחדש</v>
      </c>
      <c r="L733" t="s" s="134">
        <v>741</v>
      </c>
      <c r="M733" s="136" cm="1">
        <f t="array" ref="M733">IF(L733="מאושר",IF(K733="הכנסה שסווגה מחדש",0,G733),0)</f>
        <v>0</v>
      </c>
      <c r="N733" s="136" cm="1">
        <f t="array" ref="N733">IF(K733="שוטף",M733,0)</f>
        <v>0</v>
      </c>
      <c r="O733" s="136" cm="1">
        <f t="array" ref="O733">IF(K733="הכנסה שסווגה מחדש",-G733,0)</f>
        <v>6500</v>
      </c>
      <c r="P733" t="s" s="79">
        <v>742</v>
      </c>
      <c r="Q733" s="100"/>
      <c r="R733" t="s" s="137">
        <v>743</v>
      </c>
      <c r="S733" s="77"/>
    </row>
    <row r="734" ht="13.65" customHeight="1">
      <c r="A734" s="84">
        <v>45870</v>
      </c>
      <c r="B734" t="s" s="85">
        <v>51</v>
      </c>
      <c r="C734" t="s" s="86">
        <v>813</v>
      </c>
      <c r="D734" s="138">
        <v>5</v>
      </c>
      <c r="E734" t="s" s="85">
        <v>759</v>
      </c>
      <c r="F734" t="s" s="86">
        <v>212</v>
      </c>
      <c r="G734" s="139">
        <v>997</v>
      </c>
      <c r="H734" t="s" s="140">
        <v>757</v>
      </c>
      <c r="I734" t="s" s="141">
        <v>96</v>
      </c>
      <c r="J734" t="s" s="141">
        <v>97</v>
      </c>
      <c r="K734" t="str" s="142" cm="1">
        <f t="array" ref="K734">IF(OR(H734="ריביות",AND(H734="דירה כצנלסון",G734&lt;0,ISNUMBER(SEARCH("הכנסה",F734)))),"הכנסה שסווגה מחדש",J734)</f>
        <v>שוטף</v>
      </c>
      <c r="L734" t="s" s="141">
        <v>741</v>
      </c>
      <c r="M734" s="143" cm="1">
        <f t="array" ref="M734">IF(L734="מאושר",IF(K734="הכנסה שסווגה מחדש",0,G734),0)</f>
        <v>997</v>
      </c>
      <c r="N734" s="143" cm="1">
        <f t="array" ref="N734">IF(K734="שוטף",M734,0)</f>
        <v>997</v>
      </c>
      <c r="O734" s="143" cm="1">
        <f t="array" ref="O734">IF(K734="הכנסה שסווגה מחדש",-G734,0)</f>
        <v>0</v>
      </c>
      <c r="P734" t="s" s="86">
        <v>770</v>
      </c>
      <c r="Q734" s="99"/>
      <c r="R734" t="s" s="144">
        <v>743</v>
      </c>
      <c r="S734" s="77"/>
    </row>
    <row r="735" ht="13.65" customHeight="1">
      <c r="A735" s="78">
        <v>45870</v>
      </c>
      <c r="B735" t="s" s="79">
        <v>51</v>
      </c>
      <c r="C735" t="s" s="80">
        <v>813</v>
      </c>
      <c r="D735" s="131">
        <v>6</v>
      </c>
      <c r="E735" t="s" s="79">
        <v>34</v>
      </c>
      <c r="F735" t="s" s="80">
        <v>221</v>
      </c>
      <c r="G735" s="132">
        <v>202</v>
      </c>
      <c r="H735" t="s" s="133">
        <v>757</v>
      </c>
      <c r="I735" t="s" s="134">
        <v>96</v>
      </c>
      <c r="J735" t="s" s="134">
        <v>97</v>
      </c>
      <c r="K735" t="str" s="135" cm="1">
        <f t="array" ref="K735">IF(OR(H735="ריביות",AND(H735="דירה כצנלסון",G735&lt;0,ISNUMBER(SEARCH("הכנסה",F735)))),"הכנסה שסווגה מחדש",J735)</f>
        <v>שוטף</v>
      </c>
      <c r="L735" t="s" s="134">
        <v>741</v>
      </c>
      <c r="M735" s="136" cm="1">
        <f t="array" ref="M735">IF(L735="מאושר",IF(K735="הכנסה שסווגה מחדש",0,G735),0)</f>
        <v>202</v>
      </c>
      <c r="N735" s="136" cm="1">
        <f t="array" ref="N735">IF(K735="שוטף",M735,0)</f>
        <v>202</v>
      </c>
      <c r="O735" s="136" cm="1">
        <f t="array" ref="O735">IF(K735="הכנסה שסווגה מחדש",-G735,0)</f>
        <v>0</v>
      </c>
      <c r="P735" t="s" s="80">
        <v>762</v>
      </c>
      <c r="Q735" s="100"/>
      <c r="R735" t="s" s="137">
        <v>743</v>
      </c>
      <c r="S735" s="77"/>
    </row>
    <row r="736" ht="13.65" customHeight="1">
      <c r="A736" s="84">
        <v>45870</v>
      </c>
      <c r="B736" t="s" s="85">
        <v>51</v>
      </c>
      <c r="C736" t="s" s="86">
        <v>813</v>
      </c>
      <c r="D736" s="138">
        <v>7</v>
      </c>
      <c r="E736" s="99"/>
      <c r="F736" t="s" s="86">
        <v>272</v>
      </c>
      <c r="G736" s="139">
        <v>0</v>
      </c>
      <c r="H736" t="s" s="140">
        <v>757</v>
      </c>
      <c r="I736" t="s" s="141">
        <v>96</v>
      </c>
      <c r="J736" t="s" s="141">
        <v>97</v>
      </c>
      <c r="K736" t="str" s="142" cm="1">
        <f t="array" ref="K736">IF(OR(H736="ריביות",AND(H736="דירה כצנלסון",G736&lt;0,ISNUMBER(SEARCH("הכנסה",F736)))),"הכנסה שסווגה מחדש",J736)</f>
        <v>שוטף</v>
      </c>
      <c r="L736" t="s" s="141">
        <v>741</v>
      </c>
      <c r="M736" s="143" cm="1">
        <f t="array" ref="M736">IF(L736="מאושר",IF(K736="הכנסה שסווגה מחדש",0,G736),0)</f>
        <v>0</v>
      </c>
      <c r="N736" s="143" cm="1">
        <f t="array" ref="N736">IF(K736="שוטף",M736,0)</f>
        <v>0</v>
      </c>
      <c r="O736" s="143" cm="1">
        <f t="array" ref="O736">IF(K736="הכנסה שסווגה מחדש",-G736,0)</f>
        <v>0</v>
      </c>
      <c r="P736" s="99"/>
      <c r="Q736" s="99"/>
      <c r="R736" t="s" s="144">
        <v>743</v>
      </c>
      <c r="S736" s="77"/>
    </row>
    <row r="737" ht="13.65" customHeight="1">
      <c r="A737" s="78">
        <v>45870</v>
      </c>
      <c r="B737" t="s" s="79">
        <v>51</v>
      </c>
      <c r="C737" t="s" s="80">
        <v>813</v>
      </c>
      <c r="D737" s="131">
        <v>8</v>
      </c>
      <c r="E737" s="100"/>
      <c r="F737" t="s" s="80">
        <v>232</v>
      </c>
      <c r="G737" s="132">
        <v>0</v>
      </c>
      <c r="H737" t="s" s="133">
        <v>757</v>
      </c>
      <c r="I737" t="s" s="134">
        <v>96</v>
      </c>
      <c r="J737" t="s" s="134">
        <v>97</v>
      </c>
      <c r="K737" t="str" s="135" cm="1">
        <f t="array" ref="K737">IF(OR(H737="ריביות",AND(H737="דירה כצנלסון",G737&lt;0,ISNUMBER(SEARCH("הכנסה",F737)))),"הכנסה שסווגה מחדש",J737)</f>
        <v>שוטף</v>
      </c>
      <c r="L737" t="s" s="134">
        <v>741</v>
      </c>
      <c r="M737" s="136" cm="1">
        <f t="array" ref="M737">IF(L737="מאושר",IF(K737="הכנסה שסווגה מחדש",0,G737),0)</f>
        <v>0</v>
      </c>
      <c r="N737" s="136" cm="1">
        <f t="array" ref="N737">IF(K737="שוטף",M737,0)</f>
        <v>0</v>
      </c>
      <c r="O737" s="136" cm="1">
        <f t="array" ref="O737">IF(K737="הכנסה שסווגה מחדש",-G737,0)</f>
        <v>0</v>
      </c>
      <c r="P737" s="100"/>
      <c r="Q737" s="100"/>
      <c r="R737" t="s" s="137">
        <v>743</v>
      </c>
      <c r="S737" s="77"/>
    </row>
    <row r="738" ht="13.65" customHeight="1">
      <c r="A738" s="84">
        <v>45870</v>
      </c>
      <c r="B738" t="s" s="85">
        <v>51</v>
      </c>
      <c r="C738" t="s" s="86">
        <v>813</v>
      </c>
      <c r="D738" s="138">
        <v>9</v>
      </c>
      <c r="E738" s="99"/>
      <c r="F738" t="s" s="86">
        <v>374</v>
      </c>
      <c r="G738" s="139">
        <v>0</v>
      </c>
      <c r="H738" t="s" s="140">
        <v>757</v>
      </c>
      <c r="I738" t="s" s="141">
        <v>96</v>
      </c>
      <c r="J738" t="s" s="141">
        <v>97</v>
      </c>
      <c r="K738" t="str" s="142" cm="1">
        <f t="array" ref="K738">IF(OR(H738="ריביות",AND(H738="דירה כצנלסון",G738&lt;0,ISNUMBER(SEARCH("הכנסה",F738)))),"הכנסה שסווגה מחדש",J738)</f>
        <v>שוטף</v>
      </c>
      <c r="L738" t="s" s="141">
        <v>741</v>
      </c>
      <c r="M738" s="143" cm="1">
        <f t="array" ref="M738">IF(L738="מאושר",IF(K738="הכנסה שסווגה מחדש",0,G738),0)</f>
        <v>0</v>
      </c>
      <c r="N738" s="143" cm="1">
        <f t="array" ref="N738">IF(K738="שוטף",M738,0)</f>
        <v>0</v>
      </c>
      <c r="O738" s="143" cm="1">
        <f t="array" ref="O738">IF(K738="הכנסה שסווגה מחדש",-G738,0)</f>
        <v>0</v>
      </c>
      <c r="P738" s="99"/>
      <c r="Q738" s="99"/>
      <c r="R738" t="s" s="144">
        <v>743</v>
      </c>
      <c r="S738" s="77"/>
    </row>
    <row r="739" ht="13.65" customHeight="1">
      <c r="A739" s="78">
        <v>45870</v>
      </c>
      <c r="B739" t="s" s="79">
        <v>51</v>
      </c>
      <c r="C739" t="s" s="80">
        <v>813</v>
      </c>
      <c r="D739" s="131">
        <v>10</v>
      </c>
      <c r="E739" t="s" s="79">
        <v>739</v>
      </c>
      <c r="F739" t="s" s="80">
        <v>276</v>
      </c>
      <c r="G739" s="132">
        <v>193</v>
      </c>
      <c r="H739" t="s" s="133">
        <v>763</v>
      </c>
      <c r="I739" t="s" s="134">
        <v>96</v>
      </c>
      <c r="J739" t="s" s="134">
        <v>97</v>
      </c>
      <c r="K739" t="str" s="135" cm="1">
        <f t="array" ref="K739">IF(OR(H739="ריביות",AND(H739="דירה כצנלסון",G739&lt;0,ISNUMBER(SEARCH("הכנסה",F739)))),"הכנסה שסווגה מחדש",J739)</f>
        <v>שוטף</v>
      </c>
      <c r="L739" t="s" s="134">
        <v>741</v>
      </c>
      <c r="M739" s="136" cm="1">
        <f t="array" ref="M739">IF(L739="מאושר",IF(K739="הכנסה שסווגה מחדש",0,G739),0)</f>
        <v>193</v>
      </c>
      <c r="N739" s="136" cm="1">
        <f t="array" ref="N739">IF(K739="שוטף",M739,0)</f>
        <v>193</v>
      </c>
      <c r="O739" s="136" cm="1">
        <f t="array" ref="O739">IF(K739="הכנסה שסווגה מחדש",-G739,0)</f>
        <v>0</v>
      </c>
      <c r="P739" t="s" s="80">
        <v>762</v>
      </c>
      <c r="Q739" s="100"/>
      <c r="R739" t="s" s="137">
        <v>743</v>
      </c>
      <c r="S739" s="77"/>
    </row>
    <row r="740" ht="13.65" customHeight="1">
      <c r="A740" s="84">
        <v>45870</v>
      </c>
      <c r="B740" t="s" s="85">
        <v>51</v>
      </c>
      <c r="C740" t="s" s="86">
        <v>813</v>
      </c>
      <c r="D740" s="138">
        <v>11</v>
      </c>
      <c r="E740" t="s" s="85">
        <v>764</v>
      </c>
      <c r="F740" t="s" s="86">
        <v>273</v>
      </c>
      <c r="G740" s="139">
        <v>93</v>
      </c>
      <c r="H740" t="s" s="140">
        <v>279</v>
      </c>
      <c r="I740" t="s" s="141">
        <v>99</v>
      </c>
      <c r="J740" t="s" s="141">
        <v>100</v>
      </c>
      <c r="K740" t="str" s="142" cm="1">
        <f t="array" ref="K740">IF(OR(H740="ריביות",AND(H740="דירה כצנלסון",G740&lt;0,ISNUMBER(SEARCH("הכנסה",F740)))),"הכנסה שסווגה מחדש",J740)</f>
        <v>חריג/נכס</v>
      </c>
      <c r="L740" t="s" s="141">
        <v>741</v>
      </c>
      <c r="M740" s="143" cm="1">
        <f t="array" ref="M740">IF(L740="מאושר",IF(K740="הכנסה שסווגה מחדש",0,G740),0)</f>
        <v>93</v>
      </c>
      <c r="N740" s="143" cm="1">
        <f t="array" ref="N740">IF(K740="שוטף",M740,0)</f>
        <v>0</v>
      </c>
      <c r="O740" s="143" cm="1">
        <f t="array" ref="O740">IF(K740="הכנסה שסווגה מחדש",-G740,0)</f>
        <v>0</v>
      </c>
      <c r="P740" t="s" s="86">
        <v>762</v>
      </c>
      <c r="Q740" s="99"/>
      <c r="R740" t="s" s="144">
        <v>743</v>
      </c>
      <c r="S740" s="77"/>
    </row>
    <row r="741" ht="13.65" customHeight="1">
      <c r="A741" s="78">
        <v>45870</v>
      </c>
      <c r="B741" t="s" s="79">
        <v>51</v>
      </c>
      <c r="C741" t="s" s="80">
        <v>813</v>
      </c>
      <c r="D741" s="131">
        <v>12</v>
      </c>
      <c r="E741" t="s" s="79">
        <v>764</v>
      </c>
      <c r="F741" t="s" s="80">
        <v>328</v>
      </c>
      <c r="G741" s="132">
        <v>29</v>
      </c>
      <c r="H741" t="s" s="133">
        <v>279</v>
      </c>
      <c r="I741" t="s" s="134">
        <v>99</v>
      </c>
      <c r="J741" t="s" s="134">
        <v>100</v>
      </c>
      <c r="K741" t="str" s="135" cm="1">
        <f t="array" ref="K741">IF(OR(H741="ריביות",AND(H741="דירה כצנלסון",G741&lt;0,ISNUMBER(SEARCH("הכנסה",F741)))),"הכנסה שסווגה מחדש",J741)</f>
        <v>חריג/נכס</v>
      </c>
      <c r="L741" t="s" s="134">
        <v>741</v>
      </c>
      <c r="M741" s="136" cm="1">
        <f t="array" ref="M741">IF(L741="מאושר",IF(K741="הכנסה שסווגה מחדש",0,G741),0)</f>
        <v>29</v>
      </c>
      <c r="N741" s="136" cm="1">
        <f t="array" ref="N741">IF(K741="שוטף",M741,0)</f>
        <v>0</v>
      </c>
      <c r="O741" s="136" cm="1">
        <f t="array" ref="O741">IF(K741="הכנסה שסווגה מחדש",-G741,0)</f>
        <v>0</v>
      </c>
      <c r="P741" t="s" s="80">
        <v>762</v>
      </c>
      <c r="Q741" s="100"/>
      <c r="R741" t="s" s="137">
        <v>743</v>
      </c>
      <c r="S741" s="77"/>
    </row>
    <row r="742" ht="13.65" customHeight="1">
      <c r="A742" s="84">
        <v>45870</v>
      </c>
      <c r="B742" t="s" s="85">
        <v>51</v>
      </c>
      <c r="C742" t="s" s="86">
        <v>813</v>
      </c>
      <c r="D742" s="138">
        <v>13</v>
      </c>
      <c r="E742" t="s" s="85">
        <v>759</v>
      </c>
      <c r="F742" t="s" s="86">
        <v>263</v>
      </c>
      <c r="G742" s="139">
        <v>115</v>
      </c>
      <c r="H742" t="s" s="140">
        <v>135</v>
      </c>
      <c r="I742" t="s" s="141">
        <v>135</v>
      </c>
      <c r="J742" t="s" s="141">
        <v>97</v>
      </c>
      <c r="K742" t="str" s="142" cm="1">
        <f t="array" ref="K742">IF(OR(H742="ריביות",AND(H742="דירה כצנלסון",G742&lt;0,ISNUMBER(SEARCH("הכנסה",F742)))),"הכנסה שסווגה מחדש",J742)</f>
        <v>שוטף</v>
      </c>
      <c r="L742" t="s" s="141">
        <v>741</v>
      </c>
      <c r="M742" s="143" cm="1">
        <f t="array" ref="M742">IF(L742="מאושר",IF(K742="הכנסה שסווגה מחדש",0,G742),0)</f>
        <v>115</v>
      </c>
      <c r="N742" s="143" cm="1">
        <f t="array" ref="N742">IF(K742="שוטף",M742,0)</f>
        <v>115</v>
      </c>
      <c r="O742" s="143" cm="1">
        <f t="array" ref="O742">IF(K742="הכנסה שסווגה מחדש",-G742,0)</f>
        <v>0</v>
      </c>
      <c r="P742" t="s" s="86">
        <v>770</v>
      </c>
      <c r="Q742" s="99"/>
      <c r="R742" t="s" s="144">
        <v>743</v>
      </c>
      <c r="S742" s="77"/>
    </row>
    <row r="743" ht="13.65" customHeight="1">
      <c r="A743" s="78">
        <v>45870</v>
      </c>
      <c r="B743" t="s" s="79">
        <v>51</v>
      </c>
      <c r="C743" t="s" s="80">
        <v>813</v>
      </c>
      <c r="D743" s="131">
        <v>14</v>
      </c>
      <c r="E743" s="100"/>
      <c r="F743" t="s" s="80">
        <v>211</v>
      </c>
      <c r="G743" s="132">
        <v>400</v>
      </c>
      <c r="H743" t="s" s="133">
        <v>757</v>
      </c>
      <c r="I743" t="s" s="134">
        <v>96</v>
      </c>
      <c r="J743" t="s" s="134">
        <v>97</v>
      </c>
      <c r="K743" t="str" s="135" cm="1">
        <f t="array" ref="K743">IF(OR(H743="ריביות",AND(H743="דירה כצנלסון",G743&lt;0,ISNUMBER(SEARCH("הכנסה",F743)))),"הכנסה שסווגה מחדש",J743)</f>
        <v>שוטף</v>
      </c>
      <c r="L743" t="s" s="134">
        <v>741</v>
      </c>
      <c r="M743" s="136" cm="1">
        <f t="array" ref="M743">IF(L743="מאושר",IF(K743="הכנסה שסווגה מחדש",0,G743),0)</f>
        <v>400</v>
      </c>
      <c r="N743" s="136" cm="1">
        <f t="array" ref="N743">IF(K743="שוטף",M743,0)</f>
        <v>400</v>
      </c>
      <c r="O743" s="136" cm="1">
        <f t="array" ref="O743">IF(K743="הכנסה שסווגה מחדש",-G743,0)</f>
        <v>0</v>
      </c>
      <c r="P743" t="s" s="80">
        <v>781</v>
      </c>
      <c r="Q743" s="100"/>
      <c r="R743" t="s" s="137">
        <v>743</v>
      </c>
      <c r="S743" s="77"/>
    </row>
    <row r="744" ht="13.65" customHeight="1">
      <c r="A744" s="84">
        <v>45870</v>
      </c>
      <c r="B744" t="s" s="85">
        <v>51</v>
      </c>
      <c r="C744" t="s" s="86">
        <v>813</v>
      </c>
      <c r="D744" s="138">
        <v>15</v>
      </c>
      <c r="E744" s="99"/>
      <c r="F744" t="s" s="86">
        <v>275</v>
      </c>
      <c r="G744" s="139">
        <v>174</v>
      </c>
      <c r="H744" t="s" s="140">
        <v>127</v>
      </c>
      <c r="I744" t="s" s="141">
        <v>127</v>
      </c>
      <c r="J744" t="s" s="141">
        <v>97</v>
      </c>
      <c r="K744" t="str" s="142" cm="1">
        <f t="array" ref="K744">IF(OR(H744="ריביות",AND(H744="דירה כצנלסון",G744&lt;0,ISNUMBER(SEARCH("הכנסה",F744)))),"הכנסה שסווגה מחדש",J744)</f>
        <v>שוטף</v>
      </c>
      <c r="L744" t="s" s="141">
        <v>741</v>
      </c>
      <c r="M744" s="143" cm="1">
        <f t="array" ref="M744">IF(L744="מאושר",IF(K744="הכנסה שסווגה מחדש",0,G744),0)</f>
        <v>174</v>
      </c>
      <c r="N744" s="143" cm="1">
        <f t="array" ref="N744">IF(K744="שוטף",M744,0)</f>
        <v>174</v>
      </c>
      <c r="O744" s="143" cm="1">
        <f t="array" ref="O744">IF(K744="הכנסה שסווגה מחדש",-G744,0)</f>
        <v>0</v>
      </c>
      <c r="P744" t="s" s="86">
        <v>770</v>
      </c>
      <c r="Q744" t="s" s="86">
        <v>812</v>
      </c>
      <c r="R744" t="s" s="144">
        <v>743</v>
      </c>
      <c r="S744" s="77"/>
    </row>
    <row r="745" ht="13.65" customHeight="1">
      <c r="A745" s="78">
        <v>45870</v>
      </c>
      <c r="B745" t="s" s="79">
        <v>51</v>
      </c>
      <c r="C745" t="s" s="80">
        <v>813</v>
      </c>
      <c r="D745" s="131">
        <v>16</v>
      </c>
      <c r="E745" t="s" s="79">
        <v>759</v>
      </c>
      <c r="F745" t="s" s="80">
        <v>200</v>
      </c>
      <c r="G745" s="132">
        <v>828</v>
      </c>
      <c r="H745" t="s" s="133">
        <v>109</v>
      </c>
      <c r="I745" t="s" s="134">
        <v>109</v>
      </c>
      <c r="J745" t="s" s="134">
        <v>97</v>
      </c>
      <c r="K745" t="str" s="135" cm="1">
        <f t="array" ref="K745">IF(OR(H745="ריביות",AND(H745="דירה כצנלסון",G745&lt;0,ISNUMBER(SEARCH("הכנסה",F745)))),"הכנסה שסווגה מחדש",J745)</f>
        <v>שוטף</v>
      </c>
      <c r="L745" t="s" s="134">
        <v>741</v>
      </c>
      <c r="M745" s="136" cm="1">
        <f t="array" ref="M745">IF(L745="מאושר",IF(K745="הכנסה שסווגה מחדש",0,G745),0)</f>
        <v>828</v>
      </c>
      <c r="N745" s="136" cm="1">
        <f t="array" ref="N745">IF(K745="שוטף",M745,0)</f>
        <v>828</v>
      </c>
      <c r="O745" s="136" cm="1">
        <f t="array" ref="O745">IF(K745="הכנסה שסווגה מחדש",-G745,0)</f>
        <v>0</v>
      </c>
      <c r="P745" t="s" s="80">
        <v>770</v>
      </c>
      <c r="Q745" t="s" s="80">
        <v>812</v>
      </c>
      <c r="R745" t="s" s="137">
        <v>743</v>
      </c>
      <c r="S745" s="77"/>
    </row>
    <row r="746" ht="13.65" customHeight="1">
      <c r="A746" s="84">
        <v>45870</v>
      </c>
      <c r="B746" t="s" s="85">
        <v>51</v>
      </c>
      <c r="C746" t="s" s="86">
        <v>813</v>
      </c>
      <c r="D746" s="138">
        <v>17</v>
      </c>
      <c r="E746" t="s" s="85">
        <v>34</v>
      </c>
      <c r="F746" t="s" s="86">
        <v>291</v>
      </c>
      <c r="G746" s="139">
        <v>1069</v>
      </c>
      <c r="H746" t="s" s="140">
        <v>210</v>
      </c>
      <c r="I746" t="s" s="141">
        <v>102</v>
      </c>
      <c r="J746" t="s" s="141">
        <v>103</v>
      </c>
      <c r="K746" t="str" s="142" cm="1">
        <f t="array" ref="K746">IF(OR(H746="ריביות",AND(H746="דירה כצנלסון",G746&lt;0,ISNUMBER(SEARCH("הכנסה",F746)))),"הכנסה שסווגה מחדש",J746)</f>
        <v>חריג</v>
      </c>
      <c r="L746" t="s" s="141">
        <v>741</v>
      </c>
      <c r="M746" s="143" cm="1">
        <f t="array" ref="M746">IF(L746="מאושר",IF(K746="הכנסה שסווגה מחדש",0,G746),0)</f>
        <v>1069</v>
      </c>
      <c r="N746" s="143" cm="1">
        <f t="array" ref="N746">IF(K746="שוטף",M746,0)</f>
        <v>0</v>
      </c>
      <c r="O746" s="143" cm="1">
        <f t="array" ref="O746">IF(K746="הכנסה שסווגה מחדש",-G746,0)</f>
        <v>0</v>
      </c>
      <c r="P746" t="s" s="86">
        <v>770</v>
      </c>
      <c r="Q746" s="99"/>
      <c r="R746" t="s" s="144">
        <v>743</v>
      </c>
      <c r="S746" s="77"/>
    </row>
    <row r="747" ht="13.65" customHeight="1">
      <c r="A747" s="78">
        <v>45870</v>
      </c>
      <c r="B747" t="s" s="79">
        <v>51</v>
      </c>
      <c r="C747" t="s" s="80">
        <v>813</v>
      </c>
      <c r="D747" s="131">
        <v>18</v>
      </c>
      <c r="E747" t="s" s="79">
        <v>34</v>
      </c>
      <c r="F747" t="s" s="80">
        <v>428</v>
      </c>
      <c r="G747" s="132">
        <v>240</v>
      </c>
      <c r="H747" t="s" s="133">
        <v>210</v>
      </c>
      <c r="I747" t="s" s="134">
        <v>102</v>
      </c>
      <c r="J747" t="s" s="134">
        <v>103</v>
      </c>
      <c r="K747" t="str" s="135" cm="1">
        <f t="array" ref="K747">IF(OR(H747="ריביות",AND(H747="דירה כצנלסון",G747&lt;0,ISNUMBER(SEARCH("הכנסה",F747)))),"הכנסה שסווגה מחדש",J747)</f>
        <v>חריג</v>
      </c>
      <c r="L747" t="s" s="134">
        <v>741</v>
      </c>
      <c r="M747" s="136" cm="1">
        <f t="array" ref="M747">IF(L747="מאושר",IF(K747="הכנסה שסווגה מחדש",0,G747),0)</f>
        <v>240</v>
      </c>
      <c r="N747" s="136" cm="1">
        <f t="array" ref="N747">IF(K747="שוטף",M747,0)</f>
        <v>0</v>
      </c>
      <c r="O747" s="136" cm="1">
        <f t="array" ref="O747">IF(K747="הכנסה שסווגה מחדש",-G747,0)</f>
        <v>0</v>
      </c>
      <c r="P747" t="s" s="80">
        <v>770</v>
      </c>
      <c r="Q747" s="100"/>
      <c r="R747" t="s" s="137">
        <v>743</v>
      </c>
      <c r="S747" s="77"/>
    </row>
    <row r="748" ht="13.65" customHeight="1">
      <c r="A748" s="84">
        <v>45870</v>
      </c>
      <c r="B748" t="s" s="85">
        <v>51</v>
      </c>
      <c r="C748" t="s" s="86">
        <v>813</v>
      </c>
      <c r="D748" s="138">
        <v>19</v>
      </c>
      <c r="E748" t="s" s="85">
        <v>34</v>
      </c>
      <c r="F748" t="s" s="86">
        <v>340</v>
      </c>
      <c r="G748" s="139">
        <v>591</v>
      </c>
      <c r="H748" t="s" s="140">
        <v>210</v>
      </c>
      <c r="I748" t="s" s="141">
        <v>102</v>
      </c>
      <c r="J748" t="s" s="141">
        <v>103</v>
      </c>
      <c r="K748" t="str" s="142" cm="1">
        <f t="array" ref="K748">IF(OR(H748="ריביות",AND(H748="דירה כצנלסון",G748&lt;0,ISNUMBER(SEARCH("הכנסה",F748)))),"הכנסה שסווגה מחדש",J748)</f>
        <v>חריג</v>
      </c>
      <c r="L748" t="s" s="141">
        <v>741</v>
      </c>
      <c r="M748" s="143" cm="1">
        <f t="array" ref="M748">IF(L748="מאושר",IF(K748="הכנסה שסווגה מחדש",0,G748),0)</f>
        <v>591</v>
      </c>
      <c r="N748" s="143" cm="1">
        <f t="array" ref="N748">IF(K748="שוטף",M748,0)</f>
        <v>0</v>
      </c>
      <c r="O748" s="143" cm="1">
        <f t="array" ref="O748">IF(K748="הכנסה שסווגה מחדש",-G748,0)</f>
        <v>0</v>
      </c>
      <c r="P748" t="s" s="86">
        <v>770</v>
      </c>
      <c r="Q748" s="99"/>
      <c r="R748" t="s" s="144">
        <v>743</v>
      </c>
      <c r="S748" s="77"/>
    </row>
    <row r="749" ht="13.65" customHeight="1">
      <c r="A749" s="78">
        <v>45870</v>
      </c>
      <c r="B749" t="s" s="79">
        <v>51</v>
      </c>
      <c r="C749" t="s" s="80">
        <v>813</v>
      </c>
      <c r="D749" s="131">
        <v>20</v>
      </c>
      <c r="E749" t="s" s="79">
        <v>38</v>
      </c>
      <c r="F749" t="s" s="80">
        <v>200</v>
      </c>
      <c r="G749" s="132">
        <v>119</v>
      </c>
      <c r="H749" t="s" s="133">
        <v>109</v>
      </c>
      <c r="I749" t="s" s="134">
        <v>109</v>
      </c>
      <c r="J749" t="s" s="134">
        <v>97</v>
      </c>
      <c r="K749" t="str" s="135" cm="1">
        <f t="array" ref="K749">IF(OR(H749="ריביות",AND(H749="דירה כצנלסון",G749&lt;0,ISNUMBER(SEARCH("הכנסה",F749)))),"הכנסה שסווגה מחדש",J749)</f>
        <v>שוטף</v>
      </c>
      <c r="L749" t="s" s="134">
        <v>741</v>
      </c>
      <c r="M749" s="136" cm="1">
        <f t="array" ref="M749">IF(L749="מאושר",IF(K749="הכנסה שסווגה מחדש",0,G749),0)</f>
        <v>119</v>
      </c>
      <c r="N749" s="136" cm="1">
        <f t="array" ref="N749">IF(K749="שוטף",M749,0)</f>
        <v>119</v>
      </c>
      <c r="O749" s="136" cm="1">
        <f t="array" ref="O749">IF(K749="הכנסה שסווגה מחדש",-G749,0)</f>
        <v>0</v>
      </c>
      <c r="P749" t="s" s="80">
        <v>770</v>
      </c>
      <c r="Q749" s="100"/>
      <c r="R749" t="s" s="137">
        <v>743</v>
      </c>
      <c r="S749" s="77"/>
    </row>
    <row r="750" ht="13.65" customHeight="1">
      <c r="A750" s="84">
        <v>45870</v>
      </c>
      <c r="B750" t="s" s="85">
        <v>51</v>
      </c>
      <c r="C750" t="s" s="86">
        <v>813</v>
      </c>
      <c r="D750" s="138">
        <v>21</v>
      </c>
      <c r="E750" t="s" s="85">
        <v>38</v>
      </c>
      <c r="F750" t="s" s="86">
        <v>577</v>
      </c>
      <c r="G750" s="139">
        <v>68</v>
      </c>
      <c r="H750" t="s" s="140">
        <v>129</v>
      </c>
      <c r="I750" t="s" s="141">
        <v>129</v>
      </c>
      <c r="J750" t="s" s="141">
        <v>97</v>
      </c>
      <c r="K750" t="str" s="142" cm="1">
        <f t="array" ref="K750">IF(OR(H750="ריביות",AND(H750="דירה כצנלסון",G750&lt;0,ISNUMBER(SEARCH("הכנסה",F750)))),"הכנסה שסווגה מחדש",J750)</f>
        <v>שוטף</v>
      </c>
      <c r="L750" t="s" s="141">
        <v>741</v>
      </c>
      <c r="M750" s="143" cm="1">
        <f t="array" ref="M750">IF(L750="מאושר",IF(K750="הכנסה שסווגה מחדש",0,G750),0)</f>
        <v>68</v>
      </c>
      <c r="N750" s="143" cm="1">
        <f t="array" ref="N750">IF(K750="שוטף",M750,0)</f>
        <v>68</v>
      </c>
      <c r="O750" s="143" cm="1">
        <f t="array" ref="O750">IF(K750="הכנסה שסווגה מחדש",-G750,0)</f>
        <v>0</v>
      </c>
      <c r="P750" t="s" s="86">
        <v>770</v>
      </c>
      <c r="Q750" s="99"/>
      <c r="R750" t="s" s="144">
        <v>743</v>
      </c>
      <c r="S750" s="77"/>
    </row>
    <row r="751" ht="13.65" customHeight="1">
      <c r="A751" s="78">
        <v>45870</v>
      </c>
      <c r="B751" t="s" s="79">
        <v>51</v>
      </c>
      <c r="C751" t="s" s="80">
        <v>813</v>
      </c>
      <c r="D751" s="131">
        <v>22</v>
      </c>
      <c r="E751" t="s" s="79">
        <v>42</v>
      </c>
      <c r="F751" t="s" s="80">
        <v>245</v>
      </c>
      <c r="G751" s="132">
        <v>168</v>
      </c>
      <c r="H751" t="s" s="133">
        <v>767</v>
      </c>
      <c r="I751" t="s" s="134">
        <v>107</v>
      </c>
      <c r="J751" t="s" s="134">
        <v>97</v>
      </c>
      <c r="K751" t="str" s="135" cm="1">
        <f t="array" ref="K751">IF(OR(H751="ריביות",AND(H751="דירה כצנלסון",G751&lt;0,ISNUMBER(SEARCH("הכנסה",F751)))),"הכנסה שסווגה מחדש",J751)</f>
        <v>שוטף</v>
      </c>
      <c r="L751" t="s" s="134">
        <v>741</v>
      </c>
      <c r="M751" s="136" cm="1">
        <f t="array" ref="M751">IF(L751="מאושר",IF(K751="הכנסה שסווגה מחדש",0,G751),0)</f>
        <v>168</v>
      </c>
      <c r="N751" s="136" cm="1">
        <f t="array" ref="N751">IF(K751="שוטף",M751,0)</f>
        <v>168</v>
      </c>
      <c r="O751" s="136" cm="1">
        <f t="array" ref="O751">IF(K751="הכנסה שסווגה מחדש",-G751,0)</f>
        <v>0</v>
      </c>
      <c r="P751" t="s" s="80">
        <v>770</v>
      </c>
      <c r="Q751" s="100"/>
      <c r="R751" t="s" s="137">
        <v>743</v>
      </c>
      <c r="S751" s="77"/>
    </row>
    <row r="752" ht="13.65" customHeight="1">
      <c r="A752" s="84">
        <v>45870</v>
      </c>
      <c r="B752" t="s" s="85">
        <v>51</v>
      </c>
      <c r="C752" t="s" s="86">
        <v>813</v>
      </c>
      <c r="D752" s="138">
        <v>23</v>
      </c>
      <c r="E752" t="s" s="85">
        <v>42</v>
      </c>
      <c r="F752" t="s" s="86">
        <v>209</v>
      </c>
      <c r="G752" s="139">
        <v>85</v>
      </c>
      <c r="H752" t="s" s="140">
        <v>113</v>
      </c>
      <c r="I752" t="s" s="141">
        <v>113</v>
      </c>
      <c r="J752" t="s" s="141">
        <v>97</v>
      </c>
      <c r="K752" t="str" s="142" cm="1">
        <f t="array" ref="K752">IF(OR(H752="ריביות",AND(H752="דירה כצנלסון",G752&lt;0,ISNUMBER(SEARCH("הכנסה",F752)))),"הכנסה שסווגה מחדש",J752)</f>
        <v>שוטף</v>
      </c>
      <c r="L752" t="s" s="141">
        <v>741</v>
      </c>
      <c r="M752" s="143" cm="1">
        <f t="array" ref="M752">IF(L752="מאושר",IF(K752="הכנסה שסווגה מחדש",0,G752),0)</f>
        <v>85</v>
      </c>
      <c r="N752" s="143" cm="1">
        <f t="array" ref="N752">IF(K752="שוטף",M752,0)</f>
        <v>85</v>
      </c>
      <c r="O752" s="143" cm="1">
        <f t="array" ref="O752">IF(K752="הכנסה שסווגה מחדש",-G752,0)</f>
        <v>0</v>
      </c>
      <c r="P752" t="s" s="86">
        <v>770</v>
      </c>
      <c r="Q752" s="99"/>
      <c r="R752" t="s" s="144">
        <v>743</v>
      </c>
      <c r="S752" s="77"/>
    </row>
    <row r="753" ht="13.65" customHeight="1">
      <c r="A753" s="78">
        <v>45870</v>
      </c>
      <c r="B753" t="s" s="79">
        <v>51</v>
      </c>
      <c r="C753" t="s" s="80">
        <v>813</v>
      </c>
      <c r="D753" s="131">
        <v>24</v>
      </c>
      <c r="E753" t="s" s="79">
        <v>739</v>
      </c>
      <c r="F753" t="s" s="80">
        <v>570</v>
      </c>
      <c r="G753" s="132">
        <v>70</v>
      </c>
      <c r="H753" t="s" s="133">
        <v>127</v>
      </c>
      <c r="I753" t="s" s="134">
        <v>127</v>
      </c>
      <c r="J753" t="s" s="134">
        <v>97</v>
      </c>
      <c r="K753" t="str" s="135" cm="1">
        <f t="array" ref="K753">IF(OR(H753="ריביות",AND(H753="דירה כצנלסון",G753&lt;0,ISNUMBER(SEARCH("הכנסה",F753)))),"הכנסה שסווגה מחדש",J753)</f>
        <v>שוטף</v>
      </c>
      <c r="L753" t="s" s="134">
        <v>741</v>
      </c>
      <c r="M753" s="136" cm="1">
        <f t="array" ref="M753">IF(L753="מאושר",IF(K753="הכנסה שסווגה מחדש",0,G753),0)</f>
        <v>70</v>
      </c>
      <c r="N753" s="136" cm="1">
        <f t="array" ref="N753">IF(K753="שוטף",M753,0)</f>
        <v>70</v>
      </c>
      <c r="O753" s="136" cm="1">
        <f t="array" ref="O753">IF(K753="הכנסה שסווגה מחדש",-G753,0)</f>
        <v>0</v>
      </c>
      <c r="P753" t="s" s="80">
        <v>770</v>
      </c>
      <c r="Q753" s="100"/>
      <c r="R753" t="s" s="137">
        <v>743</v>
      </c>
      <c r="S753" s="77"/>
    </row>
    <row r="754" ht="13.65" customHeight="1">
      <c r="A754" s="84">
        <v>45870</v>
      </c>
      <c r="B754" t="s" s="85">
        <v>51</v>
      </c>
      <c r="C754" t="s" s="86">
        <v>813</v>
      </c>
      <c r="D754" s="138">
        <v>25</v>
      </c>
      <c r="E754" t="s" s="85">
        <v>739</v>
      </c>
      <c r="F754" t="s" s="86">
        <v>200</v>
      </c>
      <c r="G754" s="139">
        <v>68</v>
      </c>
      <c r="H754" t="s" s="140">
        <v>109</v>
      </c>
      <c r="I754" t="s" s="141">
        <v>109</v>
      </c>
      <c r="J754" t="s" s="141">
        <v>97</v>
      </c>
      <c r="K754" t="str" s="142" cm="1">
        <f t="array" ref="K754">IF(OR(H754="ריביות",AND(H754="דירה כצנלסון",G754&lt;0,ISNUMBER(SEARCH("הכנסה",F754)))),"הכנסה שסווגה מחדש",J754)</f>
        <v>שוטף</v>
      </c>
      <c r="L754" t="s" s="141">
        <v>741</v>
      </c>
      <c r="M754" s="143" cm="1">
        <f t="array" ref="M754">IF(L754="מאושר",IF(K754="הכנסה שסווגה מחדש",0,G754),0)</f>
        <v>68</v>
      </c>
      <c r="N754" s="143" cm="1">
        <f t="array" ref="N754">IF(K754="שוטף",M754,0)</f>
        <v>68</v>
      </c>
      <c r="O754" s="143" cm="1">
        <f t="array" ref="O754">IF(K754="הכנסה שסווגה מחדש",-G754,0)</f>
        <v>0</v>
      </c>
      <c r="P754" t="s" s="86">
        <v>770</v>
      </c>
      <c r="Q754" s="99"/>
      <c r="R754" t="s" s="144">
        <v>743</v>
      </c>
      <c r="S754" s="77"/>
    </row>
    <row r="755" ht="13.65" customHeight="1">
      <c r="A755" s="78">
        <v>45870</v>
      </c>
      <c r="B755" t="s" s="79">
        <v>51</v>
      </c>
      <c r="C755" t="s" s="80">
        <v>813</v>
      </c>
      <c r="D755" s="131">
        <v>26</v>
      </c>
      <c r="E755" t="s" s="79">
        <v>739</v>
      </c>
      <c r="F755" t="s" s="80">
        <v>465</v>
      </c>
      <c r="G755" s="132">
        <v>175</v>
      </c>
      <c r="H755" t="s" s="133">
        <v>210</v>
      </c>
      <c r="I755" t="s" s="134">
        <v>102</v>
      </c>
      <c r="J755" t="s" s="134">
        <v>103</v>
      </c>
      <c r="K755" t="str" s="135" cm="1">
        <f t="array" ref="K755">IF(OR(H755="ריביות",AND(H755="דירה כצנלסון",G755&lt;0,ISNUMBER(SEARCH("הכנסה",F755)))),"הכנסה שסווגה מחדש",J755)</f>
        <v>חריג</v>
      </c>
      <c r="L755" t="s" s="134">
        <v>741</v>
      </c>
      <c r="M755" s="136" cm="1">
        <f t="array" ref="M755">IF(L755="מאושר",IF(K755="הכנסה שסווגה מחדש",0,G755),0)</f>
        <v>175</v>
      </c>
      <c r="N755" s="136" cm="1">
        <f t="array" ref="N755">IF(K755="שוטף",M755,0)</f>
        <v>0</v>
      </c>
      <c r="O755" s="136" cm="1">
        <f t="array" ref="O755">IF(K755="הכנסה שסווגה מחדש",-G755,0)</f>
        <v>0</v>
      </c>
      <c r="P755" t="s" s="80">
        <v>770</v>
      </c>
      <c r="Q755" s="100"/>
      <c r="R755" t="s" s="137">
        <v>743</v>
      </c>
      <c r="S755" s="77"/>
    </row>
    <row r="756" ht="13.65" customHeight="1">
      <c r="A756" s="84">
        <v>45870</v>
      </c>
      <c r="B756" t="s" s="85">
        <v>51</v>
      </c>
      <c r="C756" t="s" s="86">
        <v>813</v>
      </c>
      <c r="D756" s="138">
        <v>27</v>
      </c>
      <c r="E756" t="s" s="85">
        <v>771</v>
      </c>
      <c r="F756" t="s" s="86">
        <v>355</v>
      </c>
      <c r="G756" s="139">
        <v>16</v>
      </c>
      <c r="H756" t="s" s="140">
        <v>113</v>
      </c>
      <c r="I756" t="s" s="141">
        <v>113</v>
      </c>
      <c r="J756" t="s" s="141">
        <v>97</v>
      </c>
      <c r="K756" t="str" s="142" cm="1">
        <f t="array" ref="K756">IF(OR(H756="ריביות",AND(H756="דירה כצנלסון",G756&lt;0,ISNUMBER(SEARCH("הכנסה",F756)))),"הכנסה שסווגה מחדש",J756)</f>
        <v>שוטף</v>
      </c>
      <c r="L756" t="s" s="141">
        <v>741</v>
      </c>
      <c r="M756" s="143" cm="1">
        <f t="array" ref="M756">IF(L756="מאושר",IF(K756="הכנסה שסווגה מחדש",0,G756),0)</f>
        <v>16</v>
      </c>
      <c r="N756" s="143" cm="1">
        <f t="array" ref="N756">IF(K756="שוטף",M756,0)</f>
        <v>16</v>
      </c>
      <c r="O756" s="143" cm="1">
        <f t="array" ref="O756">IF(K756="הכנסה שסווגה מחדש",-G756,0)</f>
        <v>0</v>
      </c>
      <c r="P756" t="s" s="86">
        <v>770</v>
      </c>
      <c r="Q756" s="99"/>
      <c r="R756" t="s" s="144">
        <v>743</v>
      </c>
      <c r="S756" s="77"/>
    </row>
    <row r="757" ht="13.65" customHeight="1">
      <c r="A757" s="78">
        <v>45870</v>
      </c>
      <c r="B757" t="s" s="79">
        <v>51</v>
      </c>
      <c r="C757" t="s" s="80">
        <v>813</v>
      </c>
      <c r="D757" s="131">
        <v>28</v>
      </c>
      <c r="E757" t="s" s="79">
        <v>772</v>
      </c>
      <c r="F757" t="s" s="80">
        <v>384</v>
      </c>
      <c r="G757" s="132">
        <v>80</v>
      </c>
      <c r="H757" t="s" s="133">
        <v>113</v>
      </c>
      <c r="I757" t="s" s="134">
        <v>113</v>
      </c>
      <c r="J757" t="s" s="134">
        <v>97</v>
      </c>
      <c r="K757" t="str" s="135" cm="1">
        <f t="array" ref="K757">IF(OR(H757="ריביות",AND(H757="דירה כצנלסון",G757&lt;0,ISNUMBER(SEARCH("הכנסה",F757)))),"הכנסה שסווגה מחדש",J757)</f>
        <v>שוטף</v>
      </c>
      <c r="L757" t="s" s="134">
        <v>741</v>
      </c>
      <c r="M757" s="136" cm="1">
        <f t="array" ref="M757">IF(L757="מאושר",IF(K757="הכנסה שסווגה מחדש",0,G757),0)</f>
        <v>80</v>
      </c>
      <c r="N757" s="136" cm="1">
        <f t="array" ref="N757">IF(K757="שוטף",M757,0)</f>
        <v>80</v>
      </c>
      <c r="O757" s="136" cm="1">
        <f t="array" ref="O757">IF(K757="הכנסה שסווגה מחדש",-G757,0)</f>
        <v>0</v>
      </c>
      <c r="P757" t="s" s="80">
        <v>770</v>
      </c>
      <c r="Q757" s="100"/>
      <c r="R757" t="s" s="137">
        <v>743</v>
      </c>
      <c r="S757" s="77"/>
    </row>
    <row r="758" ht="13.65" customHeight="1">
      <c r="A758" s="84">
        <v>45870</v>
      </c>
      <c r="B758" t="s" s="85">
        <v>51</v>
      </c>
      <c r="C758" t="s" s="86">
        <v>813</v>
      </c>
      <c r="D758" s="138">
        <v>29</v>
      </c>
      <c r="E758" t="s" s="85">
        <v>772</v>
      </c>
      <c r="F758" t="s" s="86">
        <v>200</v>
      </c>
      <c r="G758" s="139">
        <v>127</v>
      </c>
      <c r="H758" t="s" s="140">
        <v>109</v>
      </c>
      <c r="I758" t="s" s="141">
        <v>109</v>
      </c>
      <c r="J758" t="s" s="141">
        <v>97</v>
      </c>
      <c r="K758" t="str" s="142" cm="1">
        <f t="array" ref="K758">IF(OR(H758="ריביות",AND(H758="דירה כצנלסון",G758&lt;0,ISNUMBER(SEARCH("הכנסה",F758)))),"הכנסה שסווגה מחדש",J758)</f>
        <v>שוטף</v>
      </c>
      <c r="L758" t="s" s="141">
        <v>741</v>
      </c>
      <c r="M758" s="143" cm="1">
        <f t="array" ref="M758">IF(L758="מאושר",IF(K758="הכנסה שסווגה מחדש",0,G758),0)</f>
        <v>127</v>
      </c>
      <c r="N758" s="143" cm="1">
        <f t="array" ref="N758">IF(K758="שוטף",M758,0)</f>
        <v>127</v>
      </c>
      <c r="O758" s="143" cm="1">
        <f t="array" ref="O758">IF(K758="הכנסה שסווגה מחדש",-G758,0)</f>
        <v>0</v>
      </c>
      <c r="P758" t="s" s="86">
        <v>770</v>
      </c>
      <c r="Q758" s="99"/>
      <c r="R758" t="s" s="144">
        <v>743</v>
      </c>
      <c r="S758" s="77"/>
    </row>
    <row r="759" ht="13.65" customHeight="1">
      <c r="A759" s="78">
        <v>45870</v>
      </c>
      <c r="B759" t="s" s="79">
        <v>51</v>
      </c>
      <c r="C759" t="s" s="80">
        <v>813</v>
      </c>
      <c r="D759" s="131">
        <v>30</v>
      </c>
      <c r="E759" t="s" s="79">
        <v>761</v>
      </c>
      <c r="F759" t="s" s="80">
        <v>209</v>
      </c>
      <c r="G759" s="132">
        <v>83</v>
      </c>
      <c r="H759" t="s" s="133">
        <v>113</v>
      </c>
      <c r="I759" t="s" s="134">
        <v>113</v>
      </c>
      <c r="J759" t="s" s="134">
        <v>97</v>
      </c>
      <c r="K759" t="str" s="135" cm="1">
        <f t="array" ref="K759">IF(OR(H759="ריביות",AND(H759="דירה כצנלסון",G759&lt;0,ISNUMBER(SEARCH("הכנסה",F759)))),"הכנסה שסווגה מחדש",J759)</f>
        <v>שוטף</v>
      </c>
      <c r="L759" t="s" s="134">
        <v>741</v>
      </c>
      <c r="M759" s="136" cm="1">
        <f t="array" ref="M759">IF(L759="מאושר",IF(K759="הכנסה שסווגה מחדש",0,G759),0)</f>
        <v>83</v>
      </c>
      <c r="N759" s="136" cm="1">
        <f t="array" ref="N759">IF(K759="שוטף",M759,0)</f>
        <v>83</v>
      </c>
      <c r="O759" s="136" cm="1">
        <f t="array" ref="O759">IF(K759="הכנסה שסווגה מחדש",-G759,0)</f>
        <v>0</v>
      </c>
      <c r="P759" t="s" s="80">
        <v>770</v>
      </c>
      <c r="Q759" s="100"/>
      <c r="R759" t="s" s="137">
        <v>743</v>
      </c>
      <c r="S759" s="77"/>
    </row>
    <row r="760" ht="13.65" customHeight="1">
      <c r="A760" s="84">
        <v>45870</v>
      </c>
      <c r="B760" t="s" s="85">
        <v>51</v>
      </c>
      <c r="C760" t="s" s="86">
        <v>813</v>
      </c>
      <c r="D760" s="138">
        <v>31</v>
      </c>
      <c r="E760" t="s" s="85">
        <v>744</v>
      </c>
      <c r="F760" t="s" s="86">
        <v>223</v>
      </c>
      <c r="G760" s="139">
        <v>67</v>
      </c>
      <c r="H760" t="s" s="140">
        <v>117</v>
      </c>
      <c r="I760" t="s" s="141">
        <v>117</v>
      </c>
      <c r="J760" t="s" s="141">
        <v>97</v>
      </c>
      <c r="K760" t="str" s="142" cm="1">
        <f t="array" ref="K760">IF(OR(H760="ריביות",AND(H760="דירה כצנלסון",G760&lt;0,ISNUMBER(SEARCH("הכנסה",F760)))),"הכנסה שסווגה מחדש",J760)</f>
        <v>שוטף</v>
      </c>
      <c r="L760" t="s" s="141">
        <v>741</v>
      </c>
      <c r="M760" s="143" cm="1">
        <f t="array" ref="M760">IF(L760="מאושר",IF(K760="הכנסה שסווגה מחדש",0,G760),0)</f>
        <v>67</v>
      </c>
      <c r="N760" s="143" cm="1">
        <f t="array" ref="N760">IF(K760="שוטף",M760,0)</f>
        <v>67</v>
      </c>
      <c r="O760" s="143" cm="1">
        <f t="array" ref="O760">IF(K760="הכנסה שסווגה מחדש",-G760,0)</f>
        <v>0</v>
      </c>
      <c r="P760" t="s" s="86">
        <v>770</v>
      </c>
      <c r="Q760" s="99"/>
      <c r="R760" t="s" s="144">
        <v>743</v>
      </c>
      <c r="S760" s="77"/>
    </row>
    <row r="761" ht="13.65" customHeight="1">
      <c r="A761" s="78">
        <v>45870</v>
      </c>
      <c r="B761" t="s" s="79">
        <v>51</v>
      </c>
      <c r="C761" t="s" s="80">
        <v>813</v>
      </c>
      <c r="D761" s="131">
        <v>32</v>
      </c>
      <c r="E761" t="s" s="79">
        <v>768</v>
      </c>
      <c r="F761" t="s" s="80">
        <v>407</v>
      </c>
      <c r="G761" s="132">
        <v>276</v>
      </c>
      <c r="H761" t="s" s="133">
        <v>127</v>
      </c>
      <c r="I761" t="s" s="134">
        <v>127</v>
      </c>
      <c r="J761" t="s" s="134">
        <v>97</v>
      </c>
      <c r="K761" t="str" s="135" cm="1">
        <f t="array" ref="K761">IF(OR(H761="ריביות",AND(H761="דירה כצנלסון",G761&lt;0,ISNUMBER(SEARCH("הכנסה",F761)))),"הכנסה שסווגה מחדש",J761)</f>
        <v>שוטף</v>
      </c>
      <c r="L761" t="s" s="134">
        <v>741</v>
      </c>
      <c r="M761" s="136" cm="1">
        <f t="array" ref="M761">IF(L761="מאושר",IF(K761="הכנסה שסווגה מחדש",0,G761),0)</f>
        <v>276</v>
      </c>
      <c r="N761" s="136" cm="1">
        <f t="array" ref="N761">IF(K761="שוטף",M761,0)</f>
        <v>276</v>
      </c>
      <c r="O761" s="136" cm="1">
        <f t="array" ref="O761">IF(K761="הכנסה שסווגה מחדש",-G761,0)</f>
        <v>0</v>
      </c>
      <c r="P761" t="s" s="80">
        <v>770</v>
      </c>
      <c r="Q761" s="100"/>
      <c r="R761" t="s" s="137">
        <v>743</v>
      </c>
      <c r="S761" s="77"/>
    </row>
    <row r="762" ht="13.65" customHeight="1">
      <c r="A762" s="84">
        <v>45870</v>
      </c>
      <c r="B762" t="s" s="85">
        <v>51</v>
      </c>
      <c r="C762" t="s" s="86">
        <v>813</v>
      </c>
      <c r="D762" s="138">
        <v>33</v>
      </c>
      <c r="E762" t="s" s="85">
        <v>768</v>
      </c>
      <c r="F762" t="s" s="86">
        <v>235</v>
      </c>
      <c r="G762" s="139">
        <v>585</v>
      </c>
      <c r="H762" t="s" s="140">
        <v>109</v>
      </c>
      <c r="I762" t="s" s="141">
        <v>109</v>
      </c>
      <c r="J762" t="s" s="141">
        <v>97</v>
      </c>
      <c r="K762" t="str" s="142" cm="1">
        <f t="array" ref="K762">IF(OR(H762="ריביות",AND(H762="דירה כצנלסון",G762&lt;0,ISNUMBER(SEARCH("הכנסה",F762)))),"הכנסה שסווגה מחדש",J762)</f>
        <v>שוטף</v>
      </c>
      <c r="L762" t="s" s="141">
        <v>741</v>
      </c>
      <c r="M762" s="143" cm="1">
        <f t="array" ref="M762">IF(L762="מאושר",IF(K762="הכנסה שסווגה מחדש",0,G762),0)</f>
        <v>585</v>
      </c>
      <c r="N762" s="143" cm="1">
        <f t="array" ref="N762">IF(K762="שוטף",M762,0)</f>
        <v>585</v>
      </c>
      <c r="O762" s="143" cm="1">
        <f t="array" ref="O762">IF(K762="הכנסה שסווגה מחדש",-G762,0)</f>
        <v>0</v>
      </c>
      <c r="P762" t="s" s="86">
        <v>770</v>
      </c>
      <c r="Q762" s="99"/>
      <c r="R762" t="s" s="144">
        <v>743</v>
      </c>
      <c r="S762" s="77"/>
    </row>
    <row r="763" ht="13.65" customHeight="1">
      <c r="A763" s="78">
        <v>45870</v>
      </c>
      <c r="B763" t="s" s="79">
        <v>51</v>
      </c>
      <c r="C763" t="s" s="80">
        <v>813</v>
      </c>
      <c r="D763" s="131">
        <v>34</v>
      </c>
      <c r="E763" t="s" s="79">
        <v>768</v>
      </c>
      <c r="F763" t="s" s="80">
        <v>429</v>
      </c>
      <c r="G763" s="132">
        <v>240</v>
      </c>
      <c r="H763" t="s" s="133">
        <v>117</v>
      </c>
      <c r="I763" t="s" s="134">
        <v>117</v>
      </c>
      <c r="J763" t="s" s="134">
        <v>97</v>
      </c>
      <c r="K763" t="str" s="135" cm="1">
        <f t="array" ref="K763">IF(OR(H763="ריביות",AND(H763="דירה כצנלסון",G763&lt;0,ISNUMBER(SEARCH("הכנסה",F763)))),"הכנסה שסווגה מחדש",J763)</f>
        <v>שוטף</v>
      </c>
      <c r="L763" t="s" s="134">
        <v>741</v>
      </c>
      <c r="M763" s="136" cm="1">
        <f t="array" ref="M763">IF(L763="מאושר",IF(K763="הכנסה שסווגה מחדש",0,G763),0)</f>
        <v>240</v>
      </c>
      <c r="N763" s="136" cm="1">
        <f t="array" ref="N763">IF(K763="שוטף",M763,0)</f>
        <v>240</v>
      </c>
      <c r="O763" s="136" cm="1">
        <f t="array" ref="O763">IF(K763="הכנסה שסווגה מחדש",-G763,0)</f>
        <v>0</v>
      </c>
      <c r="P763" t="s" s="80">
        <v>770</v>
      </c>
      <c r="Q763" s="100"/>
      <c r="R763" t="s" s="137">
        <v>743</v>
      </c>
      <c r="S763" s="77"/>
    </row>
    <row r="764" ht="13.65" customHeight="1">
      <c r="A764" s="84">
        <v>45870</v>
      </c>
      <c r="B764" t="s" s="85">
        <v>51</v>
      </c>
      <c r="C764" t="s" s="86">
        <v>813</v>
      </c>
      <c r="D764" s="138">
        <v>35</v>
      </c>
      <c r="E764" t="s" s="85">
        <v>768</v>
      </c>
      <c r="F764" t="s" s="86">
        <v>223</v>
      </c>
      <c r="G764" s="139">
        <v>103</v>
      </c>
      <c r="H764" t="s" s="140">
        <v>117</v>
      </c>
      <c r="I764" t="s" s="141">
        <v>117</v>
      </c>
      <c r="J764" t="s" s="141">
        <v>97</v>
      </c>
      <c r="K764" t="str" s="142" cm="1">
        <f t="array" ref="K764">IF(OR(H764="ריביות",AND(H764="דירה כצנלסון",G764&lt;0,ISNUMBER(SEARCH("הכנסה",F764)))),"הכנסה שסווגה מחדש",J764)</f>
        <v>שוטף</v>
      </c>
      <c r="L764" t="s" s="141">
        <v>741</v>
      </c>
      <c r="M764" s="143" cm="1">
        <f t="array" ref="M764">IF(L764="מאושר",IF(K764="הכנסה שסווגה מחדש",0,G764),0)</f>
        <v>103</v>
      </c>
      <c r="N764" s="143" cm="1">
        <f t="array" ref="N764">IF(K764="שוטף",M764,0)</f>
        <v>103</v>
      </c>
      <c r="O764" s="143" cm="1">
        <f t="array" ref="O764">IF(K764="הכנסה שסווגה מחדש",-G764,0)</f>
        <v>0</v>
      </c>
      <c r="P764" t="s" s="86">
        <v>770</v>
      </c>
      <c r="Q764" s="99"/>
      <c r="R764" t="s" s="144">
        <v>743</v>
      </c>
      <c r="S764" s="77"/>
    </row>
    <row r="765" ht="13.65" customHeight="1">
      <c r="A765" s="78">
        <v>45870</v>
      </c>
      <c r="B765" t="s" s="79">
        <v>51</v>
      </c>
      <c r="C765" t="s" s="80">
        <v>813</v>
      </c>
      <c r="D765" s="131">
        <v>36</v>
      </c>
      <c r="E765" t="s" s="79">
        <v>791</v>
      </c>
      <c r="F765" t="s" s="80">
        <v>296</v>
      </c>
      <c r="G765" s="132">
        <v>141</v>
      </c>
      <c r="H765" t="s" s="133">
        <v>113</v>
      </c>
      <c r="I765" t="s" s="134">
        <v>113</v>
      </c>
      <c r="J765" t="s" s="134">
        <v>97</v>
      </c>
      <c r="K765" t="str" s="135" cm="1">
        <f t="array" ref="K765">IF(OR(H765="ריביות",AND(H765="דירה כצנלסון",G765&lt;0,ISNUMBER(SEARCH("הכנסה",F765)))),"הכנסה שסווגה מחדש",J765)</f>
        <v>שוטף</v>
      </c>
      <c r="L765" t="s" s="134">
        <v>741</v>
      </c>
      <c r="M765" s="136" cm="1">
        <f t="array" ref="M765">IF(L765="מאושר",IF(K765="הכנסה שסווגה מחדש",0,G765),0)</f>
        <v>141</v>
      </c>
      <c r="N765" s="136" cm="1">
        <f t="array" ref="N765">IF(K765="שוטף",M765,0)</f>
        <v>141</v>
      </c>
      <c r="O765" s="136" cm="1">
        <f t="array" ref="O765">IF(K765="הכנסה שסווגה מחדש",-G765,0)</f>
        <v>0</v>
      </c>
      <c r="P765" t="s" s="80">
        <v>770</v>
      </c>
      <c r="Q765" s="100"/>
      <c r="R765" t="s" s="137">
        <v>743</v>
      </c>
      <c r="S765" s="77"/>
    </row>
    <row r="766" ht="13.65" customHeight="1">
      <c r="A766" s="84">
        <v>45870</v>
      </c>
      <c r="B766" t="s" s="85">
        <v>51</v>
      </c>
      <c r="C766" t="s" s="86">
        <v>813</v>
      </c>
      <c r="D766" s="138">
        <v>37</v>
      </c>
      <c r="E766" t="s" s="85">
        <v>766</v>
      </c>
      <c r="F766" t="s" s="86">
        <v>223</v>
      </c>
      <c r="G766" s="139">
        <v>41</v>
      </c>
      <c r="H766" t="s" s="140">
        <v>117</v>
      </c>
      <c r="I766" t="s" s="141">
        <v>117</v>
      </c>
      <c r="J766" t="s" s="141">
        <v>97</v>
      </c>
      <c r="K766" t="str" s="142" cm="1">
        <f t="array" ref="K766">IF(OR(H766="ריביות",AND(H766="דירה כצנלסון",G766&lt;0,ISNUMBER(SEARCH("הכנסה",F766)))),"הכנסה שסווגה מחדש",J766)</f>
        <v>שוטף</v>
      </c>
      <c r="L766" t="s" s="141">
        <v>741</v>
      </c>
      <c r="M766" s="143" cm="1">
        <f t="array" ref="M766">IF(L766="מאושר",IF(K766="הכנסה שסווגה מחדש",0,G766),0)</f>
        <v>41</v>
      </c>
      <c r="N766" s="143" cm="1">
        <f t="array" ref="N766">IF(K766="שוטף",M766,0)</f>
        <v>41</v>
      </c>
      <c r="O766" s="143" cm="1">
        <f t="array" ref="O766">IF(K766="הכנסה שסווגה מחדש",-G766,0)</f>
        <v>0</v>
      </c>
      <c r="P766" t="s" s="86">
        <v>770</v>
      </c>
      <c r="Q766" s="99"/>
      <c r="R766" t="s" s="144">
        <v>743</v>
      </c>
      <c r="S766" s="77"/>
    </row>
    <row r="767" ht="13.65" customHeight="1">
      <c r="A767" s="78">
        <v>45870</v>
      </c>
      <c r="B767" t="s" s="79">
        <v>51</v>
      </c>
      <c r="C767" t="s" s="80">
        <v>813</v>
      </c>
      <c r="D767" s="131">
        <v>38</v>
      </c>
      <c r="E767" t="s" s="79">
        <v>755</v>
      </c>
      <c r="F767" t="s" s="80">
        <v>223</v>
      </c>
      <c r="G767" s="132">
        <v>65</v>
      </c>
      <c r="H767" t="s" s="133">
        <v>117</v>
      </c>
      <c r="I767" t="s" s="134">
        <v>117</v>
      </c>
      <c r="J767" t="s" s="134">
        <v>97</v>
      </c>
      <c r="K767" t="str" s="135" cm="1">
        <f t="array" ref="K767">IF(OR(H767="ריביות",AND(H767="דירה כצנלסון",G767&lt;0,ISNUMBER(SEARCH("הכנסה",F767)))),"הכנסה שסווגה מחדש",J767)</f>
        <v>שוטף</v>
      </c>
      <c r="L767" t="s" s="134">
        <v>741</v>
      </c>
      <c r="M767" s="136" cm="1">
        <f t="array" ref="M767">IF(L767="מאושר",IF(K767="הכנסה שסווגה מחדש",0,G767),0)</f>
        <v>65</v>
      </c>
      <c r="N767" s="136" cm="1">
        <f t="array" ref="N767">IF(K767="שוטף",M767,0)</f>
        <v>65</v>
      </c>
      <c r="O767" s="136" cm="1">
        <f t="array" ref="O767">IF(K767="הכנסה שסווגה מחדש",-G767,0)</f>
        <v>0</v>
      </c>
      <c r="P767" t="s" s="80">
        <v>770</v>
      </c>
      <c r="Q767" s="100"/>
      <c r="R767" t="s" s="137">
        <v>743</v>
      </c>
      <c r="S767" s="77"/>
    </row>
    <row r="768" ht="13.65" customHeight="1">
      <c r="A768" s="84">
        <v>45870</v>
      </c>
      <c r="B768" t="s" s="85">
        <v>51</v>
      </c>
      <c r="C768" t="s" s="86">
        <v>813</v>
      </c>
      <c r="D768" s="138">
        <v>39</v>
      </c>
      <c r="E768" t="s" s="85">
        <v>759</v>
      </c>
      <c r="F768" t="s" s="86">
        <v>214</v>
      </c>
      <c r="G768" s="139">
        <v>900</v>
      </c>
      <c r="H768" t="s" s="140">
        <v>767</v>
      </c>
      <c r="I768" t="s" s="141">
        <v>107</v>
      </c>
      <c r="J768" t="s" s="141">
        <v>97</v>
      </c>
      <c r="K768" t="str" s="142" cm="1">
        <f t="array" ref="K768">IF(OR(H768="ריביות",AND(H768="דירה כצנלסון",G768&lt;0,ISNUMBER(SEARCH("הכנסה",F768)))),"הכנסה שסווגה מחדש",J768)</f>
        <v>שוטף</v>
      </c>
      <c r="L768" t="s" s="141">
        <v>741</v>
      </c>
      <c r="M768" s="143" cm="1">
        <f t="array" ref="M768">IF(L768="מאושר",IF(K768="הכנסה שסווגה מחדש",0,G768),0)</f>
        <v>900</v>
      </c>
      <c r="N768" s="143" cm="1">
        <f t="array" ref="N768">IF(K768="שוטף",M768,0)</f>
        <v>900</v>
      </c>
      <c r="O768" s="143" cm="1">
        <f t="array" ref="O768">IF(K768="הכנסה שסווגה מחדש",-G768,0)</f>
        <v>0</v>
      </c>
      <c r="P768" t="s" s="86">
        <v>770</v>
      </c>
      <c r="Q768" s="99"/>
      <c r="R768" t="s" s="144">
        <v>743</v>
      </c>
      <c r="S768" s="77"/>
    </row>
    <row r="769" ht="13.65" customHeight="1">
      <c r="A769" s="78">
        <v>45870</v>
      </c>
      <c r="B769" t="s" s="79">
        <v>51</v>
      </c>
      <c r="C769" t="s" s="80">
        <v>813</v>
      </c>
      <c r="D769" s="131">
        <v>40</v>
      </c>
      <c r="E769" t="s" s="79">
        <v>759</v>
      </c>
      <c r="F769" t="s" s="80">
        <v>200</v>
      </c>
      <c r="G769" s="132">
        <v>40</v>
      </c>
      <c r="H769" t="s" s="133">
        <v>109</v>
      </c>
      <c r="I769" t="s" s="134">
        <v>109</v>
      </c>
      <c r="J769" t="s" s="134">
        <v>97</v>
      </c>
      <c r="K769" t="str" s="135" cm="1">
        <f t="array" ref="K769">IF(OR(H769="ריביות",AND(H769="דירה כצנלסון",G769&lt;0,ISNUMBER(SEARCH("הכנסה",F769)))),"הכנסה שסווגה מחדש",J769)</f>
        <v>שוטף</v>
      </c>
      <c r="L769" t="s" s="134">
        <v>741</v>
      </c>
      <c r="M769" s="136" cm="1">
        <f t="array" ref="M769">IF(L769="מאושר",IF(K769="הכנסה שסווגה מחדש",0,G769),0)</f>
        <v>40</v>
      </c>
      <c r="N769" s="136" cm="1">
        <f t="array" ref="N769">IF(K769="שוטף",M769,0)</f>
        <v>40</v>
      </c>
      <c r="O769" s="136" cm="1">
        <f t="array" ref="O769">IF(K769="הכנסה שסווגה מחדש",-G769,0)</f>
        <v>0</v>
      </c>
      <c r="P769" t="s" s="80">
        <v>770</v>
      </c>
      <c r="Q769" s="100"/>
      <c r="R769" t="s" s="137">
        <v>743</v>
      </c>
      <c r="S769" s="77"/>
    </row>
    <row r="770" ht="13.65" customHeight="1">
      <c r="A770" s="84">
        <v>45870</v>
      </c>
      <c r="B770" t="s" s="85">
        <v>51</v>
      </c>
      <c r="C770" t="s" s="86">
        <v>813</v>
      </c>
      <c r="D770" s="138">
        <v>41</v>
      </c>
      <c r="E770" t="s" s="85">
        <v>759</v>
      </c>
      <c r="F770" t="s" s="86">
        <v>200</v>
      </c>
      <c r="G770" s="139">
        <v>200</v>
      </c>
      <c r="H770" t="s" s="140">
        <v>109</v>
      </c>
      <c r="I770" t="s" s="141">
        <v>109</v>
      </c>
      <c r="J770" t="s" s="141">
        <v>97</v>
      </c>
      <c r="K770" t="str" s="142" cm="1">
        <f t="array" ref="K770">IF(OR(H770="ריביות",AND(H770="דירה כצנלסון",G770&lt;0,ISNUMBER(SEARCH("הכנסה",F770)))),"הכנסה שסווגה מחדש",J770)</f>
        <v>שוטף</v>
      </c>
      <c r="L770" t="s" s="141">
        <v>741</v>
      </c>
      <c r="M770" s="143" cm="1">
        <f t="array" ref="M770">IF(L770="מאושר",IF(K770="הכנסה שסווגה מחדש",0,G770),0)</f>
        <v>200</v>
      </c>
      <c r="N770" s="143" cm="1">
        <f t="array" ref="N770">IF(K770="שוטף",M770,0)</f>
        <v>200</v>
      </c>
      <c r="O770" s="143" cm="1">
        <f t="array" ref="O770">IF(K770="הכנסה שסווגה מחדש",-G770,0)</f>
        <v>0</v>
      </c>
      <c r="P770" t="s" s="86">
        <v>770</v>
      </c>
      <c r="Q770" s="99"/>
      <c r="R770" t="s" s="144">
        <v>743</v>
      </c>
      <c r="S770" s="77"/>
    </row>
    <row r="771" ht="13.65" customHeight="1">
      <c r="A771" s="78">
        <v>45870</v>
      </c>
      <c r="B771" t="s" s="79">
        <v>51</v>
      </c>
      <c r="C771" t="s" s="80">
        <v>813</v>
      </c>
      <c r="D771" s="131">
        <v>42</v>
      </c>
      <c r="E771" t="s" s="79">
        <v>775</v>
      </c>
      <c r="F771" t="s" s="80">
        <v>472</v>
      </c>
      <c r="G771" s="132">
        <v>5</v>
      </c>
      <c r="H771" t="s" s="133">
        <v>115</v>
      </c>
      <c r="I771" t="s" s="134">
        <v>115</v>
      </c>
      <c r="J771" t="s" s="134">
        <v>97</v>
      </c>
      <c r="K771" t="str" s="135" cm="1">
        <f t="array" ref="K771">IF(OR(H771="ריביות",AND(H771="דירה כצנלסון",G771&lt;0,ISNUMBER(SEARCH("הכנסה",F771)))),"הכנסה שסווגה מחדש",J771)</f>
        <v>שוטף</v>
      </c>
      <c r="L771" t="s" s="134">
        <v>741</v>
      </c>
      <c r="M771" s="136" cm="1">
        <f t="array" ref="M771">IF(L771="מאושר",IF(K771="הכנסה שסווגה מחדש",0,G771),0)</f>
        <v>5</v>
      </c>
      <c r="N771" s="136" cm="1">
        <f t="array" ref="N771">IF(K771="שוטף",M771,0)</f>
        <v>5</v>
      </c>
      <c r="O771" s="136" cm="1">
        <f t="array" ref="O771">IF(K771="הכנסה שסווגה מחדש",-G771,0)</f>
        <v>0</v>
      </c>
      <c r="P771" t="s" s="80">
        <v>770</v>
      </c>
      <c r="Q771" s="100"/>
      <c r="R771" t="s" s="137">
        <v>743</v>
      </c>
      <c r="S771" s="77"/>
    </row>
    <row r="772" ht="13.65" customHeight="1">
      <c r="A772" s="84">
        <v>45870</v>
      </c>
      <c r="B772" t="s" s="85">
        <v>51</v>
      </c>
      <c r="C772" t="s" s="86">
        <v>813</v>
      </c>
      <c r="D772" s="138">
        <v>43</v>
      </c>
      <c r="E772" t="s" s="85">
        <v>764</v>
      </c>
      <c r="F772" t="s" s="86">
        <v>487</v>
      </c>
      <c r="G772" s="139">
        <v>140</v>
      </c>
      <c r="H772" t="s" s="140">
        <v>127</v>
      </c>
      <c r="I772" t="s" s="141">
        <v>127</v>
      </c>
      <c r="J772" t="s" s="141">
        <v>97</v>
      </c>
      <c r="K772" t="str" s="142" cm="1">
        <f t="array" ref="K772">IF(OR(H772="ריביות",AND(H772="דירה כצנלסון",G772&lt;0,ISNUMBER(SEARCH("הכנסה",F772)))),"הכנסה שסווגה מחדש",J772)</f>
        <v>שוטף</v>
      </c>
      <c r="L772" t="s" s="141">
        <v>741</v>
      </c>
      <c r="M772" s="143" cm="1">
        <f t="array" ref="M772">IF(L772="מאושר",IF(K772="הכנסה שסווגה מחדש",0,G772),0)</f>
        <v>140</v>
      </c>
      <c r="N772" s="143" cm="1">
        <f t="array" ref="N772">IF(K772="שוטף",M772,0)</f>
        <v>140</v>
      </c>
      <c r="O772" s="143" cm="1">
        <f t="array" ref="O772">IF(K772="הכנסה שסווגה מחדש",-G772,0)</f>
        <v>0</v>
      </c>
      <c r="P772" t="s" s="86">
        <v>770</v>
      </c>
      <c r="Q772" s="99"/>
      <c r="R772" t="s" s="144">
        <v>743</v>
      </c>
      <c r="S772" s="77"/>
    </row>
    <row r="773" ht="13.65" customHeight="1">
      <c r="A773" s="78">
        <v>45870</v>
      </c>
      <c r="B773" t="s" s="79">
        <v>51</v>
      </c>
      <c r="C773" t="s" s="80">
        <v>813</v>
      </c>
      <c r="D773" s="131">
        <v>44</v>
      </c>
      <c r="E773" t="s" s="79">
        <v>776</v>
      </c>
      <c r="F773" t="s" s="80">
        <v>708</v>
      </c>
      <c r="G773" s="132">
        <v>-7</v>
      </c>
      <c r="H773" t="s" s="133">
        <v>117</v>
      </c>
      <c r="I773" t="s" s="134">
        <v>117</v>
      </c>
      <c r="J773" t="s" s="134">
        <v>97</v>
      </c>
      <c r="K773" t="str" s="135" cm="1">
        <f t="array" ref="K773">IF(OR(H773="ריביות",AND(H773="דירה כצנלסון",G773&lt;0,ISNUMBER(SEARCH("הכנסה",F773)))),"הכנסה שסווגה מחדש",J773)</f>
        <v>שוטף</v>
      </c>
      <c r="L773" t="s" s="134">
        <v>741</v>
      </c>
      <c r="M773" s="136" cm="1">
        <f t="array" ref="M773">IF(L773="מאושר",IF(K773="הכנסה שסווגה מחדש",0,G773),0)</f>
        <v>-7</v>
      </c>
      <c r="N773" s="136" cm="1">
        <f t="array" ref="N773">IF(K773="שוטף",M773,0)</f>
        <v>-7</v>
      </c>
      <c r="O773" s="136" cm="1">
        <f t="array" ref="O773">IF(K773="הכנסה שסווגה מחדש",-G773,0)</f>
        <v>0</v>
      </c>
      <c r="P773" t="s" s="80">
        <v>770</v>
      </c>
      <c r="Q773" s="100"/>
      <c r="R773" t="s" s="137">
        <v>743</v>
      </c>
      <c r="S773" s="77"/>
    </row>
    <row r="774" ht="13.65" customHeight="1">
      <c r="A774" s="84">
        <v>45870</v>
      </c>
      <c r="B774" t="s" s="85">
        <v>51</v>
      </c>
      <c r="C774" t="s" s="86">
        <v>813</v>
      </c>
      <c r="D774" s="138">
        <v>45</v>
      </c>
      <c r="E774" t="s" s="85">
        <v>788</v>
      </c>
      <c r="F774" t="s" s="86">
        <v>256</v>
      </c>
      <c r="G774" s="139">
        <v>503</v>
      </c>
      <c r="H774" t="s" s="140">
        <v>123</v>
      </c>
      <c r="I774" t="s" s="141">
        <v>123</v>
      </c>
      <c r="J774" t="s" s="141">
        <v>97</v>
      </c>
      <c r="K774" t="str" s="142" cm="1">
        <f t="array" ref="K774">IF(OR(H774="ריביות",AND(H774="דירה כצנלסון",G774&lt;0,ISNUMBER(SEARCH("הכנסה",F774)))),"הכנסה שסווגה מחדש",J774)</f>
        <v>שוטף</v>
      </c>
      <c r="L774" t="s" s="141">
        <v>741</v>
      </c>
      <c r="M774" s="143" cm="1">
        <f t="array" ref="M774">IF(L774="מאושר",IF(K774="הכנסה שסווגה מחדש",0,G774),0)</f>
        <v>503</v>
      </c>
      <c r="N774" s="143" cm="1">
        <f t="array" ref="N774">IF(K774="שוטף",M774,0)</f>
        <v>503</v>
      </c>
      <c r="O774" s="143" cm="1">
        <f t="array" ref="O774">IF(K774="הכנסה שסווגה מחדש",-G774,0)</f>
        <v>0</v>
      </c>
      <c r="P774" t="s" s="85">
        <v>758</v>
      </c>
      <c r="Q774" t="s" s="86">
        <v>797</v>
      </c>
      <c r="R774" t="s" s="144">
        <v>743</v>
      </c>
      <c r="S774" s="77"/>
    </row>
    <row r="775" ht="13.65" customHeight="1">
      <c r="A775" s="78">
        <v>45870</v>
      </c>
      <c r="B775" t="s" s="79">
        <v>51</v>
      </c>
      <c r="C775" t="s" s="80">
        <v>813</v>
      </c>
      <c r="D775" s="131">
        <v>46</v>
      </c>
      <c r="E775" t="s" s="79">
        <v>30</v>
      </c>
      <c r="F775" t="s" s="80">
        <v>708</v>
      </c>
      <c r="G775" s="132">
        <v>-12</v>
      </c>
      <c r="H775" t="s" s="133">
        <v>117</v>
      </c>
      <c r="I775" t="s" s="134">
        <v>117</v>
      </c>
      <c r="J775" t="s" s="134">
        <v>97</v>
      </c>
      <c r="K775" t="str" s="135" cm="1">
        <f t="array" ref="K775">IF(OR(H775="ריביות",AND(H775="דירה כצנלסון",G775&lt;0,ISNUMBER(SEARCH("הכנסה",F775)))),"הכנסה שסווגה מחדש",J775)</f>
        <v>שוטף</v>
      </c>
      <c r="L775" t="s" s="134">
        <v>741</v>
      </c>
      <c r="M775" s="136" cm="1">
        <f t="array" ref="M775">IF(L775="מאושר",IF(K775="הכנסה שסווגה מחדש",0,G775),0)</f>
        <v>-12</v>
      </c>
      <c r="N775" s="136" cm="1">
        <f t="array" ref="N775">IF(K775="שוטף",M775,0)</f>
        <v>-12</v>
      </c>
      <c r="O775" s="136" cm="1">
        <f t="array" ref="O775">IF(K775="הכנסה שסווגה מחדש",-G775,0)</f>
        <v>0</v>
      </c>
      <c r="P775" t="s" s="79">
        <v>758</v>
      </c>
      <c r="Q775" t="s" s="80">
        <v>797</v>
      </c>
      <c r="R775" t="s" s="137">
        <v>743</v>
      </c>
      <c r="S775" s="77"/>
    </row>
    <row r="776" ht="13.65" customHeight="1">
      <c r="A776" s="84">
        <v>45870</v>
      </c>
      <c r="B776" t="s" s="85">
        <v>51</v>
      </c>
      <c r="C776" t="s" s="86">
        <v>813</v>
      </c>
      <c r="D776" s="138">
        <v>47</v>
      </c>
      <c r="E776" t="s" s="85">
        <v>814</v>
      </c>
      <c r="F776" t="s" s="86">
        <v>708</v>
      </c>
      <c r="G776" s="139">
        <v>-47</v>
      </c>
      <c r="H776" t="s" s="140">
        <v>117</v>
      </c>
      <c r="I776" t="s" s="141">
        <v>117</v>
      </c>
      <c r="J776" t="s" s="141">
        <v>97</v>
      </c>
      <c r="K776" t="str" s="142" cm="1">
        <f t="array" ref="K776">IF(OR(H776="ריביות",AND(H776="דירה כצנלסון",G776&lt;0,ISNUMBER(SEARCH("הכנסה",F776)))),"הכנסה שסווגה מחדש",J776)</f>
        <v>שוטף</v>
      </c>
      <c r="L776" t="s" s="141">
        <v>741</v>
      </c>
      <c r="M776" s="143" cm="1">
        <f t="array" ref="M776">IF(L776="מאושר",IF(K776="הכנסה שסווגה מחדש",0,G776),0)</f>
        <v>-47</v>
      </c>
      <c r="N776" s="143" cm="1">
        <f t="array" ref="N776">IF(K776="שוטף",M776,0)</f>
        <v>-47</v>
      </c>
      <c r="O776" s="143" cm="1">
        <f t="array" ref="O776">IF(K776="הכנסה שסווגה מחדש",-G776,0)</f>
        <v>0</v>
      </c>
      <c r="P776" t="s" s="85">
        <v>758</v>
      </c>
      <c r="Q776" t="s" s="86">
        <v>797</v>
      </c>
      <c r="R776" t="s" s="144">
        <v>743</v>
      </c>
      <c r="S776" s="77"/>
    </row>
    <row r="777" ht="13.65" customHeight="1">
      <c r="A777" s="78">
        <v>45870</v>
      </c>
      <c r="B777" t="s" s="79">
        <v>51</v>
      </c>
      <c r="C777" t="s" s="80">
        <v>813</v>
      </c>
      <c r="D777" s="131">
        <v>48</v>
      </c>
      <c r="E777" t="s" s="79">
        <v>765</v>
      </c>
      <c r="F777" t="s" s="80">
        <v>395</v>
      </c>
      <c r="G777" s="132">
        <v>88</v>
      </c>
      <c r="H777" t="s" s="133">
        <v>115</v>
      </c>
      <c r="I777" t="s" s="134">
        <v>115</v>
      </c>
      <c r="J777" t="s" s="134">
        <v>97</v>
      </c>
      <c r="K777" t="str" s="135" cm="1">
        <f t="array" ref="K777">IF(OR(H777="ריביות",AND(H777="דירה כצנלסון",G777&lt;0,ISNUMBER(SEARCH("הכנסה",F777)))),"הכנסה שסווגה מחדש",J777)</f>
        <v>שוטף</v>
      </c>
      <c r="L777" t="s" s="134">
        <v>741</v>
      </c>
      <c r="M777" s="136" cm="1">
        <f t="array" ref="M777">IF(L777="מאושר",IF(K777="הכנסה שסווגה מחדש",0,G777),0)</f>
        <v>88</v>
      </c>
      <c r="N777" s="136" cm="1">
        <f t="array" ref="N777">IF(K777="שוטף",M777,0)</f>
        <v>88</v>
      </c>
      <c r="O777" s="136" cm="1">
        <f t="array" ref="O777">IF(K777="הכנסה שסווגה מחדש",-G777,0)</f>
        <v>0</v>
      </c>
      <c r="P777" t="s" s="79">
        <v>758</v>
      </c>
      <c r="Q777" t="s" s="80">
        <v>797</v>
      </c>
      <c r="R777" t="s" s="137">
        <v>743</v>
      </c>
      <c r="S777" s="77"/>
    </row>
    <row r="778" ht="13.65" customHeight="1">
      <c r="A778" s="84">
        <v>45870</v>
      </c>
      <c r="B778" t="s" s="85">
        <v>51</v>
      </c>
      <c r="C778" t="s" s="86">
        <v>813</v>
      </c>
      <c r="D778" s="138">
        <v>49</v>
      </c>
      <c r="E778" t="s" s="85">
        <v>775</v>
      </c>
      <c r="F778" t="s" s="86">
        <v>721</v>
      </c>
      <c r="G778" s="139">
        <v>-334</v>
      </c>
      <c r="H778" t="s" s="140">
        <v>123</v>
      </c>
      <c r="I778" t="s" s="141">
        <v>123</v>
      </c>
      <c r="J778" t="s" s="141">
        <v>97</v>
      </c>
      <c r="K778" t="str" s="142" cm="1">
        <f t="array" ref="K778">IF(OR(H778="ריביות",AND(H778="דירה כצנלסון",G778&lt;0,ISNUMBER(SEARCH("הכנסה",F778)))),"הכנסה שסווגה מחדש",J778)</f>
        <v>שוטף</v>
      </c>
      <c r="L778" t="s" s="141">
        <v>741</v>
      </c>
      <c r="M778" s="143" cm="1">
        <f t="array" ref="M778">IF(L778="מאושר",IF(K778="הכנסה שסווגה מחדש",0,G778),0)</f>
        <v>-334</v>
      </c>
      <c r="N778" s="143" cm="1">
        <f t="array" ref="N778">IF(K778="שוטף",M778,0)</f>
        <v>-334</v>
      </c>
      <c r="O778" s="143" cm="1">
        <f t="array" ref="O778">IF(K778="הכנסה שסווגה מחדש",-G778,0)</f>
        <v>0</v>
      </c>
      <c r="P778" t="s" s="85">
        <v>758</v>
      </c>
      <c r="Q778" t="s" s="86">
        <v>797</v>
      </c>
      <c r="R778" t="s" s="144">
        <v>743</v>
      </c>
      <c r="S778" s="77"/>
    </row>
    <row r="779" ht="13.65" customHeight="1">
      <c r="A779" s="78">
        <v>45870</v>
      </c>
      <c r="B779" t="s" s="79">
        <v>51</v>
      </c>
      <c r="C779" t="s" s="80">
        <v>813</v>
      </c>
      <c r="D779" s="131">
        <v>50</v>
      </c>
      <c r="E779" t="s" s="79">
        <v>789</v>
      </c>
      <c r="F779" t="s" s="80">
        <v>391</v>
      </c>
      <c r="G779" s="132">
        <v>22</v>
      </c>
      <c r="H779" t="s" s="133">
        <v>115</v>
      </c>
      <c r="I779" t="s" s="134">
        <v>115</v>
      </c>
      <c r="J779" t="s" s="134">
        <v>97</v>
      </c>
      <c r="K779" t="str" s="135" cm="1">
        <f t="array" ref="K779">IF(OR(H779="ריביות",AND(H779="דירה כצנלסון",G779&lt;0,ISNUMBER(SEARCH("הכנסה",F779)))),"הכנסה שסווגה מחדש",J779)</f>
        <v>שוטף</v>
      </c>
      <c r="L779" t="s" s="134">
        <v>741</v>
      </c>
      <c r="M779" s="136" cm="1">
        <f t="array" ref="M779">IF(L779="מאושר",IF(K779="הכנסה שסווגה מחדש",0,G779),0)</f>
        <v>22</v>
      </c>
      <c r="N779" s="136" cm="1">
        <f t="array" ref="N779">IF(K779="שוטף",M779,0)</f>
        <v>22</v>
      </c>
      <c r="O779" s="136" cm="1">
        <f t="array" ref="O779">IF(K779="הכנסה שסווגה מחדש",-G779,0)</f>
        <v>0</v>
      </c>
      <c r="P779" t="s" s="79">
        <v>748</v>
      </c>
      <c r="Q779" s="100"/>
      <c r="R779" t="s" s="137">
        <v>743</v>
      </c>
      <c r="S779" s="77"/>
    </row>
    <row r="780" ht="13.65" customHeight="1">
      <c r="A780" s="84">
        <v>45870</v>
      </c>
      <c r="B780" t="s" s="85">
        <v>51</v>
      </c>
      <c r="C780" t="s" s="86">
        <v>813</v>
      </c>
      <c r="D780" s="138">
        <v>51</v>
      </c>
      <c r="E780" t="s" s="85">
        <v>788</v>
      </c>
      <c r="F780" t="s" s="86">
        <v>379</v>
      </c>
      <c r="G780" s="139">
        <v>361</v>
      </c>
      <c r="H780" t="s" s="140">
        <v>121</v>
      </c>
      <c r="I780" t="s" s="141">
        <v>121</v>
      </c>
      <c r="J780" t="s" s="141">
        <v>97</v>
      </c>
      <c r="K780" t="str" s="142" cm="1">
        <f t="array" ref="K780">IF(OR(H780="ריביות",AND(H780="דירה כצנלסון",G780&lt;0,ISNUMBER(SEARCH("הכנסה",F780)))),"הכנסה שסווגה מחדש",J780)</f>
        <v>שוטף</v>
      </c>
      <c r="L780" t="s" s="141">
        <v>741</v>
      </c>
      <c r="M780" s="143" cm="1">
        <f t="array" ref="M780">IF(L780="מאושר",IF(K780="הכנסה שסווגה מחדש",0,G780),0)</f>
        <v>361</v>
      </c>
      <c r="N780" s="143" cm="1">
        <f t="array" ref="N780">IF(K780="שוטף",M780,0)</f>
        <v>361</v>
      </c>
      <c r="O780" s="143" cm="1">
        <f t="array" ref="O780">IF(K780="הכנסה שסווגה מחדש",-G780,0)</f>
        <v>0</v>
      </c>
      <c r="P780" t="s" s="85">
        <v>748</v>
      </c>
      <c r="Q780" s="99"/>
      <c r="R780" t="s" s="144">
        <v>743</v>
      </c>
      <c r="S780" s="77"/>
    </row>
    <row r="781" ht="13.65" customHeight="1">
      <c r="A781" s="78">
        <v>45870</v>
      </c>
      <c r="B781" t="s" s="79">
        <v>51</v>
      </c>
      <c r="C781" t="s" s="80">
        <v>813</v>
      </c>
      <c r="D781" s="131">
        <v>52</v>
      </c>
      <c r="E781" t="s" s="79">
        <v>739</v>
      </c>
      <c r="F781" t="s" s="80">
        <v>627</v>
      </c>
      <c r="G781" s="132">
        <v>40</v>
      </c>
      <c r="H781" t="s" s="133">
        <v>115</v>
      </c>
      <c r="I781" t="s" s="134">
        <v>115</v>
      </c>
      <c r="J781" t="s" s="134">
        <v>97</v>
      </c>
      <c r="K781" t="str" s="135" cm="1">
        <f t="array" ref="K781">IF(OR(H781="ריביות",AND(H781="דירה כצנלסון",G781&lt;0,ISNUMBER(SEARCH("הכנסה",F781)))),"הכנסה שסווגה מחדש",J781)</f>
        <v>שוטף</v>
      </c>
      <c r="L781" t="s" s="134">
        <v>741</v>
      </c>
      <c r="M781" s="136" cm="1">
        <f t="array" ref="M781">IF(L781="מאושר",IF(K781="הכנסה שסווגה מחדש",0,G781),0)</f>
        <v>40</v>
      </c>
      <c r="N781" s="136" cm="1">
        <f t="array" ref="N781">IF(K781="שוטף",M781,0)</f>
        <v>40</v>
      </c>
      <c r="O781" s="136" cm="1">
        <f t="array" ref="O781">IF(K781="הכנסה שסווגה מחדש",-G781,0)</f>
        <v>0</v>
      </c>
      <c r="P781" t="s" s="79">
        <v>748</v>
      </c>
      <c r="Q781" s="100"/>
      <c r="R781" t="s" s="137">
        <v>743</v>
      </c>
      <c r="S781" s="77"/>
    </row>
    <row r="782" ht="13.65" customHeight="1">
      <c r="A782" s="84">
        <v>45870</v>
      </c>
      <c r="B782" t="s" s="85">
        <v>51</v>
      </c>
      <c r="C782" t="s" s="86">
        <v>813</v>
      </c>
      <c r="D782" s="138">
        <v>53</v>
      </c>
      <c r="E782" t="s" s="85">
        <v>739</v>
      </c>
      <c r="F782" t="s" s="86">
        <v>231</v>
      </c>
      <c r="G782" s="139">
        <v>36</v>
      </c>
      <c r="H782" t="s" s="140">
        <v>113</v>
      </c>
      <c r="I782" t="s" s="141">
        <v>113</v>
      </c>
      <c r="J782" t="s" s="141">
        <v>97</v>
      </c>
      <c r="K782" t="str" s="142" cm="1">
        <f t="array" ref="K782">IF(OR(H782="ריביות",AND(H782="דירה כצנלסון",G782&lt;0,ISNUMBER(SEARCH("הכנסה",F782)))),"הכנסה שסווגה מחדש",J782)</f>
        <v>שוטף</v>
      </c>
      <c r="L782" t="s" s="141">
        <v>741</v>
      </c>
      <c r="M782" s="143" cm="1">
        <f t="array" ref="M782">IF(L782="מאושר",IF(K782="הכנסה שסווגה מחדש",0,G782),0)</f>
        <v>36</v>
      </c>
      <c r="N782" s="143" cm="1">
        <f t="array" ref="N782">IF(K782="שוטף",M782,0)</f>
        <v>36</v>
      </c>
      <c r="O782" s="143" cm="1">
        <f t="array" ref="O782">IF(K782="הכנסה שסווגה מחדש",-G782,0)</f>
        <v>0</v>
      </c>
      <c r="P782" t="s" s="85">
        <v>748</v>
      </c>
      <c r="Q782" s="99"/>
      <c r="R782" t="s" s="144">
        <v>743</v>
      </c>
      <c r="S782" s="77"/>
    </row>
    <row r="783" ht="13.65" customHeight="1">
      <c r="A783" s="78">
        <v>45870</v>
      </c>
      <c r="B783" t="s" s="79">
        <v>51</v>
      </c>
      <c r="C783" t="s" s="80">
        <v>813</v>
      </c>
      <c r="D783" s="131">
        <v>54</v>
      </c>
      <c r="E783" t="s" s="79">
        <v>771</v>
      </c>
      <c r="F783" t="s" s="80">
        <v>391</v>
      </c>
      <c r="G783" s="132">
        <v>8</v>
      </c>
      <c r="H783" t="s" s="133">
        <v>115</v>
      </c>
      <c r="I783" t="s" s="134">
        <v>115</v>
      </c>
      <c r="J783" t="s" s="134">
        <v>97</v>
      </c>
      <c r="K783" t="str" s="135" cm="1">
        <f t="array" ref="K783">IF(OR(H783="ריביות",AND(H783="דירה כצנלסון",G783&lt;0,ISNUMBER(SEARCH("הכנסה",F783)))),"הכנסה שסווגה מחדש",J783)</f>
        <v>שוטף</v>
      </c>
      <c r="L783" t="s" s="134">
        <v>741</v>
      </c>
      <c r="M783" s="136" cm="1">
        <f t="array" ref="M783">IF(L783="מאושר",IF(K783="הכנסה שסווגה מחדש",0,G783),0)</f>
        <v>8</v>
      </c>
      <c r="N783" s="136" cm="1">
        <f t="array" ref="N783">IF(K783="שוטף",M783,0)</f>
        <v>8</v>
      </c>
      <c r="O783" s="136" cm="1">
        <f t="array" ref="O783">IF(K783="הכנסה שסווגה מחדש",-G783,0)</f>
        <v>0</v>
      </c>
      <c r="P783" t="s" s="79">
        <v>748</v>
      </c>
      <c r="Q783" s="100"/>
      <c r="R783" t="s" s="137">
        <v>743</v>
      </c>
      <c r="S783" s="77"/>
    </row>
    <row r="784" ht="13.65" customHeight="1">
      <c r="A784" s="84">
        <v>45870</v>
      </c>
      <c r="B784" t="s" s="85">
        <v>51</v>
      </c>
      <c r="C784" t="s" s="86">
        <v>813</v>
      </c>
      <c r="D784" s="138">
        <v>55</v>
      </c>
      <c r="E784" t="s" s="85">
        <v>773</v>
      </c>
      <c r="F784" t="s" s="86">
        <v>391</v>
      </c>
      <c r="G784" s="139">
        <v>19</v>
      </c>
      <c r="H784" t="s" s="140">
        <v>115</v>
      </c>
      <c r="I784" t="s" s="141">
        <v>115</v>
      </c>
      <c r="J784" t="s" s="141">
        <v>97</v>
      </c>
      <c r="K784" t="str" s="142" cm="1">
        <f t="array" ref="K784">IF(OR(H784="ריביות",AND(H784="דירה כצנלסון",G784&lt;0,ISNUMBER(SEARCH("הכנסה",F784)))),"הכנסה שסווגה מחדש",J784)</f>
        <v>שוטף</v>
      </c>
      <c r="L784" t="s" s="141">
        <v>741</v>
      </c>
      <c r="M784" s="143" cm="1">
        <f t="array" ref="M784">IF(L784="מאושר",IF(K784="הכנסה שסווגה מחדש",0,G784),0)</f>
        <v>19</v>
      </c>
      <c r="N784" s="143" cm="1">
        <f t="array" ref="N784">IF(K784="שוטף",M784,0)</f>
        <v>19</v>
      </c>
      <c r="O784" s="143" cm="1">
        <f t="array" ref="O784">IF(K784="הכנסה שסווגה מחדש",-G784,0)</f>
        <v>0</v>
      </c>
      <c r="P784" t="s" s="85">
        <v>748</v>
      </c>
      <c r="Q784" s="99"/>
      <c r="R784" t="s" s="144">
        <v>743</v>
      </c>
      <c r="S784" s="77"/>
    </row>
    <row r="785" ht="13.65" customHeight="1">
      <c r="A785" s="78">
        <v>45870</v>
      </c>
      <c r="B785" t="s" s="79">
        <v>51</v>
      </c>
      <c r="C785" t="s" s="80">
        <v>813</v>
      </c>
      <c r="D785" s="131">
        <v>56</v>
      </c>
      <c r="E785" t="s" s="79">
        <v>791</v>
      </c>
      <c r="F785" t="s" s="80">
        <v>391</v>
      </c>
      <c r="G785" s="132">
        <v>16</v>
      </c>
      <c r="H785" t="s" s="133">
        <v>115</v>
      </c>
      <c r="I785" t="s" s="134">
        <v>115</v>
      </c>
      <c r="J785" t="s" s="134">
        <v>97</v>
      </c>
      <c r="K785" t="str" s="135" cm="1">
        <f t="array" ref="K785">IF(OR(H785="ריביות",AND(H785="דירה כצנלסון",G785&lt;0,ISNUMBER(SEARCH("הכנסה",F785)))),"הכנסה שסווגה מחדש",J785)</f>
        <v>שוטף</v>
      </c>
      <c r="L785" t="s" s="134">
        <v>741</v>
      </c>
      <c r="M785" s="136" cm="1">
        <f t="array" ref="M785">IF(L785="מאושר",IF(K785="הכנסה שסווגה מחדש",0,G785),0)</f>
        <v>16</v>
      </c>
      <c r="N785" s="136" cm="1">
        <f t="array" ref="N785">IF(K785="שוטף",M785,0)</f>
        <v>16</v>
      </c>
      <c r="O785" s="136" cm="1">
        <f t="array" ref="O785">IF(K785="הכנסה שסווגה מחדש",-G785,0)</f>
        <v>0</v>
      </c>
      <c r="P785" t="s" s="79">
        <v>748</v>
      </c>
      <c r="Q785" s="100"/>
      <c r="R785" t="s" s="137">
        <v>743</v>
      </c>
      <c r="S785" s="77"/>
    </row>
    <row r="786" ht="13.65" customHeight="1">
      <c r="A786" s="84">
        <v>45870</v>
      </c>
      <c r="B786" t="s" s="85">
        <v>51</v>
      </c>
      <c r="C786" t="s" s="86">
        <v>813</v>
      </c>
      <c r="D786" s="138">
        <v>57</v>
      </c>
      <c r="E786" t="s" s="85">
        <v>791</v>
      </c>
      <c r="F786" t="s" s="86">
        <v>688</v>
      </c>
      <c r="G786" s="139">
        <v>14</v>
      </c>
      <c r="H786" t="s" s="140">
        <v>113</v>
      </c>
      <c r="I786" t="s" s="141">
        <v>113</v>
      </c>
      <c r="J786" t="s" s="141">
        <v>97</v>
      </c>
      <c r="K786" t="str" s="142" cm="1">
        <f t="array" ref="K786">IF(OR(H786="ריביות",AND(H786="דירה כצנלסון",G786&lt;0,ISNUMBER(SEARCH("הכנסה",F786)))),"הכנסה שסווגה מחדש",J786)</f>
        <v>שוטף</v>
      </c>
      <c r="L786" t="s" s="141">
        <v>741</v>
      </c>
      <c r="M786" s="143" cm="1">
        <f t="array" ref="M786">IF(L786="מאושר",IF(K786="הכנסה שסווגה מחדש",0,G786),0)</f>
        <v>14</v>
      </c>
      <c r="N786" s="143" cm="1">
        <f t="array" ref="N786">IF(K786="שוטף",M786,0)</f>
        <v>14</v>
      </c>
      <c r="O786" s="143" cm="1">
        <f t="array" ref="O786">IF(K786="הכנסה שסווגה מחדש",-G786,0)</f>
        <v>0</v>
      </c>
      <c r="P786" t="s" s="85">
        <v>748</v>
      </c>
      <c r="Q786" s="99"/>
      <c r="R786" t="s" s="144">
        <v>743</v>
      </c>
      <c r="S786" s="77"/>
    </row>
    <row r="787" ht="13.65" customHeight="1">
      <c r="A787" s="78">
        <v>45870</v>
      </c>
      <c r="B787" t="s" s="79">
        <v>51</v>
      </c>
      <c r="C787" t="s" s="80">
        <v>813</v>
      </c>
      <c r="D787" s="131">
        <v>58</v>
      </c>
      <c r="E787" t="s" s="79">
        <v>766</v>
      </c>
      <c r="F787" t="s" s="80">
        <v>531</v>
      </c>
      <c r="G787" s="132">
        <v>96</v>
      </c>
      <c r="H787" t="s" s="133">
        <v>113</v>
      </c>
      <c r="I787" t="s" s="134">
        <v>113</v>
      </c>
      <c r="J787" t="s" s="134">
        <v>97</v>
      </c>
      <c r="K787" t="str" s="135" cm="1">
        <f t="array" ref="K787">IF(OR(H787="ריביות",AND(H787="דירה כצנלסון",G787&lt;0,ISNUMBER(SEARCH("הכנסה",F787)))),"הכנסה שסווגה מחדש",J787)</f>
        <v>שוטף</v>
      </c>
      <c r="L787" t="s" s="134">
        <v>741</v>
      </c>
      <c r="M787" s="136" cm="1">
        <f t="array" ref="M787">IF(L787="מאושר",IF(K787="הכנסה שסווגה מחדש",0,G787),0)</f>
        <v>96</v>
      </c>
      <c r="N787" s="136" cm="1">
        <f t="array" ref="N787">IF(K787="שוטף",M787,0)</f>
        <v>96</v>
      </c>
      <c r="O787" s="136" cm="1">
        <f t="array" ref="O787">IF(K787="הכנסה שסווגה מחדש",-G787,0)</f>
        <v>0</v>
      </c>
      <c r="P787" t="s" s="79">
        <v>748</v>
      </c>
      <c r="Q787" s="100"/>
      <c r="R787" t="s" s="137">
        <v>743</v>
      </c>
      <c r="S787" s="77"/>
    </row>
    <row r="788" ht="13.65" customHeight="1">
      <c r="A788" s="84">
        <v>45870</v>
      </c>
      <c r="B788" t="s" s="85">
        <v>51</v>
      </c>
      <c r="C788" t="s" s="86">
        <v>813</v>
      </c>
      <c r="D788" s="138">
        <v>59</v>
      </c>
      <c r="E788" t="s" s="85">
        <v>765</v>
      </c>
      <c r="F788" t="s" s="86">
        <v>395</v>
      </c>
      <c r="G788" s="139">
        <v>8</v>
      </c>
      <c r="H788" t="s" s="140">
        <v>115</v>
      </c>
      <c r="I788" t="s" s="141">
        <v>115</v>
      </c>
      <c r="J788" t="s" s="141">
        <v>97</v>
      </c>
      <c r="K788" t="str" s="142" cm="1">
        <f t="array" ref="K788">IF(OR(H788="ריביות",AND(H788="דירה כצנלסון",G788&lt;0,ISNUMBER(SEARCH("הכנסה",F788)))),"הכנסה שסווגה מחדש",J788)</f>
        <v>שוטף</v>
      </c>
      <c r="L788" t="s" s="141">
        <v>741</v>
      </c>
      <c r="M788" s="143" cm="1">
        <f t="array" ref="M788">IF(L788="מאושר",IF(K788="הכנסה שסווגה מחדש",0,G788),0)</f>
        <v>8</v>
      </c>
      <c r="N788" s="143" cm="1">
        <f t="array" ref="N788">IF(K788="שוטף",M788,0)</f>
        <v>8</v>
      </c>
      <c r="O788" s="143" cm="1">
        <f t="array" ref="O788">IF(K788="הכנסה שסווגה מחדש",-G788,0)</f>
        <v>0</v>
      </c>
      <c r="P788" t="s" s="85">
        <v>748</v>
      </c>
      <c r="Q788" s="99"/>
      <c r="R788" t="s" s="144">
        <v>743</v>
      </c>
      <c r="S788" s="77"/>
    </row>
    <row r="789" ht="13.65" customHeight="1">
      <c r="A789" s="78">
        <v>45870</v>
      </c>
      <c r="B789" t="s" s="79">
        <v>51</v>
      </c>
      <c r="C789" t="s" s="80">
        <v>813</v>
      </c>
      <c r="D789" s="131">
        <v>60</v>
      </c>
      <c r="E789" t="s" s="79">
        <v>775</v>
      </c>
      <c r="F789" t="s" s="80">
        <v>391</v>
      </c>
      <c r="G789" s="132">
        <v>13</v>
      </c>
      <c r="H789" t="s" s="133">
        <v>115</v>
      </c>
      <c r="I789" t="s" s="134">
        <v>115</v>
      </c>
      <c r="J789" t="s" s="134">
        <v>97</v>
      </c>
      <c r="K789" t="str" s="135" cm="1">
        <f t="array" ref="K789">IF(OR(H789="ריביות",AND(H789="דירה כצנלסון",G789&lt;0,ISNUMBER(SEARCH("הכנסה",F789)))),"הכנסה שסווגה מחדש",J789)</f>
        <v>שוטף</v>
      </c>
      <c r="L789" t="s" s="134">
        <v>741</v>
      </c>
      <c r="M789" s="136" cm="1">
        <f t="array" ref="M789">IF(L789="מאושר",IF(K789="הכנסה שסווגה מחדש",0,G789),0)</f>
        <v>13</v>
      </c>
      <c r="N789" s="136" cm="1">
        <f t="array" ref="N789">IF(K789="שוטף",M789,0)</f>
        <v>13</v>
      </c>
      <c r="O789" s="136" cm="1">
        <f t="array" ref="O789">IF(K789="הכנסה שסווגה מחדש",-G789,0)</f>
        <v>0</v>
      </c>
      <c r="P789" t="s" s="79">
        <v>748</v>
      </c>
      <c r="Q789" s="100"/>
      <c r="R789" t="s" s="137">
        <v>743</v>
      </c>
      <c r="S789" s="77"/>
    </row>
    <row r="790" ht="13.65" customHeight="1">
      <c r="A790" s="84">
        <v>45870</v>
      </c>
      <c r="B790" t="s" s="85">
        <v>51</v>
      </c>
      <c r="C790" t="s" s="86">
        <v>813</v>
      </c>
      <c r="D790" s="138">
        <v>61</v>
      </c>
      <c r="E790" t="s" s="85">
        <v>775</v>
      </c>
      <c r="F790" t="s" s="86">
        <v>391</v>
      </c>
      <c r="G790" s="139">
        <v>3</v>
      </c>
      <c r="H790" t="s" s="140">
        <v>115</v>
      </c>
      <c r="I790" t="s" s="141">
        <v>115</v>
      </c>
      <c r="J790" t="s" s="141">
        <v>97</v>
      </c>
      <c r="K790" t="str" s="142" cm="1">
        <f t="array" ref="K790">IF(OR(H790="ריביות",AND(H790="דירה כצנלסון",G790&lt;0,ISNUMBER(SEARCH("הכנסה",F790)))),"הכנסה שסווגה מחדש",J790)</f>
        <v>שוטף</v>
      </c>
      <c r="L790" t="s" s="141">
        <v>741</v>
      </c>
      <c r="M790" s="143" cm="1">
        <f t="array" ref="M790">IF(L790="מאושר",IF(K790="הכנסה שסווגה מחדש",0,G790),0)</f>
        <v>3</v>
      </c>
      <c r="N790" s="143" cm="1">
        <f t="array" ref="N790">IF(K790="שוטף",M790,0)</f>
        <v>3</v>
      </c>
      <c r="O790" s="143" cm="1">
        <f t="array" ref="O790">IF(K790="הכנסה שסווגה מחדש",-G790,0)</f>
        <v>0</v>
      </c>
      <c r="P790" t="s" s="85">
        <v>748</v>
      </c>
      <c r="Q790" s="99"/>
      <c r="R790" t="s" s="144">
        <v>743</v>
      </c>
      <c r="S790" s="77"/>
    </row>
    <row r="791" ht="13.65" customHeight="1">
      <c r="A791" s="78">
        <v>45870</v>
      </c>
      <c r="B791" t="s" s="79">
        <v>51</v>
      </c>
      <c r="C791" t="s" s="80">
        <v>813</v>
      </c>
      <c r="D791" s="131">
        <v>62</v>
      </c>
      <c r="E791" t="s" s="79">
        <v>38</v>
      </c>
      <c r="F791" t="s" s="80">
        <v>344</v>
      </c>
      <c r="G791" s="132">
        <v>153</v>
      </c>
      <c r="H791" t="s" s="133">
        <v>113</v>
      </c>
      <c r="I791" t="s" s="134">
        <v>113</v>
      </c>
      <c r="J791" t="s" s="134">
        <v>97</v>
      </c>
      <c r="K791" t="str" s="135" cm="1">
        <f t="array" ref="K791">IF(OR(H791="ריביות",AND(H791="דירה כצנלסון",G791&lt;0,ISNUMBER(SEARCH("הכנסה",F791)))),"הכנסה שסווגה מחדש",J791)</f>
        <v>שוטף</v>
      </c>
      <c r="L791" t="s" s="134">
        <v>741</v>
      </c>
      <c r="M791" s="136" cm="1">
        <f t="array" ref="M791">IF(L791="מאושר",IF(K791="הכנסה שסווגה מחדש",0,G791),0)</f>
        <v>153</v>
      </c>
      <c r="N791" s="136" cm="1">
        <f t="array" ref="N791">IF(K791="שוטף",M791,0)</f>
        <v>153</v>
      </c>
      <c r="O791" s="136" cm="1">
        <f t="array" ref="O791">IF(K791="הכנסה שסווגה מחדש",-G791,0)</f>
        <v>0</v>
      </c>
      <c r="P791" t="s" s="80">
        <v>783</v>
      </c>
      <c r="Q791" s="100"/>
      <c r="R791" t="s" s="137">
        <v>743</v>
      </c>
      <c r="S791" s="77"/>
    </row>
    <row r="792" ht="13.65" customHeight="1">
      <c r="A792" s="84">
        <v>45870</v>
      </c>
      <c r="B792" t="s" s="85">
        <v>51</v>
      </c>
      <c r="C792" t="s" s="86">
        <v>813</v>
      </c>
      <c r="D792" s="138">
        <v>63</v>
      </c>
      <c r="E792" t="s" s="85">
        <v>42</v>
      </c>
      <c r="F792" t="s" s="86">
        <v>308</v>
      </c>
      <c r="G792" s="139">
        <v>6</v>
      </c>
      <c r="H792" t="s" s="140">
        <v>113</v>
      </c>
      <c r="I792" t="s" s="141">
        <v>113</v>
      </c>
      <c r="J792" t="s" s="141">
        <v>97</v>
      </c>
      <c r="K792" t="str" s="142" cm="1">
        <f t="array" ref="K792">IF(OR(H792="ריביות",AND(H792="דירה כצנלסון",G792&lt;0,ISNUMBER(SEARCH("הכנסה",F792)))),"הכנסה שסווגה מחדש",J792)</f>
        <v>שוטף</v>
      </c>
      <c r="L792" t="s" s="141">
        <v>741</v>
      </c>
      <c r="M792" s="143" cm="1">
        <f t="array" ref="M792">IF(L792="מאושר",IF(K792="הכנסה שסווגה מחדש",0,G792),0)</f>
        <v>6</v>
      </c>
      <c r="N792" s="143" cm="1">
        <f t="array" ref="N792">IF(K792="שוטף",M792,0)</f>
        <v>6</v>
      </c>
      <c r="O792" s="143" cm="1">
        <f t="array" ref="O792">IF(K792="הכנסה שסווגה מחדש",-G792,0)</f>
        <v>0</v>
      </c>
      <c r="P792" t="s" s="86">
        <v>783</v>
      </c>
      <c r="Q792" s="99"/>
      <c r="R792" t="s" s="144">
        <v>743</v>
      </c>
      <c r="S792" s="77"/>
    </row>
    <row r="793" ht="13.65" customHeight="1">
      <c r="A793" s="78">
        <v>45870</v>
      </c>
      <c r="B793" t="s" s="79">
        <v>51</v>
      </c>
      <c r="C793" t="s" s="80">
        <v>813</v>
      </c>
      <c r="D793" s="131">
        <v>64</v>
      </c>
      <c r="E793" t="s" s="79">
        <v>751</v>
      </c>
      <c r="F793" t="s" s="80">
        <v>622</v>
      </c>
      <c r="G793" s="132">
        <v>43</v>
      </c>
      <c r="H793" t="s" s="133">
        <v>113</v>
      </c>
      <c r="I793" t="s" s="134">
        <v>113</v>
      </c>
      <c r="J793" t="s" s="134">
        <v>97</v>
      </c>
      <c r="K793" t="str" s="135" cm="1">
        <f t="array" ref="K793">IF(OR(H793="ריביות",AND(H793="דירה כצנלסון",G793&lt;0,ISNUMBER(SEARCH("הכנסה",F793)))),"הכנסה שסווגה מחדש",J793)</f>
        <v>שוטף</v>
      </c>
      <c r="L793" t="s" s="134">
        <v>741</v>
      </c>
      <c r="M793" s="136" cm="1">
        <f t="array" ref="M793">IF(L793="מאושר",IF(K793="הכנסה שסווגה מחדש",0,G793),0)</f>
        <v>43</v>
      </c>
      <c r="N793" s="136" cm="1">
        <f t="array" ref="N793">IF(K793="שוטף",M793,0)</f>
        <v>43</v>
      </c>
      <c r="O793" s="136" cm="1">
        <f t="array" ref="O793">IF(K793="הכנסה שסווגה מחדש",-G793,0)</f>
        <v>0</v>
      </c>
      <c r="P793" t="s" s="80">
        <v>783</v>
      </c>
      <c r="Q793" s="100"/>
      <c r="R793" t="s" s="137">
        <v>743</v>
      </c>
      <c r="S793" s="77"/>
    </row>
    <row r="794" ht="13.65" customHeight="1">
      <c r="A794" s="84">
        <v>45870</v>
      </c>
      <c r="B794" t="s" s="85">
        <v>51</v>
      </c>
      <c r="C794" t="s" s="86">
        <v>813</v>
      </c>
      <c r="D794" s="138">
        <v>65</v>
      </c>
      <c r="E794" t="s" s="85">
        <v>753</v>
      </c>
      <c r="F794" t="s" s="86">
        <v>209</v>
      </c>
      <c r="G794" s="139">
        <v>64</v>
      </c>
      <c r="H794" t="s" s="140">
        <v>113</v>
      </c>
      <c r="I794" t="s" s="141">
        <v>113</v>
      </c>
      <c r="J794" t="s" s="141">
        <v>97</v>
      </c>
      <c r="K794" t="str" s="142" cm="1">
        <f t="array" ref="K794">IF(OR(H794="ריביות",AND(H794="דירה כצנלסון",G794&lt;0,ISNUMBER(SEARCH("הכנסה",F794)))),"הכנסה שסווגה מחדש",J794)</f>
        <v>שוטף</v>
      </c>
      <c r="L794" t="s" s="141">
        <v>741</v>
      </c>
      <c r="M794" s="143" cm="1">
        <f t="array" ref="M794">IF(L794="מאושר",IF(K794="הכנסה שסווגה מחדש",0,G794),0)</f>
        <v>64</v>
      </c>
      <c r="N794" s="143" cm="1">
        <f t="array" ref="N794">IF(K794="שוטף",M794,0)</f>
        <v>64</v>
      </c>
      <c r="O794" s="143" cm="1">
        <f t="array" ref="O794">IF(K794="הכנסה שסווגה מחדש",-G794,0)</f>
        <v>0</v>
      </c>
      <c r="P794" t="s" s="86">
        <v>783</v>
      </c>
      <c r="Q794" s="99"/>
      <c r="R794" t="s" s="144">
        <v>743</v>
      </c>
      <c r="S794" s="77"/>
    </row>
    <row r="795" ht="13.65" customHeight="1">
      <c r="A795" s="78">
        <v>45870</v>
      </c>
      <c r="B795" t="s" s="79">
        <v>51</v>
      </c>
      <c r="C795" t="s" s="80">
        <v>813</v>
      </c>
      <c r="D795" s="131">
        <v>66</v>
      </c>
      <c r="E795" t="s" s="79">
        <v>771</v>
      </c>
      <c r="F795" t="s" s="80">
        <v>209</v>
      </c>
      <c r="G795" s="132">
        <v>103</v>
      </c>
      <c r="H795" t="s" s="133">
        <v>113</v>
      </c>
      <c r="I795" t="s" s="134">
        <v>113</v>
      </c>
      <c r="J795" t="s" s="134">
        <v>97</v>
      </c>
      <c r="K795" t="str" s="135" cm="1">
        <f t="array" ref="K795">IF(OR(H795="ריביות",AND(H795="דירה כצנלסון",G795&lt;0,ISNUMBER(SEARCH("הכנסה",F795)))),"הכנסה שסווגה מחדש",J795)</f>
        <v>שוטף</v>
      </c>
      <c r="L795" t="s" s="134">
        <v>741</v>
      </c>
      <c r="M795" s="136" cm="1">
        <f t="array" ref="M795">IF(L795="מאושר",IF(K795="הכנסה שסווגה מחדש",0,G795),0)</f>
        <v>103</v>
      </c>
      <c r="N795" s="136" cm="1">
        <f t="array" ref="N795">IF(K795="שוטף",M795,0)</f>
        <v>103</v>
      </c>
      <c r="O795" s="136" cm="1">
        <f t="array" ref="O795">IF(K795="הכנסה שסווגה מחדש",-G795,0)</f>
        <v>0</v>
      </c>
      <c r="P795" t="s" s="80">
        <v>783</v>
      </c>
      <c r="Q795" s="100"/>
      <c r="R795" t="s" s="137">
        <v>743</v>
      </c>
      <c r="S795" s="77"/>
    </row>
    <row r="796" ht="13.65" customHeight="1">
      <c r="A796" s="84">
        <v>45870</v>
      </c>
      <c r="B796" t="s" s="85">
        <v>51</v>
      </c>
      <c r="C796" t="s" s="86">
        <v>813</v>
      </c>
      <c r="D796" s="138">
        <v>67</v>
      </c>
      <c r="E796" t="s" s="85">
        <v>773</v>
      </c>
      <c r="F796" t="s" s="86">
        <v>518</v>
      </c>
      <c r="G796" s="139">
        <v>105</v>
      </c>
      <c r="H796" t="s" s="140">
        <v>113</v>
      </c>
      <c r="I796" t="s" s="141">
        <v>113</v>
      </c>
      <c r="J796" t="s" s="141">
        <v>97</v>
      </c>
      <c r="K796" t="str" s="142" cm="1">
        <f t="array" ref="K796">IF(OR(H796="ריביות",AND(H796="דירה כצנלסון",G796&lt;0,ISNUMBER(SEARCH("הכנסה",F796)))),"הכנסה שסווגה מחדש",J796)</f>
        <v>שוטף</v>
      </c>
      <c r="L796" t="s" s="141">
        <v>741</v>
      </c>
      <c r="M796" s="143" cm="1">
        <f t="array" ref="M796">IF(L796="מאושר",IF(K796="הכנסה שסווגה מחדש",0,G796),0)</f>
        <v>105</v>
      </c>
      <c r="N796" s="143" cm="1">
        <f t="array" ref="N796">IF(K796="שוטף",M796,0)</f>
        <v>105</v>
      </c>
      <c r="O796" s="143" cm="1">
        <f t="array" ref="O796">IF(K796="הכנסה שסווגה מחדש",-G796,0)</f>
        <v>0</v>
      </c>
      <c r="P796" t="s" s="86">
        <v>783</v>
      </c>
      <c r="Q796" s="99"/>
      <c r="R796" t="s" s="144">
        <v>743</v>
      </c>
      <c r="S796" s="77"/>
    </row>
    <row r="797" ht="13.65" customHeight="1">
      <c r="A797" s="78">
        <v>45870</v>
      </c>
      <c r="B797" t="s" s="79">
        <v>51</v>
      </c>
      <c r="C797" t="s" s="80">
        <v>813</v>
      </c>
      <c r="D797" s="131">
        <v>68</v>
      </c>
      <c r="E797" t="s" s="79">
        <v>768</v>
      </c>
      <c r="F797" t="s" s="80">
        <v>344</v>
      </c>
      <c r="G797" s="132">
        <v>113</v>
      </c>
      <c r="H797" t="s" s="133">
        <v>113</v>
      </c>
      <c r="I797" t="s" s="134">
        <v>113</v>
      </c>
      <c r="J797" t="s" s="134">
        <v>97</v>
      </c>
      <c r="K797" t="str" s="135" cm="1">
        <f t="array" ref="K797">IF(OR(H797="ריביות",AND(H797="דירה כצנלסון",G797&lt;0,ISNUMBER(SEARCH("הכנסה",F797)))),"הכנסה שסווגה מחדש",J797)</f>
        <v>שוטף</v>
      </c>
      <c r="L797" t="s" s="134">
        <v>741</v>
      </c>
      <c r="M797" s="136" cm="1">
        <f t="array" ref="M797">IF(L797="מאושר",IF(K797="הכנסה שסווגה מחדש",0,G797),0)</f>
        <v>113</v>
      </c>
      <c r="N797" s="136" cm="1">
        <f t="array" ref="N797">IF(K797="שוטף",M797,0)</f>
        <v>113</v>
      </c>
      <c r="O797" s="136" cm="1">
        <f t="array" ref="O797">IF(K797="הכנסה שסווגה מחדש",-G797,0)</f>
        <v>0</v>
      </c>
      <c r="P797" t="s" s="80">
        <v>783</v>
      </c>
      <c r="Q797" s="100"/>
      <c r="R797" t="s" s="137">
        <v>743</v>
      </c>
      <c r="S797" s="77"/>
    </row>
    <row r="798" ht="13.65" customHeight="1">
      <c r="A798" s="84">
        <v>45870</v>
      </c>
      <c r="B798" t="s" s="85">
        <v>51</v>
      </c>
      <c r="C798" t="s" s="86">
        <v>813</v>
      </c>
      <c r="D798" s="138">
        <v>69</v>
      </c>
      <c r="E798" t="s" s="85">
        <v>34</v>
      </c>
      <c r="F798" t="s" s="86">
        <v>391</v>
      </c>
      <c r="G798" s="139">
        <v>3</v>
      </c>
      <c r="H798" t="s" s="140">
        <v>115</v>
      </c>
      <c r="I798" t="s" s="141">
        <v>115</v>
      </c>
      <c r="J798" t="s" s="141">
        <v>97</v>
      </c>
      <c r="K798" t="str" s="142" cm="1">
        <f t="array" ref="K798">IF(OR(H798="ריביות",AND(H798="דירה כצנלסון",G798&lt;0,ISNUMBER(SEARCH("הכנסה",F798)))),"הכנסה שסווגה מחדש",J798)</f>
        <v>שוטף</v>
      </c>
      <c r="L798" t="s" s="141">
        <v>741</v>
      </c>
      <c r="M798" s="143" cm="1">
        <f t="array" ref="M798">IF(L798="מאושר",IF(K798="הכנסה שסווגה מחדש",0,G798),0)</f>
        <v>3</v>
      </c>
      <c r="N798" s="143" cm="1">
        <f t="array" ref="N798">IF(K798="שוטף",M798,0)</f>
        <v>3</v>
      </c>
      <c r="O798" s="143" cm="1">
        <f t="array" ref="O798">IF(K798="הכנסה שסווגה מחדש",-G798,0)</f>
        <v>0</v>
      </c>
      <c r="P798" t="s" s="86">
        <v>782</v>
      </c>
      <c r="Q798" s="99"/>
      <c r="R798" t="s" s="144">
        <v>743</v>
      </c>
      <c r="S798" s="77"/>
    </row>
    <row r="799" ht="13.65" customHeight="1">
      <c r="A799" s="78">
        <v>45870</v>
      </c>
      <c r="B799" t="s" s="79">
        <v>51</v>
      </c>
      <c r="C799" t="s" s="80">
        <v>813</v>
      </c>
      <c r="D799" s="131">
        <v>70</v>
      </c>
      <c r="E799" t="s" s="79">
        <v>38</v>
      </c>
      <c r="F799" t="s" s="80">
        <v>388</v>
      </c>
      <c r="G799" s="132">
        <v>343</v>
      </c>
      <c r="H799" t="s" s="133">
        <v>210</v>
      </c>
      <c r="I799" t="s" s="134">
        <v>102</v>
      </c>
      <c r="J799" t="s" s="134">
        <v>103</v>
      </c>
      <c r="K799" t="str" s="135" cm="1">
        <f t="array" ref="K799">IF(OR(H799="ריביות",AND(H799="דירה כצנלסון",G799&lt;0,ISNUMBER(SEARCH("הכנסה",F799)))),"הכנסה שסווגה מחדש",J799)</f>
        <v>חריג</v>
      </c>
      <c r="L799" t="s" s="134">
        <v>741</v>
      </c>
      <c r="M799" s="136" cm="1">
        <f t="array" ref="M799">IF(L799="מאושר",IF(K799="הכנסה שסווגה מחדש",0,G799),0)</f>
        <v>343</v>
      </c>
      <c r="N799" s="136" cm="1">
        <f t="array" ref="N799">IF(K799="שוטף",M799,0)</f>
        <v>0</v>
      </c>
      <c r="O799" s="136" cm="1">
        <f t="array" ref="O799">IF(K799="הכנסה שסווגה מחדש",-G799,0)</f>
        <v>0</v>
      </c>
      <c r="P799" t="s" s="80">
        <v>780</v>
      </c>
      <c r="Q799" s="100"/>
      <c r="R799" t="s" s="137">
        <v>743</v>
      </c>
      <c r="S799" s="77"/>
    </row>
    <row r="800" ht="13.65" customHeight="1">
      <c r="A800" s="84">
        <v>45870</v>
      </c>
      <c r="B800" t="s" s="85">
        <v>51</v>
      </c>
      <c r="C800" t="s" s="86">
        <v>813</v>
      </c>
      <c r="D800" s="138">
        <v>71</v>
      </c>
      <c r="E800" t="s" s="85">
        <v>815</v>
      </c>
      <c r="F800" t="s" s="86">
        <v>223</v>
      </c>
      <c r="G800" s="139">
        <v>104</v>
      </c>
      <c r="H800" t="s" s="140">
        <v>109</v>
      </c>
      <c r="I800" t="s" s="141">
        <v>109</v>
      </c>
      <c r="J800" t="s" s="141">
        <v>97</v>
      </c>
      <c r="K800" t="str" s="142" cm="1">
        <f t="array" ref="K800">IF(OR(H800="ריביות",AND(H800="דירה כצנלסון",G800&lt;0,ISNUMBER(SEARCH("הכנסה",F800)))),"הכנסה שסווגה מחדש",J800)</f>
        <v>שוטף</v>
      </c>
      <c r="L800" t="s" s="141">
        <v>741</v>
      </c>
      <c r="M800" s="143" cm="1">
        <f t="array" ref="M800">IF(L800="מאושר",IF(K800="הכנסה שסווגה מחדש",0,G800),0)</f>
        <v>104</v>
      </c>
      <c r="N800" s="143" cm="1">
        <f t="array" ref="N800">IF(K800="שוטף",M800,0)</f>
        <v>104</v>
      </c>
      <c r="O800" s="143" cm="1">
        <f t="array" ref="O800">IF(K800="הכנסה שסווגה מחדש",-G800,0)</f>
        <v>0</v>
      </c>
      <c r="P800" t="s" s="86">
        <v>762</v>
      </c>
      <c r="Q800" s="99"/>
      <c r="R800" t="s" s="144">
        <v>743</v>
      </c>
      <c r="S800" s="77"/>
    </row>
    <row r="801" ht="13.65" customHeight="1">
      <c r="A801" s="78">
        <v>45870</v>
      </c>
      <c r="B801" t="s" s="79">
        <v>51</v>
      </c>
      <c r="C801" t="s" s="80">
        <v>813</v>
      </c>
      <c r="D801" s="131">
        <v>72</v>
      </c>
      <c r="E801" t="s" s="79">
        <v>816</v>
      </c>
      <c r="F801" t="s" s="80">
        <v>286</v>
      </c>
      <c r="G801" s="132">
        <v>1205</v>
      </c>
      <c r="H801" t="s" s="133">
        <v>210</v>
      </c>
      <c r="I801" t="s" s="134">
        <v>102</v>
      </c>
      <c r="J801" t="s" s="134">
        <v>103</v>
      </c>
      <c r="K801" t="str" s="135" cm="1">
        <f t="array" ref="K801">IF(OR(H801="ריביות",AND(H801="דירה כצנלסון",G801&lt;0,ISNUMBER(SEARCH("הכנסה",F801)))),"הכנסה שסווגה מחדש",J801)</f>
        <v>חריג</v>
      </c>
      <c r="L801" t="s" s="134">
        <v>741</v>
      </c>
      <c r="M801" s="136" cm="1">
        <f t="array" ref="M801">IF(L801="מאושר",IF(K801="הכנסה שסווגה מחדש",0,G801),0)</f>
        <v>1205</v>
      </c>
      <c r="N801" s="136" cm="1">
        <f t="array" ref="N801">IF(K801="שוטף",M801,0)</f>
        <v>0</v>
      </c>
      <c r="O801" s="136" cm="1">
        <f t="array" ref="O801">IF(K801="הכנסה שסווגה מחדש",-G801,0)</f>
        <v>0</v>
      </c>
      <c r="P801" t="s" s="80">
        <v>762</v>
      </c>
      <c r="Q801" s="100"/>
      <c r="R801" t="s" s="137">
        <v>743</v>
      </c>
      <c r="S801" s="77"/>
    </row>
    <row r="802" ht="13.65" customHeight="1">
      <c r="A802" s="84">
        <v>45870</v>
      </c>
      <c r="B802" t="s" s="85">
        <v>51</v>
      </c>
      <c r="C802" t="s" s="86">
        <v>813</v>
      </c>
      <c r="D802" s="138">
        <v>73</v>
      </c>
      <c r="E802" t="s" s="85">
        <v>817</v>
      </c>
      <c r="F802" t="s" s="86">
        <v>206</v>
      </c>
      <c r="G802" s="139">
        <v>1286</v>
      </c>
      <c r="H802" t="s" s="140">
        <v>210</v>
      </c>
      <c r="I802" t="s" s="141">
        <v>102</v>
      </c>
      <c r="J802" t="s" s="141">
        <v>103</v>
      </c>
      <c r="K802" t="str" s="142" cm="1">
        <f t="array" ref="K802">IF(OR(H802="ריביות",AND(H802="דירה כצנלסון",G802&lt;0,ISNUMBER(SEARCH("הכנסה",F802)))),"הכנסה שסווגה מחדש",J802)</f>
        <v>חריג</v>
      </c>
      <c r="L802" t="s" s="141">
        <v>741</v>
      </c>
      <c r="M802" s="143" cm="1">
        <f t="array" ref="M802">IF(L802="מאושר",IF(K802="הכנסה שסווגה מחדש",0,G802),0)</f>
        <v>1286</v>
      </c>
      <c r="N802" s="143" cm="1">
        <f t="array" ref="N802">IF(K802="שוטף",M802,0)</f>
        <v>0</v>
      </c>
      <c r="O802" s="143" cm="1">
        <f t="array" ref="O802">IF(K802="הכנסה שסווגה מחדש",-G802,0)</f>
        <v>0</v>
      </c>
      <c r="P802" t="s" s="86">
        <v>762</v>
      </c>
      <c r="Q802" s="99"/>
      <c r="R802" t="s" s="144">
        <v>743</v>
      </c>
      <c r="S802" s="77"/>
    </row>
    <row r="803" ht="13.65" customHeight="1">
      <c r="A803" s="78">
        <v>45870</v>
      </c>
      <c r="B803" t="s" s="79">
        <v>51</v>
      </c>
      <c r="C803" t="s" s="80">
        <v>813</v>
      </c>
      <c r="D803" s="131">
        <v>74</v>
      </c>
      <c r="E803" t="s" s="79">
        <v>30</v>
      </c>
      <c r="F803" t="s" s="80">
        <v>213</v>
      </c>
      <c r="G803" s="132">
        <v>183</v>
      </c>
      <c r="H803" t="s" s="133">
        <v>115</v>
      </c>
      <c r="I803" t="s" s="134">
        <v>115</v>
      </c>
      <c r="J803" t="s" s="134">
        <v>97</v>
      </c>
      <c r="K803" t="str" s="135" cm="1">
        <f t="array" ref="K803">IF(OR(H803="ריביות",AND(H803="דירה כצנלסון",G803&lt;0,ISNUMBER(SEARCH("הכנסה",F803)))),"הכנסה שסווגה מחדש",J803)</f>
        <v>שוטף</v>
      </c>
      <c r="L803" t="s" s="134">
        <v>741</v>
      </c>
      <c r="M803" s="136" cm="1">
        <f t="array" ref="M803">IF(L803="מאושר",IF(K803="הכנסה שסווגה מחדש",0,G803),0)</f>
        <v>183</v>
      </c>
      <c r="N803" s="136" cm="1">
        <f t="array" ref="N803">IF(K803="שוטף",M803,0)</f>
        <v>183</v>
      </c>
      <c r="O803" s="136" cm="1">
        <f t="array" ref="O803">IF(K803="הכנסה שסווגה מחדש",-G803,0)</f>
        <v>0</v>
      </c>
      <c r="P803" t="s" s="80">
        <v>762</v>
      </c>
      <c r="Q803" s="100"/>
      <c r="R803" t="s" s="137">
        <v>743</v>
      </c>
      <c r="S803" s="77"/>
    </row>
    <row r="804" ht="13.65" customHeight="1">
      <c r="A804" s="84">
        <v>45870</v>
      </c>
      <c r="B804" t="s" s="85">
        <v>51</v>
      </c>
      <c r="C804" t="s" s="86">
        <v>813</v>
      </c>
      <c r="D804" s="138">
        <v>75</v>
      </c>
      <c r="E804" t="s" s="85">
        <v>30</v>
      </c>
      <c r="F804" t="s" s="86">
        <v>199</v>
      </c>
      <c r="G804" s="139">
        <v>2250</v>
      </c>
      <c r="H804" t="s" s="140">
        <v>767</v>
      </c>
      <c r="I804" t="s" s="141">
        <v>107</v>
      </c>
      <c r="J804" t="s" s="141">
        <v>97</v>
      </c>
      <c r="K804" t="str" s="142" cm="1">
        <f t="array" ref="K804">IF(OR(H804="ריביות",AND(H804="דירה כצנלסון",G804&lt;0,ISNUMBER(SEARCH("הכנסה",F804)))),"הכנסה שסווגה מחדש",J804)</f>
        <v>שוטף</v>
      </c>
      <c r="L804" t="s" s="141">
        <v>741</v>
      </c>
      <c r="M804" s="143" cm="1">
        <f t="array" ref="M804">IF(L804="מאושר",IF(K804="הכנסה שסווגה מחדש",0,G804),0)</f>
        <v>2250</v>
      </c>
      <c r="N804" s="143" cm="1">
        <f t="array" ref="N804">IF(K804="שוטף",M804,0)</f>
        <v>2250</v>
      </c>
      <c r="O804" s="143" cm="1">
        <f t="array" ref="O804">IF(K804="הכנסה שסווגה מחדש",-G804,0)</f>
        <v>0</v>
      </c>
      <c r="P804" t="s" s="86">
        <v>762</v>
      </c>
      <c r="Q804" s="99"/>
      <c r="R804" t="s" s="144">
        <v>743</v>
      </c>
      <c r="S804" s="77"/>
    </row>
    <row r="805" ht="13.65" customHeight="1">
      <c r="A805" s="78">
        <v>45870</v>
      </c>
      <c r="B805" t="s" s="79">
        <v>51</v>
      </c>
      <c r="C805" t="s" s="80">
        <v>813</v>
      </c>
      <c r="D805" s="131">
        <v>76</v>
      </c>
      <c r="E805" t="s" s="79">
        <v>34</v>
      </c>
      <c r="F805" t="s" s="80">
        <v>474</v>
      </c>
      <c r="G805" s="132">
        <v>157</v>
      </c>
      <c r="H805" t="s" s="133">
        <v>210</v>
      </c>
      <c r="I805" t="s" s="134">
        <v>102</v>
      </c>
      <c r="J805" t="s" s="134">
        <v>103</v>
      </c>
      <c r="K805" t="str" s="135" cm="1">
        <f t="array" ref="K805">IF(OR(H805="ריביות",AND(H805="דירה כצנלסון",G805&lt;0,ISNUMBER(SEARCH("הכנסה",F805)))),"הכנסה שסווגה מחדש",J805)</f>
        <v>חריג</v>
      </c>
      <c r="L805" t="s" s="134">
        <v>741</v>
      </c>
      <c r="M805" s="136" cm="1">
        <f t="array" ref="M805">IF(L805="מאושר",IF(K805="הכנסה שסווגה מחדש",0,G805),0)</f>
        <v>157</v>
      </c>
      <c r="N805" s="136" cm="1">
        <f t="array" ref="N805">IF(K805="שוטף",M805,0)</f>
        <v>0</v>
      </c>
      <c r="O805" s="136" cm="1">
        <f t="array" ref="O805">IF(K805="הכנסה שסווגה מחדש",-G805,0)</f>
        <v>0</v>
      </c>
      <c r="P805" t="s" s="80">
        <v>762</v>
      </c>
      <c r="Q805" s="100"/>
      <c r="R805" t="s" s="137">
        <v>743</v>
      </c>
      <c r="S805" s="77"/>
    </row>
    <row r="806" ht="13.65" customHeight="1">
      <c r="A806" s="84">
        <v>45870</v>
      </c>
      <c r="B806" t="s" s="85">
        <v>51</v>
      </c>
      <c r="C806" t="s" s="86">
        <v>813</v>
      </c>
      <c r="D806" s="138">
        <v>77</v>
      </c>
      <c r="E806" t="s" s="85">
        <v>42</v>
      </c>
      <c r="F806" t="s" s="86">
        <v>245</v>
      </c>
      <c r="G806" s="139">
        <v>55</v>
      </c>
      <c r="H806" t="s" s="140">
        <v>767</v>
      </c>
      <c r="I806" t="s" s="141">
        <v>107</v>
      </c>
      <c r="J806" t="s" s="141">
        <v>97</v>
      </c>
      <c r="K806" t="str" s="142" cm="1">
        <f t="array" ref="K806">IF(OR(H806="ריביות",AND(H806="דירה כצנלסון",G806&lt;0,ISNUMBER(SEARCH("הכנסה",F806)))),"הכנסה שסווגה מחדש",J806)</f>
        <v>שוטף</v>
      </c>
      <c r="L806" t="s" s="141">
        <v>741</v>
      </c>
      <c r="M806" s="143" cm="1">
        <f t="array" ref="M806">IF(L806="מאושר",IF(K806="הכנסה שסווגה מחדש",0,G806),0)</f>
        <v>55</v>
      </c>
      <c r="N806" s="143" cm="1">
        <f t="array" ref="N806">IF(K806="שוטף",M806,0)</f>
        <v>55</v>
      </c>
      <c r="O806" s="143" cm="1">
        <f t="array" ref="O806">IF(K806="הכנסה שסווגה מחדש",-G806,0)</f>
        <v>0</v>
      </c>
      <c r="P806" t="s" s="86">
        <v>762</v>
      </c>
      <c r="Q806" s="99"/>
      <c r="R806" t="s" s="144">
        <v>743</v>
      </c>
      <c r="S806" s="77"/>
    </row>
    <row r="807" ht="13.65" customHeight="1">
      <c r="A807" s="78">
        <v>45870</v>
      </c>
      <c r="B807" t="s" s="79">
        <v>51</v>
      </c>
      <c r="C807" t="s" s="80">
        <v>813</v>
      </c>
      <c r="D807" s="131">
        <v>78</v>
      </c>
      <c r="E807" t="s" s="79">
        <v>42</v>
      </c>
      <c r="F807" t="s" s="80">
        <v>368</v>
      </c>
      <c r="G807" s="132">
        <v>80</v>
      </c>
      <c r="H807" t="s" s="133">
        <v>121</v>
      </c>
      <c r="I807" t="s" s="134">
        <v>121</v>
      </c>
      <c r="J807" t="s" s="134">
        <v>97</v>
      </c>
      <c r="K807" t="str" s="135" cm="1">
        <f t="array" ref="K807">IF(OR(H807="ריביות",AND(H807="דירה כצנלסון",G807&lt;0,ISNUMBER(SEARCH("הכנסה",F807)))),"הכנסה שסווגה מחדש",J807)</f>
        <v>שוטף</v>
      </c>
      <c r="L807" t="s" s="134">
        <v>741</v>
      </c>
      <c r="M807" s="136" cm="1">
        <f t="array" ref="M807">IF(L807="מאושר",IF(K807="הכנסה שסווגה מחדש",0,G807),0)</f>
        <v>80</v>
      </c>
      <c r="N807" s="136" cm="1">
        <f t="array" ref="N807">IF(K807="שוטף",M807,0)</f>
        <v>80</v>
      </c>
      <c r="O807" s="136" cm="1">
        <f t="array" ref="O807">IF(K807="הכנסה שסווגה מחדש",-G807,0)</f>
        <v>0</v>
      </c>
      <c r="P807" t="s" s="80">
        <v>762</v>
      </c>
      <c r="Q807" s="100"/>
      <c r="R807" t="s" s="137">
        <v>743</v>
      </c>
      <c r="S807" s="77"/>
    </row>
    <row r="808" ht="13.65" customHeight="1">
      <c r="A808" s="84">
        <v>45870</v>
      </c>
      <c r="B808" t="s" s="85">
        <v>51</v>
      </c>
      <c r="C808" t="s" s="86">
        <v>813</v>
      </c>
      <c r="D808" s="138">
        <v>79</v>
      </c>
      <c r="E808" t="s" s="85">
        <v>46</v>
      </c>
      <c r="F808" t="s" s="86">
        <v>448</v>
      </c>
      <c r="G808" s="139">
        <v>110</v>
      </c>
      <c r="H808" t="s" s="140">
        <v>121</v>
      </c>
      <c r="I808" t="s" s="141">
        <v>121</v>
      </c>
      <c r="J808" t="s" s="141">
        <v>97</v>
      </c>
      <c r="K808" t="str" s="142" cm="1">
        <f t="array" ref="K808">IF(OR(H808="ריביות",AND(H808="דירה כצנלסון",G808&lt;0,ISNUMBER(SEARCH("הכנסה",F808)))),"הכנסה שסווגה מחדש",J808)</f>
        <v>שוטף</v>
      </c>
      <c r="L808" t="s" s="141">
        <v>741</v>
      </c>
      <c r="M808" s="143" cm="1">
        <f t="array" ref="M808">IF(L808="מאושר",IF(K808="הכנסה שסווגה מחדש",0,G808),0)</f>
        <v>110</v>
      </c>
      <c r="N808" s="143" cm="1">
        <f t="array" ref="N808">IF(K808="שוטף",M808,0)</f>
        <v>110</v>
      </c>
      <c r="O808" s="143" cm="1">
        <f t="array" ref="O808">IF(K808="הכנסה שסווגה מחדש",-G808,0)</f>
        <v>0</v>
      </c>
      <c r="P808" t="s" s="86">
        <v>762</v>
      </c>
      <c r="Q808" s="99"/>
      <c r="R808" t="s" s="144">
        <v>743</v>
      </c>
      <c r="S808" s="77"/>
    </row>
    <row r="809" ht="13.65" customHeight="1">
      <c r="A809" s="78">
        <v>45870</v>
      </c>
      <c r="B809" t="s" s="79">
        <v>51</v>
      </c>
      <c r="C809" t="s" s="80">
        <v>813</v>
      </c>
      <c r="D809" s="131">
        <v>80</v>
      </c>
      <c r="E809" t="s" s="79">
        <v>769</v>
      </c>
      <c r="F809" t="s" s="80">
        <v>281</v>
      </c>
      <c r="G809" s="132">
        <v>100</v>
      </c>
      <c r="H809" t="s" s="133">
        <v>125</v>
      </c>
      <c r="I809" t="s" s="134">
        <v>125</v>
      </c>
      <c r="J809" t="s" s="134">
        <v>97</v>
      </c>
      <c r="K809" t="str" s="135" cm="1">
        <f t="array" ref="K809">IF(OR(H809="ריביות",AND(H809="דירה כצנלסון",G809&lt;0,ISNUMBER(SEARCH("הכנסה",F809)))),"הכנסה שסווגה מחדש",J809)</f>
        <v>שוטף</v>
      </c>
      <c r="L809" t="s" s="134">
        <v>741</v>
      </c>
      <c r="M809" s="136" cm="1">
        <f t="array" ref="M809">IF(L809="מאושר",IF(K809="הכנסה שסווגה מחדש",0,G809),0)</f>
        <v>100</v>
      </c>
      <c r="N809" s="136" cm="1">
        <f t="array" ref="N809">IF(K809="שוטף",M809,0)</f>
        <v>100</v>
      </c>
      <c r="O809" s="136" cm="1">
        <f t="array" ref="O809">IF(K809="הכנסה שסווגה מחדש",-G809,0)</f>
        <v>0</v>
      </c>
      <c r="P809" t="s" s="80">
        <v>762</v>
      </c>
      <c r="Q809" s="100"/>
      <c r="R809" t="s" s="137">
        <v>743</v>
      </c>
      <c r="S809" s="77"/>
    </row>
    <row r="810" ht="13.65" customHeight="1">
      <c r="A810" s="84">
        <v>45870</v>
      </c>
      <c r="B810" t="s" s="85">
        <v>51</v>
      </c>
      <c r="C810" t="s" s="86">
        <v>813</v>
      </c>
      <c r="D810" s="138">
        <v>81</v>
      </c>
      <c r="E810" t="s" s="85">
        <v>749</v>
      </c>
      <c r="F810" t="s" s="86">
        <v>280</v>
      </c>
      <c r="G810" s="139">
        <v>1300</v>
      </c>
      <c r="H810" t="s" s="140">
        <v>279</v>
      </c>
      <c r="I810" t="s" s="141">
        <v>99</v>
      </c>
      <c r="J810" t="s" s="141">
        <v>100</v>
      </c>
      <c r="K810" t="str" s="142" cm="1">
        <f t="array" ref="K810">IF(OR(H810="ריביות",AND(H810="דירה כצנלסון",G810&lt;0,ISNUMBER(SEARCH("הכנסה",F810)))),"הכנסה שסווגה מחדש",J810)</f>
        <v>חריג/נכס</v>
      </c>
      <c r="L810" t="s" s="141">
        <v>741</v>
      </c>
      <c r="M810" s="143" cm="1">
        <f t="array" ref="M810">IF(L810="מאושר",IF(K810="הכנסה שסווגה מחדש",0,G810),0)</f>
        <v>1300</v>
      </c>
      <c r="N810" s="143" cm="1">
        <f t="array" ref="N810">IF(K810="שוטף",M810,0)</f>
        <v>0</v>
      </c>
      <c r="O810" s="143" cm="1">
        <f t="array" ref="O810">IF(K810="הכנסה שסווגה מחדש",-G810,0)</f>
        <v>0</v>
      </c>
      <c r="P810" t="s" s="86">
        <v>762</v>
      </c>
      <c r="Q810" s="99"/>
      <c r="R810" t="s" s="144">
        <v>743</v>
      </c>
      <c r="S810" s="77"/>
    </row>
    <row r="811" ht="13.65" customHeight="1">
      <c r="A811" s="78">
        <v>45870</v>
      </c>
      <c r="B811" t="s" s="79">
        <v>51</v>
      </c>
      <c r="C811" t="s" s="80">
        <v>813</v>
      </c>
      <c r="D811" s="131">
        <v>82</v>
      </c>
      <c r="E811" t="s" s="79">
        <v>789</v>
      </c>
      <c r="F811" t="s" s="80">
        <v>200</v>
      </c>
      <c r="G811" s="132">
        <v>64</v>
      </c>
      <c r="H811" t="s" s="133">
        <v>109</v>
      </c>
      <c r="I811" t="s" s="134">
        <v>109</v>
      </c>
      <c r="J811" t="s" s="134">
        <v>97</v>
      </c>
      <c r="K811" t="str" s="135" cm="1">
        <f t="array" ref="K811">IF(OR(H811="ריביות",AND(H811="דירה כצנלסון",G811&lt;0,ISNUMBER(SEARCH("הכנסה",F811)))),"הכנסה שסווגה מחדש",J811)</f>
        <v>שוטף</v>
      </c>
      <c r="L811" t="s" s="134">
        <v>741</v>
      </c>
      <c r="M811" s="136" cm="1">
        <f t="array" ref="M811">IF(L811="מאושר",IF(K811="הכנסה שסווגה מחדש",0,G811),0)</f>
        <v>64</v>
      </c>
      <c r="N811" s="136" cm="1">
        <f t="array" ref="N811">IF(K811="שוטף",M811,0)</f>
        <v>64</v>
      </c>
      <c r="O811" s="136" cm="1">
        <f t="array" ref="O811">IF(K811="הכנסה שסווגה מחדש",-G811,0)</f>
        <v>0</v>
      </c>
      <c r="P811" t="s" s="80">
        <v>762</v>
      </c>
      <c r="Q811" s="100"/>
      <c r="R811" t="s" s="137">
        <v>743</v>
      </c>
      <c r="S811" s="77"/>
    </row>
    <row r="812" ht="13.65" customHeight="1">
      <c r="A812" s="84">
        <v>45870</v>
      </c>
      <c r="B812" t="s" s="85">
        <v>51</v>
      </c>
      <c r="C812" t="s" s="86">
        <v>813</v>
      </c>
      <c r="D812" s="138">
        <v>83</v>
      </c>
      <c r="E812" t="s" s="85">
        <v>789</v>
      </c>
      <c r="F812" t="s" s="86">
        <v>689</v>
      </c>
      <c r="G812" s="139">
        <v>7</v>
      </c>
      <c r="H812" t="s" s="140">
        <v>113</v>
      </c>
      <c r="I812" t="s" s="141">
        <v>113</v>
      </c>
      <c r="J812" t="s" s="141">
        <v>97</v>
      </c>
      <c r="K812" t="str" s="142" cm="1">
        <f t="array" ref="K812">IF(OR(H812="ריביות",AND(H812="דירה כצנלסון",G812&lt;0,ISNUMBER(SEARCH("הכנסה",F812)))),"הכנסה שסווגה מחדש",J812)</f>
        <v>שוטף</v>
      </c>
      <c r="L812" t="s" s="141">
        <v>741</v>
      </c>
      <c r="M812" s="143" cm="1">
        <f t="array" ref="M812">IF(L812="מאושר",IF(K812="הכנסה שסווגה מחדש",0,G812),0)</f>
        <v>7</v>
      </c>
      <c r="N812" s="143" cm="1">
        <f t="array" ref="N812">IF(K812="שוטף",M812,0)</f>
        <v>7</v>
      </c>
      <c r="O812" s="143" cm="1">
        <f t="array" ref="O812">IF(K812="הכנסה שסווגה מחדש",-G812,0)</f>
        <v>0</v>
      </c>
      <c r="P812" t="s" s="86">
        <v>762</v>
      </c>
      <c r="Q812" s="99"/>
      <c r="R812" t="s" s="144">
        <v>743</v>
      </c>
      <c r="S812" s="77"/>
    </row>
    <row r="813" ht="13.65" customHeight="1">
      <c r="A813" s="78">
        <v>45870</v>
      </c>
      <c r="B813" t="s" s="79">
        <v>51</v>
      </c>
      <c r="C813" t="s" s="80">
        <v>813</v>
      </c>
      <c r="D813" s="131">
        <v>84</v>
      </c>
      <c r="E813" t="s" s="79">
        <v>789</v>
      </c>
      <c r="F813" t="s" s="80">
        <v>349</v>
      </c>
      <c r="G813" s="132">
        <v>113</v>
      </c>
      <c r="H813" t="s" s="133">
        <v>113</v>
      </c>
      <c r="I813" t="s" s="134">
        <v>113</v>
      </c>
      <c r="J813" t="s" s="134">
        <v>97</v>
      </c>
      <c r="K813" t="str" s="135" cm="1">
        <f t="array" ref="K813">IF(OR(H813="ריביות",AND(H813="דירה כצנלסון",G813&lt;0,ISNUMBER(SEARCH("הכנסה",F813)))),"הכנסה שסווגה מחדש",J813)</f>
        <v>שוטף</v>
      </c>
      <c r="L813" t="s" s="134">
        <v>741</v>
      </c>
      <c r="M813" s="136" cm="1">
        <f t="array" ref="M813">IF(L813="מאושר",IF(K813="הכנסה שסווגה מחדש",0,G813),0)</f>
        <v>113</v>
      </c>
      <c r="N813" s="136" cm="1">
        <f t="array" ref="N813">IF(K813="שוטף",M813,0)</f>
        <v>113</v>
      </c>
      <c r="O813" s="136" cm="1">
        <f t="array" ref="O813">IF(K813="הכנסה שסווגה מחדש",-G813,0)</f>
        <v>0</v>
      </c>
      <c r="P813" t="s" s="80">
        <v>762</v>
      </c>
      <c r="Q813" s="100"/>
      <c r="R813" t="s" s="137">
        <v>743</v>
      </c>
      <c r="S813" s="77"/>
    </row>
    <row r="814" ht="13.65" customHeight="1">
      <c r="A814" s="84">
        <v>45870</v>
      </c>
      <c r="B814" t="s" s="85">
        <v>51</v>
      </c>
      <c r="C814" t="s" s="86">
        <v>813</v>
      </c>
      <c r="D814" s="138">
        <v>85</v>
      </c>
      <c r="E814" t="s" s="85">
        <v>789</v>
      </c>
      <c r="F814" t="s" s="86">
        <v>331</v>
      </c>
      <c r="G814" s="139">
        <v>482</v>
      </c>
      <c r="H814" t="s" s="140">
        <v>109</v>
      </c>
      <c r="I814" t="s" s="141">
        <v>109</v>
      </c>
      <c r="J814" t="s" s="141">
        <v>97</v>
      </c>
      <c r="K814" t="str" s="142" cm="1">
        <f t="array" ref="K814">IF(OR(H814="ריביות",AND(H814="דירה כצנלסון",G814&lt;0,ISNUMBER(SEARCH("הכנסה",F814)))),"הכנסה שסווגה מחדש",J814)</f>
        <v>שוטף</v>
      </c>
      <c r="L814" t="s" s="141">
        <v>741</v>
      </c>
      <c r="M814" s="143" cm="1">
        <f t="array" ref="M814">IF(L814="מאושר",IF(K814="הכנסה שסווגה מחדש",0,G814),0)</f>
        <v>482</v>
      </c>
      <c r="N814" s="143" cm="1">
        <f t="array" ref="N814">IF(K814="שוטף",M814,0)</f>
        <v>482</v>
      </c>
      <c r="O814" s="143" cm="1">
        <f t="array" ref="O814">IF(K814="הכנסה שסווגה מחדש",-G814,0)</f>
        <v>0</v>
      </c>
      <c r="P814" t="s" s="86">
        <v>762</v>
      </c>
      <c r="Q814" s="99"/>
      <c r="R814" t="s" s="144">
        <v>743</v>
      </c>
      <c r="S814" s="77"/>
    </row>
    <row r="815" ht="13.65" customHeight="1">
      <c r="A815" s="78">
        <v>45870</v>
      </c>
      <c r="B815" t="s" s="79">
        <v>51</v>
      </c>
      <c r="C815" t="s" s="80">
        <v>813</v>
      </c>
      <c r="D815" s="131">
        <v>86</v>
      </c>
      <c r="E815" t="s" s="79">
        <v>751</v>
      </c>
      <c r="F815" t="s" s="80">
        <v>359</v>
      </c>
      <c r="G815" s="132">
        <v>466</v>
      </c>
      <c r="H815" t="s" s="133">
        <v>113</v>
      </c>
      <c r="I815" t="s" s="134">
        <v>113</v>
      </c>
      <c r="J815" t="s" s="134">
        <v>97</v>
      </c>
      <c r="K815" t="str" s="135" cm="1">
        <f t="array" ref="K815">IF(OR(H815="ריביות",AND(H815="דירה כצנלסון",G815&lt;0,ISNUMBER(SEARCH("הכנסה",F815)))),"הכנסה שסווגה מחדש",J815)</f>
        <v>שוטף</v>
      </c>
      <c r="L815" t="s" s="134">
        <v>741</v>
      </c>
      <c r="M815" s="136" cm="1">
        <f t="array" ref="M815">IF(L815="מאושר",IF(K815="הכנסה שסווגה מחדש",0,G815),0)</f>
        <v>466</v>
      </c>
      <c r="N815" s="136" cm="1">
        <f t="array" ref="N815">IF(K815="שוטף",M815,0)</f>
        <v>466</v>
      </c>
      <c r="O815" s="136" cm="1">
        <f t="array" ref="O815">IF(K815="הכנסה שסווגה מחדש",-G815,0)</f>
        <v>0</v>
      </c>
      <c r="P815" t="s" s="80">
        <v>762</v>
      </c>
      <c r="Q815" s="100"/>
      <c r="R815" t="s" s="137">
        <v>743</v>
      </c>
      <c r="S815" s="77"/>
    </row>
    <row r="816" ht="13.65" customHeight="1">
      <c r="A816" s="84">
        <v>45870</v>
      </c>
      <c r="B816" t="s" s="85">
        <v>51</v>
      </c>
      <c r="C816" t="s" s="86">
        <v>813</v>
      </c>
      <c r="D816" s="138">
        <v>87</v>
      </c>
      <c r="E816" t="s" s="85">
        <v>751</v>
      </c>
      <c r="F816" t="s" s="86">
        <v>314</v>
      </c>
      <c r="G816" s="139">
        <v>104</v>
      </c>
      <c r="H816" t="s" s="140">
        <v>125</v>
      </c>
      <c r="I816" t="s" s="141">
        <v>125</v>
      </c>
      <c r="J816" t="s" s="141">
        <v>97</v>
      </c>
      <c r="K816" t="str" s="142" cm="1">
        <f t="array" ref="K816">IF(OR(H816="ריביות",AND(H816="דירה כצנלסון",G816&lt;0,ISNUMBER(SEARCH("הכנסה",F816)))),"הכנסה שסווגה מחדש",J816)</f>
        <v>שוטף</v>
      </c>
      <c r="L816" t="s" s="141">
        <v>741</v>
      </c>
      <c r="M816" s="143" cm="1">
        <f t="array" ref="M816">IF(L816="מאושר",IF(K816="הכנסה שסווגה מחדש",0,G816),0)</f>
        <v>104</v>
      </c>
      <c r="N816" s="143" cm="1">
        <f t="array" ref="N816">IF(K816="שוטף",M816,0)</f>
        <v>104</v>
      </c>
      <c r="O816" s="143" cm="1">
        <f t="array" ref="O816">IF(K816="הכנסה שסווגה מחדש",-G816,0)</f>
        <v>0</v>
      </c>
      <c r="P816" t="s" s="86">
        <v>762</v>
      </c>
      <c r="Q816" s="99"/>
      <c r="R816" t="s" s="144">
        <v>743</v>
      </c>
      <c r="S816" s="77"/>
    </row>
    <row r="817" ht="13.65" customHeight="1">
      <c r="A817" s="78">
        <v>45870</v>
      </c>
      <c r="B817" t="s" s="79">
        <v>51</v>
      </c>
      <c r="C817" t="s" s="80">
        <v>813</v>
      </c>
      <c r="D817" s="131">
        <v>88</v>
      </c>
      <c r="E817" t="s" s="79">
        <v>739</v>
      </c>
      <c r="F817" t="s" s="80">
        <v>478</v>
      </c>
      <c r="G817" s="132">
        <v>150</v>
      </c>
      <c r="H817" t="s" s="133">
        <v>117</v>
      </c>
      <c r="I817" t="s" s="134">
        <v>117</v>
      </c>
      <c r="J817" t="s" s="134">
        <v>97</v>
      </c>
      <c r="K817" t="str" s="135" cm="1">
        <f t="array" ref="K817">IF(OR(H817="ריביות",AND(H817="דירה כצנלסון",G817&lt;0,ISNUMBER(SEARCH("הכנסה",F817)))),"הכנסה שסווגה מחדש",J817)</f>
        <v>שוטף</v>
      </c>
      <c r="L817" t="s" s="134">
        <v>741</v>
      </c>
      <c r="M817" s="136" cm="1">
        <f t="array" ref="M817">IF(L817="מאושר",IF(K817="הכנסה שסווגה מחדש",0,G817),0)</f>
        <v>150</v>
      </c>
      <c r="N817" s="136" cm="1">
        <f t="array" ref="N817">IF(K817="שוטף",M817,0)</f>
        <v>150</v>
      </c>
      <c r="O817" s="136" cm="1">
        <f t="array" ref="O817">IF(K817="הכנסה שסווגה מחדש",-G817,0)</f>
        <v>0</v>
      </c>
      <c r="P817" t="s" s="80">
        <v>762</v>
      </c>
      <c r="Q817" s="100"/>
      <c r="R817" t="s" s="137">
        <v>743</v>
      </c>
      <c r="S817" s="77"/>
    </row>
    <row r="818" ht="13.65" customHeight="1">
      <c r="A818" s="84">
        <v>45870</v>
      </c>
      <c r="B818" t="s" s="85">
        <v>51</v>
      </c>
      <c r="C818" t="s" s="86">
        <v>813</v>
      </c>
      <c r="D818" s="138">
        <v>89</v>
      </c>
      <c r="E818" t="s" s="85">
        <v>771</v>
      </c>
      <c r="F818" t="s" s="86">
        <v>231</v>
      </c>
      <c r="G818" s="139">
        <v>93</v>
      </c>
      <c r="H818" t="s" s="140">
        <v>113</v>
      </c>
      <c r="I818" t="s" s="141">
        <v>113</v>
      </c>
      <c r="J818" t="s" s="141">
        <v>97</v>
      </c>
      <c r="K818" t="str" s="142" cm="1">
        <f t="array" ref="K818">IF(OR(H818="ריביות",AND(H818="דירה כצנלסון",G818&lt;0,ISNUMBER(SEARCH("הכנסה",F818)))),"הכנסה שסווגה מחדש",J818)</f>
        <v>שוטף</v>
      </c>
      <c r="L818" t="s" s="141">
        <v>741</v>
      </c>
      <c r="M818" s="143" cm="1">
        <f t="array" ref="M818">IF(L818="מאושר",IF(K818="הכנסה שסווגה מחדש",0,G818),0)</f>
        <v>93</v>
      </c>
      <c r="N818" s="143" cm="1">
        <f t="array" ref="N818">IF(K818="שוטף",M818,0)</f>
        <v>93</v>
      </c>
      <c r="O818" s="143" cm="1">
        <f t="array" ref="O818">IF(K818="הכנסה שסווגה מחדש",-G818,0)</f>
        <v>0</v>
      </c>
      <c r="P818" t="s" s="86">
        <v>762</v>
      </c>
      <c r="Q818" s="99"/>
      <c r="R818" t="s" s="144">
        <v>743</v>
      </c>
      <c r="S818" s="77"/>
    </row>
    <row r="819" ht="13.65" customHeight="1">
      <c r="A819" s="78">
        <v>45870</v>
      </c>
      <c r="B819" t="s" s="79">
        <v>51</v>
      </c>
      <c r="C819" t="s" s="80">
        <v>813</v>
      </c>
      <c r="D819" s="131">
        <v>90</v>
      </c>
      <c r="E819" t="s" s="79">
        <v>772</v>
      </c>
      <c r="F819" t="s" s="80">
        <v>200</v>
      </c>
      <c r="G819" s="132">
        <v>-38</v>
      </c>
      <c r="H819" t="s" s="133">
        <v>109</v>
      </c>
      <c r="I819" t="s" s="134">
        <v>109</v>
      </c>
      <c r="J819" t="s" s="134">
        <v>97</v>
      </c>
      <c r="K819" t="str" s="135" cm="1">
        <f t="array" ref="K819">IF(OR(H819="ריביות",AND(H819="דירה כצנלסון",G819&lt;0,ISNUMBER(SEARCH("הכנסה",F819)))),"הכנסה שסווגה מחדש",J819)</f>
        <v>שוטף</v>
      </c>
      <c r="L819" t="s" s="134">
        <v>741</v>
      </c>
      <c r="M819" s="136" cm="1">
        <f t="array" ref="M819">IF(L819="מאושר",IF(K819="הכנסה שסווגה מחדש",0,G819),0)</f>
        <v>-38</v>
      </c>
      <c r="N819" s="136" cm="1">
        <f t="array" ref="N819">IF(K819="שוטף",M819,0)</f>
        <v>-38</v>
      </c>
      <c r="O819" s="136" cm="1">
        <f t="array" ref="O819">IF(K819="הכנסה שסווגה מחדש",-G819,0)</f>
        <v>0</v>
      </c>
      <c r="P819" t="s" s="80">
        <v>762</v>
      </c>
      <c r="Q819" s="100"/>
      <c r="R819" t="s" s="137">
        <v>743</v>
      </c>
      <c r="S819" s="77"/>
    </row>
    <row r="820" ht="13.65" customHeight="1">
      <c r="A820" s="84">
        <v>45870</v>
      </c>
      <c r="B820" t="s" s="85">
        <v>51</v>
      </c>
      <c r="C820" t="s" s="86">
        <v>813</v>
      </c>
      <c r="D820" s="138">
        <v>91</v>
      </c>
      <c r="E820" t="s" s="85">
        <v>773</v>
      </c>
      <c r="F820" t="s" s="86">
        <v>209</v>
      </c>
      <c r="G820" s="139">
        <v>42</v>
      </c>
      <c r="H820" t="s" s="140">
        <v>113</v>
      </c>
      <c r="I820" t="s" s="141">
        <v>113</v>
      </c>
      <c r="J820" t="s" s="141">
        <v>97</v>
      </c>
      <c r="K820" t="str" s="142" cm="1">
        <f t="array" ref="K820">IF(OR(H820="ריביות",AND(H820="דירה כצנלסון",G820&lt;0,ISNUMBER(SEARCH("הכנסה",F820)))),"הכנסה שסווגה מחדש",J820)</f>
        <v>שוטף</v>
      </c>
      <c r="L820" t="s" s="141">
        <v>741</v>
      </c>
      <c r="M820" s="143" cm="1">
        <f t="array" ref="M820">IF(L820="מאושר",IF(K820="הכנסה שסווגה מחדש",0,G820),0)</f>
        <v>42</v>
      </c>
      <c r="N820" s="143" cm="1">
        <f t="array" ref="N820">IF(K820="שוטף",M820,0)</f>
        <v>42</v>
      </c>
      <c r="O820" s="143" cm="1">
        <f t="array" ref="O820">IF(K820="הכנסה שסווגה מחדש",-G820,0)</f>
        <v>0</v>
      </c>
      <c r="P820" t="s" s="86">
        <v>762</v>
      </c>
      <c r="Q820" s="99"/>
      <c r="R820" t="s" s="144">
        <v>743</v>
      </c>
      <c r="S820" s="77"/>
    </row>
    <row r="821" ht="13.65" customHeight="1">
      <c r="A821" s="78">
        <v>45870</v>
      </c>
      <c r="B821" t="s" s="79">
        <v>51</v>
      </c>
      <c r="C821" t="s" s="80">
        <v>813</v>
      </c>
      <c r="D821" s="131">
        <v>92</v>
      </c>
      <c r="E821" t="s" s="79">
        <v>754</v>
      </c>
      <c r="F821" t="s" s="80">
        <v>213</v>
      </c>
      <c r="G821" s="132">
        <v>202</v>
      </c>
      <c r="H821" t="s" s="133">
        <v>115</v>
      </c>
      <c r="I821" t="s" s="134">
        <v>115</v>
      </c>
      <c r="J821" t="s" s="134">
        <v>97</v>
      </c>
      <c r="K821" t="str" s="135" cm="1">
        <f t="array" ref="K821">IF(OR(H821="ריביות",AND(H821="דירה כצנלסון",G821&lt;0,ISNUMBER(SEARCH("הכנסה",F821)))),"הכנסה שסווגה מחדש",J821)</f>
        <v>שוטף</v>
      </c>
      <c r="L821" t="s" s="134">
        <v>741</v>
      </c>
      <c r="M821" s="136" cm="1">
        <f t="array" ref="M821">IF(L821="מאושר",IF(K821="הכנסה שסווגה מחדש",0,G821),0)</f>
        <v>202</v>
      </c>
      <c r="N821" s="136" cm="1">
        <f t="array" ref="N821">IF(K821="שוטף",M821,0)</f>
        <v>202</v>
      </c>
      <c r="O821" s="136" cm="1">
        <f t="array" ref="O821">IF(K821="הכנסה שסווגה מחדש",-G821,0)</f>
        <v>0</v>
      </c>
      <c r="P821" t="s" s="80">
        <v>762</v>
      </c>
      <c r="Q821" s="100"/>
      <c r="R821" t="s" s="137">
        <v>743</v>
      </c>
      <c r="S821" s="77"/>
    </row>
    <row r="822" ht="13.65" customHeight="1">
      <c r="A822" s="84">
        <v>45870</v>
      </c>
      <c r="B822" t="s" s="85">
        <v>51</v>
      </c>
      <c r="C822" t="s" s="86">
        <v>813</v>
      </c>
      <c r="D822" s="138">
        <v>93</v>
      </c>
      <c r="E822" t="s" s="85">
        <v>790</v>
      </c>
      <c r="F822" t="s" s="86">
        <v>334</v>
      </c>
      <c r="G822" s="139">
        <v>23</v>
      </c>
      <c r="H822" t="s" s="140">
        <v>109</v>
      </c>
      <c r="I822" t="s" s="141">
        <v>109</v>
      </c>
      <c r="J822" t="s" s="141">
        <v>97</v>
      </c>
      <c r="K822" t="str" s="142" cm="1">
        <f t="array" ref="K822">IF(OR(H822="ריביות",AND(H822="דירה כצנלסון",G822&lt;0,ISNUMBER(SEARCH("הכנסה",F822)))),"הכנסה שסווגה מחדש",J822)</f>
        <v>שוטף</v>
      </c>
      <c r="L822" t="s" s="141">
        <v>741</v>
      </c>
      <c r="M822" s="143" cm="1">
        <f t="array" ref="M822">IF(L822="מאושר",IF(K822="הכנסה שסווגה מחדש",0,G822),0)</f>
        <v>23</v>
      </c>
      <c r="N822" s="143" cm="1">
        <f t="array" ref="N822">IF(K822="שוטף",M822,0)</f>
        <v>23</v>
      </c>
      <c r="O822" s="143" cm="1">
        <f t="array" ref="O822">IF(K822="הכנסה שסווגה מחדש",-G822,0)</f>
        <v>0</v>
      </c>
      <c r="P822" t="s" s="86">
        <v>762</v>
      </c>
      <c r="Q822" s="99"/>
      <c r="R822" t="s" s="144">
        <v>743</v>
      </c>
      <c r="S822" s="77"/>
    </row>
    <row r="823" ht="13.65" customHeight="1">
      <c r="A823" s="78">
        <v>45870</v>
      </c>
      <c r="B823" t="s" s="79">
        <v>51</v>
      </c>
      <c r="C823" t="s" s="80">
        <v>813</v>
      </c>
      <c r="D823" s="131">
        <v>94</v>
      </c>
      <c r="E823" t="s" s="79">
        <v>818</v>
      </c>
      <c r="F823" t="s" s="80">
        <v>209</v>
      </c>
      <c r="G823" s="132">
        <v>120</v>
      </c>
      <c r="H823" t="s" s="133">
        <v>113</v>
      </c>
      <c r="I823" t="s" s="134">
        <v>113</v>
      </c>
      <c r="J823" t="s" s="134">
        <v>97</v>
      </c>
      <c r="K823" t="str" s="135" cm="1">
        <f t="array" ref="K823">IF(OR(H823="ריביות",AND(H823="דירה כצנלסון",G823&lt;0,ISNUMBER(SEARCH("הכנסה",F823)))),"הכנסה שסווגה מחדש",J823)</f>
        <v>שוטף</v>
      </c>
      <c r="L823" t="s" s="134">
        <v>741</v>
      </c>
      <c r="M823" s="136" cm="1">
        <f t="array" ref="M823">IF(L823="מאושר",IF(K823="הכנסה שסווגה מחדש",0,G823),0)</f>
        <v>120</v>
      </c>
      <c r="N823" s="136" cm="1">
        <f t="array" ref="N823">IF(K823="שוטף",M823,0)</f>
        <v>120</v>
      </c>
      <c r="O823" s="136" cm="1">
        <f t="array" ref="O823">IF(K823="הכנסה שסווגה מחדש",-G823,0)</f>
        <v>0</v>
      </c>
      <c r="P823" t="s" s="80">
        <v>762</v>
      </c>
      <c r="Q823" s="100"/>
      <c r="R823" t="s" s="137">
        <v>743</v>
      </c>
      <c r="S823" s="77"/>
    </row>
    <row r="824" ht="13.65" customHeight="1">
      <c r="A824" s="84">
        <v>45870</v>
      </c>
      <c r="B824" t="s" s="85">
        <v>51</v>
      </c>
      <c r="C824" t="s" s="86">
        <v>813</v>
      </c>
      <c r="D824" s="138">
        <v>95</v>
      </c>
      <c r="E824" t="s" s="85">
        <v>744</v>
      </c>
      <c r="F824" t="s" s="86">
        <v>334</v>
      </c>
      <c r="G824" s="139">
        <v>40</v>
      </c>
      <c r="H824" t="s" s="140">
        <v>109</v>
      </c>
      <c r="I824" t="s" s="141">
        <v>109</v>
      </c>
      <c r="J824" t="s" s="141">
        <v>97</v>
      </c>
      <c r="K824" t="str" s="142" cm="1">
        <f t="array" ref="K824">IF(OR(H824="ריביות",AND(H824="דירה כצנלסון",G824&lt;0,ISNUMBER(SEARCH("הכנסה",F824)))),"הכנסה שסווגה מחדש",J824)</f>
        <v>שוטף</v>
      </c>
      <c r="L824" t="s" s="141">
        <v>741</v>
      </c>
      <c r="M824" s="143" cm="1">
        <f t="array" ref="M824">IF(L824="מאושר",IF(K824="הכנסה שסווגה מחדש",0,G824),0)</f>
        <v>40</v>
      </c>
      <c r="N824" s="143" cm="1">
        <f t="array" ref="N824">IF(K824="שוטף",M824,0)</f>
        <v>40</v>
      </c>
      <c r="O824" s="143" cm="1">
        <f t="array" ref="O824">IF(K824="הכנסה שסווגה מחדש",-G824,0)</f>
        <v>0</v>
      </c>
      <c r="P824" t="s" s="86">
        <v>762</v>
      </c>
      <c r="Q824" s="99"/>
      <c r="R824" t="s" s="144">
        <v>743</v>
      </c>
      <c r="S824" s="77"/>
    </row>
    <row r="825" ht="13.65" customHeight="1">
      <c r="A825" s="78">
        <v>45870</v>
      </c>
      <c r="B825" t="s" s="79">
        <v>51</v>
      </c>
      <c r="C825" t="s" s="80">
        <v>813</v>
      </c>
      <c r="D825" s="131">
        <v>96</v>
      </c>
      <c r="E825" t="s" s="79">
        <v>768</v>
      </c>
      <c r="F825" t="s" s="80">
        <v>314</v>
      </c>
      <c r="G825" s="132">
        <v>10</v>
      </c>
      <c r="H825" t="s" s="133">
        <v>117</v>
      </c>
      <c r="I825" t="s" s="134">
        <v>117</v>
      </c>
      <c r="J825" t="s" s="134">
        <v>97</v>
      </c>
      <c r="K825" t="str" s="135" cm="1">
        <f t="array" ref="K825">IF(OR(H825="ריביות",AND(H825="דירה כצנלסון",G825&lt;0,ISNUMBER(SEARCH("הכנסה",F825)))),"הכנסה שסווגה מחדש",J825)</f>
        <v>שוטף</v>
      </c>
      <c r="L825" t="s" s="134">
        <v>741</v>
      </c>
      <c r="M825" s="136" cm="1">
        <f t="array" ref="M825">IF(L825="מאושר",IF(K825="הכנסה שסווגה מחדש",0,G825),0)</f>
        <v>10</v>
      </c>
      <c r="N825" s="136" cm="1">
        <f t="array" ref="N825">IF(K825="שוטף",M825,0)</f>
        <v>10</v>
      </c>
      <c r="O825" s="136" cm="1">
        <f t="array" ref="O825">IF(K825="הכנסה שסווגה מחדש",-G825,0)</f>
        <v>0</v>
      </c>
      <c r="P825" t="s" s="80">
        <v>762</v>
      </c>
      <c r="Q825" s="100"/>
      <c r="R825" t="s" s="137">
        <v>743</v>
      </c>
      <c r="S825" s="77"/>
    </row>
    <row r="826" ht="13.65" customHeight="1">
      <c r="A826" s="84">
        <v>45870</v>
      </c>
      <c r="B826" t="s" s="85">
        <v>51</v>
      </c>
      <c r="C826" t="s" s="86">
        <v>813</v>
      </c>
      <c r="D826" s="138">
        <v>97</v>
      </c>
      <c r="E826" t="s" s="85">
        <v>765</v>
      </c>
      <c r="F826" t="s" s="86">
        <v>689</v>
      </c>
      <c r="G826" s="139">
        <v>7</v>
      </c>
      <c r="H826" t="s" s="140">
        <v>113</v>
      </c>
      <c r="I826" t="s" s="141">
        <v>113</v>
      </c>
      <c r="J826" t="s" s="141">
        <v>97</v>
      </c>
      <c r="K826" t="str" s="142" cm="1">
        <f t="array" ref="K826">IF(OR(H826="ריביות",AND(H826="דירה כצנלסון",G826&lt;0,ISNUMBER(SEARCH("הכנסה",F826)))),"הכנסה שסווגה מחדש",J826)</f>
        <v>שוטף</v>
      </c>
      <c r="L826" t="s" s="141">
        <v>741</v>
      </c>
      <c r="M826" s="143" cm="1">
        <f t="array" ref="M826">IF(L826="מאושר",IF(K826="הכנסה שסווגה מחדש",0,G826),0)</f>
        <v>7</v>
      </c>
      <c r="N826" s="143" cm="1">
        <f t="array" ref="N826">IF(K826="שוטף",M826,0)</f>
        <v>7</v>
      </c>
      <c r="O826" s="143" cm="1">
        <f t="array" ref="O826">IF(K826="הכנסה שסווגה מחדש",-G826,0)</f>
        <v>0</v>
      </c>
      <c r="P826" t="s" s="86">
        <v>762</v>
      </c>
      <c r="Q826" s="99"/>
      <c r="R826" t="s" s="144">
        <v>743</v>
      </c>
      <c r="S826" s="77"/>
    </row>
    <row r="827" ht="13.65" customHeight="1">
      <c r="A827" s="78">
        <v>45870</v>
      </c>
      <c r="B827" t="s" s="79">
        <v>51</v>
      </c>
      <c r="C827" t="s" s="80">
        <v>813</v>
      </c>
      <c r="D827" s="131">
        <v>98</v>
      </c>
      <c r="E827" t="s" s="79">
        <v>765</v>
      </c>
      <c r="F827" t="s" s="80">
        <v>628</v>
      </c>
      <c r="G827" s="132">
        <v>20</v>
      </c>
      <c r="H827" t="s" s="133">
        <v>125</v>
      </c>
      <c r="I827" t="s" s="134">
        <v>125</v>
      </c>
      <c r="J827" t="s" s="134">
        <v>97</v>
      </c>
      <c r="K827" t="str" s="135" cm="1">
        <f t="array" ref="K827">IF(OR(H827="ריביות",AND(H827="דירה כצנלסון",G827&lt;0,ISNUMBER(SEARCH("הכנסה",F827)))),"הכנסה שסווגה מחדש",J827)</f>
        <v>שוטף</v>
      </c>
      <c r="L827" t="s" s="134">
        <v>741</v>
      </c>
      <c r="M827" s="136" cm="1">
        <f t="array" ref="M827">IF(L827="מאושר",IF(K827="הכנסה שסווגה מחדש",0,G827),0)</f>
        <v>20</v>
      </c>
      <c r="N827" s="136" cm="1">
        <f t="array" ref="N827">IF(K827="שוטף",M827,0)</f>
        <v>20</v>
      </c>
      <c r="O827" s="136" cm="1">
        <f t="array" ref="O827">IF(K827="הכנסה שסווגה מחדש",-G827,0)</f>
        <v>0</v>
      </c>
      <c r="P827" t="s" s="80">
        <v>762</v>
      </c>
      <c r="Q827" s="100"/>
      <c r="R827" t="s" s="137">
        <v>743</v>
      </c>
      <c r="S827" s="77"/>
    </row>
    <row r="828" ht="13.65" customHeight="1">
      <c r="A828" s="84">
        <v>45870</v>
      </c>
      <c r="B828" t="s" s="85">
        <v>51</v>
      </c>
      <c r="C828" t="s" s="86">
        <v>813</v>
      </c>
      <c r="D828" s="138">
        <v>99</v>
      </c>
      <c r="E828" t="s" s="85">
        <v>759</v>
      </c>
      <c r="F828" t="s" s="86">
        <v>605</v>
      </c>
      <c r="G828" s="139">
        <v>53</v>
      </c>
      <c r="H828" t="s" s="140">
        <v>117</v>
      </c>
      <c r="I828" t="s" s="141">
        <v>117</v>
      </c>
      <c r="J828" t="s" s="141">
        <v>97</v>
      </c>
      <c r="K828" t="str" s="142" cm="1">
        <f t="array" ref="K828">IF(OR(H828="ריביות",AND(H828="דירה כצנלסון",G828&lt;0,ISNUMBER(SEARCH("הכנסה",F828)))),"הכנסה שסווגה מחדש",J828)</f>
        <v>שוטף</v>
      </c>
      <c r="L828" t="s" s="141">
        <v>741</v>
      </c>
      <c r="M828" s="143" cm="1">
        <f t="array" ref="M828">IF(L828="מאושר",IF(K828="הכנסה שסווגה מחדש",0,G828),0)</f>
        <v>53</v>
      </c>
      <c r="N828" s="143" cm="1">
        <f t="array" ref="N828">IF(K828="שוטף",M828,0)</f>
        <v>53</v>
      </c>
      <c r="O828" s="143" cm="1">
        <f t="array" ref="O828">IF(K828="הכנסה שסווגה מחדש",-G828,0)</f>
        <v>0</v>
      </c>
      <c r="P828" t="s" s="86">
        <v>762</v>
      </c>
      <c r="Q828" s="99"/>
      <c r="R828" t="s" s="144">
        <v>743</v>
      </c>
      <c r="S828" s="77"/>
    </row>
    <row r="829" ht="13.65" customHeight="1">
      <c r="A829" s="78">
        <v>45870</v>
      </c>
      <c r="B829" t="s" s="79">
        <v>51</v>
      </c>
      <c r="C829" t="s" s="80">
        <v>813</v>
      </c>
      <c r="D829" s="131">
        <v>100</v>
      </c>
      <c r="E829" t="s" s="79">
        <v>759</v>
      </c>
      <c r="F829" t="s" s="80">
        <v>334</v>
      </c>
      <c r="G829" s="132">
        <v>54</v>
      </c>
      <c r="H829" t="s" s="133">
        <v>109</v>
      </c>
      <c r="I829" t="s" s="134">
        <v>109</v>
      </c>
      <c r="J829" t="s" s="134">
        <v>97</v>
      </c>
      <c r="K829" t="str" s="135" cm="1">
        <f t="array" ref="K829">IF(OR(H829="ריביות",AND(H829="דירה כצנלסון",G829&lt;0,ISNUMBER(SEARCH("הכנסה",F829)))),"הכנסה שסווגה מחדש",J829)</f>
        <v>שוטף</v>
      </c>
      <c r="L829" t="s" s="134">
        <v>741</v>
      </c>
      <c r="M829" s="136" cm="1">
        <f t="array" ref="M829">IF(L829="מאושר",IF(K829="הכנסה שסווגה מחדש",0,G829),0)</f>
        <v>54</v>
      </c>
      <c r="N829" s="136" cm="1">
        <f t="array" ref="N829">IF(K829="שוטף",M829,0)</f>
        <v>54</v>
      </c>
      <c r="O829" s="136" cm="1">
        <f t="array" ref="O829">IF(K829="הכנסה שסווגה מחדש",-G829,0)</f>
        <v>0</v>
      </c>
      <c r="P829" t="s" s="80">
        <v>762</v>
      </c>
      <c r="Q829" s="100"/>
      <c r="R829" t="s" s="137">
        <v>743</v>
      </c>
      <c r="S829" s="77"/>
    </row>
    <row r="830" ht="13.65" customHeight="1">
      <c r="A830" s="84">
        <v>45870</v>
      </c>
      <c r="B830" t="s" s="85">
        <v>51</v>
      </c>
      <c r="C830" t="s" s="86">
        <v>813</v>
      </c>
      <c r="D830" s="138">
        <v>101</v>
      </c>
      <c r="E830" t="s" s="85">
        <v>775</v>
      </c>
      <c r="F830" t="s" s="86">
        <v>653</v>
      </c>
      <c r="G830" s="139">
        <v>26</v>
      </c>
      <c r="H830" t="s" s="140">
        <v>121</v>
      </c>
      <c r="I830" t="s" s="141">
        <v>121</v>
      </c>
      <c r="J830" t="s" s="141">
        <v>97</v>
      </c>
      <c r="K830" t="str" s="142" cm="1">
        <f t="array" ref="K830">IF(OR(H830="ריביות",AND(H830="דירה כצנלסון",G830&lt;0,ISNUMBER(SEARCH("הכנסה",F830)))),"הכנסה שסווגה מחדש",J830)</f>
        <v>שוטף</v>
      </c>
      <c r="L830" t="s" s="141">
        <v>741</v>
      </c>
      <c r="M830" s="143" cm="1">
        <f t="array" ref="M830">IF(L830="מאושר",IF(K830="הכנסה שסווגה מחדש",0,G830),0)</f>
        <v>26</v>
      </c>
      <c r="N830" s="143" cm="1">
        <f t="array" ref="N830">IF(K830="שוטף",M830,0)</f>
        <v>26</v>
      </c>
      <c r="O830" s="143" cm="1">
        <f t="array" ref="O830">IF(K830="הכנסה שסווגה מחדש",-G830,0)</f>
        <v>0</v>
      </c>
      <c r="P830" t="s" s="86">
        <v>762</v>
      </c>
      <c r="Q830" s="99"/>
      <c r="R830" t="s" s="144">
        <v>743</v>
      </c>
      <c r="S830" s="77"/>
    </row>
    <row r="831" ht="13.65" customHeight="1">
      <c r="A831" s="78">
        <v>45870</v>
      </c>
      <c r="B831" t="s" s="79">
        <v>51</v>
      </c>
      <c r="C831" t="s" s="80">
        <v>813</v>
      </c>
      <c r="D831" s="131">
        <v>102</v>
      </c>
      <c r="E831" t="s" s="79">
        <v>775</v>
      </c>
      <c r="F831" t="s" s="80">
        <v>656</v>
      </c>
      <c r="G831" s="132">
        <v>25</v>
      </c>
      <c r="H831" t="s" s="133">
        <v>113</v>
      </c>
      <c r="I831" t="s" s="134">
        <v>113</v>
      </c>
      <c r="J831" t="s" s="134">
        <v>97</v>
      </c>
      <c r="K831" t="str" s="135" cm="1">
        <f t="array" ref="K831">IF(OR(H831="ריביות",AND(H831="דירה כצנלסון",G831&lt;0,ISNUMBER(SEARCH("הכנסה",F831)))),"הכנסה שסווגה מחדש",J831)</f>
        <v>שוטף</v>
      </c>
      <c r="L831" t="s" s="134">
        <v>741</v>
      </c>
      <c r="M831" s="136" cm="1">
        <f t="array" ref="M831">IF(L831="מאושר",IF(K831="הכנסה שסווגה מחדש",0,G831),0)</f>
        <v>25</v>
      </c>
      <c r="N831" s="136" cm="1">
        <f t="array" ref="N831">IF(K831="שוטף",M831,0)</f>
        <v>25</v>
      </c>
      <c r="O831" s="136" cm="1">
        <f t="array" ref="O831">IF(K831="הכנסה שסווגה מחדש",-G831,0)</f>
        <v>0</v>
      </c>
      <c r="P831" t="s" s="80">
        <v>762</v>
      </c>
      <c r="Q831" s="100"/>
      <c r="R831" t="s" s="137">
        <v>743</v>
      </c>
      <c r="S831" s="77"/>
    </row>
    <row r="832" ht="13.65" customHeight="1">
      <c r="A832" s="84">
        <v>45870</v>
      </c>
      <c r="B832" t="s" s="85">
        <v>51</v>
      </c>
      <c r="C832" t="s" s="86">
        <v>813</v>
      </c>
      <c r="D832" s="138">
        <v>103</v>
      </c>
      <c r="E832" t="s" s="85">
        <v>764</v>
      </c>
      <c r="F832" t="s" s="86">
        <v>645</v>
      </c>
      <c r="G832" s="139">
        <v>30</v>
      </c>
      <c r="H832" t="s" s="140">
        <v>113</v>
      </c>
      <c r="I832" t="s" s="141">
        <v>113</v>
      </c>
      <c r="J832" t="s" s="141">
        <v>97</v>
      </c>
      <c r="K832" t="str" s="142" cm="1">
        <f t="array" ref="K832">IF(OR(H832="ריביות",AND(H832="דירה כצנלסון",G832&lt;0,ISNUMBER(SEARCH("הכנסה",F832)))),"הכנסה שסווגה מחדש",J832)</f>
        <v>שוטף</v>
      </c>
      <c r="L832" t="s" s="141">
        <v>741</v>
      </c>
      <c r="M832" s="143" cm="1">
        <f t="array" ref="M832">IF(L832="מאושר",IF(K832="הכנסה שסווגה מחדש",0,G832),0)</f>
        <v>30</v>
      </c>
      <c r="N832" s="143" cm="1">
        <f t="array" ref="N832">IF(K832="שוטף",M832,0)</f>
        <v>30</v>
      </c>
      <c r="O832" s="143" cm="1">
        <f t="array" ref="O832">IF(K832="הכנסה שסווגה מחדש",-G832,0)</f>
        <v>0</v>
      </c>
      <c r="P832" t="s" s="86">
        <v>762</v>
      </c>
      <c r="Q832" s="99"/>
      <c r="R832" t="s" s="144">
        <v>743</v>
      </c>
      <c r="S832" s="77"/>
    </row>
    <row r="833" ht="13.65" customHeight="1">
      <c r="A833" s="78">
        <v>45870</v>
      </c>
      <c r="B833" t="s" s="79">
        <v>51</v>
      </c>
      <c r="C833" t="s" s="80">
        <v>813</v>
      </c>
      <c r="D833" s="131">
        <v>104</v>
      </c>
      <c r="E833" t="s" s="79">
        <v>764</v>
      </c>
      <c r="F833" t="s" s="80">
        <v>355</v>
      </c>
      <c r="G833" s="132">
        <v>20</v>
      </c>
      <c r="H833" t="s" s="133">
        <v>113</v>
      </c>
      <c r="I833" t="s" s="134">
        <v>113</v>
      </c>
      <c r="J833" t="s" s="134">
        <v>97</v>
      </c>
      <c r="K833" t="str" s="135" cm="1">
        <f t="array" ref="K833">IF(OR(H833="ריביות",AND(H833="דירה כצנלסון",G833&lt;0,ISNUMBER(SEARCH("הכנסה",F833)))),"הכנסה שסווגה מחדש",J833)</f>
        <v>שוטף</v>
      </c>
      <c r="L833" t="s" s="134">
        <v>741</v>
      </c>
      <c r="M833" s="136" cm="1">
        <f t="array" ref="M833">IF(L833="מאושר",IF(K833="הכנסה שסווגה מחדש",0,G833),0)</f>
        <v>20</v>
      </c>
      <c r="N833" s="136" cm="1">
        <f t="array" ref="N833">IF(K833="שוטף",M833,0)</f>
        <v>20</v>
      </c>
      <c r="O833" s="136" cm="1">
        <f t="array" ref="O833">IF(K833="הכנסה שסווגה מחדש",-G833,0)</f>
        <v>0</v>
      </c>
      <c r="P833" t="s" s="80">
        <v>762</v>
      </c>
      <c r="Q833" s="100"/>
      <c r="R833" t="s" s="137">
        <v>743</v>
      </c>
      <c r="S833" s="77"/>
    </row>
    <row r="834" ht="13.65" customHeight="1">
      <c r="A834" s="84">
        <v>45870</v>
      </c>
      <c r="B834" t="s" s="85">
        <v>51</v>
      </c>
      <c r="C834" t="s" s="86">
        <v>813</v>
      </c>
      <c r="D834" s="138">
        <v>105</v>
      </c>
      <c r="E834" t="s" s="85">
        <v>764</v>
      </c>
      <c r="F834" t="s" s="86">
        <v>377</v>
      </c>
      <c r="G834" s="139">
        <v>14</v>
      </c>
      <c r="H834" t="s" s="140">
        <v>113</v>
      </c>
      <c r="I834" t="s" s="141">
        <v>113</v>
      </c>
      <c r="J834" t="s" s="141">
        <v>97</v>
      </c>
      <c r="K834" t="str" s="142" cm="1">
        <f t="array" ref="K834">IF(OR(H834="ריביות",AND(H834="דירה כצנלסון",G834&lt;0,ISNUMBER(SEARCH("הכנסה",F834)))),"הכנסה שסווגה מחדש",J834)</f>
        <v>שוטף</v>
      </c>
      <c r="L834" t="s" s="141">
        <v>741</v>
      </c>
      <c r="M834" s="143" cm="1">
        <f t="array" ref="M834">IF(L834="מאושר",IF(K834="הכנסה שסווגה מחדש",0,G834),0)</f>
        <v>14</v>
      </c>
      <c r="N834" s="143" cm="1">
        <f t="array" ref="N834">IF(K834="שוטף",M834,0)</f>
        <v>14</v>
      </c>
      <c r="O834" s="143" cm="1">
        <f t="array" ref="O834">IF(K834="הכנסה שסווגה מחדש",-G834,0)</f>
        <v>0</v>
      </c>
      <c r="P834" t="s" s="86">
        <v>762</v>
      </c>
      <c r="Q834" s="99"/>
      <c r="R834" t="s" s="144">
        <v>743</v>
      </c>
      <c r="S834" s="77"/>
    </row>
    <row r="835" ht="13.65" customHeight="1">
      <c r="A835" s="78">
        <v>45870</v>
      </c>
      <c r="B835" t="s" s="79">
        <v>51</v>
      </c>
      <c r="C835" t="s" s="80">
        <v>813</v>
      </c>
      <c r="D835" s="131">
        <v>106</v>
      </c>
      <c r="E835" t="s" s="79">
        <v>764</v>
      </c>
      <c r="F835" t="s" s="80">
        <v>213</v>
      </c>
      <c r="G835" s="132">
        <v>247</v>
      </c>
      <c r="H835" t="s" s="133">
        <v>115</v>
      </c>
      <c r="I835" t="s" s="134">
        <v>115</v>
      </c>
      <c r="J835" t="s" s="134">
        <v>97</v>
      </c>
      <c r="K835" t="str" s="135" cm="1">
        <f t="array" ref="K835">IF(OR(H835="ריביות",AND(H835="דירה כצנלסון",G835&lt;0,ISNUMBER(SEARCH("הכנסה",F835)))),"הכנסה שסווגה מחדש",J835)</f>
        <v>שוטף</v>
      </c>
      <c r="L835" t="s" s="134">
        <v>741</v>
      </c>
      <c r="M835" s="136" cm="1">
        <f t="array" ref="M835">IF(L835="מאושר",IF(K835="הכנסה שסווגה מחדש",0,G835),0)</f>
        <v>247</v>
      </c>
      <c r="N835" s="136" cm="1">
        <f t="array" ref="N835">IF(K835="שוטף",M835,0)</f>
        <v>247</v>
      </c>
      <c r="O835" s="136" cm="1">
        <f t="array" ref="O835">IF(K835="הכנסה שסווגה מחדש",-G835,0)</f>
        <v>0</v>
      </c>
      <c r="P835" t="s" s="80">
        <v>762</v>
      </c>
      <c r="Q835" s="100"/>
      <c r="R835" t="s" s="137">
        <v>743</v>
      </c>
      <c r="S835" s="77"/>
    </row>
    <row r="836" ht="13.65" customHeight="1">
      <c r="A836" s="84">
        <v>45870</v>
      </c>
      <c r="B836" t="s" s="85">
        <v>51</v>
      </c>
      <c r="C836" t="s" s="86">
        <v>813</v>
      </c>
      <c r="D836" s="138">
        <v>107</v>
      </c>
      <c r="E836" t="s" s="85">
        <v>775</v>
      </c>
      <c r="F836" t="s" s="86">
        <v>614</v>
      </c>
      <c r="G836" s="139">
        <v>23</v>
      </c>
      <c r="H836" t="s" s="140">
        <v>139</v>
      </c>
      <c r="I836" t="s" s="141">
        <v>139</v>
      </c>
      <c r="J836" t="s" s="141">
        <v>97</v>
      </c>
      <c r="K836" t="str" s="142" cm="1">
        <f t="array" ref="K836">IF(OR(H836="ריביות",AND(H836="דירה כצנלסון",G836&lt;0,ISNUMBER(SEARCH("הכנסה",F836)))),"הכנסה שסווגה מחדש",J836)</f>
        <v>שוטף</v>
      </c>
      <c r="L836" t="s" s="141">
        <v>741</v>
      </c>
      <c r="M836" s="143" cm="1">
        <f t="array" ref="M836">IF(L836="מאושר",IF(K836="הכנסה שסווגה מחדש",0,G836),0)</f>
        <v>23</v>
      </c>
      <c r="N836" s="143" cm="1">
        <f t="array" ref="N836">IF(K836="שוטף",M836,0)</f>
        <v>23</v>
      </c>
      <c r="O836" s="143" cm="1">
        <f t="array" ref="O836">IF(K836="הכנסה שסווגה מחדש",-G836,0)</f>
        <v>0</v>
      </c>
      <c r="P836" t="s" s="86">
        <v>786</v>
      </c>
      <c r="Q836" s="99"/>
      <c r="R836" t="s" s="144">
        <v>743</v>
      </c>
      <c r="S836" s="77"/>
    </row>
    <row r="837" ht="13.65" customHeight="1">
      <c r="A837" s="78">
        <v>45870</v>
      </c>
      <c r="B837" t="s" s="79">
        <v>51</v>
      </c>
      <c r="C837" t="s" s="80">
        <v>813</v>
      </c>
      <c r="D837" s="131">
        <v>108</v>
      </c>
      <c r="E837" t="s" s="79">
        <v>764</v>
      </c>
      <c r="F837" t="s" s="80">
        <v>614</v>
      </c>
      <c r="G837" s="132">
        <v>23</v>
      </c>
      <c r="H837" t="s" s="133">
        <v>139</v>
      </c>
      <c r="I837" t="s" s="134">
        <v>139</v>
      </c>
      <c r="J837" t="s" s="134">
        <v>97</v>
      </c>
      <c r="K837" t="str" s="135" cm="1">
        <f t="array" ref="K837">IF(OR(H837="ריביות",AND(H837="דירה כצנלסון",G837&lt;0,ISNUMBER(SEARCH("הכנסה",F837)))),"הכנסה שסווגה מחדש",J837)</f>
        <v>שוטף</v>
      </c>
      <c r="L837" t="s" s="134">
        <v>741</v>
      </c>
      <c r="M837" s="136" cm="1">
        <f t="array" ref="M837">IF(L837="מאושר",IF(K837="הכנסה שסווגה מחדש",0,G837),0)</f>
        <v>23</v>
      </c>
      <c r="N837" s="136" cm="1">
        <f t="array" ref="N837">IF(K837="שוטף",M837,0)</f>
        <v>23</v>
      </c>
      <c r="O837" s="136" cm="1">
        <f t="array" ref="O837">IF(K837="הכנסה שסווגה מחדש",-G837,0)</f>
        <v>0</v>
      </c>
      <c r="P837" t="s" s="80">
        <v>786</v>
      </c>
      <c r="Q837" s="100"/>
      <c r="R837" t="s" s="137">
        <v>743</v>
      </c>
      <c r="S837" s="77"/>
    </row>
    <row r="838" ht="13.65" customHeight="1">
      <c r="A838" s="84">
        <v>45870</v>
      </c>
      <c r="B838" t="s" s="85">
        <v>51</v>
      </c>
      <c r="C838" t="s" s="86">
        <v>813</v>
      </c>
      <c r="D838" s="138">
        <v>109</v>
      </c>
      <c r="E838" t="s" s="85">
        <v>759</v>
      </c>
      <c r="F838" t="s" s="86">
        <v>381</v>
      </c>
      <c r="G838" s="139">
        <v>45</v>
      </c>
      <c r="H838" t="s" s="140">
        <v>121</v>
      </c>
      <c r="I838" t="s" s="141">
        <v>121</v>
      </c>
      <c r="J838" t="s" s="141">
        <v>97</v>
      </c>
      <c r="K838" t="str" s="142" cm="1">
        <f t="array" ref="K838">IF(OR(H838="ריביות",AND(H838="דירה כצנלסון",G838&lt;0,ISNUMBER(SEARCH("הכנסה",F838)))),"הכנסה שסווגה מחדש",J838)</f>
        <v>שוטף</v>
      </c>
      <c r="L838" t="s" s="141">
        <v>741</v>
      </c>
      <c r="M838" s="143" cm="1">
        <f t="array" ref="M838">IF(L838="מאושר",IF(K838="הכנסה שסווגה מחדש",0,G838),0)</f>
        <v>45</v>
      </c>
      <c r="N838" s="143" cm="1">
        <f t="array" ref="N838">IF(K838="שוטף",M838,0)</f>
        <v>45</v>
      </c>
      <c r="O838" s="143" cm="1">
        <f t="array" ref="O838">IF(K838="הכנסה שסווגה מחדש",-G838,0)</f>
        <v>0</v>
      </c>
      <c r="P838" t="s" s="86">
        <v>807</v>
      </c>
      <c r="Q838" s="99"/>
      <c r="R838" t="s" s="144">
        <v>743</v>
      </c>
      <c r="S838" s="77"/>
    </row>
    <row r="839" ht="13.65" customHeight="1">
      <c r="A839" s="78">
        <v>45870</v>
      </c>
      <c r="B839" t="s" s="79">
        <v>51</v>
      </c>
      <c r="C839" t="s" s="80">
        <v>813</v>
      </c>
      <c r="D839" s="131">
        <v>110</v>
      </c>
      <c r="E839" s="100"/>
      <c r="F839" t="s" s="80">
        <v>745</v>
      </c>
      <c r="G839" s="132">
        <v>-216</v>
      </c>
      <c r="H839" t="s" s="133">
        <v>746</v>
      </c>
      <c r="I839" t="s" s="134">
        <v>141</v>
      </c>
      <c r="J839" t="s" s="134">
        <v>142</v>
      </c>
      <c r="K839" t="str" s="135" cm="1">
        <f t="array" ref="K839">IF(OR(H839="ריביות",AND(H839="דירה כצנלסון",G839&lt;0,ISNUMBER(SEARCH("הכנסה",F839)))),"הכנסה שסווגה מחדש",J839)</f>
        <v>הכנסה שסווגה מחדש</v>
      </c>
      <c r="L839" t="s" s="134">
        <v>741</v>
      </c>
      <c r="M839" s="136" cm="1">
        <f t="array" ref="M839">IF(L839="מאושר",IF(K839="הכנסה שסווגה מחדש",0,G839),0)</f>
        <v>0</v>
      </c>
      <c r="N839" s="136" cm="1">
        <f t="array" ref="N839">IF(K839="שוטף",M839,0)</f>
        <v>0</v>
      </c>
      <c r="O839" s="136" cm="1">
        <f t="array" ref="O839">IF(K839="הכנסה שסווגה מחדש",-G839,0)</f>
        <v>216</v>
      </c>
      <c r="P839" t="s" s="79">
        <v>742</v>
      </c>
      <c r="Q839" s="100"/>
      <c r="R839" t="s" s="137">
        <v>743</v>
      </c>
      <c r="S839" s="77"/>
    </row>
    <row r="840" ht="13.65" customHeight="1">
      <c r="A840" s="84">
        <v>45901</v>
      </c>
      <c r="B840" t="s" s="85">
        <v>52</v>
      </c>
      <c r="C840" t="s" s="86">
        <v>819</v>
      </c>
      <c r="D840" s="138">
        <v>2</v>
      </c>
      <c r="E840" t="s" s="85">
        <v>772</v>
      </c>
      <c r="F840" t="s" s="86">
        <v>196</v>
      </c>
      <c r="G840" s="139">
        <v>8000</v>
      </c>
      <c r="H840" t="s" s="140">
        <v>763</v>
      </c>
      <c r="I840" t="s" s="141">
        <v>96</v>
      </c>
      <c r="J840" t="s" s="141">
        <v>97</v>
      </c>
      <c r="K840" t="str" s="142" cm="1">
        <f t="array" ref="K840">IF(OR(H840="ריביות",AND(H840="דירה כצנלסון",G840&lt;0,ISNUMBER(SEARCH("הכנסה",F840)))),"הכנסה שסווגה מחדש",J840)</f>
        <v>שוטף</v>
      </c>
      <c r="L840" t="s" s="141">
        <v>741</v>
      </c>
      <c r="M840" s="143" cm="1">
        <f t="array" ref="M840">IF(L840="מאושר",IF(K840="הכנסה שסווגה מחדש",0,G840),0)</f>
        <v>8000</v>
      </c>
      <c r="N840" s="143" cm="1">
        <f t="array" ref="N840">IF(K840="שוטף",M840,0)</f>
        <v>8000</v>
      </c>
      <c r="O840" s="143" cm="1">
        <f t="array" ref="O840">IF(K840="הכנסה שסווגה מחדש",-G840,0)</f>
        <v>0</v>
      </c>
      <c r="P840" t="s" s="86">
        <v>786</v>
      </c>
      <c r="Q840" s="99"/>
      <c r="R840" t="s" s="144">
        <v>743</v>
      </c>
      <c r="S840" s="77"/>
    </row>
    <row r="841" ht="13.65" customHeight="1">
      <c r="A841" s="78">
        <v>45901</v>
      </c>
      <c r="B841" t="s" s="79">
        <v>52</v>
      </c>
      <c r="C841" t="s" s="80">
        <v>819</v>
      </c>
      <c r="D841" s="131">
        <v>3</v>
      </c>
      <c r="E841" t="s" s="79">
        <v>751</v>
      </c>
      <c r="F841" t="s" s="80">
        <v>197</v>
      </c>
      <c r="G841" s="132">
        <v>6142</v>
      </c>
      <c r="H841" t="s" s="133">
        <v>279</v>
      </c>
      <c r="I841" t="s" s="134">
        <v>99</v>
      </c>
      <c r="J841" t="s" s="134">
        <v>100</v>
      </c>
      <c r="K841" t="str" s="135" cm="1">
        <f t="array" ref="K841">IF(OR(H841="ריביות",AND(H841="דירה כצנלסון",G841&lt;0,ISNUMBER(SEARCH("הכנסה",F841)))),"הכנסה שסווגה מחדש",J841)</f>
        <v>חריג/נכס</v>
      </c>
      <c r="L841" t="s" s="134">
        <v>741</v>
      </c>
      <c r="M841" s="136" cm="1">
        <f t="array" ref="M841">IF(L841="מאושר",IF(K841="הכנסה שסווגה מחדש",0,G841),0)</f>
        <v>6142</v>
      </c>
      <c r="N841" s="136" cm="1">
        <f t="array" ref="N841">IF(K841="שוטף",M841,0)</f>
        <v>0</v>
      </c>
      <c r="O841" s="136" cm="1">
        <f t="array" ref="O841">IF(K841="הכנסה שסווגה מחדש",-G841,0)</f>
        <v>0</v>
      </c>
      <c r="P841" t="s" s="80">
        <v>786</v>
      </c>
      <c r="Q841" s="100"/>
      <c r="R841" t="s" s="137">
        <v>743</v>
      </c>
      <c r="S841" s="77"/>
    </row>
    <row r="842" ht="13.65" customHeight="1">
      <c r="A842" s="84">
        <v>45901</v>
      </c>
      <c r="B842" t="s" s="85">
        <v>52</v>
      </c>
      <c r="C842" t="s" s="86">
        <v>819</v>
      </c>
      <c r="D842" s="138">
        <v>4</v>
      </c>
      <c r="E842" s="99"/>
      <c r="F842" t="s" s="86">
        <v>740</v>
      </c>
      <c r="G842" s="139">
        <v>-6500</v>
      </c>
      <c r="H842" t="s" s="140">
        <v>279</v>
      </c>
      <c r="I842" t="s" s="141">
        <v>99</v>
      </c>
      <c r="J842" t="s" s="141">
        <v>100</v>
      </c>
      <c r="K842" t="str" s="142" cm="1">
        <f t="array" ref="K842">IF(OR(H842="ריביות",AND(H842="דירה כצנלסון",G842&lt;0,ISNUMBER(SEARCH("הכנסה",F842)))),"הכנסה שסווגה מחדש",J842)</f>
        <v>הכנסה שסווגה מחדש</v>
      </c>
      <c r="L842" t="s" s="141">
        <v>741</v>
      </c>
      <c r="M842" s="143" cm="1">
        <f t="array" ref="M842">IF(L842="מאושר",IF(K842="הכנסה שסווגה מחדש",0,G842),0)</f>
        <v>0</v>
      </c>
      <c r="N842" s="143" cm="1">
        <f t="array" ref="N842">IF(K842="שוטף",M842,0)</f>
        <v>0</v>
      </c>
      <c r="O842" s="143" cm="1">
        <f t="array" ref="O842">IF(K842="הכנסה שסווגה מחדש",-G842,0)</f>
        <v>6500</v>
      </c>
      <c r="P842" t="s" s="85">
        <v>742</v>
      </c>
      <c r="Q842" s="99"/>
      <c r="R842" t="s" s="144">
        <v>743</v>
      </c>
      <c r="S842" s="77"/>
    </row>
    <row r="843" ht="13.65" customHeight="1">
      <c r="A843" s="78">
        <v>45901</v>
      </c>
      <c r="B843" t="s" s="79">
        <v>52</v>
      </c>
      <c r="C843" t="s" s="80">
        <v>819</v>
      </c>
      <c r="D843" s="131">
        <v>5</v>
      </c>
      <c r="E843" s="100"/>
      <c r="F843" t="s" s="80">
        <v>212</v>
      </c>
      <c r="G843" s="132">
        <v>0</v>
      </c>
      <c r="H843" t="s" s="133">
        <v>757</v>
      </c>
      <c r="I843" t="s" s="134">
        <v>96</v>
      </c>
      <c r="J843" t="s" s="134">
        <v>97</v>
      </c>
      <c r="K843" t="str" s="135" cm="1">
        <f t="array" ref="K843">IF(OR(H843="ריביות",AND(H843="דירה כצנלסון",G843&lt;0,ISNUMBER(SEARCH("הכנסה",F843)))),"הכנסה שסווגה מחדש",J843)</f>
        <v>שוטף</v>
      </c>
      <c r="L843" t="s" s="134">
        <v>741</v>
      </c>
      <c r="M843" s="136" cm="1">
        <f t="array" ref="M843">IF(L843="מאושר",IF(K843="הכנסה שסווגה מחדש",0,G843),0)</f>
        <v>0</v>
      </c>
      <c r="N843" s="136" cm="1">
        <f t="array" ref="N843">IF(K843="שוטף",M843,0)</f>
        <v>0</v>
      </c>
      <c r="O843" s="136" cm="1">
        <f t="array" ref="O843">IF(K843="הכנסה שסווגה מחדש",-G843,0)</f>
        <v>0</v>
      </c>
      <c r="P843" s="100"/>
      <c r="Q843" s="100"/>
      <c r="R843" t="s" s="137">
        <v>743</v>
      </c>
      <c r="S843" s="77"/>
    </row>
    <row r="844" ht="13.65" customHeight="1">
      <c r="A844" s="84">
        <v>45901</v>
      </c>
      <c r="B844" t="s" s="85">
        <v>52</v>
      </c>
      <c r="C844" t="s" s="86">
        <v>819</v>
      </c>
      <c r="D844" s="138">
        <v>6</v>
      </c>
      <c r="E844" t="s" s="85">
        <v>34</v>
      </c>
      <c r="F844" t="s" s="86">
        <v>221</v>
      </c>
      <c r="G844" s="139">
        <v>381</v>
      </c>
      <c r="H844" t="s" s="140">
        <v>757</v>
      </c>
      <c r="I844" t="s" s="141">
        <v>96</v>
      </c>
      <c r="J844" t="s" s="141">
        <v>97</v>
      </c>
      <c r="K844" t="str" s="142" cm="1">
        <f t="array" ref="K844">IF(OR(H844="ריביות",AND(H844="דירה כצנלסון",G844&lt;0,ISNUMBER(SEARCH("הכנסה",F844)))),"הכנסה שסווגה מחדש",J844)</f>
        <v>שוטף</v>
      </c>
      <c r="L844" t="s" s="141">
        <v>741</v>
      </c>
      <c r="M844" s="143" cm="1">
        <f t="array" ref="M844">IF(L844="מאושר",IF(K844="הכנסה שסווגה מחדש",0,G844),0)</f>
        <v>381</v>
      </c>
      <c r="N844" s="143" cm="1">
        <f t="array" ref="N844">IF(K844="שוטף",M844,0)</f>
        <v>381</v>
      </c>
      <c r="O844" s="143" cm="1">
        <f t="array" ref="O844">IF(K844="הכנסה שסווגה מחדש",-G844,0)</f>
        <v>0</v>
      </c>
      <c r="P844" t="s" s="86">
        <v>762</v>
      </c>
      <c r="Q844" s="99"/>
      <c r="R844" t="s" s="144">
        <v>743</v>
      </c>
      <c r="S844" s="77"/>
    </row>
    <row r="845" ht="13.65" customHeight="1">
      <c r="A845" s="78">
        <v>45901</v>
      </c>
      <c r="B845" t="s" s="79">
        <v>52</v>
      </c>
      <c r="C845" t="s" s="80">
        <v>819</v>
      </c>
      <c r="D845" s="131">
        <v>7</v>
      </c>
      <c r="E845" t="s" s="79">
        <v>34</v>
      </c>
      <c r="F845" t="s" s="80">
        <v>272</v>
      </c>
      <c r="G845" s="132">
        <v>119</v>
      </c>
      <c r="H845" t="s" s="133">
        <v>757</v>
      </c>
      <c r="I845" t="s" s="134">
        <v>96</v>
      </c>
      <c r="J845" t="s" s="134">
        <v>97</v>
      </c>
      <c r="K845" t="str" s="135" cm="1">
        <f t="array" ref="K845">IF(OR(H845="ריביות",AND(H845="דירה כצנלסון",G845&lt;0,ISNUMBER(SEARCH("הכנסה",F845)))),"הכנסה שסווגה מחדש",J845)</f>
        <v>שוטף</v>
      </c>
      <c r="L845" t="s" s="134">
        <v>741</v>
      </c>
      <c r="M845" s="136" cm="1">
        <f t="array" ref="M845">IF(L845="מאושר",IF(K845="הכנסה שסווגה מחדש",0,G845),0)</f>
        <v>119</v>
      </c>
      <c r="N845" s="136" cm="1">
        <f t="array" ref="N845">IF(K845="שוטף",M845,0)</f>
        <v>119</v>
      </c>
      <c r="O845" s="136" cm="1">
        <f t="array" ref="O845">IF(K845="הכנסה שסווגה מחדש",-G845,0)</f>
        <v>0</v>
      </c>
      <c r="P845" t="s" s="80">
        <v>783</v>
      </c>
      <c r="Q845" s="100"/>
      <c r="R845" t="s" s="137">
        <v>743</v>
      </c>
      <c r="S845" s="77"/>
    </row>
    <row r="846" ht="13.65" customHeight="1">
      <c r="A846" s="84">
        <v>45901</v>
      </c>
      <c r="B846" t="s" s="85">
        <v>52</v>
      </c>
      <c r="C846" t="s" s="86">
        <v>819</v>
      </c>
      <c r="D846" s="138">
        <v>8</v>
      </c>
      <c r="E846" s="99"/>
      <c r="F846" t="s" s="86">
        <v>232</v>
      </c>
      <c r="G846" s="139">
        <v>0</v>
      </c>
      <c r="H846" t="s" s="140">
        <v>757</v>
      </c>
      <c r="I846" t="s" s="141">
        <v>96</v>
      </c>
      <c r="J846" t="s" s="141">
        <v>97</v>
      </c>
      <c r="K846" t="str" s="142" cm="1">
        <f t="array" ref="K846">IF(OR(H846="ריביות",AND(H846="דירה כצנלסון",G846&lt;0,ISNUMBER(SEARCH("הכנסה",F846)))),"הכנסה שסווגה מחדש",J846)</f>
        <v>שוטף</v>
      </c>
      <c r="L846" t="s" s="141">
        <v>741</v>
      </c>
      <c r="M846" s="143" cm="1">
        <f t="array" ref="M846">IF(L846="מאושר",IF(K846="הכנסה שסווגה מחדש",0,G846),0)</f>
        <v>0</v>
      </c>
      <c r="N846" s="143" cm="1">
        <f t="array" ref="N846">IF(K846="שוטף",M846,0)</f>
        <v>0</v>
      </c>
      <c r="O846" s="143" cm="1">
        <f t="array" ref="O846">IF(K846="הכנסה שסווגה מחדש",-G846,0)</f>
        <v>0</v>
      </c>
      <c r="P846" s="99"/>
      <c r="Q846" s="99"/>
      <c r="R846" t="s" s="144">
        <v>743</v>
      </c>
      <c r="S846" s="77"/>
    </row>
    <row r="847" ht="13.65" customHeight="1">
      <c r="A847" s="78">
        <v>45901</v>
      </c>
      <c r="B847" t="s" s="79">
        <v>52</v>
      </c>
      <c r="C847" t="s" s="80">
        <v>819</v>
      </c>
      <c r="D847" s="131">
        <v>9</v>
      </c>
      <c r="E847" t="s" s="79">
        <v>769</v>
      </c>
      <c r="F847" t="s" s="80">
        <v>374</v>
      </c>
      <c r="G847" s="132">
        <v>37</v>
      </c>
      <c r="H847" t="s" s="133">
        <v>757</v>
      </c>
      <c r="I847" t="s" s="134">
        <v>96</v>
      </c>
      <c r="J847" t="s" s="134">
        <v>97</v>
      </c>
      <c r="K847" t="str" s="135" cm="1">
        <f t="array" ref="K847">IF(OR(H847="ריביות",AND(H847="דירה כצנלסון",G847&lt;0,ISNUMBER(SEARCH("הכנסה",F847)))),"הכנסה שסווגה מחדש",J847)</f>
        <v>שוטף</v>
      </c>
      <c r="L847" t="s" s="134">
        <v>741</v>
      </c>
      <c r="M847" s="136" cm="1">
        <f t="array" ref="M847">IF(L847="מאושר",IF(K847="הכנסה שסווגה מחדש",0,G847),0)</f>
        <v>37</v>
      </c>
      <c r="N847" s="136" cm="1">
        <f t="array" ref="N847">IF(K847="שוטף",M847,0)</f>
        <v>37</v>
      </c>
      <c r="O847" s="136" cm="1">
        <f t="array" ref="O847">IF(K847="הכנסה שסווגה מחדש",-G847,0)</f>
        <v>0</v>
      </c>
      <c r="P847" t="s" s="80">
        <v>762</v>
      </c>
      <c r="Q847" s="100"/>
      <c r="R847" t="s" s="137">
        <v>743</v>
      </c>
      <c r="S847" s="77"/>
    </row>
    <row r="848" ht="13.65" customHeight="1">
      <c r="A848" s="84">
        <v>45901</v>
      </c>
      <c r="B848" t="s" s="85">
        <v>52</v>
      </c>
      <c r="C848" t="s" s="86">
        <v>819</v>
      </c>
      <c r="D848" s="138">
        <v>10</v>
      </c>
      <c r="E848" s="99"/>
      <c r="F848" t="s" s="86">
        <v>211</v>
      </c>
      <c r="G848" s="139">
        <v>400</v>
      </c>
      <c r="H848" t="s" s="140">
        <v>757</v>
      </c>
      <c r="I848" t="s" s="141">
        <v>96</v>
      </c>
      <c r="J848" t="s" s="141">
        <v>97</v>
      </c>
      <c r="K848" t="str" s="142" cm="1">
        <f t="array" ref="K848">IF(OR(H848="ריביות",AND(H848="דירה כצנלסון",G848&lt;0,ISNUMBER(SEARCH("הכנסה",F848)))),"הכנסה שסווגה מחדש",J848)</f>
        <v>שוטף</v>
      </c>
      <c r="L848" t="s" s="141">
        <v>741</v>
      </c>
      <c r="M848" s="143" cm="1">
        <f t="array" ref="M848">IF(L848="מאושר",IF(K848="הכנסה שסווגה מחדש",0,G848),0)</f>
        <v>400</v>
      </c>
      <c r="N848" s="143" cm="1">
        <f t="array" ref="N848">IF(K848="שוטף",M848,0)</f>
        <v>400</v>
      </c>
      <c r="O848" s="143" cm="1">
        <f t="array" ref="O848">IF(K848="הכנסה שסווגה מחדש",-G848,0)</f>
        <v>0</v>
      </c>
      <c r="P848" t="s" s="86">
        <v>781</v>
      </c>
      <c r="Q848" s="99"/>
      <c r="R848" t="s" s="144">
        <v>743</v>
      </c>
      <c r="S848" s="77"/>
    </row>
    <row r="849" ht="13.65" customHeight="1">
      <c r="A849" s="78">
        <v>45901</v>
      </c>
      <c r="B849" t="s" s="79">
        <v>52</v>
      </c>
      <c r="C849" t="s" s="80">
        <v>819</v>
      </c>
      <c r="D849" s="131">
        <v>11</v>
      </c>
      <c r="E849" s="100"/>
      <c r="F849" t="s" s="80">
        <v>302</v>
      </c>
      <c r="G849" s="132">
        <v>79</v>
      </c>
      <c r="H849" t="s" s="133">
        <v>763</v>
      </c>
      <c r="I849" t="s" s="134">
        <v>96</v>
      </c>
      <c r="J849" t="s" s="134">
        <v>97</v>
      </c>
      <c r="K849" t="str" s="135" cm="1">
        <f t="array" ref="K849">IF(OR(H849="ריביות",AND(H849="דירה כצנלסון",G849&lt;0,ISNUMBER(SEARCH("הכנסה",F849)))),"הכנסה שסווגה מחדש",J849)</f>
        <v>שוטף</v>
      </c>
      <c r="L849" t="s" s="134">
        <v>741</v>
      </c>
      <c r="M849" s="136" cm="1">
        <f t="array" ref="M849">IF(L849="מאושר",IF(K849="הכנסה שסווגה מחדש",0,G849),0)</f>
        <v>79</v>
      </c>
      <c r="N849" s="136" cm="1">
        <f t="array" ref="N849">IF(K849="שוטף",M849,0)</f>
        <v>79</v>
      </c>
      <c r="O849" s="136" cm="1">
        <f t="array" ref="O849">IF(K849="הכנסה שסווגה מחדש",-G849,0)</f>
        <v>0</v>
      </c>
      <c r="P849" t="s" s="80">
        <v>762</v>
      </c>
      <c r="Q849" s="100"/>
      <c r="R849" t="s" s="137">
        <v>743</v>
      </c>
      <c r="S849" s="77"/>
    </row>
    <row r="850" ht="13.65" customHeight="1">
      <c r="A850" s="84">
        <v>45901</v>
      </c>
      <c r="B850" t="s" s="85">
        <v>52</v>
      </c>
      <c r="C850" t="s" s="86">
        <v>819</v>
      </c>
      <c r="D850" s="138">
        <v>12</v>
      </c>
      <c r="E850" t="s" s="85">
        <v>773</v>
      </c>
      <c r="F850" t="s" s="86">
        <v>320</v>
      </c>
      <c r="G850" s="139">
        <v>59</v>
      </c>
      <c r="H850" t="s" s="140">
        <v>763</v>
      </c>
      <c r="I850" t="s" s="141">
        <v>96</v>
      </c>
      <c r="J850" t="s" s="141">
        <v>97</v>
      </c>
      <c r="K850" t="str" s="142" cm="1">
        <f t="array" ref="K850">IF(OR(H850="ריביות",AND(H850="דירה כצנלסון",G850&lt;0,ISNUMBER(SEARCH("הכנסה",F850)))),"הכנסה שסווגה מחדש",J850)</f>
        <v>שוטף</v>
      </c>
      <c r="L850" t="s" s="141">
        <v>741</v>
      </c>
      <c r="M850" s="143" cm="1">
        <f t="array" ref="M850">IF(L850="מאושר",IF(K850="הכנסה שסווגה מחדש",0,G850),0)</f>
        <v>59</v>
      </c>
      <c r="N850" s="143" cm="1">
        <f t="array" ref="N850">IF(K850="שוטף",M850,0)</f>
        <v>59</v>
      </c>
      <c r="O850" s="143" cm="1">
        <f t="array" ref="O850">IF(K850="הכנסה שסווגה מחדש",-G850,0)</f>
        <v>0</v>
      </c>
      <c r="P850" t="s" s="86">
        <v>762</v>
      </c>
      <c r="Q850" s="99"/>
      <c r="R850" t="s" s="144">
        <v>743</v>
      </c>
      <c r="S850" s="77"/>
    </row>
    <row r="851" ht="13.65" customHeight="1">
      <c r="A851" s="78">
        <v>45901</v>
      </c>
      <c r="B851" t="s" s="79">
        <v>52</v>
      </c>
      <c r="C851" t="s" s="80">
        <v>819</v>
      </c>
      <c r="D851" s="131">
        <v>13</v>
      </c>
      <c r="E851" t="s" s="79">
        <v>764</v>
      </c>
      <c r="F851" t="s" s="80">
        <v>273</v>
      </c>
      <c r="G851" s="132">
        <v>0</v>
      </c>
      <c r="H851" t="s" s="133">
        <v>279</v>
      </c>
      <c r="I851" t="s" s="134">
        <v>99</v>
      </c>
      <c r="J851" t="s" s="134">
        <v>100</v>
      </c>
      <c r="K851" t="str" s="135" cm="1">
        <f t="array" ref="K851">IF(OR(H851="ריביות",AND(H851="דירה כצנלסון",G851&lt;0,ISNUMBER(SEARCH("הכנסה",F851)))),"הכנסה שסווגה מחדש",J851)</f>
        <v>חריג/נכס</v>
      </c>
      <c r="L851" t="s" s="134">
        <v>741</v>
      </c>
      <c r="M851" s="136" cm="1">
        <f t="array" ref="M851">IF(L851="מאושר",IF(K851="הכנסה שסווגה מחדש",0,G851),0)</f>
        <v>0</v>
      </c>
      <c r="N851" s="136" cm="1">
        <f t="array" ref="N851">IF(K851="שוטף",M851,0)</f>
        <v>0</v>
      </c>
      <c r="O851" s="136" cm="1">
        <f t="array" ref="O851">IF(K851="הכנסה שסווגה מחדש",-G851,0)</f>
        <v>0</v>
      </c>
      <c r="P851" t="s" s="80">
        <v>762</v>
      </c>
      <c r="Q851" s="100"/>
      <c r="R851" t="s" s="137">
        <v>743</v>
      </c>
      <c r="S851" s="77"/>
    </row>
    <row r="852" ht="13.65" customHeight="1">
      <c r="A852" s="84">
        <v>45901</v>
      </c>
      <c r="B852" t="s" s="85">
        <v>52</v>
      </c>
      <c r="C852" t="s" s="86">
        <v>819</v>
      </c>
      <c r="D852" s="138">
        <v>14</v>
      </c>
      <c r="E852" t="s" s="85">
        <v>764</v>
      </c>
      <c r="F852" t="s" s="86">
        <v>328</v>
      </c>
      <c r="G852" s="139">
        <v>30</v>
      </c>
      <c r="H852" t="s" s="140">
        <v>279</v>
      </c>
      <c r="I852" t="s" s="141">
        <v>99</v>
      </c>
      <c r="J852" t="s" s="141">
        <v>100</v>
      </c>
      <c r="K852" t="str" s="142" cm="1">
        <f t="array" ref="K852">IF(OR(H852="ריביות",AND(H852="דירה כצנלסון",G852&lt;0,ISNUMBER(SEARCH("הכנסה",F852)))),"הכנסה שסווגה מחדש",J852)</f>
        <v>חריג/נכס</v>
      </c>
      <c r="L852" t="s" s="141">
        <v>741</v>
      </c>
      <c r="M852" s="143" cm="1">
        <f t="array" ref="M852">IF(L852="מאושר",IF(K852="הכנסה שסווגה מחדש",0,G852),0)</f>
        <v>30</v>
      </c>
      <c r="N852" s="143" cm="1">
        <f t="array" ref="N852">IF(K852="שוטף",M852,0)</f>
        <v>0</v>
      </c>
      <c r="O852" s="143" cm="1">
        <f t="array" ref="O852">IF(K852="הכנסה שסווגה מחדש",-G852,0)</f>
        <v>0</v>
      </c>
      <c r="P852" t="s" s="86">
        <v>762</v>
      </c>
      <c r="Q852" s="99"/>
      <c r="R852" t="s" s="144">
        <v>743</v>
      </c>
      <c r="S852" s="77"/>
    </row>
    <row r="853" ht="13.65" customHeight="1">
      <c r="A853" s="78">
        <v>45901</v>
      </c>
      <c r="B853" t="s" s="79">
        <v>52</v>
      </c>
      <c r="C853" t="s" s="80">
        <v>819</v>
      </c>
      <c r="D853" s="131">
        <v>15</v>
      </c>
      <c r="E853" t="s" s="79">
        <v>759</v>
      </c>
      <c r="F853" t="s" s="80">
        <v>263</v>
      </c>
      <c r="G853" s="132">
        <v>115</v>
      </c>
      <c r="H853" t="s" s="133">
        <v>135</v>
      </c>
      <c r="I853" t="s" s="134">
        <v>135</v>
      </c>
      <c r="J853" t="s" s="134">
        <v>97</v>
      </c>
      <c r="K853" t="str" s="135" cm="1">
        <f t="array" ref="K853">IF(OR(H853="ריביות",AND(H853="דירה כצנלסון",G853&lt;0,ISNUMBER(SEARCH("הכנסה",F853)))),"הכנסה שסווגה מחדש",J853)</f>
        <v>שוטף</v>
      </c>
      <c r="L853" t="s" s="134">
        <v>741</v>
      </c>
      <c r="M853" s="136" cm="1">
        <f t="array" ref="M853">IF(L853="מאושר",IF(K853="הכנסה שסווגה מחדש",0,G853),0)</f>
        <v>115</v>
      </c>
      <c r="N853" s="136" cm="1">
        <f t="array" ref="N853">IF(K853="שוטף",M853,0)</f>
        <v>115</v>
      </c>
      <c r="O853" s="136" cm="1">
        <f t="array" ref="O853">IF(K853="הכנסה שסווגה מחדש",-G853,0)</f>
        <v>0</v>
      </c>
      <c r="P853" t="s" s="80">
        <v>770</v>
      </c>
      <c r="Q853" s="100"/>
      <c r="R853" t="s" s="137">
        <v>743</v>
      </c>
      <c r="S853" s="77"/>
    </row>
    <row r="854" ht="13.65" customHeight="1">
      <c r="A854" s="84">
        <v>45901</v>
      </c>
      <c r="B854" t="s" s="85">
        <v>52</v>
      </c>
      <c r="C854" t="s" s="86">
        <v>819</v>
      </c>
      <c r="D854" s="138">
        <v>16</v>
      </c>
      <c r="E854" t="s" s="85">
        <v>34</v>
      </c>
      <c r="F854" t="s" s="86">
        <v>245</v>
      </c>
      <c r="G854" s="139">
        <v>56</v>
      </c>
      <c r="H854" t="s" s="140">
        <v>767</v>
      </c>
      <c r="I854" t="s" s="141">
        <v>107</v>
      </c>
      <c r="J854" t="s" s="141">
        <v>97</v>
      </c>
      <c r="K854" t="str" s="142" cm="1">
        <f t="array" ref="K854">IF(OR(H854="ריביות",AND(H854="דירה כצנלסון",G854&lt;0,ISNUMBER(SEARCH("הכנסה",F854)))),"הכנסה שסווגה מחדש",J854)</f>
        <v>שוטף</v>
      </c>
      <c r="L854" t="s" s="141">
        <v>741</v>
      </c>
      <c r="M854" s="143" cm="1">
        <f t="array" ref="M854">IF(L854="מאושר",IF(K854="הכנסה שסווגה מחדש",0,G854),0)</f>
        <v>56</v>
      </c>
      <c r="N854" s="143" cm="1">
        <f t="array" ref="N854">IF(K854="שוטף",M854,0)</f>
        <v>56</v>
      </c>
      <c r="O854" s="143" cm="1">
        <f t="array" ref="O854">IF(K854="הכנסה שסווגה מחדש",-G854,0)</f>
        <v>0</v>
      </c>
      <c r="P854" t="s" s="86">
        <v>762</v>
      </c>
      <c r="Q854" s="99"/>
      <c r="R854" t="s" s="144">
        <v>743</v>
      </c>
      <c r="S854" s="77"/>
    </row>
    <row r="855" ht="13.65" customHeight="1">
      <c r="A855" s="78">
        <v>45901</v>
      </c>
      <c r="B855" t="s" s="79">
        <v>52</v>
      </c>
      <c r="C855" t="s" s="80">
        <v>819</v>
      </c>
      <c r="D855" s="131">
        <v>17</v>
      </c>
      <c r="E855" t="s" s="79">
        <v>34</v>
      </c>
      <c r="F855" t="s" s="80">
        <v>245</v>
      </c>
      <c r="G855" s="132">
        <v>96</v>
      </c>
      <c r="H855" t="s" s="133">
        <v>767</v>
      </c>
      <c r="I855" t="s" s="134">
        <v>107</v>
      </c>
      <c r="J855" t="s" s="134">
        <v>97</v>
      </c>
      <c r="K855" t="str" s="135" cm="1">
        <f t="array" ref="K855">IF(OR(H855="ריביות",AND(H855="דירה כצנלסון",G855&lt;0,ISNUMBER(SEARCH("הכנסה",F855)))),"הכנסה שסווגה מחדש",J855)</f>
        <v>שוטף</v>
      </c>
      <c r="L855" t="s" s="134">
        <v>741</v>
      </c>
      <c r="M855" s="136" cm="1">
        <f t="array" ref="M855">IF(L855="מאושר",IF(K855="הכנסה שסווגה מחדש",0,G855),0)</f>
        <v>96</v>
      </c>
      <c r="N855" s="136" cm="1">
        <f t="array" ref="N855">IF(K855="שוטף",M855,0)</f>
        <v>96</v>
      </c>
      <c r="O855" s="136" cm="1">
        <f t="array" ref="O855">IF(K855="הכנסה שסווגה מחדש",-G855,0)</f>
        <v>0</v>
      </c>
      <c r="P855" t="s" s="80">
        <v>770</v>
      </c>
      <c r="Q855" s="100"/>
      <c r="R855" t="s" s="137">
        <v>743</v>
      </c>
      <c r="S855" s="77"/>
    </row>
    <row r="856" ht="13.65" customHeight="1">
      <c r="A856" s="84">
        <v>45901</v>
      </c>
      <c r="B856" t="s" s="85">
        <v>52</v>
      </c>
      <c r="C856" t="s" s="86">
        <v>819</v>
      </c>
      <c r="D856" s="138">
        <v>18</v>
      </c>
      <c r="E856" t="s" s="85">
        <v>38</v>
      </c>
      <c r="F856" t="s" s="86">
        <v>199</v>
      </c>
      <c r="G856" s="139">
        <v>1800</v>
      </c>
      <c r="H856" t="s" s="140">
        <v>767</v>
      </c>
      <c r="I856" t="s" s="141">
        <v>107</v>
      </c>
      <c r="J856" t="s" s="141">
        <v>97</v>
      </c>
      <c r="K856" t="str" s="142" cm="1">
        <f t="array" ref="K856">IF(OR(H856="ריביות",AND(H856="דירה כצנלסון",G856&lt;0,ISNUMBER(SEARCH("הכנסה",F856)))),"הכנסה שסווגה מחדש",J856)</f>
        <v>שוטף</v>
      </c>
      <c r="L856" t="s" s="141">
        <v>741</v>
      </c>
      <c r="M856" s="143" cm="1">
        <f t="array" ref="M856">IF(L856="מאושר",IF(K856="הכנסה שסווגה מחדש",0,G856),0)</f>
        <v>1800</v>
      </c>
      <c r="N856" s="143" cm="1">
        <f t="array" ref="N856">IF(K856="שוטף",M856,0)</f>
        <v>1800</v>
      </c>
      <c r="O856" s="143" cm="1">
        <f t="array" ref="O856">IF(K856="הכנסה שסווגה מחדש",-G856,0)</f>
        <v>0</v>
      </c>
      <c r="P856" t="s" s="85">
        <v>742</v>
      </c>
      <c r="Q856" s="99"/>
      <c r="R856" t="s" s="144">
        <v>743</v>
      </c>
      <c r="S856" s="77"/>
    </row>
    <row r="857" ht="13.65" customHeight="1">
      <c r="A857" s="78">
        <v>45901</v>
      </c>
      <c r="B857" t="s" s="79">
        <v>52</v>
      </c>
      <c r="C857" t="s" s="80">
        <v>819</v>
      </c>
      <c r="D857" s="131">
        <v>19</v>
      </c>
      <c r="E857" t="s" s="79">
        <v>42</v>
      </c>
      <c r="F857" t="s" s="80">
        <v>205</v>
      </c>
      <c r="G857" s="132">
        <v>6500</v>
      </c>
      <c r="H857" t="s" s="133">
        <v>111</v>
      </c>
      <c r="I857" t="s" s="134">
        <v>111</v>
      </c>
      <c r="J857" t="s" s="134">
        <v>97</v>
      </c>
      <c r="K857" t="str" s="135" cm="1">
        <f t="array" ref="K857">IF(OR(H857="ריביות",AND(H857="דירה כצנלסון",G857&lt;0,ISNUMBER(SEARCH("הכנסה",F857)))),"הכנסה שסווגה מחדש",J857)</f>
        <v>שוטף</v>
      </c>
      <c r="L857" t="s" s="134">
        <v>741</v>
      </c>
      <c r="M857" s="136" cm="1">
        <f t="array" ref="M857">IF(L857="מאושר",IF(K857="הכנסה שסווגה מחדש",0,G857),0)</f>
        <v>6500</v>
      </c>
      <c r="N857" s="136" cm="1">
        <f t="array" ref="N857">IF(K857="שוטף",M857,0)</f>
        <v>6500</v>
      </c>
      <c r="O857" s="136" cm="1">
        <f t="array" ref="O857">IF(K857="הכנסה שסווגה מחדש",-G857,0)</f>
        <v>0</v>
      </c>
      <c r="P857" t="s" s="79">
        <v>742</v>
      </c>
      <c r="Q857" s="100"/>
      <c r="R857" t="s" s="137">
        <v>743</v>
      </c>
      <c r="S857" s="77"/>
    </row>
    <row r="858" ht="13.65" customHeight="1">
      <c r="A858" s="84">
        <v>45901</v>
      </c>
      <c r="B858" t="s" s="85">
        <v>52</v>
      </c>
      <c r="C858" t="s" s="86">
        <v>819</v>
      </c>
      <c r="D858" s="138">
        <v>21</v>
      </c>
      <c r="E858" t="s" s="85">
        <v>30</v>
      </c>
      <c r="F858" t="s" s="86">
        <v>209</v>
      </c>
      <c r="G858" s="139">
        <v>65</v>
      </c>
      <c r="H858" t="s" s="140">
        <v>113</v>
      </c>
      <c r="I858" t="s" s="141">
        <v>113</v>
      </c>
      <c r="J858" t="s" s="141">
        <v>97</v>
      </c>
      <c r="K858" t="str" s="142" cm="1">
        <f t="array" ref="K858">IF(OR(H858="ריביות",AND(H858="דירה כצנלסון",G858&lt;0,ISNUMBER(SEARCH("הכנסה",F858)))),"הכנסה שסווגה מחדש",J858)</f>
        <v>שוטף</v>
      </c>
      <c r="L858" t="s" s="141">
        <v>741</v>
      </c>
      <c r="M858" s="143" cm="1">
        <f t="array" ref="M858">IF(L858="מאושר",IF(K858="הכנסה שסווגה מחדש",0,G858),0)</f>
        <v>65</v>
      </c>
      <c r="N858" s="143" cm="1">
        <f t="array" ref="N858">IF(K858="שוטף",M858,0)</f>
        <v>65</v>
      </c>
      <c r="O858" s="143" cm="1">
        <f t="array" ref="O858">IF(K858="הכנסה שסווגה מחדש",-G858,0)</f>
        <v>0</v>
      </c>
      <c r="P858" t="s" s="85">
        <v>748</v>
      </c>
      <c r="Q858" s="99"/>
      <c r="R858" t="s" s="144">
        <v>743</v>
      </c>
      <c r="S858" s="77"/>
    </row>
    <row r="859" ht="13.65" customHeight="1">
      <c r="A859" s="78">
        <v>45901</v>
      </c>
      <c r="B859" t="s" s="79">
        <v>52</v>
      </c>
      <c r="C859" t="s" s="80">
        <v>819</v>
      </c>
      <c r="D859" s="131">
        <v>22</v>
      </c>
      <c r="E859" t="s" s="79">
        <v>42</v>
      </c>
      <c r="F859" t="s" s="80">
        <v>391</v>
      </c>
      <c r="G859" s="132">
        <v>8</v>
      </c>
      <c r="H859" t="s" s="133">
        <v>115</v>
      </c>
      <c r="I859" t="s" s="134">
        <v>115</v>
      </c>
      <c r="J859" t="s" s="134">
        <v>97</v>
      </c>
      <c r="K859" t="str" s="135" cm="1">
        <f t="array" ref="K859">IF(OR(H859="ריביות",AND(H859="דירה כצנלסון",G859&lt;0,ISNUMBER(SEARCH("הכנסה",F859)))),"הכנסה שסווגה מחדש",J859)</f>
        <v>שוטף</v>
      </c>
      <c r="L859" t="s" s="134">
        <v>741</v>
      </c>
      <c r="M859" s="136" cm="1">
        <f t="array" ref="M859">IF(L859="מאושר",IF(K859="הכנסה שסווגה מחדש",0,G859),0)</f>
        <v>8</v>
      </c>
      <c r="N859" s="136" cm="1">
        <f t="array" ref="N859">IF(K859="שוטף",M859,0)</f>
        <v>8</v>
      </c>
      <c r="O859" s="136" cm="1">
        <f t="array" ref="O859">IF(K859="הכנסה שסווגה מחדש",-G859,0)</f>
        <v>0</v>
      </c>
      <c r="P859" t="s" s="79">
        <v>748</v>
      </c>
      <c r="Q859" s="100"/>
      <c r="R859" t="s" s="137">
        <v>743</v>
      </c>
      <c r="S859" s="77"/>
    </row>
    <row r="860" ht="13.65" customHeight="1">
      <c r="A860" s="84">
        <v>45901</v>
      </c>
      <c r="B860" t="s" s="85">
        <v>52</v>
      </c>
      <c r="C860" t="s" s="86">
        <v>819</v>
      </c>
      <c r="D860" s="138">
        <v>23</v>
      </c>
      <c r="E860" t="s" s="85">
        <v>46</v>
      </c>
      <c r="F860" t="s" s="86">
        <v>391</v>
      </c>
      <c r="G860" s="139">
        <v>9</v>
      </c>
      <c r="H860" t="s" s="140">
        <v>115</v>
      </c>
      <c r="I860" t="s" s="141">
        <v>115</v>
      </c>
      <c r="J860" t="s" s="141">
        <v>97</v>
      </c>
      <c r="K860" t="str" s="142" cm="1">
        <f t="array" ref="K860">IF(OR(H860="ריביות",AND(H860="דירה כצנלסון",G860&lt;0,ISNUMBER(SEARCH("הכנסה",F860)))),"הכנסה שסווגה מחדש",J860)</f>
        <v>שוטף</v>
      </c>
      <c r="L860" t="s" s="141">
        <v>741</v>
      </c>
      <c r="M860" s="143" cm="1">
        <f t="array" ref="M860">IF(L860="מאושר",IF(K860="הכנסה שסווגה מחדש",0,G860),0)</f>
        <v>9</v>
      </c>
      <c r="N860" s="143" cm="1">
        <f t="array" ref="N860">IF(K860="שוטף",M860,0)</f>
        <v>9</v>
      </c>
      <c r="O860" s="143" cm="1">
        <f t="array" ref="O860">IF(K860="הכנסה שסווגה מחדש",-G860,0)</f>
        <v>0</v>
      </c>
      <c r="P860" t="s" s="85">
        <v>748</v>
      </c>
      <c r="Q860" s="99"/>
      <c r="R860" t="s" s="144">
        <v>743</v>
      </c>
      <c r="S860" s="77"/>
    </row>
    <row r="861" ht="13.65" customHeight="1">
      <c r="A861" s="78">
        <v>45901</v>
      </c>
      <c r="B861" t="s" s="79">
        <v>52</v>
      </c>
      <c r="C861" t="s" s="80">
        <v>819</v>
      </c>
      <c r="D861" s="131">
        <v>24</v>
      </c>
      <c r="E861" t="s" s="79">
        <v>788</v>
      </c>
      <c r="F861" t="s" s="80">
        <v>209</v>
      </c>
      <c r="G861" s="132">
        <v>99</v>
      </c>
      <c r="H861" t="s" s="133">
        <v>113</v>
      </c>
      <c r="I861" t="s" s="134">
        <v>113</v>
      </c>
      <c r="J861" t="s" s="134">
        <v>97</v>
      </c>
      <c r="K861" t="str" s="135" cm="1">
        <f t="array" ref="K861">IF(OR(H861="ריביות",AND(H861="דירה כצנלסון",G861&lt;0,ISNUMBER(SEARCH("הכנסה",F861)))),"הכנסה שסווגה מחדש",J861)</f>
        <v>שוטף</v>
      </c>
      <c r="L861" t="s" s="134">
        <v>741</v>
      </c>
      <c r="M861" s="136" cm="1">
        <f t="array" ref="M861">IF(L861="מאושר",IF(K861="הכנסה שסווגה מחדש",0,G861),0)</f>
        <v>99</v>
      </c>
      <c r="N861" s="136" cm="1">
        <f t="array" ref="N861">IF(K861="שוטף",M861,0)</f>
        <v>99</v>
      </c>
      <c r="O861" s="136" cm="1">
        <f t="array" ref="O861">IF(K861="הכנסה שסווגה מחדש",-G861,0)</f>
        <v>0</v>
      </c>
      <c r="P861" t="s" s="79">
        <v>748</v>
      </c>
      <c r="Q861" s="100"/>
      <c r="R861" t="s" s="137">
        <v>743</v>
      </c>
      <c r="S861" s="77"/>
    </row>
    <row r="862" ht="13.65" customHeight="1">
      <c r="A862" s="84">
        <v>45901</v>
      </c>
      <c r="B862" t="s" s="85">
        <v>52</v>
      </c>
      <c r="C862" t="s" s="86">
        <v>819</v>
      </c>
      <c r="D862" s="138">
        <v>25</v>
      </c>
      <c r="E862" t="s" s="85">
        <v>788</v>
      </c>
      <c r="F862" t="s" s="86">
        <v>391</v>
      </c>
      <c r="G862" s="139">
        <v>11</v>
      </c>
      <c r="H862" t="s" s="140">
        <v>115</v>
      </c>
      <c r="I862" t="s" s="141">
        <v>115</v>
      </c>
      <c r="J862" t="s" s="141">
        <v>97</v>
      </c>
      <c r="K862" t="str" s="142" cm="1">
        <f t="array" ref="K862">IF(OR(H862="ריביות",AND(H862="דירה כצנלסון",G862&lt;0,ISNUMBER(SEARCH("הכנסה",F862)))),"הכנסה שסווגה מחדש",J862)</f>
        <v>שוטף</v>
      </c>
      <c r="L862" t="s" s="141">
        <v>741</v>
      </c>
      <c r="M862" s="143" cm="1">
        <f t="array" ref="M862">IF(L862="מאושר",IF(K862="הכנסה שסווגה מחדש",0,G862),0)</f>
        <v>11</v>
      </c>
      <c r="N862" s="143" cm="1">
        <f t="array" ref="N862">IF(K862="שוטף",M862,0)</f>
        <v>11</v>
      </c>
      <c r="O862" s="143" cm="1">
        <f t="array" ref="O862">IF(K862="הכנסה שסווגה מחדש",-G862,0)</f>
        <v>0</v>
      </c>
      <c r="P862" t="s" s="85">
        <v>748</v>
      </c>
      <c r="Q862" s="99"/>
      <c r="R862" t="s" s="144">
        <v>743</v>
      </c>
      <c r="S862" s="77"/>
    </row>
    <row r="863" ht="13.65" customHeight="1">
      <c r="A863" s="78">
        <v>45901</v>
      </c>
      <c r="B863" t="s" s="79">
        <v>52</v>
      </c>
      <c r="C863" t="s" s="80">
        <v>819</v>
      </c>
      <c r="D863" s="131">
        <v>26</v>
      </c>
      <c r="E863" t="s" s="79">
        <v>739</v>
      </c>
      <c r="F863" t="s" s="80">
        <v>391</v>
      </c>
      <c r="G863" s="132">
        <v>40</v>
      </c>
      <c r="H863" t="s" s="133">
        <v>115</v>
      </c>
      <c r="I863" t="s" s="134">
        <v>115</v>
      </c>
      <c r="J863" t="s" s="134">
        <v>97</v>
      </c>
      <c r="K863" t="str" s="135" cm="1">
        <f t="array" ref="K863">IF(OR(H863="ריביות",AND(H863="דירה כצנלסון",G863&lt;0,ISNUMBER(SEARCH("הכנסה",F863)))),"הכנסה שסווגה מחדש",J863)</f>
        <v>שוטף</v>
      </c>
      <c r="L863" t="s" s="134">
        <v>741</v>
      </c>
      <c r="M863" s="136" cm="1">
        <f t="array" ref="M863">IF(L863="מאושר",IF(K863="הכנסה שסווגה מחדש",0,G863),0)</f>
        <v>40</v>
      </c>
      <c r="N863" s="136" cm="1">
        <f t="array" ref="N863">IF(K863="שוטף",M863,0)</f>
        <v>40</v>
      </c>
      <c r="O863" s="136" cm="1">
        <f t="array" ref="O863">IF(K863="הכנסה שסווגה מחדש",-G863,0)</f>
        <v>0</v>
      </c>
      <c r="P863" t="s" s="79">
        <v>748</v>
      </c>
      <c r="Q863" s="100"/>
      <c r="R863" t="s" s="137">
        <v>743</v>
      </c>
      <c r="S863" s="77"/>
    </row>
    <row r="864" ht="13.65" customHeight="1">
      <c r="A864" s="84">
        <v>45901</v>
      </c>
      <c r="B864" t="s" s="85">
        <v>52</v>
      </c>
      <c r="C864" t="s" s="86">
        <v>819</v>
      </c>
      <c r="D864" s="138">
        <v>27</v>
      </c>
      <c r="E864" t="s" s="85">
        <v>754</v>
      </c>
      <c r="F864" t="s" s="86">
        <v>391</v>
      </c>
      <c r="G864" s="139">
        <v>30</v>
      </c>
      <c r="H864" t="s" s="140">
        <v>115</v>
      </c>
      <c r="I864" t="s" s="141">
        <v>115</v>
      </c>
      <c r="J864" t="s" s="141">
        <v>97</v>
      </c>
      <c r="K864" t="str" s="142" cm="1">
        <f t="array" ref="K864">IF(OR(H864="ריביות",AND(H864="דירה כצנלסון",G864&lt;0,ISNUMBER(SEARCH("הכנסה",F864)))),"הכנסה שסווגה מחדש",J864)</f>
        <v>שוטף</v>
      </c>
      <c r="L864" t="s" s="141">
        <v>741</v>
      </c>
      <c r="M864" s="143" cm="1">
        <f t="array" ref="M864">IF(L864="מאושר",IF(K864="הכנסה שסווגה מחדש",0,G864),0)</f>
        <v>30</v>
      </c>
      <c r="N864" s="143" cm="1">
        <f t="array" ref="N864">IF(K864="שוטף",M864,0)</f>
        <v>30</v>
      </c>
      <c r="O864" s="143" cm="1">
        <f t="array" ref="O864">IF(K864="הכנסה שסווגה מחדש",-G864,0)</f>
        <v>0</v>
      </c>
      <c r="P864" t="s" s="85">
        <v>748</v>
      </c>
      <c r="Q864" s="99"/>
      <c r="R864" t="s" s="144">
        <v>743</v>
      </c>
      <c r="S864" s="77"/>
    </row>
    <row r="865" ht="13.65" customHeight="1">
      <c r="A865" s="78">
        <v>45901</v>
      </c>
      <c r="B865" t="s" s="79">
        <v>52</v>
      </c>
      <c r="C865" t="s" s="80">
        <v>819</v>
      </c>
      <c r="D865" s="131">
        <v>28</v>
      </c>
      <c r="E865" t="s" s="79">
        <v>744</v>
      </c>
      <c r="F865" t="s" s="80">
        <v>391</v>
      </c>
      <c r="G865" s="132">
        <v>22</v>
      </c>
      <c r="H865" t="s" s="133">
        <v>115</v>
      </c>
      <c r="I865" t="s" s="134">
        <v>115</v>
      </c>
      <c r="J865" t="s" s="134">
        <v>97</v>
      </c>
      <c r="K865" t="str" s="135" cm="1">
        <f t="array" ref="K865">IF(OR(H865="ריביות",AND(H865="דירה כצנלסון",G865&lt;0,ISNUMBER(SEARCH("הכנסה",F865)))),"הכנסה שסווגה מחדש",J865)</f>
        <v>שוטף</v>
      </c>
      <c r="L865" t="s" s="134">
        <v>741</v>
      </c>
      <c r="M865" s="136" cm="1">
        <f t="array" ref="M865">IF(L865="מאושר",IF(K865="הכנסה שסווגה מחדש",0,G865),0)</f>
        <v>22</v>
      </c>
      <c r="N865" s="136" cm="1">
        <f t="array" ref="N865">IF(K865="שוטף",M865,0)</f>
        <v>22</v>
      </c>
      <c r="O865" s="136" cm="1">
        <f t="array" ref="O865">IF(K865="הכנסה שסווגה מחדש",-G865,0)</f>
        <v>0</v>
      </c>
      <c r="P865" t="s" s="79">
        <v>748</v>
      </c>
      <c r="Q865" s="100"/>
      <c r="R865" t="s" s="137">
        <v>743</v>
      </c>
      <c r="S865" s="77"/>
    </row>
    <row r="866" ht="13.65" customHeight="1">
      <c r="A866" s="84">
        <v>45901</v>
      </c>
      <c r="B866" t="s" s="85">
        <v>52</v>
      </c>
      <c r="C866" t="s" s="86">
        <v>819</v>
      </c>
      <c r="D866" s="138">
        <v>29</v>
      </c>
      <c r="E866" t="s" s="85">
        <v>765</v>
      </c>
      <c r="F866" t="s" s="86">
        <v>277</v>
      </c>
      <c r="G866" s="139">
        <v>32</v>
      </c>
      <c r="H866" t="s" s="140">
        <v>115</v>
      </c>
      <c r="I866" t="s" s="141">
        <v>115</v>
      </c>
      <c r="J866" t="s" s="141">
        <v>97</v>
      </c>
      <c r="K866" t="str" s="142" cm="1">
        <f t="array" ref="K866">IF(OR(H866="ריביות",AND(H866="דירה כצנלסון",G866&lt;0,ISNUMBER(SEARCH("הכנסה",F866)))),"הכנסה שסווגה מחדש",J866)</f>
        <v>שוטף</v>
      </c>
      <c r="L866" t="s" s="141">
        <v>741</v>
      </c>
      <c r="M866" s="143" cm="1">
        <f t="array" ref="M866">IF(L866="מאושר",IF(K866="הכנסה שסווגה מחדש",0,G866),0)</f>
        <v>32</v>
      </c>
      <c r="N866" s="143" cm="1">
        <f t="array" ref="N866">IF(K866="שוטף",M866,0)</f>
        <v>32</v>
      </c>
      <c r="O866" s="143" cm="1">
        <f t="array" ref="O866">IF(K866="הכנסה שסווגה מחדש",-G866,0)</f>
        <v>0</v>
      </c>
      <c r="P866" t="s" s="85">
        <v>748</v>
      </c>
      <c r="Q866" s="99"/>
      <c r="R866" t="s" s="144">
        <v>743</v>
      </c>
      <c r="S866" s="77"/>
    </row>
    <row r="867" ht="13.65" customHeight="1">
      <c r="A867" s="78">
        <v>45901</v>
      </c>
      <c r="B867" t="s" s="79">
        <v>52</v>
      </c>
      <c r="C867" t="s" s="80">
        <v>819</v>
      </c>
      <c r="D867" s="131">
        <v>30</v>
      </c>
      <c r="E867" t="s" s="79">
        <v>775</v>
      </c>
      <c r="F867" t="s" s="80">
        <v>391</v>
      </c>
      <c r="G867" s="132">
        <v>19</v>
      </c>
      <c r="H867" t="s" s="133">
        <v>115</v>
      </c>
      <c r="I867" t="s" s="134">
        <v>115</v>
      </c>
      <c r="J867" t="s" s="134">
        <v>97</v>
      </c>
      <c r="K867" t="str" s="135" cm="1">
        <f t="array" ref="K867">IF(OR(H867="ריביות",AND(H867="דירה כצנלסון",G867&lt;0,ISNUMBER(SEARCH("הכנסה",F867)))),"הכנסה שסווגה מחדש",J867)</f>
        <v>שוטף</v>
      </c>
      <c r="L867" t="s" s="134">
        <v>741</v>
      </c>
      <c r="M867" s="136" cm="1">
        <f t="array" ref="M867">IF(L867="מאושר",IF(K867="הכנסה שסווגה מחדש",0,G867),0)</f>
        <v>19</v>
      </c>
      <c r="N867" s="136" cm="1">
        <f t="array" ref="N867">IF(K867="שוטף",M867,0)</f>
        <v>19</v>
      </c>
      <c r="O867" s="136" cm="1">
        <f t="array" ref="O867">IF(K867="הכנסה שסווגה מחדש",-G867,0)</f>
        <v>0</v>
      </c>
      <c r="P867" t="s" s="79">
        <v>748</v>
      </c>
      <c r="Q867" s="100"/>
      <c r="R867" t="s" s="137">
        <v>743</v>
      </c>
      <c r="S867" s="77"/>
    </row>
    <row r="868" ht="13.65" customHeight="1">
      <c r="A868" s="84">
        <v>45901</v>
      </c>
      <c r="B868" t="s" s="85">
        <v>52</v>
      </c>
      <c r="C868" t="s" s="86">
        <v>819</v>
      </c>
      <c r="D868" s="138">
        <v>31</v>
      </c>
      <c r="E868" t="s" s="85">
        <v>756</v>
      </c>
      <c r="F868" t="s" s="86">
        <v>391</v>
      </c>
      <c r="G868" s="139">
        <v>20</v>
      </c>
      <c r="H868" t="s" s="140">
        <v>115</v>
      </c>
      <c r="I868" t="s" s="141">
        <v>115</v>
      </c>
      <c r="J868" t="s" s="141">
        <v>97</v>
      </c>
      <c r="K868" t="str" s="142" cm="1">
        <f t="array" ref="K868">IF(OR(H868="ריביות",AND(H868="דירה כצנלסון",G868&lt;0,ISNUMBER(SEARCH("הכנסה",F868)))),"הכנסה שסווגה מחדש",J868)</f>
        <v>שוטף</v>
      </c>
      <c r="L868" t="s" s="141">
        <v>741</v>
      </c>
      <c r="M868" s="143" cm="1">
        <f t="array" ref="M868">IF(L868="מאושר",IF(K868="הכנסה שסווגה מחדש",0,G868),0)</f>
        <v>20</v>
      </c>
      <c r="N868" s="143" cm="1">
        <f t="array" ref="N868">IF(K868="שוטף",M868,0)</f>
        <v>20</v>
      </c>
      <c r="O868" s="143" cm="1">
        <f t="array" ref="O868">IF(K868="הכנסה שסווגה מחדש",-G868,0)</f>
        <v>0</v>
      </c>
      <c r="P868" t="s" s="85">
        <v>748</v>
      </c>
      <c r="Q868" s="99"/>
      <c r="R868" t="s" s="144">
        <v>743</v>
      </c>
      <c r="S868" s="77"/>
    </row>
    <row r="869" ht="13.65" customHeight="1">
      <c r="A869" s="78">
        <v>45901</v>
      </c>
      <c r="B869" t="s" s="79">
        <v>52</v>
      </c>
      <c r="C869" t="s" s="80">
        <v>819</v>
      </c>
      <c r="D869" s="131">
        <v>32</v>
      </c>
      <c r="E869" t="s" s="79">
        <v>820</v>
      </c>
      <c r="F869" t="s" s="80">
        <v>391</v>
      </c>
      <c r="G869" s="132">
        <v>6</v>
      </c>
      <c r="H869" t="s" s="133">
        <v>115</v>
      </c>
      <c r="I869" t="s" s="134">
        <v>115</v>
      </c>
      <c r="J869" t="s" s="134">
        <v>97</v>
      </c>
      <c r="K869" t="str" s="135" cm="1">
        <f t="array" ref="K869">IF(OR(H869="ריביות",AND(H869="דירה כצנלסון",G869&lt;0,ISNUMBER(SEARCH("הכנסה",F869)))),"הכנסה שסווגה מחדש",J869)</f>
        <v>שוטף</v>
      </c>
      <c r="L869" t="s" s="134">
        <v>741</v>
      </c>
      <c r="M869" s="136" cm="1">
        <f t="array" ref="M869">IF(L869="מאושר",IF(K869="הכנסה שסווגה מחדש",0,G869),0)</f>
        <v>6</v>
      </c>
      <c r="N869" s="136" cm="1">
        <f t="array" ref="N869">IF(K869="שוטף",M869,0)</f>
        <v>6</v>
      </c>
      <c r="O869" s="136" cm="1">
        <f t="array" ref="O869">IF(K869="הכנסה שסווגה מחדש",-G869,0)</f>
        <v>0</v>
      </c>
      <c r="P869" t="s" s="79">
        <v>748</v>
      </c>
      <c r="Q869" s="100"/>
      <c r="R869" t="s" s="137">
        <v>743</v>
      </c>
      <c r="S869" s="77"/>
    </row>
    <row r="870" ht="13.65" customHeight="1">
      <c r="A870" s="84">
        <v>45901</v>
      </c>
      <c r="B870" t="s" s="85">
        <v>52</v>
      </c>
      <c r="C870" t="s" s="86">
        <v>819</v>
      </c>
      <c r="D870" s="138">
        <v>34</v>
      </c>
      <c r="E870" t="s" s="85">
        <v>765</v>
      </c>
      <c r="F870" t="s" s="86">
        <v>277</v>
      </c>
      <c r="G870" s="139">
        <v>91</v>
      </c>
      <c r="H870" t="s" s="140">
        <v>115</v>
      </c>
      <c r="I870" t="s" s="141">
        <v>115</v>
      </c>
      <c r="J870" t="s" s="141">
        <v>97</v>
      </c>
      <c r="K870" t="str" s="142" cm="1">
        <f t="array" ref="K870">IF(OR(H870="ריביות",AND(H870="דירה כצנלסון",G870&lt;0,ISNUMBER(SEARCH("הכנסה",F870)))),"הכנסה שסווגה מחדש",J870)</f>
        <v>שוטף</v>
      </c>
      <c r="L870" t="s" s="141">
        <v>741</v>
      </c>
      <c r="M870" s="143" cm="1">
        <f t="array" ref="M870">IF(L870="מאושר",IF(K870="הכנסה שסווגה מחדש",0,G870),0)</f>
        <v>91</v>
      </c>
      <c r="N870" s="143" cm="1">
        <f t="array" ref="N870">IF(K870="שוטף",M870,0)</f>
        <v>91</v>
      </c>
      <c r="O870" s="143" cm="1">
        <f t="array" ref="O870">IF(K870="הכנסה שסווגה מחדש",-G870,0)</f>
        <v>0</v>
      </c>
      <c r="P870" t="s" s="85">
        <v>758</v>
      </c>
      <c r="Q870" s="99"/>
      <c r="R870" t="s" s="144">
        <v>743</v>
      </c>
      <c r="S870" s="77"/>
    </row>
    <row r="871" ht="13.65" customHeight="1">
      <c r="A871" s="78">
        <v>45901</v>
      </c>
      <c r="B871" t="s" s="79">
        <v>52</v>
      </c>
      <c r="C871" t="s" s="80">
        <v>819</v>
      </c>
      <c r="D871" s="131">
        <v>36</v>
      </c>
      <c r="E871" t="s" s="79">
        <v>789</v>
      </c>
      <c r="F871" t="s" s="80">
        <v>705</v>
      </c>
      <c r="G871" s="132">
        <v>-33</v>
      </c>
      <c r="H871" t="s" s="133">
        <v>279</v>
      </c>
      <c r="I871" t="s" s="134">
        <v>99</v>
      </c>
      <c r="J871" t="s" s="134">
        <v>100</v>
      </c>
      <c r="K871" t="str" s="135" cm="1">
        <f t="array" ref="K871">IF(OR(H871="ריביות",AND(H871="דירה כצנלסון",G871&lt;0,ISNUMBER(SEARCH("הכנסה",F871)))),"הכנסה שסווגה מחדש",J871)</f>
        <v>חריג/נכס</v>
      </c>
      <c r="L871" t="s" s="134">
        <v>741</v>
      </c>
      <c r="M871" s="136" cm="1">
        <f t="array" ref="M871">IF(L871="מאושר",IF(K871="הכנסה שסווגה מחדש",0,G871),0)</f>
        <v>-33</v>
      </c>
      <c r="N871" s="136" cm="1">
        <f t="array" ref="N871">IF(K871="שוטף",M871,0)</f>
        <v>0</v>
      </c>
      <c r="O871" s="136" cm="1">
        <f t="array" ref="O871">IF(K871="הכנסה שסווגה מחדש",-G871,0)</f>
        <v>0</v>
      </c>
      <c r="P871" t="s" s="80">
        <v>786</v>
      </c>
      <c r="Q871" s="100"/>
      <c r="R871" t="s" s="137">
        <v>743</v>
      </c>
      <c r="S871" s="77"/>
    </row>
    <row r="872" ht="13.65" customHeight="1">
      <c r="A872" s="84">
        <v>45901</v>
      </c>
      <c r="B872" t="s" s="85">
        <v>52</v>
      </c>
      <c r="C872" t="s" s="86">
        <v>819</v>
      </c>
      <c r="D872" s="138">
        <v>38</v>
      </c>
      <c r="E872" t="s" s="85">
        <v>30</v>
      </c>
      <c r="F872" t="s" s="86">
        <v>223</v>
      </c>
      <c r="G872" s="139">
        <v>-11</v>
      </c>
      <c r="H872" t="s" s="140">
        <v>117</v>
      </c>
      <c r="I872" t="s" s="141">
        <v>117</v>
      </c>
      <c r="J872" t="s" s="141">
        <v>97</v>
      </c>
      <c r="K872" t="str" s="142" cm="1">
        <f t="array" ref="K872">IF(OR(H872="ריביות",AND(H872="דירה כצנלסון",G872&lt;0,ISNUMBER(SEARCH("הכנסה",F872)))),"הכנסה שסווגה מחדש",J872)</f>
        <v>שוטף</v>
      </c>
      <c r="L872" t="s" s="141">
        <v>741</v>
      </c>
      <c r="M872" s="143" cm="1">
        <f t="array" ref="M872">IF(L872="מאושר",IF(K872="הכנסה שסווגה מחדש",0,G872),0)</f>
        <v>-11</v>
      </c>
      <c r="N872" s="143" cm="1">
        <f t="array" ref="N872">IF(K872="שוטף",M872,0)</f>
        <v>-11</v>
      </c>
      <c r="O872" s="143" cm="1">
        <f t="array" ref="O872">IF(K872="הכנסה שסווגה מחדש",-G872,0)</f>
        <v>0</v>
      </c>
      <c r="P872" t="s" s="86">
        <v>770</v>
      </c>
      <c r="Q872" s="99"/>
      <c r="R872" t="s" s="144">
        <v>743</v>
      </c>
      <c r="S872" s="77"/>
    </row>
    <row r="873" ht="13.65" customHeight="1">
      <c r="A873" s="78">
        <v>45901</v>
      </c>
      <c r="B873" t="s" s="79">
        <v>52</v>
      </c>
      <c r="C873" t="s" s="80">
        <v>819</v>
      </c>
      <c r="D873" s="131">
        <v>39</v>
      </c>
      <c r="E873" t="s" s="79">
        <v>30</v>
      </c>
      <c r="F873" t="s" s="80">
        <v>314</v>
      </c>
      <c r="G873" s="132">
        <v>29</v>
      </c>
      <c r="H873" t="s" s="133">
        <v>117</v>
      </c>
      <c r="I873" t="s" s="134">
        <v>117</v>
      </c>
      <c r="J873" t="s" s="134">
        <v>97</v>
      </c>
      <c r="K873" t="str" s="135" cm="1">
        <f t="array" ref="K873">IF(OR(H873="ריביות",AND(H873="דירה כצנלסון",G873&lt;0,ISNUMBER(SEARCH("הכנסה",F873)))),"הכנסה שסווגה מחדש",J873)</f>
        <v>שוטף</v>
      </c>
      <c r="L873" t="s" s="134">
        <v>741</v>
      </c>
      <c r="M873" s="136" cm="1">
        <f t="array" ref="M873">IF(L873="מאושר",IF(K873="הכנסה שסווגה מחדש",0,G873),0)</f>
        <v>29</v>
      </c>
      <c r="N873" s="136" cm="1">
        <f t="array" ref="N873">IF(K873="שוטף",M873,0)</f>
        <v>29</v>
      </c>
      <c r="O873" s="136" cm="1">
        <f t="array" ref="O873">IF(K873="הכנסה שסווגה מחדש",-G873,0)</f>
        <v>0</v>
      </c>
      <c r="P873" t="s" s="80">
        <v>770</v>
      </c>
      <c r="Q873" s="100"/>
      <c r="R873" t="s" s="137">
        <v>743</v>
      </c>
      <c r="S873" s="77"/>
    </row>
    <row r="874" ht="13.65" customHeight="1">
      <c r="A874" s="84">
        <v>45901</v>
      </c>
      <c r="B874" t="s" s="85">
        <v>52</v>
      </c>
      <c r="C874" t="s" s="86">
        <v>819</v>
      </c>
      <c r="D874" s="138">
        <v>40</v>
      </c>
      <c r="E874" t="s" s="85">
        <v>30</v>
      </c>
      <c r="F874" t="s" s="86">
        <v>637</v>
      </c>
      <c r="G874" s="139">
        <v>6</v>
      </c>
      <c r="H874" t="s" s="140">
        <v>109</v>
      </c>
      <c r="I874" t="s" s="141">
        <v>109</v>
      </c>
      <c r="J874" t="s" s="141">
        <v>97</v>
      </c>
      <c r="K874" t="str" s="142" cm="1">
        <f t="array" ref="K874">IF(OR(H874="ריביות",AND(H874="דירה כצנלסון",G874&lt;0,ISNUMBER(SEARCH("הכנסה",F874)))),"הכנסה שסווגה מחדש",J874)</f>
        <v>שוטף</v>
      </c>
      <c r="L874" t="s" s="141">
        <v>741</v>
      </c>
      <c r="M874" s="143" cm="1">
        <f t="array" ref="M874">IF(L874="מאושר",IF(K874="הכנסה שסווגה מחדש",0,G874),0)</f>
        <v>6</v>
      </c>
      <c r="N874" s="143" cm="1">
        <f t="array" ref="N874">IF(K874="שוטף",M874,0)</f>
        <v>6</v>
      </c>
      <c r="O874" s="143" cm="1">
        <f t="array" ref="O874">IF(K874="הכנסה שסווגה מחדש",-G874,0)</f>
        <v>0</v>
      </c>
      <c r="P874" t="s" s="86">
        <v>770</v>
      </c>
      <c r="Q874" s="99"/>
      <c r="R874" t="s" s="144">
        <v>743</v>
      </c>
      <c r="S874" s="77"/>
    </row>
    <row r="875" ht="13.65" customHeight="1">
      <c r="A875" s="78">
        <v>45901</v>
      </c>
      <c r="B875" t="s" s="79">
        <v>52</v>
      </c>
      <c r="C875" t="s" s="80">
        <v>819</v>
      </c>
      <c r="D875" s="131">
        <v>41</v>
      </c>
      <c r="E875" t="s" s="79">
        <v>34</v>
      </c>
      <c r="F875" t="s" s="80">
        <v>241</v>
      </c>
      <c r="G875" s="132">
        <v>150</v>
      </c>
      <c r="H875" t="s" s="133">
        <v>767</v>
      </c>
      <c r="I875" t="s" s="134">
        <v>107</v>
      </c>
      <c r="J875" t="s" s="134">
        <v>97</v>
      </c>
      <c r="K875" t="str" s="135" cm="1">
        <f t="array" ref="K875">IF(OR(H875="ריביות",AND(H875="דירה כצנלסון",G875&lt;0,ISNUMBER(SEARCH("הכנסה",F875)))),"הכנסה שסווגה מחדש",J875)</f>
        <v>שוטף</v>
      </c>
      <c r="L875" t="s" s="134">
        <v>741</v>
      </c>
      <c r="M875" s="136" cm="1">
        <f t="array" ref="M875">IF(L875="מאושר",IF(K875="הכנסה שסווגה מחדש",0,G875),0)</f>
        <v>150</v>
      </c>
      <c r="N875" s="136" cm="1">
        <f t="array" ref="N875">IF(K875="שוטף",M875,0)</f>
        <v>150</v>
      </c>
      <c r="O875" s="136" cm="1">
        <f t="array" ref="O875">IF(K875="הכנסה שסווגה מחדש",-G875,0)</f>
        <v>0</v>
      </c>
      <c r="P875" t="s" s="80">
        <v>770</v>
      </c>
      <c r="Q875" s="100"/>
      <c r="R875" t="s" s="137">
        <v>743</v>
      </c>
      <c r="S875" s="77"/>
    </row>
    <row r="876" ht="13.65" customHeight="1">
      <c r="A876" s="84">
        <v>45901</v>
      </c>
      <c r="B876" t="s" s="85">
        <v>52</v>
      </c>
      <c r="C876" t="s" s="86">
        <v>819</v>
      </c>
      <c r="D876" s="138">
        <v>42</v>
      </c>
      <c r="E876" t="s" s="85">
        <v>34</v>
      </c>
      <c r="F876" t="s" s="86">
        <v>387</v>
      </c>
      <c r="G876" s="139">
        <v>347</v>
      </c>
      <c r="H876" t="s" s="140">
        <v>210</v>
      </c>
      <c r="I876" t="s" s="141">
        <v>102</v>
      </c>
      <c r="J876" t="s" s="141">
        <v>103</v>
      </c>
      <c r="K876" t="str" s="142" cm="1">
        <f t="array" ref="K876">IF(OR(H876="ריביות",AND(H876="דירה כצנלסון",G876&lt;0,ISNUMBER(SEARCH("הכנסה",F876)))),"הכנסה שסווגה מחדש",J876)</f>
        <v>חריג</v>
      </c>
      <c r="L876" t="s" s="141">
        <v>741</v>
      </c>
      <c r="M876" s="143" cm="1">
        <f t="array" ref="M876">IF(L876="מאושר",IF(K876="הכנסה שסווגה מחדש",0,G876),0)</f>
        <v>347</v>
      </c>
      <c r="N876" s="143" cm="1">
        <f t="array" ref="N876">IF(K876="שוטף",M876,0)</f>
        <v>0</v>
      </c>
      <c r="O876" s="143" cm="1">
        <f t="array" ref="O876">IF(K876="הכנסה שסווגה מחדש",-G876,0)</f>
        <v>0</v>
      </c>
      <c r="P876" t="s" s="86">
        <v>770</v>
      </c>
      <c r="Q876" s="99"/>
      <c r="R876" t="s" s="144">
        <v>743</v>
      </c>
      <c r="S876" s="77"/>
    </row>
    <row r="877" ht="13.65" customHeight="1">
      <c r="A877" s="78">
        <v>45901</v>
      </c>
      <c r="B877" t="s" s="79">
        <v>52</v>
      </c>
      <c r="C877" t="s" s="80">
        <v>819</v>
      </c>
      <c r="D877" s="131">
        <v>43</v>
      </c>
      <c r="E877" t="s" s="79">
        <v>34</v>
      </c>
      <c r="F877" t="s" s="80">
        <v>200</v>
      </c>
      <c r="G877" s="132">
        <v>92</v>
      </c>
      <c r="H877" t="s" s="133">
        <v>109</v>
      </c>
      <c r="I877" t="s" s="134">
        <v>109</v>
      </c>
      <c r="J877" t="s" s="134">
        <v>97</v>
      </c>
      <c r="K877" t="str" s="135" cm="1">
        <f t="array" ref="K877">IF(OR(H877="ריביות",AND(H877="דירה כצנלסון",G877&lt;0,ISNUMBER(SEARCH("הכנסה",F877)))),"הכנסה שסווגה מחדש",J877)</f>
        <v>שוטף</v>
      </c>
      <c r="L877" t="s" s="134">
        <v>741</v>
      </c>
      <c r="M877" s="136" cm="1">
        <f t="array" ref="M877">IF(L877="מאושר",IF(K877="הכנסה שסווגה מחדש",0,G877),0)</f>
        <v>92</v>
      </c>
      <c r="N877" s="136" cm="1">
        <f t="array" ref="N877">IF(K877="שוטף",M877,0)</f>
        <v>92</v>
      </c>
      <c r="O877" s="136" cm="1">
        <f t="array" ref="O877">IF(K877="הכנסה שסווגה מחדש",-G877,0)</f>
        <v>0</v>
      </c>
      <c r="P877" t="s" s="80">
        <v>770</v>
      </c>
      <c r="Q877" s="100"/>
      <c r="R877" t="s" s="137">
        <v>743</v>
      </c>
      <c r="S877" s="77"/>
    </row>
    <row r="878" ht="13.65" customHeight="1">
      <c r="A878" s="84">
        <v>45901</v>
      </c>
      <c r="B878" t="s" s="85">
        <v>52</v>
      </c>
      <c r="C878" t="s" s="86">
        <v>819</v>
      </c>
      <c r="D878" s="138">
        <v>44</v>
      </c>
      <c r="E878" t="s" s="85">
        <v>38</v>
      </c>
      <c r="F878" t="s" s="86">
        <v>493</v>
      </c>
      <c r="G878" s="139">
        <v>67</v>
      </c>
      <c r="H878" t="s" s="140">
        <v>129</v>
      </c>
      <c r="I878" t="s" s="141">
        <v>129</v>
      </c>
      <c r="J878" t="s" s="141">
        <v>97</v>
      </c>
      <c r="K878" t="str" s="142" cm="1">
        <f t="array" ref="K878">IF(OR(H878="ריביות",AND(H878="דירה כצנלסון",G878&lt;0,ISNUMBER(SEARCH("הכנסה",F878)))),"הכנסה שסווגה מחדש",J878)</f>
        <v>שוטף</v>
      </c>
      <c r="L878" t="s" s="141">
        <v>741</v>
      </c>
      <c r="M878" s="143" cm="1">
        <f t="array" ref="M878">IF(L878="מאושר",IF(K878="הכנסה שסווגה מחדש",0,G878),0)</f>
        <v>67</v>
      </c>
      <c r="N878" s="143" cm="1">
        <f t="array" ref="N878">IF(K878="שוטף",M878,0)</f>
        <v>67</v>
      </c>
      <c r="O878" s="143" cm="1">
        <f t="array" ref="O878">IF(K878="הכנסה שסווגה מחדש",-G878,0)</f>
        <v>0</v>
      </c>
      <c r="P878" t="s" s="86">
        <v>770</v>
      </c>
      <c r="Q878" s="99"/>
      <c r="R878" t="s" s="144">
        <v>743</v>
      </c>
      <c r="S878" s="77"/>
    </row>
    <row r="879" ht="13.65" customHeight="1">
      <c r="A879" s="78">
        <v>45901</v>
      </c>
      <c r="B879" t="s" s="79">
        <v>52</v>
      </c>
      <c r="C879" t="s" s="80">
        <v>819</v>
      </c>
      <c r="D879" s="131">
        <v>45</v>
      </c>
      <c r="E879" t="s" s="79">
        <v>42</v>
      </c>
      <c r="F879" t="s" s="80">
        <v>308</v>
      </c>
      <c r="G879" s="132">
        <v>24</v>
      </c>
      <c r="H879" t="s" s="133">
        <v>113</v>
      </c>
      <c r="I879" t="s" s="134">
        <v>113</v>
      </c>
      <c r="J879" t="s" s="134">
        <v>97</v>
      </c>
      <c r="K879" t="str" s="135" cm="1">
        <f t="array" ref="K879">IF(OR(H879="ריביות",AND(H879="דירה כצנלסון",G879&lt;0,ISNUMBER(SEARCH("הכנסה",F879)))),"הכנסה שסווגה מחדש",J879)</f>
        <v>שוטף</v>
      </c>
      <c r="L879" t="s" s="134">
        <v>741</v>
      </c>
      <c r="M879" s="136" cm="1">
        <f t="array" ref="M879">IF(L879="מאושר",IF(K879="הכנסה שסווגה מחדש",0,G879),0)</f>
        <v>24</v>
      </c>
      <c r="N879" s="136" cm="1">
        <f t="array" ref="N879">IF(K879="שוטף",M879,0)</f>
        <v>24</v>
      </c>
      <c r="O879" s="136" cm="1">
        <f t="array" ref="O879">IF(K879="הכנסה שסווגה מחדש",-G879,0)</f>
        <v>0</v>
      </c>
      <c r="P879" t="s" s="80">
        <v>770</v>
      </c>
      <c r="Q879" s="100"/>
      <c r="R879" t="s" s="137">
        <v>743</v>
      </c>
      <c r="S879" s="77"/>
    </row>
    <row r="880" ht="13.65" customHeight="1">
      <c r="A880" s="84">
        <v>45901</v>
      </c>
      <c r="B880" t="s" s="85">
        <v>52</v>
      </c>
      <c r="C880" t="s" s="86">
        <v>819</v>
      </c>
      <c r="D880" s="138">
        <v>46</v>
      </c>
      <c r="E880" t="s" s="85">
        <v>42</v>
      </c>
      <c r="F880" t="s" s="86">
        <v>334</v>
      </c>
      <c r="G880" s="139">
        <v>13</v>
      </c>
      <c r="H880" t="s" s="140">
        <v>109</v>
      </c>
      <c r="I880" t="s" s="141">
        <v>109</v>
      </c>
      <c r="J880" t="s" s="141">
        <v>97</v>
      </c>
      <c r="K880" t="str" s="142" cm="1">
        <f t="array" ref="K880">IF(OR(H880="ריביות",AND(H880="דירה כצנלסון",G880&lt;0,ISNUMBER(SEARCH("הכנסה",F880)))),"הכנסה שסווגה מחדש",J880)</f>
        <v>שוטף</v>
      </c>
      <c r="L880" t="s" s="141">
        <v>741</v>
      </c>
      <c r="M880" s="143" cm="1">
        <f t="array" ref="M880">IF(L880="מאושר",IF(K880="הכנסה שסווגה מחדש",0,G880),0)</f>
        <v>13</v>
      </c>
      <c r="N880" s="143" cm="1">
        <f t="array" ref="N880">IF(K880="שוטף",M880,0)</f>
        <v>13</v>
      </c>
      <c r="O880" s="143" cm="1">
        <f t="array" ref="O880">IF(K880="הכנסה שסווגה מחדש",-G880,0)</f>
        <v>0</v>
      </c>
      <c r="P880" t="s" s="86">
        <v>770</v>
      </c>
      <c r="Q880" s="99"/>
      <c r="R880" t="s" s="144">
        <v>743</v>
      </c>
      <c r="S880" s="77"/>
    </row>
    <row r="881" ht="13.65" customHeight="1">
      <c r="A881" s="78">
        <v>45901</v>
      </c>
      <c r="B881" t="s" s="79">
        <v>52</v>
      </c>
      <c r="C881" t="s" s="80">
        <v>819</v>
      </c>
      <c r="D881" s="131">
        <v>47</v>
      </c>
      <c r="E881" t="s" s="79">
        <v>42</v>
      </c>
      <c r="F881" t="s" s="80">
        <v>314</v>
      </c>
      <c r="G881" s="132">
        <v>21</v>
      </c>
      <c r="H881" t="s" s="133">
        <v>117</v>
      </c>
      <c r="I881" t="s" s="134">
        <v>117</v>
      </c>
      <c r="J881" t="s" s="134">
        <v>97</v>
      </c>
      <c r="K881" t="str" s="135" cm="1">
        <f t="array" ref="K881">IF(OR(H881="ריביות",AND(H881="דירה כצנלסון",G881&lt;0,ISNUMBER(SEARCH("הכנסה",F881)))),"הכנסה שסווגה מחדש",J881)</f>
        <v>שוטף</v>
      </c>
      <c r="L881" t="s" s="134">
        <v>741</v>
      </c>
      <c r="M881" s="136" cm="1">
        <f t="array" ref="M881">IF(L881="מאושר",IF(K881="הכנסה שסווגה מחדש",0,G881),0)</f>
        <v>21</v>
      </c>
      <c r="N881" s="136" cm="1">
        <f t="array" ref="N881">IF(K881="שוטף",M881,0)</f>
        <v>21</v>
      </c>
      <c r="O881" s="136" cm="1">
        <f t="array" ref="O881">IF(K881="הכנסה שסווגה מחדש",-G881,0)</f>
        <v>0</v>
      </c>
      <c r="P881" t="s" s="80">
        <v>770</v>
      </c>
      <c r="Q881" s="100"/>
      <c r="R881" t="s" s="137">
        <v>743</v>
      </c>
      <c r="S881" s="77"/>
    </row>
    <row r="882" ht="13.65" customHeight="1">
      <c r="A882" s="84">
        <v>45901</v>
      </c>
      <c r="B882" t="s" s="85">
        <v>52</v>
      </c>
      <c r="C882" t="s" s="86">
        <v>819</v>
      </c>
      <c r="D882" s="138">
        <v>48</v>
      </c>
      <c r="E882" t="s" s="85">
        <v>46</v>
      </c>
      <c r="F882" t="s" s="86">
        <v>300</v>
      </c>
      <c r="G882" s="139">
        <v>498</v>
      </c>
      <c r="H882" t="s" s="140">
        <v>210</v>
      </c>
      <c r="I882" t="s" s="141">
        <v>102</v>
      </c>
      <c r="J882" t="s" s="141">
        <v>103</v>
      </c>
      <c r="K882" t="str" s="142" cm="1">
        <f t="array" ref="K882">IF(OR(H882="ריביות",AND(H882="דירה כצנלסון",G882&lt;0,ISNUMBER(SEARCH("הכנסה",F882)))),"הכנסה שסווגה מחדש",J882)</f>
        <v>חריג</v>
      </c>
      <c r="L882" t="s" s="141">
        <v>741</v>
      </c>
      <c r="M882" s="143" cm="1">
        <f t="array" ref="M882">IF(L882="מאושר",IF(K882="הכנסה שסווגה מחדש",0,G882),0)</f>
        <v>498</v>
      </c>
      <c r="N882" s="143" cm="1">
        <f t="array" ref="N882">IF(K882="שוטף",M882,0)</f>
        <v>0</v>
      </c>
      <c r="O882" s="143" cm="1">
        <f t="array" ref="O882">IF(K882="הכנסה שסווגה מחדש",-G882,0)</f>
        <v>0</v>
      </c>
      <c r="P882" t="s" s="86">
        <v>770</v>
      </c>
      <c r="Q882" s="99"/>
      <c r="R882" t="s" s="144">
        <v>743</v>
      </c>
      <c r="S882" s="77"/>
    </row>
    <row r="883" ht="13.65" customHeight="1">
      <c r="A883" s="78">
        <v>45901</v>
      </c>
      <c r="B883" t="s" s="79">
        <v>52</v>
      </c>
      <c r="C883" t="s" s="80">
        <v>819</v>
      </c>
      <c r="D883" s="131">
        <v>49</v>
      </c>
      <c r="E883" t="s" s="79">
        <v>46</v>
      </c>
      <c r="F883" t="s" s="80">
        <v>300</v>
      </c>
      <c r="G883" s="132">
        <v>498</v>
      </c>
      <c r="H883" t="s" s="133">
        <v>210</v>
      </c>
      <c r="I883" t="s" s="134">
        <v>102</v>
      </c>
      <c r="J883" t="s" s="134">
        <v>103</v>
      </c>
      <c r="K883" t="str" s="135" cm="1">
        <f t="array" ref="K883">IF(OR(H883="ריביות",AND(H883="דירה כצנלסון",G883&lt;0,ISNUMBER(SEARCH("הכנסה",F883)))),"הכנסה שסווגה מחדש",J883)</f>
        <v>חריג</v>
      </c>
      <c r="L883" t="s" s="134">
        <v>741</v>
      </c>
      <c r="M883" s="136" cm="1">
        <f t="array" ref="M883">IF(L883="מאושר",IF(K883="הכנסה שסווגה מחדש",0,G883),0)</f>
        <v>498</v>
      </c>
      <c r="N883" s="136" cm="1">
        <f t="array" ref="N883">IF(K883="שוטף",M883,0)</f>
        <v>0</v>
      </c>
      <c r="O883" s="136" cm="1">
        <f t="array" ref="O883">IF(K883="הכנסה שסווגה מחדש",-G883,0)</f>
        <v>0</v>
      </c>
      <c r="P883" t="s" s="80">
        <v>770</v>
      </c>
      <c r="Q883" s="100"/>
      <c r="R883" t="s" s="137">
        <v>743</v>
      </c>
      <c r="S883" s="77"/>
    </row>
    <row r="884" ht="13.65" customHeight="1">
      <c r="A884" s="84">
        <v>45901</v>
      </c>
      <c r="B884" t="s" s="85">
        <v>52</v>
      </c>
      <c r="C884" t="s" s="86">
        <v>819</v>
      </c>
      <c r="D884" s="138">
        <v>50</v>
      </c>
      <c r="E884" t="s" s="85">
        <v>769</v>
      </c>
      <c r="F884" t="s" s="86">
        <v>690</v>
      </c>
      <c r="G884" s="139">
        <v>7</v>
      </c>
      <c r="H884" t="s" s="140">
        <v>109</v>
      </c>
      <c r="I884" t="s" s="141">
        <v>109</v>
      </c>
      <c r="J884" t="s" s="141">
        <v>97</v>
      </c>
      <c r="K884" t="str" s="142" cm="1">
        <f t="array" ref="K884">IF(OR(H884="ריביות",AND(H884="דירה כצנלסון",G884&lt;0,ISNUMBER(SEARCH("הכנסה",F884)))),"הכנסה שסווגה מחדש",J884)</f>
        <v>שוטף</v>
      </c>
      <c r="L884" t="s" s="141">
        <v>741</v>
      </c>
      <c r="M884" s="143" cm="1">
        <f t="array" ref="M884">IF(L884="מאושר",IF(K884="הכנסה שסווגה מחדש",0,G884),0)</f>
        <v>7</v>
      </c>
      <c r="N884" s="143" cm="1">
        <f t="array" ref="N884">IF(K884="שוטף",M884,0)</f>
        <v>7</v>
      </c>
      <c r="O884" s="143" cm="1">
        <f t="array" ref="O884">IF(K884="הכנסה שסווגה מחדש",-G884,0)</f>
        <v>0</v>
      </c>
      <c r="P884" t="s" s="86">
        <v>770</v>
      </c>
      <c r="Q884" s="99"/>
      <c r="R884" t="s" s="144">
        <v>743</v>
      </c>
      <c r="S884" s="77"/>
    </row>
    <row r="885" ht="13.65" customHeight="1">
      <c r="A885" s="78">
        <v>45901</v>
      </c>
      <c r="B885" t="s" s="79">
        <v>52</v>
      </c>
      <c r="C885" t="s" s="80">
        <v>819</v>
      </c>
      <c r="D885" s="131">
        <v>51</v>
      </c>
      <c r="E885" t="s" s="79">
        <v>769</v>
      </c>
      <c r="F885" t="s" s="80">
        <v>433</v>
      </c>
      <c r="G885" s="132">
        <v>69</v>
      </c>
      <c r="H885" t="s" s="133">
        <v>109</v>
      </c>
      <c r="I885" t="s" s="134">
        <v>109</v>
      </c>
      <c r="J885" t="s" s="134">
        <v>97</v>
      </c>
      <c r="K885" t="str" s="135" cm="1">
        <f t="array" ref="K885">IF(OR(H885="ריביות",AND(H885="דירה כצנלסון",G885&lt;0,ISNUMBER(SEARCH("הכנסה",F885)))),"הכנסה שסווגה מחדש",J885)</f>
        <v>שוטף</v>
      </c>
      <c r="L885" t="s" s="134">
        <v>741</v>
      </c>
      <c r="M885" s="136" cm="1">
        <f t="array" ref="M885">IF(L885="מאושר",IF(K885="הכנסה שסווגה מחדש",0,G885),0)</f>
        <v>69</v>
      </c>
      <c r="N885" s="136" cm="1">
        <f t="array" ref="N885">IF(K885="שוטף",M885,0)</f>
        <v>69</v>
      </c>
      <c r="O885" s="136" cm="1">
        <f t="array" ref="O885">IF(K885="הכנסה שסווגה מחדש",-G885,0)</f>
        <v>0</v>
      </c>
      <c r="P885" t="s" s="80">
        <v>770</v>
      </c>
      <c r="Q885" s="100"/>
      <c r="R885" t="s" s="137">
        <v>743</v>
      </c>
      <c r="S885" s="77"/>
    </row>
    <row r="886" ht="13.65" customHeight="1">
      <c r="A886" s="84">
        <v>45901</v>
      </c>
      <c r="B886" t="s" s="85">
        <v>52</v>
      </c>
      <c r="C886" t="s" s="86">
        <v>819</v>
      </c>
      <c r="D886" s="138">
        <v>52</v>
      </c>
      <c r="E886" t="s" s="85">
        <v>749</v>
      </c>
      <c r="F886" t="s" s="86">
        <v>322</v>
      </c>
      <c r="G886" s="139">
        <v>700</v>
      </c>
      <c r="H886" t="s" s="140">
        <v>806</v>
      </c>
      <c r="I886" t="s" s="141">
        <v>131</v>
      </c>
      <c r="J886" t="s" s="141">
        <v>97</v>
      </c>
      <c r="K886" t="str" s="142" cm="1">
        <f t="array" ref="K886">IF(OR(H886="ריביות",AND(H886="דירה כצנלסון",G886&lt;0,ISNUMBER(SEARCH("הכנסה",F886)))),"הכנסה שסווגה מחדש",J886)</f>
        <v>שוטף</v>
      </c>
      <c r="L886" t="s" s="141">
        <v>741</v>
      </c>
      <c r="M886" s="143" cm="1">
        <f t="array" ref="M886">IF(L886="מאושר",IF(K886="הכנסה שסווגה מחדש",0,G886),0)</f>
        <v>700</v>
      </c>
      <c r="N886" s="143" cm="1">
        <f t="array" ref="N886">IF(K886="שוטף",M886,0)</f>
        <v>700</v>
      </c>
      <c r="O886" s="143" cm="1">
        <f t="array" ref="O886">IF(K886="הכנסה שסווגה מחדש",-G886,0)</f>
        <v>0</v>
      </c>
      <c r="P886" t="s" s="86">
        <v>770</v>
      </c>
      <c r="Q886" s="99"/>
      <c r="R886" t="s" s="144">
        <v>743</v>
      </c>
      <c r="S886" s="77"/>
    </row>
    <row r="887" ht="13.65" customHeight="1">
      <c r="A887" s="78">
        <v>45901</v>
      </c>
      <c r="B887" t="s" s="79">
        <v>52</v>
      </c>
      <c r="C887" t="s" s="80">
        <v>819</v>
      </c>
      <c r="D887" s="131">
        <v>53</v>
      </c>
      <c r="E887" t="s" s="79">
        <v>749</v>
      </c>
      <c r="F887" t="s" s="80">
        <v>292</v>
      </c>
      <c r="G887" s="132">
        <v>132</v>
      </c>
      <c r="H887" t="s" s="133">
        <v>113</v>
      </c>
      <c r="I887" t="s" s="134">
        <v>113</v>
      </c>
      <c r="J887" t="s" s="134">
        <v>97</v>
      </c>
      <c r="K887" t="str" s="135" cm="1">
        <f t="array" ref="K887">IF(OR(H887="ריביות",AND(H887="דירה כצנלסון",G887&lt;0,ISNUMBER(SEARCH("הכנסה",F887)))),"הכנסה שסווגה מחדש",J887)</f>
        <v>שוטף</v>
      </c>
      <c r="L887" t="s" s="134">
        <v>741</v>
      </c>
      <c r="M887" s="136" cm="1">
        <f t="array" ref="M887">IF(L887="מאושר",IF(K887="הכנסה שסווגה מחדש",0,G887),0)</f>
        <v>132</v>
      </c>
      <c r="N887" s="136" cm="1">
        <f t="array" ref="N887">IF(K887="שוטף",M887,0)</f>
        <v>132</v>
      </c>
      <c r="O887" s="136" cm="1">
        <f t="array" ref="O887">IF(K887="הכנסה שסווגה מחדש",-G887,0)</f>
        <v>0</v>
      </c>
      <c r="P887" t="s" s="80">
        <v>770</v>
      </c>
      <c r="Q887" s="100"/>
      <c r="R887" t="s" s="137">
        <v>743</v>
      </c>
      <c r="S887" s="77"/>
    </row>
    <row r="888" ht="13.65" customHeight="1">
      <c r="A888" s="84">
        <v>45901</v>
      </c>
      <c r="B888" t="s" s="85">
        <v>52</v>
      </c>
      <c r="C888" t="s" s="86">
        <v>819</v>
      </c>
      <c r="D888" s="138">
        <v>54</v>
      </c>
      <c r="E888" t="s" s="85">
        <v>789</v>
      </c>
      <c r="F888" t="s" s="86">
        <v>475</v>
      </c>
      <c r="G888" s="139">
        <v>18</v>
      </c>
      <c r="H888" t="s" s="140">
        <v>113</v>
      </c>
      <c r="I888" t="s" s="141">
        <v>113</v>
      </c>
      <c r="J888" t="s" s="141">
        <v>97</v>
      </c>
      <c r="K888" t="str" s="142" cm="1">
        <f t="array" ref="K888">IF(OR(H888="ריביות",AND(H888="דירה כצנלסון",G888&lt;0,ISNUMBER(SEARCH("הכנסה",F888)))),"הכנסה שסווגה מחדש",J888)</f>
        <v>שוטף</v>
      </c>
      <c r="L888" t="s" s="141">
        <v>741</v>
      </c>
      <c r="M888" s="143" cm="1">
        <f t="array" ref="M888">IF(L888="מאושר",IF(K888="הכנסה שסווגה מחדש",0,G888),0)</f>
        <v>18</v>
      </c>
      <c r="N888" s="143" cm="1">
        <f t="array" ref="N888">IF(K888="שוטף",M888,0)</f>
        <v>18</v>
      </c>
      <c r="O888" s="143" cm="1">
        <f t="array" ref="O888">IF(K888="הכנסה שסווגה מחדש",-G888,0)</f>
        <v>0</v>
      </c>
      <c r="P888" t="s" s="86">
        <v>770</v>
      </c>
      <c r="Q888" s="99"/>
      <c r="R888" t="s" s="144">
        <v>743</v>
      </c>
      <c r="S888" s="77"/>
    </row>
    <row r="889" ht="13.65" customHeight="1">
      <c r="A889" s="78">
        <v>45901</v>
      </c>
      <c r="B889" t="s" s="79">
        <v>52</v>
      </c>
      <c r="C889" t="s" s="80">
        <v>819</v>
      </c>
      <c r="D889" s="131">
        <v>55</v>
      </c>
      <c r="E889" t="s" s="79">
        <v>788</v>
      </c>
      <c r="F889" t="s" s="80">
        <v>209</v>
      </c>
      <c r="G889" s="132">
        <v>114</v>
      </c>
      <c r="H889" t="s" s="133">
        <v>113</v>
      </c>
      <c r="I889" t="s" s="134">
        <v>113</v>
      </c>
      <c r="J889" t="s" s="134">
        <v>97</v>
      </c>
      <c r="K889" t="str" s="135" cm="1">
        <f t="array" ref="K889">IF(OR(H889="ריביות",AND(H889="דירה כצנלסון",G889&lt;0,ISNUMBER(SEARCH("הכנסה",F889)))),"הכנסה שסווגה מחדש",J889)</f>
        <v>שוטף</v>
      </c>
      <c r="L889" t="s" s="134">
        <v>741</v>
      </c>
      <c r="M889" s="136" cm="1">
        <f t="array" ref="M889">IF(L889="מאושר",IF(K889="הכנסה שסווגה מחדש",0,G889),0)</f>
        <v>114</v>
      </c>
      <c r="N889" s="136" cm="1">
        <f t="array" ref="N889">IF(K889="שוטף",M889,0)</f>
        <v>114</v>
      </c>
      <c r="O889" s="136" cm="1">
        <f t="array" ref="O889">IF(K889="הכנסה שסווגה מחדש",-G889,0)</f>
        <v>0</v>
      </c>
      <c r="P889" t="s" s="80">
        <v>770</v>
      </c>
      <c r="Q889" s="100"/>
      <c r="R889" t="s" s="137">
        <v>743</v>
      </c>
      <c r="S889" s="77"/>
    </row>
    <row r="890" ht="13.65" customHeight="1">
      <c r="A890" s="84">
        <v>45901</v>
      </c>
      <c r="B890" t="s" s="85">
        <v>52</v>
      </c>
      <c r="C890" t="s" s="86">
        <v>819</v>
      </c>
      <c r="D890" s="138">
        <v>56</v>
      </c>
      <c r="E890" t="s" s="85">
        <v>751</v>
      </c>
      <c r="F890" t="s" s="86">
        <v>475</v>
      </c>
      <c r="G890" s="139">
        <v>17</v>
      </c>
      <c r="H890" t="s" s="140">
        <v>113</v>
      </c>
      <c r="I890" t="s" s="141">
        <v>113</v>
      </c>
      <c r="J890" t="s" s="141">
        <v>97</v>
      </c>
      <c r="K890" t="str" s="142" cm="1">
        <f t="array" ref="K890">IF(OR(H890="ריביות",AND(H890="דירה כצנלסון",G890&lt;0,ISNUMBER(SEARCH("הכנסה",F890)))),"הכנסה שסווגה מחדש",J890)</f>
        <v>שוטף</v>
      </c>
      <c r="L890" t="s" s="141">
        <v>741</v>
      </c>
      <c r="M890" s="143" cm="1">
        <f t="array" ref="M890">IF(L890="מאושר",IF(K890="הכנסה שסווגה מחדש",0,G890),0)</f>
        <v>17</v>
      </c>
      <c r="N890" s="143" cm="1">
        <f t="array" ref="N890">IF(K890="שוטף",M890,0)</f>
        <v>17</v>
      </c>
      <c r="O890" s="143" cm="1">
        <f t="array" ref="O890">IF(K890="הכנסה שסווגה מחדש",-G890,0)</f>
        <v>0</v>
      </c>
      <c r="P890" t="s" s="86">
        <v>770</v>
      </c>
      <c r="Q890" s="99"/>
      <c r="R890" t="s" s="144">
        <v>743</v>
      </c>
      <c r="S890" s="77"/>
    </row>
    <row r="891" ht="13.65" customHeight="1">
      <c r="A891" s="78">
        <v>45901</v>
      </c>
      <c r="B891" t="s" s="79">
        <v>52</v>
      </c>
      <c r="C891" t="s" s="80">
        <v>819</v>
      </c>
      <c r="D891" s="131">
        <v>57</v>
      </c>
      <c r="E891" t="s" s="79">
        <v>753</v>
      </c>
      <c r="F891" t="s" s="80">
        <v>200</v>
      </c>
      <c r="G891" s="132">
        <v>946</v>
      </c>
      <c r="H891" t="s" s="133">
        <v>109</v>
      </c>
      <c r="I891" t="s" s="134">
        <v>109</v>
      </c>
      <c r="J891" t="s" s="134">
        <v>97</v>
      </c>
      <c r="K891" t="str" s="135" cm="1">
        <f t="array" ref="K891">IF(OR(H891="ריביות",AND(H891="דירה כצנלסון",G891&lt;0,ISNUMBER(SEARCH("הכנסה",F891)))),"הכנסה שסווגה מחדש",J891)</f>
        <v>שוטף</v>
      </c>
      <c r="L891" t="s" s="134">
        <v>741</v>
      </c>
      <c r="M891" s="136" cm="1">
        <f t="array" ref="M891">IF(L891="מאושר",IF(K891="הכנסה שסווגה מחדש",0,G891),0)</f>
        <v>946</v>
      </c>
      <c r="N891" s="136" cm="1">
        <f t="array" ref="N891">IF(K891="שוטף",M891,0)</f>
        <v>946</v>
      </c>
      <c r="O891" s="136" cm="1">
        <f t="array" ref="O891">IF(K891="הכנסה שסווגה מחדש",-G891,0)</f>
        <v>0</v>
      </c>
      <c r="P891" t="s" s="80">
        <v>770</v>
      </c>
      <c r="Q891" s="100"/>
      <c r="R891" t="s" s="137">
        <v>743</v>
      </c>
      <c r="S891" s="77"/>
    </row>
    <row r="892" ht="13.65" customHeight="1">
      <c r="A892" s="84">
        <v>45901</v>
      </c>
      <c r="B892" t="s" s="85">
        <v>52</v>
      </c>
      <c r="C892" t="s" s="86">
        <v>819</v>
      </c>
      <c r="D892" s="138">
        <v>58</v>
      </c>
      <c r="E892" t="s" s="85">
        <v>753</v>
      </c>
      <c r="F892" t="s" s="86">
        <v>209</v>
      </c>
      <c r="G892" s="139">
        <v>92</v>
      </c>
      <c r="H892" t="s" s="140">
        <v>113</v>
      </c>
      <c r="I892" t="s" s="141">
        <v>113</v>
      </c>
      <c r="J892" t="s" s="141">
        <v>97</v>
      </c>
      <c r="K892" t="str" s="142" cm="1">
        <f t="array" ref="K892">IF(OR(H892="ריביות",AND(H892="דירה כצנלסון",G892&lt;0,ISNUMBER(SEARCH("הכנסה",F892)))),"הכנסה שסווגה מחדש",J892)</f>
        <v>שוטף</v>
      </c>
      <c r="L892" t="s" s="141">
        <v>741</v>
      </c>
      <c r="M892" s="143" cm="1">
        <f t="array" ref="M892">IF(L892="מאושר",IF(K892="הכנסה שסווגה מחדש",0,G892),0)</f>
        <v>92</v>
      </c>
      <c r="N892" s="143" cm="1">
        <f t="array" ref="N892">IF(K892="שוטף",M892,0)</f>
        <v>92</v>
      </c>
      <c r="O892" s="143" cm="1">
        <f t="array" ref="O892">IF(K892="הכנסה שסווגה מחדש",-G892,0)</f>
        <v>0</v>
      </c>
      <c r="P892" t="s" s="86">
        <v>770</v>
      </c>
      <c r="Q892" s="99"/>
      <c r="R892" t="s" s="144">
        <v>743</v>
      </c>
      <c r="S892" s="77"/>
    </row>
    <row r="893" ht="13.65" customHeight="1">
      <c r="A893" s="78">
        <v>45901</v>
      </c>
      <c r="B893" t="s" s="79">
        <v>52</v>
      </c>
      <c r="C893" t="s" s="80">
        <v>819</v>
      </c>
      <c r="D893" s="131">
        <v>59</v>
      </c>
      <c r="E893" t="s" s="79">
        <v>753</v>
      </c>
      <c r="F893" t="s" s="80">
        <v>267</v>
      </c>
      <c r="G893" s="132">
        <v>70</v>
      </c>
      <c r="H893" t="s" s="133">
        <v>109</v>
      </c>
      <c r="I893" t="s" s="134">
        <v>109</v>
      </c>
      <c r="J893" t="s" s="134">
        <v>97</v>
      </c>
      <c r="K893" t="str" s="135" cm="1">
        <f t="array" ref="K893">IF(OR(H893="ריביות",AND(H893="דירה כצנלסון",G893&lt;0,ISNUMBER(SEARCH("הכנסה",F893)))),"הכנסה שסווגה מחדש",J893)</f>
        <v>שוטף</v>
      </c>
      <c r="L893" t="s" s="134">
        <v>741</v>
      </c>
      <c r="M893" s="136" cm="1">
        <f t="array" ref="M893">IF(L893="מאושר",IF(K893="הכנסה שסווגה מחדש",0,G893),0)</f>
        <v>70</v>
      </c>
      <c r="N893" s="136" cm="1">
        <f t="array" ref="N893">IF(K893="שוטף",M893,0)</f>
        <v>70</v>
      </c>
      <c r="O893" s="136" cm="1">
        <f t="array" ref="O893">IF(K893="הכנסה שסווגה מחדש",-G893,0)</f>
        <v>0</v>
      </c>
      <c r="P893" t="s" s="80">
        <v>770</v>
      </c>
      <c r="Q893" s="100"/>
      <c r="R893" t="s" s="137">
        <v>743</v>
      </c>
      <c r="S893" s="77"/>
    </row>
    <row r="894" ht="13.65" customHeight="1">
      <c r="A894" s="84">
        <v>45901</v>
      </c>
      <c r="B894" t="s" s="85">
        <v>52</v>
      </c>
      <c r="C894" t="s" s="86">
        <v>819</v>
      </c>
      <c r="D894" s="138">
        <v>60</v>
      </c>
      <c r="E894" t="s" s="85">
        <v>739</v>
      </c>
      <c r="F894" t="s" s="86">
        <v>209</v>
      </c>
      <c r="G894" s="139">
        <v>71</v>
      </c>
      <c r="H894" t="s" s="140">
        <v>113</v>
      </c>
      <c r="I894" t="s" s="141">
        <v>113</v>
      </c>
      <c r="J894" t="s" s="141">
        <v>97</v>
      </c>
      <c r="K894" t="str" s="142" cm="1">
        <f t="array" ref="K894">IF(OR(H894="ריביות",AND(H894="דירה כצנלסון",G894&lt;0,ISNUMBER(SEARCH("הכנסה",F894)))),"הכנסה שסווגה מחדש",J894)</f>
        <v>שוטף</v>
      </c>
      <c r="L894" t="s" s="141">
        <v>741</v>
      </c>
      <c r="M894" s="143" cm="1">
        <f t="array" ref="M894">IF(L894="מאושר",IF(K894="הכנסה שסווגה מחדש",0,G894),0)</f>
        <v>71</v>
      </c>
      <c r="N894" s="143" cm="1">
        <f t="array" ref="N894">IF(K894="שוטף",M894,0)</f>
        <v>71</v>
      </c>
      <c r="O894" s="143" cm="1">
        <f t="array" ref="O894">IF(K894="הכנסה שסווגה מחדש",-G894,0)</f>
        <v>0</v>
      </c>
      <c r="P894" t="s" s="86">
        <v>770</v>
      </c>
      <c r="Q894" s="99"/>
      <c r="R894" t="s" s="144">
        <v>743</v>
      </c>
      <c r="S894" s="77"/>
    </row>
    <row r="895" ht="13.65" customHeight="1">
      <c r="A895" s="78">
        <v>45901</v>
      </c>
      <c r="B895" t="s" s="79">
        <v>52</v>
      </c>
      <c r="C895" t="s" s="80">
        <v>819</v>
      </c>
      <c r="D895" s="131">
        <v>61</v>
      </c>
      <c r="E895" t="s" s="79">
        <v>739</v>
      </c>
      <c r="F895" t="s" s="80">
        <v>377</v>
      </c>
      <c r="G895" s="132">
        <v>13</v>
      </c>
      <c r="H895" t="s" s="133">
        <v>113</v>
      </c>
      <c r="I895" t="s" s="134">
        <v>113</v>
      </c>
      <c r="J895" t="s" s="134">
        <v>97</v>
      </c>
      <c r="K895" t="str" s="135" cm="1">
        <f t="array" ref="K895">IF(OR(H895="ריביות",AND(H895="דירה כצנלסון",G895&lt;0,ISNUMBER(SEARCH("הכנסה",F895)))),"הכנסה שסווגה מחדש",J895)</f>
        <v>שוטף</v>
      </c>
      <c r="L895" t="s" s="134">
        <v>741</v>
      </c>
      <c r="M895" s="136" cm="1">
        <f t="array" ref="M895">IF(L895="מאושר",IF(K895="הכנסה שסווגה מחדש",0,G895),0)</f>
        <v>13</v>
      </c>
      <c r="N895" s="136" cm="1">
        <f t="array" ref="N895">IF(K895="שוטף",M895,0)</f>
        <v>13</v>
      </c>
      <c r="O895" s="136" cm="1">
        <f t="array" ref="O895">IF(K895="הכנסה שסווגה מחדש",-G895,0)</f>
        <v>0</v>
      </c>
      <c r="P895" t="s" s="80">
        <v>770</v>
      </c>
      <c r="Q895" s="100"/>
      <c r="R895" t="s" s="137">
        <v>743</v>
      </c>
      <c r="S895" s="77"/>
    </row>
    <row r="896" ht="13.65" customHeight="1">
      <c r="A896" s="84">
        <v>45901</v>
      </c>
      <c r="B896" t="s" s="85">
        <v>52</v>
      </c>
      <c r="C896" t="s" s="86">
        <v>819</v>
      </c>
      <c r="D896" s="138">
        <v>62</v>
      </c>
      <c r="E896" t="s" s="85">
        <v>771</v>
      </c>
      <c r="F896" t="s" s="86">
        <v>200</v>
      </c>
      <c r="G896" s="139">
        <v>41</v>
      </c>
      <c r="H896" t="s" s="140">
        <v>109</v>
      </c>
      <c r="I896" t="s" s="141">
        <v>109</v>
      </c>
      <c r="J896" t="s" s="141">
        <v>97</v>
      </c>
      <c r="K896" t="str" s="142" cm="1">
        <f t="array" ref="K896">IF(OR(H896="ריביות",AND(H896="דירה כצנלסון",G896&lt;0,ISNUMBER(SEARCH("הכנסה",F896)))),"הכנסה שסווגה מחדש",J896)</f>
        <v>שוטף</v>
      </c>
      <c r="L896" t="s" s="141">
        <v>741</v>
      </c>
      <c r="M896" s="143" cm="1">
        <f t="array" ref="M896">IF(L896="מאושר",IF(K896="הכנסה שסווגה מחדש",0,G896),0)</f>
        <v>41</v>
      </c>
      <c r="N896" s="143" cm="1">
        <f t="array" ref="N896">IF(K896="שוטף",M896,0)</f>
        <v>41</v>
      </c>
      <c r="O896" s="143" cm="1">
        <f t="array" ref="O896">IF(K896="הכנסה שסווגה מחדש",-G896,0)</f>
        <v>0</v>
      </c>
      <c r="P896" t="s" s="86">
        <v>770</v>
      </c>
      <c r="Q896" s="99"/>
      <c r="R896" t="s" s="144">
        <v>743</v>
      </c>
      <c r="S896" s="77"/>
    </row>
    <row r="897" ht="13.65" customHeight="1">
      <c r="A897" s="78">
        <v>45901</v>
      </c>
      <c r="B897" t="s" s="79">
        <v>52</v>
      </c>
      <c r="C897" t="s" s="80">
        <v>819</v>
      </c>
      <c r="D897" s="131">
        <v>63</v>
      </c>
      <c r="E897" t="s" s="79">
        <v>773</v>
      </c>
      <c r="F897" t="s" s="80">
        <v>209</v>
      </c>
      <c r="G897" s="132">
        <v>100</v>
      </c>
      <c r="H897" t="s" s="133">
        <v>113</v>
      </c>
      <c r="I897" t="s" s="134">
        <v>113</v>
      </c>
      <c r="J897" t="s" s="134">
        <v>97</v>
      </c>
      <c r="K897" t="str" s="135" cm="1">
        <f t="array" ref="K897">IF(OR(H897="ריביות",AND(H897="דירה כצנלסון",G897&lt;0,ISNUMBER(SEARCH("הכנסה",F897)))),"הכנסה שסווגה מחדש",J897)</f>
        <v>שוטף</v>
      </c>
      <c r="L897" t="s" s="134">
        <v>741</v>
      </c>
      <c r="M897" s="136" cm="1">
        <f t="array" ref="M897">IF(L897="מאושר",IF(K897="הכנסה שסווגה מחדש",0,G897),0)</f>
        <v>100</v>
      </c>
      <c r="N897" s="136" cm="1">
        <f t="array" ref="N897">IF(K897="שוטף",M897,0)</f>
        <v>100</v>
      </c>
      <c r="O897" s="136" cm="1">
        <f t="array" ref="O897">IF(K897="הכנסה שסווגה מחדש",-G897,0)</f>
        <v>0</v>
      </c>
      <c r="P897" t="s" s="80">
        <v>770</v>
      </c>
      <c r="Q897" s="100"/>
      <c r="R897" t="s" s="137">
        <v>743</v>
      </c>
      <c r="S897" s="77"/>
    </row>
    <row r="898" ht="13.65" customHeight="1">
      <c r="A898" s="84">
        <v>45901</v>
      </c>
      <c r="B898" t="s" s="85">
        <v>52</v>
      </c>
      <c r="C898" t="s" s="86">
        <v>819</v>
      </c>
      <c r="D898" s="138">
        <v>64</v>
      </c>
      <c r="E898" t="s" s="85">
        <v>773</v>
      </c>
      <c r="F898" t="s" s="86">
        <v>314</v>
      </c>
      <c r="G898" s="139">
        <v>100</v>
      </c>
      <c r="H898" t="s" s="140">
        <v>117</v>
      </c>
      <c r="I898" t="s" s="141">
        <v>117</v>
      </c>
      <c r="J898" t="s" s="141">
        <v>97</v>
      </c>
      <c r="K898" t="str" s="142" cm="1">
        <f t="array" ref="K898">IF(OR(H898="ריביות",AND(H898="דירה כצנלסון",G898&lt;0,ISNUMBER(SEARCH("הכנסה",F898)))),"הכנסה שסווגה מחדש",J898)</f>
        <v>שוטף</v>
      </c>
      <c r="L898" t="s" s="141">
        <v>741</v>
      </c>
      <c r="M898" s="143" cm="1">
        <f t="array" ref="M898">IF(L898="מאושר",IF(K898="הכנסה שסווגה מחדש",0,G898),0)</f>
        <v>100</v>
      </c>
      <c r="N898" s="143" cm="1">
        <f t="array" ref="N898">IF(K898="שוטף",M898,0)</f>
        <v>100</v>
      </c>
      <c r="O898" s="143" cm="1">
        <f t="array" ref="O898">IF(K898="הכנסה שסווגה מחדש",-G898,0)</f>
        <v>0</v>
      </c>
      <c r="P898" t="s" s="86">
        <v>770</v>
      </c>
      <c r="Q898" s="99"/>
      <c r="R898" t="s" s="144">
        <v>743</v>
      </c>
      <c r="S898" s="77"/>
    </row>
    <row r="899" ht="13.65" customHeight="1">
      <c r="A899" s="78">
        <v>45901</v>
      </c>
      <c r="B899" t="s" s="79">
        <v>52</v>
      </c>
      <c r="C899" t="s" s="80">
        <v>819</v>
      </c>
      <c r="D899" s="131">
        <v>65</v>
      </c>
      <c r="E899" t="s" s="79">
        <v>773</v>
      </c>
      <c r="F899" t="s" s="80">
        <v>386</v>
      </c>
      <c r="G899" s="132">
        <v>350</v>
      </c>
      <c r="H899" t="s" s="133">
        <v>757</v>
      </c>
      <c r="I899" t="s" s="134">
        <v>96</v>
      </c>
      <c r="J899" t="s" s="134">
        <v>97</v>
      </c>
      <c r="K899" t="str" s="135" cm="1">
        <f t="array" ref="K899">IF(OR(H899="ריביות",AND(H899="דירה כצנלסון",G899&lt;0,ISNUMBER(SEARCH("הכנסה",F899)))),"הכנסה שסווגה מחדש",J899)</f>
        <v>שוטף</v>
      </c>
      <c r="L899" t="s" s="134">
        <v>741</v>
      </c>
      <c r="M899" s="136" cm="1">
        <f t="array" ref="M899">IF(L899="מאושר",IF(K899="הכנסה שסווגה מחדש",0,G899),0)</f>
        <v>350</v>
      </c>
      <c r="N899" s="136" cm="1">
        <f t="array" ref="N899">IF(K899="שוטף",M899,0)</f>
        <v>350</v>
      </c>
      <c r="O899" s="136" cm="1">
        <f t="array" ref="O899">IF(K899="הכנסה שסווגה מחדש",-G899,0)</f>
        <v>0</v>
      </c>
      <c r="P899" t="s" s="80">
        <v>770</v>
      </c>
      <c r="Q899" s="100"/>
      <c r="R899" t="s" s="137">
        <v>743</v>
      </c>
      <c r="S899" s="77"/>
    </row>
    <row r="900" ht="13.65" customHeight="1">
      <c r="A900" s="84">
        <v>45901</v>
      </c>
      <c r="B900" t="s" s="85">
        <v>52</v>
      </c>
      <c r="C900" t="s" s="86">
        <v>819</v>
      </c>
      <c r="D900" s="138">
        <v>66</v>
      </c>
      <c r="E900" t="s" s="85">
        <v>773</v>
      </c>
      <c r="F900" t="s" s="86">
        <v>355</v>
      </c>
      <c r="G900" s="139">
        <v>16</v>
      </c>
      <c r="H900" t="s" s="140">
        <v>113</v>
      </c>
      <c r="I900" t="s" s="141">
        <v>113</v>
      </c>
      <c r="J900" t="s" s="141">
        <v>97</v>
      </c>
      <c r="K900" t="str" s="142" cm="1">
        <f t="array" ref="K900">IF(OR(H900="ריביות",AND(H900="דירה כצנלסון",G900&lt;0,ISNUMBER(SEARCH("הכנסה",F900)))),"הכנסה שסווגה מחדש",J900)</f>
        <v>שוטף</v>
      </c>
      <c r="L900" t="s" s="141">
        <v>741</v>
      </c>
      <c r="M900" s="143" cm="1">
        <f t="array" ref="M900">IF(L900="מאושר",IF(K900="הכנסה שסווגה מחדש",0,G900),0)</f>
        <v>16</v>
      </c>
      <c r="N900" s="143" cm="1">
        <f t="array" ref="N900">IF(K900="שוטף",M900,0)</f>
        <v>16</v>
      </c>
      <c r="O900" s="143" cm="1">
        <f t="array" ref="O900">IF(K900="הכנסה שסווגה מחדש",-G900,0)</f>
        <v>0</v>
      </c>
      <c r="P900" t="s" s="86">
        <v>770</v>
      </c>
      <c r="Q900" s="99"/>
      <c r="R900" t="s" s="144">
        <v>743</v>
      </c>
      <c r="S900" s="77"/>
    </row>
    <row r="901" ht="13.65" customHeight="1">
      <c r="A901" s="78">
        <v>45901</v>
      </c>
      <c r="B901" t="s" s="79">
        <v>52</v>
      </c>
      <c r="C901" t="s" s="80">
        <v>819</v>
      </c>
      <c r="D901" s="131">
        <v>67</v>
      </c>
      <c r="E901" t="s" s="79">
        <v>754</v>
      </c>
      <c r="F901" t="s" s="80">
        <v>370</v>
      </c>
      <c r="G901" s="132">
        <v>405</v>
      </c>
      <c r="H901" t="s" s="133">
        <v>210</v>
      </c>
      <c r="I901" t="s" s="134">
        <v>102</v>
      </c>
      <c r="J901" t="s" s="134">
        <v>103</v>
      </c>
      <c r="K901" t="str" s="135" cm="1">
        <f t="array" ref="K901">IF(OR(H901="ריביות",AND(H901="דירה כצנלסון",G901&lt;0,ISNUMBER(SEARCH("הכנסה",F901)))),"הכנסה שסווגה מחדש",J901)</f>
        <v>חריג</v>
      </c>
      <c r="L901" t="s" s="134">
        <v>741</v>
      </c>
      <c r="M901" s="136" cm="1">
        <f t="array" ref="M901">IF(L901="מאושר",IF(K901="הכנסה שסווגה מחדש",0,G901),0)</f>
        <v>405</v>
      </c>
      <c r="N901" s="136" cm="1">
        <f t="array" ref="N901">IF(K901="שוטף",M901,0)</f>
        <v>0</v>
      </c>
      <c r="O901" s="136" cm="1">
        <f t="array" ref="O901">IF(K901="הכנסה שסווגה מחדש",-G901,0)</f>
        <v>0</v>
      </c>
      <c r="P901" t="s" s="80">
        <v>770</v>
      </c>
      <c r="Q901" s="100"/>
      <c r="R901" t="s" s="137">
        <v>743</v>
      </c>
      <c r="S901" s="77"/>
    </row>
    <row r="902" ht="13.65" customHeight="1">
      <c r="A902" s="84">
        <v>45901</v>
      </c>
      <c r="B902" t="s" s="85">
        <v>52</v>
      </c>
      <c r="C902" t="s" s="86">
        <v>819</v>
      </c>
      <c r="D902" s="138">
        <v>68</v>
      </c>
      <c r="E902" t="s" s="85">
        <v>790</v>
      </c>
      <c r="F902" t="s" s="86">
        <v>475</v>
      </c>
      <c r="G902" s="139">
        <v>17</v>
      </c>
      <c r="H902" t="s" s="140">
        <v>113</v>
      </c>
      <c r="I902" t="s" s="141">
        <v>113</v>
      </c>
      <c r="J902" t="s" s="141">
        <v>97</v>
      </c>
      <c r="K902" t="str" s="142" cm="1">
        <f t="array" ref="K902">IF(OR(H902="ריביות",AND(H902="דירה כצנלסון",G902&lt;0,ISNUMBER(SEARCH("הכנסה",F902)))),"הכנסה שסווגה מחדש",J902)</f>
        <v>שוטף</v>
      </c>
      <c r="L902" t="s" s="141">
        <v>741</v>
      </c>
      <c r="M902" s="143" cm="1">
        <f t="array" ref="M902">IF(L902="מאושר",IF(K902="הכנסה שסווגה מחדש",0,G902),0)</f>
        <v>17</v>
      </c>
      <c r="N902" s="143" cm="1">
        <f t="array" ref="N902">IF(K902="שוטף",M902,0)</f>
        <v>17</v>
      </c>
      <c r="O902" s="143" cm="1">
        <f t="array" ref="O902">IF(K902="הכנסה שסווגה מחדש",-G902,0)</f>
        <v>0</v>
      </c>
      <c r="P902" t="s" s="86">
        <v>770</v>
      </c>
      <c r="Q902" s="99"/>
      <c r="R902" t="s" s="144">
        <v>743</v>
      </c>
      <c r="S902" s="77"/>
    </row>
    <row r="903" ht="13.65" customHeight="1">
      <c r="A903" s="78">
        <v>45901</v>
      </c>
      <c r="B903" t="s" s="79">
        <v>52</v>
      </c>
      <c r="C903" t="s" s="80">
        <v>819</v>
      </c>
      <c r="D903" s="131">
        <v>69</v>
      </c>
      <c r="E903" t="s" s="79">
        <v>761</v>
      </c>
      <c r="F903" t="s" s="80">
        <v>490</v>
      </c>
      <c r="G903" s="132">
        <v>61</v>
      </c>
      <c r="H903" t="s" s="133">
        <v>767</v>
      </c>
      <c r="I903" t="s" s="134">
        <v>107</v>
      </c>
      <c r="J903" t="s" s="134">
        <v>97</v>
      </c>
      <c r="K903" t="str" s="135" cm="1">
        <f t="array" ref="K903">IF(OR(H903="ריביות",AND(H903="דירה כצנלסון",G903&lt;0,ISNUMBER(SEARCH("הכנסה",F903)))),"הכנסה שסווגה מחדש",J903)</f>
        <v>שוטף</v>
      </c>
      <c r="L903" t="s" s="134">
        <v>741</v>
      </c>
      <c r="M903" s="136" cm="1">
        <f t="array" ref="M903">IF(L903="מאושר",IF(K903="הכנסה שסווגה מחדש",0,G903),0)</f>
        <v>61</v>
      </c>
      <c r="N903" s="136" cm="1">
        <f t="array" ref="N903">IF(K903="שוטף",M903,0)</f>
        <v>61</v>
      </c>
      <c r="O903" s="136" cm="1">
        <f t="array" ref="O903">IF(K903="הכנסה שסווגה מחדש",-G903,0)</f>
        <v>0</v>
      </c>
      <c r="P903" t="s" s="80">
        <v>770</v>
      </c>
      <c r="Q903" s="100"/>
      <c r="R903" t="s" s="137">
        <v>743</v>
      </c>
      <c r="S903" s="77"/>
    </row>
    <row r="904" ht="13.65" customHeight="1">
      <c r="A904" s="84">
        <v>45901</v>
      </c>
      <c r="B904" t="s" s="85">
        <v>52</v>
      </c>
      <c r="C904" t="s" s="86">
        <v>819</v>
      </c>
      <c r="D904" s="138">
        <v>70</v>
      </c>
      <c r="E904" t="s" s="85">
        <v>744</v>
      </c>
      <c r="F904" t="s" s="86">
        <v>312</v>
      </c>
      <c r="G904" s="139">
        <v>802</v>
      </c>
      <c r="H904" t="s" s="140">
        <v>210</v>
      </c>
      <c r="I904" t="s" s="141">
        <v>102</v>
      </c>
      <c r="J904" t="s" s="141">
        <v>103</v>
      </c>
      <c r="K904" t="str" s="142" cm="1">
        <f t="array" ref="K904">IF(OR(H904="ריביות",AND(H904="דירה כצנלסון",G904&lt;0,ISNUMBER(SEARCH("הכנסה",F904)))),"הכנסה שסווגה מחדש",J904)</f>
        <v>חריג</v>
      </c>
      <c r="L904" t="s" s="141">
        <v>741</v>
      </c>
      <c r="M904" s="143" cm="1">
        <f t="array" ref="M904">IF(L904="מאושר",IF(K904="הכנסה שסווגה מחדש",0,G904),0)</f>
        <v>802</v>
      </c>
      <c r="N904" s="143" cm="1">
        <f t="array" ref="N904">IF(K904="שוטף",M904,0)</f>
        <v>0</v>
      </c>
      <c r="O904" s="143" cm="1">
        <f t="array" ref="O904">IF(K904="הכנסה שסווגה מחדש",-G904,0)</f>
        <v>0</v>
      </c>
      <c r="P904" t="s" s="86">
        <v>770</v>
      </c>
      <c r="Q904" s="99"/>
      <c r="R904" t="s" s="144">
        <v>743</v>
      </c>
      <c r="S904" s="77"/>
    </row>
    <row r="905" ht="13.65" customHeight="1">
      <c r="A905" s="78">
        <v>45901</v>
      </c>
      <c r="B905" t="s" s="79">
        <v>52</v>
      </c>
      <c r="C905" t="s" s="80">
        <v>819</v>
      </c>
      <c r="D905" s="131">
        <v>71</v>
      </c>
      <c r="E905" t="s" s="79">
        <v>774</v>
      </c>
      <c r="F905" t="s" s="80">
        <v>723</v>
      </c>
      <c r="G905" s="132">
        <v>-2914</v>
      </c>
      <c r="H905" t="s" s="133">
        <v>210</v>
      </c>
      <c r="I905" t="s" s="134">
        <v>102</v>
      </c>
      <c r="J905" t="s" s="134">
        <v>103</v>
      </c>
      <c r="K905" t="str" s="135" cm="1">
        <f t="array" ref="K905">IF(OR(H905="ריביות",AND(H905="דירה כצנלסון",G905&lt;0,ISNUMBER(SEARCH("הכנסה",F905)))),"הכנסה שסווגה מחדש",J905)</f>
        <v>חריג</v>
      </c>
      <c r="L905" t="s" s="134">
        <v>741</v>
      </c>
      <c r="M905" s="136" cm="1">
        <f t="array" ref="M905">IF(L905="מאושר",IF(K905="הכנסה שסווגה מחדש",0,G905),0)</f>
        <v>-2914</v>
      </c>
      <c r="N905" s="136" cm="1">
        <f t="array" ref="N905">IF(K905="שוטף",M905,0)</f>
        <v>0</v>
      </c>
      <c r="O905" s="136" cm="1">
        <f t="array" ref="O905">IF(K905="הכנסה שסווגה מחדש",-G905,0)</f>
        <v>0</v>
      </c>
      <c r="P905" t="s" s="80">
        <v>770</v>
      </c>
      <c r="Q905" s="100"/>
      <c r="R905" t="s" s="137">
        <v>743</v>
      </c>
      <c r="S905" s="77"/>
    </row>
    <row r="906" ht="13.65" customHeight="1">
      <c r="A906" s="84">
        <v>45901</v>
      </c>
      <c r="B906" t="s" s="85">
        <v>52</v>
      </c>
      <c r="C906" t="s" s="86">
        <v>819</v>
      </c>
      <c r="D906" s="138">
        <v>72</v>
      </c>
      <c r="E906" t="s" s="85">
        <v>765</v>
      </c>
      <c r="F906" t="s" s="86">
        <v>262</v>
      </c>
      <c r="G906" s="139">
        <v>900</v>
      </c>
      <c r="H906" t="s" s="140">
        <v>767</v>
      </c>
      <c r="I906" t="s" s="141">
        <v>107</v>
      </c>
      <c r="J906" t="s" s="141">
        <v>97</v>
      </c>
      <c r="K906" t="str" s="142" cm="1">
        <f t="array" ref="K906">IF(OR(H906="ריביות",AND(H906="דירה כצנלסון",G906&lt;0,ISNUMBER(SEARCH("הכנסה",F906)))),"הכנסה שסווגה מחדש",J906)</f>
        <v>שוטף</v>
      </c>
      <c r="L906" t="s" s="141">
        <v>741</v>
      </c>
      <c r="M906" s="143" cm="1">
        <f t="array" ref="M906">IF(L906="מאושר",IF(K906="הכנסה שסווגה מחדש",0,G906),0)</f>
        <v>900</v>
      </c>
      <c r="N906" s="143" cm="1">
        <f t="array" ref="N906">IF(K906="שוטף",M906,0)</f>
        <v>900</v>
      </c>
      <c r="O906" s="143" cm="1">
        <f t="array" ref="O906">IF(K906="הכנסה שסווגה מחדש",-G906,0)</f>
        <v>0</v>
      </c>
      <c r="P906" t="s" s="86">
        <v>770</v>
      </c>
      <c r="Q906" s="99"/>
      <c r="R906" t="s" s="144">
        <v>743</v>
      </c>
      <c r="S906" s="77"/>
    </row>
    <row r="907" ht="13.65" customHeight="1">
      <c r="A907" s="78">
        <v>45901</v>
      </c>
      <c r="B907" t="s" s="79">
        <v>52</v>
      </c>
      <c r="C907" t="s" s="80">
        <v>819</v>
      </c>
      <c r="D907" s="131">
        <v>73</v>
      </c>
      <c r="E907" t="s" s="79">
        <v>765</v>
      </c>
      <c r="F907" t="s" s="80">
        <v>384</v>
      </c>
      <c r="G907" s="132">
        <v>130</v>
      </c>
      <c r="H907" t="s" s="133">
        <v>113</v>
      </c>
      <c r="I907" t="s" s="134">
        <v>113</v>
      </c>
      <c r="J907" t="s" s="134">
        <v>97</v>
      </c>
      <c r="K907" t="str" s="135" cm="1">
        <f t="array" ref="K907">IF(OR(H907="ריביות",AND(H907="דירה כצנלסון",G907&lt;0,ISNUMBER(SEARCH("הכנסה",F907)))),"הכנסה שסווגה מחדש",J907)</f>
        <v>שוטף</v>
      </c>
      <c r="L907" t="s" s="134">
        <v>741</v>
      </c>
      <c r="M907" s="136" cm="1">
        <f t="array" ref="M907">IF(L907="מאושר",IF(K907="הכנסה שסווגה מחדש",0,G907),0)</f>
        <v>130</v>
      </c>
      <c r="N907" s="136" cm="1">
        <f t="array" ref="N907">IF(K907="שוטף",M907,0)</f>
        <v>130</v>
      </c>
      <c r="O907" s="136" cm="1">
        <f t="array" ref="O907">IF(K907="הכנסה שסווגה מחדש",-G907,0)</f>
        <v>0</v>
      </c>
      <c r="P907" t="s" s="80">
        <v>770</v>
      </c>
      <c r="Q907" s="100"/>
      <c r="R907" t="s" s="137">
        <v>743</v>
      </c>
      <c r="S907" s="77"/>
    </row>
    <row r="908" ht="13.65" customHeight="1">
      <c r="A908" s="84">
        <v>45901</v>
      </c>
      <c r="B908" t="s" s="85">
        <v>52</v>
      </c>
      <c r="C908" t="s" s="86">
        <v>819</v>
      </c>
      <c r="D908" s="138">
        <v>74</v>
      </c>
      <c r="E908" t="s" s="85">
        <v>765</v>
      </c>
      <c r="F908" t="s" s="86">
        <v>200</v>
      </c>
      <c r="G908" s="139">
        <v>29</v>
      </c>
      <c r="H908" t="s" s="140">
        <v>109</v>
      </c>
      <c r="I908" t="s" s="141">
        <v>109</v>
      </c>
      <c r="J908" t="s" s="141">
        <v>97</v>
      </c>
      <c r="K908" t="str" s="142" cm="1">
        <f t="array" ref="K908">IF(OR(H908="ריביות",AND(H908="דירה כצנלסון",G908&lt;0,ISNUMBER(SEARCH("הכנסה",F908)))),"הכנסה שסווגה מחדש",J908)</f>
        <v>שוטף</v>
      </c>
      <c r="L908" t="s" s="141">
        <v>741</v>
      </c>
      <c r="M908" s="143" cm="1">
        <f t="array" ref="M908">IF(L908="מאושר",IF(K908="הכנסה שסווגה מחדש",0,G908),0)</f>
        <v>29</v>
      </c>
      <c r="N908" s="143" cm="1">
        <f t="array" ref="N908">IF(K908="שוטף",M908,0)</f>
        <v>29</v>
      </c>
      <c r="O908" s="143" cm="1">
        <f t="array" ref="O908">IF(K908="הכנסה שסווגה מחדש",-G908,0)</f>
        <v>0</v>
      </c>
      <c r="P908" t="s" s="86">
        <v>770</v>
      </c>
      <c r="Q908" s="99"/>
      <c r="R908" t="s" s="144">
        <v>743</v>
      </c>
      <c r="S908" s="77"/>
    </row>
    <row r="909" ht="13.65" customHeight="1">
      <c r="A909" s="78">
        <v>45901</v>
      </c>
      <c r="B909" t="s" s="79">
        <v>52</v>
      </c>
      <c r="C909" t="s" s="80">
        <v>819</v>
      </c>
      <c r="D909" s="131">
        <v>75</v>
      </c>
      <c r="E909" t="s" s="79">
        <v>764</v>
      </c>
      <c r="F909" t="s" s="80">
        <v>314</v>
      </c>
      <c r="G909" s="132">
        <v>62</v>
      </c>
      <c r="H909" t="s" s="133">
        <v>117</v>
      </c>
      <c r="I909" t="s" s="134">
        <v>117</v>
      </c>
      <c r="J909" t="s" s="134">
        <v>97</v>
      </c>
      <c r="K909" t="str" s="135" cm="1">
        <f t="array" ref="K909">IF(OR(H909="ריביות",AND(H909="דירה כצנלסון",G909&lt;0,ISNUMBER(SEARCH("הכנסה",F909)))),"הכנסה שסווגה מחדש",J909)</f>
        <v>שוטף</v>
      </c>
      <c r="L909" t="s" s="134">
        <v>741</v>
      </c>
      <c r="M909" s="136" cm="1">
        <f t="array" ref="M909">IF(L909="מאושר",IF(K909="הכנסה שסווגה מחדש",0,G909),0)</f>
        <v>62</v>
      </c>
      <c r="N909" s="136" cm="1">
        <f t="array" ref="N909">IF(K909="שוטף",M909,0)</f>
        <v>62</v>
      </c>
      <c r="O909" s="136" cm="1">
        <f t="array" ref="O909">IF(K909="הכנסה שסווגה מחדש",-G909,0)</f>
        <v>0</v>
      </c>
      <c r="P909" t="s" s="80">
        <v>770</v>
      </c>
      <c r="Q909" s="100"/>
      <c r="R909" t="s" s="137">
        <v>743</v>
      </c>
      <c r="S909" s="77"/>
    </row>
    <row r="910" ht="13.65" customHeight="1">
      <c r="A910" s="84">
        <v>45901</v>
      </c>
      <c r="B910" t="s" s="85">
        <v>52</v>
      </c>
      <c r="C910" t="s" s="86">
        <v>819</v>
      </c>
      <c r="D910" s="138">
        <v>76</v>
      </c>
      <c r="E910" t="s" s="85">
        <v>756</v>
      </c>
      <c r="F910" t="s" s="86">
        <v>234</v>
      </c>
      <c r="G910" s="139">
        <v>3264</v>
      </c>
      <c r="H910" t="s" s="140">
        <v>210</v>
      </c>
      <c r="I910" t="s" s="141">
        <v>102</v>
      </c>
      <c r="J910" t="s" s="141">
        <v>103</v>
      </c>
      <c r="K910" t="str" s="142" cm="1">
        <f t="array" ref="K910">IF(OR(H910="ריביות",AND(H910="דירה כצנלסון",G910&lt;0,ISNUMBER(SEARCH("הכנסה",F910)))),"הכנסה שסווגה מחדש",J910)</f>
        <v>חריג</v>
      </c>
      <c r="L910" t="s" s="141">
        <v>741</v>
      </c>
      <c r="M910" s="143" cm="1">
        <f t="array" ref="M910">IF(L910="מאושר",IF(K910="הכנסה שסווגה מחדש",0,G910),0)</f>
        <v>3264</v>
      </c>
      <c r="N910" s="143" cm="1">
        <f t="array" ref="N910">IF(K910="שוטף",M910,0)</f>
        <v>0</v>
      </c>
      <c r="O910" s="143" cm="1">
        <f t="array" ref="O910">IF(K910="הכנסה שסווגה מחדש",-G910,0)</f>
        <v>0</v>
      </c>
      <c r="P910" t="s" s="86">
        <v>770</v>
      </c>
      <c r="Q910" s="99"/>
      <c r="R910" t="s" s="144">
        <v>743</v>
      </c>
      <c r="S910" s="77"/>
    </row>
    <row r="911" ht="13.65" customHeight="1">
      <c r="A911" s="78">
        <v>45901</v>
      </c>
      <c r="B911" t="s" s="79">
        <v>52</v>
      </c>
      <c r="C911" t="s" s="80">
        <v>819</v>
      </c>
      <c r="D911" s="131">
        <v>78</v>
      </c>
      <c r="E911" s="100"/>
      <c r="F911" t="s" s="80">
        <v>716</v>
      </c>
      <c r="G911" s="132">
        <v>-279</v>
      </c>
      <c r="H911" t="s" s="133">
        <v>210</v>
      </c>
      <c r="I911" t="s" s="134">
        <v>102</v>
      </c>
      <c r="J911" t="s" s="134">
        <v>103</v>
      </c>
      <c r="K911" t="str" s="135" cm="1">
        <f t="array" ref="K911">IF(OR(H911="ריביות",AND(H911="דירה כצנלסון",G911&lt;0,ISNUMBER(SEARCH("הכנסה",F911)))),"הכנסה שסווגה מחדש",J911)</f>
        <v>חריג</v>
      </c>
      <c r="L911" t="s" s="134">
        <v>741</v>
      </c>
      <c r="M911" s="136" cm="1">
        <f t="array" ref="M911">IF(L911="מאושר",IF(K911="הכנסה שסווגה מחדש",0,G911),0)</f>
        <v>-279</v>
      </c>
      <c r="N911" s="136" cm="1">
        <f t="array" ref="N911">IF(K911="שוטף",M911,0)</f>
        <v>0</v>
      </c>
      <c r="O911" s="136" cm="1">
        <f t="array" ref="O911">IF(K911="הכנסה שסווגה מחדש",-G911,0)</f>
        <v>0</v>
      </c>
      <c r="P911" t="s" s="80">
        <v>821</v>
      </c>
      <c r="Q911" s="100"/>
      <c r="R911" t="s" s="137">
        <v>743</v>
      </c>
      <c r="S911" s="77"/>
    </row>
    <row r="912" ht="13.65" customHeight="1">
      <c r="A912" s="84">
        <v>45901</v>
      </c>
      <c r="B912" t="s" s="85">
        <v>52</v>
      </c>
      <c r="C912" t="s" s="86">
        <v>819</v>
      </c>
      <c r="D912" s="138">
        <v>80</v>
      </c>
      <c r="E912" t="s" s="85">
        <v>34</v>
      </c>
      <c r="F912" t="s" s="86">
        <v>334</v>
      </c>
      <c r="G912" s="139">
        <v>28</v>
      </c>
      <c r="H912" t="s" s="140">
        <v>109</v>
      </c>
      <c r="I912" t="s" s="141">
        <v>109</v>
      </c>
      <c r="J912" t="s" s="141">
        <v>97</v>
      </c>
      <c r="K912" t="str" s="142" cm="1">
        <f t="array" ref="K912">IF(OR(H912="ריביות",AND(H912="דירה כצנלסון",G912&lt;0,ISNUMBER(SEARCH("הכנסה",F912)))),"הכנסה שסווגה מחדש",J912)</f>
        <v>שוטף</v>
      </c>
      <c r="L912" t="s" s="141">
        <v>741</v>
      </c>
      <c r="M912" s="143" cm="1">
        <f t="array" ref="M912">IF(L912="מאושר",IF(K912="הכנסה שסווגה מחדש",0,G912),0)</f>
        <v>28</v>
      </c>
      <c r="N912" s="143" cm="1">
        <f t="array" ref="N912">IF(K912="שוטף",M912,0)</f>
        <v>28</v>
      </c>
      <c r="O912" s="143" cm="1">
        <f t="array" ref="O912">IF(K912="הכנסה שסווגה מחדש",-G912,0)</f>
        <v>0</v>
      </c>
      <c r="P912" t="s" s="86">
        <v>762</v>
      </c>
      <c r="Q912" s="99"/>
      <c r="R912" t="s" s="144">
        <v>743</v>
      </c>
      <c r="S912" s="77"/>
    </row>
    <row r="913" ht="13.65" customHeight="1">
      <c r="A913" s="78">
        <v>45901</v>
      </c>
      <c r="B913" t="s" s="79">
        <v>52</v>
      </c>
      <c r="C913" t="s" s="80">
        <v>819</v>
      </c>
      <c r="D913" s="131">
        <v>81</v>
      </c>
      <c r="E913" t="s" s="79">
        <v>34</v>
      </c>
      <c r="F913" t="s" s="80">
        <v>355</v>
      </c>
      <c r="G913" s="132">
        <v>55</v>
      </c>
      <c r="H913" t="s" s="133">
        <v>113</v>
      </c>
      <c r="I913" t="s" s="134">
        <v>113</v>
      </c>
      <c r="J913" t="s" s="134">
        <v>97</v>
      </c>
      <c r="K913" t="str" s="135" cm="1">
        <f t="array" ref="K913">IF(OR(H913="ריביות",AND(H913="דירה כצנלסון",G913&lt;0,ISNUMBER(SEARCH("הכנסה",F913)))),"הכנסה שסווגה מחדש",J913)</f>
        <v>שוטף</v>
      </c>
      <c r="L913" t="s" s="134">
        <v>741</v>
      </c>
      <c r="M913" s="136" cm="1">
        <f t="array" ref="M913">IF(L913="מאושר",IF(K913="הכנסה שסווגה מחדש",0,G913),0)</f>
        <v>55</v>
      </c>
      <c r="N913" s="136" cm="1">
        <f t="array" ref="N913">IF(K913="שוטף",M913,0)</f>
        <v>55</v>
      </c>
      <c r="O913" s="136" cm="1">
        <f t="array" ref="O913">IF(K913="הכנסה שסווגה מחדש",-G913,0)</f>
        <v>0</v>
      </c>
      <c r="P913" t="s" s="80">
        <v>762</v>
      </c>
      <c r="Q913" s="100"/>
      <c r="R913" t="s" s="137">
        <v>743</v>
      </c>
      <c r="S913" s="77"/>
    </row>
    <row r="914" ht="13.65" customHeight="1">
      <c r="A914" s="84">
        <v>45901</v>
      </c>
      <c r="B914" t="s" s="85">
        <v>52</v>
      </c>
      <c r="C914" t="s" s="86">
        <v>819</v>
      </c>
      <c r="D914" s="138">
        <v>82</v>
      </c>
      <c r="E914" t="s" s="85">
        <v>38</v>
      </c>
      <c r="F914" t="s" s="86">
        <v>209</v>
      </c>
      <c r="G914" s="139">
        <v>146</v>
      </c>
      <c r="H914" t="s" s="140">
        <v>113</v>
      </c>
      <c r="I914" t="s" s="141">
        <v>113</v>
      </c>
      <c r="J914" t="s" s="141">
        <v>97</v>
      </c>
      <c r="K914" t="str" s="142" cm="1">
        <f t="array" ref="K914">IF(OR(H914="ריביות",AND(H914="דירה כצנלסון",G914&lt;0,ISNUMBER(SEARCH("הכנסה",F914)))),"הכנסה שסווגה מחדש",J914)</f>
        <v>שוטף</v>
      </c>
      <c r="L914" t="s" s="141">
        <v>741</v>
      </c>
      <c r="M914" s="143" cm="1">
        <f t="array" ref="M914">IF(L914="מאושר",IF(K914="הכנסה שסווגה מחדש",0,G914),0)</f>
        <v>146</v>
      </c>
      <c r="N914" s="143" cm="1">
        <f t="array" ref="N914">IF(K914="שוטף",M914,0)</f>
        <v>146</v>
      </c>
      <c r="O914" s="143" cm="1">
        <f t="array" ref="O914">IF(K914="הכנסה שסווגה מחדש",-G914,0)</f>
        <v>0</v>
      </c>
      <c r="P914" t="s" s="86">
        <v>762</v>
      </c>
      <c r="Q914" s="99"/>
      <c r="R914" t="s" s="144">
        <v>743</v>
      </c>
      <c r="S914" s="77"/>
    </row>
    <row r="915" ht="13.65" customHeight="1">
      <c r="A915" s="78">
        <v>45901</v>
      </c>
      <c r="B915" t="s" s="79">
        <v>52</v>
      </c>
      <c r="C915" t="s" s="80">
        <v>819</v>
      </c>
      <c r="D915" s="131">
        <v>83</v>
      </c>
      <c r="E915" t="s" s="79">
        <v>42</v>
      </c>
      <c r="F915" t="s" s="80">
        <v>665</v>
      </c>
      <c r="G915" s="132">
        <v>11</v>
      </c>
      <c r="H915" t="s" s="133">
        <v>210</v>
      </c>
      <c r="I915" t="s" s="134">
        <v>102</v>
      </c>
      <c r="J915" t="s" s="134">
        <v>103</v>
      </c>
      <c r="K915" t="str" s="135" cm="1">
        <f t="array" ref="K915">IF(OR(H915="ריביות",AND(H915="דירה כצנלסון",G915&lt;0,ISNUMBER(SEARCH("הכנסה",F915)))),"הכנסה שסווגה מחדש",J915)</f>
        <v>חריג</v>
      </c>
      <c r="L915" t="s" s="134">
        <v>741</v>
      </c>
      <c r="M915" s="136" cm="1">
        <f t="array" ref="M915">IF(L915="מאושר",IF(K915="הכנסה שסווגה מחדש",0,G915),0)</f>
        <v>11</v>
      </c>
      <c r="N915" s="136" cm="1">
        <f t="array" ref="N915">IF(K915="שוטף",M915,0)</f>
        <v>0</v>
      </c>
      <c r="O915" s="136" cm="1">
        <f t="array" ref="O915">IF(K915="הכנסה שסווגה מחדש",-G915,0)</f>
        <v>0</v>
      </c>
      <c r="P915" t="s" s="80">
        <v>762</v>
      </c>
      <c r="Q915" s="100"/>
      <c r="R915" t="s" s="137">
        <v>743</v>
      </c>
      <c r="S915" s="77"/>
    </row>
    <row r="916" ht="13.65" customHeight="1">
      <c r="A916" s="84">
        <v>45901</v>
      </c>
      <c r="B916" t="s" s="85">
        <v>52</v>
      </c>
      <c r="C916" t="s" s="86">
        <v>819</v>
      </c>
      <c r="D916" s="138">
        <v>84</v>
      </c>
      <c r="E916" t="s" s="85">
        <v>46</v>
      </c>
      <c r="F916" t="s" s="86">
        <v>431</v>
      </c>
      <c r="G916" s="139">
        <v>238</v>
      </c>
      <c r="H916" t="s" s="140">
        <v>121</v>
      </c>
      <c r="I916" t="s" s="141">
        <v>121</v>
      </c>
      <c r="J916" t="s" s="141">
        <v>97</v>
      </c>
      <c r="K916" t="str" s="142" cm="1">
        <f t="array" ref="K916">IF(OR(H916="ריביות",AND(H916="דירה כצנלסון",G916&lt;0,ISNUMBER(SEARCH("הכנסה",F916)))),"הכנסה שסווגה מחדש",J916)</f>
        <v>שוטף</v>
      </c>
      <c r="L916" t="s" s="141">
        <v>741</v>
      </c>
      <c r="M916" s="143" cm="1">
        <f t="array" ref="M916">IF(L916="מאושר",IF(K916="הכנסה שסווגה מחדש",0,G916),0)</f>
        <v>238</v>
      </c>
      <c r="N916" s="143" cm="1">
        <f t="array" ref="N916">IF(K916="שוטף",M916,0)</f>
        <v>238</v>
      </c>
      <c r="O916" s="143" cm="1">
        <f t="array" ref="O916">IF(K916="הכנסה שסווגה מחדש",-G916,0)</f>
        <v>0</v>
      </c>
      <c r="P916" t="s" s="86">
        <v>762</v>
      </c>
      <c r="Q916" s="99"/>
      <c r="R916" t="s" s="144">
        <v>743</v>
      </c>
      <c r="S916" s="77"/>
    </row>
    <row r="917" ht="13.65" customHeight="1">
      <c r="A917" s="78">
        <v>45901</v>
      </c>
      <c r="B917" t="s" s="79">
        <v>52</v>
      </c>
      <c r="C917" t="s" s="80">
        <v>819</v>
      </c>
      <c r="D917" s="131">
        <v>85</v>
      </c>
      <c r="E917" t="s" s="79">
        <v>769</v>
      </c>
      <c r="F917" t="s" s="80">
        <v>422</v>
      </c>
      <c r="G917" s="132">
        <v>249</v>
      </c>
      <c r="H917" t="s" s="133">
        <v>117</v>
      </c>
      <c r="I917" t="s" s="134">
        <v>117</v>
      </c>
      <c r="J917" t="s" s="134">
        <v>97</v>
      </c>
      <c r="K917" t="str" s="135" cm="1">
        <f t="array" ref="K917">IF(OR(H917="ריביות",AND(H917="דירה כצנלסון",G917&lt;0,ISNUMBER(SEARCH("הכנסה",F917)))),"הכנסה שסווגה מחדש",J917)</f>
        <v>שוטף</v>
      </c>
      <c r="L917" t="s" s="134">
        <v>741</v>
      </c>
      <c r="M917" s="136" cm="1">
        <f t="array" ref="M917">IF(L917="מאושר",IF(K917="הכנסה שסווגה מחדש",0,G917),0)</f>
        <v>249</v>
      </c>
      <c r="N917" s="136" cm="1">
        <f t="array" ref="N917">IF(K917="שוטף",M917,0)</f>
        <v>249</v>
      </c>
      <c r="O917" s="136" cm="1">
        <f t="array" ref="O917">IF(K917="הכנסה שסווגה מחדש",-G917,0)</f>
        <v>0</v>
      </c>
      <c r="P917" t="s" s="80">
        <v>762</v>
      </c>
      <c r="Q917" s="100"/>
      <c r="R917" t="s" s="137">
        <v>743</v>
      </c>
      <c r="S917" s="77"/>
    </row>
    <row r="918" ht="13.65" customHeight="1">
      <c r="A918" s="84">
        <v>45901</v>
      </c>
      <c r="B918" t="s" s="85">
        <v>52</v>
      </c>
      <c r="C918" t="s" s="86">
        <v>819</v>
      </c>
      <c r="D918" s="138">
        <v>86</v>
      </c>
      <c r="E918" t="s" s="85">
        <v>769</v>
      </c>
      <c r="F918" t="s" s="86">
        <v>296</v>
      </c>
      <c r="G918" s="139">
        <v>233</v>
      </c>
      <c r="H918" t="s" s="140">
        <v>113</v>
      </c>
      <c r="I918" t="s" s="141">
        <v>113</v>
      </c>
      <c r="J918" t="s" s="141">
        <v>97</v>
      </c>
      <c r="K918" t="str" s="142" cm="1">
        <f t="array" ref="K918">IF(OR(H918="ריביות",AND(H918="דירה כצנלסון",G918&lt;0,ISNUMBER(SEARCH("הכנסה",F918)))),"הכנסה שסווגה מחדש",J918)</f>
        <v>שוטף</v>
      </c>
      <c r="L918" t="s" s="141">
        <v>741</v>
      </c>
      <c r="M918" s="143" cm="1">
        <f t="array" ref="M918">IF(L918="מאושר",IF(K918="הכנסה שסווגה מחדש",0,G918),0)</f>
        <v>233</v>
      </c>
      <c r="N918" s="143" cm="1">
        <f t="array" ref="N918">IF(K918="שוטף",M918,0)</f>
        <v>233</v>
      </c>
      <c r="O918" s="143" cm="1">
        <f t="array" ref="O918">IF(K918="הכנסה שסווגה מחדש",-G918,0)</f>
        <v>0</v>
      </c>
      <c r="P918" t="s" s="86">
        <v>762</v>
      </c>
      <c r="Q918" s="99"/>
      <c r="R918" t="s" s="144">
        <v>743</v>
      </c>
      <c r="S918" s="77"/>
    </row>
    <row r="919" ht="13.65" customHeight="1">
      <c r="A919" s="78">
        <v>45901</v>
      </c>
      <c r="B919" t="s" s="79">
        <v>52</v>
      </c>
      <c r="C919" t="s" s="80">
        <v>819</v>
      </c>
      <c r="D919" s="131">
        <v>87</v>
      </c>
      <c r="E919" t="s" s="79">
        <v>749</v>
      </c>
      <c r="F919" t="s" s="80">
        <v>334</v>
      </c>
      <c r="G919" s="132">
        <v>55</v>
      </c>
      <c r="H919" t="s" s="133">
        <v>109</v>
      </c>
      <c r="I919" t="s" s="134">
        <v>109</v>
      </c>
      <c r="J919" t="s" s="134">
        <v>97</v>
      </c>
      <c r="K919" t="str" s="135" cm="1">
        <f t="array" ref="K919">IF(OR(H919="ריביות",AND(H919="דירה כצנלסון",G919&lt;0,ISNUMBER(SEARCH("הכנסה",F919)))),"הכנסה שסווגה מחדש",J919)</f>
        <v>שוטף</v>
      </c>
      <c r="L919" t="s" s="134">
        <v>741</v>
      </c>
      <c r="M919" s="136" cm="1">
        <f t="array" ref="M919">IF(L919="מאושר",IF(K919="הכנסה שסווגה מחדש",0,G919),0)</f>
        <v>55</v>
      </c>
      <c r="N919" s="136" cm="1">
        <f t="array" ref="N919">IF(K919="שוטף",M919,0)</f>
        <v>55</v>
      </c>
      <c r="O919" s="136" cm="1">
        <f t="array" ref="O919">IF(K919="הכנסה שסווגה מחדש",-G919,0)</f>
        <v>0</v>
      </c>
      <c r="P919" t="s" s="80">
        <v>762</v>
      </c>
      <c r="Q919" s="100"/>
      <c r="R919" t="s" s="137">
        <v>743</v>
      </c>
      <c r="S919" s="77"/>
    </row>
    <row r="920" ht="13.65" customHeight="1">
      <c r="A920" s="84">
        <v>45901</v>
      </c>
      <c r="B920" t="s" s="85">
        <v>52</v>
      </c>
      <c r="C920" t="s" s="86">
        <v>819</v>
      </c>
      <c r="D920" s="138">
        <v>88</v>
      </c>
      <c r="E920" t="s" s="85">
        <v>789</v>
      </c>
      <c r="F920" t="s" s="86">
        <v>209</v>
      </c>
      <c r="G920" s="139">
        <v>27</v>
      </c>
      <c r="H920" t="s" s="140">
        <v>113</v>
      </c>
      <c r="I920" t="s" s="141">
        <v>113</v>
      </c>
      <c r="J920" t="s" s="141">
        <v>97</v>
      </c>
      <c r="K920" t="str" s="142" cm="1">
        <f t="array" ref="K920">IF(OR(H920="ריביות",AND(H920="דירה כצנלסון",G920&lt;0,ISNUMBER(SEARCH("הכנסה",F920)))),"הכנסה שסווגה מחדש",J920)</f>
        <v>שוטף</v>
      </c>
      <c r="L920" t="s" s="141">
        <v>741</v>
      </c>
      <c r="M920" s="143" cm="1">
        <f t="array" ref="M920">IF(L920="מאושר",IF(K920="הכנסה שסווגה מחדש",0,G920),0)</f>
        <v>27</v>
      </c>
      <c r="N920" s="143" cm="1">
        <f t="array" ref="N920">IF(K920="שוטף",M920,0)</f>
        <v>27</v>
      </c>
      <c r="O920" s="143" cm="1">
        <f t="array" ref="O920">IF(K920="הכנסה שסווגה מחדש",-G920,0)</f>
        <v>0</v>
      </c>
      <c r="P920" t="s" s="86">
        <v>762</v>
      </c>
      <c r="Q920" s="99"/>
      <c r="R920" t="s" s="144">
        <v>743</v>
      </c>
      <c r="S920" s="77"/>
    </row>
    <row r="921" ht="13.65" customHeight="1">
      <c r="A921" s="78">
        <v>45901</v>
      </c>
      <c r="B921" t="s" s="79">
        <v>52</v>
      </c>
      <c r="C921" t="s" s="80">
        <v>819</v>
      </c>
      <c r="D921" s="131">
        <v>89</v>
      </c>
      <c r="E921" t="s" s="79">
        <v>751</v>
      </c>
      <c r="F921" t="s" s="80">
        <v>209</v>
      </c>
      <c r="G921" s="132">
        <v>57</v>
      </c>
      <c r="H921" t="s" s="133">
        <v>113</v>
      </c>
      <c r="I921" t="s" s="134">
        <v>113</v>
      </c>
      <c r="J921" t="s" s="134">
        <v>97</v>
      </c>
      <c r="K921" t="str" s="135" cm="1">
        <f t="array" ref="K921">IF(OR(H921="ריביות",AND(H921="דירה כצנלסון",G921&lt;0,ISNUMBER(SEARCH("הכנסה",F921)))),"הכנסה שסווגה מחדש",J921)</f>
        <v>שוטף</v>
      </c>
      <c r="L921" t="s" s="134">
        <v>741</v>
      </c>
      <c r="M921" s="136" cm="1">
        <f t="array" ref="M921">IF(L921="מאושר",IF(K921="הכנסה שסווגה מחדש",0,G921),0)</f>
        <v>57</v>
      </c>
      <c r="N921" s="136" cm="1">
        <f t="array" ref="N921">IF(K921="שוטף",M921,0)</f>
        <v>57</v>
      </c>
      <c r="O921" s="136" cm="1">
        <f t="array" ref="O921">IF(K921="הכנסה שסווגה מחדש",-G921,0)</f>
        <v>0</v>
      </c>
      <c r="P921" t="s" s="80">
        <v>762</v>
      </c>
      <c r="Q921" s="100"/>
      <c r="R921" t="s" s="137">
        <v>743</v>
      </c>
      <c r="S921" s="77"/>
    </row>
    <row r="922" ht="13.65" customHeight="1">
      <c r="A922" s="84">
        <v>45901</v>
      </c>
      <c r="B922" t="s" s="85">
        <v>52</v>
      </c>
      <c r="C922" t="s" s="86">
        <v>819</v>
      </c>
      <c r="D922" s="138">
        <v>90</v>
      </c>
      <c r="E922" t="s" s="85">
        <v>753</v>
      </c>
      <c r="F922" t="s" s="86">
        <v>269</v>
      </c>
      <c r="G922" s="139">
        <v>235</v>
      </c>
      <c r="H922" t="s" s="140">
        <v>113</v>
      </c>
      <c r="I922" t="s" s="141">
        <v>113</v>
      </c>
      <c r="J922" t="s" s="141">
        <v>97</v>
      </c>
      <c r="K922" t="str" s="142" cm="1">
        <f t="array" ref="K922">IF(OR(H922="ריביות",AND(H922="דירה כצנלסון",G922&lt;0,ISNUMBER(SEARCH("הכנסה",F922)))),"הכנסה שסווגה מחדש",J922)</f>
        <v>שוטף</v>
      </c>
      <c r="L922" t="s" s="141">
        <v>741</v>
      </c>
      <c r="M922" s="143" cm="1">
        <f t="array" ref="M922">IF(L922="מאושר",IF(K922="הכנסה שסווגה מחדש",0,G922),0)</f>
        <v>235</v>
      </c>
      <c r="N922" s="143" cm="1">
        <f t="array" ref="N922">IF(K922="שוטף",M922,0)</f>
        <v>235</v>
      </c>
      <c r="O922" s="143" cm="1">
        <f t="array" ref="O922">IF(K922="הכנסה שסווגה מחדש",-G922,0)</f>
        <v>0</v>
      </c>
      <c r="P922" t="s" s="86">
        <v>762</v>
      </c>
      <c r="Q922" s="99"/>
      <c r="R922" t="s" s="144">
        <v>743</v>
      </c>
      <c r="S922" s="77"/>
    </row>
    <row r="923" ht="13.65" customHeight="1">
      <c r="A923" s="78">
        <v>45901</v>
      </c>
      <c r="B923" t="s" s="79">
        <v>52</v>
      </c>
      <c r="C923" t="s" s="80">
        <v>819</v>
      </c>
      <c r="D923" s="131">
        <v>91</v>
      </c>
      <c r="E923" t="s" s="79">
        <v>753</v>
      </c>
      <c r="F923" t="s" s="80">
        <v>600</v>
      </c>
      <c r="G923" s="132">
        <v>23</v>
      </c>
      <c r="H923" t="s" s="133">
        <v>117</v>
      </c>
      <c r="I923" t="s" s="134">
        <v>117</v>
      </c>
      <c r="J923" t="s" s="134">
        <v>97</v>
      </c>
      <c r="K923" t="str" s="135" cm="1">
        <f t="array" ref="K923">IF(OR(H923="ריביות",AND(H923="דירה כצנלסון",G923&lt;0,ISNUMBER(SEARCH("הכנסה",F923)))),"הכנסה שסווגה מחדש",J923)</f>
        <v>שוטף</v>
      </c>
      <c r="L923" t="s" s="134">
        <v>741</v>
      </c>
      <c r="M923" s="136" cm="1">
        <f t="array" ref="M923">IF(L923="מאושר",IF(K923="הכנסה שסווגה מחדש",0,G923),0)</f>
        <v>23</v>
      </c>
      <c r="N923" s="136" cm="1">
        <f t="array" ref="N923">IF(K923="שוטף",M923,0)</f>
        <v>23</v>
      </c>
      <c r="O923" s="136" cm="1">
        <f t="array" ref="O923">IF(K923="הכנסה שסווגה מחדש",-G923,0)</f>
        <v>0</v>
      </c>
      <c r="P923" t="s" s="80">
        <v>762</v>
      </c>
      <c r="Q923" s="100"/>
      <c r="R923" t="s" s="137">
        <v>743</v>
      </c>
      <c r="S923" s="77"/>
    </row>
    <row r="924" ht="13.65" customHeight="1">
      <c r="A924" s="84">
        <v>45901</v>
      </c>
      <c r="B924" t="s" s="85">
        <v>52</v>
      </c>
      <c r="C924" t="s" s="86">
        <v>819</v>
      </c>
      <c r="D924" s="138">
        <v>92</v>
      </c>
      <c r="E924" t="s" s="85">
        <v>739</v>
      </c>
      <c r="F924" t="s" s="86">
        <v>209</v>
      </c>
      <c r="G924" s="139">
        <v>12</v>
      </c>
      <c r="H924" t="s" s="140">
        <v>113</v>
      </c>
      <c r="I924" t="s" s="141">
        <v>113</v>
      </c>
      <c r="J924" t="s" s="141">
        <v>97</v>
      </c>
      <c r="K924" t="str" s="142" cm="1">
        <f t="array" ref="K924">IF(OR(H924="ריביות",AND(H924="דירה כצנלסון",G924&lt;0,ISNUMBER(SEARCH("הכנסה",F924)))),"הכנסה שסווגה מחדש",J924)</f>
        <v>שוטף</v>
      </c>
      <c r="L924" t="s" s="141">
        <v>741</v>
      </c>
      <c r="M924" s="143" cm="1">
        <f t="array" ref="M924">IF(L924="מאושר",IF(K924="הכנסה שסווגה מחדש",0,G924),0)</f>
        <v>12</v>
      </c>
      <c r="N924" s="143" cm="1">
        <f t="array" ref="N924">IF(K924="שוטף",M924,0)</f>
        <v>12</v>
      </c>
      <c r="O924" s="143" cm="1">
        <f t="array" ref="O924">IF(K924="הכנסה שסווגה מחדש",-G924,0)</f>
        <v>0</v>
      </c>
      <c r="P924" t="s" s="86">
        <v>762</v>
      </c>
      <c r="Q924" s="99"/>
      <c r="R924" t="s" s="144">
        <v>743</v>
      </c>
      <c r="S924" s="77"/>
    </row>
    <row r="925" ht="13.65" customHeight="1">
      <c r="A925" s="78">
        <v>45901</v>
      </c>
      <c r="B925" t="s" s="79">
        <v>52</v>
      </c>
      <c r="C925" t="s" s="80">
        <v>819</v>
      </c>
      <c r="D925" s="131">
        <v>93</v>
      </c>
      <c r="E925" t="s" s="79">
        <v>739</v>
      </c>
      <c r="F925" t="s" s="80">
        <v>213</v>
      </c>
      <c r="G925" s="132">
        <v>193</v>
      </c>
      <c r="H925" t="s" s="133">
        <v>115</v>
      </c>
      <c r="I925" t="s" s="134">
        <v>115</v>
      </c>
      <c r="J925" t="s" s="134">
        <v>97</v>
      </c>
      <c r="K925" t="str" s="135" cm="1">
        <f t="array" ref="K925">IF(OR(H925="ריביות",AND(H925="דירה כצנלסון",G925&lt;0,ISNUMBER(SEARCH("הכנסה",F925)))),"הכנסה שסווגה מחדש",J925)</f>
        <v>שוטף</v>
      </c>
      <c r="L925" t="s" s="134">
        <v>741</v>
      </c>
      <c r="M925" s="136" cm="1">
        <f t="array" ref="M925">IF(L925="מאושר",IF(K925="הכנסה שסווגה מחדש",0,G925),0)</f>
        <v>193</v>
      </c>
      <c r="N925" s="136" cm="1">
        <f t="array" ref="N925">IF(K925="שוטף",M925,0)</f>
        <v>193</v>
      </c>
      <c r="O925" s="136" cm="1">
        <f t="array" ref="O925">IF(K925="הכנסה שסווגה מחדש",-G925,0)</f>
        <v>0</v>
      </c>
      <c r="P925" t="s" s="80">
        <v>762</v>
      </c>
      <c r="Q925" s="100"/>
      <c r="R925" t="s" s="137">
        <v>743</v>
      </c>
      <c r="S925" s="77"/>
    </row>
    <row r="926" ht="13.65" customHeight="1">
      <c r="A926" s="84">
        <v>45901</v>
      </c>
      <c r="B926" t="s" s="85">
        <v>52</v>
      </c>
      <c r="C926" t="s" s="86">
        <v>819</v>
      </c>
      <c r="D926" s="138">
        <v>94</v>
      </c>
      <c r="E926" t="s" s="85">
        <v>771</v>
      </c>
      <c r="F926" t="s" s="86">
        <v>209</v>
      </c>
      <c r="G926" s="139">
        <v>192</v>
      </c>
      <c r="H926" t="s" s="140">
        <v>113</v>
      </c>
      <c r="I926" t="s" s="141">
        <v>113</v>
      </c>
      <c r="J926" t="s" s="141">
        <v>97</v>
      </c>
      <c r="K926" t="str" s="142" cm="1">
        <f t="array" ref="K926">IF(OR(H926="ריביות",AND(H926="דירה כצנלסון",G926&lt;0,ISNUMBER(SEARCH("הכנסה",F926)))),"הכנסה שסווגה מחדש",J926)</f>
        <v>שוטף</v>
      </c>
      <c r="L926" t="s" s="141">
        <v>741</v>
      </c>
      <c r="M926" s="143" cm="1">
        <f t="array" ref="M926">IF(L926="מאושר",IF(K926="הכנסה שסווגה מחדש",0,G926),0)</f>
        <v>192</v>
      </c>
      <c r="N926" s="143" cm="1">
        <f t="array" ref="N926">IF(K926="שוטף",M926,0)</f>
        <v>192</v>
      </c>
      <c r="O926" s="143" cm="1">
        <f t="array" ref="O926">IF(K926="הכנסה שסווגה מחדש",-G926,0)</f>
        <v>0</v>
      </c>
      <c r="P926" t="s" s="86">
        <v>762</v>
      </c>
      <c r="Q926" s="99"/>
      <c r="R926" t="s" s="144">
        <v>743</v>
      </c>
      <c r="S926" s="77"/>
    </row>
    <row r="927" ht="13.65" customHeight="1">
      <c r="A927" s="78">
        <v>45901</v>
      </c>
      <c r="B927" t="s" s="79">
        <v>52</v>
      </c>
      <c r="C927" t="s" s="80">
        <v>819</v>
      </c>
      <c r="D927" s="131">
        <v>95</v>
      </c>
      <c r="E927" t="s" s="79">
        <v>772</v>
      </c>
      <c r="F927" t="s" s="80">
        <v>490</v>
      </c>
      <c r="G927" s="132">
        <v>75</v>
      </c>
      <c r="H927" t="s" s="133">
        <v>767</v>
      </c>
      <c r="I927" t="s" s="134">
        <v>107</v>
      </c>
      <c r="J927" t="s" s="134">
        <v>97</v>
      </c>
      <c r="K927" t="str" s="135" cm="1">
        <f t="array" ref="K927">IF(OR(H927="ריביות",AND(H927="דירה כצנלסון",G927&lt;0,ISNUMBER(SEARCH("הכנסה",F927)))),"הכנסה שסווגה מחדש",J927)</f>
        <v>שוטף</v>
      </c>
      <c r="L927" t="s" s="134">
        <v>741</v>
      </c>
      <c r="M927" s="136" cm="1">
        <f t="array" ref="M927">IF(L927="מאושר",IF(K927="הכנסה שסווגה מחדש",0,G927),0)</f>
        <v>75</v>
      </c>
      <c r="N927" s="136" cm="1">
        <f t="array" ref="N927">IF(K927="שוטף",M927,0)</f>
        <v>75</v>
      </c>
      <c r="O927" s="136" cm="1">
        <f t="array" ref="O927">IF(K927="הכנסה שסווגה מחדש",-G927,0)</f>
        <v>0</v>
      </c>
      <c r="P927" t="s" s="80">
        <v>762</v>
      </c>
      <c r="Q927" s="100"/>
      <c r="R927" t="s" s="137">
        <v>743</v>
      </c>
      <c r="S927" s="77"/>
    </row>
    <row r="928" ht="13.65" customHeight="1">
      <c r="A928" s="84">
        <v>45901</v>
      </c>
      <c r="B928" t="s" s="85">
        <v>52</v>
      </c>
      <c r="C928" t="s" s="86">
        <v>819</v>
      </c>
      <c r="D928" s="138">
        <v>96</v>
      </c>
      <c r="E928" t="s" s="85">
        <v>772</v>
      </c>
      <c r="F928" t="s" s="86">
        <v>281</v>
      </c>
      <c r="G928" s="139">
        <v>160</v>
      </c>
      <c r="H928" t="s" s="140">
        <v>125</v>
      </c>
      <c r="I928" t="s" s="141">
        <v>125</v>
      </c>
      <c r="J928" t="s" s="141">
        <v>97</v>
      </c>
      <c r="K928" t="str" s="142" cm="1">
        <f t="array" ref="K928">IF(OR(H928="ריביות",AND(H928="דירה כצנלסון",G928&lt;0,ISNUMBER(SEARCH("הכנסה",F928)))),"הכנסה שסווגה מחדש",J928)</f>
        <v>שוטף</v>
      </c>
      <c r="L928" t="s" s="141">
        <v>741</v>
      </c>
      <c r="M928" s="143" cm="1">
        <f t="array" ref="M928">IF(L928="מאושר",IF(K928="הכנסה שסווגה מחדש",0,G928),0)</f>
        <v>160</v>
      </c>
      <c r="N928" s="143" cm="1">
        <f t="array" ref="N928">IF(K928="שוטף",M928,0)</f>
        <v>160</v>
      </c>
      <c r="O928" s="143" cm="1">
        <f t="array" ref="O928">IF(K928="הכנסה שסווגה מחדש",-G928,0)</f>
        <v>0</v>
      </c>
      <c r="P928" t="s" s="86">
        <v>762</v>
      </c>
      <c r="Q928" s="99"/>
      <c r="R928" t="s" s="144">
        <v>743</v>
      </c>
      <c r="S928" s="77"/>
    </row>
    <row r="929" ht="13.65" customHeight="1">
      <c r="A929" s="78">
        <v>45901</v>
      </c>
      <c r="B929" t="s" s="79">
        <v>52</v>
      </c>
      <c r="C929" t="s" s="80">
        <v>819</v>
      </c>
      <c r="D929" s="131">
        <v>97</v>
      </c>
      <c r="E929" t="s" s="79">
        <v>772</v>
      </c>
      <c r="F929" t="s" s="80">
        <v>334</v>
      </c>
      <c r="G929" s="132">
        <v>21</v>
      </c>
      <c r="H929" t="s" s="133">
        <v>109</v>
      </c>
      <c r="I929" t="s" s="134">
        <v>109</v>
      </c>
      <c r="J929" t="s" s="134">
        <v>97</v>
      </c>
      <c r="K929" t="str" s="135" cm="1">
        <f t="array" ref="K929">IF(OR(H929="ריביות",AND(H929="דירה כצנלסון",G929&lt;0,ISNUMBER(SEARCH("הכנסה",F929)))),"הכנסה שסווגה מחדש",J929)</f>
        <v>שוטף</v>
      </c>
      <c r="L929" t="s" s="134">
        <v>741</v>
      </c>
      <c r="M929" s="136" cm="1">
        <f t="array" ref="M929">IF(L929="מאושר",IF(K929="הכנסה שסווגה מחדש",0,G929),0)</f>
        <v>21</v>
      </c>
      <c r="N929" s="136" cm="1">
        <f t="array" ref="N929">IF(K929="שוטף",M929,0)</f>
        <v>21</v>
      </c>
      <c r="O929" s="136" cm="1">
        <f t="array" ref="O929">IF(K929="הכנסה שסווגה מחדש",-G929,0)</f>
        <v>0</v>
      </c>
      <c r="P929" t="s" s="80">
        <v>762</v>
      </c>
      <c r="Q929" s="100"/>
      <c r="R929" t="s" s="137">
        <v>743</v>
      </c>
      <c r="S929" s="77"/>
    </row>
    <row r="930" ht="13.65" customHeight="1">
      <c r="A930" s="84">
        <v>45901</v>
      </c>
      <c r="B930" t="s" s="85">
        <v>52</v>
      </c>
      <c r="C930" t="s" s="86">
        <v>819</v>
      </c>
      <c r="D930" s="138">
        <v>98</v>
      </c>
      <c r="E930" t="s" s="85">
        <v>754</v>
      </c>
      <c r="F930" t="s" s="86">
        <v>334</v>
      </c>
      <c r="G930" s="139">
        <v>24</v>
      </c>
      <c r="H930" t="s" s="140">
        <v>109</v>
      </c>
      <c r="I930" t="s" s="141">
        <v>109</v>
      </c>
      <c r="J930" t="s" s="141">
        <v>97</v>
      </c>
      <c r="K930" t="str" s="142" cm="1">
        <f t="array" ref="K930">IF(OR(H930="ריביות",AND(H930="דירה כצנלסון",G930&lt;0,ISNUMBER(SEARCH("הכנסה",F930)))),"הכנסה שסווגה מחדש",J930)</f>
        <v>שוטף</v>
      </c>
      <c r="L930" t="s" s="141">
        <v>741</v>
      </c>
      <c r="M930" s="143" cm="1">
        <f t="array" ref="M930">IF(L930="מאושר",IF(K930="הכנסה שסווגה מחדש",0,G930),0)</f>
        <v>24</v>
      </c>
      <c r="N930" s="143" cm="1">
        <f t="array" ref="N930">IF(K930="שוטף",M930,0)</f>
        <v>24</v>
      </c>
      <c r="O930" s="143" cm="1">
        <f t="array" ref="O930">IF(K930="הכנסה שסווגה מחדש",-G930,0)</f>
        <v>0</v>
      </c>
      <c r="P930" t="s" s="86">
        <v>762</v>
      </c>
      <c r="Q930" s="99"/>
      <c r="R930" t="s" s="144">
        <v>743</v>
      </c>
      <c r="S930" s="77"/>
    </row>
    <row r="931" ht="13.65" customHeight="1">
      <c r="A931" s="78">
        <v>45901</v>
      </c>
      <c r="B931" t="s" s="79">
        <v>52</v>
      </c>
      <c r="C931" t="s" s="80">
        <v>819</v>
      </c>
      <c r="D931" s="131">
        <v>99</v>
      </c>
      <c r="E931" t="s" s="79">
        <v>790</v>
      </c>
      <c r="F931" t="s" s="80">
        <v>629</v>
      </c>
      <c r="G931" s="132">
        <v>38</v>
      </c>
      <c r="H931" t="s" s="133">
        <v>117</v>
      </c>
      <c r="I931" t="s" s="134">
        <v>117</v>
      </c>
      <c r="J931" t="s" s="134">
        <v>97</v>
      </c>
      <c r="K931" t="str" s="135" cm="1">
        <f t="array" ref="K931">IF(OR(H931="ריביות",AND(H931="דירה כצנלסון",G931&lt;0,ISNUMBER(SEARCH("הכנסה",F931)))),"הכנסה שסווגה מחדש",J931)</f>
        <v>שוטף</v>
      </c>
      <c r="L931" t="s" s="134">
        <v>741</v>
      </c>
      <c r="M931" s="136" cm="1">
        <f t="array" ref="M931">IF(L931="מאושר",IF(K931="הכנסה שסווגה מחדש",0,G931),0)</f>
        <v>38</v>
      </c>
      <c r="N931" s="136" cm="1">
        <f t="array" ref="N931">IF(K931="שוטף",M931,0)</f>
        <v>38</v>
      </c>
      <c r="O931" s="136" cm="1">
        <f t="array" ref="O931">IF(K931="הכנסה שסווגה מחדש",-G931,0)</f>
        <v>0</v>
      </c>
      <c r="P931" t="s" s="80">
        <v>762</v>
      </c>
      <c r="Q931" s="100"/>
      <c r="R931" t="s" s="137">
        <v>743</v>
      </c>
      <c r="S931" s="77"/>
    </row>
    <row r="932" ht="13.65" customHeight="1">
      <c r="A932" s="84">
        <v>45901</v>
      </c>
      <c r="B932" t="s" s="85">
        <v>52</v>
      </c>
      <c r="C932" t="s" s="86">
        <v>819</v>
      </c>
      <c r="D932" s="138">
        <v>100</v>
      </c>
      <c r="E932" t="s" s="85">
        <v>761</v>
      </c>
      <c r="F932" t="s" s="86">
        <v>334</v>
      </c>
      <c r="G932" s="139">
        <v>66</v>
      </c>
      <c r="H932" t="s" s="140">
        <v>109</v>
      </c>
      <c r="I932" t="s" s="141">
        <v>109</v>
      </c>
      <c r="J932" t="s" s="141">
        <v>97</v>
      </c>
      <c r="K932" t="str" s="142" cm="1">
        <f t="array" ref="K932">IF(OR(H932="ריביות",AND(H932="דירה כצנלסון",G932&lt;0,ISNUMBER(SEARCH("הכנסה",F932)))),"הכנסה שסווגה מחדש",J932)</f>
        <v>שוטף</v>
      </c>
      <c r="L932" t="s" s="141">
        <v>741</v>
      </c>
      <c r="M932" s="143" cm="1">
        <f t="array" ref="M932">IF(L932="מאושר",IF(K932="הכנסה שסווגה מחדש",0,G932),0)</f>
        <v>66</v>
      </c>
      <c r="N932" s="143" cm="1">
        <f t="array" ref="N932">IF(K932="שוטף",M932,0)</f>
        <v>66</v>
      </c>
      <c r="O932" s="143" cm="1">
        <f t="array" ref="O932">IF(K932="הכנסה שסווגה מחדש",-G932,0)</f>
        <v>0</v>
      </c>
      <c r="P932" t="s" s="86">
        <v>762</v>
      </c>
      <c r="Q932" s="99"/>
      <c r="R932" t="s" s="144">
        <v>743</v>
      </c>
      <c r="S932" s="77"/>
    </row>
    <row r="933" ht="13.65" customHeight="1">
      <c r="A933" s="78">
        <v>45901</v>
      </c>
      <c r="B933" t="s" s="79">
        <v>52</v>
      </c>
      <c r="C933" t="s" s="80">
        <v>819</v>
      </c>
      <c r="D933" s="131">
        <v>101</v>
      </c>
      <c r="E933" t="s" s="79">
        <v>761</v>
      </c>
      <c r="F933" t="s" s="80">
        <v>200</v>
      </c>
      <c r="G933" s="132">
        <v>189</v>
      </c>
      <c r="H933" t="s" s="133">
        <v>109</v>
      </c>
      <c r="I933" t="s" s="134">
        <v>109</v>
      </c>
      <c r="J933" t="s" s="134">
        <v>97</v>
      </c>
      <c r="K933" t="str" s="135" cm="1">
        <f t="array" ref="K933">IF(OR(H933="ריביות",AND(H933="דירה כצנלסון",G933&lt;0,ISNUMBER(SEARCH("הכנסה",F933)))),"הכנסה שסווגה מחדש",J933)</f>
        <v>שוטף</v>
      </c>
      <c r="L933" t="s" s="134">
        <v>741</v>
      </c>
      <c r="M933" s="136" cm="1">
        <f t="array" ref="M933">IF(L933="מאושר",IF(K933="הכנסה שסווגה מחדש",0,G933),0)</f>
        <v>189</v>
      </c>
      <c r="N933" s="136" cm="1">
        <f t="array" ref="N933">IF(K933="שוטף",M933,0)</f>
        <v>189</v>
      </c>
      <c r="O933" s="136" cm="1">
        <f t="array" ref="O933">IF(K933="הכנסה שסווגה מחדש",-G933,0)</f>
        <v>0</v>
      </c>
      <c r="P933" t="s" s="80">
        <v>762</v>
      </c>
      <c r="Q933" s="100"/>
      <c r="R933" t="s" s="137">
        <v>743</v>
      </c>
      <c r="S933" s="77"/>
    </row>
    <row r="934" ht="13.65" customHeight="1">
      <c r="A934" s="84">
        <v>45901</v>
      </c>
      <c r="B934" t="s" s="85">
        <v>52</v>
      </c>
      <c r="C934" t="s" s="86">
        <v>819</v>
      </c>
      <c r="D934" s="138">
        <v>102</v>
      </c>
      <c r="E934" t="s" s="85">
        <v>761</v>
      </c>
      <c r="F934" t="s" s="86">
        <v>267</v>
      </c>
      <c r="G934" s="139">
        <v>28</v>
      </c>
      <c r="H934" t="s" s="140">
        <v>109</v>
      </c>
      <c r="I934" t="s" s="141">
        <v>109</v>
      </c>
      <c r="J934" t="s" s="141">
        <v>97</v>
      </c>
      <c r="K934" t="str" s="142" cm="1">
        <f t="array" ref="K934">IF(OR(H934="ריביות",AND(H934="דירה כצנלסון",G934&lt;0,ISNUMBER(SEARCH("הכנסה",F934)))),"הכנסה שסווגה מחדש",J934)</f>
        <v>שוטף</v>
      </c>
      <c r="L934" t="s" s="141">
        <v>741</v>
      </c>
      <c r="M934" s="143" cm="1">
        <f t="array" ref="M934">IF(L934="מאושר",IF(K934="הכנסה שסווגה מחדש",0,G934),0)</f>
        <v>28</v>
      </c>
      <c r="N934" s="143" cm="1">
        <f t="array" ref="N934">IF(K934="שוטף",M934,0)</f>
        <v>28</v>
      </c>
      <c r="O934" s="143" cm="1">
        <f t="array" ref="O934">IF(K934="הכנסה שסווגה מחדש",-G934,0)</f>
        <v>0</v>
      </c>
      <c r="P934" t="s" s="86">
        <v>762</v>
      </c>
      <c r="Q934" s="99"/>
      <c r="R934" t="s" s="144">
        <v>743</v>
      </c>
      <c r="S934" s="77"/>
    </row>
    <row r="935" ht="13.65" customHeight="1">
      <c r="A935" s="78">
        <v>45901</v>
      </c>
      <c r="B935" t="s" s="79">
        <v>52</v>
      </c>
      <c r="C935" t="s" s="80">
        <v>819</v>
      </c>
      <c r="D935" s="131">
        <v>103</v>
      </c>
      <c r="E935" t="s" s="79">
        <v>761</v>
      </c>
      <c r="F935" t="s" s="80">
        <v>334</v>
      </c>
      <c r="G935" s="132">
        <v>12</v>
      </c>
      <c r="H935" t="s" s="133">
        <v>109</v>
      </c>
      <c r="I935" t="s" s="134">
        <v>109</v>
      </c>
      <c r="J935" t="s" s="134">
        <v>97</v>
      </c>
      <c r="K935" t="str" s="135" cm="1">
        <f t="array" ref="K935">IF(OR(H935="ריביות",AND(H935="דירה כצנלסון",G935&lt;0,ISNUMBER(SEARCH("הכנסה",F935)))),"הכנסה שסווגה מחדש",J935)</f>
        <v>שוטף</v>
      </c>
      <c r="L935" t="s" s="134">
        <v>741</v>
      </c>
      <c r="M935" s="136" cm="1">
        <f t="array" ref="M935">IF(L935="מאושר",IF(K935="הכנסה שסווגה מחדש",0,G935),0)</f>
        <v>12</v>
      </c>
      <c r="N935" s="136" cm="1">
        <f t="array" ref="N935">IF(K935="שוטף",M935,0)</f>
        <v>12</v>
      </c>
      <c r="O935" s="136" cm="1">
        <f t="array" ref="O935">IF(K935="הכנסה שסווגה מחדש",-G935,0)</f>
        <v>0</v>
      </c>
      <c r="P935" t="s" s="80">
        <v>762</v>
      </c>
      <c r="Q935" s="100"/>
      <c r="R935" t="s" s="137">
        <v>743</v>
      </c>
      <c r="S935" s="77"/>
    </row>
    <row r="936" ht="13.65" customHeight="1">
      <c r="A936" s="84">
        <v>45901</v>
      </c>
      <c r="B936" t="s" s="85">
        <v>52</v>
      </c>
      <c r="C936" t="s" s="86">
        <v>819</v>
      </c>
      <c r="D936" s="138">
        <v>104</v>
      </c>
      <c r="E936" t="s" s="85">
        <v>761</v>
      </c>
      <c r="F936" t="s" s="86">
        <v>522</v>
      </c>
      <c r="G936" s="139">
        <v>102</v>
      </c>
      <c r="H936" t="s" s="140">
        <v>113</v>
      </c>
      <c r="I936" t="s" s="141">
        <v>113</v>
      </c>
      <c r="J936" t="s" s="141">
        <v>97</v>
      </c>
      <c r="K936" t="str" s="142" cm="1">
        <f t="array" ref="K936">IF(OR(H936="ריביות",AND(H936="דירה כצנלסון",G936&lt;0,ISNUMBER(SEARCH("הכנסה",F936)))),"הכנסה שסווגה מחדש",J936)</f>
        <v>שוטף</v>
      </c>
      <c r="L936" t="s" s="141">
        <v>741</v>
      </c>
      <c r="M936" s="143" cm="1">
        <f t="array" ref="M936">IF(L936="מאושר",IF(K936="הכנסה שסווגה מחדש",0,G936),0)</f>
        <v>102</v>
      </c>
      <c r="N936" s="143" cm="1">
        <f t="array" ref="N936">IF(K936="שוטף",M936,0)</f>
        <v>102</v>
      </c>
      <c r="O936" s="143" cm="1">
        <f t="array" ref="O936">IF(K936="הכנסה שסווגה מחדש",-G936,0)</f>
        <v>0</v>
      </c>
      <c r="P936" t="s" s="86">
        <v>762</v>
      </c>
      <c r="Q936" s="99"/>
      <c r="R936" t="s" s="144">
        <v>743</v>
      </c>
      <c r="S936" s="77"/>
    </row>
    <row r="937" ht="13.65" customHeight="1">
      <c r="A937" s="78">
        <v>45901</v>
      </c>
      <c r="B937" t="s" s="79">
        <v>52</v>
      </c>
      <c r="C937" t="s" s="80">
        <v>819</v>
      </c>
      <c r="D937" s="131">
        <v>105</v>
      </c>
      <c r="E937" t="s" s="79">
        <v>744</v>
      </c>
      <c r="F937" t="s" s="80">
        <v>200</v>
      </c>
      <c r="G937" s="132">
        <v>30</v>
      </c>
      <c r="H937" t="s" s="133">
        <v>109</v>
      </c>
      <c r="I937" t="s" s="134">
        <v>109</v>
      </c>
      <c r="J937" t="s" s="134">
        <v>97</v>
      </c>
      <c r="K937" t="str" s="135" cm="1">
        <f t="array" ref="K937">IF(OR(H937="ריביות",AND(H937="דירה כצנלסון",G937&lt;0,ISNUMBER(SEARCH("הכנסה",F937)))),"הכנסה שסווגה מחדש",J937)</f>
        <v>שוטף</v>
      </c>
      <c r="L937" t="s" s="134">
        <v>741</v>
      </c>
      <c r="M937" s="136" cm="1">
        <f t="array" ref="M937">IF(L937="מאושר",IF(K937="הכנסה שסווגה מחדש",0,G937),0)</f>
        <v>30</v>
      </c>
      <c r="N937" s="136" cm="1">
        <f t="array" ref="N937">IF(K937="שוטף",M937,0)</f>
        <v>30</v>
      </c>
      <c r="O937" s="136" cm="1">
        <f t="array" ref="O937">IF(K937="הכנסה שסווגה מחדש",-G937,0)</f>
        <v>0</v>
      </c>
      <c r="P937" t="s" s="80">
        <v>762</v>
      </c>
      <c r="Q937" s="100"/>
      <c r="R937" t="s" s="137">
        <v>743</v>
      </c>
      <c r="S937" s="77"/>
    </row>
    <row r="938" ht="13.65" customHeight="1">
      <c r="A938" s="84">
        <v>45901</v>
      </c>
      <c r="B938" t="s" s="85">
        <v>52</v>
      </c>
      <c r="C938" t="s" s="86">
        <v>819</v>
      </c>
      <c r="D938" s="138">
        <v>106</v>
      </c>
      <c r="E938" t="s" s="85">
        <v>744</v>
      </c>
      <c r="F938" t="s" s="86">
        <v>213</v>
      </c>
      <c r="G938" s="139">
        <v>217</v>
      </c>
      <c r="H938" t="s" s="140">
        <v>115</v>
      </c>
      <c r="I938" t="s" s="141">
        <v>115</v>
      </c>
      <c r="J938" t="s" s="141">
        <v>97</v>
      </c>
      <c r="K938" t="str" s="142" cm="1">
        <f t="array" ref="K938">IF(OR(H938="ריביות",AND(H938="דירה כצנלסון",G938&lt;0,ISNUMBER(SEARCH("הכנסה",F938)))),"הכנסה שסווגה מחדש",J938)</f>
        <v>שוטף</v>
      </c>
      <c r="L938" t="s" s="141">
        <v>741</v>
      </c>
      <c r="M938" s="143" cm="1">
        <f t="array" ref="M938">IF(L938="מאושר",IF(K938="הכנסה שסווגה מחדש",0,G938),0)</f>
        <v>217</v>
      </c>
      <c r="N938" s="143" cm="1">
        <f t="array" ref="N938">IF(K938="שוטף",M938,0)</f>
        <v>217</v>
      </c>
      <c r="O938" s="143" cm="1">
        <f t="array" ref="O938">IF(K938="הכנסה שסווגה מחדש",-G938,0)</f>
        <v>0</v>
      </c>
      <c r="P938" t="s" s="86">
        <v>762</v>
      </c>
      <c r="Q938" s="99"/>
      <c r="R938" t="s" s="144">
        <v>743</v>
      </c>
      <c r="S938" s="77"/>
    </row>
    <row r="939" ht="13.65" customHeight="1">
      <c r="A939" s="78">
        <v>45901</v>
      </c>
      <c r="B939" t="s" s="79">
        <v>52</v>
      </c>
      <c r="C939" t="s" s="80">
        <v>819</v>
      </c>
      <c r="D939" s="131">
        <v>107</v>
      </c>
      <c r="E939" t="s" s="79">
        <v>774</v>
      </c>
      <c r="F939" t="s" s="80">
        <v>723</v>
      </c>
      <c r="G939" s="132">
        <v>-1276</v>
      </c>
      <c r="H939" t="s" s="133">
        <v>210</v>
      </c>
      <c r="I939" t="s" s="134">
        <v>102</v>
      </c>
      <c r="J939" t="s" s="134">
        <v>103</v>
      </c>
      <c r="K939" t="str" s="135" cm="1">
        <f t="array" ref="K939">IF(OR(H939="ריביות",AND(H939="דירה כצנלסון",G939&lt;0,ISNUMBER(SEARCH("הכנסה",F939)))),"הכנסה שסווגה מחדש",J939)</f>
        <v>חריג</v>
      </c>
      <c r="L939" t="s" s="134">
        <v>741</v>
      </c>
      <c r="M939" s="136" cm="1">
        <f t="array" ref="M939">IF(L939="מאושר",IF(K939="הכנסה שסווגה מחדש",0,G939),0)</f>
        <v>-1276</v>
      </c>
      <c r="N939" s="136" cm="1">
        <f t="array" ref="N939">IF(K939="שוטף",M939,0)</f>
        <v>0</v>
      </c>
      <c r="O939" s="136" cm="1">
        <f t="array" ref="O939">IF(K939="הכנסה שסווגה מחדש",-G939,0)</f>
        <v>0</v>
      </c>
      <c r="P939" t="s" s="80">
        <v>762</v>
      </c>
      <c r="Q939" s="100"/>
      <c r="R939" t="s" s="137">
        <v>743</v>
      </c>
      <c r="S939" s="77"/>
    </row>
    <row r="940" ht="13.65" customHeight="1">
      <c r="A940" s="84">
        <v>45901</v>
      </c>
      <c r="B940" t="s" s="85">
        <v>52</v>
      </c>
      <c r="C940" t="s" s="86">
        <v>819</v>
      </c>
      <c r="D940" s="138">
        <v>108</v>
      </c>
      <c r="E940" t="s" s="85">
        <v>768</v>
      </c>
      <c r="F940" t="s" s="86">
        <v>334</v>
      </c>
      <c r="G940" s="139">
        <v>54</v>
      </c>
      <c r="H940" t="s" s="140">
        <v>109</v>
      </c>
      <c r="I940" t="s" s="141">
        <v>109</v>
      </c>
      <c r="J940" t="s" s="141">
        <v>97</v>
      </c>
      <c r="K940" t="str" s="142" cm="1">
        <f t="array" ref="K940">IF(OR(H940="ריביות",AND(H940="דירה כצנלסון",G940&lt;0,ISNUMBER(SEARCH("הכנסה",F940)))),"הכנסה שסווגה מחדש",J940)</f>
        <v>שוטף</v>
      </c>
      <c r="L940" t="s" s="141">
        <v>741</v>
      </c>
      <c r="M940" s="143" cm="1">
        <f t="array" ref="M940">IF(L940="מאושר",IF(K940="הכנסה שסווגה מחדש",0,G940),0)</f>
        <v>54</v>
      </c>
      <c r="N940" s="143" cm="1">
        <f t="array" ref="N940">IF(K940="שוטף",M940,0)</f>
        <v>54</v>
      </c>
      <c r="O940" s="143" cm="1">
        <f t="array" ref="O940">IF(K940="הכנסה שסווגה מחדש",-G940,0)</f>
        <v>0</v>
      </c>
      <c r="P940" t="s" s="86">
        <v>762</v>
      </c>
      <c r="Q940" s="99"/>
      <c r="R940" t="s" s="144">
        <v>743</v>
      </c>
      <c r="S940" s="77"/>
    </row>
    <row r="941" ht="13.65" customHeight="1">
      <c r="A941" s="78">
        <v>45901</v>
      </c>
      <c r="B941" t="s" s="79">
        <v>52</v>
      </c>
      <c r="C941" t="s" s="80">
        <v>819</v>
      </c>
      <c r="D941" s="131">
        <v>109</v>
      </c>
      <c r="E941" t="s" s="79">
        <v>765</v>
      </c>
      <c r="F941" t="s" s="80">
        <v>209</v>
      </c>
      <c r="G941" s="132">
        <v>50</v>
      </c>
      <c r="H941" t="s" s="133">
        <v>113</v>
      </c>
      <c r="I941" t="s" s="134">
        <v>113</v>
      </c>
      <c r="J941" t="s" s="134">
        <v>97</v>
      </c>
      <c r="K941" t="str" s="135" cm="1">
        <f t="array" ref="K941">IF(OR(H941="ריביות",AND(H941="דירה כצנלסון",G941&lt;0,ISNUMBER(SEARCH("הכנסה",F941)))),"הכנסה שסווגה מחדש",J941)</f>
        <v>שוטף</v>
      </c>
      <c r="L941" t="s" s="134">
        <v>741</v>
      </c>
      <c r="M941" s="136" cm="1">
        <f t="array" ref="M941">IF(L941="מאושר",IF(K941="הכנסה שסווגה מחדש",0,G941),0)</f>
        <v>50</v>
      </c>
      <c r="N941" s="136" cm="1">
        <f t="array" ref="N941">IF(K941="שוטף",M941,0)</f>
        <v>50</v>
      </c>
      <c r="O941" s="136" cm="1">
        <f t="array" ref="O941">IF(K941="הכנסה שסווגה מחדש",-G941,0)</f>
        <v>0</v>
      </c>
      <c r="P941" t="s" s="80">
        <v>762</v>
      </c>
      <c r="Q941" s="100"/>
      <c r="R941" t="s" s="137">
        <v>743</v>
      </c>
      <c r="S941" s="77"/>
    </row>
    <row r="942" ht="13.65" customHeight="1">
      <c r="A942" s="84">
        <v>45901</v>
      </c>
      <c r="B942" t="s" s="85">
        <v>52</v>
      </c>
      <c r="C942" t="s" s="86">
        <v>819</v>
      </c>
      <c r="D942" s="138">
        <v>110</v>
      </c>
      <c r="E942" t="s" s="85">
        <v>765</v>
      </c>
      <c r="F942" t="s" s="86">
        <v>200</v>
      </c>
      <c r="G942" s="139">
        <v>13</v>
      </c>
      <c r="H942" t="s" s="140">
        <v>109</v>
      </c>
      <c r="I942" t="s" s="141">
        <v>109</v>
      </c>
      <c r="J942" t="s" s="141">
        <v>97</v>
      </c>
      <c r="K942" t="str" s="142" cm="1">
        <f t="array" ref="K942">IF(OR(H942="ריביות",AND(H942="דירה כצנלסון",G942&lt;0,ISNUMBER(SEARCH("הכנסה",F942)))),"הכנסה שסווגה מחדש",J942)</f>
        <v>שוטף</v>
      </c>
      <c r="L942" t="s" s="141">
        <v>741</v>
      </c>
      <c r="M942" s="143" cm="1">
        <f t="array" ref="M942">IF(L942="מאושר",IF(K942="הכנסה שסווגה מחדש",0,G942),0)</f>
        <v>13</v>
      </c>
      <c r="N942" s="143" cm="1">
        <f t="array" ref="N942">IF(K942="שוטף",M942,0)</f>
        <v>13</v>
      </c>
      <c r="O942" s="143" cm="1">
        <f t="array" ref="O942">IF(K942="הכנסה שסווגה מחדש",-G942,0)</f>
        <v>0</v>
      </c>
      <c r="P942" t="s" s="86">
        <v>762</v>
      </c>
      <c r="Q942" s="99"/>
      <c r="R942" t="s" s="144">
        <v>743</v>
      </c>
      <c r="S942" s="77"/>
    </row>
    <row r="943" ht="13.65" customHeight="1">
      <c r="A943" s="78">
        <v>45901</v>
      </c>
      <c r="B943" t="s" s="79">
        <v>52</v>
      </c>
      <c r="C943" t="s" s="80">
        <v>819</v>
      </c>
      <c r="D943" s="131">
        <v>111</v>
      </c>
      <c r="E943" t="s" s="79">
        <v>765</v>
      </c>
      <c r="F943" t="s" s="80">
        <v>628</v>
      </c>
      <c r="G943" s="132">
        <v>20</v>
      </c>
      <c r="H943" t="s" s="133">
        <v>125</v>
      </c>
      <c r="I943" t="s" s="134">
        <v>125</v>
      </c>
      <c r="J943" t="s" s="134">
        <v>97</v>
      </c>
      <c r="K943" t="str" s="135" cm="1">
        <f t="array" ref="K943">IF(OR(H943="ריביות",AND(H943="דירה כצנלסון",G943&lt;0,ISNUMBER(SEARCH("הכנסה",F943)))),"הכנסה שסווגה מחדש",J943)</f>
        <v>שוטף</v>
      </c>
      <c r="L943" t="s" s="134">
        <v>741</v>
      </c>
      <c r="M943" s="136" cm="1">
        <f t="array" ref="M943">IF(L943="מאושר",IF(K943="הכנסה שסווגה מחדש",0,G943),0)</f>
        <v>20</v>
      </c>
      <c r="N943" s="136" cm="1">
        <f t="array" ref="N943">IF(K943="שוטף",M943,0)</f>
        <v>20</v>
      </c>
      <c r="O943" s="136" cm="1">
        <f t="array" ref="O943">IF(K943="הכנסה שסווגה מחדש",-G943,0)</f>
        <v>0</v>
      </c>
      <c r="P943" t="s" s="80">
        <v>762</v>
      </c>
      <c r="Q943" s="100"/>
      <c r="R943" t="s" s="137">
        <v>743</v>
      </c>
      <c r="S943" s="77"/>
    </row>
    <row r="944" ht="13.65" customHeight="1">
      <c r="A944" s="84">
        <v>45901</v>
      </c>
      <c r="B944" t="s" s="85">
        <v>52</v>
      </c>
      <c r="C944" t="s" s="86">
        <v>819</v>
      </c>
      <c r="D944" s="138">
        <v>112</v>
      </c>
      <c r="E944" t="s" s="85">
        <v>765</v>
      </c>
      <c r="F944" t="s" s="86">
        <v>355</v>
      </c>
      <c r="G944" s="139">
        <v>25</v>
      </c>
      <c r="H944" t="s" s="140">
        <v>113</v>
      </c>
      <c r="I944" t="s" s="141">
        <v>113</v>
      </c>
      <c r="J944" t="s" s="141">
        <v>97</v>
      </c>
      <c r="K944" t="str" s="142" cm="1">
        <f t="array" ref="K944">IF(OR(H944="ריביות",AND(H944="דירה כצנלסון",G944&lt;0,ISNUMBER(SEARCH("הכנסה",F944)))),"הכנסה שסווגה מחדש",J944)</f>
        <v>שוטף</v>
      </c>
      <c r="L944" t="s" s="141">
        <v>741</v>
      </c>
      <c r="M944" s="143" cm="1">
        <f t="array" ref="M944">IF(L944="מאושר",IF(K944="הכנסה שסווגה מחדש",0,G944),0)</f>
        <v>25</v>
      </c>
      <c r="N944" s="143" cm="1">
        <f t="array" ref="N944">IF(K944="שוטף",M944,0)</f>
        <v>25</v>
      </c>
      <c r="O944" s="143" cm="1">
        <f t="array" ref="O944">IF(K944="הכנסה שסווגה מחדש",-G944,0)</f>
        <v>0</v>
      </c>
      <c r="P944" t="s" s="86">
        <v>762</v>
      </c>
      <c r="Q944" s="99"/>
      <c r="R944" t="s" s="144">
        <v>743</v>
      </c>
      <c r="S944" s="77"/>
    </row>
    <row r="945" ht="13.65" customHeight="1">
      <c r="A945" s="78">
        <v>45901</v>
      </c>
      <c r="B945" t="s" s="79">
        <v>52</v>
      </c>
      <c r="C945" t="s" s="80">
        <v>819</v>
      </c>
      <c r="D945" s="131">
        <v>113</v>
      </c>
      <c r="E945" t="s" s="79">
        <v>759</v>
      </c>
      <c r="F945" t="s" s="80">
        <v>638</v>
      </c>
      <c r="G945" s="132">
        <v>35</v>
      </c>
      <c r="H945" t="s" s="133">
        <v>117</v>
      </c>
      <c r="I945" t="s" s="134">
        <v>117</v>
      </c>
      <c r="J945" t="s" s="134">
        <v>97</v>
      </c>
      <c r="K945" t="str" s="135" cm="1">
        <f t="array" ref="K945">IF(OR(H945="ריביות",AND(H945="דירה כצנלסון",G945&lt;0,ISNUMBER(SEARCH("הכנסה",F945)))),"הכנסה שסווגה מחדש",J945)</f>
        <v>שוטף</v>
      </c>
      <c r="L945" t="s" s="134">
        <v>741</v>
      </c>
      <c r="M945" s="136" cm="1">
        <f t="array" ref="M945">IF(L945="מאושר",IF(K945="הכנסה שסווגה מחדש",0,G945),0)</f>
        <v>35</v>
      </c>
      <c r="N945" s="136" cm="1">
        <f t="array" ref="N945">IF(K945="שוטף",M945,0)</f>
        <v>35</v>
      </c>
      <c r="O945" s="136" cm="1">
        <f t="array" ref="O945">IF(K945="הכנסה שסווגה מחדש",-G945,0)</f>
        <v>0</v>
      </c>
      <c r="P945" t="s" s="80">
        <v>762</v>
      </c>
      <c r="Q945" s="100"/>
      <c r="R945" t="s" s="137">
        <v>743</v>
      </c>
      <c r="S945" s="77"/>
    </row>
    <row r="946" ht="13.65" customHeight="1">
      <c r="A946" s="84">
        <v>45901</v>
      </c>
      <c r="B946" t="s" s="85">
        <v>52</v>
      </c>
      <c r="C946" t="s" s="86">
        <v>819</v>
      </c>
      <c r="D946" s="138">
        <v>114</v>
      </c>
      <c r="E946" t="s" s="85">
        <v>759</v>
      </c>
      <c r="F946" t="s" s="86">
        <v>690</v>
      </c>
      <c r="G946" s="139">
        <v>7</v>
      </c>
      <c r="H946" t="s" s="140">
        <v>109</v>
      </c>
      <c r="I946" t="s" s="141">
        <v>109</v>
      </c>
      <c r="J946" t="s" s="141">
        <v>97</v>
      </c>
      <c r="K946" t="str" s="142" cm="1">
        <f t="array" ref="K946">IF(OR(H946="ריביות",AND(H946="דירה כצנלסון",G946&lt;0,ISNUMBER(SEARCH("הכנסה",F946)))),"הכנסה שסווגה מחדש",J946)</f>
        <v>שוטף</v>
      </c>
      <c r="L946" t="s" s="141">
        <v>741</v>
      </c>
      <c r="M946" s="143" cm="1">
        <f t="array" ref="M946">IF(L946="מאושר",IF(K946="הכנסה שסווגה מחדש",0,G946),0)</f>
        <v>7</v>
      </c>
      <c r="N946" s="143" cm="1">
        <f t="array" ref="N946">IF(K946="שוטף",M946,0)</f>
        <v>7</v>
      </c>
      <c r="O946" s="143" cm="1">
        <f t="array" ref="O946">IF(K946="הכנסה שסווגה מחדש",-G946,0)</f>
        <v>0</v>
      </c>
      <c r="P946" t="s" s="86">
        <v>762</v>
      </c>
      <c r="Q946" s="99"/>
      <c r="R946" t="s" s="144">
        <v>743</v>
      </c>
      <c r="S946" s="77"/>
    </row>
    <row r="947" ht="13.65" customHeight="1">
      <c r="A947" s="78">
        <v>45901</v>
      </c>
      <c r="B947" t="s" s="79">
        <v>52</v>
      </c>
      <c r="C947" t="s" s="80">
        <v>819</v>
      </c>
      <c r="D947" s="131">
        <v>115</v>
      </c>
      <c r="E947" t="s" s="79">
        <v>764</v>
      </c>
      <c r="F947" t="s" s="80">
        <v>334</v>
      </c>
      <c r="G947" s="132">
        <v>33</v>
      </c>
      <c r="H947" t="s" s="133">
        <v>109</v>
      </c>
      <c r="I947" t="s" s="134">
        <v>109</v>
      </c>
      <c r="J947" t="s" s="134">
        <v>97</v>
      </c>
      <c r="K947" t="str" s="135" cm="1">
        <f t="array" ref="K947">IF(OR(H947="ריביות",AND(H947="דירה כצנלסון",G947&lt;0,ISNUMBER(SEARCH("הכנסה",F947)))),"הכנסה שסווגה מחדש",J947)</f>
        <v>שוטף</v>
      </c>
      <c r="L947" t="s" s="134">
        <v>741</v>
      </c>
      <c r="M947" s="136" cm="1">
        <f t="array" ref="M947">IF(L947="מאושר",IF(K947="הכנסה שסווגה מחדש",0,G947),0)</f>
        <v>33</v>
      </c>
      <c r="N947" s="136" cm="1">
        <f t="array" ref="N947">IF(K947="שוטף",M947,0)</f>
        <v>33</v>
      </c>
      <c r="O947" s="136" cm="1">
        <f t="array" ref="O947">IF(K947="הכנסה שסווגה מחדש",-G947,0)</f>
        <v>0</v>
      </c>
      <c r="P947" t="s" s="80">
        <v>762</v>
      </c>
      <c r="Q947" s="100"/>
      <c r="R947" t="s" s="137">
        <v>743</v>
      </c>
      <c r="S947" s="77"/>
    </row>
    <row r="948" ht="13.65" customHeight="1">
      <c r="A948" s="84">
        <v>45901</v>
      </c>
      <c r="B948" t="s" s="85">
        <v>52</v>
      </c>
      <c r="C948" t="s" s="86">
        <v>819</v>
      </c>
      <c r="D948" s="138">
        <v>116</v>
      </c>
      <c r="E948" t="s" s="85">
        <v>756</v>
      </c>
      <c r="F948" t="s" s="86">
        <v>534</v>
      </c>
      <c r="G948" s="139">
        <v>94</v>
      </c>
      <c r="H948" t="s" s="140">
        <v>210</v>
      </c>
      <c r="I948" t="s" s="141">
        <v>102</v>
      </c>
      <c r="J948" t="s" s="141">
        <v>103</v>
      </c>
      <c r="K948" t="str" s="142" cm="1">
        <f t="array" ref="K948">IF(OR(H948="ריביות",AND(H948="דירה כצנלסון",G948&lt;0,ISNUMBER(SEARCH("הכנסה",F948)))),"הכנסה שסווגה מחדש",J948)</f>
        <v>חריג</v>
      </c>
      <c r="L948" t="s" s="141">
        <v>741</v>
      </c>
      <c r="M948" s="143" cm="1">
        <f t="array" ref="M948">IF(L948="מאושר",IF(K948="הכנסה שסווגה מחדש",0,G948),0)</f>
        <v>94</v>
      </c>
      <c r="N948" s="143" cm="1">
        <f t="array" ref="N948">IF(K948="שוטף",M948,0)</f>
        <v>0</v>
      </c>
      <c r="O948" s="143" cm="1">
        <f t="array" ref="O948">IF(K948="הכנסה שסווגה מחדש",-G948,0)</f>
        <v>0</v>
      </c>
      <c r="P948" t="s" s="86">
        <v>762</v>
      </c>
      <c r="Q948" s="99"/>
      <c r="R948" t="s" s="144">
        <v>743</v>
      </c>
      <c r="S948" s="77"/>
    </row>
    <row r="949" ht="13.65" customHeight="1">
      <c r="A949" s="78">
        <v>45901</v>
      </c>
      <c r="B949" t="s" s="79">
        <v>52</v>
      </c>
      <c r="C949" t="s" s="80">
        <v>819</v>
      </c>
      <c r="D949" s="131">
        <v>118</v>
      </c>
      <c r="E949" t="s" s="79">
        <v>30</v>
      </c>
      <c r="F949" t="s" s="80">
        <v>209</v>
      </c>
      <c r="G949" s="132">
        <v>205</v>
      </c>
      <c r="H949" t="s" s="133">
        <v>113</v>
      </c>
      <c r="I949" t="s" s="134">
        <v>113</v>
      </c>
      <c r="J949" t="s" s="134">
        <v>97</v>
      </c>
      <c r="K949" t="str" s="135" cm="1">
        <f t="array" ref="K949">IF(OR(H949="ריביות",AND(H949="דירה כצנלסון",G949&lt;0,ISNUMBER(SEARCH("הכנסה",F949)))),"הכנסה שסווגה מחדש",J949)</f>
        <v>שוטף</v>
      </c>
      <c r="L949" t="s" s="134">
        <v>741</v>
      </c>
      <c r="M949" s="136" cm="1">
        <f t="array" ref="M949">IF(L949="מאושר",IF(K949="הכנסה שסווגה מחדש",0,G949),0)</f>
        <v>205</v>
      </c>
      <c r="N949" s="136" cm="1">
        <f t="array" ref="N949">IF(K949="שוטף",M949,0)</f>
        <v>205</v>
      </c>
      <c r="O949" s="136" cm="1">
        <f t="array" ref="O949">IF(K949="הכנסה שסווגה מחדש",-G949,0)</f>
        <v>0</v>
      </c>
      <c r="P949" t="s" s="80">
        <v>783</v>
      </c>
      <c r="Q949" s="100"/>
      <c r="R949" t="s" s="137">
        <v>743</v>
      </c>
      <c r="S949" s="77"/>
    </row>
    <row r="950" ht="13.65" customHeight="1">
      <c r="A950" s="84">
        <v>45901</v>
      </c>
      <c r="B950" t="s" s="85">
        <v>52</v>
      </c>
      <c r="C950" t="s" s="86">
        <v>819</v>
      </c>
      <c r="D950" s="138">
        <v>119</v>
      </c>
      <c r="E950" t="s" s="85">
        <v>789</v>
      </c>
      <c r="F950" t="s" s="86">
        <v>308</v>
      </c>
      <c r="G950" s="139">
        <v>6</v>
      </c>
      <c r="H950" t="s" s="140">
        <v>113</v>
      </c>
      <c r="I950" t="s" s="141">
        <v>113</v>
      </c>
      <c r="J950" t="s" s="141">
        <v>97</v>
      </c>
      <c r="K950" t="str" s="142" cm="1">
        <f t="array" ref="K950">IF(OR(H950="ריביות",AND(H950="דירה כצנלסון",G950&lt;0,ISNUMBER(SEARCH("הכנסה",F950)))),"הכנסה שסווגה מחדש",J950)</f>
        <v>שוטף</v>
      </c>
      <c r="L950" t="s" s="141">
        <v>741</v>
      </c>
      <c r="M950" s="143" cm="1">
        <f t="array" ref="M950">IF(L950="מאושר",IF(K950="הכנסה שסווגה מחדש",0,G950),0)</f>
        <v>6</v>
      </c>
      <c r="N950" s="143" cm="1">
        <f t="array" ref="N950">IF(K950="שוטף",M950,0)</f>
        <v>6</v>
      </c>
      <c r="O950" s="143" cm="1">
        <f t="array" ref="O950">IF(K950="הכנסה שסווגה מחדש",-G950,0)</f>
        <v>0</v>
      </c>
      <c r="P950" t="s" s="86">
        <v>783</v>
      </c>
      <c r="Q950" s="99"/>
      <c r="R950" t="s" s="144">
        <v>743</v>
      </c>
      <c r="S950" s="77"/>
    </row>
    <row r="951" ht="13.65" customHeight="1">
      <c r="A951" s="78">
        <v>45901</v>
      </c>
      <c r="B951" t="s" s="79">
        <v>52</v>
      </c>
      <c r="C951" t="s" s="80">
        <v>819</v>
      </c>
      <c r="D951" s="131">
        <v>120</v>
      </c>
      <c r="E951" t="s" s="79">
        <v>788</v>
      </c>
      <c r="F951" t="s" s="80">
        <v>665</v>
      </c>
      <c r="G951" s="132">
        <v>12</v>
      </c>
      <c r="H951" t="s" s="133">
        <v>210</v>
      </c>
      <c r="I951" t="s" s="134">
        <v>102</v>
      </c>
      <c r="J951" t="s" s="134">
        <v>103</v>
      </c>
      <c r="K951" t="str" s="135" cm="1">
        <f t="array" ref="K951">IF(OR(H951="ריביות",AND(H951="דירה כצנלסון",G951&lt;0,ISNUMBER(SEARCH("הכנסה",F951)))),"הכנסה שסווגה מחדש",J951)</f>
        <v>חריג</v>
      </c>
      <c r="L951" t="s" s="134">
        <v>741</v>
      </c>
      <c r="M951" s="136" cm="1">
        <f t="array" ref="M951">IF(L951="מאושר",IF(K951="הכנסה שסווגה מחדש",0,G951),0)</f>
        <v>12</v>
      </c>
      <c r="N951" s="136" cm="1">
        <f t="array" ref="N951">IF(K951="שוטף",M951,0)</f>
        <v>0</v>
      </c>
      <c r="O951" s="136" cm="1">
        <f t="array" ref="O951">IF(K951="הכנסה שסווגה מחדש",-G951,0)</f>
        <v>0</v>
      </c>
      <c r="P951" t="s" s="80">
        <v>783</v>
      </c>
      <c r="Q951" s="100"/>
      <c r="R951" t="s" s="137">
        <v>743</v>
      </c>
      <c r="S951" s="77"/>
    </row>
    <row r="952" ht="13.65" customHeight="1">
      <c r="A952" s="84">
        <v>45901</v>
      </c>
      <c r="B952" t="s" s="85">
        <v>52</v>
      </c>
      <c r="C952" t="s" s="86">
        <v>819</v>
      </c>
      <c r="D952" s="138">
        <v>121</v>
      </c>
      <c r="E952" t="s" s="85">
        <v>744</v>
      </c>
      <c r="F952" t="s" s="86">
        <v>209</v>
      </c>
      <c r="G952" s="139">
        <v>75</v>
      </c>
      <c r="H952" t="s" s="140">
        <v>113</v>
      </c>
      <c r="I952" t="s" s="141">
        <v>113</v>
      </c>
      <c r="J952" t="s" s="141">
        <v>97</v>
      </c>
      <c r="K952" t="str" s="142" cm="1">
        <f t="array" ref="K952">IF(OR(H952="ריביות",AND(H952="דירה כצנלסון",G952&lt;0,ISNUMBER(SEARCH("הכנסה",F952)))),"הכנסה שסווגה מחדש",J952)</f>
        <v>שוטף</v>
      </c>
      <c r="L952" t="s" s="141">
        <v>741</v>
      </c>
      <c r="M952" s="143" cm="1">
        <f t="array" ref="M952">IF(L952="מאושר",IF(K952="הכנסה שסווגה מחדש",0,G952),0)</f>
        <v>75</v>
      </c>
      <c r="N952" s="143" cm="1">
        <f t="array" ref="N952">IF(K952="שוטף",M952,0)</f>
        <v>75</v>
      </c>
      <c r="O952" s="143" cm="1">
        <f t="array" ref="O952">IF(K952="הכנסה שסווגה מחדש",-G952,0)</f>
        <v>0</v>
      </c>
      <c r="P952" t="s" s="86">
        <v>783</v>
      </c>
      <c r="Q952" s="99"/>
      <c r="R952" t="s" s="144">
        <v>743</v>
      </c>
      <c r="S952" s="77"/>
    </row>
    <row r="953" ht="13.65" customHeight="1">
      <c r="A953" s="78">
        <v>45901</v>
      </c>
      <c r="B953" t="s" s="79">
        <v>52</v>
      </c>
      <c r="C953" t="s" s="80">
        <v>819</v>
      </c>
      <c r="D953" s="131">
        <v>122</v>
      </c>
      <c r="E953" t="s" s="79">
        <v>768</v>
      </c>
      <c r="F953" t="s" s="80">
        <v>200</v>
      </c>
      <c r="G953" s="132">
        <v>79</v>
      </c>
      <c r="H953" t="s" s="133">
        <v>109</v>
      </c>
      <c r="I953" t="s" s="134">
        <v>109</v>
      </c>
      <c r="J953" t="s" s="134">
        <v>97</v>
      </c>
      <c r="K953" t="str" s="135" cm="1">
        <f t="array" ref="K953">IF(OR(H953="ריביות",AND(H953="דירה כצנלסון",G953&lt;0,ISNUMBER(SEARCH("הכנסה",F953)))),"הכנסה שסווגה מחדש",J953)</f>
        <v>שוטף</v>
      </c>
      <c r="L953" t="s" s="134">
        <v>741</v>
      </c>
      <c r="M953" s="136" cm="1">
        <f t="array" ref="M953">IF(L953="מאושר",IF(K953="הכנסה שסווגה מחדש",0,G953),0)</f>
        <v>79</v>
      </c>
      <c r="N953" s="136" cm="1">
        <f t="array" ref="N953">IF(K953="שוטף",M953,0)</f>
        <v>79</v>
      </c>
      <c r="O953" s="136" cm="1">
        <f t="array" ref="O953">IF(K953="הכנסה שסווגה מחדש",-G953,0)</f>
        <v>0</v>
      </c>
      <c r="P953" t="s" s="80">
        <v>783</v>
      </c>
      <c r="Q953" s="100"/>
      <c r="R953" t="s" s="137">
        <v>743</v>
      </c>
      <c r="S953" s="77"/>
    </row>
    <row r="954" ht="13.65" customHeight="1">
      <c r="A954" s="84">
        <v>45901</v>
      </c>
      <c r="B954" t="s" s="85">
        <v>52</v>
      </c>
      <c r="C954" t="s" s="86">
        <v>819</v>
      </c>
      <c r="D954" s="138">
        <v>123</v>
      </c>
      <c r="E954" t="s" s="85">
        <v>759</v>
      </c>
      <c r="F954" t="s" s="86">
        <v>209</v>
      </c>
      <c r="G954" s="139">
        <v>72</v>
      </c>
      <c r="H954" t="s" s="140">
        <v>113</v>
      </c>
      <c r="I954" t="s" s="141">
        <v>113</v>
      </c>
      <c r="J954" t="s" s="141">
        <v>97</v>
      </c>
      <c r="K954" t="str" s="142" cm="1">
        <f t="array" ref="K954">IF(OR(H954="ריביות",AND(H954="דירה כצנלסון",G954&lt;0,ISNUMBER(SEARCH("הכנסה",F954)))),"הכנסה שסווגה מחדש",J954)</f>
        <v>שוטף</v>
      </c>
      <c r="L954" t="s" s="141">
        <v>741</v>
      </c>
      <c r="M954" s="143" cm="1">
        <f t="array" ref="M954">IF(L954="מאושר",IF(K954="הכנסה שסווגה מחדש",0,G954),0)</f>
        <v>72</v>
      </c>
      <c r="N954" s="143" cm="1">
        <f t="array" ref="N954">IF(K954="שוטף",M954,0)</f>
        <v>72</v>
      </c>
      <c r="O954" s="143" cm="1">
        <f t="array" ref="O954">IF(K954="הכנסה שסווגה מחדש",-G954,0)</f>
        <v>0</v>
      </c>
      <c r="P954" t="s" s="86">
        <v>783</v>
      </c>
      <c r="Q954" s="99"/>
      <c r="R954" t="s" s="144">
        <v>743</v>
      </c>
      <c r="S954" s="77"/>
    </row>
    <row r="955" ht="13.65" customHeight="1">
      <c r="A955" s="78">
        <v>45901</v>
      </c>
      <c r="B955" t="s" s="79">
        <v>52</v>
      </c>
      <c r="C955" t="s" s="80">
        <v>819</v>
      </c>
      <c r="D955" s="131">
        <v>124</v>
      </c>
      <c r="E955" t="s" s="79">
        <v>764</v>
      </c>
      <c r="F955" t="s" s="80">
        <v>250</v>
      </c>
      <c r="G955" s="132">
        <v>120</v>
      </c>
      <c r="H955" t="s" s="133">
        <v>127</v>
      </c>
      <c r="I955" t="s" s="134">
        <v>127</v>
      </c>
      <c r="J955" t="s" s="134">
        <v>97</v>
      </c>
      <c r="K955" t="str" s="135" cm="1">
        <f t="array" ref="K955">IF(OR(H955="ריביות",AND(H955="דירה כצנלסון",G955&lt;0,ISNUMBER(SEARCH("הכנסה",F955)))),"הכנסה שסווגה מחדש",J955)</f>
        <v>שוטף</v>
      </c>
      <c r="L955" t="s" s="134">
        <v>741</v>
      </c>
      <c r="M955" s="136" cm="1">
        <f t="array" ref="M955">IF(L955="מאושר",IF(K955="הכנסה שסווגה מחדש",0,G955),0)</f>
        <v>120</v>
      </c>
      <c r="N955" s="136" cm="1">
        <f t="array" ref="N955">IF(K955="שוטף",M955,0)</f>
        <v>120</v>
      </c>
      <c r="O955" s="136" cm="1">
        <f t="array" ref="O955">IF(K955="הכנסה שסווגה מחדש",-G955,0)</f>
        <v>0</v>
      </c>
      <c r="P955" t="s" s="80">
        <v>783</v>
      </c>
      <c r="Q955" s="100"/>
      <c r="R955" t="s" s="137">
        <v>743</v>
      </c>
      <c r="S955" s="77"/>
    </row>
    <row r="956" ht="13.65" customHeight="1">
      <c r="A956" s="84">
        <v>45931</v>
      </c>
      <c r="B956" t="s" s="85">
        <v>53</v>
      </c>
      <c r="C956" t="s" s="86">
        <v>822</v>
      </c>
      <c r="D956" s="138">
        <v>2</v>
      </c>
      <c r="E956" t="s" s="85">
        <v>772</v>
      </c>
      <c r="F956" t="s" s="86">
        <v>196</v>
      </c>
      <c r="G956" s="139">
        <v>8000</v>
      </c>
      <c r="H956" t="s" s="140">
        <v>763</v>
      </c>
      <c r="I956" t="s" s="141">
        <v>96</v>
      </c>
      <c r="J956" t="s" s="141">
        <v>97</v>
      </c>
      <c r="K956" t="str" s="142" cm="1">
        <f t="array" ref="K956">IF(OR(H956="ריביות",AND(H956="דירה כצנלסון",G956&lt;0,ISNUMBER(SEARCH("הכנסה",F956)))),"הכנסה שסווגה מחדש",J956)</f>
        <v>שוטף</v>
      </c>
      <c r="L956" t="s" s="141">
        <v>741</v>
      </c>
      <c r="M956" s="143" cm="1">
        <f t="array" ref="M956">IF(L956="מאושר",IF(K956="הכנסה שסווגה מחדש",0,G956),0)</f>
        <v>8000</v>
      </c>
      <c r="N956" s="143" cm="1">
        <f t="array" ref="N956">IF(K956="שוטף",M956,0)</f>
        <v>8000</v>
      </c>
      <c r="O956" s="143" cm="1">
        <f t="array" ref="O956">IF(K956="הכנסה שסווגה מחדש",-G956,0)</f>
        <v>0</v>
      </c>
      <c r="P956" t="s" s="86">
        <v>786</v>
      </c>
      <c r="Q956" s="99"/>
      <c r="R956" t="s" s="144">
        <v>743</v>
      </c>
      <c r="S956" s="77"/>
    </row>
    <row r="957" ht="13.65" customHeight="1">
      <c r="A957" s="78">
        <v>45931</v>
      </c>
      <c r="B957" t="s" s="79">
        <v>53</v>
      </c>
      <c r="C957" t="s" s="80">
        <v>822</v>
      </c>
      <c r="D957" s="131">
        <v>3</v>
      </c>
      <c r="E957" t="s" s="79">
        <v>751</v>
      </c>
      <c r="F957" t="s" s="80">
        <v>197</v>
      </c>
      <c r="G957" s="132">
        <v>6147</v>
      </c>
      <c r="H957" t="s" s="133">
        <v>279</v>
      </c>
      <c r="I957" t="s" s="134">
        <v>99</v>
      </c>
      <c r="J957" t="s" s="134">
        <v>100</v>
      </c>
      <c r="K957" t="str" s="135" cm="1">
        <f t="array" ref="K957">IF(OR(H957="ריביות",AND(H957="דירה כצנלסון",G957&lt;0,ISNUMBER(SEARCH("הכנסה",F957)))),"הכנסה שסווגה מחדש",J957)</f>
        <v>חריג/נכס</v>
      </c>
      <c r="L957" t="s" s="134">
        <v>741</v>
      </c>
      <c r="M957" s="136" cm="1">
        <f t="array" ref="M957">IF(L957="מאושר",IF(K957="הכנסה שסווגה מחדש",0,G957),0)</f>
        <v>6147</v>
      </c>
      <c r="N957" s="136" cm="1">
        <f t="array" ref="N957">IF(K957="שוטף",M957,0)</f>
        <v>0</v>
      </c>
      <c r="O957" s="136" cm="1">
        <f t="array" ref="O957">IF(K957="הכנסה שסווגה מחדש",-G957,0)</f>
        <v>0</v>
      </c>
      <c r="P957" t="s" s="80">
        <v>786</v>
      </c>
      <c r="Q957" s="100"/>
      <c r="R957" t="s" s="137">
        <v>743</v>
      </c>
      <c r="S957" s="77"/>
    </row>
    <row r="958" ht="13.65" customHeight="1">
      <c r="A958" s="84">
        <v>45931</v>
      </c>
      <c r="B958" t="s" s="85">
        <v>53</v>
      </c>
      <c r="C958" t="s" s="86">
        <v>822</v>
      </c>
      <c r="D958" s="138">
        <v>4</v>
      </c>
      <c r="E958" t="s" s="85">
        <v>789</v>
      </c>
      <c r="F958" t="s" s="86">
        <v>740</v>
      </c>
      <c r="G958" s="139">
        <v>-6500</v>
      </c>
      <c r="H958" t="s" s="140">
        <v>279</v>
      </c>
      <c r="I958" t="s" s="141">
        <v>99</v>
      </c>
      <c r="J958" t="s" s="141">
        <v>100</v>
      </c>
      <c r="K958" t="str" s="142" cm="1">
        <f t="array" ref="K958">IF(OR(H958="ריביות",AND(H958="דירה כצנלסון",G958&lt;0,ISNUMBER(SEARCH("הכנסה",F958)))),"הכנסה שסווגה מחדש",J958)</f>
        <v>הכנסה שסווגה מחדש</v>
      </c>
      <c r="L958" t="s" s="141">
        <v>741</v>
      </c>
      <c r="M958" s="143" cm="1">
        <f t="array" ref="M958">IF(L958="מאושר",IF(K958="הכנסה שסווגה מחדש",0,G958),0)</f>
        <v>0</v>
      </c>
      <c r="N958" s="143" cm="1">
        <f t="array" ref="N958">IF(K958="שוטף",M958,0)</f>
        <v>0</v>
      </c>
      <c r="O958" s="143" cm="1">
        <f t="array" ref="O958">IF(K958="הכנסה שסווגה מחדש",-G958,0)</f>
        <v>6500</v>
      </c>
      <c r="P958" t="s" s="85">
        <v>742</v>
      </c>
      <c r="Q958" s="99"/>
      <c r="R958" t="s" s="144">
        <v>743</v>
      </c>
      <c r="S958" s="77"/>
    </row>
    <row r="959" ht="13.65" customHeight="1">
      <c r="A959" s="78">
        <v>45931</v>
      </c>
      <c r="B959" t="s" s="79">
        <v>53</v>
      </c>
      <c r="C959" t="s" s="80">
        <v>822</v>
      </c>
      <c r="D959" s="131">
        <v>5</v>
      </c>
      <c r="E959" t="s" s="79">
        <v>764</v>
      </c>
      <c r="F959" t="s" s="80">
        <v>212</v>
      </c>
      <c r="G959" s="132">
        <v>1007</v>
      </c>
      <c r="H959" t="s" s="133">
        <v>757</v>
      </c>
      <c r="I959" t="s" s="134">
        <v>96</v>
      </c>
      <c r="J959" t="s" s="134">
        <v>97</v>
      </c>
      <c r="K959" t="str" s="135" cm="1">
        <f t="array" ref="K959">IF(OR(H959="ריביות",AND(H959="דירה כצנלסון",G959&lt;0,ISNUMBER(SEARCH("הכנסה",F959)))),"הכנסה שסווגה מחדש",J959)</f>
        <v>שוטף</v>
      </c>
      <c r="L959" t="s" s="134">
        <v>741</v>
      </c>
      <c r="M959" s="136" cm="1">
        <f t="array" ref="M959">IF(L959="מאושר",IF(K959="הכנסה שסווגה מחדש",0,G959),0)</f>
        <v>1007</v>
      </c>
      <c r="N959" s="136" cm="1">
        <f t="array" ref="N959">IF(K959="שוטף",M959,0)</f>
        <v>1007</v>
      </c>
      <c r="O959" s="136" cm="1">
        <f t="array" ref="O959">IF(K959="הכנסה שסווגה מחדש",-G959,0)</f>
        <v>0</v>
      </c>
      <c r="P959" t="s" s="80">
        <v>762</v>
      </c>
      <c r="Q959" s="100"/>
      <c r="R959" t="s" s="137">
        <v>743</v>
      </c>
      <c r="S959" s="77"/>
    </row>
    <row r="960" ht="13.65" customHeight="1">
      <c r="A960" s="84">
        <v>45931</v>
      </c>
      <c r="B960" t="s" s="85">
        <v>53</v>
      </c>
      <c r="C960" t="s" s="86">
        <v>822</v>
      </c>
      <c r="D960" s="138">
        <v>6</v>
      </c>
      <c r="E960" t="s" s="85">
        <v>34</v>
      </c>
      <c r="F960" t="s" s="86">
        <v>221</v>
      </c>
      <c r="G960" s="139">
        <v>451</v>
      </c>
      <c r="H960" t="s" s="140">
        <v>757</v>
      </c>
      <c r="I960" t="s" s="141">
        <v>96</v>
      </c>
      <c r="J960" t="s" s="141">
        <v>97</v>
      </c>
      <c r="K960" t="str" s="142" cm="1">
        <f t="array" ref="K960">IF(OR(H960="ריביות",AND(H960="דירה כצנלסון",G960&lt;0,ISNUMBER(SEARCH("הכנסה",F960)))),"הכנסה שסווגה מחדש",J960)</f>
        <v>שוטף</v>
      </c>
      <c r="L960" t="s" s="141">
        <v>741</v>
      </c>
      <c r="M960" s="143" cm="1">
        <f t="array" ref="M960">IF(L960="מאושר",IF(K960="הכנסה שסווגה מחדש",0,G960),0)</f>
        <v>451</v>
      </c>
      <c r="N960" s="143" cm="1">
        <f t="array" ref="N960">IF(K960="שוטף",M960,0)</f>
        <v>451</v>
      </c>
      <c r="O960" s="143" cm="1">
        <f t="array" ref="O960">IF(K960="הכנסה שסווגה מחדש",-G960,0)</f>
        <v>0</v>
      </c>
      <c r="P960" t="s" s="86">
        <v>762</v>
      </c>
      <c r="Q960" s="99"/>
      <c r="R960" t="s" s="144">
        <v>743</v>
      </c>
      <c r="S960" s="77"/>
    </row>
    <row r="961" ht="13.65" customHeight="1">
      <c r="A961" s="78">
        <v>45931</v>
      </c>
      <c r="B961" t="s" s="79">
        <v>53</v>
      </c>
      <c r="C961" t="s" s="80">
        <v>822</v>
      </c>
      <c r="D961" s="131">
        <v>7</v>
      </c>
      <c r="E961" s="100"/>
      <c r="F961" t="s" s="80">
        <v>272</v>
      </c>
      <c r="G961" s="132">
        <v>0</v>
      </c>
      <c r="H961" t="s" s="133">
        <v>757</v>
      </c>
      <c r="I961" t="s" s="134">
        <v>96</v>
      </c>
      <c r="J961" t="s" s="134">
        <v>97</v>
      </c>
      <c r="K961" t="str" s="135" cm="1">
        <f t="array" ref="K961">IF(OR(H961="ריביות",AND(H961="דירה כצנלסון",G961&lt;0,ISNUMBER(SEARCH("הכנסה",F961)))),"הכנסה שסווגה מחדש",J961)</f>
        <v>שוטף</v>
      </c>
      <c r="L961" t="s" s="134">
        <v>741</v>
      </c>
      <c r="M961" s="136" cm="1">
        <f t="array" ref="M961">IF(L961="מאושר",IF(K961="הכנסה שסווגה מחדש",0,G961),0)</f>
        <v>0</v>
      </c>
      <c r="N961" s="136" cm="1">
        <f t="array" ref="N961">IF(K961="שוטף",M961,0)</f>
        <v>0</v>
      </c>
      <c r="O961" s="136" cm="1">
        <f t="array" ref="O961">IF(K961="הכנסה שסווגה מחדש",-G961,0)</f>
        <v>0</v>
      </c>
      <c r="P961" s="100"/>
      <c r="Q961" s="100"/>
      <c r="R961" t="s" s="137">
        <v>743</v>
      </c>
      <c r="S961" s="77"/>
    </row>
    <row r="962" ht="13.65" customHeight="1">
      <c r="A962" s="84">
        <v>45931</v>
      </c>
      <c r="B962" t="s" s="85">
        <v>53</v>
      </c>
      <c r="C962" t="s" s="86">
        <v>822</v>
      </c>
      <c r="D962" s="138">
        <v>8</v>
      </c>
      <c r="E962" s="99"/>
      <c r="F962" t="s" s="86">
        <v>232</v>
      </c>
      <c r="G962" s="139">
        <v>600</v>
      </c>
      <c r="H962" t="s" s="140">
        <v>757</v>
      </c>
      <c r="I962" t="s" s="141">
        <v>96</v>
      </c>
      <c r="J962" t="s" s="141">
        <v>97</v>
      </c>
      <c r="K962" t="str" s="142" cm="1">
        <f t="array" ref="K962">IF(OR(H962="ריביות",AND(H962="דירה כצנלסון",G962&lt;0,ISNUMBER(SEARCH("הכנסה",F962)))),"הכנסה שסווגה מחדש",J962)</f>
        <v>שוטף</v>
      </c>
      <c r="L962" t="s" s="141">
        <v>741</v>
      </c>
      <c r="M962" s="143" cm="1">
        <f t="array" ref="M962">IF(L962="מאושר",IF(K962="הכנסה שסווגה מחדש",0,G962),0)</f>
        <v>600</v>
      </c>
      <c r="N962" s="143" cm="1">
        <f t="array" ref="N962">IF(K962="שוטף",M962,0)</f>
        <v>600</v>
      </c>
      <c r="O962" s="143" cm="1">
        <f t="array" ref="O962">IF(K962="הכנסה שסווגה מחדש",-G962,0)</f>
        <v>0</v>
      </c>
      <c r="P962" t="s" s="86">
        <v>781</v>
      </c>
      <c r="Q962" s="99"/>
      <c r="R962" t="s" s="144">
        <v>743</v>
      </c>
      <c r="S962" s="77"/>
    </row>
    <row r="963" ht="13.65" customHeight="1">
      <c r="A963" s="78">
        <v>45931</v>
      </c>
      <c r="B963" t="s" s="79">
        <v>53</v>
      </c>
      <c r="C963" t="s" s="80">
        <v>822</v>
      </c>
      <c r="D963" s="131">
        <v>9</v>
      </c>
      <c r="E963" s="100"/>
      <c r="F963" t="s" s="80">
        <v>374</v>
      </c>
      <c r="G963" s="132">
        <v>0</v>
      </c>
      <c r="H963" t="s" s="133">
        <v>757</v>
      </c>
      <c r="I963" t="s" s="134">
        <v>96</v>
      </c>
      <c r="J963" t="s" s="134">
        <v>97</v>
      </c>
      <c r="K963" t="str" s="135" cm="1">
        <f t="array" ref="K963">IF(OR(H963="ריביות",AND(H963="דירה כצנלסון",G963&lt;0,ISNUMBER(SEARCH("הכנסה",F963)))),"הכנסה שסווגה מחדש",J963)</f>
        <v>שוטף</v>
      </c>
      <c r="L963" t="s" s="134">
        <v>741</v>
      </c>
      <c r="M963" s="136" cm="1">
        <f t="array" ref="M963">IF(L963="מאושר",IF(K963="הכנסה שסווגה מחדש",0,G963),0)</f>
        <v>0</v>
      </c>
      <c r="N963" s="136" cm="1">
        <f t="array" ref="N963">IF(K963="שוטף",M963,0)</f>
        <v>0</v>
      </c>
      <c r="O963" s="136" cm="1">
        <f t="array" ref="O963">IF(K963="הכנסה שסווגה מחדש",-G963,0)</f>
        <v>0</v>
      </c>
      <c r="P963" s="100"/>
      <c r="Q963" s="100"/>
      <c r="R963" t="s" s="137">
        <v>743</v>
      </c>
      <c r="S963" s="77"/>
    </row>
    <row r="964" ht="13.65" customHeight="1">
      <c r="A964" s="84">
        <v>45931</v>
      </c>
      <c r="B964" t="s" s="85">
        <v>53</v>
      </c>
      <c r="C964" t="s" s="86">
        <v>822</v>
      </c>
      <c r="D964" s="138">
        <v>10</v>
      </c>
      <c r="E964" s="99"/>
      <c r="F964" t="s" s="86">
        <v>211</v>
      </c>
      <c r="G964" s="139">
        <v>200</v>
      </c>
      <c r="H964" t="s" s="140">
        <v>757</v>
      </c>
      <c r="I964" t="s" s="141">
        <v>96</v>
      </c>
      <c r="J964" t="s" s="141">
        <v>97</v>
      </c>
      <c r="K964" t="str" s="142" cm="1">
        <f t="array" ref="K964">IF(OR(H964="ריביות",AND(H964="דירה כצנלסון",G964&lt;0,ISNUMBER(SEARCH("הכנסה",F964)))),"הכנסה שסווגה מחדש",J964)</f>
        <v>שוטף</v>
      </c>
      <c r="L964" t="s" s="141">
        <v>741</v>
      </c>
      <c r="M964" s="143" cm="1">
        <f t="array" ref="M964">IF(L964="מאושר",IF(K964="הכנסה שסווגה מחדש",0,G964),0)</f>
        <v>200</v>
      </c>
      <c r="N964" s="143" cm="1">
        <f t="array" ref="N964">IF(K964="שוטף",M964,0)</f>
        <v>200</v>
      </c>
      <c r="O964" s="143" cm="1">
        <f t="array" ref="O964">IF(K964="הכנסה שסווגה מחדש",-G964,0)</f>
        <v>0</v>
      </c>
      <c r="P964" t="s" s="86">
        <v>781</v>
      </c>
      <c r="Q964" s="99"/>
      <c r="R964" t="s" s="144">
        <v>743</v>
      </c>
      <c r="S964" s="77"/>
    </row>
    <row r="965" ht="13.65" customHeight="1">
      <c r="A965" s="78">
        <v>45931</v>
      </c>
      <c r="B965" t="s" s="79">
        <v>53</v>
      </c>
      <c r="C965" t="s" s="80">
        <v>822</v>
      </c>
      <c r="D965" s="131">
        <v>11</v>
      </c>
      <c r="E965" t="s" s="79">
        <v>744</v>
      </c>
      <c r="F965" t="s" s="80">
        <v>302</v>
      </c>
      <c r="G965" s="132">
        <v>79</v>
      </c>
      <c r="H965" t="s" s="133">
        <v>763</v>
      </c>
      <c r="I965" t="s" s="134">
        <v>96</v>
      </c>
      <c r="J965" t="s" s="134">
        <v>97</v>
      </c>
      <c r="K965" t="str" s="135" cm="1">
        <f t="array" ref="K965">IF(OR(H965="ריביות",AND(H965="דירה כצנלסון",G965&lt;0,ISNUMBER(SEARCH("הכנסה",F965)))),"הכנסה שסווגה מחדש",J965)</f>
        <v>שוטף</v>
      </c>
      <c r="L965" t="s" s="134">
        <v>741</v>
      </c>
      <c r="M965" s="136" cm="1">
        <f t="array" ref="M965">IF(L965="מאושר",IF(K965="הכנסה שסווגה מחדש",0,G965),0)</f>
        <v>79</v>
      </c>
      <c r="N965" s="136" cm="1">
        <f t="array" ref="N965">IF(K965="שוטף",M965,0)</f>
        <v>79</v>
      </c>
      <c r="O965" s="136" cm="1">
        <f t="array" ref="O965">IF(K965="הכנסה שסווגה מחדש",-G965,0)</f>
        <v>0</v>
      </c>
      <c r="P965" t="s" s="80">
        <v>762</v>
      </c>
      <c r="Q965" s="100"/>
      <c r="R965" t="s" s="137">
        <v>743</v>
      </c>
      <c r="S965" s="77"/>
    </row>
    <row r="966" ht="13.65" customHeight="1">
      <c r="A966" s="84">
        <v>45931</v>
      </c>
      <c r="B966" t="s" s="85">
        <v>53</v>
      </c>
      <c r="C966" t="s" s="86">
        <v>822</v>
      </c>
      <c r="D966" s="138">
        <v>12</v>
      </c>
      <c r="E966" t="s" s="85">
        <v>739</v>
      </c>
      <c r="F966" t="s" s="86">
        <v>320</v>
      </c>
      <c r="G966" s="139">
        <v>59</v>
      </c>
      <c r="H966" t="s" s="140">
        <v>763</v>
      </c>
      <c r="I966" t="s" s="141">
        <v>96</v>
      </c>
      <c r="J966" t="s" s="141">
        <v>97</v>
      </c>
      <c r="K966" t="str" s="142" cm="1">
        <f t="array" ref="K966">IF(OR(H966="ריביות",AND(H966="דירה כצנלסון",G966&lt;0,ISNUMBER(SEARCH("הכנסה",F966)))),"הכנסה שסווגה מחדש",J966)</f>
        <v>שוטף</v>
      </c>
      <c r="L966" t="s" s="141">
        <v>741</v>
      </c>
      <c r="M966" s="143" cm="1">
        <f t="array" ref="M966">IF(L966="מאושר",IF(K966="הכנסה שסווגה מחדש",0,G966),0)</f>
        <v>59</v>
      </c>
      <c r="N966" s="143" cm="1">
        <f t="array" ref="N966">IF(K966="שוטף",M966,0)</f>
        <v>59</v>
      </c>
      <c r="O966" s="143" cm="1">
        <f t="array" ref="O966">IF(K966="הכנסה שסווגה מחדש",-G966,0)</f>
        <v>0</v>
      </c>
      <c r="P966" t="s" s="86">
        <v>762</v>
      </c>
      <c r="Q966" s="99"/>
      <c r="R966" t="s" s="144">
        <v>743</v>
      </c>
      <c r="S966" s="77"/>
    </row>
    <row r="967" ht="13.65" customHeight="1">
      <c r="A967" s="78">
        <v>45931</v>
      </c>
      <c r="B967" t="s" s="79">
        <v>53</v>
      </c>
      <c r="C967" t="s" s="80">
        <v>822</v>
      </c>
      <c r="D967" s="131">
        <v>13</v>
      </c>
      <c r="E967" t="s" s="79">
        <v>764</v>
      </c>
      <c r="F967" t="s" s="80">
        <v>273</v>
      </c>
      <c r="G967" s="132">
        <v>76</v>
      </c>
      <c r="H967" t="s" s="133">
        <v>279</v>
      </c>
      <c r="I967" t="s" s="134">
        <v>99</v>
      </c>
      <c r="J967" t="s" s="134">
        <v>100</v>
      </c>
      <c r="K967" t="str" s="135" cm="1">
        <f t="array" ref="K967">IF(OR(H967="ריביות",AND(H967="דירה כצנלסון",G967&lt;0,ISNUMBER(SEARCH("הכנסה",F967)))),"הכנסה שסווגה מחדש",J967)</f>
        <v>חריג/נכס</v>
      </c>
      <c r="L967" t="s" s="134">
        <v>741</v>
      </c>
      <c r="M967" s="136" cm="1">
        <f t="array" ref="M967">IF(L967="מאושר",IF(K967="הכנסה שסווגה מחדש",0,G967),0)</f>
        <v>76</v>
      </c>
      <c r="N967" s="136" cm="1">
        <f t="array" ref="N967">IF(K967="שוטף",M967,0)</f>
        <v>0</v>
      </c>
      <c r="O967" s="136" cm="1">
        <f t="array" ref="O967">IF(K967="הכנסה שסווגה מחדש",-G967,0)</f>
        <v>0</v>
      </c>
      <c r="P967" t="s" s="80">
        <v>762</v>
      </c>
      <c r="Q967" s="100"/>
      <c r="R967" t="s" s="137">
        <v>743</v>
      </c>
      <c r="S967" s="77"/>
    </row>
    <row r="968" ht="13.65" customHeight="1">
      <c r="A968" s="84">
        <v>45931</v>
      </c>
      <c r="B968" t="s" s="85">
        <v>53</v>
      </c>
      <c r="C968" t="s" s="86">
        <v>822</v>
      </c>
      <c r="D968" s="138">
        <v>14</v>
      </c>
      <c r="E968" t="s" s="85">
        <v>764</v>
      </c>
      <c r="F968" t="s" s="86">
        <v>328</v>
      </c>
      <c r="G968" s="139">
        <v>36</v>
      </c>
      <c r="H968" t="s" s="140">
        <v>279</v>
      </c>
      <c r="I968" t="s" s="141">
        <v>99</v>
      </c>
      <c r="J968" t="s" s="141">
        <v>100</v>
      </c>
      <c r="K968" t="str" s="142" cm="1">
        <f t="array" ref="K968">IF(OR(H968="ריביות",AND(H968="דירה כצנלסון",G968&lt;0,ISNUMBER(SEARCH("הכנסה",F968)))),"הכנסה שסווגה מחדש",J968)</f>
        <v>חריג/נכס</v>
      </c>
      <c r="L968" t="s" s="141">
        <v>741</v>
      </c>
      <c r="M968" s="143" cm="1">
        <f t="array" ref="M968">IF(L968="מאושר",IF(K968="הכנסה שסווגה מחדש",0,G968),0)</f>
        <v>36</v>
      </c>
      <c r="N968" s="143" cm="1">
        <f t="array" ref="N968">IF(K968="שוטף",M968,0)</f>
        <v>0</v>
      </c>
      <c r="O968" s="143" cm="1">
        <f t="array" ref="O968">IF(K968="הכנסה שסווגה מחדש",-G968,0)</f>
        <v>0</v>
      </c>
      <c r="P968" t="s" s="86">
        <v>762</v>
      </c>
      <c r="Q968" s="99"/>
      <c r="R968" t="s" s="144">
        <v>743</v>
      </c>
      <c r="S968" s="77"/>
    </row>
    <row r="969" ht="13.65" customHeight="1">
      <c r="A969" s="78">
        <v>45931</v>
      </c>
      <c r="B969" t="s" s="79">
        <v>53</v>
      </c>
      <c r="C969" t="s" s="80">
        <v>822</v>
      </c>
      <c r="D969" s="131">
        <v>15</v>
      </c>
      <c r="E969" t="s" s="79">
        <v>759</v>
      </c>
      <c r="F969" t="s" s="80">
        <v>263</v>
      </c>
      <c r="G969" s="132">
        <v>115</v>
      </c>
      <c r="H969" t="s" s="133">
        <v>135</v>
      </c>
      <c r="I969" t="s" s="134">
        <v>135</v>
      </c>
      <c r="J969" t="s" s="134">
        <v>97</v>
      </c>
      <c r="K969" t="str" s="135" cm="1">
        <f t="array" ref="K969">IF(OR(H969="ריביות",AND(H969="דירה כצנלסון",G969&lt;0,ISNUMBER(SEARCH("הכנסה",F969)))),"הכנסה שסווגה מחדש",J969)</f>
        <v>שוטף</v>
      </c>
      <c r="L969" t="s" s="134">
        <v>741</v>
      </c>
      <c r="M969" s="136" cm="1">
        <f t="array" ref="M969">IF(L969="מאושר",IF(K969="הכנסה שסווגה מחדש",0,G969),0)</f>
        <v>115</v>
      </c>
      <c r="N969" s="136" cm="1">
        <f t="array" ref="N969">IF(K969="שוטף",M969,0)</f>
        <v>115</v>
      </c>
      <c r="O969" s="136" cm="1">
        <f t="array" ref="O969">IF(K969="הכנסה שסווגה מחדש",-G969,0)</f>
        <v>0</v>
      </c>
      <c r="P969" t="s" s="80">
        <v>770</v>
      </c>
      <c r="Q969" s="100"/>
      <c r="R969" t="s" s="137">
        <v>743</v>
      </c>
      <c r="S969" s="77"/>
    </row>
    <row r="970" ht="13.65" customHeight="1">
      <c r="A970" s="84">
        <v>45931</v>
      </c>
      <c r="B970" t="s" s="85">
        <v>53</v>
      </c>
      <c r="C970" t="s" s="86">
        <v>822</v>
      </c>
      <c r="D970" s="138">
        <v>16</v>
      </c>
      <c r="E970" t="s" s="85">
        <v>34</v>
      </c>
      <c r="F970" t="s" s="86">
        <v>245</v>
      </c>
      <c r="G970" s="139">
        <v>56</v>
      </c>
      <c r="H970" t="s" s="140">
        <v>767</v>
      </c>
      <c r="I970" t="s" s="141">
        <v>107</v>
      </c>
      <c r="J970" t="s" s="141">
        <v>97</v>
      </c>
      <c r="K970" t="str" s="142" cm="1">
        <f t="array" ref="K970">IF(OR(H970="ריביות",AND(H970="דירה כצנלסון",G970&lt;0,ISNUMBER(SEARCH("הכנסה",F970)))),"הכנסה שסווגה מחדש",J970)</f>
        <v>שוטף</v>
      </c>
      <c r="L970" t="s" s="141">
        <v>741</v>
      </c>
      <c r="M970" s="143" cm="1">
        <f t="array" ref="M970">IF(L970="מאושר",IF(K970="הכנסה שסווגה מחדש",0,G970),0)</f>
        <v>56</v>
      </c>
      <c r="N970" s="143" cm="1">
        <f t="array" ref="N970">IF(K970="שוטף",M970,0)</f>
        <v>56</v>
      </c>
      <c r="O970" s="143" cm="1">
        <f t="array" ref="O970">IF(K970="הכנסה שסווגה מחדש",-G970,0)</f>
        <v>0</v>
      </c>
      <c r="P970" t="s" s="86">
        <v>762</v>
      </c>
      <c r="Q970" s="99"/>
      <c r="R970" t="s" s="144">
        <v>743</v>
      </c>
      <c r="S970" s="77"/>
    </row>
    <row r="971" ht="13.65" customHeight="1">
      <c r="A971" s="78">
        <v>45931</v>
      </c>
      <c r="B971" t="s" s="79">
        <v>53</v>
      </c>
      <c r="C971" t="s" s="80">
        <v>822</v>
      </c>
      <c r="D971" s="131">
        <v>17</v>
      </c>
      <c r="E971" t="s" s="79">
        <v>34</v>
      </c>
      <c r="F971" t="s" s="80">
        <v>245</v>
      </c>
      <c r="G971" s="132">
        <v>97</v>
      </c>
      <c r="H971" t="s" s="133">
        <v>767</v>
      </c>
      <c r="I971" t="s" s="134">
        <v>107</v>
      </c>
      <c r="J971" t="s" s="134">
        <v>97</v>
      </c>
      <c r="K971" t="str" s="135" cm="1">
        <f t="array" ref="K971">IF(OR(H971="ריביות",AND(H971="דירה כצנלסון",G971&lt;0,ISNUMBER(SEARCH("הכנסה",F971)))),"הכנסה שסווגה מחדש",J971)</f>
        <v>שוטף</v>
      </c>
      <c r="L971" t="s" s="134">
        <v>741</v>
      </c>
      <c r="M971" s="136" cm="1">
        <f t="array" ref="M971">IF(L971="מאושר",IF(K971="הכנסה שסווגה מחדש",0,G971),0)</f>
        <v>97</v>
      </c>
      <c r="N971" s="136" cm="1">
        <f t="array" ref="N971">IF(K971="שוטף",M971,0)</f>
        <v>97</v>
      </c>
      <c r="O971" s="136" cm="1">
        <f t="array" ref="O971">IF(K971="הכנסה שסווגה מחדש",-G971,0)</f>
        <v>0</v>
      </c>
      <c r="P971" t="s" s="80">
        <v>770</v>
      </c>
      <c r="Q971" s="100"/>
      <c r="R971" t="s" s="137">
        <v>743</v>
      </c>
      <c r="S971" s="77"/>
    </row>
    <row r="972" ht="13.65" customHeight="1">
      <c r="A972" s="84">
        <v>45931</v>
      </c>
      <c r="B972" t="s" s="85">
        <v>53</v>
      </c>
      <c r="C972" t="s" s="86">
        <v>822</v>
      </c>
      <c r="D972" s="138">
        <v>18</v>
      </c>
      <c r="E972" t="s" s="85">
        <v>38</v>
      </c>
      <c r="F972" t="s" s="86">
        <v>199</v>
      </c>
      <c r="G972" s="139">
        <v>1350</v>
      </c>
      <c r="H972" t="s" s="140">
        <v>767</v>
      </c>
      <c r="I972" t="s" s="141">
        <v>107</v>
      </c>
      <c r="J972" t="s" s="141">
        <v>97</v>
      </c>
      <c r="K972" t="str" s="142" cm="1">
        <f t="array" ref="K972">IF(OR(H972="ריביות",AND(H972="דירה כצנלסון",G972&lt;0,ISNUMBER(SEARCH("הכנסה",F972)))),"הכנסה שסווגה מחדש",J972)</f>
        <v>שוטף</v>
      </c>
      <c r="L972" t="s" s="141">
        <v>741</v>
      </c>
      <c r="M972" s="143" cm="1">
        <f t="array" ref="M972">IF(L972="מאושר",IF(K972="הכנסה שסווגה מחדש",0,G972),0)</f>
        <v>1350</v>
      </c>
      <c r="N972" s="143" cm="1">
        <f t="array" ref="N972">IF(K972="שוטף",M972,0)</f>
        <v>1350</v>
      </c>
      <c r="O972" s="143" cm="1">
        <f t="array" ref="O972">IF(K972="הכנסה שסווגה מחדש",-G972,0)</f>
        <v>0</v>
      </c>
      <c r="P972" t="s" s="85">
        <v>742</v>
      </c>
      <c r="Q972" s="99"/>
      <c r="R972" t="s" s="144">
        <v>743</v>
      </c>
      <c r="S972" s="77"/>
    </row>
    <row r="973" ht="13.65" customHeight="1">
      <c r="A973" s="78">
        <v>45931</v>
      </c>
      <c r="B973" t="s" s="79">
        <v>53</v>
      </c>
      <c r="C973" t="s" s="80">
        <v>822</v>
      </c>
      <c r="D973" s="131">
        <v>19</v>
      </c>
      <c r="E973" t="s" s="79">
        <v>774</v>
      </c>
      <c r="F973" t="s" s="80">
        <v>823</v>
      </c>
      <c r="G973" s="132">
        <v>937</v>
      </c>
      <c r="H973" t="s" s="133">
        <v>746</v>
      </c>
      <c r="I973" t="s" s="134">
        <v>141</v>
      </c>
      <c r="J973" t="s" s="134">
        <v>142</v>
      </c>
      <c r="K973" t="str" s="135" cm="1">
        <f t="array" ref="K973">IF(OR(H973="ריביות",AND(H973="דירה כצנלסון",G973&lt;0,ISNUMBER(SEARCH("הכנסה",F973)))),"הכנסה שסווגה מחדש",J973)</f>
        <v>הכנסה שסווגה מחדש</v>
      </c>
      <c r="L973" t="s" s="134">
        <v>741</v>
      </c>
      <c r="M973" s="136" cm="1">
        <f t="array" ref="M973">IF(L973="מאושר",IF(K973="הכנסה שסווגה מחדש",0,G973),0)</f>
        <v>0</v>
      </c>
      <c r="N973" s="136" cm="1">
        <f t="array" ref="N973">IF(K973="שוטף",M973,0)</f>
        <v>0</v>
      </c>
      <c r="O973" s="136" cm="1">
        <f t="array" ref="O973">IF(K973="הכנסה שסווגה מחדש",-G973,0)</f>
        <v>-937</v>
      </c>
      <c r="P973" t="s" s="79">
        <v>742</v>
      </c>
      <c r="Q973" s="100"/>
      <c r="R973" t="s" s="137">
        <v>743</v>
      </c>
      <c r="S973" s="77"/>
    </row>
    <row r="974" ht="13.65" customHeight="1">
      <c r="A974" s="84">
        <v>45931</v>
      </c>
      <c r="B974" t="s" s="85">
        <v>53</v>
      </c>
      <c r="C974" t="s" s="86">
        <v>822</v>
      </c>
      <c r="D974" s="138">
        <v>20</v>
      </c>
      <c r="E974" t="s" s="85">
        <v>775</v>
      </c>
      <c r="F974" t="s" s="86">
        <v>282</v>
      </c>
      <c r="G974" s="139">
        <v>1255</v>
      </c>
      <c r="H974" t="s" s="140">
        <v>133</v>
      </c>
      <c r="I974" t="s" s="141">
        <v>133</v>
      </c>
      <c r="J974" t="s" s="141">
        <v>97</v>
      </c>
      <c r="K974" t="str" s="142" cm="1">
        <f t="array" ref="K974">IF(OR(H974="ריביות",AND(H974="דירה כצנלסון",G974&lt;0,ISNUMBER(SEARCH("הכנסה",F974)))),"הכנסה שסווגה מחדש",J974)</f>
        <v>שוטף</v>
      </c>
      <c r="L974" t="s" s="141">
        <v>741</v>
      </c>
      <c r="M974" s="143" cm="1">
        <f t="array" ref="M974">IF(L974="מאושר",IF(K974="הכנסה שסווגה מחדש",0,G974),0)</f>
        <v>1255</v>
      </c>
      <c r="N974" s="143" cm="1">
        <f t="array" ref="N974">IF(K974="שוטף",M974,0)</f>
        <v>1255</v>
      </c>
      <c r="O974" s="143" cm="1">
        <f t="array" ref="O974">IF(K974="הכנסה שסווגה מחדש",-G974,0)</f>
        <v>0</v>
      </c>
      <c r="P974" t="s" s="85">
        <v>742</v>
      </c>
      <c r="Q974" s="99"/>
      <c r="R974" t="s" s="144">
        <v>743</v>
      </c>
      <c r="S974" s="77"/>
    </row>
    <row r="975" ht="13.65" customHeight="1">
      <c r="A975" s="78">
        <v>45931</v>
      </c>
      <c r="B975" t="s" s="79">
        <v>53</v>
      </c>
      <c r="C975" t="s" s="80">
        <v>822</v>
      </c>
      <c r="D975" s="131">
        <v>21</v>
      </c>
      <c r="E975" t="s" s="79">
        <v>775</v>
      </c>
      <c r="F975" t="s" s="80">
        <v>720</v>
      </c>
      <c r="G975" s="132">
        <v>-715</v>
      </c>
      <c r="H975" t="s" s="133">
        <v>123</v>
      </c>
      <c r="I975" t="s" s="134">
        <v>123</v>
      </c>
      <c r="J975" t="s" s="134">
        <v>97</v>
      </c>
      <c r="K975" t="str" s="135" cm="1">
        <f t="array" ref="K975">IF(OR(H975="ריביות",AND(H975="דירה כצנלסון",G975&lt;0,ISNUMBER(SEARCH("הכנסה",F975)))),"הכנסה שסווגה מחדש",J975)</f>
        <v>שוטף</v>
      </c>
      <c r="L975" t="s" s="134">
        <v>741</v>
      </c>
      <c r="M975" s="136" cm="1">
        <f t="array" ref="M975">IF(L975="מאושר",IF(K975="הכנסה שסווגה מחדש",0,G975),0)</f>
        <v>-715</v>
      </c>
      <c r="N975" s="136" cm="1">
        <f t="array" ref="N975">IF(K975="שוטף",M975,0)</f>
        <v>-715</v>
      </c>
      <c r="O975" s="136" cm="1">
        <f t="array" ref="O975">IF(K975="הכנסה שסווגה מחדש",-G975,0)</f>
        <v>0</v>
      </c>
      <c r="P975" t="s" s="79">
        <v>742</v>
      </c>
      <c r="Q975" s="100"/>
      <c r="R975" t="s" s="137">
        <v>743</v>
      </c>
      <c r="S975" s="77"/>
    </row>
    <row r="976" ht="13.65" customHeight="1">
      <c r="A976" s="84">
        <v>45931</v>
      </c>
      <c r="B976" t="s" s="85">
        <v>53</v>
      </c>
      <c r="C976" t="s" s="86">
        <v>822</v>
      </c>
      <c r="D976" s="138">
        <v>22</v>
      </c>
      <c r="E976" s="99"/>
      <c r="F976" t="s" s="86">
        <v>201</v>
      </c>
      <c r="G976" s="139">
        <v>125</v>
      </c>
      <c r="H976" t="s" s="140">
        <v>210</v>
      </c>
      <c r="I976" t="s" s="141">
        <v>102</v>
      </c>
      <c r="J976" t="s" s="141">
        <v>103</v>
      </c>
      <c r="K976" t="str" s="142" cm="1">
        <f t="array" ref="K976">IF(OR(H976="ריביות",AND(H976="דירה כצנלסון",G976&lt;0,ISNUMBER(SEARCH("הכנסה",F976)))),"הכנסה שסווגה מחדש",J976)</f>
        <v>חריג</v>
      </c>
      <c r="L976" t="s" s="141">
        <v>741</v>
      </c>
      <c r="M976" s="143" cm="1">
        <f t="array" ref="M976">IF(L976="מאושר",IF(K976="הכנסה שסווגה מחדש",0,G976),0)</f>
        <v>125</v>
      </c>
      <c r="N976" s="143" cm="1">
        <f t="array" ref="N976">IF(K976="שוטף",M976,0)</f>
        <v>0</v>
      </c>
      <c r="O976" s="143" cm="1">
        <f t="array" ref="O976">IF(K976="הכנסה שסווגה מחדש",-G976,0)</f>
        <v>0</v>
      </c>
      <c r="P976" t="s" s="85">
        <v>758</v>
      </c>
      <c r="Q976" s="99"/>
      <c r="R976" t="s" s="144">
        <v>743</v>
      </c>
      <c r="S976" s="77"/>
    </row>
    <row r="977" ht="13.65" customHeight="1">
      <c r="A977" s="78">
        <v>45931</v>
      </c>
      <c r="B977" t="s" s="79">
        <v>53</v>
      </c>
      <c r="C977" t="s" s="80">
        <v>822</v>
      </c>
      <c r="D977" s="131">
        <v>23</v>
      </c>
      <c r="E977" t="s" s="79">
        <v>765</v>
      </c>
      <c r="F977" t="s" s="80">
        <v>395</v>
      </c>
      <c r="G977" s="132">
        <v>16</v>
      </c>
      <c r="H977" t="s" s="133">
        <v>115</v>
      </c>
      <c r="I977" t="s" s="134">
        <v>115</v>
      </c>
      <c r="J977" t="s" s="134">
        <v>97</v>
      </c>
      <c r="K977" t="str" s="135" cm="1">
        <f t="array" ref="K977">IF(OR(H977="ריביות",AND(H977="דירה כצנלסון",G977&lt;0,ISNUMBER(SEARCH("הכנסה",F977)))),"הכנסה שסווגה מחדש",J977)</f>
        <v>שוטף</v>
      </c>
      <c r="L977" t="s" s="134">
        <v>741</v>
      </c>
      <c r="M977" s="136" cm="1">
        <f t="array" ref="M977">IF(L977="מאושר",IF(K977="הכנסה שסווגה מחדש",0,G977),0)</f>
        <v>16</v>
      </c>
      <c r="N977" s="136" cm="1">
        <f t="array" ref="N977">IF(K977="שוטף",M977,0)</f>
        <v>16</v>
      </c>
      <c r="O977" s="136" cm="1">
        <f t="array" ref="O977">IF(K977="הכנסה שסווגה מחדש",-G977,0)</f>
        <v>0</v>
      </c>
      <c r="P977" t="s" s="79">
        <v>758</v>
      </c>
      <c r="Q977" s="100"/>
      <c r="R977" t="s" s="137">
        <v>743</v>
      </c>
      <c r="S977" s="77"/>
    </row>
    <row r="978" ht="13.65" customHeight="1">
      <c r="A978" s="84">
        <v>45931</v>
      </c>
      <c r="B978" t="s" s="85">
        <v>53</v>
      </c>
      <c r="C978" t="s" s="86">
        <v>822</v>
      </c>
      <c r="D978" s="138">
        <v>24</v>
      </c>
      <c r="E978" t="s" s="85">
        <v>30</v>
      </c>
      <c r="F978" t="s" s="86">
        <v>307</v>
      </c>
      <c r="G978" s="139">
        <v>-38</v>
      </c>
      <c r="H978" t="s" s="140">
        <v>115</v>
      </c>
      <c r="I978" t="s" s="141">
        <v>115</v>
      </c>
      <c r="J978" t="s" s="141">
        <v>97</v>
      </c>
      <c r="K978" t="str" s="142" cm="1">
        <f t="array" ref="K978">IF(OR(H978="ריביות",AND(H978="דירה כצנלסון",G978&lt;0,ISNUMBER(SEARCH("הכנסה",F978)))),"הכנסה שסווגה מחדש",J978)</f>
        <v>שוטף</v>
      </c>
      <c r="L978" t="s" s="141">
        <v>741</v>
      </c>
      <c r="M978" s="143" cm="1">
        <f t="array" ref="M978">IF(L978="מאושר",IF(K978="הכנסה שסווגה מחדש",0,G978),0)</f>
        <v>-38</v>
      </c>
      <c r="N978" s="143" cm="1">
        <f t="array" ref="N978">IF(K978="שוטף",M978,0)</f>
        <v>-38</v>
      </c>
      <c r="O978" s="143" cm="1">
        <f t="array" ref="O978">IF(K978="הכנסה שסווגה מחדש",-G978,0)</f>
        <v>0</v>
      </c>
      <c r="P978" t="s" s="85">
        <v>748</v>
      </c>
      <c r="Q978" s="99"/>
      <c r="R978" t="s" s="144">
        <v>743</v>
      </c>
      <c r="S978" s="77"/>
    </row>
    <row r="979" ht="13.65" customHeight="1">
      <c r="A979" s="78">
        <v>45931</v>
      </c>
      <c r="B979" t="s" s="79">
        <v>53</v>
      </c>
      <c r="C979" t="s" s="80">
        <v>822</v>
      </c>
      <c r="D979" s="131">
        <v>25</v>
      </c>
      <c r="E979" t="s" s="79">
        <v>765</v>
      </c>
      <c r="F979" t="s" s="80">
        <v>395</v>
      </c>
      <c r="G979" s="132">
        <v>18</v>
      </c>
      <c r="H979" t="s" s="133">
        <v>115</v>
      </c>
      <c r="I979" t="s" s="134">
        <v>115</v>
      </c>
      <c r="J979" t="s" s="134">
        <v>97</v>
      </c>
      <c r="K979" t="str" s="135" cm="1">
        <f t="array" ref="K979">IF(OR(H979="ריביות",AND(H979="דירה כצנלסון",G979&lt;0,ISNUMBER(SEARCH("הכנסה",F979)))),"הכנסה שסווגה מחדש",J979)</f>
        <v>שוטף</v>
      </c>
      <c r="L979" t="s" s="134">
        <v>741</v>
      </c>
      <c r="M979" s="136" cm="1">
        <f t="array" ref="M979">IF(L979="מאושר",IF(K979="הכנסה שסווגה מחדש",0,G979),0)</f>
        <v>18</v>
      </c>
      <c r="N979" s="136" cm="1">
        <f t="array" ref="N979">IF(K979="שוטף",M979,0)</f>
        <v>18</v>
      </c>
      <c r="O979" s="136" cm="1">
        <f t="array" ref="O979">IF(K979="הכנסה שסווגה מחדש",-G979,0)</f>
        <v>0</v>
      </c>
      <c r="P979" t="s" s="79">
        <v>748</v>
      </c>
      <c r="Q979" s="100"/>
      <c r="R979" t="s" s="137">
        <v>743</v>
      </c>
      <c r="S979" s="77"/>
    </row>
    <row r="980" ht="13.65" customHeight="1">
      <c r="A980" s="84">
        <v>45931</v>
      </c>
      <c r="B980" t="s" s="85">
        <v>53</v>
      </c>
      <c r="C980" t="s" s="86">
        <v>822</v>
      </c>
      <c r="D980" s="138">
        <v>26</v>
      </c>
      <c r="E980" s="99"/>
      <c r="F980" t="s" s="86">
        <v>201</v>
      </c>
      <c r="G980" s="139">
        <v>1413</v>
      </c>
      <c r="H980" t="s" s="140">
        <v>210</v>
      </c>
      <c r="I980" t="s" s="141">
        <v>102</v>
      </c>
      <c r="J980" t="s" s="141">
        <v>103</v>
      </c>
      <c r="K980" t="str" s="142" cm="1">
        <f t="array" ref="K980">IF(OR(H980="ריביות",AND(H980="דירה כצנלסון",G980&lt;0,ISNUMBER(SEARCH("הכנסה",F980)))),"הכנסה שסווגה מחדש",J980)</f>
        <v>חריג</v>
      </c>
      <c r="L980" t="s" s="141">
        <v>741</v>
      </c>
      <c r="M980" s="143" cm="1">
        <f t="array" ref="M980">IF(L980="מאושר",IF(K980="הכנסה שסווגה מחדש",0,G980),0)</f>
        <v>1413</v>
      </c>
      <c r="N980" s="143" cm="1">
        <f t="array" ref="N980">IF(K980="שוטף",M980,0)</f>
        <v>0</v>
      </c>
      <c r="O980" s="143" cm="1">
        <f t="array" ref="O980">IF(K980="הכנסה שסווגה מחדש",-G980,0)</f>
        <v>0</v>
      </c>
      <c r="P980" t="s" s="85">
        <v>748</v>
      </c>
      <c r="Q980" s="99"/>
      <c r="R980" t="s" s="144">
        <v>743</v>
      </c>
      <c r="S980" s="77"/>
    </row>
    <row r="981" ht="13.65" customHeight="1">
      <c r="A981" s="78">
        <v>45931</v>
      </c>
      <c r="B981" t="s" s="79">
        <v>53</v>
      </c>
      <c r="C981" t="s" s="80">
        <v>822</v>
      </c>
      <c r="D981" s="131">
        <v>27</v>
      </c>
      <c r="E981" t="s" s="79">
        <v>776</v>
      </c>
      <c r="F981" t="s" s="80">
        <v>307</v>
      </c>
      <c r="G981" s="132">
        <v>64</v>
      </c>
      <c r="H981" t="s" s="133">
        <v>115</v>
      </c>
      <c r="I981" t="s" s="134">
        <v>115</v>
      </c>
      <c r="J981" t="s" s="134">
        <v>97</v>
      </c>
      <c r="K981" t="str" s="135" cm="1">
        <f t="array" ref="K981">IF(OR(H981="ריביות",AND(H981="דירה כצנלסון",G981&lt;0,ISNUMBER(SEARCH("הכנסה",F981)))),"הכנסה שסווגה מחדש",J981)</f>
        <v>שוטף</v>
      </c>
      <c r="L981" t="s" s="134">
        <v>741</v>
      </c>
      <c r="M981" s="136" cm="1">
        <f t="array" ref="M981">IF(L981="מאושר",IF(K981="הכנסה שסווגה מחדש",0,G981),0)</f>
        <v>64</v>
      </c>
      <c r="N981" s="136" cm="1">
        <f t="array" ref="N981">IF(K981="שוטף",M981,0)</f>
        <v>64</v>
      </c>
      <c r="O981" s="136" cm="1">
        <f t="array" ref="O981">IF(K981="הכנסה שסווגה מחדש",-G981,0)</f>
        <v>0</v>
      </c>
      <c r="P981" t="s" s="79">
        <v>748</v>
      </c>
      <c r="Q981" s="100"/>
      <c r="R981" t="s" s="137">
        <v>743</v>
      </c>
      <c r="S981" s="77"/>
    </row>
    <row r="982" ht="13.65" customHeight="1">
      <c r="A982" s="84">
        <v>45931</v>
      </c>
      <c r="B982" t="s" s="85">
        <v>53</v>
      </c>
      <c r="C982" t="s" s="86">
        <v>822</v>
      </c>
      <c r="D982" s="138">
        <v>29</v>
      </c>
      <c r="E982" t="s" s="85">
        <v>824</v>
      </c>
      <c r="F982" t="s" s="86">
        <v>571</v>
      </c>
      <c r="G982" s="139">
        <v>70</v>
      </c>
      <c r="H982" t="s" s="140">
        <v>127</v>
      </c>
      <c r="I982" t="s" s="141">
        <v>127</v>
      </c>
      <c r="J982" t="s" s="141">
        <v>97</v>
      </c>
      <c r="K982" t="str" s="142" cm="1">
        <f t="array" ref="K982">IF(OR(H982="ריביות",AND(H982="דירה כצנלסון",G982&lt;0,ISNUMBER(SEARCH("הכנסה",F982)))),"הכנסה שסווגה מחדש",J982)</f>
        <v>שוטף</v>
      </c>
      <c r="L982" t="s" s="141">
        <v>741</v>
      </c>
      <c r="M982" s="143" cm="1">
        <f t="array" ref="M982">IF(L982="מאושר",IF(K982="הכנסה שסווגה מחדש",0,G982),0)</f>
        <v>70</v>
      </c>
      <c r="N982" s="143" cm="1">
        <f t="array" ref="N982">IF(K982="שוטף",M982,0)</f>
        <v>70</v>
      </c>
      <c r="O982" s="143" cm="1">
        <f t="array" ref="O982">IF(K982="הכנסה שסווגה מחדש",-G982,0)</f>
        <v>0</v>
      </c>
      <c r="P982" t="s" s="86">
        <v>770</v>
      </c>
      <c r="Q982" s="99"/>
      <c r="R982" t="s" s="144">
        <v>743</v>
      </c>
      <c r="S982" s="77"/>
    </row>
    <row r="983" ht="13.65" customHeight="1">
      <c r="A983" s="78">
        <v>45931</v>
      </c>
      <c r="B983" t="s" s="79">
        <v>53</v>
      </c>
      <c r="C983" t="s" s="80">
        <v>822</v>
      </c>
      <c r="D983" s="131">
        <v>30</v>
      </c>
      <c r="E983" t="s" s="79">
        <v>38</v>
      </c>
      <c r="F983" t="s" s="80">
        <v>493</v>
      </c>
      <c r="G983" s="132">
        <v>66</v>
      </c>
      <c r="H983" t="s" s="133">
        <v>129</v>
      </c>
      <c r="I983" t="s" s="134">
        <v>129</v>
      </c>
      <c r="J983" t="s" s="134">
        <v>97</v>
      </c>
      <c r="K983" t="str" s="135" cm="1">
        <f t="array" ref="K983">IF(OR(H983="ריביות",AND(H983="דירה כצנלסון",G983&lt;0,ISNUMBER(SEARCH("הכנסה",F983)))),"הכנסה שסווגה מחדש",J983)</f>
        <v>שוטף</v>
      </c>
      <c r="L983" t="s" s="134">
        <v>741</v>
      </c>
      <c r="M983" s="136" cm="1">
        <f t="array" ref="M983">IF(L983="מאושר",IF(K983="הכנסה שסווגה מחדש",0,G983),0)</f>
        <v>66</v>
      </c>
      <c r="N983" s="136" cm="1">
        <f t="array" ref="N983">IF(K983="שוטף",M983,0)</f>
        <v>66</v>
      </c>
      <c r="O983" s="136" cm="1">
        <f t="array" ref="O983">IF(K983="הכנסה שסווגה מחדש",-G983,0)</f>
        <v>0</v>
      </c>
      <c r="P983" t="s" s="80">
        <v>770</v>
      </c>
      <c r="Q983" s="100"/>
      <c r="R983" t="s" s="137">
        <v>743</v>
      </c>
      <c r="S983" s="77"/>
    </row>
    <row r="984" ht="13.65" customHeight="1">
      <c r="A984" s="84">
        <v>45931</v>
      </c>
      <c r="B984" t="s" s="85">
        <v>53</v>
      </c>
      <c r="C984" t="s" s="86">
        <v>822</v>
      </c>
      <c r="D984" s="138">
        <v>31</v>
      </c>
      <c r="E984" t="s" s="85">
        <v>764</v>
      </c>
      <c r="F984" t="s" s="86">
        <v>334</v>
      </c>
      <c r="G984" s="139">
        <v>26</v>
      </c>
      <c r="H984" t="s" s="140">
        <v>109</v>
      </c>
      <c r="I984" t="s" s="141">
        <v>109</v>
      </c>
      <c r="J984" t="s" s="141">
        <v>97</v>
      </c>
      <c r="K984" t="str" s="142" cm="1">
        <f t="array" ref="K984">IF(OR(H984="ריביות",AND(H984="דירה כצנלסון",G984&lt;0,ISNUMBER(SEARCH("הכנסה",F984)))),"הכנסה שסווגה מחדש",J984)</f>
        <v>שוטף</v>
      </c>
      <c r="L984" t="s" s="141">
        <v>741</v>
      </c>
      <c r="M984" s="143" cm="1">
        <f t="array" ref="M984">IF(L984="מאושר",IF(K984="הכנסה שסווגה מחדש",0,G984),0)</f>
        <v>26</v>
      </c>
      <c r="N984" s="143" cm="1">
        <f t="array" ref="N984">IF(K984="שוטף",M984,0)</f>
        <v>26</v>
      </c>
      <c r="O984" s="143" cm="1">
        <f t="array" ref="O984">IF(K984="הכנסה שסווגה מחדש",-G984,0)</f>
        <v>0</v>
      </c>
      <c r="P984" t="s" s="86">
        <v>770</v>
      </c>
      <c r="Q984" s="99"/>
      <c r="R984" t="s" s="144">
        <v>743</v>
      </c>
      <c r="S984" s="77"/>
    </row>
    <row r="985" ht="13.65" customHeight="1">
      <c r="A985" s="78">
        <v>45931</v>
      </c>
      <c r="B985" t="s" s="79">
        <v>53</v>
      </c>
      <c r="C985" t="s" s="80">
        <v>822</v>
      </c>
      <c r="D985" s="131">
        <v>32</v>
      </c>
      <c r="E985" t="s" s="79">
        <v>775</v>
      </c>
      <c r="F985" t="s" s="80">
        <v>223</v>
      </c>
      <c r="G985" s="132">
        <v>199</v>
      </c>
      <c r="H985" t="s" s="133">
        <v>123</v>
      </c>
      <c r="I985" t="s" s="134">
        <v>123</v>
      </c>
      <c r="J985" t="s" s="134">
        <v>97</v>
      </c>
      <c r="K985" t="str" s="135" cm="1">
        <f t="array" ref="K985">IF(OR(H985="ריביות",AND(H985="דירה כצנלסון",G985&lt;0,ISNUMBER(SEARCH("הכנסה",F985)))),"הכנסה שסווגה מחדש",J985)</f>
        <v>שוטף</v>
      </c>
      <c r="L985" t="s" s="134">
        <v>741</v>
      </c>
      <c r="M985" s="136" cm="1">
        <f t="array" ref="M985">IF(L985="מאושר",IF(K985="הכנסה שסווגה מחדש",0,G985),0)</f>
        <v>199</v>
      </c>
      <c r="N985" s="136" cm="1">
        <f t="array" ref="N985">IF(K985="שוטף",M985,0)</f>
        <v>199</v>
      </c>
      <c r="O985" s="136" cm="1">
        <f t="array" ref="O985">IF(K985="הכנסה שסווגה מחדש",-G985,0)</f>
        <v>0</v>
      </c>
      <c r="P985" t="s" s="80">
        <v>770</v>
      </c>
      <c r="Q985" s="100"/>
      <c r="R985" t="s" s="137">
        <v>743</v>
      </c>
      <c r="S985" s="77"/>
    </row>
    <row r="986" ht="13.65" customHeight="1">
      <c r="A986" s="84">
        <v>45931</v>
      </c>
      <c r="B986" t="s" s="85">
        <v>53</v>
      </c>
      <c r="C986" t="s" s="86">
        <v>822</v>
      </c>
      <c r="D986" s="138">
        <v>33</v>
      </c>
      <c r="E986" t="s" s="85">
        <v>756</v>
      </c>
      <c r="F986" t="s" s="86">
        <v>200</v>
      </c>
      <c r="G986" s="139">
        <v>58</v>
      </c>
      <c r="H986" t="s" s="140">
        <v>109</v>
      </c>
      <c r="I986" t="s" s="141">
        <v>109</v>
      </c>
      <c r="J986" t="s" s="141">
        <v>97</v>
      </c>
      <c r="K986" t="str" s="142" cm="1">
        <f t="array" ref="K986">IF(OR(H986="ריביות",AND(H986="דירה כצנלסון",G986&lt;0,ISNUMBER(SEARCH("הכנסה",F986)))),"הכנסה שסווגה מחדש",J986)</f>
        <v>שוטף</v>
      </c>
      <c r="L986" t="s" s="141">
        <v>741</v>
      </c>
      <c r="M986" s="143" cm="1">
        <f t="array" ref="M986">IF(L986="מאושר",IF(K986="הכנסה שסווגה מחדש",0,G986),0)</f>
        <v>58</v>
      </c>
      <c r="N986" s="143" cm="1">
        <f t="array" ref="N986">IF(K986="שוטף",M986,0)</f>
        <v>58</v>
      </c>
      <c r="O986" s="143" cm="1">
        <f t="array" ref="O986">IF(K986="הכנסה שסווגה מחדש",-G986,0)</f>
        <v>0</v>
      </c>
      <c r="P986" t="s" s="86">
        <v>770</v>
      </c>
      <c r="Q986" s="99"/>
      <c r="R986" t="s" s="144">
        <v>743</v>
      </c>
      <c r="S986" s="77"/>
    </row>
    <row r="987" ht="13.65" customHeight="1">
      <c r="A987" s="78">
        <v>45931</v>
      </c>
      <c r="B987" t="s" s="79">
        <v>53</v>
      </c>
      <c r="C987" t="s" s="80">
        <v>822</v>
      </c>
      <c r="D987" s="131">
        <v>34</v>
      </c>
      <c r="E987" t="s" s="79">
        <v>777</v>
      </c>
      <c r="F987" t="s" s="80">
        <v>334</v>
      </c>
      <c r="G987" s="132">
        <v>13</v>
      </c>
      <c r="H987" t="s" s="133">
        <v>109</v>
      </c>
      <c r="I987" t="s" s="134">
        <v>109</v>
      </c>
      <c r="J987" t="s" s="134">
        <v>97</v>
      </c>
      <c r="K987" t="str" s="135" cm="1">
        <f t="array" ref="K987">IF(OR(H987="ריביות",AND(H987="דירה כצנלסון",G987&lt;0,ISNUMBER(SEARCH("הכנסה",F987)))),"הכנסה שסווגה מחדש",J987)</f>
        <v>שוטף</v>
      </c>
      <c r="L987" t="s" s="134">
        <v>741</v>
      </c>
      <c r="M987" s="136" cm="1">
        <f t="array" ref="M987">IF(L987="מאושר",IF(K987="הכנסה שסווגה מחדש",0,G987),0)</f>
        <v>13</v>
      </c>
      <c r="N987" s="136" cm="1">
        <f t="array" ref="N987">IF(K987="שוטף",M987,0)</f>
        <v>13</v>
      </c>
      <c r="O987" s="136" cm="1">
        <f t="array" ref="O987">IF(K987="הכנסה שסווגה מחדש",-G987,0)</f>
        <v>0</v>
      </c>
      <c r="P987" t="s" s="80">
        <v>770</v>
      </c>
      <c r="Q987" s="100"/>
      <c r="R987" t="s" s="137">
        <v>743</v>
      </c>
      <c r="S987" s="77"/>
    </row>
    <row r="988" ht="13.65" customHeight="1">
      <c r="A988" s="84">
        <v>45931</v>
      </c>
      <c r="B988" t="s" s="85">
        <v>53</v>
      </c>
      <c r="C988" t="s" s="86">
        <v>822</v>
      </c>
      <c r="D988" s="138">
        <v>35</v>
      </c>
      <c r="E988" t="s" s="85">
        <v>777</v>
      </c>
      <c r="F988" t="s" s="86">
        <v>200</v>
      </c>
      <c r="G988" s="139">
        <v>109</v>
      </c>
      <c r="H988" t="s" s="140">
        <v>109</v>
      </c>
      <c r="I988" t="s" s="141">
        <v>109</v>
      </c>
      <c r="J988" t="s" s="141">
        <v>97</v>
      </c>
      <c r="K988" t="str" s="142" cm="1">
        <f t="array" ref="K988">IF(OR(H988="ריביות",AND(H988="דירה כצנלסון",G988&lt;0,ISNUMBER(SEARCH("הכנסה",F988)))),"הכנסה שסווגה מחדש",J988)</f>
        <v>שוטף</v>
      </c>
      <c r="L988" t="s" s="141">
        <v>741</v>
      </c>
      <c r="M988" s="143" cm="1">
        <f t="array" ref="M988">IF(L988="מאושר",IF(K988="הכנסה שסווגה מחדש",0,G988),0)</f>
        <v>109</v>
      </c>
      <c r="N988" s="143" cm="1">
        <f t="array" ref="N988">IF(K988="שוטף",M988,0)</f>
        <v>109</v>
      </c>
      <c r="O988" s="143" cm="1">
        <f t="array" ref="O988">IF(K988="הכנסה שסווגה מחדש",-G988,0)</f>
        <v>0</v>
      </c>
      <c r="P988" t="s" s="86">
        <v>770</v>
      </c>
      <c r="Q988" s="99"/>
      <c r="R988" t="s" s="144">
        <v>743</v>
      </c>
      <c r="S988" s="77"/>
    </row>
    <row r="989" ht="13.65" customHeight="1">
      <c r="A989" s="78">
        <v>45931</v>
      </c>
      <c r="B989" t="s" s="79">
        <v>53</v>
      </c>
      <c r="C989" t="s" s="80">
        <v>822</v>
      </c>
      <c r="D989" s="131">
        <v>36</v>
      </c>
      <c r="E989" s="100"/>
      <c r="F989" t="s" s="80">
        <v>201</v>
      </c>
      <c r="G989" s="132">
        <v>8304</v>
      </c>
      <c r="H989" t="s" s="133">
        <v>210</v>
      </c>
      <c r="I989" t="s" s="134">
        <v>102</v>
      </c>
      <c r="J989" t="s" s="134">
        <v>103</v>
      </c>
      <c r="K989" t="str" s="135" cm="1">
        <f t="array" ref="K989">IF(OR(H989="ריביות",AND(H989="דירה כצנלסון",G989&lt;0,ISNUMBER(SEARCH("הכנסה",F989)))),"הכנסה שסווגה מחדש",J989)</f>
        <v>חריג</v>
      </c>
      <c r="L989" t="s" s="134">
        <v>741</v>
      </c>
      <c r="M989" s="136" cm="1">
        <f t="array" ref="M989">IF(L989="מאושר",IF(K989="הכנסה שסווגה מחדש",0,G989),0)</f>
        <v>8304</v>
      </c>
      <c r="N989" s="136" cm="1">
        <f t="array" ref="N989">IF(K989="שוטף",M989,0)</f>
        <v>0</v>
      </c>
      <c r="O989" s="136" cm="1">
        <f t="array" ref="O989">IF(K989="הכנסה שסווגה מחדש",-G989,0)</f>
        <v>0</v>
      </c>
      <c r="P989" t="s" s="80">
        <v>770</v>
      </c>
      <c r="Q989" s="100"/>
      <c r="R989" t="s" s="137">
        <v>743</v>
      </c>
      <c r="S989" s="77"/>
    </row>
    <row r="990" ht="13.65" customHeight="1">
      <c r="A990" s="84">
        <v>45931</v>
      </c>
      <c r="B990" t="s" s="85">
        <v>53</v>
      </c>
      <c r="C990" t="s" s="86">
        <v>822</v>
      </c>
      <c r="D990" s="138">
        <v>37</v>
      </c>
      <c r="E990" s="99"/>
      <c r="F990" t="s" s="86">
        <v>220</v>
      </c>
      <c r="G990" s="139">
        <v>1251</v>
      </c>
      <c r="H990" t="s" s="140">
        <v>123</v>
      </c>
      <c r="I990" t="s" s="141">
        <v>123</v>
      </c>
      <c r="J990" t="s" s="141">
        <v>97</v>
      </c>
      <c r="K990" t="str" s="142" cm="1">
        <f t="array" ref="K990">IF(OR(H990="ריביות",AND(H990="דירה כצנלסון",G990&lt;0,ISNUMBER(SEARCH("הכנסה",F990)))),"הכנסה שסווגה מחדש",J990)</f>
        <v>שוטף</v>
      </c>
      <c r="L990" t="s" s="141">
        <v>741</v>
      </c>
      <c r="M990" s="143" cm="1">
        <f t="array" ref="M990">IF(L990="מאושר",IF(K990="הכנסה שסווגה מחדש",0,G990),0)</f>
        <v>1251</v>
      </c>
      <c r="N990" s="143" cm="1">
        <f t="array" ref="N990">IF(K990="שוטף",M990,0)</f>
        <v>1251</v>
      </c>
      <c r="O990" s="143" cm="1">
        <f t="array" ref="O990">IF(K990="הכנסה שסווגה מחדש",-G990,0)</f>
        <v>0</v>
      </c>
      <c r="P990" t="s" s="86">
        <v>770</v>
      </c>
      <c r="Q990" s="99"/>
      <c r="R990" t="s" s="144">
        <v>743</v>
      </c>
      <c r="S990" s="77"/>
    </row>
    <row r="991" ht="13.65" customHeight="1">
      <c r="A991" s="78">
        <v>45931</v>
      </c>
      <c r="B991" t="s" s="79">
        <v>53</v>
      </c>
      <c r="C991" t="s" s="80">
        <v>822</v>
      </c>
      <c r="D991" s="131">
        <v>39</v>
      </c>
      <c r="E991" t="s" s="79">
        <v>764</v>
      </c>
      <c r="F991" t="s" s="80">
        <v>250</v>
      </c>
      <c r="G991" s="132">
        <v>120</v>
      </c>
      <c r="H991" t="s" s="133">
        <v>127</v>
      </c>
      <c r="I991" t="s" s="134">
        <v>127</v>
      </c>
      <c r="J991" t="s" s="134">
        <v>97</v>
      </c>
      <c r="K991" t="str" s="135" cm="1">
        <f t="array" ref="K991">IF(OR(H991="ריביות",AND(H991="דירה כצנלסון",G991&lt;0,ISNUMBER(SEARCH("הכנסה",F991)))),"הכנסה שסווגה מחדש",J991)</f>
        <v>שוטף</v>
      </c>
      <c r="L991" t="s" s="134">
        <v>741</v>
      </c>
      <c r="M991" s="136" cm="1">
        <f t="array" ref="M991">IF(L991="מאושר",IF(K991="הכנסה שסווגה מחדש",0,G991),0)</f>
        <v>120</v>
      </c>
      <c r="N991" s="136" cm="1">
        <f t="array" ref="N991">IF(K991="שוטף",M991,0)</f>
        <v>120</v>
      </c>
      <c r="O991" s="136" cm="1">
        <f t="array" ref="O991">IF(K991="הכנסה שסווגה מחדש",-G991,0)</f>
        <v>0</v>
      </c>
      <c r="P991" t="s" s="80">
        <v>783</v>
      </c>
      <c r="Q991" s="100"/>
      <c r="R991" t="s" s="137">
        <v>743</v>
      </c>
      <c r="S991" s="77"/>
    </row>
    <row r="992" ht="13.65" customHeight="1">
      <c r="A992" s="84">
        <v>45931</v>
      </c>
      <c r="B992" t="s" s="85">
        <v>53</v>
      </c>
      <c r="C992" t="s" s="86">
        <v>822</v>
      </c>
      <c r="D992" s="138">
        <v>41</v>
      </c>
      <c r="E992" t="s" s="85">
        <v>775</v>
      </c>
      <c r="F992" t="s" s="86">
        <v>200</v>
      </c>
      <c r="G992" s="139">
        <v>52</v>
      </c>
      <c r="H992" t="s" s="140">
        <v>113</v>
      </c>
      <c r="I992" t="s" s="141">
        <v>113</v>
      </c>
      <c r="J992" t="s" s="141">
        <v>97</v>
      </c>
      <c r="K992" t="str" s="142" cm="1">
        <f t="array" ref="K992">IF(OR(H992="ריביות",AND(H992="דירה כצנלסון",G992&lt;0,ISNUMBER(SEARCH("הכנסה",F992)))),"הכנסה שסווגה מחדש",J992)</f>
        <v>שוטף</v>
      </c>
      <c r="L992" t="s" s="141">
        <v>741</v>
      </c>
      <c r="M992" s="143" cm="1">
        <f t="array" ref="M992">IF(L992="מאושר",IF(K992="הכנסה שסווגה מחדש",0,G992),0)</f>
        <v>52</v>
      </c>
      <c r="N992" s="143" cm="1">
        <f t="array" ref="N992">IF(K992="שוטף",M992,0)</f>
        <v>52</v>
      </c>
      <c r="O992" s="143" cm="1">
        <f t="array" ref="O992">IF(K992="הכנסה שסווגה מחדש",-G992,0)</f>
        <v>0</v>
      </c>
      <c r="P992" t="s" s="86">
        <v>821</v>
      </c>
      <c r="Q992" s="99"/>
      <c r="R992" t="s" s="144">
        <v>743</v>
      </c>
      <c r="S992" s="77"/>
    </row>
    <row r="993" ht="13.65" customHeight="1">
      <c r="A993" s="78">
        <v>45931</v>
      </c>
      <c r="B993" t="s" s="79">
        <v>53</v>
      </c>
      <c r="C993" t="s" s="80">
        <v>822</v>
      </c>
      <c r="D993" s="131">
        <v>42</v>
      </c>
      <c r="E993" s="100"/>
      <c r="F993" t="s" s="80">
        <v>201</v>
      </c>
      <c r="G993" s="132">
        <v>8969</v>
      </c>
      <c r="H993" t="s" s="133">
        <v>210</v>
      </c>
      <c r="I993" t="s" s="134">
        <v>102</v>
      </c>
      <c r="J993" t="s" s="134">
        <v>103</v>
      </c>
      <c r="K993" t="str" s="135" cm="1">
        <f t="array" ref="K993">IF(OR(H993="ריביות",AND(H993="דירה כצנלסון",G993&lt;0,ISNUMBER(SEARCH("הכנסה",F993)))),"הכנסה שסווגה מחדש",J993)</f>
        <v>חריג</v>
      </c>
      <c r="L993" t="s" s="134">
        <v>741</v>
      </c>
      <c r="M993" s="136" cm="1">
        <f t="array" ref="M993">IF(L993="מאושר",IF(K993="הכנסה שסווגה מחדש",0,G993),0)</f>
        <v>8969</v>
      </c>
      <c r="N993" s="136" cm="1">
        <f t="array" ref="N993">IF(K993="שוטף",M993,0)</f>
        <v>0</v>
      </c>
      <c r="O993" s="136" cm="1">
        <f t="array" ref="O993">IF(K993="הכנסה שסווגה מחדש",-G993,0)</f>
        <v>0</v>
      </c>
      <c r="P993" t="s" s="80">
        <v>821</v>
      </c>
      <c r="Q993" s="100"/>
      <c r="R993" t="s" s="137">
        <v>743</v>
      </c>
      <c r="S993" s="77"/>
    </row>
    <row r="994" ht="13.65" customHeight="1">
      <c r="A994" s="84">
        <v>45931</v>
      </c>
      <c r="B994" t="s" s="85">
        <v>53</v>
      </c>
      <c r="C994" t="s" s="86">
        <v>822</v>
      </c>
      <c r="D994" s="138">
        <v>43</v>
      </c>
      <c r="E994" s="99"/>
      <c r="F994" t="s" s="86">
        <v>220</v>
      </c>
      <c r="G994" s="139">
        <v>716</v>
      </c>
      <c r="H994" t="s" s="140">
        <v>117</v>
      </c>
      <c r="I994" t="s" s="141">
        <v>117</v>
      </c>
      <c r="J994" t="s" s="141">
        <v>97</v>
      </c>
      <c r="K994" t="str" s="142" cm="1">
        <f t="array" ref="K994">IF(OR(H994="ריביות",AND(H994="דירה כצנלסון",G994&lt;0,ISNUMBER(SEARCH("הכנסה",F994)))),"הכנסה שסווגה מחדש",J994)</f>
        <v>שוטף</v>
      </c>
      <c r="L994" t="s" s="141">
        <v>741</v>
      </c>
      <c r="M994" s="143" cm="1">
        <f t="array" ref="M994">IF(L994="מאושר",IF(K994="הכנסה שסווגה מחדש",0,G994),0)</f>
        <v>716</v>
      </c>
      <c r="N994" s="143" cm="1">
        <f t="array" ref="N994">IF(K994="שוטף",M994,0)</f>
        <v>716</v>
      </c>
      <c r="O994" s="143" cm="1">
        <f t="array" ref="O994">IF(K994="הכנסה שסווגה מחדש",-G994,0)</f>
        <v>0</v>
      </c>
      <c r="P994" t="s" s="86">
        <v>821</v>
      </c>
      <c r="Q994" s="99"/>
      <c r="R994" t="s" s="144">
        <v>743</v>
      </c>
      <c r="S994" s="77"/>
    </row>
    <row r="995" ht="13.65" customHeight="1">
      <c r="A995" s="78">
        <v>45931</v>
      </c>
      <c r="B995" t="s" s="79">
        <v>53</v>
      </c>
      <c r="C995" t="s" s="80">
        <v>822</v>
      </c>
      <c r="D995" s="131">
        <v>45</v>
      </c>
      <c r="E995" t="s" s="79">
        <v>775</v>
      </c>
      <c r="F995" t="s" s="80">
        <v>308</v>
      </c>
      <c r="G995" s="132">
        <v>60</v>
      </c>
      <c r="H995" t="s" s="133">
        <v>113</v>
      </c>
      <c r="I995" t="s" s="134">
        <v>113</v>
      </c>
      <c r="J995" t="s" s="134">
        <v>97</v>
      </c>
      <c r="K995" t="str" s="135" cm="1">
        <f t="array" ref="K995">IF(OR(H995="ריביות",AND(H995="דירה כצנלסון",G995&lt;0,ISNUMBER(SEARCH("הכנסה",F995)))),"הכנסה שסווגה מחדש",J995)</f>
        <v>שוטף</v>
      </c>
      <c r="L995" t="s" s="134">
        <v>741</v>
      </c>
      <c r="M995" s="136" cm="1">
        <f t="array" ref="M995">IF(L995="מאושר",IF(K995="הכנסה שסווגה מחדש",0,G995),0)</f>
        <v>60</v>
      </c>
      <c r="N995" s="136" cm="1">
        <f t="array" ref="N995">IF(K995="שוטף",M995,0)</f>
        <v>60</v>
      </c>
      <c r="O995" s="136" cm="1">
        <f t="array" ref="O995">IF(K995="הכנסה שסווגה מחדש",-G995,0)</f>
        <v>0</v>
      </c>
      <c r="P995" t="s" s="80">
        <v>762</v>
      </c>
      <c r="Q995" s="100"/>
      <c r="R995" t="s" s="137">
        <v>743</v>
      </c>
      <c r="S995" s="77"/>
    </row>
    <row r="996" ht="13.65" customHeight="1">
      <c r="A996" s="84">
        <v>45931</v>
      </c>
      <c r="B996" t="s" s="85">
        <v>53</v>
      </c>
      <c r="C996" t="s" s="86">
        <v>822</v>
      </c>
      <c r="D996" s="138">
        <v>46</v>
      </c>
      <c r="E996" t="s" s="85">
        <v>775</v>
      </c>
      <c r="F996" t="s" s="86">
        <v>349</v>
      </c>
      <c r="G996" s="139">
        <v>30</v>
      </c>
      <c r="H996" t="s" s="140">
        <v>113</v>
      </c>
      <c r="I996" t="s" s="141">
        <v>113</v>
      </c>
      <c r="J996" t="s" s="141">
        <v>97</v>
      </c>
      <c r="K996" t="str" s="142" cm="1">
        <f t="array" ref="K996">IF(OR(H996="ריביות",AND(H996="דירה כצנלסון",G996&lt;0,ISNUMBER(SEARCH("הכנסה",F996)))),"הכנסה שסווגה מחדש",J996)</f>
        <v>שוטף</v>
      </c>
      <c r="L996" t="s" s="141">
        <v>741</v>
      </c>
      <c r="M996" s="143" cm="1">
        <f t="array" ref="M996">IF(L996="מאושר",IF(K996="הכנסה שסווגה מחדש",0,G996),0)</f>
        <v>30</v>
      </c>
      <c r="N996" s="143" cm="1">
        <f t="array" ref="N996">IF(K996="שוטף",M996,0)</f>
        <v>30</v>
      </c>
      <c r="O996" s="143" cm="1">
        <f t="array" ref="O996">IF(K996="הכנסה שסווגה מחדש",-G996,0)</f>
        <v>0</v>
      </c>
      <c r="P996" t="s" s="86">
        <v>762</v>
      </c>
      <c r="Q996" s="99"/>
      <c r="R996" t="s" s="144">
        <v>743</v>
      </c>
      <c r="S996" s="77"/>
    </row>
    <row r="997" ht="13.65" customHeight="1">
      <c r="A997" s="78">
        <v>45931</v>
      </c>
      <c r="B997" t="s" s="79">
        <v>53</v>
      </c>
      <c r="C997" t="s" s="80">
        <v>822</v>
      </c>
      <c r="D997" s="131">
        <v>47</v>
      </c>
      <c r="E997" t="s" s="79">
        <v>775</v>
      </c>
      <c r="F997" t="s" s="80">
        <v>331</v>
      </c>
      <c r="G997" s="132">
        <v>168</v>
      </c>
      <c r="H997" t="s" s="133">
        <v>109</v>
      </c>
      <c r="I997" t="s" s="134">
        <v>109</v>
      </c>
      <c r="J997" t="s" s="134">
        <v>97</v>
      </c>
      <c r="K997" t="str" s="135" cm="1">
        <f t="array" ref="K997">IF(OR(H997="ריביות",AND(H997="דירה כצנלסון",G997&lt;0,ISNUMBER(SEARCH("הכנסה",F997)))),"הכנסה שסווגה מחדש",J997)</f>
        <v>שוטף</v>
      </c>
      <c r="L997" t="s" s="134">
        <v>741</v>
      </c>
      <c r="M997" s="136" cm="1">
        <f t="array" ref="M997">IF(L997="מאושר",IF(K997="הכנסה שסווגה מחדש",0,G997),0)</f>
        <v>168</v>
      </c>
      <c r="N997" s="136" cm="1">
        <f t="array" ref="N997">IF(K997="שוטף",M997,0)</f>
        <v>168</v>
      </c>
      <c r="O997" s="136" cm="1">
        <f t="array" ref="O997">IF(K997="הכנסה שסווגה מחדש",-G997,0)</f>
        <v>0</v>
      </c>
      <c r="P997" t="s" s="80">
        <v>762</v>
      </c>
      <c r="Q997" s="100"/>
      <c r="R997" t="s" s="137">
        <v>743</v>
      </c>
      <c r="S997" s="77"/>
    </row>
    <row r="998" ht="13.65" customHeight="1">
      <c r="A998" s="84">
        <v>45931</v>
      </c>
      <c r="B998" t="s" s="85">
        <v>53</v>
      </c>
      <c r="C998" t="s" s="86">
        <v>822</v>
      </c>
      <c r="D998" s="138">
        <v>48</v>
      </c>
      <c r="E998" t="s" s="85">
        <v>776</v>
      </c>
      <c r="F998" t="s" s="86">
        <v>254</v>
      </c>
      <c r="G998" s="139">
        <v>26</v>
      </c>
      <c r="H998" t="s" s="140">
        <v>109</v>
      </c>
      <c r="I998" t="s" s="141">
        <v>109</v>
      </c>
      <c r="J998" t="s" s="141">
        <v>97</v>
      </c>
      <c r="K998" t="str" s="142" cm="1">
        <f t="array" ref="K998">IF(OR(H998="ריביות",AND(H998="דירה כצנלסון",G998&lt;0,ISNUMBER(SEARCH("הכנסה",F998)))),"הכנסה שסווגה מחדש",J998)</f>
        <v>שוטף</v>
      </c>
      <c r="L998" t="s" s="141">
        <v>741</v>
      </c>
      <c r="M998" s="143" cm="1">
        <f t="array" ref="M998">IF(L998="מאושר",IF(K998="הכנסה שסווגה מחדש",0,G998),0)</f>
        <v>26</v>
      </c>
      <c r="N998" s="143" cm="1">
        <f t="array" ref="N998">IF(K998="שוטף",M998,0)</f>
        <v>26</v>
      </c>
      <c r="O998" s="143" cm="1">
        <f t="array" ref="O998">IF(K998="הכנסה שסווגה מחדש",-G998,0)</f>
        <v>0</v>
      </c>
      <c r="P998" t="s" s="86">
        <v>762</v>
      </c>
      <c r="Q998" s="99"/>
      <c r="R998" t="s" s="144">
        <v>743</v>
      </c>
      <c r="S998" s="77"/>
    </row>
    <row r="999" ht="13.65" customHeight="1">
      <c r="A999" s="78">
        <v>45931</v>
      </c>
      <c r="B999" t="s" s="79">
        <v>53</v>
      </c>
      <c r="C999" t="s" s="80">
        <v>822</v>
      </c>
      <c r="D999" s="131">
        <v>49</v>
      </c>
      <c r="E999" t="s" s="79">
        <v>776</v>
      </c>
      <c r="F999" t="s" s="80">
        <v>200</v>
      </c>
      <c r="G999" s="132">
        <v>33</v>
      </c>
      <c r="H999" t="s" s="133">
        <v>109</v>
      </c>
      <c r="I999" t="s" s="134">
        <v>109</v>
      </c>
      <c r="J999" t="s" s="134">
        <v>97</v>
      </c>
      <c r="K999" t="str" s="135" cm="1">
        <f t="array" ref="K999">IF(OR(H999="ריביות",AND(H999="דירה כצנלסון",G999&lt;0,ISNUMBER(SEARCH("הכנסה",F999)))),"הכנסה שסווגה מחדש",J999)</f>
        <v>שוטף</v>
      </c>
      <c r="L999" t="s" s="134">
        <v>741</v>
      </c>
      <c r="M999" s="136" cm="1">
        <f t="array" ref="M999">IF(L999="מאושר",IF(K999="הכנסה שסווגה מחדש",0,G999),0)</f>
        <v>33</v>
      </c>
      <c r="N999" s="136" cm="1">
        <f t="array" ref="N999">IF(K999="שוטף",M999,0)</f>
        <v>33</v>
      </c>
      <c r="O999" s="136" cm="1">
        <f t="array" ref="O999">IF(K999="הכנסה שסווגה מחדש",-G999,0)</f>
        <v>0</v>
      </c>
      <c r="P999" t="s" s="80">
        <v>762</v>
      </c>
      <c r="Q999" s="100"/>
      <c r="R999" t="s" s="137">
        <v>743</v>
      </c>
      <c r="S999" s="77"/>
    </row>
    <row r="1000" ht="13.65" customHeight="1">
      <c r="A1000" s="84">
        <v>45931</v>
      </c>
      <c r="B1000" t="s" s="85">
        <v>53</v>
      </c>
      <c r="C1000" t="s" s="86">
        <v>822</v>
      </c>
      <c r="D1000" s="138">
        <v>51</v>
      </c>
      <c r="E1000" s="99"/>
      <c r="F1000" t="s" s="86">
        <v>201</v>
      </c>
      <c r="G1000" s="139">
        <v>580</v>
      </c>
      <c r="H1000" t="s" s="140">
        <v>210</v>
      </c>
      <c r="I1000" t="s" s="141">
        <v>102</v>
      </c>
      <c r="J1000" t="s" s="141">
        <v>103</v>
      </c>
      <c r="K1000" t="str" s="142" cm="1">
        <f t="array" ref="K1000">IF(OR(H1000="ריביות",AND(H1000="דירה כצנלסון",G1000&lt;0,ISNUMBER(SEARCH("הכנסה",F1000)))),"הכנסה שסווגה מחדש",J1000)</f>
        <v>חריג</v>
      </c>
      <c r="L1000" t="s" s="141">
        <v>741</v>
      </c>
      <c r="M1000" s="143" cm="1">
        <f t="array" ref="M1000">IF(L1000="מאושר",IF(K1000="הכנסה שסווגה מחדש",0,G1000),0)</f>
        <v>580</v>
      </c>
      <c r="N1000" s="143" cm="1">
        <f t="array" ref="N1000">IF(K1000="שוטף",M1000,0)</f>
        <v>0</v>
      </c>
      <c r="O1000" s="143" cm="1">
        <f t="array" ref="O1000">IF(K1000="הכנסה שסווגה מחדש",-G1000,0)</f>
        <v>0</v>
      </c>
      <c r="P1000" t="s" s="86">
        <v>807</v>
      </c>
      <c r="Q1000" s="99"/>
      <c r="R1000" t="s" s="144">
        <v>743</v>
      </c>
      <c r="S1000" s="77"/>
    </row>
    <row r="1001" ht="13.65" customHeight="1">
      <c r="A1001" s="78">
        <v>45931</v>
      </c>
      <c r="B1001" t="s" s="79">
        <v>53</v>
      </c>
      <c r="C1001" t="s" s="80">
        <v>822</v>
      </c>
      <c r="D1001" s="131">
        <v>52</v>
      </c>
      <c r="E1001" s="100"/>
      <c r="F1001" t="s" s="80">
        <v>220</v>
      </c>
      <c r="G1001" s="132">
        <v>3235</v>
      </c>
      <c r="H1001" t="s" s="133">
        <v>123</v>
      </c>
      <c r="I1001" t="s" s="134">
        <v>123</v>
      </c>
      <c r="J1001" t="s" s="134">
        <v>97</v>
      </c>
      <c r="K1001" t="str" s="135" cm="1">
        <f t="array" ref="K1001">IF(OR(H1001="ריביות",AND(H1001="דירה כצנלסון",G1001&lt;0,ISNUMBER(SEARCH("הכנסה",F1001)))),"הכנסה שסווגה מחדש",J1001)</f>
        <v>שוטף</v>
      </c>
      <c r="L1001" t="s" s="134">
        <v>741</v>
      </c>
      <c r="M1001" s="136" cm="1">
        <f t="array" ref="M1001">IF(L1001="מאושר",IF(K1001="הכנסה שסווגה מחדש",0,G1001),0)</f>
        <v>3235</v>
      </c>
      <c r="N1001" s="136" cm="1">
        <f t="array" ref="N1001">IF(K1001="שוטף",M1001,0)</f>
        <v>3235</v>
      </c>
      <c r="O1001" s="136" cm="1">
        <f t="array" ref="O1001">IF(K1001="הכנסה שסווגה מחדש",-G1001,0)</f>
        <v>0</v>
      </c>
      <c r="P1001" t="s" s="80">
        <v>807</v>
      </c>
      <c r="Q1001" s="100"/>
      <c r="R1001" t="s" s="137">
        <v>743</v>
      </c>
      <c r="S1001" s="77"/>
    </row>
    <row r="1002" ht="13.65" customHeight="1">
      <c r="A1002" s="84">
        <v>45962</v>
      </c>
      <c r="B1002" t="s" s="85">
        <v>54</v>
      </c>
      <c r="C1002" t="s" s="86">
        <v>825</v>
      </c>
      <c r="D1002" s="138">
        <v>2</v>
      </c>
      <c r="E1002" t="s" s="85">
        <v>772</v>
      </c>
      <c r="F1002" t="s" s="86">
        <v>196</v>
      </c>
      <c r="G1002" s="139">
        <v>8000</v>
      </c>
      <c r="H1002" t="s" s="140">
        <v>763</v>
      </c>
      <c r="I1002" t="s" s="141">
        <v>96</v>
      </c>
      <c r="J1002" t="s" s="141">
        <v>97</v>
      </c>
      <c r="K1002" t="str" s="142" cm="1">
        <f t="array" ref="K1002">IF(OR(H1002="ריביות",AND(H1002="דירה כצנלסון",G1002&lt;0,ISNUMBER(SEARCH("הכנסה",F1002)))),"הכנסה שסווגה מחדש",J1002)</f>
        <v>שוטף</v>
      </c>
      <c r="L1002" t="s" s="141">
        <v>741</v>
      </c>
      <c r="M1002" s="143" cm="1">
        <f t="array" ref="M1002">IF(L1002="מאושר",IF(K1002="הכנסה שסווגה מחדש",0,G1002),0)</f>
        <v>8000</v>
      </c>
      <c r="N1002" s="143" cm="1">
        <f t="array" ref="N1002">IF(K1002="שוטף",M1002,0)</f>
        <v>8000</v>
      </c>
      <c r="O1002" s="143" cm="1">
        <f t="array" ref="O1002">IF(K1002="הכנסה שסווגה מחדש",-G1002,0)</f>
        <v>0</v>
      </c>
      <c r="P1002" t="s" s="86">
        <v>786</v>
      </c>
      <c r="Q1002" s="99"/>
      <c r="R1002" t="s" s="144">
        <v>743</v>
      </c>
      <c r="S1002" s="77"/>
    </row>
    <row r="1003" ht="13.65" customHeight="1">
      <c r="A1003" s="78">
        <v>45962</v>
      </c>
      <c r="B1003" t="s" s="79">
        <v>54</v>
      </c>
      <c r="C1003" t="s" s="80">
        <v>825</v>
      </c>
      <c r="D1003" s="131">
        <v>3</v>
      </c>
      <c r="E1003" t="s" s="79">
        <v>751</v>
      </c>
      <c r="F1003" t="s" s="80">
        <v>197</v>
      </c>
      <c r="G1003" s="132">
        <v>6143</v>
      </c>
      <c r="H1003" t="s" s="133">
        <v>279</v>
      </c>
      <c r="I1003" t="s" s="134">
        <v>99</v>
      </c>
      <c r="J1003" t="s" s="134">
        <v>100</v>
      </c>
      <c r="K1003" t="str" s="135" cm="1">
        <f t="array" ref="K1003">IF(OR(H1003="ריביות",AND(H1003="דירה כצנלסון",G1003&lt;0,ISNUMBER(SEARCH("הכנסה",F1003)))),"הכנסה שסווגה מחדש",J1003)</f>
        <v>חריג/נכס</v>
      </c>
      <c r="L1003" t="s" s="134">
        <v>741</v>
      </c>
      <c r="M1003" s="136" cm="1">
        <f t="array" ref="M1003">IF(L1003="מאושר",IF(K1003="הכנסה שסווגה מחדש",0,G1003),0)</f>
        <v>6143</v>
      </c>
      <c r="N1003" s="136" cm="1">
        <f t="array" ref="N1003">IF(K1003="שוטף",M1003,0)</f>
        <v>0</v>
      </c>
      <c r="O1003" s="136" cm="1">
        <f t="array" ref="O1003">IF(K1003="הכנסה שסווגה מחדש",-G1003,0)</f>
        <v>0</v>
      </c>
      <c r="P1003" t="s" s="80">
        <v>786</v>
      </c>
      <c r="Q1003" s="100"/>
      <c r="R1003" t="s" s="137">
        <v>743</v>
      </c>
      <c r="S1003" s="77"/>
    </row>
    <row r="1004" ht="13.65" customHeight="1">
      <c r="A1004" s="84">
        <v>45962</v>
      </c>
      <c r="B1004" t="s" s="85">
        <v>54</v>
      </c>
      <c r="C1004" t="s" s="86">
        <v>825</v>
      </c>
      <c r="D1004" s="138">
        <v>4</v>
      </c>
      <c r="E1004" t="s" s="85">
        <v>789</v>
      </c>
      <c r="F1004" t="s" s="86">
        <v>740</v>
      </c>
      <c r="G1004" s="139">
        <v>-6500</v>
      </c>
      <c r="H1004" t="s" s="140">
        <v>279</v>
      </c>
      <c r="I1004" t="s" s="141">
        <v>99</v>
      </c>
      <c r="J1004" t="s" s="141">
        <v>100</v>
      </c>
      <c r="K1004" t="str" s="142" cm="1">
        <f t="array" ref="K1004">IF(OR(H1004="ריביות",AND(H1004="דירה כצנלסון",G1004&lt;0,ISNUMBER(SEARCH("הכנסה",F1004)))),"הכנסה שסווגה מחדש",J1004)</f>
        <v>הכנסה שסווגה מחדש</v>
      </c>
      <c r="L1004" t="s" s="141">
        <v>741</v>
      </c>
      <c r="M1004" s="143" cm="1">
        <f t="array" ref="M1004">IF(L1004="מאושר",IF(K1004="הכנסה שסווגה מחדש",0,G1004),0)</f>
        <v>0</v>
      </c>
      <c r="N1004" s="143" cm="1">
        <f t="array" ref="N1004">IF(K1004="שוטף",M1004,0)</f>
        <v>0</v>
      </c>
      <c r="O1004" s="143" cm="1">
        <f t="array" ref="O1004">IF(K1004="הכנסה שסווגה מחדש",-G1004,0)</f>
        <v>6500</v>
      </c>
      <c r="P1004" t="s" s="85">
        <v>742</v>
      </c>
      <c r="Q1004" s="99"/>
      <c r="R1004" t="s" s="144">
        <v>743</v>
      </c>
      <c r="S1004" s="77"/>
    </row>
    <row r="1005" ht="13.65" customHeight="1">
      <c r="A1005" s="78">
        <v>45962</v>
      </c>
      <c r="B1005" t="s" s="79">
        <v>54</v>
      </c>
      <c r="C1005" t="s" s="80">
        <v>825</v>
      </c>
      <c r="D1005" s="131">
        <v>5</v>
      </c>
      <c r="E1005" t="s" s="79">
        <v>764</v>
      </c>
      <c r="F1005" t="s" s="80">
        <v>212</v>
      </c>
      <c r="G1005" s="132">
        <v>0</v>
      </c>
      <c r="H1005" t="s" s="133">
        <v>757</v>
      </c>
      <c r="I1005" t="s" s="134">
        <v>96</v>
      </c>
      <c r="J1005" t="s" s="134">
        <v>97</v>
      </c>
      <c r="K1005" t="str" s="135" cm="1">
        <f t="array" ref="K1005">IF(OR(H1005="ריביות",AND(H1005="דירה כצנלסון",G1005&lt;0,ISNUMBER(SEARCH("הכנסה",F1005)))),"הכנסה שסווגה מחדש",J1005)</f>
        <v>שוטף</v>
      </c>
      <c r="L1005" t="s" s="134">
        <v>741</v>
      </c>
      <c r="M1005" s="136" cm="1">
        <f t="array" ref="M1005">IF(L1005="מאושר",IF(K1005="הכנסה שסווגה מחדש",0,G1005),0)</f>
        <v>0</v>
      </c>
      <c r="N1005" s="136" cm="1">
        <f t="array" ref="N1005">IF(K1005="שוטף",M1005,0)</f>
        <v>0</v>
      </c>
      <c r="O1005" s="136" cm="1">
        <f t="array" ref="O1005">IF(K1005="הכנסה שסווגה מחדש",-G1005,0)</f>
        <v>0</v>
      </c>
      <c r="P1005" s="100"/>
      <c r="Q1005" s="100"/>
      <c r="R1005" t="s" s="137">
        <v>743</v>
      </c>
      <c r="S1005" s="77"/>
    </row>
    <row r="1006" ht="13.65" customHeight="1">
      <c r="A1006" s="84">
        <v>45962</v>
      </c>
      <c r="B1006" t="s" s="85">
        <v>54</v>
      </c>
      <c r="C1006" t="s" s="86">
        <v>825</v>
      </c>
      <c r="D1006" s="138">
        <v>6</v>
      </c>
      <c r="E1006" t="s" s="85">
        <v>769</v>
      </c>
      <c r="F1006" t="s" s="86">
        <v>221</v>
      </c>
      <c r="G1006" s="139">
        <v>320</v>
      </c>
      <c r="H1006" t="s" s="140">
        <v>757</v>
      </c>
      <c r="I1006" t="s" s="141">
        <v>96</v>
      </c>
      <c r="J1006" t="s" s="141">
        <v>97</v>
      </c>
      <c r="K1006" t="str" s="142" cm="1">
        <f t="array" ref="K1006">IF(OR(H1006="ריביות",AND(H1006="דירה כצנלסון",G1006&lt;0,ISNUMBER(SEARCH("הכנסה",F1006)))),"הכנסה שסווגה מחדש",J1006)</f>
        <v>שוטף</v>
      </c>
      <c r="L1006" t="s" s="141">
        <v>741</v>
      </c>
      <c r="M1006" s="143" cm="1">
        <f t="array" ref="M1006">IF(L1006="מאושר",IF(K1006="הכנסה שסווגה מחדש",0,G1006),0)</f>
        <v>320</v>
      </c>
      <c r="N1006" s="143" cm="1">
        <f t="array" ref="N1006">IF(K1006="שוטף",M1006,0)</f>
        <v>320</v>
      </c>
      <c r="O1006" s="143" cm="1">
        <f t="array" ref="O1006">IF(K1006="הכנסה שסווגה מחדש",-G1006,0)</f>
        <v>0</v>
      </c>
      <c r="P1006" t="s" s="86">
        <v>762</v>
      </c>
      <c r="Q1006" s="99"/>
      <c r="R1006" t="s" s="144">
        <v>743</v>
      </c>
      <c r="S1006" s="77"/>
    </row>
    <row r="1007" ht="13.65" customHeight="1">
      <c r="A1007" s="78">
        <v>45962</v>
      </c>
      <c r="B1007" t="s" s="79">
        <v>54</v>
      </c>
      <c r="C1007" t="s" s="80">
        <v>825</v>
      </c>
      <c r="D1007" s="131">
        <v>7</v>
      </c>
      <c r="E1007" t="s" s="79">
        <v>38</v>
      </c>
      <c r="F1007" t="s" s="80">
        <v>272</v>
      </c>
      <c r="G1007" s="132">
        <v>153</v>
      </c>
      <c r="H1007" t="s" s="133">
        <v>757</v>
      </c>
      <c r="I1007" t="s" s="134">
        <v>96</v>
      </c>
      <c r="J1007" t="s" s="134">
        <v>97</v>
      </c>
      <c r="K1007" t="str" s="135" cm="1">
        <f t="array" ref="K1007">IF(OR(H1007="ריביות",AND(H1007="דירה כצנלסון",G1007&lt;0,ISNUMBER(SEARCH("הכנסה",F1007)))),"הכנסה שסווגה מחדש",J1007)</f>
        <v>שוטף</v>
      </c>
      <c r="L1007" t="s" s="134">
        <v>741</v>
      </c>
      <c r="M1007" s="136" cm="1">
        <f t="array" ref="M1007">IF(L1007="מאושר",IF(K1007="הכנסה שסווגה מחדש",0,G1007),0)</f>
        <v>153</v>
      </c>
      <c r="N1007" s="136" cm="1">
        <f t="array" ref="N1007">IF(K1007="שוטף",M1007,0)</f>
        <v>153</v>
      </c>
      <c r="O1007" s="136" cm="1">
        <f t="array" ref="O1007">IF(K1007="הכנסה שסווגה מחדש",-G1007,0)</f>
        <v>0</v>
      </c>
      <c r="P1007" t="s" s="80">
        <v>783</v>
      </c>
      <c r="Q1007" s="100"/>
      <c r="R1007" t="s" s="137">
        <v>743</v>
      </c>
      <c r="S1007" s="77"/>
    </row>
    <row r="1008" ht="13.65" customHeight="1">
      <c r="A1008" s="84">
        <v>45962</v>
      </c>
      <c r="B1008" t="s" s="85">
        <v>54</v>
      </c>
      <c r="C1008" t="s" s="86">
        <v>825</v>
      </c>
      <c r="D1008" s="138">
        <v>8</v>
      </c>
      <c r="E1008" s="99"/>
      <c r="F1008" t="s" s="86">
        <v>232</v>
      </c>
      <c r="G1008" s="139">
        <v>0</v>
      </c>
      <c r="H1008" t="s" s="140">
        <v>757</v>
      </c>
      <c r="I1008" t="s" s="141">
        <v>96</v>
      </c>
      <c r="J1008" t="s" s="141">
        <v>97</v>
      </c>
      <c r="K1008" t="str" s="142" cm="1">
        <f t="array" ref="K1008">IF(OR(H1008="ריביות",AND(H1008="דירה כצנלסון",G1008&lt;0,ISNUMBER(SEARCH("הכנסה",F1008)))),"הכנסה שסווגה מחדש",J1008)</f>
        <v>שוטף</v>
      </c>
      <c r="L1008" t="s" s="141">
        <v>741</v>
      </c>
      <c r="M1008" s="143" cm="1">
        <f t="array" ref="M1008">IF(L1008="מאושר",IF(K1008="הכנסה שסווגה מחדש",0,G1008),0)</f>
        <v>0</v>
      </c>
      <c r="N1008" s="143" cm="1">
        <f t="array" ref="N1008">IF(K1008="שוטף",M1008,0)</f>
        <v>0</v>
      </c>
      <c r="O1008" s="143" cm="1">
        <f t="array" ref="O1008">IF(K1008="הכנסה שסווגה מחדש",-G1008,0)</f>
        <v>0</v>
      </c>
      <c r="P1008" s="99"/>
      <c r="Q1008" s="99"/>
      <c r="R1008" t="s" s="144">
        <v>743</v>
      </c>
      <c r="S1008" s="77"/>
    </row>
    <row r="1009" ht="13.65" customHeight="1">
      <c r="A1009" s="78">
        <v>45962</v>
      </c>
      <c r="B1009" t="s" s="79">
        <v>54</v>
      </c>
      <c r="C1009" t="s" s="80">
        <v>825</v>
      </c>
      <c r="D1009" s="131">
        <v>9</v>
      </c>
      <c r="E1009" t="s" s="79">
        <v>769</v>
      </c>
      <c r="F1009" t="s" s="80">
        <v>374</v>
      </c>
      <c r="G1009" s="132">
        <v>38</v>
      </c>
      <c r="H1009" t="s" s="133">
        <v>757</v>
      </c>
      <c r="I1009" t="s" s="134">
        <v>96</v>
      </c>
      <c r="J1009" t="s" s="134">
        <v>97</v>
      </c>
      <c r="K1009" t="str" s="135" cm="1">
        <f t="array" ref="K1009">IF(OR(H1009="ריביות",AND(H1009="דירה כצנלסון",G1009&lt;0,ISNUMBER(SEARCH("הכנסה",F1009)))),"הכנסה שסווגה מחדש",J1009)</f>
        <v>שוטף</v>
      </c>
      <c r="L1009" t="s" s="134">
        <v>741</v>
      </c>
      <c r="M1009" s="136" cm="1">
        <f t="array" ref="M1009">IF(L1009="מאושר",IF(K1009="הכנסה שסווגה מחדש",0,G1009),0)</f>
        <v>38</v>
      </c>
      <c r="N1009" s="136" cm="1">
        <f t="array" ref="N1009">IF(K1009="שוטף",M1009,0)</f>
        <v>38</v>
      </c>
      <c r="O1009" s="136" cm="1">
        <f t="array" ref="O1009">IF(K1009="הכנסה שסווגה מחדש",-G1009,0)</f>
        <v>0</v>
      </c>
      <c r="P1009" t="s" s="80">
        <v>762</v>
      </c>
      <c r="Q1009" s="100"/>
      <c r="R1009" t="s" s="137">
        <v>743</v>
      </c>
      <c r="S1009" s="77"/>
    </row>
    <row r="1010" ht="13.65" customHeight="1">
      <c r="A1010" s="84">
        <v>45962</v>
      </c>
      <c r="B1010" t="s" s="85">
        <v>54</v>
      </c>
      <c r="C1010" t="s" s="86">
        <v>825</v>
      </c>
      <c r="D1010" s="138">
        <v>10</v>
      </c>
      <c r="E1010" s="99"/>
      <c r="F1010" t="s" s="86">
        <v>211</v>
      </c>
      <c r="G1010" s="139">
        <v>400</v>
      </c>
      <c r="H1010" t="s" s="140">
        <v>757</v>
      </c>
      <c r="I1010" t="s" s="141">
        <v>96</v>
      </c>
      <c r="J1010" t="s" s="141">
        <v>97</v>
      </c>
      <c r="K1010" t="str" s="142" cm="1">
        <f t="array" ref="K1010">IF(OR(H1010="ריביות",AND(H1010="דירה כצנלסון",G1010&lt;0,ISNUMBER(SEARCH("הכנסה",F1010)))),"הכנסה שסווגה מחדש",J1010)</f>
        <v>שוטף</v>
      </c>
      <c r="L1010" t="s" s="141">
        <v>741</v>
      </c>
      <c r="M1010" s="143" cm="1">
        <f t="array" ref="M1010">IF(L1010="מאושר",IF(K1010="הכנסה שסווגה מחדש",0,G1010),0)</f>
        <v>400</v>
      </c>
      <c r="N1010" s="143" cm="1">
        <f t="array" ref="N1010">IF(K1010="שוטף",M1010,0)</f>
        <v>400</v>
      </c>
      <c r="O1010" s="143" cm="1">
        <f t="array" ref="O1010">IF(K1010="הכנסה שסווגה מחדש",-G1010,0)</f>
        <v>0</v>
      </c>
      <c r="P1010" t="s" s="86">
        <v>781</v>
      </c>
      <c r="Q1010" s="99"/>
      <c r="R1010" t="s" s="144">
        <v>743</v>
      </c>
      <c r="S1010" s="77"/>
    </row>
    <row r="1011" ht="13.65" customHeight="1">
      <c r="A1011" s="78">
        <v>45962</v>
      </c>
      <c r="B1011" t="s" s="79">
        <v>54</v>
      </c>
      <c r="C1011" t="s" s="80">
        <v>825</v>
      </c>
      <c r="D1011" s="131">
        <v>11</v>
      </c>
      <c r="E1011" t="s" s="79">
        <v>754</v>
      </c>
      <c r="F1011" t="s" s="80">
        <v>302</v>
      </c>
      <c r="G1011" s="132">
        <v>79</v>
      </c>
      <c r="H1011" t="s" s="133">
        <v>763</v>
      </c>
      <c r="I1011" t="s" s="134">
        <v>96</v>
      </c>
      <c r="J1011" t="s" s="134">
        <v>97</v>
      </c>
      <c r="K1011" t="str" s="135" cm="1">
        <f t="array" ref="K1011">IF(OR(H1011="ריביות",AND(H1011="דירה כצנלסון",G1011&lt;0,ISNUMBER(SEARCH("הכנסה",F1011)))),"הכנסה שסווגה מחדש",J1011)</f>
        <v>שוטף</v>
      </c>
      <c r="L1011" t="s" s="134">
        <v>741</v>
      </c>
      <c r="M1011" s="136" cm="1">
        <f t="array" ref="M1011">IF(L1011="מאושר",IF(K1011="הכנסה שסווגה מחדש",0,G1011),0)</f>
        <v>79</v>
      </c>
      <c r="N1011" s="136" cm="1">
        <f t="array" ref="N1011">IF(K1011="שוטף",M1011,0)</f>
        <v>79</v>
      </c>
      <c r="O1011" s="136" cm="1">
        <f t="array" ref="O1011">IF(K1011="הכנסה שסווגה מחדש",-G1011,0)</f>
        <v>0</v>
      </c>
      <c r="P1011" t="s" s="80">
        <v>762</v>
      </c>
      <c r="Q1011" s="100"/>
      <c r="R1011" t="s" s="137">
        <v>743</v>
      </c>
      <c r="S1011" s="77"/>
    </row>
    <row r="1012" ht="13.65" customHeight="1">
      <c r="A1012" s="84">
        <v>45962</v>
      </c>
      <c r="B1012" t="s" s="85">
        <v>54</v>
      </c>
      <c r="C1012" t="s" s="86">
        <v>825</v>
      </c>
      <c r="D1012" s="138">
        <v>12</v>
      </c>
      <c r="E1012" t="s" s="85">
        <v>753</v>
      </c>
      <c r="F1012" t="s" s="86">
        <v>320</v>
      </c>
      <c r="G1012" s="139">
        <v>59</v>
      </c>
      <c r="H1012" t="s" s="140">
        <v>763</v>
      </c>
      <c r="I1012" t="s" s="141">
        <v>96</v>
      </c>
      <c r="J1012" t="s" s="141">
        <v>97</v>
      </c>
      <c r="K1012" t="str" s="142" cm="1">
        <f t="array" ref="K1012">IF(OR(H1012="ריביות",AND(H1012="דירה כצנלסון",G1012&lt;0,ISNUMBER(SEARCH("הכנסה",F1012)))),"הכנסה שסווגה מחדש",J1012)</f>
        <v>שוטף</v>
      </c>
      <c r="L1012" t="s" s="141">
        <v>741</v>
      </c>
      <c r="M1012" s="143" cm="1">
        <f t="array" ref="M1012">IF(L1012="מאושר",IF(K1012="הכנסה שסווגה מחדש",0,G1012),0)</f>
        <v>59</v>
      </c>
      <c r="N1012" s="143" cm="1">
        <f t="array" ref="N1012">IF(K1012="שוטף",M1012,0)</f>
        <v>59</v>
      </c>
      <c r="O1012" s="143" cm="1">
        <f t="array" ref="O1012">IF(K1012="הכנסה שסווגה מחדש",-G1012,0)</f>
        <v>0</v>
      </c>
      <c r="P1012" t="s" s="86">
        <v>762</v>
      </c>
      <c r="Q1012" s="99"/>
      <c r="R1012" t="s" s="144">
        <v>743</v>
      </c>
      <c r="S1012" s="77"/>
    </row>
    <row r="1013" ht="13.65" customHeight="1">
      <c r="A1013" s="78">
        <v>45962</v>
      </c>
      <c r="B1013" t="s" s="79">
        <v>54</v>
      </c>
      <c r="C1013" t="s" s="80">
        <v>825</v>
      </c>
      <c r="D1013" s="131">
        <v>13</v>
      </c>
      <c r="E1013" s="100"/>
      <c r="F1013" t="s" s="80">
        <v>273</v>
      </c>
      <c r="G1013" s="132">
        <v>0</v>
      </c>
      <c r="H1013" t="s" s="133">
        <v>279</v>
      </c>
      <c r="I1013" t="s" s="134">
        <v>99</v>
      </c>
      <c r="J1013" t="s" s="134">
        <v>100</v>
      </c>
      <c r="K1013" t="str" s="135" cm="1">
        <f t="array" ref="K1013">IF(OR(H1013="ריביות",AND(H1013="דירה כצנלסון",G1013&lt;0,ISNUMBER(SEARCH("הכנסה",F1013)))),"הכנסה שסווגה מחדש",J1013)</f>
        <v>חריג/נכס</v>
      </c>
      <c r="L1013" t="s" s="134">
        <v>741</v>
      </c>
      <c r="M1013" s="136" cm="1">
        <f t="array" ref="M1013">IF(L1013="מאושר",IF(K1013="הכנסה שסווגה מחדש",0,G1013),0)</f>
        <v>0</v>
      </c>
      <c r="N1013" s="136" cm="1">
        <f t="array" ref="N1013">IF(K1013="שוטף",M1013,0)</f>
        <v>0</v>
      </c>
      <c r="O1013" s="136" cm="1">
        <f t="array" ref="O1013">IF(K1013="הכנסה שסווגה מחדש",-G1013,0)</f>
        <v>0</v>
      </c>
      <c r="P1013" t="s" s="80">
        <v>762</v>
      </c>
      <c r="Q1013" s="100"/>
      <c r="R1013" t="s" s="137">
        <v>743</v>
      </c>
      <c r="S1013" s="77"/>
    </row>
    <row r="1014" ht="13.65" customHeight="1">
      <c r="A1014" s="84">
        <v>45962</v>
      </c>
      <c r="B1014" t="s" s="85">
        <v>54</v>
      </c>
      <c r="C1014" t="s" s="86">
        <v>825</v>
      </c>
      <c r="D1014" s="138">
        <v>14</v>
      </c>
      <c r="E1014" t="s" s="85">
        <v>764</v>
      </c>
      <c r="F1014" t="s" s="86">
        <v>328</v>
      </c>
      <c r="G1014" s="139">
        <v>36</v>
      </c>
      <c r="H1014" t="s" s="140">
        <v>279</v>
      </c>
      <c r="I1014" t="s" s="141">
        <v>99</v>
      </c>
      <c r="J1014" t="s" s="141">
        <v>100</v>
      </c>
      <c r="K1014" t="str" s="142" cm="1">
        <f t="array" ref="K1014">IF(OR(H1014="ריביות",AND(H1014="דירה כצנלסון",G1014&lt;0,ISNUMBER(SEARCH("הכנסה",F1014)))),"הכנסה שסווגה מחדש",J1014)</f>
        <v>חריג/נכס</v>
      </c>
      <c r="L1014" t="s" s="141">
        <v>741</v>
      </c>
      <c r="M1014" s="143" cm="1">
        <f t="array" ref="M1014">IF(L1014="מאושר",IF(K1014="הכנסה שסווגה מחדש",0,G1014),0)</f>
        <v>36</v>
      </c>
      <c r="N1014" s="143" cm="1">
        <f t="array" ref="N1014">IF(K1014="שוטף",M1014,0)</f>
        <v>0</v>
      </c>
      <c r="O1014" s="143" cm="1">
        <f t="array" ref="O1014">IF(K1014="הכנסה שסווגה מחדש",-G1014,0)</f>
        <v>0</v>
      </c>
      <c r="P1014" t="s" s="86">
        <v>762</v>
      </c>
      <c r="Q1014" s="99"/>
      <c r="R1014" t="s" s="144">
        <v>743</v>
      </c>
      <c r="S1014" s="77"/>
    </row>
    <row r="1015" ht="13.65" customHeight="1">
      <c r="A1015" s="78">
        <v>45962</v>
      </c>
      <c r="B1015" t="s" s="79">
        <v>54</v>
      </c>
      <c r="C1015" t="s" s="80">
        <v>825</v>
      </c>
      <c r="D1015" s="131">
        <v>15</v>
      </c>
      <c r="E1015" t="s" s="79">
        <v>759</v>
      </c>
      <c r="F1015" t="s" s="80">
        <v>263</v>
      </c>
      <c r="G1015" s="132">
        <v>115</v>
      </c>
      <c r="H1015" t="s" s="133">
        <v>135</v>
      </c>
      <c r="I1015" t="s" s="134">
        <v>135</v>
      </c>
      <c r="J1015" t="s" s="134">
        <v>97</v>
      </c>
      <c r="K1015" t="str" s="135" cm="1">
        <f t="array" ref="K1015">IF(OR(H1015="ריביות",AND(H1015="דירה כצנלסון",G1015&lt;0,ISNUMBER(SEARCH("הכנסה",F1015)))),"הכנסה שסווגה מחדש",J1015)</f>
        <v>שוטף</v>
      </c>
      <c r="L1015" t="s" s="134">
        <v>741</v>
      </c>
      <c r="M1015" s="136" cm="1">
        <f t="array" ref="M1015">IF(L1015="מאושר",IF(K1015="הכנסה שסווגה מחדש",0,G1015),0)</f>
        <v>115</v>
      </c>
      <c r="N1015" s="136" cm="1">
        <f t="array" ref="N1015">IF(K1015="שוטף",M1015,0)</f>
        <v>115</v>
      </c>
      <c r="O1015" s="136" cm="1">
        <f t="array" ref="O1015">IF(K1015="הכנסה שסווגה מחדש",-G1015,0)</f>
        <v>0</v>
      </c>
      <c r="P1015" t="s" s="80">
        <v>770</v>
      </c>
      <c r="Q1015" s="100"/>
      <c r="R1015" t="s" s="137">
        <v>743</v>
      </c>
      <c r="S1015" s="77"/>
    </row>
    <row r="1016" ht="13.65" customHeight="1">
      <c r="A1016" s="84">
        <v>45962</v>
      </c>
      <c r="B1016" t="s" s="85">
        <v>54</v>
      </c>
      <c r="C1016" t="s" s="86">
        <v>825</v>
      </c>
      <c r="D1016" s="138">
        <v>16</v>
      </c>
      <c r="E1016" t="s" s="85">
        <v>34</v>
      </c>
      <c r="F1016" t="s" s="86">
        <v>245</v>
      </c>
      <c r="G1016" s="139">
        <v>56</v>
      </c>
      <c r="H1016" t="s" s="140">
        <v>767</v>
      </c>
      <c r="I1016" t="s" s="141">
        <v>107</v>
      </c>
      <c r="J1016" t="s" s="141">
        <v>97</v>
      </c>
      <c r="K1016" t="str" s="142" cm="1">
        <f t="array" ref="K1016">IF(OR(H1016="ריביות",AND(H1016="דירה כצנלסון",G1016&lt;0,ISNUMBER(SEARCH("הכנסה",F1016)))),"הכנסה שסווגה מחדש",J1016)</f>
        <v>שוטף</v>
      </c>
      <c r="L1016" t="s" s="141">
        <v>741</v>
      </c>
      <c r="M1016" s="143" cm="1">
        <f t="array" ref="M1016">IF(L1016="מאושר",IF(K1016="הכנסה שסווגה מחדש",0,G1016),0)</f>
        <v>56</v>
      </c>
      <c r="N1016" s="143" cm="1">
        <f t="array" ref="N1016">IF(K1016="שוטף",M1016,0)</f>
        <v>56</v>
      </c>
      <c r="O1016" s="143" cm="1">
        <f t="array" ref="O1016">IF(K1016="הכנסה שסווגה מחדש",-G1016,0)</f>
        <v>0</v>
      </c>
      <c r="P1016" t="s" s="86">
        <v>762</v>
      </c>
      <c r="Q1016" s="99"/>
      <c r="R1016" t="s" s="144">
        <v>743</v>
      </c>
      <c r="S1016" s="77"/>
    </row>
    <row r="1017" ht="13.65" customHeight="1">
      <c r="A1017" s="78">
        <v>45962</v>
      </c>
      <c r="B1017" t="s" s="79">
        <v>54</v>
      </c>
      <c r="C1017" t="s" s="80">
        <v>825</v>
      </c>
      <c r="D1017" s="131">
        <v>17</v>
      </c>
      <c r="E1017" t="s" s="79">
        <v>34</v>
      </c>
      <c r="F1017" t="s" s="80">
        <v>245</v>
      </c>
      <c r="G1017" s="132">
        <v>96</v>
      </c>
      <c r="H1017" t="s" s="133">
        <v>767</v>
      </c>
      <c r="I1017" t="s" s="134">
        <v>107</v>
      </c>
      <c r="J1017" t="s" s="134">
        <v>97</v>
      </c>
      <c r="K1017" t="str" s="135" cm="1">
        <f t="array" ref="K1017">IF(OR(H1017="ריביות",AND(H1017="דירה כצנלסון",G1017&lt;0,ISNUMBER(SEARCH("הכנסה",F1017)))),"הכנסה שסווגה מחדש",J1017)</f>
        <v>שוטף</v>
      </c>
      <c r="L1017" t="s" s="134">
        <v>741</v>
      </c>
      <c r="M1017" s="136" cm="1">
        <f t="array" ref="M1017">IF(L1017="מאושר",IF(K1017="הכנסה שסווגה מחדש",0,G1017),0)</f>
        <v>96</v>
      </c>
      <c r="N1017" s="136" cm="1">
        <f t="array" ref="N1017">IF(K1017="שוטף",M1017,0)</f>
        <v>96</v>
      </c>
      <c r="O1017" s="136" cm="1">
        <f t="array" ref="O1017">IF(K1017="הכנסה שסווגה מחדש",-G1017,0)</f>
        <v>0</v>
      </c>
      <c r="P1017" t="s" s="80">
        <v>770</v>
      </c>
      <c r="Q1017" s="100"/>
      <c r="R1017" t="s" s="137">
        <v>743</v>
      </c>
      <c r="S1017" s="77"/>
    </row>
    <row r="1018" ht="13.65" customHeight="1">
      <c r="A1018" s="84">
        <v>45962</v>
      </c>
      <c r="B1018" t="s" s="85">
        <v>54</v>
      </c>
      <c r="C1018" t="s" s="86">
        <v>825</v>
      </c>
      <c r="D1018" s="138">
        <v>18</v>
      </c>
      <c r="E1018" t="s" s="85">
        <v>34</v>
      </c>
      <c r="F1018" t="s" s="86">
        <v>199</v>
      </c>
      <c r="G1018" s="139">
        <v>450</v>
      </c>
      <c r="H1018" t="s" s="140">
        <v>767</v>
      </c>
      <c r="I1018" t="s" s="141">
        <v>107</v>
      </c>
      <c r="J1018" t="s" s="141">
        <v>97</v>
      </c>
      <c r="K1018" t="str" s="142" cm="1">
        <f t="array" ref="K1018">IF(OR(H1018="ריביות",AND(H1018="דירה כצנלסון",G1018&lt;0,ISNUMBER(SEARCH("הכנסה",F1018)))),"הכנסה שסווגה מחדש",J1018)</f>
        <v>שוטף</v>
      </c>
      <c r="L1018" t="s" s="141">
        <v>741</v>
      </c>
      <c r="M1018" s="143" cm="1">
        <f t="array" ref="M1018">IF(L1018="מאושר",IF(K1018="הכנסה שסווגה מחדש",0,G1018),0)</f>
        <v>450</v>
      </c>
      <c r="N1018" s="143" cm="1">
        <f t="array" ref="N1018">IF(K1018="שוטף",M1018,0)</f>
        <v>450</v>
      </c>
      <c r="O1018" s="143" cm="1">
        <f t="array" ref="O1018">IF(K1018="הכנסה שסווגה מחדש",-G1018,0)</f>
        <v>0</v>
      </c>
      <c r="P1018" t="s" s="85">
        <v>742</v>
      </c>
      <c r="Q1018" s="99"/>
      <c r="R1018" t="s" s="144">
        <v>743</v>
      </c>
      <c r="S1018" s="77"/>
    </row>
    <row r="1019" ht="13.65" customHeight="1">
      <c r="A1019" s="78">
        <v>45962</v>
      </c>
      <c r="B1019" t="s" s="79">
        <v>54</v>
      </c>
      <c r="C1019" t="s" s="80">
        <v>825</v>
      </c>
      <c r="D1019" s="131">
        <v>19</v>
      </c>
      <c r="E1019" t="s" s="79">
        <v>772</v>
      </c>
      <c r="F1019" t="s" s="80">
        <v>823</v>
      </c>
      <c r="G1019" s="132">
        <v>-5201</v>
      </c>
      <c r="H1019" t="s" s="133">
        <v>746</v>
      </c>
      <c r="I1019" t="s" s="134">
        <v>141</v>
      </c>
      <c r="J1019" t="s" s="134">
        <v>142</v>
      </c>
      <c r="K1019" t="str" s="135" cm="1">
        <f t="array" ref="K1019">IF(OR(H1019="ריביות",AND(H1019="דירה כצנלסון",G1019&lt;0,ISNUMBER(SEARCH("הכנסה",F1019)))),"הכנסה שסווגה מחדש",J1019)</f>
        <v>הכנסה שסווגה מחדש</v>
      </c>
      <c r="L1019" t="s" s="134">
        <v>741</v>
      </c>
      <c r="M1019" s="136" cm="1">
        <f t="array" ref="M1019">IF(L1019="מאושר",IF(K1019="הכנסה שסווגה מחדש",0,G1019),0)</f>
        <v>0</v>
      </c>
      <c r="N1019" s="136" cm="1">
        <f t="array" ref="N1019">IF(K1019="שוטף",M1019,0)</f>
        <v>0</v>
      </c>
      <c r="O1019" s="136" cm="1">
        <f t="array" ref="O1019">IF(K1019="הכנסה שסווגה מחדש",-G1019,0)</f>
        <v>5201</v>
      </c>
      <c r="P1019" t="s" s="79">
        <v>742</v>
      </c>
      <c r="Q1019" s="100"/>
      <c r="R1019" t="s" s="137">
        <v>743</v>
      </c>
      <c r="S1019" s="77"/>
    </row>
    <row r="1020" ht="13.65" customHeight="1">
      <c r="A1020" s="84">
        <v>45962</v>
      </c>
      <c r="B1020" t="s" s="85">
        <v>54</v>
      </c>
      <c r="C1020" t="s" s="86">
        <v>825</v>
      </c>
      <c r="D1020" s="138">
        <v>20</v>
      </c>
      <c r="E1020" t="s" s="85">
        <v>753</v>
      </c>
      <c r="F1020" t="s" s="86">
        <v>520</v>
      </c>
      <c r="G1020" s="139">
        <v>103</v>
      </c>
      <c r="H1020" t="s" s="140">
        <v>139</v>
      </c>
      <c r="I1020" t="s" s="141">
        <v>139</v>
      </c>
      <c r="J1020" t="s" s="141">
        <v>97</v>
      </c>
      <c r="K1020" t="str" s="142" cm="1">
        <f t="array" ref="K1020">IF(OR(H1020="ריביות",AND(H1020="דירה כצנלסון",G1020&lt;0,ISNUMBER(SEARCH("הכנסה",F1020)))),"הכנסה שסווגה מחדש",J1020)</f>
        <v>שוטף</v>
      </c>
      <c r="L1020" t="s" s="141">
        <v>741</v>
      </c>
      <c r="M1020" s="143" cm="1">
        <f t="array" ref="M1020">IF(L1020="מאושר",IF(K1020="הכנסה שסווגה מחדש",0,G1020),0)</f>
        <v>103</v>
      </c>
      <c r="N1020" s="143" cm="1">
        <f t="array" ref="N1020">IF(K1020="שוטף",M1020,0)</f>
        <v>103</v>
      </c>
      <c r="O1020" s="143" cm="1">
        <f t="array" ref="O1020">IF(K1020="הכנסה שסווגה מחדש",-G1020,0)</f>
        <v>0</v>
      </c>
      <c r="P1020" t="s" s="86">
        <v>786</v>
      </c>
      <c r="Q1020" s="99"/>
      <c r="R1020" t="s" s="144">
        <v>743</v>
      </c>
      <c r="S1020" s="77"/>
    </row>
    <row r="1021" ht="13.65" customHeight="1">
      <c r="A1021" s="78">
        <v>45962</v>
      </c>
      <c r="B1021" t="s" s="79">
        <v>54</v>
      </c>
      <c r="C1021" t="s" s="80">
        <v>825</v>
      </c>
      <c r="D1021" s="131">
        <v>21</v>
      </c>
      <c r="E1021" t="s" s="79">
        <v>765</v>
      </c>
      <c r="F1021" t="s" s="80">
        <v>277</v>
      </c>
      <c r="G1021" s="132">
        <v>149</v>
      </c>
      <c r="H1021" t="s" s="133">
        <v>115</v>
      </c>
      <c r="I1021" t="s" s="134">
        <v>115</v>
      </c>
      <c r="J1021" t="s" s="134">
        <v>97</v>
      </c>
      <c r="K1021" t="str" s="135" cm="1">
        <f t="array" ref="K1021">IF(OR(H1021="ריביות",AND(H1021="דירה כצנלסון",G1021&lt;0,ISNUMBER(SEARCH("הכנסה",F1021)))),"הכנסה שסווגה מחדש",J1021)</f>
        <v>שוטף</v>
      </c>
      <c r="L1021" t="s" s="134">
        <v>741</v>
      </c>
      <c r="M1021" s="136" cm="1">
        <f t="array" ref="M1021">IF(L1021="מאושר",IF(K1021="הכנסה שסווגה מחדש",0,G1021),0)</f>
        <v>149</v>
      </c>
      <c r="N1021" s="136" cm="1">
        <f t="array" ref="N1021">IF(K1021="שוטף",M1021,0)</f>
        <v>149</v>
      </c>
      <c r="O1021" s="136" cm="1">
        <f t="array" ref="O1021">IF(K1021="הכנסה שסווגה מחדש",-G1021,0)</f>
        <v>0</v>
      </c>
      <c r="P1021" t="s" s="79">
        <v>758</v>
      </c>
      <c r="Q1021" s="100"/>
      <c r="R1021" t="s" s="137">
        <v>743</v>
      </c>
      <c r="S1021" s="77"/>
    </row>
    <row r="1022" ht="13.65" customHeight="1">
      <c r="A1022" s="84">
        <v>45962</v>
      </c>
      <c r="B1022" t="s" s="85">
        <v>54</v>
      </c>
      <c r="C1022" t="s" s="86">
        <v>825</v>
      </c>
      <c r="D1022" s="138">
        <v>22</v>
      </c>
      <c r="E1022" t="s" s="85">
        <v>34</v>
      </c>
      <c r="F1022" t="s" s="86">
        <v>223</v>
      </c>
      <c r="G1022" s="139">
        <v>109</v>
      </c>
      <c r="H1022" t="s" s="140">
        <v>117</v>
      </c>
      <c r="I1022" t="s" s="141">
        <v>117</v>
      </c>
      <c r="J1022" t="s" s="141">
        <v>97</v>
      </c>
      <c r="K1022" t="str" s="142" cm="1">
        <f t="array" ref="K1022">IF(OR(H1022="ריביות",AND(H1022="דירה כצנלסון",G1022&lt;0,ISNUMBER(SEARCH("הכנסה",F1022)))),"הכנסה שסווגה מחדש",J1022)</f>
        <v>שוטף</v>
      </c>
      <c r="L1022" t="s" s="141">
        <v>741</v>
      </c>
      <c r="M1022" s="143" cm="1">
        <f t="array" ref="M1022">IF(L1022="מאושר",IF(K1022="הכנסה שסווגה מחדש",0,G1022),0)</f>
        <v>109</v>
      </c>
      <c r="N1022" s="143" cm="1">
        <f t="array" ref="N1022">IF(K1022="שוטף",M1022,0)</f>
        <v>109</v>
      </c>
      <c r="O1022" s="143" cm="1">
        <f t="array" ref="O1022">IF(K1022="הכנסה שסווגה מחדש",-G1022,0)</f>
        <v>0</v>
      </c>
      <c r="P1022" t="s" s="85">
        <v>748</v>
      </c>
      <c r="Q1022" s="99"/>
      <c r="R1022" t="s" s="144">
        <v>743</v>
      </c>
      <c r="S1022" s="77"/>
    </row>
    <row r="1023" ht="13.65" customHeight="1">
      <c r="A1023" s="78">
        <v>45962</v>
      </c>
      <c r="B1023" t="s" s="79">
        <v>54</v>
      </c>
      <c r="C1023" t="s" s="80">
        <v>825</v>
      </c>
      <c r="D1023" s="131">
        <v>23</v>
      </c>
      <c r="E1023" t="s" s="79">
        <v>749</v>
      </c>
      <c r="F1023" t="s" s="80">
        <v>281</v>
      </c>
      <c r="G1023" s="132">
        <v>65</v>
      </c>
      <c r="H1023" t="s" s="133">
        <v>125</v>
      </c>
      <c r="I1023" t="s" s="134">
        <v>125</v>
      </c>
      <c r="J1023" t="s" s="134">
        <v>97</v>
      </c>
      <c r="K1023" t="str" s="135" cm="1">
        <f t="array" ref="K1023">IF(OR(H1023="ריביות",AND(H1023="דירה כצנלסון",G1023&lt;0,ISNUMBER(SEARCH("הכנסה",F1023)))),"הכנסה שסווגה מחדש",J1023)</f>
        <v>שוטף</v>
      </c>
      <c r="L1023" t="s" s="134">
        <v>741</v>
      </c>
      <c r="M1023" s="136" cm="1">
        <f t="array" ref="M1023">IF(L1023="מאושר",IF(K1023="הכנסה שסווגה מחדש",0,G1023),0)</f>
        <v>65</v>
      </c>
      <c r="N1023" s="136" cm="1">
        <f t="array" ref="N1023">IF(K1023="שוטף",M1023,0)</f>
        <v>65</v>
      </c>
      <c r="O1023" s="136" cm="1">
        <f t="array" ref="O1023">IF(K1023="הכנסה שסווגה מחדש",-G1023,0)</f>
        <v>0</v>
      </c>
      <c r="P1023" t="s" s="79">
        <v>748</v>
      </c>
      <c r="Q1023" s="100"/>
      <c r="R1023" t="s" s="137">
        <v>743</v>
      </c>
      <c r="S1023" s="77"/>
    </row>
    <row r="1024" ht="13.65" customHeight="1">
      <c r="A1024" s="84">
        <v>45962</v>
      </c>
      <c r="B1024" t="s" s="85">
        <v>54</v>
      </c>
      <c r="C1024" t="s" s="86">
        <v>825</v>
      </c>
      <c r="D1024" s="138">
        <v>24</v>
      </c>
      <c r="E1024" t="s" s="85">
        <v>744</v>
      </c>
      <c r="F1024" t="s" s="86">
        <v>209</v>
      </c>
      <c r="G1024" s="139">
        <v>217</v>
      </c>
      <c r="H1024" t="s" s="140">
        <v>113</v>
      </c>
      <c r="I1024" t="s" s="141">
        <v>113</v>
      </c>
      <c r="J1024" t="s" s="141">
        <v>97</v>
      </c>
      <c r="K1024" t="str" s="142" cm="1">
        <f t="array" ref="K1024">IF(OR(H1024="ריביות",AND(H1024="דירה כצנלסון",G1024&lt;0,ISNUMBER(SEARCH("הכנסה",F1024)))),"הכנסה שסווגה מחדש",J1024)</f>
        <v>שוטף</v>
      </c>
      <c r="L1024" t="s" s="141">
        <v>741</v>
      </c>
      <c r="M1024" s="143" cm="1">
        <f t="array" ref="M1024">IF(L1024="מאושר",IF(K1024="הכנסה שסווגה מחדש",0,G1024),0)</f>
        <v>217</v>
      </c>
      <c r="N1024" s="143" cm="1">
        <f t="array" ref="N1024">IF(K1024="שוטף",M1024,0)</f>
        <v>217</v>
      </c>
      <c r="O1024" s="143" cm="1">
        <f t="array" ref="O1024">IF(K1024="הכנסה שסווגה מחדש",-G1024,0)</f>
        <v>0</v>
      </c>
      <c r="P1024" t="s" s="85">
        <v>748</v>
      </c>
      <c r="Q1024" s="99"/>
      <c r="R1024" t="s" s="144">
        <v>743</v>
      </c>
      <c r="S1024" s="77"/>
    </row>
    <row r="1025" ht="13.65" customHeight="1">
      <c r="A1025" s="78">
        <v>45962</v>
      </c>
      <c r="B1025" t="s" s="79">
        <v>54</v>
      </c>
      <c r="C1025" t="s" s="80">
        <v>825</v>
      </c>
      <c r="D1025" s="131">
        <v>25</v>
      </c>
      <c r="E1025" t="s" s="79">
        <v>791</v>
      </c>
      <c r="F1025" t="s" s="80">
        <v>209</v>
      </c>
      <c r="G1025" s="132">
        <v>92</v>
      </c>
      <c r="H1025" t="s" s="133">
        <v>113</v>
      </c>
      <c r="I1025" t="s" s="134">
        <v>113</v>
      </c>
      <c r="J1025" t="s" s="134">
        <v>97</v>
      </c>
      <c r="K1025" t="str" s="135" cm="1">
        <f t="array" ref="K1025">IF(OR(H1025="ריביות",AND(H1025="דירה כצנלסון",G1025&lt;0,ISNUMBER(SEARCH("הכנסה",F1025)))),"הכנסה שסווגה מחדש",J1025)</f>
        <v>שוטף</v>
      </c>
      <c r="L1025" t="s" s="134">
        <v>741</v>
      </c>
      <c r="M1025" s="136" cm="1">
        <f t="array" ref="M1025">IF(L1025="מאושר",IF(K1025="הכנסה שסווגה מחדש",0,G1025),0)</f>
        <v>92</v>
      </c>
      <c r="N1025" s="136" cm="1">
        <f t="array" ref="N1025">IF(K1025="שוטף",M1025,0)</f>
        <v>92</v>
      </c>
      <c r="O1025" s="136" cm="1">
        <f t="array" ref="O1025">IF(K1025="הכנסה שסווגה מחדש",-G1025,0)</f>
        <v>0</v>
      </c>
      <c r="P1025" t="s" s="79">
        <v>748</v>
      </c>
      <c r="Q1025" s="100"/>
      <c r="R1025" t="s" s="137">
        <v>743</v>
      </c>
      <c r="S1025" s="77"/>
    </row>
    <row r="1026" ht="13.65" customHeight="1">
      <c r="A1026" s="84">
        <v>45962</v>
      </c>
      <c r="B1026" t="s" s="85">
        <v>54</v>
      </c>
      <c r="C1026" t="s" s="86">
        <v>825</v>
      </c>
      <c r="D1026" s="138">
        <v>26</v>
      </c>
      <c r="E1026" t="s" s="85">
        <v>766</v>
      </c>
      <c r="F1026" t="s" s="86">
        <v>308</v>
      </c>
      <c r="G1026" s="139">
        <v>15</v>
      </c>
      <c r="H1026" t="s" s="140">
        <v>113</v>
      </c>
      <c r="I1026" t="s" s="141">
        <v>113</v>
      </c>
      <c r="J1026" t="s" s="141">
        <v>97</v>
      </c>
      <c r="K1026" t="str" s="142" cm="1">
        <f t="array" ref="K1026">IF(OR(H1026="ריביות",AND(H1026="דירה כצנלסון",G1026&lt;0,ISNUMBER(SEARCH("הכנסה",F1026)))),"הכנסה שסווגה מחדש",J1026)</f>
        <v>שוטף</v>
      </c>
      <c r="L1026" t="s" s="141">
        <v>741</v>
      </c>
      <c r="M1026" s="143" cm="1">
        <f t="array" ref="M1026">IF(L1026="מאושר",IF(K1026="הכנסה שסווגה מחדש",0,G1026),0)</f>
        <v>15</v>
      </c>
      <c r="N1026" s="143" cm="1">
        <f t="array" ref="N1026">IF(K1026="שוטף",M1026,0)</f>
        <v>15</v>
      </c>
      <c r="O1026" s="143" cm="1">
        <f t="array" ref="O1026">IF(K1026="הכנסה שסווגה מחדש",-G1026,0)</f>
        <v>0</v>
      </c>
      <c r="P1026" t="s" s="85">
        <v>748</v>
      </c>
      <c r="Q1026" s="99"/>
      <c r="R1026" t="s" s="144">
        <v>743</v>
      </c>
      <c r="S1026" s="77"/>
    </row>
    <row r="1027" ht="13.65" customHeight="1">
      <c r="A1027" s="78">
        <v>45962</v>
      </c>
      <c r="B1027" t="s" s="79">
        <v>54</v>
      </c>
      <c r="C1027" t="s" s="80">
        <v>825</v>
      </c>
      <c r="D1027" s="131">
        <v>27</v>
      </c>
      <c r="E1027" t="s" s="79">
        <v>765</v>
      </c>
      <c r="F1027" t="s" s="80">
        <v>277</v>
      </c>
      <c r="G1027" s="132">
        <v>75</v>
      </c>
      <c r="H1027" t="s" s="133">
        <v>115</v>
      </c>
      <c r="I1027" t="s" s="134">
        <v>115</v>
      </c>
      <c r="J1027" t="s" s="134">
        <v>97</v>
      </c>
      <c r="K1027" t="str" s="135" cm="1">
        <f t="array" ref="K1027">IF(OR(H1027="ריביות",AND(H1027="דירה כצנלסון",G1027&lt;0,ISNUMBER(SEARCH("הכנסה",F1027)))),"הכנסה שסווגה מחדש",J1027)</f>
        <v>שוטף</v>
      </c>
      <c r="L1027" t="s" s="134">
        <v>741</v>
      </c>
      <c r="M1027" s="136" cm="1">
        <f t="array" ref="M1027">IF(L1027="מאושר",IF(K1027="הכנסה שסווגה מחדש",0,G1027),0)</f>
        <v>75</v>
      </c>
      <c r="N1027" s="136" cm="1">
        <f t="array" ref="N1027">IF(K1027="שוטף",M1027,0)</f>
        <v>75</v>
      </c>
      <c r="O1027" s="136" cm="1">
        <f t="array" ref="O1027">IF(K1027="הכנסה שסווגה מחדש",-G1027,0)</f>
        <v>0</v>
      </c>
      <c r="P1027" t="s" s="79">
        <v>748</v>
      </c>
      <c r="Q1027" s="100"/>
      <c r="R1027" t="s" s="137">
        <v>743</v>
      </c>
      <c r="S1027" s="77"/>
    </row>
    <row r="1028" ht="13.65" customHeight="1">
      <c r="A1028" s="84">
        <v>45962</v>
      </c>
      <c r="B1028" t="s" s="85">
        <v>54</v>
      </c>
      <c r="C1028" t="s" s="86">
        <v>825</v>
      </c>
      <c r="D1028" s="138">
        <v>28</v>
      </c>
      <c r="E1028" s="99"/>
      <c r="F1028" t="s" s="86">
        <v>307</v>
      </c>
      <c r="G1028" s="139">
        <v>219</v>
      </c>
      <c r="H1028" t="s" s="140">
        <v>115</v>
      </c>
      <c r="I1028" t="s" s="141">
        <v>115</v>
      </c>
      <c r="J1028" t="s" s="141">
        <v>97</v>
      </c>
      <c r="K1028" t="str" s="142" cm="1">
        <f t="array" ref="K1028">IF(OR(H1028="ריביות",AND(H1028="דירה כצנלסון",G1028&lt;0,ISNUMBER(SEARCH("הכנסה",F1028)))),"הכנסה שסווגה מחדש",J1028)</f>
        <v>שוטף</v>
      </c>
      <c r="L1028" t="s" s="141">
        <v>741</v>
      </c>
      <c r="M1028" s="143" cm="1">
        <f t="array" ref="M1028">IF(L1028="מאושר",IF(K1028="הכנסה שסווגה מחדש",0,G1028),0)</f>
        <v>219</v>
      </c>
      <c r="N1028" s="143" cm="1">
        <f t="array" ref="N1028">IF(K1028="שוטף",M1028,0)</f>
        <v>219</v>
      </c>
      <c r="O1028" s="143" cm="1">
        <f t="array" ref="O1028">IF(K1028="הכנסה שסווגה מחדש",-G1028,0)</f>
        <v>0</v>
      </c>
      <c r="P1028" t="s" s="85">
        <v>748</v>
      </c>
      <c r="Q1028" s="99"/>
      <c r="R1028" t="s" s="144">
        <v>743</v>
      </c>
      <c r="S1028" s="77"/>
    </row>
    <row r="1029" ht="13.65" customHeight="1">
      <c r="A1029" s="78">
        <v>45962</v>
      </c>
      <c r="B1029" t="s" s="79">
        <v>54</v>
      </c>
      <c r="C1029" t="s" s="80">
        <v>825</v>
      </c>
      <c r="D1029" s="131">
        <v>29</v>
      </c>
      <c r="E1029" t="s" s="79">
        <v>791</v>
      </c>
      <c r="F1029" t="s" s="80">
        <v>301</v>
      </c>
      <c r="G1029" s="132">
        <v>975</v>
      </c>
      <c r="H1029" t="s" s="133">
        <v>210</v>
      </c>
      <c r="I1029" t="s" s="134">
        <v>102</v>
      </c>
      <c r="J1029" t="s" s="134">
        <v>103</v>
      </c>
      <c r="K1029" t="str" s="135" cm="1">
        <f t="array" ref="K1029">IF(OR(H1029="ריביות",AND(H1029="דירה כצנלסון",G1029&lt;0,ISNUMBER(SEARCH("הכנסה",F1029)))),"הכנסה שסווגה מחדש",J1029)</f>
        <v>חריג</v>
      </c>
      <c r="L1029" t="s" s="134">
        <v>741</v>
      </c>
      <c r="M1029" s="136" cm="1">
        <f t="array" ref="M1029">IF(L1029="מאושר",IF(K1029="הכנסה שסווגה מחדש",0,G1029),0)</f>
        <v>975</v>
      </c>
      <c r="N1029" s="136" cm="1">
        <f t="array" ref="N1029">IF(K1029="שוטף",M1029,0)</f>
        <v>0</v>
      </c>
      <c r="O1029" s="136" cm="1">
        <f t="array" ref="O1029">IF(K1029="הכנסה שסווגה מחדש",-G1029,0)</f>
        <v>0</v>
      </c>
      <c r="P1029" t="s" s="80">
        <v>780</v>
      </c>
      <c r="Q1029" s="100"/>
      <c r="R1029" t="s" s="137">
        <v>743</v>
      </c>
      <c r="S1029" s="77"/>
    </row>
    <row r="1030" ht="13.65" customHeight="1">
      <c r="A1030" s="84">
        <v>45962</v>
      </c>
      <c r="B1030" t="s" s="85">
        <v>54</v>
      </c>
      <c r="C1030" t="s" s="86">
        <v>825</v>
      </c>
      <c r="D1030" s="138">
        <v>30</v>
      </c>
      <c r="E1030" t="s" s="85">
        <v>755</v>
      </c>
      <c r="F1030" t="s" s="86">
        <v>482</v>
      </c>
      <c r="G1030" s="139">
        <v>149</v>
      </c>
      <c r="H1030" t="s" s="140">
        <v>123</v>
      </c>
      <c r="I1030" t="s" s="141">
        <v>123</v>
      </c>
      <c r="J1030" t="s" s="141">
        <v>97</v>
      </c>
      <c r="K1030" t="str" s="142" cm="1">
        <f t="array" ref="K1030">IF(OR(H1030="ריביות",AND(H1030="דירה כצנלסון",G1030&lt;0,ISNUMBER(SEARCH("הכנסה",F1030)))),"הכנסה שסווגה מחדש",J1030)</f>
        <v>שוטף</v>
      </c>
      <c r="L1030" t="s" s="141">
        <v>741</v>
      </c>
      <c r="M1030" s="143" cm="1">
        <f t="array" ref="M1030">IF(L1030="מאושר",IF(K1030="הכנסה שסווגה מחדש",0,G1030),0)</f>
        <v>149</v>
      </c>
      <c r="N1030" s="143" cm="1">
        <f t="array" ref="N1030">IF(K1030="שוטף",M1030,0)</f>
        <v>149</v>
      </c>
      <c r="O1030" s="143" cm="1">
        <f t="array" ref="O1030">IF(K1030="הכנסה שסווגה מחדש",-G1030,0)</f>
        <v>0</v>
      </c>
      <c r="P1030" t="s" s="86">
        <v>780</v>
      </c>
      <c r="Q1030" s="99"/>
      <c r="R1030" t="s" s="144">
        <v>743</v>
      </c>
      <c r="S1030" s="77"/>
    </row>
    <row r="1031" ht="13.65" customHeight="1">
      <c r="A1031" s="78">
        <v>45962</v>
      </c>
      <c r="B1031" t="s" s="79">
        <v>54</v>
      </c>
      <c r="C1031" t="s" s="80">
        <v>825</v>
      </c>
      <c r="D1031" s="131">
        <v>31</v>
      </c>
      <c r="E1031" t="s" s="79">
        <v>759</v>
      </c>
      <c r="F1031" t="s" s="80">
        <v>382</v>
      </c>
      <c r="G1031" s="132">
        <v>357</v>
      </c>
      <c r="H1031" t="s" s="133">
        <v>210</v>
      </c>
      <c r="I1031" t="s" s="134">
        <v>102</v>
      </c>
      <c r="J1031" t="s" s="134">
        <v>103</v>
      </c>
      <c r="K1031" t="str" s="135" cm="1">
        <f t="array" ref="K1031">IF(OR(H1031="ריביות",AND(H1031="דירה כצנלסון",G1031&lt;0,ISNUMBER(SEARCH("הכנסה",F1031)))),"הכנסה שסווגה מחדש",J1031)</f>
        <v>חריג</v>
      </c>
      <c r="L1031" t="s" s="134">
        <v>741</v>
      </c>
      <c r="M1031" s="136" cm="1">
        <f t="array" ref="M1031">IF(L1031="מאושר",IF(K1031="הכנסה שסווגה מחדש",0,G1031),0)</f>
        <v>357</v>
      </c>
      <c r="N1031" s="136" cm="1">
        <f t="array" ref="N1031">IF(K1031="שוטף",M1031,0)</f>
        <v>0</v>
      </c>
      <c r="O1031" s="136" cm="1">
        <f t="array" ref="O1031">IF(K1031="הכנסה שסווגה מחדש",-G1031,0)</f>
        <v>0</v>
      </c>
      <c r="P1031" t="s" s="80">
        <v>780</v>
      </c>
      <c r="Q1031" s="100"/>
      <c r="R1031" t="s" s="137">
        <v>743</v>
      </c>
      <c r="S1031" s="77"/>
    </row>
    <row r="1032" ht="13.65" customHeight="1">
      <c r="A1032" s="84">
        <v>45962</v>
      </c>
      <c r="B1032" t="s" s="85">
        <v>54</v>
      </c>
      <c r="C1032" t="s" s="86">
        <v>825</v>
      </c>
      <c r="D1032" s="138">
        <v>32</v>
      </c>
      <c r="E1032" t="s" s="85">
        <v>42</v>
      </c>
      <c r="F1032" t="s" s="86">
        <v>592</v>
      </c>
      <c r="G1032" s="139">
        <v>60</v>
      </c>
      <c r="H1032" t="s" s="140">
        <v>121</v>
      </c>
      <c r="I1032" t="s" s="141">
        <v>121</v>
      </c>
      <c r="J1032" t="s" s="141">
        <v>97</v>
      </c>
      <c r="K1032" t="str" s="142" cm="1">
        <f t="array" ref="K1032">IF(OR(H1032="ריביות",AND(H1032="דירה כצנלסון",G1032&lt;0,ISNUMBER(SEARCH("הכנסה",F1032)))),"הכנסה שסווגה מחדש",J1032)</f>
        <v>שוטף</v>
      </c>
      <c r="L1032" t="s" s="141">
        <v>741</v>
      </c>
      <c r="M1032" s="143" cm="1">
        <f t="array" ref="M1032">IF(L1032="מאושר",IF(K1032="הכנסה שסווגה מחדש",0,G1032),0)</f>
        <v>60</v>
      </c>
      <c r="N1032" s="143" cm="1">
        <f t="array" ref="N1032">IF(K1032="שוטף",M1032,0)</f>
        <v>60</v>
      </c>
      <c r="O1032" s="143" cm="1">
        <f t="array" ref="O1032">IF(K1032="הכנסה שסווגה מחדש",-G1032,0)</f>
        <v>0</v>
      </c>
      <c r="P1032" t="s" s="86">
        <v>783</v>
      </c>
      <c r="Q1032" s="99"/>
      <c r="R1032" t="s" s="144">
        <v>743</v>
      </c>
      <c r="S1032" s="77"/>
    </row>
    <row r="1033" ht="13.65" customHeight="1">
      <c r="A1033" s="78">
        <v>45962</v>
      </c>
      <c r="B1033" t="s" s="79">
        <v>54</v>
      </c>
      <c r="C1033" t="s" s="80">
        <v>825</v>
      </c>
      <c r="D1033" s="131">
        <v>33</v>
      </c>
      <c r="E1033" t="s" s="79">
        <v>749</v>
      </c>
      <c r="F1033" t="s" s="80">
        <v>355</v>
      </c>
      <c r="G1033" s="132">
        <v>22</v>
      </c>
      <c r="H1033" t="s" s="133">
        <v>113</v>
      </c>
      <c r="I1033" t="s" s="134">
        <v>113</v>
      </c>
      <c r="J1033" t="s" s="134">
        <v>97</v>
      </c>
      <c r="K1033" t="str" s="135" cm="1">
        <f t="array" ref="K1033">IF(OR(H1033="ריביות",AND(H1033="דירה כצנלסון",G1033&lt;0,ISNUMBER(SEARCH("הכנסה",F1033)))),"הכנסה שסווגה מחדש",J1033)</f>
        <v>שוטף</v>
      </c>
      <c r="L1033" t="s" s="134">
        <v>741</v>
      </c>
      <c r="M1033" s="136" cm="1">
        <f t="array" ref="M1033">IF(L1033="מאושר",IF(K1033="הכנסה שסווגה מחדש",0,G1033),0)</f>
        <v>22</v>
      </c>
      <c r="N1033" s="136" cm="1">
        <f t="array" ref="N1033">IF(K1033="שוטף",M1033,0)</f>
        <v>22</v>
      </c>
      <c r="O1033" s="136" cm="1">
        <f t="array" ref="O1033">IF(K1033="הכנסה שסווגה מחדש",-G1033,0)</f>
        <v>0</v>
      </c>
      <c r="P1033" t="s" s="80">
        <v>783</v>
      </c>
      <c r="Q1033" s="100"/>
      <c r="R1033" t="s" s="137">
        <v>743</v>
      </c>
      <c r="S1033" s="77"/>
    </row>
    <row r="1034" ht="13.65" customHeight="1">
      <c r="A1034" s="84">
        <v>45962</v>
      </c>
      <c r="B1034" t="s" s="85">
        <v>54</v>
      </c>
      <c r="C1034" t="s" s="86">
        <v>825</v>
      </c>
      <c r="D1034" s="138">
        <v>34</v>
      </c>
      <c r="E1034" t="s" s="85">
        <v>749</v>
      </c>
      <c r="F1034" t="s" s="86">
        <v>615</v>
      </c>
      <c r="G1034" s="139">
        <v>46</v>
      </c>
      <c r="H1034" t="s" s="140">
        <v>113</v>
      </c>
      <c r="I1034" t="s" s="141">
        <v>113</v>
      </c>
      <c r="J1034" t="s" s="141">
        <v>97</v>
      </c>
      <c r="K1034" t="str" s="142" cm="1">
        <f t="array" ref="K1034">IF(OR(H1034="ריביות",AND(H1034="דירה כצנלסון",G1034&lt;0,ISNUMBER(SEARCH("הכנסה",F1034)))),"הכנסה שסווגה מחדש",J1034)</f>
        <v>שוטף</v>
      </c>
      <c r="L1034" t="s" s="141">
        <v>741</v>
      </c>
      <c r="M1034" s="143" cm="1">
        <f t="array" ref="M1034">IF(L1034="מאושר",IF(K1034="הכנסה שסווגה מחדש",0,G1034),0)</f>
        <v>46</v>
      </c>
      <c r="N1034" s="143" cm="1">
        <f t="array" ref="N1034">IF(K1034="שוטף",M1034,0)</f>
        <v>46</v>
      </c>
      <c r="O1034" s="143" cm="1">
        <f t="array" ref="O1034">IF(K1034="הכנסה שסווגה מחדש",-G1034,0)</f>
        <v>0</v>
      </c>
      <c r="P1034" t="s" s="86">
        <v>783</v>
      </c>
      <c r="Q1034" s="99"/>
      <c r="R1034" t="s" s="144">
        <v>743</v>
      </c>
      <c r="S1034" s="77"/>
    </row>
    <row r="1035" ht="13.65" customHeight="1">
      <c r="A1035" s="78">
        <v>45962</v>
      </c>
      <c r="B1035" t="s" s="79">
        <v>54</v>
      </c>
      <c r="C1035" t="s" s="80">
        <v>825</v>
      </c>
      <c r="D1035" s="131">
        <v>35</v>
      </c>
      <c r="E1035" t="s" s="79">
        <v>749</v>
      </c>
      <c r="F1035" t="s" s="80">
        <v>475</v>
      </c>
      <c r="G1035" s="132">
        <v>19</v>
      </c>
      <c r="H1035" t="s" s="133">
        <v>113</v>
      </c>
      <c r="I1035" t="s" s="134">
        <v>113</v>
      </c>
      <c r="J1035" t="s" s="134">
        <v>97</v>
      </c>
      <c r="K1035" t="str" s="135" cm="1">
        <f t="array" ref="K1035">IF(OR(H1035="ריביות",AND(H1035="דירה כצנלסון",G1035&lt;0,ISNUMBER(SEARCH("הכנסה",F1035)))),"הכנסה שסווגה מחדש",J1035)</f>
        <v>שוטף</v>
      </c>
      <c r="L1035" t="s" s="134">
        <v>741</v>
      </c>
      <c r="M1035" s="136" cm="1">
        <f t="array" ref="M1035">IF(L1035="מאושר",IF(K1035="הכנסה שסווגה מחדש",0,G1035),0)</f>
        <v>19</v>
      </c>
      <c r="N1035" s="136" cm="1">
        <f t="array" ref="N1035">IF(K1035="שוטף",M1035,0)</f>
        <v>19</v>
      </c>
      <c r="O1035" s="136" cm="1">
        <f t="array" ref="O1035">IF(K1035="הכנסה שסווגה מחדש",-G1035,0)</f>
        <v>0</v>
      </c>
      <c r="P1035" t="s" s="80">
        <v>783</v>
      </c>
      <c r="Q1035" s="100"/>
      <c r="R1035" t="s" s="137">
        <v>743</v>
      </c>
      <c r="S1035" s="77"/>
    </row>
    <row r="1036" ht="13.65" customHeight="1">
      <c r="A1036" s="84">
        <v>45962</v>
      </c>
      <c r="B1036" t="s" s="85">
        <v>54</v>
      </c>
      <c r="C1036" t="s" s="86">
        <v>825</v>
      </c>
      <c r="D1036" s="138">
        <v>36</v>
      </c>
      <c r="E1036" t="s" s="85">
        <v>772</v>
      </c>
      <c r="F1036" t="s" s="86">
        <v>281</v>
      </c>
      <c r="G1036" s="139">
        <v>45</v>
      </c>
      <c r="H1036" t="s" s="140">
        <v>117</v>
      </c>
      <c r="I1036" t="s" s="141">
        <v>117</v>
      </c>
      <c r="J1036" t="s" s="141">
        <v>97</v>
      </c>
      <c r="K1036" t="str" s="142" cm="1">
        <f t="array" ref="K1036">IF(OR(H1036="ריביות",AND(H1036="דירה כצנלסון",G1036&lt;0,ISNUMBER(SEARCH("הכנסה",F1036)))),"הכנסה שסווגה מחדש",J1036)</f>
        <v>שוטף</v>
      </c>
      <c r="L1036" t="s" s="141">
        <v>741</v>
      </c>
      <c r="M1036" s="143" cm="1">
        <f t="array" ref="M1036">IF(L1036="מאושר",IF(K1036="הכנסה שסווגה מחדש",0,G1036),0)</f>
        <v>45</v>
      </c>
      <c r="N1036" s="143" cm="1">
        <f t="array" ref="N1036">IF(K1036="שוטף",M1036,0)</f>
        <v>45</v>
      </c>
      <c r="O1036" s="143" cm="1">
        <f t="array" ref="O1036">IF(K1036="הכנסה שסווגה מחדש",-G1036,0)</f>
        <v>0</v>
      </c>
      <c r="P1036" t="s" s="86">
        <v>783</v>
      </c>
      <c r="Q1036" s="99"/>
      <c r="R1036" t="s" s="144">
        <v>743</v>
      </c>
      <c r="S1036" s="77"/>
    </row>
    <row r="1037" ht="13.65" customHeight="1">
      <c r="A1037" s="78">
        <v>45962</v>
      </c>
      <c r="B1037" t="s" s="79">
        <v>54</v>
      </c>
      <c r="C1037" t="s" s="80">
        <v>825</v>
      </c>
      <c r="D1037" s="131">
        <v>37</v>
      </c>
      <c r="E1037" t="s" s="79">
        <v>768</v>
      </c>
      <c r="F1037" t="s" s="80">
        <v>250</v>
      </c>
      <c r="G1037" s="132">
        <v>120</v>
      </c>
      <c r="H1037" t="s" s="133">
        <v>127</v>
      </c>
      <c r="I1037" t="s" s="134">
        <v>127</v>
      </c>
      <c r="J1037" t="s" s="134">
        <v>97</v>
      </c>
      <c r="K1037" t="str" s="135" cm="1">
        <f t="array" ref="K1037">IF(OR(H1037="ריביות",AND(H1037="דירה כצנלסון",G1037&lt;0,ISNUMBER(SEARCH("הכנסה",F1037)))),"הכנסה שסווגה מחדש",J1037)</f>
        <v>שוטף</v>
      </c>
      <c r="L1037" t="s" s="134">
        <v>741</v>
      </c>
      <c r="M1037" s="136" cm="1">
        <f t="array" ref="M1037">IF(L1037="מאושר",IF(K1037="הכנסה שסווגה מחדש",0,G1037),0)</f>
        <v>120</v>
      </c>
      <c r="N1037" s="136" cm="1">
        <f t="array" ref="N1037">IF(K1037="שוטף",M1037,0)</f>
        <v>120</v>
      </c>
      <c r="O1037" s="136" cm="1">
        <f t="array" ref="O1037">IF(K1037="הכנסה שסווגה מחדש",-G1037,0)</f>
        <v>0</v>
      </c>
      <c r="P1037" t="s" s="80">
        <v>783</v>
      </c>
      <c r="Q1037" s="100"/>
      <c r="R1037" t="s" s="137">
        <v>743</v>
      </c>
      <c r="S1037" s="77"/>
    </row>
    <row r="1038" ht="13.65" customHeight="1">
      <c r="A1038" s="84">
        <v>45962</v>
      </c>
      <c r="B1038" t="s" s="85">
        <v>54</v>
      </c>
      <c r="C1038" t="s" s="86">
        <v>825</v>
      </c>
      <c r="D1038" s="138">
        <v>38</v>
      </c>
      <c r="E1038" t="s" s="85">
        <v>765</v>
      </c>
      <c r="F1038" t="s" s="86">
        <v>329</v>
      </c>
      <c r="G1038" s="139">
        <v>68</v>
      </c>
      <c r="H1038" t="s" s="140">
        <v>127</v>
      </c>
      <c r="I1038" t="s" s="141">
        <v>127</v>
      </c>
      <c r="J1038" t="s" s="141">
        <v>97</v>
      </c>
      <c r="K1038" t="str" s="142" cm="1">
        <f t="array" ref="K1038">IF(OR(H1038="ריביות",AND(H1038="דירה כצנלסון",G1038&lt;0,ISNUMBER(SEARCH("הכנסה",F1038)))),"הכנסה שסווגה מחדש",J1038)</f>
        <v>שוטף</v>
      </c>
      <c r="L1038" t="s" s="141">
        <v>741</v>
      </c>
      <c r="M1038" s="143" cm="1">
        <f t="array" ref="M1038">IF(L1038="מאושר",IF(K1038="הכנסה שסווגה מחדש",0,G1038),0)</f>
        <v>68</v>
      </c>
      <c r="N1038" s="143" cm="1">
        <f t="array" ref="N1038">IF(K1038="שוטף",M1038,0)</f>
        <v>68</v>
      </c>
      <c r="O1038" s="143" cm="1">
        <f t="array" ref="O1038">IF(K1038="הכנסה שסווגה מחדש",-G1038,0)</f>
        <v>0</v>
      </c>
      <c r="P1038" t="s" s="86">
        <v>783</v>
      </c>
      <c r="Q1038" s="99"/>
      <c r="R1038" t="s" s="144">
        <v>743</v>
      </c>
      <c r="S1038" s="77"/>
    </row>
    <row r="1039" ht="13.65" customHeight="1">
      <c r="A1039" s="78">
        <v>45962</v>
      </c>
      <c r="B1039" t="s" s="79">
        <v>54</v>
      </c>
      <c r="C1039" t="s" s="80">
        <v>825</v>
      </c>
      <c r="D1039" s="131">
        <v>39</v>
      </c>
      <c r="E1039" t="s" s="79">
        <v>789</v>
      </c>
      <c r="F1039" t="s" s="80">
        <v>200</v>
      </c>
      <c r="G1039" s="132">
        <v>465</v>
      </c>
      <c r="H1039" t="s" s="133">
        <v>109</v>
      </c>
      <c r="I1039" t="s" s="134">
        <v>109</v>
      </c>
      <c r="J1039" t="s" s="134">
        <v>97</v>
      </c>
      <c r="K1039" t="str" s="135" cm="1">
        <f t="array" ref="K1039">IF(OR(H1039="ריביות",AND(H1039="דירה כצנלסון",G1039&lt;0,ISNUMBER(SEARCH("הכנסה",F1039)))),"הכנסה שסווגה מחדש",J1039)</f>
        <v>שוטף</v>
      </c>
      <c r="L1039" t="s" s="134">
        <v>741</v>
      </c>
      <c r="M1039" s="136" cm="1">
        <f t="array" ref="M1039">IF(L1039="מאושר",IF(K1039="הכנסה שסווגה מחדש",0,G1039),0)</f>
        <v>465</v>
      </c>
      <c r="N1039" s="136" cm="1">
        <f t="array" ref="N1039">IF(K1039="שוטף",M1039,0)</f>
        <v>465</v>
      </c>
      <c r="O1039" s="136" cm="1">
        <f t="array" ref="O1039">IF(K1039="הכנסה שסווגה מחדש",-G1039,0)</f>
        <v>0</v>
      </c>
      <c r="P1039" t="s" s="80">
        <v>826</v>
      </c>
      <c r="Q1039" s="100"/>
      <c r="R1039" t="s" s="137">
        <v>743</v>
      </c>
      <c r="S1039" s="77"/>
    </row>
    <row r="1040" ht="13.65" customHeight="1">
      <c r="A1040" s="84">
        <v>45962</v>
      </c>
      <c r="B1040" t="s" s="85">
        <v>54</v>
      </c>
      <c r="C1040" t="s" s="86">
        <v>825</v>
      </c>
      <c r="D1040" s="138">
        <v>40</v>
      </c>
      <c r="E1040" s="99"/>
      <c r="F1040" t="s" s="86">
        <v>201</v>
      </c>
      <c r="G1040" s="139">
        <v>512</v>
      </c>
      <c r="H1040" t="s" s="140">
        <v>210</v>
      </c>
      <c r="I1040" t="s" s="141">
        <v>102</v>
      </c>
      <c r="J1040" t="s" s="141">
        <v>103</v>
      </c>
      <c r="K1040" t="str" s="142" cm="1">
        <f t="array" ref="K1040">IF(OR(H1040="ריביות",AND(H1040="דירה כצנלסון",G1040&lt;0,ISNUMBER(SEARCH("הכנסה",F1040)))),"הכנסה שסווגה מחדש",J1040)</f>
        <v>חריג</v>
      </c>
      <c r="L1040" t="s" s="141">
        <v>741</v>
      </c>
      <c r="M1040" s="143" cm="1">
        <f t="array" ref="M1040">IF(L1040="מאושר",IF(K1040="הכנסה שסווגה מחדש",0,G1040),0)</f>
        <v>512</v>
      </c>
      <c r="N1040" s="143" cm="1">
        <f t="array" ref="N1040">IF(K1040="שוטף",M1040,0)</f>
        <v>0</v>
      </c>
      <c r="O1040" s="143" cm="1">
        <f t="array" ref="O1040">IF(K1040="הכנסה שסווגה מחדש",-G1040,0)</f>
        <v>0</v>
      </c>
      <c r="P1040" t="s" s="86">
        <v>762</v>
      </c>
      <c r="Q1040" s="99"/>
      <c r="R1040" t="s" s="144">
        <v>743</v>
      </c>
      <c r="S1040" s="77"/>
    </row>
    <row r="1041" ht="13.65" customHeight="1">
      <c r="A1041" s="78">
        <v>45962</v>
      </c>
      <c r="B1041" t="s" s="79">
        <v>54</v>
      </c>
      <c r="C1041" t="s" s="80">
        <v>825</v>
      </c>
      <c r="D1041" s="131">
        <v>41</v>
      </c>
      <c r="E1041" t="s" s="79">
        <v>827</v>
      </c>
      <c r="F1041" t="s" s="80">
        <v>327</v>
      </c>
      <c r="G1041" s="132">
        <v>663</v>
      </c>
      <c r="H1041" t="s" s="133">
        <v>210</v>
      </c>
      <c r="I1041" t="s" s="134">
        <v>102</v>
      </c>
      <c r="J1041" t="s" s="134">
        <v>103</v>
      </c>
      <c r="K1041" t="str" s="135" cm="1">
        <f t="array" ref="K1041">IF(OR(H1041="ריביות",AND(H1041="דירה כצנלסון",G1041&lt;0,ISNUMBER(SEARCH("הכנסה",F1041)))),"הכנסה שסווגה מחדש",J1041)</f>
        <v>חריג</v>
      </c>
      <c r="L1041" t="s" s="134">
        <v>741</v>
      </c>
      <c r="M1041" s="136" cm="1">
        <f t="array" ref="M1041">IF(L1041="מאושר",IF(K1041="הכנסה שסווגה מחדש",0,G1041),0)</f>
        <v>663</v>
      </c>
      <c r="N1041" s="136" cm="1">
        <f t="array" ref="N1041">IF(K1041="שוטף",M1041,0)</f>
        <v>0</v>
      </c>
      <c r="O1041" s="136" cm="1">
        <f t="array" ref="O1041">IF(K1041="הכנסה שסווגה מחדש",-G1041,0)</f>
        <v>0</v>
      </c>
      <c r="P1041" t="s" s="80">
        <v>762</v>
      </c>
      <c r="Q1041" s="100"/>
      <c r="R1041" t="s" s="137">
        <v>743</v>
      </c>
      <c r="S1041" s="77"/>
    </row>
    <row r="1042" ht="13.65" customHeight="1">
      <c r="A1042" s="84">
        <v>45962</v>
      </c>
      <c r="B1042" t="s" s="85">
        <v>54</v>
      </c>
      <c r="C1042" t="s" s="86">
        <v>825</v>
      </c>
      <c r="D1042" s="138">
        <v>42</v>
      </c>
      <c r="E1042" t="s" s="85">
        <v>828</v>
      </c>
      <c r="F1042" t="s" s="86">
        <v>223</v>
      </c>
      <c r="G1042" s="139">
        <v>52</v>
      </c>
      <c r="H1042" t="s" s="140">
        <v>117</v>
      </c>
      <c r="I1042" t="s" s="141">
        <v>117</v>
      </c>
      <c r="J1042" t="s" s="141">
        <v>97</v>
      </c>
      <c r="K1042" t="str" s="142" cm="1">
        <f t="array" ref="K1042">IF(OR(H1042="ריביות",AND(H1042="דירה כצנלסון",G1042&lt;0,ISNUMBER(SEARCH("הכנסה",F1042)))),"הכנסה שסווגה מחדש",J1042)</f>
        <v>שוטף</v>
      </c>
      <c r="L1042" t="s" s="141">
        <v>741</v>
      </c>
      <c r="M1042" s="143" cm="1">
        <f t="array" ref="M1042">IF(L1042="מאושר",IF(K1042="הכנסה שסווגה מחדש",0,G1042),0)</f>
        <v>52</v>
      </c>
      <c r="N1042" s="143" cm="1">
        <f t="array" ref="N1042">IF(K1042="שוטף",M1042,0)</f>
        <v>52</v>
      </c>
      <c r="O1042" s="143" cm="1">
        <f t="array" ref="O1042">IF(K1042="הכנסה שסווגה מחדש",-G1042,0)</f>
        <v>0</v>
      </c>
      <c r="P1042" t="s" s="86">
        <v>762</v>
      </c>
      <c r="Q1042" s="99"/>
      <c r="R1042" t="s" s="144">
        <v>743</v>
      </c>
      <c r="S1042" s="77"/>
    </row>
    <row r="1043" ht="13.65" customHeight="1">
      <c r="A1043" s="78">
        <v>45962</v>
      </c>
      <c r="B1043" t="s" s="79">
        <v>54</v>
      </c>
      <c r="C1043" t="s" s="80">
        <v>825</v>
      </c>
      <c r="D1043" s="131">
        <v>43</v>
      </c>
      <c r="E1043" t="s" s="79">
        <v>30</v>
      </c>
      <c r="F1043" t="s" s="80">
        <v>213</v>
      </c>
      <c r="G1043" s="132">
        <v>234</v>
      </c>
      <c r="H1043" t="s" s="133">
        <v>115</v>
      </c>
      <c r="I1043" t="s" s="134">
        <v>115</v>
      </c>
      <c r="J1043" t="s" s="134">
        <v>97</v>
      </c>
      <c r="K1043" t="str" s="135" cm="1">
        <f t="array" ref="K1043">IF(OR(H1043="ריביות",AND(H1043="דירה כצנלסון",G1043&lt;0,ISNUMBER(SEARCH("הכנסה",F1043)))),"הכנסה שסווגה מחדש",J1043)</f>
        <v>שוטף</v>
      </c>
      <c r="L1043" t="s" s="134">
        <v>741</v>
      </c>
      <c r="M1043" s="136" cm="1">
        <f t="array" ref="M1043">IF(L1043="מאושר",IF(K1043="הכנסה שסווגה מחדש",0,G1043),0)</f>
        <v>234</v>
      </c>
      <c r="N1043" s="136" cm="1">
        <f t="array" ref="N1043">IF(K1043="שוטף",M1043,0)</f>
        <v>234</v>
      </c>
      <c r="O1043" s="136" cm="1">
        <f t="array" ref="O1043">IF(K1043="הכנסה שסווגה מחדש",-G1043,0)</f>
        <v>0</v>
      </c>
      <c r="P1043" t="s" s="80">
        <v>762</v>
      </c>
      <c r="Q1043" s="100"/>
      <c r="R1043" t="s" s="137">
        <v>743</v>
      </c>
      <c r="S1043" s="77"/>
    </row>
    <row r="1044" ht="13.65" customHeight="1">
      <c r="A1044" s="84">
        <v>45962</v>
      </c>
      <c r="B1044" t="s" s="85">
        <v>54</v>
      </c>
      <c r="C1044" t="s" s="86">
        <v>825</v>
      </c>
      <c r="D1044" s="138">
        <v>44</v>
      </c>
      <c r="E1044" t="s" s="85">
        <v>34</v>
      </c>
      <c r="F1044" t="s" s="86">
        <v>200</v>
      </c>
      <c r="G1044" s="139">
        <v>23</v>
      </c>
      <c r="H1044" t="s" s="140">
        <v>109</v>
      </c>
      <c r="I1044" t="s" s="141">
        <v>109</v>
      </c>
      <c r="J1044" t="s" s="141">
        <v>97</v>
      </c>
      <c r="K1044" t="str" s="142" cm="1">
        <f t="array" ref="K1044">IF(OR(H1044="ריביות",AND(H1044="דירה כצנלסון",G1044&lt;0,ISNUMBER(SEARCH("הכנסה",F1044)))),"הכנסה שסווגה מחדש",J1044)</f>
        <v>שוטף</v>
      </c>
      <c r="L1044" t="s" s="141">
        <v>741</v>
      </c>
      <c r="M1044" s="143" cm="1">
        <f t="array" ref="M1044">IF(L1044="מאושר",IF(K1044="הכנסה שסווגה מחדש",0,G1044),0)</f>
        <v>23</v>
      </c>
      <c r="N1044" s="143" cm="1">
        <f t="array" ref="N1044">IF(K1044="שוטף",M1044,0)</f>
        <v>23</v>
      </c>
      <c r="O1044" s="143" cm="1">
        <f t="array" ref="O1044">IF(K1044="הכנסה שסווגה מחדש",-G1044,0)</f>
        <v>0</v>
      </c>
      <c r="P1044" t="s" s="86">
        <v>762</v>
      </c>
      <c r="Q1044" s="99"/>
      <c r="R1044" t="s" s="144">
        <v>743</v>
      </c>
      <c r="S1044" s="77"/>
    </row>
    <row r="1045" ht="13.65" customHeight="1">
      <c r="A1045" s="78">
        <v>45962</v>
      </c>
      <c r="B1045" t="s" s="79">
        <v>54</v>
      </c>
      <c r="C1045" t="s" s="80">
        <v>825</v>
      </c>
      <c r="D1045" s="131">
        <v>45</v>
      </c>
      <c r="E1045" t="s" s="79">
        <v>42</v>
      </c>
      <c r="F1045" t="s" s="80">
        <v>200</v>
      </c>
      <c r="G1045" s="132">
        <v>20</v>
      </c>
      <c r="H1045" t="s" s="133">
        <v>109</v>
      </c>
      <c r="I1045" t="s" s="134">
        <v>109</v>
      </c>
      <c r="J1045" t="s" s="134">
        <v>97</v>
      </c>
      <c r="K1045" t="str" s="135" cm="1">
        <f t="array" ref="K1045">IF(OR(H1045="ריביות",AND(H1045="דירה כצנלסון",G1045&lt;0,ISNUMBER(SEARCH("הכנסה",F1045)))),"הכנסה שסווגה מחדש",J1045)</f>
        <v>שוטף</v>
      </c>
      <c r="L1045" t="s" s="134">
        <v>741</v>
      </c>
      <c r="M1045" s="136" cm="1">
        <f t="array" ref="M1045">IF(L1045="מאושר",IF(K1045="הכנסה שסווגה מחדש",0,G1045),0)</f>
        <v>20</v>
      </c>
      <c r="N1045" s="136" cm="1">
        <f t="array" ref="N1045">IF(K1045="שוטף",M1045,0)</f>
        <v>20</v>
      </c>
      <c r="O1045" s="136" cm="1">
        <f t="array" ref="O1045">IF(K1045="הכנסה שסווגה מחדש",-G1045,0)</f>
        <v>0</v>
      </c>
      <c r="P1045" t="s" s="80">
        <v>762</v>
      </c>
      <c r="Q1045" s="100"/>
      <c r="R1045" t="s" s="137">
        <v>743</v>
      </c>
      <c r="S1045" s="77"/>
    </row>
    <row r="1046" ht="13.65" customHeight="1">
      <c r="A1046" s="84">
        <v>45962</v>
      </c>
      <c r="B1046" t="s" s="85">
        <v>54</v>
      </c>
      <c r="C1046" t="s" s="86">
        <v>825</v>
      </c>
      <c r="D1046" s="138">
        <v>46</v>
      </c>
      <c r="E1046" t="s" s="85">
        <v>42</v>
      </c>
      <c r="F1046" t="s" s="86">
        <v>200</v>
      </c>
      <c r="G1046" s="139">
        <v>6</v>
      </c>
      <c r="H1046" t="s" s="140">
        <v>109</v>
      </c>
      <c r="I1046" t="s" s="141">
        <v>109</v>
      </c>
      <c r="J1046" t="s" s="141">
        <v>97</v>
      </c>
      <c r="K1046" t="str" s="142" cm="1">
        <f t="array" ref="K1046">IF(OR(H1046="ריביות",AND(H1046="דירה כצנלסון",G1046&lt;0,ISNUMBER(SEARCH("הכנסה",F1046)))),"הכנסה שסווגה מחדש",J1046)</f>
        <v>שוטף</v>
      </c>
      <c r="L1046" t="s" s="141">
        <v>741</v>
      </c>
      <c r="M1046" s="143" cm="1">
        <f t="array" ref="M1046">IF(L1046="מאושר",IF(K1046="הכנסה שסווגה מחדש",0,G1046),0)</f>
        <v>6</v>
      </c>
      <c r="N1046" s="143" cm="1">
        <f t="array" ref="N1046">IF(K1046="שוטף",M1046,0)</f>
        <v>6</v>
      </c>
      <c r="O1046" s="143" cm="1">
        <f t="array" ref="O1046">IF(K1046="הכנסה שסווגה מחדש",-G1046,0)</f>
        <v>0</v>
      </c>
      <c r="P1046" t="s" s="86">
        <v>762</v>
      </c>
      <c r="Q1046" s="99"/>
      <c r="R1046" t="s" s="144">
        <v>743</v>
      </c>
      <c r="S1046" s="77"/>
    </row>
    <row r="1047" ht="13.65" customHeight="1">
      <c r="A1047" s="78">
        <v>45962</v>
      </c>
      <c r="B1047" t="s" s="79">
        <v>54</v>
      </c>
      <c r="C1047" t="s" s="80">
        <v>825</v>
      </c>
      <c r="D1047" s="131">
        <v>47</v>
      </c>
      <c r="E1047" t="s" s="79">
        <v>769</v>
      </c>
      <c r="F1047" t="s" s="80">
        <v>200</v>
      </c>
      <c r="G1047" s="132">
        <v>50</v>
      </c>
      <c r="H1047" t="s" s="133">
        <v>109</v>
      </c>
      <c r="I1047" t="s" s="134">
        <v>109</v>
      </c>
      <c r="J1047" t="s" s="134">
        <v>97</v>
      </c>
      <c r="K1047" t="str" s="135" cm="1">
        <f t="array" ref="K1047">IF(OR(H1047="ריביות",AND(H1047="דירה כצנלסון",G1047&lt;0,ISNUMBER(SEARCH("הכנסה",F1047)))),"הכנסה שסווגה מחדש",J1047)</f>
        <v>שוטף</v>
      </c>
      <c r="L1047" t="s" s="134">
        <v>741</v>
      </c>
      <c r="M1047" s="136" cm="1">
        <f t="array" ref="M1047">IF(L1047="מאושר",IF(K1047="הכנסה שסווגה מחדש",0,G1047),0)</f>
        <v>50</v>
      </c>
      <c r="N1047" s="136" cm="1">
        <f t="array" ref="N1047">IF(K1047="שוטף",M1047,0)</f>
        <v>50</v>
      </c>
      <c r="O1047" s="136" cm="1">
        <f t="array" ref="O1047">IF(K1047="הכנסה שסווגה מחדש",-G1047,0)</f>
        <v>0</v>
      </c>
      <c r="P1047" t="s" s="80">
        <v>762</v>
      </c>
      <c r="Q1047" s="100"/>
      <c r="R1047" t="s" s="137">
        <v>743</v>
      </c>
      <c r="S1047" s="77"/>
    </row>
    <row r="1048" ht="13.65" customHeight="1">
      <c r="A1048" s="84">
        <v>45962</v>
      </c>
      <c r="B1048" t="s" s="85">
        <v>54</v>
      </c>
      <c r="C1048" t="s" s="86">
        <v>825</v>
      </c>
      <c r="D1048" s="138">
        <v>48</v>
      </c>
      <c r="E1048" t="s" s="85">
        <v>769</v>
      </c>
      <c r="F1048" t="s" s="86">
        <v>254</v>
      </c>
      <c r="G1048" s="139">
        <v>68</v>
      </c>
      <c r="H1048" t="s" s="140">
        <v>109</v>
      </c>
      <c r="I1048" t="s" s="141">
        <v>109</v>
      </c>
      <c r="J1048" t="s" s="141">
        <v>97</v>
      </c>
      <c r="K1048" t="str" s="142" cm="1">
        <f t="array" ref="K1048">IF(OR(H1048="ריביות",AND(H1048="דירה כצנלסון",G1048&lt;0,ISNUMBER(SEARCH("הכנסה",F1048)))),"הכנסה שסווגה מחדש",J1048)</f>
        <v>שוטף</v>
      </c>
      <c r="L1048" t="s" s="141">
        <v>741</v>
      </c>
      <c r="M1048" s="143" cm="1">
        <f t="array" ref="M1048">IF(L1048="מאושר",IF(K1048="הכנסה שסווגה מחדש",0,G1048),0)</f>
        <v>68</v>
      </c>
      <c r="N1048" s="143" cm="1">
        <f t="array" ref="N1048">IF(K1048="שוטף",M1048,0)</f>
        <v>68</v>
      </c>
      <c r="O1048" s="143" cm="1">
        <f t="array" ref="O1048">IF(K1048="הכנסה שסווגה מחדש",-G1048,0)</f>
        <v>0</v>
      </c>
      <c r="P1048" t="s" s="86">
        <v>762</v>
      </c>
      <c r="Q1048" s="99"/>
      <c r="R1048" t="s" s="144">
        <v>743</v>
      </c>
      <c r="S1048" s="77"/>
    </row>
    <row r="1049" ht="13.65" customHeight="1">
      <c r="A1049" s="78">
        <v>45962</v>
      </c>
      <c r="B1049" t="s" s="79">
        <v>54</v>
      </c>
      <c r="C1049" t="s" s="80">
        <v>825</v>
      </c>
      <c r="D1049" s="131">
        <v>49</v>
      </c>
      <c r="E1049" t="s" s="79">
        <v>749</v>
      </c>
      <c r="F1049" t="s" s="80">
        <v>209</v>
      </c>
      <c r="G1049" s="132">
        <v>39</v>
      </c>
      <c r="H1049" t="s" s="133">
        <v>113</v>
      </c>
      <c r="I1049" t="s" s="134">
        <v>113</v>
      </c>
      <c r="J1049" t="s" s="134">
        <v>97</v>
      </c>
      <c r="K1049" t="str" s="135" cm="1">
        <f t="array" ref="K1049">IF(OR(H1049="ריביות",AND(H1049="דירה כצנלסון",G1049&lt;0,ISNUMBER(SEARCH("הכנסה",F1049)))),"הכנסה שסווגה מחדש",J1049)</f>
        <v>שוטף</v>
      </c>
      <c r="L1049" t="s" s="134">
        <v>741</v>
      </c>
      <c r="M1049" s="136" cm="1">
        <f t="array" ref="M1049">IF(L1049="מאושר",IF(K1049="הכנסה שסווגה מחדש",0,G1049),0)</f>
        <v>39</v>
      </c>
      <c r="N1049" s="136" cm="1">
        <f t="array" ref="N1049">IF(K1049="שוטף",M1049,0)</f>
        <v>39</v>
      </c>
      <c r="O1049" s="136" cm="1">
        <f t="array" ref="O1049">IF(K1049="הכנסה שסווגה מחדש",-G1049,0)</f>
        <v>0</v>
      </c>
      <c r="P1049" t="s" s="80">
        <v>762</v>
      </c>
      <c r="Q1049" s="100"/>
      <c r="R1049" t="s" s="137">
        <v>743</v>
      </c>
      <c r="S1049" s="77"/>
    </row>
    <row r="1050" ht="13.65" customHeight="1">
      <c r="A1050" s="84">
        <v>45962</v>
      </c>
      <c r="B1050" t="s" s="85">
        <v>54</v>
      </c>
      <c r="C1050" t="s" s="86">
        <v>825</v>
      </c>
      <c r="D1050" s="138">
        <v>50</v>
      </c>
      <c r="E1050" t="s" s="85">
        <v>788</v>
      </c>
      <c r="F1050" t="s" s="86">
        <v>200</v>
      </c>
      <c r="G1050" s="139">
        <v>72</v>
      </c>
      <c r="H1050" t="s" s="140">
        <v>109</v>
      </c>
      <c r="I1050" t="s" s="141">
        <v>109</v>
      </c>
      <c r="J1050" t="s" s="141">
        <v>97</v>
      </c>
      <c r="K1050" t="str" s="142" cm="1">
        <f t="array" ref="K1050">IF(OR(H1050="ריביות",AND(H1050="דירה כצנלסון",G1050&lt;0,ISNUMBER(SEARCH("הכנסה",F1050)))),"הכנסה שסווגה מחדש",J1050)</f>
        <v>שוטף</v>
      </c>
      <c r="L1050" t="s" s="141">
        <v>741</v>
      </c>
      <c r="M1050" s="143" cm="1">
        <f t="array" ref="M1050">IF(L1050="מאושר",IF(K1050="הכנסה שסווגה מחדש",0,G1050),0)</f>
        <v>72</v>
      </c>
      <c r="N1050" s="143" cm="1">
        <f t="array" ref="N1050">IF(K1050="שוטף",M1050,0)</f>
        <v>72</v>
      </c>
      <c r="O1050" s="143" cm="1">
        <f t="array" ref="O1050">IF(K1050="הכנסה שסווגה מחדש",-G1050,0)</f>
        <v>0</v>
      </c>
      <c r="P1050" t="s" s="86">
        <v>762</v>
      </c>
      <c r="Q1050" s="99"/>
      <c r="R1050" t="s" s="144">
        <v>743</v>
      </c>
      <c r="S1050" s="77"/>
    </row>
    <row r="1051" ht="13.65" customHeight="1">
      <c r="A1051" s="78">
        <v>45962</v>
      </c>
      <c r="B1051" t="s" s="79">
        <v>54</v>
      </c>
      <c r="C1051" t="s" s="80">
        <v>825</v>
      </c>
      <c r="D1051" s="131">
        <v>51</v>
      </c>
      <c r="E1051" t="s" s="79">
        <v>751</v>
      </c>
      <c r="F1051" t="s" s="80">
        <v>200</v>
      </c>
      <c r="G1051" s="132">
        <v>26</v>
      </c>
      <c r="H1051" t="s" s="133">
        <v>109</v>
      </c>
      <c r="I1051" t="s" s="134">
        <v>109</v>
      </c>
      <c r="J1051" t="s" s="134">
        <v>97</v>
      </c>
      <c r="K1051" t="str" s="135" cm="1">
        <f t="array" ref="K1051">IF(OR(H1051="ריביות",AND(H1051="דירה כצנלסון",G1051&lt;0,ISNUMBER(SEARCH("הכנסה",F1051)))),"הכנסה שסווגה מחדש",J1051)</f>
        <v>שוטף</v>
      </c>
      <c r="L1051" t="s" s="134">
        <v>741</v>
      </c>
      <c r="M1051" s="136" cm="1">
        <f t="array" ref="M1051">IF(L1051="מאושר",IF(K1051="הכנסה שסווגה מחדש",0,G1051),0)</f>
        <v>26</v>
      </c>
      <c r="N1051" s="136" cm="1">
        <f t="array" ref="N1051">IF(K1051="שוטף",M1051,0)</f>
        <v>26</v>
      </c>
      <c r="O1051" s="136" cm="1">
        <f t="array" ref="O1051">IF(K1051="הכנסה שסווגה מחדש",-G1051,0)</f>
        <v>0</v>
      </c>
      <c r="P1051" t="s" s="80">
        <v>762</v>
      </c>
      <c r="Q1051" s="100"/>
      <c r="R1051" t="s" s="137">
        <v>743</v>
      </c>
      <c r="S1051" s="77"/>
    </row>
    <row r="1052" ht="13.65" customHeight="1">
      <c r="A1052" s="84">
        <v>45962</v>
      </c>
      <c r="B1052" t="s" s="85">
        <v>54</v>
      </c>
      <c r="C1052" t="s" s="86">
        <v>825</v>
      </c>
      <c r="D1052" s="138">
        <v>52</v>
      </c>
      <c r="E1052" t="s" s="85">
        <v>751</v>
      </c>
      <c r="F1052" t="s" s="86">
        <v>488</v>
      </c>
      <c r="G1052" s="139">
        <v>140</v>
      </c>
      <c r="H1052" t="s" s="140">
        <v>121</v>
      </c>
      <c r="I1052" t="s" s="141">
        <v>121</v>
      </c>
      <c r="J1052" t="s" s="141">
        <v>97</v>
      </c>
      <c r="K1052" t="str" s="142" cm="1">
        <f t="array" ref="K1052">IF(OR(H1052="ריביות",AND(H1052="דירה כצנלסון",G1052&lt;0,ISNUMBER(SEARCH("הכנסה",F1052)))),"הכנסה שסווגה מחדש",J1052)</f>
        <v>שוטף</v>
      </c>
      <c r="L1052" t="s" s="141">
        <v>741</v>
      </c>
      <c r="M1052" s="143" cm="1">
        <f t="array" ref="M1052">IF(L1052="מאושר",IF(K1052="הכנסה שסווגה מחדש",0,G1052),0)</f>
        <v>140</v>
      </c>
      <c r="N1052" s="143" cm="1">
        <f t="array" ref="N1052">IF(K1052="שוטף",M1052,0)</f>
        <v>140</v>
      </c>
      <c r="O1052" s="143" cm="1">
        <f t="array" ref="O1052">IF(K1052="הכנסה שסווגה מחדש",-G1052,0)</f>
        <v>0</v>
      </c>
      <c r="P1052" t="s" s="86">
        <v>762</v>
      </c>
      <c r="Q1052" s="99"/>
      <c r="R1052" t="s" s="144">
        <v>743</v>
      </c>
      <c r="S1052" s="77"/>
    </row>
    <row r="1053" ht="13.65" customHeight="1">
      <c r="A1053" s="78">
        <v>45962</v>
      </c>
      <c r="B1053" t="s" s="79">
        <v>54</v>
      </c>
      <c r="C1053" t="s" s="80">
        <v>825</v>
      </c>
      <c r="D1053" s="131">
        <v>53</v>
      </c>
      <c r="E1053" t="s" s="79">
        <v>753</v>
      </c>
      <c r="F1053" t="s" s="80">
        <v>281</v>
      </c>
      <c r="G1053" s="132">
        <v>100</v>
      </c>
      <c r="H1053" t="s" s="133">
        <v>125</v>
      </c>
      <c r="I1053" t="s" s="134">
        <v>125</v>
      </c>
      <c r="J1053" t="s" s="134">
        <v>97</v>
      </c>
      <c r="K1053" t="str" s="135" cm="1">
        <f t="array" ref="K1053">IF(OR(H1053="ריביות",AND(H1053="דירה כצנלסון",G1053&lt;0,ISNUMBER(SEARCH("הכנסה",F1053)))),"הכנסה שסווגה מחדש",J1053)</f>
        <v>שוטף</v>
      </c>
      <c r="L1053" t="s" s="134">
        <v>741</v>
      </c>
      <c r="M1053" s="136" cm="1">
        <f t="array" ref="M1053">IF(L1053="מאושר",IF(K1053="הכנסה שסווגה מחדש",0,G1053),0)</f>
        <v>100</v>
      </c>
      <c r="N1053" s="136" cm="1">
        <f t="array" ref="N1053">IF(K1053="שוטף",M1053,0)</f>
        <v>100</v>
      </c>
      <c r="O1053" s="136" cm="1">
        <f t="array" ref="O1053">IF(K1053="הכנסה שסווגה מחדש",-G1053,0)</f>
        <v>0</v>
      </c>
      <c r="P1053" t="s" s="80">
        <v>762</v>
      </c>
      <c r="Q1053" s="100"/>
      <c r="R1053" t="s" s="137">
        <v>743</v>
      </c>
      <c r="S1053" s="77"/>
    </row>
    <row r="1054" ht="13.65" customHeight="1">
      <c r="A1054" s="84">
        <v>45962</v>
      </c>
      <c r="B1054" t="s" s="85">
        <v>54</v>
      </c>
      <c r="C1054" t="s" s="86">
        <v>825</v>
      </c>
      <c r="D1054" s="138">
        <v>54</v>
      </c>
      <c r="E1054" t="s" s="85">
        <v>739</v>
      </c>
      <c r="F1054" t="s" s="86">
        <v>707</v>
      </c>
      <c r="G1054" s="139">
        <v>-55</v>
      </c>
      <c r="H1054" t="s" s="140">
        <v>135</v>
      </c>
      <c r="I1054" t="s" s="141">
        <v>135</v>
      </c>
      <c r="J1054" t="s" s="141">
        <v>97</v>
      </c>
      <c r="K1054" t="str" s="142" cm="1">
        <f t="array" ref="K1054">IF(OR(H1054="ריביות",AND(H1054="דירה כצנלסון",G1054&lt;0,ISNUMBER(SEARCH("הכנסה",F1054)))),"הכנסה שסווגה מחדש",J1054)</f>
        <v>שוטף</v>
      </c>
      <c r="L1054" t="s" s="141">
        <v>741</v>
      </c>
      <c r="M1054" s="143" cm="1">
        <f t="array" ref="M1054">IF(L1054="מאושר",IF(K1054="הכנסה שסווגה מחדש",0,G1054),0)</f>
        <v>-55</v>
      </c>
      <c r="N1054" s="143" cm="1">
        <f t="array" ref="N1054">IF(K1054="שוטף",M1054,0)</f>
        <v>-55</v>
      </c>
      <c r="O1054" s="143" cm="1">
        <f t="array" ref="O1054">IF(K1054="הכנסה שסווגה מחדש",-G1054,0)</f>
        <v>0</v>
      </c>
      <c r="P1054" t="s" s="86">
        <v>762</v>
      </c>
      <c r="Q1054" s="99"/>
      <c r="R1054" t="s" s="144">
        <v>743</v>
      </c>
      <c r="S1054" s="77"/>
    </row>
    <row r="1055" ht="13.65" customHeight="1">
      <c r="A1055" s="78">
        <v>45962</v>
      </c>
      <c r="B1055" t="s" s="79">
        <v>54</v>
      </c>
      <c r="C1055" t="s" s="80">
        <v>825</v>
      </c>
      <c r="D1055" s="131">
        <v>55</v>
      </c>
      <c r="E1055" t="s" s="79">
        <v>771</v>
      </c>
      <c r="F1055" t="s" s="80">
        <v>200</v>
      </c>
      <c r="G1055" s="132">
        <v>26</v>
      </c>
      <c r="H1055" t="s" s="133">
        <v>109</v>
      </c>
      <c r="I1055" t="s" s="134">
        <v>109</v>
      </c>
      <c r="J1055" t="s" s="134">
        <v>97</v>
      </c>
      <c r="K1055" t="str" s="135" cm="1">
        <f t="array" ref="K1055">IF(OR(H1055="ריביות",AND(H1055="דירה כצנלסון",G1055&lt;0,ISNUMBER(SEARCH("הכנסה",F1055)))),"הכנסה שסווגה מחדש",J1055)</f>
        <v>שוטף</v>
      </c>
      <c r="L1055" t="s" s="134">
        <v>741</v>
      </c>
      <c r="M1055" s="136" cm="1">
        <f t="array" ref="M1055">IF(L1055="מאושר",IF(K1055="הכנסה שסווגה מחדש",0,G1055),0)</f>
        <v>26</v>
      </c>
      <c r="N1055" s="136" cm="1">
        <f t="array" ref="N1055">IF(K1055="שוטף",M1055,0)</f>
        <v>26</v>
      </c>
      <c r="O1055" s="136" cm="1">
        <f t="array" ref="O1055">IF(K1055="הכנסה שסווגה מחדש",-G1055,0)</f>
        <v>0</v>
      </c>
      <c r="P1055" t="s" s="80">
        <v>762</v>
      </c>
      <c r="Q1055" s="100"/>
      <c r="R1055" t="s" s="137">
        <v>743</v>
      </c>
      <c r="S1055" s="77"/>
    </row>
    <row r="1056" ht="13.65" customHeight="1">
      <c r="A1056" s="84">
        <v>45962</v>
      </c>
      <c r="B1056" t="s" s="85">
        <v>54</v>
      </c>
      <c r="C1056" t="s" s="86">
        <v>825</v>
      </c>
      <c r="D1056" s="138">
        <v>56</v>
      </c>
      <c r="E1056" t="s" s="85">
        <v>772</v>
      </c>
      <c r="F1056" t="s" s="86">
        <v>213</v>
      </c>
      <c r="G1056" s="139">
        <v>219</v>
      </c>
      <c r="H1056" t="s" s="140">
        <v>115</v>
      </c>
      <c r="I1056" t="s" s="141">
        <v>115</v>
      </c>
      <c r="J1056" t="s" s="141">
        <v>97</v>
      </c>
      <c r="K1056" t="str" s="142" cm="1">
        <f t="array" ref="K1056">IF(OR(H1056="ריביות",AND(H1056="דירה כצנלסון",G1056&lt;0,ISNUMBER(SEARCH("הכנסה",F1056)))),"הכנסה שסווגה מחדש",J1056)</f>
        <v>שוטף</v>
      </c>
      <c r="L1056" t="s" s="141">
        <v>741</v>
      </c>
      <c r="M1056" s="143" cm="1">
        <f t="array" ref="M1056">IF(L1056="מאושר",IF(K1056="הכנסה שסווגה מחדש",0,G1056),0)</f>
        <v>219</v>
      </c>
      <c r="N1056" s="143" cm="1">
        <f t="array" ref="N1056">IF(K1056="שוטף",M1056,0)</f>
        <v>219</v>
      </c>
      <c r="O1056" s="143" cm="1">
        <f t="array" ref="O1056">IF(K1056="הכנסה שסווגה מחדש",-G1056,0)</f>
        <v>0</v>
      </c>
      <c r="P1056" t="s" s="86">
        <v>762</v>
      </c>
      <c r="Q1056" s="99"/>
      <c r="R1056" t="s" s="144">
        <v>743</v>
      </c>
      <c r="S1056" s="77"/>
    </row>
    <row r="1057" ht="13.65" customHeight="1">
      <c r="A1057" s="78">
        <v>45962</v>
      </c>
      <c r="B1057" t="s" s="79">
        <v>54</v>
      </c>
      <c r="C1057" t="s" s="80">
        <v>825</v>
      </c>
      <c r="D1057" s="131">
        <v>57</v>
      </c>
      <c r="E1057" t="s" s="79">
        <v>754</v>
      </c>
      <c r="F1057" t="s" s="80">
        <v>246</v>
      </c>
      <c r="G1057" s="132">
        <v>2190</v>
      </c>
      <c r="H1057" t="s" s="133">
        <v>117</v>
      </c>
      <c r="I1057" t="s" s="134">
        <v>117</v>
      </c>
      <c r="J1057" t="s" s="134">
        <v>97</v>
      </c>
      <c r="K1057" t="str" s="135" cm="1">
        <f t="array" ref="K1057">IF(OR(H1057="ריביות",AND(H1057="דירה כצנלסון",G1057&lt;0,ISNUMBER(SEARCH("הכנסה",F1057)))),"הכנסה שסווגה מחדש",J1057)</f>
        <v>שוטף</v>
      </c>
      <c r="L1057" t="s" s="134">
        <v>741</v>
      </c>
      <c r="M1057" s="136" cm="1">
        <f t="array" ref="M1057">IF(L1057="מאושר",IF(K1057="הכנסה שסווגה מחדש",0,G1057),0)</f>
        <v>2190</v>
      </c>
      <c r="N1057" s="136" cm="1">
        <f t="array" ref="N1057">IF(K1057="שוטף",M1057,0)</f>
        <v>2190</v>
      </c>
      <c r="O1057" s="136" cm="1">
        <f t="array" ref="O1057">IF(K1057="הכנסה שסווגה מחדש",-G1057,0)</f>
        <v>0</v>
      </c>
      <c r="P1057" t="s" s="80">
        <v>762</v>
      </c>
      <c r="Q1057" s="100"/>
      <c r="R1057" t="s" s="137">
        <v>743</v>
      </c>
      <c r="S1057" s="77"/>
    </row>
    <row r="1058" ht="13.65" customHeight="1">
      <c r="A1058" s="84">
        <v>45962</v>
      </c>
      <c r="B1058" t="s" s="85">
        <v>54</v>
      </c>
      <c r="C1058" t="s" s="86">
        <v>825</v>
      </c>
      <c r="D1058" s="138">
        <v>58</v>
      </c>
      <c r="E1058" t="s" s="85">
        <v>790</v>
      </c>
      <c r="F1058" t="s" s="86">
        <v>254</v>
      </c>
      <c r="G1058" s="139">
        <v>56</v>
      </c>
      <c r="H1058" t="s" s="140">
        <v>109</v>
      </c>
      <c r="I1058" t="s" s="141">
        <v>109</v>
      </c>
      <c r="J1058" t="s" s="141">
        <v>97</v>
      </c>
      <c r="K1058" t="str" s="142" cm="1">
        <f t="array" ref="K1058">IF(OR(H1058="ריביות",AND(H1058="דירה כצנלסון",G1058&lt;0,ISNUMBER(SEARCH("הכנסה",F1058)))),"הכנסה שסווגה מחדש",J1058)</f>
        <v>שוטף</v>
      </c>
      <c r="L1058" t="s" s="141">
        <v>741</v>
      </c>
      <c r="M1058" s="143" cm="1">
        <f t="array" ref="M1058">IF(L1058="מאושר",IF(K1058="הכנסה שסווגה מחדש",0,G1058),0)</f>
        <v>56</v>
      </c>
      <c r="N1058" s="143" cm="1">
        <f t="array" ref="N1058">IF(K1058="שוטף",M1058,0)</f>
        <v>56</v>
      </c>
      <c r="O1058" s="143" cm="1">
        <f t="array" ref="O1058">IF(K1058="הכנסה שסווגה מחדש",-G1058,0)</f>
        <v>0</v>
      </c>
      <c r="P1058" t="s" s="86">
        <v>762</v>
      </c>
      <c r="Q1058" s="99"/>
      <c r="R1058" t="s" s="144">
        <v>743</v>
      </c>
      <c r="S1058" s="77"/>
    </row>
    <row r="1059" ht="13.65" customHeight="1">
      <c r="A1059" s="78">
        <v>45962</v>
      </c>
      <c r="B1059" t="s" s="79">
        <v>54</v>
      </c>
      <c r="C1059" t="s" s="80">
        <v>825</v>
      </c>
      <c r="D1059" s="131">
        <v>59</v>
      </c>
      <c r="E1059" t="s" s="79">
        <v>744</v>
      </c>
      <c r="F1059" t="s" s="80">
        <v>623</v>
      </c>
      <c r="G1059" s="132">
        <v>43</v>
      </c>
      <c r="H1059" t="s" s="133">
        <v>113</v>
      </c>
      <c r="I1059" t="s" s="134">
        <v>113</v>
      </c>
      <c r="J1059" t="s" s="134">
        <v>97</v>
      </c>
      <c r="K1059" t="str" s="135" cm="1">
        <f t="array" ref="K1059">IF(OR(H1059="ריביות",AND(H1059="דירה כצנלסון",G1059&lt;0,ISNUMBER(SEARCH("הכנסה",F1059)))),"הכנסה שסווגה מחדש",J1059)</f>
        <v>שוטף</v>
      </c>
      <c r="L1059" t="s" s="134">
        <v>741</v>
      </c>
      <c r="M1059" s="136" cm="1">
        <f t="array" ref="M1059">IF(L1059="מאושר",IF(K1059="הכנסה שסווגה מחדש",0,G1059),0)</f>
        <v>43</v>
      </c>
      <c r="N1059" s="136" cm="1">
        <f t="array" ref="N1059">IF(K1059="שוטף",M1059,0)</f>
        <v>43</v>
      </c>
      <c r="O1059" s="136" cm="1">
        <f t="array" ref="O1059">IF(K1059="הכנסה שסווגה מחדש",-G1059,0)</f>
        <v>0</v>
      </c>
      <c r="P1059" t="s" s="80">
        <v>762</v>
      </c>
      <c r="Q1059" s="100"/>
      <c r="R1059" t="s" s="137">
        <v>743</v>
      </c>
      <c r="S1059" s="77"/>
    </row>
    <row r="1060" ht="13.65" customHeight="1">
      <c r="A1060" s="84">
        <v>45962</v>
      </c>
      <c r="B1060" t="s" s="85">
        <v>54</v>
      </c>
      <c r="C1060" t="s" s="86">
        <v>825</v>
      </c>
      <c r="D1060" s="138">
        <v>60</v>
      </c>
      <c r="E1060" t="s" s="85">
        <v>774</v>
      </c>
      <c r="F1060" t="s" s="86">
        <v>281</v>
      </c>
      <c r="G1060" s="139">
        <v>105</v>
      </c>
      <c r="H1060" t="s" s="140">
        <v>125</v>
      </c>
      <c r="I1060" t="s" s="141">
        <v>125</v>
      </c>
      <c r="J1060" t="s" s="141">
        <v>97</v>
      </c>
      <c r="K1060" t="str" s="142" cm="1">
        <f t="array" ref="K1060">IF(OR(H1060="ריביות",AND(H1060="דירה כצנלסון",G1060&lt;0,ISNUMBER(SEARCH("הכנסה",F1060)))),"הכנסה שסווגה מחדש",J1060)</f>
        <v>שוטף</v>
      </c>
      <c r="L1060" t="s" s="141">
        <v>741</v>
      </c>
      <c r="M1060" s="143" cm="1">
        <f t="array" ref="M1060">IF(L1060="מאושר",IF(K1060="הכנסה שסווגה מחדש",0,G1060),0)</f>
        <v>105</v>
      </c>
      <c r="N1060" s="143" cm="1">
        <f t="array" ref="N1060">IF(K1060="שוטף",M1060,0)</f>
        <v>105</v>
      </c>
      <c r="O1060" s="143" cm="1">
        <f t="array" ref="O1060">IF(K1060="הכנסה שסווגה מחדש",-G1060,0)</f>
        <v>0</v>
      </c>
      <c r="P1060" t="s" s="86">
        <v>762</v>
      </c>
      <c r="Q1060" s="99"/>
      <c r="R1060" t="s" s="144">
        <v>743</v>
      </c>
      <c r="S1060" s="77"/>
    </row>
    <row r="1061" ht="13.65" customHeight="1">
      <c r="A1061" s="78">
        <v>45962</v>
      </c>
      <c r="B1061" t="s" s="79">
        <v>54</v>
      </c>
      <c r="C1061" t="s" s="80">
        <v>825</v>
      </c>
      <c r="D1061" s="131">
        <v>61</v>
      </c>
      <c r="E1061" t="s" s="79">
        <v>774</v>
      </c>
      <c r="F1061" t="s" s="80">
        <v>209</v>
      </c>
      <c r="G1061" s="132">
        <v>25</v>
      </c>
      <c r="H1061" t="s" s="133">
        <v>113</v>
      </c>
      <c r="I1061" t="s" s="134">
        <v>113</v>
      </c>
      <c r="J1061" t="s" s="134">
        <v>97</v>
      </c>
      <c r="K1061" t="str" s="135" cm="1">
        <f t="array" ref="K1061">IF(OR(H1061="ריביות",AND(H1061="דירה כצנלסון",G1061&lt;0,ISNUMBER(SEARCH("הכנסה",F1061)))),"הכנסה שסווגה מחדש",J1061)</f>
        <v>שוטף</v>
      </c>
      <c r="L1061" t="s" s="134">
        <v>741</v>
      </c>
      <c r="M1061" s="136" cm="1">
        <f t="array" ref="M1061">IF(L1061="מאושר",IF(K1061="הכנסה שסווגה מחדש",0,G1061),0)</f>
        <v>25</v>
      </c>
      <c r="N1061" s="136" cm="1">
        <f t="array" ref="N1061">IF(K1061="שוטף",M1061,0)</f>
        <v>25</v>
      </c>
      <c r="O1061" s="136" cm="1">
        <f t="array" ref="O1061">IF(K1061="הכנסה שסווגה מחדש",-G1061,0)</f>
        <v>0</v>
      </c>
      <c r="P1061" t="s" s="80">
        <v>762</v>
      </c>
      <c r="Q1061" s="100"/>
      <c r="R1061" t="s" s="137">
        <v>743</v>
      </c>
      <c r="S1061" s="77"/>
    </row>
    <row r="1062" ht="13.65" customHeight="1">
      <c r="A1062" s="84">
        <v>45962</v>
      </c>
      <c r="B1062" t="s" s="85">
        <v>54</v>
      </c>
      <c r="C1062" t="s" s="86">
        <v>825</v>
      </c>
      <c r="D1062" s="138">
        <v>62</v>
      </c>
      <c r="E1062" t="s" s="85">
        <v>768</v>
      </c>
      <c r="F1062" t="s" s="86">
        <v>254</v>
      </c>
      <c r="G1062" s="139">
        <v>31</v>
      </c>
      <c r="H1062" t="s" s="140">
        <v>109</v>
      </c>
      <c r="I1062" t="s" s="141">
        <v>109</v>
      </c>
      <c r="J1062" t="s" s="141">
        <v>97</v>
      </c>
      <c r="K1062" t="str" s="142" cm="1">
        <f t="array" ref="K1062">IF(OR(H1062="ריביות",AND(H1062="דירה כצנלסון",G1062&lt;0,ISNUMBER(SEARCH("הכנסה",F1062)))),"הכנסה שסווגה מחדש",J1062)</f>
        <v>שוטף</v>
      </c>
      <c r="L1062" t="s" s="141">
        <v>741</v>
      </c>
      <c r="M1062" s="143" cm="1">
        <f t="array" ref="M1062">IF(L1062="מאושר",IF(K1062="הכנסה שסווגה מחדש",0,G1062),0)</f>
        <v>31</v>
      </c>
      <c r="N1062" s="143" cm="1">
        <f t="array" ref="N1062">IF(K1062="שוטף",M1062,0)</f>
        <v>31</v>
      </c>
      <c r="O1062" s="143" cm="1">
        <f t="array" ref="O1062">IF(K1062="הכנסה שסווגה מחדש",-G1062,0)</f>
        <v>0</v>
      </c>
      <c r="P1062" t="s" s="86">
        <v>762</v>
      </c>
      <c r="Q1062" s="99"/>
      <c r="R1062" t="s" s="144">
        <v>743</v>
      </c>
      <c r="S1062" s="77"/>
    </row>
    <row r="1063" ht="13.65" customHeight="1">
      <c r="A1063" s="78">
        <v>45962</v>
      </c>
      <c r="B1063" t="s" s="79">
        <v>54</v>
      </c>
      <c r="C1063" t="s" s="80">
        <v>825</v>
      </c>
      <c r="D1063" s="131">
        <v>63</v>
      </c>
      <c r="E1063" t="s" s="79">
        <v>768</v>
      </c>
      <c r="F1063" t="s" s="80">
        <v>349</v>
      </c>
      <c r="G1063" s="132">
        <v>33</v>
      </c>
      <c r="H1063" t="s" s="133">
        <v>113</v>
      </c>
      <c r="I1063" t="s" s="134">
        <v>113</v>
      </c>
      <c r="J1063" t="s" s="134">
        <v>97</v>
      </c>
      <c r="K1063" t="str" s="135" cm="1">
        <f t="array" ref="K1063">IF(OR(H1063="ריביות",AND(H1063="דירה כצנלסון",G1063&lt;0,ISNUMBER(SEARCH("הכנסה",F1063)))),"הכנסה שסווגה מחדש",J1063)</f>
        <v>שוטף</v>
      </c>
      <c r="L1063" t="s" s="134">
        <v>741</v>
      </c>
      <c r="M1063" s="136" cm="1">
        <f t="array" ref="M1063">IF(L1063="מאושר",IF(K1063="הכנסה שסווגה מחדש",0,G1063),0)</f>
        <v>33</v>
      </c>
      <c r="N1063" s="136" cm="1">
        <f t="array" ref="N1063">IF(K1063="שוטף",M1063,0)</f>
        <v>33</v>
      </c>
      <c r="O1063" s="136" cm="1">
        <f t="array" ref="O1063">IF(K1063="הכנסה שסווגה מחדש",-G1063,0)</f>
        <v>0</v>
      </c>
      <c r="P1063" t="s" s="80">
        <v>762</v>
      </c>
      <c r="Q1063" s="100"/>
      <c r="R1063" t="s" s="137">
        <v>743</v>
      </c>
      <c r="S1063" s="77"/>
    </row>
    <row r="1064" ht="13.65" customHeight="1">
      <c r="A1064" s="84">
        <v>45962</v>
      </c>
      <c r="B1064" t="s" s="85">
        <v>54</v>
      </c>
      <c r="C1064" t="s" s="86">
        <v>825</v>
      </c>
      <c r="D1064" s="138">
        <v>64</v>
      </c>
      <c r="E1064" t="s" s="85">
        <v>766</v>
      </c>
      <c r="F1064" t="s" s="86">
        <v>254</v>
      </c>
      <c r="G1064" s="139">
        <v>26</v>
      </c>
      <c r="H1064" t="s" s="140">
        <v>109</v>
      </c>
      <c r="I1064" t="s" s="141">
        <v>109</v>
      </c>
      <c r="J1064" t="s" s="141">
        <v>97</v>
      </c>
      <c r="K1064" t="str" s="142" cm="1">
        <f t="array" ref="K1064">IF(OR(H1064="ריביות",AND(H1064="דירה כצנלסון",G1064&lt;0,ISNUMBER(SEARCH("הכנסה",F1064)))),"הכנסה שסווגה מחדש",J1064)</f>
        <v>שוטף</v>
      </c>
      <c r="L1064" t="s" s="141">
        <v>741</v>
      </c>
      <c r="M1064" s="143" cm="1">
        <f t="array" ref="M1064">IF(L1064="מאושר",IF(K1064="הכנסה שסווגה מחדש",0,G1064),0)</f>
        <v>26</v>
      </c>
      <c r="N1064" s="143" cm="1">
        <f t="array" ref="N1064">IF(K1064="שוטף",M1064,0)</f>
        <v>26</v>
      </c>
      <c r="O1064" s="143" cm="1">
        <f t="array" ref="O1064">IF(K1064="הכנסה שסווגה מחדש",-G1064,0)</f>
        <v>0</v>
      </c>
      <c r="P1064" t="s" s="86">
        <v>762</v>
      </c>
      <c r="Q1064" s="99"/>
      <c r="R1064" t="s" s="144">
        <v>743</v>
      </c>
      <c r="S1064" s="77"/>
    </row>
    <row r="1065" ht="13.65" customHeight="1">
      <c r="A1065" s="78">
        <v>45962</v>
      </c>
      <c r="B1065" t="s" s="79">
        <v>54</v>
      </c>
      <c r="C1065" t="s" s="80">
        <v>825</v>
      </c>
      <c r="D1065" s="131">
        <v>65</v>
      </c>
      <c r="E1065" t="s" s="79">
        <v>766</v>
      </c>
      <c r="F1065" t="s" s="80">
        <v>254</v>
      </c>
      <c r="G1065" s="132">
        <v>19</v>
      </c>
      <c r="H1065" t="s" s="133">
        <v>109</v>
      </c>
      <c r="I1065" t="s" s="134">
        <v>109</v>
      </c>
      <c r="J1065" t="s" s="134">
        <v>97</v>
      </c>
      <c r="K1065" t="str" s="135" cm="1">
        <f t="array" ref="K1065">IF(OR(H1065="ריביות",AND(H1065="דירה כצנלסון",G1065&lt;0,ISNUMBER(SEARCH("הכנסה",F1065)))),"הכנסה שסווגה מחדש",J1065)</f>
        <v>שוטף</v>
      </c>
      <c r="L1065" t="s" s="134">
        <v>741</v>
      </c>
      <c r="M1065" s="136" cm="1">
        <f t="array" ref="M1065">IF(L1065="מאושר",IF(K1065="הכנסה שסווגה מחדש",0,G1065),0)</f>
        <v>19</v>
      </c>
      <c r="N1065" s="136" cm="1">
        <f t="array" ref="N1065">IF(K1065="שוטף",M1065,0)</f>
        <v>19</v>
      </c>
      <c r="O1065" s="136" cm="1">
        <f t="array" ref="O1065">IF(K1065="הכנסה שסווגה מחדש",-G1065,0)</f>
        <v>0</v>
      </c>
      <c r="P1065" t="s" s="80">
        <v>762</v>
      </c>
      <c r="Q1065" s="100"/>
      <c r="R1065" t="s" s="137">
        <v>743</v>
      </c>
      <c r="S1065" s="77"/>
    </row>
    <row r="1066" ht="13.65" customHeight="1">
      <c r="A1066" s="84">
        <v>45962</v>
      </c>
      <c r="B1066" t="s" s="85">
        <v>54</v>
      </c>
      <c r="C1066" t="s" s="86">
        <v>825</v>
      </c>
      <c r="D1066" s="138">
        <v>66</v>
      </c>
      <c r="E1066" t="s" s="85">
        <v>765</v>
      </c>
      <c r="F1066" t="s" s="86">
        <v>209</v>
      </c>
      <c r="G1066" s="139">
        <v>67</v>
      </c>
      <c r="H1066" t="s" s="140">
        <v>113</v>
      </c>
      <c r="I1066" t="s" s="141">
        <v>113</v>
      </c>
      <c r="J1066" t="s" s="141">
        <v>97</v>
      </c>
      <c r="K1066" t="str" s="142" cm="1">
        <f t="array" ref="K1066">IF(OR(H1066="ריביות",AND(H1066="דירה כצנלסון",G1066&lt;0,ISNUMBER(SEARCH("הכנסה",F1066)))),"הכנסה שסווגה מחדש",J1066)</f>
        <v>שוטף</v>
      </c>
      <c r="L1066" t="s" s="141">
        <v>741</v>
      </c>
      <c r="M1066" s="143" cm="1">
        <f t="array" ref="M1066">IF(L1066="מאושר",IF(K1066="הכנסה שסווגה מחדש",0,G1066),0)</f>
        <v>67</v>
      </c>
      <c r="N1066" s="143" cm="1">
        <f t="array" ref="N1066">IF(K1066="שוטף",M1066,0)</f>
        <v>67</v>
      </c>
      <c r="O1066" s="143" cm="1">
        <f t="array" ref="O1066">IF(K1066="הכנסה שסווגה מחדש",-G1066,0)</f>
        <v>0</v>
      </c>
      <c r="P1066" t="s" s="86">
        <v>762</v>
      </c>
      <c r="Q1066" s="99"/>
      <c r="R1066" t="s" s="144">
        <v>743</v>
      </c>
      <c r="S1066" s="77"/>
    </row>
    <row r="1067" ht="13.65" customHeight="1">
      <c r="A1067" s="78">
        <v>45962</v>
      </c>
      <c r="B1067" t="s" s="79">
        <v>54</v>
      </c>
      <c r="C1067" t="s" s="80">
        <v>825</v>
      </c>
      <c r="D1067" s="131">
        <v>67</v>
      </c>
      <c r="E1067" t="s" s="79">
        <v>765</v>
      </c>
      <c r="F1067" t="s" s="80">
        <v>200</v>
      </c>
      <c r="G1067" s="132">
        <v>2</v>
      </c>
      <c r="H1067" t="s" s="133">
        <v>109</v>
      </c>
      <c r="I1067" t="s" s="134">
        <v>109</v>
      </c>
      <c r="J1067" t="s" s="134">
        <v>97</v>
      </c>
      <c r="K1067" t="str" s="135" cm="1">
        <f t="array" ref="K1067">IF(OR(H1067="ריביות",AND(H1067="דירה כצנלסון",G1067&lt;0,ISNUMBER(SEARCH("הכנסה",F1067)))),"הכנסה שסווגה מחדש",J1067)</f>
        <v>שוטף</v>
      </c>
      <c r="L1067" t="s" s="134">
        <v>741</v>
      </c>
      <c r="M1067" s="136" cm="1">
        <f t="array" ref="M1067">IF(L1067="מאושר",IF(K1067="הכנסה שסווגה מחדש",0,G1067),0)</f>
        <v>2</v>
      </c>
      <c r="N1067" s="136" cm="1">
        <f t="array" ref="N1067">IF(K1067="שוטף",M1067,0)</f>
        <v>2</v>
      </c>
      <c r="O1067" s="136" cm="1">
        <f t="array" ref="O1067">IF(K1067="הכנסה שסווגה מחדש",-G1067,0)</f>
        <v>0</v>
      </c>
      <c r="P1067" t="s" s="80">
        <v>762</v>
      </c>
      <c r="Q1067" s="100"/>
      <c r="R1067" t="s" s="137">
        <v>743</v>
      </c>
      <c r="S1067" s="77"/>
    </row>
    <row r="1068" ht="13.65" customHeight="1">
      <c r="A1068" s="84">
        <v>45962</v>
      </c>
      <c r="B1068" t="s" s="85">
        <v>54</v>
      </c>
      <c r="C1068" t="s" s="86">
        <v>825</v>
      </c>
      <c r="D1068" s="138">
        <v>68</v>
      </c>
      <c r="E1068" t="s" s="85">
        <v>759</v>
      </c>
      <c r="F1068" t="s" s="86">
        <v>377</v>
      </c>
      <c r="G1068" s="139">
        <v>20</v>
      </c>
      <c r="H1068" t="s" s="140">
        <v>113</v>
      </c>
      <c r="I1068" t="s" s="141">
        <v>113</v>
      </c>
      <c r="J1068" t="s" s="141">
        <v>97</v>
      </c>
      <c r="K1068" t="str" s="142" cm="1">
        <f t="array" ref="K1068">IF(OR(H1068="ריביות",AND(H1068="דירה כצנלסון",G1068&lt;0,ISNUMBER(SEARCH("הכנסה",F1068)))),"הכנסה שסווגה מחדש",J1068)</f>
        <v>שוטף</v>
      </c>
      <c r="L1068" t="s" s="141">
        <v>741</v>
      </c>
      <c r="M1068" s="143" cm="1">
        <f t="array" ref="M1068">IF(L1068="מאושר",IF(K1068="הכנסה שסווגה מחדש",0,G1068),0)</f>
        <v>20</v>
      </c>
      <c r="N1068" s="143" cm="1">
        <f t="array" ref="N1068">IF(K1068="שוטף",M1068,0)</f>
        <v>20</v>
      </c>
      <c r="O1068" s="143" cm="1">
        <f t="array" ref="O1068">IF(K1068="הכנסה שסווגה מחדש",-G1068,0)</f>
        <v>0</v>
      </c>
      <c r="P1068" t="s" s="86">
        <v>762</v>
      </c>
      <c r="Q1068" s="99"/>
      <c r="R1068" t="s" s="144">
        <v>743</v>
      </c>
      <c r="S1068" s="77"/>
    </row>
    <row r="1069" ht="13.65" customHeight="1">
      <c r="A1069" s="78">
        <v>45962</v>
      </c>
      <c r="B1069" t="s" s="79">
        <v>54</v>
      </c>
      <c r="C1069" t="s" s="80">
        <v>825</v>
      </c>
      <c r="D1069" s="131">
        <v>69</v>
      </c>
      <c r="E1069" t="s" s="79">
        <v>759</v>
      </c>
      <c r="F1069" t="s" s="80">
        <v>368</v>
      </c>
      <c r="G1069" s="132">
        <v>69</v>
      </c>
      <c r="H1069" t="s" s="133">
        <v>121</v>
      </c>
      <c r="I1069" t="s" s="134">
        <v>121</v>
      </c>
      <c r="J1069" t="s" s="134">
        <v>97</v>
      </c>
      <c r="K1069" t="str" s="135" cm="1">
        <f t="array" ref="K1069">IF(OR(H1069="ריביות",AND(H1069="דירה כצנלסון",G1069&lt;0,ISNUMBER(SEARCH("הכנסה",F1069)))),"הכנסה שסווגה מחדש",J1069)</f>
        <v>שוטף</v>
      </c>
      <c r="L1069" t="s" s="134">
        <v>741</v>
      </c>
      <c r="M1069" s="136" cm="1">
        <f t="array" ref="M1069">IF(L1069="מאושר",IF(K1069="הכנסה שסווגה מחדש",0,G1069),0)</f>
        <v>69</v>
      </c>
      <c r="N1069" s="136" cm="1">
        <f t="array" ref="N1069">IF(K1069="שוטף",M1069,0)</f>
        <v>69</v>
      </c>
      <c r="O1069" s="136" cm="1">
        <f t="array" ref="O1069">IF(K1069="הכנסה שסווגה מחדש",-G1069,0)</f>
        <v>0</v>
      </c>
      <c r="P1069" t="s" s="80">
        <v>762</v>
      </c>
      <c r="Q1069" s="100"/>
      <c r="R1069" t="s" s="137">
        <v>743</v>
      </c>
      <c r="S1069" s="77"/>
    </row>
    <row r="1070" ht="13.65" customHeight="1">
      <c r="A1070" s="84">
        <v>45962</v>
      </c>
      <c r="B1070" t="s" s="85">
        <v>54</v>
      </c>
      <c r="C1070" t="s" s="86">
        <v>825</v>
      </c>
      <c r="D1070" s="138">
        <v>70</v>
      </c>
      <c r="E1070" t="s" s="85">
        <v>759</v>
      </c>
      <c r="F1070" t="s" s="86">
        <v>315</v>
      </c>
      <c r="G1070" s="139">
        <v>760</v>
      </c>
      <c r="H1070" t="s" s="140">
        <v>117</v>
      </c>
      <c r="I1070" t="s" s="141">
        <v>117</v>
      </c>
      <c r="J1070" t="s" s="141">
        <v>97</v>
      </c>
      <c r="K1070" t="str" s="142" cm="1">
        <f t="array" ref="K1070">IF(OR(H1070="ריביות",AND(H1070="דירה כצנלסון",G1070&lt;0,ISNUMBER(SEARCH("הכנסה",F1070)))),"הכנסה שסווגה מחדש",J1070)</f>
        <v>שוטף</v>
      </c>
      <c r="L1070" t="s" s="141">
        <v>741</v>
      </c>
      <c r="M1070" s="143" cm="1">
        <f t="array" ref="M1070">IF(L1070="מאושר",IF(K1070="הכנסה שסווגה מחדש",0,G1070),0)</f>
        <v>760</v>
      </c>
      <c r="N1070" s="143" cm="1">
        <f t="array" ref="N1070">IF(K1070="שוטף",M1070,0)</f>
        <v>760</v>
      </c>
      <c r="O1070" s="143" cm="1">
        <f t="array" ref="O1070">IF(K1070="הכנסה שסווגה מחדש",-G1070,0)</f>
        <v>0</v>
      </c>
      <c r="P1070" t="s" s="86">
        <v>762</v>
      </c>
      <c r="Q1070" s="99"/>
      <c r="R1070" t="s" s="144">
        <v>743</v>
      </c>
      <c r="S1070" s="77"/>
    </row>
    <row r="1071" ht="13.65" customHeight="1">
      <c r="A1071" s="78">
        <v>45962</v>
      </c>
      <c r="B1071" t="s" s="79">
        <v>54</v>
      </c>
      <c r="C1071" t="s" s="80">
        <v>825</v>
      </c>
      <c r="D1071" s="131">
        <v>71</v>
      </c>
      <c r="E1071" t="s" s="79">
        <v>775</v>
      </c>
      <c r="F1071" t="s" s="80">
        <v>369</v>
      </c>
      <c r="G1071" s="132">
        <v>410</v>
      </c>
      <c r="H1071" t="s" s="133">
        <v>121</v>
      </c>
      <c r="I1071" t="s" s="134">
        <v>121</v>
      </c>
      <c r="J1071" t="s" s="134">
        <v>97</v>
      </c>
      <c r="K1071" t="str" s="135" cm="1">
        <f t="array" ref="K1071">IF(OR(H1071="ריביות",AND(H1071="דירה כצנלסון",G1071&lt;0,ISNUMBER(SEARCH("הכנסה",F1071)))),"הכנסה שסווגה מחדש",J1071)</f>
        <v>שוטף</v>
      </c>
      <c r="L1071" t="s" s="134">
        <v>741</v>
      </c>
      <c r="M1071" s="136" cm="1">
        <f t="array" ref="M1071">IF(L1071="מאושר",IF(K1071="הכנסה שסווגה מחדש",0,G1071),0)</f>
        <v>410</v>
      </c>
      <c r="N1071" s="136" cm="1">
        <f t="array" ref="N1071">IF(K1071="שוטף",M1071,0)</f>
        <v>410</v>
      </c>
      <c r="O1071" s="136" cm="1">
        <f t="array" ref="O1071">IF(K1071="הכנסה שסווגה מחדש",-G1071,0)</f>
        <v>0</v>
      </c>
      <c r="P1071" t="s" s="80">
        <v>762</v>
      </c>
      <c r="Q1071" s="100"/>
      <c r="R1071" t="s" s="137">
        <v>743</v>
      </c>
      <c r="S1071" s="77"/>
    </row>
    <row r="1072" ht="13.65" customHeight="1">
      <c r="A1072" s="84">
        <v>45962</v>
      </c>
      <c r="B1072" t="s" s="85">
        <v>54</v>
      </c>
      <c r="C1072" t="s" s="86">
        <v>825</v>
      </c>
      <c r="D1072" s="138">
        <v>72</v>
      </c>
      <c r="E1072" t="s" s="85">
        <v>775</v>
      </c>
      <c r="F1072" t="s" s="86">
        <v>200</v>
      </c>
      <c r="G1072" s="139">
        <v>52</v>
      </c>
      <c r="H1072" t="s" s="140">
        <v>109</v>
      </c>
      <c r="I1072" t="s" s="141">
        <v>109</v>
      </c>
      <c r="J1072" t="s" s="141">
        <v>97</v>
      </c>
      <c r="K1072" t="str" s="142" cm="1">
        <f t="array" ref="K1072">IF(OR(H1072="ריביות",AND(H1072="דירה כצנלסון",G1072&lt;0,ISNUMBER(SEARCH("הכנסה",F1072)))),"הכנסה שסווגה מחדש",J1072)</f>
        <v>שוטף</v>
      </c>
      <c r="L1072" t="s" s="141">
        <v>741</v>
      </c>
      <c r="M1072" s="143" cm="1">
        <f t="array" ref="M1072">IF(L1072="מאושר",IF(K1072="הכנסה שסווגה מחדש",0,G1072),0)</f>
        <v>52</v>
      </c>
      <c r="N1072" s="143" cm="1">
        <f t="array" ref="N1072">IF(K1072="שוטף",M1072,0)</f>
        <v>52</v>
      </c>
      <c r="O1072" s="143" cm="1">
        <f t="array" ref="O1072">IF(K1072="הכנסה שסווגה מחדש",-G1072,0)</f>
        <v>0</v>
      </c>
      <c r="P1072" t="s" s="86">
        <v>762</v>
      </c>
      <c r="Q1072" s="99"/>
      <c r="R1072" t="s" s="144">
        <v>743</v>
      </c>
      <c r="S1072" s="77"/>
    </row>
    <row r="1073" ht="13.65" customHeight="1">
      <c r="A1073" s="78">
        <v>45962</v>
      </c>
      <c r="B1073" t="s" s="79">
        <v>54</v>
      </c>
      <c r="C1073" t="s" s="80">
        <v>825</v>
      </c>
      <c r="D1073" s="131">
        <v>73</v>
      </c>
      <c r="E1073" t="s" s="79">
        <v>775</v>
      </c>
      <c r="F1073" t="s" s="80">
        <v>209</v>
      </c>
      <c r="G1073" s="132">
        <v>181</v>
      </c>
      <c r="H1073" t="s" s="133">
        <v>113</v>
      </c>
      <c r="I1073" t="s" s="134">
        <v>113</v>
      </c>
      <c r="J1073" t="s" s="134">
        <v>97</v>
      </c>
      <c r="K1073" t="str" s="135" cm="1">
        <f t="array" ref="K1073">IF(OR(H1073="ריביות",AND(H1073="דירה כצנלסון",G1073&lt;0,ISNUMBER(SEARCH("הכנסה",F1073)))),"הכנסה שסווגה מחדש",J1073)</f>
        <v>שוטף</v>
      </c>
      <c r="L1073" t="s" s="134">
        <v>741</v>
      </c>
      <c r="M1073" s="136" cm="1">
        <f t="array" ref="M1073">IF(L1073="מאושר",IF(K1073="הכנסה שסווגה מחדש",0,G1073),0)</f>
        <v>181</v>
      </c>
      <c r="N1073" s="136" cm="1">
        <f t="array" ref="N1073">IF(K1073="שוטף",M1073,0)</f>
        <v>181</v>
      </c>
      <c r="O1073" s="136" cm="1">
        <f t="array" ref="O1073">IF(K1073="הכנסה שסווגה מחדש",-G1073,0)</f>
        <v>0</v>
      </c>
      <c r="P1073" t="s" s="80">
        <v>762</v>
      </c>
      <c r="Q1073" s="100"/>
      <c r="R1073" t="s" s="137">
        <v>743</v>
      </c>
      <c r="S1073" s="77"/>
    </row>
    <row r="1074" ht="13.65" customHeight="1">
      <c r="A1074" s="84">
        <v>45962</v>
      </c>
      <c r="B1074" t="s" s="85">
        <v>54</v>
      </c>
      <c r="C1074" t="s" s="86">
        <v>825</v>
      </c>
      <c r="D1074" s="138">
        <v>74</v>
      </c>
      <c r="E1074" t="s" s="85">
        <v>775</v>
      </c>
      <c r="F1074" t="s" s="86">
        <v>472</v>
      </c>
      <c r="G1074" s="139">
        <v>30</v>
      </c>
      <c r="H1074" t="s" s="140">
        <v>115</v>
      </c>
      <c r="I1074" t="s" s="141">
        <v>115</v>
      </c>
      <c r="J1074" t="s" s="141">
        <v>97</v>
      </c>
      <c r="K1074" t="str" s="142" cm="1">
        <f t="array" ref="K1074">IF(OR(H1074="ריביות",AND(H1074="דירה כצנלסון",G1074&lt;0,ISNUMBER(SEARCH("הכנסה",F1074)))),"הכנסה שסווגה מחדש",J1074)</f>
        <v>שוטף</v>
      </c>
      <c r="L1074" t="s" s="141">
        <v>741</v>
      </c>
      <c r="M1074" s="143" cm="1">
        <f t="array" ref="M1074">IF(L1074="מאושר",IF(K1074="הכנסה שסווגה מחדש",0,G1074),0)</f>
        <v>30</v>
      </c>
      <c r="N1074" s="143" cm="1">
        <f t="array" ref="N1074">IF(K1074="שוטף",M1074,0)</f>
        <v>30</v>
      </c>
      <c r="O1074" s="143" cm="1">
        <f t="array" ref="O1074">IF(K1074="הכנסה שסווגה מחדש",-G1074,0)</f>
        <v>0</v>
      </c>
      <c r="P1074" t="s" s="86">
        <v>762</v>
      </c>
      <c r="Q1074" s="99"/>
      <c r="R1074" t="s" s="144">
        <v>743</v>
      </c>
      <c r="S1074" s="77"/>
    </row>
    <row r="1075" ht="13.65" customHeight="1">
      <c r="A1075" s="78">
        <v>45962</v>
      </c>
      <c r="B1075" t="s" s="79">
        <v>54</v>
      </c>
      <c r="C1075" t="s" s="80">
        <v>825</v>
      </c>
      <c r="D1075" s="131">
        <v>75</v>
      </c>
      <c r="E1075" t="s" s="79">
        <v>756</v>
      </c>
      <c r="F1075" t="s" s="80">
        <v>355</v>
      </c>
      <c r="G1075" s="132">
        <v>29</v>
      </c>
      <c r="H1075" t="s" s="133">
        <v>113</v>
      </c>
      <c r="I1075" t="s" s="134">
        <v>113</v>
      </c>
      <c r="J1075" t="s" s="134">
        <v>97</v>
      </c>
      <c r="K1075" t="str" s="135" cm="1">
        <f t="array" ref="K1075">IF(OR(H1075="ריביות",AND(H1075="דירה כצנלסון",G1075&lt;0,ISNUMBER(SEARCH("הכנסה",F1075)))),"הכנסה שסווגה מחדש",J1075)</f>
        <v>שוטף</v>
      </c>
      <c r="L1075" t="s" s="134">
        <v>741</v>
      </c>
      <c r="M1075" s="136" cm="1">
        <f t="array" ref="M1075">IF(L1075="מאושר",IF(K1075="הכנסה שסווגה מחדש",0,G1075),0)</f>
        <v>29</v>
      </c>
      <c r="N1075" s="136" cm="1">
        <f t="array" ref="N1075">IF(K1075="שוטף",M1075,0)</f>
        <v>29</v>
      </c>
      <c r="O1075" s="136" cm="1">
        <f t="array" ref="O1075">IF(K1075="הכנסה שסווגה מחדש",-G1075,0)</f>
        <v>0</v>
      </c>
      <c r="P1075" t="s" s="80">
        <v>762</v>
      </c>
      <c r="Q1075" s="100"/>
      <c r="R1075" t="s" s="137">
        <v>743</v>
      </c>
      <c r="S1075" s="77"/>
    </row>
    <row r="1076" ht="13.65" customHeight="1">
      <c r="A1076" s="84">
        <v>45962</v>
      </c>
      <c r="B1076" t="s" s="85">
        <v>54</v>
      </c>
      <c r="C1076" t="s" s="86">
        <v>825</v>
      </c>
      <c r="D1076" s="138">
        <v>76</v>
      </c>
      <c r="E1076" t="s" s="85">
        <v>756</v>
      </c>
      <c r="F1076" t="s" s="86">
        <v>200</v>
      </c>
      <c r="G1076" s="139">
        <v>241</v>
      </c>
      <c r="H1076" t="s" s="140">
        <v>109</v>
      </c>
      <c r="I1076" t="s" s="141">
        <v>109</v>
      </c>
      <c r="J1076" t="s" s="141">
        <v>97</v>
      </c>
      <c r="K1076" t="str" s="142" cm="1">
        <f t="array" ref="K1076">IF(OR(H1076="ריביות",AND(H1076="דירה כצנלסון",G1076&lt;0,ISNUMBER(SEARCH("הכנסה",F1076)))),"הכנסה שסווגה מחדש",J1076)</f>
        <v>שוטף</v>
      </c>
      <c r="L1076" t="s" s="141">
        <v>741</v>
      </c>
      <c r="M1076" s="143" cm="1">
        <f t="array" ref="M1076">IF(L1076="מאושר",IF(K1076="הכנסה שסווגה מחדש",0,G1076),0)</f>
        <v>241</v>
      </c>
      <c r="N1076" s="143" cm="1">
        <f t="array" ref="N1076">IF(K1076="שוטף",M1076,0)</f>
        <v>241</v>
      </c>
      <c r="O1076" s="143" cm="1">
        <f t="array" ref="O1076">IF(K1076="הכנסה שסווגה מחדש",-G1076,0)</f>
        <v>0</v>
      </c>
      <c r="P1076" t="s" s="86">
        <v>762</v>
      </c>
      <c r="Q1076" s="99"/>
      <c r="R1076" t="s" s="144">
        <v>743</v>
      </c>
      <c r="S1076" s="77"/>
    </row>
    <row r="1077" ht="13.65" customHeight="1">
      <c r="A1077" s="78">
        <v>45962</v>
      </c>
      <c r="B1077" t="s" s="79">
        <v>54</v>
      </c>
      <c r="C1077" t="s" s="80">
        <v>825</v>
      </c>
      <c r="D1077" s="131">
        <v>77</v>
      </c>
      <c r="E1077" t="s" s="79">
        <v>787</v>
      </c>
      <c r="F1077" t="s" s="80">
        <v>223</v>
      </c>
      <c r="G1077" s="132">
        <v>72</v>
      </c>
      <c r="H1077" t="s" s="133">
        <v>121</v>
      </c>
      <c r="I1077" t="s" s="134">
        <v>121</v>
      </c>
      <c r="J1077" t="s" s="134">
        <v>97</v>
      </c>
      <c r="K1077" t="str" s="135" cm="1">
        <f t="array" ref="K1077">IF(OR(H1077="ריביות",AND(H1077="דירה כצנלסון",G1077&lt;0,ISNUMBER(SEARCH("הכנסה",F1077)))),"הכנסה שסווגה מחדש",J1077)</f>
        <v>שוטף</v>
      </c>
      <c r="L1077" t="s" s="134">
        <v>741</v>
      </c>
      <c r="M1077" s="136" cm="1">
        <f t="array" ref="M1077">IF(L1077="מאושר",IF(K1077="הכנסה שסווגה מחדש",0,G1077),0)</f>
        <v>72</v>
      </c>
      <c r="N1077" s="136" cm="1">
        <f t="array" ref="N1077">IF(K1077="שוטף",M1077,0)</f>
        <v>72</v>
      </c>
      <c r="O1077" s="136" cm="1">
        <f t="array" ref="O1077">IF(K1077="הכנסה שסווגה מחדש",-G1077,0)</f>
        <v>0</v>
      </c>
      <c r="P1077" t="s" s="80">
        <v>770</v>
      </c>
      <c r="Q1077" s="100"/>
      <c r="R1077" t="s" s="137">
        <v>743</v>
      </c>
      <c r="S1077" s="77"/>
    </row>
    <row r="1078" ht="13.65" customHeight="1">
      <c r="A1078" s="84">
        <v>45962</v>
      </c>
      <c r="B1078" t="s" s="85">
        <v>54</v>
      </c>
      <c r="C1078" t="s" s="86">
        <v>825</v>
      </c>
      <c r="D1078" s="138">
        <v>78</v>
      </c>
      <c r="E1078" t="s" s="85">
        <v>38</v>
      </c>
      <c r="F1078" t="s" s="86">
        <v>579</v>
      </c>
      <c r="G1078" s="139">
        <v>65</v>
      </c>
      <c r="H1078" t="s" s="140">
        <v>129</v>
      </c>
      <c r="I1078" t="s" s="141">
        <v>129</v>
      </c>
      <c r="J1078" t="s" s="141">
        <v>97</v>
      </c>
      <c r="K1078" t="str" s="142" cm="1">
        <f t="array" ref="K1078">IF(OR(H1078="ריביות",AND(H1078="דירה כצנלסון",G1078&lt;0,ISNUMBER(SEARCH("הכנסה",F1078)))),"הכנסה שסווגה מחדש",J1078)</f>
        <v>שוטף</v>
      </c>
      <c r="L1078" t="s" s="141">
        <v>741</v>
      </c>
      <c r="M1078" s="143" cm="1">
        <f t="array" ref="M1078">IF(L1078="מאושר",IF(K1078="הכנסה שסווגה מחדש",0,G1078),0)</f>
        <v>65</v>
      </c>
      <c r="N1078" s="143" cm="1">
        <f t="array" ref="N1078">IF(K1078="שוטף",M1078,0)</f>
        <v>65</v>
      </c>
      <c r="O1078" s="143" cm="1">
        <f t="array" ref="O1078">IF(K1078="הכנסה שסווגה מחדש",-G1078,0)</f>
        <v>0</v>
      </c>
      <c r="P1078" t="s" s="86">
        <v>770</v>
      </c>
      <c r="Q1078" s="99"/>
      <c r="R1078" t="s" s="144">
        <v>743</v>
      </c>
      <c r="S1078" s="77"/>
    </row>
    <row r="1079" ht="13.65" customHeight="1">
      <c r="A1079" s="78">
        <v>45962</v>
      </c>
      <c r="B1079" t="s" s="79">
        <v>54</v>
      </c>
      <c r="C1079" t="s" s="80">
        <v>825</v>
      </c>
      <c r="D1079" s="131">
        <v>79</v>
      </c>
      <c r="E1079" t="s" s="79">
        <v>42</v>
      </c>
      <c r="F1079" t="s" s="80">
        <v>396</v>
      </c>
      <c r="G1079" s="132">
        <v>302</v>
      </c>
      <c r="H1079" t="s" s="133">
        <v>767</v>
      </c>
      <c r="I1079" t="s" s="134">
        <v>107</v>
      </c>
      <c r="J1079" t="s" s="134">
        <v>97</v>
      </c>
      <c r="K1079" t="str" s="135" cm="1">
        <f t="array" ref="K1079">IF(OR(H1079="ריביות",AND(H1079="דירה כצנלסון",G1079&lt;0,ISNUMBER(SEARCH("הכנסה",F1079)))),"הכנסה שסווגה מחדש",J1079)</f>
        <v>שוטף</v>
      </c>
      <c r="L1079" t="s" s="134">
        <v>741</v>
      </c>
      <c r="M1079" s="136" cm="1">
        <f t="array" ref="M1079">IF(L1079="מאושר",IF(K1079="הכנסה שסווגה מחדש",0,G1079),0)</f>
        <v>302</v>
      </c>
      <c r="N1079" s="136" cm="1">
        <f t="array" ref="N1079">IF(K1079="שוטף",M1079,0)</f>
        <v>302</v>
      </c>
      <c r="O1079" s="136" cm="1">
        <f t="array" ref="O1079">IF(K1079="הכנסה שסווגה מחדש",-G1079,0)</f>
        <v>0</v>
      </c>
      <c r="P1079" t="s" s="80">
        <v>770</v>
      </c>
      <c r="Q1079" s="100"/>
      <c r="R1079" t="s" s="137">
        <v>743</v>
      </c>
      <c r="S1079" s="77"/>
    </row>
    <row r="1080" ht="13.65" customHeight="1">
      <c r="A1080" s="84">
        <v>45962</v>
      </c>
      <c r="B1080" t="s" s="85">
        <v>54</v>
      </c>
      <c r="C1080" t="s" s="86">
        <v>825</v>
      </c>
      <c r="D1080" s="138">
        <v>80</v>
      </c>
      <c r="E1080" t="s" s="85">
        <v>46</v>
      </c>
      <c r="F1080" t="s" s="86">
        <v>527</v>
      </c>
      <c r="G1080" s="139">
        <v>100</v>
      </c>
      <c r="H1080" t="s" s="140">
        <v>125</v>
      </c>
      <c r="I1080" t="s" s="141">
        <v>125</v>
      </c>
      <c r="J1080" t="s" s="141">
        <v>97</v>
      </c>
      <c r="K1080" t="str" s="142" cm="1">
        <f t="array" ref="K1080">IF(OR(H1080="ריביות",AND(H1080="דירה כצנלסון",G1080&lt;0,ISNUMBER(SEARCH("הכנסה",F1080)))),"הכנסה שסווגה מחדש",J1080)</f>
        <v>שוטף</v>
      </c>
      <c r="L1080" t="s" s="141">
        <v>741</v>
      </c>
      <c r="M1080" s="143" cm="1">
        <f t="array" ref="M1080">IF(L1080="מאושר",IF(K1080="הכנסה שסווגה מחדש",0,G1080),0)</f>
        <v>100</v>
      </c>
      <c r="N1080" s="143" cm="1">
        <f t="array" ref="N1080">IF(K1080="שוטף",M1080,0)</f>
        <v>100</v>
      </c>
      <c r="O1080" s="143" cm="1">
        <f t="array" ref="O1080">IF(K1080="הכנסה שסווגה מחדש",-G1080,0)</f>
        <v>0</v>
      </c>
      <c r="P1080" t="s" s="86">
        <v>770</v>
      </c>
      <c r="Q1080" s="99"/>
      <c r="R1080" t="s" s="144">
        <v>743</v>
      </c>
      <c r="S1080" s="77"/>
    </row>
    <row r="1081" ht="13.65" customHeight="1">
      <c r="A1081" s="78">
        <v>45962</v>
      </c>
      <c r="B1081" t="s" s="79">
        <v>54</v>
      </c>
      <c r="C1081" t="s" s="80">
        <v>825</v>
      </c>
      <c r="D1081" s="131">
        <v>81</v>
      </c>
      <c r="E1081" s="100"/>
      <c r="F1081" t="s" s="80">
        <v>551</v>
      </c>
      <c r="G1081" s="132">
        <v>80</v>
      </c>
      <c r="H1081" t="s" s="133">
        <v>115</v>
      </c>
      <c r="I1081" t="s" s="134">
        <v>115</v>
      </c>
      <c r="J1081" t="s" s="134">
        <v>97</v>
      </c>
      <c r="K1081" t="str" s="135" cm="1">
        <f t="array" ref="K1081">IF(OR(H1081="ריביות",AND(H1081="דירה כצנלסון",G1081&lt;0,ISNUMBER(SEARCH("הכנסה",F1081)))),"הכנסה שסווגה מחדש",J1081)</f>
        <v>שוטף</v>
      </c>
      <c r="L1081" t="s" s="134">
        <v>741</v>
      </c>
      <c r="M1081" s="136" cm="1">
        <f t="array" ref="M1081">IF(L1081="מאושר",IF(K1081="הכנסה שסווגה מחדש",0,G1081),0)</f>
        <v>80</v>
      </c>
      <c r="N1081" s="136" cm="1">
        <f t="array" ref="N1081">IF(K1081="שוטף",M1081,0)</f>
        <v>80</v>
      </c>
      <c r="O1081" s="136" cm="1">
        <f t="array" ref="O1081">IF(K1081="הכנסה שסווגה מחדש",-G1081,0)</f>
        <v>0</v>
      </c>
      <c r="P1081" t="s" s="80">
        <v>770</v>
      </c>
      <c r="Q1081" s="100"/>
      <c r="R1081" t="s" s="137">
        <v>743</v>
      </c>
      <c r="S1081" s="77"/>
    </row>
    <row r="1082" ht="13.65" customHeight="1">
      <c r="A1082" s="84">
        <v>45962</v>
      </c>
      <c r="B1082" t="s" s="85">
        <v>54</v>
      </c>
      <c r="C1082" t="s" s="86">
        <v>825</v>
      </c>
      <c r="D1082" s="138">
        <v>82</v>
      </c>
      <c r="E1082" t="s" s="85">
        <v>46</v>
      </c>
      <c r="F1082" t="s" s="86">
        <v>593</v>
      </c>
      <c r="G1082" s="139">
        <v>60</v>
      </c>
      <c r="H1082" t="s" s="140">
        <v>121</v>
      </c>
      <c r="I1082" t="s" s="141">
        <v>121</v>
      </c>
      <c r="J1082" t="s" s="141">
        <v>97</v>
      </c>
      <c r="K1082" t="str" s="142" cm="1">
        <f t="array" ref="K1082">IF(OR(H1082="ריביות",AND(H1082="דירה כצנלסון",G1082&lt;0,ISNUMBER(SEARCH("הכנסה",F1082)))),"הכנסה שסווגה מחדש",J1082)</f>
        <v>שוטף</v>
      </c>
      <c r="L1082" t="s" s="141">
        <v>741</v>
      </c>
      <c r="M1082" s="143" cm="1">
        <f t="array" ref="M1082">IF(L1082="מאושר",IF(K1082="הכנסה שסווגה מחדש",0,G1082),0)</f>
        <v>60</v>
      </c>
      <c r="N1082" s="143" cm="1">
        <f t="array" ref="N1082">IF(K1082="שוטף",M1082,0)</f>
        <v>60</v>
      </c>
      <c r="O1082" s="143" cm="1">
        <f t="array" ref="O1082">IF(K1082="הכנסה שסווגה מחדש",-G1082,0)</f>
        <v>0</v>
      </c>
      <c r="P1082" t="s" s="86">
        <v>770</v>
      </c>
      <c r="Q1082" s="99"/>
      <c r="R1082" t="s" s="144">
        <v>743</v>
      </c>
      <c r="S1082" s="77"/>
    </row>
    <row r="1083" ht="13.65" customHeight="1">
      <c r="A1083" s="78">
        <v>45962</v>
      </c>
      <c r="B1083" t="s" s="79">
        <v>54</v>
      </c>
      <c r="C1083" t="s" s="80">
        <v>825</v>
      </c>
      <c r="D1083" s="131">
        <v>83</v>
      </c>
      <c r="E1083" t="s" s="79">
        <v>769</v>
      </c>
      <c r="F1083" t="s" s="80">
        <v>377</v>
      </c>
      <c r="G1083" s="132">
        <v>12</v>
      </c>
      <c r="H1083" t="s" s="133">
        <v>113</v>
      </c>
      <c r="I1083" t="s" s="134">
        <v>113</v>
      </c>
      <c r="J1083" t="s" s="134">
        <v>97</v>
      </c>
      <c r="K1083" t="str" s="135" cm="1">
        <f t="array" ref="K1083">IF(OR(H1083="ריביות",AND(H1083="דירה כצנלסון",G1083&lt;0,ISNUMBER(SEARCH("הכנסה",F1083)))),"הכנסה שסווגה מחדש",J1083)</f>
        <v>שוטף</v>
      </c>
      <c r="L1083" t="s" s="134">
        <v>741</v>
      </c>
      <c r="M1083" s="136" cm="1">
        <f t="array" ref="M1083">IF(L1083="מאושר",IF(K1083="הכנסה שסווגה מחדש",0,G1083),0)</f>
        <v>12</v>
      </c>
      <c r="N1083" s="136" cm="1">
        <f t="array" ref="N1083">IF(K1083="שוטף",M1083,0)</f>
        <v>12</v>
      </c>
      <c r="O1083" s="136" cm="1">
        <f t="array" ref="O1083">IF(K1083="הכנסה שסווגה מחדש",-G1083,0)</f>
        <v>0</v>
      </c>
      <c r="P1083" t="s" s="80">
        <v>770</v>
      </c>
      <c r="Q1083" s="100"/>
      <c r="R1083" t="s" s="137">
        <v>743</v>
      </c>
      <c r="S1083" s="77"/>
    </row>
    <row r="1084" ht="13.65" customHeight="1">
      <c r="A1084" s="84">
        <v>45962</v>
      </c>
      <c r="B1084" t="s" s="85">
        <v>54</v>
      </c>
      <c r="C1084" t="s" s="86">
        <v>825</v>
      </c>
      <c r="D1084" s="138">
        <v>84</v>
      </c>
      <c r="E1084" t="s" s="85">
        <v>749</v>
      </c>
      <c r="F1084" t="s" s="85">
        <v>450</v>
      </c>
      <c r="G1084" s="139">
        <v>200</v>
      </c>
      <c r="H1084" t="s" s="140">
        <v>127</v>
      </c>
      <c r="I1084" t="s" s="141">
        <v>127</v>
      </c>
      <c r="J1084" t="s" s="141">
        <v>97</v>
      </c>
      <c r="K1084" t="str" s="142" cm="1">
        <f t="array" ref="K1084">IF(OR(H1084="ריביות",AND(H1084="דירה כצנלסון",G1084&lt;0,ISNUMBER(SEARCH("הכנסה",F1084)))),"הכנסה שסווגה מחדש",J1084)</f>
        <v>שוטף</v>
      </c>
      <c r="L1084" t="s" s="141">
        <v>741</v>
      </c>
      <c r="M1084" s="143" cm="1">
        <f t="array" ref="M1084">IF(L1084="מאושר",IF(K1084="הכנסה שסווגה מחדש",0,G1084),0)</f>
        <v>200</v>
      </c>
      <c r="N1084" s="143" cm="1">
        <f t="array" ref="N1084">IF(K1084="שוטף",M1084,0)</f>
        <v>200</v>
      </c>
      <c r="O1084" s="143" cm="1">
        <f t="array" ref="O1084">IF(K1084="הכנסה שסווגה מחדש",-G1084,0)</f>
        <v>0</v>
      </c>
      <c r="P1084" t="s" s="86">
        <v>770</v>
      </c>
      <c r="Q1084" s="99"/>
      <c r="R1084" t="s" s="144">
        <v>743</v>
      </c>
      <c r="S1084" s="77"/>
    </row>
    <row r="1085" ht="13.65" customHeight="1">
      <c r="A1085" s="78">
        <v>45962</v>
      </c>
      <c r="B1085" t="s" s="79">
        <v>54</v>
      </c>
      <c r="C1085" t="s" s="80">
        <v>825</v>
      </c>
      <c r="D1085" s="131">
        <v>85</v>
      </c>
      <c r="E1085" t="s" s="79">
        <v>749</v>
      </c>
      <c r="F1085" t="s" s="80">
        <v>547</v>
      </c>
      <c r="G1085" s="132">
        <v>82</v>
      </c>
      <c r="H1085" t="s" s="133">
        <v>125</v>
      </c>
      <c r="I1085" t="s" s="134">
        <v>125</v>
      </c>
      <c r="J1085" t="s" s="134">
        <v>97</v>
      </c>
      <c r="K1085" t="str" s="135" cm="1">
        <f t="array" ref="K1085">IF(OR(H1085="ריביות",AND(H1085="דירה כצנלסון",G1085&lt;0,ISNUMBER(SEARCH("הכנסה",F1085)))),"הכנסה שסווגה מחדש",J1085)</f>
        <v>שוטף</v>
      </c>
      <c r="L1085" t="s" s="134">
        <v>741</v>
      </c>
      <c r="M1085" s="136" cm="1">
        <f t="array" ref="M1085">IF(L1085="מאושר",IF(K1085="הכנסה שסווגה מחדש",0,G1085),0)</f>
        <v>82</v>
      </c>
      <c r="N1085" s="136" cm="1">
        <f t="array" ref="N1085">IF(K1085="שוטף",M1085,0)</f>
        <v>82</v>
      </c>
      <c r="O1085" s="136" cm="1">
        <f t="array" ref="O1085">IF(K1085="הכנסה שסווגה מחדש",-G1085,0)</f>
        <v>0</v>
      </c>
      <c r="P1085" t="s" s="80">
        <v>770</v>
      </c>
      <c r="Q1085" s="100"/>
      <c r="R1085" t="s" s="137">
        <v>743</v>
      </c>
      <c r="S1085" s="77"/>
    </row>
    <row r="1086" ht="13.65" customHeight="1">
      <c r="A1086" s="84">
        <v>45962</v>
      </c>
      <c r="B1086" t="s" s="85">
        <v>54</v>
      </c>
      <c r="C1086" t="s" s="86">
        <v>825</v>
      </c>
      <c r="D1086" s="138">
        <v>86</v>
      </c>
      <c r="E1086" t="s" s="85">
        <v>789</v>
      </c>
      <c r="F1086" t="s" s="86">
        <v>223</v>
      </c>
      <c r="G1086" s="139">
        <v>44</v>
      </c>
      <c r="H1086" t="s" s="140">
        <v>117</v>
      </c>
      <c r="I1086" t="s" s="141">
        <v>117</v>
      </c>
      <c r="J1086" t="s" s="141">
        <v>97</v>
      </c>
      <c r="K1086" t="str" s="142" cm="1">
        <f t="array" ref="K1086">IF(OR(H1086="ריביות",AND(H1086="דירה כצנלסון",G1086&lt;0,ISNUMBER(SEARCH("הכנסה",F1086)))),"הכנסה שסווגה מחדש",J1086)</f>
        <v>שוטף</v>
      </c>
      <c r="L1086" t="s" s="141">
        <v>741</v>
      </c>
      <c r="M1086" s="143" cm="1">
        <f t="array" ref="M1086">IF(L1086="מאושר",IF(K1086="הכנסה שסווגה מחדש",0,G1086),0)</f>
        <v>44</v>
      </c>
      <c r="N1086" s="143" cm="1">
        <f t="array" ref="N1086">IF(K1086="שוטף",M1086,0)</f>
        <v>44</v>
      </c>
      <c r="O1086" s="143" cm="1">
        <f t="array" ref="O1086">IF(K1086="הכנסה שסווגה מחדש",-G1086,0)</f>
        <v>0</v>
      </c>
      <c r="P1086" t="s" s="86">
        <v>770</v>
      </c>
      <c r="Q1086" s="99"/>
      <c r="R1086" t="s" s="144">
        <v>743</v>
      </c>
      <c r="S1086" s="77"/>
    </row>
    <row r="1087" ht="13.65" customHeight="1">
      <c r="A1087" s="78">
        <v>45962</v>
      </c>
      <c r="B1087" t="s" s="79">
        <v>54</v>
      </c>
      <c r="C1087" t="s" s="80">
        <v>825</v>
      </c>
      <c r="D1087" s="131">
        <v>87</v>
      </c>
      <c r="E1087" t="s" s="79">
        <v>788</v>
      </c>
      <c r="F1087" t="s" s="80">
        <v>209</v>
      </c>
      <c r="G1087" s="132">
        <v>52</v>
      </c>
      <c r="H1087" t="s" s="133">
        <v>113</v>
      </c>
      <c r="I1087" t="s" s="134">
        <v>113</v>
      </c>
      <c r="J1087" t="s" s="134">
        <v>97</v>
      </c>
      <c r="K1087" t="str" s="135" cm="1">
        <f t="array" ref="K1087">IF(OR(H1087="ריביות",AND(H1087="דירה כצנלסון",G1087&lt;0,ISNUMBER(SEARCH("הכנסה",F1087)))),"הכנסה שסווגה מחדש",J1087)</f>
        <v>שוטף</v>
      </c>
      <c r="L1087" t="s" s="134">
        <v>741</v>
      </c>
      <c r="M1087" s="136" cm="1">
        <f t="array" ref="M1087">IF(L1087="מאושר",IF(K1087="הכנסה שסווגה מחדש",0,G1087),0)</f>
        <v>52</v>
      </c>
      <c r="N1087" s="136" cm="1">
        <f t="array" ref="N1087">IF(K1087="שוטף",M1087,0)</f>
        <v>52</v>
      </c>
      <c r="O1087" s="136" cm="1">
        <f t="array" ref="O1087">IF(K1087="הכנסה שסווגה מחדש",-G1087,0)</f>
        <v>0</v>
      </c>
      <c r="P1087" t="s" s="80">
        <v>770</v>
      </c>
      <c r="Q1087" s="100"/>
      <c r="R1087" t="s" s="137">
        <v>743</v>
      </c>
      <c r="S1087" s="77"/>
    </row>
    <row r="1088" ht="13.65" customHeight="1">
      <c r="A1088" s="84">
        <v>45962</v>
      </c>
      <c r="B1088" t="s" s="85">
        <v>54</v>
      </c>
      <c r="C1088" t="s" s="86">
        <v>825</v>
      </c>
      <c r="D1088" s="138">
        <v>88</v>
      </c>
      <c r="E1088" t="s" s="85">
        <v>751</v>
      </c>
      <c r="F1088" t="s" s="86">
        <v>223</v>
      </c>
      <c r="G1088" s="139">
        <v>-10</v>
      </c>
      <c r="H1088" t="s" s="140">
        <v>117</v>
      </c>
      <c r="I1088" t="s" s="141">
        <v>117</v>
      </c>
      <c r="J1088" t="s" s="141">
        <v>97</v>
      </c>
      <c r="K1088" t="str" s="142" cm="1">
        <f t="array" ref="K1088">IF(OR(H1088="ריביות",AND(H1088="דירה כצנלסון",G1088&lt;0,ISNUMBER(SEARCH("הכנסה",F1088)))),"הכנסה שסווגה מחדש",J1088)</f>
        <v>שוטף</v>
      </c>
      <c r="L1088" t="s" s="141">
        <v>741</v>
      </c>
      <c r="M1088" s="143" cm="1">
        <f t="array" ref="M1088">IF(L1088="מאושר",IF(K1088="הכנסה שסווגה מחדש",0,G1088),0)</f>
        <v>-10</v>
      </c>
      <c r="N1088" s="143" cm="1">
        <f t="array" ref="N1088">IF(K1088="שוטף",M1088,0)</f>
        <v>-10</v>
      </c>
      <c r="O1088" s="143" cm="1">
        <f t="array" ref="O1088">IF(K1088="הכנסה שסווגה מחדש",-G1088,0)</f>
        <v>0</v>
      </c>
      <c r="P1088" t="s" s="86">
        <v>770</v>
      </c>
      <c r="Q1088" s="99"/>
      <c r="R1088" t="s" s="144">
        <v>743</v>
      </c>
      <c r="S1088" s="77"/>
    </row>
    <row r="1089" ht="13.65" customHeight="1">
      <c r="A1089" s="78">
        <v>45962</v>
      </c>
      <c r="B1089" t="s" s="79">
        <v>54</v>
      </c>
      <c r="C1089" t="s" s="80">
        <v>825</v>
      </c>
      <c r="D1089" s="131">
        <v>89</v>
      </c>
      <c r="E1089" t="s" s="79">
        <v>751</v>
      </c>
      <c r="F1089" t="s" s="80">
        <v>223</v>
      </c>
      <c r="G1089" s="132">
        <v>199</v>
      </c>
      <c r="H1089" t="s" s="133">
        <v>121</v>
      </c>
      <c r="I1089" t="s" s="134">
        <v>121</v>
      </c>
      <c r="J1089" t="s" s="134">
        <v>97</v>
      </c>
      <c r="K1089" t="str" s="135" cm="1">
        <f t="array" ref="K1089">IF(OR(H1089="ריביות",AND(H1089="דירה כצנלסון",G1089&lt;0,ISNUMBER(SEARCH("הכנסה",F1089)))),"הכנסה שסווגה מחדש",J1089)</f>
        <v>שוטף</v>
      </c>
      <c r="L1089" t="s" s="134">
        <v>741</v>
      </c>
      <c r="M1089" s="136" cm="1">
        <f t="array" ref="M1089">IF(L1089="מאושר",IF(K1089="הכנסה שסווגה מחדש",0,G1089),0)</f>
        <v>199</v>
      </c>
      <c r="N1089" s="136" cm="1">
        <f t="array" ref="N1089">IF(K1089="שוטף",M1089,0)</f>
        <v>199</v>
      </c>
      <c r="O1089" s="136" cm="1">
        <f t="array" ref="O1089">IF(K1089="הכנסה שסווגה מחדש",-G1089,0)</f>
        <v>0</v>
      </c>
      <c r="P1089" t="s" s="80">
        <v>770</v>
      </c>
      <c r="Q1089" s="100"/>
      <c r="R1089" t="s" s="137">
        <v>743</v>
      </c>
      <c r="S1089" s="77"/>
    </row>
    <row r="1090" ht="13.65" customHeight="1">
      <c r="A1090" s="84">
        <v>45962</v>
      </c>
      <c r="B1090" t="s" s="85">
        <v>54</v>
      </c>
      <c r="C1090" t="s" s="86">
        <v>825</v>
      </c>
      <c r="D1090" s="138">
        <v>90</v>
      </c>
      <c r="E1090" t="s" s="85">
        <v>753</v>
      </c>
      <c r="F1090" t="s" s="86">
        <v>200</v>
      </c>
      <c r="G1090" s="139">
        <v>2</v>
      </c>
      <c r="H1090" t="s" s="140">
        <v>109</v>
      </c>
      <c r="I1090" t="s" s="141">
        <v>109</v>
      </c>
      <c r="J1090" t="s" s="141">
        <v>97</v>
      </c>
      <c r="K1090" t="str" s="142" cm="1">
        <f t="array" ref="K1090">IF(OR(H1090="ריביות",AND(H1090="דירה כצנלסון",G1090&lt;0,ISNUMBER(SEARCH("הכנסה",F1090)))),"הכנסה שסווגה מחדש",J1090)</f>
        <v>שוטף</v>
      </c>
      <c r="L1090" t="s" s="141">
        <v>741</v>
      </c>
      <c r="M1090" s="143" cm="1">
        <f t="array" ref="M1090">IF(L1090="מאושר",IF(K1090="הכנסה שסווגה מחדש",0,G1090),0)</f>
        <v>2</v>
      </c>
      <c r="N1090" s="143" cm="1">
        <f t="array" ref="N1090">IF(K1090="שוטף",M1090,0)</f>
        <v>2</v>
      </c>
      <c r="O1090" s="143" cm="1">
        <f t="array" ref="O1090">IF(K1090="הכנסה שסווגה מחדש",-G1090,0)</f>
        <v>0</v>
      </c>
      <c r="P1090" t="s" s="86">
        <v>770</v>
      </c>
      <c r="Q1090" s="99"/>
      <c r="R1090" t="s" s="144">
        <v>743</v>
      </c>
      <c r="S1090" s="77"/>
    </row>
    <row r="1091" ht="13.65" customHeight="1">
      <c r="A1091" s="78">
        <v>45962</v>
      </c>
      <c r="B1091" t="s" s="79">
        <v>54</v>
      </c>
      <c r="C1091" t="s" s="80">
        <v>825</v>
      </c>
      <c r="D1091" s="131">
        <v>91</v>
      </c>
      <c r="E1091" t="s" s="79">
        <v>739</v>
      </c>
      <c r="F1091" t="s" s="80">
        <v>463</v>
      </c>
      <c r="G1091" s="132">
        <v>110</v>
      </c>
      <c r="H1091" t="s" s="133">
        <v>767</v>
      </c>
      <c r="I1091" t="s" s="134">
        <v>107</v>
      </c>
      <c r="J1091" t="s" s="134">
        <v>97</v>
      </c>
      <c r="K1091" t="str" s="135" cm="1">
        <f t="array" ref="K1091">IF(OR(H1091="ריביות",AND(H1091="דירה כצנלסון",G1091&lt;0,ISNUMBER(SEARCH("הכנסה",F1091)))),"הכנסה שסווגה מחדש",J1091)</f>
        <v>שוטף</v>
      </c>
      <c r="L1091" t="s" s="134">
        <v>741</v>
      </c>
      <c r="M1091" s="136" cm="1">
        <f t="array" ref="M1091">IF(L1091="מאושר",IF(K1091="הכנסה שסווגה מחדש",0,G1091),0)</f>
        <v>110</v>
      </c>
      <c r="N1091" s="136" cm="1">
        <f t="array" ref="N1091">IF(K1091="שוטף",M1091,0)</f>
        <v>110</v>
      </c>
      <c r="O1091" s="136" cm="1">
        <f t="array" ref="O1091">IF(K1091="הכנסה שסווגה מחדש",-G1091,0)</f>
        <v>0</v>
      </c>
      <c r="P1091" t="s" s="80">
        <v>770</v>
      </c>
      <c r="Q1091" s="100"/>
      <c r="R1091" t="s" s="137">
        <v>743</v>
      </c>
      <c r="S1091" s="77"/>
    </row>
    <row r="1092" ht="13.65" customHeight="1">
      <c r="A1092" s="84">
        <v>45962</v>
      </c>
      <c r="B1092" t="s" s="85">
        <v>54</v>
      </c>
      <c r="C1092" t="s" s="86">
        <v>825</v>
      </c>
      <c r="D1092" s="138">
        <v>92</v>
      </c>
      <c r="E1092" t="s" s="85">
        <v>771</v>
      </c>
      <c r="F1092" t="s" s="86">
        <v>584</v>
      </c>
      <c r="G1092" s="139">
        <v>40</v>
      </c>
      <c r="H1092" t="s" s="140">
        <v>123</v>
      </c>
      <c r="I1092" t="s" s="141">
        <v>123</v>
      </c>
      <c r="J1092" t="s" s="141">
        <v>97</v>
      </c>
      <c r="K1092" t="str" s="142" cm="1">
        <f t="array" ref="K1092">IF(OR(H1092="ריביות",AND(H1092="דירה כצנלסון",G1092&lt;0,ISNUMBER(SEARCH("הכנסה",F1092)))),"הכנסה שסווגה מחדש",J1092)</f>
        <v>שוטף</v>
      </c>
      <c r="L1092" t="s" s="141">
        <v>741</v>
      </c>
      <c r="M1092" s="143" cm="1">
        <f t="array" ref="M1092">IF(L1092="מאושר",IF(K1092="הכנסה שסווגה מחדש",0,G1092),0)</f>
        <v>40</v>
      </c>
      <c r="N1092" s="143" cm="1">
        <f t="array" ref="N1092">IF(K1092="שוטף",M1092,0)</f>
        <v>40</v>
      </c>
      <c r="O1092" s="143" cm="1">
        <f t="array" ref="O1092">IF(K1092="הכנסה שסווגה מחדש",-G1092,0)</f>
        <v>0</v>
      </c>
      <c r="P1092" t="s" s="86">
        <v>770</v>
      </c>
      <c r="Q1092" s="99"/>
      <c r="R1092" t="s" s="144">
        <v>743</v>
      </c>
      <c r="S1092" s="77"/>
    </row>
    <row r="1093" ht="13.65" customHeight="1">
      <c r="A1093" s="78">
        <v>45962</v>
      </c>
      <c r="B1093" t="s" s="79">
        <v>54</v>
      </c>
      <c r="C1093" t="s" s="80">
        <v>825</v>
      </c>
      <c r="D1093" s="131">
        <v>93</v>
      </c>
      <c r="E1093" t="s" s="79">
        <v>771</v>
      </c>
      <c r="F1093" t="s" s="80">
        <v>209</v>
      </c>
      <c r="G1093" s="132">
        <v>81</v>
      </c>
      <c r="H1093" t="s" s="133">
        <v>113</v>
      </c>
      <c r="I1093" t="s" s="134">
        <v>113</v>
      </c>
      <c r="J1093" t="s" s="134">
        <v>97</v>
      </c>
      <c r="K1093" t="str" s="135" cm="1">
        <f t="array" ref="K1093">IF(OR(H1093="ריביות",AND(H1093="דירה כצנלסון",G1093&lt;0,ISNUMBER(SEARCH("הכנסה",F1093)))),"הכנסה שסווגה מחדש",J1093)</f>
        <v>שוטף</v>
      </c>
      <c r="L1093" t="s" s="134">
        <v>741</v>
      </c>
      <c r="M1093" s="136" cm="1">
        <f t="array" ref="M1093">IF(L1093="מאושר",IF(K1093="הכנסה שסווגה מחדש",0,G1093),0)</f>
        <v>81</v>
      </c>
      <c r="N1093" s="136" cm="1">
        <f t="array" ref="N1093">IF(K1093="שוטף",M1093,0)</f>
        <v>81</v>
      </c>
      <c r="O1093" s="136" cm="1">
        <f t="array" ref="O1093">IF(K1093="הכנסה שסווגה מחדש",-G1093,0)</f>
        <v>0</v>
      </c>
      <c r="P1093" t="s" s="80">
        <v>770</v>
      </c>
      <c r="Q1093" s="100"/>
      <c r="R1093" t="s" s="137">
        <v>743</v>
      </c>
      <c r="S1093" s="77"/>
    </row>
    <row r="1094" ht="13.65" customHeight="1">
      <c r="A1094" s="84">
        <v>45962</v>
      </c>
      <c r="B1094" t="s" s="85">
        <v>54</v>
      </c>
      <c r="C1094" t="s" s="86">
        <v>825</v>
      </c>
      <c r="D1094" s="138">
        <v>94</v>
      </c>
      <c r="E1094" t="s" s="85">
        <v>771</v>
      </c>
      <c r="F1094" t="s" s="86">
        <v>580</v>
      </c>
      <c r="G1094" s="139">
        <v>65</v>
      </c>
      <c r="H1094" t="s" s="140">
        <v>129</v>
      </c>
      <c r="I1094" t="s" s="141">
        <v>129</v>
      </c>
      <c r="J1094" t="s" s="141">
        <v>97</v>
      </c>
      <c r="K1094" t="str" s="142" cm="1">
        <f t="array" ref="K1094">IF(OR(H1094="ריביות",AND(H1094="דירה כצנלסון",G1094&lt;0,ISNUMBER(SEARCH("הכנסה",F1094)))),"הכנסה שסווגה מחדש",J1094)</f>
        <v>שוטף</v>
      </c>
      <c r="L1094" t="s" s="141">
        <v>741</v>
      </c>
      <c r="M1094" s="143" cm="1">
        <f t="array" ref="M1094">IF(L1094="מאושר",IF(K1094="הכנסה שסווגה מחדש",0,G1094),0)</f>
        <v>65</v>
      </c>
      <c r="N1094" s="143" cm="1">
        <f t="array" ref="N1094">IF(K1094="שוטף",M1094,0)</f>
        <v>65</v>
      </c>
      <c r="O1094" s="143" cm="1">
        <f t="array" ref="O1094">IF(K1094="הכנסה שסווגה מחדש",-G1094,0)</f>
        <v>0</v>
      </c>
      <c r="P1094" t="s" s="86">
        <v>770</v>
      </c>
      <c r="Q1094" s="99"/>
      <c r="R1094" t="s" s="144">
        <v>743</v>
      </c>
      <c r="S1094" s="77"/>
    </row>
    <row r="1095" ht="13.65" customHeight="1">
      <c r="A1095" s="78">
        <v>45962</v>
      </c>
      <c r="B1095" t="s" s="79">
        <v>54</v>
      </c>
      <c r="C1095" t="s" s="80">
        <v>825</v>
      </c>
      <c r="D1095" s="131">
        <v>95</v>
      </c>
      <c r="E1095" t="s" s="79">
        <v>772</v>
      </c>
      <c r="F1095" t="s" s="80">
        <v>560</v>
      </c>
      <c r="G1095" s="132">
        <v>76</v>
      </c>
      <c r="H1095" t="s" s="133">
        <v>767</v>
      </c>
      <c r="I1095" t="s" s="134">
        <v>107</v>
      </c>
      <c r="J1095" t="s" s="134">
        <v>97</v>
      </c>
      <c r="K1095" t="str" s="135" cm="1">
        <f t="array" ref="K1095">IF(OR(H1095="ריביות",AND(H1095="דירה כצנלסון",G1095&lt;0,ISNUMBER(SEARCH("הכנסה",F1095)))),"הכנסה שסווגה מחדש",J1095)</f>
        <v>שוטף</v>
      </c>
      <c r="L1095" t="s" s="134">
        <v>741</v>
      </c>
      <c r="M1095" s="136" cm="1">
        <f t="array" ref="M1095">IF(L1095="מאושר",IF(K1095="הכנסה שסווגה מחדש",0,G1095),0)</f>
        <v>76</v>
      </c>
      <c r="N1095" s="136" cm="1">
        <f t="array" ref="N1095">IF(K1095="שוטף",M1095,0)</f>
        <v>76</v>
      </c>
      <c r="O1095" s="136" cm="1">
        <f t="array" ref="O1095">IF(K1095="הכנסה שסווגה מחדש",-G1095,0)</f>
        <v>0</v>
      </c>
      <c r="P1095" t="s" s="80">
        <v>770</v>
      </c>
      <c r="Q1095" s="100"/>
      <c r="R1095" t="s" s="137">
        <v>743</v>
      </c>
      <c r="S1095" s="77"/>
    </row>
    <row r="1096" ht="13.65" customHeight="1">
      <c r="A1096" s="84">
        <v>45962</v>
      </c>
      <c r="B1096" t="s" s="85">
        <v>54</v>
      </c>
      <c r="C1096" t="s" s="86">
        <v>825</v>
      </c>
      <c r="D1096" s="138">
        <v>96</v>
      </c>
      <c r="E1096" t="s" s="85">
        <v>772</v>
      </c>
      <c r="F1096" t="s" s="86">
        <v>208</v>
      </c>
      <c r="G1096" s="139">
        <v>1411</v>
      </c>
      <c r="H1096" t="s" s="140">
        <v>210</v>
      </c>
      <c r="I1096" t="s" s="141">
        <v>102</v>
      </c>
      <c r="J1096" t="s" s="141">
        <v>103</v>
      </c>
      <c r="K1096" t="str" s="142" cm="1">
        <f t="array" ref="K1096">IF(OR(H1096="ריביות",AND(H1096="דירה כצנלסון",G1096&lt;0,ISNUMBER(SEARCH("הכנסה",F1096)))),"הכנסה שסווגה מחדש",J1096)</f>
        <v>חריג</v>
      </c>
      <c r="L1096" t="s" s="141">
        <v>741</v>
      </c>
      <c r="M1096" s="143" cm="1">
        <f t="array" ref="M1096">IF(L1096="מאושר",IF(K1096="הכנסה שסווגה מחדש",0,G1096),0)</f>
        <v>1411</v>
      </c>
      <c r="N1096" s="143" cm="1">
        <f t="array" ref="N1096">IF(K1096="שוטף",M1096,0)</f>
        <v>0</v>
      </c>
      <c r="O1096" s="143" cm="1">
        <f t="array" ref="O1096">IF(K1096="הכנסה שסווגה מחדש",-G1096,0)</f>
        <v>0</v>
      </c>
      <c r="P1096" t="s" s="86">
        <v>770</v>
      </c>
      <c r="Q1096" s="99"/>
      <c r="R1096" t="s" s="144">
        <v>743</v>
      </c>
      <c r="S1096" s="77"/>
    </row>
    <row r="1097" ht="13.65" customHeight="1">
      <c r="A1097" s="78">
        <v>45962</v>
      </c>
      <c r="B1097" t="s" s="79">
        <v>54</v>
      </c>
      <c r="C1097" t="s" s="80">
        <v>825</v>
      </c>
      <c r="D1097" s="131">
        <v>97</v>
      </c>
      <c r="E1097" t="s" s="79">
        <v>773</v>
      </c>
      <c r="F1097" t="s" s="80">
        <v>223</v>
      </c>
      <c r="G1097" s="132">
        <v>89</v>
      </c>
      <c r="H1097" t="s" s="133">
        <v>117</v>
      </c>
      <c r="I1097" t="s" s="134">
        <v>117</v>
      </c>
      <c r="J1097" t="s" s="134">
        <v>97</v>
      </c>
      <c r="K1097" t="str" s="135" cm="1">
        <f t="array" ref="K1097">IF(OR(H1097="ריביות",AND(H1097="דירה כצנלסון",G1097&lt;0,ISNUMBER(SEARCH("הכנסה",F1097)))),"הכנסה שסווגה מחדש",J1097)</f>
        <v>שוטף</v>
      </c>
      <c r="L1097" t="s" s="134">
        <v>741</v>
      </c>
      <c r="M1097" s="136" cm="1">
        <f t="array" ref="M1097">IF(L1097="מאושר",IF(K1097="הכנסה שסווגה מחדש",0,G1097),0)</f>
        <v>89</v>
      </c>
      <c r="N1097" s="136" cm="1">
        <f t="array" ref="N1097">IF(K1097="שוטף",M1097,0)</f>
        <v>89</v>
      </c>
      <c r="O1097" s="136" cm="1">
        <f t="array" ref="O1097">IF(K1097="הכנסה שסווגה מחדש",-G1097,0)</f>
        <v>0</v>
      </c>
      <c r="P1097" t="s" s="80">
        <v>770</v>
      </c>
      <c r="Q1097" s="100"/>
      <c r="R1097" t="s" s="137">
        <v>743</v>
      </c>
      <c r="S1097" s="77"/>
    </row>
    <row r="1098" ht="13.65" customHeight="1">
      <c r="A1098" s="84">
        <v>45962</v>
      </c>
      <c r="B1098" t="s" s="85">
        <v>54</v>
      </c>
      <c r="C1098" t="s" s="86">
        <v>825</v>
      </c>
      <c r="D1098" s="138">
        <v>98</v>
      </c>
      <c r="E1098" t="s" s="85">
        <v>754</v>
      </c>
      <c r="F1098" t="s" s="86">
        <v>308</v>
      </c>
      <c r="G1098" s="139">
        <v>9</v>
      </c>
      <c r="H1098" t="s" s="140">
        <v>113</v>
      </c>
      <c r="I1098" t="s" s="141">
        <v>113</v>
      </c>
      <c r="J1098" t="s" s="141">
        <v>97</v>
      </c>
      <c r="K1098" t="str" s="142" cm="1">
        <f t="array" ref="K1098">IF(OR(H1098="ריביות",AND(H1098="דירה כצנלסון",G1098&lt;0,ISNUMBER(SEARCH("הכנסה",F1098)))),"הכנסה שסווגה מחדש",J1098)</f>
        <v>שוטף</v>
      </c>
      <c r="L1098" t="s" s="141">
        <v>741</v>
      </c>
      <c r="M1098" s="143" cm="1">
        <f t="array" ref="M1098">IF(L1098="מאושר",IF(K1098="הכנסה שסווגה מחדש",0,G1098),0)</f>
        <v>9</v>
      </c>
      <c r="N1098" s="143" cm="1">
        <f t="array" ref="N1098">IF(K1098="שוטף",M1098,0)</f>
        <v>9</v>
      </c>
      <c r="O1098" s="143" cm="1">
        <f t="array" ref="O1098">IF(K1098="הכנסה שסווגה מחדש",-G1098,0)</f>
        <v>0</v>
      </c>
      <c r="P1098" t="s" s="86">
        <v>770</v>
      </c>
      <c r="Q1098" s="99"/>
      <c r="R1098" t="s" s="144">
        <v>743</v>
      </c>
      <c r="S1098" s="77"/>
    </row>
    <row r="1099" ht="13.65" customHeight="1">
      <c r="A1099" s="78">
        <v>45962</v>
      </c>
      <c r="B1099" t="s" s="79">
        <v>54</v>
      </c>
      <c r="C1099" t="s" s="80">
        <v>825</v>
      </c>
      <c r="D1099" s="131">
        <v>99</v>
      </c>
      <c r="E1099" t="s" s="79">
        <v>754</v>
      </c>
      <c r="F1099" t="s" s="80">
        <v>223</v>
      </c>
      <c r="G1099" s="132">
        <v>42</v>
      </c>
      <c r="H1099" t="s" s="133">
        <v>117</v>
      </c>
      <c r="I1099" t="s" s="134">
        <v>117</v>
      </c>
      <c r="J1099" t="s" s="134">
        <v>97</v>
      </c>
      <c r="K1099" t="str" s="135" cm="1">
        <f t="array" ref="K1099">IF(OR(H1099="ריביות",AND(H1099="דירה כצנלסון",G1099&lt;0,ISNUMBER(SEARCH("הכנסה",F1099)))),"הכנסה שסווגה מחדש",J1099)</f>
        <v>שוטף</v>
      </c>
      <c r="L1099" t="s" s="134">
        <v>741</v>
      </c>
      <c r="M1099" s="136" cm="1">
        <f t="array" ref="M1099">IF(L1099="מאושר",IF(K1099="הכנסה שסווגה מחדש",0,G1099),0)</f>
        <v>42</v>
      </c>
      <c r="N1099" s="136" cm="1">
        <f t="array" ref="N1099">IF(K1099="שוטף",M1099,0)</f>
        <v>42</v>
      </c>
      <c r="O1099" s="136" cm="1">
        <f t="array" ref="O1099">IF(K1099="הכנסה שסווגה מחדש",-G1099,0)</f>
        <v>0</v>
      </c>
      <c r="P1099" t="s" s="80">
        <v>770</v>
      </c>
      <c r="Q1099" s="100"/>
      <c r="R1099" t="s" s="137">
        <v>743</v>
      </c>
      <c r="S1099" s="77"/>
    </row>
    <row r="1100" ht="13.65" customHeight="1">
      <c r="A1100" s="84">
        <v>45962</v>
      </c>
      <c r="B1100" t="s" s="85">
        <v>54</v>
      </c>
      <c r="C1100" t="s" s="86">
        <v>825</v>
      </c>
      <c r="D1100" s="138">
        <v>100</v>
      </c>
      <c r="E1100" t="s" s="85">
        <v>790</v>
      </c>
      <c r="F1100" t="s" s="86">
        <v>223</v>
      </c>
      <c r="G1100" s="139">
        <v>-45</v>
      </c>
      <c r="H1100" t="s" s="140">
        <v>117</v>
      </c>
      <c r="I1100" t="s" s="141">
        <v>117</v>
      </c>
      <c r="J1100" t="s" s="141">
        <v>97</v>
      </c>
      <c r="K1100" t="str" s="142" cm="1">
        <f t="array" ref="K1100">IF(OR(H1100="ריביות",AND(H1100="דירה כצנלסון",G1100&lt;0,ISNUMBER(SEARCH("הכנסה",F1100)))),"הכנסה שסווגה מחדש",J1100)</f>
        <v>שוטף</v>
      </c>
      <c r="L1100" t="s" s="141">
        <v>741</v>
      </c>
      <c r="M1100" s="143" cm="1">
        <f t="array" ref="M1100">IF(L1100="מאושר",IF(K1100="הכנסה שסווגה מחדש",0,G1100),0)</f>
        <v>-45</v>
      </c>
      <c r="N1100" s="143" cm="1">
        <f t="array" ref="N1100">IF(K1100="שוטף",M1100,0)</f>
        <v>-45</v>
      </c>
      <c r="O1100" s="143" cm="1">
        <f t="array" ref="O1100">IF(K1100="הכנסה שסווגה מחדש",-G1100,0)</f>
        <v>0</v>
      </c>
      <c r="P1100" t="s" s="86">
        <v>770</v>
      </c>
      <c r="Q1100" s="99"/>
      <c r="R1100" t="s" s="144">
        <v>743</v>
      </c>
      <c r="S1100" s="77"/>
    </row>
    <row r="1101" ht="13.65" customHeight="1">
      <c r="A1101" s="78">
        <v>45962</v>
      </c>
      <c r="B1101" t="s" s="79">
        <v>54</v>
      </c>
      <c r="C1101" t="s" s="80">
        <v>825</v>
      </c>
      <c r="D1101" s="131">
        <v>101</v>
      </c>
      <c r="E1101" t="s" s="79">
        <v>761</v>
      </c>
      <c r="F1101" t="s" s="80">
        <v>200</v>
      </c>
      <c r="G1101" s="132">
        <v>941</v>
      </c>
      <c r="H1101" t="s" s="133">
        <v>109</v>
      </c>
      <c r="I1101" t="s" s="134">
        <v>109</v>
      </c>
      <c r="J1101" t="s" s="134">
        <v>97</v>
      </c>
      <c r="K1101" t="str" s="135" cm="1">
        <f t="array" ref="K1101">IF(OR(H1101="ריביות",AND(H1101="דירה כצנלסון",G1101&lt;0,ISNUMBER(SEARCH("הכנסה",F1101)))),"הכנסה שסווגה מחדש",J1101)</f>
        <v>שוטף</v>
      </c>
      <c r="L1101" t="s" s="134">
        <v>741</v>
      </c>
      <c r="M1101" s="136" cm="1">
        <f t="array" ref="M1101">IF(L1101="מאושר",IF(K1101="הכנסה שסווגה מחדש",0,G1101),0)</f>
        <v>941</v>
      </c>
      <c r="N1101" s="136" cm="1">
        <f t="array" ref="N1101">IF(K1101="שוטף",M1101,0)</f>
        <v>941</v>
      </c>
      <c r="O1101" s="136" cm="1">
        <f t="array" ref="O1101">IF(K1101="הכנסה שסווגה מחדש",-G1101,0)</f>
        <v>0</v>
      </c>
      <c r="P1101" t="s" s="80">
        <v>770</v>
      </c>
      <c r="Q1101" s="100"/>
      <c r="R1101" t="s" s="137">
        <v>743</v>
      </c>
      <c r="S1101" s="77"/>
    </row>
    <row r="1102" ht="13.65" customHeight="1">
      <c r="A1102" s="84">
        <v>45962</v>
      </c>
      <c r="B1102" t="s" s="85">
        <v>54</v>
      </c>
      <c r="C1102" t="s" s="86">
        <v>825</v>
      </c>
      <c r="D1102" s="138">
        <v>102</v>
      </c>
      <c r="E1102" t="s" s="85">
        <v>761</v>
      </c>
      <c r="F1102" t="s" s="86">
        <v>200</v>
      </c>
      <c r="G1102" s="139">
        <v>66</v>
      </c>
      <c r="H1102" t="s" s="140">
        <v>109</v>
      </c>
      <c r="I1102" t="s" s="141">
        <v>109</v>
      </c>
      <c r="J1102" t="s" s="141">
        <v>97</v>
      </c>
      <c r="K1102" t="str" s="142" cm="1">
        <f t="array" ref="K1102">IF(OR(H1102="ריביות",AND(H1102="דירה כצנלסון",G1102&lt;0,ISNUMBER(SEARCH("הכנסה",F1102)))),"הכנסה שסווגה מחדש",J1102)</f>
        <v>שוטף</v>
      </c>
      <c r="L1102" t="s" s="141">
        <v>741</v>
      </c>
      <c r="M1102" s="143" cm="1">
        <f t="array" ref="M1102">IF(L1102="מאושר",IF(K1102="הכנסה שסווגה מחדש",0,G1102),0)</f>
        <v>66</v>
      </c>
      <c r="N1102" s="143" cm="1">
        <f t="array" ref="N1102">IF(K1102="שוטף",M1102,0)</f>
        <v>66</v>
      </c>
      <c r="O1102" s="143" cm="1">
        <f t="array" ref="O1102">IF(K1102="הכנסה שסווגה מחדש",-G1102,0)</f>
        <v>0</v>
      </c>
      <c r="P1102" t="s" s="86">
        <v>770</v>
      </c>
      <c r="Q1102" s="99"/>
      <c r="R1102" t="s" s="144">
        <v>743</v>
      </c>
      <c r="S1102" s="77"/>
    </row>
    <row r="1103" ht="13.65" customHeight="1">
      <c r="A1103" s="78">
        <v>45962</v>
      </c>
      <c r="B1103" t="s" s="79">
        <v>54</v>
      </c>
      <c r="C1103" t="s" s="80">
        <v>825</v>
      </c>
      <c r="D1103" s="131">
        <v>103</v>
      </c>
      <c r="E1103" t="s" s="79">
        <v>768</v>
      </c>
      <c r="F1103" t="s" s="80">
        <v>200</v>
      </c>
      <c r="G1103" s="132">
        <v>89</v>
      </c>
      <c r="H1103" t="s" s="133">
        <v>109</v>
      </c>
      <c r="I1103" t="s" s="134">
        <v>109</v>
      </c>
      <c r="J1103" t="s" s="134">
        <v>97</v>
      </c>
      <c r="K1103" t="str" s="135" cm="1">
        <f t="array" ref="K1103">IF(OR(H1103="ריביות",AND(H1103="דירה כצנלסון",G1103&lt;0,ISNUMBER(SEARCH("הכנסה",F1103)))),"הכנסה שסווגה מחדש",J1103)</f>
        <v>שוטף</v>
      </c>
      <c r="L1103" t="s" s="134">
        <v>741</v>
      </c>
      <c r="M1103" s="136" cm="1">
        <f t="array" ref="M1103">IF(L1103="מאושר",IF(K1103="הכנסה שסווגה מחדש",0,G1103),0)</f>
        <v>89</v>
      </c>
      <c r="N1103" s="136" cm="1">
        <f t="array" ref="N1103">IF(K1103="שוטף",M1103,0)</f>
        <v>89</v>
      </c>
      <c r="O1103" s="136" cm="1">
        <f t="array" ref="O1103">IF(K1103="הכנסה שסווגה מחדש",-G1103,0)</f>
        <v>0</v>
      </c>
      <c r="P1103" t="s" s="80">
        <v>770</v>
      </c>
      <c r="Q1103" s="100"/>
      <c r="R1103" t="s" s="137">
        <v>743</v>
      </c>
      <c r="S1103" s="77"/>
    </row>
    <row r="1104" ht="13.65" customHeight="1">
      <c r="A1104" s="84">
        <v>45962</v>
      </c>
      <c r="B1104" t="s" s="85">
        <v>54</v>
      </c>
      <c r="C1104" t="s" s="86">
        <v>825</v>
      </c>
      <c r="D1104" s="138">
        <v>104</v>
      </c>
      <c r="E1104" t="s" s="85">
        <v>791</v>
      </c>
      <c r="F1104" t="s" s="86">
        <v>200</v>
      </c>
      <c r="G1104" s="139">
        <v>52</v>
      </c>
      <c r="H1104" t="s" s="140">
        <v>109</v>
      </c>
      <c r="I1104" t="s" s="141">
        <v>109</v>
      </c>
      <c r="J1104" t="s" s="141">
        <v>97</v>
      </c>
      <c r="K1104" t="str" s="142" cm="1">
        <f t="array" ref="K1104">IF(OR(H1104="ריביות",AND(H1104="דירה כצנלסון",G1104&lt;0,ISNUMBER(SEARCH("הכנסה",F1104)))),"הכנסה שסווגה מחדש",J1104)</f>
        <v>שוטף</v>
      </c>
      <c r="L1104" t="s" s="141">
        <v>741</v>
      </c>
      <c r="M1104" s="143" cm="1">
        <f t="array" ref="M1104">IF(L1104="מאושר",IF(K1104="הכנסה שסווגה מחדש",0,G1104),0)</f>
        <v>52</v>
      </c>
      <c r="N1104" s="143" cm="1">
        <f t="array" ref="N1104">IF(K1104="שוטף",M1104,0)</f>
        <v>52</v>
      </c>
      <c r="O1104" s="143" cm="1">
        <f t="array" ref="O1104">IF(K1104="הכנסה שסווגה מחדש",-G1104,0)</f>
        <v>0</v>
      </c>
      <c r="P1104" t="s" s="86">
        <v>770</v>
      </c>
      <c r="Q1104" s="99"/>
      <c r="R1104" t="s" s="144">
        <v>743</v>
      </c>
      <c r="S1104" s="77"/>
    </row>
    <row r="1105" ht="13.65" customHeight="1">
      <c r="A1105" s="78">
        <v>45962</v>
      </c>
      <c r="B1105" t="s" s="79">
        <v>54</v>
      </c>
      <c r="C1105" t="s" s="80">
        <v>825</v>
      </c>
      <c r="D1105" s="131">
        <v>105</v>
      </c>
      <c r="E1105" t="s" s="79">
        <v>791</v>
      </c>
      <c r="F1105" t="s" s="80">
        <v>223</v>
      </c>
      <c r="G1105" s="132">
        <v>51</v>
      </c>
      <c r="H1105" t="s" s="133">
        <v>117</v>
      </c>
      <c r="I1105" t="s" s="134">
        <v>117</v>
      </c>
      <c r="J1105" t="s" s="134">
        <v>97</v>
      </c>
      <c r="K1105" t="str" s="135" cm="1">
        <f t="array" ref="K1105">IF(OR(H1105="ריביות",AND(H1105="דירה כצנלסון",G1105&lt;0,ISNUMBER(SEARCH("הכנסה",F1105)))),"הכנסה שסווגה מחדש",J1105)</f>
        <v>שוטף</v>
      </c>
      <c r="L1105" t="s" s="134">
        <v>741</v>
      </c>
      <c r="M1105" s="136" cm="1">
        <f t="array" ref="M1105">IF(L1105="מאושר",IF(K1105="הכנסה שסווגה מחדש",0,G1105),0)</f>
        <v>51</v>
      </c>
      <c r="N1105" s="136" cm="1">
        <f t="array" ref="N1105">IF(K1105="שוטף",M1105,0)</f>
        <v>51</v>
      </c>
      <c r="O1105" s="136" cm="1">
        <f t="array" ref="O1105">IF(K1105="הכנסה שסווגה מחדש",-G1105,0)</f>
        <v>0</v>
      </c>
      <c r="P1105" t="s" s="80">
        <v>770</v>
      </c>
      <c r="Q1105" s="100"/>
      <c r="R1105" t="s" s="137">
        <v>743</v>
      </c>
      <c r="S1105" s="77"/>
    </row>
    <row r="1106" ht="13.65" customHeight="1">
      <c r="A1106" s="84">
        <v>45962</v>
      </c>
      <c r="B1106" t="s" s="85">
        <v>54</v>
      </c>
      <c r="C1106" t="s" s="86">
        <v>825</v>
      </c>
      <c r="D1106" s="138">
        <v>106</v>
      </c>
      <c r="E1106" t="s" s="85">
        <v>755</v>
      </c>
      <c r="F1106" t="s" s="86">
        <v>200</v>
      </c>
      <c r="G1106" s="139">
        <v>-24</v>
      </c>
      <c r="H1106" t="s" s="140">
        <v>109</v>
      </c>
      <c r="I1106" t="s" s="141">
        <v>109</v>
      </c>
      <c r="J1106" t="s" s="141">
        <v>97</v>
      </c>
      <c r="K1106" t="str" s="142" cm="1">
        <f t="array" ref="K1106">IF(OR(H1106="ריביות",AND(H1106="דירה כצנלסון",G1106&lt;0,ISNUMBER(SEARCH("הכנסה",F1106)))),"הכנסה שסווגה מחדש",J1106)</f>
        <v>שוטף</v>
      </c>
      <c r="L1106" t="s" s="141">
        <v>741</v>
      </c>
      <c r="M1106" s="143" cm="1">
        <f t="array" ref="M1106">IF(L1106="מאושר",IF(K1106="הכנסה שסווגה מחדש",0,G1106),0)</f>
        <v>-24</v>
      </c>
      <c r="N1106" s="143" cm="1">
        <f t="array" ref="N1106">IF(K1106="שוטף",M1106,0)</f>
        <v>-24</v>
      </c>
      <c r="O1106" s="143" cm="1">
        <f t="array" ref="O1106">IF(K1106="הכנסה שסווגה מחדש",-G1106,0)</f>
        <v>0</v>
      </c>
      <c r="P1106" t="s" s="86">
        <v>770</v>
      </c>
      <c r="Q1106" s="99"/>
      <c r="R1106" t="s" s="144">
        <v>743</v>
      </c>
      <c r="S1106" s="77"/>
    </row>
    <row r="1107" ht="13.65" customHeight="1">
      <c r="A1107" s="78">
        <v>45962</v>
      </c>
      <c r="B1107" t="s" s="79">
        <v>54</v>
      </c>
      <c r="C1107" t="s" s="80">
        <v>825</v>
      </c>
      <c r="D1107" s="131">
        <v>107</v>
      </c>
      <c r="E1107" t="s" s="79">
        <v>765</v>
      </c>
      <c r="F1107" t="s" s="80">
        <v>289</v>
      </c>
      <c r="G1107" s="132">
        <v>230</v>
      </c>
      <c r="H1107" t="s" s="133">
        <v>767</v>
      </c>
      <c r="I1107" t="s" s="134">
        <v>107</v>
      </c>
      <c r="J1107" t="s" s="134">
        <v>97</v>
      </c>
      <c r="K1107" t="str" s="135" cm="1">
        <f t="array" ref="K1107">IF(OR(H1107="ריביות",AND(H1107="דירה כצנלסון",G1107&lt;0,ISNUMBER(SEARCH("הכנסה",F1107)))),"הכנסה שסווגה מחדש",J1107)</f>
        <v>שוטף</v>
      </c>
      <c r="L1107" t="s" s="134">
        <v>741</v>
      </c>
      <c r="M1107" s="136" cm="1">
        <f t="array" ref="M1107">IF(L1107="מאושר",IF(K1107="הכנסה שסווגה מחדש",0,G1107),0)</f>
        <v>230</v>
      </c>
      <c r="N1107" s="136" cm="1">
        <f t="array" ref="N1107">IF(K1107="שוטף",M1107,0)</f>
        <v>230</v>
      </c>
      <c r="O1107" s="136" cm="1">
        <f t="array" ref="O1107">IF(K1107="הכנסה שסווגה מחדש",-G1107,0)</f>
        <v>0</v>
      </c>
      <c r="P1107" t="s" s="80">
        <v>770</v>
      </c>
      <c r="Q1107" s="100"/>
      <c r="R1107" t="s" s="137">
        <v>743</v>
      </c>
      <c r="S1107" s="77"/>
    </row>
    <row r="1108" ht="13.65" customHeight="1">
      <c r="A1108" s="84">
        <v>45962</v>
      </c>
      <c r="B1108" t="s" s="85">
        <v>54</v>
      </c>
      <c r="C1108" t="s" s="86">
        <v>825</v>
      </c>
      <c r="D1108" s="138">
        <v>108</v>
      </c>
      <c r="E1108" t="s" s="85">
        <v>759</v>
      </c>
      <c r="F1108" t="s" s="86">
        <v>399</v>
      </c>
      <c r="G1108" s="139">
        <v>299</v>
      </c>
      <c r="H1108" t="s" s="140">
        <v>117</v>
      </c>
      <c r="I1108" t="s" s="141">
        <v>117</v>
      </c>
      <c r="J1108" t="s" s="141">
        <v>97</v>
      </c>
      <c r="K1108" t="str" s="142" cm="1">
        <f t="array" ref="K1108">IF(OR(H1108="ריביות",AND(H1108="דירה כצנלסון",G1108&lt;0,ISNUMBER(SEARCH("הכנסה",F1108)))),"הכנסה שסווגה מחדש",J1108)</f>
        <v>שוטף</v>
      </c>
      <c r="L1108" t="s" s="141">
        <v>741</v>
      </c>
      <c r="M1108" s="143" cm="1">
        <f t="array" ref="M1108">IF(L1108="מאושר",IF(K1108="הכנסה שסווגה מחדש",0,G1108),0)</f>
        <v>299</v>
      </c>
      <c r="N1108" s="143" cm="1">
        <f t="array" ref="N1108">IF(K1108="שוטף",M1108,0)</f>
        <v>299</v>
      </c>
      <c r="O1108" s="143" cm="1">
        <f t="array" ref="O1108">IF(K1108="הכנסה שסווגה מחדש",-G1108,0)</f>
        <v>0</v>
      </c>
      <c r="P1108" t="s" s="86">
        <v>770</v>
      </c>
      <c r="Q1108" s="99"/>
      <c r="R1108" t="s" s="144">
        <v>743</v>
      </c>
      <c r="S1108" s="77"/>
    </row>
    <row r="1109" ht="13.65" customHeight="1">
      <c r="A1109" s="78">
        <v>45962</v>
      </c>
      <c r="B1109" t="s" s="79">
        <v>54</v>
      </c>
      <c r="C1109" t="s" s="80">
        <v>825</v>
      </c>
      <c r="D1109" s="131">
        <v>109</v>
      </c>
      <c r="E1109" t="s" s="79">
        <v>775</v>
      </c>
      <c r="F1109" t="s" s="80">
        <v>214</v>
      </c>
      <c r="G1109" s="132">
        <v>900</v>
      </c>
      <c r="H1109" t="s" s="133">
        <v>767</v>
      </c>
      <c r="I1109" t="s" s="134">
        <v>107</v>
      </c>
      <c r="J1109" t="s" s="134">
        <v>97</v>
      </c>
      <c r="K1109" t="str" s="135" cm="1">
        <f t="array" ref="K1109">IF(OR(H1109="ריביות",AND(H1109="דירה כצנלסון",G1109&lt;0,ISNUMBER(SEARCH("הכנסה",F1109)))),"הכנסה שסווגה מחדש",J1109)</f>
        <v>שוטף</v>
      </c>
      <c r="L1109" t="s" s="134">
        <v>741</v>
      </c>
      <c r="M1109" s="136" cm="1">
        <f t="array" ref="M1109">IF(L1109="מאושר",IF(K1109="הכנסה שסווגה מחדש",0,G1109),0)</f>
        <v>900</v>
      </c>
      <c r="N1109" s="136" cm="1">
        <f t="array" ref="N1109">IF(K1109="שוטף",M1109,0)</f>
        <v>900</v>
      </c>
      <c r="O1109" s="136" cm="1">
        <f t="array" ref="O1109">IF(K1109="הכנסה שסווגה מחדש",-G1109,0)</f>
        <v>0</v>
      </c>
      <c r="P1109" t="s" s="80">
        <v>770</v>
      </c>
      <c r="Q1109" s="100"/>
      <c r="R1109" t="s" s="137">
        <v>743</v>
      </c>
      <c r="S1109" s="77"/>
    </row>
    <row r="1110" ht="13.65" customHeight="1">
      <c r="A1110" s="84">
        <v>45962</v>
      </c>
      <c r="B1110" t="s" s="85">
        <v>54</v>
      </c>
      <c r="C1110" t="s" s="86">
        <v>825</v>
      </c>
      <c r="D1110" s="138">
        <v>110</v>
      </c>
      <c r="E1110" t="s" s="85">
        <v>775</v>
      </c>
      <c r="F1110" t="s" s="86">
        <v>223</v>
      </c>
      <c r="G1110" s="139">
        <v>-8</v>
      </c>
      <c r="H1110" t="s" s="140">
        <v>117</v>
      </c>
      <c r="I1110" t="s" s="141">
        <v>117</v>
      </c>
      <c r="J1110" t="s" s="141">
        <v>97</v>
      </c>
      <c r="K1110" t="str" s="142" cm="1">
        <f t="array" ref="K1110">IF(OR(H1110="ריביות",AND(H1110="דירה כצנלסון",G1110&lt;0,ISNUMBER(SEARCH("הכנסה",F1110)))),"הכנסה שסווגה מחדש",J1110)</f>
        <v>שוטף</v>
      </c>
      <c r="L1110" t="s" s="141">
        <v>741</v>
      </c>
      <c r="M1110" s="143" cm="1">
        <f t="array" ref="M1110">IF(L1110="מאושר",IF(K1110="הכנסה שסווגה מחדש",0,G1110),0)</f>
        <v>-8</v>
      </c>
      <c r="N1110" s="143" cm="1">
        <f t="array" ref="N1110">IF(K1110="שוטף",M1110,0)</f>
        <v>-8</v>
      </c>
      <c r="O1110" s="143" cm="1">
        <f t="array" ref="O1110">IF(K1110="הכנסה שסווגה מחדש",-G1110,0)</f>
        <v>0</v>
      </c>
      <c r="P1110" t="s" s="86">
        <v>770</v>
      </c>
      <c r="Q1110" s="99"/>
      <c r="R1110" t="s" s="144">
        <v>743</v>
      </c>
      <c r="S1110" s="77"/>
    </row>
    <row r="1111" ht="13.65" customHeight="1">
      <c r="A1111" s="78">
        <v>45962</v>
      </c>
      <c r="B1111" t="s" s="79">
        <v>54</v>
      </c>
      <c r="C1111" t="s" s="80">
        <v>825</v>
      </c>
      <c r="D1111" s="131">
        <v>111</v>
      </c>
      <c r="E1111" t="s" s="79">
        <v>775</v>
      </c>
      <c r="F1111" t="s" s="80">
        <v>223</v>
      </c>
      <c r="G1111" s="132">
        <v>57</v>
      </c>
      <c r="H1111" t="s" s="133">
        <v>117</v>
      </c>
      <c r="I1111" t="s" s="134">
        <v>117</v>
      </c>
      <c r="J1111" t="s" s="134">
        <v>97</v>
      </c>
      <c r="K1111" t="str" s="135" cm="1">
        <f t="array" ref="K1111">IF(OR(H1111="ריביות",AND(H1111="דירה כצנלסון",G1111&lt;0,ISNUMBER(SEARCH("הכנסה",F1111)))),"הכנסה שסווגה מחדש",J1111)</f>
        <v>שוטף</v>
      </c>
      <c r="L1111" t="s" s="134">
        <v>741</v>
      </c>
      <c r="M1111" s="136" cm="1">
        <f t="array" ref="M1111">IF(L1111="מאושר",IF(K1111="הכנסה שסווגה מחדש",0,G1111),0)</f>
        <v>57</v>
      </c>
      <c r="N1111" s="136" cm="1">
        <f t="array" ref="N1111">IF(K1111="שוטף",M1111,0)</f>
        <v>57</v>
      </c>
      <c r="O1111" s="136" cm="1">
        <f t="array" ref="O1111">IF(K1111="הכנסה שסווגה מחדש",-G1111,0)</f>
        <v>0</v>
      </c>
      <c r="P1111" t="s" s="80">
        <v>770</v>
      </c>
      <c r="Q1111" s="100"/>
      <c r="R1111" t="s" s="137">
        <v>743</v>
      </c>
      <c r="S1111" s="77"/>
    </row>
    <row r="1112" ht="13.65" customHeight="1">
      <c r="A1112" s="84">
        <v>45962</v>
      </c>
      <c r="B1112" t="s" s="85">
        <v>54</v>
      </c>
      <c r="C1112" t="s" s="86">
        <v>825</v>
      </c>
      <c r="D1112" s="138">
        <v>112</v>
      </c>
      <c r="E1112" t="s" s="85">
        <v>764</v>
      </c>
      <c r="F1112" t="s" s="86">
        <v>389</v>
      </c>
      <c r="G1112" s="139">
        <v>219</v>
      </c>
      <c r="H1112" t="s" s="140">
        <v>127</v>
      </c>
      <c r="I1112" t="s" s="141">
        <v>127</v>
      </c>
      <c r="J1112" t="s" s="141">
        <v>97</v>
      </c>
      <c r="K1112" t="str" s="142" cm="1">
        <f t="array" ref="K1112">IF(OR(H1112="ריביות",AND(H1112="דירה כצנלסון",G1112&lt;0,ISNUMBER(SEARCH("הכנסה",F1112)))),"הכנסה שסווגה מחדש",J1112)</f>
        <v>שוטף</v>
      </c>
      <c r="L1112" t="s" s="141">
        <v>741</v>
      </c>
      <c r="M1112" s="143" cm="1">
        <f t="array" ref="M1112">IF(L1112="מאושר",IF(K1112="הכנסה שסווגה מחדש",0,G1112),0)</f>
        <v>219</v>
      </c>
      <c r="N1112" s="143" cm="1">
        <f t="array" ref="N1112">IF(K1112="שוטף",M1112,0)</f>
        <v>219</v>
      </c>
      <c r="O1112" s="143" cm="1">
        <f t="array" ref="O1112">IF(K1112="הכנסה שסווגה מחדש",-G1112,0)</f>
        <v>0</v>
      </c>
      <c r="P1112" t="s" s="86">
        <v>770</v>
      </c>
      <c r="Q1112" s="99"/>
      <c r="R1112" t="s" s="144">
        <v>743</v>
      </c>
      <c r="S1112" s="77"/>
    </row>
    <row r="1113" ht="13.65" customHeight="1">
      <c r="A1113" s="78">
        <v>45962</v>
      </c>
      <c r="B1113" t="s" s="79">
        <v>54</v>
      </c>
      <c r="C1113" t="s" s="80">
        <v>825</v>
      </c>
      <c r="D1113" s="131">
        <v>113</v>
      </c>
      <c r="E1113" t="s" s="79">
        <v>764</v>
      </c>
      <c r="F1113" t="s" s="80">
        <v>528</v>
      </c>
      <c r="G1113" s="132">
        <v>100</v>
      </c>
      <c r="H1113" t="s" s="133">
        <v>210</v>
      </c>
      <c r="I1113" t="s" s="134">
        <v>102</v>
      </c>
      <c r="J1113" t="s" s="134">
        <v>103</v>
      </c>
      <c r="K1113" t="str" s="135" cm="1">
        <f t="array" ref="K1113">IF(OR(H1113="ריביות",AND(H1113="דירה כצנלסון",G1113&lt;0,ISNUMBER(SEARCH("הכנסה",F1113)))),"הכנסה שסווגה מחדש",J1113)</f>
        <v>חריג</v>
      </c>
      <c r="L1113" t="s" s="134">
        <v>741</v>
      </c>
      <c r="M1113" s="136" cm="1">
        <f t="array" ref="M1113">IF(L1113="מאושר",IF(K1113="הכנסה שסווגה מחדש",0,G1113),0)</f>
        <v>100</v>
      </c>
      <c r="N1113" s="136" cm="1">
        <f t="array" ref="N1113">IF(K1113="שוטף",M1113,0)</f>
        <v>0</v>
      </c>
      <c r="O1113" s="136" cm="1">
        <f t="array" ref="O1113">IF(K1113="הכנסה שסווגה מחדש",-G1113,0)</f>
        <v>0</v>
      </c>
      <c r="P1113" t="s" s="80">
        <v>770</v>
      </c>
      <c r="Q1113" s="100"/>
      <c r="R1113" t="s" s="137">
        <v>743</v>
      </c>
      <c r="S1113" s="77"/>
    </row>
    <row r="1114" ht="13.65" customHeight="1">
      <c r="A1114" s="84">
        <v>45962</v>
      </c>
      <c r="B1114" t="s" s="85">
        <v>54</v>
      </c>
      <c r="C1114" t="s" s="86">
        <v>825</v>
      </c>
      <c r="D1114" s="138">
        <v>114</v>
      </c>
      <c r="E1114" t="s" s="85">
        <v>756</v>
      </c>
      <c r="F1114" t="s" s="86">
        <v>617</v>
      </c>
      <c r="G1114" s="139">
        <v>45</v>
      </c>
      <c r="H1114" t="s" s="140">
        <v>109</v>
      </c>
      <c r="I1114" t="s" s="141">
        <v>109</v>
      </c>
      <c r="J1114" t="s" s="141">
        <v>97</v>
      </c>
      <c r="K1114" t="str" s="142" cm="1">
        <f t="array" ref="K1114">IF(OR(H1114="ריביות",AND(H1114="דירה כצנלסון",G1114&lt;0,ISNUMBER(SEARCH("הכנסה",F1114)))),"הכנסה שסווגה מחדש",J1114)</f>
        <v>שוטף</v>
      </c>
      <c r="L1114" t="s" s="141">
        <v>741</v>
      </c>
      <c r="M1114" s="143" cm="1">
        <f t="array" ref="M1114">IF(L1114="מאושר",IF(K1114="הכנסה שסווגה מחדש",0,G1114),0)</f>
        <v>45</v>
      </c>
      <c r="N1114" s="143" cm="1">
        <f t="array" ref="N1114">IF(K1114="שוטף",M1114,0)</f>
        <v>45</v>
      </c>
      <c r="O1114" s="143" cm="1">
        <f t="array" ref="O1114">IF(K1114="הכנסה שסווגה מחדש",-G1114,0)</f>
        <v>0</v>
      </c>
      <c r="P1114" t="s" s="86">
        <v>770</v>
      </c>
      <c r="Q1114" s="99"/>
      <c r="R1114" t="s" s="144">
        <v>743</v>
      </c>
      <c r="S1114" s="77"/>
    </row>
    <row r="1115" ht="13.65" customHeight="1">
      <c r="A1115" s="78">
        <v>45962</v>
      </c>
      <c r="B1115" t="s" s="79">
        <v>54</v>
      </c>
      <c r="C1115" t="s" s="80">
        <v>825</v>
      </c>
      <c r="D1115" s="131">
        <v>115</v>
      </c>
      <c r="E1115" t="s" s="79">
        <v>776</v>
      </c>
      <c r="F1115" t="s" s="80">
        <v>397</v>
      </c>
      <c r="G1115" s="132">
        <v>302</v>
      </c>
      <c r="H1115" t="s" s="133">
        <v>117</v>
      </c>
      <c r="I1115" t="s" s="134">
        <v>117</v>
      </c>
      <c r="J1115" t="s" s="134">
        <v>97</v>
      </c>
      <c r="K1115" t="str" s="135" cm="1">
        <f t="array" ref="K1115">IF(OR(H1115="ריביות",AND(H1115="דירה כצנלסון",G1115&lt;0,ISNUMBER(SEARCH("הכנסה",F1115)))),"הכנסה שסווגה מחדש",J1115)</f>
        <v>שוטף</v>
      </c>
      <c r="L1115" t="s" s="134">
        <v>741</v>
      </c>
      <c r="M1115" s="136" cm="1">
        <f t="array" ref="M1115">IF(L1115="מאושר",IF(K1115="הכנסה שסווגה מחדש",0,G1115),0)</f>
        <v>302</v>
      </c>
      <c r="N1115" s="136" cm="1">
        <f t="array" ref="N1115">IF(K1115="שוטף",M1115,0)</f>
        <v>302</v>
      </c>
      <c r="O1115" s="136" cm="1">
        <f t="array" ref="O1115">IF(K1115="הכנסה שסווגה מחדש",-G1115,0)</f>
        <v>0</v>
      </c>
      <c r="P1115" t="s" s="80">
        <v>770</v>
      </c>
      <c r="Q1115" s="100"/>
      <c r="R1115" t="s" s="137">
        <v>743</v>
      </c>
      <c r="S1115" s="77"/>
    </row>
    <row r="1116" ht="13.65" customHeight="1">
      <c r="A1116" s="84">
        <v>45962</v>
      </c>
      <c r="B1116" t="s" s="85">
        <v>54</v>
      </c>
      <c r="C1116" t="s" s="86">
        <v>825</v>
      </c>
      <c r="D1116" s="138">
        <v>116</v>
      </c>
      <c r="E1116" s="99"/>
      <c r="F1116" t="s" s="86">
        <v>204</v>
      </c>
      <c r="G1116" s="139">
        <v>100</v>
      </c>
      <c r="H1116" t="s" s="140">
        <v>829</v>
      </c>
      <c r="I1116" t="s" s="141">
        <v>102</v>
      </c>
      <c r="J1116" t="s" s="141">
        <v>103</v>
      </c>
      <c r="K1116" t="str" s="142" cm="1">
        <f t="array" ref="K1116">IF(OR(H1116="ריביות",AND(H1116="דירה כצנלסון",G1116&lt;0,ISNUMBER(SEARCH("הכנסה",F1116)))),"הכנסה שסווגה מחדש",J1116)</f>
        <v>חריג</v>
      </c>
      <c r="L1116" t="s" s="141">
        <v>741</v>
      </c>
      <c r="M1116" s="143" cm="1">
        <f t="array" ref="M1116">IF(L1116="מאושר",IF(K1116="הכנסה שסווגה מחדש",0,G1116),0)</f>
        <v>100</v>
      </c>
      <c r="N1116" s="143" cm="1">
        <f t="array" ref="N1116">IF(K1116="שוטף",M1116,0)</f>
        <v>0</v>
      </c>
      <c r="O1116" s="143" cm="1">
        <f t="array" ref="O1116">IF(K1116="הכנסה שסווגה מחדש",-G1116,0)</f>
        <v>0</v>
      </c>
      <c r="P1116" s="99"/>
      <c r="Q1116" t="s" s="85">
        <v>830</v>
      </c>
      <c r="R1116" t="s" s="144">
        <v>831</v>
      </c>
      <c r="S1116" s="77"/>
    </row>
    <row r="1117" ht="13.65" customHeight="1">
      <c r="A1117" s="78">
        <v>45992</v>
      </c>
      <c r="B1117" t="s" s="79">
        <v>55</v>
      </c>
      <c r="C1117" t="s" s="80">
        <v>832</v>
      </c>
      <c r="D1117" s="131">
        <v>2</v>
      </c>
      <c r="E1117" t="s" s="79">
        <v>772</v>
      </c>
      <c r="F1117" t="s" s="80">
        <v>196</v>
      </c>
      <c r="G1117" s="132">
        <v>8000</v>
      </c>
      <c r="H1117" t="s" s="133">
        <v>763</v>
      </c>
      <c r="I1117" t="s" s="134">
        <v>96</v>
      </c>
      <c r="J1117" t="s" s="134">
        <v>97</v>
      </c>
      <c r="K1117" t="str" s="135" cm="1">
        <f t="array" ref="K1117">IF(OR(H1117="ריביות",AND(H1117="דירה כצנלסון",G1117&lt;0,ISNUMBER(SEARCH("הכנסה",F1117)))),"הכנסה שסווגה מחדש",J1117)</f>
        <v>שוטף</v>
      </c>
      <c r="L1117" t="s" s="134">
        <v>741</v>
      </c>
      <c r="M1117" s="136" cm="1">
        <f t="array" ref="M1117">IF(L1117="מאושר",IF(K1117="הכנסה שסווגה מחדש",0,G1117),0)</f>
        <v>8000</v>
      </c>
      <c r="N1117" s="136" cm="1">
        <f t="array" ref="N1117">IF(K1117="שוטף",M1117,0)</f>
        <v>8000</v>
      </c>
      <c r="O1117" s="136" cm="1">
        <f t="array" ref="O1117">IF(K1117="הכנסה שסווגה מחדש",-G1117,0)</f>
        <v>0</v>
      </c>
      <c r="P1117" t="s" s="80">
        <v>786</v>
      </c>
      <c r="Q1117" s="100"/>
      <c r="R1117" t="s" s="137">
        <v>743</v>
      </c>
      <c r="S1117" s="77"/>
    </row>
    <row r="1118" ht="13.65" customHeight="1">
      <c r="A1118" s="84">
        <v>45992</v>
      </c>
      <c r="B1118" t="s" s="85">
        <v>55</v>
      </c>
      <c r="C1118" t="s" s="86">
        <v>832</v>
      </c>
      <c r="D1118" s="138">
        <v>3</v>
      </c>
      <c r="E1118" t="s" s="85">
        <v>751</v>
      </c>
      <c r="F1118" t="s" s="86">
        <v>197</v>
      </c>
      <c r="G1118" s="139">
        <v>6147</v>
      </c>
      <c r="H1118" t="s" s="140">
        <v>279</v>
      </c>
      <c r="I1118" t="s" s="141">
        <v>99</v>
      </c>
      <c r="J1118" t="s" s="141">
        <v>100</v>
      </c>
      <c r="K1118" t="str" s="142" cm="1">
        <f t="array" ref="K1118">IF(OR(H1118="ריביות",AND(H1118="דירה כצנלסון",G1118&lt;0,ISNUMBER(SEARCH("הכנסה",F1118)))),"הכנסה שסווגה מחדש",J1118)</f>
        <v>חריג/נכס</v>
      </c>
      <c r="L1118" t="s" s="141">
        <v>741</v>
      </c>
      <c r="M1118" s="143" cm="1">
        <f t="array" ref="M1118">IF(L1118="מאושר",IF(K1118="הכנסה שסווגה מחדש",0,G1118),0)</f>
        <v>6147</v>
      </c>
      <c r="N1118" s="143" cm="1">
        <f t="array" ref="N1118">IF(K1118="שוטף",M1118,0)</f>
        <v>0</v>
      </c>
      <c r="O1118" s="143" cm="1">
        <f t="array" ref="O1118">IF(K1118="הכנסה שסווגה מחדש",-G1118,0)</f>
        <v>0</v>
      </c>
      <c r="P1118" t="s" s="86">
        <v>786</v>
      </c>
      <c r="Q1118" s="99"/>
      <c r="R1118" t="s" s="144">
        <v>743</v>
      </c>
      <c r="S1118" s="77"/>
    </row>
    <row r="1119" ht="13.65" customHeight="1">
      <c r="A1119" s="78">
        <v>45992</v>
      </c>
      <c r="B1119" t="s" s="79">
        <v>55</v>
      </c>
      <c r="C1119" t="s" s="80">
        <v>832</v>
      </c>
      <c r="D1119" s="131">
        <v>4</v>
      </c>
      <c r="E1119" t="s" s="79">
        <v>789</v>
      </c>
      <c r="F1119" t="s" s="80">
        <v>740</v>
      </c>
      <c r="G1119" s="132">
        <v>-6500</v>
      </c>
      <c r="H1119" t="s" s="133">
        <v>279</v>
      </c>
      <c r="I1119" t="s" s="134">
        <v>99</v>
      </c>
      <c r="J1119" t="s" s="134">
        <v>100</v>
      </c>
      <c r="K1119" t="str" s="135" cm="1">
        <f t="array" ref="K1119">IF(OR(H1119="ריביות",AND(H1119="דירה כצנלסון",G1119&lt;0,ISNUMBER(SEARCH("הכנסה",F1119)))),"הכנסה שסווגה מחדש",J1119)</f>
        <v>הכנסה שסווגה מחדש</v>
      </c>
      <c r="L1119" t="s" s="134">
        <v>741</v>
      </c>
      <c r="M1119" s="136" cm="1">
        <f t="array" ref="M1119">IF(L1119="מאושר",IF(K1119="הכנסה שסווגה מחדש",0,G1119),0)</f>
        <v>0</v>
      </c>
      <c r="N1119" s="136" cm="1">
        <f t="array" ref="N1119">IF(K1119="שוטף",M1119,0)</f>
        <v>0</v>
      </c>
      <c r="O1119" s="136" cm="1">
        <f t="array" ref="O1119">IF(K1119="הכנסה שסווגה מחדש",-G1119,0)</f>
        <v>6500</v>
      </c>
      <c r="P1119" t="s" s="79">
        <v>742</v>
      </c>
      <c r="Q1119" s="100"/>
      <c r="R1119" t="s" s="137">
        <v>743</v>
      </c>
      <c r="S1119" s="77"/>
    </row>
    <row r="1120" ht="13.65" customHeight="1">
      <c r="A1120" s="84">
        <v>45992</v>
      </c>
      <c r="B1120" t="s" s="85">
        <v>55</v>
      </c>
      <c r="C1120" t="s" s="86">
        <v>832</v>
      </c>
      <c r="D1120" s="138">
        <v>5</v>
      </c>
      <c r="E1120" t="s" s="85">
        <v>755</v>
      </c>
      <c r="F1120" t="s" s="86">
        <v>212</v>
      </c>
      <c r="G1120" s="139">
        <v>965</v>
      </c>
      <c r="H1120" t="s" s="140">
        <v>757</v>
      </c>
      <c r="I1120" t="s" s="141">
        <v>96</v>
      </c>
      <c r="J1120" t="s" s="141">
        <v>97</v>
      </c>
      <c r="K1120" t="str" s="142" cm="1">
        <f t="array" ref="K1120">IF(OR(H1120="ריביות",AND(H1120="דירה כצנלסון",G1120&lt;0,ISNUMBER(SEARCH("הכנסה",F1120)))),"הכנסה שסווגה מחדש",J1120)</f>
        <v>שוטף</v>
      </c>
      <c r="L1120" t="s" s="141">
        <v>741</v>
      </c>
      <c r="M1120" s="143" cm="1">
        <f t="array" ref="M1120">IF(L1120="מאושר",IF(K1120="הכנסה שסווגה מחדש",0,G1120),0)</f>
        <v>965</v>
      </c>
      <c r="N1120" s="143" cm="1">
        <f t="array" ref="N1120">IF(K1120="שוטף",M1120,0)</f>
        <v>965</v>
      </c>
      <c r="O1120" s="143" cm="1">
        <f t="array" ref="O1120">IF(K1120="הכנסה שסווגה מחדש",-G1120,0)</f>
        <v>0</v>
      </c>
      <c r="P1120" t="s" s="86">
        <v>762</v>
      </c>
      <c r="Q1120" s="99"/>
      <c r="R1120" t="s" s="144">
        <v>743</v>
      </c>
      <c r="S1120" s="77"/>
    </row>
    <row r="1121" ht="13.65" customHeight="1">
      <c r="A1121" s="78">
        <v>45992</v>
      </c>
      <c r="B1121" t="s" s="79">
        <v>55</v>
      </c>
      <c r="C1121" t="s" s="80">
        <v>832</v>
      </c>
      <c r="D1121" s="131">
        <v>6</v>
      </c>
      <c r="E1121" t="s" s="79">
        <v>34</v>
      </c>
      <c r="F1121" t="s" s="80">
        <v>221</v>
      </c>
      <c r="G1121" s="132">
        <v>256</v>
      </c>
      <c r="H1121" t="s" s="133">
        <v>757</v>
      </c>
      <c r="I1121" t="s" s="134">
        <v>96</v>
      </c>
      <c r="J1121" t="s" s="134">
        <v>97</v>
      </c>
      <c r="K1121" t="str" s="135" cm="1">
        <f t="array" ref="K1121">IF(OR(H1121="ריביות",AND(H1121="דירה כצנלסון",G1121&lt;0,ISNUMBER(SEARCH("הכנסה",F1121)))),"הכנסה שסווגה מחדש",J1121)</f>
        <v>שוטף</v>
      </c>
      <c r="L1121" t="s" s="134">
        <v>741</v>
      </c>
      <c r="M1121" s="136" cm="1">
        <f t="array" ref="M1121">IF(L1121="מאושר",IF(K1121="הכנסה שסווגה מחדש",0,G1121),0)</f>
        <v>256</v>
      </c>
      <c r="N1121" s="136" cm="1">
        <f t="array" ref="N1121">IF(K1121="שוטף",M1121,0)</f>
        <v>256</v>
      </c>
      <c r="O1121" s="136" cm="1">
        <f t="array" ref="O1121">IF(K1121="הכנסה שסווגה מחדש",-G1121,0)</f>
        <v>0</v>
      </c>
      <c r="P1121" t="s" s="80">
        <v>762</v>
      </c>
      <c r="Q1121" s="100"/>
      <c r="R1121" t="s" s="137">
        <v>743</v>
      </c>
      <c r="S1121" s="77"/>
    </row>
    <row r="1122" ht="13.65" customHeight="1">
      <c r="A1122" s="84">
        <v>45992</v>
      </c>
      <c r="B1122" t="s" s="85">
        <v>55</v>
      </c>
      <c r="C1122" t="s" s="86">
        <v>832</v>
      </c>
      <c r="D1122" s="138">
        <v>7</v>
      </c>
      <c r="E1122" s="99"/>
      <c r="F1122" t="s" s="86">
        <v>272</v>
      </c>
      <c r="G1122" s="139">
        <v>0</v>
      </c>
      <c r="H1122" t="s" s="140">
        <v>757</v>
      </c>
      <c r="I1122" t="s" s="141">
        <v>96</v>
      </c>
      <c r="J1122" t="s" s="141">
        <v>97</v>
      </c>
      <c r="K1122" t="str" s="142" cm="1">
        <f t="array" ref="K1122">IF(OR(H1122="ריביות",AND(H1122="דירה כצנלסון",G1122&lt;0,ISNUMBER(SEARCH("הכנסה",F1122)))),"הכנסה שסווגה מחדש",J1122)</f>
        <v>שוטף</v>
      </c>
      <c r="L1122" t="s" s="141">
        <v>741</v>
      </c>
      <c r="M1122" s="143" cm="1">
        <f t="array" ref="M1122">IF(L1122="מאושר",IF(K1122="הכנסה שסווגה מחדש",0,G1122),0)</f>
        <v>0</v>
      </c>
      <c r="N1122" s="143" cm="1">
        <f t="array" ref="N1122">IF(K1122="שוטף",M1122,0)</f>
        <v>0</v>
      </c>
      <c r="O1122" s="143" cm="1">
        <f t="array" ref="O1122">IF(K1122="הכנסה שסווגה מחדש",-G1122,0)</f>
        <v>0</v>
      </c>
      <c r="P1122" s="99"/>
      <c r="Q1122" s="99"/>
      <c r="R1122" t="s" s="144">
        <v>743</v>
      </c>
      <c r="S1122" s="77"/>
    </row>
    <row r="1123" ht="13.65" customHeight="1">
      <c r="A1123" s="78">
        <v>45992</v>
      </c>
      <c r="B1123" t="s" s="79">
        <v>55</v>
      </c>
      <c r="C1123" t="s" s="80">
        <v>832</v>
      </c>
      <c r="D1123" s="131">
        <v>8</v>
      </c>
      <c r="E1123" s="100"/>
      <c r="F1123" t="s" s="80">
        <v>232</v>
      </c>
      <c r="G1123" s="132">
        <v>0</v>
      </c>
      <c r="H1123" t="s" s="133">
        <v>757</v>
      </c>
      <c r="I1123" t="s" s="134">
        <v>96</v>
      </c>
      <c r="J1123" t="s" s="134">
        <v>97</v>
      </c>
      <c r="K1123" t="str" s="135" cm="1">
        <f t="array" ref="K1123">IF(OR(H1123="ריביות",AND(H1123="דירה כצנלסון",G1123&lt;0,ISNUMBER(SEARCH("הכנסה",F1123)))),"הכנסה שסווגה מחדש",J1123)</f>
        <v>שוטף</v>
      </c>
      <c r="L1123" t="s" s="134">
        <v>741</v>
      </c>
      <c r="M1123" s="136" cm="1">
        <f t="array" ref="M1123">IF(L1123="מאושר",IF(K1123="הכנסה שסווגה מחדש",0,G1123),0)</f>
        <v>0</v>
      </c>
      <c r="N1123" s="136" cm="1">
        <f t="array" ref="N1123">IF(K1123="שוטף",M1123,0)</f>
        <v>0</v>
      </c>
      <c r="O1123" s="136" cm="1">
        <f t="array" ref="O1123">IF(K1123="הכנסה שסווגה מחדש",-G1123,0)</f>
        <v>0</v>
      </c>
      <c r="P1123" s="100"/>
      <c r="Q1123" s="100"/>
      <c r="R1123" t="s" s="137">
        <v>743</v>
      </c>
      <c r="S1123" s="77"/>
    </row>
    <row r="1124" ht="13.65" customHeight="1">
      <c r="A1124" s="84">
        <v>45992</v>
      </c>
      <c r="B1124" t="s" s="85">
        <v>55</v>
      </c>
      <c r="C1124" t="s" s="86">
        <v>832</v>
      </c>
      <c r="D1124" s="138">
        <v>9</v>
      </c>
      <c r="E1124" s="99"/>
      <c r="F1124" t="s" s="86">
        <v>374</v>
      </c>
      <c r="G1124" s="139">
        <v>0</v>
      </c>
      <c r="H1124" t="s" s="140">
        <v>757</v>
      </c>
      <c r="I1124" t="s" s="141">
        <v>96</v>
      </c>
      <c r="J1124" t="s" s="141">
        <v>97</v>
      </c>
      <c r="K1124" t="str" s="142" cm="1">
        <f t="array" ref="K1124">IF(OR(H1124="ריביות",AND(H1124="דירה כצנלסון",G1124&lt;0,ISNUMBER(SEARCH("הכנסה",F1124)))),"הכנסה שסווגה מחדש",J1124)</f>
        <v>שוטף</v>
      </c>
      <c r="L1124" t="s" s="141">
        <v>741</v>
      </c>
      <c r="M1124" s="143" cm="1">
        <f t="array" ref="M1124">IF(L1124="מאושר",IF(K1124="הכנסה שסווגה מחדש",0,G1124),0)</f>
        <v>0</v>
      </c>
      <c r="N1124" s="143" cm="1">
        <f t="array" ref="N1124">IF(K1124="שוטף",M1124,0)</f>
        <v>0</v>
      </c>
      <c r="O1124" s="143" cm="1">
        <f t="array" ref="O1124">IF(K1124="הכנסה שסווגה מחדש",-G1124,0)</f>
        <v>0</v>
      </c>
      <c r="P1124" s="99"/>
      <c r="Q1124" s="99"/>
      <c r="R1124" t="s" s="144">
        <v>743</v>
      </c>
      <c r="S1124" s="77"/>
    </row>
    <row r="1125" ht="13.65" customHeight="1">
      <c r="A1125" s="78">
        <v>45992</v>
      </c>
      <c r="B1125" t="s" s="79">
        <v>55</v>
      </c>
      <c r="C1125" t="s" s="80">
        <v>832</v>
      </c>
      <c r="D1125" s="131">
        <v>10</v>
      </c>
      <c r="E1125" s="100"/>
      <c r="F1125" t="s" s="80">
        <v>211</v>
      </c>
      <c r="G1125" s="132">
        <v>430</v>
      </c>
      <c r="H1125" t="s" s="133">
        <v>757</v>
      </c>
      <c r="I1125" t="s" s="134">
        <v>96</v>
      </c>
      <c r="J1125" t="s" s="134">
        <v>97</v>
      </c>
      <c r="K1125" t="str" s="135" cm="1">
        <f t="array" ref="K1125">IF(OR(H1125="ריביות",AND(H1125="דירה כצנלסון",G1125&lt;0,ISNUMBER(SEARCH("הכנסה",F1125)))),"הכנסה שסווגה מחדש",J1125)</f>
        <v>שוטף</v>
      </c>
      <c r="L1125" t="s" s="134">
        <v>741</v>
      </c>
      <c r="M1125" s="136" cm="1">
        <f t="array" ref="M1125">IF(L1125="מאושר",IF(K1125="הכנסה שסווגה מחדש",0,G1125),0)</f>
        <v>430</v>
      </c>
      <c r="N1125" s="136" cm="1">
        <f t="array" ref="N1125">IF(K1125="שוטף",M1125,0)</f>
        <v>430</v>
      </c>
      <c r="O1125" s="136" cm="1">
        <f t="array" ref="O1125">IF(K1125="הכנסה שסווגה מחדש",-G1125,0)</f>
        <v>0</v>
      </c>
      <c r="P1125" t="s" s="80">
        <v>781</v>
      </c>
      <c r="Q1125" s="100"/>
      <c r="R1125" t="s" s="137">
        <v>743</v>
      </c>
      <c r="S1125" s="77"/>
    </row>
    <row r="1126" ht="13.65" customHeight="1">
      <c r="A1126" s="84">
        <v>45992</v>
      </c>
      <c r="B1126" t="s" s="85">
        <v>55</v>
      </c>
      <c r="C1126" t="s" s="86">
        <v>832</v>
      </c>
      <c r="D1126" s="138">
        <v>11</v>
      </c>
      <c r="E1126" t="s" s="85">
        <v>755</v>
      </c>
      <c r="F1126" t="s" s="86">
        <v>302</v>
      </c>
      <c r="G1126" s="139">
        <v>79</v>
      </c>
      <c r="H1126" t="s" s="140">
        <v>763</v>
      </c>
      <c r="I1126" t="s" s="141">
        <v>96</v>
      </c>
      <c r="J1126" t="s" s="141">
        <v>97</v>
      </c>
      <c r="K1126" t="str" s="142" cm="1">
        <f t="array" ref="K1126">IF(OR(H1126="ריביות",AND(H1126="דירה כצנלסון",G1126&lt;0,ISNUMBER(SEARCH("הכנסה",F1126)))),"הכנסה שסווגה מחדש",J1126)</f>
        <v>שוטף</v>
      </c>
      <c r="L1126" t="s" s="141">
        <v>741</v>
      </c>
      <c r="M1126" s="143" cm="1">
        <f t="array" ref="M1126">IF(L1126="מאושר",IF(K1126="הכנסה שסווגה מחדש",0,G1126),0)</f>
        <v>79</v>
      </c>
      <c r="N1126" s="143" cm="1">
        <f t="array" ref="N1126">IF(K1126="שוטף",M1126,0)</f>
        <v>79</v>
      </c>
      <c r="O1126" s="143" cm="1">
        <f t="array" ref="O1126">IF(K1126="הכנסה שסווגה מחדש",-G1126,0)</f>
        <v>0</v>
      </c>
      <c r="P1126" t="s" s="86">
        <v>762</v>
      </c>
      <c r="Q1126" s="99"/>
      <c r="R1126" t="s" s="144">
        <v>743</v>
      </c>
      <c r="S1126" s="77"/>
    </row>
    <row r="1127" ht="13.65" customHeight="1">
      <c r="A1127" s="78">
        <v>45992</v>
      </c>
      <c r="B1127" t="s" s="79">
        <v>55</v>
      </c>
      <c r="C1127" t="s" s="80">
        <v>832</v>
      </c>
      <c r="D1127" s="131">
        <v>12</v>
      </c>
      <c r="E1127" t="s" s="79">
        <v>739</v>
      </c>
      <c r="F1127" t="s" s="80">
        <v>320</v>
      </c>
      <c r="G1127" s="132">
        <v>59</v>
      </c>
      <c r="H1127" t="s" s="133">
        <v>763</v>
      </c>
      <c r="I1127" t="s" s="134">
        <v>96</v>
      </c>
      <c r="J1127" t="s" s="134">
        <v>97</v>
      </c>
      <c r="K1127" t="str" s="135" cm="1">
        <f t="array" ref="K1127">IF(OR(H1127="ריביות",AND(H1127="דירה כצנלסון",G1127&lt;0,ISNUMBER(SEARCH("הכנסה",F1127)))),"הכנסה שסווגה מחדש",J1127)</f>
        <v>שוטף</v>
      </c>
      <c r="L1127" t="s" s="134">
        <v>741</v>
      </c>
      <c r="M1127" s="136" cm="1">
        <f t="array" ref="M1127">IF(L1127="מאושר",IF(K1127="הכנסה שסווגה מחדש",0,G1127),0)</f>
        <v>59</v>
      </c>
      <c r="N1127" s="136" cm="1">
        <f t="array" ref="N1127">IF(K1127="שוטף",M1127,0)</f>
        <v>59</v>
      </c>
      <c r="O1127" s="136" cm="1">
        <f t="array" ref="O1127">IF(K1127="הכנסה שסווגה מחדש",-G1127,0)</f>
        <v>0</v>
      </c>
      <c r="P1127" t="s" s="80">
        <v>762</v>
      </c>
      <c r="Q1127" s="100"/>
      <c r="R1127" t="s" s="137">
        <v>743</v>
      </c>
      <c r="S1127" s="77"/>
    </row>
    <row r="1128" ht="13.65" customHeight="1">
      <c r="A1128" s="84">
        <v>45992</v>
      </c>
      <c r="B1128" t="s" s="85">
        <v>55</v>
      </c>
      <c r="C1128" t="s" s="86">
        <v>832</v>
      </c>
      <c r="D1128" s="138">
        <v>13</v>
      </c>
      <c r="E1128" t="s" s="85">
        <v>764</v>
      </c>
      <c r="F1128" t="s" s="86">
        <v>273</v>
      </c>
      <c r="G1128" s="139">
        <v>71</v>
      </c>
      <c r="H1128" t="s" s="140">
        <v>279</v>
      </c>
      <c r="I1128" t="s" s="141">
        <v>99</v>
      </c>
      <c r="J1128" t="s" s="141">
        <v>100</v>
      </c>
      <c r="K1128" t="str" s="142" cm="1">
        <f t="array" ref="K1128">IF(OR(H1128="ריביות",AND(H1128="דירה כצנלסון",G1128&lt;0,ISNUMBER(SEARCH("הכנסה",F1128)))),"הכנסה שסווגה מחדש",J1128)</f>
        <v>חריג/נכס</v>
      </c>
      <c r="L1128" t="s" s="141">
        <v>741</v>
      </c>
      <c r="M1128" s="143" cm="1">
        <f t="array" ref="M1128">IF(L1128="מאושר",IF(K1128="הכנסה שסווגה מחדש",0,G1128),0)</f>
        <v>71</v>
      </c>
      <c r="N1128" s="143" cm="1">
        <f t="array" ref="N1128">IF(K1128="שוטף",M1128,0)</f>
        <v>0</v>
      </c>
      <c r="O1128" s="143" cm="1">
        <f t="array" ref="O1128">IF(K1128="הכנסה שסווגה מחדש",-G1128,0)</f>
        <v>0</v>
      </c>
      <c r="P1128" t="s" s="86">
        <v>762</v>
      </c>
      <c r="Q1128" s="99"/>
      <c r="R1128" t="s" s="144">
        <v>743</v>
      </c>
      <c r="S1128" s="77"/>
    </row>
    <row r="1129" ht="13.65" customHeight="1">
      <c r="A1129" s="78">
        <v>45992</v>
      </c>
      <c r="B1129" t="s" s="79">
        <v>55</v>
      </c>
      <c r="C1129" t="s" s="80">
        <v>832</v>
      </c>
      <c r="D1129" s="131">
        <v>14</v>
      </c>
      <c r="E1129" t="s" s="79">
        <v>764</v>
      </c>
      <c r="F1129" t="s" s="80">
        <v>328</v>
      </c>
      <c r="G1129" s="132">
        <v>36</v>
      </c>
      <c r="H1129" t="s" s="133">
        <v>279</v>
      </c>
      <c r="I1129" t="s" s="134">
        <v>99</v>
      </c>
      <c r="J1129" t="s" s="134">
        <v>100</v>
      </c>
      <c r="K1129" t="str" s="135" cm="1">
        <f t="array" ref="K1129">IF(OR(H1129="ריביות",AND(H1129="דירה כצנלסון",G1129&lt;0,ISNUMBER(SEARCH("הכנסה",F1129)))),"הכנסה שסווגה מחדש",J1129)</f>
        <v>חריג/נכס</v>
      </c>
      <c r="L1129" t="s" s="134">
        <v>741</v>
      </c>
      <c r="M1129" s="136" cm="1">
        <f t="array" ref="M1129">IF(L1129="מאושר",IF(K1129="הכנסה שסווגה מחדש",0,G1129),0)</f>
        <v>36</v>
      </c>
      <c r="N1129" s="136" cm="1">
        <f t="array" ref="N1129">IF(K1129="שוטף",M1129,0)</f>
        <v>0</v>
      </c>
      <c r="O1129" s="136" cm="1">
        <f t="array" ref="O1129">IF(K1129="הכנסה שסווגה מחדש",-G1129,0)</f>
        <v>0</v>
      </c>
      <c r="P1129" t="s" s="80">
        <v>762</v>
      </c>
      <c r="Q1129" s="100"/>
      <c r="R1129" t="s" s="137">
        <v>743</v>
      </c>
      <c r="S1129" s="77"/>
    </row>
    <row r="1130" ht="13.65" customHeight="1">
      <c r="A1130" s="84">
        <v>45992</v>
      </c>
      <c r="B1130" t="s" s="85">
        <v>55</v>
      </c>
      <c r="C1130" t="s" s="86">
        <v>832</v>
      </c>
      <c r="D1130" s="138">
        <v>15</v>
      </c>
      <c r="E1130" t="s" s="85">
        <v>759</v>
      </c>
      <c r="F1130" t="s" s="86">
        <v>263</v>
      </c>
      <c r="G1130" s="139">
        <v>116</v>
      </c>
      <c r="H1130" t="s" s="140">
        <v>135</v>
      </c>
      <c r="I1130" t="s" s="141">
        <v>135</v>
      </c>
      <c r="J1130" t="s" s="141">
        <v>97</v>
      </c>
      <c r="K1130" t="str" s="142" cm="1">
        <f t="array" ref="K1130">IF(OR(H1130="ריביות",AND(H1130="דירה כצנלסון",G1130&lt;0,ISNUMBER(SEARCH("הכנסה",F1130)))),"הכנסה שסווגה מחדש",J1130)</f>
        <v>שוטף</v>
      </c>
      <c r="L1130" t="s" s="141">
        <v>741</v>
      </c>
      <c r="M1130" s="143" cm="1">
        <f t="array" ref="M1130">IF(L1130="מאושר",IF(K1130="הכנסה שסווגה מחדש",0,G1130),0)</f>
        <v>116</v>
      </c>
      <c r="N1130" s="143" cm="1">
        <f t="array" ref="N1130">IF(K1130="שוטף",M1130,0)</f>
        <v>116</v>
      </c>
      <c r="O1130" s="143" cm="1">
        <f t="array" ref="O1130">IF(K1130="הכנסה שסווגה מחדש",-G1130,0)</f>
        <v>0</v>
      </c>
      <c r="P1130" t="s" s="86">
        <v>770</v>
      </c>
      <c r="Q1130" s="99"/>
      <c r="R1130" t="s" s="144">
        <v>743</v>
      </c>
      <c r="S1130" s="77"/>
    </row>
    <row r="1131" ht="13.65" customHeight="1">
      <c r="A1131" s="78">
        <v>45992</v>
      </c>
      <c r="B1131" t="s" s="79">
        <v>55</v>
      </c>
      <c r="C1131" t="s" s="80">
        <v>832</v>
      </c>
      <c r="D1131" s="131">
        <v>16</v>
      </c>
      <c r="E1131" t="s" s="79">
        <v>34</v>
      </c>
      <c r="F1131" t="s" s="80">
        <v>245</v>
      </c>
      <c r="G1131" s="132">
        <v>56</v>
      </c>
      <c r="H1131" t="s" s="133">
        <v>767</v>
      </c>
      <c r="I1131" t="s" s="134">
        <v>107</v>
      </c>
      <c r="J1131" t="s" s="134">
        <v>97</v>
      </c>
      <c r="K1131" t="str" s="135" cm="1">
        <f t="array" ref="K1131">IF(OR(H1131="ריביות",AND(H1131="דירה כצנלסון",G1131&lt;0,ISNUMBER(SEARCH("הכנסה",F1131)))),"הכנסה שסווגה מחדש",J1131)</f>
        <v>שוטף</v>
      </c>
      <c r="L1131" t="s" s="134">
        <v>741</v>
      </c>
      <c r="M1131" s="136" cm="1">
        <f t="array" ref="M1131">IF(L1131="מאושר",IF(K1131="הכנסה שסווגה מחדש",0,G1131),0)</f>
        <v>56</v>
      </c>
      <c r="N1131" s="136" cm="1">
        <f t="array" ref="N1131">IF(K1131="שוטף",M1131,0)</f>
        <v>56</v>
      </c>
      <c r="O1131" s="136" cm="1">
        <f t="array" ref="O1131">IF(K1131="הכנסה שסווגה מחדש",-G1131,0)</f>
        <v>0</v>
      </c>
      <c r="P1131" t="s" s="80">
        <v>762</v>
      </c>
      <c r="Q1131" s="100"/>
      <c r="R1131" t="s" s="137">
        <v>743</v>
      </c>
      <c r="S1131" s="77"/>
    </row>
    <row r="1132" ht="13.65" customHeight="1">
      <c r="A1132" s="84">
        <v>45992</v>
      </c>
      <c r="B1132" t="s" s="85">
        <v>55</v>
      </c>
      <c r="C1132" t="s" s="86">
        <v>832</v>
      </c>
      <c r="D1132" s="138">
        <v>17</v>
      </c>
      <c r="E1132" t="s" s="85">
        <v>34</v>
      </c>
      <c r="F1132" t="s" s="86">
        <v>245</v>
      </c>
      <c r="G1132" s="139">
        <v>97</v>
      </c>
      <c r="H1132" t="s" s="140">
        <v>767</v>
      </c>
      <c r="I1132" t="s" s="141">
        <v>107</v>
      </c>
      <c r="J1132" t="s" s="141">
        <v>97</v>
      </c>
      <c r="K1132" t="str" s="142" cm="1">
        <f t="array" ref="K1132">IF(OR(H1132="ריביות",AND(H1132="דירה כצנלסון",G1132&lt;0,ISNUMBER(SEARCH("הכנסה",F1132)))),"הכנסה שסווגה מחדש",J1132)</f>
        <v>שוטף</v>
      </c>
      <c r="L1132" t="s" s="141">
        <v>741</v>
      </c>
      <c r="M1132" s="143" cm="1">
        <f t="array" ref="M1132">IF(L1132="מאושר",IF(K1132="הכנסה שסווגה מחדש",0,G1132),0)</f>
        <v>97</v>
      </c>
      <c r="N1132" s="143" cm="1">
        <f t="array" ref="N1132">IF(K1132="שוטף",M1132,0)</f>
        <v>97</v>
      </c>
      <c r="O1132" s="143" cm="1">
        <f t="array" ref="O1132">IF(K1132="הכנסה שסווגה מחדש",-G1132,0)</f>
        <v>0</v>
      </c>
      <c r="P1132" t="s" s="86">
        <v>770</v>
      </c>
      <c r="Q1132" s="99"/>
      <c r="R1132" t="s" s="144">
        <v>743</v>
      </c>
      <c r="S1132" s="77"/>
    </row>
    <row r="1133" ht="13.65" customHeight="1">
      <c r="A1133" s="78">
        <v>45992</v>
      </c>
      <c r="B1133" t="s" s="79">
        <v>55</v>
      </c>
      <c r="C1133" t="s" s="80">
        <v>832</v>
      </c>
      <c r="D1133" s="131">
        <v>18</v>
      </c>
      <c r="E1133" t="s" s="79">
        <v>46</v>
      </c>
      <c r="F1133" t="s" s="80">
        <v>718</v>
      </c>
      <c r="G1133" s="132">
        <v>-500</v>
      </c>
      <c r="H1133" t="s" s="133">
        <v>125</v>
      </c>
      <c r="I1133" t="s" s="134">
        <v>125</v>
      </c>
      <c r="J1133" t="s" s="134">
        <v>97</v>
      </c>
      <c r="K1133" t="str" s="135" cm="1">
        <f t="array" ref="K1133">IF(OR(H1133="ריביות",AND(H1133="דירה כצנלסון",G1133&lt;0,ISNUMBER(SEARCH("הכנסה",F1133)))),"הכנסה שסווגה מחדש",J1133)</f>
        <v>שוטף</v>
      </c>
      <c r="L1133" t="s" s="134">
        <v>741</v>
      </c>
      <c r="M1133" s="136" cm="1">
        <f t="array" ref="M1133">IF(L1133="מאושר",IF(K1133="הכנסה שסווגה מחדש",0,G1133),0)</f>
        <v>-500</v>
      </c>
      <c r="N1133" s="136" cm="1">
        <f t="array" ref="N1133">IF(K1133="שוטף",M1133,0)</f>
        <v>-500</v>
      </c>
      <c r="O1133" s="136" cm="1">
        <f t="array" ref="O1133">IF(K1133="הכנסה שסווגה מחדש",-G1133,0)</f>
        <v>0</v>
      </c>
      <c r="P1133" t="s" s="80">
        <v>786</v>
      </c>
      <c r="Q1133" s="100"/>
      <c r="R1133" t="s" s="137">
        <v>743</v>
      </c>
      <c r="S1133" s="77"/>
    </row>
    <row r="1134" ht="13.65" customHeight="1">
      <c r="A1134" s="84">
        <v>45992</v>
      </c>
      <c r="B1134" t="s" s="85">
        <v>55</v>
      </c>
      <c r="C1134" t="s" s="86">
        <v>832</v>
      </c>
      <c r="D1134" s="138">
        <v>19</v>
      </c>
      <c r="E1134" t="s" s="85">
        <v>749</v>
      </c>
      <c r="F1134" t="s" s="86">
        <v>714</v>
      </c>
      <c r="G1134" s="139">
        <v>-119</v>
      </c>
      <c r="H1134" t="s" s="140">
        <v>113</v>
      </c>
      <c r="I1134" t="s" s="141">
        <v>113</v>
      </c>
      <c r="J1134" t="s" s="141">
        <v>97</v>
      </c>
      <c r="K1134" t="str" s="142" cm="1">
        <f t="array" ref="K1134">IF(OR(H1134="ריביות",AND(H1134="דירה כצנלסון",G1134&lt;0,ISNUMBER(SEARCH("הכנסה",F1134)))),"הכנסה שסווגה מחדש",J1134)</f>
        <v>שוטף</v>
      </c>
      <c r="L1134" t="s" s="141">
        <v>741</v>
      </c>
      <c r="M1134" s="143" cm="1">
        <f t="array" ref="M1134">IF(L1134="מאושר",IF(K1134="הכנסה שסווגה מחדש",0,G1134),0)</f>
        <v>-119</v>
      </c>
      <c r="N1134" s="143" cm="1">
        <f t="array" ref="N1134">IF(K1134="שוטף",M1134,0)</f>
        <v>-119</v>
      </c>
      <c r="O1134" s="143" cm="1">
        <f t="array" ref="O1134">IF(K1134="הכנסה שסווגה מחדש",-G1134,0)</f>
        <v>0</v>
      </c>
      <c r="P1134" t="s" s="86">
        <v>786</v>
      </c>
      <c r="Q1134" s="99"/>
      <c r="R1134" t="s" s="144">
        <v>743</v>
      </c>
      <c r="S1134" s="77"/>
    </row>
    <row r="1135" ht="13.65" customHeight="1">
      <c r="A1135" s="78">
        <v>45992</v>
      </c>
      <c r="B1135" t="s" s="79">
        <v>55</v>
      </c>
      <c r="C1135" t="s" s="80">
        <v>832</v>
      </c>
      <c r="D1135" s="131">
        <v>20</v>
      </c>
      <c r="E1135" t="s" s="79">
        <v>765</v>
      </c>
      <c r="F1135" t="s" s="80">
        <v>714</v>
      </c>
      <c r="G1135" s="132">
        <v>-80</v>
      </c>
      <c r="H1135" t="s" s="133">
        <v>113</v>
      </c>
      <c r="I1135" t="s" s="134">
        <v>113</v>
      </c>
      <c r="J1135" t="s" s="134">
        <v>97</v>
      </c>
      <c r="K1135" t="str" s="135" cm="1">
        <f t="array" ref="K1135">IF(OR(H1135="ריביות",AND(H1135="דירה כצנלסון",G1135&lt;0,ISNUMBER(SEARCH("הכנסה",F1135)))),"הכנסה שסווגה מחדש",J1135)</f>
        <v>שוטף</v>
      </c>
      <c r="L1135" t="s" s="134">
        <v>741</v>
      </c>
      <c r="M1135" s="136" cm="1">
        <f t="array" ref="M1135">IF(L1135="מאושר",IF(K1135="הכנסה שסווגה מחדש",0,G1135),0)</f>
        <v>-80</v>
      </c>
      <c r="N1135" s="136" cm="1">
        <f t="array" ref="N1135">IF(K1135="שוטף",M1135,0)</f>
        <v>-80</v>
      </c>
      <c r="O1135" s="136" cm="1">
        <f t="array" ref="O1135">IF(K1135="הכנסה שסווגה מחדש",-G1135,0)</f>
        <v>0</v>
      </c>
      <c r="P1135" t="s" s="80">
        <v>786</v>
      </c>
      <c r="Q1135" s="100"/>
      <c r="R1135" t="s" s="137">
        <v>743</v>
      </c>
      <c r="S1135" s="77"/>
    </row>
    <row r="1136" ht="13.65" customHeight="1">
      <c r="A1136" s="84">
        <v>45992</v>
      </c>
      <c r="B1136" t="s" s="85">
        <v>55</v>
      </c>
      <c r="C1136" t="s" s="86">
        <v>832</v>
      </c>
      <c r="D1136" s="138">
        <v>21</v>
      </c>
      <c r="E1136" t="s" s="85">
        <v>30</v>
      </c>
      <c r="F1136" t="s" s="86">
        <v>199</v>
      </c>
      <c r="G1136" s="139">
        <v>1350</v>
      </c>
      <c r="H1136" t="s" s="140">
        <v>767</v>
      </c>
      <c r="I1136" t="s" s="141">
        <v>107</v>
      </c>
      <c r="J1136" t="s" s="141">
        <v>97</v>
      </c>
      <c r="K1136" t="str" s="142" cm="1">
        <f t="array" ref="K1136">IF(OR(H1136="ריביות",AND(H1136="דירה כצנלסון",G1136&lt;0,ISNUMBER(SEARCH("הכנסה",F1136)))),"הכנסה שסווגה מחדש",J1136)</f>
        <v>שוטף</v>
      </c>
      <c r="L1136" t="s" s="141">
        <v>741</v>
      </c>
      <c r="M1136" s="143" cm="1">
        <f t="array" ref="M1136">IF(L1136="מאושר",IF(K1136="הכנסה שסווגה מחדש",0,G1136),0)</f>
        <v>1350</v>
      </c>
      <c r="N1136" s="143" cm="1">
        <f t="array" ref="N1136">IF(K1136="שוטף",M1136,0)</f>
        <v>1350</v>
      </c>
      <c r="O1136" s="143" cm="1">
        <f t="array" ref="O1136">IF(K1136="הכנסה שסווגה מחדש",-G1136,0)</f>
        <v>0</v>
      </c>
      <c r="P1136" t="s" s="85">
        <v>742</v>
      </c>
      <c r="Q1136" s="99"/>
      <c r="R1136" t="s" s="144">
        <v>743</v>
      </c>
      <c r="S1136" s="77"/>
    </row>
    <row r="1137" ht="13.65" customHeight="1">
      <c r="A1137" s="78">
        <v>45992</v>
      </c>
      <c r="B1137" t="s" s="79">
        <v>55</v>
      </c>
      <c r="C1137" t="s" s="80">
        <v>832</v>
      </c>
      <c r="D1137" s="131">
        <v>22</v>
      </c>
      <c r="E1137" t="s" s="79">
        <v>46</v>
      </c>
      <c r="F1137" t="s" s="80">
        <v>833</v>
      </c>
      <c r="G1137" s="132">
        <v>-46</v>
      </c>
      <c r="H1137" t="s" s="133">
        <v>746</v>
      </c>
      <c r="I1137" t="s" s="134">
        <v>141</v>
      </c>
      <c r="J1137" t="s" s="134">
        <v>142</v>
      </c>
      <c r="K1137" t="str" s="135" cm="1">
        <f t="array" ref="K1137">IF(OR(H1137="ריביות",AND(H1137="דירה כצנלסון",G1137&lt;0,ISNUMBER(SEARCH("הכנסה",F1137)))),"הכנסה שסווגה מחדש",J1137)</f>
        <v>הכנסה שסווגה מחדש</v>
      </c>
      <c r="L1137" t="s" s="134">
        <v>741</v>
      </c>
      <c r="M1137" s="136" cm="1">
        <f t="array" ref="M1137">IF(L1137="מאושר",IF(K1137="הכנסה שסווגה מחדש",0,G1137),0)</f>
        <v>0</v>
      </c>
      <c r="N1137" s="136" cm="1">
        <f t="array" ref="N1137">IF(K1137="שוטף",M1137,0)</f>
        <v>0</v>
      </c>
      <c r="O1137" s="136" cm="1">
        <f t="array" ref="O1137">IF(K1137="הכנסה שסווגה מחדש",-G1137,0)</f>
        <v>46</v>
      </c>
      <c r="P1137" t="s" s="79">
        <v>742</v>
      </c>
      <c r="Q1137" s="100"/>
      <c r="R1137" t="s" s="137">
        <v>743</v>
      </c>
      <c r="S1137" s="77"/>
    </row>
    <row r="1138" ht="13.65" customHeight="1">
      <c r="A1138" s="84">
        <v>45992</v>
      </c>
      <c r="B1138" t="s" s="85">
        <v>55</v>
      </c>
      <c r="C1138" t="s" s="86">
        <v>832</v>
      </c>
      <c r="D1138" s="138">
        <v>23</v>
      </c>
      <c r="E1138" t="s" s="85">
        <v>769</v>
      </c>
      <c r="F1138" t="s" s="86">
        <v>226</v>
      </c>
      <c r="G1138" s="139">
        <v>4500</v>
      </c>
      <c r="H1138" t="s" s="140">
        <v>111</v>
      </c>
      <c r="I1138" t="s" s="141">
        <v>111</v>
      </c>
      <c r="J1138" t="s" s="141">
        <v>97</v>
      </c>
      <c r="K1138" t="str" s="142" cm="1">
        <f t="array" ref="K1138">IF(OR(H1138="ריביות",AND(H1138="דירה כצנלסון",G1138&lt;0,ISNUMBER(SEARCH("הכנסה",F1138)))),"הכנסה שסווגה מחדש",J1138)</f>
        <v>שוטף</v>
      </c>
      <c r="L1138" t="s" s="141">
        <v>741</v>
      </c>
      <c r="M1138" s="143" cm="1">
        <f t="array" ref="M1138">IF(L1138="מאושר",IF(K1138="הכנסה שסווגה מחדש",0,G1138),0)</f>
        <v>4500</v>
      </c>
      <c r="N1138" s="143" cm="1">
        <f t="array" ref="N1138">IF(K1138="שוטף",M1138,0)</f>
        <v>4500</v>
      </c>
      <c r="O1138" s="143" cm="1">
        <f t="array" ref="O1138">IF(K1138="הכנסה שסווגה מחדש",-G1138,0)</f>
        <v>0</v>
      </c>
      <c r="P1138" t="s" s="85">
        <v>742</v>
      </c>
      <c r="Q1138" s="99"/>
      <c r="R1138" t="s" s="144">
        <v>743</v>
      </c>
      <c r="S1138" s="77"/>
    </row>
    <row r="1139" ht="13.65" customHeight="1">
      <c r="A1139" s="78">
        <v>45992</v>
      </c>
      <c r="B1139" t="s" s="79">
        <v>55</v>
      </c>
      <c r="C1139" t="s" s="80">
        <v>832</v>
      </c>
      <c r="D1139" s="131">
        <v>24</v>
      </c>
      <c r="E1139" t="s" s="79">
        <v>768</v>
      </c>
      <c r="F1139" t="s" s="80">
        <v>278</v>
      </c>
      <c r="G1139" s="132">
        <v>1350</v>
      </c>
      <c r="H1139" t="s" s="133">
        <v>279</v>
      </c>
      <c r="I1139" t="s" s="134">
        <v>99</v>
      </c>
      <c r="J1139" t="s" s="134">
        <v>100</v>
      </c>
      <c r="K1139" t="str" s="135" cm="1">
        <f t="array" ref="K1139">IF(OR(H1139="ריביות",AND(H1139="דירה כצנלסון",G1139&lt;0,ISNUMBER(SEARCH("הכנסה",F1139)))),"הכנסה שסווגה מחדש",J1139)</f>
        <v>חריג/נכס</v>
      </c>
      <c r="L1139" t="s" s="134">
        <v>741</v>
      </c>
      <c r="M1139" s="136" cm="1">
        <f t="array" ref="M1139">IF(L1139="מאושר",IF(K1139="הכנסה שסווגה מחדש",0,G1139),0)</f>
        <v>1350</v>
      </c>
      <c r="N1139" s="136" cm="1">
        <f t="array" ref="N1139">IF(K1139="שוטף",M1139,0)</f>
        <v>0</v>
      </c>
      <c r="O1139" s="136" cm="1">
        <f t="array" ref="O1139">IF(K1139="הכנסה שסווגה מחדש",-G1139,0)</f>
        <v>0</v>
      </c>
      <c r="P1139" t="s" s="79">
        <v>742</v>
      </c>
      <c r="Q1139" s="100"/>
      <c r="R1139" t="s" s="137">
        <v>743</v>
      </c>
      <c r="S1139" s="77"/>
    </row>
    <row r="1140" ht="13.65" customHeight="1">
      <c r="A1140" s="84">
        <v>45992</v>
      </c>
      <c r="B1140" t="s" s="85">
        <v>55</v>
      </c>
      <c r="C1140" t="s" s="86">
        <v>832</v>
      </c>
      <c r="D1140" s="138">
        <v>25</v>
      </c>
      <c r="E1140" t="s" s="85">
        <v>34</v>
      </c>
      <c r="F1140" t="s" s="86">
        <v>308</v>
      </c>
      <c r="G1140" s="139">
        <v>49</v>
      </c>
      <c r="H1140" t="s" s="140">
        <v>113</v>
      </c>
      <c r="I1140" t="s" s="141">
        <v>113</v>
      </c>
      <c r="J1140" t="s" s="141">
        <v>97</v>
      </c>
      <c r="K1140" t="str" s="142" cm="1">
        <f t="array" ref="K1140">IF(OR(H1140="ריביות",AND(H1140="דירה כצנלסון",G1140&lt;0,ISNUMBER(SEARCH("הכנסה",F1140)))),"הכנסה שסווגה מחדש",J1140)</f>
        <v>שוטף</v>
      </c>
      <c r="L1140" t="s" s="141">
        <v>741</v>
      </c>
      <c r="M1140" s="143" cm="1">
        <f t="array" ref="M1140">IF(L1140="מאושר",IF(K1140="הכנסה שסווגה מחדש",0,G1140),0)</f>
        <v>49</v>
      </c>
      <c r="N1140" s="143" cm="1">
        <f t="array" ref="N1140">IF(K1140="שוטף",M1140,0)</f>
        <v>49</v>
      </c>
      <c r="O1140" s="143" cm="1">
        <f t="array" ref="O1140">IF(K1140="הכנסה שסווגה מחדש",-G1140,0)</f>
        <v>0</v>
      </c>
      <c r="P1140" t="s" s="85">
        <v>748</v>
      </c>
      <c r="Q1140" s="99"/>
      <c r="R1140" t="s" s="144">
        <v>743</v>
      </c>
      <c r="S1140" s="77"/>
    </row>
    <row r="1141" ht="13.65" customHeight="1">
      <c r="A1141" s="78">
        <v>45992</v>
      </c>
      <c r="B1141" t="s" s="79">
        <v>55</v>
      </c>
      <c r="C1141" t="s" s="80">
        <v>832</v>
      </c>
      <c r="D1141" s="131">
        <v>26</v>
      </c>
      <c r="E1141" s="100"/>
      <c r="F1141" t="s" s="80">
        <v>307</v>
      </c>
      <c r="G1141" s="132">
        <v>75</v>
      </c>
      <c r="H1141" t="s" s="133">
        <v>115</v>
      </c>
      <c r="I1141" t="s" s="134">
        <v>115</v>
      </c>
      <c r="J1141" t="s" s="134">
        <v>97</v>
      </c>
      <c r="K1141" t="str" s="135" cm="1">
        <f t="array" ref="K1141">IF(OR(H1141="ריביות",AND(H1141="דירה כצנלסון",G1141&lt;0,ISNUMBER(SEARCH("הכנסה",F1141)))),"הכנסה שסווגה מחדש",J1141)</f>
        <v>שוטף</v>
      </c>
      <c r="L1141" t="s" s="134">
        <v>741</v>
      </c>
      <c r="M1141" s="136" cm="1">
        <f t="array" ref="M1141">IF(L1141="מאושר",IF(K1141="הכנסה שסווגה מחדש",0,G1141),0)</f>
        <v>75</v>
      </c>
      <c r="N1141" s="136" cm="1">
        <f t="array" ref="N1141">IF(K1141="שוטף",M1141,0)</f>
        <v>75</v>
      </c>
      <c r="O1141" s="136" cm="1">
        <f t="array" ref="O1141">IF(K1141="הכנסה שסווגה מחדש",-G1141,0)</f>
        <v>0</v>
      </c>
      <c r="P1141" t="s" s="79">
        <v>748</v>
      </c>
      <c r="Q1141" s="100"/>
      <c r="R1141" t="s" s="137">
        <v>743</v>
      </c>
      <c r="S1141" s="77"/>
    </row>
    <row r="1142" ht="13.65" customHeight="1">
      <c r="A1142" s="84">
        <v>45992</v>
      </c>
      <c r="B1142" t="s" s="85">
        <v>55</v>
      </c>
      <c r="C1142" t="s" s="86">
        <v>832</v>
      </c>
      <c r="D1142" s="138">
        <v>27</v>
      </c>
      <c r="E1142" t="s" s="85">
        <v>739</v>
      </c>
      <c r="F1142" t="s" s="86">
        <v>308</v>
      </c>
      <c r="G1142" s="139">
        <v>49</v>
      </c>
      <c r="H1142" t="s" s="140">
        <v>113</v>
      </c>
      <c r="I1142" t="s" s="141">
        <v>113</v>
      </c>
      <c r="J1142" t="s" s="141">
        <v>97</v>
      </c>
      <c r="K1142" t="str" s="142" cm="1">
        <f t="array" ref="K1142">IF(OR(H1142="ריביות",AND(H1142="דירה כצנלסון",G1142&lt;0,ISNUMBER(SEARCH("הכנסה",F1142)))),"הכנסה שסווגה מחדש",J1142)</f>
        <v>שוטף</v>
      </c>
      <c r="L1142" t="s" s="141">
        <v>741</v>
      </c>
      <c r="M1142" s="143" cm="1">
        <f t="array" ref="M1142">IF(L1142="מאושר",IF(K1142="הכנסה שסווגה מחדש",0,G1142),0)</f>
        <v>49</v>
      </c>
      <c r="N1142" s="143" cm="1">
        <f t="array" ref="N1142">IF(K1142="שוטף",M1142,0)</f>
        <v>49</v>
      </c>
      <c r="O1142" s="143" cm="1">
        <f t="array" ref="O1142">IF(K1142="הכנסה שסווגה מחדש",-G1142,0)</f>
        <v>0</v>
      </c>
      <c r="P1142" t="s" s="85">
        <v>748</v>
      </c>
      <c r="Q1142" s="99"/>
      <c r="R1142" t="s" s="144">
        <v>743</v>
      </c>
      <c r="S1142" s="77"/>
    </row>
    <row r="1143" ht="13.65" customHeight="1">
      <c r="A1143" s="78">
        <v>45992</v>
      </c>
      <c r="B1143" t="s" s="79">
        <v>55</v>
      </c>
      <c r="C1143" t="s" s="80">
        <v>832</v>
      </c>
      <c r="D1143" s="131">
        <v>28</v>
      </c>
      <c r="E1143" t="s" s="79">
        <v>765</v>
      </c>
      <c r="F1143" t="s" s="80">
        <v>277</v>
      </c>
      <c r="G1143" s="132">
        <v>32</v>
      </c>
      <c r="H1143" t="s" s="133">
        <v>115</v>
      </c>
      <c r="I1143" t="s" s="134">
        <v>115</v>
      </c>
      <c r="J1143" t="s" s="134">
        <v>97</v>
      </c>
      <c r="K1143" t="str" s="135" cm="1">
        <f t="array" ref="K1143">IF(OR(H1143="ריביות",AND(H1143="דירה כצנלסון",G1143&lt;0,ISNUMBER(SEARCH("הכנסה",F1143)))),"הכנסה שסווגה מחדש",J1143)</f>
        <v>שוטף</v>
      </c>
      <c r="L1143" t="s" s="134">
        <v>741</v>
      </c>
      <c r="M1143" s="136" cm="1">
        <f t="array" ref="M1143">IF(L1143="מאושר",IF(K1143="הכנסה שסווגה מחדש",0,G1143),0)</f>
        <v>32</v>
      </c>
      <c r="N1143" s="136" cm="1">
        <f t="array" ref="N1143">IF(K1143="שוטף",M1143,0)</f>
        <v>32</v>
      </c>
      <c r="O1143" s="136" cm="1">
        <f t="array" ref="O1143">IF(K1143="הכנסה שסווגה מחדש",-G1143,0)</f>
        <v>0</v>
      </c>
      <c r="P1143" t="s" s="79">
        <v>748</v>
      </c>
      <c r="Q1143" s="100"/>
      <c r="R1143" t="s" s="137">
        <v>743</v>
      </c>
      <c r="S1143" s="77"/>
    </row>
    <row r="1144" ht="13.65" customHeight="1">
      <c r="A1144" s="84">
        <v>45992</v>
      </c>
      <c r="B1144" t="s" s="85">
        <v>55</v>
      </c>
      <c r="C1144" t="s" s="86">
        <v>832</v>
      </c>
      <c r="D1144" s="138">
        <v>29</v>
      </c>
      <c r="E1144" t="s" s="85">
        <v>765</v>
      </c>
      <c r="F1144" t="s" s="86">
        <v>277</v>
      </c>
      <c r="G1144" s="139">
        <v>16</v>
      </c>
      <c r="H1144" t="s" s="140">
        <v>115</v>
      </c>
      <c r="I1144" t="s" s="141">
        <v>115</v>
      </c>
      <c r="J1144" t="s" s="141">
        <v>97</v>
      </c>
      <c r="K1144" t="str" s="142" cm="1">
        <f t="array" ref="K1144">IF(OR(H1144="ריביות",AND(H1144="דירה כצנלסון",G1144&lt;0,ISNUMBER(SEARCH("הכנסה",F1144)))),"הכנסה שסווגה מחדש",J1144)</f>
        <v>שוטף</v>
      </c>
      <c r="L1144" t="s" s="141">
        <v>741</v>
      </c>
      <c r="M1144" s="143" cm="1">
        <f t="array" ref="M1144">IF(L1144="מאושר",IF(K1144="הכנסה שסווגה מחדש",0,G1144),0)</f>
        <v>16</v>
      </c>
      <c r="N1144" s="143" cm="1">
        <f t="array" ref="N1144">IF(K1144="שוטף",M1144,0)</f>
        <v>16</v>
      </c>
      <c r="O1144" s="143" cm="1">
        <f t="array" ref="O1144">IF(K1144="הכנסה שסווגה מחדש",-G1144,0)</f>
        <v>0</v>
      </c>
      <c r="P1144" t="s" s="85">
        <v>758</v>
      </c>
      <c r="Q1144" s="99"/>
      <c r="R1144" t="s" s="144">
        <v>743</v>
      </c>
      <c r="S1144" s="77"/>
    </row>
    <row r="1145" ht="13.65" customHeight="1">
      <c r="A1145" s="78">
        <v>45992</v>
      </c>
      <c r="B1145" t="s" s="79">
        <v>55</v>
      </c>
      <c r="C1145" t="s" s="80">
        <v>832</v>
      </c>
      <c r="D1145" s="131">
        <v>30</v>
      </c>
      <c r="E1145" s="100"/>
      <c r="F1145" t="s" s="80">
        <v>208</v>
      </c>
      <c r="G1145" s="132">
        <v>88</v>
      </c>
      <c r="H1145" t="s" s="133">
        <v>210</v>
      </c>
      <c r="I1145" t="s" s="134">
        <v>102</v>
      </c>
      <c r="J1145" t="s" s="134">
        <v>103</v>
      </c>
      <c r="K1145" t="str" s="135" cm="1">
        <f t="array" ref="K1145">IF(OR(H1145="ריביות",AND(H1145="דירה כצנלסון",G1145&lt;0,ISNUMBER(SEARCH("הכנסה",F1145)))),"הכנסה שסווגה מחדש",J1145)</f>
        <v>חריג</v>
      </c>
      <c r="L1145" t="s" s="134">
        <v>741</v>
      </c>
      <c r="M1145" s="136" cm="1">
        <f t="array" ref="M1145">IF(L1145="מאושר",IF(K1145="הכנסה שסווגה מחדש",0,G1145),0)</f>
        <v>88</v>
      </c>
      <c r="N1145" s="136" cm="1">
        <f t="array" ref="N1145">IF(K1145="שוטף",M1145,0)</f>
        <v>0</v>
      </c>
      <c r="O1145" s="136" cm="1">
        <f t="array" ref="O1145">IF(K1145="הכנסה שסווגה מחדש",-G1145,0)</f>
        <v>0</v>
      </c>
      <c r="P1145" t="s" s="79">
        <v>758</v>
      </c>
      <c r="Q1145" s="100"/>
      <c r="R1145" t="s" s="137">
        <v>743</v>
      </c>
      <c r="S1145" s="77"/>
    </row>
    <row r="1146" ht="13.65" customHeight="1">
      <c r="A1146" s="84">
        <v>45992</v>
      </c>
      <c r="B1146" t="s" s="85">
        <v>55</v>
      </c>
      <c r="C1146" t="s" s="86">
        <v>832</v>
      </c>
      <c r="D1146" s="138">
        <v>31</v>
      </c>
      <c r="E1146" t="s" s="85">
        <v>38</v>
      </c>
      <c r="F1146" t="s" s="86">
        <v>512</v>
      </c>
      <c r="G1146" s="139">
        <v>59</v>
      </c>
      <c r="H1146" t="s" s="140">
        <v>121</v>
      </c>
      <c r="I1146" t="s" s="141">
        <v>121</v>
      </c>
      <c r="J1146" t="s" s="141">
        <v>97</v>
      </c>
      <c r="K1146" t="str" s="142" cm="1">
        <f t="array" ref="K1146">IF(OR(H1146="ריביות",AND(H1146="דירה כצנלסון",G1146&lt;0,ISNUMBER(SEARCH("הכנסה",F1146)))),"הכנסה שסווגה מחדש",J1146)</f>
        <v>שוטף</v>
      </c>
      <c r="L1146" t="s" s="141">
        <v>741</v>
      </c>
      <c r="M1146" s="143" cm="1">
        <f t="array" ref="M1146">IF(L1146="מאושר",IF(K1146="הכנסה שסווגה מחדש",0,G1146),0)</f>
        <v>59</v>
      </c>
      <c r="N1146" s="143" cm="1">
        <f t="array" ref="N1146">IF(K1146="שוטף",M1146,0)</f>
        <v>59</v>
      </c>
      <c r="O1146" s="143" cm="1">
        <f t="array" ref="O1146">IF(K1146="הכנסה שסווגה מחדש",-G1146,0)</f>
        <v>0</v>
      </c>
      <c r="P1146" t="s" s="86">
        <v>821</v>
      </c>
      <c r="Q1146" s="99"/>
      <c r="R1146" t="s" s="144">
        <v>743</v>
      </c>
      <c r="S1146" s="77"/>
    </row>
    <row r="1147" ht="13.65" customHeight="1">
      <c r="A1147" s="78">
        <v>45992</v>
      </c>
      <c r="B1147" t="s" s="79">
        <v>55</v>
      </c>
      <c r="C1147" t="s" s="80">
        <v>832</v>
      </c>
      <c r="D1147" s="131">
        <v>32</v>
      </c>
      <c r="E1147" t="s" s="79">
        <v>753</v>
      </c>
      <c r="F1147" t="s" s="80">
        <v>381</v>
      </c>
      <c r="G1147" s="132">
        <v>46</v>
      </c>
      <c r="H1147" t="s" s="133">
        <v>121</v>
      </c>
      <c r="I1147" t="s" s="134">
        <v>121</v>
      </c>
      <c r="J1147" t="s" s="134">
        <v>97</v>
      </c>
      <c r="K1147" t="str" s="135" cm="1">
        <f t="array" ref="K1147">IF(OR(H1147="ריביות",AND(H1147="דירה כצנלסון",G1147&lt;0,ISNUMBER(SEARCH("הכנסה",F1147)))),"הכנסה שסווגה מחדש",J1147)</f>
        <v>שוטף</v>
      </c>
      <c r="L1147" t="s" s="134">
        <v>741</v>
      </c>
      <c r="M1147" s="136" cm="1">
        <f t="array" ref="M1147">IF(L1147="מאושר",IF(K1147="הכנסה שסווגה מחדש",0,G1147),0)</f>
        <v>46</v>
      </c>
      <c r="N1147" s="136" cm="1">
        <f t="array" ref="N1147">IF(K1147="שוטף",M1147,0)</f>
        <v>46</v>
      </c>
      <c r="O1147" s="136" cm="1">
        <f t="array" ref="O1147">IF(K1147="הכנסה שסווגה מחדש",-G1147,0)</f>
        <v>0</v>
      </c>
      <c r="P1147" t="s" s="80">
        <v>821</v>
      </c>
      <c r="Q1147" s="100"/>
      <c r="R1147" t="s" s="137">
        <v>743</v>
      </c>
      <c r="S1147" s="77"/>
    </row>
    <row r="1148" ht="13.65" customHeight="1">
      <c r="A1148" s="84">
        <v>45992</v>
      </c>
      <c r="B1148" t="s" s="85">
        <v>55</v>
      </c>
      <c r="C1148" t="s" s="86">
        <v>832</v>
      </c>
      <c r="D1148" s="138">
        <v>33</v>
      </c>
      <c r="E1148" t="s" s="85">
        <v>765</v>
      </c>
      <c r="F1148" t="s" s="86">
        <v>668</v>
      </c>
      <c r="G1148" s="139">
        <v>22</v>
      </c>
      <c r="H1148" t="s" s="140">
        <v>113</v>
      </c>
      <c r="I1148" t="s" s="141">
        <v>113</v>
      </c>
      <c r="J1148" t="s" s="141">
        <v>97</v>
      </c>
      <c r="K1148" t="str" s="142" cm="1">
        <f t="array" ref="K1148">IF(OR(H1148="ריביות",AND(H1148="דירה כצנלסון",G1148&lt;0,ISNUMBER(SEARCH("הכנסה",F1148)))),"הכנסה שסווגה מחדש",J1148)</f>
        <v>שוטף</v>
      </c>
      <c r="L1148" t="s" s="141">
        <v>741</v>
      </c>
      <c r="M1148" s="143" cm="1">
        <f t="array" ref="M1148">IF(L1148="מאושר",IF(K1148="הכנסה שסווגה מחדש",0,G1148),0)</f>
        <v>22</v>
      </c>
      <c r="N1148" s="143" cm="1">
        <f t="array" ref="N1148">IF(K1148="שוטף",M1148,0)</f>
        <v>22</v>
      </c>
      <c r="O1148" s="143" cm="1">
        <f t="array" ref="O1148">IF(K1148="הכנסה שסווגה מחדש",-G1148,0)</f>
        <v>0</v>
      </c>
      <c r="P1148" t="s" s="86">
        <v>821</v>
      </c>
      <c r="Q1148" s="99"/>
      <c r="R1148" t="s" s="144">
        <v>743</v>
      </c>
      <c r="S1148" s="77"/>
    </row>
    <row r="1149" ht="13.65" customHeight="1">
      <c r="A1149" s="78">
        <v>45992</v>
      </c>
      <c r="B1149" t="s" s="79">
        <v>55</v>
      </c>
      <c r="C1149" t="s" s="80">
        <v>832</v>
      </c>
      <c r="D1149" s="131">
        <v>34</v>
      </c>
      <c r="E1149" t="s" s="79">
        <v>765</v>
      </c>
      <c r="F1149" t="s" s="80">
        <v>213</v>
      </c>
      <c r="G1149" s="132">
        <v>224</v>
      </c>
      <c r="H1149" t="s" s="133">
        <v>115</v>
      </c>
      <c r="I1149" t="s" s="134">
        <v>115</v>
      </c>
      <c r="J1149" t="s" s="134">
        <v>97</v>
      </c>
      <c r="K1149" t="str" s="135" cm="1">
        <f t="array" ref="K1149">IF(OR(H1149="ריביות",AND(H1149="דירה כצנלסון",G1149&lt;0,ISNUMBER(SEARCH("הכנסה",F1149)))),"הכנסה שסווגה מחדש",J1149)</f>
        <v>שוטף</v>
      </c>
      <c r="L1149" t="s" s="134">
        <v>741</v>
      </c>
      <c r="M1149" s="136" cm="1">
        <f t="array" ref="M1149">IF(L1149="מאושר",IF(K1149="הכנסה שסווגה מחדש",0,G1149),0)</f>
        <v>224</v>
      </c>
      <c r="N1149" s="136" cm="1">
        <f t="array" ref="N1149">IF(K1149="שוטף",M1149,0)</f>
        <v>224</v>
      </c>
      <c r="O1149" s="136" cm="1">
        <f t="array" ref="O1149">IF(K1149="הכנסה שסווגה מחדש",-G1149,0)</f>
        <v>0</v>
      </c>
      <c r="P1149" t="s" s="80">
        <v>821</v>
      </c>
      <c r="Q1149" s="100"/>
      <c r="R1149" t="s" s="137">
        <v>743</v>
      </c>
      <c r="S1149" s="77"/>
    </row>
    <row r="1150" ht="13.65" customHeight="1">
      <c r="A1150" s="84">
        <v>45992</v>
      </c>
      <c r="B1150" t="s" s="85">
        <v>55</v>
      </c>
      <c r="C1150" t="s" s="86">
        <v>832</v>
      </c>
      <c r="D1150" s="138">
        <v>35</v>
      </c>
      <c r="E1150" t="s" s="85">
        <v>777</v>
      </c>
      <c r="F1150" t="s" s="86">
        <v>377</v>
      </c>
      <c r="G1150" s="139">
        <v>12</v>
      </c>
      <c r="H1150" t="s" s="140">
        <v>113</v>
      </c>
      <c r="I1150" t="s" s="141">
        <v>113</v>
      </c>
      <c r="J1150" t="s" s="141">
        <v>97</v>
      </c>
      <c r="K1150" t="str" s="142" cm="1">
        <f t="array" ref="K1150">IF(OR(H1150="ריביות",AND(H1150="דירה כצנלסון",G1150&lt;0,ISNUMBER(SEARCH("הכנסה",F1150)))),"הכנסה שסווגה מחדש",J1150)</f>
        <v>שוטף</v>
      </c>
      <c r="L1150" t="s" s="141">
        <v>741</v>
      </c>
      <c r="M1150" s="143" cm="1">
        <f t="array" ref="M1150">IF(L1150="מאושר",IF(K1150="הכנסה שסווגה מחדש",0,G1150),0)</f>
        <v>12</v>
      </c>
      <c r="N1150" s="143" cm="1">
        <f t="array" ref="N1150">IF(K1150="שוטף",M1150,0)</f>
        <v>12</v>
      </c>
      <c r="O1150" s="143" cm="1">
        <f t="array" ref="O1150">IF(K1150="הכנסה שסווגה מחדש",-G1150,0)</f>
        <v>0</v>
      </c>
      <c r="P1150" t="s" s="86">
        <v>821</v>
      </c>
      <c r="Q1150" s="99"/>
      <c r="R1150" t="s" s="144">
        <v>743</v>
      </c>
      <c r="S1150" s="77"/>
    </row>
    <row r="1151" ht="13.65" customHeight="1">
      <c r="A1151" s="78">
        <v>45992</v>
      </c>
      <c r="B1151" t="s" s="79">
        <v>55</v>
      </c>
      <c r="C1151" t="s" s="80">
        <v>832</v>
      </c>
      <c r="D1151" s="131">
        <v>36</v>
      </c>
      <c r="E1151" s="100"/>
      <c r="F1151" t="s" s="80">
        <v>208</v>
      </c>
      <c r="G1151" s="132">
        <v>3018</v>
      </c>
      <c r="H1151" t="s" s="133">
        <v>210</v>
      </c>
      <c r="I1151" t="s" s="134">
        <v>102</v>
      </c>
      <c r="J1151" t="s" s="134">
        <v>103</v>
      </c>
      <c r="K1151" t="str" s="135" cm="1">
        <f t="array" ref="K1151">IF(OR(H1151="ריביות",AND(H1151="דירה כצנלסון",G1151&lt;0,ISNUMBER(SEARCH("הכנסה",F1151)))),"הכנסה שסווגה מחדש",J1151)</f>
        <v>חריג</v>
      </c>
      <c r="L1151" t="s" s="134">
        <v>741</v>
      </c>
      <c r="M1151" s="136" cm="1">
        <f t="array" ref="M1151">IF(L1151="מאושר",IF(K1151="הכנסה שסווגה מחדש",0,G1151),0)</f>
        <v>3018</v>
      </c>
      <c r="N1151" s="136" cm="1">
        <f t="array" ref="N1151">IF(K1151="שוטף",M1151,0)</f>
        <v>0</v>
      </c>
      <c r="O1151" s="136" cm="1">
        <f t="array" ref="O1151">IF(K1151="הכנסה שסווגה מחדש",-G1151,0)</f>
        <v>0</v>
      </c>
      <c r="P1151" t="s" s="80">
        <v>821</v>
      </c>
      <c r="Q1151" s="100"/>
      <c r="R1151" t="s" s="137">
        <v>743</v>
      </c>
      <c r="S1151" s="77"/>
    </row>
    <row r="1152" ht="13.65" customHeight="1">
      <c r="A1152" s="84">
        <v>45992</v>
      </c>
      <c r="B1152" t="s" s="85">
        <v>55</v>
      </c>
      <c r="C1152" t="s" s="86">
        <v>832</v>
      </c>
      <c r="D1152" s="138">
        <v>37</v>
      </c>
      <c r="E1152" t="s" s="85">
        <v>834</v>
      </c>
      <c r="F1152" t="s" s="86">
        <v>456</v>
      </c>
      <c r="G1152" s="139">
        <v>95</v>
      </c>
      <c r="H1152" t="s" s="140">
        <v>117</v>
      </c>
      <c r="I1152" t="s" s="141">
        <v>117</v>
      </c>
      <c r="J1152" t="s" s="141">
        <v>97</v>
      </c>
      <c r="K1152" t="str" s="142" cm="1">
        <f t="array" ref="K1152">IF(OR(H1152="ריביות",AND(H1152="דירה כצנלסון",G1152&lt;0,ISNUMBER(SEARCH("הכנסה",F1152)))),"הכנסה שסווגה מחדש",J1152)</f>
        <v>שוטף</v>
      </c>
      <c r="L1152" t="s" s="141">
        <v>741</v>
      </c>
      <c r="M1152" s="143" cm="1">
        <f t="array" ref="M1152">IF(L1152="מאושר",IF(K1152="הכנסה שסווגה מחדש",0,G1152),0)</f>
        <v>95</v>
      </c>
      <c r="N1152" s="143" cm="1">
        <f t="array" ref="N1152">IF(K1152="שוטף",M1152,0)</f>
        <v>95</v>
      </c>
      <c r="O1152" s="143" cm="1">
        <f t="array" ref="O1152">IF(K1152="הכנסה שסווגה מחדש",-G1152,0)</f>
        <v>0</v>
      </c>
      <c r="P1152" t="s" s="86">
        <v>762</v>
      </c>
      <c r="Q1152" s="99"/>
      <c r="R1152" t="s" s="144">
        <v>743</v>
      </c>
      <c r="S1152" s="77"/>
    </row>
    <row r="1153" ht="13.65" customHeight="1">
      <c r="A1153" s="78">
        <v>45992</v>
      </c>
      <c r="B1153" t="s" s="79">
        <v>55</v>
      </c>
      <c r="C1153" t="s" s="80">
        <v>832</v>
      </c>
      <c r="D1153" s="131">
        <v>38</v>
      </c>
      <c r="E1153" t="s" s="79">
        <v>835</v>
      </c>
      <c r="F1153" t="s" s="80">
        <v>233</v>
      </c>
      <c r="G1153" s="132">
        <v>3564</v>
      </c>
      <c r="H1153" t="s" s="133">
        <v>210</v>
      </c>
      <c r="I1153" t="s" s="134">
        <v>102</v>
      </c>
      <c r="J1153" t="s" s="134">
        <v>103</v>
      </c>
      <c r="K1153" t="str" s="135" cm="1">
        <f t="array" ref="K1153">IF(OR(H1153="ריביות",AND(H1153="דירה כצנלסון",G1153&lt;0,ISNUMBER(SEARCH("הכנסה",F1153)))),"הכנסה שסווגה מחדש",J1153)</f>
        <v>חריג</v>
      </c>
      <c r="L1153" t="s" s="134">
        <v>741</v>
      </c>
      <c r="M1153" s="136" cm="1">
        <f t="array" ref="M1153">IF(L1153="מאושר",IF(K1153="הכנסה שסווגה מחדש",0,G1153),0)</f>
        <v>3564</v>
      </c>
      <c r="N1153" s="136" cm="1">
        <f t="array" ref="N1153">IF(K1153="שוטף",M1153,0)</f>
        <v>0</v>
      </c>
      <c r="O1153" s="136" cm="1">
        <f t="array" ref="O1153">IF(K1153="הכנסה שסווגה מחדש",-G1153,0)</f>
        <v>0</v>
      </c>
      <c r="P1153" t="s" s="80">
        <v>762</v>
      </c>
      <c r="Q1153" s="100"/>
      <c r="R1153" t="s" s="137">
        <v>743</v>
      </c>
      <c r="S1153" s="77"/>
    </row>
    <row r="1154" ht="13.65" customHeight="1">
      <c r="A1154" s="84">
        <v>45992</v>
      </c>
      <c r="B1154" t="s" s="85">
        <v>55</v>
      </c>
      <c r="C1154" t="s" s="86">
        <v>832</v>
      </c>
      <c r="D1154" s="138">
        <v>39</v>
      </c>
      <c r="E1154" t="s" s="85">
        <v>34</v>
      </c>
      <c r="F1154" t="s" s="86">
        <v>594</v>
      </c>
      <c r="G1154" s="139">
        <v>60</v>
      </c>
      <c r="H1154" t="s" s="140">
        <v>113</v>
      </c>
      <c r="I1154" t="s" s="141">
        <v>113</v>
      </c>
      <c r="J1154" t="s" s="141">
        <v>97</v>
      </c>
      <c r="K1154" t="str" s="142" cm="1">
        <f t="array" ref="K1154">IF(OR(H1154="ריביות",AND(H1154="דירה כצנלסון",G1154&lt;0,ISNUMBER(SEARCH("הכנסה",F1154)))),"הכנסה שסווגה מחדש",J1154)</f>
        <v>שוטף</v>
      </c>
      <c r="L1154" t="s" s="141">
        <v>741</v>
      </c>
      <c r="M1154" s="143" cm="1">
        <f t="array" ref="M1154">IF(L1154="מאושר",IF(K1154="הכנסה שסווגה מחדש",0,G1154),0)</f>
        <v>60</v>
      </c>
      <c r="N1154" s="143" cm="1">
        <f t="array" ref="N1154">IF(K1154="שוטף",M1154,0)</f>
        <v>60</v>
      </c>
      <c r="O1154" s="143" cm="1">
        <f t="array" ref="O1154">IF(K1154="הכנסה שסווגה מחדש",-G1154,0)</f>
        <v>0</v>
      </c>
      <c r="P1154" t="s" s="86">
        <v>762</v>
      </c>
      <c r="Q1154" s="99"/>
      <c r="R1154" t="s" s="144">
        <v>743</v>
      </c>
      <c r="S1154" s="77"/>
    </row>
    <row r="1155" ht="13.65" customHeight="1">
      <c r="A1155" s="78">
        <v>45992</v>
      </c>
      <c r="B1155" t="s" s="79">
        <v>55</v>
      </c>
      <c r="C1155" t="s" s="80">
        <v>832</v>
      </c>
      <c r="D1155" s="131">
        <v>40</v>
      </c>
      <c r="E1155" t="s" s="79">
        <v>34</v>
      </c>
      <c r="F1155" t="s" s="80">
        <v>231</v>
      </c>
      <c r="G1155" s="132">
        <v>18</v>
      </c>
      <c r="H1155" t="s" s="133">
        <v>113</v>
      </c>
      <c r="I1155" t="s" s="134">
        <v>113</v>
      </c>
      <c r="J1155" t="s" s="134">
        <v>97</v>
      </c>
      <c r="K1155" t="str" s="135" cm="1">
        <f t="array" ref="K1155">IF(OR(H1155="ריביות",AND(H1155="דירה כצנלסון",G1155&lt;0,ISNUMBER(SEARCH("הכנסה",F1155)))),"הכנסה שסווגה מחדש",J1155)</f>
        <v>שוטף</v>
      </c>
      <c r="L1155" t="s" s="134">
        <v>741</v>
      </c>
      <c r="M1155" s="136" cm="1">
        <f t="array" ref="M1155">IF(L1155="מאושר",IF(K1155="הכנסה שסווגה מחדש",0,G1155),0)</f>
        <v>18</v>
      </c>
      <c r="N1155" s="136" cm="1">
        <f t="array" ref="N1155">IF(K1155="שוטף",M1155,0)</f>
        <v>18</v>
      </c>
      <c r="O1155" s="136" cm="1">
        <f t="array" ref="O1155">IF(K1155="הכנסה שסווגה מחדש",-G1155,0)</f>
        <v>0</v>
      </c>
      <c r="P1155" t="s" s="80">
        <v>762</v>
      </c>
      <c r="Q1155" s="100"/>
      <c r="R1155" t="s" s="137">
        <v>743</v>
      </c>
      <c r="S1155" s="77"/>
    </row>
    <row r="1156" ht="13.65" customHeight="1">
      <c r="A1156" s="84">
        <v>45992</v>
      </c>
      <c r="B1156" t="s" s="85">
        <v>55</v>
      </c>
      <c r="C1156" t="s" s="86">
        <v>832</v>
      </c>
      <c r="D1156" s="138">
        <v>41</v>
      </c>
      <c r="E1156" t="s" s="85">
        <v>34</v>
      </c>
      <c r="F1156" t="s" s="86">
        <v>657</v>
      </c>
      <c r="G1156" s="139">
        <v>3</v>
      </c>
      <c r="H1156" t="s" s="140">
        <v>109</v>
      </c>
      <c r="I1156" t="s" s="141">
        <v>109</v>
      </c>
      <c r="J1156" t="s" s="141">
        <v>97</v>
      </c>
      <c r="K1156" t="str" s="142" cm="1">
        <f t="array" ref="K1156">IF(OR(H1156="ריביות",AND(H1156="דירה כצנלסון",G1156&lt;0,ISNUMBER(SEARCH("הכנסה",F1156)))),"הכנסה שסווגה מחדש",J1156)</f>
        <v>שוטף</v>
      </c>
      <c r="L1156" t="s" s="141">
        <v>741</v>
      </c>
      <c r="M1156" s="143" cm="1">
        <f t="array" ref="M1156">IF(L1156="מאושר",IF(K1156="הכנסה שסווגה מחדש",0,G1156),0)</f>
        <v>3</v>
      </c>
      <c r="N1156" s="143" cm="1">
        <f t="array" ref="N1156">IF(K1156="שוטף",M1156,0)</f>
        <v>3</v>
      </c>
      <c r="O1156" s="143" cm="1">
        <f t="array" ref="O1156">IF(K1156="הכנסה שסווגה מחדש",-G1156,0)</f>
        <v>0</v>
      </c>
      <c r="P1156" t="s" s="86">
        <v>762</v>
      </c>
      <c r="Q1156" s="99"/>
      <c r="R1156" t="s" s="144">
        <v>743</v>
      </c>
      <c r="S1156" s="77"/>
    </row>
    <row r="1157" ht="13.65" customHeight="1">
      <c r="A1157" s="78">
        <v>45992</v>
      </c>
      <c r="B1157" t="s" s="79">
        <v>55</v>
      </c>
      <c r="C1157" t="s" s="80">
        <v>832</v>
      </c>
      <c r="D1157" s="131">
        <v>42</v>
      </c>
      <c r="E1157" t="s" s="79">
        <v>34</v>
      </c>
      <c r="F1157" t="s" s="80">
        <v>572</v>
      </c>
      <c r="G1157" s="132">
        <v>70</v>
      </c>
      <c r="H1157" t="s" s="133">
        <v>125</v>
      </c>
      <c r="I1157" t="s" s="134">
        <v>125</v>
      </c>
      <c r="J1157" t="s" s="134">
        <v>97</v>
      </c>
      <c r="K1157" t="str" s="135" cm="1">
        <f t="array" ref="K1157">IF(OR(H1157="ריביות",AND(H1157="דירה כצנלסון",G1157&lt;0,ISNUMBER(SEARCH("הכנסה",F1157)))),"הכנסה שסווגה מחדש",J1157)</f>
        <v>שוטף</v>
      </c>
      <c r="L1157" t="s" s="134">
        <v>741</v>
      </c>
      <c r="M1157" s="136" cm="1">
        <f t="array" ref="M1157">IF(L1157="מאושר",IF(K1157="הכנסה שסווגה מחדש",0,G1157),0)</f>
        <v>70</v>
      </c>
      <c r="N1157" s="136" cm="1">
        <f t="array" ref="N1157">IF(K1157="שוטף",M1157,0)</f>
        <v>70</v>
      </c>
      <c r="O1157" s="136" cm="1">
        <f t="array" ref="O1157">IF(K1157="הכנסה שסווגה מחדש",-G1157,0)</f>
        <v>0</v>
      </c>
      <c r="P1157" t="s" s="80">
        <v>762</v>
      </c>
      <c r="Q1157" s="100"/>
      <c r="R1157" t="s" s="137">
        <v>743</v>
      </c>
      <c r="S1157" s="77"/>
    </row>
    <row r="1158" ht="13.65" customHeight="1">
      <c r="A1158" s="84">
        <v>45992</v>
      </c>
      <c r="B1158" t="s" s="85">
        <v>55</v>
      </c>
      <c r="C1158" t="s" s="86">
        <v>832</v>
      </c>
      <c r="D1158" s="138">
        <v>43</v>
      </c>
      <c r="E1158" t="s" s="85">
        <v>38</v>
      </c>
      <c r="F1158" t="s" s="86">
        <v>512</v>
      </c>
      <c r="G1158" s="139">
        <v>49</v>
      </c>
      <c r="H1158" t="s" s="140">
        <v>121</v>
      </c>
      <c r="I1158" t="s" s="141">
        <v>121</v>
      </c>
      <c r="J1158" t="s" s="141">
        <v>97</v>
      </c>
      <c r="K1158" t="str" s="142" cm="1">
        <f t="array" ref="K1158">IF(OR(H1158="ריביות",AND(H1158="דירה כצנלסון",G1158&lt;0,ISNUMBER(SEARCH("הכנסה",F1158)))),"הכנסה שסווגה מחדש",J1158)</f>
        <v>שוטף</v>
      </c>
      <c r="L1158" t="s" s="141">
        <v>741</v>
      </c>
      <c r="M1158" s="143" cm="1">
        <f t="array" ref="M1158">IF(L1158="מאושר",IF(K1158="הכנסה שסווגה מחדש",0,G1158),0)</f>
        <v>49</v>
      </c>
      <c r="N1158" s="143" cm="1">
        <f t="array" ref="N1158">IF(K1158="שוטף",M1158,0)</f>
        <v>49</v>
      </c>
      <c r="O1158" s="143" cm="1">
        <f t="array" ref="O1158">IF(K1158="הכנסה שסווגה מחדש",-G1158,0)</f>
        <v>0</v>
      </c>
      <c r="P1158" t="s" s="86">
        <v>762</v>
      </c>
      <c r="Q1158" s="99"/>
      <c r="R1158" t="s" s="144">
        <v>743</v>
      </c>
      <c r="S1158" s="77"/>
    </row>
    <row r="1159" ht="13.65" customHeight="1">
      <c r="A1159" s="78">
        <v>45992</v>
      </c>
      <c r="B1159" t="s" s="79">
        <v>55</v>
      </c>
      <c r="C1159" t="s" s="80">
        <v>832</v>
      </c>
      <c r="D1159" s="131">
        <v>44</v>
      </c>
      <c r="E1159" t="s" s="79">
        <v>38</v>
      </c>
      <c r="F1159" t="s" s="80">
        <v>405</v>
      </c>
      <c r="G1159" s="132">
        <v>248</v>
      </c>
      <c r="H1159" t="s" s="133">
        <v>121</v>
      </c>
      <c r="I1159" t="s" s="134">
        <v>121</v>
      </c>
      <c r="J1159" t="s" s="134">
        <v>97</v>
      </c>
      <c r="K1159" t="str" s="135" cm="1">
        <f t="array" ref="K1159">IF(OR(H1159="ריביות",AND(H1159="דירה כצנלסון",G1159&lt;0,ISNUMBER(SEARCH("הכנסה",F1159)))),"הכנסה שסווגה מחדש",J1159)</f>
        <v>שוטף</v>
      </c>
      <c r="L1159" t="s" s="134">
        <v>741</v>
      </c>
      <c r="M1159" s="136" cm="1">
        <f t="array" ref="M1159">IF(L1159="מאושר",IF(K1159="הכנסה שסווגה מחדש",0,G1159),0)</f>
        <v>248</v>
      </c>
      <c r="N1159" s="136" cm="1">
        <f t="array" ref="N1159">IF(K1159="שוטף",M1159,0)</f>
        <v>248</v>
      </c>
      <c r="O1159" s="136" cm="1">
        <f t="array" ref="O1159">IF(K1159="הכנסה שסווגה מחדש",-G1159,0)</f>
        <v>0</v>
      </c>
      <c r="P1159" t="s" s="80">
        <v>762</v>
      </c>
      <c r="Q1159" s="100"/>
      <c r="R1159" t="s" s="137">
        <v>743</v>
      </c>
      <c r="S1159" s="77"/>
    </row>
    <row r="1160" ht="13.65" customHeight="1">
      <c r="A1160" s="84">
        <v>45992</v>
      </c>
      <c r="B1160" t="s" s="85">
        <v>55</v>
      </c>
      <c r="C1160" t="s" s="86">
        <v>832</v>
      </c>
      <c r="D1160" s="138">
        <v>45</v>
      </c>
      <c r="E1160" t="s" s="85">
        <v>42</v>
      </c>
      <c r="F1160" t="s" s="86">
        <v>200</v>
      </c>
      <c r="G1160" s="139">
        <v>74</v>
      </c>
      <c r="H1160" t="s" s="140">
        <v>109</v>
      </c>
      <c r="I1160" t="s" s="141">
        <v>109</v>
      </c>
      <c r="J1160" t="s" s="141">
        <v>97</v>
      </c>
      <c r="K1160" t="str" s="142" cm="1">
        <f t="array" ref="K1160">IF(OR(H1160="ריביות",AND(H1160="דירה כצנלסון",G1160&lt;0,ISNUMBER(SEARCH("הכנסה",F1160)))),"הכנסה שסווגה מחדש",J1160)</f>
        <v>שוטף</v>
      </c>
      <c r="L1160" t="s" s="141">
        <v>741</v>
      </c>
      <c r="M1160" s="143" cm="1">
        <f t="array" ref="M1160">IF(L1160="מאושר",IF(K1160="הכנסה שסווגה מחדש",0,G1160),0)</f>
        <v>74</v>
      </c>
      <c r="N1160" s="143" cm="1">
        <f t="array" ref="N1160">IF(K1160="שוטף",M1160,0)</f>
        <v>74</v>
      </c>
      <c r="O1160" s="143" cm="1">
        <f t="array" ref="O1160">IF(K1160="הכנסה שסווגה מחדש",-G1160,0)</f>
        <v>0</v>
      </c>
      <c r="P1160" t="s" s="86">
        <v>762</v>
      </c>
      <c r="Q1160" s="99"/>
      <c r="R1160" t="s" s="144">
        <v>743</v>
      </c>
      <c r="S1160" s="77"/>
    </row>
    <row r="1161" ht="13.65" customHeight="1">
      <c r="A1161" s="78">
        <v>45992</v>
      </c>
      <c r="B1161" t="s" s="79">
        <v>55</v>
      </c>
      <c r="C1161" t="s" s="80">
        <v>832</v>
      </c>
      <c r="D1161" s="131">
        <v>46</v>
      </c>
      <c r="E1161" t="s" s="79">
        <v>42</v>
      </c>
      <c r="F1161" t="s" s="80">
        <v>254</v>
      </c>
      <c r="G1161" s="132">
        <v>35</v>
      </c>
      <c r="H1161" t="s" s="133">
        <v>109</v>
      </c>
      <c r="I1161" t="s" s="134">
        <v>109</v>
      </c>
      <c r="J1161" t="s" s="134">
        <v>97</v>
      </c>
      <c r="K1161" t="str" s="135" cm="1">
        <f t="array" ref="K1161">IF(OR(H1161="ריביות",AND(H1161="דירה כצנלסון",G1161&lt;0,ISNUMBER(SEARCH("הכנסה",F1161)))),"הכנסה שסווגה מחדש",J1161)</f>
        <v>שוטף</v>
      </c>
      <c r="L1161" t="s" s="134">
        <v>741</v>
      </c>
      <c r="M1161" s="136" cm="1">
        <f t="array" ref="M1161">IF(L1161="מאושר",IF(K1161="הכנסה שסווגה מחדש",0,G1161),0)</f>
        <v>35</v>
      </c>
      <c r="N1161" s="136" cm="1">
        <f t="array" ref="N1161">IF(K1161="שוטף",M1161,0)</f>
        <v>35</v>
      </c>
      <c r="O1161" s="136" cm="1">
        <f t="array" ref="O1161">IF(K1161="הכנסה שסווגה מחדש",-G1161,0)</f>
        <v>0</v>
      </c>
      <c r="P1161" t="s" s="80">
        <v>762</v>
      </c>
      <c r="Q1161" s="100"/>
      <c r="R1161" t="s" s="137">
        <v>743</v>
      </c>
      <c r="S1161" s="77"/>
    </row>
    <row r="1162" ht="13.65" customHeight="1">
      <c r="A1162" s="84">
        <v>45992</v>
      </c>
      <c r="B1162" t="s" s="85">
        <v>55</v>
      </c>
      <c r="C1162" t="s" s="86">
        <v>832</v>
      </c>
      <c r="D1162" s="138">
        <v>47</v>
      </c>
      <c r="E1162" t="s" s="85">
        <v>42</v>
      </c>
      <c r="F1162" t="s" s="86">
        <v>595</v>
      </c>
      <c r="G1162" s="139">
        <v>20</v>
      </c>
      <c r="H1162" t="s" s="140">
        <v>125</v>
      </c>
      <c r="I1162" t="s" s="141">
        <v>125</v>
      </c>
      <c r="J1162" t="s" s="141">
        <v>97</v>
      </c>
      <c r="K1162" t="str" s="142" cm="1">
        <f t="array" ref="K1162">IF(OR(H1162="ריביות",AND(H1162="דירה כצנלסון",G1162&lt;0,ISNUMBER(SEARCH("הכנסה",F1162)))),"הכנסה שסווגה מחדש",J1162)</f>
        <v>שוטף</v>
      </c>
      <c r="L1162" t="s" s="141">
        <v>741</v>
      </c>
      <c r="M1162" s="143" cm="1">
        <f t="array" ref="M1162">IF(L1162="מאושר",IF(K1162="הכנסה שסווגה מחדש",0,G1162),0)</f>
        <v>20</v>
      </c>
      <c r="N1162" s="143" cm="1">
        <f t="array" ref="N1162">IF(K1162="שוטף",M1162,0)</f>
        <v>20</v>
      </c>
      <c r="O1162" s="143" cm="1">
        <f t="array" ref="O1162">IF(K1162="הכנסה שסווגה מחדש",-G1162,0)</f>
        <v>0</v>
      </c>
      <c r="P1162" t="s" s="86">
        <v>762</v>
      </c>
      <c r="Q1162" s="99"/>
      <c r="R1162" t="s" s="144">
        <v>743</v>
      </c>
      <c r="S1162" s="77"/>
    </row>
    <row r="1163" ht="13.65" customHeight="1">
      <c r="A1163" s="78">
        <v>45992</v>
      </c>
      <c r="B1163" t="s" s="79">
        <v>55</v>
      </c>
      <c r="C1163" t="s" s="80">
        <v>832</v>
      </c>
      <c r="D1163" s="131">
        <v>48</v>
      </c>
      <c r="E1163" t="s" s="79">
        <v>46</v>
      </c>
      <c r="F1163" t="s" s="80">
        <v>344</v>
      </c>
      <c r="G1163" s="132">
        <v>170</v>
      </c>
      <c r="H1163" t="s" s="133">
        <v>113</v>
      </c>
      <c r="I1163" t="s" s="134">
        <v>113</v>
      </c>
      <c r="J1163" t="s" s="134">
        <v>97</v>
      </c>
      <c r="K1163" t="str" s="135" cm="1">
        <f t="array" ref="K1163">IF(OR(H1163="ריביות",AND(H1163="דירה כצנלסון",G1163&lt;0,ISNUMBER(SEARCH("הכנסה",F1163)))),"הכנסה שסווגה מחדש",J1163)</f>
        <v>שוטף</v>
      </c>
      <c r="L1163" t="s" s="134">
        <v>741</v>
      </c>
      <c r="M1163" s="136" cm="1">
        <f t="array" ref="M1163">IF(L1163="מאושר",IF(K1163="הכנסה שסווגה מחדש",0,G1163),0)</f>
        <v>170</v>
      </c>
      <c r="N1163" s="136" cm="1">
        <f t="array" ref="N1163">IF(K1163="שוטף",M1163,0)</f>
        <v>170</v>
      </c>
      <c r="O1163" s="136" cm="1">
        <f t="array" ref="O1163">IF(K1163="הכנסה שסווגה מחדש",-G1163,0)</f>
        <v>0</v>
      </c>
      <c r="P1163" t="s" s="80">
        <v>762</v>
      </c>
      <c r="Q1163" s="100"/>
      <c r="R1163" t="s" s="137">
        <v>743</v>
      </c>
      <c r="S1163" s="77"/>
    </row>
    <row r="1164" ht="13.65" customHeight="1">
      <c r="A1164" s="84">
        <v>45992</v>
      </c>
      <c r="B1164" t="s" s="85">
        <v>55</v>
      </c>
      <c r="C1164" t="s" s="86">
        <v>832</v>
      </c>
      <c r="D1164" s="138">
        <v>49</v>
      </c>
      <c r="E1164" t="s" s="85">
        <v>788</v>
      </c>
      <c r="F1164" t="s" s="86">
        <v>414</v>
      </c>
      <c r="G1164" s="139">
        <v>262</v>
      </c>
      <c r="H1164" t="s" s="140">
        <v>125</v>
      </c>
      <c r="I1164" t="s" s="141">
        <v>125</v>
      </c>
      <c r="J1164" t="s" s="141">
        <v>97</v>
      </c>
      <c r="K1164" t="str" s="142" cm="1">
        <f t="array" ref="K1164">IF(OR(H1164="ריביות",AND(H1164="דירה כצנלסון",G1164&lt;0,ISNUMBER(SEARCH("הכנסה",F1164)))),"הכנסה שסווגה מחדש",J1164)</f>
        <v>שוטף</v>
      </c>
      <c r="L1164" t="s" s="141">
        <v>741</v>
      </c>
      <c r="M1164" s="143" cm="1">
        <f t="array" ref="M1164">IF(L1164="מאושר",IF(K1164="הכנסה שסווגה מחדש",0,G1164),0)</f>
        <v>262</v>
      </c>
      <c r="N1164" s="143" cm="1">
        <f t="array" ref="N1164">IF(K1164="שוטף",M1164,0)</f>
        <v>262</v>
      </c>
      <c r="O1164" s="143" cm="1">
        <f t="array" ref="O1164">IF(K1164="הכנסה שסווגה מחדש",-G1164,0)</f>
        <v>0</v>
      </c>
      <c r="P1164" t="s" s="86">
        <v>762</v>
      </c>
      <c r="Q1164" s="99"/>
      <c r="R1164" t="s" s="144">
        <v>743</v>
      </c>
      <c r="S1164" s="77"/>
    </row>
    <row r="1165" ht="13.65" customHeight="1">
      <c r="A1165" s="78">
        <v>45992</v>
      </c>
      <c r="B1165" t="s" s="79">
        <v>55</v>
      </c>
      <c r="C1165" t="s" s="80">
        <v>832</v>
      </c>
      <c r="D1165" s="131">
        <v>50</v>
      </c>
      <c r="E1165" t="s" s="79">
        <v>751</v>
      </c>
      <c r="F1165" t="s" s="80">
        <v>254</v>
      </c>
      <c r="G1165" s="132">
        <v>41</v>
      </c>
      <c r="H1165" t="s" s="133">
        <v>109</v>
      </c>
      <c r="I1165" t="s" s="134">
        <v>109</v>
      </c>
      <c r="J1165" t="s" s="134">
        <v>97</v>
      </c>
      <c r="K1165" t="str" s="135" cm="1">
        <f t="array" ref="K1165">IF(OR(H1165="ריביות",AND(H1165="דירה כצנלסון",G1165&lt;0,ISNUMBER(SEARCH("הכנסה",F1165)))),"הכנסה שסווגה מחדש",J1165)</f>
        <v>שוטף</v>
      </c>
      <c r="L1165" t="s" s="134">
        <v>741</v>
      </c>
      <c r="M1165" s="136" cm="1">
        <f t="array" ref="M1165">IF(L1165="מאושר",IF(K1165="הכנסה שסווגה מחדש",0,G1165),0)</f>
        <v>41</v>
      </c>
      <c r="N1165" s="136" cm="1">
        <f t="array" ref="N1165">IF(K1165="שוטף",M1165,0)</f>
        <v>41</v>
      </c>
      <c r="O1165" s="136" cm="1">
        <f t="array" ref="O1165">IF(K1165="הכנסה שסווגה מחדש",-G1165,0)</f>
        <v>0</v>
      </c>
      <c r="P1165" t="s" s="80">
        <v>762</v>
      </c>
      <c r="Q1165" s="100"/>
      <c r="R1165" t="s" s="137">
        <v>743</v>
      </c>
      <c r="S1165" s="77"/>
    </row>
    <row r="1166" ht="13.65" customHeight="1">
      <c r="A1166" s="84">
        <v>45992</v>
      </c>
      <c r="B1166" t="s" s="85">
        <v>55</v>
      </c>
      <c r="C1166" t="s" s="86">
        <v>832</v>
      </c>
      <c r="D1166" s="138">
        <v>51</v>
      </c>
      <c r="E1166" t="s" s="85">
        <v>751</v>
      </c>
      <c r="F1166" t="s" s="86">
        <v>281</v>
      </c>
      <c r="G1166" s="139">
        <v>90</v>
      </c>
      <c r="H1166" t="s" s="140">
        <v>125</v>
      </c>
      <c r="I1166" t="s" s="141">
        <v>125</v>
      </c>
      <c r="J1166" t="s" s="141">
        <v>97</v>
      </c>
      <c r="K1166" t="str" s="142" cm="1">
        <f t="array" ref="K1166">IF(OR(H1166="ריביות",AND(H1166="דירה כצנלסון",G1166&lt;0,ISNUMBER(SEARCH("הכנסה",F1166)))),"הכנסה שסווגה מחדש",J1166)</f>
        <v>שוטף</v>
      </c>
      <c r="L1166" t="s" s="141">
        <v>741</v>
      </c>
      <c r="M1166" s="143" cm="1">
        <f t="array" ref="M1166">IF(L1166="מאושר",IF(K1166="הכנסה שסווגה מחדש",0,G1166),0)</f>
        <v>90</v>
      </c>
      <c r="N1166" s="143" cm="1">
        <f t="array" ref="N1166">IF(K1166="שוטף",M1166,0)</f>
        <v>90</v>
      </c>
      <c r="O1166" s="143" cm="1">
        <f t="array" ref="O1166">IF(K1166="הכנסה שסווגה מחדש",-G1166,0)</f>
        <v>0</v>
      </c>
      <c r="P1166" t="s" s="86">
        <v>762</v>
      </c>
      <c r="Q1166" s="99"/>
      <c r="R1166" t="s" s="144">
        <v>743</v>
      </c>
      <c r="S1166" s="77"/>
    </row>
    <row r="1167" ht="13.65" customHeight="1">
      <c r="A1167" s="78">
        <v>45992</v>
      </c>
      <c r="B1167" t="s" s="79">
        <v>55</v>
      </c>
      <c r="C1167" t="s" s="80">
        <v>832</v>
      </c>
      <c r="D1167" s="131">
        <v>52</v>
      </c>
      <c r="E1167" t="s" s="79">
        <v>753</v>
      </c>
      <c r="F1167" t="s" s="80">
        <v>231</v>
      </c>
      <c r="G1167" s="132">
        <v>71</v>
      </c>
      <c r="H1167" t="s" s="133">
        <v>113</v>
      </c>
      <c r="I1167" t="s" s="134">
        <v>113</v>
      </c>
      <c r="J1167" t="s" s="134">
        <v>97</v>
      </c>
      <c r="K1167" t="str" s="135" cm="1">
        <f t="array" ref="K1167">IF(OR(H1167="ריביות",AND(H1167="דירה כצנלסון",G1167&lt;0,ISNUMBER(SEARCH("הכנסה",F1167)))),"הכנסה שסווגה מחדש",J1167)</f>
        <v>שוטף</v>
      </c>
      <c r="L1167" t="s" s="134">
        <v>741</v>
      </c>
      <c r="M1167" s="136" cm="1">
        <f t="array" ref="M1167">IF(L1167="מאושר",IF(K1167="הכנסה שסווגה מחדש",0,G1167),0)</f>
        <v>71</v>
      </c>
      <c r="N1167" s="136" cm="1">
        <f t="array" ref="N1167">IF(K1167="שוטף",M1167,0)</f>
        <v>71</v>
      </c>
      <c r="O1167" s="136" cm="1">
        <f t="array" ref="O1167">IF(K1167="הכנסה שסווגה מחדש",-G1167,0)</f>
        <v>0</v>
      </c>
      <c r="P1167" t="s" s="80">
        <v>762</v>
      </c>
      <c r="Q1167" s="100"/>
      <c r="R1167" t="s" s="137">
        <v>743</v>
      </c>
      <c r="S1167" s="77"/>
    </row>
    <row r="1168" ht="13.65" customHeight="1">
      <c r="A1168" s="84">
        <v>45992</v>
      </c>
      <c r="B1168" t="s" s="85">
        <v>55</v>
      </c>
      <c r="C1168" t="s" s="86">
        <v>832</v>
      </c>
      <c r="D1168" s="138">
        <v>53</v>
      </c>
      <c r="E1168" t="s" s="85">
        <v>753</v>
      </c>
      <c r="F1168" t="s" s="86">
        <v>529</v>
      </c>
      <c r="G1168" s="139">
        <v>100</v>
      </c>
      <c r="H1168" t="s" s="140">
        <v>117</v>
      </c>
      <c r="I1168" t="s" s="141">
        <v>117</v>
      </c>
      <c r="J1168" t="s" s="141">
        <v>97</v>
      </c>
      <c r="K1168" t="str" s="142" cm="1">
        <f t="array" ref="K1168">IF(OR(H1168="ריביות",AND(H1168="דירה כצנלסון",G1168&lt;0,ISNUMBER(SEARCH("הכנסה",F1168)))),"הכנסה שסווגה מחדש",J1168)</f>
        <v>שוטף</v>
      </c>
      <c r="L1168" t="s" s="141">
        <v>741</v>
      </c>
      <c r="M1168" s="143" cm="1">
        <f t="array" ref="M1168">IF(L1168="מאושר",IF(K1168="הכנסה שסווגה מחדש",0,G1168),0)</f>
        <v>100</v>
      </c>
      <c r="N1168" s="143" cm="1">
        <f t="array" ref="N1168">IF(K1168="שוטף",M1168,0)</f>
        <v>100</v>
      </c>
      <c r="O1168" s="143" cm="1">
        <f t="array" ref="O1168">IF(K1168="הכנסה שסווגה מחדש",-G1168,0)</f>
        <v>0</v>
      </c>
      <c r="P1168" t="s" s="86">
        <v>762</v>
      </c>
      <c r="Q1168" s="99"/>
      <c r="R1168" t="s" s="144">
        <v>743</v>
      </c>
      <c r="S1168" s="77"/>
    </row>
    <row r="1169" ht="13.65" customHeight="1">
      <c r="A1169" s="78">
        <v>45992</v>
      </c>
      <c r="B1169" t="s" s="79">
        <v>55</v>
      </c>
      <c r="C1169" t="s" s="80">
        <v>832</v>
      </c>
      <c r="D1169" s="131">
        <v>54</v>
      </c>
      <c r="E1169" t="s" s="79">
        <v>739</v>
      </c>
      <c r="F1169" t="s" s="80">
        <v>213</v>
      </c>
      <c r="G1169" s="132">
        <v>242</v>
      </c>
      <c r="H1169" t="s" s="133">
        <v>115</v>
      </c>
      <c r="I1169" t="s" s="134">
        <v>115</v>
      </c>
      <c r="J1169" t="s" s="134">
        <v>97</v>
      </c>
      <c r="K1169" t="str" s="135" cm="1">
        <f t="array" ref="K1169">IF(OR(H1169="ריביות",AND(H1169="דירה כצנלסון",G1169&lt;0,ISNUMBER(SEARCH("הכנסה",F1169)))),"הכנסה שסווגה מחדש",J1169)</f>
        <v>שוטף</v>
      </c>
      <c r="L1169" t="s" s="134">
        <v>741</v>
      </c>
      <c r="M1169" s="136" cm="1">
        <f t="array" ref="M1169">IF(L1169="מאושר",IF(K1169="הכנסה שסווגה מחדש",0,G1169),0)</f>
        <v>242</v>
      </c>
      <c r="N1169" s="136" cm="1">
        <f t="array" ref="N1169">IF(K1169="שוטף",M1169,0)</f>
        <v>242</v>
      </c>
      <c r="O1169" s="136" cm="1">
        <f t="array" ref="O1169">IF(K1169="הכנסה שסווגה מחדש",-G1169,0)</f>
        <v>0</v>
      </c>
      <c r="P1169" t="s" s="80">
        <v>762</v>
      </c>
      <c r="Q1169" s="100"/>
      <c r="R1169" t="s" s="137">
        <v>743</v>
      </c>
      <c r="S1169" s="77"/>
    </row>
    <row r="1170" ht="13.65" customHeight="1">
      <c r="A1170" s="84">
        <v>45992</v>
      </c>
      <c r="B1170" t="s" s="85">
        <v>55</v>
      </c>
      <c r="C1170" t="s" s="86">
        <v>832</v>
      </c>
      <c r="D1170" s="138">
        <v>55</v>
      </c>
      <c r="E1170" t="s" s="85">
        <v>739</v>
      </c>
      <c r="F1170" t="s" s="86">
        <v>657</v>
      </c>
      <c r="G1170" s="139">
        <v>22</v>
      </c>
      <c r="H1170" t="s" s="140">
        <v>109</v>
      </c>
      <c r="I1170" t="s" s="141">
        <v>109</v>
      </c>
      <c r="J1170" t="s" s="141">
        <v>97</v>
      </c>
      <c r="K1170" t="str" s="142" cm="1">
        <f t="array" ref="K1170">IF(OR(H1170="ריביות",AND(H1170="דירה כצנלסון",G1170&lt;0,ISNUMBER(SEARCH("הכנסה",F1170)))),"הכנסה שסווגה מחדש",J1170)</f>
        <v>שוטף</v>
      </c>
      <c r="L1170" t="s" s="141">
        <v>741</v>
      </c>
      <c r="M1170" s="143" cm="1">
        <f t="array" ref="M1170">IF(L1170="מאושר",IF(K1170="הכנסה שסווגה מחדש",0,G1170),0)</f>
        <v>22</v>
      </c>
      <c r="N1170" s="143" cm="1">
        <f t="array" ref="N1170">IF(K1170="שוטף",M1170,0)</f>
        <v>22</v>
      </c>
      <c r="O1170" s="143" cm="1">
        <f t="array" ref="O1170">IF(K1170="הכנסה שסווגה מחדש",-G1170,0)</f>
        <v>0</v>
      </c>
      <c r="P1170" t="s" s="86">
        <v>762</v>
      </c>
      <c r="Q1170" s="99"/>
      <c r="R1170" t="s" s="144">
        <v>743</v>
      </c>
      <c r="S1170" s="77"/>
    </row>
    <row r="1171" ht="13.65" customHeight="1">
      <c r="A1171" s="78">
        <v>45992</v>
      </c>
      <c r="B1171" t="s" s="79">
        <v>55</v>
      </c>
      <c r="C1171" t="s" s="80">
        <v>832</v>
      </c>
      <c r="D1171" s="131">
        <v>56</v>
      </c>
      <c r="E1171" t="s" s="79">
        <v>772</v>
      </c>
      <c r="F1171" t="s" s="80">
        <v>595</v>
      </c>
      <c r="G1171" s="132">
        <v>20</v>
      </c>
      <c r="H1171" t="s" s="133">
        <v>125</v>
      </c>
      <c r="I1171" t="s" s="134">
        <v>125</v>
      </c>
      <c r="J1171" t="s" s="134">
        <v>97</v>
      </c>
      <c r="K1171" t="str" s="135" cm="1">
        <f t="array" ref="K1171">IF(OR(H1171="ריביות",AND(H1171="דירה כצנלסון",G1171&lt;0,ISNUMBER(SEARCH("הכנסה",F1171)))),"הכנסה שסווגה מחדש",J1171)</f>
        <v>שוטף</v>
      </c>
      <c r="L1171" t="s" s="134">
        <v>741</v>
      </c>
      <c r="M1171" s="136" cm="1">
        <f t="array" ref="M1171">IF(L1171="מאושר",IF(K1171="הכנסה שסווגה מחדש",0,G1171),0)</f>
        <v>20</v>
      </c>
      <c r="N1171" s="136" cm="1">
        <f t="array" ref="N1171">IF(K1171="שוטף",M1171,0)</f>
        <v>20</v>
      </c>
      <c r="O1171" s="136" cm="1">
        <f t="array" ref="O1171">IF(K1171="הכנסה שסווגה מחדש",-G1171,0)</f>
        <v>0</v>
      </c>
      <c r="P1171" t="s" s="80">
        <v>762</v>
      </c>
      <c r="Q1171" s="100"/>
      <c r="R1171" t="s" s="137">
        <v>743</v>
      </c>
      <c r="S1171" s="77"/>
    </row>
    <row r="1172" ht="13.65" customHeight="1">
      <c r="A1172" s="84">
        <v>45992</v>
      </c>
      <c r="B1172" t="s" s="85">
        <v>55</v>
      </c>
      <c r="C1172" t="s" s="86">
        <v>832</v>
      </c>
      <c r="D1172" s="138">
        <v>57</v>
      </c>
      <c r="E1172" t="s" s="85">
        <v>754</v>
      </c>
      <c r="F1172" t="s" s="86">
        <v>200</v>
      </c>
      <c r="G1172" s="139">
        <v>416</v>
      </c>
      <c r="H1172" t="s" s="140">
        <v>109</v>
      </c>
      <c r="I1172" t="s" s="141">
        <v>109</v>
      </c>
      <c r="J1172" t="s" s="141">
        <v>97</v>
      </c>
      <c r="K1172" t="str" s="142" cm="1">
        <f t="array" ref="K1172">IF(OR(H1172="ריביות",AND(H1172="דירה כצנלסון",G1172&lt;0,ISNUMBER(SEARCH("הכנסה",F1172)))),"הכנסה שסווגה מחדש",J1172)</f>
        <v>שוטף</v>
      </c>
      <c r="L1172" t="s" s="141">
        <v>741</v>
      </c>
      <c r="M1172" s="143" cm="1">
        <f t="array" ref="M1172">IF(L1172="מאושר",IF(K1172="הכנסה שסווגה מחדש",0,G1172),0)</f>
        <v>416</v>
      </c>
      <c r="N1172" s="143" cm="1">
        <f t="array" ref="N1172">IF(K1172="שוטף",M1172,0)</f>
        <v>416</v>
      </c>
      <c r="O1172" s="143" cm="1">
        <f t="array" ref="O1172">IF(K1172="הכנסה שסווגה מחדש",-G1172,0)</f>
        <v>0</v>
      </c>
      <c r="P1172" t="s" s="86">
        <v>762</v>
      </c>
      <c r="Q1172" s="99"/>
      <c r="R1172" t="s" s="144">
        <v>743</v>
      </c>
      <c r="S1172" s="77"/>
    </row>
    <row r="1173" ht="13.65" customHeight="1">
      <c r="A1173" s="78">
        <v>45992</v>
      </c>
      <c r="B1173" t="s" s="79">
        <v>55</v>
      </c>
      <c r="C1173" t="s" s="80">
        <v>832</v>
      </c>
      <c r="D1173" s="131">
        <v>58</v>
      </c>
      <c r="E1173" t="s" s="79">
        <v>761</v>
      </c>
      <c r="F1173" t="s" s="80">
        <v>298</v>
      </c>
      <c r="G1173" s="132">
        <v>1000</v>
      </c>
      <c r="H1173" t="s" s="133">
        <v>115</v>
      </c>
      <c r="I1173" t="s" s="134">
        <v>115</v>
      </c>
      <c r="J1173" t="s" s="134">
        <v>97</v>
      </c>
      <c r="K1173" t="str" s="135" cm="1">
        <f t="array" ref="K1173">IF(OR(H1173="ריביות",AND(H1173="דירה כצנלסון",G1173&lt;0,ISNUMBER(SEARCH("הכנסה",F1173)))),"הכנסה שסווגה מחדש",J1173)</f>
        <v>שוטף</v>
      </c>
      <c r="L1173" t="s" s="134">
        <v>741</v>
      </c>
      <c r="M1173" s="136" cm="1">
        <f t="array" ref="M1173">IF(L1173="מאושר",IF(K1173="הכנסה שסווגה מחדש",0,G1173),0)</f>
        <v>1000</v>
      </c>
      <c r="N1173" s="136" cm="1">
        <f t="array" ref="N1173">IF(K1173="שוטף",M1173,0)</f>
        <v>1000</v>
      </c>
      <c r="O1173" s="136" cm="1">
        <f t="array" ref="O1173">IF(K1173="הכנסה שסווגה מחדש",-G1173,0)</f>
        <v>0</v>
      </c>
      <c r="P1173" t="s" s="80">
        <v>762</v>
      </c>
      <c r="Q1173" s="100"/>
      <c r="R1173" t="s" s="137">
        <v>743</v>
      </c>
      <c r="S1173" s="77"/>
    </row>
    <row r="1174" ht="13.65" customHeight="1">
      <c r="A1174" s="84">
        <v>45992</v>
      </c>
      <c r="B1174" t="s" s="85">
        <v>55</v>
      </c>
      <c r="C1174" t="s" s="86">
        <v>832</v>
      </c>
      <c r="D1174" s="138">
        <v>59</v>
      </c>
      <c r="E1174" t="s" s="85">
        <v>768</v>
      </c>
      <c r="F1174" t="s" s="86">
        <v>649</v>
      </c>
      <c r="G1174" s="139">
        <v>29</v>
      </c>
      <c r="H1174" t="s" s="140">
        <v>115</v>
      </c>
      <c r="I1174" t="s" s="141">
        <v>115</v>
      </c>
      <c r="J1174" t="s" s="141">
        <v>97</v>
      </c>
      <c r="K1174" t="str" s="142" cm="1">
        <f t="array" ref="K1174">IF(OR(H1174="ריביות",AND(H1174="דירה כצנלסון",G1174&lt;0,ISNUMBER(SEARCH("הכנסה",F1174)))),"הכנסה שסווגה מחדש",J1174)</f>
        <v>שוטף</v>
      </c>
      <c r="L1174" t="s" s="141">
        <v>741</v>
      </c>
      <c r="M1174" s="143" cm="1">
        <f t="array" ref="M1174">IF(L1174="מאושר",IF(K1174="הכנסה שסווגה מחדש",0,G1174),0)</f>
        <v>29</v>
      </c>
      <c r="N1174" s="143" cm="1">
        <f t="array" ref="N1174">IF(K1174="שוטף",M1174,0)</f>
        <v>29</v>
      </c>
      <c r="O1174" s="143" cm="1">
        <f t="array" ref="O1174">IF(K1174="הכנסה שסווגה מחדש",-G1174,0)</f>
        <v>0</v>
      </c>
      <c r="P1174" t="s" s="86">
        <v>762</v>
      </c>
      <c r="Q1174" s="99"/>
      <c r="R1174" t="s" s="144">
        <v>743</v>
      </c>
      <c r="S1174" s="77"/>
    </row>
    <row r="1175" ht="13.65" customHeight="1">
      <c r="A1175" s="78">
        <v>45992</v>
      </c>
      <c r="B1175" t="s" s="79">
        <v>55</v>
      </c>
      <c r="C1175" t="s" s="80">
        <v>832</v>
      </c>
      <c r="D1175" s="131">
        <v>60</v>
      </c>
      <c r="E1175" t="s" s="79">
        <v>791</v>
      </c>
      <c r="F1175" t="s" s="80">
        <v>313</v>
      </c>
      <c r="G1175" s="132">
        <v>783</v>
      </c>
      <c r="H1175" t="s" s="133">
        <v>115</v>
      </c>
      <c r="I1175" t="s" s="134">
        <v>115</v>
      </c>
      <c r="J1175" t="s" s="134">
        <v>97</v>
      </c>
      <c r="K1175" t="str" s="135" cm="1">
        <f t="array" ref="K1175">IF(OR(H1175="ריביות",AND(H1175="דירה כצנלסון",G1175&lt;0,ISNUMBER(SEARCH("הכנסה",F1175)))),"הכנסה שסווגה מחדש",J1175)</f>
        <v>שוטף</v>
      </c>
      <c r="L1175" t="s" s="134">
        <v>741</v>
      </c>
      <c r="M1175" s="136" cm="1">
        <f t="array" ref="M1175">IF(L1175="מאושר",IF(K1175="הכנסה שסווגה מחדש",0,G1175),0)</f>
        <v>783</v>
      </c>
      <c r="N1175" s="136" cm="1">
        <f t="array" ref="N1175">IF(K1175="שוטף",M1175,0)</f>
        <v>783</v>
      </c>
      <c r="O1175" s="136" cm="1">
        <f t="array" ref="O1175">IF(K1175="הכנסה שסווגה מחדש",-G1175,0)</f>
        <v>0</v>
      </c>
      <c r="P1175" t="s" s="80">
        <v>762</v>
      </c>
      <c r="Q1175" s="100"/>
      <c r="R1175" t="s" s="137">
        <v>743</v>
      </c>
      <c r="S1175" s="77"/>
    </row>
    <row r="1176" ht="13.65" customHeight="1">
      <c r="A1176" s="84">
        <v>45992</v>
      </c>
      <c r="B1176" t="s" s="85">
        <v>55</v>
      </c>
      <c r="C1176" t="s" s="86">
        <v>832</v>
      </c>
      <c r="D1176" s="138">
        <v>61</v>
      </c>
      <c r="E1176" t="s" s="85">
        <v>766</v>
      </c>
      <c r="F1176" t="s" s="86">
        <v>377</v>
      </c>
      <c r="G1176" s="139">
        <v>12</v>
      </c>
      <c r="H1176" t="s" s="140">
        <v>113</v>
      </c>
      <c r="I1176" t="s" s="141">
        <v>113</v>
      </c>
      <c r="J1176" t="s" s="141">
        <v>97</v>
      </c>
      <c r="K1176" t="str" s="142" cm="1">
        <f t="array" ref="K1176">IF(OR(H1176="ריביות",AND(H1176="דירה כצנלסון",G1176&lt;0,ISNUMBER(SEARCH("הכנסה",F1176)))),"הכנסה שסווגה מחדש",J1176)</f>
        <v>שוטף</v>
      </c>
      <c r="L1176" t="s" s="141">
        <v>741</v>
      </c>
      <c r="M1176" s="143" cm="1">
        <f t="array" ref="M1176">IF(L1176="מאושר",IF(K1176="הכנסה שסווגה מחדש",0,G1176),0)</f>
        <v>12</v>
      </c>
      <c r="N1176" s="143" cm="1">
        <f t="array" ref="N1176">IF(K1176="שוטף",M1176,0)</f>
        <v>12</v>
      </c>
      <c r="O1176" s="143" cm="1">
        <f t="array" ref="O1176">IF(K1176="הכנסה שסווגה מחדש",-G1176,0)</f>
        <v>0</v>
      </c>
      <c r="P1176" t="s" s="86">
        <v>762</v>
      </c>
      <c r="Q1176" s="99"/>
      <c r="R1176" t="s" s="144">
        <v>743</v>
      </c>
      <c r="S1176" s="77"/>
    </row>
    <row r="1177" ht="13.65" customHeight="1">
      <c r="A1177" s="78">
        <v>45992</v>
      </c>
      <c r="B1177" t="s" s="79">
        <v>55</v>
      </c>
      <c r="C1177" t="s" s="80">
        <v>832</v>
      </c>
      <c r="D1177" s="131">
        <v>62</v>
      </c>
      <c r="E1177" t="s" s="79">
        <v>764</v>
      </c>
      <c r="F1177" t="s" s="80">
        <v>214</v>
      </c>
      <c r="G1177" s="132">
        <v>900</v>
      </c>
      <c r="H1177" t="s" s="133">
        <v>767</v>
      </c>
      <c r="I1177" t="s" s="134">
        <v>107</v>
      </c>
      <c r="J1177" t="s" s="134">
        <v>97</v>
      </c>
      <c r="K1177" t="str" s="135" cm="1">
        <f t="array" ref="K1177">IF(OR(H1177="ריביות",AND(H1177="דירה כצנלסון",G1177&lt;0,ISNUMBER(SEARCH("הכנסה",F1177)))),"הכנסה שסווגה מחדש",J1177)</f>
        <v>שוטף</v>
      </c>
      <c r="L1177" t="s" s="134">
        <v>741</v>
      </c>
      <c r="M1177" s="136" cm="1">
        <f t="array" ref="M1177">IF(L1177="מאושר",IF(K1177="הכנסה שסווגה מחדש",0,G1177),0)</f>
        <v>900</v>
      </c>
      <c r="N1177" s="136" cm="1">
        <f t="array" ref="N1177">IF(K1177="שוטף",M1177,0)</f>
        <v>900</v>
      </c>
      <c r="O1177" s="136" cm="1">
        <f t="array" ref="O1177">IF(K1177="הכנסה שסווגה מחדש",-G1177,0)</f>
        <v>0</v>
      </c>
      <c r="P1177" t="s" s="80">
        <v>762</v>
      </c>
      <c r="Q1177" s="100"/>
      <c r="R1177" t="s" s="137">
        <v>743</v>
      </c>
      <c r="S1177" s="77"/>
    </row>
    <row r="1178" ht="13.65" customHeight="1">
      <c r="A1178" s="84">
        <v>45992</v>
      </c>
      <c r="B1178" t="s" s="85">
        <v>55</v>
      </c>
      <c r="C1178" t="s" s="86">
        <v>832</v>
      </c>
      <c r="D1178" s="138">
        <v>63</v>
      </c>
      <c r="E1178" t="s" s="85">
        <v>777</v>
      </c>
      <c r="F1178" t="s" s="86">
        <v>231</v>
      </c>
      <c r="G1178" s="139">
        <v>70</v>
      </c>
      <c r="H1178" t="s" s="140">
        <v>113</v>
      </c>
      <c r="I1178" t="s" s="141">
        <v>113</v>
      </c>
      <c r="J1178" t="s" s="141">
        <v>97</v>
      </c>
      <c r="K1178" t="str" s="142" cm="1">
        <f t="array" ref="K1178">IF(OR(H1178="ריביות",AND(H1178="דירה כצנלסון",G1178&lt;0,ISNUMBER(SEARCH("הכנסה",F1178)))),"הכנסה שסווגה מחדש",J1178)</f>
        <v>שוטף</v>
      </c>
      <c r="L1178" t="s" s="141">
        <v>741</v>
      </c>
      <c r="M1178" s="143" cm="1">
        <f t="array" ref="M1178">IF(L1178="מאושר",IF(K1178="הכנסה שסווגה מחדש",0,G1178),0)</f>
        <v>70</v>
      </c>
      <c r="N1178" s="143" cm="1">
        <f t="array" ref="N1178">IF(K1178="שוטף",M1178,0)</f>
        <v>70</v>
      </c>
      <c r="O1178" s="143" cm="1">
        <f t="array" ref="O1178">IF(K1178="הכנסה שסווגה מחדש",-G1178,0)</f>
        <v>0</v>
      </c>
      <c r="P1178" t="s" s="86">
        <v>762</v>
      </c>
      <c r="Q1178" s="99"/>
      <c r="R1178" t="s" s="144">
        <v>743</v>
      </c>
      <c r="S1178" s="77"/>
    </row>
    <row r="1179" ht="13.65" customHeight="1">
      <c r="A1179" s="78">
        <v>45992</v>
      </c>
      <c r="B1179" t="s" s="79">
        <v>55</v>
      </c>
      <c r="C1179" t="s" s="80">
        <v>832</v>
      </c>
      <c r="D1179" s="131">
        <v>64</v>
      </c>
      <c r="E1179" t="s" s="79">
        <v>777</v>
      </c>
      <c r="F1179" t="s" s="80">
        <v>595</v>
      </c>
      <c r="G1179" s="132">
        <v>20</v>
      </c>
      <c r="H1179" t="s" s="133">
        <v>125</v>
      </c>
      <c r="I1179" t="s" s="134">
        <v>125</v>
      </c>
      <c r="J1179" t="s" s="134">
        <v>97</v>
      </c>
      <c r="K1179" t="str" s="135" cm="1">
        <f t="array" ref="K1179">IF(OR(H1179="ריביות",AND(H1179="דירה כצנלסון",G1179&lt;0,ISNUMBER(SEARCH("הכנסה",F1179)))),"הכנסה שסווגה מחדש",J1179)</f>
        <v>שוטף</v>
      </c>
      <c r="L1179" t="s" s="134">
        <v>741</v>
      </c>
      <c r="M1179" s="136" cm="1">
        <f t="array" ref="M1179">IF(L1179="מאושר",IF(K1179="הכנסה שסווגה מחדש",0,G1179),0)</f>
        <v>20</v>
      </c>
      <c r="N1179" s="136" cm="1">
        <f t="array" ref="N1179">IF(K1179="שוטף",M1179,0)</f>
        <v>20</v>
      </c>
      <c r="O1179" s="136" cm="1">
        <f t="array" ref="O1179">IF(K1179="הכנסה שסווגה מחדש",-G1179,0)</f>
        <v>0</v>
      </c>
      <c r="P1179" t="s" s="80">
        <v>762</v>
      </c>
      <c r="Q1179" s="100"/>
      <c r="R1179" t="s" s="137">
        <v>743</v>
      </c>
      <c r="S1179" s="77"/>
    </row>
    <row r="1180" ht="13.65" customHeight="1">
      <c r="A1180" s="84">
        <v>45992</v>
      </c>
      <c r="B1180" t="s" s="85">
        <v>55</v>
      </c>
      <c r="C1180" t="s" s="86">
        <v>832</v>
      </c>
      <c r="D1180" s="138">
        <v>65</v>
      </c>
      <c r="E1180" t="s" s="85">
        <v>777</v>
      </c>
      <c r="F1180" t="s" s="86">
        <v>377</v>
      </c>
      <c r="G1180" s="139">
        <v>7</v>
      </c>
      <c r="H1180" t="s" s="140">
        <v>113</v>
      </c>
      <c r="I1180" t="s" s="141">
        <v>113</v>
      </c>
      <c r="J1180" t="s" s="141">
        <v>97</v>
      </c>
      <c r="K1180" t="str" s="142" cm="1">
        <f t="array" ref="K1180">IF(OR(H1180="ריביות",AND(H1180="דירה כצנלסון",G1180&lt;0,ISNUMBER(SEARCH("הכנסה",F1180)))),"הכנסה שסווגה מחדש",J1180)</f>
        <v>שוטף</v>
      </c>
      <c r="L1180" t="s" s="141">
        <v>741</v>
      </c>
      <c r="M1180" s="143" cm="1">
        <f t="array" ref="M1180">IF(L1180="מאושר",IF(K1180="הכנסה שסווגה מחדש",0,G1180),0)</f>
        <v>7</v>
      </c>
      <c r="N1180" s="143" cm="1">
        <f t="array" ref="N1180">IF(K1180="שוטף",M1180,0)</f>
        <v>7</v>
      </c>
      <c r="O1180" s="143" cm="1">
        <f t="array" ref="O1180">IF(K1180="הכנסה שסווגה מחדש",-G1180,0)</f>
        <v>0</v>
      </c>
      <c r="P1180" t="s" s="86">
        <v>762</v>
      </c>
      <c r="Q1180" s="99"/>
      <c r="R1180" t="s" s="144">
        <v>743</v>
      </c>
      <c r="S1180" s="77"/>
    </row>
    <row r="1181" ht="13.65" customHeight="1">
      <c r="A1181" s="78">
        <v>45992</v>
      </c>
      <c r="B1181" t="s" s="79">
        <v>55</v>
      </c>
      <c r="C1181" t="s" s="80">
        <v>832</v>
      </c>
      <c r="D1181" s="131">
        <v>66</v>
      </c>
      <c r="E1181" s="100"/>
      <c r="F1181" t="s" s="80">
        <v>307</v>
      </c>
      <c r="G1181" s="132">
        <v>33</v>
      </c>
      <c r="H1181" t="s" s="133">
        <v>115</v>
      </c>
      <c r="I1181" t="s" s="134">
        <v>115</v>
      </c>
      <c r="J1181" t="s" s="134">
        <v>97</v>
      </c>
      <c r="K1181" t="str" s="135" cm="1">
        <f t="array" ref="K1181">IF(OR(H1181="ריביות",AND(H1181="דירה כצנלסון",G1181&lt;0,ISNUMBER(SEARCH("הכנסה",F1181)))),"הכנסה שסווגה מחדש",J1181)</f>
        <v>שוטף</v>
      </c>
      <c r="L1181" t="s" s="134">
        <v>741</v>
      </c>
      <c r="M1181" s="136" cm="1">
        <f t="array" ref="M1181">IF(L1181="מאושר",IF(K1181="הכנסה שסווגה מחדש",0,G1181),0)</f>
        <v>33</v>
      </c>
      <c r="N1181" s="136" cm="1">
        <f t="array" ref="N1181">IF(K1181="שוטף",M1181,0)</f>
        <v>33</v>
      </c>
      <c r="O1181" s="136" cm="1">
        <f t="array" ref="O1181">IF(K1181="הכנסה שסווגה מחדש",-G1181,0)</f>
        <v>0</v>
      </c>
      <c r="P1181" t="s" s="80">
        <v>782</v>
      </c>
      <c r="Q1181" s="100"/>
      <c r="R1181" t="s" s="137">
        <v>743</v>
      </c>
      <c r="S1181" s="77"/>
    </row>
    <row r="1182" ht="13.65" customHeight="1">
      <c r="A1182" s="84">
        <v>45992</v>
      </c>
      <c r="B1182" t="s" s="85">
        <v>55</v>
      </c>
      <c r="C1182" t="s" s="86">
        <v>832</v>
      </c>
      <c r="D1182" s="138">
        <v>67</v>
      </c>
      <c r="E1182" t="s" s="85">
        <v>30</v>
      </c>
      <c r="F1182" t="s" s="86">
        <v>361</v>
      </c>
      <c r="G1182" s="139">
        <v>440</v>
      </c>
      <c r="H1182" t="s" s="140">
        <v>121</v>
      </c>
      <c r="I1182" t="s" s="141">
        <v>121</v>
      </c>
      <c r="J1182" t="s" s="141">
        <v>97</v>
      </c>
      <c r="K1182" t="str" s="142" cm="1">
        <f t="array" ref="K1182">IF(OR(H1182="ריביות",AND(H1182="דירה כצנלסון",G1182&lt;0,ISNUMBER(SEARCH("הכנסה",F1182)))),"הכנסה שסווגה מחדש",J1182)</f>
        <v>שוטף</v>
      </c>
      <c r="L1182" t="s" s="141">
        <v>741</v>
      </c>
      <c r="M1182" s="143" cm="1">
        <f t="array" ref="M1182">IF(L1182="מאושר",IF(K1182="הכנסה שסווגה מחדש",0,G1182),0)</f>
        <v>440</v>
      </c>
      <c r="N1182" s="143" cm="1">
        <f t="array" ref="N1182">IF(K1182="שוטף",M1182,0)</f>
        <v>440</v>
      </c>
      <c r="O1182" s="143" cm="1">
        <f t="array" ref="O1182">IF(K1182="הכנסה שסווגה מחדש",-G1182,0)</f>
        <v>0</v>
      </c>
      <c r="P1182" t="s" s="86">
        <v>783</v>
      </c>
      <c r="Q1182" s="99"/>
      <c r="R1182" t="s" s="144">
        <v>743</v>
      </c>
      <c r="S1182" s="77"/>
    </row>
    <row r="1183" ht="13.65" customHeight="1">
      <c r="A1183" s="78">
        <v>45992</v>
      </c>
      <c r="B1183" t="s" s="79">
        <v>55</v>
      </c>
      <c r="C1183" t="s" s="80">
        <v>832</v>
      </c>
      <c r="D1183" s="131">
        <v>68</v>
      </c>
      <c r="E1183" t="s" s="79">
        <v>769</v>
      </c>
      <c r="F1183" t="s" s="80">
        <v>363</v>
      </c>
      <c r="G1183" s="132">
        <v>434</v>
      </c>
      <c r="H1183" t="s" s="133">
        <v>117</v>
      </c>
      <c r="I1183" t="s" s="134">
        <v>117</v>
      </c>
      <c r="J1183" t="s" s="134">
        <v>97</v>
      </c>
      <c r="K1183" t="str" s="135" cm="1">
        <f t="array" ref="K1183">IF(OR(H1183="ריביות",AND(H1183="דירה כצנלסון",G1183&lt;0,ISNUMBER(SEARCH("הכנסה",F1183)))),"הכנסה שסווגה מחדש",J1183)</f>
        <v>שוטף</v>
      </c>
      <c r="L1183" t="s" s="134">
        <v>741</v>
      </c>
      <c r="M1183" s="136" cm="1">
        <f t="array" ref="M1183">IF(L1183="מאושר",IF(K1183="הכנסה שסווגה מחדש",0,G1183),0)</f>
        <v>434</v>
      </c>
      <c r="N1183" s="136" cm="1">
        <f t="array" ref="N1183">IF(K1183="שוטף",M1183,0)</f>
        <v>434</v>
      </c>
      <c r="O1183" s="136" cm="1">
        <f t="array" ref="O1183">IF(K1183="הכנסה שסווגה מחדש",-G1183,0)</f>
        <v>0</v>
      </c>
      <c r="P1183" t="s" s="80">
        <v>783</v>
      </c>
      <c r="Q1183" s="100"/>
      <c r="R1183" t="s" s="137">
        <v>743</v>
      </c>
      <c r="S1183" s="77"/>
    </row>
    <row r="1184" ht="13.65" customHeight="1">
      <c r="A1184" s="84">
        <v>45992</v>
      </c>
      <c r="B1184" t="s" s="85">
        <v>55</v>
      </c>
      <c r="C1184" t="s" s="86">
        <v>832</v>
      </c>
      <c r="D1184" s="138">
        <v>69</v>
      </c>
      <c r="E1184" t="s" s="85">
        <v>772</v>
      </c>
      <c r="F1184" t="s" s="86">
        <v>308</v>
      </c>
      <c r="G1184" s="139">
        <v>43</v>
      </c>
      <c r="H1184" t="s" s="140">
        <v>113</v>
      </c>
      <c r="I1184" t="s" s="141">
        <v>113</v>
      </c>
      <c r="J1184" t="s" s="141">
        <v>97</v>
      </c>
      <c r="K1184" t="str" s="142" cm="1">
        <f t="array" ref="K1184">IF(OR(H1184="ריביות",AND(H1184="דירה כצנלסון",G1184&lt;0,ISNUMBER(SEARCH("הכנסה",F1184)))),"הכנסה שסווגה מחדש",J1184)</f>
        <v>שוטף</v>
      </c>
      <c r="L1184" t="s" s="141">
        <v>741</v>
      </c>
      <c r="M1184" s="143" cm="1">
        <f t="array" ref="M1184">IF(L1184="מאושר",IF(K1184="הכנסה שסווגה מחדש",0,G1184),0)</f>
        <v>43</v>
      </c>
      <c r="N1184" s="143" cm="1">
        <f t="array" ref="N1184">IF(K1184="שוטף",M1184,0)</f>
        <v>43</v>
      </c>
      <c r="O1184" s="143" cm="1">
        <f t="array" ref="O1184">IF(K1184="הכנסה שסווגה מחדש",-G1184,0)</f>
        <v>0</v>
      </c>
      <c r="P1184" t="s" s="86">
        <v>783</v>
      </c>
      <c r="Q1184" s="99"/>
      <c r="R1184" t="s" s="144">
        <v>743</v>
      </c>
      <c r="S1184" s="77"/>
    </row>
    <row r="1185" ht="13.65" customHeight="1">
      <c r="A1185" s="78">
        <v>45992</v>
      </c>
      <c r="B1185" t="s" s="79">
        <v>55</v>
      </c>
      <c r="C1185" t="s" s="80">
        <v>832</v>
      </c>
      <c r="D1185" s="131">
        <v>70</v>
      </c>
      <c r="E1185" t="s" s="79">
        <v>744</v>
      </c>
      <c r="F1185" t="s" s="80">
        <v>250</v>
      </c>
      <c r="G1185" s="132">
        <v>120</v>
      </c>
      <c r="H1185" t="s" s="133">
        <v>127</v>
      </c>
      <c r="I1185" t="s" s="134">
        <v>127</v>
      </c>
      <c r="J1185" t="s" s="134">
        <v>97</v>
      </c>
      <c r="K1185" t="str" s="135" cm="1">
        <f t="array" ref="K1185">IF(OR(H1185="ריביות",AND(H1185="דירה כצנלסון",G1185&lt;0,ISNUMBER(SEARCH("הכנסה",F1185)))),"הכנסה שסווגה מחדש",J1185)</f>
        <v>שוטף</v>
      </c>
      <c r="L1185" t="s" s="134">
        <v>741</v>
      </c>
      <c r="M1185" s="136" cm="1">
        <f t="array" ref="M1185">IF(L1185="מאושר",IF(K1185="הכנסה שסווגה מחדש",0,G1185),0)</f>
        <v>120</v>
      </c>
      <c r="N1185" s="136" cm="1">
        <f t="array" ref="N1185">IF(K1185="שוטף",M1185,0)</f>
        <v>120</v>
      </c>
      <c r="O1185" s="136" cm="1">
        <f t="array" ref="O1185">IF(K1185="הכנסה שסווגה מחדש",-G1185,0)</f>
        <v>0</v>
      </c>
      <c r="P1185" t="s" s="80">
        <v>783</v>
      </c>
      <c r="Q1185" s="100"/>
      <c r="R1185" t="s" s="137">
        <v>743</v>
      </c>
      <c r="S1185" s="77"/>
    </row>
    <row r="1186" ht="13.65" customHeight="1">
      <c r="A1186" s="84">
        <v>45992</v>
      </c>
      <c r="B1186" t="s" s="85">
        <v>55</v>
      </c>
      <c r="C1186" t="s" s="86">
        <v>832</v>
      </c>
      <c r="D1186" s="138">
        <v>71</v>
      </c>
      <c r="E1186" t="s" s="85">
        <v>755</v>
      </c>
      <c r="F1186" t="s" s="86">
        <v>236</v>
      </c>
      <c r="G1186" s="139">
        <v>2999</v>
      </c>
      <c r="H1186" t="s" s="140">
        <v>121</v>
      </c>
      <c r="I1186" t="s" s="141">
        <v>121</v>
      </c>
      <c r="J1186" t="s" s="141">
        <v>97</v>
      </c>
      <c r="K1186" t="str" s="142" cm="1">
        <f t="array" ref="K1186">IF(OR(H1186="ריביות",AND(H1186="דירה כצנלסון",G1186&lt;0,ISNUMBER(SEARCH("הכנסה",F1186)))),"הכנסה שסווגה מחדש",J1186)</f>
        <v>שוטף</v>
      </c>
      <c r="L1186" t="s" s="141">
        <v>741</v>
      </c>
      <c r="M1186" s="143" cm="1">
        <f t="array" ref="M1186">IF(L1186="מאושר",IF(K1186="הכנסה שסווגה מחדש",0,G1186),0)</f>
        <v>2999</v>
      </c>
      <c r="N1186" s="143" cm="1">
        <f t="array" ref="N1186">IF(K1186="שוטף",M1186,0)</f>
        <v>2999</v>
      </c>
      <c r="O1186" s="143" cm="1">
        <f t="array" ref="O1186">IF(K1186="הכנסה שסווגה מחדש",-G1186,0)</f>
        <v>0</v>
      </c>
      <c r="P1186" t="s" s="86">
        <v>783</v>
      </c>
      <c r="Q1186" s="99"/>
      <c r="R1186" t="s" s="144">
        <v>743</v>
      </c>
      <c r="S1186" s="77"/>
    </row>
    <row r="1187" ht="13.65" customHeight="1">
      <c r="A1187" s="78">
        <v>45992</v>
      </c>
      <c r="B1187" t="s" s="79">
        <v>55</v>
      </c>
      <c r="C1187" t="s" s="80">
        <v>832</v>
      </c>
      <c r="D1187" s="131">
        <v>72</v>
      </c>
      <c r="E1187" t="s" s="79">
        <v>30</v>
      </c>
      <c r="F1187" t="s" s="80">
        <v>200</v>
      </c>
      <c r="G1187" s="132">
        <v>511</v>
      </c>
      <c r="H1187" t="s" s="133">
        <v>109</v>
      </c>
      <c r="I1187" t="s" s="134">
        <v>109</v>
      </c>
      <c r="J1187" t="s" s="134">
        <v>97</v>
      </c>
      <c r="K1187" t="str" s="135" cm="1">
        <f t="array" ref="K1187">IF(OR(H1187="ריביות",AND(H1187="דירה כצנלסון",G1187&lt;0,ISNUMBER(SEARCH("הכנסה",F1187)))),"הכנסה שסווגה מחדש",J1187)</f>
        <v>שוטף</v>
      </c>
      <c r="L1187" t="s" s="134">
        <v>741</v>
      </c>
      <c r="M1187" s="136" cm="1">
        <f t="array" ref="M1187">IF(L1187="מאושר",IF(K1187="הכנסה שסווגה מחדש",0,G1187),0)</f>
        <v>511</v>
      </c>
      <c r="N1187" s="136" cm="1">
        <f t="array" ref="N1187">IF(K1187="שוטף",M1187,0)</f>
        <v>511</v>
      </c>
      <c r="O1187" s="136" cm="1">
        <f t="array" ref="O1187">IF(K1187="הכנסה שסווגה מחדש",-G1187,0)</f>
        <v>0</v>
      </c>
      <c r="P1187" t="s" s="80">
        <v>770</v>
      </c>
      <c r="Q1187" t="s" s="80">
        <v>812</v>
      </c>
      <c r="R1187" t="s" s="137">
        <v>743</v>
      </c>
      <c r="S1187" s="77"/>
    </row>
    <row r="1188" ht="13.65" customHeight="1">
      <c r="A1188" s="84">
        <v>45992</v>
      </c>
      <c r="B1188" t="s" s="85">
        <v>55</v>
      </c>
      <c r="C1188" t="s" s="86">
        <v>832</v>
      </c>
      <c r="D1188" s="138">
        <v>73</v>
      </c>
      <c r="E1188" t="s" s="85">
        <v>836</v>
      </c>
      <c r="F1188" t="s" s="86">
        <v>456</v>
      </c>
      <c r="G1188" s="139">
        <v>40</v>
      </c>
      <c r="H1188" t="s" s="140">
        <v>117</v>
      </c>
      <c r="I1188" t="s" s="141">
        <v>117</v>
      </c>
      <c r="J1188" t="s" s="141">
        <v>97</v>
      </c>
      <c r="K1188" t="str" s="142" cm="1">
        <f t="array" ref="K1188">IF(OR(H1188="ריביות",AND(H1188="דירה כצנלסון",G1188&lt;0,ISNUMBER(SEARCH("הכנסה",F1188)))),"הכנסה שסווגה מחדש",J1188)</f>
        <v>שוטף</v>
      </c>
      <c r="L1188" t="s" s="141">
        <v>741</v>
      </c>
      <c r="M1188" s="143" cm="1">
        <f t="array" ref="M1188">IF(L1188="מאושר",IF(K1188="הכנסה שסווגה מחדש",0,G1188),0)</f>
        <v>40</v>
      </c>
      <c r="N1188" s="143" cm="1">
        <f t="array" ref="N1188">IF(K1188="שוטף",M1188,0)</f>
        <v>40</v>
      </c>
      <c r="O1188" s="143" cm="1">
        <f t="array" ref="O1188">IF(K1188="הכנסה שסווגה מחדש",-G1188,0)</f>
        <v>0</v>
      </c>
      <c r="P1188" t="s" s="86">
        <v>770</v>
      </c>
      <c r="Q1188" s="99"/>
      <c r="R1188" t="s" s="144">
        <v>743</v>
      </c>
      <c r="S1188" s="77"/>
    </row>
    <row r="1189" ht="13.65" customHeight="1">
      <c r="A1189" s="78">
        <v>45992</v>
      </c>
      <c r="B1189" t="s" s="79">
        <v>55</v>
      </c>
      <c r="C1189" t="s" s="80">
        <v>832</v>
      </c>
      <c r="D1189" s="131">
        <v>74</v>
      </c>
      <c r="E1189" t="s" s="79">
        <v>30</v>
      </c>
      <c r="F1189" t="s" s="80">
        <v>308</v>
      </c>
      <c r="G1189" s="132">
        <v>24</v>
      </c>
      <c r="H1189" t="s" s="133">
        <v>113</v>
      </c>
      <c r="I1189" t="s" s="134">
        <v>113</v>
      </c>
      <c r="J1189" t="s" s="134">
        <v>97</v>
      </c>
      <c r="K1189" t="str" s="135" cm="1">
        <f t="array" ref="K1189">IF(OR(H1189="ריביות",AND(H1189="דירה כצנלסון",G1189&lt;0,ISNUMBER(SEARCH("הכנסה",F1189)))),"הכנסה שסווגה מחדש",J1189)</f>
        <v>שוטף</v>
      </c>
      <c r="L1189" t="s" s="134">
        <v>741</v>
      </c>
      <c r="M1189" s="136" cm="1">
        <f t="array" ref="M1189">IF(L1189="מאושר",IF(K1189="הכנסה שסווגה מחדש",0,G1189),0)</f>
        <v>24</v>
      </c>
      <c r="N1189" s="136" cm="1">
        <f t="array" ref="N1189">IF(K1189="שוטף",M1189,0)</f>
        <v>24</v>
      </c>
      <c r="O1189" s="136" cm="1">
        <f t="array" ref="O1189">IF(K1189="הכנסה שסווגה מחדש",-G1189,0)</f>
        <v>0</v>
      </c>
      <c r="P1189" t="s" s="80">
        <v>770</v>
      </c>
      <c r="Q1189" s="100"/>
      <c r="R1189" t="s" s="137">
        <v>743</v>
      </c>
      <c r="S1189" s="77"/>
    </row>
    <row r="1190" ht="13.65" customHeight="1">
      <c r="A1190" s="84">
        <v>45992</v>
      </c>
      <c r="B1190" t="s" s="85">
        <v>55</v>
      </c>
      <c r="C1190" t="s" s="86">
        <v>832</v>
      </c>
      <c r="D1190" s="138">
        <v>75</v>
      </c>
      <c r="E1190" t="s" s="85">
        <v>38</v>
      </c>
      <c r="F1190" t="s" s="86">
        <v>405</v>
      </c>
      <c r="G1190" s="139">
        <v>35</v>
      </c>
      <c r="H1190" t="s" s="140">
        <v>121</v>
      </c>
      <c r="I1190" t="s" s="141">
        <v>121</v>
      </c>
      <c r="J1190" t="s" s="141">
        <v>97</v>
      </c>
      <c r="K1190" t="str" s="142" cm="1">
        <f t="array" ref="K1190">IF(OR(H1190="ריביות",AND(H1190="דירה כצנלסון",G1190&lt;0,ISNUMBER(SEARCH("הכנסה",F1190)))),"הכנסה שסווגה מחדש",J1190)</f>
        <v>שוטף</v>
      </c>
      <c r="L1190" t="s" s="141">
        <v>741</v>
      </c>
      <c r="M1190" s="143" cm="1">
        <f t="array" ref="M1190">IF(L1190="מאושר",IF(K1190="הכנסה שסווגה מחדש",0,G1190),0)</f>
        <v>35</v>
      </c>
      <c r="N1190" s="143" cm="1">
        <f t="array" ref="N1190">IF(K1190="שוטף",M1190,0)</f>
        <v>35</v>
      </c>
      <c r="O1190" s="143" cm="1">
        <f t="array" ref="O1190">IF(K1190="הכנסה שסווגה מחדש",-G1190,0)</f>
        <v>0</v>
      </c>
      <c r="P1190" t="s" s="86">
        <v>770</v>
      </c>
      <c r="Q1190" s="99"/>
      <c r="R1190" t="s" s="144">
        <v>743</v>
      </c>
      <c r="S1190" s="77"/>
    </row>
    <row r="1191" ht="13.65" customHeight="1">
      <c r="A1191" s="78">
        <v>45992</v>
      </c>
      <c r="B1191" t="s" s="79">
        <v>55</v>
      </c>
      <c r="C1191" t="s" s="80">
        <v>832</v>
      </c>
      <c r="D1191" s="131">
        <v>76</v>
      </c>
      <c r="E1191" t="s" s="79">
        <v>38</v>
      </c>
      <c r="F1191" t="s" s="80">
        <v>581</v>
      </c>
      <c r="G1191" s="132">
        <v>65</v>
      </c>
      <c r="H1191" t="s" s="133">
        <v>129</v>
      </c>
      <c r="I1191" t="s" s="134">
        <v>129</v>
      </c>
      <c r="J1191" t="s" s="134">
        <v>97</v>
      </c>
      <c r="K1191" t="str" s="135" cm="1">
        <f t="array" ref="K1191">IF(OR(H1191="ריביות",AND(H1191="דירה כצנלסון",G1191&lt;0,ISNUMBER(SEARCH("הכנסה",F1191)))),"הכנסה שסווגה מחדש",J1191)</f>
        <v>שוטף</v>
      </c>
      <c r="L1191" t="s" s="134">
        <v>741</v>
      </c>
      <c r="M1191" s="136" cm="1">
        <f t="array" ref="M1191">IF(L1191="מאושר",IF(K1191="הכנסה שסווגה מחדש",0,G1191),0)</f>
        <v>65</v>
      </c>
      <c r="N1191" s="136" cm="1">
        <f t="array" ref="N1191">IF(K1191="שוטף",M1191,0)</f>
        <v>65</v>
      </c>
      <c r="O1191" s="136" cm="1">
        <f t="array" ref="O1191">IF(K1191="הכנסה שסווגה מחדש",-G1191,0)</f>
        <v>0</v>
      </c>
      <c r="P1191" t="s" s="80">
        <v>770</v>
      </c>
      <c r="Q1191" s="100"/>
      <c r="R1191" t="s" s="137">
        <v>743</v>
      </c>
      <c r="S1191" s="77"/>
    </row>
    <row r="1192" ht="13.65" customHeight="1">
      <c r="A1192" s="84">
        <v>45992</v>
      </c>
      <c r="B1192" t="s" s="85">
        <v>55</v>
      </c>
      <c r="C1192" t="s" s="86">
        <v>832</v>
      </c>
      <c r="D1192" s="138">
        <v>77</v>
      </c>
      <c r="E1192" t="s" s="85">
        <v>749</v>
      </c>
      <c r="F1192" t="s" s="86">
        <v>658</v>
      </c>
      <c r="G1192" s="139">
        <v>25</v>
      </c>
      <c r="H1192" t="s" s="140">
        <v>111</v>
      </c>
      <c r="I1192" t="s" s="141">
        <v>111</v>
      </c>
      <c r="J1192" t="s" s="141">
        <v>97</v>
      </c>
      <c r="K1192" t="str" s="142" cm="1">
        <f t="array" ref="K1192">IF(OR(H1192="ריביות",AND(H1192="דירה כצנלסון",G1192&lt;0,ISNUMBER(SEARCH("הכנסה",F1192)))),"הכנסה שסווגה מחדש",J1192)</f>
        <v>שוטף</v>
      </c>
      <c r="L1192" t="s" s="141">
        <v>741</v>
      </c>
      <c r="M1192" s="143" cm="1">
        <f t="array" ref="M1192">IF(L1192="מאושר",IF(K1192="הכנסה שסווגה מחדש",0,G1192),0)</f>
        <v>25</v>
      </c>
      <c r="N1192" s="143" cm="1">
        <f t="array" ref="N1192">IF(K1192="שוטף",M1192,0)</f>
        <v>25</v>
      </c>
      <c r="O1192" s="143" cm="1">
        <f t="array" ref="O1192">IF(K1192="הכנסה שסווגה מחדש",-G1192,0)</f>
        <v>0</v>
      </c>
      <c r="P1192" t="s" s="86">
        <v>770</v>
      </c>
      <c r="Q1192" s="99"/>
      <c r="R1192" t="s" s="144">
        <v>743</v>
      </c>
      <c r="S1192" s="77"/>
    </row>
    <row r="1193" ht="13.65" customHeight="1">
      <c r="A1193" s="78">
        <v>45992</v>
      </c>
      <c r="B1193" t="s" s="79">
        <v>55</v>
      </c>
      <c r="C1193" t="s" s="80">
        <v>832</v>
      </c>
      <c r="D1193" s="131">
        <v>78</v>
      </c>
      <c r="E1193" t="s" s="79">
        <v>788</v>
      </c>
      <c r="F1193" t="s" s="80">
        <v>336</v>
      </c>
      <c r="G1193" s="132">
        <v>72</v>
      </c>
      <c r="H1193" t="s" s="133">
        <v>767</v>
      </c>
      <c r="I1193" t="s" s="134">
        <v>107</v>
      </c>
      <c r="J1193" t="s" s="134">
        <v>97</v>
      </c>
      <c r="K1193" t="str" s="135" cm="1">
        <f t="array" ref="K1193">IF(OR(H1193="ריביות",AND(H1193="דירה כצנלסון",G1193&lt;0,ISNUMBER(SEARCH("הכנסה",F1193)))),"הכנסה שסווגה מחדש",J1193)</f>
        <v>שוטף</v>
      </c>
      <c r="L1193" t="s" s="134">
        <v>741</v>
      </c>
      <c r="M1193" s="136" cm="1">
        <f t="array" ref="M1193">IF(L1193="מאושר",IF(K1193="הכנסה שסווגה מחדש",0,G1193),0)</f>
        <v>72</v>
      </c>
      <c r="N1193" s="136" cm="1">
        <f t="array" ref="N1193">IF(K1193="שוטף",M1193,0)</f>
        <v>72</v>
      </c>
      <c r="O1193" s="136" cm="1">
        <f t="array" ref="O1193">IF(K1193="הכנסה שסווגה מחדש",-G1193,0)</f>
        <v>0</v>
      </c>
      <c r="P1193" t="s" s="80">
        <v>770</v>
      </c>
      <c r="Q1193" s="100"/>
      <c r="R1193" t="s" s="137">
        <v>743</v>
      </c>
      <c r="S1193" s="77"/>
    </row>
    <row r="1194" ht="13.65" customHeight="1">
      <c r="A1194" s="84">
        <v>45992</v>
      </c>
      <c r="B1194" t="s" s="85">
        <v>55</v>
      </c>
      <c r="C1194" t="s" s="86">
        <v>832</v>
      </c>
      <c r="D1194" s="138">
        <v>79</v>
      </c>
      <c r="E1194" t="s" s="85">
        <v>751</v>
      </c>
      <c r="F1194" t="s" s="86">
        <v>433</v>
      </c>
      <c r="G1194" s="139">
        <v>160</v>
      </c>
      <c r="H1194" t="s" s="140">
        <v>109</v>
      </c>
      <c r="I1194" t="s" s="141">
        <v>109</v>
      </c>
      <c r="J1194" t="s" s="141">
        <v>97</v>
      </c>
      <c r="K1194" t="str" s="142" cm="1">
        <f t="array" ref="K1194">IF(OR(H1194="ריביות",AND(H1194="דירה כצנלסון",G1194&lt;0,ISNUMBER(SEARCH("הכנסה",F1194)))),"הכנסה שסווגה מחדש",J1194)</f>
        <v>שוטף</v>
      </c>
      <c r="L1194" t="s" s="141">
        <v>741</v>
      </c>
      <c r="M1194" s="143" cm="1">
        <f t="array" ref="M1194">IF(L1194="מאושר",IF(K1194="הכנסה שסווגה מחדש",0,G1194),0)</f>
        <v>160</v>
      </c>
      <c r="N1194" s="143" cm="1">
        <f t="array" ref="N1194">IF(K1194="שוטף",M1194,0)</f>
        <v>160</v>
      </c>
      <c r="O1194" s="143" cm="1">
        <f t="array" ref="O1194">IF(K1194="הכנסה שסווגה מחדש",-G1194,0)</f>
        <v>0</v>
      </c>
      <c r="P1194" t="s" s="86">
        <v>770</v>
      </c>
      <c r="Q1194" s="99"/>
      <c r="R1194" t="s" s="144">
        <v>743</v>
      </c>
      <c r="S1194" s="77"/>
    </row>
    <row r="1195" ht="13.65" customHeight="1">
      <c r="A1195" s="78">
        <v>45992</v>
      </c>
      <c r="B1195" t="s" s="79">
        <v>55</v>
      </c>
      <c r="C1195" t="s" s="80">
        <v>832</v>
      </c>
      <c r="D1195" s="131">
        <v>80</v>
      </c>
      <c r="E1195" t="s" s="79">
        <v>751</v>
      </c>
      <c r="F1195" t="s" s="80">
        <v>200</v>
      </c>
      <c r="G1195" s="132">
        <v>16</v>
      </c>
      <c r="H1195" t="s" s="133">
        <v>109</v>
      </c>
      <c r="I1195" t="s" s="134">
        <v>109</v>
      </c>
      <c r="J1195" t="s" s="134">
        <v>97</v>
      </c>
      <c r="K1195" t="str" s="135" cm="1">
        <f t="array" ref="K1195">IF(OR(H1195="ריביות",AND(H1195="דירה כצנלסון",G1195&lt;0,ISNUMBER(SEARCH("הכנסה",F1195)))),"הכנסה שסווגה מחדש",J1195)</f>
        <v>שוטף</v>
      </c>
      <c r="L1195" t="s" s="134">
        <v>741</v>
      </c>
      <c r="M1195" s="136" cm="1">
        <f t="array" ref="M1195">IF(L1195="מאושר",IF(K1195="הכנסה שסווגה מחדש",0,G1195),0)</f>
        <v>16</v>
      </c>
      <c r="N1195" s="136" cm="1">
        <f t="array" ref="N1195">IF(K1195="שוטף",M1195,0)</f>
        <v>16</v>
      </c>
      <c r="O1195" s="136" cm="1">
        <f t="array" ref="O1195">IF(K1195="הכנסה שסווגה מחדש",-G1195,0)</f>
        <v>0</v>
      </c>
      <c r="P1195" t="s" s="80">
        <v>770</v>
      </c>
      <c r="Q1195" s="100"/>
      <c r="R1195" t="s" s="137">
        <v>743</v>
      </c>
      <c r="S1195" s="77"/>
    </row>
    <row r="1196" ht="13.65" customHeight="1">
      <c r="A1196" s="84">
        <v>45992</v>
      </c>
      <c r="B1196" t="s" s="85">
        <v>55</v>
      </c>
      <c r="C1196" t="s" s="86">
        <v>832</v>
      </c>
      <c r="D1196" s="138">
        <v>81</v>
      </c>
      <c r="E1196" t="s" s="85">
        <v>751</v>
      </c>
      <c r="F1196" t="s" s="86">
        <v>308</v>
      </c>
      <c r="G1196" s="139">
        <v>21</v>
      </c>
      <c r="H1196" t="s" s="140">
        <v>113</v>
      </c>
      <c r="I1196" t="s" s="141">
        <v>113</v>
      </c>
      <c r="J1196" t="s" s="141">
        <v>97</v>
      </c>
      <c r="K1196" t="str" s="142" cm="1">
        <f t="array" ref="K1196">IF(OR(H1196="ריביות",AND(H1196="דירה כצנלסון",G1196&lt;0,ISNUMBER(SEARCH("הכנסה",F1196)))),"הכנסה שסווגה מחדש",J1196)</f>
        <v>שוטף</v>
      </c>
      <c r="L1196" t="s" s="141">
        <v>741</v>
      </c>
      <c r="M1196" s="143" cm="1">
        <f t="array" ref="M1196">IF(L1196="מאושר",IF(K1196="הכנסה שסווגה מחדש",0,G1196),0)</f>
        <v>21</v>
      </c>
      <c r="N1196" s="143" cm="1">
        <f t="array" ref="N1196">IF(K1196="שוטף",M1196,0)</f>
        <v>21</v>
      </c>
      <c r="O1196" s="143" cm="1">
        <f t="array" ref="O1196">IF(K1196="הכנסה שסווגה מחדש",-G1196,0)</f>
        <v>0</v>
      </c>
      <c r="P1196" t="s" s="86">
        <v>770</v>
      </c>
      <c r="Q1196" s="99"/>
      <c r="R1196" t="s" s="144">
        <v>743</v>
      </c>
      <c r="S1196" s="77"/>
    </row>
    <row r="1197" ht="13.65" customHeight="1">
      <c r="A1197" s="78">
        <v>45992</v>
      </c>
      <c r="B1197" t="s" s="79">
        <v>55</v>
      </c>
      <c r="C1197" t="s" s="80">
        <v>832</v>
      </c>
      <c r="D1197" s="131">
        <v>82</v>
      </c>
      <c r="E1197" t="s" s="79">
        <v>753</v>
      </c>
      <c r="F1197" t="s" s="80">
        <v>377</v>
      </c>
      <c r="G1197" s="132">
        <v>12</v>
      </c>
      <c r="H1197" t="s" s="133">
        <v>113</v>
      </c>
      <c r="I1197" t="s" s="134">
        <v>113</v>
      </c>
      <c r="J1197" t="s" s="134">
        <v>97</v>
      </c>
      <c r="K1197" t="str" s="135" cm="1">
        <f t="array" ref="K1197">IF(OR(H1197="ריביות",AND(H1197="דירה כצנלסון",G1197&lt;0,ISNUMBER(SEARCH("הכנסה",F1197)))),"הכנסה שסווגה מחדש",J1197)</f>
        <v>שוטף</v>
      </c>
      <c r="L1197" t="s" s="134">
        <v>741</v>
      </c>
      <c r="M1197" s="136" cm="1">
        <f t="array" ref="M1197">IF(L1197="מאושר",IF(K1197="הכנסה שסווגה מחדש",0,G1197),0)</f>
        <v>12</v>
      </c>
      <c r="N1197" s="136" cm="1">
        <f t="array" ref="N1197">IF(K1197="שוטף",M1197,0)</f>
        <v>12</v>
      </c>
      <c r="O1197" s="136" cm="1">
        <f t="array" ref="O1197">IF(K1197="הכנסה שסווגה מחדש",-G1197,0)</f>
        <v>0</v>
      </c>
      <c r="P1197" t="s" s="80">
        <v>770</v>
      </c>
      <c r="Q1197" s="100"/>
      <c r="R1197" t="s" s="137">
        <v>743</v>
      </c>
      <c r="S1197" s="77"/>
    </row>
    <row r="1198" ht="13.65" customHeight="1">
      <c r="A1198" s="84">
        <v>45992</v>
      </c>
      <c r="B1198" t="s" s="85">
        <v>55</v>
      </c>
      <c r="C1198" t="s" s="86">
        <v>832</v>
      </c>
      <c r="D1198" s="138">
        <v>83</v>
      </c>
      <c r="E1198" t="s" s="85">
        <v>771</v>
      </c>
      <c r="F1198" t="s" s="86">
        <v>336</v>
      </c>
      <c r="G1198" s="139">
        <v>59</v>
      </c>
      <c r="H1198" t="s" s="140">
        <v>767</v>
      </c>
      <c r="I1198" t="s" s="141">
        <v>107</v>
      </c>
      <c r="J1198" t="s" s="141">
        <v>97</v>
      </c>
      <c r="K1198" t="str" s="142" cm="1">
        <f t="array" ref="K1198">IF(OR(H1198="ריביות",AND(H1198="דירה כצנלסון",G1198&lt;0,ISNUMBER(SEARCH("הכנסה",F1198)))),"הכנסה שסווגה מחדש",J1198)</f>
        <v>שוטף</v>
      </c>
      <c r="L1198" t="s" s="141">
        <v>741</v>
      </c>
      <c r="M1198" s="143" cm="1">
        <f t="array" ref="M1198">IF(L1198="מאושר",IF(K1198="הכנסה שסווגה מחדש",0,G1198),0)</f>
        <v>59</v>
      </c>
      <c r="N1198" s="143" cm="1">
        <f t="array" ref="N1198">IF(K1198="שוטף",M1198,0)</f>
        <v>59</v>
      </c>
      <c r="O1198" s="143" cm="1">
        <f t="array" ref="O1198">IF(K1198="הכנסה שסווגה מחדש",-G1198,0)</f>
        <v>0</v>
      </c>
      <c r="P1198" t="s" s="86">
        <v>770</v>
      </c>
      <c r="Q1198" s="99"/>
      <c r="R1198" t="s" s="144">
        <v>743</v>
      </c>
      <c r="S1198" s="77"/>
    </row>
    <row r="1199" ht="13.65" customHeight="1">
      <c r="A1199" s="78">
        <v>45992</v>
      </c>
      <c r="B1199" t="s" s="79">
        <v>55</v>
      </c>
      <c r="C1199" t="s" s="80">
        <v>832</v>
      </c>
      <c r="D1199" s="131">
        <v>84</v>
      </c>
      <c r="E1199" t="s" s="79">
        <v>790</v>
      </c>
      <c r="F1199" t="s" s="80">
        <v>713</v>
      </c>
      <c r="G1199" s="132">
        <v>-149</v>
      </c>
      <c r="H1199" t="s" s="133">
        <v>117</v>
      </c>
      <c r="I1199" t="s" s="134">
        <v>117</v>
      </c>
      <c r="J1199" t="s" s="134">
        <v>97</v>
      </c>
      <c r="K1199" t="str" s="135" cm="1">
        <f t="array" ref="K1199">IF(OR(H1199="ריביות",AND(H1199="דירה כצנלסון",G1199&lt;0,ISNUMBER(SEARCH("הכנסה",F1199)))),"הכנסה שסווגה מחדש",J1199)</f>
        <v>שוטף</v>
      </c>
      <c r="L1199" t="s" s="134">
        <v>741</v>
      </c>
      <c r="M1199" s="136" cm="1">
        <f t="array" ref="M1199">IF(L1199="מאושר",IF(K1199="הכנסה שסווגה מחדש",0,G1199),0)</f>
        <v>-149</v>
      </c>
      <c r="N1199" s="136" cm="1">
        <f t="array" ref="N1199">IF(K1199="שוטף",M1199,0)</f>
        <v>-149</v>
      </c>
      <c r="O1199" s="136" cm="1">
        <f t="array" ref="O1199">IF(K1199="הכנסה שסווגה מחדש",-G1199,0)</f>
        <v>0</v>
      </c>
      <c r="P1199" t="s" s="80">
        <v>770</v>
      </c>
      <c r="Q1199" s="100"/>
      <c r="R1199" t="s" s="137">
        <v>743</v>
      </c>
      <c r="S1199" s="77"/>
    </row>
    <row r="1200" ht="13.65" customHeight="1">
      <c r="A1200" s="84">
        <v>45992</v>
      </c>
      <c r="B1200" t="s" s="85">
        <v>55</v>
      </c>
      <c r="C1200" t="s" s="86">
        <v>832</v>
      </c>
      <c r="D1200" s="138">
        <v>85</v>
      </c>
      <c r="E1200" t="s" s="85">
        <v>744</v>
      </c>
      <c r="F1200" t="s" s="86">
        <v>200</v>
      </c>
      <c r="G1200" s="139">
        <v>38</v>
      </c>
      <c r="H1200" t="s" s="140">
        <v>109</v>
      </c>
      <c r="I1200" t="s" s="141">
        <v>109</v>
      </c>
      <c r="J1200" t="s" s="141">
        <v>97</v>
      </c>
      <c r="K1200" t="str" s="142" cm="1">
        <f t="array" ref="K1200">IF(OR(H1200="ריביות",AND(H1200="דירה כצנלסון",G1200&lt;0,ISNUMBER(SEARCH("הכנסה",F1200)))),"הכנסה שסווגה מחדש",J1200)</f>
        <v>שוטף</v>
      </c>
      <c r="L1200" t="s" s="141">
        <v>741</v>
      </c>
      <c r="M1200" s="143" cm="1">
        <f t="array" ref="M1200">IF(L1200="מאושר",IF(K1200="הכנסה שסווגה מחדש",0,G1200),0)</f>
        <v>38</v>
      </c>
      <c r="N1200" s="143" cm="1">
        <f t="array" ref="N1200">IF(K1200="שוטף",M1200,0)</f>
        <v>38</v>
      </c>
      <c r="O1200" s="143" cm="1">
        <f t="array" ref="O1200">IF(K1200="הכנסה שסווגה מחדש",-G1200,0)</f>
        <v>0</v>
      </c>
      <c r="P1200" t="s" s="86">
        <v>770</v>
      </c>
      <c r="Q1200" s="99"/>
      <c r="R1200" t="s" s="144">
        <v>743</v>
      </c>
      <c r="S1200" s="77"/>
    </row>
    <row r="1201" ht="13.65" customHeight="1">
      <c r="A1201" s="78">
        <v>45992</v>
      </c>
      <c r="B1201" t="s" s="79">
        <v>55</v>
      </c>
      <c r="C1201" t="s" s="80">
        <v>832</v>
      </c>
      <c r="D1201" s="131">
        <v>86</v>
      </c>
      <c r="E1201" t="s" s="79">
        <v>774</v>
      </c>
      <c r="F1201" t="s" s="80">
        <v>235</v>
      </c>
      <c r="G1201" s="132">
        <v>331</v>
      </c>
      <c r="H1201" t="s" s="133">
        <v>109</v>
      </c>
      <c r="I1201" t="s" s="134">
        <v>109</v>
      </c>
      <c r="J1201" t="s" s="134">
        <v>97</v>
      </c>
      <c r="K1201" t="str" s="135" cm="1">
        <f t="array" ref="K1201">IF(OR(H1201="ריביות",AND(H1201="דירה כצנלסון",G1201&lt;0,ISNUMBER(SEARCH("הכנסה",F1201)))),"הכנסה שסווגה מחדש",J1201)</f>
        <v>שוטף</v>
      </c>
      <c r="L1201" t="s" s="134">
        <v>741</v>
      </c>
      <c r="M1201" s="136" cm="1">
        <f t="array" ref="M1201">IF(L1201="מאושר",IF(K1201="הכנסה שסווגה מחדש",0,G1201),0)</f>
        <v>331</v>
      </c>
      <c r="N1201" s="136" cm="1">
        <f t="array" ref="N1201">IF(K1201="שוטף",M1201,0)</f>
        <v>331</v>
      </c>
      <c r="O1201" s="136" cm="1">
        <f t="array" ref="O1201">IF(K1201="הכנסה שסווגה מחדש",-G1201,0)</f>
        <v>0</v>
      </c>
      <c r="P1201" t="s" s="80">
        <v>770</v>
      </c>
      <c r="Q1201" s="100"/>
      <c r="R1201" t="s" s="137">
        <v>743</v>
      </c>
      <c r="S1201" s="77"/>
    </row>
    <row r="1202" ht="13.65" customHeight="1">
      <c r="A1202" s="84">
        <v>45992</v>
      </c>
      <c r="B1202" t="s" s="85">
        <v>55</v>
      </c>
      <c r="C1202" t="s" s="86">
        <v>832</v>
      </c>
      <c r="D1202" s="138">
        <v>87</v>
      </c>
      <c r="E1202" t="s" s="85">
        <v>768</v>
      </c>
      <c r="F1202" t="s" s="86">
        <v>456</v>
      </c>
      <c r="G1202" s="139">
        <v>61</v>
      </c>
      <c r="H1202" t="s" s="140">
        <v>117</v>
      </c>
      <c r="I1202" t="s" s="141">
        <v>117</v>
      </c>
      <c r="J1202" t="s" s="141">
        <v>97</v>
      </c>
      <c r="K1202" t="str" s="142" cm="1">
        <f t="array" ref="K1202">IF(OR(H1202="ריביות",AND(H1202="דירה כצנלסון",G1202&lt;0,ISNUMBER(SEARCH("הכנסה",F1202)))),"הכנסה שסווגה מחדש",J1202)</f>
        <v>שוטף</v>
      </c>
      <c r="L1202" t="s" s="141">
        <v>741</v>
      </c>
      <c r="M1202" s="143" cm="1">
        <f t="array" ref="M1202">IF(L1202="מאושר",IF(K1202="הכנסה שסווגה מחדש",0,G1202),0)</f>
        <v>61</v>
      </c>
      <c r="N1202" s="143" cm="1">
        <f t="array" ref="N1202">IF(K1202="שוטף",M1202,0)</f>
        <v>61</v>
      </c>
      <c r="O1202" s="143" cm="1">
        <f t="array" ref="O1202">IF(K1202="הכנסה שסווגה מחדש",-G1202,0)</f>
        <v>0</v>
      </c>
      <c r="P1202" t="s" s="86">
        <v>770</v>
      </c>
      <c r="Q1202" s="99"/>
      <c r="R1202" t="s" s="144">
        <v>743</v>
      </c>
      <c r="S1202" s="77"/>
    </row>
    <row r="1203" ht="13.65" customHeight="1">
      <c r="A1203" s="78">
        <v>45992</v>
      </c>
      <c r="B1203" t="s" s="79">
        <v>55</v>
      </c>
      <c r="C1203" t="s" s="80">
        <v>832</v>
      </c>
      <c r="D1203" s="131">
        <v>88</v>
      </c>
      <c r="E1203" t="s" s="79">
        <v>759</v>
      </c>
      <c r="F1203" t="s" s="80">
        <v>270</v>
      </c>
      <c r="G1203" s="132">
        <v>1500</v>
      </c>
      <c r="H1203" t="s" s="133">
        <v>125</v>
      </c>
      <c r="I1203" t="s" s="134">
        <v>125</v>
      </c>
      <c r="J1203" t="s" s="134">
        <v>97</v>
      </c>
      <c r="K1203" t="str" s="135" cm="1">
        <f t="array" ref="K1203">IF(OR(H1203="ריביות",AND(H1203="דירה כצנלסון",G1203&lt;0,ISNUMBER(SEARCH("הכנסה",F1203)))),"הכנסה שסווגה מחדש",J1203)</f>
        <v>שוטף</v>
      </c>
      <c r="L1203" t="s" s="134">
        <v>741</v>
      </c>
      <c r="M1203" s="136" cm="1">
        <f t="array" ref="M1203">IF(L1203="מאושר",IF(K1203="הכנסה שסווגה מחדש",0,G1203),0)</f>
        <v>1500</v>
      </c>
      <c r="N1203" s="136" cm="1">
        <f t="array" ref="N1203">IF(K1203="שוטף",M1203,0)</f>
        <v>1500</v>
      </c>
      <c r="O1203" s="136" cm="1">
        <f t="array" ref="O1203">IF(K1203="הכנסה שסווגה מחדש",-G1203,0)</f>
        <v>0</v>
      </c>
      <c r="P1203" t="s" s="80">
        <v>770</v>
      </c>
      <c r="Q1203" s="100"/>
      <c r="R1203" t="s" s="137">
        <v>743</v>
      </c>
      <c r="S1203" s="77"/>
    </row>
    <row r="1204" ht="13.65" customHeight="1">
      <c r="A1204" s="84">
        <v>45992</v>
      </c>
      <c r="B1204" t="s" s="85">
        <v>55</v>
      </c>
      <c r="C1204" t="s" s="86">
        <v>832</v>
      </c>
      <c r="D1204" s="138">
        <v>89</v>
      </c>
      <c r="E1204" s="99"/>
      <c r="F1204" t="s" s="86">
        <v>208</v>
      </c>
      <c r="G1204" s="139">
        <v>3168</v>
      </c>
      <c r="H1204" t="s" s="140">
        <v>210</v>
      </c>
      <c r="I1204" t="s" s="141">
        <v>102</v>
      </c>
      <c r="J1204" t="s" s="141">
        <v>103</v>
      </c>
      <c r="K1204" t="str" s="142" cm="1">
        <f t="array" ref="K1204">IF(OR(H1204="ריביות",AND(H1204="דירה כצנלסון",G1204&lt;0,ISNUMBER(SEARCH("הכנסה",F1204)))),"הכנסה שסווגה מחדש",J1204)</f>
        <v>חריג</v>
      </c>
      <c r="L1204" t="s" s="141">
        <v>741</v>
      </c>
      <c r="M1204" s="143" cm="1">
        <f t="array" ref="M1204">IF(L1204="מאושר",IF(K1204="הכנסה שסווגה מחדש",0,G1204),0)</f>
        <v>3168</v>
      </c>
      <c r="N1204" s="143" cm="1">
        <f t="array" ref="N1204">IF(K1204="שוטף",M1204,0)</f>
        <v>0</v>
      </c>
      <c r="O1204" s="143" cm="1">
        <f t="array" ref="O1204">IF(K1204="הכנסה שסווגה מחדש",-G1204,0)</f>
        <v>0</v>
      </c>
      <c r="P1204" t="s" s="86">
        <v>770</v>
      </c>
      <c r="Q1204" s="99"/>
      <c r="R1204" t="s" s="144">
        <v>743</v>
      </c>
      <c r="S1204" s="77"/>
    </row>
    <row r="1205" ht="13.65" customHeight="1">
      <c r="A1205" s="78">
        <v>45992</v>
      </c>
      <c r="B1205" t="s" s="79">
        <v>55</v>
      </c>
      <c r="C1205" t="s" s="80">
        <v>832</v>
      </c>
      <c r="D1205" s="131">
        <v>90</v>
      </c>
      <c r="E1205" t="s" s="79">
        <v>34</v>
      </c>
      <c r="F1205" t="s" s="80">
        <v>231</v>
      </c>
      <c r="G1205" s="132">
        <v>151</v>
      </c>
      <c r="H1205" t="s" s="133">
        <v>113</v>
      </c>
      <c r="I1205" t="s" s="134">
        <v>113</v>
      </c>
      <c r="J1205" t="s" s="134">
        <v>97</v>
      </c>
      <c r="K1205" t="str" s="135" cm="1">
        <f t="array" ref="K1205">IF(OR(H1205="ריביות",AND(H1205="דירה כצנלסון",G1205&lt;0,ISNUMBER(SEARCH("הכנסה",F1205)))),"הכנסה שסווגה מחדש",J1205)</f>
        <v>שוטף</v>
      </c>
      <c r="L1205" t="s" s="134">
        <v>741</v>
      </c>
      <c r="M1205" s="136" cm="1">
        <f t="array" ref="M1205">IF(L1205="מאושר",IF(K1205="הכנסה שסווגה מחדש",0,G1205),0)</f>
        <v>151</v>
      </c>
      <c r="N1205" s="136" cm="1">
        <f t="array" ref="N1205">IF(K1205="שוטף",M1205,0)</f>
        <v>151</v>
      </c>
      <c r="O1205" s="136" cm="1">
        <f t="array" ref="O1205">IF(K1205="הכנסה שסווגה מחדש",-G1205,0)</f>
        <v>0</v>
      </c>
      <c r="P1205" t="s" s="80">
        <v>784</v>
      </c>
      <c r="Q1205" s="100"/>
      <c r="R1205" t="s" s="137">
        <v>743</v>
      </c>
      <c r="S1205" s="77"/>
    </row>
    <row r="1206" ht="13.65" customHeight="1">
      <c r="A1206" s="84">
        <v>45992</v>
      </c>
      <c r="B1206" t="s" s="85">
        <v>55</v>
      </c>
      <c r="C1206" t="s" s="86">
        <v>832</v>
      </c>
      <c r="D1206" s="138">
        <v>91</v>
      </c>
      <c r="E1206" t="s" s="85">
        <v>46</v>
      </c>
      <c r="F1206" t="s" s="86">
        <v>231</v>
      </c>
      <c r="G1206" s="139">
        <v>61</v>
      </c>
      <c r="H1206" t="s" s="140">
        <v>113</v>
      </c>
      <c r="I1206" t="s" s="141">
        <v>113</v>
      </c>
      <c r="J1206" t="s" s="141">
        <v>97</v>
      </c>
      <c r="K1206" t="str" s="142" cm="1">
        <f t="array" ref="K1206">IF(OR(H1206="ריביות",AND(H1206="דירה כצנלסון",G1206&lt;0,ISNUMBER(SEARCH("הכנסה",F1206)))),"הכנסה שסווגה מחדש",J1206)</f>
        <v>שוטף</v>
      </c>
      <c r="L1206" t="s" s="141">
        <v>741</v>
      </c>
      <c r="M1206" s="143" cm="1">
        <f t="array" ref="M1206">IF(L1206="מאושר",IF(K1206="הכנסה שסווגה מחדש",0,G1206),0)</f>
        <v>61</v>
      </c>
      <c r="N1206" s="143" cm="1">
        <f t="array" ref="N1206">IF(K1206="שוטף",M1206,0)</f>
        <v>61</v>
      </c>
      <c r="O1206" s="143" cm="1">
        <f t="array" ref="O1206">IF(K1206="הכנסה שסווגה מחדש",-G1206,0)</f>
        <v>0</v>
      </c>
      <c r="P1206" t="s" s="86">
        <v>784</v>
      </c>
      <c r="Q1206" s="99"/>
      <c r="R1206" t="s" s="144">
        <v>743</v>
      </c>
      <c r="S1206" s="77"/>
    </row>
    <row r="1207" ht="13.65" customHeight="1">
      <c r="A1207" s="78">
        <v>45992</v>
      </c>
      <c r="B1207" t="s" s="79">
        <v>55</v>
      </c>
      <c r="C1207" t="s" s="80">
        <v>832</v>
      </c>
      <c r="D1207" s="131">
        <v>92</v>
      </c>
      <c r="E1207" t="s" s="79">
        <v>46</v>
      </c>
      <c r="F1207" t="s" s="80">
        <v>231</v>
      </c>
      <c r="G1207" s="132">
        <v>119</v>
      </c>
      <c r="H1207" t="s" s="133">
        <v>113</v>
      </c>
      <c r="I1207" t="s" s="134">
        <v>113</v>
      </c>
      <c r="J1207" t="s" s="134">
        <v>97</v>
      </c>
      <c r="K1207" t="str" s="135" cm="1">
        <f t="array" ref="K1207">IF(OR(H1207="ריביות",AND(H1207="דירה כצנלסון",G1207&lt;0,ISNUMBER(SEARCH("הכנסה",F1207)))),"הכנסה שסווגה מחדש",J1207)</f>
        <v>שוטף</v>
      </c>
      <c r="L1207" t="s" s="134">
        <v>741</v>
      </c>
      <c r="M1207" s="136" cm="1">
        <f t="array" ref="M1207">IF(L1207="מאושר",IF(K1207="הכנסה שסווגה מחדש",0,G1207),0)</f>
        <v>119</v>
      </c>
      <c r="N1207" s="136" cm="1">
        <f t="array" ref="N1207">IF(K1207="שוטף",M1207,0)</f>
        <v>119</v>
      </c>
      <c r="O1207" s="136" cm="1">
        <f t="array" ref="O1207">IF(K1207="הכנסה שסווגה מחדש",-G1207,0)</f>
        <v>0</v>
      </c>
      <c r="P1207" t="s" s="80">
        <v>784</v>
      </c>
      <c r="Q1207" s="100"/>
      <c r="R1207" t="s" s="137">
        <v>743</v>
      </c>
      <c r="S1207" s="77"/>
    </row>
    <row r="1208" ht="13.65" customHeight="1">
      <c r="A1208" s="84">
        <v>45992</v>
      </c>
      <c r="B1208" t="s" s="85">
        <v>55</v>
      </c>
      <c r="C1208" t="s" s="86">
        <v>832</v>
      </c>
      <c r="D1208" s="138">
        <v>93</v>
      </c>
      <c r="E1208" t="s" s="85">
        <v>769</v>
      </c>
      <c r="F1208" t="s" s="86">
        <v>231</v>
      </c>
      <c r="G1208" s="139">
        <v>250</v>
      </c>
      <c r="H1208" t="s" s="140">
        <v>113</v>
      </c>
      <c r="I1208" t="s" s="141">
        <v>113</v>
      </c>
      <c r="J1208" t="s" s="141">
        <v>97</v>
      </c>
      <c r="K1208" t="str" s="142" cm="1">
        <f t="array" ref="K1208">IF(OR(H1208="ריביות",AND(H1208="דירה כצנלסון",G1208&lt;0,ISNUMBER(SEARCH("הכנסה",F1208)))),"הכנסה שסווגה מחדש",J1208)</f>
        <v>שוטף</v>
      </c>
      <c r="L1208" t="s" s="141">
        <v>741</v>
      </c>
      <c r="M1208" s="143" cm="1">
        <f t="array" ref="M1208">IF(L1208="מאושר",IF(K1208="הכנסה שסווגה מחדש",0,G1208),0)</f>
        <v>250</v>
      </c>
      <c r="N1208" s="143" cm="1">
        <f t="array" ref="N1208">IF(K1208="שוטף",M1208,0)</f>
        <v>250</v>
      </c>
      <c r="O1208" s="143" cm="1">
        <f t="array" ref="O1208">IF(K1208="הכנסה שסווגה מחדש",-G1208,0)</f>
        <v>0</v>
      </c>
      <c r="P1208" t="s" s="86">
        <v>784</v>
      </c>
      <c r="Q1208" s="99"/>
      <c r="R1208" t="s" s="144">
        <v>743</v>
      </c>
      <c r="S1208" s="77"/>
    </row>
    <row r="1209" ht="13.65" customHeight="1">
      <c r="A1209" s="78">
        <v>45992</v>
      </c>
      <c r="B1209" t="s" s="79">
        <v>55</v>
      </c>
      <c r="C1209" t="s" s="80">
        <v>832</v>
      </c>
      <c r="D1209" s="131">
        <v>94</v>
      </c>
      <c r="E1209" t="s" s="79">
        <v>788</v>
      </c>
      <c r="F1209" t="s" s="80">
        <v>200</v>
      </c>
      <c r="G1209" s="132">
        <v>75</v>
      </c>
      <c r="H1209" t="s" s="133">
        <v>109</v>
      </c>
      <c r="I1209" t="s" s="134">
        <v>109</v>
      </c>
      <c r="J1209" t="s" s="134">
        <v>97</v>
      </c>
      <c r="K1209" t="str" s="135" cm="1">
        <f t="array" ref="K1209">IF(OR(H1209="ריביות",AND(H1209="דירה כצנלסון",G1209&lt;0,ISNUMBER(SEARCH("הכנסה",F1209)))),"הכנסה שסווגה מחדש",J1209)</f>
        <v>שוטף</v>
      </c>
      <c r="L1209" t="s" s="134">
        <v>741</v>
      </c>
      <c r="M1209" s="136" cm="1">
        <f t="array" ref="M1209">IF(L1209="מאושר",IF(K1209="הכנסה שסווגה מחדש",0,G1209),0)</f>
        <v>75</v>
      </c>
      <c r="N1209" s="136" cm="1">
        <f t="array" ref="N1209">IF(K1209="שוטף",M1209,0)</f>
        <v>75</v>
      </c>
      <c r="O1209" s="136" cm="1">
        <f t="array" ref="O1209">IF(K1209="הכנסה שסווגה מחדש",-G1209,0)</f>
        <v>0</v>
      </c>
      <c r="P1209" t="s" s="80">
        <v>784</v>
      </c>
      <c r="Q1209" s="100"/>
      <c r="R1209" t="s" s="137">
        <v>743</v>
      </c>
      <c r="S1209" s="77"/>
    </row>
    <row r="1210" ht="13.65" customHeight="1">
      <c r="A1210" s="84">
        <v>45992</v>
      </c>
      <c r="B1210" t="s" s="85">
        <v>55</v>
      </c>
      <c r="C1210" t="s" s="86">
        <v>832</v>
      </c>
      <c r="D1210" s="138">
        <v>95</v>
      </c>
      <c r="E1210" t="s" s="85">
        <v>751</v>
      </c>
      <c r="F1210" t="s" s="86">
        <v>200</v>
      </c>
      <c r="G1210" s="139">
        <v>143</v>
      </c>
      <c r="H1210" t="s" s="140">
        <v>109</v>
      </c>
      <c r="I1210" t="s" s="141">
        <v>109</v>
      </c>
      <c r="J1210" t="s" s="141">
        <v>97</v>
      </c>
      <c r="K1210" t="str" s="142" cm="1">
        <f t="array" ref="K1210">IF(OR(H1210="ריביות",AND(H1210="דירה כצנלסון",G1210&lt;0,ISNUMBER(SEARCH("הכנסה",F1210)))),"הכנסה שסווגה מחדש",J1210)</f>
        <v>שוטף</v>
      </c>
      <c r="L1210" t="s" s="141">
        <v>741</v>
      </c>
      <c r="M1210" s="143" cm="1">
        <f t="array" ref="M1210">IF(L1210="מאושר",IF(K1210="הכנסה שסווגה מחדש",0,G1210),0)</f>
        <v>143</v>
      </c>
      <c r="N1210" s="143" cm="1">
        <f t="array" ref="N1210">IF(K1210="שוטף",M1210,0)</f>
        <v>143</v>
      </c>
      <c r="O1210" s="143" cm="1">
        <f t="array" ref="O1210">IF(K1210="הכנסה שסווגה מחדש",-G1210,0)</f>
        <v>0</v>
      </c>
      <c r="P1210" t="s" s="86">
        <v>784</v>
      </c>
      <c r="Q1210" s="99"/>
      <c r="R1210" t="s" s="144">
        <v>743</v>
      </c>
      <c r="S1210" s="77"/>
    </row>
    <row r="1211" ht="13.65" customHeight="1">
      <c r="A1211" s="78">
        <v>45992</v>
      </c>
      <c r="B1211" t="s" s="79">
        <v>55</v>
      </c>
      <c r="C1211" t="s" s="80">
        <v>832</v>
      </c>
      <c r="D1211" s="131">
        <v>96</v>
      </c>
      <c r="E1211" t="s" s="79">
        <v>773</v>
      </c>
      <c r="F1211" t="s" s="80">
        <v>231</v>
      </c>
      <c r="G1211" s="132">
        <v>72</v>
      </c>
      <c r="H1211" t="s" s="133">
        <v>113</v>
      </c>
      <c r="I1211" t="s" s="134">
        <v>113</v>
      </c>
      <c r="J1211" t="s" s="134">
        <v>97</v>
      </c>
      <c r="K1211" t="str" s="135" cm="1">
        <f t="array" ref="K1211">IF(OR(H1211="ריביות",AND(H1211="דירה כצנלסון",G1211&lt;0,ISNUMBER(SEARCH("הכנסה",F1211)))),"הכנסה שסווגה מחדש",J1211)</f>
        <v>שוטף</v>
      </c>
      <c r="L1211" t="s" s="134">
        <v>741</v>
      </c>
      <c r="M1211" s="136" cm="1">
        <f t="array" ref="M1211">IF(L1211="מאושר",IF(K1211="הכנסה שסווגה מחדש",0,G1211),0)</f>
        <v>72</v>
      </c>
      <c r="N1211" s="136" cm="1">
        <f t="array" ref="N1211">IF(K1211="שוטף",M1211,0)</f>
        <v>72</v>
      </c>
      <c r="O1211" s="136" cm="1">
        <f t="array" ref="O1211">IF(K1211="הכנסה שסווגה מחדש",-G1211,0)</f>
        <v>0</v>
      </c>
      <c r="P1211" t="s" s="80">
        <v>784</v>
      </c>
      <c r="Q1211" s="100"/>
      <c r="R1211" t="s" s="137">
        <v>743</v>
      </c>
      <c r="S1211" s="77"/>
    </row>
    <row r="1212" ht="13.65" customHeight="1">
      <c r="A1212" s="84">
        <v>45992</v>
      </c>
      <c r="B1212" t="s" s="85">
        <v>55</v>
      </c>
      <c r="C1212" t="s" s="86">
        <v>832</v>
      </c>
      <c r="D1212" s="138">
        <v>97</v>
      </c>
      <c r="E1212" t="s" s="85">
        <v>768</v>
      </c>
      <c r="F1212" t="s" s="86">
        <v>231</v>
      </c>
      <c r="G1212" s="139">
        <v>70</v>
      </c>
      <c r="H1212" t="s" s="140">
        <v>113</v>
      </c>
      <c r="I1212" t="s" s="141">
        <v>113</v>
      </c>
      <c r="J1212" t="s" s="141">
        <v>97</v>
      </c>
      <c r="K1212" t="str" s="142" cm="1">
        <f t="array" ref="K1212">IF(OR(H1212="ריביות",AND(H1212="דירה כצנלסון",G1212&lt;0,ISNUMBER(SEARCH("הכנסה",F1212)))),"הכנסה שסווגה מחדש",J1212)</f>
        <v>שוטף</v>
      </c>
      <c r="L1212" t="s" s="141">
        <v>741</v>
      </c>
      <c r="M1212" s="143" cm="1">
        <f t="array" ref="M1212">IF(L1212="מאושר",IF(K1212="הכנסה שסווגה מחדש",0,G1212),0)</f>
        <v>70</v>
      </c>
      <c r="N1212" s="143" cm="1">
        <f t="array" ref="N1212">IF(K1212="שוטף",M1212,0)</f>
        <v>70</v>
      </c>
      <c r="O1212" s="143" cm="1">
        <f t="array" ref="O1212">IF(K1212="הכנסה שסווגה מחדש",-G1212,0)</f>
        <v>0</v>
      </c>
      <c r="P1212" t="s" s="86">
        <v>784</v>
      </c>
      <c r="Q1212" s="99"/>
      <c r="R1212" t="s" s="144">
        <v>743</v>
      </c>
      <c r="S1212" s="77"/>
    </row>
    <row r="1213" ht="13.65" customHeight="1">
      <c r="A1213" s="78">
        <v>45992</v>
      </c>
      <c r="B1213" t="s" s="79">
        <v>55</v>
      </c>
      <c r="C1213" t="s" s="80">
        <v>832</v>
      </c>
      <c r="D1213" s="131">
        <v>98</v>
      </c>
      <c r="E1213" t="s" s="79">
        <v>766</v>
      </c>
      <c r="F1213" t="s" s="80">
        <v>231</v>
      </c>
      <c r="G1213" s="132">
        <v>103</v>
      </c>
      <c r="H1213" t="s" s="133">
        <v>113</v>
      </c>
      <c r="I1213" t="s" s="134">
        <v>113</v>
      </c>
      <c r="J1213" t="s" s="134">
        <v>97</v>
      </c>
      <c r="K1213" t="str" s="135" cm="1">
        <f t="array" ref="K1213">IF(OR(H1213="ריביות",AND(H1213="דירה כצנלסון",G1213&lt;0,ISNUMBER(SEARCH("הכנסה",F1213)))),"הכנסה שסווגה מחדש",J1213)</f>
        <v>שוטף</v>
      </c>
      <c r="L1213" t="s" s="134">
        <v>741</v>
      </c>
      <c r="M1213" s="136" cm="1">
        <f t="array" ref="M1213">IF(L1213="מאושר",IF(K1213="הכנסה שסווגה מחדש",0,G1213),0)</f>
        <v>103</v>
      </c>
      <c r="N1213" s="136" cm="1">
        <f t="array" ref="N1213">IF(K1213="שוטף",M1213,0)</f>
        <v>103</v>
      </c>
      <c r="O1213" s="136" cm="1">
        <f t="array" ref="O1213">IF(K1213="הכנסה שסווגה מחדש",-G1213,0)</f>
        <v>0</v>
      </c>
      <c r="P1213" t="s" s="80">
        <v>784</v>
      </c>
      <c r="Q1213" s="100"/>
      <c r="R1213" t="s" s="137">
        <v>743</v>
      </c>
      <c r="S1213" s="77"/>
    </row>
    <row r="1214" ht="13.65" customHeight="1">
      <c r="A1214" s="84">
        <v>45992</v>
      </c>
      <c r="B1214" t="s" s="85">
        <v>55</v>
      </c>
      <c r="C1214" t="s" s="86">
        <v>832</v>
      </c>
      <c r="D1214" s="138">
        <v>99</v>
      </c>
      <c r="E1214" t="s" s="85">
        <v>755</v>
      </c>
      <c r="F1214" t="s" s="86">
        <v>200</v>
      </c>
      <c r="G1214" s="139">
        <v>22</v>
      </c>
      <c r="H1214" t="s" s="140">
        <v>109</v>
      </c>
      <c r="I1214" t="s" s="141">
        <v>109</v>
      </c>
      <c r="J1214" t="s" s="141">
        <v>97</v>
      </c>
      <c r="K1214" t="str" s="142" cm="1">
        <f t="array" ref="K1214">IF(OR(H1214="ריביות",AND(H1214="דירה כצנלסון",G1214&lt;0,ISNUMBER(SEARCH("הכנסה",F1214)))),"הכנסה שסווגה מחדש",J1214)</f>
        <v>שוטף</v>
      </c>
      <c r="L1214" t="s" s="141">
        <v>741</v>
      </c>
      <c r="M1214" s="143" cm="1">
        <f t="array" ref="M1214">IF(L1214="מאושר",IF(K1214="הכנסה שסווגה מחדש",0,G1214),0)</f>
        <v>22</v>
      </c>
      <c r="N1214" s="143" cm="1">
        <f t="array" ref="N1214">IF(K1214="שוטף",M1214,0)</f>
        <v>22</v>
      </c>
      <c r="O1214" s="143" cm="1">
        <f t="array" ref="O1214">IF(K1214="הכנסה שסווגה מחדש",-G1214,0)</f>
        <v>0</v>
      </c>
      <c r="P1214" t="s" s="86">
        <v>784</v>
      </c>
      <c r="Q1214" s="99"/>
      <c r="R1214" t="s" s="144">
        <v>743</v>
      </c>
      <c r="S1214" s="77"/>
    </row>
    <row r="1215" ht="13.65" customHeight="1">
      <c r="A1215" s="78">
        <v>45992</v>
      </c>
      <c r="B1215" t="s" s="79">
        <v>55</v>
      </c>
      <c r="C1215" t="s" s="80">
        <v>832</v>
      </c>
      <c r="D1215" s="131">
        <v>100</v>
      </c>
      <c r="E1215" t="s" s="79">
        <v>755</v>
      </c>
      <c r="F1215" t="s" s="80">
        <v>231</v>
      </c>
      <c r="G1215" s="132">
        <v>249</v>
      </c>
      <c r="H1215" t="s" s="133">
        <v>113</v>
      </c>
      <c r="I1215" t="s" s="134">
        <v>113</v>
      </c>
      <c r="J1215" t="s" s="134">
        <v>97</v>
      </c>
      <c r="K1215" t="str" s="135" cm="1">
        <f t="array" ref="K1215">IF(OR(H1215="ריביות",AND(H1215="דירה כצנלסון",G1215&lt;0,ISNUMBER(SEARCH("הכנסה",F1215)))),"הכנסה שסווגה מחדש",J1215)</f>
        <v>שוטף</v>
      </c>
      <c r="L1215" t="s" s="134">
        <v>741</v>
      </c>
      <c r="M1215" s="136" cm="1">
        <f t="array" ref="M1215">IF(L1215="מאושר",IF(K1215="הכנסה שסווגה מחדש",0,G1215),0)</f>
        <v>249</v>
      </c>
      <c r="N1215" s="136" cm="1">
        <f t="array" ref="N1215">IF(K1215="שוטף",M1215,0)</f>
        <v>249</v>
      </c>
      <c r="O1215" s="136" cm="1">
        <f t="array" ref="O1215">IF(K1215="הכנסה שסווגה מחדש",-G1215,0)</f>
        <v>0</v>
      </c>
      <c r="P1215" t="s" s="80">
        <v>784</v>
      </c>
      <c r="Q1215" s="100"/>
      <c r="R1215" t="s" s="137">
        <v>743</v>
      </c>
      <c r="S1215" s="77"/>
    </row>
    <row r="1216" ht="13.65" customHeight="1">
      <c r="A1216" s="84">
        <v>45992</v>
      </c>
      <c r="B1216" t="s" s="85">
        <v>55</v>
      </c>
      <c r="C1216" t="s" s="86">
        <v>832</v>
      </c>
      <c r="D1216" s="138">
        <v>101</v>
      </c>
      <c r="E1216" t="s" s="85">
        <v>777</v>
      </c>
      <c r="F1216" t="s" s="86">
        <v>231</v>
      </c>
      <c r="G1216" s="139">
        <v>51</v>
      </c>
      <c r="H1216" t="s" s="140">
        <v>113</v>
      </c>
      <c r="I1216" t="s" s="141">
        <v>113</v>
      </c>
      <c r="J1216" t="s" s="141">
        <v>97</v>
      </c>
      <c r="K1216" t="str" s="142" cm="1">
        <f t="array" ref="K1216">IF(OR(H1216="ריביות",AND(H1216="דירה כצנלסון",G1216&lt;0,ISNUMBER(SEARCH("הכנסה",F1216)))),"הכנסה שסווגה מחדש",J1216)</f>
        <v>שוטף</v>
      </c>
      <c r="L1216" t="s" s="141">
        <v>741</v>
      </c>
      <c r="M1216" s="143" cm="1">
        <f t="array" ref="M1216">IF(L1216="מאושר",IF(K1216="הכנסה שסווגה מחדש",0,G1216),0)</f>
        <v>51</v>
      </c>
      <c r="N1216" s="143" cm="1">
        <f t="array" ref="N1216">IF(K1216="שוטף",M1216,0)</f>
        <v>51</v>
      </c>
      <c r="O1216" s="143" cm="1">
        <f t="array" ref="O1216">IF(K1216="הכנסה שסווגה מחדש",-G1216,0)</f>
        <v>0</v>
      </c>
      <c r="P1216" t="s" s="86">
        <v>784</v>
      </c>
      <c r="Q1216" s="99"/>
      <c r="R1216" t="s" s="144">
        <v>743</v>
      </c>
      <c r="S1216" s="77"/>
    </row>
    <row r="1217" ht="13.65" customHeight="1">
      <c r="A1217" s="78">
        <v>45992</v>
      </c>
      <c r="B1217" t="s" s="79">
        <v>55</v>
      </c>
      <c r="C1217" t="s" s="80">
        <v>832</v>
      </c>
      <c r="D1217" s="131">
        <v>102</v>
      </c>
      <c r="E1217" s="100"/>
      <c r="F1217" t="s" s="80">
        <v>208</v>
      </c>
      <c r="G1217" s="132">
        <v>144</v>
      </c>
      <c r="H1217" t="s" s="133">
        <v>210</v>
      </c>
      <c r="I1217" t="s" s="134">
        <v>102</v>
      </c>
      <c r="J1217" t="s" s="134">
        <v>103</v>
      </c>
      <c r="K1217" t="str" s="135" cm="1">
        <f t="array" ref="K1217">IF(OR(H1217="ריביות",AND(H1217="דירה כצנלסון",G1217&lt;0,ISNUMBER(SEARCH("הכנסה",F1217)))),"הכנסה שסווגה מחדש",J1217)</f>
        <v>חריג</v>
      </c>
      <c r="L1217" t="s" s="134">
        <v>741</v>
      </c>
      <c r="M1217" s="136" cm="1">
        <f t="array" ref="M1217">IF(L1217="מאושר",IF(K1217="הכנסה שסווגה מחדש",0,G1217),0)</f>
        <v>144</v>
      </c>
      <c r="N1217" s="136" cm="1">
        <f t="array" ref="N1217">IF(K1217="שוטף",M1217,0)</f>
        <v>0</v>
      </c>
      <c r="O1217" s="136" cm="1">
        <f t="array" ref="O1217">IF(K1217="הכנסה שסווגה מחדש",-G1217,0)</f>
        <v>0</v>
      </c>
      <c r="P1217" t="s" s="80">
        <v>781</v>
      </c>
      <c r="Q1217" s="100"/>
      <c r="R1217" t="s" s="137">
        <v>743</v>
      </c>
      <c r="S1217" s="77"/>
    </row>
    <row r="1218" ht="13.65" customHeight="1">
      <c r="A1218" s="84">
        <v>45992</v>
      </c>
      <c r="B1218" t="s" s="85">
        <v>55</v>
      </c>
      <c r="C1218" t="s" s="86">
        <v>832</v>
      </c>
      <c r="D1218" s="138">
        <v>103</v>
      </c>
      <c r="E1218" t="s" s="85">
        <v>761</v>
      </c>
      <c r="F1218" t="s" s="86">
        <v>279</v>
      </c>
      <c r="G1218" s="139">
        <v>1340</v>
      </c>
      <c r="H1218" t="s" s="140">
        <v>279</v>
      </c>
      <c r="I1218" t="s" s="141">
        <v>99</v>
      </c>
      <c r="J1218" t="s" s="141">
        <v>100</v>
      </c>
      <c r="K1218" t="str" s="142" cm="1">
        <f t="array" ref="K1218">IF(OR(H1218="ריביות",AND(H1218="דירה כצנלסון",G1218&lt;0,ISNUMBER(SEARCH("הכנסה",F1218)))),"הכנסה שסווגה מחדש",J1218)</f>
        <v>חריג/נכס</v>
      </c>
      <c r="L1218" t="s" s="141">
        <v>741</v>
      </c>
      <c r="M1218" s="143" cm="1">
        <f t="array" ref="M1218">IF(L1218="מאושר",IF(K1218="הכנסה שסווגה מחדש",0,G1218),0)</f>
        <v>1340</v>
      </c>
      <c r="N1218" s="143" cm="1">
        <f t="array" ref="N1218">IF(K1218="שוטף",M1218,0)</f>
        <v>0</v>
      </c>
      <c r="O1218" s="143" cm="1">
        <f t="array" ref="O1218">IF(K1218="הכנסה שסווגה מחדש",-G1218,0)</f>
        <v>0</v>
      </c>
      <c r="P1218" t="s" s="86">
        <v>781</v>
      </c>
      <c r="Q1218" s="99"/>
      <c r="R1218" t="s" s="144">
        <v>743</v>
      </c>
      <c r="S1218" s="77"/>
    </row>
    <row r="1219" ht="13.65" customHeight="1">
      <c r="A1219" s="78">
        <v>46023</v>
      </c>
      <c r="B1219" t="s" s="79">
        <v>56</v>
      </c>
      <c r="C1219" t="s" s="80">
        <v>837</v>
      </c>
      <c r="D1219" s="131">
        <v>2</v>
      </c>
      <c r="E1219" t="s" s="79">
        <v>772</v>
      </c>
      <c r="F1219" t="s" s="80">
        <v>196</v>
      </c>
      <c r="G1219" s="132">
        <v>8000</v>
      </c>
      <c r="H1219" t="s" s="133">
        <v>838</v>
      </c>
      <c r="I1219" t="s" s="134">
        <v>96</v>
      </c>
      <c r="J1219" t="s" s="134">
        <v>97</v>
      </c>
      <c r="K1219" t="str" s="135" cm="1">
        <f t="array" ref="K1219">IF(OR(H1219="ריביות",AND(H1219="דירה כצנלסון",G1219&lt;0,ISNUMBER(SEARCH("הכנסה",F1219)))),"הכנסה שסווגה מחדש",J1219)</f>
        <v>שוטף</v>
      </c>
      <c r="L1219" t="s" s="134">
        <v>741</v>
      </c>
      <c r="M1219" s="136" cm="1">
        <f t="array" ref="M1219">IF(L1219="מאושר",IF(K1219="הכנסה שסווגה מחדש",0,G1219),0)</f>
        <v>8000</v>
      </c>
      <c r="N1219" s="136" cm="1">
        <f t="array" ref="N1219">IF(K1219="שוטף",M1219,0)</f>
        <v>8000</v>
      </c>
      <c r="O1219" s="136" cm="1">
        <f t="array" ref="O1219">IF(K1219="הכנסה שסווגה מחדש",-G1219,0)</f>
        <v>0</v>
      </c>
      <c r="P1219" t="s" s="80">
        <v>786</v>
      </c>
      <c r="Q1219" s="100"/>
      <c r="R1219" t="s" s="137">
        <v>743</v>
      </c>
      <c r="S1219" s="77"/>
    </row>
    <row r="1220" ht="13.65" customHeight="1">
      <c r="A1220" s="84">
        <v>46023</v>
      </c>
      <c r="B1220" t="s" s="85">
        <v>56</v>
      </c>
      <c r="C1220" t="s" s="86">
        <v>837</v>
      </c>
      <c r="D1220" s="138">
        <v>3</v>
      </c>
      <c r="E1220" t="s" s="85">
        <v>751</v>
      </c>
      <c r="F1220" t="s" s="86">
        <v>197</v>
      </c>
      <c r="G1220" s="139">
        <v>6143</v>
      </c>
      <c r="H1220" t="s" s="140">
        <v>279</v>
      </c>
      <c r="I1220" t="s" s="141">
        <v>99</v>
      </c>
      <c r="J1220" t="s" s="141">
        <v>100</v>
      </c>
      <c r="K1220" t="str" s="142" cm="1">
        <f t="array" ref="K1220">IF(OR(H1220="ריביות",AND(H1220="דירה כצנלסון",G1220&lt;0,ISNUMBER(SEARCH("הכנסה",F1220)))),"הכנסה שסווגה מחדש",J1220)</f>
        <v>חריג/נכס</v>
      </c>
      <c r="L1220" t="s" s="141">
        <v>741</v>
      </c>
      <c r="M1220" s="143" cm="1">
        <f t="array" ref="M1220">IF(L1220="מאושר",IF(K1220="הכנסה שסווגה מחדש",0,G1220),0)</f>
        <v>6143</v>
      </c>
      <c r="N1220" s="143" cm="1">
        <f t="array" ref="N1220">IF(K1220="שוטף",M1220,0)</f>
        <v>0</v>
      </c>
      <c r="O1220" s="143" cm="1">
        <f t="array" ref="O1220">IF(K1220="הכנסה שסווגה מחדש",-G1220,0)</f>
        <v>0</v>
      </c>
      <c r="P1220" t="s" s="86">
        <v>786</v>
      </c>
      <c r="Q1220" s="99"/>
      <c r="R1220" t="s" s="144">
        <v>743</v>
      </c>
      <c r="S1220" s="77"/>
    </row>
    <row r="1221" ht="13.65" customHeight="1">
      <c r="A1221" s="78">
        <v>46023</v>
      </c>
      <c r="B1221" t="s" s="79">
        <v>56</v>
      </c>
      <c r="C1221" t="s" s="80">
        <v>837</v>
      </c>
      <c r="D1221" s="131">
        <v>5</v>
      </c>
      <c r="E1221" s="100"/>
      <c r="F1221" t="s" s="80">
        <v>212</v>
      </c>
      <c r="G1221" s="132">
        <v>0</v>
      </c>
      <c r="H1221" t="s" s="133">
        <v>838</v>
      </c>
      <c r="I1221" t="s" s="134">
        <v>96</v>
      </c>
      <c r="J1221" t="s" s="134">
        <v>97</v>
      </c>
      <c r="K1221" t="str" s="135" cm="1">
        <f t="array" ref="K1221">IF(OR(H1221="ריביות",AND(H1221="דירה כצנלסון",G1221&lt;0,ISNUMBER(SEARCH("הכנסה",F1221)))),"הכנסה שסווגה מחדש",J1221)</f>
        <v>שוטף</v>
      </c>
      <c r="L1221" t="s" s="134">
        <v>741</v>
      </c>
      <c r="M1221" s="136" cm="1">
        <f t="array" ref="M1221">IF(L1221="מאושר",IF(K1221="הכנסה שסווגה מחדש",0,G1221),0)</f>
        <v>0</v>
      </c>
      <c r="N1221" s="136" cm="1">
        <f t="array" ref="N1221">IF(K1221="שוטף",M1221,0)</f>
        <v>0</v>
      </c>
      <c r="O1221" s="136" cm="1">
        <f t="array" ref="O1221">IF(K1221="הכנסה שסווגה מחדש",-G1221,0)</f>
        <v>0</v>
      </c>
      <c r="P1221" s="100"/>
      <c r="Q1221" s="100"/>
      <c r="R1221" t="s" s="137">
        <v>743</v>
      </c>
      <c r="S1221" s="77"/>
    </row>
    <row r="1222" ht="13.65" customHeight="1">
      <c r="A1222" s="84">
        <v>46023</v>
      </c>
      <c r="B1222" t="s" s="85">
        <v>56</v>
      </c>
      <c r="C1222" t="s" s="86">
        <v>837</v>
      </c>
      <c r="D1222" s="138">
        <v>6</v>
      </c>
      <c r="E1222" t="s" s="85">
        <v>34</v>
      </c>
      <c r="F1222" t="s" s="86">
        <v>221</v>
      </c>
      <c r="G1222" s="139">
        <v>146</v>
      </c>
      <c r="H1222" t="s" s="140">
        <v>838</v>
      </c>
      <c r="I1222" t="s" s="141">
        <v>96</v>
      </c>
      <c r="J1222" t="s" s="141">
        <v>97</v>
      </c>
      <c r="K1222" t="str" s="142" cm="1">
        <f t="array" ref="K1222">IF(OR(H1222="ריביות",AND(H1222="דירה כצנלסון",G1222&lt;0,ISNUMBER(SEARCH("הכנסה",F1222)))),"הכנסה שסווגה מחדש",J1222)</f>
        <v>שוטף</v>
      </c>
      <c r="L1222" t="s" s="141">
        <v>741</v>
      </c>
      <c r="M1222" s="143" cm="1">
        <f t="array" ref="M1222">IF(L1222="מאושר",IF(K1222="הכנסה שסווגה מחדש",0,G1222),0)</f>
        <v>146</v>
      </c>
      <c r="N1222" s="143" cm="1">
        <f t="array" ref="N1222">IF(K1222="שוטף",M1222,0)</f>
        <v>146</v>
      </c>
      <c r="O1222" s="143" cm="1">
        <f t="array" ref="O1222">IF(K1222="הכנסה שסווגה מחדש",-G1222,0)</f>
        <v>0</v>
      </c>
      <c r="P1222" t="s" s="86">
        <v>762</v>
      </c>
      <c r="Q1222" s="99"/>
      <c r="R1222" t="s" s="144">
        <v>743</v>
      </c>
      <c r="S1222" s="77"/>
    </row>
    <row r="1223" ht="13.65" customHeight="1">
      <c r="A1223" s="78">
        <v>46023</v>
      </c>
      <c r="B1223" t="s" s="79">
        <v>56</v>
      </c>
      <c r="C1223" t="s" s="80">
        <v>837</v>
      </c>
      <c r="D1223" s="131">
        <v>7</v>
      </c>
      <c r="E1223" t="s" s="79">
        <v>769</v>
      </c>
      <c r="F1223" t="s" s="80">
        <v>272</v>
      </c>
      <c r="G1223" s="132">
        <v>105</v>
      </c>
      <c r="H1223" t="s" s="133">
        <v>838</v>
      </c>
      <c r="I1223" t="s" s="134">
        <v>96</v>
      </c>
      <c r="J1223" t="s" s="134">
        <v>97</v>
      </c>
      <c r="K1223" t="str" s="135" cm="1">
        <f t="array" ref="K1223">IF(OR(H1223="ריביות",AND(H1223="דירה כצנלסון",G1223&lt;0,ISNUMBER(SEARCH("הכנסה",F1223)))),"הכנסה שסווגה מחדש",J1223)</f>
        <v>שוטף</v>
      </c>
      <c r="L1223" t="s" s="134">
        <v>741</v>
      </c>
      <c r="M1223" s="136" cm="1">
        <f t="array" ref="M1223">IF(L1223="מאושר",IF(K1223="הכנסה שסווגה מחדש",0,G1223),0)</f>
        <v>105</v>
      </c>
      <c r="N1223" s="136" cm="1">
        <f t="array" ref="N1223">IF(K1223="שוטף",M1223,0)</f>
        <v>105</v>
      </c>
      <c r="O1223" s="136" cm="1">
        <f t="array" ref="O1223">IF(K1223="הכנסה שסווגה מחדש",-G1223,0)</f>
        <v>0</v>
      </c>
      <c r="P1223" t="s" s="79">
        <v>758</v>
      </c>
      <c r="Q1223" s="100"/>
      <c r="R1223" t="s" s="137">
        <v>743</v>
      </c>
      <c r="S1223" s="77"/>
    </row>
    <row r="1224" ht="13.65" customHeight="1">
      <c r="A1224" s="84">
        <v>46023</v>
      </c>
      <c r="B1224" t="s" s="85">
        <v>56</v>
      </c>
      <c r="C1224" t="s" s="86">
        <v>837</v>
      </c>
      <c r="D1224" s="138">
        <v>8</v>
      </c>
      <c r="E1224" s="99"/>
      <c r="F1224" t="s" s="86">
        <v>232</v>
      </c>
      <c r="G1224" s="139">
        <v>0</v>
      </c>
      <c r="H1224" t="s" s="140">
        <v>838</v>
      </c>
      <c r="I1224" t="s" s="141">
        <v>96</v>
      </c>
      <c r="J1224" t="s" s="141">
        <v>97</v>
      </c>
      <c r="K1224" t="str" s="142" cm="1">
        <f t="array" ref="K1224">IF(OR(H1224="ריביות",AND(H1224="דירה כצנלסון",G1224&lt;0,ISNUMBER(SEARCH("הכנסה",F1224)))),"הכנסה שסווגה מחדש",J1224)</f>
        <v>שוטף</v>
      </c>
      <c r="L1224" t="s" s="141">
        <v>741</v>
      </c>
      <c r="M1224" s="143" cm="1">
        <f t="array" ref="M1224">IF(L1224="מאושר",IF(K1224="הכנסה שסווגה מחדש",0,G1224),0)</f>
        <v>0</v>
      </c>
      <c r="N1224" s="143" cm="1">
        <f t="array" ref="N1224">IF(K1224="שוטף",M1224,0)</f>
        <v>0</v>
      </c>
      <c r="O1224" s="143" cm="1">
        <f t="array" ref="O1224">IF(K1224="הכנסה שסווגה מחדש",-G1224,0)</f>
        <v>0</v>
      </c>
      <c r="P1224" s="99"/>
      <c r="Q1224" s="99"/>
      <c r="R1224" t="s" s="144">
        <v>743</v>
      </c>
      <c r="S1224" s="77"/>
    </row>
    <row r="1225" ht="13.65" customHeight="1">
      <c r="A1225" s="78">
        <v>46023</v>
      </c>
      <c r="B1225" t="s" s="79">
        <v>56</v>
      </c>
      <c r="C1225" t="s" s="80">
        <v>837</v>
      </c>
      <c r="D1225" s="131">
        <v>9</v>
      </c>
      <c r="E1225" t="s" s="79">
        <v>34</v>
      </c>
      <c r="F1225" t="s" s="80">
        <v>374</v>
      </c>
      <c r="G1225" s="132">
        <v>38</v>
      </c>
      <c r="H1225" t="s" s="133">
        <v>838</v>
      </c>
      <c r="I1225" t="s" s="134">
        <v>96</v>
      </c>
      <c r="J1225" t="s" s="134">
        <v>97</v>
      </c>
      <c r="K1225" t="str" s="135" cm="1">
        <f t="array" ref="K1225">IF(OR(H1225="ריביות",AND(H1225="דירה כצנלסון",G1225&lt;0,ISNUMBER(SEARCH("הכנסה",F1225)))),"הכנסה שסווגה מחדש",J1225)</f>
        <v>שוטף</v>
      </c>
      <c r="L1225" t="s" s="134">
        <v>741</v>
      </c>
      <c r="M1225" s="136" cm="1">
        <f t="array" ref="M1225">IF(L1225="מאושר",IF(K1225="הכנסה שסווגה מחדש",0,G1225),0)</f>
        <v>38</v>
      </c>
      <c r="N1225" s="136" cm="1">
        <f t="array" ref="N1225">IF(K1225="שוטף",M1225,0)</f>
        <v>38</v>
      </c>
      <c r="O1225" s="136" cm="1">
        <f t="array" ref="O1225">IF(K1225="הכנסה שסווגה מחדש",-G1225,0)</f>
        <v>0</v>
      </c>
      <c r="P1225" t="s" s="80">
        <v>762</v>
      </c>
      <c r="Q1225" s="100"/>
      <c r="R1225" t="s" s="137">
        <v>743</v>
      </c>
      <c r="S1225" s="77"/>
    </row>
    <row r="1226" ht="13.65" customHeight="1">
      <c r="A1226" s="84">
        <v>46023</v>
      </c>
      <c r="B1226" t="s" s="85">
        <v>56</v>
      </c>
      <c r="C1226" t="s" s="86">
        <v>837</v>
      </c>
      <c r="D1226" s="138">
        <v>10</v>
      </c>
      <c r="E1226" s="99"/>
      <c r="F1226" t="s" s="86">
        <v>211</v>
      </c>
      <c r="G1226" s="139">
        <v>400</v>
      </c>
      <c r="H1226" t="s" s="140">
        <v>838</v>
      </c>
      <c r="I1226" t="s" s="141">
        <v>96</v>
      </c>
      <c r="J1226" t="s" s="141">
        <v>97</v>
      </c>
      <c r="K1226" t="str" s="142" cm="1">
        <f t="array" ref="K1226">IF(OR(H1226="ריביות",AND(H1226="דירה כצנלסון",G1226&lt;0,ISNUMBER(SEARCH("הכנסה",F1226)))),"הכנסה שסווגה מחדש",J1226)</f>
        <v>שוטף</v>
      </c>
      <c r="L1226" t="s" s="141">
        <v>741</v>
      </c>
      <c r="M1226" s="143" cm="1">
        <f t="array" ref="M1226">IF(L1226="מאושר",IF(K1226="הכנסה שסווגה מחדש",0,G1226),0)</f>
        <v>400</v>
      </c>
      <c r="N1226" s="143" cm="1">
        <f t="array" ref="N1226">IF(K1226="שוטף",M1226,0)</f>
        <v>400</v>
      </c>
      <c r="O1226" s="143" cm="1">
        <f t="array" ref="O1226">IF(K1226="הכנסה שסווגה מחדש",-G1226,0)</f>
        <v>0</v>
      </c>
      <c r="P1226" t="s" s="86">
        <v>781</v>
      </c>
      <c r="Q1226" s="99"/>
      <c r="R1226" t="s" s="144">
        <v>743</v>
      </c>
      <c r="S1226" s="77"/>
    </row>
    <row r="1227" ht="13.65" customHeight="1">
      <c r="A1227" s="78">
        <v>46023</v>
      </c>
      <c r="B1227" t="s" s="79">
        <v>56</v>
      </c>
      <c r="C1227" t="s" s="80">
        <v>837</v>
      </c>
      <c r="D1227" s="131">
        <v>11</v>
      </c>
      <c r="E1227" t="s" s="79">
        <v>755</v>
      </c>
      <c r="F1227" t="s" s="80">
        <v>302</v>
      </c>
      <c r="G1227" s="132">
        <v>79</v>
      </c>
      <c r="H1227" t="s" s="133">
        <v>838</v>
      </c>
      <c r="I1227" t="s" s="134">
        <v>96</v>
      </c>
      <c r="J1227" t="s" s="134">
        <v>97</v>
      </c>
      <c r="K1227" t="str" s="135" cm="1">
        <f t="array" ref="K1227">IF(OR(H1227="ריביות",AND(H1227="דירה כצנלסון",G1227&lt;0,ISNUMBER(SEARCH("הכנסה",F1227)))),"הכנסה שסווגה מחדש",J1227)</f>
        <v>שוטף</v>
      </c>
      <c r="L1227" t="s" s="134">
        <v>741</v>
      </c>
      <c r="M1227" s="136" cm="1">
        <f t="array" ref="M1227">IF(L1227="מאושר",IF(K1227="הכנסה שסווגה מחדש",0,G1227),0)</f>
        <v>79</v>
      </c>
      <c r="N1227" s="136" cm="1">
        <f t="array" ref="N1227">IF(K1227="שוטף",M1227,0)</f>
        <v>79</v>
      </c>
      <c r="O1227" s="136" cm="1">
        <f t="array" ref="O1227">IF(K1227="הכנסה שסווגה מחדש",-G1227,0)</f>
        <v>0</v>
      </c>
      <c r="P1227" t="s" s="80">
        <v>762</v>
      </c>
      <c r="Q1227" s="100"/>
      <c r="R1227" t="s" s="137">
        <v>743</v>
      </c>
      <c r="S1227" s="77"/>
    </row>
    <row r="1228" ht="13.65" customHeight="1">
      <c r="A1228" s="84">
        <v>46023</v>
      </c>
      <c r="B1228" t="s" s="85">
        <v>56</v>
      </c>
      <c r="C1228" t="s" s="86">
        <v>837</v>
      </c>
      <c r="D1228" s="138">
        <v>12</v>
      </c>
      <c r="E1228" t="s" s="85">
        <v>739</v>
      </c>
      <c r="F1228" t="s" s="86">
        <v>320</v>
      </c>
      <c r="G1228" s="139">
        <v>59</v>
      </c>
      <c r="H1228" t="s" s="140">
        <v>838</v>
      </c>
      <c r="I1228" t="s" s="141">
        <v>96</v>
      </c>
      <c r="J1228" t="s" s="141">
        <v>97</v>
      </c>
      <c r="K1228" t="str" s="142" cm="1">
        <f t="array" ref="K1228">IF(OR(H1228="ריביות",AND(H1228="דירה כצנלסון",G1228&lt;0,ISNUMBER(SEARCH("הכנסה",F1228)))),"הכנסה שסווגה מחדש",J1228)</f>
        <v>שוטף</v>
      </c>
      <c r="L1228" t="s" s="141">
        <v>741</v>
      </c>
      <c r="M1228" s="143" cm="1">
        <f t="array" ref="M1228">IF(L1228="מאושר",IF(K1228="הכנסה שסווגה מחדש",0,G1228),0)</f>
        <v>59</v>
      </c>
      <c r="N1228" s="143" cm="1">
        <f t="array" ref="N1228">IF(K1228="שוטף",M1228,0)</f>
        <v>59</v>
      </c>
      <c r="O1228" s="143" cm="1">
        <f t="array" ref="O1228">IF(K1228="הכנסה שסווגה מחדש",-G1228,0)</f>
        <v>0</v>
      </c>
      <c r="P1228" t="s" s="86">
        <v>762</v>
      </c>
      <c r="Q1228" s="99"/>
      <c r="R1228" t="s" s="144">
        <v>743</v>
      </c>
      <c r="S1228" s="77"/>
    </row>
    <row r="1229" ht="13.65" customHeight="1">
      <c r="A1229" s="78">
        <v>46023</v>
      </c>
      <c r="B1229" t="s" s="79">
        <v>56</v>
      </c>
      <c r="C1229" t="s" s="80">
        <v>837</v>
      </c>
      <c r="D1229" s="131">
        <v>13</v>
      </c>
      <c r="E1229" t="s" s="79">
        <v>764</v>
      </c>
      <c r="F1229" t="s" s="80">
        <v>273</v>
      </c>
      <c r="G1229" s="132">
        <v>71</v>
      </c>
      <c r="H1229" t="s" s="133">
        <v>279</v>
      </c>
      <c r="I1229" t="s" s="134">
        <v>99</v>
      </c>
      <c r="J1229" t="s" s="134">
        <v>100</v>
      </c>
      <c r="K1229" t="str" s="135" cm="1">
        <f t="array" ref="K1229">IF(OR(H1229="ריביות",AND(H1229="דירה כצנלסון",G1229&lt;0,ISNUMBER(SEARCH("הכנסה",F1229)))),"הכנסה שסווגה מחדש",J1229)</f>
        <v>חריג/נכס</v>
      </c>
      <c r="L1229" t="s" s="134">
        <v>741</v>
      </c>
      <c r="M1229" s="136" cm="1">
        <f t="array" ref="M1229">IF(L1229="מאושר",IF(K1229="הכנסה שסווגה מחדש",0,G1229),0)</f>
        <v>71</v>
      </c>
      <c r="N1229" s="136" cm="1">
        <f t="array" ref="N1229">IF(K1229="שוטף",M1229,0)</f>
        <v>0</v>
      </c>
      <c r="O1229" s="136" cm="1">
        <f t="array" ref="O1229">IF(K1229="הכנסה שסווגה מחדש",-G1229,0)</f>
        <v>0</v>
      </c>
      <c r="P1229" t="s" s="80">
        <v>762</v>
      </c>
      <c r="Q1229" s="100"/>
      <c r="R1229" t="s" s="137">
        <v>743</v>
      </c>
      <c r="S1229" s="77"/>
    </row>
    <row r="1230" ht="13.65" customHeight="1">
      <c r="A1230" s="84">
        <v>46023</v>
      </c>
      <c r="B1230" t="s" s="85">
        <v>56</v>
      </c>
      <c r="C1230" t="s" s="86">
        <v>837</v>
      </c>
      <c r="D1230" s="138">
        <v>14</v>
      </c>
      <c r="E1230" t="s" s="85">
        <v>764</v>
      </c>
      <c r="F1230" t="s" s="86">
        <v>328</v>
      </c>
      <c r="G1230" s="139">
        <v>36</v>
      </c>
      <c r="H1230" t="s" s="140">
        <v>279</v>
      </c>
      <c r="I1230" t="s" s="141">
        <v>99</v>
      </c>
      <c r="J1230" t="s" s="141">
        <v>100</v>
      </c>
      <c r="K1230" t="str" s="142" cm="1">
        <f t="array" ref="K1230">IF(OR(H1230="ריביות",AND(H1230="דירה כצנלסון",G1230&lt;0,ISNUMBER(SEARCH("הכנסה",F1230)))),"הכנסה שסווגה מחדש",J1230)</f>
        <v>חריג/נכס</v>
      </c>
      <c r="L1230" t="s" s="141">
        <v>741</v>
      </c>
      <c r="M1230" s="143" cm="1">
        <f t="array" ref="M1230">IF(L1230="מאושר",IF(K1230="הכנסה שסווגה מחדש",0,G1230),0)</f>
        <v>36</v>
      </c>
      <c r="N1230" s="143" cm="1">
        <f t="array" ref="N1230">IF(K1230="שוטף",M1230,0)</f>
        <v>0</v>
      </c>
      <c r="O1230" s="143" cm="1">
        <f t="array" ref="O1230">IF(K1230="הכנסה שסווגה מחדש",-G1230,0)</f>
        <v>0</v>
      </c>
      <c r="P1230" t="s" s="86">
        <v>762</v>
      </c>
      <c r="Q1230" s="99"/>
      <c r="R1230" t="s" s="144">
        <v>743</v>
      </c>
      <c r="S1230" s="77"/>
    </row>
    <row r="1231" ht="13.65" customHeight="1">
      <c r="A1231" s="78">
        <v>46023</v>
      </c>
      <c r="B1231" t="s" s="79">
        <v>56</v>
      </c>
      <c r="C1231" t="s" s="80">
        <v>837</v>
      </c>
      <c r="D1231" s="131">
        <v>15</v>
      </c>
      <c r="E1231" t="s" s="79">
        <v>759</v>
      </c>
      <c r="F1231" t="s" s="80">
        <v>263</v>
      </c>
      <c r="G1231" s="132">
        <v>116</v>
      </c>
      <c r="H1231" t="s" s="133">
        <v>135</v>
      </c>
      <c r="I1231" t="s" s="134">
        <v>135</v>
      </c>
      <c r="J1231" t="s" s="134">
        <v>97</v>
      </c>
      <c r="K1231" t="str" s="135" cm="1">
        <f t="array" ref="K1231">IF(OR(H1231="ריביות",AND(H1231="דירה כצנלסון",G1231&lt;0,ISNUMBER(SEARCH("הכנסה",F1231)))),"הכנסה שסווגה מחדש",J1231)</f>
        <v>שוטף</v>
      </c>
      <c r="L1231" t="s" s="134">
        <v>741</v>
      </c>
      <c r="M1231" s="136" cm="1">
        <f t="array" ref="M1231">IF(L1231="מאושר",IF(K1231="הכנסה שסווגה מחדש",0,G1231),0)</f>
        <v>116</v>
      </c>
      <c r="N1231" s="136" cm="1">
        <f t="array" ref="N1231">IF(K1231="שוטף",M1231,0)</f>
        <v>116</v>
      </c>
      <c r="O1231" s="136" cm="1">
        <f t="array" ref="O1231">IF(K1231="הכנסה שסווגה מחדש",-G1231,0)</f>
        <v>0</v>
      </c>
      <c r="P1231" t="s" s="80">
        <v>770</v>
      </c>
      <c r="Q1231" s="100"/>
      <c r="R1231" t="s" s="137">
        <v>743</v>
      </c>
      <c r="S1231" s="77"/>
    </row>
    <row r="1232" ht="13.65" customHeight="1">
      <c r="A1232" s="84">
        <v>46023</v>
      </c>
      <c r="B1232" t="s" s="85">
        <v>56</v>
      </c>
      <c r="C1232" t="s" s="86">
        <v>837</v>
      </c>
      <c r="D1232" s="138">
        <v>16</v>
      </c>
      <c r="E1232" t="s" s="85">
        <v>34</v>
      </c>
      <c r="F1232" t="s" s="86">
        <v>245</v>
      </c>
      <c r="G1232" s="139">
        <v>56</v>
      </c>
      <c r="H1232" t="s" s="140">
        <v>767</v>
      </c>
      <c r="I1232" t="s" s="141">
        <v>107</v>
      </c>
      <c r="J1232" t="s" s="141">
        <v>97</v>
      </c>
      <c r="K1232" t="str" s="142" cm="1">
        <f t="array" ref="K1232">IF(OR(H1232="ריביות",AND(H1232="דירה כצנלסון",G1232&lt;0,ISNUMBER(SEARCH("הכנסה",F1232)))),"הכנסה שסווגה מחדש",J1232)</f>
        <v>שוטף</v>
      </c>
      <c r="L1232" t="s" s="141">
        <v>741</v>
      </c>
      <c r="M1232" s="143" cm="1">
        <f t="array" ref="M1232">IF(L1232="מאושר",IF(K1232="הכנסה שסווגה מחדש",0,G1232),0)</f>
        <v>56</v>
      </c>
      <c r="N1232" s="143" cm="1">
        <f t="array" ref="N1232">IF(K1232="שוטף",M1232,0)</f>
        <v>56</v>
      </c>
      <c r="O1232" s="143" cm="1">
        <f t="array" ref="O1232">IF(K1232="הכנסה שסווגה מחדש",-G1232,0)</f>
        <v>0</v>
      </c>
      <c r="P1232" t="s" s="86">
        <v>762</v>
      </c>
      <c r="Q1232" s="99"/>
      <c r="R1232" t="s" s="144">
        <v>743</v>
      </c>
      <c r="S1232" s="77"/>
    </row>
    <row r="1233" ht="13.65" customHeight="1">
      <c r="A1233" s="78">
        <v>46023</v>
      </c>
      <c r="B1233" t="s" s="79">
        <v>56</v>
      </c>
      <c r="C1233" t="s" s="80">
        <v>837</v>
      </c>
      <c r="D1233" s="131">
        <v>17</v>
      </c>
      <c r="E1233" t="s" s="79">
        <v>34</v>
      </c>
      <c r="F1233" t="s" s="80">
        <v>245</v>
      </c>
      <c r="G1233" s="132">
        <v>96</v>
      </c>
      <c r="H1233" t="s" s="133">
        <v>767</v>
      </c>
      <c r="I1233" t="s" s="134">
        <v>107</v>
      </c>
      <c r="J1233" t="s" s="134">
        <v>97</v>
      </c>
      <c r="K1233" t="str" s="135" cm="1">
        <f t="array" ref="K1233">IF(OR(H1233="ריביות",AND(H1233="דירה כצנלסון",G1233&lt;0,ISNUMBER(SEARCH("הכנסה",F1233)))),"הכנסה שסווגה מחדש",J1233)</f>
        <v>שוטף</v>
      </c>
      <c r="L1233" t="s" s="134">
        <v>741</v>
      </c>
      <c r="M1233" s="136" cm="1">
        <f t="array" ref="M1233">IF(L1233="מאושר",IF(K1233="הכנסה שסווגה מחדש",0,G1233),0)</f>
        <v>96</v>
      </c>
      <c r="N1233" s="136" cm="1">
        <f t="array" ref="N1233">IF(K1233="שוטף",M1233,0)</f>
        <v>96</v>
      </c>
      <c r="O1233" s="136" cm="1">
        <f t="array" ref="O1233">IF(K1233="הכנסה שסווגה מחדש",-G1233,0)</f>
        <v>0</v>
      </c>
      <c r="P1233" t="s" s="80">
        <v>770</v>
      </c>
      <c r="Q1233" s="100"/>
      <c r="R1233" t="s" s="137">
        <v>743</v>
      </c>
      <c r="S1233" s="77"/>
    </row>
    <row r="1234" ht="13.65" customHeight="1">
      <c r="A1234" s="84">
        <v>46023</v>
      </c>
      <c r="B1234" t="s" s="85">
        <v>56</v>
      </c>
      <c r="C1234" t="s" s="86">
        <v>837</v>
      </c>
      <c r="D1234" s="138">
        <v>18</v>
      </c>
      <c r="E1234" t="s" s="85">
        <v>773</v>
      </c>
      <c r="F1234" t="s" s="86">
        <v>222</v>
      </c>
      <c r="G1234" s="139">
        <v>632</v>
      </c>
      <c r="H1234" t="s" s="140">
        <v>111</v>
      </c>
      <c r="I1234" t="s" s="141">
        <v>111</v>
      </c>
      <c r="J1234" t="s" s="141">
        <v>97</v>
      </c>
      <c r="K1234" t="str" s="142" cm="1">
        <f t="array" ref="K1234">IF(OR(H1234="ריביות",AND(H1234="דירה כצנלסון",G1234&lt;0,ISNUMBER(SEARCH("הכנסה",F1234)))),"הכנסה שסווגה מחדש",J1234)</f>
        <v>שוטף</v>
      </c>
      <c r="L1234" t="s" s="141">
        <v>741</v>
      </c>
      <c r="M1234" s="143" cm="1">
        <f t="array" ref="M1234">IF(L1234="מאושר",IF(K1234="הכנסה שסווגה מחדש",0,G1234),0)</f>
        <v>632</v>
      </c>
      <c r="N1234" s="143" cm="1">
        <f t="array" ref="N1234">IF(K1234="שוטף",M1234,0)</f>
        <v>632</v>
      </c>
      <c r="O1234" s="143" cm="1">
        <f t="array" ref="O1234">IF(K1234="הכנסה שסווגה מחדש",-G1234,0)</f>
        <v>0</v>
      </c>
      <c r="P1234" t="s" s="86">
        <v>762</v>
      </c>
      <c r="Q1234" s="99"/>
      <c r="R1234" t="s" s="144">
        <v>743</v>
      </c>
      <c r="S1234" s="77"/>
    </row>
    <row r="1235" ht="13.65" customHeight="1">
      <c r="A1235" s="78">
        <v>46023</v>
      </c>
      <c r="B1235" t="s" s="79">
        <v>56</v>
      </c>
      <c r="C1235" t="s" s="80">
        <v>837</v>
      </c>
      <c r="D1235" s="131">
        <v>19</v>
      </c>
      <c r="E1235" t="s" s="79">
        <v>759</v>
      </c>
      <c r="F1235" t="s" s="80">
        <v>294</v>
      </c>
      <c r="G1235" s="132">
        <v>133</v>
      </c>
      <c r="H1235" t="s" s="133">
        <v>115</v>
      </c>
      <c r="I1235" t="s" s="134">
        <v>115</v>
      </c>
      <c r="J1235" t="s" s="134">
        <v>97</v>
      </c>
      <c r="K1235" t="str" s="135" cm="1">
        <f t="array" ref="K1235">IF(OR(H1235="ריביות",AND(H1235="דירה כצנלסון",G1235&lt;0,ISNUMBER(SEARCH("הכנסה",F1235)))),"הכנסה שסווגה מחדש",J1235)</f>
        <v>שוטף</v>
      </c>
      <c r="L1235" t="s" s="134">
        <v>741</v>
      </c>
      <c r="M1235" s="136" cm="1">
        <f t="array" ref="M1235">IF(L1235="מאושר",IF(K1235="הכנסה שסווגה מחדש",0,G1235),0)</f>
        <v>133</v>
      </c>
      <c r="N1235" s="136" cm="1">
        <f t="array" ref="N1235">IF(K1235="שוטף",M1235,0)</f>
        <v>133</v>
      </c>
      <c r="O1235" s="136" cm="1">
        <f t="array" ref="O1235">IF(K1235="הכנסה שסווגה מחדש",-G1235,0)</f>
        <v>0</v>
      </c>
      <c r="P1235" t="s" s="80">
        <v>762</v>
      </c>
      <c r="Q1235" s="100"/>
      <c r="R1235" t="s" s="137">
        <v>743</v>
      </c>
      <c r="S1235" s="77"/>
    </row>
    <row r="1236" ht="13.65" customHeight="1">
      <c r="A1236" s="84">
        <v>46023</v>
      </c>
      <c r="B1236" t="s" s="85">
        <v>56</v>
      </c>
      <c r="C1236" t="s" s="86">
        <v>837</v>
      </c>
      <c r="D1236" s="138">
        <v>20</v>
      </c>
      <c r="E1236" t="s" s="85">
        <v>34</v>
      </c>
      <c r="F1236" t="s" s="86">
        <v>704</v>
      </c>
      <c r="G1236" s="139">
        <v>2</v>
      </c>
      <c r="H1236" t="s" s="140">
        <v>139</v>
      </c>
      <c r="I1236" t="s" s="141">
        <v>139</v>
      </c>
      <c r="J1236" t="s" s="141">
        <v>97</v>
      </c>
      <c r="K1236" t="str" s="142" cm="1">
        <f t="array" ref="K1236">IF(OR(H1236="ריביות",AND(H1236="דירה כצנלסון",G1236&lt;0,ISNUMBER(SEARCH("הכנסה",F1236)))),"הכנסה שסווגה מחדש",J1236)</f>
        <v>שוטף</v>
      </c>
      <c r="L1236" t="s" s="141">
        <v>741</v>
      </c>
      <c r="M1236" s="143" cm="1">
        <f t="array" ref="M1236">IF(L1236="מאושר",IF(K1236="הכנסה שסווגה מחדש",0,G1236),0)</f>
        <v>2</v>
      </c>
      <c r="N1236" s="143" cm="1">
        <f t="array" ref="N1236">IF(K1236="שוטף",M1236,0)</f>
        <v>2</v>
      </c>
      <c r="O1236" s="143" cm="1">
        <f t="array" ref="O1236">IF(K1236="הכנסה שסווגה מחדש",-G1236,0)</f>
        <v>0</v>
      </c>
      <c r="P1236" t="s" s="86">
        <v>786</v>
      </c>
      <c r="Q1236" s="99"/>
      <c r="R1236" t="s" s="144">
        <v>743</v>
      </c>
      <c r="S1236" s="77"/>
    </row>
    <row r="1237" ht="13.65" customHeight="1">
      <c r="A1237" s="78">
        <v>46023</v>
      </c>
      <c r="B1237" t="s" s="79">
        <v>56</v>
      </c>
      <c r="C1237" t="s" s="80">
        <v>837</v>
      </c>
      <c r="D1237" s="131">
        <v>22</v>
      </c>
      <c r="E1237" t="s" s="79">
        <v>42</v>
      </c>
      <c r="F1237" t="s" s="80">
        <v>199</v>
      </c>
      <c r="G1237" s="132">
        <v>2250</v>
      </c>
      <c r="H1237" t="s" s="133">
        <v>839</v>
      </c>
      <c r="I1237" t="s" s="134">
        <v>107</v>
      </c>
      <c r="J1237" t="s" s="134">
        <v>97</v>
      </c>
      <c r="K1237" t="str" s="135" cm="1">
        <f t="array" ref="K1237">IF(OR(H1237="ריביות",AND(H1237="דירה כצנלסון",G1237&lt;0,ISNUMBER(SEARCH("הכנסה",F1237)))),"הכנסה שסווגה מחדש",J1237)</f>
        <v>שוטף</v>
      </c>
      <c r="L1237" t="s" s="134">
        <v>741</v>
      </c>
      <c r="M1237" s="136" cm="1">
        <f t="array" ref="M1237">IF(L1237="מאושר",IF(K1237="הכנסה שסווגה מחדש",0,G1237),0)</f>
        <v>2250</v>
      </c>
      <c r="N1237" s="136" cm="1">
        <f t="array" ref="N1237">IF(K1237="שוטף",M1237,0)</f>
        <v>2250</v>
      </c>
      <c r="O1237" s="136" cm="1">
        <f t="array" ref="O1237">IF(K1237="הכנסה שסווגה מחדש",-G1237,0)</f>
        <v>0</v>
      </c>
      <c r="P1237" t="s" s="79">
        <v>742</v>
      </c>
      <c r="Q1237" s="100"/>
      <c r="R1237" t="s" s="137">
        <v>743</v>
      </c>
      <c r="S1237" s="77"/>
    </row>
    <row r="1238" ht="13.65" customHeight="1">
      <c r="A1238" s="84">
        <v>46023</v>
      </c>
      <c r="B1238" t="s" s="85">
        <v>56</v>
      </c>
      <c r="C1238" t="s" s="86">
        <v>837</v>
      </c>
      <c r="D1238" s="138">
        <v>25</v>
      </c>
      <c r="E1238" t="s" s="85">
        <v>766</v>
      </c>
      <c r="F1238" t="s" s="86">
        <v>308</v>
      </c>
      <c r="G1238" s="139">
        <v>49</v>
      </c>
      <c r="H1238" t="s" s="140">
        <v>113</v>
      </c>
      <c r="I1238" t="s" s="141">
        <v>113</v>
      </c>
      <c r="J1238" t="s" s="141">
        <v>97</v>
      </c>
      <c r="K1238" t="str" s="142" cm="1">
        <f t="array" ref="K1238">IF(OR(H1238="ריביות",AND(H1238="דירה כצנלסון",G1238&lt;0,ISNUMBER(SEARCH("הכנסה",F1238)))),"הכנסה שסווגה מחדש",J1238)</f>
        <v>שוטף</v>
      </c>
      <c r="L1238" t="s" s="141">
        <v>741</v>
      </c>
      <c r="M1238" s="143" cm="1">
        <f t="array" ref="M1238">IF(L1238="מאושר",IF(K1238="הכנסה שסווגה מחדש",0,G1238),0)</f>
        <v>49</v>
      </c>
      <c r="N1238" s="143" cm="1">
        <f t="array" ref="N1238">IF(K1238="שוטף",M1238,0)</f>
        <v>49</v>
      </c>
      <c r="O1238" s="143" cm="1">
        <f t="array" ref="O1238">IF(K1238="הכנסה שסווגה מחדש",-G1238,0)</f>
        <v>0</v>
      </c>
      <c r="P1238" t="s" s="85">
        <v>748</v>
      </c>
      <c r="Q1238" s="99"/>
      <c r="R1238" t="s" s="144">
        <v>743</v>
      </c>
      <c r="S1238" s="77"/>
    </row>
    <row r="1239" ht="13.65" customHeight="1">
      <c r="A1239" s="78">
        <v>46023</v>
      </c>
      <c r="B1239" t="s" s="79">
        <v>56</v>
      </c>
      <c r="C1239" t="s" s="80">
        <v>837</v>
      </c>
      <c r="D1239" s="131">
        <v>26</v>
      </c>
      <c r="E1239" t="s" s="79">
        <v>766</v>
      </c>
      <c r="F1239" t="s" s="80">
        <v>213</v>
      </c>
      <c r="G1239" s="132">
        <v>210</v>
      </c>
      <c r="H1239" t="s" s="133">
        <v>115</v>
      </c>
      <c r="I1239" t="s" s="134">
        <v>115</v>
      </c>
      <c r="J1239" t="s" s="134">
        <v>97</v>
      </c>
      <c r="K1239" t="str" s="135" cm="1">
        <f t="array" ref="K1239">IF(OR(H1239="ריביות",AND(H1239="דירה כצנלסון",G1239&lt;0,ISNUMBER(SEARCH("הכנסה",F1239)))),"הכנסה שסווגה מחדש",J1239)</f>
        <v>שוטף</v>
      </c>
      <c r="L1239" t="s" s="134">
        <v>741</v>
      </c>
      <c r="M1239" s="136" cm="1">
        <f t="array" ref="M1239">IF(L1239="מאושר",IF(K1239="הכנסה שסווגה מחדש",0,G1239),0)</f>
        <v>210</v>
      </c>
      <c r="N1239" s="136" cm="1">
        <f t="array" ref="N1239">IF(K1239="שוטף",M1239,0)</f>
        <v>210</v>
      </c>
      <c r="O1239" s="136" cm="1">
        <f t="array" ref="O1239">IF(K1239="הכנסה שסווגה מחדש",-G1239,0)</f>
        <v>0</v>
      </c>
      <c r="P1239" t="s" s="79">
        <v>748</v>
      </c>
      <c r="Q1239" s="100"/>
      <c r="R1239" t="s" s="137">
        <v>743</v>
      </c>
      <c r="S1239" s="77"/>
    </row>
    <row r="1240" ht="13.65" customHeight="1">
      <c r="A1240" s="84">
        <v>46023</v>
      </c>
      <c r="B1240" t="s" s="85">
        <v>56</v>
      </c>
      <c r="C1240" t="s" s="86">
        <v>837</v>
      </c>
      <c r="D1240" s="138">
        <v>27</v>
      </c>
      <c r="E1240" t="s" s="85">
        <v>765</v>
      </c>
      <c r="F1240" t="s" s="86">
        <v>277</v>
      </c>
      <c r="G1240" s="139">
        <v>72</v>
      </c>
      <c r="H1240" t="s" s="140">
        <v>115</v>
      </c>
      <c r="I1240" t="s" s="141">
        <v>115</v>
      </c>
      <c r="J1240" t="s" s="141">
        <v>97</v>
      </c>
      <c r="K1240" t="str" s="142" cm="1">
        <f t="array" ref="K1240">IF(OR(H1240="ריביות",AND(H1240="דירה כצנלסון",G1240&lt;0,ISNUMBER(SEARCH("הכנסה",F1240)))),"הכנסה שסווגה מחדש",J1240)</f>
        <v>שוטף</v>
      </c>
      <c r="L1240" t="s" s="141">
        <v>741</v>
      </c>
      <c r="M1240" s="143" cm="1">
        <f t="array" ref="M1240">IF(L1240="מאושר",IF(K1240="הכנסה שסווגה מחדש",0,G1240),0)</f>
        <v>72</v>
      </c>
      <c r="N1240" s="143" cm="1">
        <f t="array" ref="N1240">IF(K1240="שוטף",M1240,0)</f>
        <v>72</v>
      </c>
      <c r="O1240" s="143" cm="1">
        <f t="array" ref="O1240">IF(K1240="הכנסה שסווגה מחדש",-G1240,0)</f>
        <v>0</v>
      </c>
      <c r="P1240" t="s" s="85">
        <v>748</v>
      </c>
      <c r="Q1240" s="99"/>
      <c r="R1240" t="s" s="144">
        <v>743</v>
      </c>
      <c r="S1240" s="77"/>
    </row>
    <row r="1241" ht="13.65" customHeight="1">
      <c r="A1241" s="78">
        <v>46023</v>
      </c>
      <c r="B1241" t="s" s="79">
        <v>56</v>
      </c>
      <c r="C1241" t="s" s="80">
        <v>837</v>
      </c>
      <c r="D1241" s="131">
        <v>28</v>
      </c>
      <c r="E1241" t="s" s="79">
        <v>46</v>
      </c>
      <c r="F1241" t="s" s="80">
        <v>401</v>
      </c>
      <c r="G1241" s="132">
        <v>97</v>
      </c>
      <c r="H1241" t="s" s="133">
        <v>839</v>
      </c>
      <c r="I1241" t="s" s="134">
        <v>107</v>
      </c>
      <c r="J1241" t="s" s="134">
        <v>97</v>
      </c>
      <c r="K1241" t="str" s="135" cm="1">
        <f t="array" ref="K1241">IF(OR(H1241="ריביות",AND(H1241="דירה כצנלסון",G1241&lt;0,ISNUMBER(SEARCH("הכנסה",F1241)))),"הכנסה שסווגה מחדש",J1241)</f>
        <v>שוטף</v>
      </c>
      <c r="L1241" t="s" s="134">
        <v>741</v>
      </c>
      <c r="M1241" s="136" cm="1">
        <f t="array" ref="M1241">IF(L1241="מאושר",IF(K1241="הכנסה שסווגה מחדש",0,G1241),0)</f>
        <v>97</v>
      </c>
      <c r="N1241" s="136" cm="1">
        <f t="array" ref="N1241">IF(K1241="שוטף",M1241,0)</f>
        <v>97</v>
      </c>
      <c r="O1241" s="136" cm="1">
        <f t="array" ref="O1241">IF(K1241="הכנסה שסווגה מחדש",-G1241,0)</f>
        <v>0</v>
      </c>
      <c r="P1241" t="s" s="79">
        <v>758</v>
      </c>
      <c r="Q1241" s="100"/>
      <c r="R1241" t="s" s="137">
        <v>743</v>
      </c>
      <c r="S1241" s="77"/>
    </row>
    <row r="1242" ht="13.65" customHeight="1">
      <c r="A1242" s="84">
        <v>46023</v>
      </c>
      <c r="B1242" t="s" s="85">
        <v>56</v>
      </c>
      <c r="C1242" t="s" s="86">
        <v>837</v>
      </c>
      <c r="D1242" s="138">
        <v>29</v>
      </c>
      <c r="E1242" t="s" s="85">
        <v>765</v>
      </c>
      <c r="F1242" t="s" s="86">
        <v>277</v>
      </c>
      <c r="G1242" s="139">
        <v>8</v>
      </c>
      <c r="H1242" t="s" s="140">
        <v>115</v>
      </c>
      <c r="I1242" t="s" s="141">
        <v>115</v>
      </c>
      <c r="J1242" t="s" s="141">
        <v>97</v>
      </c>
      <c r="K1242" t="str" s="142" cm="1">
        <f t="array" ref="K1242">IF(OR(H1242="ריביות",AND(H1242="דירה כצנלסון",G1242&lt;0,ISNUMBER(SEARCH("הכנסה",F1242)))),"הכנסה שסווגה מחדש",J1242)</f>
        <v>שוטף</v>
      </c>
      <c r="L1242" t="s" s="141">
        <v>741</v>
      </c>
      <c r="M1242" s="143" cm="1">
        <f t="array" ref="M1242">IF(L1242="מאושר",IF(K1242="הכנסה שסווגה מחדש",0,G1242),0)</f>
        <v>8</v>
      </c>
      <c r="N1242" s="143" cm="1">
        <f t="array" ref="N1242">IF(K1242="שוטף",M1242,0)</f>
        <v>8</v>
      </c>
      <c r="O1242" s="143" cm="1">
        <f t="array" ref="O1242">IF(K1242="הכנסה שסווגה מחדש",-G1242,0)</f>
        <v>0</v>
      </c>
      <c r="P1242" t="s" s="85">
        <v>758</v>
      </c>
      <c r="Q1242" s="99"/>
      <c r="R1242" t="s" s="144">
        <v>743</v>
      </c>
      <c r="S1242" s="77"/>
    </row>
    <row r="1243" ht="13.65" customHeight="1">
      <c r="A1243" s="78">
        <v>46023</v>
      </c>
      <c r="B1243" t="s" s="79">
        <v>56</v>
      </c>
      <c r="C1243" t="s" s="80">
        <v>837</v>
      </c>
      <c r="D1243" s="131">
        <v>30</v>
      </c>
      <c r="E1243" t="s" s="79">
        <v>42</v>
      </c>
      <c r="F1243" t="s" s="80">
        <v>391</v>
      </c>
      <c r="G1243" s="132">
        <v>38</v>
      </c>
      <c r="H1243" t="s" s="133">
        <v>115</v>
      </c>
      <c r="I1243" t="s" s="134">
        <v>115</v>
      </c>
      <c r="J1243" t="s" s="134">
        <v>97</v>
      </c>
      <c r="K1243" t="str" s="135" cm="1">
        <f t="array" ref="K1243">IF(OR(H1243="ריביות",AND(H1243="דירה כצנלסון",G1243&lt;0,ISNUMBER(SEARCH("הכנסה",F1243)))),"הכנסה שסווגה מחדש",J1243)</f>
        <v>שוטף</v>
      </c>
      <c r="L1243" t="s" s="134">
        <v>741</v>
      </c>
      <c r="M1243" s="136" cm="1">
        <f t="array" ref="M1243">IF(L1243="מאושר",IF(K1243="הכנסה שסווגה מחדש",0,G1243),0)</f>
        <v>38</v>
      </c>
      <c r="N1243" s="136" cm="1">
        <f t="array" ref="N1243">IF(K1243="שוטף",M1243,0)</f>
        <v>38</v>
      </c>
      <c r="O1243" s="136" cm="1">
        <f t="array" ref="O1243">IF(K1243="הכנסה שסווגה מחדש",-G1243,0)</f>
        <v>0</v>
      </c>
      <c r="P1243" t="s" s="80">
        <v>762</v>
      </c>
      <c r="Q1243" s="100"/>
      <c r="R1243" t="s" s="137">
        <v>743</v>
      </c>
      <c r="S1243" s="77"/>
    </row>
    <row r="1244" ht="13.65" customHeight="1">
      <c r="A1244" s="84">
        <v>46023</v>
      </c>
      <c r="B1244" t="s" s="85">
        <v>56</v>
      </c>
      <c r="C1244" t="s" s="86">
        <v>837</v>
      </c>
      <c r="D1244" s="138">
        <v>31</v>
      </c>
      <c r="E1244" t="s" s="85">
        <v>42</v>
      </c>
      <c r="F1244" t="s" s="86">
        <v>200</v>
      </c>
      <c r="G1244" s="139">
        <v>12</v>
      </c>
      <c r="H1244" t="s" s="140">
        <v>109</v>
      </c>
      <c r="I1244" t="s" s="141">
        <v>109</v>
      </c>
      <c r="J1244" t="s" s="141">
        <v>97</v>
      </c>
      <c r="K1244" t="str" s="142" cm="1">
        <f t="array" ref="K1244">IF(OR(H1244="ריביות",AND(H1244="דירה כצנלסון",G1244&lt;0,ISNUMBER(SEARCH("הכנסה",F1244)))),"הכנסה שסווגה מחדש",J1244)</f>
        <v>שוטף</v>
      </c>
      <c r="L1244" t="s" s="141">
        <v>741</v>
      </c>
      <c r="M1244" s="143" cm="1">
        <f t="array" ref="M1244">IF(L1244="מאושר",IF(K1244="הכנסה שסווגה מחדש",0,G1244),0)</f>
        <v>12</v>
      </c>
      <c r="N1244" s="143" cm="1">
        <f t="array" ref="N1244">IF(K1244="שוטף",M1244,0)</f>
        <v>12</v>
      </c>
      <c r="O1244" s="143" cm="1">
        <f t="array" ref="O1244">IF(K1244="הכנסה שסווגה מחדש",-G1244,0)</f>
        <v>0</v>
      </c>
      <c r="P1244" t="s" s="86">
        <v>762</v>
      </c>
      <c r="Q1244" s="99"/>
      <c r="R1244" t="s" s="144">
        <v>743</v>
      </c>
      <c r="S1244" s="77"/>
    </row>
    <row r="1245" ht="13.65" customHeight="1">
      <c r="A1245" s="78">
        <v>46023</v>
      </c>
      <c r="B1245" t="s" s="79">
        <v>56</v>
      </c>
      <c r="C1245" t="s" s="80">
        <v>837</v>
      </c>
      <c r="D1245" s="131">
        <v>32</v>
      </c>
      <c r="E1245" t="s" s="79">
        <v>769</v>
      </c>
      <c r="F1245" t="s" s="80">
        <v>200</v>
      </c>
      <c r="G1245" s="132">
        <v>151</v>
      </c>
      <c r="H1245" t="s" s="133">
        <v>109</v>
      </c>
      <c r="I1245" t="s" s="134">
        <v>109</v>
      </c>
      <c r="J1245" t="s" s="134">
        <v>97</v>
      </c>
      <c r="K1245" t="str" s="135" cm="1">
        <f t="array" ref="K1245">IF(OR(H1245="ריביות",AND(H1245="דירה כצנלסון",G1245&lt;0,ISNUMBER(SEARCH("הכנסה",F1245)))),"הכנסה שסווגה מחדש",J1245)</f>
        <v>שוטף</v>
      </c>
      <c r="L1245" t="s" s="134">
        <v>741</v>
      </c>
      <c r="M1245" s="136" cm="1">
        <f t="array" ref="M1245">IF(L1245="מאושר",IF(K1245="הכנסה שסווגה מחדש",0,G1245),0)</f>
        <v>151</v>
      </c>
      <c r="N1245" s="136" cm="1">
        <f t="array" ref="N1245">IF(K1245="שוטף",M1245,0)</f>
        <v>151</v>
      </c>
      <c r="O1245" s="136" cm="1">
        <f t="array" ref="O1245">IF(K1245="הכנסה שסווגה מחדש",-G1245,0)</f>
        <v>0</v>
      </c>
      <c r="P1245" t="s" s="80">
        <v>762</v>
      </c>
      <c r="Q1245" s="100"/>
      <c r="R1245" t="s" s="137">
        <v>743</v>
      </c>
      <c r="S1245" s="77"/>
    </row>
    <row r="1246" ht="13.65" customHeight="1">
      <c r="A1246" s="84">
        <v>46023</v>
      </c>
      <c r="B1246" t="s" s="85">
        <v>56</v>
      </c>
      <c r="C1246" t="s" s="86">
        <v>837</v>
      </c>
      <c r="D1246" s="138">
        <v>33</v>
      </c>
      <c r="E1246" t="s" s="85">
        <v>769</v>
      </c>
      <c r="F1246" t="s" s="86">
        <v>200</v>
      </c>
      <c r="G1246" s="139">
        <v>69</v>
      </c>
      <c r="H1246" t="s" s="140">
        <v>109</v>
      </c>
      <c r="I1246" t="s" s="141">
        <v>109</v>
      </c>
      <c r="J1246" t="s" s="141">
        <v>97</v>
      </c>
      <c r="K1246" t="str" s="142" cm="1">
        <f t="array" ref="K1246">IF(OR(H1246="ריביות",AND(H1246="דירה כצנלסון",G1246&lt;0,ISNUMBER(SEARCH("הכנסה",F1246)))),"הכנסה שסווגה מחדש",J1246)</f>
        <v>שוטף</v>
      </c>
      <c r="L1246" t="s" s="141">
        <v>741</v>
      </c>
      <c r="M1246" s="143" cm="1">
        <f t="array" ref="M1246">IF(L1246="מאושר",IF(K1246="הכנסה שסווגה מחדש",0,G1246),0)</f>
        <v>69</v>
      </c>
      <c r="N1246" s="143" cm="1">
        <f t="array" ref="N1246">IF(K1246="שוטף",M1246,0)</f>
        <v>69</v>
      </c>
      <c r="O1246" s="143" cm="1">
        <f t="array" ref="O1246">IF(K1246="הכנסה שסווגה מחדש",-G1246,0)</f>
        <v>0</v>
      </c>
      <c r="P1246" t="s" s="86">
        <v>762</v>
      </c>
      <c r="Q1246" s="99"/>
      <c r="R1246" t="s" s="144">
        <v>743</v>
      </c>
      <c r="S1246" s="77"/>
    </row>
    <row r="1247" ht="13.65" customHeight="1">
      <c r="A1247" s="78">
        <v>46023</v>
      </c>
      <c r="B1247" t="s" s="79">
        <v>56</v>
      </c>
      <c r="C1247" t="s" s="80">
        <v>837</v>
      </c>
      <c r="D1247" s="131">
        <v>34</v>
      </c>
      <c r="E1247" t="s" s="79">
        <v>749</v>
      </c>
      <c r="F1247" t="s" s="80">
        <v>281</v>
      </c>
      <c r="G1247" s="132">
        <v>100</v>
      </c>
      <c r="H1247" t="s" s="133">
        <v>125</v>
      </c>
      <c r="I1247" t="s" s="134">
        <v>125</v>
      </c>
      <c r="J1247" t="s" s="134">
        <v>97</v>
      </c>
      <c r="K1247" t="str" s="135" cm="1">
        <f t="array" ref="K1247">IF(OR(H1247="ריביות",AND(H1247="דירה כצנלסון",G1247&lt;0,ISNUMBER(SEARCH("הכנסה",F1247)))),"הכנסה שסווגה מחדש",J1247)</f>
        <v>שוטף</v>
      </c>
      <c r="L1247" t="s" s="134">
        <v>741</v>
      </c>
      <c r="M1247" s="136" cm="1">
        <f t="array" ref="M1247">IF(L1247="מאושר",IF(K1247="הכנסה שסווגה מחדש",0,G1247),0)</f>
        <v>100</v>
      </c>
      <c r="N1247" s="136" cm="1">
        <f t="array" ref="N1247">IF(K1247="שוטף",M1247,0)</f>
        <v>100</v>
      </c>
      <c r="O1247" s="136" cm="1">
        <f t="array" ref="O1247">IF(K1247="הכנסה שסווגה מחדש",-G1247,0)</f>
        <v>0</v>
      </c>
      <c r="P1247" t="s" s="80">
        <v>762</v>
      </c>
      <c r="Q1247" s="100"/>
      <c r="R1247" t="s" s="137">
        <v>743</v>
      </c>
      <c r="S1247" s="77"/>
    </row>
    <row r="1248" ht="13.65" customHeight="1">
      <c r="A1248" s="84">
        <v>46023</v>
      </c>
      <c r="B1248" t="s" s="85">
        <v>56</v>
      </c>
      <c r="C1248" t="s" s="86">
        <v>837</v>
      </c>
      <c r="D1248" s="138">
        <v>35</v>
      </c>
      <c r="E1248" t="s" s="85">
        <v>749</v>
      </c>
      <c r="F1248" t="s" s="86">
        <v>200</v>
      </c>
      <c r="G1248" s="139">
        <v>32</v>
      </c>
      <c r="H1248" t="s" s="140">
        <v>109</v>
      </c>
      <c r="I1248" t="s" s="141">
        <v>109</v>
      </c>
      <c r="J1248" t="s" s="141">
        <v>97</v>
      </c>
      <c r="K1248" t="str" s="142" cm="1">
        <f t="array" ref="K1248">IF(OR(H1248="ריביות",AND(H1248="דירה כצנלסון",G1248&lt;0,ISNUMBER(SEARCH("הכנסה",F1248)))),"הכנסה שסווגה מחדש",J1248)</f>
        <v>שוטף</v>
      </c>
      <c r="L1248" t="s" s="141">
        <v>741</v>
      </c>
      <c r="M1248" s="143" cm="1">
        <f t="array" ref="M1248">IF(L1248="מאושר",IF(K1248="הכנסה שסווגה מחדש",0,G1248),0)</f>
        <v>32</v>
      </c>
      <c r="N1248" s="143" cm="1">
        <f t="array" ref="N1248">IF(K1248="שוטף",M1248,0)</f>
        <v>32</v>
      </c>
      <c r="O1248" s="143" cm="1">
        <f t="array" ref="O1248">IF(K1248="הכנסה שסווגה מחדש",-G1248,0)</f>
        <v>0</v>
      </c>
      <c r="P1248" t="s" s="86">
        <v>762</v>
      </c>
      <c r="Q1248" s="99"/>
      <c r="R1248" t="s" s="144">
        <v>743</v>
      </c>
      <c r="S1248" s="77"/>
    </row>
    <row r="1249" ht="13.65" customHeight="1">
      <c r="A1249" s="78">
        <v>46023</v>
      </c>
      <c r="B1249" t="s" s="79">
        <v>56</v>
      </c>
      <c r="C1249" t="s" s="80">
        <v>837</v>
      </c>
      <c r="D1249" s="131">
        <v>36</v>
      </c>
      <c r="E1249" t="s" s="79">
        <v>789</v>
      </c>
      <c r="F1249" t="s" s="80">
        <v>200</v>
      </c>
      <c r="G1249" s="132">
        <v>92</v>
      </c>
      <c r="H1249" t="s" s="133">
        <v>109</v>
      </c>
      <c r="I1249" t="s" s="134">
        <v>109</v>
      </c>
      <c r="J1249" t="s" s="134">
        <v>97</v>
      </c>
      <c r="K1249" t="str" s="135" cm="1">
        <f t="array" ref="K1249">IF(OR(H1249="ריביות",AND(H1249="דירה כצנלסון",G1249&lt;0,ISNUMBER(SEARCH("הכנסה",F1249)))),"הכנסה שסווגה מחדש",J1249)</f>
        <v>שוטף</v>
      </c>
      <c r="L1249" t="s" s="134">
        <v>741</v>
      </c>
      <c r="M1249" s="136" cm="1">
        <f t="array" ref="M1249">IF(L1249="מאושר",IF(K1249="הכנסה שסווגה מחדש",0,G1249),0)</f>
        <v>92</v>
      </c>
      <c r="N1249" s="136" cm="1">
        <f t="array" ref="N1249">IF(K1249="שוטף",M1249,0)</f>
        <v>92</v>
      </c>
      <c r="O1249" s="136" cm="1">
        <f t="array" ref="O1249">IF(K1249="הכנסה שסווגה מחדש",-G1249,0)</f>
        <v>0</v>
      </c>
      <c r="P1249" t="s" s="80">
        <v>762</v>
      </c>
      <c r="Q1249" s="100"/>
      <c r="R1249" t="s" s="137">
        <v>743</v>
      </c>
      <c r="S1249" s="77"/>
    </row>
    <row r="1250" ht="13.65" customHeight="1">
      <c r="A1250" s="84">
        <v>46023</v>
      </c>
      <c r="B1250" t="s" s="85">
        <v>56</v>
      </c>
      <c r="C1250" t="s" s="86">
        <v>837</v>
      </c>
      <c r="D1250" s="138">
        <v>37</v>
      </c>
      <c r="E1250" t="s" s="85">
        <v>789</v>
      </c>
      <c r="F1250" t="s" s="86">
        <v>254</v>
      </c>
      <c r="G1250" s="139">
        <v>22</v>
      </c>
      <c r="H1250" t="s" s="140">
        <v>109</v>
      </c>
      <c r="I1250" t="s" s="141">
        <v>109</v>
      </c>
      <c r="J1250" t="s" s="141">
        <v>97</v>
      </c>
      <c r="K1250" t="str" s="142" cm="1">
        <f t="array" ref="K1250">IF(OR(H1250="ריביות",AND(H1250="דירה כצנלסון",G1250&lt;0,ISNUMBER(SEARCH("הכנסה",F1250)))),"הכנסה שסווגה מחדש",J1250)</f>
        <v>שוטף</v>
      </c>
      <c r="L1250" t="s" s="141">
        <v>741</v>
      </c>
      <c r="M1250" s="143" cm="1">
        <f t="array" ref="M1250">IF(L1250="מאושר",IF(K1250="הכנסה שסווגה מחדש",0,G1250),0)</f>
        <v>22</v>
      </c>
      <c r="N1250" s="143" cm="1">
        <f t="array" ref="N1250">IF(K1250="שוטף",M1250,0)</f>
        <v>22</v>
      </c>
      <c r="O1250" s="143" cm="1">
        <f t="array" ref="O1250">IF(K1250="הכנסה שסווגה מחדש",-G1250,0)</f>
        <v>0</v>
      </c>
      <c r="P1250" t="s" s="86">
        <v>762</v>
      </c>
      <c r="Q1250" s="99"/>
      <c r="R1250" t="s" s="144">
        <v>743</v>
      </c>
      <c r="S1250" s="77"/>
    </row>
    <row r="1251" ht="13.65" customHeight="1">
      <c r="A1251" s="78">
        <v>46023</v>
      </c>
      <c r="B1251" t="s" s="79">
        <v>56</v>
      </c>
      <c r="C1251" t="s" s="80">
        <v>837</v>
      </c>
      <c r="D1251" s="131">
        <v>38</v>
      </c>
      <c r="E1251" t="s" s="79">
        <v>788</v>
      </c>
      <c r="F1251" t="s" s="80">
        <v>308</v>
      </c>
      <c r="G1251" s="132">
        <v>20</v>
      </c>
      <c r="H1251" t="s" s="133">
        <v>113</v>
      </c>
      <c r="I1251" t="s" s="134">
        <v>113</v>
      </c>
      <c r="J1251" t="s" s="134">
        <v>97</v>
      </c>
      <c r="K1251" t="str" s="135" cm="1">
        <f t="array" ref="K1251">IF(OR(H1251="ריביות",AND(H1251="דירה כצנלסון",G1251&lt;0,ISNUMBER(SEARCH("הכנסה",F1251)))),"הכנסה שסווגה מחדש",J1251)</f>
        <v>שוטף</v>
      </c>
      <c r="L1251" t="s" s="134">
        <v>741</v>
      </c>
      <c r="M1251" s="136" cm="1">
        <f t="array" ref="M1251">IF(L1251="מאושר",IF(K1251="הכנסה שסווגה מחדש",0,G1251),0)</f>
        <v>20</v>
      </c>
      <c r="N1251" s="136" cm="1">
        <f t="array" ref="N1251">IF(K1251="שוטף",M1251,0)</f>
        <v>20</v>
      </c>
      <c r="O1251" s="136" cm="1">
        <f t="array" ref="O1251">IF(K1251="הכנסה שסווגה מחדש",-G1251,0)</f>
        <v>0</v>
      </c>
      <c r="P1251" t="s" s="80">
        <v>762</v>
      </c>
      <c r="Q1251" s="100"/>
      <c r="R1251" t="s" s="137">
        <v>743</v>
      </c>
      <c r="S1251" s="77"/>
    </row>
    <row r="1252" ht="13.65" customHeight="1">
      <c r="A1252" s="84">
        <v>46023</v>
      </c>
      <c r="B1252" t="s" s="85">
        <v>56</v>
      </c>
      <c r="C1252" t="s" s="86">
        <v>837</v>
      </c>
      <c r="D1252" s="138">
        <v>39</v>
      </c>
      <c r="E1252" t="s" s="85">
        <v>788</v>
      </c>
      <c r="F1252" t="s" s="86">
        <v>200</v>
      </c>
      <c r="G1252" s="139">
        <v>33</v>
      </c>
      <c r="H1252" t="s" s="140">
        <v>109</v>
      </c>
      <c r="I1252" t="s" s="141">
        <v>109</v>
      </c>
      <c r="J1252" t="s" s="141">
        <v>97</v>
      </c>
      <c r="K1252" t="str" s="142" cm="1">
        <f t="array" ref="K1252">IF(OR(H1252="ריביות",AND(H1252="דירה כצנלסון",G1252&lt;0,ISNUMBER(SEARCH("הכנסה",F1252)))),"הכנסה שסווגה מחדש",J1252)</f>
        <v>שוטף</v>
      </c>
      <c r="L1252" t="s" s="141">
        <v>741</v>
      </c>
      <c r="M1252" s="143" cm="1">
        <f t="array" ref="M1252">IF(L1252="מאושר",IF(K1252="הכנסה שסווגה מחדש",0,G1252),0)</f>
        <v>33</v>
      </c>
      <c r="N1252" s="143" cm="1">
        <f t="array" ref="N1252">IF(K1252="שוטף",M1252,0)</f>
        <v>33</v>
      </c>
      <c r="O1252" s="143" cm="1">
        <f t="array" ref="O1252">IF(K1252="הכנסה שסווגה מחדש",-G1252,0)</f>
        <v>0</v>
      </c>
      <c r="P1252" t="s" s="86">
        <v>762</v>
      </c>
      <c r="Q1252" s="99"/>
      <c r="R1252" t="s" s="144">
        <v>743</v>
      </c>
      <c r="S1252" s="77"/>
    </row>
    <row r="1253" ht="13.65" customHeight="1">
      <c r="A1253" s="78">
        <v>46023</v>
      </c>
      <c r="B1253" t="s" s="79">
        <v>56</v>
      </c>
      <c r="C1253" t="s" s="80">
        <v>837</v>
      </c>
      <c r="D1253" s="131">
        <v>40</v>
      </c>
      <c r="E1253" t="s" s="79">
        <v>739</v>
      </c>
      <c r="F1253" t="s" s="80">
        <v>200</v>
      </c>
      <c r="G1253" s="132">
        <v>294</v>
      </c>
      <c r="H1253" t="s" s="133">
        <v>109</v>
      </c>
      <c r="I1253" t="s" s="134">
        <v>109</v>
      </c>
      <c r="J1253" t="s" s="134">
        <v>97</v>
      </c>
      <c r="K1253" t="str" s="135" cm="1">
        <f t="array" ref="K1253">IF(OR(H1253="ריביות",AND(H1253="דירה כצנלסון",G1253&lt;0,ISNUMBER(SEARCH("הכנסה",F1253)))),"הכנסה שסווגה מחדש",J1253)</f>
        <v>שוטף</v>
      </c>
      <c r="L1253" t="s" s="134">
        <v>741</v>
      </c>
      <c r="M1253" s="136" cm="1">
        <f t="array" ref="M1253">IF(L1253="מאושר",IF(K1253="הכנסה שסווגה מחדש",0,G1253),0)</f>
        <v>294</v>
      </c>
      <c r="N1253" s="136" cm="1">
        <f t="array" ref="N1253">IF(K1253="שוטף",M1253,0)</f>
        <v>294</v>
      </c>
      <c r="O1253" s="136" cm="1">
        <f t="array" ref="O1253">IF(K1253="הכנסה שסווגה מחדש",-G1253,0)</f>
        <v>0</v>
      </c>
      <c r="P1253" t="s" s="80">
        <v>762</v>
      </c>
      <c r="Q1253" s="100"/>
      <c r="R1253" t="s" s="137">
        <v>743</v>
      </c>
      <c r="S1253" s="77"/>
    </row>
    <row r="1254" ht="13.65" customHeight="1">
      <c r="A1254" s="84">
        <v>46023</v>
      </c>
      <c r="B1254" t="s" s="85">
        <v>56</v>
      </c>
      <c r="C1254" t="s" s="86">
        <v>837</v>
      </c>
      <c r="D1254" s="138">
        <v>41</v>
      </c>
      <c r="E1254" t="s" s="85">
        <v>739</v>
      </c>
      <c r="F1254" t="s" s="86">
        <v>290</v>
      </c>
      <c r="G1254" s="139">
        <v>1086</v>
      </c>
      <c r="H1254" t="s" s="140">
        <v>115</v>
      </c>
      <c r="I1254" t="s" s="141">
        <v>115</v>
      </c>
      <c r="J1254" t="s" s="141">
        <v>97</v>
      </c>
      <c r="K1254" t="str" s="142" cm="1">
        <f t="array" ref="K1254">IF(OR(H1254="ריביות",AND(H1254="דירה כצנלסון",G1254&lt;0,ISNUMBER(SEARCH("הכנסה",F1254)))),"הכנסה שסווגה מחדש",J1254)</f>
        <v>שוטף</v>
      </c>
      <c r="L1254" t="s" s="141">
        <v>741</v>
      </c>
      <c r="M1254" s="143" cm="1">
        <f t="array" ref="M1254">IF(L1254="מאושר",IF(K1254="הכנסה שסווגה מחדש",0,G1254),0)</f>
        <v>1086</v>
      </c>
      <c r="N1254" s="143" cm="1">
        <f t="array" ref="N1254">IF(K1254="שוטף",M1254,0)</f>
        <v>1086</v>
      </c>
      <c r="O1254" s="143" cm="1">
        <f t="array" ref="O1254">IF(K1254="הכנסה שסווגה מחדש",-G1254,0)</f>
        <v>0</v>
      </c>
      <c r="P1254" t="s" s="86">
        <v>762</v>
      </c>
      <c r="Q1254" s="99"/>
      <c r="R1254" t="s" s="144">
        <v>743</v>
      </c>
      <c r="S1254" s="77"/>
    </row>
    <row r="1255" ht="13.65" customHeight="1">
      <c r="A1255" s="78">
        <v>46023</v>
      </c>
      <c r="B1255" t="s" s="79">
        <v>56</v>
      </c>
      <c r="C1255" t="s" s="80">
        <v>837</v>
      </c>
      <c r="D1255" s="131">
        <v>42</v>
      </c>
      <c r="E1255" t="s" s="79">
        <v>772</v>
      </c>
      <c r="F1255" t="s" s="80">
        <v>398</v>
      </c>
      <c r="G1255" s="132">
        <v>300</v>
      </c>
      <c r="H1255" t="s" s="133">
        <v>125</v>
      </c>
      <c r="I1255" t="s" s="134">
        <v>125</v>
      </c>
      <c r="J1255" t="s" s="134">
        <v>97</v>
      </c>
      <c r="K1255" t="str" s="135" cm="1">
        <f t="array" ref="K1255">IF(OR(H1255="ריביות",AND(H1255="דירה כצנלסון",G1255&lt;0,ISNUMBER(SEARCH("הכנסה",F1255)))),"הכנסה שסווגה מחדש",J1255)</f>
        <v>שוטף</v>
      </c>
      <c r="L1255" t="s" s="134">
        <v>741</v>
      </c>
      <c r="M1255" s="136" cm="1">
        <f t="array" ref="M1255">IF(L1255="מאושר",IF(K1255="הכנסה שסווגה מחדש",0,G1255),0)</f>
        <v>300</v>
      </c>
      <c r="N1255" s="136" cm="1">
        <f t="array" ref="N1255">IF(K1255="שוטף",M1255,0)</f>
        <v>300</v>
      </c>
      <c r="O1255" s="136" cm="1">
        <f t="array" ref="O1255">IF(K1255="הכנסה שסווגה מחדש",-G1255,0)</f>
        <v>0</v>
      </c>
      <c r="P1255" t="s" s="80">
        <v>762</v>
      </c>
      <c r="Q1255" s="100"/>
      <c r="R1255" t="s" s="137">
        <v>743</v>
      </c>
      <c r="S1255" s="77"/>
    </row>
    <row r="1256" ht="13.65" customHeight="1">
      <c r="A1256" s="84">
        <v>46023</v>
      </c>
      <c r="B1256" t="s" s="85">
        <v>56</v>
      </c>
      <c r="C1256" t="s" s="86">
        <v>837</v>
      </c>
      <c r="D1256" s="138">
        <v>43</v>
      </c>
      <c r="E1256" t="s" s="85">
        <v>773</v>
      </c>
      <c r="F1256" t="s" s="86">
        <v>200</v>
      </c>
      <c r="G1256" s="139">
        <v>6</v>
      </c>
      <c r="H1256" t="s" s="140">
        <v>109</v>
      </c>
      <c r="I1256" t="s" s="141">
        <v>109</v>
      </c>
      <c r="J1256" t="s" s="141">
        <v>97</v>
      </c>
      <c r="K1256" t="str" s="142" cm="1">
        <f t="array" ref="K1256">IF(OR(H1256="ריביות",AND(H1256="דירה כצנלסון",G1256&lt;0,ISNUMBER(SEARCH("הכנסה",F1256)))),"הכנסה שסווגה מחדש",J1256)</f>
        <v>שוטף</v>
      </c>
      <c r="L1256" t="s" s="141">
        <v>741</v>
      </c>
      <c r="M1256" s="143" cm="1">
        <f t="array" ref="M1256">IF(L1256="מאושר",IF(K1256="הכנסה שסווגה מחדש",0,G1256),0)</f>
        <v>6</v>
      </c>
      <c r="N1256" s="143" cm="1">
        <f t="array" ref="N1256">IF(K1256="שוטף",M1256,0)</f>
        <v>6</v>
      </c>
      <c r="O1256" s="143" cm="1">
        <f t="array" ref="O1256">IF(K1256="הכנסה שסווגה מחדש",-G1256,0)</f>
        <v>0</v>
      </c>
      <c r="P1256" t="s" s="86">
        <v>762</v>
      </c>
      <c r="Q1256" s="99"/>
      <c r="R1256" t="s" s="144">
        <v>743</v>
      </c>
      <c r="S1256" s="77"/>
    </row>
    <row r="1257" ht="13.65" customHeight="1">
      <c r="A1257" s="78">
        <v>46023</v>
      </c>
      <c r="B1257" t="s" s="79">
        <v>56</v>
      </c>
      <c r="C1257" t="s" s="80">
        <v>837</v>
      </c>
      <c r="D1257" s="131">
        <v>44</v>
      </c>
      <c r="E1257" t="s" s="79">
        <v>773</v>
      </c>
      <c r="F1257" t="s" s="80">
        <v>200</v>
      </c>
      <c r="G1257" s="132">
        <v>82</v>
      </c>
      <c r="H1257" t="s" s="133">
        <v>109</v>
      </c>
      <c r="I1257" t="s" s="134">
        <v>109</v>
      </c>
      <c r="J1257" t="s" s="134">
        <v>97</v>
      </c>
      <c r="K1257" t="str" s="135" cm="1">
        <f t="array" ref="K1257">IF(OR(H1257="ריביות",AND(H1257="דירה כצנלסון",G1257&lt;0,ISNUMBER(SEARCH("הכנסה",F1257)))),"הכנסה שסווגה מחדש",J1257)</f>
        <v>שוטף</v>
      </c>
      <c r="L1257" t="s" s="134">
        <v>741</v>
      </c>
      <c r="M1257" s="136" cm="1">
        <f t="array" ref="M1257">IF(L1257="מאושר",IF(K1257="הכנסה שסווגה מחדש",0,G1257),0)</f>
        <v>82</v>
      </c>
      <c r="N1257" s="136" cm="1">
        <f t="array" ref="N1257">IF(K1257="שוטף",M1257,0)</f>
        <v>82</v>
      </c>
      <c r="O1257" s="136" cm="1">
        <f t="array" ref="O1257">IF(K1257="הכנסה שסווגה מחדש",-G1257,0)</f>
        <v>0</v>
      </c>
      <c r="P1257" t="s" s="80">
        <v>762</v>
      </c>
      <c r="Q1257" s="100"/>
      <c r="R1257" t="s" s="137">
        <v>743</v>
      </c>
      <c r="S1257" s="77"/>
    </row>
    <row r="1258" ht="13.65" customHeight="1">
      <c r="A1258" s="84">
        <v>46023</v>
      </c>
      <c r="B1258" t="s" s="85">
        <v>56</v>
      </c>
      <c r="C1258" t="s" s="86">
        <v>837</v>
      </c>
      <c r="D1258" s="138">
        <v>45</v>
      </c>
      <c r="E1258" t="s" s="85">
        <v>773</v>
      </c>
      <c r="F1258" t="s" s="86">
        <v>209</v>
      </c>
      <c r="G1258" s="139">
        <v>65</v>
      </c>
      <c r="H1258" t="s" s="140">
        <v>113</v>
      </c>
      <c r="I1258" t="s" s="141">
        <v>113</v>
      </c>
      <c r="J1258" t="s" s="141">
        <v>97</v>
      </c>
      <c r="K1258" t="str" s="142" cm="1">
        <f t="array" ref="K1258">IF(OR(H1258="ריביות",AND(H1258="דירה כצנלסון",G1258&lt;0,ISNUMBER(SEARCH("הכנסה",F1258)))),"הכנסה שסווגה מחדש",J1258)</f>
        <v>שוטף</v>
      </c>
      <c r="L1258" t="s" s="141">
        <v>741</v>
      </c>
      <c r="M1258" s="143" cm="1">
        <f t="array" ref="M1258">IF(L1258="מאושר",IF(K1258="הכנסה שסווגה מחדש",0,G1258),0)</f>
        <v>65</v>
      </c>
      <c r="N1258" s="143" cm="1">
        <f t="array" ref="N1258">IF(K1258="שוטף",M1258,0)</f>
        <v>65</v>
      </c>
      <c r="O1258" s="143" cm="1">
        <f t="array" ref="O1258">IF(K1258="הכנסה שסווגה מחדש",-G1258,0)</f>
        <v>0</v>
      </c>
      <c r="P1258" t="s" s="86">
        <v>762</v>
      </c>
      <c r="Q1258" s="99"/>
      <c r="R1258" t="s" s="144">
        <v>743</v>
      </c>
      <c r="S1258" s="77"/>
    </row>
    <row r="1259" ht="13.65" customHeight="1">
      <c r="A1259" s="78">
        <v>46023</v>
      </c>
      <c r="B1259" t="s" s="79">
        <v>56</v>
      </c>
      <c r="C1259" t="s" s="80">
        <v>837</v>
      </c>
      <c r="D1259" s="131">
        <v>46</v>
      </c>
      <c r="E1259" t="s" s="79">
        <v>761</v>
      </c>
      <c r="F1259" t="s" s="80">
        <v>498</v>
      </c>
      <c r="G1259" s="132">
        <v>127</v>
      </c>
      <c r="H1259" t="s" s="133">
        <v>115</v>
      </c>
      <c r="I1259" t="s" s="134">
        <v>115</v>
      </c>
      <c r="J1259" t="s" s="134">
        <v>97</v>
      </c>
      <c r="K1259" t="str" s="135" cm="1">
        <f t="array" ref="K1259">IF(OR(H1259="ריביות",AND(H1259="דירה כצנלסון",G1259&lt;0,ISNUMBER(SEARCH("הכנסה",F1259)))),"הכנסה שסווגה מחדש",J1259)</f>
        <v>שוטף</v>
      </c>
      <c r="L1259" t="s" s="134">
        <v>741</v>
      </c>
      <c r="M1259" s="136" cm="1">
        <f t="array" ref="M1259">IF(L1259="מאושר",IF(K1259="הכנסה שסווגה מחדש",0,G1259),0)</f>
        <v>127</v>
      </c>
      <c r="N1259" s="136" cm="1">
        <f t="array" ref="N1259">IF(K1259="שוטף",M1259,0)</f>
        <v>127</v>
      </c>
      <c r="O1259" s="136" cm="1">
        <f t="array" ref="O1259">IF(K1259="הכנסה שסווגה מחדש",-G1259,0)</f>
        <v>0</v>
      </c>
      <c r="P1259" t="s" s="80">
        <v>762</v>
      </c>
      <c r="Q1259" s="100"/>
      <c r="R1259" t="s" s="137">
        <v>743</v>
      </c>
      <c r="S1259" s="77"/>
    </row>
    <row r="1260" ht="13.65" customHeight="1">
      <c r="A1260" s="84">
        <v>46023</v>
      </c>
      <c r="B1260" t="s" s="85">
        <v>56</v>
      </c>
      <c r="C1260" t="s" s="86">
        <v>837</v>
      </c>
      <c r="D1260" s="138">
        <v>47</v>
      </c>
      <c r="E1260" t="s" s="85">
        <v>744</v>
      </c>
      <c r="F1260" t="s" s="86">
        <v>200</v>
      </c>
      <c r="G1260" s="139">
        <v>74</v>
      </c>
      <c r="H1260" t="s" s="140">
        <v>109</v>
      </c>
      <c r="I1260" t="s" s="141">
        <v>109</v>
      </c>
      <c r="J1260" t="s" s="141">
        <v>97</v>
      </c>
      <c r="K1260" t="str" s="142" cm="1">
        <f t="array" ref="K1260">IF(OR(H1260="ריביות",AND(H1260="דירה כצנלסון",G1260&lt;0,ISNUMBER(SEARCH("הכנסה",F1260)))),"הכנסה שסווגה מחדש",J1260)</f>
        <v>שוטף</v>
      </c>
      <c r="L1260" t="s" s="141">
        <v>741</v>
      </c>
      <c r="M1260" s="143" cm="1">
        <f t="array" ref="M1260">IF(L1260="מאושר",IF(K1260="הכנסה שסווגה מחדש",0,G1260),0)</f>
        <v>74</v>
      </c>
      <c r="N1260" s="143" cm="1">
        <f t="array" ref="N1260">IF(K1260="שוטף",M1260,0)</f>
        <v>74</v>
      </c>
      <c r="O1260" s="143" cm="1">
        <f t="array" ref="O1260">IF(K1260="הכנסה שסווגה מחדש",-G1260,0)</f>
        <v>0</v>
      </c>
      <c r="P1260" t="s" s="86">
        <v>762</v>
      </c>
      <c r="Q1260" s="99"/>
      <c r="R1260" t="s" s="144">
        <v>743</v>
      </c>
      <c r="S1260" s="77"/>
    </row>
    <row r="1261" ht="13.65" customHeight="1">
      <c r="A1261" s="78">
        <v>46023</v>
      </c>
      <c r="B1261" t="s" s="79">
        <v>56</v>
      </c>
      <c r="C1261" t="s" s="80">
        <v>837</v>
      </c>
      <c r="D1261" s="131">
        <v>48</v>
      </c>
      <c r="E1261" t="s" s="79">
        <v>744</v>
      </c>
      <c r="F1261" t="s" s="80">
        <v>209</v>
      </c>
      <c r="G1261" s="132">
        <v>65</v>
      </c>
      <c r="H1261" t="s" s="133">
        <v>113</v>
      </c>
      <c r="I1261" t="s" s="134">
        <v>113</v>
      </c>
      <c r="J1261" t="s" s="134">
        <v>97</v>
      </c>
      <c r="K1261" t="str" s="135" cm="1">
        <f t="array" ref="K1261">IF(OR(H1261="ריביות",AND(H1261="דירה כצנלסון",G1261&lt;0,ISNUMBER(SEARCH("הכנסה",F1261)))),"הכנסה שסווגה מחדש",J1261)</f>
        <v>שוטף</v>
      </c>
      <c r="L1261" t="s" s="134">
        <v>741</v>
      </c>
      <c r="M1261" s="136" cm="1">
        <f t="array" ref="M1261">IF(L1261="מאושר",IF(K1261="הכנסה שסווגה מחדש",0,G1261),0)</f>
        <v>65</v>
      </c>
      <c r="N1261" s="136" cm="1">
        <f t="array" ref="N1261">IF(K1261="שוטף",M1261,0)</f>
        <v>65</v>
      </c>
      <c r="O1261" s="136" cm="1">
        <f t="array" ref="O1261">IF(K1261="הכנסה שסווגה מחדש",-G1261,0)</f>
        <v>0</v>
      </c>
      <c r="P1261" t="s" s="80">
        <v>762</v>
      </c>
      <c r="Q1261" s="100"/>
      <c r="R1261" t="s" s="137">
        <v>743</v>
      </c>
      <c r="S1261" s="77"/>
    </row>
    <row r="1262" ht="13.65" customHeight="1">
      <c r="A1262" s="84">
        <v>46023</v>
      </c>
      <c r="B1262" t="s" s="85">
        <v>56</v>
      </c>
      <c r="C1262" t="s" s="86">
        <v>837</v>
      </c>
      <c r="D1262" s="138">
        <v>49</v>
      </c>
      <c r="E1262" t="s" s="85">
        <v>774</v>
      </c>
      <c r="F1262" t="s" s="86">
        <v>209</v>
      </c>
      <c r="G1262" s="139">
        <v>25</v>
      </c>
      <c r="H1262" t="s" s="140">
        <v>113</v>
      </c>
      <c r="I1262" t="s" s="141">
        <v>113</v>
      </c>
      <c r="J1262" t="s" s="141">
        <v>97</v>
      </c>
      <c r="K1262" t="str" s="142" cm="1">
        <f t="array" ref="K1262">IF(OR(H1262="ריביות",AND(H1262="דירה כצנלסון",G1262&lt;0,ISNUMBER(SEARCH("הכנסה",F1262)))),"הכנסה שסווגה מחדש",J1262)</f>
        <v>שוטף</v>
      </c>
      <c r="L1262" t="s" s="141">
        <v>741</v>
      </c>
      <c r="M1262" s="143" cm="1">
        <f t="array" ref="M1262">IF(L1262="מאושר",IF(K1262="הכנסה שסווגה מחדש",0,G1262),0)</f>
        <v>25</v>
      </c>
      <c r="N1262" s="143" cm="1">
        <f t="array" ref="N1262">IF(K1262="שוטף",M1262,0)</f>
        <v>25</v>
      </c>
      <c r="O1262" s="143" cm="1">
        <f t="array" ref="O1262">IF(K1262="הכנסה שסווגה מחדש",-G1262,0)</f>
        <v>0</v>
      </c>
      <c r="P1262" t="s" s="86">
        <v>762</v>
      </c>
      <c r="Q1262" s="99"/>
      <c r="R1262" t="s" s="144">
        <v>743</v>
      </c>
      <c r="S1262" s="77"/>
    </row>
    <row r="1263" ht="13.65" customHeight="1">
      <c r="A1263" s="78">
        <v>46023</v>
      </c>
      <c r="B1263" t="s" s="79">
        <v>56</v>
      </c>
      <c r="C1263" t="s" s="80">
        <v>837</v>
      </c>
      <c r="D1263" s="131">
        <v>50</v>
      </c>
      <c r="E1263" t="s" s="79">
        <v>774</v>
      </c>
      <c r="F1263" t="s" s="80">
        <v>289</v>
      </c>
      <c r="G1263" s="132">
        <v>12</v>
      </c>
      <c r="H1263" t="s" s="133">
        <v>767</v>
      </c>
      <c r="I1263" t="s" s="134">
        <v>107</v>
      </c>
      <c r="J1263" t="s" s="134">
        <v>97</v>
      </c>
      <c r="K1263" t="str" s="135" cm="1">
        <f t="array" ref="K1263">IF(OR(H1263="ריביות",AND(H1263="דירה כצנלסון",G1263&lt;0,ISNUMBER(SEARCH("הכנסה",F1263)))),"הכנסה שסווגה מחדש",J1263)</f>
        <v>שוטף</v>
      </c>
      <c r="L1263" t="s" s="134">
        <v>741</v>
      </c>
      <c r="M1263" s="136" cm="1">
        <f t="array" ref="M1263">IF(L1263="מאושר",IF(K1263="הכנסה שסווגה מחדש",0,G1263),0)</f>
        <v>12</v>
      </c>
      <c r="N1263" s="136" cm="1">
        <f t="array" ref="N1263">IF(K1263="שוטף",M1263,0)</f>
        <v>12</v>
      </c>
      <c r="O1263" s="136" cm="1">
        <f t="array" ref="O1263">IF(K1263="הכנסה שסווגה מחדש",-G1263,0)</f>
        <v>0</v>
      </c>
      <c r="P1263" t="s" s="80">
        <v>762</v>
      </c>
      <c r="Q1263" s="100"/>
      <c r="R1263" t="s" s="137">
        <v>743</v>
      </c>
      <c r="S1263" s="77"/>
    </row>
    <row r="1264" ht="13.65" customHeight="1">
      <c r="A1264" s="84">
        <v>46023</v>
      </c>
      <c r="B1264" t="s" s="85">
        <v>56</v>
      </c>
      <c r="C1264" t="s" s="86">
        <v>837</v>
      </c>
      <c r="D1264" s="138">
        <v>51</v>
      </c>
      <c r="E1264" t="s" s="85">
        <v>774</v>
      </c>
      <c r="F1264" t="s" s="86">
        <v>254</v>
      </c>
      <c r="G1264" s="139">
        <v>31</v>
      </c>
      <c r="H1264" t="s" s="140">
        <v>109</v>
      </c>
      <c r="I1264" t="s" s="141">
        <v>109</v>
      </c>
      <c r="J1264" t="s" s="141">
        <v>97</v>
      </c>
      <c r="K1264" t="str" s="142" cm="1">
        <f t="array" ref="K1264">IF(OR(H1264="ריביות",AND(H1264="דירה כצנלסון",G1264&lt;0,ISNUMBER(SEARCH("הכנסה",F1264)))),"הכנסה שסווגה מחדש",J1264)</f>
        <v>שוטף</v>
      </c>
      <c r="L1264" t="s" s="141">
        <v>741</v>
      </c>
      <c r="M1264" s="143" cm="1">
        <f t="array" ref="M1264">IF(L1264="מאושר",IF(K1264="הכנסה שסווגה מחדש",0,G1264),0)</f>
        <v>31</v>
      </c>
      <c r="N1264" s="143" cm="1">
        <f t="array" ref="N1264">IF(K1264="שוטף",M1264,0)</f>
        <v>31</v>
      </c>
      <c r="O1264" s="143" cm="1">
        <f t="array" ref="O1264">IF(K1264="הכנסה שסווגה מחדש",-G1264,0)</f>
        <v>0</v>
      </c>
      <c r="P1264" t="s" s="86">
        <v>762</v>
      </c>
      <c r="Q1264" s="99"/>
      <c r="R1264" t="s" s="144">
        <v>743</v>
      </c>
      <c r="S1264" s="77"/>
    </row>
    <row r="1265" ht="13.65" customHeight="1">
      <c r="A1265" s="78">
        <v>46023</v>
      </c>
      <c r="B1265" t="s" s="79">
        <v>56</v>
      </c>
      <c r="C1265" t="s" s="80">
        <v>837</v>
      </c>
      <c r="D1265" s="131">
        <v>52</v>
      </c>
      <c r="E1265" t="s" s="79">
        <v>768</v>
      </c>
      <c r="F1265" t="s" s="80">
        <v>448</v>
      </c>
      <c r="G1265" s="132">
        <v>-22</v>
      </c>
      <c r="H1265" t="s" s="133">
        <v>121</v>
      </c>
      <c r="I1265" t="s" s="134">
        <v>121</v>
      </c>
      <c r="J1265" t="s" s="134">
        <v>97</v>
      </c>
      <c r="K1265" t="str" s="135" cm="1">
        <f t="array" ref="K1265">IF(OR(H1265="ריביות",AND(H1265="דירה כצנלסון",G1265&lt;0,ISNUMBER(SEARCH("הכנסה",F1265)))),"הכנסה שסווגה מחדש",J1265)</f>
        <v>שוטף</v>
      </c>
      <c r="L1265" t="s" s="134">
        <v>741</v>
      </c>
      <c r="M1265" s="136" cm="1">
        <f t="array" ref="M1265">IF(L1265="מאושר",IF(K1265="הכנסה שסווגה מחדש",0,G1265),0)</f>
        <v>-22</v>
      </c>
      <c r="N1265" s="136" cm="1">
        <f t="array" ref="N1265">IF(K1265="שוטף",M1265,0)</f>
        <v>-22</v>
      </c>
      <c r="O1265" s="136" cm="1">
        <f t="array" ref="O1265">IF(K1265="הכנסה שסווגה מחדש",-G1265,0)</f>
        <v>0</v>
      </c>
      <c r="P1265" t="s" s="80">
        <v>762</v>
      </c>
      <c r="Q1265" s="100"/>
      <c r="R1265" t="s" s="137">
        <v>743</v>
      </c>
      <c r="S1265" s="77"/>
    </row>
    <row r="1266" ht="13.65" customHeight="1">
      <c r="A1266" s="84">
        <v>46023</v>
      </c>
      <c r="B1266" t="s" s="85">
        <v>56</v>
      </c>
      <c r="C1266" t="s" s="86">
        <v>837</v>
      </c>
      <c r="D1266" s="138">
        <v>53</v>
      </c>
      <c r="E1266" t="s" s="85">
        <v>791</v>
      </c>
      <c r="F1266" t="s" s="86">
        <v>524</v>
      </c>
      <c r="G1266" s="139">
        <v>90</v>
      </c>
      <c r="H1266" t="s" s="140">
        <v>117</v>
      </c>
      <c r="I1266" t="s" s="141">
        <v>117</v>
      </c>
      <c r="J1266" t="s" s="141">
        <v>97</v>
      </c>
      <c r="K1266" t="str" s="142" cm="1">
        <f t="array" ref="K1266">IF(OR(H1266="ריביות",AND(H1266="דירה כצנלסון",G1266&lt;0,ISNUMBER(SEARCH("הכנסה",F1266)))),"הכנסה שסווגה מחדש",J1266)</f>
        <v>שוטף</v>
      </c>
      <c r="L1266" t="s" s="141">
        <v>741</v>
      </c>
      <c r="M1266" s="143" cm="1">
        <f t="array" ref="M1266">IF(L1266="מאושר",IF(K1266="הכנסה שסווגה מחדש",0,G1266),0)</f>
        <v>90</v>
      </c>
      <c r="N1266" s="143" cm="1">
        <f t="array" ref="N1266">IF(K1266="שוטף",M1266,0)</f>
        <v>90</v>
      </c>
      <c r="O1266" s="143" cm="1">
        <f t="array" ref="O1266">IF(K1266="הכנסה שסווגה מחדש",-G1266,0)</f>
        <v>0</v>
      </c>
      <c r="P1266" t="s" s="86">
        <v>762</v>
      </c>
      <c r="Q1266" s="99"/>
      <c r="R1266" t="s" s="144">
        <v>743</v>
      </c>
      <c r="S1266" s="77"/>
    </row>
    <row r="1267" ht="13.65" customHeight="1">
      <c r="A1267" s="78">
        <v>46023</v>
      </c>
      <c r="B1267" t="s" s="79">
        <v>56</v>
      </c>
      <c r="C1267" t="s" s="80">
        <v>837</v>
      </c>
      <c r="D1267" s="131">
        <v>54</v>
      </c>
      <c r="E1267" t="s" s="79">
        <v>791</v>
      </c>
      <c r="F1267" t="s" s="80">
        <v>209</v>
      </c>
      <c r="G1267" s="132">
        <v>96</v>
      </c>
      <c r="H1267" t="s" s="133">
        <v>113</v>
      </c>
      <c r="I1267" t="s" s="134">
        <v>113</v>
      </c>
      <c r="J1267" t="s" s="134">
        <v>97</v>
      </c>
      <c r="K1267" t="str" s="135" cm="1">
        <f t="array" ref="K1267">IF(OR(H1267="ריביות",AND(H1267="דירה כצנלסון",G1267&lt;0,ISNUMBER(SEARCH("הכנסה",F1267)))),"הכנסה שסווגה מחדש",J1267)</f>
        <v>שוטף</v>
      </c>
      <c r="L1267" t="s" s="134">
        <v>741</v>
      </c>
      <c r="M1267" s="136" cm="1">
        <f t="array" ref="M1267">IF(L1267="מאושר",IF(K1267="הכנסה שסווגה מחדש",0,G1267),0)</f>
        <v>96</v>
      </c>
      <c r="N1267" s="136" cm="1">
        <f t="array" ref="N1267">IF(K1267="שוטף",M1267,0)</f>
        <v>96</v>
      </c>
      <c r="O1267" s="136" cm="1">
        <f t="array" ref="O1267">IF(K1267="הכנסה שסווגה מחדש",-G1267,0)</f>
        <v>0</v>
      </c>
      <c r="P1267" t="s" s="80">
        <v>762</v>
      </c>
      <c r="Q1267" s="100"/>
      <c r="R1267" t="s" s="137">
        <v>743</v>
      </c>
      <c r="S1267" s="77"/>
    </row>
    <row r="1268" ht="13.65" customHeight="1">
      <c r="A1268" s="84">
        <v>46023</v>
      </c>
      <c r="B1268" t="s" s="85">
        <v>56</v>
      </c>
      <c r="C1268" t="s" s="86">
        <v>837</v>
      </c>
      <c r="D1268" s="138">
        <v>55</v>
      </c>
      <c r="E1268" t="s" s="85">
        <v>766</v>
      </c>
      <c r="F1268" t="s" s="86">
        <v>438</v>
      </c>
      <c r="G1268" s="139">
        <v>210</v>
      </c>
      <c r="H1268" t="s" s="140">
        <v>117</v>
      </c>
      <c r="I1268" t="s" s="141">
        <v>117</v>
      </c>
      <c r="J1268" t="s" s="141">
        <v>97</v>
      </c>
      <c r="K1268" t="str" s="142" cm="1">
        <f t="array" ref="K1268">IF(OR(H1268="ריביות",AND(H1268="דירה כצנלסון",G1268&lt;0,ISNUMBER(SEARCH("הכנסה",F1268)))),"הכנסה שסווגה מחדש",J1268)</f>
        <v>שוטף</v>
      </c>
      <c r="L1268" t="s" s="141">
        <v>741</v>
      </c>
      <c r="M1268" s="143" cm="1">
        <f t="array" ref="M1268">IF(L1268="מאושר",IF(K1268="הכנסה שסווגה מחדש",0,G1268),0)</f>
        <v>210</v>
      </c>
      <c r="N1268" s="143" cm="1">
        <f t="array" ref="N1268">IF(K1268="שוטף",M1268,0)</f>
        <v>210</v>
      </c>
      <c r="O1268" s="143" cm="1">
        <f t="array" ref="O1268">IF(K1268="הכנסה שסווגה מחדש",-G1268,0)</f>
        <v>0</v>
      </c>
      <c r="P1268" t="s" s="86">
        <v>762</v>
      </c>
      <c r="Q1268" s="99"/>
      <c r="R1268" t="s" s="144">
        <v>743</v>
      </c>
      <c r="S1268" s="77"/>
    </row>
    <row r="1269" ht="13.65" customHeight="1">
      <c r="A1269" s="78">
        <v>46023</v>
      </c>
      <c r="B1269" t="s" s="79">
        <v>56</v>
      </c>
      <c r="C1269" t="s" s="80">
        <v>837</v>
      </c>
      <c r="D1269" s="131">
        <v>56</v>
      </c>
      <c r="E1269" t="s" s="79">
        <v>766</v>
      </c>
      <c r="F1269" t="s" s="80">
        <v>209</v>
      </c>
      <c r="G1269" s="132">
        <v>25</v>
      </c>
      <c r="H1269" t="s" s="133">
        <v>113</v>
      </c>
      <c r="I1269" t="s" s="134">
        <v>113</v>
      </c>
      <c r="J1269" t="s" s="134">
        <v>97</v>
      </c>
      <c r="K1269" t="str" s="135" cm="1">
        <f t="array" ref="K1269">IF(OR(H1269="ריביות",AND(H1269="דירה כצנלסון",G1269&lt;0,ISNUMBER(SEARCH("הכנסה",F1269)))),"הכנסה שסווגה מחדש",J1269)</f>
        <v>שוטף</v>
      </c>
      <c r="L1269" t="s" s="134">
        <v>741</v>
      </c>
      <c r="M1269" s="136" cm="1">
        <f t="array" ref="M1269">IF(L1269="מאושר",IF(K1269="הכנסה שסווגה מחדש",0,G1269),0)</f>
        <v>25</v>
      </c>
      <c r="N1269" s="136" cm="1">
        <f t="array" ref="N1269">IF(K1269="שוטף",M1269,0)</f>
        <v>25</v>
      </c>
      <c r="O1269" s="136" cm="1">
        <f t="array" ref="O1269">IF(K1269="הכנסה שסווגה מחדש",-G1269,0)</f>
        <v>0</v>
      </c>
      <c r="P1269" t="s" s="80">
        <v>762</v>
      </c>
      <c r="Q1269" s="100"/>
      <c r="R1269" t="s" s="137">
        <v>743</v>
      </c>
      <c r="S1269" s="77"/>
    </row>
    <row r="1270" ht="13.65" customHeight="1">
      <c r="A1270" s="84">
        <v>46023</v>
      </c>
      <c r="B1270" t="s" s="85">
        <v>56</v>
      </c>
      <c r="C1270" t="s" s="86">
        <v>837</v>
      </c>
      <c r="D1270" s="138">
        <v>57</v>
      </c>
      <c r="E1270" t="s" s="85">
        <v>766</v>
      </c>
      <c r="F1270" t="s" s="86">
        <v>200</v>
      </c>
      <c r="G1270" s="139">
        <v>48</v>
      </c>
      <c r="H1270" t="s" s="140">
        <v>109</v>
      </c>
      <c r="I1270" t="s" s="141">
        <v>109</v>
      </c>
      <c r="J1270" t="s" s="141">
        <v>97</v>
      </c>
      <c r="K1270" t="str" s="142" cm="1">
        <f t="array" ref="K1270">IF(OR(H1270="ריביות",AND(H1270="דירה כצנלסון",G1270&lt;0,ISNUMBER(SEARCH("הכנסה",F1270)))),"הכנסה שסווגה מחדש",J1270)</f>
        <v>שוטף</v>
      </c>
      <c r="L1270" t="s" s="141">
        <v>741</v>
      </c>
      <c r="M1270" s="143" cm="1">
        <f t="array" ref="M1270">IF(L1270="מאושר",IF(K1270="הכנסה שסווגה מחדש",0,G1270),0)</f>
        <v>48</v>
      </c>
      <c r="N1270" s="143" cm="1">
        <f t="array" ref="N1270">IF(K1270="שוטף",M1270,0)</f>
        <v>48</v>
      </c>
      <c r="O1270" s="143" cm="1">
        <f t="array" ref="O1270">IF(K1270="הכנסה שסווגה מחדש",-G1270,0)</f>
        <v>0</v>
      </c>
      <c r="P1270" t="s" s="86">
        <v>762</v>
      </c>
      <c r="Q1270" s="99"/>
      <c r="R1270" t="s" s="144">
        <v>743</v>
      </c>
      <c r="S1270" s="77"/>
    </row>
    <row r="1271" ht="13.65" customHeight="1">
      <c r="A1271" s="78">
        <v>46023</v>
      </c>
      <c r="B1271" t="s" s="79">
        <v>56</v>
      </c>
      <c r="C1271" t="s" s="80">
        <v>837</v>
      </c>
      <c r="D1271" s="131">
        <v>58</v>
      </c>
      <c r="E1271" t="s" s="79">
        <v>766</v>
      </c>
      <c r="F1271" t="s" s="80">
        <v>641</v>
      </c>
      <c r="G1271" s="132">
        <v>34</v>
      </c>
      <c r="H1271" t="s" s="133">
        <v>767</v>
      </c>
      <c r="I1271" t="s" s="134">
        <v>107</v>
      </c>
      <c r="J1271" t="s" s="134">
        <v>97</v>
      </c>
      <c r="K1271" t="str" s="135" cm="1">
        <f t="array" ref="K1271">IF(OR(H1271="ריביות",AND(H1271="דירה כצנלסון",G1271&lt;0,ISNUMBER(SEARCH("הכנסה",F1271)))),"הכנסה שסווגה מחדש",J1271)</f>
        <v>שוטף</v>
      </c>
      <c r="L1271" t="s" s="134">
        <v>741</v>
      </c>
      <c r="M1271" s="136" cm="1">
        <f t="array" ref="M1271">IF(L1271="מאושר",IF(K1271="הכנסה שסווגה מחדש",0,G1271),0)</f>
        <v>34</v>
      </c>
      <c r="N1271" s="136" cm="1">
        <f t="array" ref="N1271">IF(K1271="שוטף",M1271,0)</f>
        <v>34</v>
      </c>
      <c r="O1271" s="136" cm="1">
        <f t="array" ref="O1271">IF(K1271="הכנסה שסווגה מחדש",-G1271,0)</f>
        <v>0</v>
      </c>
      <c r="P1271" t="s" s="80">
        <v>762</v>
      </c>
      <c r="Q1271" s="100"/>
      <c r="R1271" t="s" s="137">
        <v>743</v>
      </c>
      <c r="S1271" s="77"/>
    </row>
    <row r="1272" ht="13.65" customHeight="1">
      <c r="A1272" s="84">
        <v>46023</v>
      </c>
      <c r="B1272" t="s" s="85">
        <v>56</v>
      </c>
      <c r="C1272" t="s" s="86">
        <v>837</v>
      </c>
      <c r="D1272" s="138">
        <v>59</v>
      </c>
      <c r="E1272" t="s" s="85">
        <v>775</v>
      </c>
      <c r="F1272" t="s" s="86">
        <v>200</v>
      </c>
      <c r="G1272" s="139">
        <v>28</v>
      </c>
      <c r="H1272" t="s" s="140">
        <v>109</v>
      </c>
      <c r="I1272" t="s" s="141">
        <v>109</v>
      </c>
      <c r="J1272" t="s" s="141">
        <v>97</v>
      </c>
      <c r="K1272" t="str" s="142" cm="1">
        <f t="array" ref="K1272">IF(OR(H1272="ריביות",AND(H1272="דירה כצנלסון",G1272&lt;0,ISNUMBER(SEARCH("הכנסה",F1272)))),"הכנסה שסווגה מחדש",J1272)</f>
        <v>שוטף</v>
      </c>
      <c r="L1272" t="s" s="141">
        <v>741</v>
      </c>
      <c r="M1272" s="143" cm="1">
        <f t="array" ref="M1272">IF(L1272="מאושר",IF(K1272="הכנסה שסווגה מחדש",0,G1272),0)</f>
        <v>28</v>
      </c>
      <c r="N1272" s="143" cm="1">
        <f t="array" ref="N1272">IF(K1272="שוטף",M1272,0)</f>
        <v>28</v>
      </c>
      <c r="O1272" s="143" cm="1">
        <f t="array" ref="O1272">IF(K1272="הכנסה שסווגה מחדש",-G1272,0)</f>
        <v>0</v>
      </c>
      <c r="P1272" t="s" s="86">
        <v>762</v>
      </c>
      <c r="Q1272" s="99"/>
      <c r="R1272" t="s" s="144">
        <v>743</v>
      </c>
      <c r="S1272" s="77"/>
    </row>
    <row r="1273" ht="13.65" customHeight="1">
      <c r="A1273" s="78">
        <v>46023</v>
      </c>
      <c r="B1273" t="s" s="79">
        <v>56</v>
      </c>
      <c r="C1273" t="s" s="80">
        <v>837</v>
      </c>
      <c r="D1273" s="131">
        <v>60</v>
      </c>
      <c r="E1273" t="s" s="79">
        <v>775</v>
      </c>
      <c r="F1273" t="s" s="80">
        <v>209</v>
      </c>
      <c r="G1273" s="132">
        <v>185</v>
      </c>
      <c r="H1273" t="s" s="133">
        <v>113</v>
      </c>
      <c r="I1273" t="s" s="134">
        <v>113</v>
      </c>
      <c r="J1273" t="s" s="134">
        <v>97</v>
      </c>
      <c r="K1273" t="str" s="135" cm="1">
        <f t="array" ref="K1273">IF(OR(H1273="ריביות",AND(H1273="דירה כצנלסון",G1273&lt;0,ISNUMBER(SEARCH("הכנסה",F1273)))),"הכנסה שסווגה מחדש",J1273)</f>
        <v>שוטף</v>
      </c>
      <c r="L1273" t="s" s="134">
        <v>741</v>
      </c>
      <c r="M1273" s="136" cm="1">
        <f t="array" ref="M1273">IF(L1273="מאושר",IF(K1273="הכנסה שסווגה מחדש",0,G1273),0)</f>
        <v>185</v>
      </c>
      <c r="N1273" s="136" cm="1">
        <f t="array" ref="N1273">IF(K1273="שוטף",M1273,0)</f>
        <v>185</v>
      </c>
      <c r="O1273" s="136" cm="1">
        <f t="array" ref="O1273">IF(K1273="הכנסה שסווגה מחדש",-G1273,0)</f>
        <v>0</v>
      </c>
      <c r="P1273" t="s" s="80">
        <v>762</v>
      </c>
      <c r="Q1273" s="100"/>
      <c r="R1273" t="s" s="137">
        <v>743</v>
      </c>
      <c r="S1273" s="77"/>
    </row>
    <row r="1274" ht="13.65" customHeight="1">
      <c r="A1274" s="84">
        <v>46023</v>
      </c>
      <c r="B1274" t="s" s="85">
        <v>56</v>
      </c>
      <c r="C1274" t="s" s="86">
        <v>837</v>
      </c>
      <c r="D1274" s="138">
        <v>61</v>
      </c>
      <c r="E1274" t="s" s="85">
        <v>764</v>
      </c>
      <c r="F1274" t="s" s="86">
        <v>209</v>
      </c>
      <c r="G1274" s="139">
        <v>74</v>
      </c>
      <c r="H1274" t="s" s="140">
        <v>113</v>
      </c>
      <c r="I1274" t="s" s="141">
        <v>113</v>
      </c>
      <c r="J1274" t="s" s="141">
        <v>97</v>
      </c>
      <c r="K1274" t="str" s="142" cm="1">
        <f t="array" ref="K1274">IF(OR(H1274="ריביות",AND(H1274="דירה כצנלסון",G1274&lt;0,ISNUMBER(SEARCH("הכנסה",F1274)))),"הכנסה שסווגה מחדש",J1274)</f>
        <v>שוטף</v>
      </c>
      <c r="L1274" t="s" s="141">
        <v>741</v>
      </c>
      <c r="M1274" s="143" cm="1">
        <f t="array" ref="M1274">IF(L1274="מאושר",IF(K1274="הכנסה שסווגה מחדש",0,G1274),0)</f>
        <v>74</v>
      </c>
      <c r="N1274" s="143" cm="1">
        <f t="array" ref="N1274">IF(K1274="שוטף",M1274,0)</f>
        <v>74</v>
      </c>
      <c r="O1274" s="143" cm="1">
        <f t="array" ref="O1274">IF(K1274="הכנסה שסווגה מחדש",-G1274,0)</f>
        <v>0</v>
      </c>
      <c r="P1274" t="s" s="86">
        <v>762</v>
      </c>
      <c r="Q1274" s="99"/>
      <c r="R1274" t="s" s="144">
        <v>743</v>
      </c>
      <c r="S1274" s="77"/>
    </row>
    <row r="1275" ht="13.65" customHeight="1">
      <c r="A1275" s="78">
        <v>46023</v>
      </c>
      <c r="B1275" t="s" s="79">
        <v>56</v>
      </c>
      <c r="C1275" t="s" s="80">
        <v>837</v>
      </c>
      <c r="D1275" s="131">
        <v>62</v>
      </c>
      <c r="E1275" t="s" s="79">
        <v>764</v>
      </c>
      <c r="F1275" t="s" s="80">
        <v>375</v>
      </c>
      <c r="G1275" s="132">
        <v>393</v>
      </c>
      <c r="H1275" t="s" s="133">
        <v>115</v>
      </c>
      <c r="I1275" t="s" s="134">
        <v>115</v>
      </c>
      <c r="J1275" t="s" s="134">
        <v>97</v>
      </c>
      <c r="K1275" t="str" s="135" cm="1">
        <f t="array" ref="K1275">IF(OR(H1275="ריביות",AND(H1275="דירה כצנלסון",G1275&lt;0,ISNUMBER(SEARCH("הכנסה",F1275)))),"הכנסה שסווגה מחדש",J1275)</f>
        <v>שוטף</v>
      </c>
      <c r="L1275" t="s" s="134">
        <v>741</v>
      </c>
      <c r="M1275" s="136" cm="1">
        <f t="array" ref="M1275">IF(L1275="מאושר",IF(K1275="הכנסה שסווגה מחדש",0,G1275),0)</f>
        <v>393</v>
      </c>
      <c r="N1275" s="136" cm="1">
        <f t="array" ref="N1275">IF(K1275="שוטף",M1275,0)</f>
        <v>393</v>
      </c>
      <c r="O1275" s="136" cm="1">
        <f t="array" ref="O1275">IF(K1275="הכנסה שסווגה מחדש",-G1275,0)</f>
        <v>0</v>
      </c>
      <c r="P1275" t="s" s="80">
        <v>762</v>
      </c>
      <c r="Q1275" s="100"/>
      <c r="R1275" t="s" s="137">
        <v>743</v>
      </c>
      <c r="S1275" s="77"/>
    </row>
    <row r="1276" ht="13.65" customHeight="1">
      <c r="A1276" s="84">
        <v>46023</v>
      </c>
      <c r="B1276" t="s" s="85">
        <v>56</v>
      </c>
      <c r="C1276" t="s" s="86">
        <v>837</v>
      </c>
      <c r="D1276" s="138">
        <v>63</v>
      </c>
      <c r="E1276" t="s" s="85">
        <v>756</v>
      </c>
      <c r="F1276" t="s" s="86">
        <v>200</v>
      </c>
      <c r="G1276" s="139">
        <v>20</v>
      </c>
      <c r="H1276" t="s" s="140">
        <v>109</v>
      </c>
      <c r="I1276" t="s" s="141">
        <v>109</v>
      </c>
      <c r="J1276" t="s" s="141">
        <v>97</v>
      </c>
      <c r="K1276" t="str" s="142" cm="1">
        <f t="array" ref="K1276">IF(OR(H1276="ריביות",AND(H1276="דירה כצנלסון",G1276&lt;0,ISNUMBER(SEARCH("הכנסה",F1276)))),"הכנסה שסווגה מחדש",J1276)</f>
        <v>שוטף</v>
      </c>
      <c r="L1276" t="s" s="141">
        <v>741</v>
      </c>
      <c r="M1276" s="143" cm="1">
        <f t="array" ref="M1276">IF(L1276="מאושר",IF(K1276="הכנסה שסווגה מחדש",0,G1276),0)</f>
        <v>20</v>
      </c>
      <c r="N1276" s="143" cm="1">
        <f t="array" ref="N1276">IF(K1276="שוטף",M1276,0)</f>
        <v>20</v>
      </c>
      <c r="O1276" s="143" cm="1">
        <f t="array" ref="O1276">IF(K1276="הכנסה שסווגה מחדש",-G1276,0)</f>
        <v>0</v>
      </c>
      <c r="P1276" t="s" s="86">
        <v>762</v>
      </c>
      <c r="Q1276" s="99"/>
      <c r="R1276" t="s" s="144">
        <v>743</v>
      </c>
      <c r="S1276" s="77"/>
    </row>
    <row r="1277" ht="13.65" customHeight="1">
      <c r="A1277" s="78">
        <v>46023</v>
      </c>
      <c r="B1277" t="s" s="79">
        <v>56</v>
      </c>
      <c r="C1277" t="s" s="80">
        <v>837</v>
      </c>
      <c r="D1277" s="131">
        <v>64</v>
      </c>
      <c r="E1277" t="s" s="79">
        <v>777</v>
      </c>
      <c r="F1277" t="s" s="80">
        <v>485</v>
      </c>
      <c r="G1277" s="132">
        <v>141</v>
      </c>
      <c r="H1277" t="s" s="133">
        <v>117</v>
      </c>
      <c r="I1277" t="s" s="134">
        <v>117</v>
      </c>
      <c r="J1277" t="s" s="134">
        <v>97</v>
      </c>
      <c r="K1277" t="str" s="135" cm="1">
        <f t="array" ref="K1277">IF(OR(H1277="ריביות",AND(H1277="דירה כצנלסון",G1277&lt;0,ISNUMBER(SEARCH("הכנסה",F1277)))),"הכנסה שסווגה מחדש",J1277)</f>
        <v>שוטף</v>
      </c>
      <c r="L1277" t="s" s="134">
        <v>741</v>
      </c>
      <c r="M1277" s="136" cm="1">
        <f t="array" ref="M1277">IF(L1277="מאושר",IF(K1277="הכנסה שסווגה מחדש",0,G1277),0)</f>
        <v>141</v>
      </c>
      <c r="N1277" s="136" cm="1">
        <f t="array" ref="N1277">IF(K1277="שוטף",M1277,0)</f>
        <v>141</v>
      </c>
      <c r="O1277" s="136" cm="1">
        <f t="array" ref="O1277">IF(K1277="הכנסה שסווגה מחדש",-G1277,0)</f>
        <v>0</v>
      </c>
      <c r="P1277" t="s" s="80">
        <v>762</v>
      </c>
      <c r="Q1277" s="100"/>
      <c r="R1277" t="s" s="137">
        <v>743</v>
      </c>
      <c r="S1277" s="77"/>
    </row>
    <row r="1278" ht="13.65" customHeight="1">
      <c r="A1278" s="84">
        <v>46023</v>
      </c>
      <c r="B1278" t="s" s="85">
        <v>56</v>
      </c>
      <c r="C1278" t="s" s="86">
        <v>837</v>
      </c>
      <c r="D1278" s="138">
        <v>65</v>
      </c>
      <c r="E1278" t="s" s="85">
        <v>777</v>
      </c>
      <c r="F1278" t="s" s="86">
        <v>200</v>
      </c>
      <c r="G1278" s="139">
        <v>39</v>
      </c>
      <c r="H1278" t="s" s="140">
        <v>109</v>
      </c>
      <c r="I1278" t="s" s="141">
        <v>109</v>
      </c>
      <c r="J1278" t="s" s="141">
        <v>97</v>
      </c>
      <c r="K1278" t="str" s="142" cm="1">
        <f t="array" ref="K1278">IF(OR(H1278="ריביות",AND(H1278="דירה כצנלסון",G1278&lt;0,ISNUMBER(SEARCH("הכנסה",F1278)))),"הכנסה שסווגה מחדש",J1278)</f>
        <v>שוטף</v>
      </c>
      <c r="L1278" t="s" s="141">
        <v>741</v>
      </c>
      <c r="M1278" s="143" cm="1">
        <f t="array" ref="M1278">IF(L1278="מאושר",IF(K1278="הכנסה שסווגה מחדש",0,G1278),0)</f>
        <v>39</v>
      </c>
      <c r="N1278" s="143" cm="1">
        <f t="array" ref="N1278">IF(K1278="שוטף",M1278,0)</f>
        <v>39</v>
      </c>
      <c r="O1278" s="143" cm="1">
        <f t="array" ref="O1278">IF(K1278="הכנסה שסווגה מחדש",-G1278,0)</f>
        <v>0</v>
      </c>
      <c r="P1278" t="s" s="86">
        <v>762</v>
      </c>
      <c r="Q1278" s="99"/>
      <c r="R1278" t="s" s="144">
        <v>743</v>
      </c>
      <c r="S1278" s="77"/>
    </row>
    <row r="1279" ht="13.65" customHeight="1">
      <c r="A1279" s="78">
        <v>46023</v>
      </c>
      <c r="B1279" t="s" s="79">
        <v>56</v>
      </c>
      <c r="C1279" t="s" s="80">
        <v>837</v>
      </c>
      <c r="D1279" s="131">
        <v>66</v>
      </c>
      <c r="E1279" t="s" s="79">
        <v>777</v>
      </c>
      <c r="F1279" t="s" s="80">
        <v>501</v>
      </c>
      <c r="G1279" s="132">
        <v>120</v>
      </c>
      <c r="H1279" t="s" s="133">
        <v>117</v>
      </c>
      <c r="I1279" t="s" s="134">
        <v>117</v>
      </c>
      <c r="J1279" t="s" s="134">
        <v>97</v>
      </c>
      <c r="K1279" t="str" s="135" cm="1">
        <f t="array" ref="K1279">IF(OR(H1279="ריביות",AND(H1279="דירה כצנלסון",G1279&lt;0,ISNUMBER(SEARCH("הכנסה",F1279)))),"הכנסה שסווגה מחדש",J1279)</f>
        <v>שוטף</v>
      </c>
      <c r="L1279" t="s" s="134">
        <v>741</v>
      </c>
      <c r="M1279" s="136" cm="1">
        <f t="array" ref="M1279">IF(L1279="מאושר",IF(K1279="הכנסה שסווגה מחדש",0,G1279),0)</f>
        <v>120</v>
      </c>
      <c r="N1279" s="136" cm="1">
        <f t="array" ref="N1279">IF(K1279="שוטף",M1279,0)</f>
        <v>120</v>
      </c>
      <c r="O1279" s="136" cm="1">
        <f t="array" ref="O1279">IF(K1279="הכנסה שסווגה מחדש",-G1279,0)</f>
        <v>0</v>
      </c>
      <c r="P1279" t="s" s="80">
        <v>762</v>
      </c>
      <c r="Q1279" s="100"/>
      <c r="R1279" t="s" s="137">
        <v>743</v>
      </c>
      <c r="S1279" s="77"/>
    </row>
    <row r="1280" ht="13.65" customHeight="1">
      <c r="A1280" s="84">
        <v>46023</v>
      </c>
      <c r="B1280" t="s" s="85">
        <v>56</v>
      </c>
      <c r="C1280" t="s" s="86">
        <v>837</v>
      </c>
      <c r="D1280" s="138">
        <v>67</v>
      </c>
      <c r="E1280" t="s" s="85">
        <v>30</v>
      </c>
      <c r="F1280" t="s" s="86">
        <v>200</v>
      </c>
      <c r="G1280" s="139">
        <v>9</v>
      </c>
      <c r="H1280" t="s" s="140">
        <v>109</v>
      </c>
      <c r="I1280" t="s" s="141">
        <v>109</v>
      </c>
      <c r="J1280" t="s" s="141">
        <v>97</v>
      </c>
      <c r="K1280" t="str" s="142" cm="1">
        <f t="array" ref="K1280">IF(OR(H1280="ריביות",AND(H1280="דירה כצנלסון",G1280&lt;0,ISNUMBER(SEARCH("הכנסה",F1280)))),"הכנסה שסווגה מחדש",J1280)</f>
        <v>שוטף</v>
      </c>
      <c r="L1280" t="s" s="141">
        <v>741</v>
      </c>
      <c r="M1280" s="143" cm="1">
        <f t="array" ref="M1280">IF(L1280="מאושר",IF(K1280="הכנסה שסווגה מחדש",0,G1280),0)</f>
        <v>9</v>
      </c>
      <c r="N1280" s="143" cm="1">
        <f t="array" ref="N1280">IF(K1280="שוטף",M1280,0)</f>
        <v>9</v>
      </c>
      <c r="O1280" s="143" cm="1">
        <f t="array" ref="O1280">IF(K1280="הכנסה שסווגה מחדש",-G1280,0)</f>
        <v>0</v>
      </c>
      <c r="P1280" t="s" s="86">
        <v>770</v>
      </c>
      <c r="Q1280" s="99"/>
      <c r="R1280" t="s" s="144">
        <v>743</v>
      </c>
      <c r="S1280" s="77"/>
    </row>
    <row r="1281" ht="13.65" customHeight="1">
      <c r="A1281" s="78">
        <v>46023</v>
      </c>
      <c r="B1281" t="s" s="79">
        <v>56</v>
      </c>
      <c r="C1281" t="s" s="80">
        <v>837</v>
      </c>
      <c r="D1281" s="131">
        <v>68</v>
      </c>
      <c r="E1281" t="s" s="79">
        <v>769</v>
      </c>
      <c r="F1281" t="s" s="80">
        <v>200</v>
      </c>
      <c r="G1281" s="132">
        <v>7</v>
      </c>
      <c r="H1281" t="s" s="133">
        <v>109</v>
      </c>
      <c r="I1281" t="s" s="134">
        <v>109</v>
      </c>
      <c r="J1281" t="s" s="134">
        <v>97</v>
      </c>
      <c r="K1281" t="str" s="135" cm="1">
        <f t="array" ref="K1281">IF(OR(H1281="ריביות",AND(H1281="דירה כצנלסון",G1281&lt;0,ISNUMBER(SEARCH("הכנסה",F1281)))),"הכנסה שסווגה מחדש",J1281)</f>
        <v>שוטף</v>
      </c>
      <c r="L1281" t="s" s="134">
        <v>741</v>
      </c>
      <c r="M1281" s="136" cm="1">
        <f t="array" ref="M1281">IF(L1281="מאושר",IF(K1281="הכנסה שסווגה מחדש",0,G1281),0)</f>
        <v>7</v>
      </c>
      <c r="N1281" s="136" cm="1">
        <f t="array" ref="N1281">IF(K1281="שוטף",M1281,0)</f>
        <v>7</v>
      </c>
      <c r="O1281" s="136" cm="1">
        <f t="array" ref="O1281">IF(K1281="הכנסה שסווגה מחדש",-G1281,0)</f>
        <v>0</v>
      </c>
      <c r="P1281" t="s" s="80">
        <v>770</v>
      </c>
      <c r="Q1281" s="100"/>
      <c r="R1281" t="s" s="137">
        <v>743</v>
      </c>
      <c r="S1281" s="77"/>
    </row>
    <row r="1282" ht="13.65" customHeight="1">
      <c r="A1282" s="84">
        <v>46023</v>
      </c>
      <c r="B1282" t="s" s="85">
        <v>56</v>
      </c>
      <c r="C1282" t="s" s="86">
        <v>837</v>
      </c>
      <c r="D1282" s="138">
        <v>69</v>
      </c>
      <c r="E1282" t="s" s="85">
        <v>751</v>
      </c>
      <c r="F1282" t="s" s="86">
        <v>209</v>
      </c>
      <c r="G1282" s="139">
        <v>77</v>
      </c>
      <c r="H1282" t="s" s="140">
        <v>113</v>
      </c>
      <c r="I1282" t="s" s="141">
        <v>113</v>
      </c>
      <c r="J1282" t="s" s="141">
        <v>97</v>
      </c>
      <c r="K1282" t="str" s="142" cm="1">
        <f t="array" ref="K1282">IF(OR(H1282="ריביות",AND(H1282="דירה כצנלסון",G1282&lt;0,ISNUMBER(SEARCH("הכנסה",F1282)))),"הכנסה שסווגה מחדש",J1282)</f>
        <v>שוטף</v>
      </c>
      <c r="L1282" t="s" s="141">
        <v>741</v>
      </c>
      <c r="M1282" s="143" cm="1">
        <f t="array" ref="M1282">IF(L1282="מאושר",IF(K1282="הכנסה שסווגה מחדש",0,G1282),0)</f>
        <v>77</v>
      </c>
      <c r="N1282" s="143" cm="1">
        <f t="array" ref="N1282">IF(K1282="שוטף",M1282,0)</f>
        <v>77</v>
      </c>
      <c r="O1282" s="143" cm="1">
        <f t="array" ref="O1282">IF(K1282="הכנסה שסווגה מחדש",-G1282,0)</f>
        <v>0</v>
      </c>
      <c r="P1282" t="s" s="86">
        <v>770</v>
      </c>
      <c r="Q1282" s="99"/>
      <c r="R1282" t="s" s="144">
        <v>743</v>
      </c>
      <c r="S1282" s="77"/>
    </row>
    <row r="1283" ht="13.65" customHeight="1">
      <c r="A1283" s="78">
        <v>46023</v>
      </c>
      <c r="B1283" t="s" s="79">
        <v>56</v>
      </c>
      <c r="C1283" t="s" s="80">
        <v>837</v>
      </c>
      <c r="D1283" s="131">
        <v>70</v>
      </c>
      <c r="E1283" t="s" s="79">
        <v>753</v>
      </c>
      <c r="F1283" t="s" s="80">
        <v>254</v>
      </c>
      <c r="G1283" s="132">
        <v>31</v>
      </c>
      <c r="H1283" t="s" s="133">
        <v>109</v>
      </c>
      <c r="I1283" t="s" s="134">
        <v>109</v>
      </c>
      <c r="J1283" t="s" s="134">
        <v>97</v>
      </c>
      <c r="K1283" t="str" s="135" cm="1">
        <f t="array" ref="K1283">IF(OR(H1283="ריביות",AND(H1283="דירה כצנלסון",G1283&lt;0,ISNUMBER(SEARCH("הכנסה",F1283)))),"הכנסה שסווגה מחדש",J1283)</f>
        <v>שוטף</v>
      </c>
      <c r="L1283" t="s" s="134">
        <v>741</v>
      </c>
      <c r="M1283" s="136" cm="1">
        <f t="array" ref="M1283">IF(L1283="מאושר",IF(K1283="הכנסה שסווגה מחדש",0,G1283),0)</f>
        <v>31</v>
      </c>
      <c r="N1283" s="136" cm="1">
        <f t="array" ref="N1283">IF(K1283="שוטף",M1283,0)</f>
        <v>31</v>
      </c>
      <c r="O1283" s="136" cm="1">
        <f t="array" ref="O1283">IF(K1283="הכנסה שסווגה מחדש",-G1283,0)</f>
        <v>0</v>
      </c>
      <c r="P1283" t="s" s="80">
        <v>770</v>
      </c>
      <c r="Q1283" s="100"/>
      <c r="R1283" t="s" s="137">
        <v>743</v>
      </c>
      <c r="S1283" s="77"/>
    </row>
    <row r="1284" ht="13.65" customHeight="1">
      <c r="A1284" s="84">
        <v>46023</v>
      </c>
      <c r="B1284" t="s" s="85">
        <v>56</v>
      </c>
      <c r="C1284" t="s" s="86">
        <v>837</v>
      </c>
      <c r="D1284" s="138">
        <v>71</v>
      </c>
      <c r="E1284" t="s" s="85">
        <v>739</v>
      </c>
      <c r="F1284" t="s" s="86">
        <v>314</v>
      </c>
      <c r="G1284" s="139">
        <v>20</v>
      </c>
      <c r="H1284" t="s" s="140">
        <v>117</v>
      </c>
      <c r="I1284" t="s" s="141">
        <v>117</v>
      </c>
      <c r="J1284" t="s" s="141">
        <v>97</v>
      </c>
      <c r="K1284" t="str" s="142" cm="1">
        <f t="array" ref="K1284">IF(OR(H1284="ריביות",AND(H1284="דירה כצנלסון",G1284&lt;0,ISNUMBER(SEARCH("הכנסה",F1284)))),"הכנסה שסווגה מחדש",J1284)</f>
        <v>שוטף</v>
      </c>
      <c r="L1284" t="s" s="141">
        <v>741</v>
      </c>
      <c r="M1284" s="143" cm="1">
        <f t="array" ref="M1284">IF(L1284="מאושר",IF(K1284="הכנסה שסווגה מחדש",0,G1284),0)</f>
        <v>20</v>
      </c>
      <c r="N1284" s="143" cm="1">
        <f t="array" ref="N1284">IF(K1284="שוטף",M1284,0)</f>
        <v>20</v>
      </c>
      <c r="O1284" s="143" cm="1">
        <f t="array" ref="O1284">IF(K1284="הכנסה שסווגה מחדש",-G1284,0)</f>
        <v>0</v>
      </c>
      <c r="P1284" t="s" s="86">
        <v>770</v>
      </c>
      <c r="Q1284" s="99"/>
      <c r="R1284" t="s" s="144">
        <v>743</v>
      </c>
      <c r="S1284" s="77"/>
    </row>
    <row r="1285" ht="13.65" customHeight="1">
      <c r="A1285" s="78">
        <v>46023</v>
      </c>
      <c r="B1285" t="s" s="79">
        <v>56</v>
      </c>
      <c r="C1285" t="s" s="80">
        <v>837</v>
      </c>
      <c r="D1285" s="131">
        <v>72</v>
      </c>
      <c r="E1285" t="s" s="79">
        <v>773</v>
      </c>
      <c r="F1285" t="s" s="80">
        <v>200</v>
      </c>
      <c r="G1285" s="132">
        <v>9</v>
      </c>
      <c r="H1285" t="s" s="133">
        <v>109</v>
      </c>
      <c r="I1285" t="s" s="134">
        <v>109</v>
      </c>
      <c r="J1285" t="s" s="134">
        <v>97</v>
      </c>
      <c r="K1285" t="str" s="135" cm="1">
        <f t="array" ref="K1285">IF(OR(H1285="ריביות",AND(H1285="דירה כצנלסון",G1285&lt;0,ISNUMBER(SEARCH("הכנסה",F1285)))),"הכנסה שסווגה מחדש",J1285)</f>
        <v>שוטף</v>
      </c>
      <c r="L1285" t="s" s="134">
        <v>741</v>
      </c>
      <c r="M1285" s="136" cm="1">
        <f t="array" ref="M1285">IF(L1285="מאושר",IF(K1285="הכנסה שסווגה מחדש",0,G1285),0)</f>
        <v>9</v>
      </c>
      <c r="N1285" s="136" cm="1">
        <f t="array" ref="N1285">IF(K1285="שוטף",M1285,0)</f>
        <v>9</v>
      </c>
      <c r="O1285" s="136" cm="1">
        <f t="array" ref="O1285">IF(K1285="הכנסה שסווגה מחדש",-G1285,0)</f>
        <v>0</v>
      </c>
      <c r="P1285" t="s" s="80">
        <v>770</v>
      </c>
      <c r="Q1285" s="100"/>
      <c r="R1285" t="s" s="137">
        <v>743</v>
      </c>
      <c r="S1285" s="77"/>
    </row>
    <row r="1286" ht="13.65" customHeight="1">
      <c r="A1286" s="84">
        <v>46023</v>
      </c>
      <c r="B1286" t="s" s="85">
        <v>56</v>
      </c>
      <c r="C1286" t="s" s="86">
        <v>837</v>
      </c>
      <c r="D1286" s="138">
        <v>73</v>
      </c>
      <c r="E1286" t="s" s="85">
        <v>754</v>
      </c>
      <c r="F1286" t="s" s="86">
        <v>377</v>
      </c>
      <c r="G1286" s="139">
        <v>7</v>
      </c>
      <c r="H1286" t="s" s="140">
        <v>113</v>
      </c>
      <c r="I1286" t="s" s="141">
        <v>113</v>
      </c>
      <c r="J1286" t="s" s="141">
        <v>97</v>
      </c>
      <c r="K1286" t="str" s="142" cm="1">
        <f t="array" ref="K1286">IF(OR(H1286="ריביות",AND(H1286="דירה כצנלסון",G1286&lt;0,ISNUMBER(SEARCH("הכנסה",F1286)))),"הכנסה שסווגה מחדש",J1286)</f>
        <v>שוטף</v>
      </c>
      <c r="L1286" t="s" s="141">
        <v>741</v>
      </c>
      <c r="M1286" s="143" cm="1">
        <f t="array" ref="M1286">IF(L1286="מאושר",IF(K1286="הכנסה שסווגה מחדש",0,G1286),0)</f>
        <v>7</v>
      </c>
      <c r="N1286" s="143" cm="1">
        <f t="array" ref="N1286">IF(K1286="שוטף",M1286,0)</f>
        <v>7</v>
      </c>
      <c r="O1286" s="143" cm="1">
        <f t="array" ref="O1286">IF(K1286="הכנסה שסווגה מחדש",-G1286,0)</f>
        <v>0</v>
      </c>
      <c r="P1286" t="s" s="86">
        <v>770</v>
      </c>
      <c r="Q1286" s="99"/>
      <c r="R1286" t="s" s="144">
        <v>743</v>
      </c>
      <c r="S1286" s="77"/>
    </row>
    <row r="1287" ht="13.65" customHeight="1">
      <c r="A1287" s="78">
        <v>46023</v>
      </c>
      <c r="B1287" t="s" s="79">
        <v>56</v>
      </c>
      <c r="C1287" t="s" s="80">
        <v>837</v>
      </c>
      <c r="D1287" s="131">
        <v>74</v>
      </c>
      <c r="E1287" t="s" s="79">
        <v>790</v>
      </c>
      <c r="F1287" t="s" s="80">
        <v>223</v>
      </c>
      <c r="G1287" s="132">
        <v>44</v>
      </c>
      <c r="H1287" t="s" s="133">
        <v>111</v>
      </c>
      <c r="I1287" t="s" s="134">
        <v>111</v>
      </c>
      <c r="J1287" t="s" s="134">
        <v>97</v>
      </c>
      <c r="K1287" t="str" s="135" cm="1">
        <f t="array" ref="K1287">IF(OR(H1287="ריביות",AND(H1287="דירה כצנלסון",G1287&lt;0,ISNUMBER(SEARCH("הכנסה",F1287)))),"הכנסה שסווגה מחדש",J1287)</f>
        <v>שוטף</v>
      </c>
      <c r="L1287" t="s" s="134">
        <v>741</v>
      </c>
      <c r="M1287" s="136" cm="1">
        <f t="array" ref="M1287">IF(L1287="מאושר",IF(K1287="הכנסה שסווגה מחדש",0,G1287),0)</f>
        <v>44</v>
      </c>
      <c r="N1287" s="136" cm="1">
        <f t="array" ref="N1287">IF(K1287="שוטף",M1287,0)</f>
        <v>44</v>
      </c>
      <c r="O1287" s="136" cm="1">
        <f t="array" ref="O1287">IF(K1287="הכנסה שסווגה מחדש",-G1287,0)</f>
        <v>0</v>
      </c>
      <c r="P1287" t="s" s="80">
        <v>770</v>
      </c>
      <c r="Q1287" s="100"/>
      <c r="R1287" t="s" s="137">
        <v>743</v>
      </c>
      <c r="S1287" s="77"/>
    </row>
    <row r="1288" ht="13.65" customHeight="1">
      <c r="A1288" s="84">
        <v>46023</v>
      </c>
      <c r="B1288" t="s" s="85">
        <v>56</v>
      </c>
      <c r="C1288" t="s" s="86">
        <v>837</v>
      </c>
      <c r="D1288" s="138">
        <v>75</v>
      </c>
      <c r="E1288" t="s" s="85">
        <v>768</v>
      </c>
      <c r="F1288" t="s" s="86">
        <v>329</v>
      </c>
      <c r="G1288" s="139">
        <v>60</v>
      </c>
      <c r="H1288" t="s" s="140">
        <v>127</v>
      </c>
      <c r="I1288" t="s" s="141">
        <v>127</v>
      </c>
      <c r="J1288" t="s" s="141">
        <v>97</v>
      </c>
      <c r="K1288" t="str" s="142" cm="1">
        <f t="array" ref="K1288">IF(OR(H1288="ריביות",AND(H1288="דירה כצנלסון",G1288&lt;0,ISNUMBER(SEARCH("הכנסה",F1288)))),"הכנסה שסווגה מחדש",J1288)</f>
        <v>שוטף</v>
      </c>
      <c r="L1288" t="s" s="141">
        <v>741</v>
      </c>
      <c r="M1288" s="143" cm="1">
        <f t="array" ref="M1288">IF(L1288="מאושר",IF(K1288="הכנסה שסווגה מחדש",0,G1288),0)</f>
        <v>60</v>
      </c>
      <c r="N1288" s="143" cm="1">
        <f t="array" ref="N1288">IF(K1288="שוטף",M1288,0)</f>
        <v>60</v>
      </c>
      <c r="O1288" s="143" cm="1">
        <f t="array" ref="O1288">IF(K1288="הכנסה שסווגה מחדש",-G1288,0)</f>
        <v>0</v>
      </c>
      <c r="P1288" t="s" s="86">
        <v>770</v>
      </c>
      <c r="Q1288" s="99"/>
      <c r="R1288" t="s" s="144">
        <v>743</v>
      </c>
      <c r="S1288" s="77"/>
    </row>
    <row r="1289" ht="13.65" customHeight="1">
      <c r="A1289" s="78">
        <v>46023</v>
      </c>
      <c r="B1289" t="s" s="79">
        <v>56</v>
      </c>
      <c r="C1289" t="s" s="80">
        <v>837</v>
      </c>
      <c r="D1289" s="131">
        <v>76</v>
      </c>
      <c r="E1289" t="s" s="79">
        <v>768</v>
      </c>
      <c r="F1289" t="s" s="80">
        <v>552</v>
      </c>
      <c r="G1289" s="132">
        <v>80</v>
      </c>
      <c r="H1289" t="s" s="133">
        <v>133</v>
      </c>
      <c r="I1289" t="s" s="134">
        <v>133</v>
      </c>
      <c r="J1289" t="s" s="134">
        <v>97</v>
      </c>
      <c r="K1289" t="str" s="135" cm="1">
        <f t="array" ref="K1289">IF(OR(H1289="ריביות",AND(H1289="דירה כצנלסון",G1289&lt;0,ISNUMBER(SEARCH("הכנסה",F1289)))),"הכנסה שסווגה מחדש",J1289)</f>
        <v>שוטף</v>
      </c>
      <c r="L1289" t="s" s="134">
        <v>741</v>
      </c>
      <c r="M1289" s="136" cm="1">
        <f t="array" ref="M1289">IF(L1289="מאושר",IF(K1289="הכנסה שסווגה מחדש",0,G1289),0)</f>
        <v>80</v>
      </c>
      <c r="N1289" s="136" cm="1">
        <f t="array" ref="N1289">IF(K1289="שוטף",M1289,0)</f>
        <v>80</v>
      </c>
      <c r="O1289" s="136" cm="1">
        <f t="array" ref="O1289">IF(K1289="הכנסה שסווגה מחדש",-G1289,0)</f>
        <v>0</v>
      </c>
      <c r="P1289" t="s" s="80">
        <v>770</v>
      </c>
      <c r="Q1289" s="100"/>
      <c r="R1289" t="s" s="137">
        <v>743</v>
      </c>
      <c r="S1289" s="77"/>
    </row>
    <row r="1290" ht="13.65" customHeight="1">
      <c r="A1290" s="84">
        <v>46023</v>
      </c>
      <c r="B1290" t="s" s="85">
        <v>56</v>
      </c>
      <c r="C1290" t="s" s="86">
        <v>837</v>
      </c>
      <c r="D1290" s="138">
        <v>78</v>
      </c>
      <c r="E1290" t="s" s="85">
        <v>755</v>
      </c>
      <c r="F1290" t="s" s="86">
        <v>402</v>
      </c>
      <c r="G1290" s="139">
        <v>150</v>
      </c>
      <c r="H1290" t="s" s="140">
        <v>123</v>
      </c>
      <c r="I1290" t="s" s="141">
        <v>123</v>
      </c>
      <c r="J1290" t="s" s="141">
        <v>97</v>
      </c>
      <c r="K1290" t="str" s="142" cm="1">
        <f t="array" ref="K1290">IF(OR(H1290="ריביות",AND(H1290="דירה כצנלסון",G1290&lt;0,ISNUMBER(SEARCH("הכנסה",F1290)))),"הכנסה שסווגה מחדש",J1290)</f>
        <v>שוטף</v>
      </c>
      <c r="L1290" t="s" s="141">
        <v>741</v>
      </c>
      <c r="M1290" s="143" cm="1">
        <f t="array" ref="M1290">IF(L1290="מאושר",IF(K1290="הכנסה שסווגה מחדש",0,G1290),0)</f>
        <v>150</v>
      </c>
      <c r="N1290" s="143" cm="1">
        <f t="array" ref="N1290">IF(K1290="שוטף",M1290,0)</f>
        <v>150</v>
      </c>
      <c r="O1290" s="143" cm="1">
        <f t="array" ref="O1290">IF(K1290="הכנסה שסווגה מחדש",-G1290,0)</f>
        <v>0</v>
      </c>
      <c r="P1290" t="s" s="86">
        <v>770</v>
      </c>
      <c r="Q1290" s="99"/>
      <c r="R1290" t="s" s="144">
        <v>743</v>
      </c>
      <c r="S1290" s="77"/>
    </row>
    <row r="1291" ht="13.65" customHeight="1">
      <c r="A1291" s="78">
        <v>46023</v>
      </c>
      <c r="B1291" t="s" s="79">
        <v>56</v>
      </c>
      <c r="C1291" t="s" s="80">
        <v>837</v>
      </c>
      <c r="D1291" s="131">
        <v>79</v>
      </c>
      <c r="E1291" t="s" s="79">
        <v>755</v>
      </c>
      <c r="F1291" t="s" s="80">
        <v>573</v>
      </c>
      <c r="G1291" s="132">
        <v>70</v>
      </c>
      <c r="H1291" t="s" s="133">
        <v>123</v>
      </c>
      <c r="I1291" t="s" s="134">
        <v>123</v>
      </c>
      <c r="J1291" t="s" s="134">
        <v>97</v>
      </c>
      <c r="K1291" t="str" s="135" cm="1">
        <f t="array" ref="K1291">IF(OR(H1291="ריביות",AND(H1291="דירה כצנלסון",G1291&lt;0,ISNUMBER(SEARCH("הכנסה",F1291)))),"הכנסה שסווגה מחדש",J1291)</f>
        <v>שוטף</v>
      </c>
      <c r="L1291" t="s" s="134">
        <v>741</v>
      </c>
      <c r="M1291" s="136" cm="1">
        <f t="array" ref="M1291">IF(L1291="מאושר",IF(K1291="הכנסה שסווגה מחדש",0,G1291),0)</f>
        <v>70</v>
      </c>
      <c r="N1291" s="136" cm="1">
        <f t="array" ref="N1291">IF(K1291="שוטף",M1291,0)</f>
        <v>70</v>
      </c>
      <c r="O1291" s="136" cm="1">
        <f t="array" ref="O1291">IF(K1291="הכנסה שסווגה מחדש",-G1291,0)</f>
        <v>0</v>
      </c>
      <c r="P1291" t="s" s="80">
        <v>770</v>
      </c>
      <c r="Q1291" s="100"/>
      <c r="R1291" t="s" s="137">
        <v>743</v>
      </c>
      <c r="S1291" s="77"/>
    </row>
    <row r="1292" ht="13.65" customHeight="1">
      <c r="A1292" s="84">
        <v>46023</v>
      </c>
      <c r="B1292" t="s" s="85">
        <v>56</v>
      </c>
      <c r="C1292" t="s" s="86">
        <v>837</v>
      </c>
      <c r="D1292" s="138">
        <v>80</v>
      </c>
      <c r="E1292" t="s" s="85">
        <v>755</v>
      </c>
      <c r="F1292" t="s" s="86">
        <v>393</v>
      </c>
      <c r="G1292" s="139">
        <v>211</v>
      </c>
      <c r="H1292" t="s" s="140">
        <v>123</v>
      </c>
      <c r="I1292" t="s" s="141">
        <v>123</v>
      </c>
      <c r="J1292" t="s" s="141">
        <v>97</v>
      </c>
      <c r="K1292" t="str" s="142" cm="1">
        <f t="array" ref="K1292">IF(OR(H1292="ריביות",AND(H1292="דירה כצנלסון",G1292&lt;0,ISNUMBER(SEARCH("הכנסה",F1292)))),"הכנסה שסווגה מחדש",J1292)</f>
        <v>שוטף</v>
      </c>
      <c r="L1292" t="s" s="141">
        <v>741</v>
      </c>
      <c r="M1292" s="143" cm="1">
        <f t="array" ref="M1292">IF(L1292="מאושר",IF(K1292="הכנסה שסווגה מחדש",0,G1292),0)</f>
        <v>211</v>
      </c>
      <c r="N1292" s="143" cm="1">
        <f t="array" ref="N1292">IF(K1292="שוטף",M1292,0)</f>
        <v>211</v>
      </c>
      <c r="O1292" s="143" cm="1">
        <f t="array" ref="O1292">IF(K1292="הכנסה שסווגה מחדש",-G1292,0)</f>
        <v>0</v>
      </c>
      <c r="P1292" t="s" s="86">
        <v>770</v>
      </c>
      <c r="Q1292" s="99"/>
      <c r="R1292" t="s" s="144">
        <v>743</v>
      </c>
      <c r="S1292" s="77"/>
    </row>
    <row r="1293" ht="13.65" customHeight="1">
      <c r="A1293" s="78">
        <v>46023</v>
      </c>
      <c r="B1293" t="s" s="79">
        <v>56</v>
      </c>
      <c r="C1293" t="s" s="80">
        <v>837</v>
      </c>
      <c r="D1293" s="131">
        <v>81</v>
      </c>
      <c r="E1293" t="s" s="79">
        <v>755</v>
      </c>
      <c r="F1293" t="s" s="80">
        <v>393</v>
      </c>
      <c r="G1293" s="132">
        <v>104</v>
      </c>
      <c r="H1293" t="s" s="133">
        <v>123</v>
      </c>
      <c r="I1293" t="s" s="134">
        <v>123</v>
      </c>
      <c r="J1293" t="s" s="134">
        <v>97</v>
      </c>
      <c r="K1293" t="str" s="135" cm="1">
        <f t="array" ref="K1293">IF(OR(H1293="ריביות",AND(H1293="דירה כצנלסון",G1293&lt;0,ISNUMBER(SEARCH("הכנסה",F1293)))),"הכנסה שסווגה מחדש",J1293)</f>
        <v>שוטף</v>
      </c>
      <c r="L1293" t="s" s="134">
        <v>741</v>
      </c>
      <c r="M1293" s="136" cm="1">
        <f t="array" ref="M1293">IF(L1293="מאושר",IF(K1293="הכנסה שסווגה מחדש",0,G1293),0)</f>
        <v>104</v>
      </c>
      <c r="N1293" s="136" cm="1">
        <f t="array" ref="N1293">IF(K1293="שוטף",M1293,0)</f>
        <v>104</v>
      </c>
      <c r="O1293" s="136" cm="1">
        <f t="array" ref="O1293">IF(K1293="הכנסה שסווגה מחדש",-G1293,0)</f>
        <v>0</v>
      </c>
      <c r="P1293" t="s" s="80">
        <v>770</v>
      </c>
      <c r="Q1293" s="100"/>
      <c r="R1293" t="s" s="137">
        <v>743</v>
      </c>
      <c r="S1293" s="77"/>
    </row>
    <row r="1294" ht="13.65" customHeight="1">
      <c r="A1294" s="84">
        <v>46023</v>
      </c>
      <c r="B1294" t="s" s="85">
        <v>56</v>
      </c>
      <c r="C1294" t="s" s="86">
        <v>837</v>
      </c>
      <c r="D1294" s="138">
        <v>82</v>
      </c>
      <c r="E1294" t="s" s="85">
        <v>755</v>
      </c>
      <c r="F1294" t="s" s="86">
        <v>223</v>
      </c>
      <c r="G1294" s="139">
        <v>56</v>
      </c>
      <c r="H1294" t="s" s="140">
        <v>117</v>
      </c>
      <c r="I1294" t="s" s="141">
        <v>117</v>
      </c>
      <c r="J1294" t="s" s="141">
        <v>97</v>
      </c>
      <c r="K1294" t="str" s="142" cm="1">
        <f t="array" ref="K1294">IF(OR(H1294="ריביות",AND(H1294="דירה כצנלסון",G1294&lt;0,ISNUMBER(SEARCH("הכנסה",F1294)))),"הכנסה שסווגה מחדש",J1294)</f>
        <v>שוטף</v>
      </c>
      <c r="L1294" t="s" s="141">
        <v>741</v>
      </c>
      <c r="M1294" s="143" cm="1">
        <f t="array" ref="M1294">IF(L1294="מאושר",IF(K1294="הכנסה שסווגה מחדש",0,G1294),0)</f>
        <v>56</v>
      </c>
      <c r="N1294" s="143" cm="1">
        <f t="array" ref="N1294">IF(K1294="שוטף",M1294,0)</f>
        <v>56</v>
      </c>
      <c r="O1294" s="143" cm="1">
        <f t="array" ref="O1294">IF(K1294="הכנסה שסווגה מחדש",-G1294,0)</f>
        <v>0</v>
      </c>
      <c r="P1294" t="s" s="86">
        <v>770</v>
      </c>
      <c r="Q1294" s="99"/>
      <c r="R1294" t="s" s="144">
        <v>743</v>
      </c>
      <c r="S1294" s="77"/>
    </row>
    <row r="1295" ht="13.65" customHeight="1">
      <c r="A1295" s="78">
        <v>46023</v>
      </c>
      <c r="B1295" t="s" s="79">
        <v>56</v>
      </c>
      <c r="C1295" t="s" s="80">
        <v>837</v>
      </c>
      <c r="D1295" s="131">
        <v>83</v>
      </c>
      <c r="E1295" t="s" s="79">
        <v>775</v>
      </c>
      <c r="F1295" t="s" s="80">
        <v>200</v>
      </c>
      <c r="G1295" s="132">
        <v>972</v>
      </c>
      <c r="H1295" t="s" s="133">
        <v>109</v>
      </c>
      <c r="I1295" t="s" s="134">
        <v>109</v>
      </c>
      <c r="J1295" t="s" s="134">
        <v>97</v>
      </c>
      <c r="K1295" t="str" s="135" cm="1">
        <f t="array" ref="K1295">IF(OR(H1295="ריביות",AND(H1295="דירה כצנלסון",G1295&lt;0,ISNUMBER(SEARCH("הכנסה",F1295)))),"הכנסה שסווגה מחדש",J1295)</f>
        <v>שוטף</v>
      </c>
      <c r="L1295" t="s" s="134">
        <v>741</v>
      </c>
      <c r="M1295" s="136" cm="1">
        <f t="array" ref="M1295">IF(L1295="מאושר",IF(K1295="הכנסה שסווגה מחדש",0,G1295),0)</f>
        <v>972</v>
      </c>
      <c r="N1295" s="136" cm="1">
        <f t="array" ref="N1295">IF(K1295="שוטף",M1295,0)</f>
        <v>972</v>
      </c>
      <c r="O1295" s="136" cm="1">
        <f t="array" ref="O1295">IF(K1295="הכנסה שסווגה מחדש",-G1295,0)</f>
        <v>0</v>
      </c>
      <c r="P1295" t="s" s="80">
        <v>770</v>
      </c>
      <c r="Q1295" s="100"/>
      <c r="R1295" t="s" s="137">
        <v>743</v>
      </c>
      <c r="S1295" s="77"/>
    </row>
    <row r="1296" ht="13.65" customHeight="1">
      <c r="A1296" s="84">
        <v>46023</v>
      </c>
      <c r="B1296" t="s" s="85">
        <v>56</v>
      </c>
      <c r="C1296" t="s" s="86">
        <v>837</v>
      </c>
      <c r="D1296" s="138">
        <v>84</v>
      </c>
      <c r="E1296" t="s" s="85">
        <v>764</v>
      </c>
      <c r="F1296" t="s" s="86">
        <v>200</v>
      </c>
      <c r="G1296" s="139">
        <v>19</v>
      </c>
      <c r="H1296" t="s" s="140">
        <v>109</v>
      </c>
      <c r="I1296" t="s" s="141">
        <v>109</v>
      </c>
      <c r="J1296" t="s" s="141">
        <v>97</v>
      </c>
      <c r="K1296" t="str" s="142" cm="1">
        <f t="array" ref="K1296">IF(OR(H1296="ריביות",AND(H1296="דירה כצנלסון",G1296&lt;0,ISNUMBER(SEARCH("הכנסה",F1296)))),"הכנסה שסווגה מחדש",J1296)</f>
        <v>שוטף</v>
      </c>
      <c r="L1296" t="s" s="141">
        <v>741</v>
      </c>
      <c r="M1296" s="143" cm="1">
        <f t="array" ref="M1296">IF(L1296="מאושר",IF(K1296="הכנסה שסווגה מחדש",0,G1296),0)</f>
        <v>19</v>
      </c>
      <c r="N1296" s="143" cm="1">
        <f t="array" ref="N1296">IF(K1296="שוטף",M1296,0)</f>
        <v>19</v>
      </c>
      <c r="O1296" s="143" cm="1">
        <f t="array" ref="O1296">IF(K1296="הכנסה שסווגה מחדש",-G1296,0)</f>
        <v>0</v>
      </c>
      <c r="P1296" t="s" s="86">
        <v>770</v>
      </c>
      <c r="Q1296" s="99"/>
      <c r="R1296" t="s" s="144">
        <v>743</v>
      </c>
      <c r="S1296" s="77"/>
    </row>
    <row r="1297" ht="13.65" customHeight="1">
      <c r="A1297" s="78">
        <v>46023</v>
      </c>
      <c r="B1297" t="s" s="79">
        <v>56</v>
      </c>
      <c r="C1297" t="s" s="80">
        <v>837</v>
      </c>
      <c r="D1297" s="131">
        <v>85</v>
      </c>
      <c r="E1297" t="s" s="79">
        <v>756</v>
      </c>
      <c r="F1297" t="s" s="80">
        <v>254</v>
      </c>
      <c r="G1297" s="132">
        <v>77</v>
      </c>
      <c r="H1297" t="s" s="133">
        <v>109</v>
      </c>
      <c r="I1297" t="s" s="134">
        <v>109</v>
      </c>
      <c r="J1297" t="s" s="134">
        <v>97</v>
      </c>
      <c r="K1297" t="str" s="135" cm="1">
        <f t="array" ref="K1297">IF(OR(H1297="ריביות",AND(H1297="דירה כצנלסון",G1297&lt;0,ISNUMBER(SEARCH("הכנסה",F1297)))),"הכנסה שסווגה מחדש",J1297)</f>
        <v>שוטף</v>
      </c>
      <c r="L1297" t="s" s="134">
        <v>741</v>
      </c>
      <c r="M1297" s="136" cm="1">
        <f t="array" ref="M1297">IF(L1297="מאושר",IF(K1297="הכנסה שסווגה מחדש",0,G1297),0)</f>
        <v>77</v>
      </c>
      <c r="N1297" s="136" cm="1">
        <f t="array" ref="N1297">IF(K1297="שוטף",M1297,0)</f>
        <v>77</v>
      </c>
      <c r="O1297" s="136" cm="1">
        <f t="array" ref="O1297">IF(K1297="הכנסה שסווגה מחדש",-G1297,0)</f>
        <v>0</v>
      </c>
      <c r="P1297" t="s" s="80">
        <v>770</v>
      </c>
      <c r="Q1297" s="100"/>
      <c r="R1297" t="s" s="137">
        <v>743</v>
      </c>
      <c r="S1297" s="77"/>
    </row>
    <row r="1298" ht="13.65" customHeight="1">
      <c r="A1298" s="84">
        <v>46023</v>
      </c>
      <c r="B1298" t="s" s="85">
        <v>56</v>
      </c>
      <c r="C1298" t="s" s="86">
        <v>837</v>
      </c>
      <c r="D1298" s="138">
        <v>86</v>
      </c>
      <c r="E1298" t="s" s="85">
        <v>756</v>
      </c>
      <c r="F1298" t="s" s="86">
        <v>319</v>
      </c>
      <c r="G1298" s="139">
        <v>736</v>
      </c>
      <c r="H1298" t="s" s="140">
        <v>839</v>
      </c>
      <c r="I1298" t="s" s="141">
        <v>107</v>
      </c>
      <c r="J1298" t="s" s="141">
        <v>97</v>
      </c>
      <c r="K1298" t="str" s="142" cm="1">
        <f t="array" ref="K1298">IF(OR(H1298="ריביות",AND(H1298="דירה כצנלסון",G1298&lt;0,ISNUMBER(SEARCH("הכנסה",F1298)))),"הכנסה שסווגה מחדש",J1298)</f>
        <v>שוטף</v>
      </c>
      <c r="L1298" t="s" s="141">
        <v>741</v>
      </c>
      <c r="M1298" s="143" cm="1">
        <f t="array" ref="M1298">IF(L1298="מאושר",IF(K1298="הכנסה שסווגה מחדש",0,G1298),0)</f>
        <v>736</v>
      </c>
      <c r="N1298" s="143" cm="1">
        <f t="array" ref="N1298">IF(K1298="שוטף",M1298,0)</f>
        <v>736</v>
      </c>
      <c r="O1298" s="143" cm="1">
        <f t="array" ref="O1298">IF(K1298="הכנסה שסווגה מחדש",-G1298,0)</f>
        <v>0</v>
      </c>
      <c r="P1298" t="s" s="86">
        <v>770</v>
      </c>
      <c r="Q1298" s="99"/>
      <c r="R1298" t="s" s="144">
        <v>743</v>
      </c>
      <c r="S1298" s="77"/>
    </row>
    <row r="1299" ht="13.65" customHeight="1">
      <c r="A1299" s="78">
        <v>46023</v>
      </c>
      <c r="B1299" t="s" s="79">
        <v>56</v>
      </c>
      <c r="C1299" t="s" s="80">
        <v>837</v>
      </c>
      <c r="D1299" s="131">
        <v>87</v>
      </c>
      <c r="E1299" t="s" s="79">
        <v>777</v>
      </c>
      <c r="F1299" t="s" s="80">
        <v>610</v>
      </c>
      <c r="G1299" s="132">
        <v>48</v>
      </c>
      <c r="H1299" t="s" s="133">
        <v>117</v>
      </c>
      <c r="I1299" t="s" s="134">
        <v>117</v>
      </c>
      <c r="J1299" t="s" s="134">
        <v>97</v>
      </c>
      <c r="K1299" t="str" s="135" cm="1">
        <f t="array" ref="K1299">IF(OR(H1299="ריביות",AND(H1299="דירה כצנלסון",G1299&lt;0,ISNUMBER(SEARCH("הכנסה",F1299)))),"הכנסה שסווגה מחדש",J1299)</f>
        <v>שוטף</v>
      </c>
      <c r="L1299" t="s" s="134">
        <v>741</v>
      </c>
      <c r="M1299" s="136" cm="1">
        <f t="array" ref="M1299">IF(L1299="מאושר",IF(K1299="הכנסה שסווגה מחדש",0,G1299),0)</f>
        <v>48</v>
      </c>
      <c r="N1299" s="136" cm="1">
        <f t="array" ref="N1299">IF(K1299="שוטף",M1299,0)</f>
        <v>48</v>
      </c>
      <c r="O1299" s="136" cm="1">
        <f t="array" ref="O1299">IF(K1299="הכנסה שסווגה מחדש",-G1299,0)</f>
        <v>0</v>
      </c>
      <c r="P1299" t="s" s="80">
        <v>770</v>
      </c>
      <c r="Q1299" s="100"/>
      <c r="R1299" t="s" s="137">
        <v>743</v>
      </c>
      <c r="S1299" s="77"/>
    </row>
    <row r="1300" ht="13.65" customHeight="1">
      <c r="A1300" s="84">
        <v>46023</v>
      </c>
      <c r="B1300" t="s" s="85">
        <v>56</v>
      </c>
      <c r="C1300" t="s" s="86">
        <v>837</v>
      </c>
      <c r="D1300" s="138">
        <v>88</v>
      </c>
      <c r="E1300" t="s" s="85">
        <v>34</v>
      </c>
      <c r="F1300" t="s" s="86">
        <v>254</v>
      </c>
      <c r="G1300" s="139">
        <v>57</v>
      </c>
      <c r="H1300" t="s" s="140">
        <v>109</v>
      </c>
      <c r="I1300" t="s" s="141">
        <v>109</v>
      </c>
      <c r="J1300" t="s" s="141">
        <v>97</v>
      </c>
      <c r="K1300" t="str" s="142" cm="1">
        <f t="array" ref="K1300">IF(OR(H1300="ריביות",AND(H1300="דירה כצנלסון",G1300&lt;0,ISNUMBER(SEARCH("הכנסה",F1300)))),"הכנסה שסווגה מחדש",J1300)</f>
        <v>שוטף</v>
      </c>
      <c r="L1300" t="s" s="141">
        <v>741</v>
      </c>
      <c r="M1300" s="143" cm="1">
        <f t="array" ref="M1300">IF(L1300="מאושר",IF(K1300="הכנסה שסווגה מחדש",0,G1300),0)</f>
        <v>57</v>
      </c>
      <c r="N1300" s="143" cm="1">
        <f t="array" ref="N1300">IF(K1300="שוטף",M1300,0)</f>
        <v>57</v>
      </c>
      <c r="O1300" s="143" cm="1">
        <f t="array" ref="O1300">IF(K1300="הכנסה שסווגה מחדש",-G1300,0)</f>
        <v>0</v>
      </c>
      <c r="P1300" t="s" s="86">
        <v>780</v>
      </c>
      <c r="Q1300" s="99"/>
      <c r="R1300" t="s" s="144">
        <v>743</v>
      </c>
      <c r="S1300" s="77"/>
    </row>
    <row r="1301" ht="13.65" customHeight="1">
      <c r="A1301" s="78">
        <v>46023</v>
      </c>
      <c r="B1301" t="s" s="79">
        <v>56</v>
      </c>
      <c r="C1301" t="s" s="80">
        <v>837</v>
      </c>
      <c r="D1301" s="131">
        <v>89</v>
      </c>
      <c r="E1301" t="s" s="79">
        <v>789</v>
      </c>
      <c r="F1301" t="s" s="80">
        <v>308</v>
      </c>
      <c r="G1301" s="132">
        <v>6</v>
      </c>
      <c r="H1301" t="s" s="133">
        <v>113</v>
      </c>
      <c r="I1301" t="s" s="134">
        <v>113</v>
      </c>
      <c r="J1301" t="s" s="134">
        <v>97</v>
      </c>
      <c r="K1301" t="str" s="135" cm="1">
        <f t="array" ref="K1301">IF(OR(H1301="ריביות",AND(H1301="דירה כצנלסון",G1301&lt;0,ISNUMBER(SEARCH("הכנסה",F1301)))),"הכנסה שסווגה מחדש",J1301)</f>
        <v>שוטף</v>
      </c>
      <c r="L1301" t="s" s="134">
        <v>741</v>
      </c>
      <c r="M1301" s="136" cm="1">
        <f t="array" ref="M1301">IF(L1301="מאושר",IF(K1301="הכנסה שסווגה מחדש",0,G1301),0)</f>
        <v>6</v>
      </c>
      <c r="N1301" s="136" cm="1">
        <f t="array" ref="N1301">IF(K1301="שוטף",M1301,0)</f>
        <v>6</v>
      </c>
      <c r="O1301" s="136" cm="1">
        <f t="array" ref="O1301">IF(K1301="הכנסה שסווגה מחדש",-G1301,0)</f>
        <v>0</v>
      </c>
      <c r="P1301" t="s" s="80">
        <v>783</v>
      </c>
      <c r="Q1301" s="100"/>
      <c r="R1301" t="s" s="137">
        <v>743</v>
      </c>
      <c r="S1301" s="77"/>
    </row>
    <row r="1302" ht="13.65" customHeight="1">
      <c r="A1302" s="84">
        <v>46023</v>
      </c>
      <c r="B1302" t="s" s="85">
        <v>56</v>
      </c>
      <c r="C1302" t="s" s="86">
        <v>837</v>
      </c>
      <c r="D1302" s="138">
        <v>90</v>
      </c>
      <c r="E1302" t="s" s="85">
        <v>739</v>
      </c>
      <c r="F1302" t="s" s="86">
        <v>442</v>
      </c>
      <c r="G1302" s="139">
        <v>207</v>
      </c>
      <c r="H1302" t="s" s="140">
        <v>127</v>
      </c>
      <c r="I1302" t="s" s="141">
        <v>127</v>
      </c>
      <c r="J1302" t="s" s="141">
        <v>97</v>
      </c>
      <c r="K1302" t="str" s="142" cm="1">
        <f t="array" ref="K1302">IF(OR(H1302="ריביות",AND(H1302="דירה כצנלסון",G1302&lt;0,ISNUMBER(SEARCH("הכנסה",F1302)))),"הכנסה שסווגה מחדש",J1302)</f>
        <v>שוטף</v>
      </c>
      <c r="L1302" t="s" s="141">
        <v>741</v>
      </c>
      <c r="M1302" s="143" cm="1">
        <f t="array" ref="M1302">IF(L1302="מאושר",IF(K1302="הכנסה שסווגה מחדש",0,G1302),0)</f>
        <v>207</v>
      </c>
      <c r="N1302" s="143" cm="1">
        <f t="array" ref="N1302">IF(K1302="שוטף",M1302,0)</f>
        <v>207</v>
      </c>
      <c r="O1302" s="143" cm="1">
        <f t="array" ref="O1302">IF(K1302="הכנסה שסווגה מחדש",-G1302,0)</f>
        <v>0</v>
      </c>
      <c r="P1302" t="s" s="86">
        <v>783</v>
      </c>
      <c r="Q1302" s="99"/>
      <c r="R1302" t="s" s="144">
        <v>743</v>
      </c>
      <c r="S1302" s="77"/>
    </row>
    <row r="1303" ht="13.65" customHeight="1">
      <c r="A1303" s="78">
        <v>46023</v>
      </c>
      <c r="B1303" t="s" s="79">
        <v>56</v>
      </c>
      <c r="C1303" t="s" s="80">
        <v>837</v>
      </c>
      <c r="D1303" s="131">
        <v>91</v>
      </c>
      <c r="E1303" t="s" s="79">
        <v>754</v>
      </c>
      <c r="F1303" t="s" s="80">
        <v>250</v>
      </c>
      <c r="G1303" s="132">
        <v>120</v>
      </c>
      <c r="H1303" t="s" s="133">
        <v>127</v>
      </c>
      <c r="I1303" t="s" s="134">
        <v>127</v>
      </c>
      <c r="J1303" t="s" s="134">
        <v>97</v>
      </c>
      <c r="K1303" t="str" s="135" cm="1">
        <f t="array" ref="K1303">IF(OR(H1303="ריביות",AND(H1303="דירה כצנלסון",G1303&lt;0,ISNUMBER(SEARCH("הכנסה",F1303)))),"הכנסה שסווגה מחדש",J1303)</f>
        <v>שוטף</v>
      </c>
      <c r="L1303" t="s" s="134">
        <v>741</v>
      </c>
      <c r="M1303" s="136" cm="1">
        <f t="array" ref="M1303">IF(L1303="מאושר",IF(K1303="הכנסה שסווגה מחדש",0,G1303),0)</f>
        <v>120</v>
      </c>
      <c r="N1303" s="136" cm="1">
        <f t="array" ref="N1303">IF(K1303="שוטף",M1303,0)</f>
        <v>120</v>
      </c>
      <c r="O1303" s="136" cm="1">
        <f t="array" ref="O1303">IF(K1303="הכנסה שסווגה מחדש",-G1303,0)</f>
        <v>0</v>
      </c>
      <c r="P1303" t="s" s="80">
        <v>783</v>
      </c>
      <c r="Q1303" s="100"/>
      <c r="R1303" t="s" s="137">
        <v>743</v>
      </c>
      <c r="S1303" s="77"/>
    </row>
    <row r="1304" ht="13.65" customHeight="1">
      <c r="A1304" s="84">
        <v>46023</v>
      </c>
      <c r="B1304" t="s" s="85">
        <v>56</v>
      </c>
      <c r="C1304" t="s" s="86">
        <v>837</v>
      </c>
      <c r="D1304" s="138">
        <v>92</v>
      </c>
      <c r="E1304" t="s" s="85">
        <v>775</v>
      </c>
      <c r="F1304" t="s" s="86">
        <v>472</v>
      </c>
      <c r="G1304" s="139">
        <v>24</v>
      </c>
      <c r="H1304" t="s" s="140">
        <v>115</v>
      </c>
      <c r="I1304" t="s" s="141">
        <v>115</v>
      </c>
      <c r="J1304" t="s" s="141">
        <v>97</v>
      </c>
      <c r="K1304" t="str" s="142" cm="1">
        <f t="array" ref="K1304">IF(OR(H1304="ריביות",AND(H1304="דירה כצנלסון",G1304&lt;0,ISNUMBER(SEARCH("הכנסה",F1304)))),"הכנסה שסווגה מחדש",J1304)</f>
        <v>שוטף</v>
      </c>
      <c r="L1304" t="s" s="141">
        <v>741</v>
      </c>
      <c r="M1304" s="143" cm="1">
        <f t="array" ref="M1304">IF(L1304="מאושר",IF(K1304="הכנסה שסווגה מחדש",0,G1304),0)</f>
        <v>24</v>
      </c>
      <c r="N1304" s="143" cm="1">
        <f t="array" ref="N1304">IF(K1304="שוטף",M1304,0)</f>
        <v>24</v>
      </c>
      <c r="O1304" s="143" cm="1">
        <f t="array" ref="O1304">IF(K1304="הכנסה שסווגה מחדש",-G1304,0)</f>
        <v>0</v>
      </c>
      <c r="P1304" t="s" s="86">
        <v>783</v>
      </c>
      <c r="Q1304" s="99"/>
      <c r="R1304" t="s" s="144">
        <v>743</v>
      </c>
      <c r="S1304" s="77"/>
    </row>
    <row r="1305" ht="13.65" customHeight="1">
      <c r="A1305" s="78">
        <v>46023</v>
      </c>
      <c r="B1305" t="s" s="79">
        <v>56</v>
      </c>
      <c r="C1305" t="s" s="80">
        <v>837</v>
      </c>
      <c r="D1305" s="131">
        <v>94</v>
      </c>
      <c r="E1305" t="s" s="79">
        <v>34</v>
      </c>
      <c r="F1305" t="s" s="80">
        <v>200</v>
      </c>
      <c r="G1305" s="132">
        <v>93</v>
      </c>
      <c r="H1305" t="s" s="133">
        <v>109</v>
      </c>
      <c r="I1305" t="s" s="134">
        <v>109</v>
      </c>
      <c r="J1305" t="s" s="134">
        <v>97</v>
      </c>
      <c r="K1305" t="str" s="135" cm="1">
        <f t="array" ref="K1305">IF(OR(H1305="ריביות",AND(H1305="דירה כצנלסון",G1305&lt;0,ISNUMBER(SEARCH("הכנסה",F1305)))),"הכנסה שסווגה מחדש",J1305)</f>
        <v>שוטף</v>
      </c>
      <c r="L1305" t="s" s="134">
        <v>741</v>
      </c>
      <c r="M1305" s="136" cm="1">
        <f t="array" ref="M1305">IF(L1305="מאושר",IF(K1305="הכנסה שסווגה מחדש",0,G1305),0)</f>
        <v>93</v>
      </c>
      <c r="N1305" s="136" cm="1">
        <f t="array" ref="N1305">IF(K1305="שוטף",M1305,0)</f>
        <v>93</v>
      </c>
      <c r="O1305" s="136" cm="1">
        <f t="array" ref="O1305">IF(K1305="הכנסה שסווגה מחדש",-G1305,0)</f>
        <v>0</v>
      </c>
      <c r="P1305" t="s" s="80">
        <v>784</v>
      </c>
      <c r="Q1305" s="100"/>
      <c r="R1305" t="s" s="137">
        <v>743</v>
      </c>
      <c r="S1305" s="77"/>
    </row>
    <row r="1306" ht="13.65" customHeight="1">
      <c r="A1306" s="84">
        <v>46023</v>
      </c>
      <c r="B1306" t="s" s="85">
        <v>56</v>
      </c>
      <c r="C1306" t="s" s="86">
        <v>837</v>
      </c>
      <c r="D1306" s="138">
        <v>95</v>
      </c>
      <c r="E1306" t="s" s="85">
        <v>38</v>
      </c>
      <c r="F1306" t="s" s="86">
        <v>209</v>
      </c>
      <c r="G1306" s="139">
        <v>153</v>
      </c>
      <c r="H1306" t="s" s="140">
        <v>113</v>
      </c>
      <c r="I1306" t="s" s="141">
        <v>113</v>
      </c>
      <c r="J1306" t="s" s="141">
        <v>97</v>
      </c>
      <c r="K1306" t="str" s="142" cm="1">
        <f t="array" ref="K1306">IF(OR(H1306="ריביות",AND(H1306="דירה כצנלסון",G1306&lt;0,ISNUMBER(SEARCH("הכנסה",F1306)))),"הכנסה שסווגה מחדש",J1306)</f>
        <v>שוטף</v>
      </c>
      <c r="L1306" t="s" s="141">
        <v>741</v>
      </c>
      <c r="M1306" s="143" cm="1">
        <f t="array" ref="M1306">IF(L1306="מאושר",IF(K1306="הכנסה שסווגה מחדש",0,G1306),0)</f>
        <v>153</v>
      </c>
      <c r="N1306" s="143" cm="1">
        <f t="array" ref="N1306">IF(K1306="שוטף",M1306,0)</f>
        <v>153</v>
      </c>
      <c r="O1306" s="143" cm="1">
        <f t="array" ref="O1306">IF(K1306="הכנסה שסווגה מחדש",-G1306,0)</f>
        <v>0</v>
      </c>
      <c r="P1306" t="s" s="86">
        <v>784</v>
      </c>
      <c r="Q1306" s="99"/>
      <c r="R1306" t="s" s="144">
        <v>743</v>
      </c>
      <c r="S1306" s="77"/>
    </row>
    <row r="1307" ht="13.65" customHeight="1">
      <c r="A1307" s="78">
        <v>46023</v>
      </c>
      <c r="B1307" t="s" s="79">
        <v>56</v>
      </c>
      <c r="C1307" t="s" s="80">
        <v>837</v>
      </c>
      <c r="D1307" s="131">
        <v>96</v>
      </c>
      <c r="E1307" t="s" s="79">
        <v>788</v>
      </c>
      <c r="F1307" t="s" s="80">
        <v>200</v>
      </c>
      <c r="G1307" s="132">
        <v>10</v>
      </c>
      <c r="H1307" t="s" s="133">
        <v>109</v>
      </c>
      <c r="I1307" t="s" s="134">
        <v>109</v>
      </c>
      <c r="J1307" t="s" s="134">
        <v>97</v>
      </c>
      <c r="K1307" t="str" s="135" cm="1">
        <f t="array" ref="K1307">IF(OR(H1307="ריביות",AND(H1307="דירה כצנלסון",G1307&lt;0,ISNUMBER(SEARCH("הכנסה",F1307)))),"הכנסה שסווגה מחדש",J1307)</f>
        <v>שוטף</v>
      </c>
      <c r="L1307" t="s" s="134">
        <v>741</v>
      </c>
      <c r="M1307" s="136" cm="1">
        <f t="array" ref="M1307">IF(L1307="מאושר",IF(K1307="הכנסה שסווגה מחדש",0,G1307),0)</f>
        <v>10</v>
      </c>
      <c r="N1307" s="136" cm="1">
        <f t="array" ref="N1307">IF(K1307="שוטף",M1307,0)</f>
        <v>10</v>
      </c>
      <c r="O1307" s="136" cm="1">
        <f t="array" ref="O1307">IF(K1307="הכנסה שסווגה מחדש",-G1307,0)</f>
        <v>0</v>
      </c>
      <c r="P1307" t="s" s="80">
        <v>784</v>
      </c>
      <c r="Q1307" s="100"/>
      <c r="R1307" t="s" s="137">
        <v>743</v>
      </c>
      <c r="S1307" s="77"/>
    </row>
    <row r="1308" ht="13.65" customHeight="1">
      <c r="A1308" s="84">
        <v>46023</v>
      </c>
      <c r="B1308" t="s" s="85">
        <v>56</v>
      </c>
      <c r="C1308" t="s" s="86">
        <v>837</v>
      </c>
      <c r="D1308" s="138">
        <v>97</v>
      </c>
      <c r="E1308" t="s" s="85">
        <v>744</v>
      </c>
      <c r="F1308" t="s" s="86">
        <v>209</v>
      </c>
      <c r="G1308" s="139">
        <v>79</v>
      </c>
      <c r="H1308" t="s" s="140">
        <v>113</v>
      </c>
      <c r="I1308" t="s" s="141">
        <v>113</v>
      </c>
      <c r="J1308" t="s" s="141">
        <v>97</v>
      </c>
      <c r="K1308" t="str" s="142" cm="1">
        <f t="array" ref="K1308">IF(OR(H1308="ריביות",AND(H1308="דירה כצנלסון",G1308&lt;0,ISNUMBER(SEARCH("הכנסה",F1308)))),"הכנסה שסווגה מחדש",J1308)</f>
        <v>שוטף</v>
      </c>
      <c r="L1308" t="s" s="141">
        <v>741</v>
      </c>
      <c r="M1308" s="143" cm="1">
        <f t="array" ref="M1308">IF(L1308="מאושר",IF(K1308="הכנסה שסווגה מחדש",0,G1308),0)</f>
        <v>79</v>
      </c>
      <c r="N1308" s="143" cm="1">
        <f t="array" ref="N1308">IF(K1308="שוטף",M1308,0)</f>
        <v>79</v>
      </c>
      <c r="O1308" s="143" cm="1">
        <f t="array" ref="O1308">IF(K1308="הכנסה שסווגה מחדש",-G1308,0)</f>
        <v>0</v>
      </c>
      <c r="P1308" t="s" s="86">
        <v>784</v>
      </c>
      <c r="Q1308" s="99"/>
      <c r="R1308" t="s" s="144">
        <v>743</v>
      </c>
      <c r="S1308" s="77"/>
    </row>
    <row r="1309" ht="13.65" customHeight="1">
      <c r="A1309" s="78">
        <v>46023</v>
      </c>
      <c r="B1309" t="s" s="79">
        <v>56</v>
      </c>
      <c r="C1309" t="s" s="80">
        <v>837</v>
      </c>
      <c r="D1309" s="131">
        <v>98</v>
      </c>
      <c r="E1309" t="s" s="79">
        <v>774</v>
      </c>
      <c r="F1309" t="s" s="80">
        <v>209</v>
      </c>
      <c r="G1309" s="132">
        <v>217</v>
      </c>
      <c r="H1309" t="s" s="133">
        <v>113</v>
      </c>
      <c r="I1309" t="s" s="134">
        <v>113</v>
      </c>
      <c r="J1309" t="s" s="134">
        <v>97</v>
      </c>
      <c r="K1309" t="str" s="135" cm="1">
        <f t="array" ref="K1309">IF(OR(H1309="ריביות",AND(H1309="דירה כצנלסון",G1309&lt;0,ISNUMBER(SEARCH("הכנסה",F1309)))),"הכנסה שסווגה מחדש",J1309)</f>
        <v>שוטף</v>
      </c>
      <c r="L1309" t="s" s="134">
        <v>741</v>
      </c>
      <c r="M1309" s="136" cm="1">
        <f t="array" ref="M1309">IF(L1309="מאושר",IF(K1309="הכנסה שסווגה מחדש",0,G1309),0)</f>
        <v>217</v>
      </c>
      <c r="N1309" s="136" cm="1">
        <f t="array" ref="N1309">IF(K1309="שוטף",M1309,0)</f>
        <v>217</v>
      </c>
      <c r="O1309" s="136" cm="1">
        <f t="array" ref="O1309">IF(K1309="הכנסה שסווגה מחדש",-G1309,0)</f>
        <v>0</v>
      </c>
      <c r="P1309" t="s" s="80">
        <v>784</v>
      </c>
      <c r="Q1309" s="100"/>
      <c r="R1309" t="s" s="137">
        <v>743</v>
      </c>
      <c r="S1309" s="77"/>
    </row>
    <row r="1310" ht="13.65" customHeight="1">
      <c r="A1310" s="84">
        <v>46023</v>
      </c>
      <c r="B1310" t="s" s="85">
        <v>56</v>
      </c>
      <c r="C1310" t="s" s="86">
        <v>837</v>
      </c>
      <c r="D1310" s="138">
        <v>99</v>
      </c>
      <c r="E1310" t="s" s="85">
        <v>774</v>
      </c>
      <c r="F1310" t="s" s="86">
        <v>209</v>
      </c>
      <c r="G1310" s="139">
        <v>41</v>
      </c>
      <c r="H1310" t="s" s="140">
        <v>113</v>
      </c>
      <c r="I1310" t="s" s="141">
        <v>113</v>
      </c>
      <c r="J1310" t="s" s="141">
        <v>97</v>
      </c>
      <c r="K1310" t="str" s="142" cm="1">
        <f t="array" ref="K1310">IF(OR(H1310="ריביות",AND(H1310="דירה כצנלסון",G1310&lt;0,ISNUMBER(SEARCH("הכנסה",F1310)))),"הכנסה שסווגה מחדש",J1310)</f>
        <v>שוטף</v>
      </c>
      <c r="L1310" t="s" s="141">
        <v>741</v>
      </c>
      <c r="M1310" s="143" cm="1">
        <f t="array" ref="M1310">IF(L1310="מאושר",IF(K1310="הכנסה שסווגה מחדש",0,G1310),0)</f>
        <v>41</v>
      </c>
      <c r="N1310" s="143" cm="1">
        <f t="array" ref="N1310">IF(K1310="שוטף",M1310,0)</f>
        <v>41</v>
      </c>
      <c r="O1310" s="143" cm="1">
        <f t="array" ref="O1310">IF(K1310="הכנסה שסווגה מחדש",-G1310,0)</f>
        <v>0</v>
      </c>
      <c r="P1310" t="s" s="86">
        <v>784</v>
      </c>
      <c r="Q1310" s="99"/>
      <c r="R1310" t="s" s="144">
        <v>743</v>
      </c>
      <c r="S1310" s="77"/>
    </row>
    <row r="1311" ht="13.65" customHeight="1">
      <c r="A1311" s="78">
        <v>46023</v>
      </c>
      <c r="B1311" t="s" s="79">
        <v>56</v>
      </c>
      <c r="C1311" t="s" s="80">
        <v>837</v>
      </c>
      <c r="D1311" s="131">
        <v>100</v>
      </c>
      <c r="E1311" t="s" s="79">
        <v>791</v>
      </c>
      <c r="F1311" t="s" s="80">
        <v>209</v>
      </c>
      <c r="G1311" s="132">
        <v>83</v>
      </c>
      <c r="H1311" t="s" s="133">
        <v>113</v>
      </c>
      <c r="I1311" t="s" s="134">
        <v>113</v>
      </c>
      <c r="J1311" t="s" s="134">
        <v>97</v>
      </c>
      <c r="K1311" t="str" s="135" cm="1">
        <f t="array" ref="K1311">IF(OR(H1311="ריביות",AND(H1311="דירה כצנלסון",G1311&lt;0,ISNUMBER(SEARCH("הכנסה",F1311)))),"הכנסה שסווגה מחדש",J1311)</f>
        <v>שוטף</v>
      </c>
      <c r="L1311" t="s" s="134">
        <v>741</v>
      </c>
      <c r="M1311" s="136" cm="1">
        <f t="array" ref="M1311">IF(L1311="מאושר",IF(K1311="הכנסה שסווגה מחדש",0,G1311),0)</f>
        <v>83</v>
      </c>
      <c r="N1311" s="136" cm="1">
        <f t="array" ref="N1311">IF(K1311="שוטף",M1311,0)</f>
        <v>83</v>
      </c>
      <c r="O1311" s="136" cm="1">
        <f t="array" ref="O1311">IF(K1311="הכנסה שסווגה מחדש",-G1311,0)</f>
        <v>0</v>
      </c>
      <c r="P1311" t="s" s="80">
        <v>784</v>
      </c>
      <c r="Q1311" s="100"/>
      <c r="R1311" t="s" s="137">
        <v>743</v>
      </c>
      <c r="S1311" s="77"/>
    </row>
    <row r="1312" ht="13.65" customHeight="1">
      <c r="A1312" s="84">
        <v>46023</v>
      </c>
      <c r="B1312" t="s" s="85">
        <v>56</v>
      </c>
      <c r="C1312" t="s" s="86">
        <v>837</v>
      </c>
      <c r="D1312" s="138">
        <v>101</v>
      </c>
      <c r="E1312" t="s" s="85">
        <v>766</v>
      </c>
      <c r="F1312" t="s" s="86">
        <v>209</v>
      </c>
      <c r="G1312" s="139">
        <v>263</v>
      </c>
      <c r="H1312" t="s" s="140">
        <v>113</v>
      </c>
      <c r="I1312" t="s" s="141">
        <v>113</v>
      </c>
      <c r="J1312" t="s" s="141">
        <v>97</v>
      </c>
      <c r="K1312" t="str" s="142" cm="1">
        <f t="array" ref="K1312">IF(OR(H1312="ריביות",AND(H1312="דירה כצנלסון",G1312&lt;0,ISNUMBER(SEARCH("הכנסה",F1312)))),"הכנסה שסווגה מחדש",J1312)</f>
        <v>שוטף</v>
      </c>
      <c r="L1312" t="s" s="141">
        <v>741</v>
      </c>
      <c r="M1312" s="143" cm="1">
        <f t="array" ref="M1312">IF(L1312="מאושר",IF(K1312="הכנסה שסווגה מחדש",0,G1312),0)</f>
        <v>263</v>
      </c>
      <c r="N1312" s="143" cm="1">
        <f t="array" ref="N1312">IF(K1312="שוטף",M1312,0)</f>
        <v>263</v>
      </c>
      <c r="O1312" s="143" cm="1">
        <f t="array" ref="O1312">IF(K1312="הכנסה שסווגה מחדש",-G1312,0)</f>
        <v>0</v>
      </c>
      <c r="P1312" t="s" s="86">
        <v>784</v>
      </c>
      <c r="Q1312" s="99"/>
      <c r="R1312" t="s" s="144">
        <v>743</v>
      </c>
      <c r="S1312" s="77"/>
    </row>
    <row r="1313" ht="13.65" customHeight="1">
      <c r="A1313" s="78">
        <v>46023</v>
      </c>
      <c r="B1313" t="s" s="79">
        <v>56</v>
      </c>
      <c r="C1313" t="s" s="80">
        <v>837</v>
      </c>
      <c r="D1313" s="131">
        <v>102</v>
      </c>
      <c r="E1313" t="s" s="79">
        <v>755</v>
      </c>
      <c r="F1313" t="s" s="80">
        <v>209</v>
      </c>
      <c r="G1313" s="132">
        <v>96</v>
      </c>
      <c r="H1313" t="s" s="133">
        <v>113</v>
      </c>
      <c r="I1313" t="s" s="134">
        <v>113</v>
      </c>
      <c r="J1313" t="s" s="134">
        <v>97</v>
      </c>
      <c r="K1313" t="str" s="135" cm="1">
        <f t="array" ref="K1313">IF(OR(H1313="ריביות",AND(H1313="דירה כצנלסון",G1313&lt;0,ISNUMBER(SEARCH("הכנסה",F1313)))),"הכנסה שסווגה מחדש",J1313)</f>
        <v>שוטף</v>
      </c>
      <c r="L1313" t="s" s="134">
        <v>741</v>
      </c>
      <c r="M1313" s="136" cm="1">
        <f t="array" ref="M1313">IF(L1313="מאושר",IF(K1313="הכנסה שסווגה מחדש",0,G1313),0)</f>
        <v>96</v>
      </c>
      <c r="N1313" s="136" cm="1">
        <f t="array" ref="N1313">IF(K1313="שוטף",M1313,0)</f>
        <v>96</v>
      </c>
      <c r="O1313" s="136" cm="1">
        <f t="array" ref="O1313">IF(K1313="הכנסה שסווגה מחדש",-G1313,0)</f>
        <v>0</v>
      </c>
      <c r="P1313" t="s" s="80">
        <v>784</v>
      </c>
      <c r="Q1313" s="100"/>
      <c r="R1313" t="s" s="137">
        <v>743</v>
      </c>
      <c r="S1313" s="77"/>
    </row>
    <row r="1314" ht="13.65" customHeight="1">
      <c r="A1314" s="84">
        <v>46054</v>
      </c>
      <c r="B1314" t="s" s="85">
        <v>57</v>
      </c>
      <c r="C1314" t="s" s="86">
        <v>840</v>
      </c>
      <c r="D1314" s="138">
        <v>2</v>
      </c>
      <c r="E1314" s="99"/>
      <c r="F1314" t="s" s="86">
        <v>196</v>
      </c>
      <c r="G1314" s="139">
        <v>8000</v>
      </c>
      <c r="H1314" t="s" s="140">
        <v>838</v>
      </c>
      <c r="I1314" t="s" s="141">
        <v>96</v>
      </c>
      <c r="J1314" t="s" s="141">
        <v>97</v>
      </c>
      <c r="K1314" t="str" s="142" cm="1">
        <f t="array" ref="K1314">IF(OR(H1314="ריביות",AND(H1314="דירה כצנלסון",G1314&lt;0,ISNUMBER(SEARCH("הכנסה",F1314)))),"הכנסה שסווגה מחדש",J1314)</f>
        <v>שוטף</v>
      </c>
      <c r="L1314" t="s" s="141">
        <v>741</v>
      </c>
      <c r="M1314" s="143" cm="1">
        <f t="array" ref="M1314">IF(L1314="מאושר",IF(K1314="הכנסה שסווגה מחדש",0,G1314),0)</f>
        <v>8000</v>
      </c>
      <c r="N1314" s="143" cm="1">
        <f t="array" ref="N1314">IF(K1314="שוטף",M1314,0)</f>
        <v>8000</v>
      </c>
      <c r="O1314" s="143" cm="1">
        <f t="array" ref="O1314">IF(K1314="הכנסה שסווגה מחדש",-G1314,0)</f>
        <v>0</v>
      </c>
      <c r="P1314" t="s" s="86">
        <v>786</v>
      </c>
      <c r="Q1314" s="99"/>
      <c r="R1314" t="s" s="144">
        <v>743</v>
      </c>
      <c r="S1314" s="77"/>
    </row>
    <row r="1315" ht="13.65" customHeight="1">
      <c r="A1315" s="78">
        <v>46054</v>
      </c>
      <c r="B1315" t="s" s="79">
        <v>57</v>
      </c>
      <c r="C1315" t="s" s="80">
        <v>840</v>
      </c>
      <c r="D1315" s="131">
        <v>3</v>
      </c>
      <c r="E1315" s="100"/>
      <c r="F1315" t="s" s="80">
        <v>197</v>
      </c>
      <c r="G1315" s="132">
        <v>6143</v>
      </c>
      <c r="H1315" t="s" s="133">
        <v>279</v>
      </c>
      <c r="I1315" t="s" s="134">
        <v>99</v>
      </c>
      <c r="J1315" t="s" s="134">
        <v>100</v>
      </c>
      <c r="K1315" t="str" s="135" cm="1">
        <f t="array" ref="K1315">IF(OR(H1315="ריביות",AND(H1315="דירה כצנלסון",G1315&lt;0,ISNUMBER(SEARCH("הכנסה",F1315)))),"הכנסה שסווגה מחדש",J1315)</f>
        <v>חריג/נכס</v>
      </c>
      <c r="L1315" t="s" s="134">
        <v>741</v>
      </c>
      <c r="M1315" s="136" cm="1">
        <f t="array" ref="M1315">IF(L1315="מאושר",IF(K1315="הכנסה שסווגה מחדש",0,G1315),0)</f>
        <v>6143</v>
      </c>
      <c r="N1315" s="136" cm="1">
        <f t="array" ref="N1315">IF(K1315="שוטף",M1315,0)</f>
        <v>0</v>
      </c>
      <c r="O1315" s="136" cm="1">
        <f t="array" ref="O1315">IF(K1315="הכנסה שסווגה מחדש",-G1315,0)</f>
        <v>0</v>
      </c>
      <c r="P1315" t="s" s="80">
        <v>786</v>
      </c>
      <c r="Q1315" s="100"/>
      <c r="R1315" t="s" s="137">
        <v>743</v>
      </c>
      <c r="S1315" s="77"/>
    </row>
    <row r="1316" ht="13.65" customHeight="1">
      <c r="A1316" s="84">
        <v>46054</v>
      </c>
      <c r="B1316" t="s" s="85">
        <v>57</v>
      </c>
      <c r="C1316" t="s" s="86">
        <v>840</v>
      </c>
      <c r="D1316" s="138">
        <v>4</v>
      </c>
      <c r="E1316" s="99"/>
      <c r="F1316" t="s" s="86">
        <v>212</v>
      </c>
      <c r="G1316" s="139">
        <v>0</v>
      </c>
      <c r="H1316" t="s" s="140">
        <v>838</v>
      </c>
      <c r="I1316" t="s" s="141">
        <v>96</v>
      </c>
      <c r="J1316" t="s" s="141">
        <v>97</v>
      </c>
      <c r="K1316" t="str" s="142" cm="1">
        <f t="array" ref="K1316">IF(OR(H1316="ריביות",AND(H1316="דירה כצנלסון",G1316&lt;0,ISNUMBER(SEARCH("הכנסה",F1316)))),"הכנסה שסווגה מחדש",J1316)</f>
        <v>שוטף</v>
      </c>
      <c r="L1316" t="s" s="141">
        <v>741</v>
      </c>
      <c r="M1316" s="143" cm="1">
        <f t="array" ref="M1316">IF(L1316="מאושר",IF(K1316="הכנסה שסווגה מחדש",0,G1316),0)</f>
        <v>0</v>
      </c>
      <c r="N1316" s="143" cm="1">
        <f t="array" ref="N1316">IF(K1316="שוטף",M1316,0)</f>
        <v>0</v>
      </c>
      <c r="O1316" s="143" cm="1">
        <f t="array" ref="O1316">IF(K1316="הכנסה שסווגה מחדש",-G1316,0)</f>
        <v>0</v>
      </c>
      <c r="P1316" s="99"/>
      <c r="Q1316" s="99"/>
      <c r="R1316" t="s" s="144">
        <v>743</v>
      </c>
      <c r="S1316" s="77"/>
    </row>
    <row r="1317" ht="13.65" customHeight="1">
      <c r="A1317" s="78">
        <v>46054</v>
      </c>
      <c r="B1317" t="s" s="79">
        <v>57</v>
      </c>
      <c r="C1317" t="s" s="80">
        <v>840</v>
      </c>
      <c r="D1317" s="131">
        <v>5</v>
      </c>
      <c r="E1317" t="s" s="79">
        <v>841</v>
      </c>
      <c r="F1317" t="s" s="80">
        <v>221</v>
      </c>
      <c r="G1317" s="132">
        <v>73</v>
      </c>
      <c r="H1317" t="s" s="133">
        <v>838</v>
      </c>
      <c r="I1317" t="s" s="134">
        <v>96</v>
      </c>
      <c r="J1317" t="s" s="134">
        <v>97</v>
      </c>
      <c r="K1317" t="str" s="135" cm="1">
        <f t="array" ref="K1317">IF(OR(H1317="ריביות",AND(H1317="דירה כצנלסון",G1317&lt;0,ISNUMBER(SEARCH("הכנסה",F1317)))),"הכנסה שסווגה מחדש",J1317)</f>
        <v>שוטף</v>
      </c>
      <c r="L1317" t="s" s="134">
        <v>741</v>
      </c>
      <c r="M1317" s="136" cm="1">
        <f t="array" ref="M1317">IF(L1317="מאושר",IF(K1317="הכנסה שסווגה מחדש",0,G1317),0)</f>
        <v>73</v>
      </c>
      <c r="N1317" s="136" cm="1">
        <f t="array" ref="N1317">IF(K1317="שוטף",M1317,0)</f>
        <v>73</v>
      </c>
      <c r="O1317" s="136" cm="1">
        <f t="array" ref="O1317">IF(K1317="הכנסה שסווגה מחדש",-G1317,0)</f>
        <v>0</v>
      </c>
      <c r="P1317" t="s" s="80">
        <v>842</v>
      </c>
      <c r="Q1317" s="100"/>
      <c r="R1317" t="s" s="137">
        <v>743</v>
      </c>
      <c r="S1317" s="77"/>
    </row>
    <row r="1318" ht="13.65" customHeight="1">
      <c r="A1318" s="84">
        <v>46054</v>
      </c>
      <c r="B1318" t="s" s="85">
        <v>57</v>
      </c>
      <c r="C1318" t="s" s="86">
        <v>840</v>
      </c>
      <c r="D1318" s="138">
        <v>6</v>
      </c>
      <c r="E1318" s="99"/>
      <c r="F1318" t="s" s="86">
        <v>374</v>
      </c>
      <c r="G1318" s="139">
        <v>0</v>
      </c>
      <c r="H1318" t="s" s="140">
        <v>838</v>
      </c>
      <c r="I1318" t="s" s="141">
        <v>96</v>
      </c>
      <c r="J1318" t="s" s="141">
        <v>97</v>
      </c>
      <c r="K1318" t="str" s="142" cm="1">
        <f t="array" ref="K1318">IF(OR(H1318="ריביות",AND(H1318="דירה כצנלסון",G1318&lt;0,ISNUMBER(SEARCH("הכנסה",F1318)))),"הכנסה שסווגה מחדש",J1318)</f>
        <v>שוטף</v>
      </c>
      <c r="L1318" t="s" s="141">
        <v>741</v>
      </c>
      <c r="M1318" s="143" cm="1">
        <f t="array" ref="M1318">IF(L1318="מאושר",IF(K1318="הכנסה שסווגה מחדש",0,G1318),0)</f>
        <v>0</v>
      </c>
      <c r="N1318" s="143" cm="1">
        <f t="array" ref="N1318">IF(K1318="שוטף",M1318,0)</f>
        <v>0</v>
      </c>
      <c r="O1318" s="143" cm="1">
        <f t="array" ref="O1318">IF(K1318="הכנסה שסווגה מחדש",-G1318,0)</f>
        <v>0</v>
      </c>
      <c r="P1318" t="s" s="86">
        <v>842</v>
      </c>
      <c r="Q1318" s="99"/>
      <c r="R1318" t="s" s="144">
        <v>743</v>
      </c>
      <c r="S1318" s="77"/>
    </row>
    <row r="1319" ht="13.65" customHeight="1">
      <c r="A1319" s="78">
        <v>46054</v>
      </c>
      <c r="B1319" t="s" s="79">
        <v>57</v>
      </c>
      <c r="C1319" t="s" s="80">
        <v>840</v>
      </c>
      <c r="D1319" s="131">
        <v>7</v>
      </c>
      <c r="E1319" s="100"/>
      <c r="F1319" t="s" s="80">
        <v>232</v>
      </c>
      <c r="G1319" s="132">
        <v>600</v>
      </c>
      <c r="H1319" t="s" s="133">
        <v>838</v>
      </c>
      <c r="I1319" t="s" s="134">
        <v>96</v>
      </c>
      <c r="J1319" t="s" s="134">
        <v>97</v>
      </c>
      <c r="K1319" t="str" s="135" cm="1">
        <f t="array" ref="K1319">IF(OR(H1319="ריביות",AND(H1319="דירה כצנלסון",G1319&lt;0,ISNUMBER(SEARCH("הכנסה",F1319)))),"הכנסה שסווגה מחדש",J1319)</f>
        <v>שוטף</v>
      </c>
      <c r="L1319" t="s" s="134">
        <v>741</v>
      </c>
      <c r="M1319" s="136" cm="1">
        <f t="array" ref="M1319">IF(L1319="מאושר",IF(K1319="הכנסה שסווגה מחדש",0,G1319),0)</f>
        <v>600</v>
      </c>
      <c r="N1319" s="136" cm="1">
        <f t="array" ref="N1319">IF(K1319="שוטף",M1319,0)</f>
        <v>600</v>
      </c>
      <c r="O1319" s="136" cm="1">
        <f t="array" ref="O1319">IF(K1319="הכנסה שסווגה מחדש",-G1319,0)</f>
        <v>0</v>
      </c>
      <c r="P1319" t="s" s="80">
        <v>781</v>
      </c>
      <c r="Q1319" s="100"/>
      <c r="R1319" t="s" s="137">
        <v>743</v>
      </c>
      <c r="S1319" s="77"/>
    </row>
    <row r="1320" ht="13.65" customHeight="1">
      <c r="A1320" s="84">
        <v>46054</v>
      </c>
      <c r="B1320" t="s" s="85">
        <v>57</v>
      </c>
      <c r="C1320" t="s" s="86">
        <v>840</v>
      </c>
      <c r="D1320" s="138">
        <v>8</v>
      </c>
      <c r="E1320" s="99"/>
      <c r="F1320" t="s" s="86">
        <v>211</v>
      </c>
      <c r="G1320" s="139">
        <v>600</v>
      </c>
      <c r="H1320" t="s" s="140">
        <v>838</v>
      </c>
      <c r="I1320" t="s" s="141">
        <v>96</v>
      </c>
      <c r="J1320" t="s" s="141">
        <v>97</v>
      </c>
      <c r="K1320" t="str" s="142" cm="1">
        <f t="array" ref="K1320">IF(OR(H1320="ריביות",AND(H1320="דירה כצנלסון",G1320&lt;0,ISNUMBER(SEARCH("הכנסה",F1320)))),"הכנסה שסווגה מחדש",J1320)</f>
        <v>שוטף</v>
      </c>
      <c r="L1320" t="s" s="141">
        <v>741</v>
      </c>
      <c r="M1320" s="143" cm="1">
        <f t="array" ref="M1320">IF(L1320="מאושר",IF(K1320="הכנסה שסווגה מחדש",0,G1320),0)</f>
        <v>600</v>
      </c>
      <c r="N1320" s="143" cm="1">
        <f t="array" ref="N1320">IF(K1320="שוטף",M1320,0)</f>
        <v>600</v>
      </c>
      <c r="O1320" s="143" cm="1">
        <f t="array" ref="O1320">IF(K1320="הכנסה שסווגה מחדש",-G1320,0)</f>
        <v>0</v>
      </c>
      <c r="P1320" t="s" s="86">
        <v>781</v>
      </c>
      <c r="Q1320" s="99"/>
      <c r="R1320" t="s" s="144">
        <v>743</v>
      </c>
      <c r="S1320" s="77"/>
    </row>
    <row r="1321" ht="13.65" customHeight="1">
      <c r="A1321" s="78">
        <v>46054</v>
      </c>
      <c r="B1321" t="s" s="79">
        <v>57</v>
      </c>
      <c r="C1321" t="s" s="80">
        <v>840</v>
      </c>
      <c r="D1321" s="131">
        <v>9</v>
      </c>
      <c r="E1321" t="s" s="79">
        <v>843</v>
      </c>
      <c r="F1321" t="s" s="80">
        <v>302</v>
      </c>
      <c r="G1321" s="132">
        <v>79</v>
      </c>
      <c r="H1321" t="s" s="133">
        <v>838</v>
      </c>
      <c r="I1321" t="s" s="134">
        <v>96</v>
      </c>
      <c r="J1321" t="s" s="134">
        <v>97</v>
      </c>
      <c r="K1321" t="str" s="135" cm="1">
        <f t="array" ref="K1321">IF(OR(H1321="ריביות",AND(H1321="דירה כצנלסון",G1321&lt;0,ISNUMBER(SEARCH("הכנסה",F1321)))),"הכנסה שסווגה מחדש",J1321)</f>
        <v>שוטף</v>
      </c>
      <c r="L1321" t="s" s="134">
        <v>741</v>
      </c>
      <c r="M1321" s="136" cm="1">
        <f t="array" ref="M1321">IF(L1321="מאושר",IF(K1321="הכנסה שסווגה מחדש",0,G1321),0)</f>
        <v>79</v>
      </c>
      <c r="N1321" s="136" cm="1">
        <f t="array" ref="N1321">IF(K1321="שוטף",M1321,0)</f>
        <v>79</v>
      </c>
      <c r="O1321" s="136" cm="1">
        <f t="array" ref="O1321">IF(K1321="הכנסה שסווגה מחדש",-G1321,0)</f>
        <v>0</v>
      </c>
      <c r="P1321" t="s" s="80">
        <v>842</v>
      </c>
      <c r="Q1321" s="100"/>
      <c r="R1321" t="s" s="137">
        <v>743</v>
      </c>
      <c r="S1321" s="77"/>
    </row>
    <row r="1322" ht="13.65" customHeight="1">
      <c r="A1322" s="84">
        <v>46054</v>
      </c>
      <c r="B1322" t="s" s="85">
        <v>57</v>
      </c>
      <c r="C1322" t="s" s="86">
        <v>840</v>
      </c>
      <c r="D1322" s="138">
        <v>10</v>
      </c>
      <c r="E1322" t="s" s="85">
        <v>844</v>
      </c>
      <c r="F1322" t="s" s="86">
        <v>320</v>
      </c>
      <c r="G1322" s="139">
        <v>59</v>
      </c>
      <c r="H1322" t="s" s="140">
        <v>838</v>
      </c>
      <c r="I1322" t="s" s="141">
        <v>96</v>
      </c>
      <c r="J1322" t="s" s="141">
        <v>97</v>
      </c>
      <c r="K1322" t="str" s="142" cm="1">
        <f t="array" ref="K1322">IF(OR(H1322="ריביות",AND(H1322="דירה כצנלסון",G1322&lt;0,ISNUMBER(SEARCH("הכנסה",F1322)))),"הכנסה שסווגה מחדש",J1322)</f>
        <v>שוטף</v>
      </c>
      <c r="L1322" t="s" s="141">
        <v>741</v>
      </c>
      <c r="M1322" s="143" cm="1">
        <f t="array" ref="M1322">IF(L1322="מאושר",IF(K1322="הכנסה שסווגה מחדש",0,G1322),0)</f>
        <v>59</v>
      </c>
      <c r="N1322" s="143" cm="1">
        <f t="array" ref="N1322">IF(K1322="שוטף",M1322,0)</f>
        <v>59</v>
      </c>
      <c r="O1322" s="143" cm="1">
        <f t="array" ref="O1322">IF(K1322="הכנסה שסווגה מחדש",-G1322,0)</f>
        <v>0</v>
      </c>
      <c r="P1322" t="s" s="86">
        <v>842</v>
      </c>
      <c r="Q1322" s="99"/>
      <c r="R1322" t="s" s="144">
        <v>743</v>
      </c>
      <c r="S1322" s="77"/>
    </row>
    <row r="1323" ht="13.65" customHeight="1">
      <c r="A1323" s="78">
        <v>46054</v>
      </c>
      <c r="B1323" t="s" s="79">
        <v>57</v>
      </c>
      <c r="C1323" t="s" s="80">
        <v>840</v>
      </c>
      <c r="D1323" s="131">
        <v>11</v>
      </c>
      <c r="E1323" t="s" s="79">
        <v>843</v>
      </c>
      <c r="F1323" t="s" s="80">
        <v>273</v>
      </c>
      <c r="G1323" s="132">
        <v>71</v>
      </c>
      <c r="H1323" t="s" s="133">
        <v>279</v>
      </c>
      <c r="I1323" t="s" s="134">
        <v>99</v>
      </c>
      <c r="J1323" t="s" s="134">
        <v>100</v>
      </c>
      <c r="K1323" t="str" s="135" cm="1">
        <f t="array" ref="K1323">IF(OR(H1323="ריביות",AND(H1323="דירה כצנלסון",G1323&lt;0,ISNUMBER(SEARCH("הכנסה",F1323)))),"הכנסה שסווגה מחדש",J1323)</f>
        <v>חריג/נכס</v>
      </c>
      <c r="L1323" t="s" s="134">
        <v>741</v>
      </c>
      <c r="M1323" s="136" cm="1">
        <f t="array" ref="M1323">IF(L1323="מאושר",IF(K1323="הכנסה שסווגה מחדש",0,G1323),0)</f>
        <v>71</v>
      </c>
      <c r="N1323" s="136" cm="1">
        <f t="array" ref="N1323">IF(K1323="שוטף",M1323,0)</f>
        <v>0</v>
      </c>
      <c r="O1323" s="136" cm="1">
        <f t="array" ref="O1323">IF(K1323="הכנסה שסווגה מחדש",-G1323,0)</f>
        <v>0</v>
      </c>
      <c r="P1323" t="s" s="80">
        <v>842</v>
      </c>
      <c r="Q1323" s="100"/>
      <c r="R1323" t="s" s="137">
        <v>743</v>
      </c>
      <c r="S1323" s="77"/>
    </row>
    <row r="1324" ht="13.65" customHeight="1">
      <c r="A1324" s="84">
        <v>46054</v>
      </c>
      <c r="B1324" t="s" s="85">
        <v>57</v>
      </c>
      <c r="C1324" t="s" s="86">
        <v>840</v>
      </c>
      <c r="D1324" s="138">
        <v>12</v>
      </c>
      <c r="E1324" t="s" s="85">
        <v>845</v>
      </c>
      <c r="F1324" t="s" s="86">
        <v>328</v>
      </c>
      <c r="G1324" s="139">
        <v>36</v>
      </c>
      <c r="H1324" t="s" s="140">
        <v>279</v>
      </c>
      <c r="I1324" t="s" s="141">
        <v>99</v>
      </c>
      <c r="J1324" t="s" s="141">
        <v>100</v>
      </c>
      <c r="K1324" t="str" s="142" cm="1">
        <f t="array" ref="K1324">IF(OR(H1324="ריביות",AND(H1324="דירה כצנלסון",G1324&lt;0,ISNUMBER(SEARCH("הכנסה",F1324)))),"הכנסה שסווגה מחדש",J1324)</f>
        <v>חריג/נכס</v>
      </c>
      <c r="L1324" t="s" s="141">
        <v>741</v>
      </c>
      <c r="M1324" s="143" cm="1">
        <f t="array" ref="M1324">IF(L1324="מאושר",IF(K1324="הכנסה שסווגה מחדש",0,G1324),0)</f>
        <v>36</v>
      </c>
      <c r="N1324" s="143" cm="1">
        <f t="array" ref="N1324">IF(K1324="שוטף",M1324,0)</f>
        <v>0</v>
      </c>
      <c r="O1324" s="143" cm="1">
        <f t="array" ref="O1324">IF(K1324="הכנסה שסווגה מחדש",-G1324,0)</f>
        <v>0</v>
      </c>
      <c r="P1324" t="s" s="86">
        <v>842</v>
      </c>
      <c r="Q1324" s="99"/>
      <c r="R1324" t="s" s="144">
        <v>743</v>
      </c>
      <c r="S1324" s="77"/>
    </row>
    <row r="1325" ht="13.65" customHeight="1">
      <c r="A1325" s="78">
        <v>46054</v>
      </c>
      <c r="B1325" t="s" s="79">
        <v>57</v>
      </c>
      <c r="C1325" t="s" s="80">
        <v>840</v>
      </c>
      <c r="D1325" s="131">
        <v>13</v>
      </c>
      <c r="E1325" t="s" s="79">
        <v>846</v>
      </c>
      <c r="F1325" t="s" s="80">
        <v>263</v>
      </c>
      <c r="G1325" s="132">
        <v>115</v>
      </c>
      <c r="H1325" t="s" s="133">
        <v>135</v>
      </c>
      <c r="I1325" t="s" s="134">
        <v>135</v>
      </c>
      <c r="J1325" t="s" s="134">
        <v>97</v>
      </c>
      <c r="K1325" t="str" s="135" cm="1">
        <f t="array" ref="K1325">IF(OR(H1325="ריביות",AND(H1325="דירה כצנלסון",G1325&lt;0,ISNUMBER(SEARCH("הכנסה",F1325)))),"הכנסה שסווגה מחדש",J1325)</f>
        <v>שוטף</v>
      </c>
      <c r="L1325" t="s" s="134">
        <v>741</v>
      </c>
      <c r="M1325" s="136" cm="1">
        <f t="array" ref="M1325">IF(L1325="מאושר",IF(K1325="הכנסה שסווגה מחדש",0,G1325),0)</f>
        <v>115</v>
      </c>
      <c r="N1325" s="136" cm="1">
        <f t="array" ref="N1325">IF(K1325="שוטף",M1325,0)</f>
        <v>115</v>
      </c>
      <c r="O1325" s="136" cm="1">
        <f t="array" ref="O1325">IF(K1325="הכנסה שסווגה מחדש",-G1325,0)</f>
        <v>0</v>
      </c>
      <c r="P1325" t="s" s="80">
        <v>847</v>
      </c>
      <c r="Q1325" s="100"/>
      <c r="R1325" t="s" s="137">
        <v>743</v>
      </c>
      <c r="S1325" s="77"/>
    </row>
    <row r="1326" ht="13.65" customHeight="1">
      <c r="A1326" s="84">
        <v>46054</v>
      </c>
      <c r="B1326" t="s" s="85">
        <v>57</v>
      </c>
      <c r="C1326" t="s" s="86">
        <v>840</v>
      </c>
      <c r="D1326" s="138">
        <v>14</v>
      </c>
      <c r="E1326" t="s" s="85">
        <v>848</v>
      </c>
      <c r="F1326" t="s" s="86">
        <v>310</v>
      </c>
      <c r="G1326" s="139">
        <v>135</v>
      </c>
      <c r="H1326" t="s" s="140">
        <v>767</v>
      </c>
      <c r="I1326" t="s" s="141">
        <v>107</v>
      </c>
      <c r="J1326" t="s" s="141">
        <v>97</v>
      </c>
      <c r="K1326" t="str" s="142" cm="1">
        <f t="array" ref="K1326">IF(OR(H1326="ריביות",AND(H1326="דירה כצנלסון",G1326&lt;0,ISNUMBER(SEARCH("הכנסה",F1326)))),"הכנסה שסווגה מחדש",J1326)</f>
        <v>שוטף</v>
      </c>
      <c r="L1326" t="s" s="141">
        <v>741</v>
      </c>
      <c r="M1326" s="143" cm="1">
        <f t="array" ref="M1326">IF(L1326="מאושר",IF(K1326="הכנסה שסווגה מחדש",0,G1326),0)</f>
        <v>135</v>
      </c>
      <c r="N1326" s="143" cm="1">
        <f t="array" ref="N1326">IF(K1326="שוטף",M1326,0)</f>
        <v>135</v>
      </c>
      <c r="O1326" s="143" cm="1">
        <f t="array" ref="O1326">IF(K1326="הכנסה שסווגה מחדש",-G1326,0)</f>
        <v>0</v>
      </c>
      <c r="P1326" t="s" s="86">
        <v>847</v>
      </c>
      <c r="Q1326" s="99"/>
      <c r="R1326" t="s" s="144">
        <v>743</v>
      </c>
      <c r="S1326" s="77"/>
    </row>
    <row r="1327" ht="13.65" customHeight="1">
      <c r="A1327" s="78">
        <v>46054</v>
      </c>
      <c r="B1327" t="s" s="79">
        <v>57</v>
      </c>
      <c r="C1327" t="s" s="80">
        <v>840</v>
      </c>
      <c r="D1327" s="131">
        <v>15</v>
      </c>
      <c r="E1327" t="s" s="79">
        <v>849</v>
      </c>
      <c r="F1327" t="s" s="80">
        <v>356</v>
      </c>
      <c r="G1327" s="132">
        <v>57</v>
      </c>
      <c r="H1327" t="s" s="133">
        <v>767</v>
      </c>
      <c r="I1327" t="s" s="134">
        <v>107</v>
      </c>
      <c r="J1327" t="s" s="134">
        <v>97</v>
      </c>
      <c r="K1327" t="str" s="135" cm="1">
        <f t="array" ref="K1327">IF(OR(H1327="ריביות",AND(H1327="דירה כצנלסון",G1327&lt;0,ISNUMBER(SEARCH("הכנסה",F1327)))),"הכנסה שסווגה מחדש",J1327)</f>
        <v>שוטף</v>
      </c>
      <c r="L1327" t="s" s="134">
        <v>741</v>
      </c>
      <c r="M1327" s="136" cm="1">
        <f t="array" ref="M1327">IF(L1327="מאושר",IF(K1327="הכנסה שסווגה מחדש",0,G1327),0)</f>
        <v>57</v>
      </c>
      <c r="N1327" s="136" cm="1">
        <f t="array" ref="N1327">IF(K1327="שוטף",M1327,0)</f>
        <v>57</v>
      </c>
      <c r="O1327" s="136" cm="1">
        <f t="array" ref="O1327">IF(K1327="הכנסה שסווגה מחדש",-G1327,0)</f>
        <v>0</v>
      </c>
      <c r="P1327" t="s" s="80">
        <v>842</v>
      </c>
      <c r="Q1327" s="100"/>
      <c r="R1327" t="s" s="137">
        <v>743</v>
      </c>
      <c r="S1327" s="77"/>
    </row>
    <row r="1328" ht="13.65" customHeight="1">
      <c r="A1328" s="84">
        <v>46054</v>
      </c>
      <c r="B1328" t="s" s="85">
        <v>57</v>
      </c>
      <c r="C1328" t="s" s="86">
        <v>840</v>
      </c>
      <c r="D1328" s="138">
        <v>16</v>
      </c>
      <c r="E1328" t="s" s="85">
        <v>850</v>
      </c>
      <c r="F1328" t="s" s="86">
        <v>289</v>
      </c>
      <c r="G1328" s="139">
        <v>183</v>
      </c>
      <c r="H1328" t="s" s="140">
        <v>767</v>
      </c>
      <c r="I1328" t="s" s="141">
        <v>107</v>
      </c>
      <c r="J1328" t="s" s="141">
        <v>97</v>
      </c>
      <c r="K1328" t="str" s="142" cm="1">
        <f t="array" ref="K1328">IF(OR(H1328="ריביות",AND(H1328="דירה כצנלסון",G1328&lt;0,ISNUMBER(SEARCH("הכנסה",F1328)))),"הכנסה שסווגה מחדש",J1328)</f>
        <v>שוטף</v>
      </c>
      <c r="L1328" t="s" s="141">
        <v>741</v>
      </c>
      <c r="M1328" s="143" cm="1">
        <f t="array" ref="M1328">IF(L1328="מאושר",IF(K1328="הכנסה שסווגה מחדש",0,G1328),0)</f>
        <v>183</v>
      </c>
      <c r="N1328" s="143" cm="1">
        <f t="array" ref="N1328">IF(K1328="שוטף",M1328,0)</f>
        <v>183</v>
      </c>
      <c r="O1328" s="143" cm="1">
        <f t="array" ref="O1328">IF(K1328="הכנסה שסווגה מחדש",-G1328,0)</f>
        <v>0</v>
      </c>
      <c r="P1328" t="s" s="86">
        <v>847</v>
      </c>
      <c r="Q1328" s="99"/>
      <c r="R1328" t="s" s="144">
        <v>743</v>
      </c>
      <c r="S1328" s="77"/>
    </row>
    <row r="1329" ht="13.65" customHeight="1">
      <c r="A1329" s="78">
        <v>46054</v>
      </c>
      <c r="B1329" t="s" s="79">
        <v>57</v>
      </c>
      <c r="C1329" t="s" s="80">
        <v>840</v>
      </c>
      <c r="D1329" s="131">
        <v>17</v>
      </c>
      <c r="E1329" t="s" s="79">
        <v>851</v>
      </c>
      <c r="F1329" t="s" s="80">
        <v>267</v>
      </c>
      <c r="G1329" s="132">
        <v>7</v>
      </c>
      <c r="H1329" t="s" s="133">
        <v>109</v>
      </c>
      <c r="I1329" t="s" s="134">
        <v>109</v>
      </c>
      <c r="J1329" t="s" s="134">
        <v>97</v>
      </c>
      <c r="K1329" t="str" s="135" cm="1">
        <f t="array" ref="K1329">IF(OR(H1329="ריביות",AND(H1329="דירה כצנלסון",G1329&lt;0,ISNUMBER(SEARCH("הכנסה",F1329)))),"הכנסה שסווגה מחדש",J1329)</f>
        <v>שוטף</v>
      </c>
      <c r="L1329" t="s" s="134">
        <v>741</v>
      </c>
      <c r="M1329" s="136" cm="1">
        <f t="array" ref="M1329">IF(L1329="מאושר",IF(K1329="הכנסה שסווגה מחדש",0,G1329),0)</f>
        <v>7</v>
      </c>
      <c r="N1329" s="136" cm="1">
        <f t="array" ref="N1329">IF(K1329="שוטף",M1329,0)</f>
        <v>7</v>
      </c>
      <c r="O1329" s="136" cm="1">
        <f t="array" ref="O1329">IF(K1329="הכנסה שסווגה מחדש",-G1329,0)</f>
        <v>0</v>
      </c>
      <c r="P1329" t="s" s="80">
        <v>847</v>
      </c>
      <c r="Q1329" s="100"/>
      <c r="R1329" t="s" s="137">
        <v>743</v>
      </c>
      <c r="S1329" s="77"/>
    </row>
    <row r="1330" ht="13.65" customHeight="1">
      <c r="A1330" s="84">
        <v>46054</v>
      </c>
      <c r="B1330" t="s" s="85">
        <v>57</v>
      </c>
      <c r="C1330" t="s" s="86">
        <v>840</v>
      </c>
      <c r="D1330" s="138">
        <v>18</v>
      </c>
      <c r="E1330" t="s" s="85">
        <v>852</v>
      </c>
      <c r="F1330" t="s" s="86">
        <v>223</v>
      </c>
      <c r="G1330" s="139">
        <v>38</v>
      </c>
      <c r="H1330" t="s" s="140">
        <v>117</v>
      </c>
      <c r="I1330" t="s" s="141">
        <v>117</v>
      </c>
      <c r="J1330" t="s" s="141">
        <v>97</v>
      </c>
      <c r="K1330" t="str" s="142" cm="1">
        <f t="array" ref="K1330">IF(OR(H1330="ריביות",AND(H1330="דירה כצנלסון",G1330&lt;0,ISNUMBER(SEARCH("הכנסה",F1330)))),"הכנסה שסווגה מחדש",J1330)</f>
        <v>שוטף</v>
      </c>
      <c r="L1330" t="s" s="141">
        <v>741</v>
      </c>
      <c r="M1330" s="143" cm="1">
        <f t="array" ref="M1330">IF(L1330="מאושר",IF(K1330="הכנסה שסווגה מחדש",0,G1330),0)</f>
        <v>38</v>
      </c>
      <c r="N1330" s="143" cm="1">
        <f t="array" ref="N1330">IF(K1330="שוטף",M1330,0)</f>
        <v>38</v>
      </c>
      <c r="O1330" s="143" cm="1">
        <f t="array" ref="O1330">IF(K1330="הכנסה שסווגה מחדש",-G1330,0)</f>
        <v>0</v>
      </c>
      <c r="P1330" t="s" s="86">
        <v>847</v>
      </c>
      <c r="Q1330" s="99"/>
      <c r="R1330" t="s" s="144">
        <v>743</v>
      </c>
      <c r="S1330" s="77"/>
    </row>
    <row r="1331" ht="13.65" customHeight="1">
      <c r="A1331" s="78">
        <v>46054</v>
      </c>
      <c r="B1331" t="s" s="79">
        <v>57</v>
      </c>
      <c r="C1331" t="s" s="80">
        <v>840</v>
      </c>
      <c r="D1331" s="131">
        <v>19</v>
      </c>
      <c r="E1331" t="s" s="79">
        <v>852</v>
      </c>
      <c r="F1331" t="s" s="80">
        <v>223</v>
      </c>
      <c r="G1331" s="132">
        <v>95</v>
      </c>
      <c r="H1331" t="s" s="133">
        <v>121</v>
      </c>
      <c r="I1331" t="s" s="134">
        <v>121</v>
      </c>
      <c r="J1331" t="s" s="134">
        <v>97</v>
      </c>
      <c r="K1331" t="str" s="135" cm="1">
        <f t="array" ref="K1331">IF(OR(H1331="ריביות",AND(H1331="דירה כצנלסון",G1331&lt;0,ISNUMBER(SEARCH("הכנסה",F1331)))),"הכנסה שסווגה מחדש",J1331)</f>
        <v>שוטף</v>
      </c>
      <c r="L1331" t="s" s="134">
        <v>741</v>
      </c>
      <c r="M1331" s="136" cm="1">
        <f t="array" ref="M1331">IF(L1331="מאושר",IF(K1331="הכנסה שסווגה מחדש",0,G1331),0)</f>
        <v>95</v>
      </c>
      <c r="N1331" s="136" cm="1">
        <f t="array" ref="N1331">IF(K1331="שוטף",M1331,0)</f>
        <v>95</v>
      </c>
      <c r="O1331" s="136" cm="1">
        <f t="array" ref="O1331">IF(K1331="הכנסה שסווגה מחדש",-G1331,0)</f>
        <v>0</v>
      </c>
      <c r="P1331" t="s" s="80">
        <v>847</v>
      </c>
      <c r="Q1331" s="100"/>
      <c r="R1331" t="s" s="137">
        <v>743</v>
      </c>
      <c r="S1331" s="77"/>
    </row>
    <row r="1332" ht="13.65" customHeight="1">
      <c r="A1332" s="84">
        <v>46054</v>
      </c>
      <c r="B1332" t="s" s="85">
        <v>57</v>
      </c>
      <c r="C1332" t="s" s="86">
        <v>840</v>
      </c>
      <c r="D1332" s="138">
        <v>20</v>
      </c>
      <c r="E1332" t="s" s="85">
        <v>844</v>
      </c>
      <c r="F1332" t="s" s="86">
        <v>424</v>
      </c>
      <c r="G1332" s="139">
        <v>62</v>
      </c>
      <c r="H1332" t="s" s="140">
        <v>133</v>
      </c>
      <c r="I1332" t="s" s="141">
        <v>133</v>
      </c>
      <c r="J1332" t="s" s="141">
        <v>97</v>
      </c>
      <c r="K1332" t="str" s="142" cm="1">
        <f t="array" ref="K1332">IF(OR(H1332="ריביות",AND(H1332="דירה כצנלסון",G1332&lt;0,ISNUMBER(SEARCH("הכנסה",F1332)))),"הכנסה שסווגה מחדש",J1332)</f>
        <v>שוטף</v>
      </c>
      <c r="L1332" t="s" s="141">
        <v>741</v>
      </c>
      <c r="M1332" s="143" cm="1">
        <f t="array" ref="M1332">IF(L1332="מאושר",IF(K1332="הכנסה שסווגה מחדש",0,G1332),0)</f>
        <v>62</v>
      </c>
      <c r="N1332" s="143" cm="1">
        <f t="array" ref="N1332">IF(K1332="שוטף",M1332,0)</f>
        <v>62</v>
      </c>
      <c r="O1332" s="143" cm="1">
        <f t="array" ref="O1332">IF(K1332="הכנסה שסווגה מחדש",-G1332,0)</f>
        <v>0</v>
      </c>
      <c r="P1332" t="s" s="86">
        <v>847</v>
      </c>
      <c r="Q1332" s="99"/>
      <c r="R1332" t="s" s="144">
        <v>743</v>
      </c>
      <c r="S1332" s="77"/>
    </row>
    <row r="1333" ht="13.65" customHeight="1">
      <c r="A1333" s="78">
        <v>46054</v>
      </c>
      <c r="B1333" t="s" s="79">
        <v>57</v>
      </c>
      <c r="C1333" t="s" s="80">
        <v>840</v>
      </c>
      <c r="D1333" s="131">
        <v>21</v>
      </c>
      <c r="E1333" t="s" s="79">
        <v>844</v>
      </c>
      <c r="F1333" t="s" s="80">
        <v>200</v>
      </c>
      <c r="G1333" s="132">
        <v>25</v>
      </c>
      <c r="H1333" t="s" s="133">
        <v>109</v>
      </c>
      <c r="I1333" t="s" s="134">
        <v>109</v>
      </c>
      <c r="J1333" t="s" s="134">
        <v>97</v>
      </c>
      <c r="K1333" t="str" s="135" cm="1">
        <f t="array" ref="K1333">IF(OR(H1333="ריביות",AND(H1333="דירה כצנלסון",G1333&lt;0,ISNUMBER(SEARCH("הכנסה",F1333)))),"הכנסה שסווגה מחדש",J1333)</f>
        <v>שוטף</v>
      </c>
      <c r="L1333" t="s" s="134">
        <v>741</v>
      </c>
      <c r="M1333" s="136" cm="1">
        <f t="array" ref="M1333">IF(L1333="מאושר",IF(K1333="הכנסה שסווגה מחדש",0,G1333),0)</f>
        <v>25</v>
      </c>
      <c r="N1333" s="136" cm="1">
        <f t="array" ref="N1333">IF(K1333="שוטף",M1333,0)</f>
        <v>25</v>
      </c>
      <c r="O1333" s="136" cm="1">
        <f t="array" ref="O1333">IF(K1333="הכנסה שסווגה מחדש",-G1333,0)</f>
        <v>0</v>
      </c>
      <c r="P1333" t="s" s="80">
        <v>847</v>
      </c>
      <c r="Q1333" s="100"/>
      <c r="R1333" t="s" s="137">
        <v>743</v>
      </c>
      <c r="S1333" s="77"/>
    </row>
    <row r="1334" ht="13.65" customHeight="1">
      <c r="A1334" s="84">
        <v>46054</v>
      </c>
      <c r="B1334" t="s" s="85">
        <v>57</v>
      </c>
      <c r="C1334" t="s" s="86">
        <v>840</v>
      </c>
      <c r="D1334" s="138">
        <v>22</v>
      </c>
      <c r="E1334" t="s" s="85">
        <v>853</v>
      </c>
      <c r="F1334" t="s" s="86">
        <v>223</v>
      </c>
      <c r="G1334" s="139">
        <v>70</v>
      </c>
      <c r="H1334" t="s" s="140">
        <v>117</v>
      </c>
      <c r="I1334" t="s" s="141">
        <v>117</v>
      </c>
      <c r="J1334" t="s" s="141">
        <v>97</v>
      </c>
      <c r="K1334" t="str" s="142" cm="1">
        <f t="array" ref="K1334">IF(OR(H1334="ריביות",AND(H1334="דירה כצנלסון",G1334&lt;0,ISNUMBER(SEARCH("הכנסה",F1334)))),"הכנסה שסווגה מחדש",J1334)</f>
        <v>שוטף</v>
      </c>
      <c r="L1334" t="s" s="141">
        <v>741</v>
      </c>
      <c r="M1334" s="143" cm="1">
        <f t="array" ref="M1334">IF(L1334="מאושר",IF(K1334="הכנסה שסווגה מחדש",0,G1334),0)</f>
        <v>70</v>
      </c>
      <c r="N1334" s="143" cm="1">
        <f t="array" ref="N1334">IF(K1334="שוטף",M1334,0)</f>
        <v>70</v>
      </c>
      <c r="O1334" s="143" cm="1">
        <f t="array" ref="O1334">IF(K1334="הכנסה שסווגה מחדש",-G1334,0)</f>
        <v>0</v>
      </c>
      <c r="P1334" t="s" s="86">
        <v>847</v>
      </c>
      <c r="Q1334" s="99"/>
      <c r="R1334" t="s" s="144">
        <v>743</v>
      </c>
      <c r="S1334" s="77"/>
    </row>
    <row r="1335" ht="13.65" customHeight="1">
      <c r="A1335" s="78">
        <v>46054</v>
      </c>
      <c r="B1335" t="s" s="79">
        <v>57</v>
      </c>
      <c r="C1335" t="s" s="80">
        <v>840</v>
      </c>
      <c r="D1335" s="131">
        <v>23</v>
      </c>
      <c r="E1335" t="s" s="79">
        <v>854</v>
      </c>
      <c r="F1335" t="s" s="80">
        <v>223</v>
      </c>
      <c r="G1335" s="132">
        <v>122</v>
      </c>
      <c r="H1335" t="s" s="133">
        <v>121</v>
      </c>
      <c r="I1335" t="s" s="134">
        <v>121</v>
      </c>
      <c r="J1335" t="s" s="134">
        <v>97</v>
      </c>
      <c r="K1335" t="str" s="135" cm="1">
        <f t="array" ref="K1335">IF(OR(H1335="ריביות",AND(H1335="דירה כצנלסון",G1335&lt;0,ISNUMBER(SEARCH("הכנסה",F1335)))),"הכנסה שסווגה מחדש",J1335)</f>
        <v>שוטף</v>
      </c>
      <c r="L1335" t="s" s="134">
        <v>741</v>
      </c>
      <c r="M1335" s="136" cm="1">
        <f t="array" ref="M1335">IF(L1335="מאושר",IF(K1335="הכנסה שסווגה מחדש",0,G1335),0)</f>
        <v>122</v>
      </c>
      <c r="N1335" s="136" cm="1">
        <f t="array" ref="N1335">IF(K1335="שוטף",M1335,0)</f>
        <v>122</v>
      </c>
      <c r="O1335" s="136" cm="1">
        <f t="array" ref="O1335">IF(K1335="הכנסה שסווגה מחדש",-G1335,0)</f>
        <v>0</v>
      </c>
      <c r="P1335" t="s" s="80">
        <v>847</v>
      </c>
      <c r="Q1335" s="100"/>
      <c r="R1335" t="s" s="137">
        <v>743</v>
      </c>
      <c r="S1335" s="77"/>
    </row>
    <row r="1336" ht="13.65" customHeight="1">
      <c r="A1336" s="84">
        <v>46054</v>
      </c>
      <c r="B1336" t="s" s="85">
        <v>57</v>
      </c>
      <c r="C1336" t="s" s="86">
        <v>840</v>
      </c>
      <c r="D1336" s="138">
        <v>24</v>
      </c>
      <c r="E1336" t="s" s="85">
        <v>854</v>
      </c>
      <c r="F1336" t="s" s="86">
        <v>451</v>
      </c>
      <c r="G1336" s="139">
        <v>200</v>
      </c>
      <c r="H1336" t="s" s="140">
        <v>117</v>
      </c>
      <c r="I1336" t="s" s="141">
        <v>117</v>
      </c>
      <c r="J1336" t="s" s="141">
        <v>97</v>
      </c>
      <c r="K1336" t="str" s="142" cm="1">
        <f t="array" ref="K1336">IF(OR(H1336="ריביות",AND(H1336="דירה כצנלסון",G1336&lt;0,ISNUMBER(SEARCH("הכנסה",F1336)))),"הכנסה שסווגה מחדש",J1336)</f>
        <v>שוטף</v>
      </c>
      <c r="L1336" t="s" s="141">
        <v>741</v>
      </c>
      <c r="M1336" s="143" cm="1">
        <f t="array" ref="M1336">IF(L1336="מאושר",IF(K1336="הכנסה שסווגה מחדש",0,G1336),0)</f>
        <v>200</v>
      </c>
      <c r="N1336" s="143" cm="1">
        <f t="array" ref="N1336">IF(K1336="שוטף",M1336,0)</f>
        <v>200</v>
      </c>
      <c r="O1336" s="143" cm="1">
        <f t="array" ref="O1336">IF(K1336="הכנסה שסווגה מחדש",-G1336,0)</f>
        <v>0</v>
      </c>
      <c r="P1336" t="s" s="86">
        <v>847</v>
      </c>
      <c r="Q1336" s="99"/>
      <c r="R1336" t="s" s="144">
        <v>743</v>
      </c>
      <c r="S1336" s="77"/>
    </row>
    <row r="1337" ht="13.65" customHeight="1">
      <c r="A1337" s="78">
        <v>46054</v>
      </c>
      <c r="B1337" t="s" s="79">
        <v>57</v>
      </c>
      <c r="C1337" t="s" s="80">
        <v>840</v>
      </c>
      <c r="D1337" s="131">
        <v>25</v>
      </c>
      <c r="E1337" t="s" s="79">
        <v>855</v>
      </c>
      <c r="F1337" t="s" s="79">
        <v>268</v>
      </c>
      <c r="G1337" s="132">
        <v>196</v>
      </c>
      <c r="H1337" t="s" s="133">
        <v>123</v>
      </c>
      <c r="I1337" t="s" s="134">
        <v>123</v>
      </c>
      <c r="J1337" t="s" s="134">
        <v>97</v>
      </c>
      <c r="K1337" t="str" s="135" cm="1">
        <f t="array" ref="K1337">IF(OR(H1337="ריביות",AND(H1337="דירה כצנלסון",G1337&lt;0,ISNUMBER(SEARCH("הכנסה",F1337)))),"הכנסה שסווגה מחדש",J1337)</f>
        <v>שוטף</v>
      </c>
      <c r="L1337" t="s" s="134">
        <v>741</v>
      </c>
      <c r="M1337" s="136" cm="1">
        <f t="array" ref="M1337">IF(L1337="מאושר",IF(K1337="הכנסה שסווגה מחדש",0,G1337),0)</f>
        <v>196</v>
      </c>
      <c r="N1337" s="136" cm="1">
        <f t="array" ref="N1337">IF(K1337="שוטף",M1337,0)</f>
        <v>196</v>
      </c>
      <c r="O1337" s="136" cm="1">
        <f t="array" ref="O1337">IF(K1337="הכנסה שסווגה מחדש",-G1337,0)</f>
        <v>0</v>
      </c>
      <c r="P1337" t="s" s="80">
        <v>847</v>
      </c>
      <c r="Q1337" s="100"/>
      <c r="R1337" t="s" s="137">
        <v>743</v>
      </c>
      <c r="S1337" s="77"/>
    </row>
    <row r="1338" ht="13.65" customHeight="1">
      <c r="A1338" s="84">
        <v>46054</v>
      </c>
      <c r="B1338" t="s" s="85">
        <v>57</v>
      </c>
      <c r="C1338" t="s" s="86">
        <v>840</v>
      </c>
      <c r="D1338" s="138">
        <v>26</v>
      </c>
      <c r="E1338" t="s" s="85">
        <v>856</v>
      </c>
      <c r="F1338" t="s" s="86">
        <v>223</v>
      </c>
      <c r="G1338" s="139">
        <v>98</v>
      </c>
      <c r="H1338" t="s" s="140">
        <v>117</v>
      </c>
      <c r="I1338" t="s" s="141">
        <v>117</v>
      </c>
      <c r="J1338" t="s" s="141">
        <v>97</v>
      </c>
      <c r="K1338" t="str" s="142" cm="1">
        <f t="array" ref="K1338">IF(OR(H1338="ריביות",AND(H1338="דירה כצנלסון",G1338&lt;0,ISNUMBER(SEARCH("הכנסה",F1338)))),"הכנסה שסווגה מחדש",J1338)</f>
        <v>שוטף</v>
      </c>
      <c r="L1338" t="s" s="141">
        <v>741</v>
      </c>
      <c r="M1338" s="143" cm="1">
        <f t="array" ref="M1338">IF(L1338="מאושר",IF(K1338="הכנסה שסווגה מחדש",0,G1338),0)</f>
        <v>98</v>
      </c>
      <c r="N1338" s="143" cm="1">
        <f t="array" ref="N1338">IF(K1338="שוטף",M1338,0)</f>
        <v>98</v>
      </c>
      <c r="O1338" s="143" cm="1">
        <f t="array" ref="O1338">IF(K1338="הכנסה שסווגה מחדש",-G1338,0)</f>
        <v>0</v>
      </c>
      <c r="P1338" t="s" s="86">
        <v>847</v>
      </c>
      <c r="Q1338" s="99"/>
      <c r="R1338" t="s" s="144">
        <v>743</v>
      </c>
      <c r="S1338" s="77"/>
    </row>
    <row r="1339" ht="13.65" customHeight="1">
      <c r="A1339" s="78">
        <v>46054</v>
      </c>
      <c r="B1339" t="s" s="79">
        <v>57</v>
      </c>
      <c r="C1339" t="s" s="80">
        <v>840</v>
      </c>
      <c r="D1339" s="131">
        <v>27</v>
      </c>
      <c r="E1339" t="s" s="79">
        <v>857</v>
      </c>
      <c r="F1339" t="s" s="80">
        <v>329</v>
      </c>
      <c r="G1339" s="132">
        <v>60</v>
      </c>
      <c r="H1339" t="s" s="133">
        <v>127</v>
      </c>
      <c r="I1339" t="s" s="134">
        <v>127</v>
      </c>
      <c r="J1339" t="s" s="134">
        <v>97</v>
      </c>
      <c r="K1339" t="str" s="135" cm="1">
        <f t="array" ref="K1339">IF(OR(H1339="ריביות",AND(H1339="דירה כצנלסון",G1339&lt;0,ISNUMBER(SEARCH("הכנסה",F1339)))),"הכנסה שסווגה מחדש",J1339)</f>
        <v>שוטף</v>
      </c>
      <c r="L1339" t="s" s="134">
        <v>741</v>
      </c>
      <c r="M1339" s="136" cm="1">
        <f t="array" ref="M1339">IF(L1339="מאושר",IF(K1339="הכנסה שסווגה מחדש",0,G1339),0)</f>
        <v>60</v>
      </c>
      <c r="N1339" s="136" cm="1">
        <f t="array" ref="N1339">IF(K1339="שוטף",M1339,0)</f>
        <v>60</v>
      </c>
      <c r="O1339" s="136" cm="1">
        <f t="array" ref="O1339">IF(K1339="הכנסה שסווגה מחדש",-G1339,0)</f>
        <v>0</v>
      </c>
      <c r="P1339" t="s" s="80">
        <v>847</v>
      </c>
      <c r="Q1339" s="100"/>
      <c r="R1339" t="s" s="137">
        <v>743</v>
      </c>
      <c r="S1339" s="77"/>
    </row>
    <row r="1340" ht="13.65" customHeight="1">
      <c r="A1340" s="84">
        <v>46054</v>
      </c>
      <c r="B1340" t="s" s="85">
        <v>57</v>
      </c>
      <c r="C1340" t="s" s="86">
        <v>840</v>
      </c>
      <c r="D1340" s="138">
        <v>28</v>
      </c>
      <c r="E1340" t="s" s="85">
        <v>858</v>
      </c>
      <c r="F1340" t="s" s="86">
        <v>391</v>
      </c>
      <c r="G1340" s="139">
        <v>19</v>
      </c>
      <c r="H1340" t="s" s="140">
        <v>115</v>
      </c>
      <c r="I1340" t="s" s="141">
        <v>115</v>
      </c>
      <c r="J1340" t="s" s="141">
        <v>97</v>
      </c>
      <c r="K1340" t="str" s="142" cm="1">
        <f t="array" ref="K1340">IF(OR(H1340="ריביות",AND(H1340="דירה כצנלסון",G1340&lt;0,ISNUMBER(SEARCH("הכנסה",F1340)))),"הכנסה שסווגה מחדש",J1340)</f>
        <v>שוטף</v>
      </c>
      <c r="L1340" t="s" s="141">
        <v>741</v>
      </c>
      <c r="M1340" s="143" cm="1">
        <f t="array" ref="M1340">IF(L1340="מאושר",IF(K1340="הכנסה שסווגה מחדש",0,G1340),0)</f>
        <v>19</v>
      </c>
      <c r="N1340" s="143" cm="1">
        <f t="array" ref="N1340">IF(K1340="שוטף",M1340,0)</f>
        <v>19</v>
      </c>
      <c r="O1340" s="143" cm="1">
        <f t="array" ref="O1340">IF(K1340="הכנסה שסווגה מחדש",-G1340,0)</f>
        <v>0</v>
      </c>
      <c r="P1340" t="s" s="86">
        <v>842</v>
      </c>
      <c r="Q1340" s="99"/>
      <c r="R1340" t="s" s="144">
        <v>743</v>
      </c>
      <c r="S1340" s="77"/>
    </row>
    <row r="1341" ht="13.65" customHeight="1">
      <c r="A1341" s="78">
        <v>46054</v>
      </c>
      <c r="B1341" t="s" s="79">
        <v>57</v>
      </c>
      <c r="C1341" t="s" s="80">
        <v>840</v>
      </c>
      <c r="D1341" s="131">
        <v>29</v>
      </c>
      <c r="E1341" t="s" s="79">
        <v>859</v>
      </c>
      <c r="F1341" t="s" s="80">
        <v>222</v>
      </c>
      <c r="G1341" s="132">
        <v>632</v>
      </c>
      <c r="H1341" t="s" s="133">
        <v>111</v>
      </c>
      <c r="I1341" t="s" s="134">
        <v>111</v>
      </c>
      <c r="J1341" t="s" s="134">
        <v>97</v>
      </c>
      <c r="K1341" t="str" s="135" cm="1">
        <f t="array" ref="K1341">IF(OR(H1341="ריביות",AND(H1341="דירה כצנלסון",G1341&lt;0,ISNUMBER(SEARCH("הכנסה",F1341)))),"הכנסה שסווגה מחדש",J1341)</f>
        <v>שוטף</v>
      </c>
      <c r="L1341" t="s" s="134">
        <v>741</v>
      </c>
      <c r="M1341" s="136" cm="1">
        <f t="array" ref="M1341">IF(L1341="מאושר",IF(K1341="הכנסה שסווגה מחדש",0,G1341),0)</f>
        <v>632</v>
      </c>
      <c r="N1341" s="136" cm="1">
        <f t="array" ref="N1341">IF(K1341="שוטף",M1341,0)</f>
        <v>632</v>
      </c>
      <c r="O1341" s="136" cm="1">
        <f t="array" ref="O1341">IF(K1341="הכנסה שסווגה מחדש",-G1341,0)</f>
        <v>0</v>
      </c>
      <c r="P1341" t="s" s="80">
        <v>842</v>
      </c>
      <c r="Q1341" s="100"/>
      <c r="R1341" t="s" s="137">
        <v>743</v>
      </c>
      <c r="S1341" s="77"/>
    </row>
    <row r="1342" ht="13.65" customHeight="1">
      <c r="A1342" s="84">
        <v>46054</v>
      </c>
      <c r="B1342" t="s" s="85">
        <v>57</v>
      </c>
      <c r="C1342" t="s" s="86">
        <v>840</v>
      </c>
      <c r="D1342" s="138">
        <v>30</v>
      </c>
      <c r="E1342" t="s" s="85">
        <v>860</v>
      </c>
      <c r="F1342" t="s" s="86">
        <v>235</v>
      </c>
      <c r="G1342" s="139">
        <v>362</v>
      </c>
      <c r="H1342" t="s" s="140">
        <v>109</v>
      </c>
      <c r="I1342" t="s" s="141">
        <v>109</v>
      </c>
      <c r="J1342" t="s" s="141">
        <v>97</v>
      </c>
      <c r="K1342" t="str" s="142" cm="1">
        <f t="array" ref="K1342">IF(OR(H1342="ריביות",AND(H1342="דירה כצנלסון",G1342&lt;0,ISNUMBER(SEARCH("הכנסה",F1342)))),"הכנסה שסווגה מחדש",J1342)</f>
        <v>שוטף</v>
      </c>
      <c r="L1342" t="s" s="141">
        <v>741</v>
      </c>
      <c r="M1342" s="143" cm="1">
        <f t="array" ref="M1342">IF(L1342="מאושר",IF(K1342="הכנסה שסווגה מחדש",0,G1342),0)</f>
        <v>362</v>
      </c>
      <c r="N1342" s="143" cm="1">
        <f t="array" ref="N1342">IF(K1342="שוטף",M1342,0)</f>
        <v>362</v>
      </c>
      <c r="O1342" s="143" cm="1">
        <f t="array" ref="O1342">IF(K1342="הכנסה שסווגה מחדש",-G1342,0)</f>
        <v>0</v>
      </c>
      <c r="P1342" t="s" s="86">
        <v>842</v>
      </c>
      <c r="Q1342" s="99"/>
      <c r="R1342" t="s" s="144">
        <v>743</v>
      </c>
      <c r="S1342" s="77"/>
    </row>
    <row r="1343" ht="13.65" customHeight="1">
      <c r="A1343" s="78">
        <v>46054</v>
      </c>
      <c r="B1343" t="s" s="79">
        <v>57</v>
      </c>
      <c r="C1343" t="s" s="80">
        <v>840</v>
      </c>
      <c r="D1343" s="131">
        <v>31</v>
      </c>
      <c r="E1343" t="s" s="79">
        <v>861</v>
      </c>
      <c r="F1343" t="s" s="80">
        <v>294</v>
      </c>
      <c r="G1343" s="132">
        <v>130</v>
      </c>
      <c r="H1343" t="s" s="133">
        <v>115</v>
      </c>
      <c r="I1343" t="s" s="134">
        <v>115</v>
      </c>
      <c r="J1343" t="s" s="134">
        <v>97</v>
      </c>
      <c r="K1343" t="str" s="135" cm="1">
        <f t="array" ref="K1343">IF(OR(H1343="ריביות",AND(H1343="דירה כצנלסון",G1343&lt;0,ISNUMBER(SEARCH("הכנסה",F1343)))),"הכנסה שסווגה מחדש",J1343)</f>
        <v>שוטף</v>
      </c>
      <c r="L1343" t="s" s="134">
        <v>741</v>
      </c>
      <c r="M1343" s="136" cm="1">
        <f t="array" ref="M1343">IF(L1343="מאושר",IF(K1343="הכנסה שסווגה מחדש",0,G1343),0)</f>
        <v>130</v>
      </c>
      <c r="N1343" s="136" cm="1">
        <f t="array" ref="N1343">IF(K1343="שוטף",M1343,0)</f>
        <v>130</v>
      </c>
      <c r="O1343" s="136" cm="1">
        <f t="array" ref="O1343">IF(K1343="הכנסה שסווגה מחדש",-G1343,0)</f>
        <v>0</v>
      </c>
      <c r="P1343" t="s" s="80">
        <v>842</v>
      </c>
      <c r="Q1343" s="100"/>
      <c r="R1343" t="s" s="137">
        <v>743</v>
      </c>
      <c r="S1343" s="77"/>
    </row>
    <row r="1344" ht="13.65" customHeight="1">
      <c r="A1344" s="84">
        <v>46054</v>
      </c>
      <c r="B1344" t="s" s="85">
        <v>57</v>
      </c>
      <c r="C1344" t="s" s="86">
        <v>840</v>
      </c>
      <c r="D1344" s="138">
        <v>32</v>
      </c>
      <c r="E1344" t="s" s="85">
        <v>862</v>
      </c>
      <c r="F1344" t="s" s="86">
        <v>200</v>
      </c>
      <c r="G1344" s="139">
        <v>84</v>
      </c>
      <c r="H1344" t="s" s="140">
        <v>109</v>
      </c>
      <c r="I1344" t="s" s="141">
        <v>109</v>
      </c>
      <c r="J1344" t="s" s="141">
        <v>97</v>
      </c>
      <c r="K1344" t="str" s="142" cm="1">
        <f t="array" ref="K1344">IF(OR(H1344="ריביות",AND(H1344="דירה כצנלסון",G1344&lt;0,ISNUMBER(SEARCH("הכנסה",F1344)))),"הכנסה שסווגה מחדש",J1344)</f>
        <v>שוטף</v>
      </c>
      <c r="L1344" t="s" s="141">
        <v>741</v>
      </c>
      <c r="M1344" s="143" cm="1">
        <f t="array" ref="M1344">IF(L1344="מאושר",IF(K1344="הכנסה שסווגה מחדש",0,G1344),0)</f>
        <v>84</v>
      </c>
      <c r="N1344" s="143" cm="1">
        <f t="array" ref="N1344">IF(K1344="שוטף",M1344,0)</f>
        <v>84</v>
      </c>
      <c r="O1344" s="143" cm="1">
        <f t="array" ref="O1344">IF(K1344="הכנסה שסווגה מחדש",-G1344,0)</f>
        <v>0</v>
      </c>
      <c r="P1344" t="s" s="86">
        <v>842</v>
      </c>
      <c r="Q1344" s="99"/>
      <c r="R1344" t="s" s="144">
        <v>743</v>
      </c>
      <c r="S1344" s="77"/>
    </row>
    <row r="1345" ht="13.65" customHeight="1">
      <c r="A1345" s="78">
        <v>46054</v>
      </c>
      <c r="B1345" t="s" s="79">
        <v>57</v>
      </c>
      <c r="C1345" t="s" s="80">
        <v>840</v>
      </c>
      <c r="D1345" s="131">
        <v>34</v>
      </c>
      <c r="E1345" t="s" s="79">
        <v>850</v>
      </c>
      <c r="F1345" t="s" s="80">
        <v>213</v>
      </c>
      <c r="G1345" s="132">
        <v>192</v>
      </c>
      <c r="H1345" t="s" s="133">
        <v>115</v>
      </c>
      <c r="I1345" t="s" s="134">
        <v>115</v>
      </c>
      <c r="J1345" t="s" s="134">
        <v>97</v>
      </c>
      <c r="K1345" t="str" s="135" cm="1">
        <f t="array" ref="K1345">IF(OR(H1345="ריביות",AND(H1345="דירה כצנלסון",G1345&lt;0,ISNUMBER(SEARCH("הכנסה",F1345)))),"הכנסה שסווגה מחדש",J1345)</f>
        <v>שוטף</v>
      </c>
      <c r="L1345" t="s" s="134">
        <v>741</v>
      </c>
      <c r="M1345" s="136" cm="1">
        <f t="array" ref="M1345">IF(L1345="מאושר",IF(K1345="הכנסה שסווגה מחדש",0,G1345),0)</f>
        <v>192</v>
      </c>
      <c r="N1345" s="136" cm="1">
        <f t="array" ref="N1345">IF(K1345="שוטף",M1345,0)</f>
        <v>192</v>
      </c>
      <c r="O1345" s="136" cm="1">
        <f t="array" ref="O1345">IF(K1345="הכנסה שסווגה מחדש",-G1345,0)</f>
        <v>0</v>
      </c>
      <c r="P1345" t="s" s="80">
        <v>842</v>
      </c>
      <c r="Q1345" s="100"/>
      <c r="R1345" t="s" s="137">
        <v>743</v>
      </c>
      <c r="S1345" s="77"/>
    </row>
    <row r="1346" ht="13.65" customHeight="1">
      <c r="A1346" s="84">
        <v>46054</v>
      </c>
      <c r="B1346" t="s" s="85">
        <v>57</v>
      </c>
      <c r="C1346" t="s" s="86">
        <v>840</v>
      </c>
      <c r="D1346" s="138">
        <v>35</v>
      </c>
      <c r="E1346" t="s" s="85">
        <v>863</v>
      </c>
      <c r="F1346" t="s" s="86">
        <v>283</v>
      </c>
      <c r="G1346" s="139">
        <v>20</v>
      </c>
      <c r="H1346" t="s" s="140">
        <v>125</v>
      </c>
      <c r="I1346" t="s" s="141">
        <v>125</v>
      </c>
      <c r="J1346" t="s" s="141">
        <v>97</v>
      </c>
      <c r="K1346" t="str" s="142" cm="1">
        <f t="array" ref="K1346">IF(OR(H1346="ריביות",AND(H1346="דירה כצנלסון",G1346&lt;0,ISNUMBER(SEARCH("הכנסה",F1346)))),"הכנסה שסווגה מחדש",J1346)</f>
        <v>שוטף</v>
      </c>
      <c r="L1346" t="s" s="141">
        <v>741</v>
      </c>
      <c r="M1346" s="143" cm="1">
        <f t="array" ref="M1346">IF(L1346="מאושר",IF(K1346="הכנסה שסווגה מחדש",0,G1346),0)</f>
        <v>20</v>
      </c>
      <c r="N1346" s="143" cm="1">
        <f t="array" ref="N1346">IF(K1346="שוטף",M1346,0)</f>
        <v>20</v>
      </c>
      <c r="O1346" s="143" cm="1">
        <f t="array" ref="O1346">IF(K1346="הכנסה שסווגה מחדש",-G1346,0)</f>
        <v>0</v>
      </c>
      <c r="P1346" t="s" s="86">
        <v>842</v>
      </c>
      <c r="Q1346" s="99"/>
      <c r="R1346" t="s" s="144">
        <v>743</v>
      </c>
      <c r="S1346" s="77"/>
    </row>
    <row r="1347" ht="13.65" customHeight="1">
      <c r="A1347" s="78">
        <v>46054</v>
      </c>
      <c r="B1347" t="s" s="79">
        <v>57</v>
      </c>
      <c r="C1347" t="s" s="80">
        <v>840</v>
      </c>
      <c r="D1347" s="131">
        <v>36</v>
      </c>
      <c r="E1347" t="s" s="79">
        <v>864</v>
      </c>
      <c r="F1347" t="s" s="80">
        <v>377</v>
      </c>
      <c r="G1347" s="132">
        <v>12</v>
      </c>
      <c r="H1347" t="s" s="133">
        <v>113</v>
      </c>
      <c r="I1347" t="s" s="134">
        <v>113</v>
      </c>
      <c r="J1347" t="s" s="134">
        <v>97</v>
      </c>
      <c r="K1347" t="str" s="135" cm="1">
        <f t="array" ref="K1347">IF(OR(H1347="ריביות",AND(H1347="דירה כצנלסון",G1347&lt;0,ISNUMBER(SEARCH("הכנסה",F1347)))),"הכנסה שסווגה מחדש",J1347)</f>
        <v>שוטף</v>
      </c>
      <c r="L1347" t="s" s="134">
        <v>741</v>
      </c>
      <c r="M1347" s="136" cm="1">
        <f t="array" ref="M1347">IF(L1347="מאושר",IF(K1347="הכנסה שסווגה מחדש",0,G1347),0)</f>
        <v>12</v>
      </c>
      <c r="N1347" s="136" cm="1">
        <f t="array" ref="N1347">IF(K1347="שוטף",M1347,0)</f>
        <v>12</v>
      </c>
      <c r="O1347" s="136" cm="1">
        <f t="array" ref="O1347">IF(K1347="הכנסה שסווגה מחדש",-G1347,0)</f>
        <v>0</v>
      </c>
      <c r="P1347" t="s" s="80">
        <v>842</v>
      </c>
      <c r="Q1347" s="100"/>
      <c r="R1347" t="s" s="137">
        <v>743</v>
      </c>
      <c r="S1347" s="77"/>
    </row>
    <row r="1348" ht="13.65" customHeight="1">
      <c r="A1348" s="84">
        <v>46054</v>
      </c>
      <c r="B1348" t="s" s="85">
        <v>57</v>
      </c>
      <c r="C1348" t="s" s="86">
        <v>840</v>
      </c>
      <c r="D1348" s="138">
        <v>37</v>
      </c>
      <c r="E1348" t="s" s="85">
        <v>864</v>
      </c>
      <c r="F1348" t="s" s="86">
        <v>254</v>
      </c>
      <c r="G1348" s="139">
        <v>29</v>
      </c>
      <c r="H1348" t="s" s="140">
        <v>109</v>
      </c>
      <c r="I1348" t="s" s="141">
        <v>109</v>
      </c>
      <c r="J1348" t="s" s="141">
        <v>97</v>
      </c>
      <c r="K1348" t="str" s="142" cm="1">
        <f t="array" ref="K1348">IF(OR(H1348="ריביות",AND(H1348="דירה כצנלסון",G1348&lt;0,ISNUMBER(SEARCH("הכנסה",F1348)))),"הכנסה שסווגה מחדש",J1348)</f>
        <v>שוטף</v>
      </c>
      <c r="L1348" t="s" s="141">
        <v>741</v>
      </c>
      <c r="M1348" s="143" cm="1">
        <f t="array" ref="M1348">IF(L1348="מאושר",IF(K1348="הכנסה שסווגה מחדש",0,G1348),0)</f>
        <v>29</v>
      </c>
      <c r="N1348" s="143" cm="1">
        <f t="array" ref="N1348">IF(K1348="שוטף",M1348,0)</f>
        <v>29</v>
      </c>
      <c r="O1348" s="143" cm="1">
        <f t="array" ref="O1348">IF(K1348="הכנסה שסווגה מחדש",-G1348,0)</f>
        <v>0</v>
      </c>
      <c r="P1348" t="s" s="86">
        <v>842</v>
      </c>
      <c r="Q1348" s="99"/>
      <c r="R1348" t="s" s="144">
        <v>743</v>
      </c>
      <c r="S1348" s="77"/>
    </row>
    <row r="1349" ht="13.65" customHeight="1">
      <c r="A1349" s="78">
        <v>46054</v>
      </c>
      <c r="B1349" t="s" s="79">
        <v>57</v>
      </c>
      <c r="C1349" t="s" s="80">
        <v>840</v>
      </c>
      <c r="D1349" s="131">
        <v>38</v>
      </c>
      <c r="E1349" t="s" s="79">
        <v>865</v>
      </c>
      <c r="F1349" t="s" s="80">
        <v>701</v>
      </c>
      <c r="G1349" s="132">
        <v>8</v>
      </c>
      <c r="H1349" t="s" s="133">
        <v>113</v>
      </c>
      <c r="I1349" t="s" s="134">
        <v>113</v>
      </c>
      <c r="J1349" t="s" s="134">
        <v>97</v>
      </c>
      <c r="K1349" t="str" s="135" cm="1">
        <f t="array" ref="K1349">IF(OR(H1349="ריביות",AND(H1349="דירה כצנלסון",G1349&lt;0,ISNUMBER(SEARCH("הכנסה",F1349)))),"הכנסה שסווגה מחדש",J1349)</f>
        <v>שוטף</v>
      </c>
      <c r="L1349" t="s" s="134">
        <v>741</v>
      </c>
      <c r="M1349" s="136" cm="1">
        <f t="array" ref="M1349">IF(L1349="מאושר",IF(K1349="הכנסה שסווגה מחדש",0,G1349),0)</f>
        <v>8</v>
      </c>
      <c r="N1349" s="136" cm="1">
        <f t="array" ref="N1349">IF(K1349="שוטף",M1349,0)</f>
        <v>8</v>
      </c>
      <c r="O1349" s="136" cm="1">
        <f t="array" ref="O1349">IF(K1349="הכנסה שסווגה מחדש",-G1349,0)</f>
        <v>0</v>
      </c>
      <c r="P1349" t="s" s="80">
        <v>842</v>
      </c>
      <c r="Q1349" s="100"/>
      <c r="R1349" t="s" s="137">
        <v>743</v>
      </c>
      <c r="S1349" s="77"/>
    </row>
    <row r="1350" ht="13.65" customHeight="1">
      <c r="A1350" s="84">
        <v>46054</v>
      </c>
      <c r="B1350" t="s" s="85">
        <v>57</v>
      </c>
      <c r="C1350" t="s" s="86">
        <v>840</v>
      </c>
      <c r="D1350" s="138">
        <v>39</v>
      </c>
      <c r="E1350" t="s" s="85">
        <v>866</v>
      </c>
      <c r="F1350" t="s" s="86">
        <v>308</v>
      </c>
      <c r="G1350" s="139">
        <v>19</v>
      </c>
      <c r="H1350" t="s" s="140">
        <v>113</v>
      </c>
      <c r="I1350" t="s" s="141">
        <v>113</v>
      </c>
      <c r="J1350" t="s" s="141">
        <v>97</v>
      </c>
      <c r="K1350" t="str" s="142" cm="1">
        <f t="array" ref="K1350">IF(OR(H1350="ריביות",AND(H1350="דירה כצנלסון",G1350&lt;0,ISNUMBER(SEARCH("הכנסה",F1350)))),"הכנסה שסווגה מחדש",J1350)</f>
        <v>שוטף</v>
      </c>
      <c r="L1350" t="s" s="141">
        <v>741</v>
      </c>
      <c r="M1350" s="143" cm="1">
        <f t="array" ref="M1350">IF(L1350="מאושר",IF(K1350="הכנסה שסווגה מחדש",0,G1350),0)</f>
        <v>19</v>
      </c>
      <c r="N1350" s="143" cm="1">
        <f t="array" ref="N1350">IF(K1350="שוטף",M1350,0)</f>
        <v>19</v>
      </c>
      <c r="O1350" s="143" cm="1">
        <f t="array" ref="O1350">IF(K1350="הכנסה שסווגה מחדש",-G1350,0)</f>
        <v>0</v>
      </c>
      <c r="P1350" t="s" s="86">
        <v>842</v>
      </c>
      <c r="Q1350" s="99"/>
      <c r="R1350" t="s" s="144">
        <v>743</v>
      </c>
      <c r="S1350" s="77"/>
    </row>
    <row r="1351" ht="13.65" customHeight="1">
      <c r="A1351" s="78">
        <v>46054</v>
      </c>
      <c r="B1351" t="s" s="79">
        <v>57</v>
      </c>
      <c r="C1351" t="s" s="80">
        <v>840</v>
      </c>
      <c r="D1351" s="131">
        <v>41</v>
      </c>
      <c r="E1351" t="s" s="79">
        <v>867</v>
      </c>
      <c r="F1351" t="s" s="80">
        <v>305</v>
      </c>
      <c r="G1351" s="132">
        <v>550</v>
      </c>
      <c r="H1351" t="s" s="133">
        <v>125</v>
      </c>
      <c r="I1351" t="s" s="134">
        <v>125</v>
      </c>
      <c r="J1351" t="s" s="134">
        <v>97</v>
      </c>
      <c r="K1351" t="str" s="135" cm="1">
        <f t="array" ref="K1351">IF(OR(H1351="ריביות",AND(H1351="דירה כצנלסון",G1351&lt;0,ISNUMBER(SEARCH("הכנסה",F1351)))),"הכנסה שסווגה מחדש",J1351)</f>
        <v>שוטף</v>
      </c>
      <c r="L1351" t="s" s="134">
        <v>741</v>
      </c>
      <c r="M1351" s="136" cm="1">
        <f t="array" ref="M1351">IF(L1351="מאושר",IF(K1351="הכנסה שסווגה מחדש",0,G1351),0)</f>
        <v>550</v>
      </c>
      <c r="N1351" s="136" cm="1">
        <f t="array" ref="N1351">IF(K1351="שוטף",M1351,0)</f>
        <v>550</v>
      </c>
      <c r="O1351" s="136" cm="1">
        <f t="array" ref="O1351">IF(K1351="הכנסה שסווגה מחדש",-G1351,0)</f>
        <v>0</v>
      </c>
      <c r="P1351" t="s" s="80">
        <v>842</v>
      </c>
      <c r="Q1351" s="100"/>
      <c r="R1351" t="s" s="137">
        <v>743</v>
      </c>
      <c r="S1351" s="77"/>
    </row>
    <row r="1352" ht="13.65" customHeight="1">
      <c r="A1352" s="84">
        <v>46054</v>
      </c>
      <c r="B1352" t="s" s="85">
        <v>57</v>
      </c>
      <c r="C1352" t="s" s="86">
        <v>840</v>
      </c>
      <c r="D1352" s="138">
        <v>42</v>
      </c>
      <c r="E1352" t="s" s="85">
        <v>868</v>
      </c>
      <c r="F1352" t="s" s="86">
        <v>200</v>
      </c>
      <c r="G1352" s="139">
        <v>34</v>
      </c>
      <c r="H1352" t="s" s="140">
        <v>109</v>
      </c>
      <c r="I1352" t="s" s="141">
        <v>109</v>
      </c>
      <c r="J1352" t="s" s="141">
        <v>97</v>
      </c>
      <c r="K1352" t="str" s="142" cm="1">
        <f t="array" ref="K1352">IF(OR(H1352="ריביות",AND(H1352="דירה כצנלסון",G1352&lt;0,ISNUMBER(SEARCH("הכנסה",F1352)))),"הכנסה שסווגה מחדש",J1352)</f>
        <v>שוטף</v>
      </c>
      <c r="L1352" t="s" s="141">
        <v>741</v>
      </c>
      <c r="M1352" s="143" cm="1">
        <f t="array" ref="M1352">IF(L1352="מאושר",IF(K1352="הכנסה שסווגה מחדש",0,G1352),0)</f>
        <v>34</v>
      </c>
      <c r="N1352" s="143" cm="1">
        <f t="array" ref="N1352">IF(K1352="שוטף",M1352,0)</f>
        <v>34</v>
      </c>
      <c r="O1352" s="143" cm="1">
        <f t="array" ref="O1352">IF(K1352="הכנסה שסווגה מחדש",-G1352,0)</f>
        <v>0</v>
      </c>
      <c r="P1352" t="s" s="86">
        <v>842</v>
      </c>
      <c r="Q1352" s="99"/>
      <c r="R1352" t="s" s="144">
        <v>743</v>
      </c>
      <c r="S1352" s="77"/>
    </row>
    <row r="1353" ht="13.65" customHeight="1">
      <c r="A1353" s="78">
        <v>46054</v>
      </c>
      <c r="B1353" t="s" s="79">
        <v>57</v>
      </c>
      <c r="C1353" t="s" s="80">
        <v>840</v>
      </c>
      <c r="D1353" s="131">
        <v>43</v>
      </c>
      <c r="E1353" t="s" s="79">
        <v>869</v>
      </c>
      <c r="F1353" t="s" s="80">
        <v>209</v>
      </c>
      <c r="G1353" s="132">
        <v>32</v>
      </c>
      <c r="H1353" t="s" s="133">
        <v>113</v>
      </c>
      <c r="I1353" t="s" s="134">
        <v>113</v>
      </c>
      <c r="J1353" t="s" s="134">
        <v>97</v>
      </c>
      <c r="K1353" t="str" s="135" cm="1">
        <f t="array" ref="K1353">IF(OR(H1353="ריביות",AND(H1353="דירה כצנלסון",G1353&lt;0,ISNUMBER(SEARCH("הכנסה",F1353)))),"הכנסה שסווגה מחדש",J1353)</f>
        <v>שוטף</v>
      </c>
      <c r="L1353" t="s" s="134">
        <v>741</v>
      </c>
      <c r="M1353" s="136" cm="1">
        <f t="array" ref="M1353">IF(L1353="מאושר",IF(K1353="הכנסה שסווגה מחדש",0,G1353),0)</f>
        <v>32</v>
      </c>
      <c r="N1353" s="136" cm="1">
        <f t="array" ref="N1353">IF(K1353="שוטף",M1353,0)</f>
        <v>32</v>
      </c>
      <c r="O1353" s="136" cm="1">
        <f t="array" ref="O1353">IF(K1353="הכנסה שסווגה מחדש",-G1353,0)</f>
        <v>0</v>
      </c>
      <c r="P1353" t="s" s="80">
        <v>842</v>
      </c>
      <c r="Q1353" s="100"/>
      <c r="R1353" t="s" s="137">
        <v>743</v>
      </c>
      <c r="S1353" s="77"/>
    </row>
    <row r="1354" ht="13.65" customHeight="1">
      <c r="A1354" s="84">
        <v>46054</v>
      </c>
      <c r="B1354" t="s" s="85">
        <v>57</v>
      </c>
      <c r="C1354" t="s" s="86">
        <v>840</v>
      </c>
      <c r="D1354" s="138">
        <v>44</v>
      </c>
      <c r="E1354" t="s" s="85">
        <v>869</v>
      </c>
      <c r="F1354" t="s" s="86">
        <v>209</v>
      </c>
      <c r="G1354" s="139">
        <v>32</v>
      </c>
      <c r="H1354" t="s" s="140">
        <v>113</v>
      </c>
      <c r="I1354" t="s" s="141">
        <v>113</v>
      </c>
      <c r="J1354" t="s" s="141">
        <v>97</v>
      </c>
      <c r="K1354" t="str" s="142" cm="1">
        <f t="array" ref="K1354">IF(OR(H1354="ריביות",AND(H1354="דירה כצנלסון",G1354&lt;0,ISNUMBER(SEARCH("הכנסה",F1354)))),"הכנסה שסווגה מחדש",J1354)</f>
        <v>שוטף</v>
      </c>
      <c r="L1354" t="s" s="141">
        <v>741</v>
      </c>
      <c r="M1354" s="143" cm="1">
        <f t="array" ref="M1354">IF(L1354="מאושר",IF(K1354="הכנסה שסווגה מחדש",0,G1354),0)</f>
        <v>32</v>
      </c>
      <c r="N1354" s="143" cm="1">
        <f t="array" ref="N1354">IF(K1354="שוטף",M1354,0)</f>
        <v>32</v>
      </c>
      <c r="O1354" s="143" cm="1">
        <f t="array" ref="O1354">IF(K1354="הכנסה שסווגה מחדש",-G1354,0)</f>
        <v>0</v>
      </c>
      <c r="P1354" t="s" s="86">
        <v>842</v>
      </c>
      <c r="Q1354" s="99"/>
      <c r="R1354" t="s" s="144">
        <v>743</v>
      </c>
      <c r="S1354" s="77"/>
    </row>
    <row r="1355" ht="13.65" customHeight="1">
      <c r="A1355" s="78">
        <v>46054</v>
      </c>
      <c r="B1355" t="s" s="79">
        <v>57</v>
      </c>
      <c r="C1355" t="s" s="80">
        <v>840</v>
      </c>
      <c r="D1355" s="131">
        <v>45</v>
      </c>
      <c r="E1355" t="s" s="79">
        <v>869</v>
      </c>
      <c r="F1355" t="s" s="80">
        <v>213</v>
      </c>
      <c r="G1355" s="132">
        <v>218</v>
      </c>
      <c r="H1355" t="s" s="133">
        <v>115</v>
      </c>
      <c r="I1355" t="s" s="134">
        <v>115</v>
      </c>
      <c r="J1355" t="s" s="134">
        <v>97</v>
      </c>
      <c r="K1355" t="str" s="135" cm="1">
        <f t="array" ref="K1355">IF(OR(H1355="ריביות",AND(H1355="דירה כצנלסון",G1355&lt;0,ISNUMBER(SEARCH("הכנסה",F1355)))),"הכנסה שסווגה מחדש",J1355)</f>
        <v>שוטף</v>
      </c>
      <c r="L1355" t="s" s="134">
        <v>741</v>
      </c>
      <c r="M1355" s="136" cm="1">
        <f t="array" ref="M1355">IF(L1355="מאושר",IF(K1355="הכנסה שסווגה מחדש",0,G1355),0)</f>
        <v>218</v>
      </c>
      <c r="N1355" s="136" cm="1">
        <f t="array" ref="N1355">IF(K1355="שוטף",M1355,0)</f>
        <v>218</v>
      </c>
      <c r="O1355" s="136" cm="1">
        <f t="array" ref="O1355">IF(K1355="הכנסה שסווגה מחדש",-G1355,0)</f>
        <v>0</v>
      </c>
      <c r="P1355" t="s" s="80">
        <v>842</v>
      </c>
      <c r="Q1355" s="100"/>
      <c r="R1355" t="s" s="137">
        <v>743</v>
      </c>
      <c r="S1355" s="77"/>
    </row>
    <row r="1356" ht="13.65" customHeight="1">
      <c r="A1356" s="84">
        <v>46054</v>
      </c>
      <c r="B1356" t="s" s="85">
        <v>57</v>
      </c>
      <c r="C1356" t="s" s="86">
        <v>840</v>
      </c>
      <c r="D1356" s="138">
        <v>46</v>
      </c>
      <c r="E1356" t="s" s="85">
        <v>854</v>
      </c>
      <c r="F1356" t="s" s="85">
        <v>565</v>
      </c>
      <c r="G1356" s="139">
        <v>72</v>
      </c>
      <c r="H1356" t="s" s="140">
        <v>113</v>
      </c>
      <c r="I1356" t="s" s="141">
        <v>113</v>
      </c>
      <c r="J1356" t="s" s="141">
        <v>97</v>
      </c>
      <c r="K1356" t="str" s="142" cm="1">
        <f t="array" ref="K1356">IF(OR(H1356="ריביות",AND(H1356="דירה כצנלסון",G1356&lt;0,ISNUMBER(SEARCH("הכנסה",F1356)))),"הכנסה שסווגה מחדש",J1356)</f>
        <v>שוטף</v>
      </c>
      <c r="L1356" t="s" s="141">
        <v>741</v>
      </c>
      <c r="M1356" s="143" cm="1">
        <f t="array" ref="M1356">IF(L1356="מאושר",IF(K1356="הכנסה שסווגה מחדש",0,G1356),0)</f>
        <v>72</v>
      </c>
      <c r="N1356" s="143" cm="1">
        <f t="array" ref="N1356">IF(K1356="שוטף",M1356,0)</f>
        <v>72</v>
      </c>
      <c r="O1356" s="143" cm="1">
        <f t="array" ref="O1356">IF(K1356="הכנסה שסווגה מחדש",-G1356,0)</f>
        <v>0</v>
      </c>
      <c r="P1356" t="s" s="86">
        <v>842</v>
      </c>
      <c r="Q1356" s="99"/>
      <c r="R1356" t="s" s="144">
        <v>743</v>
      </c>
      <c r="S1356" s="77"/>
    </row>
    <row r="1357" ht="13.65" customHeight="1">
      <c r="A1357" s="78">
        <v>46054</v>
      </c>
      <c r="B1357" t="s" s="79">
        <v>57</v>
      </c>
      <c r="C1357" t="s" s="80">
        <v>840</v>
      </c>
      <c r="D1357" s="131">
        <v>47</v>
      </c>
      <c r="E1357" t="s" s="79">
        <v>841</v>
      </c>
      <c r="F1357" t="s" s="80">
        <v>200</v>
      </c>
      <c r="G1357" s="132">
        <v>579</v>
      </c>
      <c r="H1357" t="s" s="133">
        <v>109</v>
      </c>
      <c r="I1357" t="s" s="134">
        <v>109</v>
      </c>
      <c r="J1357" t="s" s="134">
        <v>97</v>
      </c>
      <c r="K1357" t="str" s="135" cm="1">
        <f t="array" ref="K1357">IF(OR(H1357="ריביות",AND(H1357="דירה כצנלסון",G1357&lt;0,ISNUMBER(SEARCH("הכנסה",F1357)))),"הכנסה שסווגה מחדש",J1357)</f>
        <v>שוטף</v>
      </c>
      <c r="L1357" t="s" s="134">
        <v>741</v>
      </c>
      <c r="M1357" s="136" cm="1">
        <f t="array" ref="M1357">IF(L1357="מאושר",IF(K1357="הכנסה שסווגה מחדש",0,G1357),0)</f>
        <v>579</v>
      </c>
      <c r="N1357" s="136" cm="1">
        <f t="array" ref="N1357">IF(K1357="שוטף",M1357,0)</f>
        <v>579</v>
      </c>
      <c r="O1357" s="136" cm="1">
        <f t="array" ref="O1357">IF(K1357="הכנסה שסווגה מחדש",-G1357,0)</f>
        <v>0</v>
      </c>
      <c r="P1357" t="s" s="80">
        <v>842</v>
      </c>
      <c r="Q1357" s="100"/>
      <c r="R1357" t="s" s="137">
        <v>743</v>
      </c>
      <c r="S1357" s="77"/>
    </row>
    <row r="1358" ht="13.65" customHeight="1">
      <c r="A1358" s="84">
        <v>46054</v>
      </c>
      <c r="B1358" t="s" s="85">
        <v>57</v>
      </c>
      <c r="C1358" t="s" s="86">
        <v>840</v>
      </c>
      <c r="D1358" s="138">
        <v>48</v>
      </c>
      <c r="E1358" t="s" s="85">
        <v>870</v>
      </c>
      <c r="F1358" t="s" s="86">
        <v>254</v>
      </c>
      <c r="G1358" s="139">
        <v>16</v>
      </c>
      <c r="H1358" t="s" s="140">
        <v>109</v>
      </c>
      <c r="I1358" t="s" s="141">
        <v>109</v>
      </c>
      <c r="J1358" t="s" s="141">
        <v>97</v>
      </c>
      <c r="K1358" t="str" s="142" cm="1">
        <f t="array" ref="K1358">IF(OR(H1358="ריביות",AND(H1358="דירה כצנלסון",G1358&lt;0,ISNUMBER(SEARCH("הכנסה",F1358)))),"הכנסה שסווגה מחדש",J1358)</f>
        <v>שוטף</v>
      </c>
      <c r="L1358" t="s" s="141">
        <v>741</v>
      </c>
      <c r="M1358" s="143" cm="1">
        <f t="array" ref="M1358">IF(L1358="מאושר",IF(K1358="הכנסה שסווגה מחדש",0,G1358),0)</f>
        <v>16</v>
      </c>
      <c r="N1358" s="143" cm="1">
        <f t="array" ref="N1358">IF(K1358="שוטף",M1358,0)</f>
        <v>16</v>
      </c>
      <c r="O1358" s="143" cm="1">
        <f t="array" ref="O1358">IF(K1358="הכנסה שסווגה מחדש",-G1358,0)</f>
        <v>0</v>
      </c>
      <c r="P1358" t="s" s="86">
        <v>842</v>
      </c>
      <c r="Q1358" s="99"/>
      <c r="R1358" t="s" s="144">
        <v>743</v>
      </c>
      <c r="S1358" s="77"/>
    </row>
    <row r="1359" ht="13.65" customHeight="1">
      <c r="A1359" s="78">
        <v>46054</v>
      </c>
      <c r="B1359" t="s" s="79">
        <v>57</v>
      </c>
      <c r="C1359" t="s" s="80">
        <v>840</v>
      </c>
      <c r="D1359" s="131">
        <v>49</v>
      </c>
      <c r="E1359" t="s" s="79">
        <v>870</v>
      </c>
      <c r="F1359" t="s" s="80">
        <v>209</v>
      </c>
      <c r="G1359" s="132">
        <v>82</v>
      </c>
      <c r="H1359" t="s" s="133">
        <v>113</v>
      </c>
      <c r="I1359" t="s" s="134">
        <v>113</v>
      </c>
      <c r="J1359" t="s" s="134">
        <v>97</v>
      </c>
      <c r="K1359" t="str" s="135" cm="1">
        <f t="array" ref="K1359">IF(OR(H1359="ריביות",AND(H1359="דירה כצנלסון",G1359&lt;0,ISNUMBER(SEARCH("הכנסה",F1359)))),"הכנסה שסווגה מחדש",J1359)</f>
        <v>שוטף</v>
      </c>
      <c r="L1359" t="s" s="134">
        <v>741</v>
      </c>
      <c r="M1359" s="136" cm="1">
        <f t="array" ref="M1359">IF(L1359="מאושר",IF(K1359="הכנסה שסווגה מחדש",0,G1359),0)</f>
        <v>82</v>
      </c>
      <c r="N1359" s="136" cm="1">
        <f t="array" ref="N1359">IF(K1359="שוטף",M1359,0)</f>
        <v>82</v>
      </c>
      <c r="O1359" s="136" cm="1">
        <f t="array" ref="O1359">IF(K1359="הכנסה שסווגה מחדש",-G1359,0)</f>
        <v>0</v>
      </c>
      <c r="P1359" t="s" s="80">
        <v>842</v>
      </c>
      <c r="Q1359" s="100"/>
      <c r="R1359" t="s" s="137">
        <v>743</v>
      </c>
      <c r="S1359" s="77"/>
    </row>
    <row r="1360" ht="13.65" customHeight="1">
      <c r="A1360" s="84">
        <v>46054</v>
      </c>
      <c r="B1360" t="s" s="85">
        <v>57</v>
      </c>
      <c r="C1360" t="s" s="86">
        <v>840</v>
      </c>
      <c r="D1360" s="138">
        <v>50</v>
      </c>
      <c r="E1360" t="s" s="85">
        <v>870</v>
      </c>
      <c r="F1360" t="s" s="86">
        <v>209</v>
      </c>
      <c r="G1360" s="139">
        <v>69</v>
      </c>
      <c r="H1360" t="s" s="140">
        <v>113</v>
      </c>
      <c r="I1360" t="s" s="141">
        <v>113</v>
      </c>
      <c r="J1360" t="s" s="141">
        <v>97</v>
      </c>
      <c r="K1360" t="str" s="142" cm="1">
        <f t="array" ref="K1360">IF(OR(H1360="ריביות",AND(H1360="דירה כצנלסון",G1360&lt;0,ISNUMBER(SEARCH("הכנסה",F1360)))),"הכנסה שסווגה מחדש",J1360)</f>
        <v>שוטף</v>
      </c>
      <c r="L1360" t="s" s="141">
        <v>741</v>
      </c>
      <c r="M1360" s="143" cm="1">
        <f t="array" ref="M1360">IF(L1360="מאושר",IF(K1360="הכנסה שסווגה מחדש",0,G1360),0)</f>
        <v>69</v>
      </c>
      <c r="N1360" s="143" cm="1">
        <f t="array" ref="N1360">IF(K1360="שוטף",M1360,0)</f>
        <v>69</v>
      </c>
      <c r="O1360" s="143" cm="1">
        <f t="array" ref="O1360">IF(K1360="הכנסה שסווגה מחדש",-G1360,0)</f>
        <v>0</v>
      </c>
      <c r="P1360" t="s" s="86">
        <v>842</v>
      </c>
      <c r="Q1360" s="99"/>
      <c r="R1360" t="s" s="144">
        <v>743</v>
      </c>
      <c r="S1360" s="77"/>
    </row>
    <row r="1361" ht="13.65" customHeight="1">
      <c r="A1361" s="78">
        <v>46054</v>
      </c>
      <c r="B1361" t="s" s="79">
        <v>57</v>
      </c>
      <c r="C1361" t="s" s="80">
        <v>840</v>
      </c>
      <c r="D1361" s="131">
        <v>51</v>
      </c>
      <c r="E1361" t="s" s="79">
        <v>871</v>
      </c>
      <c r="F1361" t="s" s="80">
        <v>283</v>
      </c>
      <c r="G1361" s="132">
        <v>73</v>
      </c>
      <c r="H1361" t="s" s="133">
        <v>113</v>
      </c>
      <c r="I1361" t="s" s="134">
        <v>113</v>
      </c>
      <c r="J1361" t="s" s="134">
        <v>97</v>
      </c>
      <c r="K1361" t="str" s="135" cm="1">
        <f t="array" ref="K1361">IF(OR(H1361="ריביות",AND(H1361="דירה כצנלסון",G1361&lt;0,ISNUMBER(SEARCH("הכנסה",F1361)))),"הכנסה שסווגה מחדש",J1361)</f>
        <v>שוטף</v>
      </c>
      <c r="L1361" t="s" s="134">
        <v>741</v>
      </c>
      <c r="M1361" s="136" cm="1">
        <f t="array" ref="M1361">IF(L1361="מאושר",IF(K1361="הכנסה שסווגה מחדש",0,G1361),0)</f>
        <v>73</v>
      </c>
      <c r="N1361" s="136" cm="1">
        <f t="array" ref="N1361">IF(K1361="שוטף",M1361,0)</f>
        <v>73</v>
      </c>
      <c r="O1361" s="136" cm="1">
        <f t="array" ref="O1361">IF(K1361="הכנסה שסווגה מחדש",-G1361,0)</f>
        <v>0</v>
      </c>
      <c r="P1361" t="s" s="80">
        <v>842</v>
      </c>
      <c r="Q1361" s="100"/>
      <c r="R1361" t="s" s="137">
        <v>743</v>
      </c>
      <c r="S1361" s="77"/>
    </row>
    <row r="1362" ht="13.65" customHeight="1">
      <c r="A1362" s="84">
        <v>46054</v>
      </c>
      <c r="B1362" t="s" s="85">
        <v>57</v>
      </c>
      <c r="C1362" t="s" s="86">
        <v>840</v>
      </c>
      <c r="D1362" s="138">
        <v>52</v>
      </c>
      <c r="E1362" t="s" s="85">
        <v>872</v>
      </c>
      <c r="F1362" t="s" s="86">
        <v>377</v>
      </c>
      <c r="G1362" s="139">
        <v>7</v>
      </c>
      <c r="H1362" t="s" s="140">
        <v>113</v>
      </c>
      <c r="I1362" t="s" s="141">
        <v>113</v>
      </c>
      <c r="J1362" t="s" s="141">
        <v>97</v>
      </c>
      <c r="K1362" t="str" s="142" cm="1">
        <f t="array" ref="K1362">IF(OR(H1362="ריביות",AND(H1362="דירה כצנלסון",G1362&lt;0,ISNUMBER(SEARCH("הכנסה",F1362)))),"הכנסה שסווגה מחדש",J1362)</f>
        <v>שוטף</v>
      </c>
      <c r="L1362" t="s" s="141">
        <v>741</v>
      </c>
      <c r="M1362" s="143" cm="1">
        <f t="array" ref="M1362">IF(L1362="מאושר",IF(K1362="הכנסה שסווגה מחדש",0,G1362),0)</f>
        <v>7</v>
      </c>
      <c r="N1362" s="143" cm="1">
        <f t="array" ref="N1362">IF(K1362="שוטף",M1362,0)</f>
        <v>7</v>
      </c>
      <c r="O1362" s="143" cm="1">
        <f t="array" ref="O1362">IF(K1362="הכנסה שסווגה מחדש",-G1362,0)</f>
        <v>0</v>
      </c>
      <c r="P1362" t="s" s="86">
        <v>842</v>
      </c>
      <c r="Q1362" s="99"/>
      <c r="R1362" t="s" s="144">
        <v>743</v>
      </c>
      <c r="S1362" s="77"/>
    </row>
    <row r="1363" ht="13.65" customHeight="1">
      <c r="A1363" s="78">
        <v>46054</v>
      </c>
      <c r="B1363" t="s" s="79">
        <v>57</v>
      </c>
      <c r="C1363" t="s" s="80">
        <v>840</v>
      </c>
      <c r="D1363" s="131">
        <v>53</v>
      </c>
      <c r="E1363" t="s" s="79">
        <v>873</v>
      </c>
      <c r="F1363" t="s" s="80">
        <v>209</v>
      </c>
      <c r="G1363" s="132">
        <v>40</v>
      </c>
      <c r="H1363" t="s" s="133">
        <v>113</v>
      </c>
      <c r="I1363" t="s" s="134">
        <v>113</v>
      </c>
      <c r="J1363" t="s" s="134">
        <v>97</v>
      </c>
      <c r="K1363" t="str" s="135" cm="1">
        <f t="array" ref="K1363">IF(OR(H1363="ריביות",AND(H1363="דירה כצנלסון",G1363&lt;0,ISNUMBER(SEARCH("הכנסה",F1363)))),"הכנסה שסווגה מחדש",J1363)</f>
        <v>שוטף</v>
      </c>
      <c r="L1363" t="s" s="134">
        <v>741</v>
      </c>
      <c r="M1363" s="136" cm="1">
        <f t="array" ref="M1363">IF(L1363="מאושר",IF(K1363="הכנסה שסווגה מחדש",0,G1363),0)</f>
        <v>40</v>
      </c>
      <c r="N1363" s="136" cm="1">
        <f t="array" ref="N1363">IF(K1363="שוטף",M1363,0)</f>
        <v>40</v>
      </c>
      <c r="O1363" s="136" cm="1">
        <f t="array" ref="O1363">IF(K1363="הכנסה שסווגה מחדש",-G1363,0)</f>
        <v>0</v>
      </c>
      <c r="P1363" t="s" s="80">
        <v>842</v>
      </c>
      <c r="Q1363" s="100"/>
      <c r="R1363" t="s" s="137">
        <v>743</v>
      </c>
      <c r="S1363" s="77"/>
    </row>
    <row r="1364" ht="13.65" customHeight="1">
      <c r="A1364" s="84">
        <v>46054</v>
      </c>
      <c r="B1364" t="s" s="85">
        <v>57</v>
      </c>
      <c r="C1364" t="s" s="86">
        <v>840</v>
      </c>
      <c r="D1364" s="138">
        <v>54</v>
      </c>
      <c r="E1364" t="s" s="85">
        <v>874</v>
      </c>
      <c r="F1364" t="s" s="86">
        <v>535</v>
      </c>
      <c r="G1364" s="139">
        <v>92</v>
      </c>
      <c r="H1364" t="s" s="140">
        <v>113</v>
      </c>
      <c r="I1364" t="s" s="141">
        <v>113</v>
      </c>
      <c r="J1364" t="s" s="141">
        <v>97</v>
      </c>
      <c r="K1364" t="str" s="142" cm="1">
        <f t="array" ref="K1364">IF(OR(H1364="ריביות",AND(H1364="דירה כצנלסון",G1364&lt;0,ISNUMBER(SEARCH("הכנסה",F1364)))),"הכנסה שסווגה מחדש",J1364)</f>
        <v>שוטף</v>
      </c>
      <c r="L1364" t="s" s="141">
        <v>741</v>
      </c>
      <c r="M1364" s="143" cm="1">
        <f t="array" ref="M1364">IF(L1364="מאושר",IF(K1364="הכנסה שסווגה מחדש",0,G1364),0)</f>
        <v>92</v>
      </c>
      <c r="N1364" s="143" cm="1">
        <f t="array" ref="N1364">IF(K1364="שוטף",M1364,0)</f>
        <v>92</v>
      </c>
      <c r="O1364" s="143" cm="1">
        <f t="array" ref="O1364">IF(K1364="הכנסה שסווגה מחדש",-G1364,0)</f>
        <v>0</v>
      </c>
      <c r="P1364" t="s" s="86">
        <v>842</v>
      </c>
      <c r="Q1364" s="99"/>
      <c r="R1364" t="s" s="144">
        <v>743</v>
      </c>
      <c r="S1364" s="77"/>
    </row>
    <row r="1365" ht="13.65" customHeight="1">
      <c r="A1365" s="78">
        <v>46054</v>
      </c>
      <c r="B1365" t="s" s="79">
        <v>57</v>
      </c>
      <c r="C1365" t="s" s="80">
        <v>840</v>
      </c>
      <c r="D1365" s="131">
        <v>55</v>
      </c>
      <c r="E1365" t="s" s="79">
        <v>857</v>
      </c>
      <c r="F1365" t="s" s="80">
        <v>548</v>
      </c>
      <c r="G1365" s="132">
        <v>81</v>
      </c>
      <c r="H1365" t="s" s="133">
        <v>113</v>
      </c>
      <c r="I1365" t="s" s="134">
        <v>113</v>
      </c>
      <c r="J1365" t="s" s="134">
        <v>97</v>
      </c>
      <c r="K1365" t="str" s="135" cm="1">
        <f t="array" ref="K1365">IF(OR(H1365="ריביות",AND(H1365="דירה כצנלסון",G1365&lt;0,ISNUMBER(SEARCH("הכנסה",F1365)))),"הכנסה שסווגה מחדש",J1365)</f>
        <v>שוטף</v>
      </c>
      <c r="L1365" t="s" s="134">
        <v>741</v>
      </c>
      <c r="M1365" s="136" cm="1">
        <f t="array" ref="M1365">IF(L1365="מאושר",IF(K1365="הכנסה שסווגה מחדש",0,G1365),0)</f>
        <v>81</v>
      </c>
      <c r="N1365" s="136" cm="1">
        <f t="array" ref="N1365">IF(K1365="שוטף",M1365,0)</f>
        <v>81</v>
      </c>
      <c r="O1365" s="136" cm="1">
        <f t="array" ref="O1365">IF(K1365="הכנסה שסווגה מחדש",-G1365,0)</f>
        <v>0</v>
      </c>
      <c r="P1365" t="s" s="80">
        <v>842</v>
      </c>
      <c r="Q1365" s="100"/>
      <c r="R1365" t="s" s="137">
        <v>743</v>
      </c>
      <c r="S1365" s="77"/>
    </row>
    <row r="1366" ht="13.65" customHeight="1">
      <c r="A1366" s="84">
        <v>46054</v>
      </c>
      <c r="B1366" t="s" s="85">
        <v>57</v>
      </c>
      <c r="C1366" t="s" s="86">
        <v>840</v>
      </c>
      <c r="D1366" s="138">
        <v>56</v>
      </c>
      <c r="E1366" t="s" s="85">
        <v>845</v>
      </c>
      <c r="F1366" t="s" s="86">
        <v>377</v>
      </c>
      <c r="G1366" s="139">
        <v>26</v>
      </c>
      <c r="H1366" t="s" s="140">
        <v>113</v>
      </c>
      <c r="I1366" t="s" s="141">
        <v>113</v>
      </c>
      <c r="J1366" t="s" s="141">
        <v>97</v>
      </c>
      <c r="K1366" t="str" s="142" cm="1">
        <f t="array" ref="K1366">IF(OR(H1366="ריביות",AND(H1366="דירה כצנלסון",G1366&lt;0,ISNUMBER(SEARCH("הכנסה",F1366)))),"הכנסה שסווגה מחדש",J1366)</f>
        <v>שוטף</v>
      </c>
      <c r="L1366" t="s" s="141">
        <v>741</v>
      </c>
      <c r="M1366" s="143" cm="1">
        <f t="array" ref="M1366">IF(L1366="מאושר",IF(K1366="הכנסה שסווגה מחדש",0,G1366),0)</f>
        <v>26</v>
      </c>
      <c r="N1366" s="143" cm="1">
        <f t="array" ref="N1366">IF(K1366="שוטף",M1366,0)</f>
        <v>26</v>
      </c>
      <c r="O1366" s="143" cm="1">
        <f t="array" ref="O1366">IF(K1366="הכנסה שסווגה מחדש",-G1366,0)</f>
        <v>0</v>
      </c>
      <c r="P1366" t="s" s="86">
        <v>842</v>
      </c>
      <c r="Q1366" s="99"/>
      <c r="R1366" t="s" s="144">
        <v>743</v>
      </c>
      <c r="S1366" s="77"/>
    </row>
    <row r="1367" ht="13.65" customHeight="1">
      <c r="A1367" s="78">
        <v>46054</v>
      </c>
      <c r="B1367" t="s" s="79">
        <v>57</v>
      </c>
      <c r="C1367" t="s" s="80">
        <v>840</v>
      </c>
      <c r="D1367" s="131">
        <v>57</v>
      </c>
      <c r="E1367" t="s" s="79">
        <v>875</v>
      </c>
      <c r="F1367" t="s" s="80">
        <v>228</v>
      </c>
      <c r="G1367" s="132">
        <v>1576</v>
      </c>
      <c r="H1367" t="s" s="133">
        <v>115</v>
      </c>
      <c r="I1367" t="s" s="134">
        <v>115</v>
      </c>
      <c r="J1367" t="s" s="134">
        <v>97</v>
      </c>
      <c r="K1367" t="str" s="135" cm="1">
        <f t="array" ref="K1367">IF(OR(H1367="ריביות",AND(H1367="דירה כצנלסון",G1367&lt;0,ISNUMBER(SEARCH("הכנסה",F1367)))),"הכנסה שסווגה מחדש",J1367)</f>
        <v>שוטף</v>
      </c>
      <c r="L1367" t="s" s="134">
        <v>741</v>
      </c>
      <c r="M1367" s="136" cm="1">
        <f t="array" ref="M1367">IF(L1367="מאושר",IF(K1367="הכנסה שסווגה מחדש",0,G1367),0)</f>
        <v>1576</v>
      </c>
      <c r="N1367" s="136" cm="1">
        <f t="array" ref="N1367">IF(K1367="שוטף",M1367,0)</f>
        <v>1576</v>
      </c>
      <c r="O1367" s="136" cm="1">
        <f t="array" ref="O1367">IF(K1367="הכנסה שסווגה מחדש",-G1367,0)</f>
        <v>0</v>
      </c>
      <c r="P1367" t="s" s="80">
        <v>842</v>
      </c>
      <c r="Q1367" s="100"/>
      <c r="R1367" t="s" s="137">
        <v>743</v>
      </c>
      <c r="S1367" s="77"/>
    </row>
    <row r="1368" ht="13.65" customHeight="1">
      <c r="A1368" s="84">
        <v>46054</v>
      </c>
      <c r="B1368" t="s" s="85">
        <v>57</v>
      </c>
      <c r="C1368" t="s" s="86">
        <v>840</v>
      </c>
      <c r="D1368" s="138">
        <v>58</v>
      </c>
      <c r="E1368" t="s" s="85">
        <v>845</v>
      </c>
      <c r="F1368" t="s" s="86">
        <v>289</v>
      </c>
      <c r="G1368" s="139">
        <v>32</v>
      </c>
      <c r="H1368" t="s" s="140">
        <v>767</v>
      </c>
      <c r="I1368" t="s" s="141">
        <v>107</v>
      </c>
      <c r="J1368" t="s" s="141">
        <v>97</v>
      </c>
      <c r="K1368" t="str" s="142" cm="1">
        <f t="array" ref="K1368">IF(OR(H1368="ריביות",AND(H1368="דירה כצנלסון",G1368&lt;0,ISNUMBER(SEARCH("הכנסה",F1368)))),"הכנסה שסווגה מחדש",J1368)</f>
        <v>שוטף</v>
      </c>
      <c r="L1368" t="s" s="141">
        <v>741</v>
      </c>
      <c r="M1368" s="143" cm="1">
        <f t="array" ref="M1368">IF(L1368="מאושר",IF(K1368="הכנסה שסווגה מחדש",0,G1368),0)</f>
        <v>32</v>
      </c>
      <c r="N1368" s="143" cm="1">
        <f t="array" ref="N1368">IF(K1368="שוטף",M1368,0)</f>
        <v>32</v>
      </c>
      <c r="O1368" s="143" cm="1">
        <f t="array" ref="O1368">IF(K1368="הכנסה שסווגה מחדש",-G1368,0)</f>
        <v>0</v>
      </c>
      <c r="P1368" t="s" s="86">
        <v>842</v>
      </c>
      <c r="Q1368" s="99"/>
      <c r="R1368" t="s" s="144">
        <v>743</v>
      </c>
      <c r="S1368" s="77"/>
    </row>
    <row r="1369" ht="13.65" customHeight="1">
      <c r="A1369" s="78">
        <v>46054</v>
      </c>
      <c r="B1369" t="s" s="79">
        <v>57</v>
      </c>
      <c r="C1369" t="s" s="80">
        <v>840</v>
      </c>
      <c r="D1369" s="131">
        <v>59</v>
      </c>
      <c r="E1369" t="s" s="79">
        <v>876</v>
      </c>
      <c r="F1369" t="s" s="80">
        <v>213</v>
      </c>
      <c r="G1369" s="132">
        <v>141</v>
      </c>
      <c r="H1369" t="s" s="133">
        <v>115</v>
      </c>
      <c r="I1369" t="s" s="134">
        <v>115</v>
      </c>
      <c r="J1369" t="s" s="134">
        <v>97</v>
      </c>
      <c r="K1369" t="str" s="135" cm="1">
        <f t="array" ref="K1369">IF(OR(H1369="ריביות",AND(H1369="דירה כצנלסון",G1369&lt;0,ISNUMBER(SEARCH("הכנסה",F1369)))),"הכנסה שסווגה מחדש",J1369)</f>
        <v>שוטף</v>
      </c>
      <c r="L1369" t="s" s="134">
        <v>741</v>
      </c>
      <c r="M1369" s="136" cm="1">
        <f t="array" ref="M1369">IF(L1369="מאושר",IF(K1369="הכנסה שסווגה מחדש",0,G1369),0)</f>
        <v>141</v>
      </c>
      <c r="N1369" s="136" cm="1">
        <f t="array" ref="N1369">IF(K1369="שוטף",M1369,0)</f>
        <v>141</v>
      </c>
      <c r="O1369" s="136" cm="1">
        <f t="array" ref="O1369">IF(K1369="הכנסה שסווגה מחדש",-G1369,0)</f>
        <v>0</v>
      </c>
      <c r="P1369" t="s" s="80">
        <v>842</v>
      </c>
      <c r="Q1369" s="100"/>
      <c r="R1369" t="s" s="137">
        <v>743</v>
      </c>
      <c r="S1369" s="77"/>
    </row>
    <row r="1370" ht="13.65" customHeight="1">
      <c r="A1370" s="84">
        <v>46054</v>
      </c>
      <c r="B1370" t="s" s="85">
        <v>57</v>
      </c>
      <c r="C1370" t="s" s="86">
        <v>840</v>
      </c>
      <c r="D1370" s="138">
        <v>60</v>
      </c>
      <c r="E1370" t="s" s="85">
        <v>877</v>
      </c>
      <c r="F1370" t="s" s="86">
        <v>200</v>
      </c>
      <c r="G1370" s="139">
        <v>157</v>
      </c>
      <c r="H1370" t="s" s="140">
        <v>109</v>
      </c>
      <c r="I1370" t="s" s="141">
        <v>109</v>
      </c>
      <c r="J1370" t="s" s="141">
        <v>97</v>
      </c>
      <c r="K1370" t="str" s="142" cm="1">
        <f t="array" ref="K1370">IF(OR(H1370="ריביות",AND(H1370="דירה כצנלסון",G1370&lt;0,ISNUMBER(SEARCH("הכנסה",F1370)))),"הכנסה שסווגה מחדש",J1370)</f>
        <v>שוטף</v>
      </c>
      <c r="L1370" t="s" s="141">
        <v>741</v>
      </c>
      <c r="M1370" s="143" cm="1">
        <f t="array" ref="M1370">IF(L1370="מאושר",IF(K1370="הכנסה שסווגה מחדש",0,G1370),0)</f>
        <v>157</v>
      </c>
      <c r="N1370" s="143" cm="1">
        <f t="array" ref="N1370">IF(K1370="שוטף",M1370,0)</f>
        <v>157</v>
      </c>
      <c r="O1370" s="143" cm="1">
        <f t="array" ref="O1370">IF(K1370="הכנסה שסווגה מחדש",-G1370,0)</f>
        <v>0</v>
      </c>
      <c r="P1370" t="s" s="86">
        <v>842</v>
      </c>
      <c r="Q1370" s="99"/>
      <c r="R1370" t="s" s="144">
        <v>743</v>
      </c>
      <c r="S1370" s="77"/>
    </row>
    <row r="1371" ht="13.65" customHeight="1">
      <c r="A1371" s="78">
        <v>46054</v>
      </c>
      <c r="B1371" t="s" s="79">
        <v>57</v>
      </c>
      <c r="C1371" t="s" s="80">
        <v>840</v>
      </c>
      <c r="D1371" s="131">
        <v>61</v>
      </c>
      <c r="E1371" t="s" s="79">
        <v>878</v>
      </c>
      <c r="F1371" t="s" s="80">
        <v>277</v>
      </c>
      <c r="G1371" s="132">
        <v>88</v>
      </c>
      <c r="H1371" t="s" s="133">
        <v>115</v>
      </c>
      <c r="I1371" t="s" s="134">
        <v>115</v>
      </c>
      <c r="J1371" t="s" s="134">
        <v>97</v>
      </c>
      <c r="K1371" t="str" s="135" cm="1">
        <f t="array" ref="K1371">IF(OR(H1371="ריביות",AND(H1371="דירה כצנלסון",G1371&lt;0,ISNUMBER(SEARCH("הכנסה",F1371)))),"הכנסה שסווגה מחדש",J1371)</f>
        <v>שוטף</v>
      </c>
      <c r="L1371" t="s" s="134">
        <v>741</v>
      </c>
      <c r="M1371" s="136" cm="1">
        <f t="array" ref="M1371">IF(L1371="מאושר",IF(K1371="הכנסה שסווגה מחדש",0,G1371),0)</f>
        <v>88</v>
      </c>
      <c r="N1371" s="136" cm="1">
        <f t="array" ref="N1371">IF(K1371="שוטף",M1371,0)</f>
        <v>88</v>
      </c>
      <c r="O1371" s="136" cm="1">
        <f t="array" ref="O1371">IF(K1371="הכנסה שסווגה מחדש",-G1371,0)</f>
        <v>0</v>
      </c>
      <c r="P1371" t="s" s="79">
        <v>879</v>
      </c>
      <c r="Q1371" s="100"/>
      <c r="R1371" t="s" s="137">
        <v>743</v>
      </c>
      <c r="S1371" s="77"/>
    </row>
    <row r="1372" ht="13.65" customHeight="1">
      <c r="A1372" s="84">
        <v>46054</v>
      </c>
      <c r="B1372" t="s" s="85">
        <v>57</v>
      </c>
      <c r="C1372" t="s" s="86">
        <v>840</v>
      </c>
      <c r="D1372" s="138">
        <v>62</v>
      </c>
      <c r="E1372" t="s" s="85">
        <v>880</v>
      </c>
      <c r="F1372" t="s" s="86">
        <v>308</v>
      </c>
      <c r="G1372" s="139">
        <v>39</v>
      </c>
      <c r="H1372" t="s" s="140">
        <v>113</v>
      </c>
      <c r="I1372" t="s" s="141">
        <v>113</v>
      </c>
      <c r="J1372" t="s" s="141">
        <v>97</v>
      </c>
      <c r="K1372" t="str" s="142" cm="1">
        <f t="array" ref="K1372">IF(OR(H1372="ריביות",AND(H1372="דירה כצנלסון",G1372&lt;0,ISNUMBER(SEARCH("הכנסה",F1372)))),"הכנסה שסווגה מחדש",J1372)</f>
        <v>שוטף</v>
      </c>
      <c r="L1372" t="s" s="141">
        <v>741</v>
      </c>
      <c r="M1372" s="143" cm="1">
        <f t="array" ref="M1372">IF(L1372="מאושר",IF(K1372="הכנסה שסווגה מחדש",0,G1372),0)</f>
        <v>39</v>
      </c>
      <c r="N1372" s="143" cm="1">
        <f t="array" ref="N1372">IF(K1372="שוטף",M1372,0)</f>
        <v>39</v>
      </c>
      <c r="O1372" s="143" cm="1">
        <f t="array" ref="O1372">IF(K1372="הכנסה שסווגה מחדש",-G1372,0)</f>
        <v>0</v>
      </c>
      <c r="P1372" t="s" s="85">
        <v>879</v>
      </c>
      <c r="Q1372" s="99"/>
      <c r="R1372" t="s" s="144">
        <v>743</v>
      </c>
      <c r="S1372" s="77"/>
    </row>
    <row r="1373" ht="13.65" customHeight="1">
      <c r="A1373" s="78">
        <v>46054</v>
      </c>
      <c r="B1373" t="s" s="79">
        <v>57</v>
      </c>
      <c r="C1373" t="s" s="80">
        <v>840</v>
      </c>
      <c r="D1373" s="131">
        <v>63</v>
      </c>
      <c r="E1373" t="s" s="79">
        <v>881</v>
      </c>
      <c r="F1373" t="s" s="80">
        <v>113</v>
      </c>
      <c r="G1373" s="132">
        <v>55</v>
      </c>
      <c r="H1373" t="s" s="133">
        <v>113</v>
      </c>
      <c r="I1373" t="s" s="134">
        <v>113</v>
      </c>
      <c r="J1373" t="s" s="134">
        <v>97</v>
      </c>
      <c r="K1373" t="str" s="135" cm="1">
        <f t="array" ref="K1373">IF(OR(H1373="ריביות",AND(H1373="דירה כצנלסון",G1373&lt;0,ISNUMBER(SEARCH("הכנסה",F1373)))),"הכנסה שסווגה מחדש",J1373)</f>
        <v>שוטף</v>
      </c>
      <c r="L1373" t="s" s="134">
        <v>741</v>
      </c>
      <c r="M1373" s="136" cm="1">
        <f t="array" ref="M1373">IF(L1373="מאושר",IF(K1373="הכנסה שסווגה מחדש",0,G1373),0)</f>
        <v>55</v>
      </c>
      <c r="N1373" s="136" cm="1">
        <f t="array" ref="N1373">IF(K1373="שוטף",M1373,0)</f>
        <v>55</v>
      </c>
      <c r="O1373" s="136" cm="1">
        <f t="array" ref="O1373">IF(K1373="הכנסה שסווגה מחדש",-G1373,0)</f>
        <v>0</v>
      </c>
      <c r="P1373" t="s" s="79">
        <v>879</v>
      </c>
      <c r="Q1373" s="100"/>
      <c r="R1373" t="s" s="137">
        <v>743</v>
      </c>
      <c r="S1373" s="77"/>
    </row>
    <row r="1374" ht="13.65" customHeight="1">
      <c r="A1374" s="84">
        <v>46054</v>
      </c>
      <c r="B1374" t="s" s="85">
        <v>57</v>
      </c>
      <c r="C1374" t="s" s="86">
        <v>840</v>
      </c>
      <c r="D1374" s="138">
        <v>64</v>
      </c>
      <c r="E1374" t="s" s="85">
        <v>878</v>
      </c>
      <c r="F1374" t="s" s="86">
        <v>277</v>
      </c>
      <c r="G1374" s="139">
        <v>32</v>
      </c>
      <c r="H1374" t="s" s="140">
        <v>115</v>
      </c>
      <c r="I1374" t="s" s="141">
        <v>115</v>
      </c>
      <c r="J1374" t="s" s="141">
        <v>97</v>
      </c>
      <c r="K1374" t="str" s="142" cm="1">
        <f t="array" ref="K1374">IF(OR(H1374="ריביות",AND(H1374="דירה כצנלסון",G1374&lt;0,ISNUMBER(SEARCH("הכנסה",F1374)))),"הכנסה שסווגה מחדש",J1374)</f>
        <v>שוטף</v>
      </c>
      <c r="L1374" t="s" s="141">
        <v>741</v>
      </c>
      <c r="M1374" s="143" cm="1">
        <f t="array" ref="M1374">IF(L1374="מאושר",IF(K1374="הכנסה שסווגה מחדש",0,G1374),0)</f>
        <v>32</v>
      </c>
      <c r="N1374" s="143" cm="1">
        <f t="array" ref="N1374">IF(K1374="שוטף",M1374,0)</f>
        <v>32</v>
      </c>
      <c r="O1374" s="143" cm="1">
        <f t="array" ref="O1374">IF(K1374="הכנסה שסווגה מחדש",-G1374,0)</f>
        <v>0</v>
      </c>
      <c r="P1374" t="s" s="85">
        <v>882</v>
      </c>
      <c r="Q1374" s="99"/>
      <c r="R1374" t="s" s="144">
        <v>743</v>
      </c>
      <c r="S1374" s="77"/>
    </row>
    <row r="1375" ht="13.65" customHeight="1">
      <c r="A1375" s="78">
        <v>46054</v>
      </c>
      <c r="B1375" t="s" s="79">
        <v>57</v>
      </c>
      <c r="C1375" t="s" s="80">
        <v>840</v>
      </c>
      <c r="D1375" s="131">
        <v>65</v>
      </c>
      <c r="E1375" t="s" s="79">
        <v>883</v>
      </c>
      <c r="F1375" t="s" s="80">
        <v>324</v>
      </c>
      <c r="G1375" s="132">
        <v>97</v>
      </c>
      <c r="H1375" t="s" s="133">
        <v>839</v>
      </c>
      <c r="I1375" t="s" s="134">
        <v>107</v>
      </c>
      <c r="J1375" t="s" s="134">
        <v>97</v>
      </c>
      <c r="K1375" t="str" s="135" cm="1">
        <f t="array" ref="K1375">IF(OR(H1375="ריביות",AND(H1375="דירה כצנלסון",G1375&lt;0,ISNUMBER(SEARCH("הכנסה",F1375)))),"הכנסה שסווגה מחדש",J1375)</f>
        <v>שוטף</v>
      </c>
      <c r="L1375" t="s" s="134">
        <v>741</v>
      </c>
      <c r="M1375" s="136" cm="1">
        <f t="array" ref="M1375">IF(L1375="מאושר",IF(K1375="הכנסה שסווגה מחדש",0,G1375),0)</f>
        <v>97</v>
      </c>
      <c r="N1375" s="136" cm="1">
        <f t="array" ref="N1375">IF(K1375="שוטף",M1375,0)</f>
        <v>97</v>
      </c>
      <c r="O1375" s="136" cm="1">
        <f t="array" ref="O1375">IF(K1375="הכנסה שסווגה מחדש",-G1375,0)</f>
        <v>0</v>
      </c>
      <c r="P1375" t="s" s="80">
        <v>884</v>
      </c>
      <c r="Q1375" s="100"/>
      <c r="R1375" t="s" s="137">
        <v>743</v>
      </c>
      <c r="S1375" s="77"/>
    </row>
    <row r="1376" ht="13.65" customHeight="1">
      <c r="A1376" s="84">
        <v>46054</v>
      </c>
      <c r="B1376" t="s" s="85">
        <v>57</v>
      </c>
      <c r="C1376" t="s" s="86">
        <v>840</v>
      </c>
      <c r="D1376" s="138">
        <v>66</v>
      </c>
      <c r="E1376" t="s" s="85">
        <v>885</v>
      </c>
      <c r="F1376" t="s" s="86">
        <v>265</v>
      </c>
      <c r="G1376" s="139">
        <v>1650</v>
      </c>
      <c r="H1376" t="s" s="140">
        <v>839</v>
      </c>
      <c r="I1376" t="s" s="141">
        <v>107</v>
      </c>
      <c r="J1376" t="s" s="141">
        <v>97</v>
      </c>
      <c r="K1376" t="str" s="142" cm="1">
        <f t="array" ref="K1376">IF(OR(H1376="ריביות",AND(H1376="דירה כצנלסון",G1376&lt;0,ISNUMBER(SEARCH("הכנסה",F1376)))),"הכנסה שסווגה מחדש",J1376)</f>
        <v>שוטף</v>
      </c>
      <c r="L1376" t="s" s="141">
        <v>741</v>
      </c>
      <c r="M1376" s="143" cm="1">
        <f t="array" ref="M1376">IF(L1376="מאושר",IF(K1376="הכנסה שסווגה מחדש",0,G1376),0)</f>
        <v>1650</v>
      </c>
      <c r="N1376" s="143" cm="1">
        <f t="array" ref="N1376">IF(K1376="שוטף",M1376,0)</f>
        <v>1650</v>
      </c>
      <c r="O1376" s="143" cm="1">
        <f t="array" ref="O1376">IF(K1376="הכנסה שסווגה מחדש",-G1376,0)</f>
        <v>0</v>
      </c>
      <c r="P1376" t="s" s="86">
        <v>884</v>
      </c>
      <c r="Q1376" s="99"/>
      <c r="R1376" t="s" s="144">
        <v>743</v>
      </c>
      <c r="S1376" s="77"/>
    </row>
    <row r="1377" ht="13.65" customHeight="1">
      <c r="A1377" s="78">
        <v>46054</v>
      </c>
      <c r="B1377" t="s" s="79">
        <v>57</v>
      </c>
      <c r="C1377" t="s" s="80">
        <v>840</v>
      </c>
      <c r="D1377" s="131">
        <v>67</v>
      </c>
      <c r="E1377" t="s" s="79">
        <v>886</v>
      </c>
      <c r="F1377" t="s" s="80">
        <v>250</v>
      </c>
      <c r="G1377" s="132">
        <v>120</v>
      </c>
      <c r="H1377" t="s" s="133">
        <v>127</v>
      </c>
      <c r="I1377" t="s" s="134">
        <v>127</v>
      </c>
      <c r="J1377" t="s" s="134">
        <v>97</v>
      </c>
      <c r="K1377" t="str" s="135" cm="1">
        <f t="array" ref="K1377">IF(OR(H1377="ריביות",AND(H1377="דירה כצנלסון",G1377&lt;0,ISNUMBER(SEARCH("הכנסה",F1377)))),"הכנסה שסווגה מחדש",J1377)</f>
        <v>שוטף</v>
      </c>
      <c r="L1377" t="s" s="134">
        <v>741</v>
      </c>
      <c r="M1377" s="136" cm="1">
        <f t="array" ref="M1377">IF(L1377="מאושר",IF(K1377="הכנסה שסווגה מחדש",0,G1377),0)</f>
        <v>120</v>
      </c>
      <c r="N1377" s="136" cm="1">
        <f t="array" ref="N1377">IF(K1377="שוטף",M1377,0)</f>
        <v>120</v>
      </c>
      <c r="O1377" s="136" cm="1">
        <f t="array" ref="O1377">IF(K1377="הכנסה שסווגה מחדש",-G1377,0)</f>
        <v>0</v>
      </c>
      <c r="P1377" t="s" s="80">
        <v>884</v>
      </c>
      <c r="Q1377" s="100"/>
      <c r="R1377" t="s" s="137">
        <v>743</v>
      </c>
      <c r="S1377" s="77"/>
    </row>
    <row r="1378" ht="13.65" customHeight="1">
      <c r="A1378" s="84">
        <v>46054</v>
      </c>
      <c r="B1378" t="s" s="85">
        <v>57</v>
      </c>
      <c r="C1378" t="s" s="86">
        <v>840</v>
      </c>
      <c r="D1378" s="138">
        <v>68</v>
      </c>
      <c r="E1378" t="s" s="85">
        <v>887</v>
      </c>
      <c r="F1378" t="s" s="86">
        <v>553</v>
      </c>
      <c r="G1378" s="139">
        <v>80</v>
      </c>
      <c r="H1378" t="s" s="140">
        <v>121</v>
      </c>
      <c r="I1378" t="s" s="141">
        <v>121</v>
      </c>
      <c r="J1378" t="s" s="141">
        <v>97</v>
      </c>
      <c r="K1378" t="str" s="142" cm="1">
        <f t="array" ref="K1378">IF(OR(H1378="ריביות",AND(H1378="דירה כצנלסון",G1378&lt;0,ISNUMBER(SEARCH("הכנסה",F1378)))),"הכנסה שסווגה מחדש",J1378)</f>
        <v>שוטף</v>
      </c>
      <c r="L1378" t="s" s="141">
        <v>741</v>
      </c>
      <c r="M1378" s="143" cm="1">
        <f t="array" ref="M1378">IF(L1378="מאושר",IF(K1378="הכנסה שסווגה מחדש",0,G1378),0)</f>
        <v>80</v>
      </c>
      <c r="N1378" s="143" cm="1">
        <f t="array" ref="N1378">IF(K1378="שוטף",M1378,0)</f>
        <v>80</v>
      </c>
      <c r="O1378" s="143" cm="1">
        <f t="array" ref="O1378">IF(K1378="הכנסה שסווגה מחדש",-G1378,0)</f>
        <v>0</v>
      </c>
      <c r="P1378" t="s" s="86">
        <v>884</v>
      </c>
      <c r="Q1378" s="99"/>
      <c r="R1378" t="s" s="144">
        <v>743</v>
      </c>
      <c r="S1378" s="77"/>
    </row>
    <row r="1379" ht="13.65" customHeight="1">
      <c r="A1379" s="78">
        <v>46054</v>
      </c>
      <c r="B1379" t="s" s="79">
        <v>57</v>
      </c>
      <c r="C1379" t="s" s="80">
        <v>840</v>
      </c>
      <c r="D1379" s="131">
        <v>69</v>
      </c>
      <c r="E1379" t="s" s="79">
        <v>881</v>
      </c>
      <c r="F1379" t="s" s="80">
        <v>209</v>
      </c>
      <c r="G1379" s="132">
        <v>174</v>
      </c>
      <c r="H1379" t="s" s="133">
        <v>113</v>
      </c>
      <c r="I1379" t="s" s="134">
        <v>113</v>
      </c>
      <c r="J1379" t="s" s="134">
        <v>97</v>
      </c>
      <c r="K1379" t="str" s="135" cm="1">
        <f t="array" ref="K1379">IF(OR(H1379="ריביות",AND(H1379="דירה כצנלסון",G1379&lt;0,ISNUMBER(SEARCH("הכנסה",F1379)))),"הכנסה שסווגה מחדש",J1379)</f>
        <v>שוטף</v>
      </c>
      <c r="L1379" t="s" s="134">
        <v>741</v>
      </c>
      <c r="M1379" s="136" cm="1">
        <f t="array" ref="M1379">IF(L1379="מאושר",IF(K1379="הכנסה שסווגה מחדש",0,G1379),0)</f>
        <v>174</v>
      </c>
      <c r="N1379" s="136" cm="1">
        <f t="array" ref="N1379">IF(K1379="שוטף",M1379,0)</f>
        <v>174</v>
      </c>
      <c r="O1379" s="136" cm="1">
        <f t="array" ref="O1379">IF(K1379="הכנסה שסווגה מחדש",-G1379,0)</f>
        <v>0</v>
      </c>
      <c r="P1379" t="s" s="80">
        <v>884</v>
      </c>
      <c r="Q1379" s="100"/>
      <c r="R1379" t="s" s="137">
        <v>743</v>
      </c>
      <c r="S1379" s="77"/>
    </row>
    <row r="1380" ht="13.65" customHeight="1">
      <c r="A1380" s="84">
        <v>46054</v>
      </c>
      <c r="B1380" t="s" s="85">
        <v>57</v>
      </c>
      <c r="C1380" t="s" s="86">
        <v>840</v>
      </c>
      <c r="D1380" s="138">
        <v>70</v>
      </c>
      <c r="E1380" t="s" s="85">
        <v>888</v>
      </c>
      <c r="F1380" t="s" s="86">
        <v>199</v>
      </c>
      <c r="G1380" s="139">
        <v>1350</v>
      </c>
      <c r="H1380" t="s" s="140">
        <v>839</v>
      </c>
      <c r="I1380" t="s" s="141">
        <v>107</v>
      </c>
      <c r="J1380" t="s" s="141">
        <v>97</v>
      </c>
      <c r="K1380" t="str" s="142" cm="1">
        <f t="array" ref="K1380">IF(OR(H1380="ריביות",AND(H1380="דירה כצנלסון",G1380&lt;0,ISNUMBER(SEARCH("הכנסה",F1380)))),"הכנסה שסווגה מחדש",J1380)</f>
        <v>שוטף</v>
      </c>
      <c r="L1380" t="s" s="141">
        <v>741</v>
      </c>
      <c r="M1380" s="143" cm="1">
        <f t="array" ref="M1380">IF(L1380="מאושר",IF(K1380="הכנסה שסווגה מחדש",0,G1380),0)</f>
        <v>1350</v>
      </c>
      <c r="N1380" s="143" cm="1">
        <f t="array" ref="N1380">IF(K1380="שוטף",M1380,0)</f>
        <v>1350</v>
      </c>
      <c r="O1380" s="143" cm="1">
        <f t="array" ref="O1380">IF(K1380="הכנסה שסווגה מחדש",-G1380,0)</f>
        <v>0</v>
      </c>
      <c r="P1380" t="s" s="85">
        <v>742</v>
      </c>
      <c r="Q1380" s="99"/>
      <c r="R1380" t="s" s="144">
        <v>743</v>
      </c>
      <c r="S1380" s="77"/>
    </row>
    <row r="1381" ht="13.65" customHeight="1">
      <c r="A1381" s="78">
        <v>46054</v>
      </c>
      <c r="B1381" t="s" s="79">
        <v>57</v>
      </c>
      <c r="C1381" t="s" s="80">
        <v>840</v>
      </c>
      <c r="D1381" s="131">
        <v>71</v>
      </c>
      <c r="E1381" t="s" s="79">
        <v>849</v>
      </c>
      <c r="F1381" t="s" s="80">
        <v>717</v>
      </c>
      <c r="G1381" s="132">
        <v>-167</v>
      </c>
      <c r="H1381" t="s" s="133">
        <v>829</v>
      </c>
      <c r="I1381" t="s" s="134">
        <v>102</v>
      </c>
      <c r="J1381" t="s" s="134">
        <v>103</v>
      </c>
      <c r="K1381" t="str" s="135" cm="1">
        <f t="array" ref="K1381">IF(OR(H1381="ריביות",AND(H1381="דירה כצנלסון",G1381&lt;0,ISNUMBER(SEARCH("הכנסה",F1381)))),"הכנסה שסווגה מחדש",J1381)</f>
        <v>חריג</v>
      </c>
      <c r="L1381" t="s" s="134">
        <v>741</v>
      </c>
      <c r="M1381" s="136" cm="1">
        <f t="array" ref="M1381">IF(L1381="מאושר",IF(K1381="הכנסה שסווגה מחדש",0,G1381),0)</f>
        <v>-167</v>
      </c>
      <c r="N1381" s="136" cm="1">
        <f t="array" ref="N1381">IF(K1381="שוטף",M1381,0)</f>
        <v>0</v>
      </c>
      <c r="O1381" s="136" cm="1">
        <f t="array" ref="O1381">IF(K1381="הכנסה שסווגה מחדש",-G1381,0)</f>
        <v>0</v>
      </c>
      <c r="P1381" t="s" s="79">
        <v>742</v>
      </c>
      <c r="Q1381" s="100"/>
      <c r="R1381" t="s" s="137">
        <v>743</v>
      </c>
      <c r="S1381" s="77"/>
    </row>
    <row r="1382" ht="13.65" customHeight="1">
      <c r="A1382" s="84">
        <v>46054</v>
      </c>
      <c r="B1382" t="s" s="85">
        <v>57</v>
      </c>
      <c r="C1382" t="s" s="86">
        <v>840</v>
      </c>
      <c r="D1382" s="138">
        <v>72</v>
      </c>
      <c r="E1382" t="s" s="85">
        <v>889</v>
      </c>
      <c r="F1382" t="s" s="86">
        <v>546</v>
      </c>
      <c r="G1382" s="139">
        <v>83</v>
      </c>
      <c r="H1382" t="s" s="140">
        <v>113</v>
      </c>
      <c r="I1382" t="s" s="141">
        <v>113</v>
      </c>
      <c r="J1382" t="s" s="141">
        <v>97</v>
      </c>
      <c r="K1382" t="str" s="142" cm="1">
        <f t="array" ref="K1382">IF(OR(H1382="ריביות",AND(H1382="דירה כצנלסון",G1382&lt;0,ISNUMBER(SEARCH("הכנסה",F1382)))),"הכנסה שסווגה מחדש",J1382)</f>
        <v>שוטף</v>
      </c>
      <c r="L1382" t="s" s="141">
        <v>741</v>
      </c>
      <c r="M1382" s="143" cm="1">
        <f t="array" ref="M1382">IF(L1382="מאושר",IF(K1382="הכנסה שסווגה מחדש",0,G1382),0)</f>
        <v>83</v>
      </c>
      <c r="N1382" s="143" cm="1">
        <f t="array" ref="N1382">IF(K1382="שוטף",M1382,0)</f>
        <v>83</v>
      </c>
      <c r="O1382" s="143" cm="1">
        <f t="array" ref="O1382">IF(K1382="הכנסה שסווגה מחדש",-G1382,0)</f>
        <v>0</v>
      </c>
      <c r="P1382" t="s" s="86">
        <v>890</v>
      </c>
      <c r="Q1382" s="99"/>
      <c r="R1382" t="s" s="144">
        <v>743</v>
      </c>
      <c r="S1382" s="77"/>
    </row>
    <row r="1383" ht="13.65" customHeight="1">
      <c r="A1383" s="78">
        <v>46054</v>
      </c>
      <c r="B1383" t="s" s="79">
        <v>57</v>
      </c>
      <c r="C1383" t="s" s="80">
        <v>840</v>
      </c>
      <c r="D1383" s="131">
        <v>73</v>
      </c>
      <c r="E1383" t="s" s="79">
        <v>891</v>
      </c>
      <c r="F1383" t="s" s="80">
        <v>200</v>
      </c>
      <c r="G1383" s="132">
        <v>70</v>
      </c>
      <c r="H1383" t="s" s="133">
        <v>109</v>
      </c>
      <c r="I1383" t="s" s="134">
        <v>109</v>
      </c>
      <c r="J1383" t="s" s="134">
        <v>97</v>
      </c>
      <c r="K1383" t="str" s="135" cm="1">
        <f t="array" ref="K1383">IF(OR(H1383="ריביות",AND(H1383="דירה כצנלסון",G1383&lt;0,ISNUMBER(SEARCH("הכנסה",F1383)))),"הכנסה שסווגה מחדש",J1383)</f>
        <v>שוטף</v>
      </c>
      <c r="L1383" t="s" s="134">
        <v>741</v>
      </c>
      <c r="M1383" s="136" cm="1">
        <f t="array" ref="M1383">IF(L1383="מאושר",IF(K1383="הכנסה שסווגה מחדש",0,G1383),0)</f>
        <v>70</v>
      </c>
      <c r="N1383" s="136" cm="1">
        <f t="array" ref="N1383">IF(K1383="שוטף",M1383,0)</f>
        <v>70</v>
      </c>
      <c r="O1383" s="136" cm="1">
        <f t="array" ref="O1383">IF(K1383="הכנסה שסווגה מחדש",-G1383,0)</f>
        <v>0</v>
      </c>
      <c r="P1383" t="s" s="80">
        <v>890</v>
      </c>
      <c r="Q1383" s="100"/>
      <c r="R1383" t="s" s="137">
        <v>743</v>
      </c>
      <c r="S1383" s="77"/>
    </row>
    <row r="1384" ht="13.65" customHeight="1">
      <c r="A1384" s="84">
        <v>46054</v>
      </c>
      <c r="B1384" t="s" s="85">
        <v>57</v>
      </c>
      <c r="C1384" t="s" s="86">
        <v>840</v>
      </c>
      <c r="D1384" s="138">
        <v>74</v>
      </c>
      <c r="E1384" t="s" s="85">
        <v>891</v>
      </c>
      <c r="F1384" t="s" s="86">
        <v>209</v>
      </c>
      <c r="G1384" s="139">
        <v>78</v>
      </c>
      <c r="H1384" t="s" s="140">
        <v>113</v>
      </c>
      <c r="I1384" t="s" s="141">
        <v>113</v>
      </c>
      <c r="J1384" t="s" s="141">
        <v>97</v>
      </c>
      <c r="K1384" t="str" s="142" cm="1">
        <f t="array" ref="K1384">IF(OR(H1384="ריביות",AND(H1384="דירה כצנלסון",G1384&lt;0,ISNUMBER(SEARCH("הכנסה",F1384)))),"הכנסה שסווגה מחדש",J1384)</f>
        <v>שוטף</v>
      </c>
      <c r="L1384" t="s" s="141">
        <v>741</v>
      </c>
      <c r="M1384" s="143" cm="1">
        <f t="array" ref="M1384">IF(L1384="מאושר",IF(K1384="הכנסה שסווגה מחדש",0,G1384),0)</f>
        <v>78</v>
      </c>
      <c r="N1384" s="143" cm="1">
        <f t="array" ref="N1384">IF(K1384="שוטף",M1384,0)</f>
        <v>78</v>
      </c>
      <c r="O1384" s="143" cm="1">
        <f t="array" ref="O1384">IF(K1384="הכנסה שסווגה מחדש",-G1384,0)</f>
        <v>0</v>
      </c>
      <c r="P1384" t="s" s="86">
        <v>890</v>
      </c>
      <c r="Q1384" s="99"/>
      <c r="R1384" t="s" s="144">
        <v>743</v>
      </c>
      <c r="S1384" s="77"/>
    </row>
    <row r="1385" ht="13.65" customHeight="1">
      <c r="A1385" s="78">
        <v>46054</v>
      </c>
      <c r="B1385" t="s" s="79">
        <v>57</v>
      </c>
      <c r="C1385" t="s" s="80">
        <v>840</v>
      </c>
      <c r="D1385" s="131">
        <v>75</v>
      </c>
      <c r="E1385" t="s" s="79">
        <v>892</v>
      </c>
      <c r="F1385" t="s" s="80">
        <v>209</v>
      </c>
      <c r="G1385" s="132">
        <v>110</v>
      </c>
      <c r="H1385" t="s" s="133">
        <v>113</v>
      </c>
      <c r="I1385" t="s" s="134">
        <v>113</v>
      </c>
      <c r="J1385" t="s" s="134">
        <v>97</v>
      </c>
      <c r="K1385" t="str" s="135" cm="1">
        <f t="array" ref="K1385">IF(OR(H1385="ריביות",AND(H1385="דירה כצנלסון",G1385&lt;0,ISNUMBER(SEARCH("הכנסה",F1385)))),"הכנסה שסווגה מחדש",J1385)</f>
        <v>שוטף</v>
      </c>
      <c r="L1385" t="s" s="134">
        <v>741</v>
      </c>
      <c r="M1385" s="136" cm="1">
        <f t="array" ref="M1385">IF(L1385="מאושר",IF(K1385="הכנסה שסווגה מחדש",0,G1385),0)</f>
        <v>110</v>
      </c>
      <c r="N1385" s="136" cm="1">
        <f t="array" ref="N1385">IF(K1385="שוטף",M1385,0)</f>
        <v>110</v>
      </c>
      <c r="O1385" s="136" cm="1">
        <f t="array" ref="O1385">IF(K1385="הכנסה שסווגה מחדש",-G1385,0)</f>
        <v>0</v>
      </c>
      <c r="P1385" t="s" s="80">
        <v>890</v>
      </c>
      <c r="Q1385" s="100"/>
      <c r="R1385" t="s" s="137">
        <v>743</v>
      </c>
      <c r="S1385" s="77"/>
    </row>
    <row r="1386" ht="13.65" customHeight="1">
      <c r="A1386" s="84">
        <v>46054</v>
      </c>
      <c r="B1386" t="s" s="85">
        <v>57</v>
      </c>
      <c r="C1386" t="s" s="86">
        <v>840</v>
      </c>
      <c r="D1386" s="138">
        <v>76</v>
      </c>
      <c r="E1386" t="s" s="85">
        <v>893</v>
      </c>
      <c r="F1386" t="s" s="86">
        <v>676</v>
      </c>
      <c r="G1386" s="139">
        <v>20</v>
      </c>
      <c r="H1386" t="s" s="140">
        <v>113</v>
      </c>
      <c r="I1386" t="s" s="141">
        <v>113</v>
      </c>
      <c r="J1386" t="s" s="141">
        <v>97</v>
      </c>
      <c r="K1386" t="str" s="142" cm="1">
        <f t="array" ref="K1386">IF(OR(H1386="ריביות",AND(H1386="דירה כצנלסון",G1386&lt;0,ISNUMBER(SEARCH("הכנסה",F1386)))),"הכנסה שסווגה מחדש",J1386)</f>
        <v>שוטף</v>
      </c>
      <c r="L1386" t="s" s="141">
        <v>741</v>
      </c>
      <c r="M1386" s="143" cm="1">
        <f t="array" ref="M1386">IF(L1386="מאושר",IF(K1386="הכנסה שסווגה מחדש",0,G1386),0)</f>
        <v>20</v>
      </c>
      <c r="N1386" s="143" cm="1">
        <f t="array" ref="N1386">IF(K1386="שוטף",M1386,0)</f>
        <v>20</v>
      </c>
      <c r="O1386" s="143" cm="1">
        <f t="array" ref="O1386">IF(K1386="הכנסה שסווגה מחדש",-G1386,0)</f>
        <v>0</v>
      </c>
      <c r="P1386" t="s" s="86">
        <v>890</v>
      </c>
      <c r="Q1386" s="99"/>
      <c r="R1386" t="s" s="144">
        <v>743</v>
      </c>
      <c r="S1386" s="77"/>
    </row>
    <row r="1387" ht="13.65" customHeight="1">
      <c r="A1387" s="78">
        <v>46054</v>
      </c>
      <c r="B1387" t="s" s="79">
        <v>57</v>
      </c>
      <c r="C1387" t="s" s="80">
        <v>840</v>
      </c>
      <c r="D1387" s="131">
        <v>77</v>
      </c>
      <c r="E1387" t="s" s="79">
        <v>894</v>
      </c>
      <c r="F1387" t="s" s="80">
        <v>200</v>
      </c>
      <c r="G1387" s="132">
        <v>84</v>
      </c>
      <c r="H1387" t="s" s="133">
        <v>109</v>
      </c>
      <c r="I1387" t="s" s="134">
        <v>109</v>
      </c>
      <c r="J1387" t="s" s="134">
        <v>97</v>
      </c>
      <c r="K1387" t="str" s="135" cm="1">
        <f t="array" ref="K1387">IF(OR(H1387="ריביות",AND(H1387="דירה כצנלסון",G1387&lt;0,ISNUMBER(SEARCH("הכנסה",F1387)))),"הכנסה שסווגה מחדש",J1387)</f>
        <v>שוטף</v>
      </c>
      <c r="L1387" t="s" s="134">
        <v>741</v>
      </c>
      <c r="M1387" s="136" cm="1">
        <f t="array" ref="M1387">IF(L1387="מאושר",IF(K1387="הכנסה שסווגה מחדש",0,G1387),0)</f>
        <v>84</v>
      </c>
      <c r="N1387" s="136" cm="1">
        <f t="array" ref="N1387">IF(K1387="שוטף",M1387,0)</f>
        <v>84</v>
      </c>
      <c r="O1387" s="136" cm="1">
        <f t="array" ref="O1387">IF(K1387="הכנסה שסווגה מחדש",-G1387,0)</f>
        <v>0</v>
      </c>
      <c r="P1387" t="s" s="80">
        <v>890</v>
      </c>
      <c r="Q1387" s="100"/>
      <c r="R1387" t="s" s="137">
        <v>743</v>
      </c>
      <c r="S1387" s="77"/>
    </row>
    <row r="1388" ht="13.65" customHeight="1">
      <c r="A1388" s="84">
        <v>46054</v>
      </c>
      <c r="B1388" t="s" s="85">
        <v>57</v>
      </c>
      <c r="C1388" t="s" s="86">
        <v>840</v>
      </c>
      <c r="D1388" s="138">
        <v>78</v>
      </c>
      <c r="E1388" t="s" s="85">
        <v>895</v>
      </c>
      <c r="F1388" t="s" s="86">
        <v>308</v>
      </c>
      <c r="G1388" s="139">
        <v>11</v>
      </c>
      <c r="H1388" t="s" s="140">
        <v>113</v>
      </c>
      <c r="I1388" t="s" s="141">
        <v>113</v>
      </c>
      <c r="J1388" t="s" s="141">
        <v>97</v>
      </c>
      <c r="K1388" t="str" s="142" cm="1">
        <f t="array" ref="K1388">IF(OR(H1388="ריביות",AND(H1388="דירה כצנלסון",G1388&lt;0,ISNUMBER(SEARCH("הכנסה",F1388)))),"הכנסה שסווגה מחדש",J1388)</f>
        <v>שוטף</v>
      </c>
      <c r="L1388" t="s" s="141">
        <v>741</v>
      </c>
      <c r="M1388" s="143" cm="1">
        <f t="array" ref="M1388">IF(L1388="מאושר",IF(K1388="הכנסה שסווגה מחדש",0,G1388),0)</f>
        <v>11</v>
      </c>
      <c r="N1388" s="143" cm="1">
        <f t="array" ref="N1388">IF(K1388="שוטף",M1388,0)</f>
        <v>11</v>
      </c>
      <c r="O1388" s="143" cm="1">
        <f t="array" ref="O1388">IF(K1388="הכנסה שסווגה מחדש",-G1388,0)</f>
        <v>0</v>
      </c>
      <c r="P1388" t="s" s="86">
        <v>890</v>
      </c>
      <c r="Q1388" s="99"/>
      <c r="R1388" t="s" s="144">
        <v>743</v>
      </c>
      <c r="S1388" s="77"/>
    </row>
    <row r="1389" ht="13.65" customHeight="1">
      <c r="A1389" s="78">
        <v>46054</v>
      </c>
      <c r="B1389" t="s" s="79">
        <v>57</v>
      </c>
      <c r="C1389" t="s" s="80">
        <v>840</v>
      </c>
      <c r="D1389" s="131">
        <v>79</v>
      </c>
      <c r="E1389" t="s" s="79">
        <v>867</v>
      </c>
      <c r="F1389" t="s" s="80">
        <v>444</v>
      </c>
      <c r="G1389" s="132">
        <v>205</v>
      </c>
      <c r="H1389" t="s" s="133">
        <v>113</v>
      </c>
      <c r="I1389" t="s" s="134">
        <v>113</v>
      </c>
      <c r="J1389" t="s" s="134">
        <v>97</v>
      </c>
      <c r="K1389" t="str" s="135" cm="1">
        <f t="array" ref="K1389">IF(OR(H1389="ריביות",AND(H1389="דירה כצנלסון",G1389&lt;0,ISNUMBER(SEARCH("הכנסה",F1389)))),"הכנסה שסווגה מחדש",J1389)</f>
        <v>שוטף</v>
      </c>
      <c r="L1389" t="s" s="134">
        <v>741</v>
      </c>
      <c r="M1389" s="136" cm="1">
        <f t="array" ref="M1389">IF(L1389="מאושר",IF(K1389="הכנסה שסווגה מחדש",0,G1389),0)</f>
        <v>205</v>
      </c>
      <c r="N1389" s="136" cm="1">
        <f t="array" ref="N1389">IF(K1389="שוטף",M1389,0)</f>
        <v>205</v>
      </c>
      <c r="O1389" s="136" cm="1">
        <f t="array" ref="O1389">IF(K1389="הכנסה שסווגה מחדש",-G1389,0)</f>
        <v>0</v>
      </c>
      <c r="P1389" t="s" s="80">
        <v>890</v>
      </c>
      <c r="Q1389" s="100"/>
      <c r="R1389" t="s" s="137">
        <v>743</v>
      </c>
      <c r="S1389" s="77"/>
    </row>
    <row r="1390" ht="13.65" customHeight="1">
      <c r="A1390" s="84">
        <v>46054</v>
      </c>
      <c r="B1390" t="s" s="85">
        <v>57</v>
      </c>
      <c r="C1390" t="s" s="86">
        <v>840</v>
      </c>
      <c r="D1390" s="138">
        <v>81</v>
      </c>
      <c r="E1390" t="s" s="85">
        <v>896</v>
      </c>
      <c r="F1390" t="s" s="86">
        <v>209</v>
      </c>
      <c r="G1390" s="139">
        <v>77</v>
      </c>
      <c r="H1390" t="s" s="140">
        <v>113</v>
      </c>
      <c r="I1390" t="s" s="141">
        <v>113</v>
      </c>
      <c r="J1390" t="s" s="141">
        <v>97</v>
      </c>
      <c r="K1390" t="str" s="142" cm="1">
        <f t="array" ref="K1390">IF(OR(H1390="ריביות",AND(H1390="דירה כצנלסון",G1390&lt;0,ISNUMBER(SEARCH("הכנסה",F1390)))),"הכנסה שסווגה מחדש",J1390)</f>
        <v>שוטף</v>
      </c>
      <c r="L1390" t="s" s="141">
        <v>741</v>
      </c>
      <c r="M1390" s="143" cm="1">
        <f t="array" ref="M1390">IF(L1390="מאושר",IF(K1390="הכנסה שסווגה מחדש",0,G1390),0)</f>
        <v>77</v>
      </c>
      <c r="N1390" s="143" cm="1">
        <f t="array" ref="N1390">IF(K1390="שוטף",M1390,0)</f>
        <v>77</v>
      </c>
      <c r="O1390" s="143" cm="1">
        <f t="array" ref="O1390">IF(K1390="הכנסה שסווגה מחדש",-G1390,0)</f>
        <v>0</v>
      </c>
      <c r="P1390" t="s" s="86">
        <v>890</v>
      </c>
      <c r="Q1390" s="99"/>
      <c r="R1390" t="s" s="144">
        <v>743</v>
      </c>
      <c r="S1390" s="77"/>
    </row>
    <row r="1391" ht="13.65" customHeight="1">
      <c r="A1391" s="78">
        <v>46054</v>
      </c>
      <c r="B1391" t="s" s="79">
        <v>57</v>
      </c>
      <c r="C1391" t="s" s="80">
        <v>840</v>
      </c>
      <c r="D1391" s="131">
        <v>82</v>
      </c>
      <c r="E1391" t="s" s="79">
        <v>846</v>
      </c>
      <c r="F1391" t="s" s="80">
        <v>200</v>
      </c>
      <c r="G1391" s="132">
        <v>41</v>
      </c>
      <c r="H1391" t="s" s="133">
        <v>109</v>
      </c>
      <c r="I1391" t="s" s="134">
        <v>109</v>
      </c>
      <c r="J1391" t="s" s="134">
        <v>97</v>
      </c>
      <c r="K1391" t="str" s="135" cm="1">
        <f t="array" ref="K1391">IF(OR(H1391="ריביות",AND(H1391="דירה כצנלסון",G1391&lt;0,ISNUMBER(SEARCH("הכנסה",F1391)))),"הכנסה שסווגה מחדש",J1391)</f>
        <v>שוטף</v>
      </c>
      <c r="L1391" t="s" s="134">
        <v>741</v>
      </c>
      <c r="M1391" s="136" cm="1">
        <f t="array" ref="M1391">IF(L1391="מאושר",IF(K1391="הכנסה שסווגה מחדש",0,G1391),0)</f>
        <v>41</v>
      </c>
      <c r="N1391" s="136" cm="1">
        <f t="array" ref="N1391">IF(K1391="שוטף",M1391,0)</f>
        <v>41</v>
      </c>
      <c r="O1391" s="136" cm="1">
        <f t="array" ref="O1391">IF(K1391="הכנסה שסווגה מחדש",-G1391,0)</f>
        <v>0</v>
      </c>
      <c r="P1391" t="s" s="80">
        <v>890</v>
      </c>
      <c r="Q1391" s="100"/>
      <c r="R1391" t="s" s="137">
        <v>743</v>
      </c>
      <c r="S1391" s="77"/>
    </row>
    <row r="1392" ht="13.65" customHeight="1">
      <c r="A1392" s="84">
        <v>46054</v>
      </c>
      <c r="B1392" t="s" s="85">
        <v>57</v>
      </c>
      <c r="C1392" t="s" s="86">
        <v>840</v>
      </c>
      <c r="D1392" s="138">
        <v>83</v>
      </c>
      <c r="E1392" t="s" s="85">
        <v>897</v>
      </c>
      <c r="F1392" t="s" s="86">
        <v>505</v>
      </c>
      <c r="G1392" s="139">
        <v>119</v>
      </c>
      <c r="H1392" t="s" s="140">
        <v>113</v>
      </c>
      <c r="I1392" t="s" s="141">
        <v>113</v>
      </c>
      <c r="J1392" t="s" s="141">
        <v>97</v>
      </c>
      <c r="K1392" t="str" s="142" cm="1">
        <f t="array" ref="K1392">IF(OR(H1392="ריביות",AND(H1392="דירה כצנלסון",G1392&lt;0,ISNUMBER(SEARCH("הכנסה",F1392)))),"הכנסה שסווגה מחדש",J1392)</f>
        <v>שוטף</v>
      </c>
      <c r="L1392" t="s" s="141">
        <v>741</v>
      </c>
      <c r="M1392" s="143" cm="1">
        <f t="array" ref="M1392">IF(L1392="מאושר",IF(K1392="הכנסה שסווגה מחדש",0,G1392),0)</f>
        <v>119</v>
      </c>
      <c r="N1392" s="143" cm="1">
        <f t="array" ref="N1392">IF(K1392="שוטף",M1392,0)</f>
        <v>119</v>
      </c>
      <c r="O1392" s="143" cm="1">
        <f t="array" ref="O1392">IF(K1392="הכנסה שסווגה מחדש",-G1392,0)</f>
        <v>0</v>
      </c>
      <c r="P1392" t="s" s="86">
        <v>890</v>
      </c>
      <c r="Q1392" s="99"/>
      <c r="R1392" t="s" s="144">
        <v>743</v>
      </c>
      <c r="S1392" s="77"/>
    </row>
    <row r="1393" ht="13.65" customHeight="1">
      <c r="A1393" s="78">
        <v>46082</v>
      </c>
      <c r="B1393" t="s" s="79">
        <v>58</v>
      </c>
      <c r="C1393" t="s" s="80">
        <v>898</v>
      </c>
      <c r="D1393" s="131">
        <v>2</v>
      </c>
      <c r="E1393" s="100"/>
      <c r="F1393" t="s" s="80">
        <v>196</v>
      </c>
      <c r="G1393" s="132">
        <v>8000</v>
      </c>
      <c r="H1393" t="s" s="133">
        <v>838</v>
      </c>
      <c r="I1393" t="s" s="134">
        <v>96</v>
      </c>
      <c r="J1393" t="s" s="134">
        <v>97</v>
      </c>
      <c r="K1393" t="str" s="135" cm="1">
        <f t="array" ref="K1393">IF(OR(H1393="ריביות",AND(H1393="דירה כצנלסון",G1393&lt;0,ISNUMBER(SEARCH("הכנסה",F1393)))),"הכנסה שסווגה מחדש",J1393)</f>
        <v>שוטף</v>
      </c>
      <c r="L1393" t="s" s="134">
        <v>741</v>
      </c>
      <c r="M1393" s="136" cm="1">
        <f t="array" ref="M1393">IF(L1393="מאושר",IF(K1393="הכנסה שסווגה מחדש",0,G1393),0)</f>
        <v>8000</v>
      </c>
      <c r="N1393" s="136" cm="1">
        <f t="array" ref="N1393">IF(K1393="שוטף",M1393,0)</f>
        <v>8000</v>
      </c>
      <c r="O1393" s="136" cm="1">
        <f t="array" ref="O1393">IF(K1393="הכנסה שסווגה מחדש",-G1393,0)</f>
        <v>0</v>
      </c>
      <c r="P1393" t="s" s="80">
        <v>786</v>
      </c>
      <c r="Q1393" s="100"/>
      <c r="R1393" t="s" s="137">
        <v>743</v>
      </c>
      <c r="S1393" s="77"/>
    </row>
    <row r="1394" ht="13.65" customHeight="1">
      <c r="A1394" s="84">
        <v>46082</v>
      </c>
      <c r="B1394" t="s" s="85">
        <v>58</v>
      </c>
      <c r="C1394" t="s" s="86">
        <v>898</v>
      </c>
      <c r="D1394" s="138">
        <v>3</v>
      </c>
      <c r="E1394" s="99"/>
      <c r="F1394" t="s" s="86">
        <v>197</v>
      </c>
      <c r="G1394" s="139">
        <v>6140</v>
      </c>
      <c r="H1394" t="s" s="140">
        <v>279</v>
      </c>
      <c r="I1394" t="s" s="141">
        <v>99</v>
      </c>
      <c r="J1394" t="s" s="141">
        <v>100</v>
      </c>
      <c r="K1394" t="str" s="142" cm="1">
        <f t="array" ref="K1394">IF(OR(H1394="ריביות",AND(H1394="דירה כצנלסון",G1394&lt;0,ISNUMBER(SEARCH("הכנסה",F1394)))),"הכנסה שסווגה מחדש",J1394)</f>
        <v>חריג/נכס</v>
      </c>
      <c r="L1394" t="s" s="141">
        <v>741</v>
      </c>
      <c r="M1394" s="143" cm="1">
        <f t="array" ref="M1394">IF(L1394="מאושר",IF(K1394="הכנסה שסווגה מחדש",0,G1394),0)</f>
        <v>6140</v>
      </c>
      <c r="N1394" s="143" cm="1">
        <f t="array" ref="N1394">IF(K1394="שוטף",M1394,0)</f>
        <v>0</v>
      </c>
      <c r="O1394" s="143" cm="1">
        <f t="array" ref="O1394">IF(K1394="הכנסה שסווגה מחדש",-G1394,0)</f>
        <v>0</v>
      </c>
      <c r="P1394" t="s" s="86">
        <v>786</v>
      </c>
      <c r="Q1394" s="99"/>
      <c r="R1394" t="s" s="144">
        <v>743</v>
      </c>
      <c r="S1394" s="77"/>
    </row>
    <row r="1395" ht="13.65" customHeight="1">
      <c r="A1395" s="78">
        <v>46082</v>
      </c>
      <c r="B1395" t="s" s="79">
        <v>58</v>
      </c>
      <c r="C1395" t="s" s="80">
        <v>898</v>
      </c>
      <c r="D1395" s="131">
        <v>4</v>
      </c>
      <c r="E1395" t="s" s="79">
        <v>899</v>
      </c>
      <c r="F1395" t="s" s="80">
        <v>212</v>
      </c>
      <c r="G1395" s="132">
        <v>1054</v>
      </c>
      <c r="H1395" t="s" s="133">
        <v>838</v>
      </c>
      <c r="I1395" t="s" s="134">
        <v>96</v>
      </c>
      <c r="J1395" t="s" s="134">
        <v>97</v>
      </c>
      <c r="K1395" t="str" s="135" cm="1">
        <f t="array" ref="K1395">IF(OR(H1395="ריביות",AND(H1395="דירה כצנלסון",G1395&lt;0,ISNUMBER(SEARCH("הכנסה",F1395)))),"הכנסה שסווגה מחדש",J1395)</f>
        <v>שוטף</v>
      </c>
      <c r="L1395" t="s" s="134">
        <v>741</v>
      </c>
      <c r="M1395" s="136" cm="1">
        <f t="array" ref="M1395">IF(L1395="מאושר",IF(K1395="הכנסה שסווגה מחדש",0,G1395),0)</f>
        <v>1054</v>
      </c>
      <c r="N1395" s="136" cm="1">
        <f t="array" ref="N1395">IF(K1395="שוטף",M1395,0)</f>
        <v>1054</v>
      </c>
      <c r="O1395" s="136" cm="1">
        <f t="array" ref="O1395">IF(K1395="הכנסה שסווגה מחדש",-G1395,0)</f>
        <v>0</v>
      </c>
      <c r="P1395" t="s" s="80">
        <v>842</v>
      </c>
      <c r="Q1395" s="100"/>
      <c r="R1395" t="s" s="137">
        <v>743</v>
      </c>
      <c r="S1395" s="77"/>
    </row>
    <row r="1396" ht="13.65" customHeight="1">
      <c r="A1396" s="84">
        <v>46082</v>
      </c>
      <c r="B1396" t="s" s="85">
        <v>58</v>
      </c>
      <c r="C1396" t="s" s="86">
        <v>898</v>
      </c>
      <c r="D1396" s="138">
        <v>5</v>
      </c>
      <c r="E1396" t="s" s="85">
        <v>900</v>
      </c>
      <c r="F1396" t="s" s="86">
        <v>221</v>
      </c>
      <c r="G1396" s="139">
        <v>320</v>
      </c>
      <c r="H1396" t="s" s="140">
        <v>838</v>
      </c>
      <c r="I1396" t="s" s="141">
        <v>96</v>
      </c>
      <c r="J1396" t="s" s="141">
        <v>97</v>
      </c>
      <c r="K1396" t="str" s="142" cm="1">
        <f t="array" ref="K1396">IF(OR(H1396="ריביות",AND(H1396="דירה כצנלסון",G1396&lt;0,ISNUMBER(SEARCH("הכנסה",F1396)))),"הכנסה שסווגה מחדש",J1396)</f>
        <v>שוטף</v>
      </c>
      <c r="L1396" t="s" s="141">
        <v>741</v>
      </c>
      <c r="M1396" s="143" cm="1">
        <f t="array" ref="M1396">IF(L1396="מאושר",IF(K1396="הכנסה שסווגה מחדש",0,G1396),0)</f>
        <v>320</v>
      </c>
      <c r="N1396" s="143" cm="1">
        <f t="array" ref="N1396">IF(K1396="שוטף",M1396,0)</f>
        <v>320</v>
      </c>
      <c r="O1396" s="143" cm="1">
        <f t="array" ref="O1396">IF(K1396="הכנסה שסווגה מחדש",-G1396,0)</f>
        <v>0</v>
      </c>
      <c r="P1396" t="s" s="86">
        <v>842</v>
      </c>
      <c r="Q1396" s="99"/>
      <c r="R1396" t="s" s="144">
        <v>743</v>
      </c>
      <c r="S1396" s="77"/>
    </row>
    <row r="1397" ht="13.65" customHeight="1">
      <c r="A1397" s="78">
        <v>46082</v>
      </c>
      <c r="B1397" t="s" s="79">
        <v>58</v>
      </c>
      <c r="C1397" t="s" s="80">
        <v>898</v>
      </c>
      <c r="D1397" s="131">
        <v>6</v>
      </c>
      <c r="E1397" t="s" s="79">
        <v>899</v>
      </c>
      <c r="F1397" t="s" s="80">
        <v>374</v>
      </c>
      <c r="G1397" s="132">
        <v>45</v>
      </c>
      <c r="H1397" t="s" s="133">
        <v>838</v>
      </c>
      <c r="I1397" t="s" s="134">
        <v>96</v>
      </c>
      <c r="J1397" t="s" s="134">
        <v>97</v>
      </c>
      <c r="K1397" t="str" s="135" cm="1">
        <f t="array" ref="K1397">IF(OR(H1397="ריביות",AND(H1397="דירה כצנלסון",G1397&lt;0,ISNUMBER(SEARCH("הכנסה",F1397)))),"הכנסה שסווגה מחדש",J1397)</f>
        <v>שוטף</v>
      </c>
      <c r="L1397" t="s" s="134">
        <v>741</v>
      </c>
      <c r="M1397" s="136" cm="1">
        <f t="array" ref="M1397">IF(L1397="מאושר",IF(K1397="הכנסה שסווגה מחדש",0,G1397),0)</f>
        <v>45</v>
      </c>
      <c r="N1397" s="136" cm="1">
        <f t="array" ref="N1397">IF(K1397="שוטף",M1397,0)</f>
        <v>45</v>
      </c>
      <c r="O1397" s="136" cm="1">
        <f t="array" ref="O1397">IF(K1397="הכנסה שסווגה מחדש",-G1397,0)</f>
        <v>0</v>
      </c>
      <c r="P1397" t="s" s="80">
        <v>842</v>
      </c>
      <c r="Q1397" s="100"/>
      <c r="R1397" t="s" s="137">
        <v>743</v>
      </c>
      <c r="S1397" s="77"/>
    </row>
    <row r="1398" ht="13.65" customHeight="1">
      <c r="A1398" s="84">
        <v>46082</v>
      </c>
      <c r="B1398" t="s" s="85">
        <v>58</v>
      </c>
      <c r="C1398" t="s" s="86">
        <v>898</v>
      </c>
      <c r="D1398" s="138">
        <v>7</v>
      </c>
      <c r="E1398" s="99"/>
      <c r="F1398" t="s" s="86">
        <v>232</v>
      </c>
      <c r="G1398" s="139">
        <v>0</v>
      </c>
      <c r="H1398" t="s" s="140">
        <v>838</v>
      </c>
      <c r="I1398" t="s" s="141">
        <v>96</v>
      </c>
      <c r="J1398" t="s" s="141">
        <v>97</v>
      </c>
      <c r="K1398" t="str" s="142" cm="1">
        <f t="array" ref="K1398">IF(OR(H1398="ריביות",AND(H1398="דירה כצנלסון",G1398&lt;0,ISNUMBER(SEARCH("הכנסה",F1398)))),"הכנסה שסווגה מחדש",J1398)</f>
        <v>שוטף</v>
      </c>
      <c r="L1398" t="s" s="141">
        <v>741</v>
      </c>
      <c r="M1398" s="143" cm="1">
        <f t="array" ref="M1398">IF(L1398="מאושר",IF(K1398="הכנסה שסווגה מחדש",0,G1398),0)</f>
        <v>0</v>
      </c>
      <c r="N1398" s="143" cm="1">
        <f t="array" ref="N1398">IF(K1398="שוטף",M1398,0)</f>
        <v>0</v>
      </c>
      <c r="O1398" s="143" cm="1">
        <f t="array" ref="O1398">IF(K1398="הכנסה שסווגה מחדש",-G1398,0)</f>
        <v>0</v>
      </c>
      <c r="P1398" t="s" s="86">
        <v>781</v>
      </c>
      <c r="Q1398" s="99"/>
      <c r="R1398" t="s" s="144">
        <v>743</v>
      </c>
      <c r="S1398" s="77"/>
    </row>
    <row r="1399" ht="13.65" customHeight="1">
      <c r="A1399" s="78">
        <v>46082</v>
      </c>
      <c r="B1399" t="s" s="79">
        <v>58</v>
      </c>
      <c r="C1399" t="s" s="80">
        <v>898</v>
      </c>
      <c r="D1399" s="131">
        <v>8</v>
      </c>
      <c r="E1399" s="100"/>
      <c r="F1399" t="s" s="80">
        <v>211</v>
      </c>
      <c r="G1399" s="132">
        <v>800</v>
      </c>
      <c r="H1399" t="s" s="133">
        <v>838</v>
      </c>
      <c r="I1399" t="s" s="134">
        <v>96</v>
      </c>
      <c r="J1399" t="s" s="134">
        <v>97</v>
      </c>
      <c r="K1399" t="str" s="135" cm="1">
        <f t="array" ref="K1399">IF(OR(H1399="ריביות",AND(H1399="דירה כצנלסון",G1399&lt;0,ISNUMBER(SEARCH("הכנסה",F1399)))),"הכנסה שסווגה מחדש",J1399)</f>
        <v>שוטף</v>
      </c>
      <c r="L1399" t="s" s="134">
        <v>741</v>
      </c>
      <c r="M1399" s="136" cm="1">
        <f t="array" ref="M1399">IF(L1399="מאושר",IF(K1399="הכנסה שסווגה מחדש",0,G1399),0)</f>
        <v>800</v>
      </c>
      <c r="N1399" s="136" cm="1">
        <f t="array" ref="N1399">IF(K1399="שוטף",M1399,0)</f>
        <v>800</v>
      </c>
      <c r="O1399" s="136" cm="1">
        <f t="array" ref="O1399">IF(K1399="הכנסה שסווגה מחדש",-G1399,0)</f>
        <v>0</v>
      </c>
      <c r="P1399" t="s" s="80">
        <v>781</v>
      </c>
      <c r="Q1399" s="100"/>
      <c r="R1399" t="s" s="137">
        <v>743</v>
      </c>
      <c r="S1399" s="77"/>
    </row>
    <row r="1400" ht="13.65" customHeight="1">
      <c r="A1400" s="84">
        <v>46082</v>
      </c>
      <c r="B1400" t="s" s="85">
        <v>58</v>
      </c>
      <c r="C1400" t="s" s="86">
        <v>898</v>
      </c>
      <c r="D1400" s="138">
        <v>9</v>
      </c>
      <c r="E1400" t="s" s="85">
        <v>901</v>
      </c>
      <c r="F1400" t="s" s="86">
        <v>302</v>
      </c>
      <c r="G1400" s="139">
        <v>79</v>
      </c>
      <c r="H1400" t="s" s="140">
        <v>838</v>
      </c>
      <c r="I1400" t="s" s="141">
        <v>96</v>
      </c>
      <c r="J1400" t="s" s="141">
        <v>97</v>
      </c>
      <c r="K1400" t="str" s="142" cm="1">
        <f t="array" ref="K1400">IF(OR(H1400="ריביות",AND(H1400="דירה כצנלסון",G1400&lt;0,ISNUMBER(SEARCH("הכנסה",F1400)))),"הכנסה שסווגה מחדש",J1400)</f>
        <v>שוטף</v>
      </c>
      <c r="L1400" t="s" s="141">
        <v>741</v>
      </c>
      <c r="M1400" s="143" cm="1">
        <f t="array" ref="M1400">IF(L1400="מאושר",IF(K1400="הכנסה שסווגה מחדש",0,G1400),0)</f>
        <v>79</v>
      </c>
      <c r="N1400" s="143" cm="1">
        <f t="array" ref="N1400">IF(K1400="שוטף",M1400,0)</f>
        <v>79</v>
      </c>
      <c r="O1400" s="143" cm="1">
        <f t="array" ref="O1400">IF(K1400="הכנסה שסווגה מחדש",-G1400,0)</f>
        <v>0</v>
      </c>
      <c r="P1400" t="s" s="86">
        <v>842</v>
      </c>
      <c r="Q1400" s="99"/>
      <c r="R1400" t="s" s="144">
        <v>743</v>
      </c>
      <c r="S1400" s="77"/>
    </row>
    <row r="1401" ht="13.65" customHeight="1">
      <c r="A1401" s="78">
        <v>46082</v>
      </c>
      <c r="B1401" t="s" s="79">
        <v>58</v>
      </c>
      <c r="C1401" t="s" s="80">
        <v>898</v>
      </c>
      <c r="D1401" s="131">
        <v>10</v>
      </c>
      <c r="E1401" t="s" s="79">
        <v>902</v>
      </c>
      <c r="F1401" t="s" s="80">
        <v>320</v>
      </c>
      <c r="G1401" s="132">
        <v>59</v>
      </c>
      <c r="H1401" t="s" s="133">
        <v>838</v>
      </c>
      <c r="I1401" t="s" s="134">
        <v>96</v>
      </c>
      <c r="J1401" t="s" s="134">
        <v>97</v>
      </c>
      <c r="K1401" t="str" s="135" cm="1">
        <f t="array" ref="K1401">IF(OR(H1401="ריביות",AND(H1401="דירה כצנלסון",G1401&lt;0,ISNUMBER(SEARCH("הכנסה",F1401)))),"הכנסה שסווגה מחדש",J1401)</f>
        <v>שוטף</v>
      </c>
      <c r="L1401" t="s" s="134">
        <v>741</v>
      </c>
      <c r="M1401" s="136" cm="1">
        <f t="array" ref="M1401">IF(L1401="מאושר",IF(K1401="הכנסה שסווגה מחדש",0,G1401),0)</f>
        <v>59</v>
      </c>
      <c r="N1401" s="136" cm="1">
        <f t="array" ref="N1401">IF(K1401="שוטף",M1401,0)</f>
        <v>59</v>
      </c>
      <c r="O1401" s="136" cm="1">
        <f t="array" ref="O1401">IF(K1401="הכנסה שסווגה מחדש",-G1401,0)</f>
        <v>0</v>
      </c>
      <c r="P1401" t="s" s="80">
        <v>842</v>
      </c>
      <c r="Q1401" s="100"/>
      <c r="R1401" t="s" s="137">
        <v>743</v>
      </c>
      <c r="S1401" s="77"/>
    </row>
    <row r="1402" ht="13.65" customHeight="1">
      <c r="A1402" s="84">
        <v>46082</v>
      </c>
      <c r="B1402" t="s" s="85">
        <v>58</v>
      </c>
      <c r="C1402" t="s" s="86">
        <v>898</v>
      </c>
      <c r="D1402" s="138">
        <v>11</v>
      </c>
      <c r="E1402" t="s" s="85">
        <v>903</v>
      </c>
      <c r="F1402" t="s" s="86">
        <v>273</v>
      </c>
      <c r="G1402" s="139">
        <v>71</v>
      </c>
      <c r="H1402" t="s" s="140">
        <v>279</v>
      </c>
      <c r="I1402" t="s" s="141">
        <v>99</v>
      </c>
      <c r="J1402" t="s" s="141">
        <v>100</v>
      </c>
      <c r="K1402" t="str" s="142" cm="1">
        <f t="array" ref="K1402">IF(OR(H1402="ריביות",AND(H1402="דירה כצנלסון",G1402&lt;0,ISNUMBER(SEARCH("הכנסה",F1402)))),"הכנסה שסווגה מחדש",J1402)</f>
        <v>חריג/נכס</v>
      </c>
      <c r="L1402" t="s" s="141">
        <v>741</v>
      </c>
      <c r="M1402" s="143" cm="1">
        <f t="array" ref="M1402">IF(L1402="מאושר",IF(K1402="הכנסה שסווגה מחדש",0,G1402),0)</f>
        <v>71</v>
      </c>
      <c r="N1402" s="143" cm="1">
        <f t="array" ref="N1402">IF(K1402="שוטף",M1402,0)</f>
        <v>0</v>
      </c>
      <c r="O1402" s="143" cm="1">
        <f t="array" ref="O1402">IF(K1402="הכנסה שסווגה מחדש",-G1402,0)</f>
        <v>0</v>
      </c>
      <c r="P1402" t="s" s="86">
        <v>842</v>
      </c>
      <c r="Q1402" s="99"/>
      <c r="R1402" t="s" s="144">
        <v>743</v>
      </c>
      <c r="S1402" s="77"/>
    </row>
    <row r="1403" ht="13.65" customHeight="1">
      <c r="A1403" s="78">
        <v>46082</v>
      </c>
      <c r="B1403" t="s" s="79">
        <v>58</v>
      </c>
      <c r="C1403" t="s" s="80">
        <v>898</v>
      </c>
      <c r="D1403" s="131">
        <v>12</v>
      </c>
      <c r="E1403" t="s" s="79">
        <v>904</v>
      </c>
      <c r="F1403" t="s" s="80">
        <v>328</v>
      </c>
      <c r="G1403" s="132">
        <v>36</v>
      </c>
      <c r="H1403" t="s" s="133">
        <v>279</v>
      </c>
      <c r="I1403" t="s" s="134">
        <v>99</v>
      </c>
      <c r="J1403" t="s" s="134">
        <v>100</v>
      </c>
      <c r="K1403" t="str" s="135" cm="1">
        <f t="array" ref="K1403">IF(OR(H1403="ריביות",AND(H1403="דירה כצנלסון",G1403&lt;0,ISNUMBER(SEARCH("הכנסה",F1403)))),"הכנסה שסווגה מחדש",J1403)</f>
        <v>חריג/נכס</v>
      </c>
      <c r="L1403" t="s" s="134">
        <v>741</v>
      </c>
      <c r="M1403" s="136" cm="1">
        <f t="array" ref="M1403">IF(L1403="מאושר",IF(K1403="הכנסה שסווגה מחדש",0,G1403),0)</f>
        <v>36</v>
      </c>
      <c r="N1403" s="136" cm="1">
        <f t="array" ref="N1403">IF(K1403="שוטף",M1403,0)</f>
        <v>0</v>
      </c>
      <c r="O1403" s="136" cm="1">
        <f t="array" ref="O1403">IF(K1403="הכנסה שסווגה מחדש",-G1403,0)</f>
        <v>0</v>
      </c>
      <c r="P1403" t="s" s="80">
        <v>842</v>
      </c>
      <c r="Q1403" s="100"/>
      <c r="R1403" t="s" s="137">
        <v>743</v>
      </c>
      <c r="S1403" s="77"/>
    </row>
    <row r="1404" ht="13.65" customHeight="1">
      <c r="A1404" s="84">
        <v>46082</v>
      </c>
      <c r="B1404" t="s" s="85">
        <v>58</v>
      </c>
      <c r="C1404" t="s" s="86">
        <v>898</v>
      </c>
      <c r="D1404" s="138">
        <v>13</v>
      </c>
      <c r="E1404" t="s" s="85">
        <v>903</v>
      </c>
      <c r="F1404" t="s" s="86">
        <v>263</v>
      </c>
      <c r="G1404" s="139">
        <v>115</v>
      </c>
      <c r="H1404" t="s" s="140">
        <v>135</v>
      </c>
      <c r="I1404" t="s" s="141">
        <v>135</v>
      </c>
      <c r="J1404" t="s" s="141">
        <v>97</v>
      </c>
      <c r="K1404" t="str" s="142" cm="1">
        <f t="array" ref="K1404">IF(OR(H1404="ריביות",AND(H1404="דירה כצנלסון",G1404&lt;0,ISNUMBER(SEARCH("הכנסה",F1404)))),"הכנסה שסווגה מחדש",J1404)</f>
        <v>שוטף</v>
      </c>
      <c r="L1404" t="s" s="141">
        <v>741</v>
      </c>
      <c r="M1404" s="143" cm="1">
        <f t="array" ref="M1404">IF(L1404="מאושר",IF(K1404="הכנסה שסווגה מחדש",0,G1404),0)</f>
        <v>115</v>
      </c>
      <c r="N1404" s="143" cm="1">
        <f t="array" ref="N1404">IF(K1404="שוטף",M1404,0)</f>
        <v>115</v>
      </c>
      <c r="O1404" s="143" cm="1">
        <f t="array" ref="O1404">IF(K1404="הכנסה שסווגה מחדש",-G1404,0)</f>
        <v>0</v>
      </c>
      <c r="P1404" t="s" s="86">
        <v>847</v>
      </c>
      <c r="Q1404" s="99"/>
      <c r="R1404" t="s" s="144">
        <v>743</v>
      </c>
      <c r="S1404" s="77"/>
    </row>
    <row r="1405" ht="13.65" customHeight="1">
      <c r="A1405" s="78">
        <v>46082</v>
      </c>
      <c r="B1405" t="s" s="79">
        <v>58</v>
      </c>
      <c r="C1405" t="s" s="80">
        <v>898</v>
      </c>
      <c r="D1405" s="131">
        <v>14</v>
      </c>
      <c r="E1405" t="s" s="79">
        <v>905</v>
      </c>
      <c r="F1405" t="s" s="80">
        <v>310</v>
      </c>
      <c r="G1405" s="132">
        <v>162</v>
      </c>
      <c r="H1405" t="s" s="133">
        <v>767</v>
      </c>
      <c r="I1405" t="s" s="134">
        <v>107</v>
      </c>
      <c r="J1405" t="s" s="134">
        <v>97</v>
      </c>
      <c r="K1405" t="str" s="135" cm="1">
        <f t="array" ref="K1405">IF(OR(H1405="ריביות",AND(H1405="דירה כצנלסון",G1405&lt;0,ISNUMBER(SEARCH("הכנסה",F1405)))),"הכנסה שסווגה מחדש",J1405)</f>
        <v>שוטף</v>
      </c>
      <c r="L1405" t="s" s="134">
        <v>741</v>
      </c>
      <c r="M1405" s="136" cm="1">
        <f t="array" ref="M1405">IF(L1405="מאושר",IF(K1405="הכנסה שסווגה מחדש",0,G1405),0)</f>
        <v>162</v>
      </c>
      <c r="N1405" s="136" cm="1">
        <f t="array" ref="N1405">IF(K1405="שוטף",M1405,0)</f>
        <v>162</v>
      </c>
      <c r="O1405" s="136" cm="1">
        <f t="array" ref="O1405">IF(K1405="הכנסה שסווגה מחדש",-G1405,0)</f>
        <v>0</v>
      </c>
      <c r="P1405" t="s" s="80">
        <v>847</v>
      </c>
      <c r="Q1405" s="100"/>
      <c r="R1405" t="s" s="137">
        <v>743</v>
      </c>
      <c r="S1405" s="77"/>
    </row>
    <row r="1406" ht="13.65" customHeight="1">
      <c r="A1406" s="84">
        <v>46082</v>
      </c>
      <c r="B1406" t="s" s="85">
        <v>58</v>
      </c>
      <c r="C1406" t="s" s="86">
        <v>898</v>
      </c>
      <c r="D1406" s="138">
        <v>15</v>
      </c>
      <c r="E1406" t="s" s="85">
        <v>905</v>
      </c>
      <c r="F1406" t="s" s="86">
        <v>356</v>
      </c>
      <c r="G1406" s="139">
        <v>56</v>
      </c>
      <c r="H1406" t="s" s="140">
        <v>767</v>
      </c>
      <c r="I1406" t="s" s="141">
        <v>107</v>
      </c>
      <c r="J1406" t="s" s="141">
        <v>97</v>
      </c>
      <c r="K1406" t="str" s="142" cm="1">
        <f t="array" ref="K1406">IF(OR(H1406="ריביות",AND(H1406="דירה כצנלסון",G1406&lt;0,ISNUMBER(SEARCH("הכנסה",F1406)))),"הכנסה שסווגה מחדש",J1406)</f>
        <v>שוטף</v>
      </c>
      <c r="L1406" t="s" s="141">
        <v>741</v>
      </c>
      <c r="M1406" s="143" cm="1">
        <f t="array" ref="M1406">IF(L1406="מאושר",IF(K1406="הכנסה שסווגה מחדש",0,G1406),0)</f>
        <v>56</v>
      </c>
      <c r="N1406" s="143" cm="1">
        <f t="array" ref="N1406">IF(K1406="שוטף",M1406,0)</f>
        <v>56</v>
      </c>
      <c r="O1406" s="143" cm="1">
        <f t="array" ref="O1406">IF(K1406="הכנסה שסווגה מחדש",-G1406,0)</f>
        <v>0</v>
      </c>
      <c r="P1406" t="s" s="86">
        <v>842</v>
      </c>
      <c r="Q1406" s="99"/>
      <c r="R1406" t="s" s="144">
        <v>743</v>
      </c>
      <c r="S1406" s="77"/>
    </row>
    <row r="1407" ht="13.65" customHeight="1">
      <c r="A1407" s="78">
        <v>46082</v>
      </c>
      <c r="B1407" t="s" s="79">
        <v>58</v>
      </c>
      <c r="C1407" t="s" s="80">
        <v>898</v>
      </c>
      <c r="D1407" s="131">
        <v>16</v>
      </c>
      <c r="E1407" t="s" s="79">
        <v>859</v>
      </c>
      <c r="F1407" t="s" s="80">
        <v>222</v>
      </c>
      <c r="G1407" s="132">
        <v>632</v>
      </c>
      <c r="H1407" t="s" s="133">
        <v>111</v>
      </c>
      <c r="I1407" t="s" s="134">
        <v>111</v>
      </c>
      <c r="J1407" t="s" s="134">
        <v>97</v>
      </c>
      <c r="K1407" t="str" s="135" cm="1">
        <f t="array" ref="K1407">IF(OR(H1407="ריביות",AND(H1407="דירה כצנלסון",G1407&lt;0,ISNUMBER(SEARCH("הכנסה",F1407)))),"הכנסה שסווגה מחדש",J1407)</f>
        <v>שוטף</v>
      </c>
      <c r="L1407" t="s" s="134">
        <v>741</v>
      </c>
      <c r="M1407" s="136" cm="1">
        <f t="array" ref="M1407">IF(L1407="מאושר",IF(K1407="הכנסה שסווגה מחדש",0,G1407),0)</f>
        <v>632</v>
      </c>
      <c r="N1407" s="136" cm="1">
        <f t="array" ref="N1407">IF(K1407="שוטף",M1407,0)</f>
        <v>632</v>
      </c>
      <c r="O1407" s="136" cm="1">
        <f t="array" ref="O1407">IF(K1407="הכנסה שסווגה מחדש",-G1407,0)</f>
        <v>0</v>
      </c>
      <c r="P1407" t="s" s="80">
        <v>842</v>
      </c>
      <c r="Q1407" s="100"/>
      <c r="R1407" t="s" s="137">
        <v>743</v>
      </c>
      <c r="S1407" s="77"/>
    </row>
    <row r="1408" ht="13.65" customHeight="1">
      <c r="A1408" s="84">
        <v>46082</v>
      </c>
      <c r="B1408" t="s" s="85">
        <v>58</v>
      </c>
      <c r="C1408" t="s" s="86">
        <v>898</v>
      </c>
      <c r="D1408" s="138">
        <v>17</v>
      </c>
      <c r="E1408" t="s" s="85">
        <v>861</v>
      </c>
      <c r="F1408" t="s" s="86">
        <v>294</v>
      </c>
      <c r="G1408" s="139">
        <v>130</v>
      </c>
      <c r="H1408" t="s" s="140">
        <v>115</v>
      </c>
      <c r="I1408" t="s" s="141">
        <v>115</v>
      </c>
      <c r="J1408" t="s" s="141">
        <v>97</v>
      </c>
      <c r="K1408" t="str" s="142" cm="1">
        <f t="array" ref="K1408">IF(OR(H1408="ריביות",AND(H1408="דירה כצנלסון",G1408&lt;0,ISNUMBER(SEARCH("הכנסה",F1408)))),"הכנסה שסווגה מחדש",J1408)</f>
        <v>שוטף</v>
      </c>
      <c r="L1408" t="s" s="141">
        <v>741</v>
      </c>
      <c r="M1408" s="143" cm="1">
        <f t="array" ref="M1408">IF(L1408="מאושר",IF(K1408="הכנסה שסווגה מחדש",0,G1408),0)</f>
        <v>130</v>
      </c>
      <c r="N1408" s="143" cm="1">
        <f t="array" ref="N1408">IF(K1408="שוטף",M1408,0)</f>
        <v>130</v>
      </c>
      <c r="O1408" s="143" cm="1">
        <f t="array" ref="O1408">IF(K1408="הכנסה שסווגה מחדש",-G1408,0)</f>
        <v>0</v>
      </c>
      <c r="P1408" t="s" s="86">
        <v>842</v>
      </c>
      <c r="Q1408" s="99"/>
      <c r="R1408" t="s" s="144">
        <v>743</v>
      </c>
      <c r="S1408" s="77"/>
    </row>
    <row r="1409" ht="13.65" customHeight="1">
      <c r="A1409" s="78">
        <v>46082</v>
      </c>
      <c r="B1409" t="s" s="79">
        <v>58</v>
      </c>
      <c r="C1409" t="s" s="80">
        <v>898</v>
      </c>
      <c r="D1409" s="131">
        <v>18</v>
      </c>
      <c r="E1409" s="100"/>
      <c r="F1409" t="s" s="80">
        <v>324</v>
      </c>
      <c r="G1409" s="132">
        <v>97</v>
      </c>
      <c r="H1409" t="s" s="133">
        <v>839</v>
      </c>
      <c r="I1409" t="s" s="134">
        <v>107</v>
      </c>
      <c r="J1409" t="s" s="134">
        <v>97</v>
      </c>
      <c r="K1409" t="str" s="135" cm="1">
        <f t="array" ref="K1409">IF(OR(H1409="ריביות",AND(H1409="דירה כצנלסון",G1409&lt;0,ISNUMBER(SEARCH("הכנסה",F1409)))),"הכנסה שסווגה מחדש",J1409)</f>
        <v>שוטף</v>
      </c>
      <c r="L1409" t="s" s="134">
        <v>741</v>
      </c>
      <c r="M1409" s="136" cm="1">
        <f t="array" ref="M1409">IF(L1409="מאושר",IF(K1409="הכנסה שסווגה מחדש",0,G1409),0)</f>
        <v>97</v>
      </c>
      <c r="N1409" s="136" cm="1">
        <f t="array" ref="N1409">IF(K1409="שוטף",M1409,0)</f>
        <v>97</v>
      </c>
      <c r="O1409" s="136" cm="1">
        <f t="array" ref="O1409">IF(K1409="הכנסה שסווגה מחדש",-G1409,0)</f>
        <v>0</v>
      </c>
      <c r="P1409" t="s" s="80">
        <v>884</v>
      </c>
      <c r="Q1409" s="100"/>
      <c r="R1409" t="s" s="137">
        <v>743</v>
      </c>
      <c r="S1409" s="77"/>
    </row>
    <row r="1410" ht="13.65" customHeight="1">
      <c r="A1410" s="84">
        <v>46082</v>
      </c>
      <c r="B1410" t="s" s="85">
        <v>58</v>
      </c>
      <c r="C1410" t="s" s="86">
        <v>898</v>
      </c>
      <c r="D1410" s="138">
        <v>20</v>
      </c>
      <c r="E1410" t="s" s="85">
        <v>906</v>
      </c>
      <c r="F1410" t="s" s="86">
        <v>199</v>
      </c>
      <c r="G1410" s="139">
        <v>1800</v>
      </c>
      <c r="H1410" t="s" s="140">
        <v>839</v>
      </c>
      <c r="I1410" t="s" s="141">
        <v>107</v>
      </c>
      <c r="J1410" t="s" s="141">
        <v>97</v>
      </c>
      <c r="K1410" t="str" s="142" cm="1">
        <f t="array" ref="K1410">IF(OR(H1410="ריביות",AND(H1410="דירה כצנלסון",G1410&lt;0,ISNUMBER(SEARCH("הכנסה",F1410)))),"הכנסה שסווגה מחדש",J1410)</f>
        <v>שוטף</v>
      </c>
      <c r="L1410" t="s" s="141">
        <v>741</v>
      </c>
      <c r="M1410" s="143" cm="1">
        <f t="array" ref="M1410">IF(L1410="מאושר",IF(K1410="הכנסה שסווגה מחדש",0,G1410),0)</f>
        <v>1800</v>
      </c>
      <c r="N1410" s="143" cm="1">
        <f t="array" ref="N1410">IF(K1410="שוטף",M1410,0)</f>
        <v>1800</v>
      </c>
      <c r="O1410" s="143" cm="1">
        <f t="array" ref="O1410">IF(K1410="הכנסה שסווגה מחדש",-G1410,0)</f>
        <v>0</v>
      </c>
      <c r="P1410" t="s" s="85">
        <v>742</v>
      </c>
      <c r="Q1410" s="99"/>
      <c r="R1410" t="s" s="144">
        <v>743</v>
      </c>
      <c r="S1410" s="77"/>
    </row>
    <row r="1411" ht="13.65" customHeight="1">
      <c r="A1411" s="78">
        <v>46082</v>
      </c>
      <c r="B1411" t="s" s="79">
        <v>58</v>
      </c>
      <c r="C1411" t="s" s="80">
        <v>898</v>
      </c>
      <c r="D1411" s="131">
        <v>21</v>
      </c>
      <c r="E1411" t="s" s="79">
        <v>907</v>
      </c>
      <c r="F1411" t="s" s="80">
        <v>227</v>
      </c>
      <c r="G1411" s="132">
        <v>4500</v>
      </c>
      <c r="H1411" t="s" s="133">
        <v>111</v>
      </c>
      <c r="I1411" t="s" s="134">
        <v>111</v>
      </c>
      <c r="J1411" t="s" s="134">
        <v>97</v>
      </c>
      <c r="K1411" t="str" s="135" cm="1">
        <f t="array" ref="K1411">IF(OR(H1411="ריביות",AND(H1411="דירה כצנלסון",G1411&lt;0,ISNUMBER(SEARCH("הכנסה",F1411)))),"הכנסה שסווגה מחדש",J1411)</f>
        <v>שוטף</v>
      </c>
      <c r="L1411" t="s" s="134">
        <v>741</v>
      </c>
      <c r="M1411" s="136" cm="1">
        <f t="array" ref="M1411">IF(L1411="מאושר",IF(K1411="הכנסה שסווגה מחדש",0,G1411),0)</f>
        <v>4500</v>
      </c>
      <c r="N1411" s="136" cm="1">
        <f t="array" ref="N1411">IF(K1411="שוטף",M1411,0)</f>
        <v>4500</v>
      </c>
      <c r="O1411" s="136" cm="1">
        <f t="array" ref="O1411">IF(K1411="הכנסה שסווגה מחדש",-G1411,0)</f>
        <v>0</v>
      </c>
      <c r="P1411" t="s" s="79">
        <v>742</v>
      </c>
      <c r="Q1411" s="100"/>
      <c r="R1411" t="s" s="137">
        <v>743</v>
      </c>
      <c r="S1411" s="77"/>
    </row>
    <row r="1412" ht="13.65" customHeight="1">
      <c r="A1412" s="84">
        <v>46082</v>
      </c>
      <c r="B1412" t="s" s="85">
        <v>58</v>
      </c>
      <c r="C1412" t="s" s="86">
        <v>898</v>
      </c>
      <c r="D1412" s="138">
        <v>22</v>
      </c>
      <c r="E1412" t="s" s="85">
        <v>908</v>
      </c>
      <c r="F1412" t="s" s="86">
        <v>721</v>
      </c>
      <c r="G1412" s="139">
        <v>-142</v>
      </c>
      <c r="H1412" t="s" s="140">
        <v>123</v>
      </c>
      <c r="I1412" t="s" s="141">
        <v>123</v>
      </c>
      <c r="J1412" t="s" s="141">
        <v>97</v>
      </c>
      <c r="K1412" t="str" s="142" cm="1">
        <f t="array" ref="K1412">IF(OR(H1412="ריביות",AND(H1412="דירה כצנלסון",G1412&lt;0,ISNUMBER(SEARCH("הכנסה",F1412)))),"הכנסה שסווגה מחדש",J1412)</f>
        <v>שוטף</v>
      </c>
      <c r="L1412" t="s" s="141">
        <v>741</v>
      </c>
      <c r="M1412" s="143" cm="1">
        <f t="array" ref="M1412">IF(L1412="מאושר",IF(K1412="הכנסה שסווגה מחדש",0,G1412),0)</f>
        <v>-142</v>
      </c>
      <c r="N1412" s="143" cm="1">
        <f t="array" ref="N1412">IF(K1412="שוטף",M1412,0)</f>
        <v>-142</v>
      </c>
      <c r="O1412" s="143" cm="1">
        <f t="array" ref="O1412">IF(K1412="הכנסה שסווגה מחדש",-G1412,0)</f>
        <v>0</v>
      </c>
      <c r="P1412" t="s" s="85">
        <v>742</v>
      </c>
      <c r="Q1412" s="99"/>
      <c r="R1412" t="s" s="144">
        <v>743</v>
      </c>
      <c r="S1412" s="77"/>
    </row>
    <row r="1413" ht="13.65" customHeight="1">
      <c r="A1413" s="78">
        <v>46082</v>
      </c>
      <c r="B1413" t="s" s="79">
        <v>58</v>
      </c>
      <c r="C1413" t="s" s="80">
        <v>898</v>
      </c>
      <c r="D1413" s="131">
        <v>23</v>
      </c>
      <c r="E1413" t="s" s="79">
        <v>909</v>
      </c>
      <c r="F1413" t="s" s="80">
        <v>277</v>
      </c>
      <c r="G1413" s="132">
        <v>8</v>
      </c>
      <c r="H1413" t="s" s="133">
        <v>115</v>
      </c>
      <c r="I1413" t="s" s="134">
        <v>115</v>
      </c>
      <c r="J1413" t="s" s="134">
        <v>97</v>
      </c>
      <c r="K1413" t="str" s="135" cm="1">
        <f t="array" ref="K1413">IF(OR(H1413="ריביות",AND(H1413="דירה כצנלסון",G1413&lt;0,ISNUMBER(SEARCH("הכנסה",F1413)))),"הכנסה שסווגה מחדש",J1413)</f>
        <v>שוטף</v>
      </c>
      <c r="L1413" t="s" s="134">
        <v>741</v>
      </c>
      <c r="M1413" s="136" cm="1">
        <f t="array" ref="M1413">IF(L1413="מאושר",IF(K1413="הכנסה שסווגה מחדש",0,G1413),0)</f>
        <v>8</v>
      </c>
      <c r="N1413" s="136" cm="1">
        <f t="array" ref="N1413">IF(K1413="שוטף",M1413,0)</f>
        <v>8</v>
      </c>
      <c r="O1413" s="136" cm="1">
        <f t="array" ref="O1413">IF(K1413="הכנסה שסווגה מחדש",-G1413,0)</f>
        <v>0</v>
      </c>
      <c r="P1413" t="s" s="79">
        <v>879</v>
      </c>
      <c r="Q1413" s="100"/>
      <c r="R1413" t="s" s="137">
        <v>743</v>
      </c>
      <c r="S1413" s="77"/>
    </row>
    <row r="1414" ht="13.65" customHeight="1">
      <c r="A1414" s="84">
        <v>46082</v>
      </c>
      <c r="B1414" t="s" s="85">
        <v>58</v>
      </c>
      <c r="C1414" t="s" s="86">
        <v>898</v>
      </c>
      <c r="D1414" s="138">
        <v>24</v>
      </c>
      <c r="E1414" t="s" s="85">
        <v>910</v>
      </c>
      <c r="F1414" t="s" s="86">
        <v>209</v>
      </c>
      <c r="G1414" s="139">
        <v>225</v>
      </c>
      <c r="H1414" t="s" s="140">
        <v>113</v>
      </c>
      <c r="I1414" t="s" s="141">
        <v>113</v>
      </c>
      <c r="J1414" t="s" s="141">
        <v>97</v>
      </c>
      <c r="K1414" t="str" s="142" cm="1">
        <f t="array" ref="K1414">IF(OR(H1414="ריביות",AND(H1414="דירה כצנלסון",G1414&lt;0,ISNUMBER(SEARCH("הכנסה",F1414)))),"הכנסה שסווגה מחדש",J1414)</f>
        <v>שוטף</v>
      </c>
      <c r="L1414" t="s" s="141">
        <v>741</v>
      </c>
      <c r="M1414" s="143" cm="1">
        <f t="array" ref="M1414">IF(L1414="מאושר",IF(K1414="הכנסה שסווגה מחדש",0,G1414),0)</f>
        <v>225</v>
      </c>
      <c r="N1414" s="143" cm="1">
        <f t="array" ref="N1414">IF(K1414="שוטף",M1414,0)</f>
        <v>225</v>
      </c>
      <c r="O1414" s="143" cm="1">
        <f t="array" ref="O1414">IF(K1414="הכנסה שסווגה מחדש",-G1414,0)</f>
        <v>0</v>
      </c>
      <c r="P1414" t="s" s="85">
        <v>879</v>
      </c>
      <c r="Q1414" s="99"/>
      <c r="R1414" t="s" s="144">
        <v>743</v>
      </c>
      <c r="S1414" s="77"/>
    </row>
    <row r="1415" ht="13.65" customHeight="1">
      <c r="A1415" s="78">
        <v>46082</v>
      </c>
      <c r="B1415" t="s" s="79">
        <v>58</v>
      </c>
      <c r="C1415" t="s" s="80">
        <v>898</v>
      </c>
      <c r="D1415" s="131">
        <v>25</v>
      </c>
      <c r="E1415" t="s" s="79">
        <v>911</v>
      </c>
      <c r="F1415" t="s" s="80">
        <v>416</v>
      </c>
      <c r="G1415" s="132">
        <v>80</v>
      </c>
      <c r="H1415" t="s" s="133">
        <v>127</v>
      </c>
      <c r="I1415" t="s" s="134">
        <v>127</v>
      </c>
      <c r="J1415" t="s" s="134">
        <v>97</v>
      </c>
      <c r="K1415" t="str" s="135" cm="1">
        <f t="array" ref="K1415">IF(OR(H1415="ריביות",AND(H1415="דירה כצנלסון",G1415&lt;0,ISNUMBER(SEARCH("הכנסה",F1415)))),"הכנסה שסווגה מחדש",J1415)</f>
        <v>שוטף</v>
      </c>
      <c r="L1415" t="s" s="134">
        <v>741</v>
      </c>
      <c r="M1415" s="136" cm="1">
        <f t="array" ref="M1415">IF(L1415="מאושר",IF(K1415="הכנסה שסווגה מחדש",0,G1415),0)</f>
        <v>80</v>
      </c>
      <c r="N1415" s="136" cm="1">
        <f t="array" ref="N1415">IF(K1415="שוטף",M1415,0)</f>
        <v>80</v>
      </c>
      <c r="O1415" s="136" cm="1">
        <f t="array" ref="O1415">IF(K1415="הכנסה שסווגה מחדש",-G1415,0)</f>
        <v>0</v>
      </c>
      <c r="P1415" t="s" s="79">
        <v>879</v>
      </c>
      <c r="Q1415" s="100"/>
      <c r="R1415" t="s" s="137">
        <v>743</v>
      </c>
      <c r="S1415" s="77"/>
    </row>
    <row r="1416" ht="13.65" customHeight="1">
      <c r="A1416" s="84">
        <v>46082</v>
      </c>
      <c r="B1416" t="s" s="85">
        <v>58</v>
      </c>
      <c r="C1416" t="s" s="86">
        <v>898</v>
      </c>
      <c r="D1416" s="138">
        <v>26</v>
      </c>
      <c r="E1416" t="s" s="85">
        <v>912</v>
      </c>
      <c r="F1416" t="s" s="86">
        <v>209</v>
      </c>
      <c r="G1416" s="139">
        <v>20</v>
      </c>
      <c r="H1416" t="s" s="140">
        <v>113</v>
      </c>
      <c r="I1416" t="s" s="141">
        <v>113</v>
      </c>
      <c r="J1416" t="s" s="141">
        <v>97</v>
      </c>
      <c r="K1416" t="str" s="142" cm="1">
        <f t="array" ref="K1416">IF(OR(H1416="ריביות",AND(H1416="דירה כצנלסון",G1416&lt;0,ISNUMBER(SEARCH("הכנסה",F1416)))),"הכנסה שסווגה מחדש",J1416)</f>
        <v>שוטף</v>
      </c>
      <c r="L1416" t="s" s="141">
        <v>741</v>
      </c>
      <c r="M1416" s="143" cm="1">
        <f t="array" ref="M1416">IF(L1416="מאושר",IF(K1416="הכנסה שסווגה מחדש",0,G1416),0)</f>
        <v>20</v>
      </c>
      <c r="N1416" s="143" cm="1">
        <f t="array" ref="N1416">IF(K1416="שוטף",M1416,0)</f>
        <v>20</v>
      </c>
      <c r="O1416" s="143" cm="1">
        <f t="array" ref="O1416">IF(K1416="הכנסה שסווגה מחדש",-G1416,0)</f>
        <v>0</v>
      </c>
      <c r="P1416" t="s" s="85">
        <v>879</v>
      </c>
      <c r="Q1416" s="99"/>
      <c r="R1416" t="s" s="144">
        <v>743</v>
      </c>
      <c r="S1416" s="77"/>
    </row>
    <row r="1417" ht="13.65" customHeight="1">
      <c r="A1417" s="78">
        <v>46082</v>
      </c>
      <c r="B1417" t="s" s="79">
        <v>58</v>
      </c>
      <c r="C1417" t="s" s="80">
        <v>898</v>
      </c>
      <c r="D1417" s="131">
        <v>27</v>
      </c>
      <c r="E1417" t="s" s="79">
        <v>906</v>
      </c>
      <c r="F1417" t="s" s="80">
        <v>308</v>
      </c>
      <c r="G1417" s="132">
        <v>4</v>
      </c>
      <c r="H1417" t="s" s="133">
        <v>113</v>
      </c>
      <c r="I1417" t="s" s="134">
        <v>113</v>
      </c>
      <c r="J1417" t="s" s="134">
        <v>97</v>
      </c>
      <c r="K1417" t="str" s="135" cm="1">
        <f t="array" ref="K1417">IF(OR(H1417="ריביות",AND(H1417="דירה כצנלסון",G1417&lt;0,ISNUMBER(SEARCH("הכנסה",F1417)))),"הכנסה שסווגה מחדש",J1417)</f>
        <v>שוטף</v>
      </c>
      <c r="L1417" t="s" s="134">
        <v>741</v>
      </c>
      <c r="M1417" s="136" cm="1">
        <f t="array" ref="M1417">IF(L1417="מאושר",IF(K1417="הכנסה שסווגה מחדש",0,G1417),0)</f>
        <v>4</v>
      </c>
      <c r="N1417" s="136" cm="1">
        <f t="array" ref="N1417">IF(K1417="שוטף",M1417,0)</f>
        <v>4</v>
      </c>
      <c r="O1417" s="136" cm="1">
        <f t="array" ref="O1417">IF(K1417="הכנסה שסווגה מחדש",-G1417,0)</f>
        <v>0</v>
      </c>
      <c r="P1417" t="s" s="79">
        <v>879</v>
      </c>
      <c r="Q1417" s="100"/>
      <c r="R1417" t="s" s="137">
        <v>743</v>
      </c>
      <c r="S1417" s="77"/>
    </row>
    <row r="1418" ht="13.65" customHeight="1">
      <c r="A1418" s="84">
        <v>46082</v>
      </c>
      <c r="B1418" t="s" s="85">
        <v>58</v>
      </c>
      <c r="C1418" t="s" s="86">
        <v>898</v>
      </c>
      <c r="D1418" s="138">
        <v>28</v>
      </c>
      <c r="E1418" t="s" s="85">
        <v>909</v>
      </c>
      <c r="F1418" t="s" s="86">
        <v>277</v>
      </c>
      <c r="G1418" s="139">
        <v>8</v>
      </c>
      <c r="H1418" t="s" s="140">
        <v>115</v>
      </c>
      <c r="I1418" t="s" s="141">
        <v>115</v>
      </c>
      <c r="J1418" t="s" s="141">
        <v>97</v>
      </c>
      <c r="K1418" t="str" s="142" cm="1">
        <f t="array" ref="K1418">IF(OR(H1418="ריביות",AND(H1418="דירה כצנלסון",G1418&lt;0,ISNUMBER(SEARCH("הכנסה",F1418)))),"הכנסה שסווגה מחדש",J1418)</f>
        <v>שוטף</v>
      </c>
      <c r="L1418" t="s" s="141">
        <v>741</v>
      </c>
      <c r="M1418" s="143" cm="1">
        <f t="array" ref="M1418">IF(L1418="מאושר",IF(K1418="הכנסה שסווגה מחדש",0,G1418),0)</f>
        <v>8</v>
      </c>
      <c r="N1418" s="143" cm="1">
        <f t="array" ref="N1418">IF(K1418="שוטף",M1418,0)</f>
        <v>8</v>
      </c>
      <c r="O1418" s="143" cm="1">
        <f t="array" ref="O1418">IF(K1418="הכנסה שסווגה מחדש",-G1418,0)</f>
        <v>0</v>
      </c>
      <c r="P1418" t="s" s="85">
        <v>882</v>
      </c>
      <c r="Q1418" s="99"/>
      <c r="R1418" t="s" s="144">
        <v>743</v>
      </c>
      <c r="S1418" s="77"/>
    </row>
    <row r="1419" ht="13.65" customHeight="1">
      <c r="A1419" s="78">
        <v>46082</v>
      </c>
      <c r="B1419" t="s" s="79">
        <v>58</v>
      </c>
      <c r="C1419" t="s" s="80">
        <v>898</v>
      </c>
      <c r="D1419" s="131">
        <v>29</v>
      </c>
      <c r="E1419" t="s" s="79">
        <v>913</v>
      </c>
      <c r="F1419" t="s" s="80">
        <v>686</v>
      </c>
      <c r="G1419" s="132">
        <v>15</v>
      </c>
      <c r="H1419" t="s" s="133">
        <v>133</v>
      </c>
      <c r="I1419" t="s" s="134">
        <v>133</v>
      </c>
      <c r="J1419" t="s" s="134">
        <v>97</v>
      </c>
      <c r="K1419" t="str" s="135" cm="1">
        <f t="array" ref="K1419">IF(OR(H1419="ריביות",AND(H1419="דירה כצנלסון",G1419&lt;0,ISNUMBER(SEARCH("הכנסה",F1419)))),"הכנסה שסווגה מחדש",J1419)</f>
        <v>שוטף</v>
      </c>
      <c r="L1419" t="s" s="134">
        <v>741</v>
      </c>
      <c r="M1419" s="136" cm="1">
        <f t="array" ref="M1419">IF(L1419="מאושר",IF(K1419="הכנסה שסווגה מחדש",0,G1419),0)</f>
        <v>15</v>
      </c>
      <c r="N1419" s="136" cm="1">
        <f t="array" ref="N1419">IF(K1419="שוטף",M1419,0)</f>
        <v>15</v>
      </c>
      <c r="O1419" s="136" cm="1">
        <f t="array" ref="O1419">IF(K1419="הכנסה שסווגה מחדש",-G1419,0)</f>
        <v>0</v>
      </c>
      <c r="P1419" t="s" s="80">
        <v>847</v>
      </c>
      <c r="Q1419" s="100"/>
      <c r="R1419" t="s" s="137">
        <v>743</v>
      </c>
      <c r="S1419" s="77"/>
    </row>
    <row r="1420" ht="13.65" customHeight="1">
      <c r="A1420" s="84">
        <v>46082</v>
      </c>
      <c r="B1420" t="s" s="85">
        <v>58</v>
      </c>
      <c r="C1420" t="s" s="86">
        <v>898</v>
      </c>
      <c r="D1420" s="138">
        <v>32</v>
      </c>
      <c r="E1420" t="s" s="85">
        <v>914</v>
      </c>
      <c r="F1420" t="s" s="86">
        <v>437</v>
      </c>
      <c r="G1420" s="139">
        <v>163</v>
      </c>
      <c r="H1420" t="s" s="140">
        <v>113</v>
      </c>
      <c r="I1420" t="s" s="141">
        <v>113</v>
      </c>
      <c r="J1420" t="s" s="141">
        <v>97</v>
      </c>
      <c r="K1420" t="str" s="142" cm="1">
        <f t="array" ref="K1420">IF(OR(H1420="ריביות",AND(H1420="דירה כצנלסון",G1420&lt;0,ISNUMBER(SEARCH("הכנסה",F1420)))),"הכנסה שסווגה מחדש",J1420)</f>
        <v>שוטף</v>
      </c>
      <c r="L1420" t="s" s="141">
        <v>741</v>
      </c>
      <c r="M1420" s="143" cm="1">
        <f t="array" ref="M1420">IF(L1420="מאושר",IF(K1420="הכנסה שסווגה מחדש",0,G1420),0)</f>
        <v>163</v>
      </c>
      <c r="N1420" s="143" cm="1">
        <f t="array" ref="N1420">IF(K1420="שוטף",M1420,0)</f>
        <v>163</v>
      </c>
      <c r="O1420" s="143" cm="1">
        <f t="array" ref="O1420">IF(K1420="הכנסה שסווגה מחדש",-G1420,0)</f>
        <v>0</v>
      </c>
      <c r="P1420" t="s" s="86">
        <v>847</v>
      </c>
      <c r="Q1420" s="99"/>
      <c r="R1420" t="s" s="144">
        <v>743</v>
      </c>
      <c r="S1420" s="77"/>
    </row>
    <row r="1421" ht="13.65" customHeight="1">
      <c r="A1421" s="78">
        <v>46082</v>
      </c>
      <c r="B1421" t="s" s="79">
        <v>58</v>
      </c>
      <c r="C1421" t="s" s="80">
        <v>898</v>
      </c>
      <c r="D1421" s="131">
        <v>33</v>
      </c>
      <c r="E1421" t="s" s="79">
        <v>899</v>
      </c>
      <c r="F1421" t="s" s="80">
        <v>424</v>
      </c>
      <c r="G1421" s="132">
        <v>63</v>
      </c>
      <c r="H1421" t="s" s="133">
        <v>133</v>
      </c>
      <c r="I1421" t="s" s="134">
        <v>133</v>
      </c>
      <c r="J1421" t="s" s="134">
        <v>97</v>
      </c>
      <c r="K1421" t="str" s="135" cm="1">
        <f t="array" ref="K1421">IF(OR(H1421="ריביות",AND(H1421="דירה כצנלסון",G1421&lt;0,ISNUMBER(SEARCH("הכנסה",F1421)))),"הכנסה שסווגה מחדש",J1421)</f>
        <v>שוטף</v>
      </c>
      <c r="L1421" t="s" s="134">
        <v>741</v>
      </c>
      <c r="M1421" s="136" cm="1">
        <f t="array" ref="M1421">IF(L1421="מאושר",IF(K1421="הכנסה שסווגה מחדש",0,G1421),0)</f>
        <v>63</v>
      </c>
      <c r="N1421" s="136" cm="1">
        <f t="array" ref="N1421">IF(K1421="שוטף",M1421,0)</f>
        <v>63</v>
      </c>
      <c r="O1421" s="136" cm="1">
        <f t="array" ref="O1421">IF(K1421="הכנסה שסווגה מחדש",-G1421,0)</f>
        <v>0</v>
      </c>
      <c r="P1421" t="s" s="80">
        <v>847</v>
      </c>
      <c r="Q1421" s="100"/>
      <c r="R1421" t="s" s="137">
        <v>743</v>
      </c>
      <c r="S1421" s="77"/>
    </row>
    <row r="1422" ht="13.65" customHeight="1">
      <c r="A1422" s="84">
        <v>46082</v>
      </c>
      <c r="B1422" t="s" s="85">
        <v>58</v>
      </c>
      <c r="C1422" t="s" s="86">
        <v>898</v>
      </c>
      <c r="D1422" s="138">
        <v>34</v>
      </c>
      <c r="E1422" t="s" s="85">
        <v>899</v>
      </c>
      <c r="F1422" t="s" s="86">
        <v>200</v>
      </c>
      <c r="G1422" s="139">
        <v>855</v>
      </c>
      <c r="H1422" t="s" s="140">
        <v>109</v>
      </c>
      <c r="I1422" t="s" s="141">
        <v>109</v>
      </c>
      <c r="J1422" t="s" s="141">
        <v>97</v>
      </c>
      <c r="K1422" t="str" s="142" cm="1">
        <f t="array" ref="K1422">IF(OR(H1422="ריביות",AND(H1422="דירה כצנלסון",G1422&lt;0,ISNUMBER(SEARCH("הכנסה",F1422)))),"הכנסה שסווגה מחדש",J1422)</f>
        <v>שוטף</v>
      </c>
      <c r="L1422" t="s" s="141">
        <v>741</v>
      </c>
      <c r="M1422" s="143" cm="1">
        <f t="array" ref="M1422">IF(L1422="מאושר",IF(K1422="הכנסה שסווגה מחדש",0,G1422),0)</f>
        <v>855</v>
      </c>
      <c r="N1422" s="143" cm="1">
        <f t="array" ref="N1422">IF(K1422="שוטף",M1422,0)</f>
        <v>855</v>
      </c>
      <c r="O1422" s="143" cm="1">
        <f t="array" ref="O1422">IF(K1422="הכנסה שסווגה מחדש",-G1422,0)</f>
        <v>0</v>
      </c>
      <c r="P1422" t="s" s="86">
        <v>847</v>
      </c>
      <c r="Q1422" s="99"/>
      <c r="R1422" t="s" s="144">
        <v>743</v>
      </c>
      <c r="S1422" s="77"/>
    </row>
    <row r="1423" ht="13.65" customHeight="1">
      <c r="A1423" s="78">
        <v>46082</v>
      </c>
      <c r="B1423" t="s" s="79">
        <v>58</v>
      </c>
      <c r="C1423" t="s" s="80">
        <v>898</v>
      </c>
      <c r="D1423" s="131">
        <v>36</v>
      </c>
      <c r="E1423" t="s" s="79">
        <v>915</v>
      </c>
      <c r="F1423" t="s" s="80">
        <v>254</v>
      </c>
      <c r="G1423" s="132">
        <v>30</v>
      </c>
      <c r="H1423" t="s" s="133">
        <v>109</v>
      </c>
      <c r="I1423" t="s" s="134">
        <v>109</v>
      </c>
      <c r="J1423" t="s" s="134">
        <v>97</v>
      </c>
      <c r="K1423" t="str" s="135" cm="1">
        <f t="array" ref="K1423">IF(OR(H1423="ריביות",AND(H1423="דירה כצנלסון",G1423&lt;0,ISNUMBER(SEARCH("הכנסה",F1423)))),"הכנסה שסווגה מחדש",J1423)</f>
        <v>שוטף</v>
      </c>
      <c r="L1423" t="s" s="134">
        <v>741</v>
      </c>
      <c r="M1423" s="136" cm="1">
        <f t="array" ref="M1423">IF(L1423="מאושר",IF(K1423="הכנסה שסווגה מחדש",0,G1423),0)</f>
        <v>30</v>
      </c>
      <c r="N1423" s="136" cm="1">
        <f t="array" ref="N1423">IF(K1423="שוטף",M1423,0)</f>
        <v>30</v>
      </c>
      <c r="O1423" s="136" cm="1">
        <f t="array" ref="O1423">IF(K1423="הכנסה שסווגה מחדש",-G1423,0)</f>
        <v>0</v>
      </c>
      <c r="P1423" t="s" s="80">
        <v>847</v>
      </c>
      <c r="Q1423" s="100"/>
      <c r="R1423" t="s" s="137">
        <v>743</v>
      </c>
      <c r="S1423" s="77"/>
    </row>
    <row r="1424" ht="13.65" customHeight="1">
      <c r="A1424" s="84">
        <v>46082</v>
      </c>
      <c r="B1424" t="s" s="85">
        <v>58</v>
      </c>
      <c r="C1424" t="s" s="86">
        <v>898</v>
      </c>
      <c r="D1424" s="138">
        <v>38</v>
      </c>
      <c r="E1424" t="s" s="85">
        <v>916</v>
      </c>
      <c r="F1424" t="s" s="86">
        <v>200</v>
      </c>
      <c r="G1424" s="139">
        <v>75</v>
      </c>
      <c r="H1424" t="s" s="140">
        <v>109</v>
      </c>
      <c r="I1424" t="s" s="141">
        <v>109</v>
      </c>
      <c r="J1424" t="s" s="141">
        <v>97</v>
      </c>
      <c r="K1424" t="str" s="142" cm="1">
        <f t="array" ref="K1424">IF(OR(H1424="ריביות",AND(H1424="דירה כצנלסון",G1424&lt;0,ISNUMBER(SEARCH("הכנסה",F1424)))),"הכנסה שסווגה מחדש",J1424)</f>
        <v>שוטף</v>
      </c>
      <c r="L1424" t="s" s="141">
        <v>741</v>
      </c>
      <c r="M1424" s="143" cm="1">
        <f t="array" ref="M1424">IF(L1424="מאושר",IF(K1424="הכנסה שסווגה מחדש",0,G1424),0)</f>
        <v>75</v>
      </c>
      <c r="N1424" s="143" cm="1">
        <f t="array" ref="N1424">IF(K1424="שוטף",M1424,0)</f>
        <v>75</v>
      </c>
      <c r="O1424" s="143" cm="1">
        <f t="array" ref="O1424">IF(K1424="הכנסה שסווגה מחדש",-G1424,0)</f>
        <v>0</v>
      </c>
      <c r="P1424" t="s" s="86">
        <v>847</v>
      </c>
      <c r="Q1424" s="99"/>
      <c r="R1424" t="s" s="144">
        <v>743</v>
      </c>
      <c r="S1424" s="77"/>
    </row>
    <row r="1425" ht="13.65" customHeight="1">
      <c r="A1425" s="78">
        <v>46082</v>
      </c>
      <c r="B1425" t="s" s="79">
        <v>58</v>
      </c>
      <c r="C1425" t="s" s="80">
        <v>898</v>
      </c>
      <c r="D1425" s="131">
        <v>39</v>
      </c>
      <c r="E1425" t="s" s="79">
        <v>917</v>
      </c>
      <c r="F1425" t="s" s="80">
        <v>254</v>
      </c>
      <c r="G1425" s="132">
        <v>85</v>
      </c>
      <c r="H1425" t="s" s="133">
        <v>109</v>
      </c>
      <c r="I1425" t="s" s="134">
        <v>109</v>
      </c>
      <c r="J1425" t="s" s="134">
        <v>97</v>
      </c>
      <c r="K1425" t="str" s="135" cm="1">
        <f t="array" ref="K1425">IF(OR(H1425="ריביות",AND(H1425="דירה כצנלסון",G1425&lt;0,ISNUMBER(SEARCH("הכנסה",F1425)))),"הכנסה שסווגה מחדש",J1425)</f>
        <v>שוטף</v>
      </c>
      <c r="L1425" t="s" s="134">
        <v>741</v>
      </c>
      <c r="M1425" s="136" cm="1">
        <f t="array" ref="M1425">IF(L1425="מאושר",IF(K1425="הכנסה שסווגה מחדש",0,G1425),0)</f>
        <v>85</v>
      </c>
      <c r="N1425" s="136" cm="1">
        <f t="array" ref="N1425">IF(K1425="שוטף",M1425,0)</f>
        <v>85</v>
      </c>
      <c r="O1425" s="136" cm="1">
        <f t="array" ref="O1425">IF(K1425="הכנסה שסווגה מחדש",-G1425,0)</f>
        <v>0</v>
      </c>
      <c r="P1425" t="s" s="80">
        <v>847</v>
      </c>
      <c r="Q1425" s="100"/>
      <c r="R1425" t="s" s="137">
        <v>743</v>
      </c>
      <c r="S1425" s="77"/>
    </row>
    <row r="1426" ht="13.65" customHeight="1">
      <c r="A1426" s="84">
        <v>46082</v>
      </c>
      <c r="B1426" t="s" s="85">
        <v>58</v>
      </c>
      <c r="C1426" t="s" s="86">
        <v>898</v>
      </c>
      <c r="D1426" s="138">
        <v>40</v>
      </c>
      <c r="E1426" t="s" s="85">
        <v>918</v>
      </c>
      <c r="F1426" t="s" s="86">
        <v>537</v>
      </c>
      <c r="G1426" s="139">
        <v>45</v>
      </c>
      <c r="H1426" t="s" s="140">
        <v>117</v>
      </c>
      <c r="I1426" t="s" s="141">
        <v>117</v>
      </c>
      <c r="J1426" t="s" s="141">
        <v>97</v>
      </c>
      <c r="K1426" t="str" s="142" cm="1">
        <f t="array" ref="K1426">IF(OR(H1426="ריביות",AND(H1426="דירה כצנלסון",G1426&lt;0,ISNUMBER(SEARCH("הכנסה",F1426)))),"הכנסה שסווגה מחדש",J1426)</f>
        <v>שוטף</v>
      </c>
      <c r="L1426" t="s" s="141">
        <v>741</v>
      </c>
      <c r="M1426" s="143" cm="1">
        <f t="array" ref="M1426">IF(L1426="מאושר",IF(K1426="הכנסה שסווגה מחדש",0,G1426),0)</f>
        <v>45</v>
      </c>
      <c r="N1426" s="143" cm="1">
        <f t="array" ref="N1426">IF(K1426="שוטף",M1426,0)</f>
        <v>45</v>
      </c>
      <c r="O1426" s="143" cm="1">
        <f t="array" ref="O1426">IF(K1426="הכנסה שסווגה מחדש",-G1426,0)</f>
        <v>0</v>
      </c>
      <c r="P1426" t="s" s="86">
        <v>847</v>
      </c>
      <c r="Q1426" s="99"/>
      <c r="R1426" t="s" s="144">
        <v>743</v>
      </c>
      <c r="S1426" s="77"/>
    </row>
    <row r="1427" ht="13.65" customHeight="1">
      <c r="A1427" s="78">
        <v>46082</v>
      </c>
      <c r="B1427" t="s" s="79">
        <v>58</v>
      </c>
      <c r="C1427" t="s" s="80">
        <v>898</v>
      </c>
      <c r="D1427" s="131">
        <v>41</v>
      </c>
      <c r="E1427" t="s" s="79">
        <v>919</v>
      </c>
      <c r="F1427" t="s" s="80">
        <v>223</v>
      </c>
      <c r="G1427" s="132">
        <v>47</v>
      </c>
      <c r="H1427" t="s" s="133">
        <v>117</v>
      </c>
      <c r="I1427" t="s" s="134">
        <v>117</v>
      </c>
      <c r="J1427" t="s" s="134">
        <v>97</v>
      </c>
      <c r="K1427" t="str" s="135" cm="1">
        <f t="array" ref="K1427">IF(OR(H1427="ריביות",AND(H1427="דירה כצנלסון",G1427&lt;0,ISNUMBER(SEARCH("הכנסה",F1427)))),"הכנסה שסווגה מחדש",J1427)</f>
        <v>שוטף</v>
      </c>
      <c r="L1427" t="s" s="134">
        <v>741</v>
      </c>
      <c r="M1427" s="136" cm="1">
        <f t="array" ref="M1427">IF(L1427="מאושר",IF(K1427="הכנסה שסווגה מחדש",0,G1427),0)</f>
        <v>47</v>
      </c>
      <c r="N1427" s="136" cm="1">
        <f t="array" ref="N1427">IF(K1427="שוטף",M1427,0)</f>
        <v>47</v>
      </c>
      <c r="O1427" s="136" cm="1">
        <f t="array" ref="O1427">IF(K1427="הכנסה שסווגה מחדש",-G1427,0)</f>
        <v>0</v>
      </c>
      <c r="P1427" t="s" s="80">
        <v>847</v>
      </c>
      <c r="Q1427" s="100"/>
      <c r="R1427" t="s" s="137">
        <v>743</v>
      </c>
      <c r="S1427" s="77"/>
    </row>
    <row r="1428" ht="13.65" customHeight="1">
      <c r="A1428" s="84">
        <v>46082</v>
      </c>
      <c r="B1428" t="s" s="85">
        <v>58</v>
      </c>
      <c r="C1428" t="s" s="86">
        <v>898</v>
      </c>
      <c r="D1428" s="138">
        <v>42</v>
      </c>
      <c r="E1428" t="s" s="85">
        <v>920</v>
      </c>
      <c r="F1428" t="s" s="86">
        <v>200</v>
      </c>
      <c r="G1428" s="139">
        <v>-9</v>
      </c>
      <c r="H1428" t="s" s="140">
        <v>109</v>
      </c>
      <c r="I1428" t="s" s="141">
        <v>109</v>
      </c>
      <c r="J1428" t="s" s="141">
        <v>97</v>
      </c>
      <c r="K1428" t="str" s="142" cm="1">
        <f t="array" ref="K1428">IF(OR(H1428="ריביות",AND(H1428="דירה כצנלסון",G1428&lt;0,ISNUMBER(SEARCH("הכנסה",F1428)))),"הכנסה שסווגה מחדש",J1428)</f>
        <v>שוטף</v>
      </c>
      <c r="L1428" t="s" s="141">
        <v>741</v>
      </c>
      <c r="M1428" s="143" cm="1">
        <f t="array" ref="M1428">IF(L1428="מאושר",IF(K1428="הכנסה שסווגה מחדש",0,G1428),0)</f>
        <v>-9</v>
      </c>
      <c r="N1428" s="143" cm="1">
        <f t="array" ref="N1428">IF(K1428="שוטף",M1428,0)</f>
        <v>-9</v>
      </c>
      <c r="O1428" s="143" cm="1">
        <f t="array" ref="O1428">IF(K1428="הכנסה שסווגה מחדש",-G1428,0)</f>
        <v>0</v>
      </c>
      <c r="P1428" t="s" s="86">
        <v>847</v>
      </c>
      <c r="Q1428" s="99"/>
      <c r="R1428" t="s" s="144">
        <v>743</v>
      </c>
      <c r="S1428" s="77"/>
    </row>
    <row r="1429" ht="13.65" customHeight="1">
      <c r="A1429" s="78">
        <v>46082</v>
      </c>
      <c r="B1429" t="s" s="79">
        <v>58</v>
      </c>
      <c r="C1429" t="s" s="80">
        <v>898</v>
      </c>
      <c r="D1429" s="131">
        <v>43</v>
      </c>
      <c r="E1429" t="s" s="79">
        <v>921</v>
      </c>
      <c r="F1429" t="s" s="80">
        <v>596</v>
      </c>
      <c r="G1429" s="132">
        <v>60</v>
      </c>
      <c r="H1429" t="s" s="133">
        <v>113</v>
      </c>
      <c r="I1429" t="s" s="134">
        <v>113</v>
      </c>
      <c r="J1429" t="s" s="134">
        <v>97</v>
      </c>
      <c r="K1429" t="str" s="135" cm="1">
        <f t="array" ref="K1429">IF(OR(H1429="ריביות",AND(H1429="דירה כצנלסון",G1429&lt;0,ISNUMBER(SEARCH("הכנסה",F1429)))),"הכנסה שסווגה מחדש",J1429)</f>
        <v>שוטף</v>
      </c>
      <c r="L1429" t="s" s="134">
        <v>741</v>
      </c>
      <c r="M1429" s="136" cm="1">
        <f t="array" ref="M1429">IF(L1429="מאושר",IF(K1429="הכנסה שסווגה מחדש",0,G1429),0)</f>
        <v>60</v>
      </c>
      <c r="N1429" s="136" cm="1">
        <f t="array" ref="N1429">IF(K1429="שוטף",M1429,0)</f>
        <v>60</v>
      </c>
      <c r="O1429" s="136" cm="1">
        <f t="array" ref="O1429">IF(K1429="הכנסה שסווגה מחדש",-G1429,0)</f>
        <v>0</v>
      </c>
      <c r="P1429" t="s" s="80">
        <v>847</v>
      </c>
      <c r="Q1429" s="100"/>
      <c r="R1429" t="s" s="137">
        <v>743</v>
      </c>
      <c r="S1429" s="77"/>
    </row>
    <row r="1430" ht="13.65" customHeight="1">
      <c r="A1430" s="84">
        <v>46082</v>
      </c>
      <c r="B1430" t="s" s="85">
        <v>58</v>
      </c>
      <c r="C1430" t="s" s="86">
        <v>898</v>
      </c>
      <c r="D1430" s="138">
        <v>45</v>
      </c>
      <c r="E1430" t="s" s="85">
        <v>922</v>
      </c>
      <c r="F1430" t="s" s="86">
        <v>329</v>
      </c>
      <c r="G1430" s="139">
        <v>60</v>
      </c>
      <c r="H1430" t="s" s="140">
        <v>127</v>
      </c>
      <c r="I1430" t="s" s="141">
        <v>127</v>
      </c>
      <c r="J1430" t="s" s="141">
        <v>97</v>
      </c>
      <c r="K1430" t="str" s="142" cm="1">
        <f t="array" ref="K1430">IF(OR(H1430="ריביות",AND(H1430="דירה כצנלסון",G1430&lt;0,ISNUMBER(SEARCH("הכנסה",F1430)))),"הכנסה שסווגה מחדש",J1430)</f>
        <v>שוטף</v>
      </c>
      <c r="L1430" t="s" s="141">
        <v>741</v>
      </c>
      <c r="M1430" s="143" cm="1">
        <f t="array" ref="M1430">IF(L1430="מאושר",IF(K1430="הכנסה שסווגה מחדש",0,G1430),0)</f>
        <v>60</v>
      </c>
      <c r="N1430" s="143" cm="1">
        <f t="array" ref="N1430">IF(K1430="שוטף",M1430,0)</f>
        <v>60</v>
      </c>
      <c r="O1430" s="143" cm="1">
        <f t="array" ref="O1430">IF(K1430="הכנסה שסווגה מחדש",-G1430,0)</f>
        <v>0</v>
      </c>
      <c r="P1430" t="s" s="86">
        <v>847</v>
      </c>
      <c r="Q1430" s="99"/>
      <c r="R1430" t="s" s="144">
        <v>743</v>
      </c>
      <c r="S1430" s="77"/>
    </row>
    <row r="1431" ht="13.65" customHeight="1">
      <c r="A1431" s="78">
        <v>46082</v>
      </c>
      <c r="B1431" t="s" s="79">
        <v>58</v>
      </c>
      <c r="C1431" t="s" s="80">
        <v>898</v>
      </c>
      <c r="D1431" s="131">
        <v>51</v>
      </c>
      <c r="E1431" t="s" s="79">
        <v>923</v>
      </c>
      <c r="F1431" t="s" s="80">
        <v>479</v>
      </c>
      <c r="G1431" s="132">
        <v>25</v>
      </c>
      <c r="H1431" t="s" s="133">
        <v>113</v>
      </c>
      <c r="I1431" t="s" s="134">
        <v>113</v>
      </c>
      <c r="J1431" t="s" s="134">
        <v>97</v>
      </c>
      <c r="K1431" t="str" s="135" cm="1">
        <f t="array" ref="K1431">IF(OR(H1431="ריביות",AND(H1431="דירה כצנלסון",G1431&lt;0,ISNUMBER(SEARCH("הכנסה",F1431)))),"הכנסה שסווגה מחדש",J1431)</f>
        <v>שוטף</v>
      </c>
      <c r="L1431" t="s" s="134">
        <v>741</v>
      </c>
      <c r="M1431" s="136" cm="1">
        <f t="array" ref="M1431">IF(L1431="מאושר",IF(K1431="הכנסה שסווגה מחדש",0,G1431),0)</f>
        <v>25</v>
      </c>
      <c r="N1431" s="136" cm="1">
        <f t="array" ref="N1431">IF(K1431="שוטף",M1431,0)</f>
        <v>25</v>
      </c>
      <c r="O1431" s="136" cm="1">
        <f t="array" ref="O1431">IF(K1431="הכנסה שסווגה מחדש",-G1431,0)</f>
        <v>0</v>
      </c>
      <c r="P1431" t="s" s="80">
        <v>842</v>
      </c>
      <c r="Q1431" s="100"/>
      <c r="R1431" t="s" s="137">
        <v>743</v>
      </c>
      <c r="S1431" s="77"/>
    </row>
    <row r="1432" ht="13.65" customHeight="1">
      <c r="A1432" s="84">
        <v>46082</v>
      </c>
      <c r="B1432" t="s" s="85">
        <v>58</v>
      </c>
      <c r="C1432" t="s" s="86">
        <v>898</v>
      </c>
      <c r="D1432" s="138">
        <v>52</v>
      </c>
      <c r="E1432" s="99"/>
      <c r="F1432" t="s" s="86">
        <v>491</v>
      </c>
      <c r="G1432" s="139">
        <v>134</v>
      </c>
      <c r="H1432" t="s" s="140">
        <v>829</v>
      </c>
      <c r="I1432" t="s" s="141">
        <v>102</v>
      </c>
      <c r="J1432" t="s" s="141">
        <v>103</v>
      </c>
      <c r="K1432" t="str" s="142" cm="1">
        <f t="array" ref="K1432">IF(OR(H1432="ריביות",AND(H1432="דירה כצנלסון",G1432&lt;0,ISNUMBER(SEARCH("הכנסה",F1432)))),"הכנסה שסווגה מחדש",J1432)</f>
        <v>חריג</v>
      </c>
      <c r="L1432" t="s" s="141">
        <v>741</v>
      </c>
      <c r="M1432" s="143" cm="1">
        <f t="array" ref="M1432">IF(L1432="מאושר",IF(K1432="הכנסה שסווגה מחדש",0,G1432),0)</f>
        <v>134</v>
      </c>
      <c r="N1432" s="143" cm="1">
        <f t="array" ref="N1432">IF(K1432="שוטף",M1432,0)</f>
        <v>0</v>
      </c>
      <c r="O1432" s="143" cm="1">
        <f t="array" ref="O1432">IF(K1432="הכנסה שסווגה מחדש",-G1432,0)</f>
        <v>0</v>
      </c>
      <c r="P1432" s="99"/>
      <c r="Q1432" t="s" s="85">
        <v>924</v>
      </c>
      <c r="R1432" t="s" s="144">
        <v>831</v>
      </c>
      <c r="S1432" s="77"/>
    </row>
    <row r="1433" ht="13.65" customHeight="1">
      <c r="A1433" s="78">
        <v>46082</v>
      </c>
      <c r="B1433" t="s" s="79">
        <v>58</v>
      </c>
      <c r="C1433" t="s" s="80">
        <v>898</v>
      </c>
      <c r="D1433" s="131">
        <v>55</v>
      </c>
      <c r="E1433" t="s" s="79">
        <v>925</v>
      </c>
      <c r="F1433" t="s" s="80">
        <v>254</v>
      </c>
      <c r="G1433" s="132">
        <v>24</v>
      </c>
      <c r="H1433" t="s" s="133">
        <v>109</v>
      </c>
      <c r="I1433" t="s" s="134">
        <v>109</v>
      </c>
      <c r="J1433" t="s" s="134">
        <v>97</v>
      </c>
      <c r="K1433" t="str" s="135" cm="1">
        <f t="array" ref="K1433">IF(OR(H1433="ריביות",AND(H1433="דירה כצנלסון",G1433&lt;0,ISNUMBER(SEARCH("הכנסה",F1433)))),"הכנסה שסווגה מחדש",J1433)</f>
        <v>שוטף</v>
      </c>
      <c r="L1433" t="s" s="134">
        <v>741</v>
      </c>
      <c r="M1433" s="136" cm="1">
        <f t="array" ref="M1433">IF(L1433="מאושר",IF(K1433="הכנסה שסווגה מחדש",0,G1433),0)</f>
        <v>24</v>
      </c>
      <c r="N1433" s="136" cm="1">
        <f t="array" ref="N1433">IF(K1433="שוטף",M1433,0)</f>
        <v>24</v>
      </c>
      <c r="O1433" s="136" cm="1">
        <f t="array" ref="O1433">IF(K1433="הכנסה שסווגה מחדש",-G1433,0)</f>
        <v>0</v>
      </c>
      <c r="P1433" t="s" s="80">
        <v>842</v>
      </c>
      <c r="Q1433" s="100"/>
      <c r="R1433" t="s" s="137">
        <v>743</v>
      </c>
      <c r="S1433" s="77"/>
    </row>
    <row r="1434" ht="13.65" customHeight="1">
      <c r="A1434" s="84">
        <v>46082</v>
      </c>
      <c r="B1434" t="s" s="85">
        <v>58</v>
      </c>
      <c r="C1434" t="s" s="86">
        <v>898</v>
      </c>
      <c r="D1434" s="138">
        <v>56</v>
      </c>
      <c r="E1434" t="s" s="85">
        <v>925</v>
      </c>
      <c r="F1434" t="s" s="86">
        <v>254</v>
      </c>
      <c r="G1434" s="139">
        <v>9</v>
      </c>
      <c r="H1434" t="s" s="140">
        <v>109</v>
      </c>
      <c r="I1434" t="s" s="141">
        <v>109</v>
      </c>
      <c r="J1434" t="s" s="141">
        <v>97</v>
      </c>
      <c r="K1434" t="str" s="142" cm="1">
        <f t="array" ref="K1434">IF(OR(H1434="ריביות",AND(H1434="דירה כצנלסון",G1434&lt;0,ISNUMBER(SEARCH("הכנסה",F1434)))),"הכנסה שסווגה מחדש",J1434)</f>
        <v>שוטף</v>
      </c>
      <c r="L1434" t="s" s="141">
        <v>741</v>
      </c>
      <c r="M1434" s="143" cm="1">
        <f t="array" ref="M1434">IF(L1434="מאושר",IF(K1434="הכנסה שסווגה מחדש",0,G1434),0)</f>
        <v>9</v>
      </c>
      <c r="N1434" s="143" cm="1">
        <f t="array" ref="N1434">IF(K1434="שוטף",M1434,0)</f>
        <v>9</v>
      </c>
      <c r="O1434" s="143" cm="1">
        <f t="array" ref="O1434">IF(K1434="הכנסה שסווגה מחדש",-G1434,0)</f>
        <v>0</v>
      </c>
      <c r="P1434" t="s" s="86">
        <v>842</v>
      </c>
      <c r="Q1434" s="99"/>
      <c r="R1434" t="s" s="144">
        <v>743</v>
      </c>
      <c r="S1434" s="77"/>
    </row>
    <row r="1435" ht="13.65" customHeight="1">
      <c r="A1435" s="78">
        <v>46082</v>
      </c>
      <c r="B1435" t="s" s="79">
        <v>58</v>
      </c>
      <c r="C1435" t="s" s="80">
        <v>898</v>
      </c>
      <c r="D1435" s="131">
        <v>57</v>
      </c>
      <c r="E1435" t="s" s="79">
        <v>926</v>
      </c>
      <c r="F1435" t="s" s="80">
        <v>289</v>
      </c>
      <c r="G1435" s="132">
        <v>12</v>
      </c>
      <c r="H1435" t="s" s="133">
        <v>767</v>
      </c>
      <c r="I1435" t="s" s="134">
        <v>107</v>
      </c>
      <c r="J1435" t="s" s="134">
        <v>97</v>
      </c>
      <c r="K1435" t="str" s="135" cm="1">
        <f t="array" ref="K1435">IF(OR(H1435="ריביות",AND(H1435="דירה כצנלסון",G1435&lt;0,ISNUMBER(SEARCH("הכנסה",F1435)))),"הכנסה שסווגה מחדש",J1435)</f>
        <v>שוטף</v>
      </c>
      <c r="L1435" t="s" s="134">
        <v>741</v>
      </c>
      <c r="M1435" s="136" cm="1">
        <f t="array" ref="M1435">IF(L1435="מאושר",IF(K1435="הכנסה שסווגה מחדש",0,G1435),0)</f>
        <v>12</v>
      </c>
      <c r="N1435" s="136" cm="1">
        <f t="array" ref="N1435">IF(K1435="שוטף",M1435,0)</f>
        <v>12</v>
      </c>
      <c r="O1435" s="136" cm="1">
        <f t="array" ref="O1435">IF(K1435="הכנסה שסווגה מחדש",-G1435,0)</f>
        <v>0</v>
      </c>
      <c r="P1435" t="s" s="80">
        <v>842</v>
      </c>
      <c r="Q1435" s="100"/>
      <c r="R1435" t="s" s="137">
        <v>743</v>
      </c>
      <c r="S1435" s="77"/>
    </row>
    <row r="1436" ht="13.65" customHeight="1">
      <c r="A1436" s="84">
        <v>46082</v>
      </c>
      <c r="B1436" t="s" s="85">
        <v>58</v>
      </c>
      <c r="C1436" t="s" s="86">
        <v>898</v>
      </c>
      <c r="D1436" s="138">
        <v>58</v>
      </c>
      <c r="E1436" t="s" s="85">
        <v>923</v>
      </c>
      <c r="F1436" t="s" s="86">
        <v>479</v>
      </c>
      <c r="G1436" s="139">
        <v>25</v>
      </c>
      <c r="H1436" t="s" s="140">
        <v>113</v>
      </c>
      <c r="I1436" t="s" s="141">
        <v>113</v>
      </c>
      <c r="J1436" t="s" s="141">
        <v>97</v>
      </c>
      <c r="K1436" t="str" s="142" cm="1">
        <f t="array" ref="K1436">IF(OR(H1436="ריביות",AND(H1436="דירה כצנלסון",G1436&lt;0,ISNUMBER(SEARCH("הכנסה",F1436)))),"הכנסה שסווגה מחדש",J1436)</f>
        <v>שוטף</v>
      </c>
      <c r="L1436" t="s" s="141">
        <v>741</v>
      </c>
      <c r="M1436" s="143" cm="1">
        <f t="array" ref="M1436">IF(L1436="מאושר",IF(K1436="הכנסה שסווגה מחדש",0,G1436),0)</f>
        <v>25</v>
      </c>
      <c r="N1436" s="143" cm="1">
        <f t="array" ref="N1436">IF(K1436="שוטף",M1436,0)</f>
        <v>25</v>
      </c>
      <c r="O1436" s="143" cm="1">
        <f t="array" ref="O1436">IF(K1436="הכנסה שסווגה מחדש",-G1436,0)</f>
        <v>0</v>
      </c>
      <c r="P1436" t="s" s="86">
        <v>842</v>
      </c>
      <c r="Q1436" s="99"/>
      <c r="R1436" t="s" s="144">
        <v>743</v>
      </c>
      <c r="S1436" s="77"/>
    </row>
    <row r="1437" ht="13.65" customHeight="1">
      <c r="A1437" s="78">
        <v>46082</v>
      </c>
      <c r="B1437" t="s" s="79">
        <v>58</v>
      </c>
      <c r="C1437" t="s" s="80">
        <v>898</v>
      </c>
      <c r="D1437" s="131">
        <v>59</v>
      </c>
      <c r="E1437" t="s" s="79">
        <v>927</v>
      </c>
      <c r="F1437" t="s" s="80">
        <v>377</v>
      </c>
      <c r="G1437" s="132">
        <v>14</v>
      </c>
      <c r="H1437" t="s" s="133">
        <v>113</v>
      </c>
      <c r="I1437" t="s" s="134">
        <v>113</v>
      </c>
      <c r="J1437" t="s" s="134">
        <v>97</v>
      </c>
      <c r="K1437" t="str" s="135" cm="1">
        <f t="array" ref="K1437">IF(OR(H1437="ריביות",AND(H1437="דירה כצנלסון",G1437&lt;0,ISNUMBER(SEARCH("הכנסה",F1437)))),"הכנסה שסווגה מחדש",J1437)</f>
        <v>שוטף</v>
      </c>
      <c r="L1437" t="s" s="134">
        <v>741</v>
      </c>
      <c r="M1437" s="136" cm="1">
        <f t="array" ref="M1437">IF(L1437="מאושר",IF(K1437="הכנסה שסווגה מחדש",0,G1437),0)</f>
        <v>14</v>
      </c>
      <c r="N1437" s="136" cm="1">
        <f t="array" ref="N1437">IF(K1437="שוטף",M1437,0)</f>
        <v>14</v>
      </c>
      <c r="O1437" s="136" cm="1">
        <f t="array" ref="O1437">IF(K1437="הכנסה שסווגה מחדש",-G1437,0)</f>
        <v>0</v>
      </c>
      <c r="P1437" t="s" s="80">
        <v>842</v>
      </c>
      <c r="Q1437" s="100"/>
      <c r="R1437" t="s" s="137">
        <v>743</v>
      </c>
      <c r="S1437" s="77"/>
    </row>
    <row r="1438" ht="13.65" customHeight="1">
      <c r="A1438" s="84">
        <v>46082</v>
      </c>
      <c r="B1438" t="s" s="85">
        <v>58</v>
      </c>
      <c r="C1438" t="s" s="86">
        <v>898</v>
      </c>
      <c r="D1438" s="138">
        <v>60</v>
      </c>
      <c r="E1438" t="s" s="85">
        <v>928</v>
      </c>
      <c r="F1438" t="s" s="86">
        <v>200</v>
      </c>
      <c r="G1438" s="139">
        <v>475</v>
      </c>
      <c r="H1438" t="s" s="140">
        <v>109</v>
      </c>
      <c r="I1438" t="s" s="141">
        <v>109</v>
      </c>
      <c r="J1438" t="s" s="141">
        <v>97</v>
      </c>
      <c r="K1438" t="str" s="142" cm="1">
        <f t="array" ref="K1438">IF(OR(H1438="ריביות",AND(H1438="דירה כצנלסון",G1438&lt;0,ISNUMBER(SEARCH("הכנסה",F1438)))),"הכנסה שסווגה מחדש",J1438)</f>
        <v>שוטף</v>
      </c>
      <c r="L1438" t="s" s="141">
        <v>741</v>
      </c>
      <c r="M1438" s="143" cm="1">
        <f t="array" ref="M1438">IF(L1438="מאושר",IF(K1438="הכנסה שסווגה מחדש",0,G1438),0)</f>
        <v>475</v>
      </c>
      <c r="N1438" s="143" cm="1">
        <f t="array" ref="N1438">IF(K1438="שוטף",M1438,0)</f>
        <v>475</v>
      </c>
      <c r="O1438" s="143" cm="1">
        <f t="array" ref="O1438">IF(K1438="הכנסה שסווגה מחדש",-G1438,0)</f>
        <v>0</v>
      </c>
      <c r="P1438" t="s" s="86">
        <v>842</v>
      </c>
      <c r="Q1438" s="99"/>
      <c r="R1438" t="s" s="144">
        <v>743</v>
      </c>
      <c r="S1438" s="77"/>
    </row>
    <row r="1439" ht="13.65" customHeight="1">
      <c r="A1439" s="78">
        <v>46082</v>
      </c>
      <c r="B1439" t="s" s="79">
        <v>58</v>
      </c>
      <c r="C1439" t="s" s="80">
        <v>898</v>
      </c>
      <c r="D1439" s="131">
        <v>61</v>
      </c>
      <c r="E1439" t="s" s="79">
        <v>902</v>
      </c>
      <c r="F1439" t="s" s="80">
        <v>377</v>
      </c>
      <c r="G1439" s="132">
        <v>3</v>
      </c>
      <c r="H1439" t="s" s="133">
        <v>113</v>
      </c>
      <c r="I1439" t="s" s="134">
        <v>113</v>
      </c>
      <c r="J1439" t="s" s="134">
        <v>97</v>
      </c>
      <c r="K1439" t="str" s="135" cm="1">
        <f t="array" ref="K1439">IF(OR(H1439="ריביות",AND(H1439="דירה כצנלסון",G1439&lt;0,ISNUMBER(SEARCH("הכנסה",F1439)))),"הכנסה שסווגה מחדש",J1439)</f>
        <v>שוטף</v>
      </c>
      <c r="L1439" t="s" s="134">
        <v>741</v>
      </c>
      <c r="M1439" s="136" cm="1">
        <f t="array" ref="M1439">IF(L1439="מאושר",IF(K1439="הכנסה שסווגה מחדש",0,G1439),0)</f>
        <v>3</v>
      </c>
      <c r="N1439" s="136" cm="1">
        <f t="array" ref="N1439">IF(K1439="שוטף",M1439,0)</f>
        <v>3</v>
      </c>
      <c r="O1439" s="136" cm="1">
        <f t="array" ref="O1439">IF(K1439="הכנסה שסווגה מחדש",-G1439,0)</f>
        <v>0</v>
      </c>
      <c r="P1439" t="s" s="80">
        <v>842</v>
      </c>
      <c r="Q1439" s="100"/>
      <c r="R1439" t="s" s="137">
        <v>743</v>
      </c>
      <c r="S1439" s="77"/>
    </row>
    <row r="1440" ht="13.65" customHeight="1">
      <c r="A1440" s="84">
        <v>46082</v>
      </c>
      <c r="B1440" t="s" s="85">
        <v>58</v>
      </c>
      <c r="C1440" t="s" s="86">
        <v>898</v>
      </c>
      <c r="D1440" s="138">
        <v>62</v>
      </c>
      <c r="E1440" t="s" s="85">
        <v>902</v>
      </c>
      <c r="F1440" t="s" s="86">
        <v>377</v>
      </c>
      <c r="G1440" s="139">
        <v>4</v>
      </c>
      <c r="H1440" t="s" s="140">
        <v>113</v>
      </c>
      <c r="I1440" t="s" s="141">
        <v>113</v>
      </c>
      <c r="J1440" t="s" s="141">
        <v>97</v>
      </c>
      <c r="K1440" t="str" s="142" cm="1">
        <f t="array" ref="K1440">IF(OR(H1440="ריביות",AND(H1440="דירה כצנלסון",G1440&lt;0,ISNUMBER(SEARCH("הכנסה",F1440)))),"הכנסה שסווגה מחדש",J1440)</f>
        <v>שוטף</v>
      </c>
      <c r="L1440" t="s" s="141">
        <v>741</v>
      </c>
      <c r="M1440" s="143" cm="1">
        <f t="array" ref="M1440">IF(L1440="מאושר",IF(K1440="הכנסה שסווגה מחדש",0,G1440),0)</f>
        <v>4</v>
      </c>
      <c r="N1440" s="143" cm="1">
        <f t="array" ref="N1440">IF(K1440="שוטף",M1440,0)</f>
        <v>4</v>
      </c>
      <c r="O1440" s="143" cm="1">
        <f t="array" ref="O1440">IF(K1440="הכנסה שסווגה מחדש",-G1440,0)</f>
        <v>0</v>
      </c>
      <c r="P1440" t="s" s="86">
        <v>842</v>
      </c>
      <c r="Q1440" s="99"/>
      <c r="R1440" t="s" s="144">
        <v>743</v>
      </c>
      <c r="S1440" s="77"/>
    </row>
    <row r="1441" ht="13.65" customHeight="1">
      <c r="A1441" s="78">
        <v>46082</v>
      </c>
      <c r="B1441" t="s" s="79">
        <v>58</v>
      </c>
      <c r="C1441" t="s" s="80">
        <v>898</v>
      </c>
      <c r="D1441" s="131">
        <v>63</v>
      </c>
      <c r="E1441" t="s" s="79">
        <v>916</v>
      </c>
      <c r="F1441" t="s" s="80">
        <v>289</v>
      </c>
      <c r="G1441" s="132">
        <v>23</v>
      </c>
      <c r="H1441" t="s" s="133">
        <v>767</v>
      </c>
      <c r="I1441" t="s" s="134">
        <v>107</v>
      </c>
      <c r="J1441" t="s" s="134">
        <v>97</v>
      </c>
      <c r="K1441" t="str" s="135" cm="1">
        <f t="array" ref="K1441">IF(OR(H1441="ריביות",AND(H1441="דירה כצנלסון",G1441&lt;0,ISNUMBER(SEARCH("הכנסה",F1441)))),"הכנסה שסווגה מחדש",J1441)</f>
        <v>שוטף</v>
      </c>
      <c r="L1441" t="s" s="134">
        <v>741</v>
      </c>
      <c r="M1441" s="136" cm="1">
        <f t="array" ref="M1441">IF(L1441="מאושר",IF(K1441="הכנסה שסווגה מחדש",0,G1441),0)</f>
        <v>23</v>
      </c>
      <c r="N1441" s="136" cm="1">
        <f t="array" ref="N1441">IF(K1441="שוטף",M1441,0)</f>
        <v>23</v>
      </c>
      <c r="O1441" s="136" cm="1">
        <f t="array" ref="O1441">IF(K1441="הכנסה שסווגה מחדש",-G1441,0)</f>
        <v>0</v>
      </c>
      <c r="P1441" t="s" s="80">
        <v>842</v>
      </c>
      <c r="Q1441" s="100"/>
      <c r="R1441" t="s" s="137">
        <v>743</v>
      </c>
      <c r="S1441" s="77"/>
    </row>
    <row r="1442" ht="13.65" customHeight="1">
      <c r="A1442" s="84">
        <v>46082</v>
      </c>
      <c r="B1442" t="s" s="85">
        <v>58</v>
      </c>
      <c r="C1442" t="s" s="86">
        <v>898</v>
      </c>
      <c r="D1442" s="138">
        <v>64</v>
      </c>
      <c r="E1442" t="s" s="85">
        <v>916</v>
      </c>
      <c r="F1442" t="s" s="86">
        <v>289</v>
      </c>
      <c r="G1442" s="139">
        <v>133</v>
      </c>
      <c r="H1442" t="s" s="140">
        <v>767</v>
      </c>
      <c r="I1442" t="s" s="141">
        <v>107</v>
      </c>
      <c r="J1442" t="s" s="141">
        <v>97</v>
      </c>
      <c r="K1442" t="str" s="142" cm="1">
        <f t="array" ref="K1442">IF(OR(H1442="ריביות",AND(H1442="דירה כצנלסון",G1442&lt;0,ISNUMBER(SEARCH("הכנסה",F1442)))),"הכנסה שסווגה מחדש",J1442)</f>
        <v>שוטף</v>
      </c>
      <c r="L1442" t="s" s="141">
        <v>741</v>
      </c>
      <c r="M1442" s="143" cm="1">
        <f t="array" ref="M1442">IF(L1442="מאושר",IF(K1442="הכנסה שסווגה מחדש",0,G1442),0)</f>
        <v>133</v>
      </c>
      <c r="N1442" s="143" cm="1">
        <f t="array" ref="N1442">IF(K1442="שוטף",M1442,0)</f>
        <v>133</v>
      </c>
      <c r="O1442" s="143" cm="1">
        <f t="array" ref="O1442">IF(K1442="הכנסה שסווגה מחדש",-G1442,0)</f>
        <v>0</v>
      </c>
      <c r="P1442" t="s" s="86">
        <v>842</v>
      </c>
      <c r="Q1442" s="99"/>
      <c r="R1442" t="s" s="144">
        <v>743</v>
      </c>
      <c r="S1442" s="77"/>
    </row>
    <row r="1443" ht="13.65" customHeight="1">
      <c r="A1443" s="78">
        <v>46082</v>
      </c>
      <c r="B1443" t="s" s="79">
        <v>58</v>
      </c>
      <c r="C1443" t="s" s="80">
        <v>898</v>
      </c>
      <c r="D1443" s="131">
        <v>65</v>
      </c>
      <c r="E1443" t="s" s="79">
        <v>929</v>
      </c>
      <c r="F1443" t="s" s="80">
        <v>691</v>
      </c>
      <c r="G1443" s="132">
        <v>14</v>
      </c>
      <c r="H1443" t="s" s="133">
        <v>109</v>
      </c>
      <c r="I1443" t="s" s="134">
        <v>109</v>
      </c>
      <c r="J1443" t="s" s="134">
        <v>97</v>
      </c>
      <c r="K1443" t="str" s="135" cm="1">
        <f t="array" ref="K1443">IF(OR(H1443="ריביות",AND(H1443="דירה כצנלסון",G1443&lt;0,ISNUMBER(SEARCH("הכנסה",F1443)))),"הכנסה שסווגה מחדש",J1443)</f>
        <v>שוטף</v>
      </c>
      <c r="L1443" t="s" s="134">
        <v>741</v>
      </c>
      <c r="M1443" s="136" cm="1">
        <f t="array" ref="M1443">IF(L1443="מאושר",IF(K1443="הכנסה שסווגה מחדש",0,G1443),0)</f>
        <v>14</v>
      </c>
      <c r="N1443" s="136" cm="1">
        <f t="array" ref="N1443">IF(K1443="שוטף",M1443,0)</f>
        <v>14</v>
      </c>
      <c r="O1443" s="136" cm="1">
        <f t="array" ref="O1443">IF(K1443="הכנסה שסווגה מחדש",-G1443,0)</f>
        <v>0</v>
      </c>
      <c r="P1443" t="s" s="80">
        <v>842</v>
      </c>
      <c r="Q1443" s="100"/>
      <c r="R1443" t="s" s="137">
        <v>743</v>
      </c>
      <c r="S1443" s="77"/>
    </row>
    <row r="1444" ht="13.65" customHeight="1">
      <c r="A1444" s="84">
        <v>46082</v>
      </c>
      <c r="B1444" t="s" s="85">
        <v>58</v>
      </c>
      <c r="C1444" t="s" s="86">
        <v>898</v>
      </c>
      <c r="D1444" s="138">
        <v>66</v>
      </c>
      <c r="E1444" t="s" s="85">
        <v>917</v>
      </c>
      <c r="F1444" t="s" s="86">
        <v>200</v>
      </c>
      <c r="G1444" s="139">
        <v>4</v>
      </c>
      <c r="H1444" t="s" s="140">
        <v>109</v>
      </c>
      <c r="I1444" t="s" s="141">
        <v>109</v>
      </c>
      <c r="J1444" t="s" s="141">
        <v>97</v>
      </c>
      <c r="K1444" t="str" s="142" cm="1">
        <f t="array" ref="K1444">IF(OR(H1444="ריביות",AND(H1444="דירה כצנלסון",G1444&lt;0,ISNUMBER(SEARCH("הכנסה",F1444)))),"הכנסה שסווגה מחדש",J1444)</f>
        <v>שוטף</v>
      </c>
      <c r="L1444" t="s" s="141">
        <v>741</v>
      </c>
      <c r="M1444" s="143" cm="1">
        <f t="array" ref="M1444">IF(L1444="מאושר",IF(K1444="הכנסה שסווגה מחדש",0,G1444),0)</f>
        <v>4</v>
      </c>
      <c r="N1444" s="143" cm="1">
        <f t="array" ref="N1444">IF(K1444="שוטף",M1444,0)</f>
        <v>4</v>
      </c>
      <c r="O1444" s="143" cm="1">
        <f t="array" ref="O1444">IF(K1444="הכנסה שסווגה מחדש",-G1444,0)</f>
        <v>0</v>
      </c>
      <c r="P1444" t="s" s="86">
        <v>842</v>
      </c>
      <c r="Q1444" s="99"/>
      <c r="R1444" t="s" s="144">
        <v>743</v>
      </c>
      <c r="S1444" s="77"/>
    </row>
    <row r="1445" ht="13.65" customHeight="1">
      <c r="A1445" s="78">
        <v>46082</v>
      </c>
      <c r="B1445" t="s" s="79">
        <v>58</v>
      </c>
      <c r="C1445" t="s" s="80">
        <v>898</v>
      </c>
      <c r="D1445" s="131">
        <v>67</v>
      </c>
      <c r="E1445" t="s" s="79">
        <v>930</v>
      </c>
      <c r="F1445" t="s" s="80">
        <v>200</v>
      </c>
      <c r="G1445" s="132">
        <v>329</v>
      </c>
      <c r="H1445" t="s" s="133">
        <v>109</v>
      </c>
      <c r="I1445" t="s" s="134">
        <v>109</v>
      </c>
      <c r="J1445" t="s" s="134">
        <v>97</v>
      </c>
      <c r="K1445" t="str" s="135" cm="1">
        <f t="array" ref="K1445">IF(OR(H1445="ריביות",AND(H1445="דירה כצנלסון",G1445&lt;0,ISNUMBER(SEARCH("הכנסה",F1445)))),"הכנסה שסווגה מחדש",J1445)</f>
        <v>שוטף</v>
      </c>
      <c r="L1445" t="s" s="134">
        <v>741</v>
      </c>
      <c r="M1445" s="136" cm="1">
        <f t="array" ref="M1445">IF(L1445="מאושר",IF(K1445="הכנסה שסווגה מחדש",0,G1445),0)</f>
        <v>329</v>
      </c>
      <c r="N1445" s="136" cm="1">
        <f t="array" ref="N1445">IF(K1445="שוטף",M1445,0)</f>
        <v>329</v>
      </c>
      <c r="O1445" s="136" cm="1">
        <f t="array" ref="O1445">IF(K1445="הכנסה שסווגה מחדש",-G1445,0)</f>
        <v>0</v>
      </c>
      <c r="P1445" t="s" s="80">
        <v>842</v>
      </c>
      <c r="Q1445" s="100"/>
      <c r="R1445" t="s" s="137">
        <v>743</v>
      </c>
      <c r="S1445" s="77"/>
    </row>
    <row r="1446" ht="13.65" customHeight="1">
      <c r="A1446" s="84">
        <v>46082</v>
      </c>
      <c r="B1446" t="s" s="85">
        <v>58</v>
      </c>
      <c r="C1446" t="s" s="86">
        <v>898</v>
      </c>
      <c r="D1446" s="138">
        <v>68</v>
      </c>
      <c r="E1446" t="s" s="85">
        <v>901</v>
      </c>
      <c r="F1446" t="s" s="86">
        <v>209</v>
      </c>
      <c r="G1446" s="139">
        <v>48</v>
      </c>
      <c r="H1446" t="s" s="140">
        <v>113</v>
      </c>
      <c r="I1446" t="s" s="141">
        <v>113</v>
      </c>
      <c r="J1446" t="s" s="141">
        <v>97</v>
      </c>
      <c r="K1446" t="str" s="142" cm="1">
        <f t="array" ref="K1446">IF(OR(H1446="ריביות",AND(H1446="דירה כצנלסון",G1446&lt;0,ISNUMBER(SEARCH("הכנסה",F1446)))),"הכנסה שסווגה מחדש",J1446)</f>
        <v>שוטף</v>
      </c>
      <c r="L1446" t="s" s="141">
        <v>741</v>
      </c>
      <c r="M1446" s="143" cm="1">
        <f t="array" ref="M1446">IF(L1446="מאושר",IF(K1446="הכנסה שסווגה מחדש",0,G1446),0)</f>
        <v>48</v>
      </c>
      <c r="N1446" s="143" cm="1">
        <f t="array" ref="N1446">IF(K1446="שוטף",M1446,0)</f>
        <v>48</v>
      </c>
      <c r="O1446" s="143" cm="1">
        <f t="array" ref="O1446">IF(K1446="הכנסה שסווגה מחדש",-G1446,0)</f>
        <v>0</v>
      </c>
      <c r="P1446" t="s" s="86">
        <v>842</v>
      </c>
      <c r="Q1446" s="99"/>
      <c r="R1446" t="s" s="144">
        <v>743</v>
      </c>
      <c r="S1446" s="77"/>
    </row>
    <row r="1447" ht="13.65" customHeight="1">
      <c r="A1447" s="78">
        <v>46082</v>
      </c>
      <c r="B1447" t="s" s="79">
        <v>58</v>
      </c>
      <c r="C1447" t="s" s="80">
        <v>898</v>
      </c>
      <c r="D1447" s="131">
        <v>69</v>
      </c>
      <c r="E1447" t="s" s="79">
        <v>903</v>
      </c>
      <c r="F1447" t="s" s="80">
        <v>479</v>
      </c>
      <c r="G1447" s="132">
        <v>25</v>
      </c>
      <c r="H1447" t="s" s="133">
        <v>113</v>
      </c>
      <c r="I1447" t="s" s="134">
        <v>113</v>
      </c>
      <c r="J1447" t="s" s="134">
        <v>97</v>
      </c>
      <c r="K1447" t="str" s="135" cm="1">
        <f t="array" ref="K1447">IF(OR(H1447="ריביות",AND(H1447="דירה כצנלסון",G1447&lt;0,ISNUMBER(SEARCH("הכנסה",F1447)))),"הכנסה שסווגה מחדש",J1447)</f>
        <v>שוטף</v>
      </c>
      <c r="L1447" t="s" s="134">
        <v>741</v>
      </c>
      <c r="M1447" s="136" cm="1">
        <f t="array" ref="M1447">IF(L1447="מאושר",IF(K1447="הכנסה שסווגה מחדש",0,G1447),0)</f>
        <v>25</v>
      </c>
      <c r="N1447" s="136" cm="1">
        <f t="array" ref="N1447">IF(K1447="שוטף",M1447,0)</f>
        <v>25</v>
      </c>
      <c r="O1447" s="136" cm="1">
        <f t="array" ref="O1447">IF(K1447="הכנסה שסווגה מחדש",-G1447,0)</f>
        <v>0</v>
      </c>
      <c r="P1447" t="s" s="80">
        <v>842</v>
      </c>
      <c r="Q1447" s="100"/>
      <c r="R1447" t="s" s="137">
        <v>743</v>
      </c>
      <c r="S1447" s="77"/>
    </row>
    <row r="1448" ht="13.65" customHeight="1">
      <c r="A1448" s="84">
        <v>46082</v>
      </c>
      <c r="B1448" t="s" s="85">
        <v>58</v>
      </c>
      <c r="C1448" t="s" s="86">
        <v>898</v>
      </c>
      <c r="D1448" s="138">
        <v>70</v>
      </c>
      <c r="E1448" t="s" s="85">
        <v>903</v>
      </c>
      <c r="F1448" t="s" s="86">
        <v>213</v>
      </c>
      <c r="G1448" s="139">
        <v>211</v>
      </c>
      <c r="H1448" t="s" s="140">
        <v>115</v>
      </c>
      <c r="I1448" t="s" s="141">
        <v>115</v>
      </c>
      <c r="J1448" t="s" s="141">
        <v>97</v>
      </c>
      <c r="K1448" t="str" s="142" cm="1">
        <f t="array" ref="K1448">IF(OR(H1448="ריביות",AND(H1448="דירה כצנלסון",G1448&lt;0,ISNUMBER(SEARCH("הכנסה",F1448)))),"הכנסה שסווגה מחדש",J1448)</f>
        <v>שוטף</v>
      </c>
      <c r="L1448" t="s" s="141">
        <v>741</v>
      </c>
      <c r="M1448" s="143" cm="1">
        <f t="array" ref="M1448">IF(L1448="מאושר",IF(K1448="הכנסה שסווגה מחדש",0,G1448),0)</f>
        <v>211</v>
      </c>
      <c r="N1448" s="143" cm="1">
        <f t="array" ref="N1448">IF(K1448="שוטף",M1448,0)</f>
        <v>211</v>
      </c>
      <c r="O1448" s="143" cm="1">
        <f t="array" ref="O1448">IF(K1448="הכנסה שסווגה מחדש",-G1448,0)</f>
        <v>0</v>
      </c>
      <c r="P1448" t="s" s="86">
        <v>842</v>
      </c>
      <c r="Q1448" s="99"/>
      <c r="R1448" t="s" s="144">
        <v>743</v>
      </c>
      <c r="S1448" s="77"/>
    </row>
    <row r="1449" ht="13.65" customHeight="1">
      <c r="A1449" s="78">
        <v>46082</v>
      </c>
      <c r="B1449" t="s" s="79">
        <v>58</v>
      </c>
      <c r="C1449" t="s" s="80">
        <v>898</v>
      </c>
      <c r="D1449" s="131">
        <v>71</v>
      </c>
      <c r="E1449" t="s" s="79">
        <v>903</v>
      </c>
      <c r="F1449" t="s" s="80">
        <v>666</v>
      </c>
      <c r="G1449" s="132">
        <v>23</v>
      </c>
      <c r="H1449" t="s" s="133">
        <v>113</v>
      </c>
      <c r="I1449" t="s" s="134">
        <v>113</v>
      </c>
      <c r="J1449" t="s" s="134">
        <v>97</v>
      </c>
      <c r="K1449" t="str" s="135" cm="1">
        <f t="array" ref="K1449">IF(OR(H1449="ריביות",AND(H1449="דירה כצנלסון",G1449&lt;0,ISNUMBER(SEARCH("הכנסה",F1449)))),"הכנסה שסווגה מחדש",J1449)</f>
        <v>שוטף</v>
      </c>
      <c r="L1449" t="s" s="134">
        <v>741</v>
      </c>
      <c r="M1449" s="136" cm="1">
        <f t="array" ref="M1449">IF(L1449="מאושר",IF(K1449="הכנסה שסווגה מחדש",0,G1449),0)</f>
        <v>23</v>
      </c>
      <c r="N1449" s="136" cm="1">
        <f t="array" ref="N1449">IF(K1449="שוטף",M1449,0)</f>
        <v>23</v>
      </c>
      <c r="O1449" s="136" cm="1">
        <f t="array" ref="O1449">IF(K1449="הכנסה שסווגה מחדש",-G1449,0)</f>
        <v>0</v>
      </c>
      <c r="P1449" t="s" s="80">
        <v>842</v>
      </c>
      <c r="Q1449" s="100"/>
      <c r="R1449" t="s" s="137">
        <v>743</v>
      </c>
      <c r="S1449" s="77"/>
    </row>
    <row r="1450" ht="13.65" customHeight="1">
      <c r="A1450" s="84">
        <v>46082</v>
      </c>
      <c r="B1450" t="s" s="85">
        <v>58</v>
      </c>
      <c r="C1450" t="s" s="86">
        <v>898</v>
      </c>
      <c r="D1450" s="138">
        <v>72</v>
      </c>
      <c r="E1450" t="s" s="85">
        <v>903</v>
      </c>
      <c r="F1450" t="s" s="86">
        <v>639</v>
      </c>
      <c r="G1450" s="139">
        <v>35</v>
      </c>
      <c r="H1450" t="s" s="140">
        <v>113</v>
      </c>
      <c r="I1450" t="s" s="141">
        <v>113</v>
      </c>
      <c r="J1450" t="s" s="141">
        <v>97</v>
      </c>
      <c r="K1450" t="str" s="142" cm="1">
        <f t="array" ref="K1450">IF(OR(H1450="ריביות",AND(H1450="דירה כצנלסון",G1450&lt;0,ISNUMBER(SEARCH("הכנסה",F1450)))),"הכנסה שסווגה מחדש",J1450)</f>
        <v>שוטף</v>
      </c>
      <c r="L1450" t="s" s="141">
        <v>741</v>
      </c>
      <c r="M1450" s="143" cm="1">
        <f t="array" ref="M1450">IF(L1450="מאושר",IF(K1450="הכנסה שסווגה מחדש",0,G1450),0)</f>
        <v>35</v>
      </c>
      <c r="N1450" s="143" cm="1">
        <f t="array" ref="N1450">IF(K1450="שוטף",M1450,0)</f>
        <v>35</v>
      </c>
      <c r="O1450" s="143" cm="1">
        <f t="array" ref="O1450">IF(K1450="הכנסה שסווגה מחדש",-G1450,0)</f>
        <v>0</v>
      </c>
      <c r="P1450" t="s" s="86">
        <v>842</v>
      </c>
      <c r="Q1450" s="99"/>
      <c r="R1450" t="s" s="144">
        <v>743</v>
      </c>
      <c r="S1450" s="77"/>
    </row>
    <row r="1451" ht="13.65" customHeight="1">
      <c r="A1451" s="78">
        <v>46082</v>
      </c>
      <c r="B1451" t="s" s="79">
        <v>58</v>
      </c>
      <c r="C1451" t="s" s="80">
        <v>898</v>
      </c>
      <c r="D1451" s="131">
        <v>73</v>
      </c>
      <c r="E1451" t="s" s="79">
        <v>920</v>
      </c>
      <c r="F1451" t="s" s="80">
        <v>254</v>
      </c>
      <c r="G1451" s="132">
        <v>91</v>
      </c>
      <c r="H1451" t="s" s="133">
        <v>109</v>
      </c>
      <c r="I1451" t="s" s="134">
        <v>109</v>
      </c>
      <c r="J1451" t="s" s="134">
        <v>97</v>
      </c>
      <c r="K1451" t="str" s="135" cm="1">
        <f t="array" ref="K1451">IF(OR(H1451="ריביות",AND(H1451="דירה כצנלסון",G1451&lt;0,ISNUMBER(SEARCH("הכנסה",F1451)))),"הכנסה שסווגה מחדש",J1451)</f>
        <v>שוטף</v>
      </c>
      <c r="L1451" t="s" s="134">
        <v>741</v>
      </c>
      <c r="M1451" s="136" cm="1">
        <f t="array" ref="M1451">IF(L1451="מאושר",IF(K1451="הכנסה שסווגה מחדש",0,G1451),0)</f>
        <v>91</v>
      </c>
      <c r="N1451" s="136" cm="1">
        <f t="array" ref="N1451">IF(K1451="שוטף",M1451,0)</f>
        <v>91</v>
      </c>
      <c r="O1451" s="136" cm="1">
        <f t="array" ref="O1451">IF(K1451="הכנסה שסווגה מחדש",-G1451,0)</f>
        <v>0</v>
      </c>
      <c r="P1451" t="s" s="80">
        <v>842</v>
      </c>
      <c r="Q1451" s="100"/>
      <c r="R1451" t="s" s="137">
        <v>743</v>
      </c>
      <c r="S1451" s="77"/>
    </row>
    <row r="1452" ht="13.65" customHeight="1">
      <c r="A1452" s="84">
        <v>46082</v>
      </c>
      <c r="B1452" t="s" s="85">
        <v>58</v>
      </c>
      <c r="C1452" t="s" s="86">
        <v>898</v>
      </c>
      <c r="D1452" s="138">
        <v>74</v>
      </c>
      <c r="E1452" t="s" s="85">
        <v>931</v>
      </c>
      <c r="F1452" t="s" s="86">
        <v>213</v>
      </c>
      <c r="G1452" s="139">
        <v>85</v>
      </c>
      <c r="H1452" t="s" s="140">
        <v>115</v>
      </c>
      <c r="I1452" t="s" s="141">
        <v>115</v>
      </c>
      <c r="J1452" t="s" s="141">
        <v>97</v>
      </c>
      <c r="K1452" t="str" s="142" cm="1">
        <f t="array" ref="K1452">IF(OR(H1452="ריביות",AND(H1452="דירה כצנלסון",G1452&lt;0,ISNUMBER(SEARCH("הכנסה",F1452)))),"הכנסה שסווגה מחדש",J1452)</f>
        <v>שוטף</v>
      </c>
      <c r="L1452" t="s" s="141">
        <v>741</v>
      </c>
      <c r="M1452" s="143" cm="1">
        <f t="array" ref="M1452">IF(L1452="מאושר",IF(K1452="הכנסה שסווגה מחדש",0,G1452),0)</f>
        <v>85</v>
      </c>
      <c r="N1452" s="143" cm="1">
        <f t="array" ref="N1452">IF(K1452="שוטף",M1452,0)</f>
        <v>85</v>
      </c>
      <c r="O1452" s="143" cm="1">
        <f t="array" ref="O1452">IF(K1452="הכנסה שסווגה מחדש",-G1452,0)</f>
        <v>0</v>
      </c>
      <c r="P1452" t="s" s="86">
        <v>842</v>
      </c>
      <c r="Q1452" s="99"/>
      <c r="R1452" t="s" s="144">
        <v>743</v>
      </c>
      <c r="S1452" s="77"/>
    </row>
    <row r="1453" ht="13.65" customHeight="1">
      <c r="A1453" s="78">
        <v>46082</v>
      </c>
      <c r="B1453" t="s" s="79">
        <v>58</v>
      </c>
      <c r="C1453" t="s" s="80">
        <v>898</v>
      </c>
      <c r="D1453" s="131">
        <v>75</v>
      </c>
      <c r="E1453" t="s" s="79">
        <v>904</v>
      </c>
      <c r="F1453" t="s" s="80">
        <v>200</v>
      </c>
      <c r="G1453" s="132">
        <v>46</v>
      </c>
      <c r="H1453" t="s" s="133">
        <v>109</v>
      </c>
      <c r="I1453" t="s" s="134">
        <v>109</v>
      </c>
      <c r="J1453" t="s" s="134">
        <v>97</v>
      </c>
      <c r="K1453" t="str" s="135" cm="1">
        <f t="array" ref="K1453">IF(OR(H1453="ריביות",AND(H1453="דירה כצנלסון",G1453&lt;0,ISNUMBER(SEARCH("הכנסה",F1453)))),"הכנסה שסווגה מחדש",J1453)</f>
        <v>שוטף</v>
      </c>
      <c r="L1453" t="s" s="134">
        <v>741</v>
      </c>
      <c r="M1453" s="136" cm="1">
        <f t="array" ref="M1453">IF(L1453="מאושר",IF(K1453="הכנסה שסווגה מחדש",0,G1453),0)</f>
        <v>46</v>
      </c>
      <c r="N1453" s="136" cm="1">
        <f t="array" ref="N1453">IF(K1453="שוטף",M1453,0)</f>
        <v>46</v>
      </c>
      <c r="O1453" s="136" cm="1">
        <f t="array" ref="O1453">IF(K1453="הכנסה שסווגה מחדש",-G1453,0)</f>
        <v>0</v>
      </c>
      <c r="P1453" t="s" s="80">
        <v>842</v>
      </c>
      <c r="Q1453" s="100"/>
      <c r="R1453" t="s" s="137">
        <v>743</v>
      </c>
      <c r="S1453" s="77"/>
    </row>
    <row r="1454" ht="13.65" customHeight="1">
      <c r="A1454" s="84">
        <v>46082</v>
      </c>
      <c r="B1454" t="s" s="85">
        <v>58</v>
      </c>
      <c r="C1454" t="s" s="86">
        <v>898</v>
      </c>
      <c r="D1454" s="138">
        <v>76</v>
      </c>
      <c r="E1454" t="s" s="85">
        <v>932</v>
      </c>
      <c r="F1454" t="s" s="86">
        <v>254</v>
      </c>
      <c r="G1454" s="139">
        <v>15</v>
      </c>
      <c r="H1454" t="s" s="140">
        <v>109</v>
      </c>
      <c r="I1454" t="s" s="141">
        <v>109</v>
      </c>
      <c r="J1454" t="s" s="141">
        <v>97</v>
      </c>
      <c r="K1454" t="str" s="142" cm="1">
        <f t="array" ref="K1454">IF(OR(H1454="ריביות",AND(H1454="דירה כצנלסון",G1454&lt;0,ISNUMBER(SEARCH("הכנסה",F1454)))),"הכנסה שסווגה מחדש",J1454)</f>
        <v>שוטף</v>
      </c>
      <c r="L1454" t="s" s="141">
        <v>741</v>
      </c>
      <c r="M1454" s="143" cm="1">
        <f t="array" ref="M1454">IF(L1454="מאושר",IF(K1454="הכנסה שסווגה מחדש",0,G1454),0)</f>
        <v>15</v>
      </c>
      <c r="N1454" s="143" cm="1">
        <f t="array" ref="N1454">IF(K1454="שוטף",M1454,0)</f>
        <v>15</v>
      </c>
      <c r="O1454" s="143" cm="1">
        <f t="array" ref="O1454">IF(K1454="הכנסה שסווגה מחדש",-G1454,0)</f>
        <v>0</v>
      </c>
      <c r="P1454" t="s" s="86">
        <v>842</v>
      </c>
      <c r="Q1454" s="99"/>
      <c r="R1454" t="s" s="144">
        <v>743</v>
      </c>
      <c r="S1454" s="77"/>
    </row>
    <row r="1455" ht="13.65" customHeight="1">
      <c r="A1455" s="78">
        <v>46082</v>
      </c>
      <c r="B1455" t="s" s="79">
        <v>58</v>
      </c>
      <c r="C1455" t="s" s="80">
        <v>898</v>
      </c>
      <c r="D1455" s="131">
        <v>77</v>
      </c>
      <c r="E1455" s="100"/>
      <c r="F1455" t="s" s="80">
        <v>719</v>
      </c>
      <c r="G1455" s="132">
        <v>622</v>
      </c>
      <c r="H1455" t="s" s="133">
        <v>829</v>
      </c>
      <c r="I1455" t="s" s="134">
        <v>102</v>
      </c>
      <c r="J1455" t="s" s="134">
        <v>103</v>
      </c>
      <c r="K1455" t="str" s="135" cm="1">
        <f t="array" ref="K1455">IF(OR(H1455="ריביות",AND(H1455="דירה כצנלסון",G1455&lt;0,ISNUMBER(SEARCH("הכנסה",F1455)))),"הכנסה שסווגה מחדש",J1455)</f>
        <v>חריג</v>
      </c>
      <c r="L1455" t="s" s="134">
        <v>741</v>
      </c>
      <c r="M1455" s="136" cm="1">
        <f t="array" ref="M1455">IF(L1455="מאושר",IF(K1455="הכנסה שסווגה מחדש",0,G1455),0)</f>
        <v>622</v>
      </c>
      <c r="N1455" s="136" cm="1">
        <f t="array" ref="N1455">IF(K1455="שוטף",M1455,0)</f>
        <v>0</v>
      </c>
      <c r="O1455" s="136" cm="1">
        <f t="array" ref="O1455">IF(K1455="הכנסה שסווגה מחדש",-G1455,0)</f>
        <v>0</v>
      </c>
      <c r="P1455" s="100"/>
      <c r="Q1455" t="s" s="79">
        <v>933</v>
      </c>
      <c r="R1455" t="s" s="137">
        <v>831</v>
      </c>
      <c r="S1455" s="77"/>
    </row>
    <row r="1456" ht="13.65" customHeight="1">
      <c r="A1456" s="84">
        <v>46082</v>
      </c>
      <c r="B1456" t="s" s="85">
        <v>58</v>
      </c>
      <c r="C1456" t="s" s="86">
        <v>898</v>
      </c>
      <c r="D1456" s="138">
        <v>78</v>
      </c>
      <c r="E1456" t="s" s="85">
        <v>934</v>
      </c>
      <c r="F1456" t="s" s="86">
        <v>200</v>
      </c>
      <c r="G1456" s="139">
        <v>26</v>
      </c>
      <c r="H1456" t="s" s="140">
        <v>109</v>
      </c>
      <c r="I1456" t="s" s="141">
        <v>109</v>
      </c>
      <c r="J1456" t="s" s="141">
        <v>97</v>
      </c>
      <c r="K1456" t="str" s="142" cm="1">
        <f t="array" ref="K1456">IF(OR(H1456="ריביות",AND(H1456="דירה כצנלסון",G1456&lt;0,ISNUMBER(SEARCH("הכנסה",F1456)))),"הכנסה שסווגה מחדש",J1456)</f>
        <v>שוטף</v>
      </c>
      <c r="L1456" t="s" s="141">
        <v>741</v>
      </c>
      <c r="M1456" s="143" cm="1">
        <f t="array" ref="M1456">IF(L1456="מאושר",IF(K1456="הכנסה שסווגה מחדש",0,G1456),0)</f>
        <v>26</v>
      </c>
      <c r="N1456" s="143" cm="1">
        <f t="array" ref="N1456">IF(K1456="שוטף",M1456,0)</f>
        <v>26</v>
      </c>
      <c r="O1456" s="143" cm="1">
        <f t="array" ref="O1456">IF(K1456="הכנסה שסווגה מחדש",-G1456,0)</f>
        <v>0</v>
      </c>
      <c r="P1456" t="s" s="86">
        <v>890</v>
      </c>
      <c r="Q1456" s="99"/>
      <c r="R1456" t="s" s="144">
        <v>743</v>
      </c>
      <c r="S1456" s="77"/>
    </row>
    <row r="1457" ht="13.65" customHeight="1">
      <c r="A1457" s="78">
        <v>46082</v>
      </c>
      <c r="B1457" t="s" s="79">
        <v>58</v>
      </c>
      <c r="C1457" t="s" s="80">
        <v>898</v>
      </c>
      <c r="D1457" s="131">
        <v>79</v>
      </c>
      <c r="E1457" t="s" s="79">
        <v>934</v>
      </c>
      <c r="F1457" t="s" s="80">
        <v>200</v>
      </c>
      <c r="G1457" s="132">
        <v>74</v>
      </c>
      <c r="H1457" t="s" s="133">
        <v>109</v>
      </c>
      <c r="I1457" t="s" s="134">
        <v>109</v>
      </c>
      <c r="J1457" t="s" s="134">
        <v>97</v>
      </c>
      <c r="K1457" t="str" s="135" cm="1">
        <f t="array" ref="K1457">IF(OR(H1457="ריביות",AND(H1457="דירה כצנלסון",G1457&lt;0,ISNUMBER(SEARCH("הכנסה",F1457)))),"הכנסה שסווגה מחדש",J1457)</f>
        <v>שוטף</v>
      </c>
      <c r="L1457" t="s" s="134">
        <v>741</v>
      </c>
      <c r="M1457" s="136" cm="1">
        <f t="array" ref="M1457">IF(L1457="מאושר",IF(K1457="הכנסה שסווגה מחדש",0,G1457),0)</f>
        <v>74</v>
      </c>
      <c r="N1457" s="136" cm="1">
        <f t="array" ref="N1457">IF(K1457="שוטף",M1457,0)</f>
        <v>74</v>
      </c>
      <c r="O1457" s="136" cm="1">
        <f t="array" ref="O1457">IF(K1457="הכנסה שסווגה מחדש",-G1457,0)</f>
        <v>0</v>
      </c>
      <c r="P1457" t="s" s="80">
        <v>890</v>
      </c>
      <c r="Q1457" s="100"/>
      <c r="R1457" t="s" s="137">
        <v>743</v>
      </c>
      <c r="S1457" s="77"/>
    </row>
    <row r="1458" ht="13.65" customHeight="1">
      <c r="A1458" s="84">
        <v>46082</v>
      </c>
      <c r="B1458" t="s" s="85">
        <v>58</v>
      </c>
      <c r="C1458" t="s" s="86">
        <v>898</v>
      </c>
      <c r="D1458" s="138">
        <v>80</v>
      </c>
      <c r="E1458" t="s" s="85">
        <v>934</v>
      </c>
      <c r="F1458" t="s" s="86">
        <v>209</v>
      </c>
      <c r="G1458" s="139">
        <v>222</v>
      </c>
      <c r="H1458" t="s" s="140">
        <v>113</v>
      </c>
      <c r="I1458" t="s" s="141">
        <v>113</v>
      </c>
      <c r="J1458" t="s" s="141">
        <v>97</v>
      </c>
      <c r="K1458" t="str" s="142" cm="1">
        <f t="array" ref="K1458">IF(OR(H1458="ריביות",AND(H1458="דירה כצנלסון",G1458&lt;0,ISNUMBER(SEARCH("הכנסה",F1458)))),"הכנסה שסווגה מחדש",J1458)</f>
        <v>שוטף</v>
      </c>
      <c r="L1458" t="s" s="141">
        <v>741</v>
      </c>
      <c r="M1458" s="143" cm="1">
        <f t="array" ref="M1458">IF(L1458="מאושר",IF(K1458="הכנסה שסווגה מחדש",0,G1458),0)</f>
        <v>222</v>
      </c>
      <c r="N1458" s="143" cm="1">
        <f t="array" ref="N1458">IF(K1458="שוטף",M1458,0)</f>
        <v>222</v>
      </c>
      <c r="O1458" s="143" cm="1">
        <f t="array" ref="O1458">IF(K1458="הכנסה שסווגה מחדש",-G1458,0)</f>
        <v>0</v>
      </c>
      <c r="P1458" t="s" s="86">
        <v>890</v>
      </c>
      <c r="Q1458" s="99"/>
      <c r="R1458" t="s" s="144">
        <v>743</v>
      </c>
      <c r="S1458" s="77"/>
    </row>
    <row r="1459" ht="13.65" customHeight="1">
      <c r="A1459" s="78">
        <v>46082</v>
      </c>
      <c r="B1459" t="s" s="79">
        <v>58</v>
      </c>
      <c r="C1459" t="s" s="80">
        <v>898</v>
      </c>
      <c r="D1459" s="131">
        <v>81</v>
      </c>
      <c r="E1459" t="s" s="79">
        <v>934</v>
      </c>
      <c r="F1459" t="s" s="80">
        <v>200</v>
      </c>
      <c r="G1459" s="132">
        <v>155</v>
      </c>
      <c r="H1459" t="s" s="133">
        <v>109</v>
      </c>
      <c r="I1459" t="s" s="134">
        <v>109</v>
      </c>
      <c r="J1459" t="s" s="134">
        <v>97</v>
      </c>
      <c r="K1459" t="str" s="135" cm="1">
        <f t="array" ref="K1459">IF(OR(H1459="ריביות",AND(H1459="דירה כצנלסון",G1459&lt;0,ISNUMBER(SEARCH("הכנסה",F1459)))),"הכנסה שסווגה מחדש",J1459)</f>
        <v>שוטף</v>
      </c>
      <c r="L1459" t="s" s="134">
        <v>741</v>
      </c>
      <c r="M1459" s="136" cm="1">
        <f t="array" ref="M1459">IF(L1459="מאושר",IF(K1459="הכנסה שסווגה מחדש",0,G1459),0)</f>
        <v>155</v>
      </c>
      <c r="N1459" s="136" cm="1">
        <f t="array" ref="N1459">IF(K1459="שוטף",M1459,0)</f>
        <v>155</v>
      </c>
      <c r="O1459" s="136" cm="1">
        <f t="array" ref="O1459">IF(K1459="הכנסה שסווגה מחדש",-G1459,0)</f>
        <v>0</v>
      </c>
      <c r="P1459" t="s" s="80">
        <v>890</v>
      </c>
      <c r="Q1459" s="100"/>
      <c r="R1459" t="s" s="137">
        <v>743</v>
      </c>
      <c r="S1459" s="77"/>
    </row>
    <row r="1460" ht="13.65" customHeight="1">
      <c r="A1460" s="84">
        <v>46082</v>
      </c>
      <c r="B1460" t="s" s="85">
        <v>58</v>
      </c>
      <c r="C1460" t="s" s="86">
        <v>898</v>
      </c>
      <c r="D1460" s="138">
        <v>82</v>
      </c>
      <c r="E1460" t="s" s="85">
        <v>934</v>
      </c>
      <c r="F1460" t="s" s="86">
        <v>200</v>
      </c>
      <c r="G1460" s="139">
        <v>76</v>
      </c>
      <c r="H1460" t="s" s="140">
        <v>109</v>
      </c>
      <c r="I1460" t="s" s="141">
        <v>109</v>
      </c>
      <c r="J1460" t="s" s="141">
        <v>97</v>
      </c>
      <c r="K1460" t="str" s="142" cm="1">
        <f t="array" ref="K1460">IF(OR(H1460="ריביות",AND(H1460="דירה כצנלסון",G1460&lt;0,ISNUMBER(SEARCH("הכנסה",F1460)))),"הכנסה שסווגה מחדש",J1460)</f>
        <v>שוטף</v>
      </c>
      <c r="L1460" t="s" s="141">
        <v>741</v>
      </c>
      <c r="M1460" s="143" cm="1">
        <f t="array" ref="M1460">IF(L1460="מאושר",IF(K1460="הכנסה שסווגה מחדש",0,G1460),0)</f>
        <v>76</v>
      </c>
      <c r="N1460" s="143" cm="1">
        <f t="array" ref="N1460">IF(K1460="שוטף",M1460,0)</f>
        <v>76</v>
      </c>
      <c r="O1460" s="143" cm="1">
        <f t="array" ref="O1460">IF(K1460="הכנסה שסווגה מחדש",-G1460,0)</f>
        <v>0</v>
      </c>
      <c r="P1460" t="s" s="86">
        <v>890</v>
      </c>
      <c r="Q1460" s="99"/>
      <c r="R1460" t="s" s="144">
        <v>743</v>
      </c>
      <c r="S1460" s="77"/>
    </row>
    <row r="1461" ht="13.65" customHeight="1">
      <c r="A1461" s="78">
        <v>46082</v>
      </c>
      <c r="B1461" t="s" s="79">
        <v>58</v>
      </c>
      <c r="C1461" t="s" s="80">
        <v>898</v>
      </c>
      <c r="D1461" s="131">
        <v>83</v>
      </c>
      <c r="E1461" t="s" s="79">
        <v>934</v>
      </c>
      <c r="F1461" t="s" s="80">
        <v>200</v>
      </c>
      <c r="G1461" s="132">
        <v>59</v>
      </c>
      <c r="H1461" t="s" s="133">
        <v>109</v>
      </c>
      <c r="I1461" t="s" s="134">
        <v>109</v>
      </c>
      <c r="J1461" t="s" s="134">
        <v>97</v>
      </c>
      <c r="K1461" t="str" s="135" cm="1">
        <f t="array" ref="K1461">IF(OR(H1461="ריביות",AND(H1461="דירה כצנלסון",G1461&lt;0,ISNUMBER(SEARCH("הכנסה",F1461)))),"הכנסה שסווגה מחדש",J1461)</f>
        <v>שוטף</v>
      </c>
      <c r="L1461" t="s" s="134">
        <v>741</v>
      </c>
      <c r="M1461" s="136" cm="1">
        <f t="array" ref="M1461">IF(L1461="מאושר",IF(K1461="הכנסה שסווגה מחדש",0,G1461),0)</f>
        <v>59</v>
      </c>
      <c r="N1461" s="136" cm="1">
        <f t="array" ref="N1461">IF(K1461="שוטף",M1461,0)</f>
        <v>59</v>
      </c>
      <c r="O1461" s="136" cm="1">
        <f t="array" ref="O1461">IF(K1461="הכנסה שסווגה מחדש",-G1461,0)</f>
        <v>0</v>
      </c>
      <c r="P1461" t="s" s="80">
        <v>890</v>
      </c>
      <c r="Q1461" s="100"/>
      <c r="R1461" t="s" s="137">
        <v>743</v>
      </c>
      <c r="S1461" s="77"/>
    </row>
    <row r="1462" ht="13.65" customHeight="1">
      <c r="A1462" s="84">
        <v>46082</v>
      </c>
      <c r="B1462" t="s" s="85">
        <v>58</v>
      </c>
      <c r="C1462" t="s" s="86">
        <v>898</v>
      </c>
      <c r="D1462" s="138">
        <v>84</v>
      </c>
      <c r="E1462" t="s" s="85">
        <v>934</v>
      </c>
      <c r="F1462" t="s" s="86">
        <v>200</v>
      </c>
      <c r="G1462" s="139">
        <v>52</v>
      </c>
      <c r="H1462" t="s" s="140">
        <v>109</v>
      </c>
      <c r="I1462" t="s" s="141">
        <v>109</v>
      </c>
      <c r="J1462" t="s" s="141">
        <v>97</v>
      </c>
      <c r="K1462" t="str" s="142" cm="1">
        <f t="array" ref="K1462">IF(OR(H1462="ריביות",AND(H1462="דירה כצנלסון",G1462&lt;0,ISNUMBER(SEARCH("הכנסה",F1462)))),"הכנסה שסווגה מחדש",J1462)</f>
        <v>שוטף</v>
      </c>
      <c r="L1462" t="s" s="141">
        <v>741</v>
      </c>
      <c r="M1462" s="143" cm="1">
        <f t="array" ref="M1462">IF(L1462="מאושר",IF(K1462="הכנסה שסווגה מחדש",0,G1462),0)</f>
        <v>52</v>
      </c>
      <c r="N1462" s="143" cm="1">
        <f t="array" ref="N1462">IF(K1462="שוטף",M1462,0)</f>
        <v>52</v>
      </c>
      <c r="O1462" s="143" cm="1">
        <f t="array" ref="O1462">IF(K1462="הכנסה שסווגה מחדש",-G1462,0)</f>
        <v>0</v>
      </c>
      <c r="P1462" t="s" s="86">
        <v>890</v>
      </c>
      <c r="Q1462" s="99"/>
      <c r="R1462" t="s" s="144">
        <v>743</v>
      </c>
      <c r="S1462" s="77"/>
    </row>
    <row r="1463" ht="13.65" customHeight="1">
      <c r="A1463" s="78">
        <v>46082</v>
      </c>
      <c r="B1463" t="s" s="79">
        <v>58</v>
      </c>
      <c r="C1463" t="s" s="80">
        <v>898</v>
      </c>
      <c r="D1463" s="131">
        <v>85</v>
      </c>
      <c r="E1463" t="s" s="79">
        <v>934</v>
      </c>
      <c r="F1463" t="s" s="80">
        <v>209</v>
      </c>
      <c r="G1463" s="132">
        <v>147</v>
      </c>
      <c r="H1463" t="s" s="133">
        <v>113</v>
      </c>
      <c r="I1463" t="s" s="134">
        <v>113</v>
      </c>
      <c r="J1463" t="s" s="134">
        <v>97</v>
      </c>
      <c r="K1463" t="str" s="135" cm="1">
        <f t="array" ref="K1463">IF(OR(H1463="ריביות",AND(H1463="דירה כצנלסון",G1463&lt;0,ISNUMBER(SEARCH("הכנסה",F1463)))),"הכנסה שסווגה מחדש",J1463)</f>
        <v>שוטף</v>
      </c>
      <c r="L1463" t="s" s="134">
        <v>741</v>
      </c>
      <c r="M1463" s="136" cm="1">
        <f t="array" ref="M1463">IF(L1463="מאושר",IF(K1463="הכנסה שסווגה מחדש",0,G1463),0)</f>
        <v>147</v>
      </c>
      <c r="N1463" s="136" cm="1">
        <f t="array" ref="N1463">IF(K1463="שוטף",M1463,0)</f>
        <v>147</v>
      </c>
      <c r="O1463" s="136" cm="1">
        <f t="array" ref="O1463">IF(K1463="הכנסה שסווגה מחדש",-G1463,0)</f>
        <v>0</v>
      </c>
      <c r="P1463" t="s" s="80">
        <v>890</v>
      </c>
      <c r="Q1463" s="100"/>
      <c r="R1463" t="s" s="137">
        <v>743</v>
      </c>
      <c r="S1463" s="77"/>
    </row>
    <row r="1464" ht="13.65" customHeight="1">
      <c r="A1464" s="84">
        <v>46082</v>
      </c>
      <c r="B1464" t="s" s="85">
        <v>58</v>
      </c>
      <c r="C1464" t="s" s="86">
        <v>898</v>
      </c>
      <c r="D1464" s="138">
        <v>86</v>
      </c>
      <c r="E1464" t="s" s="85">
        <v>935</v>
      </c>
      <c r="F1464" t="s" s="85">
        <v>415</v>
      </c>
      <c r="G1464" s="139">
        <v>262</v>
      </c>
      <c r="H1464" t="s" s="140">
        <v>113</v>
      </c>
      <c r="I1464" t="s" s="141">
        <v>113</v>
      </c>
      <c r="J1464" t="s" s="141">
        <v>97</v>
      </c>
      <c r="K1464" t="str" s="142" cm="1">
        <f t="array" ref="K1464">IF(OR(H1464="ריביות",AND(H1464="דירה כצנלסון",G1464&lt;0,ISNUMBER(SEARCH("הכנסה",F1464)))),"הכנסה שסווגה מחדש",J1464)</f>
        <v>שוטף</v>
      </c>
      <c r="L1464" t="s" s="141">
        <v>741</v>
      </c>
      <c r="M1464" s="143" cm="1">
        <f t="array" ref="M1464">IF(L1464="מאושר",IF(K1464="הכנסה שסווגה מחדש",0,G1464),0)</f>
        <v>262</v>
      </c>
      <c r="N1464" s="143" cm="1">
        <f t="array" ref="N1464">IF(K1464="שוטף",M1464,0)</f>
        <v>262</v>
      </c>
      <c r="O1464" s="143" cm="1">
        <f t="array" ref="O1464">IF(K1464="הכנסה שסווגה מחדש",-G1464,0)</f>
        <v>0</v>
      </c>
      <c r="P1464" t="s" s="86">
        <v>890</v>
      </c>
      <c r="Q1464" s="99"/>
      <c r="R1464" t="s" s="144">
        <v>743</v>
      </c>
      <c r="S1464" s="77"/>
    </row>
    <row r="1465" ht="13.65" customHeight="1">
      <c r="A1465" s="78">
        <v>46082</v>
      </c>
      <c r="B1465" t="s" s="79">
        <v>58</v>
      </c>
      <c r="C1465" t="s" s="80">
        <v>898</v>
      </c>
      <c r="D1465" s="131">
        <v>87</v>
      </c>
      <c r="E1465" t="s" s="79">
        <v>935</v>
      </c>
      <c r="F1465" t="s" s="80">
        <v>484</v>
      </c>
      <c r="G1465" s="132">
        <v>148</v>
      </c>
      <c r="H1465" t="s" s="133">
        <v>113</v>
      </c>
      <c r="I1465" t="s" s="134">
        <v>113</v>
      </c>
      <c r="J1465" t="s" s="134">
        <v>97</v>
      </c>
      <c r="K1465" t="str" s="135" cm="1">
        <f t="array" ref="K1465">IF(OR(H1465="ריביות",AND(H1465="דירה כצנלסון",G1465&lt;0,ISNUMBER(SEARCH("הכנסה",F1465)))),"הכנסה שסווגה מחדש",J1465)</f>
        <v>שוטף</v>
      </c>
      <c r="L1465" t="s" s="134">
        <v>741</v>
      </c>
      <c r="M1465" s="136" cm="1">
        <f t="array" ref="M1465">IF(L1465="מאושר",IF(K1465="הכנסה שסווגה מחדש",0,G1465),0)</f>
        <v>148</v>
      </c>
      <c r="N1465" s="136" cm="1">
        <f t="array" ref="N1465">IF(K1465="שוטף",M1465,0)</f>
        <v>148</v>
      </c>
      <c r="O1465" s="136" cm="1">
        <f t="array" ref="O1465">IF(K1465="הכנסה שסווגה מחדש",-G1465,0)</f>
        <v>0</v>
      </c>
      <c r="P1465" t="s" s="80">
        <v>890</v>
      </c>
      <c r="Q1465" s="100"/>
      <c r="R1465" t="s" s="137">
        <v>743</v>
      </c>
      <c r="S1465" s="77"/>
    </row>
    <row r="1466" ht="13.65" customHeight="1">
      <c r="A1466" s="84">
        <v>46082</v>
      </c>
      <c r="B1466" t="s" s="85">
        <v>58</v>
      </c>
      <c r="C1466" t="s" s="86">
        <v>898</v>
      </c>
      <c r="D1466" s="138">
        <v>88</v>
      </c>
      <c r="E1466" t="s" s="85">
        <v>934</v>
      </c>
      <c r="F1466" t="s" s="86">
        <v>200</v>
      </c>
      <c r="G1466" s="139">
        <v>30</v>
      </c>
      <c r="H1466" t="s" s="140">
        <v>109</v>
      </c>
      <c r="I1466" t="s" s="141">
        <v>109</v>
      </c>
      <c r="J1466" t="s" s="141">
        <v>97</v>
      </c>
      <c r="K1466" t="str" s="142" cm="1">
        <f t="array" ref="K1466">IF(OR(H1466="ריביות",AND(H1466="דירה כצנלסון",G1466&lt;0,ISNUMBER(SEARCH("הכנסה",F1466)))),"הכנסה שסווגה מחדש",J1466)</f>
        <v>שוטף</v>
      </c>
      <c r="L1466" t="s" s="141">
        <v>741</v>
      </c>
      <c r="M1466" s="143" cm="1">
        <f t="array" ref="M1466">IF(L1466="מאושר",IF(K1466="הכנסה שסווגה מחדש",0,G1466),0)</f>
        <v>30</v>
      </c>
      <c r="N1466" s="143" cm="1">
        <f t="array" ref="N1466">IF(K1466="שוטף",M1466,0)</f>
        <v>30</v>
      </c>
      <c r="O1466" s="143" cm="1">
        <f t="array" ref="O1466">IF(K1466="הכנסה שסווגה מחדש",-G1466,0)</f>
        <v>0</v>
      </c>
      <c r="P1466" t="s" s="86">
        <v>890</v>
      </c>
      <c r="Q1466" s="99"/>
      <c r="R1466" t="s" s="144">
        <v>743</v>
      </c>
      <c r="S1466" s="77"/>
    </row>
    <row r="1467" ht="13.65" customHeight="1">
      <c r="A1467" s="78">
        <v>46082</v>
      </c>
      <c r="B1467" t="s" s="79">
        <v>58</v>
      </c>
      <c r="C1467" t="s" s="80">
        <v>898</v>
      </c>
      <c r="D1467" s="131">
        <v>89</v>
      </c>
      <c r="E1467" t="s" s="79">
        <v>934</v>
      </c>
      <c r="F1467" t="s" s="80">
        <v>209</v>
      </c>
      <c r="G1467" s="132">
        <v>231</v>
      </c>
      <c r="H1467" t="s" s="133">
        <v>113</v>
      </c>
      <c r="I1467" t="s" s="134">
        <v>113</v>
      </c>
      <c r="J1467" t="s" s="134">
        <v>97</v>
      </c>
      <c r="K1467" t="str" s="135" cm="1">
        <f t="array" ref="K1467">IF(OR(H1467="ריביות",AND(H1467="דירה כצנלסון",G1467&lt;0,ISNUMBER(SEARCH("הכנסה",F1467)))),"הכנסה שסווגה מחדש",J1467)</f>
        <v>שוטף</v>
      </c>
      <c r="L1467" t="s" s="134">
        <v>741</v>
      </c>
      <c r="M1467" s="136" cm="1">
        <f t="array" ref="M1467">IF(L1467="מאושר",IF(K1467="הכנסה שסווגה מחדש",0,G1467),0)</f>
        <v>231</v>
      </c>
      <c r="N1467" s="136" cm="1">
        <f t="array" ref="N1467">IF(K1467="שוטף",M1467,0)</f>
        <v>231</v>
      </c>
      <c r="O1467" s="136" cm="1">
        <f t="array" ref="O1467">IF(K1467="הכנסה שסווגה מחדש",-G1467,0)</f>
        <v>0</v>
      </c>
      <c r="P1467" t="s" s="80">
        <v>890</v>
      </c>
      <c r="Q1467" s="100"/>
      <c r="R1467" t="s" s="137">
        <v>743</v>
      </c>
      <c r="S1467" s="77"/>
    </row>
    <row r="1468" ht="13.65" customHeight="1">
      <c r="A1468" s="84">
        <v>46082</v>
      </c>
      <c r="B1468" t="s" s="85">
        <v>58</v>
      </c>
      <c r="C1468" t="s" s="86">
        <v>898</v>
      </c>
      <c r="D1468" s="138">
        <v>90</v>
      </c>
      <c r="E1468" t="s" s="85">
        <v>934</v>
      </c>
      <c r="F1468" t="s" s="86">
        <v>200</v>
      </c>
      <c r="G1468" s="139">
        <v>35</v>
      </c>
      <c r="H1468" t="s" s="140">
        <v>109</v>
      </c>
      <c r="I1468" t="s" s="141">
        <v>109</v>
      </c>
      <c r="J1468" t="s" s="141">
        <v>97</v>
      </c>
      <c r="K1468" t="str" s="142" cm="1">
        <f t="array" ref="K1468">IF(OR(H1468="ריביות",AND(H1468="דירה כצנלסון",G1468&lt;0,ISNUMBER(SEARCH("הכנסה",F1468)))),"הכנסה שסווגה מחדש",J1468)</f>
        <v>שוטף</v>
      </c>
      <c r="L1468" t="s" s="141">
        <v>741</v>
      </c>
      <c r="M1468" s="143" cm="1">
        <f t="array" ref="M1468">IF(L1468="מאושר",IF(K1468="הכנסה שסווגה מחדש",0,G1468),0)</f>
        <v>35</v>
      </c>
      <c r="N1468" s="143" cm="1">
        <f t="array" ref="N1468">IF(K1468="שוטף",M1468,0)</f>
        <v>35</v>
      </c>
      <c r="O1468" s="143" cm="1">
        <f t="array" ref="O1468">IF(K1468="הכנסה שסווגה מחדש",-G1468,0)</f>
        <v>0</v>
      </c>
      <c r="P1468" t="s" s="86">
        <v>890</v>
      </c>
      <c r="Q1468" s="99"/>
      <c r="R1468" t="s" s="144">
        <v>743</v>
      </c>
      <c r="S1468" s="77"/>
    </row>
    <row r="1469" ht="13.65" customHeight="1">
      <c r="A1469" s="78">
        <v>46082</v>
      </c>
      <c r="B1469" t="s" s="79">
        <v>58</v>
      </c>
      <c r="C1469" t="s" s="80">
        <v>898</v>
      </c>
      <c r="D1469" s="131">
        <v>91</v>
      </c>
      <c r="E1469" t="s" s="79">
        <v>936</v>
      </c>
      <c r="F1469" t="s" s="80">
        <v>272</v>
      </c>
      <c r="G1469" s="132">
        <v>153</v>
      </c>
      <c r="H1469" t="s" s="133">
        <v>838</v>
      </c>
      <c r="I1469" t="s" s="134">
        <v>96</v>
      </c>
      <c r="J1469" t="s" s="134">
        <v>97</v>
      </c>
      <c r="K1469" t="str" s="135" cm="1">
        <f t="array" ref="K1469">IF(OR(H1469="ריביות",AND(H1469="דירה כצנלסון",G1469&lt;0,ISNUMBER(SEARCH("הכנסה",F1469)))),"הכנסה שסווגה מחדש",J1469)</f>
        <v>שוטף</v>
      </c>
      <c r="L1469" t="s" s="134">
        <v>741</v>
      </c>
      <c r="M1469" s="136" cm="1">
        <f t="array" ref="M1469">IF(L1469="מאושר",IF(K1469="הכנסה שסווגה מחדש",0,G1469),0)</f>
        <v>153</v>
      </c>
      <c r="N1469" s="136" cm="1">
        <f t="array" ref="N1469">IF(K1469="שוטף",M1469,0)</f>
        <v>153</v>
      </c>
      <c r="O1469" s="136" cm="1">
        <f t="array" ref="O1469">IF(K1469="הכנסה שסווגה מחדש",-G1469,0)</f>
        <v>0</v>
      </c>
      <c r="P1469" t="s" s="80">
        <v>884</v>
      </c>
      <c r="Q1469" s="100"/>
      <c r="R1469" t="s" s="137">
        <v>743</v>
      </c>
      <c r="S1469" s="77"/>
    </row>
    <row r="1470" ht="13.65" customHeight="1">
      <c r="A1470" s="84">
        <v>46082</v>
      </c>
      <c r="B1470" t="s" s="85">
        <v>58</v>
      </c>
      <c r="C1470" t="s" s="86">
        <v>898</v>
      </c>
      <c r="D1470" s="138">
        <v>92</v>
      </c>
      <c r="E1470" t="s" s="85">
        <v>937</v>
      </c>
      <c r="F1470" t="s" s="86">
        <v>250</v>
      </c>
      <c r="G1470" s="139">
        <v>120</v>
      </c>
      <c r="H1470" t="s" s="140">
        <v>127</v>
      </c>
      <c r="I1470" t="s" s="141">
        <v>127</v>
      </c>
      <c r="J1470" t="s" s="141">
        <v>97</v>
      </c>
      <c r="K1470" t="str" s="142" cm="1">
        <f t="array" ref="K1470">IF(OR(H1470="ריביות",AND(H1470="דירה כצנלסון",G1470&lt;0,ISNUMBER(SEARCH("הכנסה",F1470)))),"הכנסה שסווגה מחדש",J1470)</f>
        <v>שוטף</v>
      </c>
      <c r="L1470" t="s" s="141">
        <v>741</v>
      </c>
      <c r="M1470" s="143" cm="1">
        <f t="array" ref="M1470">IF(L1470="מאושר",IF(K1470="הכנסה שסווגה מחדש",0,G1470),0)</f>
        <v>120</v>
      </c>
      <c r="N1470" s="143" cm="1">
        <f t="array" ref="N1470">IF(K1470="שוטף",M1470,0)</f>
        <v>120</v>
      </c>
      <c r="O1470" s="143" cm="1">
        <f t="array" ref="O1470">IF(K1470="הכנסה שסווגה מחדש",-G1470,0)</f>
        <v>0</v>
      </c>
      <c r="P1470" t="s" s="86">
        <v>884</v>
      </c>
      <c r="Q1470" s="99"/>
      <c r="R1470" t="s" s="144">
        <v>743</v>
      </c>
      <c r="S1470" s="77"/>
    </row>
    <row r="1471" ht="13.65" customHeight="1">
      <c r="A1471" s="78">
        <v>46082</v>
      </c>
      <c r="B1471" t="s" s="79">
        <v>58</v>
      </c>
      <c r="C1471" t="s" s="80">
        <v>898</v>
      </c>
      <c r="D1471" s="131">
        <v>93</v>
      </c>
      <c r="E1471" t="s" s="79">
        <v>910</v>
      </c>
      <c r="F1471" t="s" s="80">
        <v>506</v>
      </c>
      <c r="G1471" s="132">
        <v>119</v>
      </c>
      <c r="H1471" t="s" s="133">
        <v>133</v>
      </c>
      <c r="I1471" t="s" s="134">
        <v>133</v>
      </c>
      <c r="J1471" t="s" s="134">
        <v>97</v>
      </c>
      <c r="K1471" t="str" s="135" cm="1">
        <f t="array" ref="K1471">IF(OR(H1471="ריביות",AND(H1471="דירה כצנלסון",G1471&lt;0,ISNUMBER(SEARCH("הכנסה",F1471)))),"הכנסה שסווגה מחדש",J1471)</f>
        <v>שוטף</v>
      </c>
      <c r="L1471" t="s" s="134">
        <v>741</v>
      </c>
      <c r="M1471" s="136" cm="1">
        <f t="array" ref="M1471">IF(L1471="מאושר",IF(K1471="הכנסה שסווגה מחדש",0,G1471),0)</f>
        <v>119</v>
      </c>
      <c r="N1471" s="136" cm="1">
        <f t="array" ref="N1471">IF(K1471="שוטף",M1471,0)</f>
        <v>119</v>
      </c>
      <c r="O1471" s="136" cm="1">
        <f t="array" ref="O1471">IF(K1471="הכנסה שסווגה מחדש",-G1471,0)</f>
        <v>0</v>
      </c>
      <c r="P1471" t="s" s="80">
        <v>884</v>
      </c>
      <c r="Q1471" s="100"/>
      <c r="R1471" t="s" s="137">
        <v>743</v>
      </c>
      <c r="S1471" s="77"/>
    </row>
    <row r="1472" ht="13.65" customHeight="1">
      <c r="A1472" s="84">
        <v>46082</v>
      </c>
      <c r="B1472" t="s" s="85">
        <v>58</v>
      </c>
      <c r="C1472" t="s" s="86">
        <v>898</v>
      </c>
      <c r="D1472" s="138">
        <v>94</v>
      </c>
      <c r="E1472" t="s" s="85">
        <v>938</v>
      </c>
      <c r="F1472" t="s" s="86">
        <v>308</v>
      </c>
      <c r="G1472" s="139">
        <v>21</v>
      </c>
      <c r="H1472" t="s" s="140">
        <v>113</v>
      </c>
      <c r="I1472" t="s" s="141">
        <v>113</v>
      </c>
      <c r="J1472" t="s" s="141">
        <v>97</v>
      </c>
      <c r="K1472" t="str" s="142" cm="1">
        <f t="array" ref="K1472">IF(OR(H1472="ריביות",AND(H1472="דירה כצנלסון",G1472&lt;0,ISNUMBER(SEARCH("הכנסה",F1472)))),"הכנסה שסווגה מחדש",J1472)</f>
        <v>שוטף</v>
      </c>
      <c r="L1472" t="s" s="141">
        <v>741</v>
      </c>
      <c r="M1472" s="143" cm="1">
        <f t="array" ref="M1472">IF(L1472="מאושר",IF(K1472="הכנסה שסווגה מחדש",0,G1472),0)</f>
        <v>21</v>
      </c>
      <c r="N1472" s="143" cm="1">
        <f t="array" ref="N1472">IF(K1472="שוטף",M1472,0)</f>
        <v>21</v>
      </c>
      <c r="O1472" s="143" cm="1">
        <f t="array" ref="O1472">IF(K1472="הכנסה שסווגה מחדש",-G1472,0)</f>
        <v>0</v>
      </c>
      <c r="P1472" t="s" s="86">
        <v>884</v>
      </c>
      <c r="Q1472" s="99"/>
      <c r="R1472" t="s" s="144">
        <v>743</v>
      </c>
      <c r="S1472" s="77"/>
    </row>
    <row r="1473" ht="13.65" customHeight="1">
      <c r="A1473" s="78">
        <v>46113</v>
      </c>
      <c r="B1473" t="s" s="79">
        <v>59</v>
      </c>
      <c r="C1473" t="s" s="80">
        <v>939</v>
      </c>
      <c r="D1473" s="131">
        <v>2</v>
      </c>
      <c r="E1473" s="100"/>
      <c r="F1473" t="s" s="80">
        <v>196</v>
      </c>
      <c r="G1473" s="132">
        <v>8000</v>
      </c>
      <c r="H1473" t="s" s="133">
        <v>838</v>
      </c>
      <c r="I1473" t="s" s="134">
        <v>96</v>
      </c>
      <c r="J1473" t="s" s="134">
        <v>97</v>
      </c>
      <c r="K1473" t="str" s="135" cm="1">
        <f t="array" ref="K1473">IF(OR(H1473="ריביות",AND(H1473="דירה כצנלסון",G1473&lt;0,ISNUMBER(SEARCH("הכנסה",F1473)))),"הכנסה שסווגה מחדש",J1473)</f>
        <v>שוטף</v>
      </c>
      <c r="L1473" t="s" s="134">
        <v>741</v>
      </c>
      <c r="M1473" s="136" cm="1">
        <f t="array" ref="M1473">IF(L1473="מאושר",IF(K1473="הכנסה שסווגה מחדש",0,G1473),0)</f>
        <v>8000</v>
      </c>
      <c r="N1473" s="136" cm="1">
        <f t="array" ref="N1473">IF(K1473="שוטף",M1473,0)</f>
        <v>8000</v>
      </c>
      <c r="O1473" s="136" cm="1">
        <f t="array" ref="O1473">IF(K1473="הכנסה שסווגה מחדש",-G1473,0)</f>
        <v>0</v>
      </c>
      <c r="P1473" t="s" s="80">
        <v>786</v>
      </c>
      <c r="Q1473" s="100"/>
      <c r="R1473" t="s" s="137">
        <v>743</v>
      </c>
      <c r="S1473" s="77"/>
    </row>
    <row r="1474" ht="13.65" customHeight="1">
      <c r="A1474" s="84">
        <v>46113</v>
      </c>
      <c r="B1474" t="s" s="85">
        <v>59</v>
      </c>
      <c r="C1474" t="s" s="86">
        <v>939</v>
      </c>
      <c r="D1474" s="138">
        <v>3</v>
      </c>
      <c r="E1474" s="99"/>
      <c r="F1474" t="s" s="86">
        <v>197</v>
      </c>
      <c r="G1474" s="139">
        <v>6142</v>
      </c>
      <c r="H1474" t="s" s="140">
        <v>279</v>
      </c>
      <c r="I1474" t="s" s="141">
        <v>99</v>
      </c>
      <c r="J1474" t="s" s="141">
        <v>100</v>
      </c>
      <c r="K1474" t="str" s="142" cm="1">
        <f t="array" ref="K1474">IF(OR(H1474="ריביות",AND(H1474="דירה כצנלסון",G1474&lt;0,ISNUMBER(SEARCH("הכנסה",F1474)))),"הכנסה שסווגה מחדש",J1474)</f>
        <v>חריג/נכס</v>
      </c>
      <c r="L1474" t="s" s="141">
        <v>741</v>
      </c>
      <c r="M1474" s="143" cm="1">
        <f t="array" ref="M1474">IF(L1474="מאושר",IF(K1474="הכנסה שסווגה מחדש",0,G1474),0)</f>
        <v>6142</v>
      </c>
      <c r="N1474" s="143" cm="1">
        <f t="array" ref="N1474">IF(K1474="שוטף",M1474,0)</f>
        <v>0</v>
      </c>
      <c r="O1474" s="143" cm="1">
        <f t="array" ref="O1474">IF(K1474="הכנסה שסווגה מחדש",-G1474,0)</f>
        <v>0</v>
      </c>
      <c r="P1474" t="s" s="86">
        <v>786</v>
      </c>
      <c r="Q1474" s="99"/>
      <c r="R1474" t="s" s="144">
        <v>743</v>
      </c>
      <c r="S1474" s="77"/>
    </row>
    <row r="1475" ht="13.65" customHeight="1">
      <c r="A1475" s="78">
        <v>46113</v>
      </c>
      <c r="B1475" t="s" s="79">
        <v>59</v>
      </c>
      <c r="C1475" t="s" s="80">
        <v>939</v>
      </c>
      <c r="D1475" s="131">
        <v>4</v>
      </c>
      <c r="E1475" t="s" s="79">
        <v>940</v>
      </c>
      <c r="F1475" t="s" s="80">
        <v>212</v>
      </c>
      <c r="G1475" s="132">
        <v>1024</v>
      </c>
      <c r="H1475" t="s" s="133">
        <v>838</v>
      </c>
      <c r="I1475" t="s" s="134">
        <v>96</v>
      </c>
      <c r="J1475" t="s" s="134">
        <v>97</v>
      </c>
      <c r="K1475" t="str" s="135" cm="1">
        <f t="array" ref="K1475">IF(OR(H1475="ריביות",AND(H1475="דירה כצנלסון",G1475&lt;0,ISNUMBER(SEARCH("הכנסה",F1475)))),"הכנסה שסווגה מחדש",J1475)</f>
        <v>שוטף</v>
      </c>
      <c r="L1475" t="s" s="134">
        <v>741</v>
      </c>
      <c r="M1475" s="136" cm="1">
        <f t="array" ref="M1475">IF(L1475="מאושר",IF(K1475="הכנסה שסווגה מחדש",0,G1475),0)</f>
        <v>1024</v>
      </c>
      <c r="N1475" s="136" cm="1">
        <f t="array" ref="N1475">IF(K1475="שוטף",M1475,0)</f>
        <v>1024</v>
      </c>
      <c r="O1475" s="136" cm="1">
        <f t="array" ref="O1475">IF(K1475="הכנסה שסווגה מחדש",-G1475,0)</f>
        <v>0</v>
      </c>
      <c r="P1475" t="s" s="80">
        <v>842</v>
      </c>
      <c r="Q1475" s="100"/>
      <c r="R1475" t="s" s="137">
        <v>743</v>
      </c>
      <c r="S1475" s="77"/>
    </row>
    <row r="1476" ht="13.65" customHeight="1">
      <c r="A1476" s="84">
        <v>46113</v>
      </c>
      <c r="B1476" t="s" s="85">
        <v>59</v>
      </c>
      <c r="C1476" t="s" s="86">
        <v>939</v>
      </c>
      <c r="D1476" s="138">
        <v>5</v>
      </c>
      <c r="E1476" t="s" s="85">
        <v>941</v>
      </c>
      <c r="F1476" t="s" s="86">
        <v>221</v>
      </c>
      <c r="G1476" s="139">
        <v>385</v>
      </c>
      <c r="H1476" t="s" s="140">
        <v>838</v>
      </c>
      <c r="I1476" t="s" s="141">
        <v>96</v>
      </c>
      <c r="J1476" t="s" s="141">
        <v>97</v>
      </c>
      <c r="K1476" t="str" s="142" cm="1">
        <f t="array" ref="K1476">IF(OR(H1476="ריביות",AND(H1476="דירה כצנלסון",G1476&lt;0,ISNUMBER(SEARCH("הכנסה",F1476)))),"הכנסה שסווגה מחדש",J1476)</f>
        <v>שוטף</v>
      </c>
      <c r="L1476" t="s" s="141">
        <v>741</v>
      </c>
      <c r="M1476" s="143" cm="1">
        <f t="array" ref="M1476">IF(L1476="מאושר",IF(K1476="הכנסה שסווגה מחדש",0,G1476),0)</f>
        <v>385</v>
      </c>
      <c r="N1476" s="143" cm="1">
        <f t="array" ref="N1476">IF(K1476="שוטף",M1476,0)</f>
        <v>385</v>
      </c>
      <c r="O1476" s="143" cm="1">
        <f t="array" ref="O1476">IF(K1476="הכנסה שסווגה מחדש",-G1476,0)</f>
        <v>0</v>
      </c>
      <c r="P1476" t="s" s="86">
        <v>842</v>
      </c>
      <c r="Q1476" s="99"/>
      <c r="R1476" t="s" s="144">
        <v>743</v>
      </c>
      <c r="S1476" s="77"/>
    </row>
    <row r="1477" ht="13.65" customHeight="1">
      <c r="A1477" s="78">
        <v>46113</v>
      </c>
      <c r="B1477" t="s" s="79">
        <v>59</v>
      </c>
      <c r="C1477" t="s" s="80">
        <v>939</v>
      </c>
      <c r="D1477" s="131">
        <v>6</v>
      </c>
      <c r="E1477" t="s" s="79">
        <v>942</v>
      </c>
      <c r="F1477" t="s" s="80">
        <v>272</v>
      </c>
      <c r="G1477" s="132">
        <v>173</v>
      </c>
      <c r="H1477" t="s" s="133">
        <v>838</v>
      </c>
      <c r="I1477" t="s" s="134">
        <v>96</v>
      </c>
      <c r="J1477" t="s" s="134">
        <v>97</v>
      </c>
      <c r="K1477" t="str" s="135" cm="1">
        <f t="array" ref="K1477">IF(OR(H1477="ריביות",AND(H1477="דירה כצנלסון",G1477&lt;0,ISNUMBER(SEARCH("הכנסה",F1477)))),"הכנסה שסווגה מחדש",J1477)</f>
        <v>שוטף</v>
      </c>
      <c r="L1477" t="s" s="134">
        <v>741</v>
      </c>
      <c r="M1477" s="136" cm="1">
        <f t="array" ref="M1477">IF(L1477="מאושר",IF(K1477="הכנסה שסווגה מחדש",0,G1477),0)</f>
        <v>173</v>
      </c>
      <c r="N1477" s="136" cm="1">
        <f t="array" ref="N1477">IF(K1477="שוטף",M1477,0)</f>
        <v>173</v>
      </c>
      <c r="O1477" s="136" cm="1">
        <f t="array" ref="O1477">IF(K1477="הכנסה שסווגה מחדש",-G1477,0)</f>
        <v>0</v>
      </c>
      <c r="P1477" t="s" s="80">
        <v>884</v>
      </c>
      <c r="Q1477" s="100"/>
      <c r="R1477" t="s" s="137">
        <v>743</v>
      </c>
      <c r="S1477" s="77"/>
    </row>
    <row r="1478" ht="13.65" customHeight="1">
      <c r="A1478" s="84">
        <v>46113</v>
      </c>
      <c r="B1478" t="s" s="85">
        <v>59</v>
      </c>
      <c r="C1478" t="s" s="86">
        <v>939</v>
      </c>
      <c r="D1478" s="138">
        <v>7</v>
      </c>
      <c r="E1478" s="99"/>
      <c r="F1478" t="s" s="86">
        <v>374</v>
      </c>
      <c r="G1478" s="139">
        <v>0</v>
      </c>
      <c r="H1478" t="s" s="140">
        <v>838</v>
      </c>
      <c r="I1478" t="s" s="141">
        <v>96</v>
      </c>
      <c r="J1478" t="s" s="141">
        <v>97</v>
      </c>
      <c r="K1478" t="str" s="142" cm="1">
        <f t="array" ref="K1478">IF(OR(H1478="ריביות",AND(H1478="דירה כצנלסון",G1478&lt;0,ISNUMBER(SEARCH("הכנסה",F1478)))),"הכנסה שסווגה מחדש",J1478)</f>
        <v>שוטף</v>
      </c>
      <c r="L1478" t="s" s="141">
        <v>741</v>
      </c>
      <c r="M1478" s="143" cm="1">
        <f t="array" ref="M1478">IF(L1478="מאושר",IF(K1478="הכנסה שסווגה מחדש",0,G1478),0)</f>
        <v>0</v>
      </c>
      <c r="N1478" s="143" cm="1">
        <f t="array" ref="N1478">IF(K1478="שוטף",M1478,0)</f>
        <v>0</v>
      </c>
      <c r="O1478" s="143" cm="1">
        <f t="array" ref="O1478">IF(K1478="הכנסה שסווגה מחדש",-G1478,0)</f>
        <v>0</v>
      </c>
      <c r="P1478" t="s" s="86">
        <v>842</v>
      </c>
      <c r="Q1478" s="99"/>
      <c r="R1478" t="s" s="144">
        <v>743</v>
      </c>
      <c r="S1478" s="77"/>
    </row>
    <row r="1479" ht="13.65" customHeight="1">
      <c r="A1479" s="78">
        <v>46113</v>
      </c>
      <c r="B1479" t="s" s="79">
        <v>59</v>
      </c>
      <c r="C1479" t="s" s="80">
        <v>939</v>
      </c>
      <c r="D1479" s="131">
        <v>8</v>
      </c>
      <c r="E1479" s="100"/>
      <c r="F1479" t="s" s="80">
        <v>232</v>
      </c>
      <c r="G1479" s="132">
        <v>600</v>
      </c>
      <c r="H1479" t="s" s="133">
        <v>838</v>
      </c>
      <c r="I1479" t="s" s="134">
        <v>96</v>
      </c>
      <c r="J1479" t="s" s="134">
        <v>97</v>
      </c>
      <c r="K1479" t="str" s="135" cm="1">
        <f t="array" ref="K1479">IF(OR(H1479="ריביות",AND(H1479="דירה כצנלסון",G1479&lt;0,ISNUMBER(SEARCH("הכנסה",F1479)))),"הכנסה שסווגה מחדש",J1479)</f>
        <v>שוטף</v>
      </c>
      <c r="L1479" t="s" s="134">
        <v>741</v>
      </c>
      <c r="M1479" s="136" cm="1">
        <f t="array" ref="M1479">IF(L1479="מאושר",IF(K1479="הכנסה שסווגה מחדש",0,G1479),0)</f>
        <v>600</v>
      </c>
      <c r="N1479" s="136" cm="1">
        <f t="array" ref="N1479">IF(K1479="שוטף",M1479,0)</f>
        <v>600</v>
      </c>
      <c r="O1479" s="136" cm="1">
        <f t="array" ref="O1479">IF(K1479="הכנסה שסווגה מחדש",-G1479,0)</f>
        <v>0</v>
      </c>
      <c r="P1479" t="s" s="80">
        <v>781</v>
      </c>
      <c r="Q1479" s="100"/>
      <c r="R1479" t="s" s="137">
        <v>743</v>
      </c>
      <c r="S1479" s="77"/>
    </row>
    <row r="1480" ht="13.65" customHeight="1">
      <c r="A1480" s="84">
        <v>46113</v>
      </c>
      <c r="B1480" t="s" s="85">
        <v>59</v>
      </c>
      <c r="C1480" t="s" s="86">
        <v>939</v>
      </c>
      <c r="D1480" s="138">
        <v>9</v>
      </c>
      <c r="E1480" s="99"/>
      <c r="F1480" t="s" s="86">
        <v>211</v>
      </c>
      <c r="G1480" s="139">
        <v>1000</v>
      </c>
      <c r="H1480" t="s" s="140">
        <v>838</v>
      </c>
      <c r="I1480" t="s" s="141">
        <v>96</v>
      </c>
      <c r="J1480" t="s" s="141">
        <v>97</v>
      </c>
      <c r="K1480" t="str" s="142" cm="1">
        <f t="array" ref="K1480">IF(OR(H1480="ריביות",AND(H1480="דירה כצנלסון",G1480&lt;0,ISNUMBER(SEARCH("הכנסה",F1480)))),"הכנסה שסווגה מחדש",J1480)</f>
        <v>שוטף</v>
      </c>
      <c r="L1480" t="s" s="141">
        <v>741</v>
      </c>
      <c r="M1480" s="143" cm="1">
        <f t="array" ref="M1480">IF(L1480="מאושר",IF(K1480="הכנסה שסווגה מחדש",0,G1480),0)</f>
        <v>1000</v>
      </c>
      <c r="N1480" s="143" cm="1">
        <f t="array" ref="N1480">IF(K1480="שוטף",M1480,0)</f>
        <v>1000</v>
      </c>
      <c r="O1480" s="143" cm="1">
        <f t="array" ref="O1480">IF(K1480="הכנסה שסווגה מחדש",-G1480,0)</f>
        <v>0</v>
      </c>
      <c r="P1480" t="s" s="86">
        <v>781</v>
      </c>
      <c r="Q1480" s="99"/>
      <c r="R1480" t="s" s="144">
        <v>743</v>
      </c>
      <c r="S1480" s="77"/>
    </row>
    <row r="1481" ht="13.65" customHeight="1">
      <c r="A1481" s="78">
        <v>46113</v>
      </c>
      <c r="B1481" t="s" s="79">
        <v>59</v>
      </c>
      <c r="C1481" t="s" s="80">
        <v>939</v>
      </c>
      <c r="D1481" s="131">
        <v>10</v>
      </c>
      <c r="E1481" t="s" s="79">
        <v>943</v>
      </c>
      <c r="F1481" t="s" s="80">
        <v>302</v>
      </c>
      <c r="G1481" s="132">
        <v>79</v>
      </c>
      <c r="H1481" t="s" s="133">
        <v>838</v>
      </c>
      <c r="I1481" t="s" s="134">
        <v>96</v>
      </c>
      <c r="J1481" t="s" s="134">
        <v>97</v>
      </c>
      <c r="K1481" t="str" s="135" cm="1">
        <f t="array" ref="K1481">IF(OR(H1481="ריביות",AND(H1481="דירה כצנלסון",G1481&lt;0,ISNUMBER(SEARCH("הכנסה",F1481)))),"הכנסה שסווגה מחדש",J1481)</f>
        <v>שוטף</v>
      </c>
      <c r="L1481" t="s" s="134">
        <v>741</v>
      </c>
      <c r="M1481" s="136" cm="1">
        <f t="array" ref="M1481">IF(L1481="מאושר",IF(K1481="הכנסה שסווגה מחדש",0,G1481),0)</f>
        <v>79</v>
      </c>
      <c r="N1481" s="136" cm="1">
        <f t="array" ref="N1481">IF(K1481="שוטף",M1481,0)</f>
        <v>79</v>
      </c>
      <c r="O1481" s="136" cm="1">
        <f t="array" ref="O1481">IF(K1481="הכנסה שסווגה מחדש",-G1481,0)</f>
        <v>0</v>
      </c>
      <c r="P1481" t="s" s="80">
        <v>842</v>
      </c>
      <c r="Q1481" s="100"/>
      <c r="R1481" t="s" s="137">
        <v>743</v>
      </c>
      <c r="S1481" s="77"/>
    </row>
    <row r="1482" ht="13.65" customHeight="1">
      <c r="A1482" s="84">
        <v>46113</v>
      </c>
      <c r="B1482" t="s" s="85">
        <v>59</v>
      </c>
      <c r="C1482" t="s" s="86">
        <v>939</v>
      </c>
      <c r="D1482" s="138">
        <v>11</v>
      </c>
      <c r="E1482" t="s" s="85">
        <v>944</v>
      </c>
      <c r="F1482" t="s" s="86">
        <v>320</v>
      </c>
      <c r="G1482" s="139">
        <v>59</v>
      </c>
      <c r="H1482" t="s" s="140">
        <v>838</v>
      </c>
      <c r="I1482" t="s" s="141">
        <v>96</v>
      </c>
      <c r="J1482" t="s" s="141">
        <v>97</v>
      </c>
      <c r="K1482" t="str" s="142" cm="1">
        <f t="array" ref="K1482">IF(OR(H1482="ריביות",AND(H1482="דירה כצנלסון",G1482&lt;0,ISNUMBER(SEARCH("הכנסה",F1482)))),"הכנסה שסווגה מחדש",J1482)</f>
        <v>שוטף</v>
      </c>
      <c r="L1482" t="s" s="141">
        <v>741</v>
      </c>
      <c r="M1482" s="143" cm="1">
        <f t="array" ref="M1482">IF(L1482="מאושר",IF(K1482="הכנסה שסווגה מחדש",0,G1482),0)</f>
        <v>59</v>
      </c>
      <c r="N1482" s="143" cm="1">
        <f t="array" ref="N1482">IF(K1482="שוטף",M1482,0)</f>
        <v>59</v>
      </c>
      <c r="O1482" s="143" cm="1">
        <f t="array" ref="O1482">IF(K1482="הכנסה שסווגה מחדש",-G1482,0)</f>
        <v>0</v>
      </c>
      <c r="P1482" t="s" s="86">
        <v>842</v>
      </c>
      <c r="Q1482" s="99"/>
      <c r="R1482" t="s" s="144">
        <v>743</v>
      </c>
      <c r="S1482" s="77"/>
    </row>
    <row r="1483" ht="13.65" customHeight="1">
      <c r="A1483" s="78">
        <v>46113</v>
      </c>
      <c r="B1483" t="s" s="79">
        <v>59</v>
      </c>
      <c r="C1483" t="s" s="80">
        <v>939</v>
      </c>
      <c r="D1483" s="131">
        <v>12</v>
      </c>
      <c r="E1483" t="s" s="79">
        <v>945</v>
      </c>
      <c r="F1483" t="s" s="80">
        <v>273</v>
      </c>
      <c r="G1483" s="132">
        <v>71</v>
      </c>
      <c r="H1483" t="s" s="133">
        <v>279</v>
      </c>
      <c r="I1483" t="s" s="134">
        <v>99</v>
      </c>
      <c r="J1483" t="s" s="134">
        <v>100</v>
      </c>
      <c r="K1483" t="str" s="135" cm="1">
        <f t="array" ref="K1483">IF(OR(H1483="ריביות",AND(H1483="דירה כצנלסון",G1483&lt;0,ISNUMBER(SEARCH("הכנסה",F1483)))),"הכנסה שסווגה מחדש",J1483)</f>
        <v>חריג/נכס</v>
      </c>
      <c r="L1483" t="s" s="134">
        <v>741</v>
      </c>
      <c r="M1483" s="136" cm="1">
        <f t="array" ref="M1483">IF(L1483="מאושר",IF(K1483="הכנסה שסווגה מחדש",0,G1483),0)</f>
        <v>71</v>
      </c>
      <c r="N1483" s="136" cm="1">
        <f t="array" ref="N1483">IF(K1483="שוטף",M1483,0)</f>
        <v>0</v>
      </c>
      <c r="O1483" s="136" cm="1">
        <f t="array" ref="O1483">IF(K1483="הכנסה שסווגה מחדש",-G1483,0)</f>
        <v>0</v>
      </c>
      <c r="P1483" t="s" s="80">
        <v>842</v>
      </c>
      <c r="Q1483" s="100"/>
      <c r="R1483" t="s" s="137">
        <v>743</v>
      </c>
      <c r="S1483" s="77"/>
    </row>
    <row r="1484" ht="13.65" customHeight="1">
      <c r="A1484" s="84">
        <v>46113</v>
      </c>
      <c r="B1484" t="s" s="85">
        <v>59</v>
      </c>
      <c r="C1484" t="s" s="86">
        <v>939</v>
      </c>
      <c r="D1484" s="138">
        <v>13</v>
      </c>
      <c r="E1484" t="s" s="85">
        <v>946</v>
      </c>
      <c r="F1484" t="s" s="86">
        <v>328</v>
      </c>
      <c r="G1484" s="139">
        <v>36</v>
      </c>
      <c r="H1484" t="s" s="140">
        <v>279</v>
      </c>
      <c r="I1484" t="s" s="141">
        <v>99</v>
      </c>
      <c r="J1484" t="s" s="141">
        <v>100</v>
      </c>
      <c r="K1484" t="str" s="142" cm="1">
        <f t="array" ref="K1484">IF(OR(H1484="ריביות",AND(H1484="דירה כצנלסון",G1484&lt;0,ISNUMBER(SEARCH("הכנסה",F1484)))),"הכנסה שסווגה מחדש",J1484)</f>
        <v>חריג/נכס</v>
      </c>
      <c r="L1484" t="s" s="141">
        <v>741</v>
      </c>
      <c r="M1484" s="143" cm="1">
        <f t="array" ref="M1484">IF(L1484="מאושר",IF(K1484="הכנסה שסווגה מחדש",0,G1484),0)</f>
        <v>36</v>
      </c>
      <c r="N1484" s="143" cm="1">
        <f t="array" ref="N1484">IF(K1484="שוטף",M1484,0)</f>
        <v>0</v>
      </c>
      <c r="O1484" s="143" cm="1">
        <f t="array" ref="O1484">IF(K1484="הכנסה שסווגה מחדש",-G1484,0)</f>
        <v>0</v>
      </c>
      <c r="P1484" t="s" s="86">
        <v>842</v>
      </c>
      <c r="Q1484" s="99"/>
      <c r="R1484" t="s" s="144">
        <v>743</v>
      </c>
      <c r="S1484" s="77"/>
    </row>
    <row r="1485" ht="13.65" customHeight="1">
      <c r="A1485" s="78">
        <v>46113</v>
      </c>
      <c r="B1485" t="s" s="79">
        <v>59</v>
      </c>
      <c r="C1485" t="s" s="80">
        <v>939</v>
      </c>
      <c r="D1485" s="131">
        <v>14</v>
      </c>
      <c r="E1485" t="s" s="79">
        <v>943</v>
      </c>
      <c r="F1485" t="s" s="80">
        <v>263</v>
      </c>
      <c r="G1485" s="132">
        <v>115</v>
      </c>
      <c r="H1485" t="s" s="133">
        <v>135</v>
      </c>
      <c r="I1485" t="s" s="134">
        <v>135</v>
      </c>
      <c r="J1485" t="s" s="134">
        <v>97</v>
      </c>
      <c r="K1485" t="str" s="135" cm="1">
        <f t="array" ref="K1485">IF(OR(H1485="ריביות",AND(H1485="דירה כצנלסון",G1485&lt;0,ISNUMBER(SEARCH("הכנסה",F1485)))),"הכנסה שסווגה מחדש",J1485)</f>
        <v>שוטף</v>
      </c>
      <c r="L1485" t="s" s="134">
        <v>741</v>
      </c>
      <c r="M1485" s="136" cm="1">
        <f t="array" ref="M1485">IF(L1485="מאושר",IF(K1485="הכנסה שסווגה מחדש",0,G1485),0)</f>
        <v>115</v>
      </c>
      <c r="N1485" s="136" cm="1">
        <f t="array" ref="N1485">IF(K1485="שוטף",M1485,0)</f>
        <v>115</v>
      </c>
      <c r="O1485" s="136" cm="1">
        <f t="array" ref="O1485">IF(K1485="הכנסה שסווגה מחדש",-G1485,0)</f>
        <v>0</v>
      </c>
      <c r="P1485" t="s" s="80">
        <v>847</v>
      </c>
      <c r="Q1485" s="100"/>
      <c r="R1485" t="s" s="137">
        <v>743</v>
      </c>
      <c r="S1485" s="77"/>
    </row>
    <row r="1486" ht="13.65" customHeight="1">
      <c r="A1486" s="84">
        <v>46113</v>
      </c>
      <c r="B1486" t="s" s="85">
        <v>59</v>
      </c>
      <c r="C1486" t="s" s="86">
        <v>939</v>
      </c>
      <c r="D1486" s="138">
        <v>15</v>
      </c>
      <c r="E1486" t="s" s="85">
        <v>947</v>
      </c>
      <c r="F1486" t="s" s="86">
        <v>310</v>
      </c>
      <c r="G1486" s="139">
        <v>96</v>
      </c>
      <c r="H1486" t="s" s="140">
        <v>767</v>
      </c>
      <c r="I1486" t="s" s="141">
        <v>107</v>
      </c>
      <c r="J1486" t="s" s="141">
        <v>97</v>
      </c>
      <c r="K1486" t="str" s="142" cm="1">
        <f t="array" ref="K1486">IF(OR(H1486="ריביות",AND(H1486="דירה כצנלסון",G1486&lt;0,ISNUMBER(SEARCH("הכנסה",F1486)))),"הכנסה שסווגה מחדש",J1486)</f>
        <v>שוטף</v>
      </c>
      <c r="L1486" t="s" s="141">
        <v>741</v>
      </c>
      <c r="M1486" s="143" cm="1">
        <f t="array" ref="M1486">IF(L1486="מאושר",IF(K1486="הכנסה שסווגה מחדש",0,G1486),0)</f>
        <v>96</v>
      </c>
      <c r="N1486" s="143" cm="1">
        <f t="array" ref="N1486">IF(K1486="שוטף",M1486,0)</f>
        <v>96</v>
      </c>
      <c r="O1486" s="143" cm="1">
        <f t="array" ref="O1486">IF(K1486="הכנסה שסווגה מחדש",-G1486,0)</f>
        <v>0</v>
      </c>
      <c r="P1486" t="s" s="86">
        <v>847</v>
      </c>
      <c r="Q1486" s="99"/>
      <c r="R1486" t="s" s="144">
        <v>743</v>
      </c>
      <c r="S1486" s="77"/>
    </row>
    <row r="1487" ht="13.65" customHeight="1">
      <c r="A1487" s="78">
        <v>46113</v>
      </c>
      <c r="B1487" t="s" s="79">
        <v>59</v>
      </c>
      <c r="C1487" t="s" s="80">
        <v>939</v>
      </c>
      <c r="D1487" s="131">
        <v>16</v>
      </c>
      <c r="E1487" t="s" s="79">
        <v>947</v>
      </c>
      <c r="F1487" t="s" s="80">
        <v>356</v>
      </c>
      <c r="G1487" s="132">
        <v>89</v>
      </c>
      <c r="H1487" t="s" s="133">
        <v>767</v>
      </c>
      <c r="I1487" t="s" s="134">
        <v>107</v>
      </c>
      <c r="J1487" t="s" s="134">
        <v>97</v>
      </c>
      <c r="K1487" t="str" s="135" cm="1">
        <f t="array" ref="K1487">IF(OR(H1487="ריביות",AND(H1487="דירה כצנלסון",G1487&lt;0,ISNUMBER(SEARCH("הכנסה",F1487)))),"הכנסה שסווגה מחדש",J1487)</f>
        <v>שוטף</v>
      </c>
      <c r="L1487" t="s" s="134">
        <v>741</v>
      </c>
      <c r="M1487" s="136" cm="1">
        <f t="array" ref="M1487">IF(L1487="מאושר",IF(K1487="הכנסה שסווגה מחדש",0,G1487),0)</f>
        <v>89</v>
      </c>
      <c r="N1487" s="136" cm="1">
        <f t="array" ref="N1487">IF(K1487="שוטף",M1487,0)</f>
        <v>89</v>
      </c>
      <c r="O1487" s="136" cm="1">
        <f t="array" ref="O1487">IF(K1487="הכנסה שסווגה מחדש",-G1487,0)</f>
        <v>0</v>
      </c>
      <c r="P1487" t="s" s="80">
        <v>842</v>
      </c>
      <c r="Q1487" s="100"/>
      <c r="R1487" t="s" s="137">
        <v>743</v>
      </c>
      <c r="S1487" s="77"/>
    </row>
    <row r="1488" ht="13.65" customHeight="1">
      <c r="A1488" s="84">
        <v>46113</v>
      </c>
      <c r="B1488" t="s" s="85">
        <v>59</v>
      </c>
      <c r="C1488" t="s" s="86">
        <v>939</v>
      </c>
      <c r="D1488" s="138">
        <v>17</v>
      </c>
      <c r="E1488" t="s" s="85">
        <v>859</v>
      </c>
      <c r="F1488" t="s" s="86">
        <v>222</v>
      </c>
      <c r="G1488" s="139">
        <v>632</v>
      </c>
      <c r="H1488" t="s" s="140">
        <v>111</v>
      </c>
      <c r="I1488" t="s" s="141">
        <v>111</v>
      </c>
      <c r="J1488" t="s" s="141">
        <v>97</v>
      </c>
      <c r="K1488" t="str" s="142" cm="1">
        <f t="array" ref="K1488">IF(OR(H1488="ריביות",AND(H1488="דירה כצנלסון",G1488&lt;0,ISNUMBER(SEARCH("הכנסה",F1488)))),"הכנסה שסווגה מחדש",J1488)</f>
        <v>שוטף</v>
      </c>
      <c r="L1488" t="s" s="141">
        <v>741</v>
      </c>
      <c r="M1488" s="143" cm="1">
        <f t="array" ref="M1488">IF(L1488="מאושר",IF(K1488="הכנסה שסווגה מחדש",0,G1488),0)</f>
        <v>632</v>
      </c>
      <c r="N1488" s="143" cm="1">
        <f t="array" ref="N1488">IF(K1488="שוטף",M1488,0)</f>
        <v>632</v>
      </c>
      <c r="O1488" s="143" cm="1">
        <f t="array" ref="O1488">IF(K1488="הכנסה שסווגה מחדש",-G1488,0)</f>
        <v>0</v>
      </c>
      <c r="P1488" t="s" s="86">
        <v>842</v>
      </c>
      <c r="Q1488" s="99"/>
      <c r="R1488" t="s" s="144">
        <v>743</v>
      </c>
      <c r="S1488" s="77"/>
    </row>
    <row r="1489" ht="13.65" customHeight="1">
      <c r="A1489" s="78">
        <v>46113</v>
      </c>
      <c r="B1489" t="s" s="79">
        <v>59</v>
      </c>
      <c r="C1489" t="s" s="80">
        <v>939</v>
      </c>
      <c r="D1489" s="131">
        <v>18</v>
      </c>
      <c r="E1489" t="s" s="79">
        <v>861</v>
      </c>
      <c r="F1489" t="s" s="80">
        <v>294</v>
      </c>
      <c r="G1489" s="132">
        <v>130</v>
      </c>
      <c r="H1489" t="s" s="133">
        <v>115</v>
      </c>
      <c r="I1489" t="s" s="134">
        <v>115</v>
      </c>
      <c r="J1489" t="s" s="134">
        <v>97</v>
      </c>
      <c r="K1489" t="str" s="135" cm="1">
        <f t="array" ref="K1489">IF(OR(H1489="ריביות",AND(H1489="דירה כצנלסון",G1489&lt;0,ISNUMBER(SEARCH("הכנסה",F1489)))),"הכנסה שסווגה מחדש",J1489)</f>
        <v>שוטף</v>
      </c>
      <c r="L1489" t="s" s="134">
        <v>741</v>
      </c>
      <c r="M1489" s="136" cm="1">
        <f t="array" ref="M1489">IF(L1489="מאושר",IF(K1489="הכנסה שסווגה מחדש",0,G1489),0)</f>
        <v>130</v>
      </c>
      <c r="N1489" s="136" cm="1">
        <f t="array" ref="N1489">IF(K1489="שוטף",M1489,0)</f>
        <v>130</v>
      </c>
      <c r="O1489" s="136" cm="1">
        <f t="array" ref="O1489">IF(K1489="הכנסה שסווגה מחדש",-G1489,0)</f>
        <v>0</v>
      </c>
      <c r="P1489" t="s" s="80">
        <v>842</v>
      </c>
      <c r="Q1489" s="100"/>
      <c r="R1489" t="s" s="137">
        <v>743</v>
      </c>
      <c r="S1489" s="77"/>
    </row>
    <row r="1490" ht="13.65" customHeight="1">
      <c r="A1490" s="84">
        <v>46113</v>
      </c>
      <c r="B1490" t="s" s="85">
        <v>59</v>
      </c>
      <c r="C1490" t="s" s="86">
        <v>939</v>
      </c>
      <c r="D1490" s="138">
        <v>19</v>
      </c>
      <c r="E1490" s="99"/>
      <c r="F1490" t="s" s="86">
        <v>324</v>
      </c>
      <c r="G1490" s="139">
        <v>97</v>
      </c>
      <c r="H1490" t="s" s="140">
        <v>839</v>
      </c>
      <c r="I1490" t="s" s="141">
        <v>107</v>
      </c>
      <c r="J1490" t="s" s="141">
        <v>97</v>
      </c>
      <c r="K1490" t="str" s="142" cm="1">
        <f t="array" ref="K1490">IF(OR(H1490="ריביות",AND(H1490="דירה כצנלסון",G1490&lt;0,ISNUMBER(SEARCH("הכנסה",F1490)))),"הכנסה שסווגה מחדש",J1490)</f>
        <v>שוטף</v>
      </c>
      <c r="L1490" t="s" s="141">
        <v>741</v>
      </c>
      <c r="M1490" s="143" cm="1">
        <f t="array" ref="M1490">IF(L1490="מאושר",IF(K1490="הכנסה שסווגה מחדש",0,G1490),0)</f>
        <v>97</v>
      </c>
      <c r="N1490" s="143" cm="1">
        <f t="array" ref="N1490">IF(K1490="שוטף",M1490,0)</f>
        <v>97</v>
      </c>
      <c r="O1490" s="143" cm="1">
        <f t="array" ref="O1490">IF(K1490="הכנסה שסווגה מחדש",-G1490,0)</f>
        <v>0</v>
      </c>
      <c r="P1490" t="s" s="86">
        <v>884</v>
      </c>
      <c r="Q1490" s="99"/>
      <c r="R1490" t="s" s="144">
        <v>743</v>
      </c>
      <c r="S1490" s="77"/>
    </row>
    <row r="1491" ht="13.65" customHeight="1">
      <c r="A1491" s="78">
        <v>46113</v>
      </c>
      <c r="B1491" t="s" s="79">
        <v>59</v>
      </c>
      <c r="C1491" t="s" s="80">
        <v>939</v>
      </c>
      <c r="D1491" s="131">
        <v>20</v>
      </c>
      <c r="E1491" t="s" s="79">
        <v>948</v>
      </c>
      <c r="F1491" t="s" s="80">
        <v>199</v>
      </c>
      <c r="G1491" s="132">
        <v>1800</v>
      </c>
      <c r="H1491" t="s" s="133">
        <v>839</v>
      </c>
      <c r="I1491" t="s" s="134">
        <v>107</v>
      </c>
      <c r="J1491" t="s" s="134">
        <v>97</v>
      </c>
      <c r="K1491" t="str" s="135" cm="1">
        <f t="array" ref="K1491">IF(OR(H1491="ריביות",AND(H1491="דירה כצנלסון",G1491&lt;0,ISNUMBER(SEARCH("הכנסה",F1491)))),"הכנסה שסווגה מחדש",J1491)</f>
        <v>שוטף</v>
      </c>
      <c r="L1491" t="s" s="134">
        <v>741</v>
      </c>
      <c r="M1491" s="136" cm="1">
        <f t="array" ref="M1491">IF(L1491="מאושר",IF(K1491="הכנסה שסווגה מחדש",0,G1491),0)</f>
        <v>1800</v>
      </c>
      <c r="N1491" s="136" cm="1">
        <f t="array" ref="N1491">IF(K1491="שוטף",M1491,0)</f>
        <v>1800</v>
      </c>
      <c r="O1491" s="136" cm="1">
        <f t="array" ref="O1491">IF(K1491="הכנסה שסווגה מחדש",-G1491,0)</f>
        <v>0</v>
      </c>
      <c r="P1491" t="s" s="79">
        <v>742</v>
      </c>
      <c r="Q1491" s="100"/>
      <c r="R1491" t="s" s="137">
        <v>743</v>
      </c>
      <c r="S1491" s="77"/>
    </row>
    <row r="1492" ht="13.65" customHeight="1">
      <c r="A1492" s="84">
        <v>46113</v>
      </c>
      <c r="B1492" t="s" s="85">
        <v>59</v>
      </c>
      <c r="C1492" t="s" s="86">
        <v>939</v>
      </c>
      <c r="D1492" s="138">
        <v>21</v>
      </c>
      <c r="E1492" t="s" s="85">
        <v>949</v>
      </c>
      <c r="F1492" t="s" s="86">
        <v>502</v>
      </c>
      <c r="G1492" s="139">
        <v>120</v>
      </c>
      <c r="H1492" t="s" s="140">
        <v>121</v>
      </c>
      <c r="I1492" t="s" s="141">
        <v>121</v>
      </c>
      <c r="J1492" t="s" s="141">
        <v>97</v>
      </c>
      <c r="K1492" t="str" s="142" cm="1">
        <f t="array" ref="K1492">IF(OR(H1492="ריביות",AND(H1492="דירה כצנלסון",G1492&lt;0,ISNUMBER(SEARCH("הכנסה",F1492)))),"הכנסה שסווגה מחדש",J1492)</f>
        <v>שוטף</v>
      </c>
      <c r="L1492" t="s" s="141">
        <v>741</v>
      </c>
      <c r="M1492" s="143" cm="1">
        <f t="array" ref="M1492">IF(L1492="מאושר",IF(K1492="הכנסה שסווגה מחדש",0,G1492),0)</f>
        <v>120</v>
      </c>
      <c r="N1492" s="143" cm="1">
        <f t="array" ref="N1492">IF(K1492="שוטף",M1492,0)</f>
        <v>120</v>
      </c>
      <c r="O1492" s="143" cm="1">
        <f t="array" ref="O1492">IF(K1492="הכנסה שסווגה מחדש",-G1492,0)</f>
        <v>0</v>
      </c>
      <c r="P1492" t="s" s="85">
        <v>879</v>
      </c>
      <c r="Q1492" s="99"/>
      <c r="R1492" t="s" s="144">
        <v>743</v>
      </c>
      <c r="S1492" s="77"/>
    </row>
    <row r="1493" ht="13.65" customHeight="1">
      <c r="A1493" s="78">
        <v>46113</v>
      </c>
      <c r="B1493" t="s" s="79">
        <v>59</v>
      </c>
      <c r="C1493" t="s" s="80">
        <v>939</v>
      </c>
      <c r="D1493" s="131">
        <v>22</v>
      </c>
      <c r="E1493" t="s" s="79">
        <v>949</v>
      </c>
      <c r="F1493" t="s" s="80">
        <v>308</v>
      </c>
      <c r="G1493" s="132">
        <v>33</v>
      </c>
      <c r="H1493" t="s" s="133">
        <v>113</v>
      </c>
      <c r="I1493" t="s" s="134">
        <v>113</v>
      </c>
      <c r="J1493" t="s" s="134">
        <v>97</v>
      </c>
      <c r="K1493" t="str" s="135" cm="1">
        <f t="array" ref="K1493">IF(OR(H1493="ריביות",AND(H1493="דירה כצנלסון",G1493&lt;0,ISNUMBER(SEARCH("הכנסה",F1493)))),"הכנסה שסווגה מחדש",J1493)</f>
        <v>שוטף</v>
      </c>
      <c r="L1493" t="s" s="134">
        <v>741</v>
      </c>
      <c r="M1493" s="136" cm="1">
        <f t="array" ref="M1493">IF(L1493="מאושר",IF(K1493="הכנסה שסווגה מחדש",0,G1493),0)</f>
        <v>33</v>
      </c>
      <c r="N1493" s="136" cm="1">
        <f t="array" ref="N1493">IF(K1493="שוטף",M1493,0)</f>
        <v>33</v>
      </c>
      <c r="O1493" s="136" cm="1">
        <f t="array" ref="O1493">IF(K1493="הכנסה שסווגה מחדש",-G1493,0)</f>
        <v>0</v>
      </c>
      <c r="P1493" t="s" s="79">
        <v>879</v>
      </c>
      <c r="Q1493" s="100"/>
      <c r="R1493" t="s" s="137">
        <v>743</v>
      </c>
      <c r="S1493" s="77"/>
    </row>
    <row r="1494" ht="13.65" customHeight="1">
      <c r="A1494" s="84">
        <v>46113</v>
      </c>
      <c r="B1494" t="s" s="85">
        <v>59</v>
      </c>
      <c r="C1494" t="s" s="86">
        <v>939</v>
      </c>
      <c r="D1494" s="138">
        <v>23</v>
      </c>
      <c r="E1494" t="s" s="85">
        <v>950</v>
      </c>
      <c r="F1494" t="s" s="86">
        <v>277</v>
      </c>
      <c r="G1494" s="139">
        <v>8</v>
      </c>
      <c r="H1494" t="s" s="140">
        <v>115</v>
      </c>
      <c r="I1494" t="s" s="141">
        <v>115</v>
      </c>
      <c r="J1494" t="s" s="141">
        <v>97</v>
      </c>
      <c r="K1494" t="str" s="142" cm="1">
        <f t="array" ref="K1494">IF(OR(H1494="ריביות",AND(H1494="דירה כצנלסון",G1494&lt;0,ISNUMBER(SEARCH("הכנסה",F1494)))),"הכנסה שסווגה מחדש",J1494)</f>
        <v>שוטף</v>
      </c>
      <c r="L1494" t="s" s="141">
        <v>741</v>
      </c>
      <c r="M1494" s="143" cm="1">
        <f t="array" ref="M1494">IF(L1494="מאושר",IF(K1494="הכנסה שסווגה מחדש",0,G1494),0)</f>
        <v>8</v>
      </c>
      <c r="N1494" s="143" cm="1">
        <f t="array" ref="N1494">IF(K1494="שוטף",M1494,0)</f>
        <v>8</v>
      </c>
      <c r="O1494" s="143" cm="1">
        <f t="array" ref="O1494">IF(K1494="הכנסה שסווגה מחדש",-G1494,0)</f>
        <v>0</v>
      </c>
      <c r="P1494" t="s" s="85">
        <v>879</v>
      </c>
      <c r="Q1494" s="99"/>
      <c r="R1494" t="s" s="144">
        <v>743</v>
      </c>
      <c r="S1494" s="77"/>
    </row>
    <row r="1495" ht="13.65" customHeight="1">
      <c r="A1495" s="78">
        <v>46113</v>
      </c>
      <c r="B1495" t="s" s="79">
        <v>59</v>
      </c>
      <c r="C1495" t="s" s="80">
        <v>939</v>
      </c>
      <c r="D1495" s="131">
        <v>24</v>
      </c>
      <c r="E1495" t="s" s="79">
        <v>951</v>
      </c>
      <c r="F1495" t="s" s="80">
        <v>416</v>
      </c>
      <c r="G1495" s="132">
        <v>90</v>
      </c>
      <c r="H1495" t="s" s="133">
        <v>127</v>
      </c>
      <c r="I1495" t="s" s="134">
        <v>127</v>
      </c>
      <c r="J1495" t="s" s="134">
        <v>97</v>
      </c>
      <c r="K1495" t="str" s="135" cm="1">
        <f t="array" ref="K1495">IF(OR(H1495="ריביות",AND(H1495="דירה כצנלסון",G1495&lt;0,ISNUMBER(SEARCH("הכנסה",F1495)))),"הכנסה שסווגה מחדש",J1495)</f>
        <v>שוטף</v>
      </c>
      <c r="L1495" t="s" s="134">
        <v>741</v>
      </c>
      <c r="M1495" s="136" cm="1">
        <f t="array" ref="M1495">IF(L1495="מאושר",IF(K1495="הכנסה שסווגה מחדש",0,G1495),0)</f>
        <v>90</v>
      </c>
      <c r="N1495" s="136" cm="1">
        <f t="array" ref="N1495">IF(K1495="שוטף",M1495,0)</f>
        <v>90</v>
      </c>
      <c r="O1495" s="136" cm="1">
        <f t="array" ref="O1495">IF(K1495="הכנסה שסווגה מחדש",-G1495,0)</f>
        <v>0</v>
      </c>
      <c r="P1495" t="s" s="79">
        <v>879</v>
      </c>
      <c r="Q1495" s="100"/>
      <c r="R1495" t="s" s="137">
        <v>743</v>
      </c>
      <c r="S1495" s="77"/>
    </row>
    <row r="1496" ht="13.65" customHeight="1">
      <c r="A1496" s="84">
        <v>46113</v>
      </c>
      <c r="B1496" t="s" s="85">
        <v>59</v>
      </c>
      <c r="C1496" t="s" s="86">
        <v>939</v>
      </c>
      <c r="D1496" s="138">
        <v>25</v>
      </c>
      <c r="E1496" t="s" s="85">
        <v>950</v>
      </c>
      <c r="F1496" t="s" s="86">
        <v>277</v>
      </c>
      <c r="G1496" s="139">
        <v>8</v>
      </c>
      <c r="H1496" t="s" s="140">
        <v>115</v>
      </c>
      <c r="I1496" t="s" s="141">
        <v>115</v>
      </c>
      <c r="J1496" t="s" s="141">
        <v>97</v>
      </c>
      <c r="K1496" t="str" s="142" cm="1">
        <f t="array" ref="K1496">IF(OR(H1496="ריביות",AND(H1496="דירה כצנלסון",G1496&lt;0,ISNUMBER(SEARCH("הכנסה",F1496)))),"הכנסה שסווגה מחדש",J1496)</f>
        <v>שוטף</v>
      </c>
      <c r="L1496" t="s" s="141">
        <v>741</v>
      </c>
      <c r="M1496" s="143" cm="1">
        <f t="array" ref="M1496">IF(L1496="מאושר",IF(K1496="הכנסה שסווגה מחדש",0,G1496),0)</f>
        <v>8</v>
      </c>
      <c r="N1496" s="143" cm="1">
        <f t="array" ref="N1496">IF(K1496="שוטף",M1496,0)</f>
        <v>8</v>
      </c>
      <c r="O1496" s="143" cm="1">
        <f t="array" ref="O1496">IF(K1496="הכנסה שסווגה מחדש",-G1496,0)</f>
        <v>0</v>
      </c>
      <c r="P1496" t="s" s="85">
        <v>882</v>
      </c>
      <c r="Q1496" s="99"/>
      <c r="R1496" t="s" s="144">
        <v>743</v>
      </c>
      <c r="S1496" s="77"/>
    </row>
    <row r="1497" ht="13.65" customHeight="1">
      <c r="A1497" s="78">
        <v>46113</v>
      </c>
      <c r="B1497" t="s" s="79">
        <v>59</v>
      </c>
      <c r="C1497" t="s" s="80">
        <v>939</v>
      </c>
      <c r="D1497" s="131">
        <v>26</v>
      </c>
      <c r="E1497" t="s" s="79">
        <v>952</v>
      </c>
      <c r="F1497" t="s" s="80">
        <v>558</v>
      </c>
      <c r="G1497" s="132">
        <v>21</v>
      </c>
      <c r="H1497" t="s" s="133">
        <v>117</v>
      </c>
      <c r="I1497" t="s" s="134">
        <v>117</v>
      </c>
      <c r="J1497" t="s" s="134">
        <v>97</v>
      </c>
      <c r="K1497" t="str" s="135" cm="1">
        <f t="array" ref="K1497">IF(OR(H1497="ריביות",AND(H1497="דירה כצנלסון",G1497&lt;0,ISNUMBER(SEARCH("הכנסה",F1497)))),"הכנסה שסווגה מחדש",J1497)</f>
        <v>שוטף</v>
      </c>
      <c r="L1497" t="s" s="134">
        <v>741</v>
      </c>
      <c r="M1497" s="136" cm="1">
        <f t="array" ref="M1497">IF(L1497="מאושר",IF(K1497="הכנסה שסווגה מחדש",0,G1497),0)</f>
        <v>21</v>
      </c>
      <c r="N1497" s="136" cm="1">
        <f t="array" ref="N1497">IF(K1497="שוטף",M1497,0)</f>
        <v>21</v>
      </c>
      <c r="O1497" s="136" cm="1">
        <f t="array" ref="O1497">IF(K1497="הכנסה שסווגה מחדש",-G1497,0)</f>
        <v>0</v>
      </c>
      <c r="P1497" t="s" s="80">
        <v>842</v>
      </c>
      <c r="Q1497" s="100"/>
      <c r="R1497" t="s" s="137">
        <v>743</v>
      </c>
      <c r="S1497" s="77"/>
    </row>
    <row r="1498" ht="13.65" customHeight="1">
      <c r="A1498" s="84">
        <v>46113</v>
      </c>
      <c r="B1498" t="s" s="85">
        <v>59</v>
      </c>
      <c r="C1498" t="s" s="86">
        <v>939</v>
      </c>
      <c r="D1498" s="138">
        <v>27</v>
      </c>
      <c r="E1498" t="s" s="85">
        <v>953</v>
      </c>
      <c r="F1498" t="s" s="86">
        <v>254</v>
      </c>
      <c r="G1498" s="139">
        <v>31</v>
      </c>
      <c r="H1498" t="s" s="140">
        <v>109</v>
      </c>
      <c r="I1498" t="s" s="141">
        <v>109</v>
      </c>
      <c r="J1498" t="s" s="141">
        <v>97</v>
      </c>
      <c r="K1498" t="str" s="142" cm="1">
        <f t="array" ref="K1498">IF(OR(H1498="ריביות",AND(H1498="דירה כצנלסון",G1498&lt;0,ISNUMBER(SEARCH("הכנסה",F1498)))),"הכנסה שסווגה מחדש",J1498)</f>
        <v>שוטף</v>
      </c>
      <c r="L1498" t="s" s="141">
        <v>741</v>
      </c>
      <c r="M1498" s="143" cm="1">
        <f t="array" ref="M1498">IF(L1498="מאושר",IF(K1498="הכנסה שסווגה מחדש",0,G1498),0)</f>
        <v>31</v>
      </c>
      <c r="N1498" s="143" cm="1">
        <f t="array" ref="N1498">IF(K1498="שוטף",M1498,0)</f>
        <v>31</v>
      </c>
      <c r="O1498" s="143" cm="1">
        <f t="array" ref="O1498">IF(K1498="הכנסה שסווגה מחדש",-G1498,0)</f>
        <v>0</v>
      </c>
      <c r="P1498" t="s" s="86">
        <v>842</v>
      </c>
      <c r="Q1498" s="99"/>
      <c r="R1498" t="s" s="144">
        <v>743</v>
      </c>
      <c r="S1498" s="77"/>
    </row>
    <row r="1499" ht="13.65" customHeight="1">
      <c r="A1499" s="78">
        <v>46113</v>
      </c>
      <c r="B1499" t="s" s="79">
        <v>59</v>
      </c>
      <c r="C1499" t="s" s="80">
        <v>939</v>
      </c>
      <c r="D1499" s="131">
        <v>28</v>
      </c>
      <c r="E1499" t="s" s="79">
        <v>953</v>
      </c>
      <c r="F1499" t="s" s="80">
        <v>377</v>
      </c>
      <c r="G1499" s="132">
        <v>6</v>
      </c>
      <c r="H1499" t="s" s="133">
        <v>113</v>
      </c>
      <c r="I1499" t="s" s="134">
        <v>113</v>
      </c>
      <c r="J1499" t="s" s="134">
        <v>97</v>
      </c>
      <c r="K1499" t="str" s="135" cm="1">
        <f t="array" ref="K1499">IF(OR(H1499="ריביות",AND(H1499="דירה כצנלסון",G1499&lt;0,ISNUMBER(SEARCH("הכנסה",F1499)))),"הכנסה שסווגה מחדש",J1499)</f>
        <v>שוטף</v>
      </c>
      <c r="L1499" t="s" s="134">
        <v>741</v>
      </c>
      <c r="M1499" s="136" cm="1">
        <f t="array" ref="M1499">IF(L1499="מאושר",IF(K1499="הכנסה שסווגה מחדש",0,G1499),0)</f>
        <v>6</v>
      </c>
      <c r="N1499" s="136" cm="1">
        <f t="array" ref="N1499">IF(K1499="שוטף",M1499,0)</f>
        <v>6</v>
      </c>
      <c r="O1499" s="136" cm="1">
        <f t="array" ref="O1499">IF(K1499="הכנסה שסווגה מחדש",-G1499,0)</f>
        <v>0</v>
      </c>
      <c r="P1499" t="s" s="80">
        <v>842</v>
      </c>
      <c r="Q1499" s="100"/>
      <c r="R1499" t="s" s="137">
        <v>743</v>
      </c>
      <c r="S1499" s="77"/>
    </row>
    <row r="1500" ht="13.65" customHeight="1">
      <c r="A1500" s="84">
        <v>46113</v>
      </c>
      <c r="B1500" t="s" s="85">
        <v>59</v>
      </c>
      <c r="C1500" t="s" s="86">
        <v>939</v>
      </c>
      <c r="D1500" s="138">
        <v>30</v>
      </c>
      <c r="E1500" t="s" s="85">
        <v>954</v>
      </c>
      <c r="F1500" t="s" s="86">
        <v>537</v>
      </c>
      <c r="G1500" s="139">
        <v>45</v>
      </c>
      <c r="H1500" t="s" s="140">
        <v>117</v>
      </c>
      <c r="I1500" t="s" s="141">
        <v>117</v>
      </c>
      <c r="J1500" t="s" s="141">
        <v>97</v>
      </c>
      <c r="K1500" t="str" s="142" cm="1">
        <f t="array" ref="K1500">IF(OR(H1500="ריביות",AND(H1500="דירה כצנלסון",G1500&lt;0,ISNUMBER(SEARCH("הכנסה",F1500)))),"הכנסה שסווגה מחדש",J1500)</f>
        <v>שוטף</v>
      </c>
      <c r="L1500" t="s" s="141">
        <v>741</v>
      </c>
      <c r="M1500" s="143" cm="1">
        <f t="array" ref="M1500">IF(L1500="מאושר",IF(K1500="הכנסה שסווגה מחדש",0,G1500),0)</f>
        <v>45</v>
      </c>
      <c r="N1500" s="143" cm="1">
        <f t="array" ref="N1500">IF(K1500="שוטף",M1500,0)</f>
        <v>45</v>
      </c>
      <c r="O1500" s="143" cm="1">
        <f t="array" ref="O1500">IF(K1500="הכנסה שסווגה מחדש",-G1500,0)</f>
        <v>0</v>
      </c>
      <c r="P1500" t="s" s="86">
        <v>842</v>
      </c>
      <c r="Q1500" s="99"/>
      <c r="R1500" t="s" s="144">
        <v>743</v>
      </c>
      <c r="S1500" s="77"/>
    </row>
    <row r="1501" ht="13.65" customHeight="1">
      <c r="A1501" s="78">
        <v>46113</v>
      </c>
      <c r="B1501" t="s" s="79">
        <v>59</v>
      </c>
      <c r="C1501" t="s" s="80">
        <v>939</v>
      </c>
      <c r="D1501" s="131">
        <v>31</v>
      </c>
      <c r="E1501" t="s" s="79">
        <v>954</v>
      </c>
      <c r="F1501" t="s" s="80">
        <v>538</v>
      </c>
      <c r="G1501" s="132">
        <v>90</v>
      </c>
      <c r="H1501" t="s" s="133">
        <v>767</v>
      </c>
      <c r="I1501" t="s" s="134">
        <v>107</v>
      </c>
      <c r="J1501" t="s" s="134">
        <v>97</v>
      </c>
      <c r="K1501" t="str" s="135" cm="1">
        <f t="array" ref="K1501">IF(OR(H1501="ריביות",AND(H1501="דירה כצנלסון",G1501&lt;0,ISNUMBER(SEARCH("הכנסה",F1501)))),"הכנסה שסווגה מחדש",J1501)</f>
        <v>שוטף</v>
      </c>
      <c r="L1501" t="s" s="134">
        <v>741</v>
      </c>
      <c r="M1501" s="136" cm="1">
        <f t="array" ref="M1501">IF(L1501="מאושר",IF(K1501="הכנסה שסווגה מחדש",0,G1501),0)</f>
        <v>90</v>
      </c>
      <c r="N1501" s="136" cm="1">
        <f t="array" ref="N1501">IF(K1501="שוטף",M1501,0)</f>
        <v>90</v>
      </c>
      <c r="O1501" s="136" cm="1">
        <f t="array" ref="O1501">IF(K1501="הכנסה שסווגה מחדש",-G1501,0)</f>
        <v>0</v>
      </c>
      <c r="P1501" t="s" s="80">
        <v>842</v>
      </c>
      <c r="Q1501" s="100"/>
      <c r="R1501" t="s" s="137">
        <v>743</v>
      </c>
      <c r="S1501" s="77"/>
    </row>
    <row r="1502" ht="13.65" customHeight="1">
      <c r="A1502" s="84">
        <v>46113</v>
      </c>
      <c r="B1502" t="s" s="85">
        <v>59</v>
      </c>
      <c r="C1502" t="s" s="86">
        <v>939</v>
      </c>
      <c r="D1502" s="138">
        <v>32</v>
      </c>
      <c r="E1502" t="s" s="85">
        <v>954</v>
      </c>
      <c r="F1502" t="s" s="86">
        <v>459</v>
      </c>
      <c r="G1502" s="139">
        <v>191</v>
      </c>
      <c r="H1502" t="s" s="140">
        <v>113</v>
      </c>
      <c r="I1502" t="s" s="141">
        <v>113</v>
      </c>
      <c r="J1502" t="s" s="141">
        <v>97</v>
      </c>
      <c r="K1502" t="str" s="142" cm="1">
        <f t="array" ref="K1502">IF(OR(H1502="ריביות",AND(H1502="דירה כצנלסון",G1502&lt;0,ISNUMBER(SEARCH("הכנסה",F1502)))),"הכנסה שסווגה מחדש",J1502)</f>
        <v>שוטף</v>
      </c>
      <c r="L1502" t="s" s="141">
        <v>741</v>
      </c>
      <c r="M1502" s="143" cm="1">
        <f t="array" ref="M1502">IF(L1502="מאושר",IF(K1502="הכנסה שסווגה מחדש",0,G1502),0)</f>
        <v>191</v>
      </c>
      <c r="N1502" s="143" cm="1">
        <f t="array" ref="N1502">IF(K1502="שוטף",M1502,0)</f>
        <v>191</v>
      </c>
      <c r="O1502" s="143" cm="1">
        <f t="array" ref="O1502">IF(K1502="הכנסה שסווגה מחדש",-G1502,0)</f>
        <v>0</v>
      </c>
      <c r="P1502" t="s" s="86">
        <v>842</v>
      </c>
      <c r="Q1502" s="99"/>
      <c r="R1502" t="s" s="144">
        <v>743</v>
      </c>
      <c r="S1502" s="77"/>
    </row>
    <row r="1503" ht="13.65" customHeight="1">
      <c r="A1503" s="78">
        <v>46113</v>
      </c>
      <c r="B1503" t="s" s="79">
        <v>59</v>
      </c>
      <c r="C1503" t="s" s="80">
        <v>939</v>
      </c>
      <c r="D1503" s="131">
        <v>33</v>
      </c>
      <c r="E1503" t="s" s="79">
        <v>955</v>
      </c>
      <c r="F1503" t="s" s="80">
        <v>200</v>
      </c>
      <c r="G1503" s="132">
        <v>14</v>
      </c>
      <c r="H1503" t="s" s="133">
        <v>109</v>
      </c>
      <c r="I1503" t="s" s="134">
        <v>109</v>
      </c>
      <c r="J1503" t="s" s="134">
        <v>97</v>
      </c>
      <c r="K1503" t="str" s="135" cm="1">
        <f t="array" ref="K1503">IF(OR(H1503="ריביות",AND(H1503="דירה כצנלסון",G1503&lt;0,ISNUMBER(SEARCH("הכנסה",F1503)))),"הכנסה שסווגה מחדש",J1503)</f>
        <v>שוטף</v>
      </c>
      <c r="L1503" t="s" s="134">
        <v>741</v>
      </c>
      <c r="M1503" s="136" cm="1">
        <f t="array" ref="M1503">IF(L1503="מאושר",IF(K1503="הכנסה שסווגה מחדש",0,G1503),0)</f>
        <v>14</v>
      </c>
      <c r="N1503" s="136" cm="1">
        <f t="array" ref="N1503">IF(K1503="שוטף",M1503,0)</f>
        <v>14</v>
      </c>
      <c r="O1503" s="136" cm="1">
        <f t="array" ref="O1503">IF(K1503="הכנסה שסווגה מחדש",-G1503,0)</f>
        <v>0</v>
      </c>
      <c r="P1503" t="s" s="80">
        <v>842</v>
      </c>
      <c r="Q1503" s="100"/>
      <c r="R1503" t="s" s="137">
        <v>743</v>
      </c>
      <c r="S1503" s="77"/>
    </row>
    <row r="1504" ht="13.65" customHeight="1">
      <c r="A1504" s="84">
        <v>46113</v>
      </c>
      <c r="B1504" t="s" s="85">
        <v>59</v>
      </c>
      <c r="C1504" t="s" s="86">
        <v>939</v>
      </c>
      <c r="D1504" s="138">
        <v>34</v>
      </c>
      <c r="E1504" t="s" s="85">
        <v>956</v>
      </c>
      <c r="F1504" t="s" s="86">
        <v>567</v>
      </c>
      <c r="G1504" s="139">
        <v>71</v>
      </c>
      <c r="H1504" t="s" s="140">
        <v>111</v>
      </c>
      <c r="I1504" t="s" s="141">
        <v>111</v>
      </c>
      <c r="J1504" t="s" s="141">
        <v>97</v>
      </c>
      <c r="K1504" t="str" s="142" cm="1">
        <f t="array" ref="K1504">IF(OR(H1504="ריביות",AND(H1504="דירה כצנלסון",G1504&lt;0,ISNUMBER(SEARCH("הכנסה",F1504)))),"הכנסה שסווגה מחדש",J1504)</f>
        <v>שוטף</v>
      </c>
      <c r="L1504" t="s" s="141">
        <v>741</v>
      </c>
      <c r="M1504" s="143" cm="1">
        <f t="array" ref="M1504">IF(L1504="מאושר",IF(K1504="הכנסה שסווגה מחדש",0,G1504),0)</f>
        <v>71</v>
      </c>
      <c r="N1504" s="143" cm="1">
        <f t="array" ref="N1504">IF(K1504="שוטף",M1504,0)</f>
        <v>71</v>
      </c>
      <c r="O1504" s="143" cm="1">
        <f t="array" ref="O1504">IF(K1504="הכנסה שסווגה מחדש",-G1504,0)</f>
        <v>0</v>
      </c>
      <c r="P1504" t="s" s="86">
        <v>842</v>
      </c>
      <c r="Q1504" s="99"/>
      <c r="R1504" t="s" s="144">
        <v>743</v>
      </c>
      <c r="S1504" s="77"/>
    </row>
    <row r="1505" ht="13.65" customHeight="1">
      <c r="A1505" s="78">
        <v>46113</v>
      </c>
      <c r="B1505" t="s" s="79">
        <v>59</v>
      </c>
      <c r="C1505" t="s" s="80">
        <v>939</v>
      </c>
      <c r="D1505" s="131">
        <v>35</v>
      </c>
      <c r="E1505" t="s" s="79">
        <v>957</v>
      </c>
      <c r="F1505" t="s" s="80">
        <v>213</v>
      </c>
      <c r="G1505" s="132">
        <v>204</v>
      </c>
      <c r="H1505" t="s" s="133">
        <v>115</v>
      </c>
      <c r="I1505" t="s" s="134">
        <v>115</v>
      </c>
      <c r="J1505" t="s" s="134">
        <v>97</v>
      </c>
      <c r="K1505" t="str" s="135" cm="1">
        <f t="array" ref="K1505">IF(OR(H1505="ריביות",AND(H1505="דירה כצנלסון",G1505&lt;0,ISNUMBER(SEARCH("הכנסה",F1505)))),"הכנסה שסווגה מחדש",J1505)</f>
        <v>שוטף</v>
      </c>
      <c r="L1505" t="s" s="134">
        <v>741</v>
      </c>
      <c r="M1505" s="136" cm="1">
        <f t="array" ref="M1505">IF(L1505="מאושר",IF(K1505="הכנסה שסווגה מחדש",0,G1505),0)</f>
        <v>204</v>
      </c>
      <c r="N1505" s="136" cm="1">
        <f t="array" ref="N1505">IF(K1505="שוטף",M1505,0)</f>
        <v>204</v>
      </c>
      <c r="O1505" s="136" cm="1">
        <f t="array" ref="O1505">IF(K1505="הכנסה שסווגה מחדש",-G1505,0)</f>
        <v>0</v>
      </c>
      <c r="P1505" t="s" s="80">
        <v>842</v>
      </c>
      <c r="Q1505" s="100"/>
      <c r="R1505" t="s" s="137">
        <v>743</v>
      </c>
      <c r="S1505" s="77"/>
    </row>
    <row r="1506" ht="13.65" customHeight="1">
      <c r="A1506" s="84">
        <v>46113</v>
      </c>
      <c r="B1506" t="s" s="85">
        <v>59</v>
      </c>
      <c r="C1506" t="s" s="86">
        <v>939</v>
      </c>
      <c r="D1506" s="138">
        <v>36</v>
      </c>
      <c r="E1506" t="s" s="85">
        <v>958</v>
      </c>
      <c r="F1506" t="s" s="86">
        <v>200</v>
      </c>
      <c r="G1506" s="139">
        <v>17</v>
      </c>
      <c r="H1506" t="s" s="140">
        <v>109</v>
      </c>
      <c r="I1506" t="s" s="141">
        <v>109</v>
      </c>
      <c r="J1506" t="s" s="141">
        <v>97</v>
      </c>
      <c r="K1506" t="str" s="142" cm="1">
        <f t="array" ref="K1506">IF(OR(H1506="ריביות",AND(H1506="דירה כצנלסון",G1506&lt;0,ISNUMBER(SEARCH("הכנסה",F1506)))),"הכנסה שסווגה מחדש",J1506)</f>
        <v>שוטף</v>
      </c>
      <c r="L1506" t="s" s="141">
        <v>741</v>
      </c>
      <c r="M1506" s="143" cm="1">
        <f t="array" ref="M1506">IF(L1506="מאושר",IF(K1506="הכנסה שסווגה מחדש",0,G1506),0)</f>
        <v>17</v>
      </c>
      <c r="N1506" s="143" cm="1">
        <f t="array" ref="N1506">IF(K1506="שוטף",M1506,0)</f>
        <v>17</v>
      </c>
      <c r="O1506" s="143" cm="1">
        <f t="array" ref="O1506">IF(K1506="הכנסה שסווגה מחדש",-G1506,0)</f>
        <v>0</v>
      </c>
      <c r="P1506" t="s" s="86">
        <v>842</v>
      </c>
      <c r="Q1506" s="99"/>
      <c r="R1506" t="s" s="144">
        <v>743</v>
      </c>
      <c r="S1506" s="77"/>
    </row>
    <row r="1507" ht="13.65" customHeight="1">
      <c r="A1507" s="78">
        <v>46113</v>
      </c>
      <c r="B1507" t="s" s="79">
        <v>59</v>
      </c>
      <c r="C1507" t="s" s="80">
        <v>939</v>
      </c>
      <c r="D1507" s="131">
        <v>37</v>
      </c>
      <c r="E1507" t="s" s="79">
        <v>959</v>
      </c>
      <c r="F1507" t="s" s="79">
        <v>646</v>
      </c>
      <c r="G1507" s="132">
        <v>30</v>
      </c>
      <c r="H1507" t="s" s="133">
        <v>113</v>
      </c>
      <c r="I1507" t="s" s="134">
        <v>113</v>
      </c>
      <c r="J1507" t="s" s="134">
        <v>97</v>
      </c>
      <c r="K1507" t="str" s="135" cm="1">
        <f t="array" ref="K1507">IF(OR(H1507="ריביות",AND(H1507="דירה כצנלסון",G1507&lt;0,ISNUMBER(SEARCH("הכנסה",F1507)))),"הכנסה שסווגה מחדש",J1507)</f>
        <v>שוטף</v>
      </c>
      <c r="L1507" t="s" s="134">
        <v>741</v>
      </c>
      <c r="M1507" s="136" cm="1">
        <f t="array" ref="M1507">IF(L1507="מאושר",IF(K1507="הכנסה שסווגה מחדש",0,G1507),0)</f>
        <v>30</v>
      </c>
      <c r="N1507" s="136" cm="1">
        <f t="array" ref="N1507">IF(K1507="שוטף",M1507,0)</f>
        <v>30</v>
      </c>
      <c r="O1507" s="136" cm="1">
        <f t="array" ref="O1507">IF(K1507="הכנסה שסווגה מחדש",-G1507,0)</f>
        <v>0</v>
      </c>
      <c r="P1507" t="s" s="80">
        <v>842</v>
      </c>
      <c r="Q1507" s="100"/>
      <c r="R1507" t="s" s="137">
        <v>743</v>
      </c>
      <c r="S1507" s="77"/>
    </row>
    <row r="1508" ht="13.65" customHeight="1">
      <c r="A1508" s="84">
        <v>46113</v>
      </c>
      <c r="B1508" t="s" s="85">
        <v>59</v>
      </c>
      <c r="C1508" t="s" s="86">
        <v>939</v>
      </c>
      <c r="D1508" s="138">
        <v>38</v>
      </c>
      <c r="E1508" t="s" s="85">
        <v>959</v>
      </c>
      <c r="F1508" t="s" s="86">
        <v>258</v>
      </c>
      <c r="G1508" s="139">
        <v>1844</v>
      </c>
      <c r="H1508" t="s" s="140">
        <v>960</v>
      </c>
      <c r="I1508" t="s" s="141">
        <v>131</v>
      </c>
      <c r="J1508" t="s" s="141">
        <v>97</v>
      </c>
      <c r="K1508" t="str" s="142" cm="1">
        <f t="array" ref="K1508">IF(OR(H1508="ריביות",AND(H1508="דירה כצנלסון",G1508&lt;0,ISNUMBER(SEARCH("הכנסה",F1508)))),"הכנסה שסווגה מחדש",J1508)</f>
        <v>שוטף</v>
      </c>
      <c r="L1508" t="s" s="141">
        <v>741</v>
      </c>
      <c r="M1508" s="143" cm="1">
        <f t="array" ref="M1508">IF(L1508="מאושר",IF(K1508="הכנסה שסווגה מחדש",0,G1508),0)</f>
        <v>1844</v>
      </c>
      <c r="N1508" s="143" cm="1">
        <f t="array" ref="N1508">IF(K1508="שוטף",M1508,0)</f>
        <v>1844</v>
      </c>
      <c r="O1508" s="143" cm="1">
        <f t="array" ref="O1508">IF(K1508="הכנסה שסווגה מחדש",-G1508,0)</f>
        <v>0</v>
      </c>
      <c r="P1508" t="s" s="86">
        <v>842</v>
      </c>
      <c r="Q1508" s="99"/>
      <c r="R1508" t="s" s="144">
        <v>743</v>
      </c>
      <c r="S1508" s="77"/>
    </row>
    <row r="1509" ht="13.65" customHeight="1">
      <c r="A1509" s="78">
        <v>46113</v>
      </c>
      <c r="B1509" t="s" s="79">
        <v>59</v>
      </c>
      <c r="C1509" t="s" s="80">
        <v>939</v>
      </c>
      <c r="D1509" s="131">
        <v>39</v>
      </c>
      <c r="E1509" t="s" s="79">
        <v>961</v>
      </c>
      <c r="F1509" t="s" s="80">
        <v>200</v>
      </c>
      <c r="G1509" s="132">
        <v>293</v>
      </c>
      <c r="H1509" t="s" s="133">
        <v>109</v>
      </c>
      <c r="I1509" t="s" s="134">
        <v>109</v>
      </c>
      <c r="J1509" t="s" s="134">
        <v>97</v>
      </c>
      <c r="K1509" t="str" s="135" cm="1">
        <f t="array" ref="K1509">IF(OR(H1509="ריביות",AND(H1509="דירה כצנלסון",G1509&lt;0,ISNUMBER(SEARCH("הכנסה",F1509)))),"הכנסה שסווגה מחדש",J1509)</f>
        <v>שוטף</v>
      </c>
      <c r="L1509" t="s" s="134">
        <v>741</v>
      </c>
      <c r="M1509" s="136" cm="1">
        <f t="array" ref="M1509">IF(L1509="מאושר",IF(K1509="הכנסה שסווגה מחדש",0,G1509),0)</f>
        <v>293</v>
      </c>
      <c r="N1509" s="136" cm="1">
        <f t="array" ref="N1509">IF(K1509="שוטף",M1509,0)</f>
        <v>293</v>
      </c>
      <c r="O1509" s="136" cm="1">
        <f t="array" ref="O1509">IF(K1509="הכנסה שסווגה מחדש",-G1509,0)</f>
        <v>0</v>
      </c>
      <c r="P1509" t="s" s="80">
        <v>842</v>
      </c>
      <c r="Q1509" s="100"/>
      <c r="R1509" t="s" s="137">
        <v>743</v>
      </c>
      <c r="S1509" s="77"/>
    </row>
    <row r="1510" ht="13.65" customHeight="1">
      <c r="A1510" s="84">
        <v>46113</v>
      </c>
      <c r="B1510" t="s" s="85">
        <v>59</v>
      </c>
      <c r="C1510" t="s" s="86">
        <v>939</v>
      </c>
      <c r="D1510" s="138">
        <v>40</v>
      </c>
      <c r="E1510" t="s" s="85">
        <v>962</v>
      </c>
      <c r="F1510" t="s" s="86">
        <v>283</v>
      </c>
      <c r="G1510" s="139">
        <v>20</v>
      </c>
      <c r="H1510" t="s" s="140">
        <v>125</v>
      </c>
      <c r="I1510" t="s" s="141">
        <v>125</v>
      </c>
      <c r="J1510" t="s" s="141">
        <v>97</v>
      </c>
      <c r="K1510" t="str" s="142" cm="1">
        <f t="array" ref="K1510">IF(OR(H1510="ריביות",AND(H1510="דירה כצנלסון",G1510&lt;0,ISNUMBER(SEARCH("הכנסה",F1510)))),"הכנסה שסווגה מחדש",J1510)</f>
        <v>שוטף</v>
      </c>
      <c r="L1510" t="s" s="141">
        <v>741</v>
      </c>
      <c r="M1510" s="143" cm="1">
        <f t="array" ref="M1510">IF(L1510="מאושר",IF(K1510="הכנסה שסווגה מחדש",0,G1510),0)</f>
        <v>20</v>
      </c>
      <c r="N1510" s="143" cm="1">
        <f t="array" ref="N1510">IF(K1510="שוטף",M1510,0)</f>
        <v>20</v>
      </c>
      <c r="O1510" s="143" cm="1">
        <f t="array" ref="O1510">IF(K1510="הכנסה שסווגה מחדש",-G1510,0)</f>
        <v>0</v>
      </c>
      <c r="P1510" t="s" s="86">
        <v>842</v>
      </c>
      <c r="Q1510" s="99"/>
      <c r="R1510" t="s" s="144">
        <v>743</v>
      </c>
      <c r="S1510" s="77"/>
    </row>
    <row r="1511" ht="13.65" customHeight="1">
      <c r="A1511" s="78">
        <v>46113</v>
      </c>
      <c r="B1511" t="s" s="79">
        <v>59</v>
      </c>
      <c r="C1511" t="s" s="80">
        <v>939</v>
      </c>
      <c r="D1511" s="131">
        <v>41</v>
      </c>
      <c r="E1511" t="s" s="79">
        <v>962</v>
      </c>
      <c r="F1511" t="s" s="80">
        <v>582</v>
      </c>
      <c r="G1511" s="132">
        <v>65</v>
      </c>
      <c r="H1511" t="s" s="133">
        <v>113</v>
      </c>
      <c r="I1511" t="s" s="134">
        <v>113</v>
      </c>
      <c r="J1511" t="s" s="134">
        <v>97</v>
      </c>
      <c r="K1511" t="str" s="135" cm="1">
        <f t="array" ref="K1511">IF(OR(H1511="ריביות",AND(H1511="דירה כצנלסון",G1511&lt;0,ISNUMBER(SEARCH("הכנסה",F1511)))),"הכנסה שסווגה מחדש",J1511)</f>
        <v>שוטף</v>
      </c>
      <c r="L1511" t="s" s="134">
        <v>741</v>
      </c>
      <c r="M1511" s="136" cm="1">
        <f t="array" ref="M1511">IF(L1511="מאושר",IF(K1511="הכנסה שסווגה מחדש",0,G1511),0)</f>
        <v>65</v>
      </c>
      <c r="N1511" s="136" cm="1">
        <f t="array" ref="N1511">IF(K1511="שוטף",M1511,0)</f>
        <v>65</v>
      </c>
      <c r="O1511" s="136" cm="1">
        <f t="array" ref="O1511">IF(K1511="הכנסה שסווגה מחדש",-G1511,0)</f>
        <v>0</v>
      </c>
      <c r="P1511" t="s" s="80">
        <v>842</v>
      </c>
      <c r="Q1511" s="100"/>
      <c r="R1511" t="s" s="137">
        <v>743</v>
      </c>
      <c r="S1511" s="77"/>
    </row>
    <row r="1512" ht="13.65" customHeight="1">
      <c r="A1512" s="84">
        <v>46113</v>
      </c>
      <c r="B1512" t="s" s="85">
        <v>59</v>
      </c>
      <c r="C1512" t="s" s="86">
        <v>939</v>
      </c>
      <c r="D1512" s="138">
        <v>42</v>
      </c>
      <c r="E1512" t="s" s="85">
        <v>962</v>
      </c>
      <c r="F1512" t="s" s="86">
        <v>380</v>
      </c>
      <c r="G1512" s="139">
        <v>360</v>
      </c>
      <c r="H1512" t="s" s="140">
        <v>123</v>
      </c>
      <c r="I1512" t="s" s="141">
        <v>123</v>
      </c>
      <c r="J1512" t="s" s="141">
        <v>97</v>
      </c>
      <c r="K1512" t="str" s="142" cm="1">
        <f t="array" ref="K1512">IF(OR(H1512="ריביות",AND(H1512="דירה כצנלסון",G1512&lt;0,ISNUMBER(SEARCH("הכנסה",F1512)))),"הכנסה שסווגה מחדש",J1512)</f>
        <v>שוטף</v>
      </c>
      <c r="L1512" t="s" s="141">
        <v>741</v>
      </c>
      <c r="M1512" s="143" cm="1">
        <f t="array" ref="M1512">IF(L1512="מאושר",IF(K1512="הכנסה שסווגה מחדש",0,G1512),0)</f>
        <v>360</v>
      </c>
      <c r="N1512" s="143" cm="1">
        <f t="array" ref="N1512">IF(K1512="שוטף",M1512,0)</f>
        <v>360</v>
      </c>
      <c r="O1512" s="143" cm="1">
        <f t="array" ref="O1512">IF(K1512="הכנסה שסווגה מחדש",-G1512,0)</f>
        <v>0</v>
      </c>
      <c r="P1512" t="s" s="86">
        <v>842</v>
      </c>
      <c r="Q1512" s="99"/>
      <c r="R1512" t="s" s="144">
        <v>743</v>
      </c>
      <c r="S1512" s="77"/>
    </row>
    <row r="1513" ht="13.65" customHeight="1">
      <c r="A1513" s="78">
        <v>46113</v>
      </c>
      <c r="B1513" t="s" s="79">
        <v>59</v>
      </c>
      <c r="C1513" t="s" s="80">
        <v>939</v>
      </c>
      <c r="D1513" s="131">
        <v>43</v>
      </c>
      <c r="E1513" t="s" s="79">
        <v>963</v>
      </c>
      <c r="F1513" t="s" s="80">
        <v>209</v>
      </c>
      <c r="G1513" s="132">
        <v>40</v>
      </c>
      <c r="H1513" t="s" s="133">
        <v>113</v>
      </c>
      <c r="I1513" t="s" s="134">
        <v>113</v>
      </c>
      <c r="J1513" t="s" s="134">
        <v>97</v>
      </c>
      <c r="K1513" t="str" s="135" cm="1">
        <f t="array" ref="K1513">IF(OR(H1513="ריביות",AND(H1513="דירה כצנלסון",G1513&lt;0,ISNUMBER(SEARCH("הכנסה",F1513)))),"הכנסה שסווגה מחדש",J1513)</f>
        <v>שוטף</v>
      </c>
      <c r="L1513" t="s" s="134">
        <v>741</v>
      </c>
      <c r="M1513" s="136" cm="1">
        <f t="array" ref="M1513">IF(L1513="מאושר",IF(K1513="הכנסה שסווגה מחדש",0,G1513),0)</f>
        <v>40</v>
      </c>
      <c r="N1513" s="136" cm="1">
        <f t="array" ref="N1513">IF(K1513="שוטף",M1513,0)</f>
        <v>40</v>
      </c>
      <c r="O1513" s="136" cm="1">
        <f t="array" ref="O1513">IF(K1513="הכנסה שסווגה מחדש",-G1513,0)</f>
        <v>0</v>
      </c>
      <c r="P1513" t="s" s="80">
        <v>842</v>
      </c>
      <c r="Q1513" s="100"/>
      <c r="R1513" t="s" s="137">
        <v>743</v>
      </c>
      <c r="S1513" s="77"/>
    </row>
    <row r="1514" ht="13.65" customHeight="1">
      <c r="A1514" s="84">
        <v>46113</v>
      </c>
      <c r="B1514" t="s" s="85">
        <v>59</v>
      </c>
      <c r="C1514" t="s" s="86">
        <v>939</v>
      </c>
      <c r="D1514" s="138">
        <v>44</v>
      </c>
      <c r="E1514" t="s" s="85">
        <v>964</v>
      </c>
      <c r="F1514" t="s" s="86">
        <v>680</v>
      </c>
      <c r="G1514" s="139">
        <v>6</v>
      </c>
      <c r="H1514" t="s" s="140">
        <v>109</v>
      </c>
      <c r="I1514" t="s" s="141">
        <v>109</v>
      </c>
      <c r="J1514" t="s" s="141">
        <v>97</v>
      </c>
      <c r="K1514" t="str" s="142" cm="1">
        <f t="array" ref="K1514">IF(OR(H1514="ריביות",AND(H1514="דירה כצנלסון",G1514&lt;0,ISNUMBER(SEARCH("הכנסה",F1514)))),"הכנסה שסווגה מחדש",J1514)</f>
        <v>שוטף</v>
      </c>
      <c r="L1514" t="s" s="141">
        <v>741</v>
      </c>
      <c r="M1514" s="143" cm="1">
        <f t="array" ref="M1514">IF(L1514="מאושר",IF(K1514="הכנסה שסווגה מחדש",0,G1514),0)</f>
        <v>6</v>
      </c>
      <c r="N1514" s="143" cm="1">
        <f t="array" ref="N1514">IF(K1514="שוטף",M1514,0)</f>
        <v>6</v>
      </c>
      <c r="O1514" s="143" cm="1">
        <f t="array" ref="O1514">IF(K1514="הכנסה שסווגה מחדש",-G1514,0)</f>
        <v>0</v>
      </c>
      <c r="P1514" t="s" s="86">
        <v>842</v>
      </c>
      <c r="Q1514" s="99"/>
      <c r="R1514" t="s" s="144">
        <v>743</v>
      </c>
      <c r="S1514" s="77"/>
    </row>
    <row r="1515" ht="13.65" customHeight="1">
      <c r="A1515" s="78">
        <v>46113</v>
      </c>
      <c r="B1515" t="s" s="79">
        <v>59</v>
      </c>
      <c r="C1515" t="s" s="80">
        <v>939</v>
      </c>
      <c r="D1515" s="131">
        <v>45</v>
      </c>
      <c r="E1515" t="s" s="79">
        <v>965</v>
      </c>
      <c r="F1515" t="s" s="80">
        <v>200</v>
      </c>
      <c r="G1515" s="132">
        <v>548</v>
      </c>
      <c r="H1515" t="s" s="133">
        <v>109</v>
      </c>
      <c r="I1515" t="s" s="134">
        <v>109</v>
      </c>
      <c r="J1515" t="s" s="134">
        <v>97</v>
      </c>
      <c r="K1515" t="str" s="135" cm="1">
        <f t="array" ref="K1515">IF(OR(H1515="ריביות",AND(H1515="דירה כצנלסון",G1515&lt;0,ISNUMBER(SEARCH("הכנסה",F1515)))),"הכנסה שסווגה מחדש",J1515)</f>
        <v>שוטף</v>
      </c>
      <c r="L1515" t="s" s="134">
        <v>741</v>
      </c>
      <c r="M1515" s="136" cm="1">
        <f t="array" ref="M1515">IF(L1515="מאושר",IF(K1515="הכנסה שסווגה מחדש",0,G1515),0)</f>
        <v>548</v>
      </c>
      <c r="N1515" s="136" cm="1">
        <f t="array" ref="N1515">IF(K1515="שוטף",M1515,0)</f>
        <v>548</v>
      </c>
      <c r="O1515" s="136" cm="1">
        <f t="array" ref="O1515">IF(K1515="הכנסה שסווגה מחדש",-G1515,0)</f>
        <v>0</v>
      </c>
      <c r="P1515" t="s" s="80">
        <v>842</v>
      </c>
      <c r="Q1515" s="100"/>
      <c r="R1515" t="s" s="137">
        <v>743</v>
      </c>
      <c r="S1515" s="77"/>
    </row>
    <row r="1516" ht="13.65" customHeight="1">
      <c r="A1516" s="84">
        <v>46113</v>
      </c>
      <c r="B1516" t="s" s="85">
        <v>59</v>
      </c>
      <c r="C1516" t="s" s="86">
        <v>939</v>
      </c>
      <c r="D1516" s="138">
        <v>47</v>
      </c>
      <c r="E1516" t="s" s="85">
        <v>966</v>
      </c>
      <c r="F1516" t="s" s="86">
        <v>200</v>
      </c>
      <c r="G1516" s="139">
        <v>24</v>
      </c>
      <c r="H1516" t="s" s="140">
        <v>109</v>
      </c>
      <c r="I1516" t="s" s="141">
        <v>109</v>
      </c>
      <c r="J1516" t="s" s="141">
        <v>97</v>
      </c>
      <c r="K1516" t="str" s="142" cm="1">
        <f t="array" ref="K1516">IF(OR(H1516="ריביות",AND(H1516="דירה כצנלסון",G1516&lt;0,ISNUMBER(SEARCH("הכנסה",F1516)))),"הכנסה שסווגה מחדש",J1516)</f>
        <v>שוטף</v>
      </c>
      <c r="L1516" t="s" s="141">
        <v>741</v>
      </c>
      <c r="M1516" s="143" cm="1">
        <f t="array" ref="M1516">IF(L1516="מאושר",IF(K1516="הכנסה שסווגה מחדש",0,G1516),0)</f>
        <v>24</v>
      </c>
      <c r="N1516" s="143" cm="1">
        <f t="array" ref="N1516">IF(K1516="שוטף",M1516,0)</f>
        <v>24</v>
      </c>
      <c r="O1516" s="143" cm="1">
        <f t="array" ref="O1516">IF(K1516="הכנסה שסווגה מחדש",-G1516,0)</f>
        <v>0</v>
      </c>
      <c r="P1516" t="s" s="86">
        <v>842</v>
      </c>
      <c r="Q1516" s="99"/>
      <c r="R1516" t="s" s="144">
        <v>743</v>
      </c>
      <c r="S1516" s="77"/>
    </row>
    <row r="1517" ht="13.65" customHeight="1">
      <c r="A1517" s="78">
        <v>46113</v>
      </c>
      <c r="B1517" t="s" s="79">
        <v>59</v>
      </c>
      <c r="C1517" t="s" s="80">
        <v>939</v>
      </c>
      <c r="D1517" s="131">
        <v>48</v>
      </c>
      <c r="E1517" t="s" s="79">
        <v>967</v>
      </c>
      <c r="F1517" t="s" s="80">
        <v>200</v>
      </c>
      <c r="G1517" s="132">
        <v>-24</v>
      </c>
      <c r="H1517" t="s" s="133">
        <v>109</v>
      </c>
      <c r="I1517" t="s" s="134">
        <v>109</v>
      </c>
      <c r="J1517" t="s" s="134">
        <v>97</v>
      </c>
      <c r="K1517" t="str" s="135" cm="1">
        <f t="array" ref="K1517">IF(OR(H1517="ריביות",AND(H1517="דירה כצנלסון",G1517&lt;0,ISNUMBER(SEARCH("הכנסה",F1517)))),"הכנסה שסווגה מחדש",J1517)</f>
        <v>שוטף</v>
      </c>
      <c r="L1517" t="s" s="134">
        <v>741</v>
      </c>
      <c r="M1517" s="136" cm="1">
        <f t="array" ref="M1517">IF(L1517="מאושר",IF(K1517="הכנסה שסווגה מחדש",0,G1517),0)</f>
        <v>-24</v>
      </c>
      <c r="N1517" s="136" cm="1">
        <f t="array" ref="N1517">IF(K1517="שוטף",M1517,0)</f>
        <v>-24</v>
      </c>
      <c r="O1517" s="136" cm="1">
        <f t="array" ref="O1517">IF(K1517="הכנסה שסווגה מחדש",-G1517,0)</f>
        <v>0</v>
      </c>
      <c r="P1517" t="s" s="80">
        <v>842</v>
      </c>
      <c r="Q1517" s="100"/>
      <c r="R1517" t="s" s="137">
        <v>743</v>
      </c>
      <c r="S1517" s="77"/>
    </row>
    <row r="1518" ht="13.65" customHeight="1">
      <c r="A1518" s="84">
        <v>46113</v>
      </c>
      <c r="B1518" t="s" s="85">
        <v>59</v>
      </c>
      <c r="C1518" t="s" s="86">
        <v>939</v>
      </c>
      <c r="D1518" s="138">
        <v>49</v>
      </c>
      <c r="E1518" t="s" s="85">
        <v>967</v>
      </c>
      <c r="F1518" t="s" s="86">
        <v>289</v>
      </c>
      <c r="G1518" s="139">
        <v>13</v>
      </c>
      <c r="H1518" t="s" s="140">
        <v>767</v>
      </c>
      <c r="I1518" t="s" s="141">
        <v>107</v>
      </c>
      <c r="J1518" t="s" s="141">
        <v>97</v>
      </c>
      <c r="K1518" t="str" s="142" cm="1">
        <f t="array" ref="K1518">IF(OR(H1518="ריביות",AND(H1518="דירה כצנלסון",G1518&lt;0,ISNUMBER(SEARCH("הכנסה",F1518)))),"הכנסה שסווגה מחדש",J1518)</f>
        <v>שוטף</v>
      </c>
      <c r="L1518" t="s" s="141">
        <v>741</v>
      </c>
      <c r="M1518" s="143" cm="1">
        <f t="array" ref="M1518">IF(L1518="מאושר",IF(K1518="הכנסה שסווגה מחדש",0,G1518),0)</f>
        <v>13</v>
      </c>
      <c r="N1518" s="143" cm="1">
        <f t="array" ref="N1518">IF(K1518="שוטף",M1518,0)</f>
        <v>13</v>
      </c>
      <c r="O1518" s="143" cm="1">
        <f t="array" ref="O1518">IF(K1518="הכנסה שסווגה מחדש",-G1518,0)</f>
        <v>0</v>
      </c>
      <c r="P1518" t="s" s="86">
        <v>842</v>
      </c>
      <c r="Q1518" s="99"/>
      <c r="R1518" t="s" s="144">
        <v>743</v>
      </c>
      <c r="S1518" s="77"/>
    </row>
    <row r="1519" ht="13.65" customHeight="1">
      <c r="A1519" s="78">
        <v>46113</v>
      </c>
      <c r="B1519" t="s" s="79">
        <v>59</v>
      </c>
      <c r="C1519" t="s" s="80">
        <v>939</v>
      </c>
      <c r="D1519" s="131">
        <v>50</v>
      </c>
      <c r="E1519" t="s" s="79">
        <v>968</v>
      </c>
      <c r="F1519" t="s" s="80">
        <v>696</v>
      </c>
      <c r="G1519" s="132">
        <v>11</v>
      </c>
      <c r="H1519" t="s" s="133">
        <v>113</v>
      </c>
      <c r="I1519" t="s" s="134">
        <v>113</v>
      </c>
      <c r="J1519" t="s" s="134">
        <v>97</v>
      </c>
      <c r="K1519" t="str" s="135" cm="1">
        <f t="array" ref="K1519">IF(OR(H1519="ריביות",AND(H1519="דירה כצנלסון",G1519&lt;0,ISNUMBER(SEARCH("הכנסה",F1519)))),"הכנסה שסווגה מחדש",J1519)</f>
        <v>שוטף</v>
      </c>
      <c r="L1519" t="s" s="134">
        <v>741</v>
      </c>
      <c r="M1519" s="136" cm="1">
        <f t="array" ref="M1519">IF(L1519="מאושר",IF(K1519="הכנסה שסווגה מחדש",0,G1519),0)</f>
        <v>11</v>
      </c>
      <c r="N1519" s="136" cm="1">
        <f t="array" ref="N1519">IF(K1519="שוטף",M1519,0)</f>
        <v>11</v>
      </c>
      <c r="O1519" s="136" cm="1">
        <f t="array" ref="O1519">IF(K1519="הכנסה שסווגה מחדש",-G1519,0)</f>
        <v>0</v>
      </c>
      <c r="P1519" t="s" s="80">
        <v>842</v>
      </c>
      <c r="Q1519" s="100"/>
      <c r="R1519" t="s" s="137">
        <v>743</v>
      </c>
      <c r="S1519" s="77"/>
    </row>
    <row r="1520" ht="13.65" customHeight="1">
      <c r="A1520" s="84">
        <v>46113</v>
      </c>
      <c r="B1520" t="s" s="85">
        <v>59</v>
      </c>
      <c r="C1520" t="s" s="86">
        <v>939</v>
      </c>
      <c r="D1520" s="138">
        <v>51</v>
      </c>
      <c r="E1520" t="s" s="85">
        <v>940</v>
      </c>
      <c r="F1520" t="s" s="86">
        <v>213</v>
      </c>
      <c r="G1520" s="139">
        <v>188</v>
      </c>
      <c r="H1520" t="s" s="140">
        <v>115</v>
      </c>
      <c r="I1520" t="s" s="141">
        <v>115</v>
      </c>
      <c r="J1520" t="s" s="141">
        <v>97</v>
      </c>
      <c r="K1520" t="str" s="142" cm="1">
        <f t="array" ref="K1520">IF(OR(H1520="ריביות",AND(H1520="דירה כצנלסון",G1520&lt;0,ISNUMBER(SEARCH("הכנסה",F1520)))),"הכנסה שסווגה מחדש",J1520)</f>
        <v>שוטף</v>
      </c>
      <c r="L1520" t="s" s="141">
        <v>741</v>
      </c>
      <c r="M1520" s="143" cm="1">
        <f t="array" ref="M1520">IF(L1520="מאושר",IF(K1520="הכנסה שסווגה מחדש",0,G1520),0)</f>
        <v>188</v>
      </c>
      <c r="N1520" s="143" cm="1">
        <f t="array" ref="N1520">IF(K1520="שוטף",M1520,0)</f>
        <v>188</v>
      </c>
      <c r="O1520" s="143" cm="1">
        <f t="array" ref="O1520">IF(K1520="הכנסה שסווגה מחדש",-G1520,0)</f>
        <v>0</v>
      </c>
      <c r="P1520" t="s" s="86">
        <v>842</v>
      </c>
      <c r="Q1520" s="99"/>
      <c r="R1520" t="s" s="144">
        <v>743</v>
      </c>
      <c r="S1520" s="77"/>
    </row>
    <row r="1521" ht="13.65" customHeight="1">
      <c r="A1521" s="78">
        <v>46113</v>
      </c>
      <c r="B1521" t="s" s="79">
        <v>59</v>
      </c>
      <c r="C1521" t="s" s="80">
        <v>939</v>
      </c>
      <c r="D1521" s="131">
        <v>52</v>
      </c>
      <c r="E1521" t="s" s="79">
        <v>969</v>
      </c>
      <c r="F1521" t="s" s="80">
        <v>200</v>
      </c>
      <c r="G1521" s="132">
        <v>16</v>
      </c>
      <c r="H1521" t="s" s="133">
        <v>109</v>
      </c>
      <c r="I1521" t="s" s="134">
        <v>109</v>
      </c>
      <c r="J1521" t="s" s="134">
        <v>97</v>
      </c>
      <c r="K1521" t="str" s="135" cm="1">
        <f t="array" ref="K1521">IF(OR(H1521="ריביות",AND(H1521="דירה כצנלסון",G1521&lt;0,ISNUMBER(SEARCH("הכנסה",F1521)))),"הכנסה שסווגה מחדש",J1521)</f>
        <v>שוטף</v>
      </c>
      <c r="L1521" t="s" s="134">
        <v>741</v>
      </c>
      <c r="M1521" s="136" cm="1">
        <f t="array" ref="M1521">IF(L1521="מאושר",IF(K1521="הכנסה שסווגה מחדש",0,G1521),0)</f>
        <v>16</v>
      </c>
      <c r="N1521" s="136" cm="1">
        <f t="array" ref="N1521">IF(K1521="שוטף",M1521,0)</f>
        <v>16</v>
      </c>
      <c r="O1521" s="136" cm="1">
        <f t="array" ref="O1521">IF(K1521="הכנסה שסווגה מחדש",-G1521,0)</f>
        <v>0</v>
      </c>
      <c r="P1521" t="s" s="80">
        <v>842</v>
      </c>
      <c r="Q1521" s="100"/>
      <c r="R1521" t="s" s="137">
        <v>743</v>
      </c>
      <c r="S1521" s="77"/>
    </row>
    <row r="1522" ht="13.65" customHeight="1">
      <c r="A1522" s="84">
        <v>46113</v>
      </c>
      <c r="B1522" t="s" s="85">
        <v>59</v>
      </c>
      <c r="C1522" t="s" s="86">
        <v>939</v>
      </c>
      <c r="D1522" s="138">
        <v>53</v>
      </c>
      <c r="E1522" t="s" s="85">
        <v>970</v>
      </c>
      <c r="F1522" t="s" s="86">
        <v>283</v>
      </c>
      <c r="G1522" s="139">
        <v>42</v>
      </c>
      <c r="H1522" t="s" s="140">
        <v>113</v>
      </c>
      <c r="I1522" t="s" s="141">
        <v>113</v>
      </c>
      <c r="J1522" t="s" s="141">
        <v>97</v>
      </c>
      <c r="K1522" t="str" s="142" cm="1">
        <f t="array" ref="K1522">IF(OR(H1522="ריביות",AND(H1522="דירה כצנלסון",G1522&lt;0,ISNUMBER(SEARCH("הכנסה",F1522)))),"הכנסה שסווגה מחדש",J1522)</f>
        <v>שוטף</v>
      </c>
      <c r="L1522" t="s" s="141">
        <v>741</v>
      </c>
      <c r="M1522" s="143" cm="1">
        <f t="array" ref="M1522">IF(L1522="מאושר",IF(K1522="הכנסה שסווגה מחדש",0,G1522),0)</f>
        <v>42</v>
      </c>
      <c r="N1522" s="143" cm="1">
        <f t="array" ref="N1522">IF(K1522="שוטף",M1522,0)</f>
        <v>42</v>
      </c>
      <c r="O1522" s="143" cm="1">
        <f t="array" ref="O1522">IF(K1522="הכנסה שסווגה מחדש",-G1522,0)</f>
        <v>0</v>
      </c>
      <c r="P1522" t="s" s="86">
        <v>842</v>
      </c>
      <c r="Q1522" s="99"/>
      <c r="R1522" t="s" s="144">
        <v>743</v>
      </c>
      <c r="S1522" s="77"/>
    </row>
    <row r="1523" ht="13.65" customHeight="1">
      <c r="A1523" s="78">
        <v>46113</v>
      </c>
      <c r="B1523" t="s" s="79">
        <v>59</v>
      </c>
      <c r="C1523" t="s" s="80">
        <v>939</v>
      </c>
      <c r="D1523" s="131">
        <v>54</v>
      </c>
      <c r="E1523" t="s" s="79">
        <v>943</v>
      </c>
      <c r="F1523" t="s" s="80">
        <v>254</v>
      </c>
      <c r="G1523" s="132">
        <v>60</v>
      </c>
      <c r="H1523" t="s" s="133">
        <v>109</v>
      </c>
      <c r="I1523" t="s" s="134">
        <v>109</v>
      </c>
      <c r="J1523" t="s" s="134">
        <v>97</v>
      </c>
      <c r="K1523" t="str" s="135" cm="1">
        <f t="array" ref="K1523">IF(OR(H1523="ריביות",AND(H1523="דירה כצנלסון",G1523&lt;0,ISNUMBER(SEARCH("הכנסה",F1523)))),"הכנסה שסווגה מחדש",J1523)</f>
        <v>שוטף</v>
      </c>
      <c r="L1523" t="s" s="134">
        <v>741</v>
      </c>
      <c r="M1523" s="136" cm="1">
        <f t="array" ref="M1523">IF(L1523="מאושר",IF(K1523="הכנסה שסווגה מחדש",0,G1523),0)</f>
        <v>60</v>
      </c>
      <c r="N1523" s="136" cm="1">
        <f t="array" ref="N1523">IF(K1523="שוטף",M1523,0)</f>
        <v>60</v>
      </c>
      <c r="O1523" s="136" cm="1">
        <f t="array" ref="O1523">IF(K1523="הכנסה שסווגה מחדש",-G1523,0)</f>
        <v>0</v>
      </c>
      <c r="P1523" t="s" s="80">
        <v>842</v>
      </c>
      <c r="Q1523" s="100"/>
      <c r="R1523" t="s" s="137">
        <v>743</v>
      </c>
      <c r="S1523" s="77"/>
    </row>
    <row r="1524" ht="13.65" customHeight="1">
      <c r="A1524" s="84">
        <v>46113</v>
      </c>
      <c r="B1524" t="s" s="85">
        <v>59</v>
      </c>
      <c r="C1524" t="s" s="86">
        <v>939</v>
      </c>
      <c r="D1524" s="138">
        <v>55</v>
      </c>
      <c r="E1524" t="s" s="85">
        <v>971</v>
      </c>
      <c r="F1524" t="s" s="86">
        <v>283</v>
      </c>
      <c r="G1524" s="139">
        <v>20</v>
      </c>
      <c r="H1524" t="s" s="140">
        <v>125</v>
      </c>
      <c r="I1524" t="s" s="141">
        <v>125</v>
      </c>
      <c r="J1524" t="s" s="141">
        <v>97</v>
      </c>
      <c r="K1524" t="str" s="142" cm="1">
        <f t="array" ref="K1524">IF(OR(H1524="ריביות",AND(H1524="דירה כצנלסון",G1524&lt;0,ISNUMBER(SEARCH("הכנסה",F1524)))),"הכנסה שסווגה מחדש",J1524)</f>
        <v>שוטף</v>
      </c>
      <c r="L1524" t="s" s="141">
        <v>741</v>
      </c>
      <c r="M1524" s="143" cm="1">
        <f t="array" ref="M1524">IF(L1524="מאושר",IF(K1524="הכנסה שסווגה מחדש",0,G1524),0)</f>
        <v>20</v>
      </c>
      <c r="N1524" s="143" cm="1">
        <f t="array" ref="N1524">IF(K1524="שוטף",M1524,0)</f>
        <v>20</v>
      </c>
      <c r="O1524" s="143" cm="1">
        <f t="array" ref="O1524">IF(K1524="הכנסה שסווגה מחדש",-G1524,0)</f>
        <v>0</v>
      </c>
      <c r="P1524" t="s" s="86">
        <v>842</v>
      </c>
      <c r="Q1524" s="99"/>
      <c r="R1524" t="s" s="144">
        <v>743</v>
      </c>
      <c r="S1524" s="77"/>
    </row>
    <row r="1525" ht="13.65" customHeight="1">
      <c r="A1525" s="78">
        <v>46113</v>
      </c>
      <c r="B1525" t="s" s="79">
        <v>59</v>
      </c>
      <c r="C1525" t="s" s="80">
        <v>939</v>
      </c>
      <c r="D1525" s="131">
        <v>56</v>
      </c>
      <c r="E1525" t="s" s="79">
        <v>972</v>
      </c>
      <c r="F1525" t="s" s="79">
        <v>692</v>
      </c>
      <c r="G1525" s="132">
        <v>14</v>
      </c>
      <c r="H1525" t="s" s="133">
        <v>113</v>
      </c>
      <c r="I1525" t="s" s="134">
        <v>113</v>
      </c>
      <c r="J1525" t="s" s="134">
        <v>97</v>
      </c>
      <c r="K1525" t="str" s="135" cm="1">
        <f t="array" ref="K1525">IF(OR(H1525="ריביות",AND(H1525="דירה כצנלסון",G1525&lt;0,ISNUMBER(SEARCH("הכנסה",F1525)))),"הכנסה שסווגה מחדש",J1525)</f>
        <v>שוטף</v>
      </c>
      <c r="L1525" t="s" s="134">
        <v>741</v>
      </c>
      <c r="M1525" s="136" cm="1">
        <f t="array" ref="M1525">IF(L1525="מאושר",IF(K1525="הכנסה שסווגה מחדש",0,G1525),0)</f>
        <v>14</v>
      </c>
      <c r="N1525" s="136" cm="1">
        <f t="array" ref="N1525">IF(K1525="שוטף",M1525,0)</f>
        <v>14</v>
      </c>
      <c r="O1525" s="136" cm="1">
        <f t="array" ref="O1525">IF(K1525="הכנסה שסווגה מחדש",-G1525,0)</f>
        <v>0</v>
      </c>
      <c r="P1525" t="s" s="80">
        <v>842</v>
      </c>
      <c r="Q1525" s="100"/>
      <c r="R1525" t="s" s="137">
        <v>743</v>
      </c>
      <c r="S1525" s="77"/>
    </row>
    <row r="1526" ht="13.65" customHeight="1">
      <c r="A1526" s="84">
        <v>46113</v>
      </c>
      <c r="B1526" t="s" s="85">
        <v>59</v>
      </c>
      <c r="C1526" t="s" s="86">
        <v>939</v>
      </c>
      <c r="D1526" s="138">
        <v>57</v>
      </c>
      <c r="E1526" s="99"/>
      <c r="F1526" t="s" s="86">
        <v>719</v>
      </c>
      <c r="G1526" s="139">
        <v>-1212</v>
      </c>
      <c r="H1526" t="s" s="140">
        <v>829</v>
      </c>
      <c r="I1526" t="s" s="141">
        <v>102</v>
      </c>
      <c r="J1526" t="s" s="141">
        <v>103</v>
      </c>
      <c r="K1526" t="str" s="142" cm="1">
        <f t="array" ref="K1526">IF(OR(H1526="ריביות",AND(H1526="דירה כצנלסון",G1526&lt;0,ISNUMBER(SEARCH("הכנסה",F1526)))),"הכנסה שסווגה מחדש",J1526)</f>
        <v>חריג</v>
      </c>
      <c r="L1526" t="s" s="141">
        <v>741</v>
      </c>
      <c r="M1526" s="143" cm="1">
        <f t="array" ref="M1526">IF(L1526="מאושר",IF(K1526="הכנסה שסווגה מחדש",0,G1526),0)</f>
        <v>-1212</v>
      </c>
      <c r="N1526" s="143" cm="1">
        <f t="array" ref="N1526">IF(K1526="שוטף",M1526,0)</f>
        <v>0</v>
      </c>
      <c r="O1526" s="143" cm="1">
        <f t="array" ref="O1526">IF(K1526="הכנסה שסווגה מחדש",-G1526,0)</f>
        <v>0</v>
      </c>
      <c r="P1526" s="99"/>
      <c r="Q1526" t="s" s="85">
        <v>933</v>
      </c>
      <c r="R1526" t="s" s="144">
        <v>831</v>
      </c>
      <c r="S1526" s="77"/>
    </row>
    <row r="1527" ht="13.65" customHeight="1">
      <c r="A1527" s="78">
        <v>46113</v>
      </c>
      <c r="B1527" t="s" s="79">
        <v>59</v>
      </c>
      <c r="C1527" t="s" s="80">
        <v>939</v>
      </c>
      <c r="D1527" s="131">
        <v>58</v>
      </c>
      <c r="E1527" t="s" s="79">
        <v>941</v>
      </c>
      <c r="F1527" t="s" s="80">
        <v>209</v>
      </c>
      <c r="G1527" s="132">
        <v>263</v>
      </c>
      <c r="H1527" t="s" s="133">
        <v>113</v>
      </c>
      <c r="I1527" t="s" s="134">
        <v>113</v>
      </c>
      <c r="J1527" t="s" s="134">
        <v>97</v>
      </c>
      <c r="K1527" t="str" s="135" cm="1">
        <f t="array" ref="K1527">IF(OR(H1527="ריביות",AND(H1527="דירה כצנלסון",G1527&lt;0,ISNUMBER(SEARCH("הכנסה",F1527)))),"הכנסה שסווגה מחדש",J1527)</f>
        <v>שוטף</v>
      </c>
      <c r="L1527" t="s" s="134">
        <v>741</v>
      </c>
      <c r="M1527" s="136" cm="1">
        <f t="array" ref="M1527">IF(L1527="מאושר",IF(K1527="הכנסה שסווגה מחדש",0,G1527),0)</f>
        <v>263</v>
      </c>
      <c r="N1527" s="136" cm="1">
        <f t="array" ref="N1527">IF(K1527="שוטף",M1527,0)</f>
        <v>263</v>
      </c>
      <c r="O1527" s="136" cm="1">
        <f t="array" ref="O1527">IF(K1527="הכנסה שסווגה מחדש",-G1527,0)</f>
        <v>0</v>
      </c>
      <c r="P1527" t="s" s="80">
        <v>847</v>
      </c>
      <c r="Q1527" s="100"/>
      <c r="R1527" t="s" s="137">
        <v>743</v>
      </c>
      <c r="S1527" s="77"/>
    </row>
    <row r="1528" ht="13.65" customHeight="1">
      <c r="A1528" s="84">
        <v>46113</v>
      </c>
      <c r="B1528" t="s" s="85">
        <v>59</v>
      </c>
      <c r="C1528" t="s" s="86">
        <v>939</v>
      </c>
      <c r="D1528" s="138">
        <v>59</v>
      </c>
      <c r="E1528" t="s" s="85">
        <v>947</v>
      </c>
      <c r="F1528" t="s" s="86">
        <v>669</v>
      </c>
      <c r="G1528" s="139">
        <v>22</v>
      </c>
      <c r="H1528" t="s" s="140">
        <v>113</v>
      </c>
      <c r="I1528" t="s" s="141">
        <v>113</v>
      </c>
      <c r="J1528" t="s" s="141">
        <v>97</v>
      </c>
      <c r="K1528" t="str" s="142" cm="1">
        <f t="array" ref="K1528">IF(OR(H1528="ריביות",AND(H1528="דירה כצנלסון",G1528&lt;0,ISNUMBER(SEARCH("הכנסה",F1528)))),"הכנסה שסווגה מחדש",J1528)</f>
        <v>שוטף</v>
      </c>
      <c r="L1528" t="s" s="141">
        <v>741</v>
      </c>
      <c r="M1528" s="143" cm="1">
        <f t="array" ref="M1528">IF(L1528="מאושר",IF(K1528="הכנסה שסווגה מחדש",0,G1528),0)</f>
        <v>22</v>
      </c>
      <c r="N1528" s="143" cm="1">
        <f t="array" ref="N1528">IF(K1528="שוטף",M1528,0)</f>
        <v>22</v>
      </c>
      <c r="O1528" s="143" cm="1">
        <f t="array" ref="O1528">IF(K1528="הכנסה שסווגה מחדש",-G1528,0)</f>
        <v>0</v>
      </c>
      <c r="P1528" t="s" s="86">
        <v>847</v>
      </c>
      <c r="Q1528" s="99"/>
      <c r="R1528" t="s" s="144">
        <v>743</v>
      </c>
      <c r="S1528" s="77"/>
    </row>
    <row r="1529" ht="13.65" customHeight="1">
      <c r="A1529" s="78">
        <v>46113</v>
      </c>
      <c r="B1529" t="s" s="79">
        <v>59</v>
      </c>
      <c r="C1529" t="s" s="80">
        <v>939</v>
      </c>
      <c r="D1529" s="131">
        <v>63</v>
      </c>
      <c r="E1529" t="s" s="79">
        <v>954</v>
      </c>
      <c r="F1529" t="s" s="80">
        <v>325</v>
      </c>
      <c r="G1529" s="132">
        <v>306</v>
      </c>
      <c r="H1529" t="s" s="133">
        <v>125</v>
      </c>
      <c r="I1529" t="s" s="134">
        <v>125</v>
      </c>
      <c r="J1529" t="s" s="134">
        <v>97</v>
      </c>
      <c r="K1529" t="str" s="135" cm="1">
        <f t="array" ref="K1529">IF(OR(H1529="ריביות",AND(H1529="דירה כצנלסון",G1529&lt;0,ISNUMBER(SEARCH("הכנסה",F1529)))),"הכנסה שסווגה מחדש",J1529)</f>
        <v>שוטף</v>
      </c>
      <c r="L1529" t="s" s="134">
        <v>741</v>
      </c>
      <c r="M1529" s="136" cm="1">
        <f t="array" ref="M1529">IF(L1529="מאושר",IF(K1529="הכנסה שסווגה מחדש",0,G1529),0)</f>
        <v>306</v>
      </c>
      <c r="N1529" s="136" cm="1">
        <f t="array" ref="N1529">IF(K1529="שוטף",M1529,0)</f>
        <v>306</v>
      </c>
      <c r="O1529" s="136" cm="1">
        <f t="array" ref="O1529">IF(K1529="הכנסה שסווגה מחדש",-G1529,0)</f>
        <v>0</v>
      </c>
      <c r="P1529" t="s" s="80">
        <v>847</v>
      </c>
      <c r="Q1529" s="100"/>
      <c r="R1529" t="s" s="137">
        <v>743</v>
      </c>
      <c r="S1529" s="77"/>
    </row>
    <row r="1530" ht="13.65" customHeight="1">
      <c r="A1530" s="84">
        <v>46113</v>
      </c>
      <c r="B1530" t="s" s="85">
        <v>59</v>
      </c>
      <c r="C1530" t="s" s="86">
        <v>939</v>
      </c>
      <c r="D1530" s="138">
        <v>64</v>
      </c>
      <c r="E1530" t="s" s="85">
        <v>954</v>
      </c>
      <c r="F1530" t="s" s="86">
        <v>223</v>
      </c>
      <c r="G1530" s="139">
        <v>103</v>
      </c>
      <c r="H1530" t="s" s="140">
        <v>117</v>
      </c>
      <c r="I1530" t="s" s="141">
        <v>117</v>
      </c>
      <c r="J1530" t="s" s="141">
        <v>97</v>
      </c>
      <c r="K1530" t="str" s="142" cm="1">
        <f t="array" ref="K1530">IF(OR(H1530="ריביות",AND(H1530="דירה כצנלסון",G1530&lt;0,ISNUMBER(SEARCH("הכנסה",F1530)))),"הכנסה שסווגה מחדש",J1530)</f>
        <v>שוטף</v>
      </c>
      <c r="L1530" t="s" s="141">
        <v>741</v>
      </c>
      <c r="M1530" s="143" cm="1">
        <f t="array" ref="M1530">IF(L1530="מאושר",IF(K1530="הכנסה שסווגה מחדש",0,G1530),0)</f>
        <v>103</v>
      </c>
      <c r="N1530" s="143" cm="1">
        <f t="array" ref="N1530">IF(K1530="שוטף",M1530,0)</f>
        <v>103</v>
      </c>
      <c r="O1530" s="143" cm="1">
        <f t="array" ref="O1530">IF(K1530="הכנסה שסווגה מחדש",-G1530,0)</f>
        <v>0</v>
      </c>
      <c r="P1530" t="s" s="86">
        <v>847</v>
      </c>
      <c r="Q1530" s="99"/>
      <c r="R1530" t="s" s="144">
        <v>743</v>
      </c>
      <c r="S1530" s="77"/>
    </row>
    <row r="1531" ht="13.65" customHeight="1">
      <c r="A1531" s="78">
        <v>46113</v>
      </c>
      <c r="B1531" t="s" s="79">
        <v>59</v>
      </c>
      <c r="C1531" t="s" s="80">
        <v>939</v>
      </c>
      <c r="D1531" s="131">
        <v>65</v>
      </c>
      <c r="E1531" t="s" s="79">
        <v>954</v>
      </c>
      <c r="F1531" t="s" s="79">
        <v>439</v>
      </c>
      <c r="G1531" s="132">
        <v>210</v>
      </c>
      <c r="H1531" t="s" s="133">
        <v>117</v>
      </c>
      <c r="I1531" t="s" s="134">
        <v>117</v>
      </c>
      <c r="J1531" t="s" s="134">
        <v>97</v>
      </c>
      <c r="K1531" t="str" s="135" cm="1">
        <f t="array" ref="K1531">IF(OR(H1531="ריביות",AND(H1531="דירה כצנלסון",G1531&lt;0,ISNUMBER(SEARCH("הכנסה",F1531)))),"הכנסה שסווגה מחדש",J1531)</f>
        <v>שוטף</v>
      </c>
      <c r="L1531" t="s" s="134">
        <v>741</v>
      </c>
      <c r="M1531" s="136" cm="1">
        <f t="array" ref="M1531">IF(L1531="מאושר",IF(K1531="הכנסה שסווגה מחדש",0,G1531),0)</f>
        <v>210</v>
      </c>
      <c r="N1531" s="136" cm="1">
        <f t="array" ref="N1531">IF(K1531="שוטף",M1531,0)</f>
        <v>210</v>
      </c>
      <c r="O1531" s="136" cm="1">
        <f t="array" ref="O1531">IF(K1531="הכנסה שסווגה מחדש",-G1531,0)</f>
        <v>0</v>
      </c>
      <c r="P1531" t="s" s="80">
        <v>847</v>
      </c>
      <c r="Q1531" s="100"/>
      <c r="R1531" t="s" s="137">
        <v>743</v>
      </c>
      <c r="S1531" s="77"/>
    </row>
    <row r="1532" ht="13.65" customHeight="1">
      <c r="A1532" s="84">
        <v>46113</v>
      </c>
      <c r="B1532" t="s" s="85">
        <v>59</v>
      </c>
      <c r="C1532" t="s" s="86">
        <v>939</v>
      </c>
      <c r="D1532" s="138">
        <v>66</v>
      </c>
      <c r="E1532" t="s" s="85">
        <v>956</v>
      </c>
      <c r="F1532" t="s" s="86">
        <v>437</v>
      </c>
      <c r="G1532" s="139">
        <v>48</v>
      </c>
      <c r="H1532" t="s" s="140">
        <v>113</v>
      </c>
      <c r="I1532" t="s" s="141">
        <v>113</v>
      </c>
      <c r="J1532" t="s" s="141">
        <v>97</v>
      </c>
      <c r="K1532" t="str" s="142" cm="1">
        <f t="array" ref="K1532">IF(OR(H1532="ריביות",AND(H1532="דירה כצנלסון",G1532&lt;0,ISNUMBER(SEARCH("הכנסה",F1532)))),"הכנסה שסווגה מחדש",J1532)</f>
        <v>שוטף</v>
      </c>
      <c r="L1532" t="s" s="141">
        <v>741</v>
      </c>
      <c r="M1532" s="143" cm="1">
        <f t="array" ref="M1532">IF(L1532="מאושר",IF(K1532="הכנסה שסווגה מחדש",0,G1532),0)</f>
        <v>48</v>
      </c>
      <c r="N1532" s="143" cm="1">
        <f t="array" ref="N1532">IF(K1532="שוטף",M1532,0)</f>
        <v>48</v>
      </c>
      <c r="O1532" s="143" cm="1">
        <f t="array" ref="O1532">IF(K1532="הכנסה שסווגה מחדש",-G1532,0)</f>
        <v>0</v>
      </c>
      <c r="P1532" t="s" s="86">
        <v>847</v>
      </c>
      <c r="Q1532" s="99"/>
      <c r="R1532" t="s" s="144">
        <v>743</v>
      </c>
      <c r="S1532" s="77"/>
    </row>
    <row r="1533" ht="13.65" customHeight="1">
      <c r="A1533" s="78">
        <v>46113</v>
      </c>
      <c r="B1533" t="s" s="79">
        <v>59</v>
      </c>
      <c r="C1533" t="s" s="80">
        <v>939</v>
      </c>
      <c r="D1533" s="131">
        <v>68</v>
      </c>
      <c r="E1533" t="s" s="79">
        <v>973</v>
      </c>
      <c r="F1533" t="s" s="80">
        <v>223</v>
      </c>
      <c r="G1533" s="132">
        <v>140</v>
      </c>
      <c r="H1533" t="s" s="133">
        <v>117</v>
      </c>
      <c r="I1533" t="s" s="134">
        <v>117</v>
      </c>
      <c r="J1533" t="s" s="134">
        <v>97</v>
      </c>
      <c r="K1533" t="str" s="135" cm="1">
        <f t="array" ref="K1533">IF(OR(H1533="ריביות",AND(H1533="דירה כצנלסון",G1533&lt;0,ISNUMBER(SEARCH("הכנסה",F1533)))),"הכנסה שסווגה מחדש",J1533)</f>
        <v>שוטף</v>
      </c>
      <c r="L1533" t="s" s="134">
        <v>741</v>
      </c>
      <c r="M1533" s="136" cm="1">
        <f t="array" ref="M1533">IF(L1533="מאושר",IF(K1533="הכנסה שסווגה מחדש",0,G1533),0)</f>
        <v>140</v>
      </c>
      <c r="N1533" s="136" cm="1">
        <f t="array" ref="N1533">IF(K1533="שוטף",M1533,0)</f>
        <v>140</v>
      </c>
      <c r="O1533" s="136" cm="1">
        <f t="array" ref="O1533">IF(K1533="הכנסה שסווגה מחדש",-G1533,0)</f>
        <v>0</v>
      </c>
      <c r="P1533" t="s" s="80">
        <v>847</v>
      </c>
      <c r="Q1533" s="100"/>
      <c r="R1533" t="s" s="137">
        <v>743</v>
      </c>
      <c r="S1533" s="77"/>
    </row>
    <row r="1534" ht="13.65" customHeight="1">
      <c r="A1534" s="84">
        <v>46113</v>
      </c>
      <c r="B1534" t="s" s="85">
        <v>59</v>
      </c>
      <c r="C1534" t="s" s="86">
        <v>939</v>
      </c>
      <c r="D1534" s="138">
        <v>69</v>
      </c>
      <c r="E1534" t="s" s="85">
        <v>944</v>
      </c>
      <c r="F1534" t="s" s="86">
        <v>424</v>
      </c>
      <c r="G1534" s="139">
        <v>61</v>
      </c>
      <c r="H1534" t="s" s="140">
        <v>133</v>
      </c>
      <c r="I1534" t="s" s="141">
        <v>133</v>
      </c>
      <c r="J1534" t="s" s="141">
        <v>97</v>
      </c>
      <c r="K1534" t="str" s="142" cm="1">
        <f t="array" ref="K1534">IF(OR(H1534="ריביות",AND(H1534="דירה כצנלסון",G1534&lt;0,ISNUMBER(SEARCH("הכנסה",F1534)))),"הכנסה שסווגה מחדש",J1534)</f>
        <v>שוטף</v>
      </c>
      <c r="L1534" t="s" s="141">
        <v>741</v>
      </c>
      <c r="M1534" s="143" cm="1">
        <f t="array" ref="M1534">IF(L1534="מאושר",IF(K1534="הכנסה שסווגה מחדש",0,G1534),0)</f>
        <v>61</v>
      </c>
      <c r="N1534" s="143" cm="1">
        <f t="array" ref="N1534">IF(K1534="שוטף",M1534,0)</f>
        <v>61</v>
      </c>
      <c r="O1534" s="143" cm="1">
        <f t="array" ref="O1534">IF(K1534="הכנסה שסווגה מחדש",-G1534,0)</f>
        <v>0</v>
      </c>
      <c r="P1534" t="s" s="86">
        <v>847</v>
      </c>
      <c r="Q1534" s="99"/>
      <c r="R1534" t="s" s="144">
        <v>743</v>
      </c>
      <c r="S1534" s="77"/>
    </row>
    <row r="1535" ht="13.65" customHeight="1">
      <c r="A1535" s="78">
        <v>46113</v>
      </c>
      <c r="B1535" t="s" s="79">
        <v>59</v>
      </c>
      <c r="C1535" t="s" s="80">
        <v>939</v>
      </c>
      <c r="D1535" s="131">
        <v>70</v>
      </c>
      <c r="E1535" t="s" s="79">
        <v>974</v>
      </c>
      <c r="F1535" t="s" s="80">
        <v>223</v>
      </c>
      <c r="G1535" s="132">
        <v>82</v>
      </c>
      <c r="H1535" t="s" s="133">
        <v>960</v>
      </c>
      <c r="I1535" t="s" s="134">
        <v>131</v>
      </c>
      <c r="J1535" t="s" s="134">
        <v>97</v>
      </c>
      <c r="K1535" t="str" s="135" cm="1">
        <f t="array" ref="K1535">IF(OR(H1535="ריביות",AND(H1535="דירה כצנלסון",G1535&lt;0,ISNUMBER(SEARCH("הכנסה",F1535)))),"הכנסה שסווגה מחדש",J1535)</f>
        <v>שוטף</v>
      </c>
      <c r="L1535" t="s" s="134">
        <v>741</v>
      </c>
      <c r="M1535" s="136" cm="1">
        <f t="array" ref="M1535">IF(L1535="מאושר",IF(K1535="הכנסה שסווגה מחדש",0,G1535),0)</f>
        <v>82</v>
      </c>
      <c r="N1535" s="136" cm="1">
        <f t="array" ref="N1535">IF(K1535="שוטף",M1535,0)</f>
        <v>82</v>
      </c>
      <c r="O1535" s="136" cm="1">
        <f t="array" ref="O1535">IF(K1535="הכנסה שסווגה מחדש",-G1535,0)</f>
        <v>0</v>
      </c>
      <c r="P1535" t="s" s="80">
        <v>847</v>
      </c>
      <c r="Q1535" s="100"/>
      <c r="R1535" t="s" s="137">
        <v>743</v>
      </c>
      <c r="S1535" s="77"/>
    </row>
    <row r="1536" ht="13.65" customHeight="1">
      <c r="A1536" s="84">
        <v>46113</v>
      </c>
      <c r="B1536" t="s" s="85">
        <v>59</v>
      </c>
      <c r="C1536" t="s" s="86">
        <v>939</v>
      </c>
      <c r="D1536" s="138">
        <v>71</v>
      </c>
      <c r="E1536" t="s" s="85">
        <v>975</v>
      </c>
      <c r="F1536" t="s" s="86">
        <v>223</v>
      </c>
      <c r="G1536" s="139">
        <v>37</v>
      </c>
      <c r="H1536" t="s" s="140">
        <v>960</v>
      </c>
      <c r="I1536" t="s" s="141">
        <v>131</v>
      </c>
      <c r="J1536" t="s" s="141">
        <v>97</v>
      </c>
      <c r="K1536" t="str" s="142" cm="1">
        <f t="array" ref="K1536">IF(OR(H1536="ריביות",AND(H1536="דירה כצנלסון",G1536&lt;0,ISNUMBER(SEARCH("הכנסה",F1536)))),"הכנסה שסווגה מחדש",J1536)</f>
        <v>שוטף</v>
      </c>
      <c r="L1536" t="s" s="141">
        <v>741</v>
      </c>
      <c r="M1536" s="143" cm="1">
        <f t="array" ref="M1536">IF(L1536="מאושר",IF(K1536="הכנסה שסווגה מחדש",0,G1536),0)</f>
        <v>37</v>
      </c>
      <c r="N1536" s="143" cm="1">
        <f t="array" ref="N1536">IF(K1536="שוטף",M1536,0)</f>
        <v>37</v>
      </c>
      <c r="O1536" s="143" cm="1">
        <f t="array" ref="O1536">IF(K1536="הכנסה שסווגה מחדש",-G1536,0)</f>
        <v>0</v>
      </c>
      <c r="P1536" t="s" s="86">
        <v>847</v>
      </c>
      <c r="Q1536" s="99"/>
      <c r="R1536" t="s" s="144">
        <v>743</v>
      </c>
      <c r="S1536" s="77"/>
    </row>
    <row r="1537" ht="13.65" customHeight="1">
      <c r="A1537" s="78">
        <v>46113</v>
      </c>
      <c r="B1537" t="s" s="79">
        <v>59</v>
      </c>
      <c r="C1537" t="s" s="80">
        <v>939</v>
      </c>
      <c r="D1537" s="131">
        <v>72</v>
      </c>
      <c r="E1537" t="s" s="79">
        <v>976</v>
      </c>
      <c r="F1537" t="s" s="80">
        <v>209</v>
      </c>
      <c r="G1537" s="132">
        <v>16</v>
      </c>
      <c r="H1537" t="s" s="133">
        <v>113</v>
      </c>
      <c r="I1537" t="s" s="134">
        <v>113</v>
      </c>
      <c r="J1537" t="s" s="134">
        <v>97</v>
      </c>
      <c r="K1537" t="str" s="135" cm="1">
        <f t="array" ref="K1537">IF(OR(H1537="ריביות",AND(H1537="דירה כצנלסון",G1537&lt;0,ISNUMBER(SEARCH("הכנסה",F1537)))),"הכנסה שסווגה מחדש",J1537)</f>
        <v>שוטף</v>
      </c>
      <c r="L1537" t="s" s="134">
        <v>741</v>
      </c>
      <c r="M1537" s="136" cm="1">
        <f t="array" ref="M1537">IF(L1537="מאושר",IF(K1537="הכנסה שסווגה מחדש",0,G1537),0)</f>
        <v>16</v>
      </c>
      <c r="N1537" s="136" cm="1">
        <f t="array" ref="N1537">IF(K1537="שוטף",M1537,0)</f>
        <v>16</v>
      </c>
      <c r="O1537" s="136" cm="1">
        <f t="array" ref="O1537">IF(K1537="הכנסה שסווגה מחדש",-G1537,0)</f>
        <v>0</v>
      </c>
      <c r="P1537" t="s" s="80">
        <v>847</v>
      </c>
      <c r="Q1537" s="100"/>
      <c r="R1537" t="s" s="137">
        <v>743</v>
      </c>
      <c r="S1537" s="77"/>
    </row>
    <row r="1538" ht="13.65" customHeight="1">
      <c r="A1538" s="84">
        <v>46113</v>
      </c>
      <c r="B1538" t="s" s="85">
        <v>59</v>
      </c>
      <c r="C1538" t="s" s="86">
        <v>939</v>
      </c>
      <c r="D1538" s="138">
        <v>73</v>
      </c>
      <c r="E1538" t="s" s="85">
        <v>977</v>
      </c>
      <c r="F1538" t="s" s="86">
        <v>289</v>
      </c>
      <c r="G1538" s="139">
        <v>129</v>
      </c>
      <c r="H1538" t="s" s="140">
        <v>767</v>
      </c>
      <c r="I1538" t="s" s="141">
        <v>107</v>
      </c>
      <c r="J1538" t="s" s="141">
        <v>97</v>
      </c>
      <c r="K1538" t="str" s="142" cm="1">
        <f t="array" ref="K1538">IF(OR(H1538="ריביות",AND(H1538="דירה כצנלסון",G1538&lt;0,ISNUMBER(SEARCH("הכנסה",F1538)))),"הכנסה שסווגה מחדש",J1538)</f>
        <v>שוטף</v>
      </c>
      <c r="L1538" t="s" s="141">
        <v>741</v>
      </c>
      <c r="M1538" s="143" cm="1">
        <f t="array" ref="M1538">IF(L1538="מאושר",IF(K1538="הכנסה שסווגה מחדש",0,G1538),0)</f>
        <v>129</v>
      </c>
      <c r="N1538" s="143" cm="1">
        <f t="array" ref="N1538">IF(K1538="שוטף",M1538,0)</f>
        <v>129</v>
      </c>
      <c r="O1538" s="143" cm="1">
        <f t="array" ref="O1538">IF(K1538="הכנסה שסווגה מחדש",-G1538,0)</f>
        <v>0</v>
      </c>
      <c r="P1538" t="s" s="86">
        <v>847</v>
      </c>
      <c r="Q1538" s="99"/>
      <c r="R1538" t="s" s="144">
        <v>743</v>
      </c>
      <c r="S1538" s="77"/>
    </row>
    <row r="1539" ht="13.65" customHeight="1">
      <c r="A1539" s="78">
        <v>46113</v>
      </c>
      <c r="B1539" t="s" s="79">
        <v>59</v>
      </c>
      <c r="C1539" t="s" s="80">
        <v>939</v>
      </c>
      <c r="D1539" s="131">
        <v>74</v>
      </c>
      <c r="E1539" t="s" s="79">
        <v>962</v>
      </c>
      <c r="F1539" t="s" s="80">
        <v>403</v>
      </c>
      <c r="G1539" s="132">
        <v>285</v>
      </c>
      <c r="H1539" t="s" s="133">
        <v>125</v>
      </c>
      <c r="I1539" t="s" s="134">
        <v>125</v>
      </c>
      <c r="J1539" t="s" s="134">
        <v>97</v>
      </c>
      <c r="K1539" t="str" s="135" cm="1">
        <f t="array" ref="K1539">IF(OR(H1539="ריביות",AND(H1539="דירה כצנלסון",G1539&lt;0,ISNUMBER(SEARCH("הכנסה",F1539)))),"הכנסה שסווגה מחדש",J1539)</f>
        <v>שוטף</v>
      </c>
      <c r="L1539" t="s" s="134">
        <v>741</v>
      </c>
      <c r="M1539" s="136" cm="1">
        <f t="array" ref="M1539">IF(L1539="מאושר",IF(K1539="הכנסה שסווגה מחדש",0,G1539),0)</f>
        <v>285</v>
      </c>
      <c r="N1539" s="136" cm="1">
        <f t="array" ref="N1539">IF(K1539="שוטף",M1539,0)</f>
        <v>285</v>
      </c>
      <c r="O1539" s="136" cm="1">
        <f t="array" ref="O1539">IF(K1539="הכנסה שסווגה מחדש",-G1539,0)</f>
        <v>0</v>
      </c>
      <c r="P1539" t="s" s="80">
        <v>847</v>
      </c>
      <c r="Q1539" s="100"/>
      <c r="R1539" t="s" s="137">
        <v>743</v>
      </c>
      <c r="S1539" s="77"/>
    </row>
    <row r="1540" ht="13.65" customHeight="1">
      <c r="A1540" s="84">
        <v>46113</v>
      </c>
      <c r="B1540" t="s" s="85">
        <v>59</v>
      </c>
      <c r="C1540" t="s" s="86">
        <v>939</v>
      </c>
      <c r="D1540" s="138">
        <v>75</v>
      </c>
      <c r="E1540" t="s" s="85">
        <v>978</v>
      </c>
      <c r="F1540" t="s" s="86">
        <v>558</v>
      </c>
      <c r="G1540" s="139">
        <v>21</v>
      </c>
      <c r="H1540" t="s" s="140">
        <v>117</v>
      </c>
      <c r="I1540" t="s" s="141">
        <v>117</v>
      </c>
      <c r="J1540" t="s" s="141">
        <v>97</v>
      </c>
      <c r="K1540" t="str" s="142" cm="1">
        <f t="array" ref="K1540">IF(OR(H1540="ריביות",AND(H1540="דירה כצנלסון",G1540&lt;0,ISNUMBER(SEARCH("הכנסה",F1540)))),"הכנסה שסווגה מחדש",J1540)</f>
        <v>שוטף</v>
      </c>
      <c r="L1540" t="s" s="141">
        <v>741</v>
      </c>
      <c r="M1540" s="143" cm="1">
        <f t="array" ref="M1540">IF(L1540="מאושר",IF(K1540="הכנסה שסווגה מחדש",0,G1540),0)</f>
        <v>21</v>
      </c>
      <c r="N1540" s="143" cm="1">
        <f t="array" ref="N1540">IF(K1540="שוטף",M1540,0)</f>
        <v>21</v>
      </c>
      <c r="O1540" s="143" cm="1">
        <f t="array" ref="O1540">IF(K1540="הכנסה שסווגה מחדש",-G1540,0)</f>
        <v>0</v>
      </c>
      <c r="P1540" t="s" s="86">
        <v>847</v>
      </c>
      <c r="Q1540" s="99"/>
      <c r="R1540" t="s" s="144">
        <v>743</v>
      </c>
      <c r="S1540" s="77"/>
    </row>
    <row r="1541" ht="13.65" customHeight="1">
      <c r="A1541" s="78">
        <v>46113</v>
      </c>
      <c r="B1541" t="s" s="79">
        <v>59</v>
      </c>
      <c r="C1541" t="s" s="80">
        <v>939</v>
      </c>
      <c r="D1541" s="131">
        <v>76</v>
      </c>
      <c r="E1541" t="s" s="79">
        <v>963</v>
      </c>
      <c r="F1541" t="s" s="80">
        <v>556</v>
      </c>
      <c r="G1541" s="132">
        <v>79</v>
      </c>
      <c r="H1541" t="s" s="133">
        <v>113</v>
      </c>
      <c r="I1541" t="s" s="134">
        <v>113</v>
      </c>
      <c r="J1541" t="s" s="134">
        <v>97</v>
      </c>
      <c r="K1541" t="str" s="135" cm="1">
        <f t="array" ref="K1541">IF(OR(H1541="ריביות",AND(H1541="דירה כצנלסון",G1541&lt;0,ISNUMBER(SEARCH("הכנסה",F1541)))),"הכנסה שסווגה מחדש",J1541)</f>
        <v>שוטף</v>
      </c>
      <c r="L1541" t="s" s="134">
        <v>741</v>
      </c>
      <c r="M1541" s="136" cm="1">
        <f t="array" ref="M1541">IF(L1541="מאושר",IF(K1541="הכנסה שסווגה מחדש",0,G1541),0)</f>
        <v>79</v>
      </c>
      <c r="N1541" s="136" cm="1">
        <f t="array" ref="N1541">IF(K1541="שוטף",M1541,0)</f>
        <v>79</v>
      </c>
      <c r="O1541" s="136" cm="1">
        <f t="array" ref="O1541">IF(K1541="הכנסה שסווגה מחדש",-G1541,0)</f>
        <v>0</v>
      </c>
      <c r="P1541" t="s" s="80">
        <v>847</v>
      </c>
      <c r="Q1541" s="100"/>
      <c r="R1541" t="s" s="137">
        <v>743</v>
      </c>
      <c r="S1541" s="77"/>
    </row>
    <row r="1542" ht="13.65" customHeight="1">
      <c r="A1542" s="84">
        <v>46113</v>
      </c>
      <c r="B1542" t="s" s="85">
        <v>59</v>
      </c>
      <c r="C1542" t="s" s="86">
        <v>939</v>
      </c>
      <c r="D1542" s="138">
        <v>77</v>
      </c>
      <c r="E1542" t="s" s="85">
        <v>940</v>
      </c>
      <c r="F1542" t="s" s="86">
        <v>209</v>
      </c>
      <c r="G1542" s="139">
        <v>65</v>
      </c>
      <c r="H1542" t="s" s="140">
        <v>113</v>
      </c>
      <c r="I1542" t="s" s="141">
        <v>113</v>
      </c>
      <c r="J1542" t="s" s="141">
        <v>97</v>
      </c>
      <c r="K1542" t="str" s="142" cm="1">
        <f t="array" ref="K1542">IF(OR(H1542="ריביות",AND(H1542="דירה כצנלסון",G1542&lt;0,ISNUMBER(SEARCH("הכנסה",F1542)))),"הכנסה שסווגה מחדש",J1542)</f>
        <v>שוטף</v>
      </c>
      <c r="L1542" t="s" s="141">
        <v>741</v>
      </c>
      <c r="M1542" s="143" cm="1">
        <f t="array" ref="M1542">IF(L1542="מאושר",IF(K1542="הכנסה שסווגה מחדש",0,G1542),0)</f>
        <v>65</v>
      </c>
      <c r="N1542" s="143" cm="1">
        <f t="array" ref="N1542">IF(K1542="שוטף",M1542,0)</f>
        <v>65</v>
      </c>
      <c r="O1542" s="143" cm="1">
        <f t="array" ref="O1542">IF(K1542="הכנסה שסווגה מחדש",-G1542,0)</f>
        <v>0</v>
      </c>
      <c r="P1542" t="s" s="86">
        <v>847</v>
      </c>
      <c r="Q1542" s="99"/>
      <c r="R1542" t="s" s="144">
        <v>743</v>
      </c>
      <c r="S1542" s="77"/>
    </row>
    <row r="1543" ht="13.65" customHeight="1">
      <c r="A1543" s="78">
        <v>46113</v>
      </c>
      <c r="B1543" t="s" s="79">
        <v>59</v>
      </c>
      <c r="C1543" t="s" s="80">
        <v>939</v>
      </c>
      <c r="D1543" s="131">
        <v>78</v>
      </c>
      <c r="E1543" t="s" s="79">
        <v>979</v>
      </c>
      <c r="F1543" t="s" s="80">
        <v>353</v>
      </c>
      <c r="G1543" s="132">
        <v>500</v>
      </c>
      <c r="H1543" t="s" s="133">
        <v>125</v>
      </c>
      <c r="I1543" t="s" s="134">
        <v>125</v>
      </c>
      <c r="J1543" t="s" s="134">
        <v>97</v>
      </c>
      <c r="K1543" t="str" s="135" cm="1">
        <f t="array" ref="K1543">IF(OR(H1543="ריביות",AND(H1543="דירה כצנלסון",G1543&lt;0,ISNUMBER(SEARCH("הכנסה",F1543)))),"הכנסה שסווגה מחדש",J1543)</f>
        <v>שוטף</v>
      </c>
      <c r="L1543" t="s" s="134">
        <v>741</v>
      </c>
      <c r="M1543" s="136" cm="1">
        <f t="array" ref="M1543">IF(L1543="מאושר",IF(K1543="הכנסה שסווגה מחדש",0,G1543),0)</f>
        <v>500</v>
      </c>
      <c r="N1543" s="136" cm="1">
        <f t="array" ref="N1543">IF(K1543="שוטף",M1543,0)</f>
        <v>500</v>
      </c>
      <c r="O1543" s="136" cm="1">
        <f t="array" ref="O1543">IF(K1543="הכנסה שסווגה מחדש",-G1543,0)</f>
        <v>0</v>
      </c>
      <c r="P1543" t="s" s="80">
        <v>847</v>
      </c>
      <c r="Q1543" s="100"/>
      <c r="R1543" t="s" s="137">
        <v>743</v>
      </c>
      <c r="S1543" s="77"/>
    </row>
    <row r="1544" ht="13.65" customHeight="1">
      <c r="A1544" s="84">
        <v>46113</v>
      </c>
      <c r="B1544" t="s" s="85">
        <v>59</v>
      </c>
      <c r="C1544" t="s" s="86">
        <v>939</v>
      </c>
      <c r="D1544" s="138">
        <v>79</v>
      </c>
      <c r="E1544" t="s" s="85">
        <v>945</v>
      </c>
      <c r="F1544" t="s" s="86">
        <v>585</v>
      </c>
      <c r="G1544" s="139">
        <v>61</v>
      </c>
      <c r="H1544" t="s" s="140">
        <v>113</v>
      </c>
      <c r="I1544" t="s" s="141">
        <v>113</v>
      </c>
      <c r="J1544" t="s" s="141">
        <v>97</v>
      </c>
      <c r="K1544" t="str" s="142" cm="1">
        <f t="array" ref="K1544">IF(OR(H1544="ריביות",AND(H1544="דירה כצנלסון",G1544&lt;0,ISNUMBER(SEARCH("הכנסה",F1544)))),"הכנסה שסווגה מחדש",J1544)</f>
        <v>שוטף</v>
      </c>
      <c r="L1544" t="s" s="141">
        <v>741</v>
      </c>
      <c r="M1544" s="143" cm="1">
        <f t="array" ref="M1544">IF(L1544="מאושר",IF(K1544="הכנסה שסווגה מחדש",0,G1544),0)</f>
        <v>61</v>
      </c>
      <c r="N1544" s="143" cm="1">
        <f t="array" ref="N1544">IF(K1544="שוטף",M1544,0)</f>
        <v>61</v>
      </c>
      <c r="O1544" s="143" cm="1">
        <f t="array" ref="O1544">IF(K1544="הכנסה שסווגה מחדש",-G1544,0)</f>
        <v>0</v>
      </c>
      <c r="P1544" t="s" s="86">
        <v>847</v>
      </c>
      <c r="Q1544" s="99"/>
      <c r="R1544" t="s" s="144">
        <v>743</v>
      </c>
      <c r="S1544" s="77"/>
    </row>
    <row r="1545" ht="13.65" customHeight="1">
      <c r="A1545" s="78">
        <v>46113</v>
      </c>
      <c r="B1545" t="s" s="79">
        <v>59</v>
      </c>
      <c r="C1545" t="s" s="80">
        <v>939</v>
      </c>
      <c r="D1545" s="131">
        <v>80</v>
      </c>
      <c r="E1545" t="s" s="79">
        <v>946</v>
      </c>
      <c r="F1545" t="s" s="80">
        <v>200</v>
      </c>
      <c r="G1545" s="132">
        <v>885</v>
      </c>
      <c r="H1545" t="s" s="133">
        <v>109</v>
      </c>
      <c r="I1545" t="s" s="134">
        <v>109</v>
      </c>
      <c r="J1545" t="s" s="134">
        <v>97</v>
      </c>
      <c r="K1545" t="str" s="135" cm="1">
        <f t="array" ref="K1545">IF(OR(H1545="ריביות",AND(H1545="דירה כצנלסון",G1545&lt;0,ISNUMBER(SEARCH("הכנסה",F1545)))),"הכנסה שסווגה מחדש",J1545)</f>
        <v>שוטף</v>
      </c>
      <c r="L1545" t="s" s="134">
        <v>741</v>
      </c>
      <c r="M1545" s="136" cm="1">
        <f t="array" ref="M1545">IF(L1545="מאושר",IF(K1545="הכנסה שסווגה מחדש",0,G1545),0)</f>
        <v>885</v>
      </c>
      <c r="N1545" s="136" cm="1">
        <f t="array" ref="N1545">IF(K1545="שוטף",M1545,0)</f>
        <v>885</v>
      </c>
      <c r="O1545" s="136" cm="1">
        <f t="array" ref="O1545">IF(K1545="הכנסה שסווגה מחדש",-G1545,0)</f>
        <v>0</v>
      </c>
      <c r="P1545" t="s" s="80">
        <v>847</v>
      </c>
      <c r="Q1545" s="100"/>
      <c r="R1545" t="s" s="137">
        <v>743</v>
      </c>
      <c r="S1545" s="77"/>
    </row>
    <row r="1546" ht="13.65" customHeight="1">
      <c r="A1546" s="84">
        <v>46113</v>
      </c>
      <c r="B1546" t="s" s="85">
        <v>59</v>
      </c>
      <c r="C1546" t="s" s="86">
        <v>939</v>
      </c>
      <c r="D1546" s="138">
        <v>81</v>
      </c>
      <c r="E1546" t="s" s="85">
        <v>942</v>
      </c>
      <c r="F1546" t="s" s="86">
        <v>283</v>
      </c>
      <c r="G1546" s="139">
        <v>78</v>
      </c>
      <c r="H1546" t="s" s="140">
        <v>113</v>
      </c>
      <c r="I1546" t="s" s="141">
        <v>113</v>
      </c>
      <c r="J1546" t="s" s="141">
        <v>97</v>
      </c>
      <c r="K1546" t="str" s="142" cm="1">
        <f t="array" ref="K1546">IF(OR(H1546="ריביות",AND(H1546="דירה כצנלסון",G1546&lt;0,ISNUMBER(SEARCH("הכנסה",F1546)))),"הכנסה שסווגה מחדש",J1546)</f>
        <v>שוטף</v>
      </c>
      <c r="L1546" t="s" s="141">
        <v>741</v>
      </c>
      <c r="M1546" s="143" cm="1">
        <f t="array" ref="M1546">IF(L1546="מאושר",IF(K1546="הכנסה שסווגה מחדש",0,G1546),0)</f>
        <v>78</v>
      </c>
      <c r="N1546" s="143" cm="1">
        <f t="array" ref="N1546">IF(K1546="שוטף",M1546,0)</f>
        <v>78</v>
      </c>
      <c r="O1546" s="143" cm="1">
        <f t="array" ref="O1546">IF(K1546="הכנסה שסווגה מחדש",-G1546,0)</f>
        <v>0</v>
      </c>
      <c r="P1546" t="s" s="86">
        <v>847</v>
      </c>
      <c r="Q1546" s="99"/>
      <c r="R1546" t="s" s="144">
        <v>743</v>
      </c>
      <c r="S1546" s="77"/>
    </row>
    <row r="1547" ht="13.65" customHeight="1">
      <c r="A1547" s="78">
        <v>46113</v>
      </c>
      <c r="B1547" t="s" s="79">
        <v>59</v>
      </c>
      <c r="C1547" t="s" s="80">
        <v>939</v>
      </c>
      <c r="D1547" s="131">
        <v>82</v>
      </c>
      <c r="E1547" s="100"/>
      <c r="F1547" t="s" s="80">
        <v>204</v>
      </c>
      <c r="G1547" s="132">
        <v>2445</v>
      </c>
      <c r="H1547" t="s" s="133">
        <v>829</v>
      </c>
      <c r="I1547" t="s" s="134">
        <v>102</v>
      </c>
      <c r="J1547" t="s" s="134">
        <v>103</v>
      </c>
      <c r="K1547" t="str" s="135" cm="1">
        <f t="array" ref="K1547">IF(OR(H1547="ריביות",AND(H1547="דירה כצנלסון",G1547&lt;0,ISNUMBER(SEARCH("הכנסה",F1547)))),"הכנסה שסווגה מחדש",J1547)</f>
        <v>חריג</v>
      </c>
      <c r="L1547" t="s" s="134">
        <v>741</v>
      </c>
      <c r="M1547" s="136" cm="1">
        <f t="array" ref="M1547">IF(L1547="מאושר",IF(K1547="הכנסה שסווגה מחדש",0,G1547),0)</f>
        <v>2445</v>
      </c>
      <c r="N1547" s="136" cm="1">
        <f t="array" ref="N1547">IF(K1547="שוטף",M1547,0)</f>
        <v>0</v>
      </c>
      <c r="O1547" s="136" cm="1">
        <f t="array" ref="O1547">IF(K1547="הכנסה שסווגה מחדש",-G1547,0)</f>
        <v>0</v>
      </c>
      <c r="P1547" s="100"/>
      <c r="Q1547" t="s" s="79">
        <v>830</v>
      </c>
      <c r="R1547" t="s" s="137">
        <v>831</v>
      </c>
      <c r="S1547" s="77"/>
    </row>
    <row r="1548" ht="13.65" customHeight="1">
      <c r="A1548" s="84">
        <v>46113</v>
      </c>
      <c r="B1548" t="s" s="85">
        <v>59</v>
      </c>
      <c r="C1548" t="s" s="86">
        <v>939</v>
      </c>
      <c r="D1548" s="138">
        <v>83</v>
      </c>
      <c r="E1548" t="s" s="85">
        <v>980</v>
      </c>
      <c r="F1548" t="s" s="86">
        <v>401</v>
      </c>
      <c r="G1548" s="139">
        <v>97</v>
      </c>
      <c r="H1548" t="s" s="140">
        <v>839</v>
      </c>
      <c r="I1548" t="s" s="141">
        <v>107</v>
      </c>
      <c r="J1548" t="s" s="141">
        <v>97</v>
      </c>
      <c r="K1548" t="str" s="142" cm="1">
        <f t="array" ref="K1548">IF(OR(H1548="ריביות",AND(H1548="דירה כצנלסון",G1548&lt;0,ISNUMBER(SEARCH("הכנסה",F1548)))),"הכנסה שסווגה מחדש",J1548)</f>
        <v>שוטף</v>
      </c>
      <c r="L1548" t="s" s="141">
        <v>741</v>
      </c>
      <c r="M1548" s="143" cm="1">
        <f t="array" ref="M1548">IF(L1548="מאושר",IF(K1548="הכנסה שסווגה מחדש",0,G1548),0)</f>
        <v>97</v>
      </c>
      <c r="N1548" s="143" cm="1">
        <f t="array" ref="N1548">IF(K1548="שוטף",M1548,0)</f>
        <v>97</v>
      </c>
      <c r="O1548" s="143" cm="1">
        <f t="array" ref="O1548">IF(K1548="הכנסה שסווגה מחדש",-G1548,0)</f>
        <v>0</v>
      </c>
      <c r="P1548" t="s" s="86">
        <v>884</v>
      </c>
      <c r="Q1548" s="99"/>
      <c r="R1548" t="s" s="144">
        <v>743</v>
      </c>
      <c r="S1548" s="77"/>
    </row>
    <row r="1549" ht="13.65" customHeight="1">
      <c r="A1549" s="78">
        <v>46113</v>
      </c>
      <c r="B1549" t="s" s="79">
        <v>59</v>
      </c>
      <c r="C1549" t="s" s="80">
        <v>939</v>
      </c>
      <c r="D1549" s="131">
        <v>84</v>
      </c>
      <c r="E1549" t="s" s="79">
        <v>981</v>
      </c>
      <c r="F1549" t="s" s="80">
        <v>503</v>
      </c>
      <c r="G1549" s="132">
        <v>120</v>
      </c>
      <c r="H1549" t="s" s="133">
        <v>127</v>
      </c>
      <c r="I1549" t="s" s="134">
        <v>127</v>
      </c>
      <c r="J1549" t="s" s="134">
        <v>97</v>
      </c>
      <c r="K1549" t="str" s="135" cm="1">
        <f t="array" ref="K1549">IF(OR(H1549="ריביות",AND(H1549="דירה כצנלסון",G1549&lt;0,ISNUMBER(SEARCH("הכנסה",F1549)))),"הכנסה שסווגה מחדש",J1549)</f>
        <v>שוטף</v>
      </c>
      <c r="L1549" t="s" s="134">
        <v>741</v>
      </c>
      <c r="M1549" s="136" cm="1">
        <f t="array" ref="M1549">IF(L1549="מאושר",IF(K1549="הכנסה שסווגה מחדש",0,G1549),0)</f>
        <v>120</v>
      </c>
      <c r="N1549" s="136" cm="1">
        <f t="array" ref="N1549">IF(K1549="שוטף",M1549,0)</f>
        <v>120</v>
      </c>
      <c r="O1549" s="136" cm="1">
        <f t="array" ref="O1549">IF(K1549="הכנסה שסווגה מחדש",-G1549,0)</f>
        <v>0</v>
      </c>
      <c r="P1549" t="s" s="80">
        <v>884</v>
      </c>
      <c r="Q1549" s="100"/>
      <c r="R1549" t="s" s="137">
        <v>743</v>
      </c>
      <c r="S1549" s="77"/>
    </row>
    <row r="1550" ht="13.65" customHeight="1">
      <c r="A1550" s="84">
        <v>46113</v>
      </c>
      <c r="B1550" t="s" s="85">
        <v>59</v>
      </c>
      <c r="C1550" t="s" s="86">
        <v>939</v>
      </c>
      <c r="D1550" s="138">
        <v>85</v>
      </c>
      <c r="E1550" t="s" s="85">
        <v>951</v>
      </c>
      <c r="F1550" t="s" s="86">
        <v>304</v>
      </c>
      <c r="G1550" s="139">
        <v>316</v>
      </c>
      <c r="H1550" t="s" s="140">
        <v>960</v>
      </c>
      <c r="I1550" t="s" s="141">
        <v>131</v>
      </c>
      <c r="J1550" t="s" s="141">
        <v>97</v>
      </c>
      <c r="K1550" t="str" s="142" cm="1">
        <f t="array" ref="K1550">IF(OR(H1550="ריביות",AND(H1550="דירה כצנלסון",G1550&lt;0,ISNUMBER(SEARCH("הכנסה",F1550)))),"הכנסה שסווגה מחדש",J1550)</f>
        <v>שוטף</v>
      </c>
      <c r="L1550" t="s" s="141">
        <v>741</v>
      </c>
      <c r="M1550" s="143" cm="1">
        <f t="array" ref="M1550">IF(L1550="מאושר",IF(K1550="הכנסה שסווגה מחדש",0,G1550),0)</f>
        <v>316</v>
      </c>
      <c r="N1550" s="143" cm="1">
        <f t="array" ref="N1550">IF(K1550="שוטף",M1550,0)</f>
        <v>316</v>
      </c>
      <c r="O1550" s="143" cm="1">
        <f t="array" ref="O1550">IF(K1550="הכנסה שסווגה מחדש",-G1550,0)</f>
        <v>0</v>
      </c>
      <c r="P1550" t="s" s="86">
        <v>884</v>
      </c>
      <c r="Q1550" s="99"/>
      <c r="R1550" t="s" s="144">
        <v>743</v>
      </c>
      <c r="S1550" s="77"/>
    </row>
    <row r="1551" ht="13.65" customHeight="1">
      <c r="A1551" s="78">
        <v>46113</v>
      </c>
      <c r="B1551" t="s" s="79">
        <v>59</v>
      </c>
      <c r="C1551" t="s" s="80">
        <v>939</v>
      </c>
      <c r="D1551" s="131">
        <v>86</v>
      </c>
      <c r="E1551" t="s" s="79">
        <v>982</v>
      </c>
      <c r="F1551" t="s" s="80">
        <v>200</v>
      </c>
      <c r="G1551" s="132">
        <v>140</v>
      </c>
      <c r="H1551" t="s" s="133">
        <v>109</v>
      </c>
      <c r="I1551" t="s" s="134">
        <v>109</v>
      </c>
      <c r="J1551" t="s" s="134">
        <v>97</v>
      </c>
      <c r="K1551" t="str" s="135" cm="1">
        <f t="array" ref="K1551">IF(OR(H1551="ריביות",AND(H1551="דירה כצנלסון",G1551&lt;0,ISNUMBER(SEARCH("הכנסה",F1551)))),"הכנסה שסווגה מחדש",J1551)</f>
        <v>שוטף</v>
      </c>
      <c r="L1551" t="s" s="134">
        <v>741</v>
      </c>
      <c r="M1551" s="136" cm="1">
        <f t="array" ref="M1551">IF(L1551="מאושר",IF(K1551="הכנסה שסווגה מחדש",0,G1551),0)</f>
        <v>140</v>
      </c>
      <c r="N1551" s="136" cm="1">
        <f t="array" ref="N1551">IF(K1551="שוטף",M1551,0)</f>
        <v>140</v>
      </c>
      <c r="O1551" s="136" cm="1">
        <f t="array" ref="O1551">IF(K1551="הכנסה שסווגה מחדש",-G1551,0)</f>
        <v>0</v>
      </c>
      <c r="P1551" t="s" s="80">
        <v>847</v>
      </c>
      <c r="Q1551" s="100"/>
      <c r="R1551" t="s" s="137">
        <v>743</v>
      </c>
      <c r="S1551" s="77"/>
    </row>
    <row r="1552" ht="13.65" customHeight="1">
      <c r="A1552" s="84">
        <v>46113</v>
      </c>
      <c r="B1552" t="s" s="85">
        <v>59</v>
      </c>
      <c r="C1552" t="s" s="86">
        <v>939</v>
      </c>
      <c r="D1552" s="138">
        <v>87</v>
      </c>
      <c r="E1552" t="s" s="85">
        <v>938</v>
      </c>
      <c r="F1552" t="s" s="86">
        <v>223</v>
      </c>
      <c r="G1552" s="139">
        <v>109</v>
      </c>
      <c r="H1552" t="s" s="140">
        <v>117</v>
      </c>
      <c r="I1552" t="s" s="141">
        <v>117</v>
      </c>
      <c r="J1552" t="s" s="141">
        <v>97</v>
      </c>
      <c r="K1552" t="str" s="142" cm="1">
        <f t="array" ref="K1552">IF(OR(H1552="ריביות",AND(H1552="דירה כצנלסון",G1552&lt;0,ISNUMBER(SEARCH("הכנסה",F1552)))),"הכנסה שסווגה מחדש",J1552)</f>
        <v>שוטף</v>
      </c>
      <c r="L1552" t="s" s="141">
        <v>741</v>
      </c>
      <c r="M1552" s="143" cm="1">
        <f t="array" ref="M1552">IF(L1552="מאושר",IF(K1552="הכנסה שסווגה מחדש",0,G1552),0)</f>
        <v>109</v>
      </c>
      <c r="N1552" s="143" cm="1">
        <f t="array" ref="N1552">IF(K1552="שוטף",M1552,0)</f>
        <v>109</v>
      </c>
      <c r="O1552" s="143" cm="1">
        <f t="array" ref="O1552">IF(K1552="הכנסה שסווגה מחדש",-G1552,0)</f>
        <v>0</v>
      </c>
      <c r="P1552" t="s" s="86">
        <v>983</v>
      </c>
      <c r="Q1552" s="99"/>
      <c r="R1552" t="s" s="144">
        <v>743</v>
      </c>
      <c r="S1552" s="77"/>
    </row>
    <row r="1553" ht="13.65" customHeight="1">
      <c r="A1553" s="78">
        <v>46113</v>
      </c>
      <c r="B1553" t="s" s="79">
        <v>59</v>
      </c>
      <c r="C1553" t="s" s="80">
        <v>939</v>
      </c>
      <c r="D1553" s="131">
        <v>88</v>
      </c>
      <c r="E1553" t="s" s="79">
        <v>984</v>
      </c>
      <c r="F1553" t="s" s="80">
        <v>309</v>
      </c>
      <c r="G1553" s="132">
        <v>489</v>
      </c>
      <c r="H1553" t="s" s="133">
        <v>960</v>
      </c>
      <c r="I1553" t="s" s="134">
        <v>131</v>
      </c>
      <c r="J1553" t="s" s="134">
        <v>97</v>
      </c>
      <c r="K1553" t="str" s="135" cm="1">
        <f t="array" ref="K1553">IF(OR(H1553="ריביות",AND(H1553="דירה כצנלסון",G1553&lt;0,ISNUMBER(SEARCH("הכנסה",F1553)))),"הכנסה שסווגה מחדש",J1553)</f>
        <v>שוטף</v>
      </c>
      <c r="L1553" t="s" s="134">
        <v>741</v>
      </c>
      <c r="M1553" s="136" cm="1">
        <f t="array" ref="M1553">IF(L1553="מאושר",IF(K1553="הכנסה שסווגה מחדש",0,G1553),0)</f>
        <v>489</v>
      </c>
      <c r="N1553" s="136" cm="1">
        <f t="array" ref="N1553">IF(K1553="שוטף",M1553,0)</f>
        <v>489</v>
      </c>
      <c r="O1553" s="136" cm="1">
        <f t="array" ref="O1553">IF(K1553="הכנסה שסווגה מחדש",-G1553,0)</f>
        <v>0</v>
      </c>
      <c r="P1553" t="s" s="80">
        <v>983</v>
      </c>
      <c r="Q1553" s="100"/>
      <c r="R1553" t="s" s="137">
        <v>743</v>
      </c>
      <c r="S1553" s="77"/>
    </row>
    <row r="1554" ht="13.65" customHeight="1">
      <c r="A1554" s="84">
        <v>46113</v>
      </c>
      <c r="B1554" t="s" s="85">
        <v>59</v>
      </c>
      <c r="C1554" t="s" s="86">
        <v>939</v>
      </c>
      <c r="D1554" s="138">
        <v>89</v>
      </c>
      <c r="E1554" t="s" s="85">
        <v>985</v>
      </c>
      <c r="F1554" t="s" s="86">
        <v>309</v>
      </c>
      <c r="G1554" s="139">
        <v>331</v>
      </c>
      <c r="H1554" t="s" s="140">
        <v>960</v>
      </c>
      <c r="I1554" t="s" s="141">
        <v>131</v>
      </c>
      <c r="J1554" t="s" s="141">
        <v>97</v>
      </c>
      <c r="K1554" t="str" s="142" cm="1">
        <f t="array" ref="K1554">IF(OR(H1554="ריביות",AND(H1554="דירה כצנלסון",G1554&lt;0,ISNUMBER(SEARCH("הכנסה",F1554)))),"הכנסה שסווגה מחדש",J1554)</f>
        <v>שוטף</v>
      </c>
      <c r="L1554" t="s" s="141">
        <v>741</v>
      </c>
      <c r="M1554" s="143" cm="1">
        <f t="array" ref="M1554">IF(L1554="מאושר",IF(K1554="הכנסה שסווגה מחדש",0,G1554),0)</f>
        <v>331</v>
      </c>
      <c r="N1554" s="143" cm="1">
        <f t="array" ref="N1554">IF(K1554="שוטף",M1554,0)</f>
        <v>331</v>
      </c>
      <c r="O1554" s="143" cm="1">
        <f t="array" ref="O1554">IF(K1554="הכנסה שסווגה מחדש",-G1554,0)</f>
        <v>0</v>
      </c>
      <c r="P1554" t="s" s="86">
        <v>983</v>
      </c>
      <c r="Q1554" s="99"/>
      <c r="R1554" t="s" s="144">
        <v>743</v>
      </c>
      <c r="S1554" s="77"/>
    </row>
    <row r="1555" ht="13.65" customHeight="1">
      <c r="A1555" s="78">
        <v>46113</v>
      </c>
      <c r="B1555" t="s" s="79">
        <v>59</v>
      </c>
      <c r="C1555" t="s" s="80">
        <v>939</v>
      </c>
      <c r="D1555" s="131">
        <v>90</v>
      </c>
      <c r="E1555" t="s" s="79">
        <v>982</v>
      </c>
      <c r="F1555" t="s" s="80">
        <v>345</v>
      </c>
      <c r="G1555" s="132">
        <v>524</v>
      </c>
      <c r="H1555" t="s" s="133">
        <v>960</v>
      </c>
      <c r="I1555" t="s" s="134">
        <v>131</v>
      </c>
      <c r="J1555" t="s" s="134">
        <v>97</v>
      </c>
      <c r="K1555" t="str" s="135" cm="1">
        <f t="array" ref="K1555">IF(OR(H1555="ריביות",AND(H1555="דירה כצנלסון",G1555&lt;0,ISNUMBER(SEARCH("הכנסה",F1555)))),"הכנסה שסווגה מחדש",J1555)</f>
        <v>שוטף</v>
      </c>
      <c r="L1555" t="s" s="134">
        <v>741</v>
      </c>
      <c r="M1555" s="136" cm="1">
        <f t="array" ref="M1555">IF(L1555="מאושר",IF(K1555="הכנסה שסווגה מחדש",0,G1555),0)</f>
        <v>524</v>
      </c>
      <c r="N1555" s="136" cm="1">
        <f t="array" ref="N1555">IF(K1555="שוטף",M1555,0)</f>
        <v>524</v>
      </c>
      <c r="O1555" s="136" cm="1">
        <f t="array" ref="O1555">IF(K1555="הכנסה שסווגה מחדש",-G1555,0)</f>
        <v>0</v>
      </c>
      <c r="P1555" s="100"/>
      <c r="Q1555" s="100"/>
      <c r="R1555" t="s" s="137">
        <v>743</v>
      </c>
      <c r="S1555" s="77"/>
    </row>
    <row r="1556" ht="13.65" customHeight="1">
      <c r="A1556" s="84">
        <v>46113</v>
      </c>
      <c r="B1556" t="s" s="85">
        <v>59</v>
      </c>
      <c r="C1556" t="s" s="86">
        <v>939</v>
      </c>
      <c r="D1556" s="138">
        <v>91</v>
      </c>
      <c r="E1556" t="s" s="85">
        <v>986</v>
      </c>
      <c r="F1556" t="s" s="86">
        <v>209</v>
      </c>
      <c r="G1556" s="139">
        <v>76</v>
      </c>
      <c r="H1556" t="s" s="140">
        <v>113</v>
      </c>
      <c r="I1556" t="s" s="141">
        <v>113</v>
      </c>
      <c r="J1556" t="s" s="141">
        <v>97</v>
      </c>
      <c r="K1556" t="str" s="142" cm="1">
        <f t="array" ref="K1556">IF(OR(H1556="ריביות",AND(H1556="דירה כצנלסון",G1556&lt;0,ISNUMBER(SEARCH("הכנסה",F1556)))),"הכנסה שסווגה מחדש",J1556)</f>
        <v>שוטף</v>
      </c>
      <c r="L1556" t="s" s="141">
        <v>741</v>
      </c>
      <c r="M1556" s="143" cm="1">
        <f t="array" ref="M1556">IF(L1556="מאושר",IF(K1556="הכנסה שסווגה מחדש",0,G1556),0)</f>
        <v>76</v>
      </c>
      <c r="N1556" s="143" cm="1">
        <f t="array" ref="N1556">IF(K1556="שוטף",M1556,0)</f>
        <v>76</v>
      </c>
      <c r="O1556" s="143" cm="1">
        <f t="array" ref="O1556">IF(K1556="הכנסה שסווגה מחדש",-G1556,0)</f>
        <v>0</v>
      </c>
      <c r="P1556" t="s" s="86">
        <v>890</v>
      </c>
      <c r="Q1556" s="99"/>
      <c r="R1556" t="s" s="144">
        <v>743</v>
      </c>
      <c r="S1556" s="77"/>
    </row>
    <row r="1557" ht="13.65" customHeight="1">
      <c r="A1557" s="78">
        <v>46113</v>
      </c>
      <c r="B1557" t="s" s="79">
        <v>59</v>
      </c>
      <c r="C1557" t="s" s="80">
        <v>939</v>
      </c>
      <c r="D1557" s="131">
        <v>92</v>
      </c>
      <c r="E1557" t="s" s="79">
        <v>953</v>
      </c>
      <c r="F1557" t="s" s="80">
        <v>200</v>
      </c>
      <c r="G1557" s="132">
        <v>46</v>
      </c>
      <c r="H1557" t="s" s="133">
        <v>109</v>
      </c>
      <c r="I1557" t="s" s="134">
        <v>109</v>
      </c>
      <c r="J1557" t="s" s="134">
        <v>97</v>
      </c>
      <c r="K1557" t="str" s="135" cm="1">
        <f t="array" ref="K1557">IF(OR(H1557="ריביות",AND(H1557="דירה כצנלסון",G1557&lt;0,ISNUMBER(SEARCH("הכנסה",F1557)))),"הכנסה שסווגה מחדש",J1557)</f>
        <v>שוטף</v>
      </c>
      <c r="L1557" t="s" s="134">
        <v>741</v>
      </c>
      <c r="M1557" s="136" cm="1">
        <f t="array" ref="M1557">IF(L1557="מאושר",IF(K1557="הכנסה שסווגה מחדש",0,G1557),0)</f>
        <v>46</v>
      </c>
      <c r="N1557" s="136" cm="1">
        <f t="array" ref="N1557">IF(K1557="שוטף",M1557,0)</f>
        <v>46</v>
      </c>
      <c r="O1557" s="136" cm="1">
        <f t="array" ref="O1557">IF(K1557="הכנסה שסווגה מחדש",-G1557,0)</f>
        <v>0</v>
      </c>
      <c r="P1557" t="s" s="80">
        <v>890</v>
      </c>
      <c r="Q1557" s="100"/>
      <c r="R1557" t="s" s="137">
        <v>743</v>
      </c>
      <c r="S1557" s="77"/>
    </row>
    <row r="1558" ht="13.65" customHeight="1">
      <c r="A1558" s="84">
        <v>46113</v>
      </c>
      <c r="B1558" t="s" s="85">
        <v>59</v>
      </c>
      <c r="C1558" t="s" s="86">
        <v>939</v>
      </c>
      <c r="D1558" s="138">
        <v>93</v>
      </c>
      <c r="E1558" t="s" s="85">
        <v>955</v>
      </c>
      <c r="F1558" t="s" s="86">
        <v>200</v>
      </c>
      <c r="G1558" s="139">
        <v>60</v>
      </c>
      <c r="H1558" t="s" s="140">
        <v>109</v>
      </c>
      <c r="I1558" t="s" s="141">
        <v>109</v>
      </c>
      <c r="J1558" t="s" s="141">
        <v>97</v>
      </c>
      <c r="K1558" t="str" s="142" cm="1">
        <f t="array" ref="K1558">IF(OR(H1558="ריביות",AND(H1558="דירה כצנלסון",G1558&lt;0,ISNUMBER(SEARCH("הכנסה",F1558)))),"הכנסה שסווגה מחדש",J1558)</f>
        <v>שוטף</v>
      </c>
      <c r="L1558" t="s" s="141">
        <v>741</v>
      </c>
      <c r="M1558" s="143" cm="1">
        <f t="array" ref="M1558">IF(L1558="מאושר",IF(K1558="הכנסה שסווגה מחדש",0,G1558),0)</f>
        <v>60</v>
      </c>
      <c r="N1558" s="143" cm="1">
        <f t="array" ref="N1558">IF(K1558="שוטף",M1558,0)</f>
        <v>60</v>
      </c>
      <c r="O1558" s="143" cm="1">
        <f t="array" ref="O1558">IF(K1558="הכנסה שסווגה מחדש",-G1558,0)</f>
        <v>0</v>
      </c>
      <c r="P1558" t="s" s="86">
        <v>890</v>
      </c>
      <c r="Q1558" s="99"/>
      <c r="R1558" t="s" s="144">
        <v>743</v>
      </c>
      <c r="S1558" s="77"/>
    </row>
    <row r="1559" ht="13.65" customHeight="1">
      <c r="A1559" s="78">
        <v>46113</v>
      </c>
      <c r="B1559" t="s" s="79">
        <v>59</v>
      </c>
      <c r="C1559" t="s" s="80">
        <v>939</v>
      </c>
      <c r="D1559" s="131">
        <v>94</v>
      </c>
      <c r="E1559" t="s" s="79">
        <v>977</v>
      </c>
      <c r="F1559" t="s" s="80">
        <v>209</v>
      </c>
      <c r="G1559" s="132">
        <v>60</v>
      </c>
      <c r="H1559" t="s" s="133">
        <v>113</v>
      </c>
      <c r="I1559" t="s" s="134">
        <v>113</v>
      </c>
      <c r="J1559" t="s" s="134">
        <v>97</v>
      </c>
      <c r="K1559" t="str" s="135" cm="1">
        <f t="array" ref="K1559">IF(OR(H1559="ריביות",AND(H1559="דירה כצנלסון",G1559&lt;0,ISNUMBER(SEARCH("הכנסה",F1559)))),"הכנסה שסווגה מחדש",J1559)</f>
        <v>שוטף</v>
      </c>
      <c r="L1559" t="s" s="134">
        <v>741</v>
      </c>
      <c r="M1559" s="136" cm="1">
        <f t="array" ref="M1559">IF(L1559="מאושר",IF(K1559="הכנסה שסווגה מחדש",0,G1559),0)</f>
        <v>60</v>
      </c>
      <c r="N1559" s="136" cm="1">
        <f t="array" ref="N1559">IF(K1559="שוטף",M1559,0)</f>
        <v>60</v>
      </c>
      <c r="O1559" s="136" cm="1">
        <f t="array" ref="O1559">IF(K1559="הכנסה שסווגה מחדש",-G1559,0)</f>
        <v>0</v>
      </c>
      <c r="P1559" t="s" s="80">
        <v>890</v>
      </c>
      <c r="Q1559" s="100"/>
      <c r="R1559" t="s" s="137">
        <v>743</v>
      </c>
      <c r="S1559" s="77"/>
    </row>
    <row r="1560" ht="13.65" customHeight="1">
      <c r="A1560" s="84">
        <v>46113</v>
      </c>
      <c r="B1560" t="s" s="85">
        <v>59</v>
      </c>
      <c r="C1560" t="s" s="86">
        <v>939</v>
      </c>
      <c r="D1560" s="138">
        <v>95</v>
      </c>
      <c r="E1560" t="s" s="85">
        <v>966</v>
      </c>
      <c r="F1560" t="s" s="86">
        <v>209</v>
      </c>
      <c r="G1560" s="139">
        <v>105</v>
      </c>
      <c r="H1560" t="s" s="140">
        <v>113</v>
      </c>
      <c r="I1560" t="s" s="141">
        <v>113</v>
      </c>
      <c r="J1560" t="s" s="141">
        <v>97</v>
      </c>
      <c r="K1560" t="str" s="142" cm="1">
        <f t="array" ref="K1560">IF(OR(H1560="ריביות",AND(H1560="דירה כצנלסון",G1560&lt;0,ISNUMBER(SEARCH("הכנסה",F1560)))),"הכנסה שסווגה מחדש",J1560)</f>
        <v>שוטף</v>
      </c>
      <c r="L1560" t="s" s="141">
        <v>741</v>
      </c>
      <c r="M1560" s="143" cm="1">
        <f t="array" ref="M1560">IF(L1560="מאושר",IF(K1560="הכנסה שסווגה מחדש",0,G1560),0)</f>
        <v>105</v>
      </c>
      <c r="N1560" s="143" cm="1">
        <f t="array" ref="N1560">IF(K1560="שוטף",M1560,0)</f>
        <v>105</v>
      </c>
      <c r="O1560" s="143" cm="1">
        <f t="array" ref="O1560">IF(K1560="הכנסה שסווגה מחדש",-G1560,0)</f>
        <v>0</v>
      </c>
      <c r="P1560" t="s" s="86">
        <v>890</v>
      </c>
      <c r="Q1560" s="99"/>
      <c r="R1560" t="s" s="144">
        <v>743</v>
      </c>
      <c r="S1560" s="77"/>
    </row>
    <row r="1561" ht="13.65" customHeight="1">
      <c r="A1561" s="78">
        <v>46113</v>
      </c>
      <c r="B1561" t="s" s="79">
        <v>59</v>
      </c>
      <c r="C1561" t="s" s="80">
        <v>939</v>
      </c>
      <c r="D1561" s="131">
        <v>97</v>
      </c>
      <c r="E1561" t="s" s="79">
        <v>987</v>
      </c>
      <c r="F1561" t="s" s="80">
        <v>200</v>
      </c>
      <c r="G1561" s="132">
        <v>55</v>
      </c>
      <c r="H1561" t="s" s="133">
        <v>109</v>
      </c>
      <c r="I1561" t="s" s="134">
        <v>109</v>
      </c>
      <c r="J1561" t="s" s="134">
        <v>97</v>
      </c>
      <c r="K1561" t="str" s="135" cm="1">
        <f t="array" ref="K1561">IF(OR(H1561="ריביות",AND(H1561="דירה כצנלסון",G1561&lt;0,ISNUMBER(SEARCH("הכנסה",F1561)))),"הכנסה שסווגה מחדש",J1561)</f>
        <v>שוטף</v>
      </c>
      <c r="L1561" t="s" s="134">
        <v>741</v>
      </c>
      <c r="M1561" s="136" cm="1">
        <f t="array" ref="M1561">IF(L1561="מאושר",IF(K1561="הכנסה שסווגה מחדש",0,G1561),0)</f>
        <v>55</v>
      </c>
      <c r="N1561" s="136" cm="1">
        <f t="array" ref="N1561">IF(K1561="שוטף",M1561,0)</f>
        <v>55</v>
      </c>
      <c r="O1561" s="136" cm="1">
        <f t="array" ref="O1561">IF(K1561="הכנסה שסווגה מחדש",-G1561,0)</f>
        <v>0</v>
      </c>
      <c r="P1561" t="s" s="80">
        <v>890</v>
      </c>
      <c r="Q1561" s="100"/>
      <c r="R1561" t="s" s="137">
        <v>743</v>
      </c>
      <c r="S1561" s="77"/>
    </row>
    <row r="1562" ht="13.65" customHeight="1">
      <c r="A1562" s="84">
        <v>46113</v>
      </c>
      <c r="B1562" t="s" s="85">
        <v>59</v>
      </c>
      <c r="C1562" t="s" s="86">
        <v>939</v>
      </c>
      <c r="D1562" s="138">
        <v>98</v>
      </c>
      <c r="E1562" t="s" s="85">
        <v>943</v>
      </c>
      <c r="F1562" t="s" s="86">
        <v>200</v>
      </c>
      <c r="G1562" s="139">
        <v>24</v>
      </c>
      <c r="H1562" t="s" s="140">
        <v>109</v>
      </c>
      <c r="I1562" t="s" s="141">
        <v>109</v>
      </c>
      <c r="J1562" t="s" s="141">
        <v>97</v>
      </c>
      <c r="K1562" t="str" s="142" cm="1">
        <f t="array" ref="K1562">IF(OR(H1562="ריביות",AND(H1562="דירה כצנלסון",G1562&lt;0,ISNUMBER(SEARCH("הכנסה",F1562)))),"הכנסה שסווגה מחדש",J1562)</f>
        <v>שוטף</v>
      </c>
      <c r="L1562" t="s" s="141">
        <v>741</v>
      </c>
      <c r="M1562" s="143" cm="1">
        <f t="array" ref="M1562">IF(L1562="מאושר",IF(K1562="הכנסה שסווגה מחדש",0,G1562),0)</f>
        <v>24</v>
      </c>
      <c r="N1562" s="143" cm="1">
        <f t="array" ref="N1562">IF(K1562="שוטף",M1562,0)</f>
        <v>24</v>
      </c>
      <c r="O1562" s="143" cm="1">
        <f t="array" ref="O1562">IF(K1562="הכנסה שסווגה מחדש",-G1562,0)</f>
        <v>0</v>
      </c>
      <c r="P1562" t="s" s="86">
        <v>890</v>
      </c>
      <c r="Q1562" s="99"/>
      <c r="R1562" t="s" s="144">
        <v>743</v>
      </c>
      <c r="S1562" s="77"/>
    </row>
    <row r="1563" ht="13.65" customHeight="1">
      <c r="A1563" s="78">
        <v>46113</v>
      </c>
      <c r="B1563" t="s" s="79">
        <v>59</v>
      </c>
      <c r="C1563" t="s" s="80">
        <v>939</v>
      </c>
      <c r="D1563" s="131">
        <v>99</v>
      </c>
      <c r="E1563" t="s" s="79">
        <v>945</v>
      </c>
      <c r="F1563" t="s" s="80">
        <v>200</v>
      </c>
      <c r="G1563" s="132">
        <v>16</v>
      </c>
      <c r="H1563" t="s" s="133">
        <v>109</v>
      </c>
      <c r="I1563" t="s" s="134">
        <v>109</v>
      </c>
      <c r="J1563" t="s" s="134">
        <v>97</v>
      </c>
      <c r="K1563" t="str" s="135" cm="1">
        <f t="array" ref="K1563">IF(OR(H1563="ריביות",AND(H1563="דירה כצנלסון",G1563&lt;0,ISNUMBER(SEARCH("הכנסה",F1563)))),"הכנסה שסווגה מחדש",J1563)</f>
        <v>שוטף</v>
      </c>
      <c r="L1563" t="s" s="134">
        <v>741</v>
      </c>
      <c r="M1563" s="136" cm="1">
        <f t="array" ref="M1563">IF(L1563="מאושר",IF(K1563="הכנסה שסווגה מחדש",0,G1563),0)</f>
        <v>16</v>
      </c>
      <c r="N1563" s="136" cm="1">
        <f t="array" ref="N1563">IF(K1563="שוטף",M1563,0)</f>
        <v>16</v>
      </c>
      <c r="O1563" s="136" cm="1">
        <f t="array" ref="O1563">IF(K1563="הכנסה שסווגה מחדש",-G1563,0)</f>
        <v>0</v>
      </c>
      <c r="P1563" t="s" s="80">
        <v>890</v>
      </c>
      <c r="Q1563" s="100"/>
      <c r="R1563" t="s" s="137">
        <v>743</v>
      </c>
      <c r="S1563" s="77"/>
    </row>
    <row r="1564" ht="13.65" customHeight="1">
      <c r="A1564" s="84">
        <v>46113</v>
      </c>
      <c r="B1564" t="s" s="85">
        <v>59</v>
      </c>
      <c r="C1564" t="s" s="86">
        <v>939</v>
      </c>
      <c r="D1564" s="138">
        <v>100</v>
      </c>
      <c r="E1564" t="s" s="85">
        <v>988</v>
      </c>
      <c r="F1564" t="s" s="86">
        <v>200</v>
      </c>
      <c r="G1564" s="139">
        <v>145</v>
      </c>
      <c r="H1564" t="s" s="140">
        <v>109</v>
      </c>
      <c r="I1564" t="s" s="141">
        <v>109</v>
      </c>
      <c r="J1564" t="s" s="141">
        <v>97</v>
      </c>
      <c r="K1564" t="str" s="142" cm="1">
        <f t="array" ref="K1564">IF(OR(H1564="ריביות",AND(H1564="דירה כצנלסון",G1564&lt;0,ISNUMBER(SEARCH("הכנסה",F1564)))),"הכנסה שסווגה מחדש",J1564)</f>
        <v>שוטף</v>
      </c>
      <c r="L1564" t="s" s="141">
        <v>741</v>
      </c>
      <c r="M1564" s="143" cm="1">
        <f t="array" ref="M1564">IF(L1564="מאושר",IF(K1564="הכנסה שסווגה מחדש",0,G1564),0)</f>
        <v>145</v>
      </c>
      <c r="N1564" s="143" cm="1">
        <f t="array" ref="N1564">IF(K1564="שוטף",M1564,0)</f>
        <v>145</v>
      </c>
      <c r="O1564" s="143" cm="1">
        <f t="array" ref="O1564">IF(K1564="הכנסה שסווגה מחדש",-G1564,0)</f>
        <v>0</v>
      </c>
      <c r="P1564" t="s" s="86">
        <v>890</v>
      </c>
      <c r="Q1564" s="99"/>
      <c r="R1564" t="s" s="144">
        <v>743</v>
      </c>
      <c r="S1564" s="77"/>
    </row>
    <row r="1565" ht="13.65" customHeight="1">
      <c r="A1565" s="78">
        <v>46113</v>
      </c>
      <c r="B1565" t="s" s="79">
        <v>59</v>
      </c>
      <c r="C1565" t="s" s="80">
        <v>939</v>
      </c>
      <c r="D1565" s="131">
        <v>101</v>
      </c>
      <c r="E1565" s="100"/>
      <c r="F1565" t="s" s="80">
        <v>366</v>
      </c>
      <c r="G1565" s="132">
        <v>300</v>
      </c>
      <c r="H1565" t="s" s="133">
        <v>829</v>
      </c>
      <c r="I1565" t="s" s="134">
        <v>102</v>
      </c>
      <c r="J1565" t="s" s="134">
        <v>103</v>
      </c>
      <c r="K1565" t="str" s="135" cm="1">
        <f t="array" ref="K1565">IF(OR(H1565="ריביות",AND(H1565="דירה כצנלסון",G1565&lt;0,ISNUMBER(SEARCH("הכנסה",F1565)))),"הכנסה שסווגה מחדש",J1565)</f>
        <v>חריג</v>
      </c>
      <c r="L1565" t="s" s="134">
        <v>741</v>
      </c>
      <c r="M1565" s="136" cm="1">
        <f t="array" ref="M1565">IF(L1565="מאושר",IF(K1565="הכנסה שסווגה מחדש",0,G1565),0)</f>
        <v>300</v>
      </c>
      <c r="N1565" s="136" cm="1">
        <f t="array" ref="N1565">IF(K1565="שוטף",M1565,0)</f>
        <v>0</v>
      </c>
      <c r="O1565" s="136" cm="1">
        <f t="array" ref="O1565">IF(K1565="הכנסה שסווגה מחדש",-G1565,0)</f>
        <v>0</v>
      </c>
      <c r="P1565" s="100"/>
      <c r="Q1565" t="s" s="79">
        <v>989</v>
      </c>
      <c r="R1565" t="s" s="137">
        <v>831</v>
      </c>
      <c r="S1565" s="77"/>
    </row>
    <row r="1566" ht="13.65" customHeight="1">
      <c r="A1566" s="84">
        <v>46143</v>
      </c>
      <c r="B1566" t="s" s="85">
        <v>60</v>
      </c>
      <c r="C1566" t="s" s="86">
        <v>990</v>
      </c>
      <c r="D1566" s="138">
        <v>2</v>
      </c>
      <c r="E1566" s="99"/>
      <c r="F1566" t="s" s="86">
        <v>196</v>
      </c>
      <c r="G1566" s="139">
        <v>8000</v>
      </c>
      <c r="H1566" t="s" s="140">
        <v>838</v>
      </c>
      <c r="I1566" t="s" s="141">
        <v>96</v>
      </c>
      <c r="J1566" t="s" s="141">
        <v>97</v>
      </c>
      <c r="K1566" t="str" s="142" cm="1">
        <f t="array" ref="K1566">IF(OR(H1566="ריביות",AND(H1566="דירה כצנלסון",G1566&lt;0,ISNUMBER(SEARCH("הכנסה",F1566)))),"הכנסה שסווגה מחדש",J1566)</f>
        <v>שוטף</v>
      </c>
      <c r="L1566" t="s" s="141">
        <v>741</v>
      </c>
      <c r="M1566" s="143" cm="1">
        <f t="array" ref="M1566">IF(L1566="מאושר",IF(K1566="הכנסה שסווגה מחדש",0,G1566),0)</f>
        <v>8000</v>
      </c>
      <c r="N1566" s="143" cm="1">
        <f t="array" ref="N1566">IF(K1566="שוטף",M1566,0)</f>
        <v>8000</v>
      </c>
      <c r="O1566" s="143" cm="1">
        <f t="array" ref="O1566">IF(K1566="הכנסה שסווגה מחדש",-G1566,0)</f>
        <v>0</v>
      </c>
      <c r="P1566" t="s" s="86">
        <v>786</v>
      </c>
      <c r="Q1566" s="99"/>
      <c r="R1566" t="s" s="144">
        <v>743</v>
      </c>
      <c r="S1566" s="77"/>
    </row>
    <row r="1567" ht="13.65" customHeight="1">
      <c r="A1567" s="78">
        <v>46143</v>
      </c>
      <c r="B1567" t="s" s="79">
        <v>60</v>
      </c>
      <c r="C1567" t="s" s="80">
        <v>990</v>
      </c>
      <c r="D1567" s="131">
        <v>3</v>
      </c>
      <c r="E1567" s="100"/>
      <c r="F1567" t="s" s="80">
        <v>197</v>
      </c>
      <c r="G1567" s="132">
        <v>6145</v>
      </c>
      <c r="H1567" t="s" s="133">
        <v>279</v>
      </c>
      <c r="I1567" t="s" s="134">
        <v>99</v>
      </c>
      <c r="J1567" t="s" s="134">
        <v>100</v>
      </c>
      <c r="K1567" t="str" s="135" cm="1">
        <f t="array" ref="K1567">IF(OR(H1567="ריביות",AND(H1567="דירה כצנלסון",G1567&lt;0,ISNUMBER(SEARCH("הכנסה",F1567)))),"הכנסה שסווגה מחדש",J1567)</f>
        <v>חריג/נכס</v>
      </c>
      <c r="L1567" t="s" s="134">
        <v>741</v>
      </c>
      <c r="M1567" s="136" cm="1">
        <f t="array" ref="M1567">IF(L1567="מאושר",IF(K1567="הכנסה שסווגה מחדש",0,G1567),0)</f>
        <v>6145</v>
      </c>
      <c r="N1567" s="136" cm="1">
        <f t="array" ref="N1567">IF(K1567="שוטף",M1567,0)</f>
        <v>0</v>
      </c>
      <c r="O1567" s="136" cm="1">
        <f t="array" ref="O1567">IF(K1567="הכנסה שסווגה מחדש",-G1567,0)</f>
        <v>0</v>
      </c>
      <c r="P1567" t="s" s="80">
        <v>786</v>
      </c>
      <c r="Q1567" s="100"/>
      <c r="R1567" t="s" s="137">
        <v>743</v>
      </c>
      <c r="S1567" s="77"/>
    </row>
    <row r="1568" ht="13.65" customHeight="1">
      <c r="A1568" s="84">
        <v>46143</v>
      </c>
      <c r="B1568" t="s" s="85">
        <v>60</v>
      </c>
      <c r="C1568" t="s" s="86">
        <v>990</v>
      </c>
      <c r="D1568" s="138">
        <v>4</v>
      </c>
      <c r="E1568" s="99"/>
      <c r="F1568" t="s" s="86">
        <v>212</v>
      </c>
      <c r="G1568" s="139">
        <v>0</v>
      </c>
      <c r="H1568" t="s" s="140">
        <v>838</v>
      </c>
      <c r="I1568" t="s" s="141">
        <v>96</v>
      </c>
      <c r="J1568" t="s" s="141">
        <v>97</v>
      </c>
      <c r="K1568" t="str" s="142" cm="1">
        <f t="array" ref="K1568">IF(OR(H1568="ריביות",AND(H1568="דירה כצנלסון",G1568&lt;0,ISNUMBER(SEARCH("הכנסה",F1568)))),"הכנסה שסווגה מחדש",J1568)</f>
        <v>שוטף</v>
      </c>
      <c r="L1568" t="s" s="141">
        <v>741</v>
      </c>
      <c r="M1568" s="143" cm="1">
        <f t="array" ref="M1568">IF(L1568="מאושר",IF(K1568="הכנסה שסווגה מחדש",0,G1568),0)</f>
        <v>0</v>
      </c>
      <c r="N1568" s="143" cm="1">
        <f t="array" ref="N1568">IF(K1568="שוטף",M1568,0)</f>
        <v>0</v>
      </c>
      <c r="O1568" s="143" cm="1">
        <f t="array" ref="O1568">IF(K1568="הכנסה שסווגה מחדש",-G1568,0)</f>
        <v>0</v>
      </c>
      <c r="P1568" s="99"/>
      <c r="Q1568" s="99"/>
      <c r="R1568" t="s" s="144">
        <v>743</v>
      </c>
      <c r="S1568" s="77"/>
    </row>
    <row r="1569" ht="13.65" customHeight="1">
      <c r="A1569" s="78">
        <v>46143</v>
      </c>
      <c r="B1569" t="s" s="79">
        <v>60</v>
      </c>
      <c r="C1569" t="s" s="80">
        <v>990</v>
      </c>
      <c r="D1569" s="131">
        <v>5</v>
      </c>
      <c r="E1569" t="s" s="79">
        <v>991</v>
      </c>
      <c r="F1569" t="s" s="80">
        <v>221</v>
      </c>
      <c r="G1569" s="132">
        <v>260</v>
      </c>
      <c r="H1569" t="s" s="133">
        <v>838</v>
      </c>
      <c r="I1569" t="s" s="134">
        <v>96</v>
      </c>
      <c r="J1569" t="s" s="134">
        <v>97</v>
      </c>
      <c r="K1569" t="str" s="135" cm="1">
        <f t="array" ref="K1569">IF(OR(H1569="ריביות",AND(H1569="דירה כצנלסון",G1569&lt;0,ISNUMBER(SEARCH("הכנסה",F1569)))),"הכנסה שסווגה מחדש",J1569)</f>
        <v>שוטף</v>
      </c>
      <c r="L1569" t="s" s="134">
        <v>741</v>
      </c>
      <c r="M1569" s="136" cm="1">
        <f t="array" ref="M1569">IF(L1569="מאושר",IF(K1569="הכנסה שסווגה מחדש",0,G1569),0)</f>
        <v>260</v>
      </c>
      <c r="N1569" s="136" cm="1">
        <f t="array" ref="N1569">IF(K1569="שוטף",M1569,0)</f>
        <v>260</v>
      </c>
      <c r="O1569" s="136" cm="1">
        <f t="array" ref="O1569">IF(K1569="הכנסה שסווגה מחדש",-G1569,0)</f>
        <v>0</v>
      </c>
      <c r="P1569" t="s" s="80">
        <v>842</v>
      </c>
      <c r="Q1569" s="100"/>
      <c r="R1569" t="s" s="137">
        <v>743</v>
      </c>
      <c r="S1569" s="77"/>
    </row>
    <row r="1570" ht="13.65" customHeight="1">
      <c r="A1570" s="84">
        <v>46143</v>
      </c>
      <c r="B1570" t="s" s="85">
        <v>60</v>
      </c>
      <c r="C1570" t="s" s="86">
        <v>990</v>
      </c>
      <c r="D1570" s="138">
        <v>6</v>
      </c>
      <c r="E1570" s="99"/>
      <c r="F1570" t="s" s="86">
        <v>272</v>
      </c>
      <c r="G1570" s="139">
        <v>0</v>
      </c>
      <c r="H1570" t="s" s="140">
        <v>838</v>
      </c>
      <c r="I1570" t="s" s="141">
        <v>96</v>
      </c>
      <c r="J1570" t="s" s="141">
        <v>97</v>
      </c>
      <c r="K1570" t="str" s="142" cm="1">
        <f t="array" ref="K1570">IF(OR(H1570="ריביות",AND(H1570="דירה כצנלסון",G1570&lt;0,ISNUMBER(SEARCH("הכנסה",F1570)))),"הכנסה שסווגה מחדש",J1570)</f>
        <v>שוטף</v>
      </c>
      <c r="L1570" t="s" s="141">
        <v>741</v>
      </c>
      <c r="M1570" s="143" cm="1">
        <f t="array" ref="M1570">IF(L1570="מאושר",IF(K1570="הכנסה שסווגה מחדש",0,G1570),0)</f>
        <v>0</v>
      </c>
      <c r="N1570" s="143" cm="1">
        <f t="array" ref="N1570">IF(K1570="שוטף",M1570,0)</f>
        <v>0</v>
      </c>
      <c r="O1570" s="143" cm="1">
        <f t="array" ref="O1570">IF(K1570="הכנסה שסווגה מחדש",-G1570,0)</f>
        <v>0</v>
      </c>
      <c r="P1570" s="99"/>
      <c r="Q1570" s="99"/>
      <c r="R1570" t="s" s="144">
        <v>743</v>
      </c>
      <c r="S1570" s="77"/>
    </row>
    <row r="1571" ht="13.65" customHeight="1">
      <c r="A1571" s="78">
        <v>46143</v>
      </c>
      <c r="B1571" t="s" s="79">
        <v>60</v>
      </c>
      <c r="C1571" t="s" s="80">
        <v>990</v>
      </c>
      <c r="D1571" s="131">
        <v>7</v>
      </c>
      <c r="E1571" t="s" s="79">
        <v>992</v>
      </c>
      <c r="F1571" t="s" s="80">
        <v>374</v>
      </c>
      <c r="G1571" s="132">
        <v>42</v>
      </c>
      <c r="H1571" t="s" s="133">
        <v>838</v>
      </c>
      <c r="I1571" t="s" s="134">
        <v>96</v>
      </c>
      <c r="J1571" t="s" s="134">
        <v>97</v>
      </c>
      <c r="K1571" t="str" s="135" cm="1">
        <f t="array" ref="K1571">IF(OR(H1571="ריביות",AND(H1571="דירה כצנלסון",G1571&lt;0,ISNUMBER(SEARCH("הכנסה",F1571)))),"הכנסה שסווגה מחדש",J1571)</f>
        <v>שוטף</v>
      </c>
      <c r="L1571" t="s" s="134">
        <v>741</v>
      </c>
      <c r="M1571" s="136" cm="1">
        <f t="array" ref="M1571">IF(L1571="מאושר",IF(K1571="הכנסה שסווגה מחדש",0,G1571),0)</f>
        <v>42</v>
      </c>
      <c r="N1571" s="136" cm="1">
        <f t="array" ref="N1571">IF(K1571="שוטף",M1571,0)</f>
        <v>42</v>
      </c>
      <c r="O1571" s="136" cm="1">
        <f t="array" ref="O1571">IF(K1571="הכנסה שסווגה מחדש",-G1571,0)</f>
        <v>0</v>
      </c>
      <c r="P1571" t="s" s="80">
        <v>842</v>
      </c>
      <c r="Q1571" s="100"/>
      <c r="R1571" t="s" s="137">
        <v>743</v>
      </c>
      <c r="S1571" s="77"/>
    </row>
    <row r="1572" ht="13.65" customHeight="1">
      <c r="A1572" s="84">
        <v>46143</v>
      </c>
      <c r="B1572" t="s" s="85">
        <v>60</v>
      </c>
      <c r="C1572" t="s" s="86">
        <v>990</v>
      </c>
      <c r="D1572" s="138">
        <v>8</v>
      </c>
      <c r="E1572" s="99"/>
      <c r="F1572" t="s" s="86">
        <v>232</v>
      </c>
      <c r="G1572" s="139">
        <v>0</v>
      </c>
      <c r="H1572" t="s" s="140">
        <v>838</v>
      </c>
      <c r="I1572" t="s" s="141">
        <v>96</v>
      </c>
      <c r="J1572" t="s" s="141">
        <v>97</v>
      </c>
      <c r="K1572" t="str" s="142" cm="1">
        <f t="array" ref="K1572">IF(OR(H1572="ריביות",AND(H1572="דירה כצנלסון",G1572&lt;0,ISNUMBER(SEARCH("הכנסה",F1572)))),"הכנסה שסווגה מחדש",J1572)</f>
        <v>שוטף</v>
      </c>
      <c r="L1572" t="s" s="141">
        <v>741</v>
      </c>
      <c r="M1572" s="143" cm="1">
        <f t="array" ref="M1572">IF(L1572="מאושר",IF(K1572="הכנסה שסווגה מחדש",0,G1572),0)</f>
        <v>0</v>
      </c>
      <c r="N1572" s="143" cm="1">
        <f t="array" ref="N1572">IF(K1572="שוטף",M1572,0)</f>
        <v>0</v>
      </c>
      <c r="O1572" s="143" cm="1">
        <f t="array" ref="O1572">IF(K1572="הכנסה שסווגה מחדש",-G1572,0)</f>
        <v>0</v>
      </c>
      <c r="P1572" t="s" s="86">
        <v>781</v>
      </c>
      <c r="Q1572" s="99"/>
      <c r="R1572" t="s" s="144">
        <v>743</v>
      </c>
      <c r="S1572" s="77"/>
    </row>
    <row r="1573" ht="13.65" customHeight="1">
      <c r="A1573" s="78">
        <v>46143</v>
      </c>
      <c r="B1573" t="s" s="79">
        <v>60</v>
      </c>
      <c r="C1573" t="s" s="80">
        <v>990</v>
      </c>
      <c r="D1573" s="131">
        <v>9</v>
      </c>
      <c r="E1573" s="100"/>
      <c r="F1573" t="s" s="80">
        <v>211</v>
      </c>
      <c r="G1573" s="132">
        <v>800</v>
      </c>
      <c r="H1573" t="s" s="133">
        <v>838</v>
      </c>
      <c r="I1573" t="s" s="134">
        <v>96</v>
      </c>
      <c r="J1573" t="s" s="134">
        <v>97</v>
      </c>
      <c r="K1573" t="str" s="135" cm="1">
        <f t="array" ref="K1573">IF(OR(H1573="ריביות",AND(H1573="דירה כצנלסון",G1573&lt;0,ISNUMBER(SEARCH("הכנסה",F1573)))),"הכנסה שסווגה מחדש",J1573)</f>
        <v>שוטף</v>
      </c>
      <c r="L1573" t="s" s="134">
        <v>741</v>
      </c>
      <c r="M1573" s="136" cm="1">
        <f t="array" ref="M1573">IF(L1573="מאושר",IF(K1573="הכנסה שסווגה מחדש",0,G1573),0)</f>
        <v>800</v>
      </c>
      <c r="N1573" s="136" cm="1">
        <f t="array" ref="N1573">IF(K1573="שוטף",M1573,0)</f>
        <v>800</v>
      </c>
      <c r="O1573" s="136" cm="1">
        <f t="array" ref="O1573">IF(K1573="הכנסה שסווגה מחדש",-G1573,0)</f>
        <v>0</v>
      </c>
      <c r="P1573" t="s" s="80">
        <v>781</v>
      </c>
      <c r="Q1573" s="100"/>
      <c r="R1573" t="s" s="137">
        <v>743</v>
      </c>
      <c r="S1573" s="77"/>
    </row>
    <row r="1574" ht="13.65" customHeight="1">
      <c r="A1574" s="84">
        <v>46143</v>
      </c>
      <c r="B1574" t="s" s="85">
        <v>60</v>
      </c>
      <c r="C1574" t="s" s="86">
        <v>990</v>
      </c>
      <c r="D1574" s="138">
        <v>10</v>
      </c>
      <c r="E1574" t="s" s="85">
        <v>993</v>
      </c>
      <c r="F1574" t="s" s="86">
        <v>302</v>
      </c>
      <c r="G1574" s="139">
        <v>79</v>
      </c>
      <c r="H1574" t="s" s="140">
        <v>838</v>
      </c>
      <c r="I1574" t="s" s="141">
        <v>96</v>
      </c>
      <c r="J1574" t="s" s="141">
        <v>97</v>
      </c>
      <c r="K1574" t="str" s="142" cm="1">
        <f t="array" ref="K1574">IF(OR(H1574="ריביות",AND(H1574="דירה כצנלסון",G1574&lt;0,ISNUMBER(SEARCH("הכנסה",F1574)))),"הכנסה שסווגה מחדש",J1574)</f>
        <v>שוטף</v>
      </c>
      <c r="L1574" t="s" s="141">
        <v>741</v>
      </c>
      <c r="M1574" s="143" cm="1">
        <f t="array" ref="M1574">IF(L1574="מאושר",IF(K1574="הכנסה שסווגה מחדש",0,G1574),0)</f>
        <v>79</v>
      </c>
      <c r="N1574" s="143" cm="1">
        <f t="array" ref="N1574">IF(K1574="שוטף",M1574,0)</f>
        <v>79</v>
      </c>
      <c r="O1574" s="143" cm="1">
        <f t="array" ref="O1574">IF(K1574="הכנסה שסווגה מחדש",-G1574,0)</f>
        <v>0</v>
      </c>
      <c r="P1574" t="s" s="86">
        <v>842</v>
      </c>
      <c r="Q1574" s="99"/>
      <c r="R1574" t="s" s="144">
        <v>743</v>
      </c>
      <c r="S1574" s="77"/>
    </row>
    <row r="1575" ht="13.65" customHeight="1">
      <c r="A1575" s="78">
        <v>46143</v>
      </c>
      <c r="B1575" t="s" s="79">
        <v>60</v>
      </c>
      <c r="C1575" t="s" s="80">
        <v>990</v>
      </c>
      <c r="D1575" s="131">
        <v>11</v>
      </c>
      <c r="E1575" t="s" s="79">
        <v>994</v>
      </c>
      <c r="F1575" t="s" s="80">
        <v>320</v>
      </c>
      <c r="G1575" s="132">
        <v>59</v>
      </c>
      <c r="H1575" t="s" s="133">
        <v>838</v>
      </c>
      <c r="I1575" t="s" s="134">
        <v>96</v>
      </c>
      <c r="J1575" t="s" s="134">
        <v>97</v>
      </c>
      <c r="K1575" t="str" s="135" cm="1">
        <f t="array" ref="K1575">IF(OR(H1575="ריביות",AND(H1575="דירה כצנלסון",G1575&lt;0,ISNUMBER(SEARCH("הכנסה",F1575)))),"הכנסה שסווגה מחדש",J1575)</f>
        <v>שוטף</v>
      </c>
      <c r="L1575" t="s" s="134">
        <v>741</v>
      </c>
      <c r="M1575" s="136" cm="1">
        <f t="array" ref="M1575">IF(L1575="מאושר",IF(K1575="הכנסה שסווגה מחדש",0,G1575),0)</f>
        <v>59</v>
      </c>
      <c r="N1575" s="136" cm="1">
        <f t="array" ref="N1575">IF(K1575="שוטף",M1575,0)</f>
        <v>59</v>
      </c>
      <c r="O1575" s="136" cm="1">
        <f t="array" ref="O1575">IF(K1575="הכנסה שסווגה מחדש",-G1575,0)</f>
        <v>0</v>
      </c>
      <c r="P1575" t="s" s="80">
        <v>842</v>
      </c>
      <c r="Q1575" s="100"/>
      <c r="R1575" t="s" s="137">
        <v>743</v>
      </c>
      <c r="S1575" s="77"/>
    </row>
    <row r="1576" ht="13.65" customHeight="1">
      <c r="A1576" s="84">
        <v>46143</v>
      </c>
      <c r="B1576" t="s" s="85">
        <v>60</v>
      </c>
      <c r="C1576" t="s" s="86">
        <v>990</v>
      </c>
      <c r="D1576" s="138">
        <v>12</v>
      </c>
      <c r="E1576" t="s" s="85">
        <v>995</v>
      </c>
      <c r="F1576" t="s" s="86">
        <v>273</v>
      </c>
      <c r="G1576" s="139">
        <v>71</v>
      </c>
      <c r="H1576" t="s" s="140">
        <v>279</v>
      </c>
      <c r="I1576" t="s" s="141">
        <v>99</v>
      </c>
      <c r="J1576" t="s" s="141">
        <v>100</v>
      </c>
      <c r="K1576" t="str" s="142" cm="1">
        <f t="array" ref="K1576">IF(OR(H1576="ריביות",AND(H1576="דירה כצנלסון",G1576&lt;0,ISNUMBER(SEARCH("הכנסה",F1576)))),"הכנסה שסווגה מחדש",J1576)</f>
        <v>חריג/נכס</v>
      </c>
      <c r="L1576" t="s" s="141">
        <v>741</v>
      </c>
      <c r="M1576" s="143" cm="1">
        <f t="array" ref="M1576">IF(L1576="מאושר",IF(K1576="הכנסה שסווגה מחדש",0,G1576),0)</f>
        <v>71</v>
      </c>
      <c r="N1576" s="143" cm="1">
        <f t="array" ref="N1576">IF(K1576="שוטף",M1576,0)</f>
        <v>0</v>
      </c>
      <c r="O1576" s="143" cm="1">
        <f t="array" ref="O1576">IF(K1576="הכנסה שסווגה מחדש",-G1576,0)</f>
        <v>0</v>
      </c>
      <c r="P1576" t="s" s="86">
        <v>842</v>
      </c>
      <c r="Q1576" s="99"/>
      <c r="R1576" t="s" s="144">
        <v>743</v>
      </c>
      <c r="S1576" s="77"/>
    </row>
    <row r="1577" ht="13.65" customHeight="1">
      <c r="A1577" s="78">
        <v>46143</v>
      </c>
      <c r="B1577" t="s" s="79">
        <v>60</v>
      </c>
      <c r="C1577" t="s" s="80">
        <v>990</v>
      </c>
      <c r="D1577" s="131">
        <v>13</v>
      </c>
      <c r="E1577" t="s" s="79">
        <v>996</v>
      </c>
      <c r="F1577" t="s" s="80">
        <v>328</v>
      </c>
      <c r="G1577" s="132">
        <v>36</v>
      </c>
      <c r="H1577" t="s" s="133">
        <v>279</v>
      </c>
      <c r="I1577" t="s" s="134">
        <v>99</v>
      </c>
      <c r="J1577" t="s" s="134">
        <v>100</v>
      </c>
      <c r="K1577" t="str" s="135" cm="1">
        <f t="array" ref="K1577">IF(OR(H1577="ריביות",AND(H1577="דירה כצנלסון",G1577&lt;0,ISNUMBER(SEARCH("הכנסה",F1577)))),"הכנסה שסווגה מחדש",J1577)</f>
        <v>חריג/נכס</v>
      </c>
      <c r="L1577" t="s" s="134">
        <v>741</v>
      </c>
      <c r="M1577" s="136" cm="1">
        <f t="array" ref="M1577">IF(L1577="מאושר",IF(K1577="הכנסה שסווגה מחדש",0,G1577),0)</f>
        <v>36</v>
      </c>
      <c r="N1577" s="136" cm="1">
        <f t="array" ref="N1577">IF(K1577="שוטף",M1577,0)</f>
        <v>0</v>
      </c>
      <c r="O1577" s="136" cm="1">
        <f t="array" ref="O1577">IF(K1577="הכנסה שסווגה מחדש",-G1577,0)</f>
        <v>0</v>
      </c>
      <c r="P1577" t="s" s="80">
        <v>842</v>
      </c>
      <c r="Q1577" s="100"/>
      <c r="R1577" t="s" s="137">
        <v>743</v>
      </c>
      <c r="S1577" s="77"/>
    </row>
    <row r="1578" ht="13.65" customHeight="1">
      <c r="A1578" s="84">
        <v>46143</v>
      </c>
      <c r="B1578" t="s" s="85">
        <v>60</v>
      </c>
      <c r="C1578" t="s" s="86">
        <v>990</v>
      </c>
      <c r="D1578" s="138">
        <v>14</v>
      </c>
      <c r="E1578" t="s" s="85">
        <v>993</v>
      </c>
      <c r="F1578" t="s" s="86">
        <v>263</v>
      </c>
      <c r="G1578" s="139">
        <v>116</v>
      </c>
      <c r="H1578" t="s" s="140">
        <v>135</v>
      </c>
      <c r="I1578" t="s" s="141">
        <v>135</v>
      </c>
      <c r="J1578" t="s" s="141">
        <v>97</v>
      </c>
      <c r="K1578" t="str" s="142" cm="1">
        <f t="array" ref="K1578">IF(OR(H1578="ריביות",AND(H1578="דירה כצנלסון",G1578&lt;0,ISNUMBER(SEARCH("הכנסה",F1578)))),"הכנסה שסווגה מחדש",J1578)</f>
        <v>שוטף</v>
      </c>
      <c r="L1578" t="s" s="141">
        <v>741</v>
      </c>
      <c r="M1578" s="143" cm="1">
        <f t="array" ref="M1578">IF(L1578="מאושר",IF(K1578="הכנסה שסווגה מחדש",0,G1578),0)</f>
        <v>116</v>
      </c>
      <c r="N1578" s="143" cm="1">
        <f t="array" ref="N1578">IF(K1578="שוטף",M1578,0)</f>
        <v>116</v>
      </c>
      <c r="O1578" s="143" cm="1">
        <f t="array" ref="O1578">IF(K1578="הכנסה שסווגה מחדש",-G1578,0)</f>
        <v>0</v>
      </c>
      <c r="P1578" t="s" s="86">
        <v>847</v>
      </c>
      <c r="Q1578" s="99"/>
      <c r="R1578" t="s" s="144">
        <v>743</v>
      </c>
      <c r="S1578" s="77"/>
    </row>
    <row r="1579" ht="13.65" customHeight="1">
      <c r="A1579" s="78">
        <v>46143</v>
      </c>
      <c r="B1579" t="s" s="79">
        <v>60</v>
      </c>
      <c r="C1579" t="s" s="80">
        <v>990</v>
      </c>
      <c r="D1579" s="131">
        <v>15</v>
      </c>
      <c r="E1579" t="s" s="79">
        <v>997</v>
      </c>
      <c r="F1579" t="s" s="80">
        <v>310</v>
      </c>
      <c r="G1579" s="132">
        <v>97</v>
      </c>
      <c r="H1579" t="s" s="133">
        <v>767</v>
      </c>
      <c r="I1579" t="s" s="134">
        <v>107</v>
      </c>
      <c r="J1579" t="s" s="134">
        <v>97</v>
      </c>
      <c r="K1579" t="str" s="135" cm="1">
        <f t="array" ref="K1579">IF(OR(H1579="ריביות",AND(H1579="דירה כצנלסון",G1579&lt;0,ISNUMBER(SEARCH("הכנסה",F1579)))),"הכנסה שסווגה מחדש",J1579)</f>
        <v>שוטף</v>
      </c>
      <c r="L1579" t="s" s="134">
        <v>741</v>
      </c>
      <c r="M1579" s="136" cm="1">
        <f t="array" ref="M1579">IF(L1579="מאושר",IF(K1579="הכנסה שסווגה מחדש",0,G1579),0)</f>
        <v>97</v>
      </c>
      <c r="N1579" s="136" cm="1">
        <f t="array" ref="N1579">IF(K1579="שוטף",M1579,0)</f>
        <v>97</v>
      </c>
      <c r="O1579" s="136" cm="1">
        <f t="array" ref="O1579">IF(K1579="הכנסה שסווגה מחדש",-G1579,0)</f>
        <v>0</v>
      </c>
      <c r="P1579" t="s" s="80">
        <v>847</v>
      </c>
      <c r="Q1579" s="100"/>
      <c r="R1579" t="s" s="137">
        <v>743</v>
      </c>
      <c r="S1579" s="77"/>
    </row>
    <row r="1580" ht="13.65" customHeight="1">
      <c r="A1580" s="84">
        <v>46143</v>
      </c>
      <c r="B1580" t="s" s="85">
        <v>60</v>
      </c>
      <c r="C1580" t="s" s="86">
        <v>990</v>
      </c>
      <c r="D1580" s="138">
        <v>16</v>
      </c>
      <c r="E1580" t="s" s="85">
        <v>997</v>
      </c>
      <c r="F1580" t="s" s="86">
        <v>356</v>
      </c>
      <c r="G1580" s="139">
        <v>57</v>
      </c>
      <c r="H1580" t="s" s="140">
        <v>767</v>
      </c>
      <c r="I1580" t="s" s="141">
        <v>107</v>
      </c>
      <c r="J1580" t="s" s="141">
        <v>97</v>
      </c>
      <c r="K1580" t="str" s="142" cm="1">
        <f t="array" ref="K1580">IF(OR(H1580="ריביות",AND(H1580="דירה כצנלסון",G1580&lt;0,ISNUMBER(SEARCH("הכנסה",F1580)))),"הכנסה שסווגה מחדש",J1580)</f>
        <v>שוטף</v>
      </c>
      <c r="L1580" t="s" s="141">
        <v>741</v>
      </c>
      <c r="M1580" s="143" cm="1">
        <f t="array" ref="M1580">IF(L1580="מאושר",IF(K1580="הכנסה שסווגה מחדש",0,G1580),0)</f>
        <v>57</v>
      </c>
      <c r="N1580" s="143" cm="1">
        <f t="array" ref="N1580">IF(K1580="שוטף",M1580,0)</f>
        <v>57</v>
      </c>
      <c r="O1580" s="143" cm="1">
        <f t="array" ref="O1580">IF(K1580="הכנסה שסווגה מחדש",-G1580,0)</f>
        <v>0</v>
      </c>
      <c r="P1580" t="s" s="86">
        <v>842</v>
      </c>
      <c r="Q1580" s="99"/>
      <c r="R1580" t="s" s="144">
        <v>743</v>
      </c>
      <c r="S1580" s="77"/>
    </row>
    <row r="1581" ht="13.65" customHeight="1">
      <c r="A1581" s="78">
        <v>46143</v>
      </c>
      <c r="B1581" t="s" s="79">
        <v>60</v>
      </c>
      <c r="C1581" t="s" s="80">
        <v>990</v>
      </c>
      <c r="D1581" s="131">
        <v>17</v>
      </c>
      <c r="E1581" t="s" s="79">
        <v>859</v>
      </c>
      <c r="F1581" t="s" s="80">
        <v>222</v>
      </c>
      <c r="G1581" s="132">
        <v>632</v>
      </c>
      <c r="H1581" t="s" s="133">
        <v>111</v>
      </c>
      <c r="I1581" t="s" s="134">
        <v>111</v>
      </c>
      <c r="J1581" t="s" s="134">
        <v>97</v>
      </c>
      <c r="K1581" t="str" s="135" cm="1">
        <f t="array" ref="K1581">IF(OR(H1581="ריביות",AND(H1581="דירה כצנלסון",G1581&lt;0,ISNUMBER(SEARCH("הכנסה",F1581)))),"הכנסה שסווגה מחדש",J1581)</f>
        <v>שוטף</v>
      </c>
      <c r="L1581" t="s" s="134">
        <v>741</v>
      </c>
      <c r="M1581" s="136" cm="1">
        <f t="array" ref="M1581">IF(L1581="מאושר",IF(K1581="הכנסה שסווגה מחדש",0,G1581),0)</f>
        <v>632</v>
      </c>
      <c r="N1581" s="136" cm="1">
        <f t="array" ref="N1581">IF(K1581="שוטף",M1581,0)</f>
        <v>632</v>
      </c>
      <c r="O1581" s="136" cm="1">
        <f t="array" ref="O1581">IF(K1581="הכנסה שסווגה מחדש",-G1581,0)</f>
        <v>0</v>
      </c>
      <c r="P1581" t="s" s="80">
        <v>842</v>
      </c>
      <c r="Q1581" s="100"/>
      <c r="R1581" t="s" s="137">
        <v>743</v>
      </c>
      <c r="S1581" s="77"/>
    </row>
    <row r="1582" ht="13.65" customHeight="1">
      <c r="A1582" s="84">
        <v>46143</v>
      </c>
      <c r="B1582" t="s" s="85">
        <v>60</v>
      </c>
      <c r="C1582" t="s" s="86">
        <v>990</v>
      </c>
      <c r="D1582" s="138">
        <v>18</v>
      </c>
      <c r="E1582" t="s" s="85">
        <v>861</v>
      </c>
      <c r="F1582" t="s" s="86">
        <v>294</v>
      </c>
      <c r="G1582" s="139">
        <v>130</v>
      </c>
      <c r="H1582" t="s" s="140">
        <v>115</v>
      </c>
      <c r="I1582" t="s" s="141">
        <v>115</v>
      </c>
      <c r="J1582" t="s" s="141">
        <v>97</v>
      </c>
      <c r="K1582" t="str" s="142" cm="1">
        <f t="array" ref="K1582">IF(OR(H1582="ריביות",AND(H1582="דירה כצנלסון",G1582&lt;0,ISNUMBER(SEARCH("הכנסה",F1582)))),"הכנסה שסווגה מחדש",J1582)</f>
        <v>שוטף</v>
      </c>
      <c r="L1582" t="s" s="141">
        <v>741</v>
      </c>
      <c r="M1582" s="143" cm="1">
        <f t="array" ref="M1582">IF(L1582="מאושר",IF(K1582="הכנסה שסווגה מחדש",0,G1582),0)</f>
        <v>130</v>
      </c>
      <c r="N1582" s="143" cm="1">
        <f t="array" ref="N1582">IF(K1582="שוטף",M1582,0)</f>
        <v>130</v>
      </c>
      <c r="O1582" s="143" cm="1">
        <f t="array" ref="O1582">IF(K1582="הכנסה שסווגה מחדש",-G1582,0)</f>
        <v>0</v>
      </c>
      <c r="P1582" t="s" s="86">
        <v>842</v>
      </c>
      <c r="Q1582" s="99"/>
      <c r="R1582" t="s" s="144">
        <v>743</v>
      </c>
      <c r="S1582" s="77"/>
    </row>
    <row r="1583" ht="13.65" customHeight="1">
      <c r="A1583" s="78">
        <v>46143</v>
      </c>
      <c r="B1583" t="s" s="79">
        <v>60</v>
      </c>
      <c r="C1583" t="s" s="80">
        <v>990</v>
      </c>
      <c r="D1583" s="131">
        <v>19</v>
      </c>
      <c r="E1583" s="100"/>
      <c r="F1583" t="s" s="80">
        <v>324</v>
      </c>
      <c r="G1583" s="132">
        <v>97</v>
      </c>
      <c r="H1583" t="s" s="133">
        <v>839</v>
      </c>
      <c r="I1583" t="s" s="134">
        <v>107</v>
      </c>
      <c r="J1583" t="s" s="134">
        <v>97</v>
      </c>
      <c r="K1583" t="str" s="135" cm="1">
        <f t="array" ref="K1583">IF(OR(H1583="ריביות",AND(H1583="דירה כצנלסון",G1583&lt;0,ISNUMBER(SEARCH("הכנסה",F1583)))),"הכנסה שסווגה מחדש",J1583)</f>
        <v>שוטף</v>
      </c>
      <c r="L1583" t="s" s="134">
        <v>741</v>
      </c>
      <c r="M1583" s="136" cm="1">
        <f t="array" ref="M1583">IF(L1583="מאושר",IF(K1583="הכנסה שסווגה מחדש",0,G1583),0)</f>
        <v>97</v>
      </c>
      <c r="N1583" s="136" cm="1">
        <f t="array" ref="N1583">IF(K1583="שוטף",M1583,0)</f>
        <v>97</v>
      </c>
      <c r="O1583" s="136" cm="1">
        <f t="array" ref="O1583">IF(K1583="הכנסה שסווגה מחדש",-G1583,0)</f>
        <v>0</v>
      </c>
      <c r="P1583" t="s" s="80">
        <v>884</v>
      </c>
      <c r="Q1583" s="100"/>
      <c r="R1583" t="s" s="137">
        <v>743</v>
      </c>
      <c r="S1583" s="77"/>
    </row>
    <row r="1584" ht="13.65" customHeight="1">
      <c r="A1584" s="84">
        <v>46143</v>
      </c>
      <c r="B1584" t="s" s="85">
        <v>60</v>
      </c>
      <c r="C1584" t="s" s="86">
        <v>990</v>
      </c>
      <c r="D1584" s="138">
        <v>20</v>
      </c>
      <c r="E1584" t="s" s="85">
        <v>998</v>
      </c>
      <c r="F1584" t="s" s="86">
        <v>364</v>
      </c>
      <c r="G1584" s="139">
        <v>180</v>
      </c>
      <c r="H1584" t="s" s="140">
        <v>838</v>
      </c>
      <c r="I1584" t="s" s="141">
        <v>96</v>
      </c>
      <c r="J1584" t="s" s="141">
        <v>97</v>
      </c>
      <c r="K1584" t="str" s="142" cm="1">
        <f t="array" ref="K1584">IF(OR(H1584="ריביות",AND(H1584="דירה כצנלסון",G1584&lt;0,ISNUMBER(SEARCH("הכנסה",F1584)))),"הכנסה שסווגה מחדש",J1584)</f>
        <v>שוטף</v>
      </c>
      <c r="L1584" t="s" s="141">
        <v>741</v>
      </c>
      <c r="M1584" s="143" cm="1">
        <f t="array" ref="M1584">IF(L1584="מאושר",IF(K1584="הכנסה שסווגה מחדש",0,G1584),0)</f>
        <v>180</v>
      </c>
      <c r="N1584" s="143" cm="1">
        <f t="array" ref="N1584">IF(K1584="שוטף",M1584,0)</f>
        <v>180</v>
      </c>
      <c r="O1584" s="143" cm="1">
        <f t="array" ref="O1584">IF(K1584="הכנסה שסווגה מחדש",-G1584,0)</f>
        <v>0</v>
      </c>
      <c r="P1584" t="s" s="86">
        <v>781</v>
      </c>
      <c r="Q1584" s="99"/>
      <c r="R1584" t="s" s="144">
        <v>743</v>
      </c>
      <c r="S1584" s="77"/>
    </row>
    <row r="1585" ht="13.65" customHeight="1">
      <c r="A1585" s="78">
        <v>46143</v>
      </c>
      <c r="B1585" t="s" s="79">
        <v>60</v>
      </c>
      <c r="C1585" t="s" s="80">
        <v>990</v>
      </c>
      <c r="D1585" s="131">
        <v>21</v>
      </c>
      <c r="E1585" s="100"/>
      <c r="F1585" t="s" s="80">
        <v>204</v>
      </c>
      <c r="G1585" s="132">
        <v>4606</v>
      </c>
      <c r="H1585" t="s" s="133">
        <v>829</v>
      </c>
      <c r="I1585" t="s" s="134">
        <v>102</v>
      </c>
      <c r="J1585" t="s" s="134">
        <v>103</v>
      </c>
      <c r="K1585" t="str" s="135" cm="1">
        <f t="array" ref="K1585">IF(OR(H1585="ריביות",AND(H1585="דירה כצנלסון",G1585&lt;0,ISNUMBER(SEARCH("הכנסה",F1585)))),"הכנסה שסווגה מחדש",J1585)</f>
        <v>חריג</v>
      </c>
      <c r="L1585" t="s" s="134">
        <v>741</v>
      </c>
      <c r="M1585" s="136" cm="1">
        <f t="array" ref="M1585">IF(L1585="מאושר",IF(K1585="הכנסה שסווגה מחדש",0,G1585),0)</f>
        <v>4606</v>
      </c>
      <c r="N1585" s="136" cm="1">
        <f t="array" ref="N1585">IF(K1585="שוטף",M1585,0)</f>
        <v>0</v>
      </c>
      <c r="O1585" s="136" cm="1">
        <f t="array" ref="O1585">IF(K1585="הכנסה שסווגה מחדש",-G1585,0)</f>
        <v>0</v>
      </c>
      <c r="P1585" s="100"/>
      <c r="Q1585" t="s" s="79">
        <v>830</v>
      </c>
      <c r="R1585" t="s" s="137">
        <v>831</v>
      </c>
      <c r="S1585" s="77"/>
    </row>
    <row r="1586" ht="13.65" customHeight="1">
      <c r="A1586" s="84">
        <v>46143</v>
      </c>
      <c r="B1586" t="s" s="85">
        <v>60</v>
      </c>
      <c r="C1586" t="s" s="86">
        <v>990</v>
      </c>
      <c r="D1586" s="138">
        <v>22</v>
      </c>
      <c r="E1586" t="s" s="85">
        <v>999</v>
      </c>
      <c r="F1586" t="s" s="86">
        <v>199</v>
      </c>
      <c r="G1586" s="139">
        <v>1800</v>
      </c>
      <c r="H1586" s="145"/>
      <c r="I1586" t="s" s="141">
        <v>137</v>
      </c>
      <c r="J1586" t="s" s="141">
        <v>97</v>
      </c>
      <c r="K1586" t="str" s="142" cm="1">
        <f t="array" ref="K1586">IF(OR(H1586="ריביות",AND(H1586="דירה כצנלסון",G1586&lt;0,ISNUMBER(SEARCH("הכנסה",F1586)))),"הכנסה שסווגה מחדש",J1586)</f>
        <v>שוטף</v>
      </c>
      <c r="L1586" t="s" s="141">
        <v>741</v>
      </c>
      <c r="M1586" s="143" cm="1">
        <f t="array" ref="M1586">IF(L1586="מאושר",IF(K1586="הכנסה שסווגה מחדש",0,G1586),0)</f>
        <v>1800</v>
      </c>
      <c r="N1586" s="143" cm="1">
        <f t="array" ref="N1586">IF(K1586="שוטף",M1586,0)</f>
        <v>1800</v>
      </c>
      <c r="O1586" s="143" cm="1">
        <f t="array" ref="O1586">IF(K1586="הכנסה שסווגה מחדש",-G1586,0)</f>
        <v>0</v>
      </c>
      <c r="P1586" t="s" s="85">
        <v>742</v>
      </c>
      <c r="Q1586" s="99"/>
      <c r="R1586" t="s" s="144">
        <v>743</v>
      </c>
      <c r="S1586" s="77"/>
    </row>
    <row r="1587" ht="13.65" customHeight="1">
      <c r="A1587" s="78">
        <v>46143</v>
      </c>
      <c r="B1587" t="s" s="79">
        <v>60</v>
      </c>
      <c r="C1587" t="s" s="80">
        <v>990</v>
      </c>
      <c r="D1587" s="131">
        <v>24</v>
      </c>
      <c r="E1587" t="s" s="79">
        <v>1000</v>
      </c>
      <c r="F1587" t="s" s="80">
        <v>277</v>
      </c>
      <c r="G1587" s="132">
        <v>16</v>
      </c>
      <c r="H1587" t="s" s="133">
        <v>115</v>
      </c>
      <c r="I1587" t="s" s="134">
        <v>115</v>
      </c>
      <c r="J1587" t="s" s="134">
        <v>97</v>
      </c>
      <c r="K1587" t="str" s="135" cm="1">
        <f t="array" ref="K1587">IF(OR(H1587="ריביות",AND(H1587="דירה כצנלסון",G1587&lt;0,ISNUMBER(SEARCH("הכנסה",F1587)))),"הכנסה שסווגה מחדש",J1587)</f>
        <v>שוטף</v>
      </c>
      <c r="L1587" t="s" s="134">
        <v>741</v>
      </c>
      <c r="M1587" s="136" cm="1">
        <f t="array" ref="M1587">IF(L1587="מאושר",IF(K1587="הכנסה שסווגה מחדש",0,G1587),0)</f>
        <v>16</v>
      </c>
      <c r="N1587" s="136" cm="1">
        <f t="array" ref="N1587">IF(K1587="שוטף",M1587,0)</f>
        <v>16</v>
      </c>
      <c r="O1587" s="136" cm="1">
        <f t="array" ref="O1587">IF(K1587="הכנסה שסווגה מחדש",-G1587,0)</f>
        <v>0</v>
      </c>
      <c r="P1587" t="s" s="79">
        <v>879</v>
      </c>
      <c r="Q1587" s="100"/>
      <c r="R1587" t="s" s="137">
        <v>743</v>
      </c>
      <c r="S1587" s="77"/>
    </row>
    <row r="1588" ht="13.65" customHeight="1">
      <c r="A1588" s="84">
        <v>46143</v>
      </c>
      <c r="B1588" t="s" s="85">
        <v>60</v>
      </c>
      <c r="C1588" t="s" s="86">
        <v>990</v>
      </c>
      <c r="D1588" s="138">
        <v>25</v>
      </c>
      <c r="E1588" t="s" s="85">
        <v>1001</v>
      </c>
      <c r="F1588" t="s" s="86">
        <v>539</v>
      </c>
      <c r="G1588" s="139">
        <v>45</v>
      </c>
      <c r="H1588" t="s" s="140">
        <v>113</v>
      </c>
      <c r="I1588" t="s" s="141">
        <v>113</v>
      </c>
      <c r="J1588" t="s" s="141">
        <v>97</v>
      </c>
      <c r="K1588" t="str" s="142" cm="1">
        <f t="array" ref="K1588">IF(OR(H1588="ריביות",AND(H1588="דירה כצנלסון",G1588&lt;0,ISNUMBER(SEARCH("הכנסה",F1588)))),"הכנסה שסווגה מחדש",J1588)</f>
        <v>שוטף</v>
      </c>
      <c r="L1588" t="s" s="141">
        <v>741</v>
      </c>
      <c r="M1588" s="143" cm="1">
        <f t="array" ref="M1588">IF(L1588="מאושר",IF(K1588="הכנסה שסווגה מחדש",0,G1588),0)</f>
        <v>45</v>
      </c>
      <c r="N1588" s="143" cm="1">
        <f t="array" ref="N1588">IF(K1588="שוטף",M1588,0)</f>
        <v>45</v>
      </c>
      <c r="O1588" s="143" cm="1">
        <f t="array" ref="O1588">IF(K1588="הכנסה שסווגה מחדש",-G1588,0)</f>
        <v>0</v>
      </c>
      <c r="P1588" t="s" s="85">
        <v>879</v>
      </c>
      <c r="Q1588" s="99"/>
      <c r="R1588" t="s" s="144">
        <v>743</v>
      </c>
      <c r="S1588" s="77"/>
    </row>
    <row r="1589" ht="13.65" customHeight="1">
      <c r="A1589" s="78">
        <v>46143</v>
      </c>
      <c r="B1589" t="s" s="79">
        <v>60</v>
      </c>
      <c r="C1589" t="s" s="80">
        <v>990</v>
      </c>
      <c r="D1589" s="131">
        <v>26</v>
      </c>
      <c r="E1589" t="s" s="79">
        <v>1000</v>
      </c>
      <c r="F1589" t="s" s="80">
        <v>277</v>
      </c>
      <c r="G1589" s="132">
        <v>24</v>
      </c>
      <c r="H1589" t="s" s="133">
        <v>115</v>
      </c>
      <c r="I1589" t="s" s="134">
        <v>115</v>
      </c>
      <c r="J1589" t="s" s="134">
        <v>97</v>
      </c>
      <c r="K1589" t="str" s="135" cm="1">
        <f t="array" ref="K1589">IF(OR(H1589="ריביות",AND(H1589="דירה כצנלסון",G1589&lt;0,ISNUMBER(SEARCH("הכנסה",F1589)))),"הכנסה שסווגה מחדש",J1589)</f>
        <v>שוטף</v>
      </c>
      <c r="L1589" t="s" s="134">
        <v>741</v>
      </c>
      <c r="M1589" s="136" cm="1">
        <f t="array" ref="M1589">IF(L1589="מאושר",IF(K1589="הכנסה שסווגה מחדש",0,G1589),0)</f>
        <v>24</v>
      </c>
      <c r="N1589" s="136" cm="1">
        <f t="array" ref="N1589">IF(K1589="שוטף",M1589,0)</f>
        <v>24</v>
      </c>
      <c r="O1589" s="136" cm="1">
        <f t="array" ref="O1589">IF(K1589="הכנסה שסווגה מחדש",-G1589,0)</f>
        <v>0</v>
      </c>
      <c r="P1589" t="s" s="79">
        <v>882</v>
      </c>
      <c r="Q1589" s="100"/>
      <c r="R1589" t="s" s="137">
        <v>743</v>
      </c>
      <c r="S1589" s="77"/>
    </row>
    <row r="1590" ht="13.65" customHeight="1">
      <c r="A1590" s="84">
        <v>46143</v>
      </c>
      <c r="B1590" t="s" s="85">
        <v>60</v>
      </c>
      <c r="C1590" t="s" s="86">
        <v>990</v>
      </c>
      <c r="D1590" s="138">
        <v>27</v>
      </c>
      <c r="E1590" t="s" s="85">
        <v>1002</v>
      </c>
      <c r="F1590" t="s" s="86">
        <v>223</v>
      </c>
      <c r="G1590" s="139">
        <v>276</v>
      </c>
      <c r="H1590" t="s" s="140">
        <v>960</v>
      </c>
      <c r="I1590" t="s" s="141">
        <v>131</v>
      </c>
      <c r="J1590" t="s" s="141">
        <v>97</v>
      </c>
      <c r="K1590" t="str" s="142" cm="1">
        <f t="array" ref="K1590">IF(OR(H1590="ריביות",AND(H1590="דירה כצנלסון",G1590&lt;0,ISNUMBER(SEARCH("הכנסה",F1590)))),"הכנסה שסווגה מחדש",J1590)</f>
        <v>שוטף</v>
      </c>
      <c r="L1590" t="s" s="141">
        <v>741</v>
      </c>
      <c r="M1590" s="143" cm="1">
        <f t="array" ref="M1590">IF(L1590="מאושר",IF(K1590="הכנסה שסווגה מחדש",0,G1590),0)</f>
        <v>276</v>
      </c>
      <c r="N1590" s="143" cm="1">
        <f t="array" ref="N1590">IF(K1590="שוטף",M1590,0)</f>
        <v>276</v>
      </c>
      <c r="O1590" s="143" cm="1">
        <f t="array" ref="O1590">IF(K1590="הכנסה שסווגה מחדש",-G1590,0)</f>
        <v>0</v>
      </c>
      <c r="P1590" t="s" s="86">
        <v>847</v>
      </c>
      <c r="Q1590" s="99"/>
      <c r="R1590" t="s" s="144">
        <v>743</v>
      </c>
      <c r="S1590" s="77"/>
    </row>
    <row r="1591" ht="13.65" customHeight="1">
      <c r="A1591" s="78">
        <v>46143</v>
      </c>
      <c r="B1591" t="s" s="79">
        <v>60</v>
      </c>
      <c r="C1591" t="s" s="80">
        <v>990</v>
      </c>
      <c r="D1591" s="131">
        <v>28</v>
      </c>
      <c r="E1591" t="s" s="79">
        <v>997</v>
      </c>
      <c r="F1591" t="s" s="80">
        <v>200</v>
      </c>
      <c r="G1591" s="132">
        <v>52</v>
      </c>
      <c r="H1591" t="s" s="133">
        <v>109</v>
      </c>
      <c r="I1591" t="s" s="134">
        <v>109</v>
      </c>
      <c r="J1591" t="s" s="134">
        <v>97</v>
      </c>
      <c r="K1591" t="str" s="135" cm="1">
        <f t="array" ref="K1591">IF(OR(H1591="ריביות",AND(H1591="דירה כצנלסון",G1591&lt;0,ISNUMBER(SEARCH("הכנסה",F1591)))),"הכנסה שסווגה מחדש",J1591)</f>
        <v>שוטף</v>
      </c>
      <c r="L1591" t="s" s="134">
        <v>741</v>
      </c>
      <c r="M1591" s="136" cm="1">
        <f t="array" ref="M1591">IF(L1591="מאושר",IF(K1591="הכנסה שסווגה מחדש",0,G1591),0)</f>
        <v>52</v>
      </c>
      <c r="N1591" s="136" cm="1">
        <f t="array" ref="N1591">IF(K1591="שוטף",M1591,0)</f>
        <v>52</v>
      </c>
      <c r="O1591" s="136" cm="1">
        <f t="array" ref="O1591">IF(K1591="הכנסה שסווגה מחדש",-G1591,0)</f>
        <v>0</v>
      </c>
      <c r="P1591" t="s" s="80">
        <v>847</v>
      </c>
      <c r="Q1591" s="100"/>
      <c r="R1591" t="s" s="137">
        <v>743</v>
      </c>
      <c r="S1591" s="77"/>
    </row>
    <row r="1592" ht="13.65" customHeight="1">
      <c r="A1592" s="84">
        <v>46143</v>
      </c>
      <c r="B1592" t="s" s="85">
        <v>60</v>
      </c>
      <c r="C1592" t="s" s="86">
        <v>990</v>
      </c>
      <c r="D1592" s="138">
        <v>29</v>
      </c>
      <c r="E1592" t="s" s="85">
        <v>1003</v>
      </c>
      <c r="F1592" t="s" s="86">
        <v>376</v>
      </c>
      <c r="G1592" s="139">
        <v>392</v>
      </c>
      <c r="H1592" t="s" s="140">
        <v>960</v>
      </c>
      <c r="I1592" t="s" s="141">
        <v>131</v>
      </c>
      <c r="J1592" t="s" s="141">
        <v>97</v>
      </c>
      <c r="K1592" t="str" s="142" cm="1">
        <f t="array" ref="K1592">IF(OR(H1592="ריביות",AND(H1592="דירה כצנלסון",G1592&lt;0,ISNUMBER(SEARCH("הכנסה",F1592)))),"הכנסה שסווגה מחדש",J1592)</f>
        <v>שוטף</v>
      </c>
      <c r="L1592" t="s" s="141">
        <v>741</v>
      </c>
      <c r="M1592" s="143" cm="1">
        <f t="array" ref="M1592">IF(L1592="מאושר",IF(K1592="הכנסה שסווגה מחדש",0,G1592),0)</f>
        <v>392</v>
      </c>
      <c r="N1592" s="143" cm="1">
        <f t="array" ref="N1592">IF(K1592="שוטף",M1592,0)</f>
        <v>392</v>
      </c>
      <c r="O1592" s="143" cm="1">
        <f t="array" ref="O1592">IF(K1592="הכנסה שסווגה מחדש",-G1592,0)</f>
        <v>0</v>
      </c>
      <c r="P1592" t="s" s="86">
        <v>847</v>
      </c>
      <c r="Q1592" s="99"/>
      <c r="R1592" t="s" s="144">
        <v>743</v>
      </c>
      <c r="S1592" s="77"/>
    </row>
    <row r="1593" ht="13.65" customHeight="1">
      <c r="A1593" s="78">
        <v>46143</v>
      </c>
      <c r="B1593" t="s" s="79">
        <v>60</v>
      </c>
      <c r="C1593" t="s" s="80">
        <v>990</v>
      </c>
      <c r="D1593" s="131">
        <v>30</v>
      </c>
      <c r="E1593" t="s" s="79">
        <v>1004</v>
      </c>
      <c r="F1593" t="s" s="80">
        <v>494</v>
      </c>
      <c r="G1593" s="132">
        <v>130</v>
      </c>
      <c r="H1593" t="s" s="133">
        <v>123</v>
      </c>
      <c r="I1593" t="s" s="134">
        <v>123</v>
      </c>
      <c r="J1593" t="s" s="134">
        <v>97</v>
      </c>
      <c r="K1593" t="str" s="135" cm="1">
        <f t="array" ref="K1593">IF(OR(H1593="ריביות",AND(H1593="דירה כצנלסון",G1593&lt;0,ISNUMBER(SEARCH("הכנסה",F1593)))),"הכנסה שסווגה מחדש",J1593)</f>
        <v>שוטף</v>
      </c>
      <c r="L1593" t="s" s="134">
        <v>741</v>
      </c>
      <c r="M1593" s="136" cm="1">
        <f t="array" ref="M1593">IF(L1593="מאושר",IF(K1593="הכנסה שסווגה מחדש",0,G1593),0)</f>
        <v>130</v>
      </c>
      <c r="N1593" s="136" cm="1">
        <f t="array" ref="N1593">IF(K1593="שוטף",M1593,0)</f>
        <v>130</v>
      </c>
      <c r="O1593" s="136" cm="1">
        <f t="array" ref="O1593">IF(K1593="הכנסה שסווגה מחדש",-G1593,0)</f>
        <v>0</v>
      </c>
      <c r="P1593" t="s" s="80">
        <v>847</v>
      </c>
      <c r="Q1593" s="100"/>
      <c r="R1593" t="s" s="137">
        <v>743</v>
      </c>
      <c r="S1593" s="77"/>
    </row>
    <row r="1594" ht="13.65" customHeight="1">
      <c r="A1594" s="84">
        <v>46143</v>
      </c>
      <c r="B1594" t="s" s="85">
        <v>60</v>
      </c>
      <c r="C1594" t="s" s="86">
        <v>990</v>
      </c>
      <c r="D1594" s="138">
        <v>32</v>
      </c>
      <c r="E1594" t="s" s="85">
        <v>994</v>
      </c>
      <c r="F1594" t="s" s="86">
        <v>377</v>
      </c>
      <c r="G1594" s="139">
        <v>6</v>
      </c>
      <c r="H1594" t="s" s="140">
        <v>113</v>
      </c>
      <c r="I1594" t="s" s="141">
        <v>113</v>
      </c>
      <c r="J1594" t="s" s="141">
        <v>97</v>
      </c>
      <c r="K1594" t="str" s="142" cm="1">
        <f t="array" ref="K1594">IF(OR(H1594="ריביות",AND(H1594="דירה כצנלסון",G1594&lt;0,ISNUMBER(SEARCH("הכנסה",F1594)))),"הכנסה שסווגה מחדש",J1594)</f>
        <v>שוטף</v>
      </c>
      <c r="L1594" t="s" s="141">
        <v>741</v>
      </c>
      <c r="M1594" s="143" cm="1">
        <f t="array" ref="M1594">IF(L1594="מאושר",IF(K1594="הכנסה שסווגה מחדש",0,G1594),0)</f>
        <v>6</v>
      </c>
      <c r="N1594" s="143" cm="1">
        <f t="array" ref="N1594">IF(K1594="שוטף",M1594,0)</f>
        <v>6</v>
      </c>
      <c r="O1594" s="143" cm="1">
        <f t="array" ref="O1594">IF(K1594="הכנסה שסווגה מחדש",-G1594,0)</f>
        <v>0</v>
      </c>
      <c r="P1594" t="s" s="86">
        <v>847</v>
      </c>
      <c r="Q1594" s="99"/>
      <c r="R1594" t="s" s="144">
        <v>743</v>
      </c>
      <c r="S1594" s="77"/>
    </row>
    <row r="1595" ht="13.65" customHeight="1">
      <c r="A1595" s="78">
        <v>46143</v>
      </c>
      <c r="B1595" t="s" s="79">
        <v>60</v>
      </c>
      <c r="C1595" t="s" s="80">
        <v>990</v>
      </c>
      <c r="D1595" s="131">
        <v>33</v>
      </c>
      <c r="E1595" t="s" s="79">
        <v>994</v>
      </c>
      <c r="F1595" t="s" s="80">
        <v>424</v>
      </c>
      <c r="G1595" s="132">
        <v>58</v>
      </c>
      <c r="H1595" t="s" s="133">
        <v>133</v>
      </c>
      <c r="I1595" t="s" s="134">
        <v>133</v>
      </c>
      <c r="J1595" t="s" s="134">
        <v>97</v>
      </c>
      <c r="K1595" t="str" s="135" cm="1">
        <f t="array" ref="K1595">IF(OR(H1595="ריביות",AND(H1595="דירה כצנלסון",G1595&lt;0,ISNUMBER(SEARCH("הכנסה",F1595)))),"הכנסה שסווגה מחדש",J1595)</f>
        <v>שוטף</v>
      </c>
      <c r="L1595" t="s" s="134">
        <v>741</v>
      </c>
      <c r="M1595" s="136" cm="1">
        <f t="array" ref="M1595">IF(L1595="מאושר",IF(K1595="הכנסה שסווגה מחדש",0,G1595),0)</f>
        <v>58</v>
      </c>
      <c r="N1595" s="136" cm="1">
        <f t="array" ref="N1595">IF(K1595="שוטף",M1595,0)</f>
        <v>58</v>
      </c>
      <c r="O1595" s="136" cm="1">
        <f t="array" ref="O1595">IF(K1595="הכנסה שסווגה מחדש",-G1595,0)</f>
        <v>0</v>
      </c>
      <c r="P1595" t="s" s="80">
        <v>847</v>
      </c>
      <c r="Q1595" s="100"/>
      <c r="R1595" t="s" s="137">
        <v>743</v>
      </c>
      <c r="S1595" s="77"/>
    </row>
    <row r="1596" ht="13.65" customHeight="1">
      <c r="A1596" s="84">
        <v>46143</v>
      </c>
      <c r="B1596" t="s" s="85">
        <v>60</v>
      </c>
      <c r="C1596" t="s" s="86">
        <v>990</v>
      </c>
      <c r="D1596" s="138">
        <v>34</v>
      </c>
      <c r="E1596" t="s" s="85">
        <v>1005</v>
      </c>
      <c r="F1596" t="s" s="86">
        <v>683</v>
      </c>
      <c r="G1596" s="139">
        <v>16</v>
      </c>
      <c r="H1596" t="s" s="140">
        <v>113</v>
      </c>
      <c r="I1596" t="s" s="141">
        <v>113</v>
      </c>
      <c r="J1596" t="s" s="141">
        <v>97</v>
      </c>
      <c r="K1596" t="str" s="142" cm="1">
        <f t="array" ref="K1596">IF(OR(H1596="ריביות",AND(H1596="דירה כצנלסון",G1596&lt;0,ISNUMBER(SEARCH("הכנסה",F1596)))),"הכנסה שסווגה מחדש",J1596)</f>
        <v>שוטף</v>
      </c>
      <c r="L1596" t="s" s="141">
        <v>741</v>
      </c>
      <c r="M1596" s="143" cm="1">
        <f t="array" ref="M1596">IF(L1596="מאושר",IF(K1596="הכנסה שסווגה מחדש",0,G1596),0)</f>
        <v>16</v>
      </c>
      <c r="N1596" s="143" cm="1">
        <f t="array" ref="N1596">IF(K1596="שוטף",M1596,0)</f>
        <v>16</v>
      </c>
      <c r="O1596" s="143" cm="1">
        <f t="array" ref="O1596">IF(K1596="הכנסה שסווגה מחדש",-G1596,0)</f>
        <v>0</v>
      </c>
      <c r="P1596" t="s" s="86">
        <v>847</v>
      </c>
      <c r="Q1596" s="99"/>
      <c r="R1596" t="s" s="144">
        <v>743</v>
      </c>
      <c r="S1596" s="77"/>
    </row>
    <row r="1597" ht="13.65" customHeight="1">
      <c r="A1597" s="78">
        <v>46143</v>
      </c>
      <c r="B1597" t="s" s="79">
        <v>60</v>
      </c>
      <c r="C1597" t="s" s="80">
        <v>990</v>
      </c>
      <c r="D1597" s="131">
        <v>35</v>
      </c>
      <c r="E1597" t="s" s="79">
        <v>1006</v>
      </c>
      <c r="F1597" t="s" s="80">
        <v>200</v>
      </c>
      <c r="G1597" s="132">
        <v>548</v>
      </c>
      <c r="H1597" t="s" s="133">
        <v>109</v>
      </c>
      <c r="I1597" t="s" s="134">
        <v>109</v>
      </c>
      <c r="J1597" t="s" s="134">
        <v>97</v>
      </c>
      <c r="K1597" t="str" s="135" cm="1">
        <f t="array" ref="K1597">IF(OR(H1597="ריביות",AND(H1597="דירה כצנלסון",G1597&lt;0,ISNUMBER(SEARCH("הכנסה",F1597)))),"הכנסה שסווגה מחדש",J1597)</f>
        <v>שוטף</v>
      </c>
      <c r="L1597" t="s" s="134">
        <v>741</v>
      </c>
      <c r="M1597" s="136" cm="1">
        <f t="array" ref="M1597">IF(L1597="מאושר",IF(K1597="הכנסה שסווגה מחדש",0,G1597),0)</f>
        <v>548</v>
      </c>
      <c r="N1597" s="136" cm="1">
        <f t="array" ref="N1597">IF(K1597="שוטף",M1597,0)</f>
        <v>548</v>
      </c>
      <c r="O1597" s="136" cm="1">
        <f t="array" ref="O1597">IF(K1597="הכנסה שסווגה מחדש",-G1597,0)</f>
        <v>0</v>
      </c>
      <c r="P1597" t="s" s="80">
        <v>847</v>
      </c>
      <c r="Q1597" s="100"/>
      <c r="R1597" t="s" s="137">
        <v>743</v>
      </c>
      <c r="S1597" s="77"/>
    </row>
    <row r="1598" ht="13.65" customHeight="1">
      <c r="A1598" s="84">
        <v>46143</v>
      </c>
      <c r="B1598" t="s" s="85">
        <v>60</v>
      </c>
      <c r="C1598" t="s" s="86">
        <v>990</v>
      </c>
      <c r="D1598" s="138">
        <v>36</v>
      </c>
      <c r="E1598" t="s" s="85">
        <v>1007</v>
      </c>
      <c r="F1598" t="s" s="86">
        <v>223</v>
      </c>
      <c r="G1598" s="139">
        <v>313</v>
      </c>
      <c r="H1598" t="s" s="140">
        <v>960</v>
      </c>
      <c r="I1598" t="s" s="141">
        <v>131</v>
      </c>
      <c r="J1598" t="s" s="141">
        <v>97</v>
      </c>
      <c r="K1598" t="str" s="142" cm="1">
        <f t="array" ref="K1598">IF(OR(H1598="ריביות",AND(H1598="דירה כצנלסון",G1598&lt;0,ISNUMBER(SEARCH("הכנסה",F1598)))),"הכנסה שסווגה מחדש",J1598)</f>
        <v>שוטף</v>
      </c>
      <c r="L1598" t="s" s="141">
        <v>741</v>
      </c>
      <c r="M1598" s="143" cm="1">
        <f t="array" ref="M1598">IF(L1598="מאושר",IF(K1598="הכנסה שסווגה מחדש",0,G1598),0)</f>
        <v>313</v>
      </c>
      <c r="N1598" s="143" cm="1">
        <f t="array" ref="N1598">IF(K1598="שוטף",M1598,0)</f>
        <v>313</v>
      </c>
      <c r="O1598" s="143" cm="1">
        <f t="array" ref="O1598">IF(K1598="הכנסה שסווגה מחדש",-G1598,0)</f>
        <v>0</v>
      </c>
      <c r="P1598" t="s" s="86">
        <v>847</v>
      </c>
      <c r="Q1598" s="99"/>
      <c r="R1598" t="s" s="144">
        <v>743</v>
      </c>
      <c r="S1598" s="77"/>
    </row>
    <row r="1599" ht="13.65" customHeight="1">
      <c r="A1599" s="78">
        <v>46143</v>
      </c>
      <c r="B1599" t="s" s="79">
        <v>60</v>
      </c>
      <c r="C1599" t="s" s="80">
        <v>990</v>
      </c>
      <c r="D1599" s="131">
        <v>37</v>
      </c>
      <c r="E1599" t="s" s="79">
        <v>1007</v>
      </c>
      <c r="F1599" t="s" s="80">
        <v>223</v>
      </c>
      <c r="G1599" s="132">
        <v>357</v>
      </c>
      <c r="H1599" t="s" s="133">
        <v>960</v>
      </c>
      <c r="I1599" t="s" s="134">
        <v>131</v>
      </c>
      <c r="J1599" t="s" s="134">
        <v>97</v>
      </c>
      <c r="K1599" t="str" s="135" cm="1">
        <f t="array" ref="K1599">IF(OR(H1599="ריביות",AND(H1599="דירה כצנלסון",G1599&lt;0,ISNUMBER(SEARCH("הכנסה",F1599)))),"הכנסה שסווגה מחדש",J1599)</f>
        <v>שוטף</v>
      </c>
      <c r="L1599" t="s" s="134">
        <v>741</v>
      </c>
      <c r="M1599" s="136" cm="1">
        <f t="array" ref="M1599">IF(L1599="מאושר",IF(K1599="הכנסה שסווגה מחדש",0,G1599),0)</f>
        <v>357</v>
      </c>
      <c r="N1599" s="136" cm="1">
        <f t="array" ref="N1599">IF(K1599="שוטף",M1599,0)</f>
        <v>357</v>
      </c>
      <c r="O1599" s="136" cm="1">
        <f t="array" ref="O1599">IF(K1599="הכנסה שסווגה מחדש",-G1599,0)</f>
        <v>0</v>
      </c>
      <c r="P1599" t="s" s="80">
        <v>847</v>
      </c>
      <c r="Q1599" s="100"/>
      <c r="R1599" t="s" s="137">
        <v>743</v>
      </c>
      <c r="S1599" s="77"/>
    </row>
    <row r="1600" ht="13.65" customHeight="1">
      <c r="A1600" s="84">
        <v>46143</v>
      </c>
      <c r="B1600" t="s" s="85">
        <v>60</v>
      </c>
      <c r="C1600" t="s" s="86">
        <v>990</v>
      </c>
      <c r="D1600" s="138">
        <v>38</v>
      </c>
      <c r="E1600" t="s" s="85">
        <v>1007</v>
      </c>
      <c r="F1600" t="s" s="86">
        <v>492</v>
      </c>
      <c r="G1600" s="139">
        <v>134</v>
      </c>
      <c r="H1600" t="s" s="140">
        <v>113</v>
      </c>
      <c r="I1600" t="s" s="141">
        <v>113</v>
      </c>
      <c r="J1600" t="s" s="141">
        <v>97</v>
      </c>
      <c r="K1600" t="str" s="142" cm="1">
        <f t="array" ref="K1600">IF(OR(H1600="ריביות",AND(H1600="דירה כצנלסון",G1600&lt;0,ISNUMBER(SEARCH("הכנסה",F1600)))),"הכנסה שסווגה מחדש",J1600)</f>
        <v>שוטף</v>
      </c>
      <c r="L1600" t="s" s="141">
        <v>741</v>
      </c>
      <c r="M1600" s="143" cm="1">
        <f t="array" ref="M1600">IF(L1600="מאושר",IF(K1600="הכנסה שסווגה מחדש",0,G1600),0)</f>
        <v>134</v>
      </c>
      <c r="N1600" s="143" cm="1">
        <f t="array" ref="N1600">IF(K1600="שוטף",M1600,0)</f>
        <v>134</v>
      </c>
      <c r="O1600" s="143" cm="1">
        <f t="array" ref="O1600">IF(K1600="הכנסה שסווגה מחדש",-G1600,0)</f>
        <v>0</v>
      </c>
      <c r="P1600" t="s" s="86">
        <v>847</v>
      </c>
      <c r="Q1600" s="99"/>
      <c r="R1600" t="s" s="144">
        <v>743</v>
      </c>
      <c r="S1600" s="77"/>
    </row>
    <row r="1601" ht="13.65" customHeight="1">
      <c r="A1601" s="78">
        <v>46143</v>
      </c>
      <c r="B1601" t="s" s="79">
        <v>60</v>
      </c>
      <c r="C1601" t="s" s="80">
        <v>990</v>
      </c>
      <c r="D1601" s="131">
        <v>39</v>
      </c>
      <c r="E1601" t="s" s="79">
        <v>992</v>
      </c>
      <c r="F1601" t="s" s="80">
        <v>530</v>
      </c>
      <c r="G1601" s="132">
        <v>100</v>
      </c>
      <c r="H1601" t="s" s="133">
        <v>113</v>
      </c>
      <c r="I1601" t="s" s="134">
        <v>113</v>
      </c>
      <c r="J1601" t="s" s="134">
        <v>97</v>
      </c>
      <c r="K1601" t="str" s="135" cm="1">
        <f t="array" ref="K1601">IF(OR(H1601="ריביות",AND(H1601="דירה כצנלסון",G1601&lt;0,ISNUMBER(SEARCH("הכנסה",F1601)))),"הכנסה שסווגה מחדש",J1601)</f>
        <v>שוטף</v>
      </c>
      <c r="L1601" t="s" s="134">
        <v>741</v>
      </c>
      <c r="M1601" s="136" cm="1">
        <f t="array" ref="M1601">IF(L1601="מאושר",IF(K1601="הכנסה שסווגה מחדש",0,G1601),0)</f>
        <v>100</v>
      </c>
      <c r="N1601" s="136" cm="1">
        <f t="array" ref="N1601">IF(K1601="שוטף",M1601,0)</f>
        <v>100</v>
      </c>
      <c r="O1601" s="136" cm="1">
        <f t="array" ref="O1601">IF(K1601="הכנסה שסווגה מחדש",-G1601,0)</f>
        <v>0</v>
      </c>
      <c r="P1601" t="s" s="80">
        <v>847</v>
      </c>
      <c r="Q1601" s="100"/>
      <c r="R1601" t="s" s="137">
        <v>743</v>
      </c>
      <c r="S1601" s="77"/>
    </row>
    <row r="1602" ht="13.65" customHeight="1">
      <c r="A1602" s="84">
        <v>46143</v>
      </c>
      <c r="B1602" t="s" s="85">
        <v>60</v>
      </c>
      <c r="C1602" t="s" s="86">
        <v>990</v>
      </c>
      <c r="D1602" s="138">
        <v>40</v>
      </c>
      <c r="E1602" t="s" s="85">
        <v>1008</v>
      </c>
      <c r="F1602" t="s" s="86">
        <v>329</v>
      </c>
      <c r="G1602" s="139">
        <v>60</v>
      </c>
      <c r="H1602" t="s" s="140">
        <v>127</v>
      </c>
      <c r="I1602" t="s" s="141">
        <v>127</v>
      </c>
      <c r="J1602" t="s" s="141">
        <v>97</v>
      </c>
      <c r="K1602" t="str" s="142" cm="1">
        <f t="array" ref="K1602">IF(OR(H1602="ריביות",AND(H1602="דירה כצנלסון",G1602&lt;0,ISNUMBER(SEARCH("הכנסה",F1602)))),"הכנסה שסווגה מחדש",J1602)</f>
        <v>שוטף</v>
      </c>
      <c r="L1602" t="s" s="141">
        <v>741</v>
      </c>
      <c r="M1602" s="143" cm="1">
        <f t="array" ref="M1602">IF(L1602="מאושר",IF(K1602="הכנסה שסווגה מחדש",0,G1602),0)</f>
        <v>60</v>
      </c>
      <c r="N1602" s="143" cm="1">
        <f t="array" ref="N1602">IF(K1602="שוטף",M1602,0)</f>
        <v>60</v>
      </c>
      <c r="O1602" s="143" cm="1">
        <f t="array" ref="O1602">IF(K1602="הכנסה שסווגה מחדש",-G1602,0)</f>
        <v>0</v>
      </c>
      <c r="P1602" t="s" s="86">
        <v>847</v>
      </c>
      <c r="Q1602" s="99"/>
      <c r="R1602" t="s" s="144">
        <v>743</v>
      </c>
      <c r="S1602" s="77"/>
    </row>
    <row r="1603" ht="13.65" customHeight="1">
      <c r="A1603" s="78">
        <v>46143</v>
      </c>
      <c r="B1603" t="s" s="79">
        <v>60</v>
      </c>
      <c r="C1603" t="s" s="80">
        <v>990</v>
      </c>
      <c r="D1603" s="131">
        <v>41</v>
      </c>
      <c r="E1603" t="s" s="79">
        <v>1009</v>
      </c>
      <c r="F1603" t="s" s="80">
        <v>289</v>
      </c>
      <c r="G1603" s="132">
        <v>168</v>
      </c>
      <c r="H1603" t="s" s="133">
        <v>767</v>
      </c>
      <c r="I1603" t="s" s="134">
        <v>107</v>
      </c>
      <c r="J1603" t="s" s="134">
        <v>97</v>
      </c>
      <c r="K1603" t="str" s="135" cm="1">
        <f t="array" ref="K1603">IF(OR(H1603="ריביות",AND(H1603="דירה כצנלסון",G1603&lt;0,ISNUMBER(SEARCH("הכנסה",F1603)))),"הכנסה שסווגה מחדש",J1603)</f>
        <v>שוטף</v>
      </c>
      <c r="L1603" t="s" s="134">
        <v>741</v>
      </c>
      <c r="M1603" s="136" cm="1">
        <f t="array" ref="M1603">IF(L1603="מאושר",IF(K1603="הכנסה שסווגה מחדש",0,G1603),0)</f>
        <v>168</v>
      </c>
      <c r="N1603" s="136" cm="1">
        <f t="array" ref="N1603">IF(K1603="שוטף",M1603,0)</f>
        <v>168</v>
      </c>
      <c r="O1603" s="136" cm="1">
        <f t="array" ref="O1603">IF(K1603="הכנסה שסווגה מחדש",-G1603,0)</f>
        <v>0</v>
      </c>
      <c r="P1603" t="s" s="80">
        <v>847</v>
      </c>
      <c r="Q1603" s="100"/>
      <c r="R1603" t="s" s="137">
        <v>743</v>
      </c>
      <c r="S1603" s="77"/>
    </row>
    <row r="1604" ht="13.65" customHeight="1">
      <c r="A1604" s="84">
        <v>46143</v>
      </c>
      <c r="B1604" t="s" s="85">
        <v>60</v>
      </c>
      <c r="C1604" t="s" s="86">
        <v>990</v>
      </c>
      <c r="D1604" s="138">
        <v>42</v>
      </c>
      <c r="E1604" t="s" s="85">
        <v>1010</v>
      </c>
      <c r="F1604" t="s" s="86">
        <v>200</v>
      </c>
      <c r="G1604" s="139">
        <v>16</v>
      </c>
      <c r="H1604" t="s" s="140">
        <v>109</v>
      </c>
      <c r="I1604" t="s" s="141">
        <v>109</v>
      </c>
      <c r="J1604" t="s" s="141">
        <v>97</v>
      </c>
      <c r="K1604" t="str" s="142" cm="1">
        <f t="array" ref="K1604">IF(OR(H1604="ריביות",AND(H1604="דירה כצנלסון",G1604&lt;0,ISNUMBER(SEARCH("הכנסה",F1604)))),"הכנסה שסווגה מחדש",J1604)</f>
        <v>שוטף</v>
      </c>
      <c r="L1604" t="s" s="141">
        <v>741</v>
      </c>
      <c r="M1604" s="143" cm="1">
        <f t="array" ref="M1604">IF(L1604="מאושר",IF(K1604="הכנסה שסווגה מחדש",0,G1604),0)</f>
        <v>16</v>
      </c>
      <c r="N1604" s="143" cm="1">
        <f t="array" ref="N1604">IF(K1604="שוטף",M1604,0)</f>
        <v>16</v>
      </c>
      <c r="O1604" s="143" cm="1">
        <f t="array" ref="O1604">IF(K1604="הכנסה שסווגה מחדש",-G1604,0)</f>
        <v>0</v>
      </c>
      <c r="P1604" t="s" s="86">
        <v>847</v>
      </c>
      <c r="Q1604" s="99"/>
      <c r="R1604" t="s" s="144">
        <v>743</v>
      </c>
      <c r="S1604" s="77"/>
    </row>
    <row r="1605" ht="13.65" customHeight="1">
      <c r="A1605" s="78">
        <v>46143</v>
      </c>
      <c r="B1605" t="s" s="79">
        <v>60</v>
      </c>
      <c r="C1605" t="s" s="80">
        <v>990</v>
      </c>
      <c r="D1605" s="131">
        <v>43</v>
      </c>
      <c r="E1605" t="s" s="79">
        <v>1011</v>
      </c>
      <c r="F1605" t="s" s="80">
        <v>200</v>
      </c>
      <c r="G1605" s="132">
        <v>21</v>
      </c>
      <c r="H1605" t="s" s="133">
        <v>109</v>
      </c>
      <c r="I1605" t="s" s="134">
        <v>109</v>
      </c>
      <c r="J1605" t="s" s="134">
        <v>97</v>
      </c>
      <c r="K1605" t="str" s="135" cm="1">
        <f t="array" ref="K1605">IF(OR(H1605="ריביות",AND(H1605="דירה כצנלסון",G1605&lt;0,ISNUMBER(SEARCH("הכנסה",F1605)))),"הכנסה שסווגה מחדש",J1605)</f>
        <v>שוטף</v>
      </c>
      <c r="L1605" t="s" s="134">
        <v>741</v>
      </c>
      <c r="M1605" s="136" cm="1">
        <f t="array" ref="M1605">IF(L1605="מאושר",IF(K1605="הכנסה שסווגה מחדש",0,G1605),0)</f>
        <v>21</v>
      </c>
      <c r="N1605" s="136" cm="1">
        <f t="array" ref="N1605">IF(K1605="שוטף",M1605,0)</f>
        <v>21</v>
      </c>
      <c r="O1605" s="136" cm="1">
        <f t="array" ref="O1605">IF(K1605="הכנסה שסווגה מחדש",-G1605,0)</f>
        <v>0</v>
      </c>
      <c r="P1605" t="s" s="80">
        <v>847</v>
      </c>
      <c r="Q1605" s="100"/>
      <c r="R1605" t="s" s="137">
        <v>743</v>
      </c>
      <c r="S1605" s="77"/>
    </row>
    <row r="1606" ht="13.65" customHeight="1">
      <c r="A1606" s="84">
        <v>46143</v>
      </c>
      <c r="B1606" t="s" s="85">
        <v>60</v>
      </c>
      <c r="C1606" t="s" s="86">
        <v>990</v>
      </c>
      <c r="D1606" s="138">
        <v>44</v>
      </c>
      <c r="E1606" t="s" s="85">
        <v>1011</v>
      </c>
      <c r="F1606" t="s" s="86">
        <v>200</v>
      </c>
      <c r="G1606" s="139">
        <v>149</v>
      </c>
      <c r="H1606" t="s" s="140">
        <v>109</v>
      </c>
      <c r="I1606" t="s" s="141">
        <v>109</v>
      </c>
      <c r="J1606" t="s" s="141">
        <v>97</v>
      </c>
      <c r="K1606" t="str" s="142" cm="1">
        <f t="array" ref="K1606">IF(OR(H1606="ריביות",AND(H1606="דירה כצנלסון",G1606&lt;0,ISNUMBER(SEARCH("הכנסה",F1606)))),"הכנסה שסווגה מחדש",J1606)</f>
        <v>שוטף</v>
      </c>
      <c r="L1606" t="s" s="141">
        <v>741</v>
      </c>
      <c r="M1606" s="143" cm="1">
        <f t="array" ref="M1606">IF(L1606="מאושר",IF(K1606="הכנסה שסווגה מחדש",0,G1606),0)</f>
        <v>149</v>
      </c>
      <c r="N1606" s="143" cm="1">
        <f t="array" ref="N1606">IF(K1606="שוטף",M1606,0)</f>
        <v>149</v>
      </c>
      <c r="O1606" s="143" cm="1">
        <f t="array" ref="O1606">IF(K1606="הכנסה שסווגה מחדש",-G1606,0)</f>
        <v>0</v>
      </c>
      <c r="P1606" t="s" s="86">
        <v>847</v>
      </c>
      <c r="Q1606" s="99"/>
      <c r="R1606" t="s" s="144">
        <v>743</v>
      </c>
      <c r="S1606" s="77"/>
    </row>
    <row r="1607" ht="13.65" customHeight="1">
      <c r="A1607" s="78">
        <v>46143</v>
      </c>
      <c r="B1607" t="s" s="79">
        <v>60</v>
      </c>
      <c r="C1607" t="s" s="80">
        <v>990</v>
      </c>
      <c r="D1607" s="131">
        <v>45</v>
      </c>
      <c r="E1607" t="s" s="79">
        <v>995</v>
      </c>
      <c r="F1607" t="s" s="80">
        <v>200</v>
      </c>
      <c r="G1607" s="132">
        <v>22</v>
      </c>
      <c r="H1607" t="s" s="133">
        <v>109</v>
      </c>
      <c r="I1607" t="s" s="134">
        <v>109</v>
      </c>
      <c r="J1607" t="s" s="134">
        <v>97</v>
      </c>
      <c r="K1607" t="str" s="135" cm="1">
        <f t="array" ref="K1607">IF(OR(H1607="ריביות",AND(H1607="דירה כצנלסון",G1607&lt;0,ISNUMBER(SEARCH("הכנסה",F1607)))),"הכנסה שסווגה מחדש",J1607)</f>
        <v>שוטף</v>
      </c>
      <c r="L1607" t="s" s="134">
        <v>741</v>
      </c>
      <c r="M1607" s="136" cm="1">
        <f t="array" ref="M1607">IF(L1607="מאושר",IF(K1607="הכנסה שסווגה מחדש",0,G1607),0)</f>
        <v>22</v>
      </c>
      <c r="N1607" s="136" cm="1">
        <f t="array" ref="N1607">IF(K1607="שוטף",M1607,0)</f>
        <v>22</v>
      </c>
      <c r="O1607" s="136" cm="1">
        <f t="array" ref="O1607">IF(K1607="הכנסה שסווגה מחדש",-G1607,0)</f>
        <v>0</v>
      </c>
      <c r="P1607" t="s" s="80">
        <v>847</v>
      </c>
      <c r="Q1607" s="100"/>
      <c r="R1607" t="s" s="137">
        <v>743</v>
      </c>
      <c r="S1607" s="77"/>
    </row>
    <row r="1608" ht="13.65" customHeight="1">
      <c r="A1608" s="84">
        <v>46143</v>
      </c>
      <c r="B1608" t="s" s="85">
        <v>60</v>
      </c>
      <c r="C1608" t="s" s="86">
        <v>990</v>
      </c>
      <c r="D1608" s="138">
        <v>46</v>
      </c>
      <c r="E1608" t="s" s="85">
        <v>1012</v>
      </c>
      <c r="F1608" t="s" s="86">
        <v>235</v>
      </c>
      <c r="G1608" s="139">
        <v>346</v>
      </c>
      <c r="H1608" t="s" s="140">
        <v>109</v>
      </c>
      <c r="I1608" t="s" s="141">
        <v>109</v>
      </c>
      <c r="J1608" t="s" s="141">
        <v>97</v>
      </c>
      <c r="K1608" t="str" s="142" cm="1">
        <f t="array" ref="K1608">IF(OR(H1608="ריביות",AND(H1608="דירה כצנלסון",G1608&lt;0,ISNUMBER(SEARCH("הכנסה",F1608)))),"הכנסה שסווגה מחדש",J1608)</f>
        <v>שוטף</v>
      </c>
      <c r="L1608" t="s" s="141">
        <v>741</v>
      </c>
      <c r="M1608" s="143" cm="1">
        <f t="array" ref="M1608">IF(L1608="מאושר",IF(K1608="הכנסה שסווגה מחדש",0,G1608),0)</f>
        <v>346</v>
      </c>
      <c r="N1608" s="143" cm="1">
        <f t="array" ref="N1608">IF(K1608="שוטף",M1608,0)</f>
        <v>346</v>
      </c>
      <c r="O1608" s="143" cm="1">
        <f t="array" ref="O1608">IF(K1608="הכנסה שסווגה מחדש",-G1608,0)</f>
        <v>0</v>
      </c>
      <c r="P1608" t="s" s="86">
        <v>842</v>
      </c>
      <c r="Q1608" s="99"/>
      <c r="R1608" t="s" s="144">
        <v>743</v>
      </c>
      <c r="S1608" s="77"/>
    </row>
    <row r="1609" ht="13.65" customHeight="1">
      <c r="A1609" s="78">
        <v>46143</v>
      </c>
      <c r="B1609" t="s" s="79">
        <v>60</v>
      </c>
      <c r="C1609" t="s" s="80">
        <v>990</v>
      </c>
      <c r="D1609" s="131">
        <v>47</v>
      </c>
      <c r="E1609" t="s" s="79">
        <v>1013</v>
      </c>
      <c r="F1609" t="s" s="80">
        <v>223</v>
      </c>
      <c r="G1609" s="132">
        <v>169</v>
      </c>
      <c r="H1609" t="s" s="133">
        <v>960</v>
      </c>
      <c r="I1609" t="s" s="134">
        <v>131</v>
      </c>
      <c r="J1609" t="s" s="134">
        <v>97</v>
      </c>
      <c r="K1609" t="str" s="135" cm="1">
        <f t="array" ref="K1609">IF(OR(H1609="ריביות",AND(H1609="דירה כצנלסון",G1609&lt;0,ISNUMBER(SEARCH("הכנסה",F1609)))),"הכנסה שסווגה מחדש",J1609)</f>
        <v>שוטף</v>
      </c>
      <c r="L1609" t="s" s="134">
        <v>741</v>
      </c>
      <c r="M1609" s="136" cm="1">
        <f t="array" ref="M1609">IF(L1609="מאושר",IF(K1609="הכנסה שסווגה מחדש",0,G1609),0)</f>
        <v>169</v>
      </c>
      <c r="N1609" s="136" cm="1">
        <f t="array" ref="N1609">IF(K1609="שוטף",M1609,0)</f>
        <v>169</v>
      </c>
      <c r="O1609" s="136" cm="1">
        <f t="array" ref="O1609">IF(K1609="הכנסה שסווגה מחדש",-G1609,0)</f>
        <v>0</v>
      </c>
      <c r="P1609" t="s" s="80">
        <v>842</v>
      </c>
      <c r="Q1609" s="100"/>
      <c r="R1609" t="s" s="137">
        <v>743</v>
      </c>
      <c r="S1609" s="77"/>
    </row>
    <row r="1610" ht="13.65" customHeight="1">
      <c r="A1610" s="84">
        <v>46143</v>
      </c>
      <c r="B1610" t="s" s="85">
        <v>60</v>
      </c>
      <c r="C1610" t="s" s="86">
        <v>990</v>
      </c>
      <c r="D1610" s="138">
        <v>48</v>
      </c>
      <c r="E1610" t="s" s="85">
        <v>988</v>
      </c>
      <c r="F1610" t="s" s="86">
        <v>391</v>
      </c>
      <c r="G1610" s="139">
        <v>19</v>
      </c>
      <c r="H1610" t="s" s="140">
        <v>115</v>
      </c>
      <c r="I1610" t="s" s="141">
        <v>115</v>
      </c>
      <c r="J1610" t="s" s="141">
        <v>97</v>
      </c>
      <c r="K1610" t="str" s="142" cm="1">
        <f t="array" ref="K1610">IF(OR(H1610="ריביות",AND(H1610="דירה כצנלסון",G1610&lt;0,ISNUMBER(SEARCH("הכנסה",F1610)))),"הכנסה שסווגה מחדש",J1610)</f>
        <v>שוטף</v>
      </c>
      <c r="L1610" t="s" s="141">
        <v>741</v>
      </c>
      <c r="M1610" s="143" cm="1">
        <f t="array" ref="M1610">IF(L1610="מאושר",IF(K1610="הכנסה שסווגה מחדש",0,G1610),0)</f>
        <v>19</v>
      </c>
      <c r="N1610" s="143" cm="1">
        <f t="array" ref="N1610">IF(K1610="שוטף",M1610,0)</f>
        <v>19</v>
      </c>
      <c r="O1610" s="143" cm="1">
        <f t="array" ref="O1610">IF(K1610="הכנסה שסווגה מחדש",-G1610,0)</f>
        <v>0</v>
      </c>
      <c r="P1610" t="s" s="86">
        <v>842</v>
      </c>
      <c r="Q1610" s="99"/>
      <c r="R1610" t="s" s="144">
        <v>743</v>
      </c>
      <c r="S1610" s="77"/>
    </row>
    <row r="1611" ht="13.65" customHeight="1">
      <c r="A1611" s="78">
        <v>46143</v>
      </c>
      <c r="B1611" t="s" s="79">
        <v>60</v>
      </c>
      <c r="C1611" t="s" s="80">
        <v>990</v>
      </c>
      <c r="D1611" s="131">
        <v>49</v>
      </c>
      <c r="E1611" t="s" s="79">
        <v>1014</v>
      </c>
      <c r="F1611" t="s" s="79">
        <v>440</v>
      </c>
      <c r="G1611" s="132">
        <v>210</v>
      </c>
      <c r="H1611" t="s" s="133">
        <v>113</v>
      </c>
      <c r="I1611" t="s" s="134">
        <v>113</v>
      </c>
      <c r="J1611" t="s" s="134">
        <v>97</v>
      </c>
      <c r="K1611" t="str" s="135" cm="1">
        <f t="array" ref="K1611">IF(OR(H1611="ריביות",AND(H1611="דירה כצנלסון",G1611&lt;0,ISNUMBER(SEARCH("הכנסה",F1611)))),"הכנסה שסווגה מחדש",J1611)</f>
        <v>שוטף</v>
      </c>
      <c r="L1611" t="s" s="134">
        <v>741</v>
      </c>
      <c r="M1611" s="136" cm="1">
        <f t="array" ref="M1611">IF(L1611="מאושר",IF(K1611="הכנסה שסווגה מחדש",0,G1611),0)</f>
        <v>210</v>
      </c>
      <c r="N1611" s="136" cm="1">
        <f t="array" ref="N1611">IF(K1611="שוטף",M1611,0)</f>
        <v>210</v>
      </c>
      <c r="O1611" s="136" cm="1">
        <f t="array" ref="O1611">IF(K1611="הכנסה שסווגה מחדש",-G1611,0)</f>
        <v>0</v>
      </c>
      <c r="P1611" t="s" s="80">
        <v>842</v>
      </c>
      <c r="Q1611" s="100"/>
      <c r="R1611" t="s" s="137">
        <v>743</v>
      </c>
      <c r="S1611" s="77"/>
    </row>
    <row r="1612" ht="13.65" customHeight="1">
      <c r="A1612" s="84">
        <v>46143</v>
      </c>
      <c r="B1612" t="s" s="85">
        <v>60</v>
      </c>
      <c r="C1612" t="s" s="86">
        <v>990</v>
      </c>
      <c r="D1612" s="138">
        <v>50</v>
      </c>
      <c r="E1612" t="s" s="85">
        <v>1002</v>
      </c>
      <c r="F1612" t="s" s="85">
        <v>252</v>
      </c>
      <c r="G1612" s="139">
        <v>1670</v>
      </c>
      <c r="H1612" t="s" s="140">
        <v>117</v>
      </c>
      <c r="I1612" t="s" s="141">
        <v>117</v>
      </c>
      <c r="J1612" t="s" s="141">
        <v>97</v>
      </c>
      <c r="K1612" t="str" s="142" cm="1">
        <f t="array" ref="K1612">IF(OR(H1612="ריביות",AND(H1612="דירה כצנלסון",G1612&lt;0,ISNUMBER(SEARCH("הכנסה",F1612)))),"הכנסה שסווגה מחדש",J1612)</f>
        <v>שוטף</v>
      </c>
      <c r="L1612" t="s" s="141">
        <v>741</v>
      </c>
      <c r="M1612" s="143" cm="1">
        <f t="array" ref="M1612">IF(L1612="מאושר",IF(K1612="הכנסה שסווגה מחדש",0,G1612),0)</f>
        <v>1670</v>
      </c>
      <c r="N1612" s="143" cm="1">
        <f t="array" ref="N1612">IF(K1612="שוטף",M1612,0)</f>
        <v>1670</v>
      </c>
      <c r="O1612" s="143" cm="1">
        <f t="array" ref="O1612">IF(K1612="הכנסה שסווגה מחדש",-G1612,0)</f>
        <v>0</v>
      </c>
      <c r="P1612" t="s" s="86">
        <v>842</v>
      </c>
      <c r="Q1612" s="99"/>
      <c r="R1612" t="s" s="144">
        <v>743</v>
      </c>
      <c r="S1612" s="77"/>
    </row>
    <row r="1613" ht="13.65" customHeight="1">
      <c r="A1613" s="78">
        <v>46143</v>
      </c>
      <c r="B1613" t="s" s="79">
        <v>60</v>
      </c>
      <c r="C1613" t="s" s="80">
        <v>990</v>
      </c>
      <c r="D1613" s="131">
        <v>51</v>
      </c>
      <c r="E1613" t="s" s="79">
        <v>1015</v>
      </c>
      <c r="F1613" t="s" s="79">
        <v>618</v>
      </c>
      <c r="G1613" s="132">
        <v>20</v>
      </c>
      <c r="H1613" t="s" s="133">
        <v>125</v>
      </c>
      <c r="I1613" t="s" s="134">
        <v>125</v>
      </c>
      <c r="J1613" t="s" s="134">
        <v>97</v>
      </c>
      <c r="K1613" t="str" s="135" cm="1">
        <f t="array" ref="K1613">IF(OR(H1613="ריביות",AND(H1613="דירה כצנלסון",G1613&lt;0,ISNUMBER(SEARCH("הכנסה",F1613)))),"הכנסה שסווגה מחדש",J1613)</f>
        <v>שוטף</v>
      </c>
      <c r="L1613" t="s" s="134">
        <v>741</v>
      </c>
      <c r="M1613" s="136" cm="1">
        <f t="array" ref="M1613">IF(L1613="מאושר",IF(K1613="הכנסה שסווגה מחדש",0,G1613),0)</f>
        <v>20</v>
      </c>
      <c r="N1613" s="136" cm="1">
        <f t="array" ref="N1613">IF(K1613="שוטף",M1613,0)</f>
        <v>20</v>
      </c>
      <c r="O1613" s="136" cm="1">
        <f t="array" ref="O1613">IF(K1613="הכנסה שסווגה מחדש",-G1613,0)</f>
        <v>0</v>
      </c>
      <c r="P1613" t="s" s="80">
        <v>842</v>
      </c>
      <c r="Q1613" s="100"/>
      <c r="R1613" t="s" s="137">
        <v>743</v>
      </c>
      <c r="S1613" s="77"/>
    </row>
    <row r="1614" ht="13.65" customHeight="1">
      <c r="A1614" s="84">
        <v>46143</v>
      </c>
      <c r="B1614" t="s" s="85">
        <v>60</v>
      </c>
      <c r="C1614" t="s" s="86">
        <v>990</v>
      </c>
      <c r="D1614" s="138">
        <v>52</v>
      </c>
      <c r="E1614" t="s" s="85">
        <v>1016</v>
      </c>
      <c r="F1614" t="s" s="86">
        <v>305</v>
      </c>
      <c r="G1614" s="139">
        <v>320</v>
      </c>
      <c r="H1614" t="s" s="140">
        <v>125</v>
      </c>
      <c r="I1614" t="s" s="141">
        <v>125</v>
      </c>
      <c r="J1614" t="s" s="141">
        <v>97</v>
      </c>
      <c r="K1614" t="str" s="142" cm="1">
        <f t="array" ref="K1614">IF(OR(H1614="ריביות",AND(H1614="דירה כצנלסון",G1614&lt;0,ISNUMBER(SEARCH("הכנסה",F1614)))),"הכנסה שסווגה מחדש",J1614)</f>
        <v>שוטף</v>
      </c>
      <c r="L1614" t="s" s="141">
        <v>741</v>
      </c>
      <c r="M1614" s="143" cm="1">
        <f t="array" ref="M1614">IF(L1614="מאושר",IF(K1614="הכנסה שסווגה מחדש",0,G1614),0)</f>
        <v>320</v>
      </c>
      <c r="N1614" s="143" cm="1">
        <f t="array" ref="N1614">IF(K1614="שוטף",M1614,0)</f>
        <v>320</v>
      </c>
      <c r="O1614" s="143" cm="1">
        <f t="array" ref="O1614">IF(K1614="הכנסה שסווגה מחדש",-G1614,0)</f>
        <v>0</v>
      </c>
      <c r="P1614" t="s" s="86">
        <v>842</v>
      </c>
      <c r="Q1614" s="99"/>
      <c r="R1614" t="s" s="144">
        <v>743</v>
      </c>
      <c r="S1614" s="77"/>
    </row>
    <row r="1615" ht="13.65" customHeight="1">
      <c r="A1615" s="78">
        <v>46143</v>
      </c>
      <c r="B1615" t="s" s="79">
        <v>60</v>
      </c>
      <c r="C1615" t="s" s="80">
        <v>990</v>
      </c>
      <c r="D1615" s="131">
        <v>53</v>
      </c>
      <c r="E1615" t="s" s="79">
        <v>1017</v>
      </c>
      <c r="F1615" t="s" s="80">
        <v>254</v>
      </c>
      <c r="G1615" s="132">
        <v>26</v>
      </c>
      <c r="H1615" t="s" s="133">
        <v>109</v>
      </c>
      <c r="I1615" t="s" s="134">
        <v>109</v>
      </c>
      <c r="J1615" t="s" s="134">
        <v>97</v>
      </c>
      <c r="K1615" t="str" s="135" cm="1">
        <f t="array" ref="K1615">IF(OR(H1615="ריביות",AND(H1615="דירה כצנלסון",G1615&lt;0,ISNUMBER(SEARCH("הכנסה",F1615)))),"הכנסה שסווגה מחדש",J1615)</f>
        <v>שוטף</v>
      </c>
      <c r="L1615" t="s" s="134">
        <v>741</v>
      </c>
      <c r="M1615" s="136" cm="1">
        <f t="array" ref="M1615">IF(L1615="מאושר",IF(K1615="הכנסה שסווגה מחדש",0,G1615),0)</f>
        <v>26</v>
      </c>
      <c r="N1615" s="136" cm="1">
        <f t="array" ref="N1615">IF(K1615="שוטף",M1615,0)</f>
        <v>26</v>
      </c>
      <c r="O1615" s="136" cm="1">
        <f t="array" ref="O1615">IF(K1615="הכנסה שסווגה מחדש",-G1615,0)</f>
        <v>0</v>
      </c>
      <c r="P1615" t="s" s="80">
        <v>842</v>
      </c>
      <c r="Q1615" s="100"/>
      <c r="R1615" t="s" s="137">
        <v>743</v>
      </c>
      <c r="S1615" s="77"/>
    </row>
    <row r="1616" ht="13.65" customHeight="1">
      <c r="A1616" s="84">
        <v>46143</v>
      </c>
      <c r="B1616" t="s" s="85">
        <v>60</v>
      </c>
      <c r="C1616" t="s" s="86">
        <v>990</v>
      </c>
      <c r="D1616" s="138">
        <v>54</v>
      </c>
      <c r="E1616" t="s" s="85">
        <v>1018</v>
      </c>
      <c r="F1616" t="s" s="86">
        <v>650</v>
      </c>
      <c r="G1616" s="139">
        <v>29</v>
      </c>
      <c r="H1616" t="s" s="140">
        <v>113</v>
      </c>
      <c r="I1616" t="s" s="141">
        <v>113</v>
      </c>
      <c r="J1616" t="s" s="141">
        <v>97</v>
      </c>
      <c r="K1616" t="str" s="142" cm="1">
        <f t="array" ref="K1616">IF(OR(H1616="ריביות",AND(H1616="דירה כצנלסון",G1616&lt;0,ISNUMBER(SEARCH("הכנסה",F1616)))),"הכנסה שסווגה מחדש",J1616)</f>
        <v>שוטף</v>
      </c>
      <c r="L1616" t="s" s="141">
        <v>741</v>
      </c>
      <c r="M1616" s="143" cm="1">
        <f t="array" ref="M1616">IF(L1616="מאושר",IF(K1616="הכנסה שסווגה מחדש",0,G1616),0)</f>
        <v>29</v>
      </c>
      <c r="N1616" s="143" cm="1">
        <f t="array" ref="N1616">IF(K1616="שוטף",M1616,0)</f>
        <v>29</v>
      </c>
      <c r="O1616" s="143" cm="1">
        <f t="array" ref="O1616">IF(K1616="הכנסה שסווגה מחדש",-G1616,0)</f>
        <v>0</v>
      </c>
      <c r="P1616" t="s" s="86">
        <v>842</v>
      </c>
      <c r="Q1616" s="99"/>
      <c r="R1616" t="s" s="144">
        <v>743</v>
      </c>
      <c r="S1616" s="77"/>
    </row>
    <row r="1617" ht="13.65" customHeight="1">
      <c r="A1617" s="78">
        <v>46143</v>
      </c>
      <c r="B1617" t="s" s="79">
        <v>60</v>
      </c>
      <c r="C1617" t="s" s="80">
        <v>990</v>
      </c>
      <c r="D1617" s="131">
        <v>55</v>
      </c>
      <c r="E1617" t="s" s="79">
        <v>1004</v>
      </c>
      <c r="F1617" t="s" s="80">
        <v>466</v>
      </c>
      <c r="G1617" s="132">
        <v>165</v>
      </c>
      <c r="H1617" t="s" s="133">
        <v>117</v>
      </c>
      <c r="I1617" t="s" s="134">
        <v>117</v>
      </c>
      <c r="J1617" t="s" s="134">
        <v>97</v>
      </c>
      <c r="K1617" t="str" s="135" cm="1">
        <f t="array" ref="K1617">IF(OR(H1617="ריביות",AND(H1617="דירה כצנלסון",G1617&lt;0,ISNUMBER(SEARCH("הכנסה",F1617)))),"הכנסה שסווגה מחדש",J1617)</f>
        <v>שוטף</v>
      </c>
      <c r="L1617" t="s" s="134">
        <v>741</v>
      </c>
      <c r="M1617" s="136" cm="1">
        <f t="array" ref="M1617">IF(L1617="מאושר",IF(K1617="הכנסה שסווגה מחדש",0,G1617),0)</f>
        <v>165</v>
      </c>
      <c r="N1617" s="136" cm="1">
        <f t="array" ref="N1617">IF(K1617="שוטף",M1617,0)</f>
        <v>165</v>
      </c>
      <c r="O1617" s="136" cm="1">
        <f t="array" ref="O1617">IF(K1617="הכנסה שסווגה מחדש",-G1617,0)</f>
        <v>0</v>
      </c>
      <c r="P1617" t="s" s="80">
        <v>842</v>
      </c>
      <c r="Q1617" s="100"/>
      <c r="R1617" t="s" s="137">
        <v>743</v>
      </c>
      <c r="S1617" s="77"/>
    </row>
    <row r="1618" ht="13.65" customHeight="1">
      <c r="A1618" s="84">
        <v>46143</v>
      </c>
      <c r="B1618" t="s" s="85">
        <v>60</v>
      </c>
      <c r="C1618" t="s" s="86">
        <v>990</v>
      </c>
      <c r="D1618" s="138">
        <v>56</v>
      </c>
      <c r="E1618" t="s" s="85">
        <v>1004</v>
      </c>
      <c r="F1618" t="s" s="86">
        <v>516</v>
      </c>
      <c r="G1618" s="139">
        <v>106</v>
      </c>
      <c r="H1618" t="s" s="140">
        <v>117</v>
      </c>
      <c r="I1618" t="s" s="141">
        <v>117</v>
      </c>
      <c r="J1618" t="s" s="141">
        <v>97</v>
      </c>
      <c r="K1618" t="str" s="142" cm="1">
        <f t="array" ref="K1618">IF(OR(H1618="ריביות",AND(H1618="דירה כצנלסון",G1618&lt;0,ISNUMBER(SEARCH("הכנסה",F1618)))),"הכנסה שסווגה מחדש",J1618)</f>
        <v>שוטף</v>
      </c>
      <c r="L1618" t="s" s="141">
        <v>741</v>
      </c>
      <c r="M1618" s="143" cm="1">
        <f t="array" ref="M1618">IF(L1618="מאושר",IF(K1618="הכנסה שסווגה מחדש",0,G1618),0)</f>
        <v>106</v>
      </c>
      <c r="N1618" s="143" cm="1">
        <f t="array" ref="N1618">IF(K1618="שוטף",M1618,0)</f>
        <v>106</v>
      </c>
      <c r="O1618" s="143" cm="1">
        <f t="array" ref="O1618">IF(K1618="הכנסה שסווגה מחדש",-G1618,0)</f>
        <v>0</v>
      </c>
      <c r="P1618" t="s" s="86">
        <v>842</v>
      </c>
      <c r="Q1618" s="99"/>
      <c r="R1618" t="s" s="144">
        <v>743</v>
      </c>
      <c r="S1618" s="77"/>
    </row>
    <row r="1619" ht="13.65" customHeight="1">
      <c r="A1619" s="78">
        <v>46143</v>
      </c>
      <c r="B1619" t="s" s="79">
        <v>60</v>
      </c>
      <c r="C1619" t="s" s="80">
        <v>990</v>
      </c>
      <c r="D1619" s="131">
        <v>57</v>
      </c>
      <c r="E1619" t="s" s="79">
        <v>994</v>
      </c>
      <c r="F1619" t="s" s="80">
        <v>213</v>
      </c>
      <c r="G1619" s="132">
        <v>242</v>
      </c>
      <c r="H1619" t="s" s="133">
        <v>115</v>
      </c>
      <c r="I1619" t="s" s="134">
        <v>115</v>
      </c>
      <c r="J1619" t="s" s="134">
        <v>97</v>
      </c>
      <c r="K1619" t="str" s="135" cm="1">
        <f t="array" ref="K1619">IF(OR(H1619="ריביות",AND(H1619="דירה כצנלסון",G1619&lt;0,ISNUMBER(SEARCH("הכנסה",F1619)))),"הכנסה שסווגה מחדש",J1619)</f>
        <v>שוטף</v>
      </c>
      <c r="L1619" t="s" s="134">
        <v>741</v>
      </c>
      <c r="M1619" s="136" cm="1">
        <f t="array" ref="M1619">IF(L1619="מאושר",IF(K1619="הכנסה שסווגה מחדש",0,G1619),0)</f>
        <v>242</v>
      </c>
      <c r="N1619" s="136" cm="1">
        <f t="array" ref="N1619">IF(K1619="שוטף",M1619,0)</f>
        <v>242</v>
      </c>
      <c r="O1619" s="136" cm="1">
        <f t="array" ref="O1619">IF(K1619="הכנסה שסווגה מחדש",-G1619,0)</f>
        <v>0</v>
      </c>
      <c r="P1619" t="s" s="80">
        <v>842</v>
      </c>
      <c r="Q1619" s="100"/>
      <c r="R1619" t="s" s="137">
        <v>743</v>
      </c>
      <c r="S1619" s="77"/>
    </row>
    <row r="1620" ht="13.65" customHeight="1">
      <c r="A1620" s="84">
        <v>46143</v>
      </c>
      <c r="B1620" t="s" s="85">
        <v>60</v>
      </c>
      <c r="C1620" t="s" s="86">
        <v>990</v>
      </c>
      <c r="D1620" s="138">
        <v>58</v>
      </c>
      <c r="E1620" t="s" s="85">
        <v>994</v>
      </c>
      <c r="F1620" t="s" s="86">
        <v>209</v>
      </c>
      <c r="G1620" s="139">
        <v>299</v>
      </c>
      <c r="H1620" t="s" s="140">
        <v>113</v>
      </c>
      <c r="I1620" t="s" s="141">
        <v>113</v>
      </c>
      <c r="J1620" t="s" s="141">
        <v>97</v>
      </c>
      <c r="K1620" t="str" s="142" cm="1">
        <f t="array" ref="K1620">IF(OR(H1620="ריביות",AND(H1620="דירה כצנלסון",G1620&lt;0,ISNUMBER(SEARCH("הכנסה",F1620)))),"הכנסה שסווגה מחדש",J1620)</f>
        <v>שוטף</v>
      </c>
      <c r="L1620" t="s" s="141">
        <v>741</v>
      </c>
      <c r="M1620" s="143" cm="1">
        <f t="array" ref="M1620">IF(L1620="מאושר",IF(K1620="הכנסה שסווגה מחדש",0,G1620),0)</f>
        <v>299</v>
      </c>
      <c r="N1620" s="143" cm="1">
        <f t="array" ref="N1620">IF(K1620="שוטף",M1620,0)</f>
        <v>299</v>
      </c>
      <c r="O1620" s="143" cm="1">
        <f t="array" ref="O1620">IF(K1620="הכנסה שסווגה מחדש",-G1620,0)</f>
        <v>0</v>
      </c>
      <c r="P1620" t="s" s="86">
        <v>842</v>
      </c>
      <c r="Q1620" s="99"/>
      <c r="R1620" t="s" s="144">
        <v>743</v>
      </c>
      <c r="S1620" s="77"/>
    </row>
    <row r="1621" ht="13.65" customHeight="1">
      <c r="A1621" s="78">
        <v>46143</v>
      </c>
      <c r="B1621" t="s" s="79">
        <v>60</v>
      </c>
      <c r="C1621" t="s" s="80">
        <v>990</v>
      </c>
      <c r="D1621" s="131">
        <v>59</v>
      </c>
      <c r="E1621" t="s" s="79">
        <v>1019</v>
      </c>
      <c r="F1621" t="s" s="80">
        <v>630</v>
      </c>
      <c r="G1621" s="132">
        <v>26</v>
      </c>
      <c r="H1621" t="s" s="133">
        <v>121</v>
      </c>
      <c r="I1621" t="s" s="134">
        <v>121</v>
      </c>
      <c r="J1621" t="s" s="134">
        <v>97</v>
      </c>
      <c r="K1621" t="str" s="135" cm="1">
        <f t="array" ref="K1621">IF(OR(H1621="ריביות",AND(H1621="דירה כצנלסון",G1621&lt;0,ISNUMBER(SEARCH("הכנסה",F1621)))),"הכנסה שסווגה מחדש",J1621)</f>
        <v>שוטף</v>
      </c>
      <c r="L1621" t="s" s="134">
        <v>741</v>
      </c>
      <c r="M1621" s="136" cm="1">
        <f t="array" ref="M1621">IF(L1621="מאושר",IF(K1621="הכנסה שסווגה מחדש",0,G1621),0)</f>
        <v>26</v>
      </c>
      <c r="N1621" s="136" cm="1">
        <f t="array" ref="N1621">IF(K1621="שוטף",M1621,0)</f>
        <v>26</v>
      </c>
      <c r="O1621" s="136" cm="1">
        <f t="array" ref="O1621">IF(K1621="הכנסה שסווגה מחדש",-G1621,0)</f>
        <v>0</v>
      </c>
      <c r="P1621" t="s" s="80">
        <v>842</v>
      </c>
      <c r="Q1621" s="100"/>
      <c r="R1621" t="s" s="137">
        <v>743</v>
      </c>
      <c r="S1621" s="77"/>
    </row>
    <row r="1622" ht="13.65" customHeight="1">
      <c r="A1622" s="84">
        <v>46143</v>
      </c>
      <c r="B1622" t="s" s="85">
        <v>60</v>
      </c>
      <c r="C1622" t="s" s="86">
        <v>990</v>
      </c>
      <c r="D1622" s="138">
        <v>60</v>
      </c>
      <c r="E1622" t="s" s="85">
        <v>1006</v>
      </c>
      <c r="F1622" t="s" s="86">
        <v>200</v>
      </c>
      <c r="G1622" s="139">
        <v>14</v>
      </c>
      <c r="H1622" t="s" s="140">
        <v>109</v>
      </c>
      <c r="I1622" t="s" s="141">
        <v>109</v>
      </c>
      <c r="J1622" t="s" s="141">
        <v>97</v>
      </c>
      <c r="K1622" t="str" s="142" cm="1">
        <f t="array" ref="K1622">IF(OR(H1622="ריביות",AND(H1622="דירה כצנלסון",G1622&lt;0,ISNUMBER(SEARCH("הכנסה",F1622)))),"הכנסה שסווגה מחדש",J1622)</f>
        <v>שוטף</v>
      </c>
      <c r="L1622" t="s" s="141">
        <v>741</v>
      </c>
      <c r="M1622" s="143" cm="1">
        <f t="array" ref="M1622">IF(L1622="מאושר",IF(K1622="הכנסה שסווגה מחדש",0,G1622),0)</f>
        <v>14</v>
      </c>
      <c r="N1622" s="143" cm="1">
        <f t="array" ref="N1622">IF(K1622="שוטף",M1622,0)</f>
        <v>14</v>
      </c>
      <c r="O1622" s="143" cm="1">
        <f t="array" ref="O1622">IF(K1622="הכנסה שסווגה מחדש",-G1622,0)</f>
        <v>0</v>
      </c>
      <c r="P1622" t="s" s="86">
        <v>842</v>
      </c>
      <c r="Q1622" s="99"/>
      <c r="R1622" t="s" s="144">
        <v>743</v>
      </c>
      <c r="S1622" s="77"/>
    </row>
    <row r="1623" ht="13.65" customHeight="1">
      <c r="A1623" s="78">
        <v>46143</v>
      </c>
      <c r="B1623" t="s" s="79">
        <v>60</v>
      </c>
      <c r="C1623" t="s" s="80">
        <v>990</v>
      </c>
      <c r="D1623" s="131">
        <v>61</v>
      </c>
      <c r="E1623" t="s" s="79">
        <v>1020</v>
      </c>
      <c r="F1623" t="s" s="80">
        <v>200</v>
      </c>
      <c r="G1623" s="132">
        <v>145</v>
      </c>
      <c r="H1623" t="s" s="133">
        <v>109</v>
      </c>
      <c r="I1623" t="s" s="134">
        <v>109</v>
      </c>
      <c r="J1623" t="s" s="134">
        <v>97</v>
      </c>
      <c r="K1623" t="str" s="135" cm="1">
        <f t="array" ref="K1623">IF(OR(H1623="ריביות",AND(H1623="דירה כצנלסון",G1623&lt;0,ISNUMBER(SEARCH("הכנסה",F1623)))),"הכנסה שסווגה מחדש",J1623)</f>
        <v>שוטף</v>
      </c>
      <c r="L1623" t="s" s="134">
        <v>741</v>
      </c>
      <c r="M1623" s="136" cm="1">
        <f t="array" ref="M1623">IF(L1623="מאושר",IF(K1623="הכנסה שסווגה מחדש",0,G1623),0)</f>
        <v>145</v>
      </c>
      <c r="N1623" s="136" cm="1">
        <f t="array" ref="N1623">IF(K1623="שוטף",M1623,0)</f>
        <v>145</v>
      </c>
      <c r="O1623" s="136" cm="1">
        <f t="array" ref="O1623">IF(K1623="הכנסה שסווגה מחדש",-G1623,0)</f>
        <v>0</v>
      </c>
      <c r="P1623" t="s" s="80">
        <v>842</v>
      </c>
      <c r="Q1623" s="100"/>
      <c r="R1623" t="s" s="137">
        <v>743</v>
      </c>
      <c r="S1623" s="77"/>
    </row>
    <row r="1624" ht="13.65" customHeight="1">
      <c r="A1624" s="84">
        <v>46143</v>
      </c>
      <c r="B1624" t="s" s="85">
        <v>60</v>
      </c>
      <c r="C1624" t="s" s="86">
        <v>990</v>
      </c>
      <c r="D1624" s="138">
        <v>62</v>
      </c>
      <c r="E1624" t="s" s="85">
        <v>1021</v>
      </c>
      <c r="F1624" t="s" s="86">
        <v>558</v>
      </c>
      <c r="G1624" s="139">
        <v>14</v>
      </c>
      <c r="H1624" t="s" s="140">
        <v>117</v>
      </c>
      <c r="I1624" t="s" s="141">
        <v>117</v>
      </c>
      <c r="J1624" t="s" s="141">
        <v>97</v>
      </c>
      <c r="K1624" t="str" s="142" cm="1">
        <f t="array" ref="K1624">IF(OR(H1624="ריביות",AND(H1624="דירה כצנלסון",G1624&lt;0,ISNUMBER(SEARCH("הכנסה",F1624)))),"הכנסה שסווגה מחדש",J1624)</f>
        <v>שוטף</v>
      </c>
      <c r="L1624" t="s" s="141">
        <v>741</v>
      </c>
      <c r="M1624" s="143" cm="1">
        <f t="array" ref="M1624">IF(L1624="מאושר",IF(K1624="הכנסה שסווגה מחדש",0,G1624),0)</f>
        <v>14</v>
      </c>
      <c r="N1624" s="143" cm="1">
        <f t="array" ref="N1624">IF(K1624="שוטף",M1624,0)</f>
        <v>14</v>
      </c>
      <c r="O1624" s="143" cm="1">
        <f t="array" ref="O1624">IF(K1624="הכנסה שסווגה מחדש",-G1624,0)</f>
        <v>0</v>
      </c>
      <c r="P1624" t="s" s="86">
        <v>842</v>
      </c>
      <c r="Q1624" s="99"/>
      <c r="R1624" t="s" s="144">
        <v>743</v>
      </c>
      <c r="S1624" s="77"/>
    </row>
    <row r="1625" ht="13.65" customHeight="1">
      <c r="A1625" s="78">
        <v>46143</v>
      </c>
      <c r="B1625" t="s" s="79">
        <v>60</v>
      </c>
      <c r="C1625" t="s" s="80">
        <v>990</v>
      </c>
      <c r="D1625" s="131">
        <v>63</v>
      </c>
      <c r="E1625" t="s" s="79">
        <v>1009</v>
      </c>
      <c r="F1625" t="s" s="80">
        <v>254</v>
      </c>
      <c r="G1625" s="132">
        <v>19</v>
      </c>
      <c r="H1625" t="s" s="133">
        <v>109</v>
      </c>
      <c r="I1625" t="s" s="134">
        <v>109</v>
      </c>
      <c r="J1625" t="s" s="134">
        <v>97</v>
      </c>
      <c r="K1625" t="str" s="135" cm="1">
        <f t="array" ref="K1625">IF(OR(H1625="ריביות",AND(H1625="דירה כצנלסון",G1625&lt;0,ISNUMBER(SEARCH("הכנסה",F1625)))),"הכנסה שסווגה מחדש",J1625)</f>
        <v>שוטף</v>
      </c>
      <c r="L1625" t="s" s="134">
        <v>741</v>
      </c>
      <c r="M1625" s="136" cm="1">
        <f t="array" ref="M1625">IF(L1625="מאושר",IF(K1625="הכנסה שסווגה מחדש",0,G1625),0)</f>
        <v>19</v>
      </c>
      <c r="N1625" s="136" cm="1">
        <f t="array" ref="N1625">IF(K1625="שוטף",M1625,0)</f>
        <v>19</v>
      </c>
      <c r="O1625" s="136" cm="1">
        <f t="array" ref="O1625">IF(K1625="הכנסה שסווגה מחדש",-G1625,0)</f>
        <v>0</v>
      </c>
      <c r="P1625" t="s" s="80">
        <v>842</v>
      </c>
      <c r="Q1625" s="100"/>
      <c r="R1625" t="s" s="137">
        <v>743</v>
      </c>
      <c r="S1625" s="77"/>
    </row>
    <row r="1626" ht="13.65" customHeight="1">
      <c r="A1626" s="84">
        <v>46143</v>
      </c>
      <c r="B1626" t="s" s="85">
        <v>60</v>
      </c>
      <c r="C1626" t="s" s="86">
        <v>990</v>
      </c>
      <c r="D1626" s="138">
        <v>64</v>
      </c>
      <c r="E1626" t="s" s="85">
        <v>1011</v>
      </c>
      <c r="F1626" t="s" s="86">
        <v>200</v>
      </c>
      <c r="G1626" s="139">
        <v>16</v>
      </c>
      <c r="H1626" t="s" s="140">
        <v>109</v>
      </c>
      <c r="I1626" t="s" s="141">
        <v>109</v>
      </c>
      <c r="J1626" t="s" s="141">
        <v>97</v>
      </c>
      <c r="K1626" t="str" s="142" cm="1">
        <f t="array" ref="K1626">IF(OR(H1626="ריביות",AND(H1626="דירה כצנלסון",G1626&lt;0,ISNUMBER(SEARCH("הכנסה",F1626)))),"הכנסה שסווגה מחדש",J1626)</f>
        <v>שוטף</v>
      </c>
      <c r="L1626" t="s" s="141">
        <v>741</v>
      </c>
      <c r="M1626" s="143" cm="1">
        <f t="array" ref="M1626">IF(L1626="מאושר",IF(K1626="הכנסה שסווגה מחדש",0,G1626),0)</f>
        <v>16</v>
      </c>
      <c r="N1626" s="143" cm="1">
        <f t="array" ref="N1626">IF(K1626="שוטף",M1626,0)</f>
        <v>16</v>
      </c>
      <c r="O1626" s="143" cm="1">
        <f t="array" ref="O1626">IF(K1626="הכנסה שסווגה מחדש",-G1626,0)</f>
        <v>0</v>
      </c>
      <c r="P1626" t="s" s="86">
        <v>842</v>
      </c>
      <c r="Q1626" s="99"/>
      <c r="R1626" t="s" s="144">
        <v>743</v>
      </c>
      <c r="S1626" s="77"/>
    </row>
    <row r="1627" ht="13.65" customHeight="1">
      <c r="A1627" s="78">
        <v>46143</v>
      </c>
      <c r="B1627" t="s" s="79">
        <v>60</v>
      </c>
      <c r="C1627" t="s" s="80">
        <v>990</v>
      </c>
      <c r="D1627" s="131">
        <v>65</v>
      </c>
      <c r="E1627" t="s" s="79">
        <v>1022</v>
      </c>
      <c r="F1627" t="s" s="79">
        <v>618</v>
      </c>
      <c r="G1627" s="132">
        <v>25</v>
      </c>
      <c r="H1627" t="s" s="133">
        <v>125</v>
      </c>
      <c r="I1627" t="s" s="134">
        <v>125</v>
      </c>
      <c r="J1627" t="s" s="134">
        <v>97</v>
      </c>
      <c r="K1627" t="str" s="135" cm="1">
        <f t="array" ref="K1627">IF(OR(H1627="ריביות",AND(H1627="דירה כצנלסון",G1627&lt;0,ISNUMBER(SEARCH("הכנסה",F1627)))),"הכנסה שסווגה מחדש",J1627)</f>
        <v>שוטף</v>
      </c>
      <c r="L1627" t="s" s="134">
        <v>741</v>
      </c>
      <c r="M1627" s="136" cm="1">
        <f t="array" ref="M1627">IF(L1627="מאושר",IF(K1627="הכנסה שסווגה מחדש",0,G1627),0)</f>
        <v>25</v>
      </c>
      <c r="N1627" s="136" cm="1">
        <f t="array" ref="N1627">IF(K1627="שוטף",M1627,0)</f>
        <v>25</v>
      </c>
      <c r="O1627" s="136" cm="1">
        <f t="array" ref="O1627">IF(K1627="הכנסה שסווגה מחדש",-G1627,0)</f>
        <v>0</v>
      </c>
      <c r="P1627" t="s" s="80">
        <v>842</v>
      </c>
      <c r="Q1627" s="100"/>
      <c r="R1627" t="s" s="137">
        <v>743</v>
      </c>
      <c r="S1627" s="77"/>
    </row>
    <row r="1628" ht="13.65" customHeight="1">
      <c r="A1628" s="84">
        <v>46143</v>
      </c>
      <c r="B1628" t="s" s="85">
        <v>60</v>
      </c>
      <c r="C1628" t="s" s="86">
        <v>990</v>
      </c>
      <c r="D1628" s="138">
        <v>66</v>
      </c>
      <c r="E1628" t="s" s="85">
        <v>1022</v>
      </c>
      <c r="F1628" t="s" s="86">
        <v>283</v>
      </c>
      <c r="G1628" s="139">
        <v>1000</v>
      </c>
      <c r="H1628" t="s" s="140">
        <v>125</v>
      </c>
      <c r="I1628" t="s" s="141">
        <v>125</v>
      </c>
      <c r="J1628" t="s" s="141">
        <v>97</v>
      </c>
      <c r="K1628" t="str" s="142" cm="1">
        <f t="array" ref="K1628">IF(OR(H1628="ריביות",AND(H1628="דירה כצנלסון",G1628&lt;0,ISNUMBER(SEARCH("הכנסה",F1628)))),"הכנסה שסווגה מחדש",J1628)</f>
        <v>שוטף</v>
      </c>
      <c r="L1628" t="s" s="141">
        <v>741</v>
      </c>
      <c r="M1628" s="143" cm="1">
        <f t="array" ref="M1628">IF(L1628="מאושר",IF(K1628="הכנסה שסווגה מחדש",0,G1628),0)</f>
        <v>1000</v>
      </c>
      <c r="N1628" s="143" cm="1">
        <f t="array" ref="N1628">IF(K1628="שוטף",M1628,0)</f>
        <v>1000</v>
      </c>
      <c r="O1628" s="143" cm="1">
        <f t="array" ref="O1628">IF(K1628="הכנסה שסווגה מחדש",-G1628,0)</f>
        <v>0</v>
      </c>
      <c r="P1628" t="s" s="86">
        <v>842</v>
      </c>
      <c r="Q1628" s="99"/>
      <c r="R1628" t="s" s="144">
        <v>743</v>
      </c>
      <c r="S1628" s="77"/>
    </row>
    <row r="1629" ht="13.65" customHeight="1">
      <c r="A1629" s="78">
        <v>46143</v>
      </c>
      <c r="B1629" t="s" s="79">
        <v>60</v>
      </c>
      <c r="C1629" t="s" s="80">
        <v>990</v>
      </c>
      <c r="D1629" s="131">
        <v>68</v>
      </c>
      <c r="E1629" t="s" s="79">
        <v>995</v>
      </c>
      <c r="F1629" t="s" s="80">
        <v>254</v>
      </c>
      <c r="G1629" s="132">
        <v>30</v>
      </c>
      <c r="H1629" t="s" s="133">
        <v>109</v>
      </c>
      <c r="I1629" t="s" s="134">
        <v>109</v>
      </c>
      <c r="J1629" t="s" s="134">
        <v>97</v>
      </c>
      <c r="K1629" t="str" s="135" cm="1">
        <f t="array" ref="K1629">IF(OR(H1629="ריביות",AND(H1629="דירה כצנלסון",G1629&lt;0,ISNUMBER(SEARCH("הכנסה",F1629)))),"הכנסה שסווגה מחדש",J1629)</f>
        <v>שוטף</v>
      </c>
      <c r="L1629" t="s" s="134">
        <v>741</v>
      </c>
      <c r="M1629" s="136" cm="1">
        <f t="array" ref="M1629">IF(L1629="מאושר",IF(K1629="הכנסה שסווגה מחדש",0,G1629),0)</f>
        <v>30</v>
      </c>
      <c r="N1629" s="136" cm="1">
        <f t="array" ref="N1629">IF(K1629="שוטף",M1629,0)</f>
        <v>30</v>
      </c>
      <c r="O1629" s="136" cm="1">
        <f t="array" ref="O1629">IF(K1629="הכנסה שסווגה מחדש",-G1629,0)</f>
        <v>0</v>
      </c>
      <c r="P1629" t="s" s="80">
        <v>842</v>
      </c>
      <c r="Q1629" s="100"/>
      <c r="R1629" t="s" s="137">
        <v>743</v>
      </c>
      <c r="S1629" s="77"/>
    </row>
    <row r="1630" ht="13.65" customHeight="1">
      <c r="A1630" s="84">
        <v>46143</v>
      </c>
      <c r="B1630" t="s" s="85">
        <v>60</v>
      </c>
      <c r="C1630" t="s" s="86">
        <v>990</v>
      </c>
      <c r="D1630" s="138">
        <v>69</v>
      </c>
      <c r="E1630" t="s" s="85">
        <v>996</v>
      </c>
      <c r="F1630" t="s" s="86">
        <v>695</v>
      </c>
      <c r="G1630" s="139">
        <v>12</v>
      </c>
      <c r="H1630" t="s" s="140">
        <v>113</v>
      </c>
      <c r="I1630" t="s" s="141">
        <v>113</v>
      </c>
      <c r="J1630" t="s" s="141">
        <v>97</v>
      </c>
      <c r="K1630" t="str" s="142" cm="1">
        <f t="array" ref="K1630">IF(OR(H1630="ריביות",AND(H1630="דירה כצנלסון",G1630&lt;0,ISNUMBER(SEARCH("הכנסה",F1630)))),"הכנסה שסווגה מחדש",J1630)</f>
        <v>שוטף</v>
      </c>
      <c r="L1630" t="s" s="141">
        <v>741</v>
      </c>
      <c r="M1630" s="143" cm="1">
        <f t="array" ref="M1630">IF(L1630="מאושר",IF(K1630="הכנסה שסווגה מחדש",0,G1630),0)</f>
        <v>12</v>
      </c>
      <c r="N1630" s="143" cm="1">
        <f t="array" ref="N1630">IF(K1630="שוטף",M1630,0)</f>
        <v>12</v>
      </c>
      <c r="O1630" s="143" cm="1">
        <f t="array" ref="O1630">IF(K1630="הכנסה שסווגה מחדש",-G1630,0)</f>
        <v>0</v>
      </c>
      <c r="P1630" t="s" s="86">
        <v>842</v>
      </c>
      <c r="Q1630" s="99"/>
      <c r="R1630" t="s" s="144">
        <v>743</v>
      </c>
      <c r="S1630" s="77"/>
    </row>
    <row r="1631" ht="13.65" customHeight="1">
      <c r="A1631" s="78">
        <v>46143</v>
      </c>
      <c r="B1631" t="s" s="79">
        <v>60</v>
      </c>
      <c r="C1631" t="s" s="80">
        <v>990</v>
      </c>
      <c r="D1631" s="131">
        <v>70</v>
      </c>
      <c r="E1631" t="s" s="79">
        <v>996</v>
      </c>
      <c r="F1631" t="s" s="80">
        <v>308</v>
      </c>
      <c r="G1631" s="132">
        <v>35</v>
      </c>
      <c r="H1631" t="s" s="133">
        <v>113</v>
      </c>
      <c r="I1631" t="s" s="134">
        <v>113</v>
      </c>
      <c r="J1631" t="s" s="134">
        <v>97</v>
      </c>
      <c r="K1631" t="str" s="135" cm="1">
        <f t="array" ref="K1631">IF(OR(H1631="ריביות",AND(H1631="דירה כצנלסון",G1631&lt;0,ISNUMBER(SEARCH("הכנסה",F1631)))),"הכנסה שסווגה מחדש",J1631)</f>
        <v>שוטף</v>
      </c>
      <c r="L1631" t="s" s="134">
        <v>741</v>
      </c>
      <c r="M1631" s="136" cm="1">
        <f t="array" ref="M1631">IF(L1631="מאושר",IF(K1631="הכנסה שסווגה מחדש",0,G1631),0)</f>
        <v>35</v>
      </c>
      <c r="N1631" s="136" cm="1">
        <f t="array" ref="N1631">IF(K1631="שוטף",M1631,0)</f>
        <v>35</v>
      </c>
      <c r="O1631" s="136" cm="1">
        <f t="array" ref="O1631">IF(K1631="הכנסה שסווגה מחדש",-G1631,0)</f>
        <v>0</v>
      </c>
      <c r="P1631" t="s" s="80">
        <v>842</v>
      </c>
      <c r="Q1631" s="100"/>
      <c r="R1631" t="s" s="137">
        <v>743</v>
      </c>
      <c r="S1631" s="77"/>
    </row>
    <row r="1632" ht="13.65" customHeight="1">
      <c r="A1632" s="84">
        <v>46143</v>
      </c>
      <c r="B1632" t="s" s="85">
        <v>60</v>
      </c>
      <c r="C1632" t="s" s="86">
        <v>990</v>
      </c>
      <c r="D1632" s="138">
        <v>71</v>
      </c>
      <c r="E1632" t="s" s="85">
        <v>996</v>
      </c>
      <c r="F1632" t="s" s="86">
        <v>254</v>
      </c>
      <c r="G1632" s="139">
        <v>39</v>
      </c>
      <c r="H1632" t="s" s="140">
        <v>109</v>
      </c>
      <c r="I1632" t="s" s="141">
        <v>109</v>
      </c>
      <c r="J1632" t="s" s="141">
        <v>97</v>
      </c>
      <c r="K1632" t="str" s="142" cm="1">
        <f t="array" ref="K1632">IF(OR(H1632="ריביות",AND(H1632="דירה כצנלסון",G1632&lt;0,ISNUMBER(SEARCH("הכנסה",F1632)))),"הכנסה שסווגה מחדש",J1632)</f>
        <v>שוטף</v>
      </c>
      <c r="L1632" t="s" s="141">
        <v>741</v>
      </c>
      <c r="M1632" s="143" cm="1">
        <f t="array" ref="M1632">IF(L1632="מאושר",IF(K1632="הכנסה שסווגה מחדש",0,G1632),0)</f>
        <v>39</v>
      </c>
      <c r="N1632" s="143" cm="1">
        <f t="array" ref="N1632">IF(K1632="שוטף",M1632,0)</f>
        <v>39</v>
      </c>
      <c r="O1632" s="143" cm="1">
        <f t="array" ref="O1632">IF(K1632="הכנסה שסווגה מחדש",-G1632,0)</f>
        <v>0</v>
      </c>
      <c r="P1632" t="s" s="86">
        <v>842</v>
      </c>
      <c r="Q1632" s="99"/>
      <c r="R1632" t="s" s="144">
        <v>743</v>
      </c>
      <c r="S1632" s="77"/>
    </row>
    <row r="1633" ht="13.65" customHeight="1">
      <c r="A1633" s="78">
        <v>46143</v>
      </c>
      <c r="B1633" t="s" s="79">
        <v>60</v>
      </c>
      <c r="C1633" t="s" s="80">
        <v>990</v>
      </c>
      <c r="D1633" s="131">
        <v>72</v>
      </c>
      <c r="E1633" t="s" s="79">
        <v>1023</v>
      </c>
      <c r="F1633" t="s" s="80">
        <v>566</v>
      </c>
      <c r="G1633" s="132">
        <v>23</v>
      </c>
      <c r="H1633" t="s" s="133">
        <v>109</v>
      </c>
      <c r="I1633" t="s" s="134">
        <v>109</v>
      </c>
      <c r="J1633" t="s" s="134">
        <v>97</v>
      </c>
      <c r="K1633" t="str" s="135" cm="1">
        <f t="array" ref="K1633">IF(OR(H1633="ריביות",AND(H1633="דירה כצנלסון",G1633&lt;0,ISNUMBER(SEARCH("הכנסה",F1633)))),"הכנסה שסווגה מחדש",J1633)</f>
        <v>שוטף</v>
      </c>
      <c r="L1633" t="s" s="134">
        <v>741</v>
      </c>
      <c r="M1633" s="136" cm="1">
        <f t="array" ref="M1633">IF(L1633="מאושר",IF(K1633="הכנסה שסווגה מחדש",0,G1633),0)</f>
        <v>23</v>
      </c>
      <c r="N1633" s="136" cm="1">
        <f t="array" ref="N1633">IF(K1633="שוטף",M1633,0)</f>
        <v>23</v>
      </c>
      <c r="O1633" s="136" cm="1">
        <f t="array" ref="O1633">IF(K1633="הכנסה שסווגה מחדש",-G1633,0)</f>
        <v>0</v>
      </c>
      <c r="P1633" t="s" s="80">
        <v>842</v>
      </c>
      <c r="Q1633" s="100"/>
      <c r="R1633" t="s" s="137">
        <v>743</v>
      </c>
      <c r="S1633" s="77"/>
    </row>
    <row r="1634" ht="13.65" customHeight="1">
      <c r="A1634" s="84">
        <v>46143</v>
      </c>
      <c r="B1634" t="s" s="85">
        <v>60</v>
      </c>
      <c r="C1634" t="s" s="86">
        <v>990</v>
      </c>
      <c r="D1634" s="138">
        <v>73</v>
      </c>
      <c r="E1634" t="s" s="85">
        <v>1023</v>
      </c>
      <c r="F1634" t="s" s="86">
        <v>574</v>
      </c>
      <c r="G1634" s="139">
        <v>70</v>
      </c>
      <c r="H1634" t="s" s="140">
        <v>115</v>
      </c>
      <c r="I1634" t="s" s="141">
        <v>115</v>
      </c>
      <c r="J1634" t="s" s="141">
        <v>97</v>
      </c>
      <c r="K1634" t="str" s="142" cm="1">
        <f t="array" ref="K1634">IF(OR(H1634="ריביות",AND(H1634="דירה כצנלסון",G1634&lt;0,ISNUMBER(SEARCH("הכנסה",F1634)))),"הכנסה שסווגה מחדש",J1634)</f>
        <v>שוטף</v>
      </c>
      <c r="L1634" t="s" s="141">
        <v>741</v>
      </c>
      <c r="M1634" s="143" cm="1">
        <f t="array" ref="M1634">IF(L1634="מאושר",IF(K1634="הכנסה שסווגה מחדש",0,G1634),0)</f>
        <v>70</v>
      </c>
      <c r="N1634" s="143" cm="1">
        <f t="array" ref="N1634">IF(K1634="שוטף",M1634,0)</f>
        <v>70</v>
      </c>
      <c r="O1634" s="143" cm="1">
        <f t="array" ref="O1634">IF(K1634="הכנסה שסווגה מחדש",-G1634,0)</f>
        <v>0</v>
      </c>
      <c r="P1634" t="s" s="86">
        <v>842</v>
      </c>
      <c r="Q1634" s="99"/>
      <c r="R1634" t="s" s="144">
        <v>743</v>
      </c>
      <c r="S1634" s="77"/>
    </row>
    <row r="1635" ht="13.65" customHeight="1">
      <c r="A1635" s="78">
        <v>46143</v>
      </c>
      <c r="B1635" t="s" s="79">
        <v>60</v>
      </c>
      <c r="C1635" t="s" s="80">
        <v>990</v>
      </c>
      <c r="D1635" s="131">
        <v>74</v>
      </c>
      <c r="E1635" t="s" s="79">
        <v>1024</v>
      </c>
      <c r="F1635" t="s" s="80">
        <v>213</v>
      </c>
      <c r="G1635" s="132">
        <v>228</v>
      </c>
      <c r="H1635" t="s" s="133">
        <v>115</v>
      </c>
      <c r="I1635" t="s" s="134">
        <v>115</v>
      </c>
      <c r="J1635" t="s" s="134">
        <v>97</v>
      </c>
      <c r="K1635" t="str" s="135" cm="1">
        <f t="array" ref="K1635">IF(OR(H1635="ריביות",AND(H1635="דירה כצנלסון",G1635&lt;0,ISNUMBER(SEARCH("הכנסה",F1635)))),"הכנסה שסווגה מחדש",J1635)</f>
        <v>שוטף</v>
      </c>
      <c r="L1635" t="s" s="134">
        <v>741</v>
      </c>
      <c r="M1635" s="136" cm="1">
        <f t="array" ref="M1635">IF(L1635="מאושר",IF(K1635="הכנסה שסווגה מחדש",0,G1635),0)</f>
        <v>228</v>
      </c>
      <c r="N1635" s="136" cm="1">
        <f t="array" ref="N1635">IF(K1635="שוטף",M1635,0)</f>
        <v>228</v>
      </c>
      <c r="O1635" s="136" cm="1">
        <f t="array" ref="O1635">IF(K1635="הכנסה שסווגה מחדש",-G1635,0)</f>
        <v>0</v>
      </c>
      <c r="P1635" t="s" s="80">
        <v>842</v>
      </c>
      <c r="Q1635" s="100"/>
      <c r="R1635" t="s" s="137">
        <v>743</v>
      </c>
      <c r="S1635" s="77"/>
    </row>
    <row r="1636" ht="13.65" customHeight="1">
      <c r="A1636" s="84">
        <v>46143</v>
      </c>
      <c r="B1636" t="s" s="85">
        <v>60</v>
      </c>
      <c r="C1636" t="s" s="86">
        <v>990</v>
      </c>
      <c r="D1636" s="138">
        <v>75</v>
      </c>
      <c r="E1636" t="s" s="85">
        <v>1025</v>
      </c>
      <c r="F1636" t="s" s="86">
        <v>677</v>
      </c>
      <c r="G1636" s="139">
        <v>20</v>
      </c>
      <c r="H1636" t="s" s="140">
        <v>113</v>
      </c>
      <c r="I1636" t="s" s="141">
        <v>113</v>
      </c>
      <c r="J1636" t="s" s="141">
        <v>97</v>
      </c>
      <c r="K1636" t="str" s="142" cm="1">
        <f t="array" ref="K1636">IF(OR(H1636="ריביות",AND(H1636="דירה כצנלסון",G1636&lt;0,ISNUMBER(SEARCH("הכנסה",F1636)))),"הכנסה שסווגה מחדש",J1636)</f>
        <v>שוטף</v>
      </c>
      <c r="L1636" t="s" s="141">
        <v>741</v>
      </c>
      <c r="M1636" s="143" cm="1">
        <f t="array" ref="M1636">IF(L1636="מאושר",IF(K1636="הכנסה שסווגה מחדש",0,G1636),0)</f>
        <v>20</v>
      </c>
      <c r="N1636" s="143" cm="1">
        <f t="array" ref="N1636">IF(K1636="שוטף",M1636,0)</f>
        <v>20</v>
      </c>
      <c r="O1636" s="143" cm="1">
        <f t="array" ref="O1636">IF(K1636="הכנסה שסווגה מחדש",-G1636,0)</f>
        <v>0</v>
      </c>
      <c r="P1636" t="s" s="86">
        <v>842</v>
      </c>
      <c r="Q1636" s="99"/>
      <c r="R1636" t="s" s="144">
        <v>743</v>
      </c>
      <c r="S1636" s="77"/>
    </row>
    <row r="1637" ht="13.65" customHeight="1">
      <c r="A1637" s="78">
        <v>46143</v>
      </c>
      <c r="B1637" t="s" s="79">
        <v>60</v>
      </c>
      <c r="C1637" t="s" s="80">
        <v>990</v>
      </c>
      <c r="D1637" s="131">
        <v>77</v>
      </c>
      <c r="E1637" t="s" s="79">
        <v>1026</v>
      </c>
      <c r="F1637" t="s" s="80">
        <v>250</v>
      </c>
      <c r="G1637" s="132">
        <v>120</v>
      </c>
      <c r="H1637" t="s" s="133">
        <v>127</v>
      </c>
      <c r="I1637" t="s" s="134">
        <v>127</v>
      </c>
      <c r="J1637" t="s" s="134">
        <v>97</v>
      </c>
      <c r="K1637" t="str" s="135" cm="1">
        <f t="array" ref="K1637">IF(OR(H1637="ריביות",AND(H1637="דירה כצנלסון",G1637&lt;0,ISNUMBER(SEARCH("הכנסה",F1637)))),"הכנסה שסווגה מחדש",J1637)</f>
        <v>שוטף</v>
      </c>
      <c r="L1637" t="s" s="134">
        <v>741</v>
      </c>
      <c r="M1637" s="136" cm="1">
        <f t="array" ref="M1637">IF(L1637="מאושר",IF(K1637="הכנסה שסווגה מחדש",0,G1637),0)</f>
        <v>120</v>
      </c>
      <c r="N1637" s="136" cm="1">
        <f t="array" ref="N1637">IF(K1637="שוטף",M1637,0)</f>
        <v>120</v>
      </c>
      <c r="O1637" s="136" cm="1">
        <f t="array" ref="O1637">IF(K1637="הכנסה שסווגה מחדש",-G1637,0)</f>
        <v>0</v>
      </c>
      <c r="P1637" t="s" s="80">
        <v>884</v>
      </c>
      <c r="Q1637" s="100"/>
      <c r="R1637" t="s" s="137">
        <v>743</v>
      </c>
      <c r="S1637" s="77"/>
    </row>
    <row r="1638" ht="13.65" customHeight="1">
      <c r="A1638" s="84">
        <v>46143</v>
      </c>
      <c r="B1638" t="s" s="85">
        <v>60</v>
      </c>
      <c r="C1638" t="s" s="86">
        <v>990</v>
      </c>
      <c r="D1638" s="138">
        <v>78</v>
      </c>
      <c r="E1638" t="s" s="85">
        <v>1027</v>
      </c>
      <c r="F1638" t="s" s="86">
        <v>541</v>
      </c>
      <c r="G1638" s="139">
        <v>86</v>
      </c>
      <c r="H1638" t="s" s="140">
        <v>113</v>
      </c>
      <c r="I1638" t="s" s="141">
        <v>113</v>
      </c>
      <c r="J1638" t="s" s="141">
        <v>97</v>
      </c>
      <c r="K1638" t="str" s="142" cm="1">
        <f t="array" ref="K1638">IF(OR(H1638="ריביות",AND(H1638="דירה כצנלסון",G1638&lt;0,ISNUMBER(SEARCH("הכנסה",F1638)))),"הכנסה שסווגה מחדש",J1638)</f>
        <v>שוטף</v>
      </c>
      <c r="L1638" t="s" s="141">
        <v>741</v>
      </c>
      <c r="M1638" s="143" cm="1">
        <f t="array" ref="M1638">IF(L1638="מאושר",IF(K1638="הכנסה שסווגה מחדש",0,G1638),0)</f>
        <v>86</v>
      </c>
      <c r="N1638" s="143" cm="1">
        <f t="array" ref="N1638">IF(K1638="שוטף",M1638,0)</f>
        <v>86</v>
      </c>
      <c r="O1638" s="143" cm="1">
        <f t="array" ref="O1638">IF(K1638="הכנסה שסווגה מחדש",-G1638,0)</f>
        <v>0</v>
      </c>
      <c r="P1638" t="s" s="86">
        <v>884</v>
      </c>
      <c r="Q1638" s="99"/>
      <c r="R1638" t="s" s="144">
        <v>743</v>
      </c>
      <c r="S1638" s="77"/>
    </row>
    <row r="1639" ht="13.65" customHeight="1">
      <c r="A1639" s="78">
        <v>46143</v>
      </c>
      <c r="B1639" t="s" s="79">
        <v>60</v>
      </c>
      <c r="C1639" t="s" s="80">
        <v>990</v>
      </c>
      <c r="D1639" s="131">
        <v>79</v>
      </c>
      <c r="E1639" t="s" s="79">
        <v>1028</v>
      </c>
      <c r="F1639" t="s" s="80">
        <v>435</v>
      </c>
      <c r="G1639" s="132">
        <v>11</v>
      </c>
      <c r="H1639" t="s" s="133">
        <v>121</v>
      </c>
      <c r="I1639" t="s" s="134">
        <v>121</v>
      </c>
      <c r="J1639" t="s" s="134">
        <v>97</v>
      </c>
      <c r="K1639" t="str" s="135" cm="1">
        <f t="array" ref="K1639">IF(OR(H1639="ריביות",AND(H1639="דירה כצנלסון",G1639&lt;0,ISNUMBER(SEARCH("הכנסה",F1639)))),"הכנסה שסווגה מחדש",J1639)</f>
        <v>שוטף</v>
      </c>
      <c r="L1639" t="s" s="134">
        <v>741</v>
      </c>
      <c r="M1639" s="136" cm="1">
        <f t="array" ref="M1639">IF(L1639="מאושר",IF(K1639="הכנסה שסווגה מחדש",0,G1639),0)</f>
        <v>11</v>
      </c>
      <c r="N1639" s="136" cm="1">
        <f t="array" ref="N1639">IF(K1639="שוטף",M1639,0)</f>
        <v>11</v>
      </c>
      <c r="O1639" s="136" cm="1">
        <f t="array" ref="O1639">IF(K1639="הכנסה שסווגה מחדש",-G1639,0)</f>
        <v>0</v>
      </c>
      <c r="P1639" t="s" s="80">
        <v>884</v>
      </c>
      <c r="Q1639" s="100"/>
      <c r="R1639" t="s" s="137">
        <v>743</v>
      </c>
      <c r="S1639" s="77"/>
    </row>
    <row r="1640" ht="13.65" customHeight="1">
      <c r="A1640" s="84">
        <v>46143</v>
      </c>
      <c r="B1640" t="s" s="85">
        <v>60</v>
      </c>
      <c r="C1640" t="s" s="86">
        <v>990</v>
      </c>
      <c r="D1640" s="138">
        <v>80</v>
      </c>
      <c r="E1640" t="s" s="85">
        <v>1028</v>
      </c>
      <c r="F1640" t="s" s="86">
        <v>435</v>
      </c>
      <c r="G1640" s="139">
        <v>7</v>
      </c>
      <c r="H1640" t="s" s="140">
        <v>121</v>
      </c>
      <c r="I1640" t="s" s="141">
        <v>121</v>
      </c>
      <c r="J1640" t="s" s="141">
        <v>97</v>
      </c>
      <c r="K1640" t="str" s="142" cm="1">
        <f t="array" ref="K1640">IF(OR(H1640="ריביות",AND(H1640="דירה כצנלסון",G1640&lt;0,ISNUMBER(SEARCH("הכנסה",F1640)))),"הכנסה שסווגה מחדש",J1640)</f>
        <v>שוטף</v>
      </c>
      <c r="L1640" t="s" s="141">
        <v>741</v>
      </c>
      <c r="M1640" s="143" cm="1">
        <f t="array" ref="M1640">IF(L1640="מאושר",IF(K1640="הכנסה שסווגה מחדש",0,G1640),0)</f>
        <v>7</v>
      </c>
      <c r="N1640" s="143" cm="1">
        <f t="array" ref="N1640">IF(K1640="שוטף",M1640,0)</f>
        <v>7</v>
      </c>
      <c r="O1640" s="143" cm="1">
        <f t="array" ref="O1640">IF(K1640="הכנסה שסווגה מחדש",-G1640,0)</f>
        <v>0</v>
      </c>
      <c r="P1640" t="s" s="86">
        <v>884</v>
      </c>
      <c r="Q1640" s="99"/>
      <c r="R1640" t="s" s="144">
        <v>743</v>
      </c>
      <c r="S1640" s="77"/>
    </row>
    <row r="1641" ht="13.65" customHeight="1">
      <c r="A1641" s="78">
        <v>46143</v>
      </c>
      <c r="B1641" t="s" s="79">
        <v>60</v>
      </c>
      <c r="C1641" t="s" s="80">
        <v>990</v>
      </c>
      <c r="D1641" s="131">
        <v>81</v>
      </c>
      <c r="E1641" t="s" s="79">
        <v>1028</v>
      </c>
      <c r="F1641" t="s" s="80">
        <v>435</v>
      </c>
      <c r="G1641" s="132">
        <v>14</v>
      </c>
      <c r="H1641" t="s" s="133">
        <v>121</v>
      </c>
      <c r="I1641" t="s" s="134">
        <v>121</v>
      </c>
      <c r="J1641" t="s" s="134">
        <v>97</v>
      </c>
      <c r="K1641" t="str" s="135" cm="1">
        <f t="array" ref="K1641">IF(OR(H1641="ריביות",AND(H1641="דירה כצנלסון",G1641&lt;0,ISNUMBER(SEARCH("הכנסה",F1641)))),"הכנסה שסווגה מחדש",J1641)</f>
        <v>שוטף</v>
      </c>
      <c r="L1641" t="s" s="134">
        <v>741</v>
      </c>
      <c r="M1641" s="136" cm="1">
        <f t="array" ref="M1641">IF(L1641="מאושר",IF(K1641="הכנסה שסווגה מחדש",0,G1641),0)</f>
        <v>14</v>
      </c>
      <c r="N1641" s="136" cm="1">
        <f t="array" ref="N1641">IF(K1641="שוטף",M1641,0)</f>
        <v>14</v>
      </c>
      <c r="O1641" s="136" cm="1">
        <f t="array" ref="O1641">IF(K1641="הכנסה שסווגה מחדש",-G1641,0)</f>
        <v>0</v>
      </c>
      <c r="P1641" t="s" s="80">
        <v>884</v>
      </c>
      <c r="Q1641" s="100"/>
      <c r="R1641" t="s" s="137">
        <v>743</v>
      </c>
      <c r="S1641" s="77"/>
    </row>
    <row r="1642" ht="13.65" customHeight="1">
      <c r="A1642" s="84">
        <v>46143</v>
      </c>
      <c r="B1642" t="s" s="85">
        <v>60</v>
      </c>
      <c r="C1642" t="s" s="86">
        <v>990</v>
      </c>
      <c r="D1642" s="138">
        <v>82</v>
      </c>
      <c r="E1642" t="s" s="85">
        <v>1029</v>
      </c>
      <c r="F1642" t="s" s="86">
        <v>435</v>
      </c>
      <c r="G1642" s="139">
        <v>43</v>
      </c>
      <c r="H1642" t="s" s="140">
        <v>121</v>
      </c>
      <c r="I1642" t="s" s="141">
        <v>121</v>
      </c>
      <c r="J1642" t="s" s="141">
        <v>97</v>
      </c>
      <c r="K1642" t="str" s="142" cm="1">
        <f t="array" ref="K1642">IF(OR(H1642="ריביות",AND(H1642="דירה כצנלסון",G1642&lt;0,ISNUMBER(SEARCH("הכנסה",F1642)))),"הכנסה שסווגה מחדש",J1642)</f>
        <v>שוטף</v>
      </c>
      <c r="L1642" t="s" s="141">
        <v>741</v>
      </c>
      <c r="M1642" s="143" cm="1">
        <f t="array" ref="M1642">IF(L1642="מאושר",IF(K1642="הכנסה שסווגה מחדש",0,G1642),0)</f>
        <v>43</v>
      </c>
      <c r="N1642" s="143" cm="1">
        <f t="array" ref="N1642">IF(K1642="שוטף",M1642,0)</f>
        <v>43</v>
      </c>
      <c r="O1642" s="143" cm="1">
        <f t="array" ref="O1642">IF(K1642="הכנסה שסווגה מחדש",-G1642,0)</f>
        <v>0</v>
      </c>
      <c r="P1642" t="s" s="86">
        <v>884</v>
      </c>
      <c r="Q1642" s="99"/>
      <c r="R1642" t="s" s="144">
        <v>743</v>
      </c>
      <c r="S1642" s="77"/>
    </row>
    <row r="1643" ht="13.65" customHeight="1">
      <c r="A1643" s="78">
        <v>46143</v>
      </c>
      <c r="B1643" t="s" s="79">
        <v>60</v>
      </c>
      <c r="C1643" t="s" s="80">
        <v>990</v>
      </c>
      <c r="D1643" s="131">
        <v>83</v>
      </c>
      <c r="E1643" t="s" s="79">
        <v>1030</v>
      </c>
      <c r="F1643" t="s" s="80">
        <v>392</v>
      </c>
      <c r="G1643" s="132">
        <v>319</v>
      </c>
      <c r="H1643" t="s" s="133">
        <v>133</v>
      </c>
      <c r="I1643" t="s" s="134">
        <v>133</v>
      </c>
      <c r="J1643" t="s" s="134">
        <v>97</v>
      </c>
      <c r="K1643" t="str" s="135" cm="1">
        <f t="array" ref="K1643">IF(OR(H1643="ריביות",AND(H1643="דירה כצנלסון",G1643&lt;0,ISNUMBER(SEARCH("הכנסה",F1643)))),"הכנסה שסווגה מחדש",J1643)</f>
        <v>שוטף</v>
      </c>
      <c r="L1643" t="s" s="134">
        <v>741</v>
      </c>
      <c r="M1643" s="136" cm="1">
        <f t="array" ref="M1643">IF(L1643="מאושר",IF(K1643="הכנסה שסווגה מחדש",0,G1643),0)</f>
        <v>319</v>
      </c>
      <c r="N1643" s="136" cm="1">
        <f t="array" ref="N1643">IF(K1643="שוטף",M1643,0)</f>
        <v>319</v>
      </c>
      <c r="O1643" s="136" cm="1">
        <f t="array" ref="O1643">IF(K1643="הכנסה שסווגה מחדש",-G1643,0)</f>
        <v>0</v>
      </c>
      <c r="P1643" t="s" s="80">
        <v>1031</v>
      </c>
      <c r="Q1643" s="100"/>
      <c r="R1643" t="s" s="137">
        <v>743</v>
      </c>
      <c r="S1643" s="77"/>
    </row>
    <row r="1644" ht="13.65" customHeight="1">
      <c r="A1644" s="84">
        <v>46143</v>
      </c>
      <c r="B1644" t="s" s="85">
        <v>60</v>
      </c>
      <c r="C1644" t="s" s="86">
        <v>990</v>
      </c>
      <c r="D1644" s="138">
        <v>84</v>
      </c>
      <c r="E1644" t="s" s="85">
        <v>1032</v>
      </c>
      <c r="F1644" t="s" s="86">
        <v>539</v>
      </c>
      <c r="G1644" s="139">
        <v>45</v>
      </c>
      <c r="H1644" t="s" s="140">
        <v>113</v>
      </c>
      <c r="I1644" t="s" s="141">
        <v>113</v>
      </c>
      <c r="J1644" t="s" s="141">
        <v>97</v>
      </c>
      <c r="K1644" t="str" s="142" cm="1">
        <f t="array" ref="K1644">IF(OR(H1644="ריביות",AND(H1644="דירה כצנלסון",G1644&lt;0,ISNUMBER(SEARCH("הכנסה",F1644)))),"הכנסה שסווגה מחדש",J1644)</f>
        <v>שוטף</v>
      </c>
      <c r="L1644" t="s" s="141">
        <v>741</v>
      </c>
      <c r="M1644" s="143" cm="1">
        <f t="array" ref="M1644">IF(L1644="מאושר",IF(K1644="הכנסה שסווגה מחדש",0,G1644),0)</f>
        <v>45</v>
      </c>
      <c r="N1644" s="143" cm="1">
        <f t="array" ref="N1644">IF(K1644="שוטף",M1644,0)</f>
        <v>45</v>
      </c>
      <c r="O1644" s="143" cm="1">
        <f t="array" ref="O1644">IF(K1644="הכנסה שסווגה מחדש",-G1644,0)</f>
        <v>0</v>
      </c>
      <c r="P1644" t="s" s="86">
        <v>1031</v>
      </c>
      <c r="Q1644" s="99"/>
      <c r="R1644" t="s" s="144">
        <v>743</v>
      </c>
      <c r="S1644" s="77"/>
    </row>
    <row r="1645" ht="13.65" customHeight="1">
      <c r="A1645" s="78">
        <v>46143</v>
      </c>
      <c r="B1645" t="s" s="79">
        <v>60</v>
      </c>
      <c r="C1645" t="s" s="80">
        <v>990</v>
      </c>
      <c r="D1645" s="131">
        <v>85</v>
      </c>
      <c r="E1645" s="100"/>
      <c r="F1645" t="s" s="80">
        <v>366</v>
      </c>
      <c r="G1645" s="132">
        <v>124</v>
      </c>
      <c r="H1645" t="s" s="133">
        <v>829</v>
      </c>
      <c r="I1645" t="s" s="134">
        <v>102</v>
      </c>
      <c r="J1645" t="s" s="134">
        <v>103</v>
      </c>
      <c r="K1645" t="str" s="135" cm="1">
        <f t="array" ref="K1645">IF(OR(H1645="ריביות",AND(H1645="דירה כצנלסון",G1645&lt;0,ISNUMBER(SEARCH("הכנסה",F1645)))),"הכנסה שסווגה מחדש",J1645)</f>
        <v>חריג</v>
      </c>
      <c r="L1645" t="s" s="134">
        <v>741</v>
      </c>
      <c r="M1645" s="136" cm="1">
        <f t="array" ref="M1645">IF(L1645="מאושר",IF(K1645="הכנסה שסווגה מחדש",0,G1645),0)</f>
        <v>124</v>
      </c>
      <c r="N1645" s="136" cm="1">
        <f t="array" ref="N1645">IF(K1645="שוטף",M1645,0)</f>
        <v>0</v>
      </c>
      <c r="O1645" s="136" cm="1">
        <f t="array" ref="O1645">IF(K1645="הכנסה שסווגה מחדש",-G1645,0)</f>
        <v>0</v>
      </c>
      <c r="P1645" s="100"/>
      <c r="Q1645" t="s" s="79">
        <v>989</v>
      </c>
      <c r="R1645" t="s" s="137">
        <v>831</v>
      </c>
      <c r="S1645" s="77"/>
    </row>
    <row r="1646" ht="13.65" customHeight="1">
      <c r="A1646" s="84">
        <v>46143</v>
      </c>
      <c r="B1646" t="s" s="85">
        <v>60</v>
      </c>
      <c r="C1646" t="s" s="86">
        <v>990</v>
      </c>
      <c r="D1646" s="138">
        <v>86</v>
      </c>
      <c r="E1646" t="s" s="85">
        <v>1033</v>
      </c>
      <c r="F1646" t="s" s="86">
        <v>457</v>
      </c>
      <c r="G1646" s="139">
        <v>196</v>
      </c>
      <c r="H1646" t="s" s="140">
        <v>125</v>
      </c>
      <c r="I1646" t="s" s="141">
        <v>125</v>
      </c>
      <c r="J1646" t="s" s="141">
        <v>97</v>
      </c>
      <c r="K1646" t="str" s="142" cm="1">
        <f t="array" ref="K1646">IF(OR(H1646="ריביות",AND(H1646="דירה כצנלסון",G1646&lt;0,ISNUMBER(SEARCH("הכנסה",F1646)))),"הכנסה שסווגה מחדש",J1646)</f>
        <v>שוטף</v>
      </c>
      <c r="L1646" t="s" s="141">
        <v>741</v>
      </c>
      <c r="M1646" s="143" cm="1">
        <f t="array" ref="M1646">IF(L1646="מאושר",IF(K1646="הכנסה שסווגה מחדש",0,G1646),0)</f>
        <v>196</v>
      </c>
      <c r="N1646" s="143" cm="1">
        <f t="array" ref="N1646">IF(K1646="שוטף",M1646,0)</f>
        <v>196</v>
      </c>
      <c r="O1646" s="143" cm="1">
        <f t="array" ref="O1646">IF(K1646="הכנסה שסווגה מחדש",-G1646,0)</f>
        <v>0</v>
      </c>
      <c r="P1646" t="s" s="86">
        <v>1031</v>
      </c>
      <c r="Q1646" s="99"/>
      <c r="R1646" t="s" s="144">
        <v>743</v>
      </c>
      <c r="S1646" s="77"/>
    </row>
    <row r="1647" ht="13.65" customHeight="1">
      <c r="A1647" s="78">
        <v>46143</v>
      </c>
      <c r="B1647" t="s" s="79">
        <v>60</v>
      </c>
      <c r="C1647" t="s" s="80">
        <v>990</v>
      </c>
      <c r="D1647" s="131">
        <v>87</v>
      </c>
      <c r="E1647" t="s" s="79">
        <v>1014</v>
      </c>
      <c r="F1647" t="s" s="80">
        <v>532</v>
      </c>
      <c r="G1647" s="132">
        <v>47</v>
      </c>
      <c r="H1647" t="s" s="133">
        <v>113</v>
      </c>
      <c r="I1647" t="s" s="134">
        <v>113</v>
      </c>
      <c r="J1647" t="s" s="134">
        <v>97</v>
      </c>
      <c r="K1647" t="str" s="135" cm="1">
        <f t="array" ref="K1647">IF(OR(H1647="ריביות",AND(H1647="דירה כצנלסון",G1647&lt;0,ISNUMBER(SEARCH("הכנסה",F1647)))),"הכנסה שסווגה מחדש",J1647)</f>
        <v>שוטף</v>
      </c>
      <c r="L1647" t="s" s="134">
        <v>741</v>
      </c>
      <c r="M1647" s="136" cm="1">
        <f t="array" ref="M1647">IF(L1647="מאושר",IF(K1647="הכנסה שסווגה מחדש",0,G1647),0)</f>
        <v>47</v>
      </c>
      <c r="N1647" s="136" cm="1">
        <f t="array" ref="N1647">IF(K1647="שוטף",M1647,0)</f>
        <v>47</v>
      </c>
      <c r="O1647" s="136" cm="1">
        <f t="array" ref="O1647">IF(K1647="הכנסה שסווגה מחדש",-G1647,0)</f>
        <v>0</v>
      </c>
      <c r="P1647" t="s" s="80">
        <v>890</v>
      </c>
      <c r="Q1647" s="100"/>
      <c r="R1647" t="s" s="137">
        <v>743</v>
      </c>
      <c r="S1647" s="77"/>
    </row>
    <row r="1648" ht="13.65" customHeight="1">
      <c r="A1648" s="84">
        <v>46143</v>
      </c>
      <c r="B1648" t="s" s="85">
        <v>60</v>
      </c>
      <c r="C1648" t="s" s="86">
        <v>990</v>
      </c>
      <c r="D1648" s="138">
        <v>88</v>
      </c>
      <c r="E1648" t="s" s="85">
        <v>1017</v>
      </c>
      <c r="F1648" t="s" s="86">
        <v>200</v>
      </c>
      <c r="G1648" s="139">
        <v>19</v>
      </c>
      <c r="H1648" t="s" s="140">
        <v>109</v>
      </c>
      <c r="I1648" t="s" s="141">
        <v>109</v>
      </c>
      <c r="J1648" t="s" s="141">
        <v>97</v>
      </c>
      <c r="K1648" t="str" s="142" cm="1">
        <f t="array" ref="K1648">IF(OR(H1648="ריביות",AND(H1648="דירה כצנלסון",G1648&lt;0,ISNUMBER(SEARCH("הכנסה",F1648)))),"הכנסה שסווגה מחדש",J1648)</f>
        <v>שוטף</v>
      </c>
      <c r="L1648" t="s" s="141">
        <v>741</v>
      </c>
      <c r="M1648" s="143" cm="1">
        <f t="array" ref="M1648">IF(L1648="מאושר",IF(K1648="הכנסה שסווגה מחדש",0,G1648),0)</f>
        <v>19</v>
      </c>
      <c r="N1648" s="143" cm="1">
        <f t="array" ref="N1648">IF(K1648="שוטף",M1648,0)</f>
        <v>19</v>
      </c>
      <c r="O1648" s="143" cm="1">
        <f t="array" ref="O1648">IF(K1648="הכנסה שסווגה מחדש",-G1648,0)</f>
        <v>0</v>
      </c>
      <c r="P1648" t="s" s="86">
        <v>890</v>
      </c>
      <c r="Q1648" s="99"/>
      <c r="R1648" t="s" s="144">
        <v>743</v>
      </c>
      <c r="S1648" s="77"/>
    </row>
    <row r="1649" ht="13.65" customHeight="1">
      <c r="A1649" s="78">
        <v>46143</v>
      </c>
      <c r="B1649" t="s" s="79">
        <v>60</v>
      </c>
      <c r="C1649" t="s" s="80">
        <v>990</v>
      </c>
      <c r="D1649" s="131">
        <v>89</v>
      </c>
      <c r="E1649" t="s" s="79">
        <v>1034</v>
      </c>
      <c r="F1649" t="s" s="80">
        <v>200</v>
      </c>
      <c r="G1649" s="132">
        <v>25</v>
      </c>
      <c r="H1649" t="s" s="133">
        <v>109</v>
      </c>
      <c r="I1649" t="s" s="134">
        <v>109</v>
      </c>
      <c r="J1649" t="s" s="134">
        <v>97</v>
      </c>
      <c r="K1649" t="str" s="135" cm="1">
        <f t="array" ref="K1649">IF(OR(H1649="ריביות",AND(H1649="דירה כצנלסון",G1649&lt;0,ISNUMBER(SEARCH("הכנסה",F1649)))),"הכנסה שסווגה מחדש",J1649)</f>
        <v>שוטף</v>
      </c>
      <c r="L1649" t="s" s="134">
        <v>741</v>
      </c>
      <c r="M1649" s="136" cm="1">
        <f t="array" ref="M1649">IF(L1649="מאושר",IF(K1649="הכנסה שסווגה מחדש",0,G1649),0)</f>
        <v>25</v>
      </c>
      <c r="N1649" s="136" cm="1">
        <f t="array" ref="N1649">IF(K1649="שוטף",M1649,0)</f>
        <v>25</v>
      </c>
      <c r="O1649" s="136" cm="1">
        <f t="array" ref="O1649">IF(K1649="הכנסה שסווגה מחדש",-G1649,0)</f>
        <v>0</v>
      </c>
      <c r="P1649" t="s" s="80">
        <v>890</v>
      </c>
      <c r="Q1649" s="100"/>
      <c r="R1649" t="s" s="137">
        <v>743</v>
      </c>
      <c r="S1649" s="77"/>
    </row>
    <row r="1650" ht="13.65" customHeight="1">
      <c r="A1650" s="84">
        <v>46143</v>
      </c>
      <c r="B1650" t="s" s="85">
        <v>60</v>
      </c>
      <c r="C1650" t="s" s="86">
        <v>990</v>
      </c>
      <c r="D1650" s="138">
        <v>90</v>
      </c>
      <c r="E1650" t="s" s="85">
        <v>1034</v>
      </c>
      <c r="F1650" t="s" s="86">
        <v>200</v>
      </c>
      <c r="G1650" s="139">
        <v>52</v>
      </c>
      <c r="H1650" t="s" s="140">
        <v>109</v>
      </c>
      <c r="I1650" t="s" s="141">
        <v>109</v>
      </c>
      <c r="J1650" t="s" s="141">
        <v>97</v>
      </c>
      <c r="K1650" t="str" s="142" cm="1">
        <f t="array" ref="K1650">IF(OR(H1650="ריביות",AND(H1650="דירה כצנלסון",G1650&lt;0,ISNUMBER(SEARCH("הכנסה",F1650)))),"הכנסה שסווגה מחדש",J1650)</f>
        <v>שוטף</v>
      </c>
      <c r="L1650" t="s" s="141">
        <v>741</v>
      </c>
      <c r="M1650" s="143" cm="1">
        <f t="array" ref="M1650">IF(L1650="מאושר",IF(K1650="הכנסה שסווגה מחדש",0,G1650),0)</f>
        <v>52</v>
      </c>
      <c r="N1650" s="143" cm="1">
        <f t="array" ref="N1650">IF(K1650="שוטף",M1650,0)</f>
        <v>52</v>
      </c>
      <c r="O1650" s="143" cm="1">
        <f t="array" ref="O1650">IF(K1650="הכנסה שסווגה מחדש",-G1650,0)</f>
        <v>0</v>
      </c>
      <c r="P1650" t="s" s="86">
        <v>890</v>
      </c>
      <c r="Q1650" s="99"/>
      <c r="R1650" t="s" s="144">
        <v>743</v>
      </c>
      <c r="S1650" s="77"/>
    </row>
    <row r="1651" ht="13.65" customHeight="1">
      <c r="A1651" s="78">
        <v>46143</v>
      </c>
      <c r="B1651" t="s" s="79">
        <v>60</v>
      </c>
      <c r="C1651" t="s" s="80">
        <v>990</v>
      </c>
      <c r="D1651" s="131">
        <v>91</v>
      </c>
      <c r="E1651" t="s" s="79">
        <v>1035</v>
      </c>
      <c r="F1651" t="s" s="80">
        <v>200</v>
      </c>
      <c r="G1651" s="132">
        <v>19</v>
      </c>
      <c r="H1651" t="s" s="133">
        <v>109</v>
      </c>
      <c r="I1651" t="s" s="134">
        <v>109</v>
      </c>
      <c r="J1651" t="s" s="134">
        <v>97</v>
      </c>
      <c r="K1651" t="str" s="135" cm="1">
        <f t="array" ref="K1651">IF(OR(H1651="ריביות",AND(H1651="דירה כצנלסון",G1651&lt;0,ISNUMBER(SEARCH("הכנסה",F1651)))),"הכנסה שסווגה מחדש",J1651)</f>
        <v>שוטף</v>
      </c>
      <c r="L1651" t="s" s="134">
        <v>741</v>
      </c>
      <c r="M1651" s="136" cm="1">
        <f t="array" ref="M1651">IF(L1651="מאושר",IF(K1651="הכנסה שסווגה מחדש",0,G1651),0)</f>
        <v>19</v>
      </c>
      <c r="N1651" s="136" cm="1">
        <f t="array" ref="N1651">IF(K1651="שוטף",M1651,0)</f>
        <v>19</v>
      </c>
      <c r="O1651" s="136" cm="1">
        <f t="array" ref="O1651">IF(K1651="הכנסה שסווגה מחדש",-G1651,0)</f>
        <v>0</v>
      </c>
      <c r="P1651" t="s" s="80">
        <v>890</v>
      </c>
      <c r="Q1651" s="100"/>
      <c r="R1651" t="s" s="137">
        <v>743</v>
      </c>
      <c r="S1651" s="77"/>
    </row>
    <row r="1652" ht="13.65" customHeight="1">
      <c r="A1652" s="84">
        <v>46143</v>
      </c>
      <c r="B1652" t="s" s="85">
        <v>60</v>
      </c>
      <c r="C1652" t="s" s="86">
        <v>990</v>
      </c>
      <c r="D1652" s="138">
        <v>92</v>
      </c>
      <c r="E1652" t="s" s="85">
        <v>994</v>
      </c>
      <c r="F1652" t="s" s="86">
        <v>532</v>
      </c>
      <c r="G1652" s="139">
        <v>49</v>
      </c>
      <c r="H1652" t="s" s="140">
        <v>113</v>
      </c>
      <c r="I1652" t="s" s="141">
        <v>113</v>
      </c>
      <c r="J1652" t="s" s="141">
        <v>97</v>
      </c>
      <c r="K1652" t="str" s="142" cm="1">
        <f t="array" ref="K1652">IF(OR(H1652="ריביות",AND(H1652="דירה כצנלסון",G1652&lt;0,ISNUMBER(SEARCH("הכנסה",F1652)))),"הכנסה שסווגה מחדש",J1652)</f>
        <v>שוטף</v>
      </c>
      <c r="L1652" t="s" s="141">
        <v>741</v>
      </c>
      <c r="M1652" s="143" cm="1">
        <f t="array" ref="M1652">IF(L1652="מאושר",IF(K1652="הכנסה שסווגה מחדש",0,G1652),0)</f>
        <v>49</v>
      </c>
      <c r="N1652" s="143" cm="1">
        <f t="array" ref="N1652">IF(K1652="שוטף",M1652,0)</f>
        <v>49</v>
      </c>
      <c r="O1652" s="143" cm="1">
        <f t="array" ref="O1652">IF(K1652="הכנסה שסווגה מחדש",-G1652,0)</f>
        <v>0</v>
      </c>
      <c r="P1652" t="s" s="86">
        <v>890</v>
      </c>
      <c r="Q1652" s="99"/>
      <c r="R1652" t="s" s="144">
        <v>743</v>
      </c>
      <c r="S1652" s="77"/>
    </row>
    <row r="1653" ht="13.65" customHeight="1">
      <c r="A1653" s="78">
        <v>46143</v>
      </c>
      <c r="B1653" t="s" s="79">
        <v>60</v>
      </c>
      <c r="C1653" t="s" s="80">
        <v>990</v>
      </c>
      <c r="D1653" s="131">
        <v>93</v>
      </c>
      <c r="E1653" t="s" s="79">
        <v>1009</v>
      </c>
      <c r="F1653" t="s" s="80">
        <v>200</v>
      </c>
      <c r="G1653" s="132">
        <v>35</v>
      </c>
      <c r="H1653" t="s" s="133">
        <v>109</v>
      </c>
      <c r="I1653" t="s" s="134">
        <v>109</v>
      </c>
      <c r="J1653" t="s" s="134">
        <v>97</v>
      </c>
      <c r="K1653" t="str" s="135" cm="1">
        <f t="array" ref="K1653">IF(OR(H1653="ריביות",AND(H1653="דירה כצנלסון",G1653&lt;0,ISNUMBER(SEARCH("הכנסה",F1653)))),"הכנסה שסווגה מחדש",J1653)</f>
        <v>שוטף</v>
      </c>
      <c r="L1653" t="s" s="134">
        <v>741</v>
      </c>
      <c r="M1653" s="136" cm="1">
        <f t="array" ref="M1653">IF(L1653="מאושר",IF(K1653="הכנסה שסווגה מחדש",0,G1653),0)</f>
        <v>35</v>
      </c>
      <c r="N1653" s="136" cm="1">
        <f t="array" ref="N1653">IF(K1653="שוטף",M1653,0)</f>
        <v>35</v>
      </c>
      <c r="O1653" s="136" cm="1">
        <f t="array" ref="O1653">IF(K1653="הכנסה שסווגה מחדש",-G1653,0)</f>
        <v>0</v>
      </c>
      <c r="P1653" t="s" s="80">
        <v>890</v>
      </c>
      <c r="Q1653" s="100"/>
      <c r="R1653" t="s" s="137">
        <v>743</v>
      </c>
      <c r="S1653" s="77"/>
    </row>
    <row r="1654" ht="13.65" customHeight="1">
      <c r="A1654" s="84">
        <v>46143</v>
      </c>
      <c r="B1654" t="s" s="85">
        <v>60</v>
      </c>
      <c r="C1654" t="s" s="86">
        <v>990</v>
      </c>
      <c r="D1654" s="138">
        <v>94</v>
      </c>
      <c r="E1654" t="s" s="85">
        <v>1010</v>
      </c>
      <c r="F1654" t="s" s="86">
        <v>209</v>
      </c>
      <c r="G1654" s="139">
        <v>32</v>
      </c>
      <c r="H1654" t="s" s="140">
        <v>113</v>
      </c>
      <c r="I1654" t="s" s="141">
        <v>113</v>
      </c>
      <c r="J1654" t="s" s="141">
        <v>97</v>
      </c>
      <c r="K1654" t="str" s="142" cm="1">
        <f t="array" ref="K1654">IF(OR(H1654="ריביות",AND(H1654="דירה כצנלסון",G1654&lt;0,ISNUMBER(SEARCH("הכנסה",F1654)))),"הכנסה שסווגה מחדש",J1654)</f>
        <v>שוטף</v>
      </c>
      <c r="L1654" t="s" s="141">
        <v>741</v>
      </c>
      <c r="M1654" s="143" cm="1">
        <f t="array" ref="M1654">IF(L1654="מאושר",IF(K1654="הכנסה שסווגה מחדש",0,G1654),0)</f>
        <v>32</v>
      </c>
      <c r="N1654" s="143" cm="1">
        <f t="array" ref="N1654">IF(K1654="שוטף",M1654,0)</f>
        <v>32</v>
      </c>
      <c r="O1654" s="143" cm="1">
        <f t="array" ref="O1654">IF(K1654="הכנסה שסווגה מחדש",-G1654,0)</f>
        <v>0</v>
      </c>
      <c r="P1654" t="s" s="86">
        <v>890</v>
      </c>
      <c r="Q1654" s="99"/>
      <c r="R1654" t="s" s="144">
        <v>743</v>
      </c>
      <c r="S1654" s="77"/>
    </row>
    <row r="1655" ht="13.65" customHeight="1">
      <c r="A1655" s="78">
        <v>46143</v>
      </c>
      <c r="B1655" t="s" s="79">
        <v>60</v>
      </c>
      <c r="C1655" t="s" s="80">
        <v>990</v>
      </c>
      <c r="D1655" s="131">
        <v>95</v>
      </c>
      <c r="E1655" t="s" s="79">
        <v>1010</v>
      </c>
      <c r="F1655" t="s" s="80">
        <v>209</v>
      </c>
      <c r="G1655" s="132">
        <v>83</v>
      </c>
      <c r="H1655" t="s" s="133">
        <v>113</v>
      </c>
      <c r="I1655" t="s" s="134">
        <v>113</v>
      </c>
      <c r="J1655" t="s" s="134">
        <v>97</v>
      </c>
      <c r="K1655" t="str" s="135" cm="1">
        <f t="array" ref="K1655">IF(OR(H1655="ריביות",AND(H1655="דירה כצנלסון",G1655&lt;0,ISNUMBER(SEARCH("הכנסה",F1655)))),"הכנסה שסווגה מחדש",J1655)</f>
        <v>שוטף</v>
      </c>
      <c r="L1655" t="s" s="134">
        <v>741</v>
      </c>
      <c r="M1655" s="136" cm="1">
        <f t="array" ref="M1655">IF(L1655="מאושר",IF(K1655="הכנסה שסווגה מחדש",0,G1655),0)</f>
        <v>83</v>
      </c>
      <c r="N1655" s="136" cm="1">
        <f t="array" ref="N1655">IF(K1655="שוטף",M1655,0)</f>
        <v>83</v>
      </c>
      <c r="O1655" s="136" cm="1">
        <f t="array" ref="O1655">IF(K1655="הכנסה שסווגה מחדש",-G1655,0)</f>
        <v>0</v>
      </c>
      <c r="P1655" t="s" s="80">
        <v>890</v>
      </c>
      <c r="Q1655" s="100"/>
      <c r="R1655" t="s" s="137">
        <v>743</v>
      </c>
      <c r="S1655" s="77"/>
    </row>
    <row r="1656" ht="13.65" customHeight="1">
      <c r="A1656" s="84">
        <v>46143</v>
      </c>
      <c r="B1656" t="s" s="85">
        <v>60</v>
      </c>
      <c r="C1656" t="s" s="86">
        <v>990</v>
      </c>
      <c r="D1656" s="138">
        <v>96</v>
      </c>
      <c r="E1656" t="s" s="85">
        <v>993</v>
      </c>
      <c r="F1656" t="s" s="86">
        <v>200</v>
      </c>
      <c r="G1656" s="139">
        <v>24</v>
      </c>
      <c r="H1656" t="s" s="140">
        <v>109</v>
      </c>
      <c r="I1656" t="s" s="141">
        <v>109</v>
      </c>
      <c r="J1656" t="s" s="141">
        <v>97</v>
      </c>
      <c r="K1656" t="str" s="142" cm="1">
        <f t="array" ref="K1656">IF(OR(H1656="ריביות",AND(H1656="דירה כצנלסון",G1656&lt;0,ISNUMBER(SEARCH("הכנסה",F1656)))),"הכנסה שסווגה מחדש",J1656)</f>
        <v>שוטף</v>
      </c>
      <c r="L1656" t="s" s="141">
        <v>741</v>
      </c>
      <c r="M1656" s="143" cm="1">
        <f t="array" ref="M1656">IF(L1656="מאושר",IF(K1656="הכנסה שסווגה מחדש",0,G1656),0)</f>
        <v>24</v>
      </c>
      <c r="N1656" s="143" cm="1">
        <f t="array" ref="N1656">IF(K1656="שוטף",M1656,0)</f>
        <v>24</v>
      </c>
      <c r="O1656" s="143" cm="1">
        <f t="array" ref="O1656">IF(K1656="הכנסה שסווגה מחדש",-G1656,0)</f>
        <v>0</v>
      </c>
      <c r="P1656" t="s" s="86">
        <v>890</v>
      </c>
      <c r="Q1656" s="99"/>
      <c r="R1656" t="s" s="144">
        <v>743</v>
      </c>
      <c r="S1656" s="77"/>
    </row>
    <row r="1657" ht="13.65" customHeight="1">
      <c r="A1657" s="78">
        <v>46143</v>
      </c>
      <c r="B1657" t="s" s="79">
        <v>60</v>
      </c>
      <c r="C1657" t="s" s="80">
        <v>990</v>
      </c>
      <c r="D1657" s="131">
        <v>97</v>
      </c>
      <c r="E1657" t="s" s="79">
        <v>993</v>
      </c>
      <c r="F1657" t="s" s="80">
        <v>200</v>
      </c>
      <c r="G1657" s="132">
        <v>26</v>
      </c>
      <c r="H1657" t="s" s="133">
        <v>109</v>
      </c>
      <c r="I1657" t="s" s="134">
        <v>109</v>
      </c>
      <c r="J1657" t="s" s="134">
        <v>97</v>
      </c>
      <c r="K1657" t="str" s="135" cm="1">
        <f t="array" ref="K1657">IF(OR(H1657="ריביות",AND(H1657="דירה כצנלסון",G1657&lt;0,ISNUMBER(SEARCH("הכנסה",F1657)))),"הכנסה שסווגה מחדש",J1657)</f>
        <v>שוטף</v>
      </c>
      <c r="L1657" t="s" s="134">
        <v>741</v>
      </c>
      <c r="M1657" s="136" cm="1">
        <f t="array" ref="M1657">IF(L1657="מאושר",IF(K1657="הכנסה שסווגה מחדש",0,G1657),0)</f>
        <v>26</v>
      </c>
      <c r="N1657" s="136" cm="1">
        <f t="array" ref="N1657">IF(K1657="שוטף",M1657,0)</f>
        <v>26</v>
      </c>
      <c r="O1657" s="136" cm="1">
        <f t="array" ref="O1657">IF(K1657="הכנסה שסווגה מחדש",-G1657,0)</f>
        <v>0</v>
      </c>
      <c r="P1657" t="s" s="80">
        <v>890</v>
      </c>
      <c r="Q1657" s="100"/>
      <c r="R1657" t="s" s="137">
        <v>743</v>
      </c>
      <c r="S1657" s="77"/>
    </row>
    <row r="1658" ht="13.65" customHeight="1">
      <c r="A1658" s="84">
        <v>46143</v>
      </c>
      <c r="B1658" t="s" s="85">
        <v>60</v>
      </c>
      <c r="C1658" t="s" s="86">
        <v>990</v>
      </c>
      <c r="D1658" s="138">
        <v>98</v>
      </c>
      <c r="E1658" t="s" s="85">
        <v>996</v>
      </c>
      <c r="F1658" t="s" s="86">
        <v>200</v>
      </c>
      <c r="G1658" s="139">
        <v>32</v>
      </c>
      <c r="H1658" t="s" s="140">
        <v>109</v>
      </c>
      <c r="I1658" t="s" s="141">
        <v>109</v>
      </c>
      <c r="J1658" t="s" s="141">
        <v>97</v>
      </c>
      <c r="K1658" t="str" s="142" cm="1">
        <f t="array" ref="K1658">IF(OR(H1658="ריביות",AND(H1658="דירה כצנלסון",G1658&lt;0,ISNUMBER(SEARCH("הכנסה",F1658)))),"הכנסה שסווגה מחדש",J1658)</f>
        <v>שוטף</v>
      </c>
      <c r="L1658" t="s" s="141">
        <v>741</v>
      </c>
      <c r="M1658" s="143" cm="1">
        <f t="array" ref="M1658">IF(L1658="מאושר",IF(K1658="הכנסה שסווגה מחדש",0,G1658),0)</f>
        <v>32</v>
      </c>
      <c r="N1658" s="143" cm="1">
        <f t="array" ref="N1658">IF(K1658="שוטף",M1658,0)</f>
        <v>32</v>
      </c>
      <c r="O1658" s="143" cm="1">
        <f t="array" ref="O1658">IF(K1658="הכנסה שסווגה מחדש",-G1658,0)</f>
        <v>0</v>
      </c>
      <c r="P1658" t="s" s="86">
        <v>890</v>
      </c>
      <c r="Q1658" s="99"/>
      <c r="R1658" t="s" s="144">
        <v>743</v>
      </c>
      <c r="S1658" s="77"/>
    </row>
    <row r="1659" ht="13.65" customHeight="1">
      <c r="A1659" s="78">
        <v>46143</v>
      </c>
      <c r="B1659" t="s" s="79">
        <v>60</v>
      </c>
      <c r="C1659" t="s" s="80">
        <v>990</v>
      </c>
      <c r="D1659" s="131">
        <v>99</v>
      </c>
      <c r="E1659" t="s" s="79">
        <v>996</v>
      </c>
      <c r="F1659" t="s" s="80">
        <v>470</v>
      </c>
      <c r="G1659" s="132">
        <v>51</v>
      </c>
      <c r="H1659" t="s" s="133">
        <v>113</v>
      </c>
      <c r="I1659" t="s" s="134">
        <v>113</v>
      </c>
      <c r="J1659" t="s" s="134">
        <v>97</v>
      </c>
      <c r="K1659" t="str" s="135" cm="1">
        <f t="array" ref="K1659">IF(OR(H1659="ריביות",AND(H1659="דירה כצנלסון",G1659&lt;0,ISNUMBER(SEARCH("הכנסה",F1659)))),"הכנסה שסווגה מחדש",J1659)</f>
        <v>שוטף</v>
      </c>
      <c r="L1659" t="s" s="134">
        <v>741</v>
      </c>
      <c r="M1659" s="136" cm="1">
        <f t="array" ref="M1659">IF(L1659="מאושר",IF(K1659="הכנסה שסווגה מחדש",0,G1659),0)</f>
        <v>51</v>
      </c>
      <c r="N1659" s="136" cm="1">
        <f t="array" ref="N1659">IF(K1659="שוטף",M1659,0)</f>
        <v>51</v>
      </c>
      <c r="O1659" s="136" cm="1">
        <f t="array" ref="O1659">IF(K1659="הכנסה שסווגה מחדש",-G1659,0)</f>
        <v>0</v>
      </c>
      <c r="P1659" t="s" s="80">
        <v>890</v>
      </c>
      <c r="Q1659" s="100"/>
      <c r="R1659" t="s" s="137">
        <v>743</v>
      </c>
      <c r="S1659" s="77"/>
    </row>
    <row r="1660" ht="13.65" customHeight="1">
      <c r="A1660" s="84">
        <v>46143</v>
      </c>
      <c r="B1660" t="s" s="85">
        <v>60</v>
      </c>
      <c r="C1660" t="s" s="86">
        <v>990</v>
      </c>
      <c r="D1660" s="138">
        <v>100</v>
      </c>
      <c r="E1660" t="s" s="85">
        <v>1024</v>
      </c>
      <c r="F1660" t="s" s="86">
        <v>209</v>
      </c>
      <c r="G1660" s="139">
        <v>122</v>
      </c>
      <c r="H1660" t="s" s="140">
        <v>113</v>
      </c>
      <c r="I1660" t="s" s="141">
        <v>113</v>
      </c>
      <c r="J1660" t="s" s="141">
        <v>97</v>
      </c>
      <c r="K1660" t="str" s="142" cm="1">
        <f t="array" ref="K1660">IF(OR(H1660="ריביות",AND(H1660="דירה כצנלסון",G1660&lt;0,ISNUMBER(SEARCH("הכנסה",F1660)))),"הכנסה שסווגה מחדש",J1660)</f>
        <v>שוטף</v>
      </c>
      <c r="L1660" t="s" s="141">
        <v>741</v>
      </c>
      <c r="M1660" s="143" cm="1">
        <f t="array" ref="M1660">IF(L1660="מאושר",IF(K1660="הכנסה שסווגה מחדש",0,G1660),0)</f>
        <v>122</v>
      </c>
      <c r="N1660" s="143" cm="1">
        <f t="array" ref="N1660">IF(K1660="שוטף",M1660,0)</f>
        <v>122</v>
      </c>
      <c r="O1660" s="143" cm="1">
        <f t="array" ref="O1660">IF(K1660="הכנסה שסווגה מחדש",-G1660,0)</f>
        <v>0</v>
      </c>
      <c r="P1660" t="s" s="86">
        <v>890</v>
      </c>
      <c r="Q1660" s="99"/>
      <c r="R1660" t="s" s="144">
        <v>743</v>
      </c>
      <c r="S1660" s="77"/>
    </row>
    <row r="1661" ht="13.65" customHeight="1">
      <c r="A1661" s="78">
        <v>46143</v>
      </c>
      <c r="B1661" t="s" s="79">
        <v>60</v>
      </c>
      <c r="C1661" t="s" s="80">
        <v>990</v>
      </c>
      <c r="D1661" s="131">
        <v>101</v>
      </c>
      <c r="E1661" t="s" s="79">
        <v>1025</v>
      </c>
      <c r="F1661" t="s" s="80">
        <v>461</v>
      </c>
      <c r="G1661" s="132">
        <v>183</v>
      </c>
      <c r="H1661" t="s" s="133">
        <v>113</v>
      </c>
      <c r="I1661" t="s" s="134">
        <v>113</v>
      </c>
      <c r="J1661" t="s" s="134">
        <v>97</v>
      </c>
      <c r="K1661" t="str" s="135" cm="1">
        <f t="array" ref="K1661">IF(OR(H1661="ריביות",AND(H1661="דירה כצנלסון",G1661&lt;0,ISNUMBER(SEARCH("הכנסה",F1661)))),"הכנסה שסווגה מחדש",J1661)</f>
        <v>שוטף</v>
      </c>
      <c r="L1661" t="s" s="134">
        <v>741</v>
      </c>
      <c r="M1661" s="136" cm="1">
        <f t="array" ref="M1661">IF(L1661="מאושר",IF(K1661="הכנסה שסווגה מחדש",0,G1661),0)</f>
        <v>183</v>
      </c>
      <c r="N1661" s="136" cm="1">
        <f t="array" ref="N1661">IF(K1661="שוטף",M1661,0)</f>
        <v>183</v>
      </c>
      <c r="O1661" s="136" cm="1">
        <f t="array" ref="O1661">IF(K1661="הכנסה שסווגה מחדש",-G1661,0)</f>
        <v>0</v>
      </c>
      <c r="P1661" t="s" s="80">
        <v>890</v>
      </c>
      <c r="Q1661" s="100"/>
      <c r="R1661" t="s" s="137">
        <v>743</v>
      </c>
      <c r="S1661" s="77"/>
    </row>
    <row r="1662" ht="13.65" customHeight="1">
      <c r="A1662" s="84">
        <v>46143</v>
      </c>
      <c r="B1662" t="s" s="85">
        <v>60</v>
      </c>
      <c r="C1662" t="s" s="86">
        <v>990</v>
      </c>
      <c r="D1662" s="138">
        <v>102</v>
      </c>
      <c r="E1662" t="s" s="85">
        <v>1025</v>
      </c>
      <c r="F1662" t="s" s="86">
        <v>470</v>
      </c>
      <c r="G1662" s="139">
        <v>109</v>
      </c>
      <c r="H1662" t="s" s="140">
        <v>113</v>
      </c>
      <c r="I1662" t="s" s="141">
        <v>113</v>
      </c>
      <c r="J1662" t="s" s="141">
        <v>97</v>
      </c>
      <c r="K1662" t="str" s="142" cm="1">
        <f t="array" ref="K1662">IF(OR(H1662="ריביות",AND(H1662="דירה כצנלסון",G1662&lt;0,ISNUMBER(SEARCH("הכנסה",F1662)))),"הכנסה שסווגה מחדש",J1662)</f>
        <v>שוטף</v>
      </c>
      <c r="L1662" t="s" s="141">
        <v>741</v>
      </c>
      <c r="M1662" s="143" cm="1">
        <f t="array" ref="M1662">IF(L1662="מאושר",IF(K1662="הכנסה שסווגה מחדש",0,G1662),0)</f>
        <v>109</v>
      </c>
      <c r="N1662" s="143" cm="1">
        <f t="array" ref="N1662">IF(K1662="שוטף",M1662,0)</f>
        <v>109</v>
      </c>
      <c r="O1662" s="143" cm="1">
        <f t="array" ref="O1662">IF(K1662="הכנסה שסווגה מחדש",-G1662,0)</f>
        <v>0</v>
      </c>
      <c r="P1662" t="s" s="86">
        <v>890</v>
      </c>
      <c r="Q1662" s="99"/>
      <c r="R1662" t="s" s="144">
        <v>743</v>
      </c>
      <c r="S1662" s="77"/>
    </row>
    <row r="1663" ht="13.65" customHeight="1">
      <c r="A1663" s="78">
        <v>46174</v>
      </c>
      <c r="B1663" t="s" s="79">
        <v>61</v>
      </c>
      <c r="C1663" t="s" s="80">
        <v>1036</v>
      </c>
      <c r="D1663" s="131">
        <v>2</v>
      </c>
      <c r="E1663" s="100"/>
      <c r="F1663" t="s" s="80">
        <v>196</v>
      </c>
      <c r="G1663" s="132">
        <v>8000</v>
      </c>
      <c r="H1663" t="s" s="133">
        <v>838</v>
      </c>
      <c r="I1663" t="s" s="134">
        <v>96</v>
      </c>
      <c r="J1663" t="s" s="134">
        <v>97</v>
      </c>
      <c r="K1663" t="str" s="135" cm="1">
        <f t="array" ref="K1663">IF(OR(H1663="ריביות",AND(H1663="דירה כצנלסון",G1663&lt;0,ISNUMBER(SEARCH("הכנסה",F1663)))),"הכנסה שסווגה מחדש",J1663)</f>
        <v>שוטף</v>
      </c>
      <c r="L1663" t="s" s="134">
        <v>741</v>
      </c>
      <c r="M1663" s="136" cm="1">
        <f t="array" ref="M1663">IF(L1663="מאושר",IF(K1663="הכנסה שסווגה מחדש",0,G1663),0)</f>
        <v>8000</v>
      </c>
      <c r="N1663" s="136" cm="1">
        <f t="array" ref="N1663">IF(K1663="שוטף",M1663,0)</f>
        <v>8000</v>
      </c>
      <c r="O1663" s="136" cm="1">
        <f t="array" ref="O1663">IF(K1663="הכנסה שסווגה מחדש",-G1663,0)</f>
        <v>0</v>
      </c>
      <c r="P1663" t="s" s="80">
        <v>786</v>
      </c>
      <c r="Q1663" s="100"/>
      <c r="R1663" t="s" s="137">
        <v>743</v>
      </c>
      <c r="S1663" s="77"/>
    </row>
    <row r="1664" ht="13.65" customHeight="1">
      <c r="A1664" s="84">
        <v>46174</v>
      </c>
      <c r="B1664" t="s" s="85">
        <v>61</v>
      </c>
      <c r="C1664" t="s" s="86">
        <v>1036</v>
      </c>
      <c r="D1664" s="138">
        <v>3</v>
      </c>
      <c r="E1664" s="99"/>
      <c r="F1664" t="s" s="86">
        <v>197</v>
      </c>
      <c r="G1664" s="139">
        <v>6155</v>
      </c>
      <c r="H1664" t="s" s="140">
        <v>279</v>
      </c>
      <c r="I1664" t="s" s="141">
        <v>99</v>
      </c>
      <c r="J1664" t="s" s="141">
        <v>100</v>
      </c>
      <c r="K1664" t="str" s="142" cm="1">
        <f t="array" ref="K1664">IF(OR(H1664="ריביות",AND(H1664="דירה כצנלסון",G1664&lt;0,ISNUMBER(SEARCH("הכנסה",F1664)))),"הכנסה שסווגה מחדש",J1664)</f>
        <v>חריג/נכס</v>
      </c>
      <c r="L1664" t="s" s="141">
        <v>741</v>
      </c>
      <c r="M1664" s="143" cm="1">
        <f t="array" ref="M1664">IF(L1664="מאושר",IF(K1664="הכנסה שסווגה מחדש",0,G1664),0)</f>
        <v>6155</v>
      </c>
      <c r="N1664" s="143" cm="1">
        <f t="array" ref="N1664">IF(K1664="שוטף",M1664,0)</f>
        <v>0</v>
      </c>
      <c r="O1664" s="143" cm="1">
        <f t="array" ref="O1664">IF(K1664="הכנסה שסווגה מחדש",-G1664,0)</f>
        <v>0</v>
      </c>
      <c r="P1664" t="s" s="86">
        <v>786</v>
      </c>
      <c r="Q1664" s="99"/>
      <c r="R1664" t="s" s="144">
        <v>743</v>
      </c>
      <c r="S1664" s="77"/>
    </row>
    <row r="1665" ht="13.65" customHeight="1">
      <c r="A1665" s="78">
        <v>46174</v>
      </c>
      <c r="B1665" t="s" s="79">
        <v>61</v>
      </c>
      <c r="C1665" t="s" s="80">
        <v>1036</v>
      </c>
      <c r="D1665" s="131">
        <v>4</v>
      </c>
      <c r="E1665" s="100"/>
      <c r="F1665" t="s" s="80">
        <v>212</v>
      </c>
      <c r="G1665" s="132">
        <v>0</v>
      </c>
      <c r="H1665" t="s" s="133">
        <v>838</v>
      </c>
      <c r="I1665" t="s" s="134">
        <v>96</v>
      </c>
      <c r="J1665" t="s" s="134">
        <v>97</v>
      </c>
      <c r="K1665" t="str" s="135" cm="1">
        <f t="array" ref="K1665">IF(OR(H1665="ריביות",AND(H1665="דירה כצנלסון",G1665&lt;0,ISNUMBER(SEARCH("הכנסה",F1665)))),"הכנסה שסווגה מחדש",J1665)</f>
        <v>שוטף</v>
      </c>
      <c r="L1665" t="s" s="134">
        <v>741</v>
      </c>
      <c r="M1665" s="136" cm="1">
        <f t="array" ref="M1665">IF(L1665="מאושר",IF(K1665="הכנסה שסווגה מחדש",0,G1665),0)</f>
        <v>0</v>
      </c>
      <c r="N1665" s="136" cm="1">
        <f t="array" ref="N1665">IF(K1665="שוטף",M1665,0)</f>
        <v>0</v>
      </c>
      <c r="O1665" s="136" cm="1">
        <f t="array" ref="O1665">IF(K1665="הכנסה שסווגה מחדש",-G1665,0)</f>
        <v>0</v>
      </c>
      <c r="P1665" s="100"/>
      <c r="Q1665" s="100"/>
      <c r="R1665" t="s" s="137">
        <v>743</v>
      </c>
      <c r="S1665" s="77"/>
    </row>
    <row r="1666" ht="13.65" customHeight="1">
      <c r="A1666" s="84">
        <v>46174</v>
      </c>
      <c r="B1666" t="s" s="85">
        <v>61</v>
      </c>
      <c r="C1666" t="s" s="86">
        <v>1036</v>
      </c>
      <c r="D1666" s="138">
        <v>5</v>
      </c>
      <c r="E1666" t="s" s="85">
        <v>1037</v>
      </c>
      <c r="F1666" t="s" s="86">
        <v>221</v>
      </c>
      <c r="G1666" s="139">
        <v>211</v>
      </c>
      <c r="H1666" t="s" s="140">
        <v>838</v>
      </c>
      <c r="I1666" t="s" s="141">
        <v>96</v>
      </c>
      <c r="J1666" t="s" s="141">
        <v>97</v>
      </c>
      <c r="K1666" t="str" s="142" cm="1">
        <f t="array" ref="K1666">IF(OR(H1666="ריביות",AND(H1666="דירה כצנלסון",G1666&lt;0,ISNUMBER(SEARCH("הכנסה",F1666)))),"הכנסה שסווגה מחדש",J1666)</f>
        <v>שוטף</v>
      </c>
      <c r="L1666" t="s" s="141">
        <v>741</v>
      </c>
      <c r="M1666" s="143" cm="1">
        <f t="array" ref="M1666">IF(L1666="מאושר",IF(K1666="הכנסה שסווגה מחדש",0,G1666),0)</f>
        <v>211</v>
      </c>
      <c r="N1666" s="143" cm="1">
        <f t="array" ref="N1666">IF(K1666="שוטף",M1666,0)</f>
        <v>211</v>
      </c>
      <c r="O1666" s="143" cm="1">
        <f t="array" ref="O1666">IF(K1666="הכנסה שסווגה מחדש",-G1666,0)</f>
        <v>0</v>
      </c>
      <c r="P1666" t="s" s="86">
        <v>842</v>
      </c>
      <c r="Q1666" s="99"/>
      <c r="R1666" t="s" s="144">
        <v>743</v>
      </c>
      <c r="S1666" s="77"/>
    </row>
    <row r="1667" ht="13.65" customHeight="1">
      <c r="A1667" s="78">
        <v>46174</v>
      </c>
      <c r="B1667" t="s" s="79">
        <v>61</v>
      </c>
      <c r="C1667" t="s" s="80">
        <v>1036</v>
      </c>
      <c r="D1667" s="131">
        <v>6</v>
      </c>
      <c r="E1667" s="100"/>
      <c r="F1667" t="s" s="80">
        <v>272</v>
      </c>
      <c r="G1667" s="132">
        <v>0</v>
      </c>
      <c r="H1667" t="s" s="133">
        <v>838</v>
      </c>
      <c r="I1667" t="s" s="134">
        <v>96</v>
      </c>
      <c r="J1667" t="s" s="134">
        <v>97</v>
      </c>
      <c r="K1667" t="str" s="135" cm="1">
        <f t="array" ref="K1667">IF(OR(H1667="ריביות",AND(H1667="דירה כצנלסון",G1667&lt;0,ISNUMBER(SEARCH("הכנסה",F1667)))),"הכנסה שסווגה מחדש",J1667)</f>
        <v>שוטף</v>
      </c>
      <c r="L1667" t="s" s="134">
        <v>741</v>
      </c>
      <c r="M1667" s="136" cm="1">
        <f t="array" ref="M1667">IF(L1667="מאושר",IF(K1667="הכנסה שסווגה מחדש",0,G1667),0)</f>
        <v>0</v>
      </c>
      <c r="N1667" s="136" cm="1">
        <f t="array" ref="N1667">IF(K1667="שוטף",M1667,0)</f>
        <v>0</v>
      </c>
      <c r="O1667" s="136" cm="1">
        <f t="array" ref="O1667">IF(K1667="הכנסה שסווגה מחדש",-G1667,0)</f>
        <v>0</v>
      </c>
      <c r="P1667" s="100"/>
      <c r="Q1667" s="100"/>
      <c r="R1667" t="s" s="137">
        <v>743</v>
      </c>
      <c r="S1667" s="77"/>
    </row>
    <row r="1668" ht="13.65" customHeight="1">
      <c r="A1668" s="84">
        <v>46174</v>
      </c>
      <c r="B1668" t="s" s="85">
        <v>61</v>
      </c>
      <c r="C1668" t="s" s="86">
        <v>1036</v>
      </c>
      <c r="D1668" s="138">
        <v>7</v>
      </c>
      <c r="E1668" s="99"/>
      <c r="F1668" t="s" s="86">
        <v>374</v>
      </c>
      <c r="G1668" s="139">
        <v>0</v>
      </c>
      <c r="H1668" t="s" s="140">
        <v>838</v>
      </c>
      <c r="I1668" t="s" s="141">
        <v>96</v>
      </c>
      <c r="J1668" t="s" s="141">
        <v>97</v>
      </c>
      <c r="K1668" t="str" s="142" cm="1">
        <f t="array" ref="K1668">IF(OR(H1668="ריביות",AND(H1668="דירה כצנלסון",G1668&lt;0,ISNUMBER(SEARCH("הכנסה",F1668)))),"הכנסה שסווגה מחדש",J1668)</f>
        <v>שוטף</v>
      </c>
      <c r="L1668" t="s" s="141">
        <v>741</v>
      </c>
      <c r="M1668" s="143" cm="1">
        <f t="array" ref="M1668">IF(L1668="מאושר",IF(K1668="הכנסה שסווגה מחדש",0,G1668),0)</f>
        <v>0</v>
      </c>
      <c r="N1668" s="143" cm="1">
        <f t="array" ref="N1668">IF(K1668="שוטף",M1668,0)</f>
        <v>0</v>
      </c>
      <c r="O1668" s="143" cm="1">
        <f t="array" ref="O1668">IF(K1668="הכנסה שסווגה מחדש",-G1668,0)</f>
        <v>0</v>
      </c>
      <c r="P1668" t="s" s="86">
        <v>842</v>
      </c>
      <c r="Q1668" s="99"/>
      <c r="R1668" t="s" s="144">
        <v>743</v>
      </c>
      <c r="S1668" s="77"/>
    </row>
    <row r="1669" ht="13.65" customHeight="1">
      <c r="A1669" s="78">
        <v>46174</v>
      </c>
      <c r="B1669" t="s" s="79">
        <v>61</v>
      </c>
      <c r="C1669" t="s" s="80">
        <v>1036</v>
      </c>
      <c r="D1669" s="131">
        <v>8</v>
      </c>
      <c r="E1669" s="100"/>
      <c r="F1669" t="s" s="80">
        <v>232</v>
      </c>
      <c r="G1669" s="132">
        <v>0</v>
      </c>
      <c r="H1669" t="s" s="133">
        <v>838</v>
      </c>
      <c r="I1669" t="s" s="134">
        <v>96</v>
      </c>
      <c r="J1669" t="s" s="134">
        <v>97</v>
      </c>
      <c r="K1669" t="str" s="135" cm="1">
        <f t="array" ref="K1669">IF(OR(H1669="ריביות",AND(H1669="דירה כצנלסון",G1669&lt;0,ISNUMBER(SEARCH("הכנסה",F1669)))),"הכנסה שסווגה מחדש",J1669)</f>
        <v>שוטף</v>
      </c>
      <c r="L1669" t="s" s="134">
        <v>741</v>
      </c>
      <c r="M1669" s="136" cm="1">
        <f t="array" ref="M1669">IF(L1669="מאושר",IF(K1669="הכנסה שסווגה מחדש",0,G1669),0)</f>
        <v>0</v>
      </c>
      <c r="N1669" s="136" cm="1">
        <f t="array" ref="N1669">IF(K1669="שוטף",M1669,0)</f>
        <v>0</v>
      </c>
      <c r="O1669" s="136" cm="1">
        <f t="array" ref="O1669">IF(K1669="הכנסה שסווגה מחדש",-G1669,0)</f>
        <v>0</v>
      </c>
      <c r="P1669" t="s" s="80">
        <v>781</v>
      </c>
      <c r="Q1669" s="100"/>
      <c r="R1669" t="s" s="137">
        <v>743</v>
      </c>
      <c r="S1669" s="77"/>
    </row>
    <row r="1670" ht="13.65" customHeight="1">
      <c r="A1670" s="84">
        <v>46174</v>
      </c>
      <c r="B1670" t="s" s="85">
        <v>61</v>
      </c>
      <c r="C1670" t="s" s="86">
        <v>1036</v>
      </c>
      <c r="D1670" s="138">
        <v>9</v>
      </c>
      <c r="E1670" s="99"/>
      <c r="F1670" t="s" s="86">
        <v>211</v>
      </c>
      <c r="G1670" s="139">
        <v>600</v>
      </c>
      <c r="H1670" t="s" s="140">
        <v>838</v>
      </c>
      <c r="I1670" t="s" s="141">
        <v>96</v>
      </c>
      <c r="J1670" t="s" s="141">
        <v>97</v>
      </c>
      <c r="K1670" t="str" s="142" cm="1">
        <f t="array" ref="K1670">IF(OR(H1670="ריביות",AND(H1670="דירה כצנלסון",G1670&lt;0,ISNUMBER(SEARCH("הכנסה",F1670)))),"הכנסה שסווגה מחדש",J1670)</f>
        <v>שוטף</v>
      </c>
      <c r="L1670" t="s" s="141">
        <v>741</v>
      </c>
      <c r="M1670" s="143" cm="1">
        <f t="array" ref="M1670">IF(L1670="מאושר",IF(K1670="הכנסה שסווגה מחדש",0,G1670),0)</f>
        <v>600</v>
      </c>
      <c r="N1670" s="143" cm="1">
        <f t="array" ref="N1670">IF(K1670="שוטף",M1670,0)</f>
        <v>600</v>
      </c>
      <c r="O1670" s="143" cm="1">
        <f t="array" ref="O1670">IF(K1670="הכנסה שסווגה מחדש",-G1670,0)</f>
        <v>0</v>
      </c>
      <c r="P1670" t="s" s="86">
        <v>781</v>
      </c>
      <c r="Q1670" s="99"/>
      <c r="R1670" t="s" s="144">
        <v>743</v>
      </c>
      <c r="S1670" s="77"/>
    </row>
    <row r="1671" ht="13.65" customHeight="1">
      <c r="A1671" s="78">
        <v>46174</v>
      </c>
      <c r="B1671" t="s" s="79">
        <v>61</v>
      </c>
      <c r="C1671" t="s" s="80">
        <v>1036</v>
      </c>
      <c r="D1671" s="131">
        <v>10</v>
      </c>
      <c r="E1671" t="s" s="79">
        <v>1038</v>
      </c>
      <c r="F1671" t="s" s="80">
        <v>302</v>
      </c>
      <c r="G1671" s="132">
        <v>79</v>
      </c>
      <c r="H1671" t="s" s="133">
        <v>838</v>
      </c>
      <c r="I1671" t="s" s="134">
        <v>96</v>
      </c>
      <c r="J1671" t="s" s="134">
        <v>97</v>
      </c>
      <c r="K1671" t="str" s="135" cm="1">
        <f t="array" ref="K1671">IF(OR(H1671="ריביות",AND(H1671="דירה כצנלסון",G1671&lt;0,ISNUMBER(SEARCH("הכנסה",F1671)))),"הכנסה שסווגה מחדש",J1671)</f>
        <v>שוטף</v>
      </c>
      <c r="L1671" t="s" s="134">
        <v>741</v>
      </c>
      <c r="M1671" s="136" cm="1">
        <f t="array" ref="M1671">IF(L1671="מאושר",IF(K1671="הכנסה שסווגה מחדש",0,G1671),0)</f>
        <v>79</v>
      </c>
      <c r="N1671" s="136" cm="1">
        <f t="array" ref="N1671">IF(K1671="שוטף",M1671,0)</f>
        <v>79</v>
      </c>
      <c r="O1671" s="136" cm="1">
        <f t="array" ref="O1671">IF(K1671="הכנסה שסווגה מחדש",-G1671,0)</f>
        <v>0</v>
      </c>
      <c r="P1671" t="s" s="80">
        <v>842</v>
      </c>
      <c r="Q1671" s="100"/>
      <c r="R1671" t="s" s="137">
        <v>743</v>
      </c>
      <c r="S1671" s="77"/>
    </row>
    <row r="1672" ht="13.65" customHeight="1">
      <c r="A1672" s="84">
        <v>46174</v>
      </c>
      <c r="B1672" t="s" s="85">
        <v>61</v>
      </c>
      <c r="C1672" t="s" s="86">
        <v>1036</v>
      </c>
      <c r="D1672" s="138">
        <v>11</v>
      </c>
      <c r="E1672" t="s" s="85">
        <v>1039</v>
      </c>
      <c r="F1672" t="s" s="86">
        <v>320</v>
      </c>
      <c r="G1672" s="139">
        <v>59</v>
      </c>
      <c r="H1672" t="s" s="140">
        <v>838</v>
      </c>
      <c r="I1672" t="s" s="141">
        <v>96</v>
      </c>
      <c r="J1672" t="s" s="141">
        <v>97</v>
      </c>
      <c r="K1672" t="str" s="142" cm="1">
        <f t="array" ref="K1672">IF(OR(H1672="ריביות",AND(H1672="דירה כצנלסון",G1672&lt;0,ISNUMBER(SEARCH("הכנסה",F1672)))),"הכנסה שסווגה מחדש",J1672)</f>
        <v>שוטף</v>
      </c>
      <c r="L1672" t="s" s="141">
        <v>741</v>
      </c>
      <c r="M1672" s="143" cm="1">
        <f t="array" ref="M1672">IF(L1672="מאושר",IF(K1672="הכנסה שסווגה מחדש",0,G1672),0)</f>
        <v>59</v>
      </c>
      <c r="N1672" s="143" cm="1">
        <f t="array" ref="N1672">IF(K1672="שוטף",M1672,0)</f>
        <v>59</v>
      </c>
      <c r="O1672" s="143" cm="1">
        <f t="array" ref="O1672">IF(K1672="הכנסה שסווגה מחדש",-G1672,0)</f>
        <v>0</v>
      </c>
      <c r="P1672" t="s" s="86">
        <v>842</v>
      </c>
      <c r="Q1672" s="99"/>
      <c r="R1672" t="s" s="144">
        <v>743</v>
      </c>
      <c r="S1672" s="77"/>
    </row>
    <row r="1673" ht="13.65" customHeight="1">
      <c r="A1673" s="78">
        <v>46174</v>
      </c>
      <c r="B1673" t="s" s="79">
        <v>61</v>
      </c>
      <c r="C1673" t="s" s="80">
        <v>1036</v>
      </c>
      <c r="D1673" s="131">
        <v>12</v>
      </c>
      <c r="E1673" t="s" s="79">
        <v>1040</v>
      </c>
      <c r="F1673" t="s" s="80">
        <v>273</v>
      </c>
      <c r="G1673" s="132">
        <v>71</v>
      </c>
      <c r="H1673" t="s" s="133">
        <v>279</v>
      </c>
      <c r="I1673" t="s" s="134">
        <v>99</v>
      </c>
      <c r="J1673" t="s" s="134">
        <v>100</v>
      </c>
      <c r="K1673" t="str" s="135" cm="1">
        <f t="array" ref="K1673">IF(OR(H1673="ריביות",AND(H1673="דירה כצנלסון",G1673&lt;0,ISNUMBER(SEARCH("הכנסה",F1673)))),"הכנסה שסווגה מחדש",J1673)</f>
        <v>חריג/נכס</v>
      </c>
      <c r="L1673" t="s" s="134">
        <v>741</v>
      </c>
      <c r="M1673" s="136" cm="1">
        <f t="array" ref="M1673">IF(L1673="מאושר",IF(K1673="הכנסה שסווגה מחדש",0,G1673),0)</f>
        <v>71</v>
      </c>
      <c r="N1673" s="136" cm="1">
        <f t="array" ref="N1673">IF(K1673="שוטף",M1673,0)</f>
        <v>0</v>
      </c>
      <c r="O1673" s="136" cm="1">
        <f t="array" ref="O1673">IF(K1673="הכנסה שסווגה מחדש",-G1673,0)</f>
        <v>0</v>
      </c>
      <c r="P1673" t="s" s="80">
        <v>842</v>
      </c>
      <c r="Q1673" s="100"/>
      <c r="R1673" t="s" s="137">
        <v>743</v>
      </c>
      <c r="S1673" s="77"/>
    </row>
    <row r="1674" ht="13.65" customHeight="1">
      <c r="A1674" s="84">
        <v>46174</v>
      </c>
      <c r="B1674" t="s" s="85">
        <v>61</v>
      </c>
      <c r="C1674" t="s" s="86">
        <v>1036</v>
      </c>
      <c r="D1674" s="138">
        <v>13</v>
      </c>
      <c r="E1674" t="s" s="85">
        <v>1040</v>
      </c>
      <c r="F1674" t="s" s="86">
        <v>328</v>
      </c>
      <c r="G1674" s="139">
        <v>36</v>
      </c>
      <c r="H1674" t="s" s="140">
        <v>279</v>
      </c>
      <c r="I1674" t="s" s="141">
        <v>99</v>
      </c>
      <c r="J1674" t="s" s="141">
        <v>100</v>
      </c>
      <c r="K1674" t="str" s="142" cm="1">
        <f t="array" ref="K1674">IF(OR(H1674="ריביות",AND(H1674="דירה כצנלסון",G1674&lt;0,ISNUMBER(SEARCH("הכנסה",F1674)))),"הכנסה שסווגה מחדש",J1674)</f>
        <v>חריג/נכס</v>
      </c>
      <c r="L1674" t="s" s="141">
        <v>741</v>
      </c>
      <c r="M1674" s="143" cm="1">
        <f t="array" ref="M1674">IF(L1674="מאושר",IF(K1674="הכנסה שסווגה מחדש",0,G1674),0)</f>
        <v>36</v>
      </c>
      <c r="N1674" s="143" cm="1">
        <f t="array" ref="N1674">IF(K1674="שוטף",M1674,0)</f>
        <v>0</v>
      </c>
      <c r="O1674" s="143" cm="1">
        <f t="array" ref="O1674">IF(K1674="הכנסה שסווגה מחדש",-G1674,0)</f>
        <v>0</v>
      </c>
      <c r="P1674" t="s" s="86">
        <v>842</v>
      </c>
      <c r="Q1674" s="99"/>
      <c r="R1674" t="s" s="144">
        <v>743</v>
      </c>
      <c r="S1674" s="77"/>
    </row>
    <row r="1675" ht="13.65" customHeight="1">
      <c r="A1675" s="78">
        <v>46174</v>
      </c>
      <c r="B1675" t="s" s="79">
        <v>61</v>
      </c>
      <c r="C1675" t="s" s="80">
        <v>1036</v>
      </c>
      <c r="D1675" s="131">
        <v>14</v>
      </c>
      <c r="E1675" t="s" s="79">
        <v>1041</v>
      </c>
      <c r="F1675" t="s" s="80">
        <v>263</v>
      </c>
      <c r="G1675" s="132">
        <v>117</v>
      </c>
      <c r="H1675" t="s" s="133">
        <v>135</v>
      </c>
      <c r="I1675" t="s" s="134">
        <v>135</v>
      </c>
      <c r="J1675" t="s" s="134">
        <v>97</v>
      </c>
      <c r="K1675" t="str" s="135" cm="1">
        <f t="array" ref="K1675">IF(OR(H1675="ריביות",AND(H1675="דירה כצנלסון",G1675&lt;0,ISNUMBER(SEARCH("הכנסה",F1675)))),"הכנסה שסווגה מחדש",J1675)</f>
        <v>שוטף</v>
      </c>
      <c r="L1675" t="s" s="134">
        <v>741</v>
      </c>
      <c r="M1675" s="136" cm="1">
        <f t="array" ref="M1675">IF(L1675="מאושר",IF(K1675="הכנסה שסווגה מחדש",0,G1675),0)</f>
        <v>117</v>
      </c>
      <c r="N1675" s="136" cm="1">
        <f t="array" ref="N1675">IF(K1675="שוטף",M1675,0)</f>
        <v>117</v>
      </c>
      <c r="O1675" s="136" cm="1">
        <f t="array" ref="O1675">IF(K1675="הכנסה שסווגה מחדש",-G1675,0)</f>
        <v>0</v>
      </c>
      <c r="P1675" t="s" s="80">
        <v>847</v>
      </c>
      <c r="Q1675" s="100"/>
      <c r="R1675" t="s" s="137">
        <v>743</v>
      </c>
      <c r="S1675" s="77"/>
    </row>
    <row r="1676" ht="13.65" customHeight="1">
      <c r="A1676" s="84">
        <v>46174</v>
      </c>
      <c r="B1676" t="s" s="85">
        <v>61</v>
      </c>
      <c r="C1676" t="s" s="86">
        <v>1036</v>
      </c>
      <c r="D1676" s="138">
        <v>15</v>
      </c>
      <c r="E1676" t="s" s="85">
        <v>1042</v>
      </c>
      <c r="F1676" t="s" s="86">
        <v>310</v>
      </c>
      <c r="G1676" s="139">
        <v>98</v>
      </c>
      <c r="H1676" t="s" s="140">
        <v>767</v>
      </c>
      <c r="I1676" t="s" s="141">
        <v>107</v>
      </c>
      <c r="J1676" t="s" s="141">
        <v>97</v>
      </c>
      <c r="K1676" t="str" s="142" cm="1">
        <f t="array" ref="K1676">IF(OR(H1676="ריביות",AND(H1676="דירה כצנלסון",G1676&lt;0,ISNUMBER(SEARCH("הכנסה",F1676)))),"הכנסה שסווגה מחדש",J1676)</f>
        <v>שוטף</v>
      </c>
      <c r="L1676" t="s" s="141">
        <v>741</v>
      </c>
      <c r="M1676" s="143" cm="1">
        <f t="array" ref="M1676">IF(L1676="מאושר",IF(K1676="הכנסה שסווגה מחדש",0,G1676),0)</f>
        <v>98</v>
      </c>
      <c r="N1676" s="143" cm="1">
        <f t="array" ref="N1676">IF(K1676="שוטף",M1676,0)</f>
        <v>98</v>
      </c>
      <c r="O1676" s="143" cm="1">
        <f t="array" ref="O1676">IF(K1676="הכנסה שסווגה מחדש",-G1676,0)</f>
        <v>0</v>
      </c>
      <c r="P1676" t="s" s="86">
        <v>847</v>
      </c>
      <c r="Q1676" s="99"/>
      <c r="R1676" t="s" s="144">
        <v>743</v>
      </c>
      <c r="S1676" s="77"/>
    </row>
    <row r="1677" ht="13.65" customHeight="1">
      <c r="A1677" s="78">
        <v>46174</v>
      </c>
      <c r="B1677" t="s" s="79">
        <v>61</v>
      </c>
      <c r="C1677" t="s" s="80">
        <v>1036</v>
      </c>
      <c r="D1677" s="131">
        <v>16</v>
      </c>
      <c r="E1677" t="s" s="79">
        <v>1042</v>
      </c>
      <c r="F1677" t="s" s="80">
        <v>356</v>
      </c>
      <c r="G1677" s="132">
        <v>57</v>
      </c>
      <c r="H1677" t="s" s="133">
        <v>767</v>
      </c>
      <c r="I1677" t="s" s="134">
        <v>107</v>
      </c>
      <c r="J1677" t="s" s="134">
        <v>97</v>
      </c>
      <c r="K1677" t="str" s="135" cm="1">
        <f t="array" ref="K1677">IF(OR(H1677="ריביות",AND(H1677="דירה כצנלסון",G1677&lt;0,ISNUMBER(SEARCH("הכנסה",F1677)))),"הכנסה שסווגה מחדש",J1677)</f>
        <v>שוטף</v>
      </c>
      <c r="L1677" t="s" s="134">
        <v>741</v>
      </c>
      <c r="M1677" s="136" cm="1">
        <f t="array" ref="M1677">IF(L1677="מאושר",IF(K1677="הכנסה שסווגה מחדש",0,G1677),0)</f>
        <v>57</v>
      </c>
      <c r="N1677" s="136" cm="1">
        <f t="array" ref="N1677">IF(K1677="שוטף",M1677,0)</f>
        <v>57</v>
      </c>
      <c r="O1677" s="136" cm="1">
        <f t="array" ref="O1677">IF(K1677="הכנסה שסווגה מחדש",-G1677,0)</f>
        <v>0</v>
      </c>
      <c r="P1677" t="s" s="80">
        <v>842</v>
      </c>
      <c r="Q1677" s="100"/>
      <c r="R1677" t="s" s="137">
        <v>743</v>
      </c>
      <c r="S1677" s="77"/>
    </row>
    <row r="1678" ht="13.65" customHeight="1">
      <c r="A1678" s="84">
        <v>46174</v>
      </c>
      <c r="B1678" t="s" s="85">
        <v>61</v>
      </c>
      <c r="C1678" t="s" s="86">
        <v>1036</v>
      </c>
      <c r="D1678" s="138">
        <v>17</v>
      </c>
      <c r="E1678" t="s" s="85">
        <v>859</v>
      </c>
      <c r="F1678" t="s" s="86">
        <v>222</v>
      </c>
      <c r="G1678" s="139">
        <v>632</v>
      </c>
      <c r="H1678" t="s" s="140">
        <v>111</v>
      </c>
      <c r="I1678" t="s" s="141">
        <v>111</v>
      </c>
      <c r="J1678" t="s" s="141">
        <v>97</v>
      </c>
      <c r="K1678" t="str" s="142" cm="1">
        <f t="array" ref="K1678">IF(OR(H1678="ריביות",AND(H1678="דירה כצנלסון",G1678&lt;0,ISNUMBER(SEARCH("הכנסה",F1678)))),"הכנסה שסווגה מחדש",J1678)</f>
        <v>שוטף</v>
      </c>
      <c r="L1678" t="s" s="141">
        <v>741</v>
      </c>
      <c r="M1678" s="143" cm="1">
        <f t="array" ref="M1678">IF(L1678="מאושר",IF(K1678="הכנסה שסווגה מחדש",0,G1678),0)</f>
        <v>632</v>
      </c>
      <c r="N1678" s="143" cm="1">
        <f t="array" ref="N1678">IF(K1678="שוטף",M1678,0)</f>
        <v>632</v>
      </c>
      <c r="O1678" s="143" cm="1">
        <f t="array" ref="O1678">IF(K1678="הכנסה שסווגה מחדש",-G1678,0)</f>
        <v>0</v>
      </c>
      <c r="P1678" t="s" s="86">
        <v>842</v>
      </c>
      <c r="Q1678" s="99"/>
      <c r="R1678" t="s" s="144">
        <v>743</v>
      </c>
      <c r="S1678" s="77"/>
    </row>
    <row r="1679" ht="13.65" customHeight="1">
      <c r="A1679" s="78">
        <v>46174</v>
      </c>
      <c r="B1679" t="s" s="79">
        <v>61</v>
      </c>
      <c r="C1679" t="s" s="80">
        <v>1036</v>
      </c>
      <c r="D1679" s="131">
        <v>18</v>
      </c>
      <c r="E1679" t="s" s="79">
        <v>861</v>
      </c>
      <c r="F1679" t="s" s="80">
        <v>294</v>
      </c>
      <c r="G1679" s="132">
        <v>130</v>
      </c>
      <c r="H1679" t="s" s="133">
        <v>115</v>
      </c>
      <c r="I1679" t="s" s="134">
        <v>115</v>
      </c>
      <c r="J1679" t="s" s="134">
        <v>97</v>
      </c>
      <c r="K1679" t="str" s="135" cm="1">
        <f t="array" ref="K1679">IF(OR(H1679="ריביות",AND(H1679="דירה כצנלסון",G1679&lt;0,ISNUMBER(SEARCH("הכנסה",F1679)))),"הכנסה שסווגה מחדש",J1679)</f>
        <v>שוטף</v>
      </c>
      <c r="L1679" t="s" s="134">
        <v>741</v>
      </c>
      <c r="M1679" s="136" cm="1">
        <f t="array" ref="M1679">IF(L1679="מאושר",IF(K1679="הכנסה שסווגה מחדש",0,G1679),0)</f>
        <v>130</v>
      </c>
      <c r="N1679" s="136" cm="1">
        <f t="array" ref="N1679">IF(K1679="שוטף",M1679,0)</f>
        <v>130</v>
      </c>
      <c r="O1679" s="136" cm="1">
        <f t="array" ref="O1679">IF(K1679="הכנסה שסווגה מחדש",-G1679,0)</f>
        <v>0</v>
      </c>
      <c r="P1679" t="s" s="80">
        <v>842</v>
      </c>
      <c r="Q1679" s="100"/>
      <c r="R1679" t="s" s="137">
        <v>743</v>
      </c>
      <c r="S1679" s="77"/>
    </row>
    <row r="1680" ht="13.65" customHeight="1">
      <c r="A1680" s="84">
        <v>46174</v>
      </c>
      <c r="B1680" t="s" s="85">
        <v>61</v>
      </c>
      <c r="C1680" t="s" s="86">
        <v>1036</v>
      </c>
      <c r="D1680" s="138">
        <v>19</v>
      </c>
      <c r="E1680" s="99"/>
      <c r="F1680" t="s" s="86">
        <v>324</v>
      </c>
      <c r="G1680" s="139">
        <v>97</v>
      </c>
      <c r="H1680" t="s" s="140">
        <v>839</v>
      </c>
      <c r="I1680" t="s" s="141">
        <v>107</v>
      </c>
      <c r="J1680" t="s" s="141">
        <v>97</v>
      </c>
      <c r="K1680" t="str" s="142" cm="1">
        <f t="array" ref="K1680">IF(OR(H1680="ריביות",AND(H1680="דירה כצנלסון",G1680&lt;0,ISNUMBER(SEARCH("הכנסה",F1680)))),"הכנסה שסווגה מחדש",J1680)</f>
        <v>שוטף</v>
      </c>
      <c r="L1680" t="s" s="141">
        <v>741</v>
      </c>
      <c r="M1680" s="143" cm="1">
        <f t="array" ref="M1680">IF(L1680="מאושר",IF(K1680="הכנסה שסווגה מחדש",0,G1680),0)</f>
        <v>97</v>
      </c>
      <c r="N1680" s="143" cm="1">
        <f t="array" ref="N1680">IF(K1680="שוטף",M1680,0)</f>
        <v>97</v>
      </c>
      <c r="O1680" s="143" cm="1">
        <f t="array" ref="O1680">IF(K1680="הכנסה שסווגה מחדש",-G1680,0)</f>
        <v>0</v>
      </c>
      <c r="P1680" t="s" s="86">
        <v>884</v>
      </c>
      <c r="Q1680" s="99"/>
      <c r="R1680" t="s" s="144">
        <v>743</v>
      </c>
      <c r="S1680" s="77"/>
    </row>
    <row r="1681" ht="13.65" customHeight="1">
      <c r="A1681" s="78">
        <v>46174</v>
      </c>
      <c r="B1681" t="s" s="79">
        <v>61</v>
      </c>
      <c r="C1681" t="s" s="80">
        <v>1036</v>
      </c>
      <c r="D1681" s="131">
        <v>20</v>
      </c>
      <c r="E1681" s="100"/>
      <c r="F1681" t="s" s="80">
        <v>204</v>
      </c>
      <c r="G1681" s="132">
        <v>8435</v>
      </c>
      <c r="H1681" t="s" s="133">
        <v>829</v>
      </c>
      <c r="I1681" t="s" s="134">
        <v>102</v>
      </c>
      <c r="J1681" t="s" s="134">
        <v>103</v>
      </c>
      <c r="K1681" t="str" s="135" cm="1">
        <f t="array" ref="K1681">IF(OR(H1681="ריביות",AND(H1681="דירה כצנלסון",G1681&lt;0,ISNUMBER(SEARCH("הכנסה",F1681)))),"הכנסה שסווגה מחדש",J1681)</f>
        <v>חריג</v>
      </c>
      <c r="L1681" t="s" s="134">
        <v>741</v>
      </c>
      <c r="M1681" s="136" cm="1">
        <f t="array" ref="M1681">IF(L1681="מאושר",IF(K1681="הכנסה שסווגה מחדש",0,G1681),0)</f>
        <v>8435</v>
      </c>
      <c r="N1681" s="136" cm="1">
        <f t="array" ref="N1681">IF(K1681="שוטף",M1681,0)</f>
        <v>0</v>
      </c>
      <c r="O1681" s="136" cm="1">
        <f t="array" ref="O1681">IF(K1681="הכנסה שסווגה מחדש",-G1681,0)</f>
        <v>0</v>
      </c>
      <c r="P1681" s="100"/>
      <c r="Q1681" t="s" s="79">
        <v>830</v>
      </c>
      <c r="R1681" t="s" s="137">
        <v>831</v>
      </c>
      <c r="S1681" s="77"/>
    </row>
    <row r="1682" ht="13.65" customHeight="1">
      <c r="A1682" s="84">
        <v>46174</v>
      </c>
      <c r="B1682" t="s" s="85">
        <v>61</v>
      </c>
      <c r="C1682" t="s" s="86">
        <v>1036</v>
      </c>
      <c r="D1682" s="138">
        <v>21</v>
      </c>
      <c r="E1682" t="s" s="85">
        <v>1042</v>
      </c>
      <c r="F1682" t="s" s="86">
        <v>365</v>
      </c>
      <c r="G1682" s="139">
        <v>186</v>
      </c>
      <c r="H1682" t="s" s="140">
        <v>767</v>
      </c>
      <c r="I1682" t="s" s="141">
        <v>107</v>
      </c>
      <c r="J1682" t="s" s="141">
        <v>97</v>
      </c>
      <c r="K1682" t="str" s="142" cm="1">
        <f t="array" ref="K1682">IF(OR(H1682="ריביות",AND(H1682="דירה כצנלסון",G1682&lt;0,ISNUMBER(SEARCH("הכנסה",F1682)))),"הכנסה שסווגה מחדש",J1682)</f>
        <v>שוטף</v>
      </c>
      <c r="L1682" t="s" s="141">
        <v>741</v>
      </c>
      <c r="M1682" s="143" cm="1">
        <f t="array" ref="M1682">IF(L1682="מאושר",IF(K1682="הכנסה שסווגה מחדש",0,G1682),0)</f>
        <v>186</v>
      </c>
      <c r="N1682" s="143" cm="1">
        <f t="array" ref="N1682">IF(K1682="שוטף",M1682,0)</f>
        <v>186</v>
      </c>
      <c r="O1682" s="143" cm="1">
        <f t="array" ref="O1682">IF(K1682="הכנסה שסווגה מחדש",-G1682,0)</f>
        <v>0</v>
      </c>
      <c r="P1682" t="s" s="86">
        <v>847</v>
      </c>
      <c r="Q1682" s="99"/>
      <c r="R1682" t="s" s="144">
        <v>743</v>
      </c>
      <c r="S1682" s="77"/>
    </row>
    <row r="1683" ht="13.65" customHeight="1">
      <c r="A1683" s="78">
        <v>46174</v>
      </c>
      <c r="B1683" t="s" s="79">
        <v>61</v>
      </c>
      <c r="C1683" t="s" s="80">
        <v>1036</v>
      </c>
      <c r="D1683" s="131">
        <v>22</v>
      </c>
      <c r="E1683" t="s" s="79">
        <v>1043</v>
      </c>
      <c r="F1683" t="s" s="80">
        <v>200</v>
      </c>
      <c r="G1683" s="132">
        <v>9</v>
      </c>
      <c r="H1683" t="s" s="133">
        <v>109</v>
      </c>
      <c r="I1683" t="s" s="134">
        <v>109</v>
      </c>
      <c r="J1683" t="s" s="134">
        <v>97</v>
      </c>
      <c r="K1683" t="str" s="135" cm="1">
        <f t="array" ref="K1683">IF(OR(H1683="ריביות",AND(H1683="דירה כצנלסון",G1683&lt;0,ISNUMBER(SEARCH("הכנסה",F1683)))),"הכנסה שסווגה מחדש",J1683)</f>
        <v>שוטף</v>
      </c>
      <c r="L1683" t="s" s="134">
        <v>741</v>
      </c>
      <c r="M1683" s="136" cm="1">
        <f t="array" ref="M1683">IF(L1683="מאושר",IF(K1683="הכנסה שסווגה מחדש",0,G1683),0)</f>
        <v>9</v>
      </c>
      <c r="N1683" s="136" cm="1">
        <f t="array" ref="N1683">IF(K1683="שוטף",M1683,0)</f>
        <v>9</v>
      </c>
      <c r="O1683" s="136" cm="1">
        <f t="array" ref="O1683">IF(K1683="הכנסה שסווגה מחדש",-G1683,0)</f>
        <v>0</v>
      </c>
      <c r="P1683" t="s" s="80">
        <v>847</v>
      </c>
      <c r="Q1683" s="100"/>
      <c r="R1683" t="s" s="137">
        <v>743</v>
      </c>
      <c r="S1683" s="77"/>
    </row>
    <row r="1684" ht="13.65" customHeight="1">
      <c r="A1684" s="84">
        <v>46174</v>
      </c>
      <c r="B1684" t="s" s="85">
        <v>61</v>
      </c>
      <c r="C1684" t="s" s="86">
        <v>1036</v>
      </c>
      <c r="D1684" s="138">
        <v>23</v>
      </c>
      <c r="E1684" t="s" s="85">
        <v>1037</v>
      </c>
      <c r="F1684" t="s" s="86">
        <v>200</v>
      </c>
      <c r="G1684" s="139">
        <v>24</v>
      </c>
      <c r="H1684" t="s" s="140">
        <v>109</v>
      </c>
      <c r="I1684" t="s" s="141">
        <v>109</v>
      </c>
      <c r="J1684" t="s" s="141">
        <v>97</v>
      </c>
      <c r="K1684" t="str" s="142" cm="1">
        <f t="array" ref="K1684">IF(OR(H1684="ריביות",AND(H1684="דירה כצנלסון",G1684&lt;0,ISNUMBER(SEARCH("הכנסה",F1684)))),"הכנסה שסווגה מחדש",J1684)</f>
        <v>שוטף</v>
      </c>
      <c r="L1684" t="s" s="141">
        <v>741</v>
      </c>
      <c r="M1684" s="143" cm="1">
        <f t="array" ref="M1684">IF(L1684="מאושר",IF(K1684="הכנסה שסווגה מחדש",0,G1684),0)</f>
        <v>24</v>
      </c>
      <c r="N1684" s="143" cm="1">
        <f t="array" ref="N1684">IF(K1684="שוטף",M1684,0)</f>
        <v>24</v>
      </c>
      <c r="O1684" s="143" cm="1">
        <f t="array" ref="O1684">IF(K1684="הכנסה שסווגה מחדש",-G1684,0)</f>
        <v>0</v>
      </c>
      <c r="P1684" t="s" s="86">
        <v>847</v>
      </c>
      <c r="Q1684" s="99"/>
      <c r="R1684" t="s" s="144">
        <v>743</v>
      </c>
      <c r="S1684" s="77"/>
    </row>
    <row r="1685" ht="13.65" customHeight="1">
      <c r="A1685" s="78">
        <v>46174</v>
      </c>
      <c r="B1685" t="s" s="79">
        <v>61</v>
      </c>
      <c r="C1685" t="s" s="80">
        <v>1036</v>
      </c>
      <c r="D1685" s="131">
        <v>24</v>
      </c>
      <c r="E1685" t="s" s="79">
        <v>1044</v>
      </c>
      <c r="F1685" t="s" s="80">
        <v>437</v>
      </c>
      <c r="G1685" s="132">
        <v>1</v>
      </c>
      <c r="H1685" t="s" s="133">
        <v>113</v>
      </c>
      <c r="I1685" t="s" s="134">
        <v>113</v>
      </c>
      <c r="J1685" t="s" s="134">
        <v>97</v>
      </c>
      <c r="K1685" t="str" s="135" cm="1">
        <f t="array" ref="K1685">IF(OR(H1685="ריביות",AND(H1685="דירה כצנלסון",G1685&lt;0,ISNUMBER(SEARCH("הכנסה",F1685)))),"הכנסה שסווגה מחדש",J1685)</f>
        <v>שוטף</v>
      </c>
      <c r="L1685" t="s" s="134">
        <v>741</v>
      </c>
      <c r="M1685" s="136" cm="1">
        <f t="array" ref="M1685">IF(L1685="מאושר",IF(K1685="הכנסה שסווגה מחדש",0,G1685),0)</f>
        <v>1</v>
      </c>
      <c r="N1685" s="136" cm="1">
        <f t="array" ref="N1685">IF(K1685="שוטף",M1685,0)</f>
        <v>1</v>
      </c>
      <c r="O1685" s="136" cm="1">
        <f t="array" ref="O1685">IF(K1685="הכנסה שסווגה מחדש",-G1685,0)</f>
        <v>0</v>
      </c>
      <c r="P1685" t="s" s="80">
        <v>847</v>
      </c>
      <c r="Q1685" s="100"/>
      <c r="R1685" t="s" s="137">
        <v>743</v>
      </c>
      <c r="S1685" s="77"/>
    </row>
    <row r="1686" ht="13.65" customHeight="1">
      <c r="A1686" s="84">
        <v>46174</v>
      </c>
      <c r="B1686" t="s" s="85">
        <v>61</v>
      </c>
      <c r="C1686" t="s" s="86">
        <v>1036</v>
      </c>
      <c r="D1686" s="138">
        <v>25</v>
      </c>
      <c r="E1686" t="s" s="85">
        <v>1045</v>
      </c>
      <c r="F1686" t="s" s="86">
        <v>223</v>
      </c>
      <c r="G1686" s="139">
        <v>147</v>
      </c>
      <c r="H1686" t="s" s="140">
        <v>117</v>
      </c>
      <c r="I1686" t="s" s="141">
        <v>117</v>
      </c>
      <c r="J1686" t="s" s="141">
        <v>97</v>
      </c>
      <c r="K1686" t="str" s="142" cm="1">
        <f t="array" ref="K1686">IF(OR(H1686="ריביות",AND(H1686="דירה כצנלסון",G1686&lt;0,ISNUMBER(SEARCH("הכנסה",F1686)))),"הכנסה שסווגה מחדש",J1686)</f>
        <v>שוטף</v>
      </c>
      <c r="L1686" t="s" s="141">
        <v>741</v>
      </c>
      <c r="M1686" s="143" cm="1">
        <f t="array" ref="M1686">IF(L1686="מאושר",IF(K1686="הכנסה שסווגה מחדש",0,G1686),0)</f>
        <v>147</v>
      </c>
      <c r="N1686" s="143" cm="1">
        <f t="array" ref="N1686">IF(K1686="שוטף",M1686,0)</f>
        <v>147</v>
      </c>
      <c r="O1686" s="143" cm="1">
        <f t="array" ref="O1686">IF(K1686="הכנסה שסווגה מחדש",-G1686,0)</f>
        <v>0</v>
      </c>
      <c r="P1686" t="s" s="86">
        <v>847</v>
      </c>
      <c r="Q1686" s="99"/>
      <c r="R1686" t="s" s="144">
        <v>743</v>
      </c>
      <c r="S1686" s="77"/>
    </row>
    <row r="1687" ht="13.65" customHeight="1">
      <c r="A1687" s="78">
        <v>46174</v>
      </c>
      <c r="B1687" t="s" s="79">
        <v>61</v>
      </c>
      <c r="C1687" t="s" s="80">
        <v>1036</v>
      </c>
      <c r="D1687" s="131">
        <v>26</v>
      </c>
      <c r="E1687" t="s" s="79">
        <v>1045</v>
      </c>
      <c r="F1687" t="s" s="80">
        <v>332</v>
      </c>
      <c r="G1687" s="132">
        <v>650</v>
      </c>
      <c r="H1687" t="s" s="133">
        <v>117</v>
      </c>
      <c r="I1687" t="s" s="134">
        <v>117</v>
      </c>
      <c r="J1687" t="s" s="134">
        <v>97</v>
      </c>
      <c r="K1687" t="str" s="135" cm="1">
        <f t="array" ref="K1687">IF(OR(H1687="ריביות",AND(H1687="דירה כצנלסון",G1687&lt;0,ISNUMBER(SEARCH("הכנסה",F1687)))),"הכנסה שסווגה מחדש",J1687)</f>
        <v>שוטף</v>
      </c>
      <c r="L1687" t="s" s="134">
        <v>741</v>
      </c>
      <c r="M1687" s="136" cm="1">
        <f t="array" ref="M1687">IF(L1687="מאושר",IF(K1687="הכנסה שסווגה מחדש",0,G1687),0)</f>
        <v>650</v>
      </c>
      <c r="N1687" s="136" cm="1">
        <f t="array" ref="N1687">IF(K1687="שוטף",M1687,0)</f>
        <v>650</v>
      </c>
      <c r="O1687" s="136" cm="1">
        <f t="array" ref="O1687">IF(K1687="הכנסה שסווגה מחדש",-G1687,0)</f>
        <v>0</v>
      </c>
      <c r="P1687" t="s" s="80">
        <v>847</v>
      </c>
      <c r="Q1687" s="100"/>
      <c r="R1687" t="s" s="137">
        <v>743</v>
      </c>
      <c r="S1687" s="77"/>
    </row>
    <row r="1688" ht="13.65" customHeight="1">
      <c r="A1688" s="84">
        <v>46174</v>
      </c>
      <c r="B1688" t="s" s="85">
        <v>61</v>
      </c>
      <c r="C1688" t="s" s="86">
        <v>1036</v>
      </c>
      <c r="D1688" s="138">
        <v>27</v>
      </c>
      <c r="E1688" t="s" s="85">
        <v>1046</v>
      </c>
      <c r="F1688" t="s" s="85">
        <v>268</v>
      </c>
      <c r="G1688" s="139">
        <v>566</v>
      </c>
      <c r="H1688" t="s" s="140">
        <v>123</v>
      </c>
      <c r="I1688" t="s" s="141">
        <v>123</v>
      </c>
      <c r="J1688" t="s" s="141">
        <v>97</v>
      </c>
      <c r="K1688" t="str" s="142" cm="1">
        <f t="array" ref="K1688">IF(OR(H1688="ריביות",AND(H1688="דירה כצנלסון",G1688&lt;0,ISNUMBER(SEARCH("הכנסה",F1688)))),"הכנסה שסווגה מחדש",J1688)</f>
        <v>שוטף</v>
      </c>
      <c r="L1688" t="s" s="141">
        <v>741</v>
      </c>
      <c r="M1688" s="143" cm="1">
        <f t="array" ref="M1688">IF(L1688="מאושר",IF(K1688="הכנסה שסווגה מחדש",0,G1688),0)</f>
        <v>566</v>
      </c>
      <c r="N1688" s="143" cm="1">
        <f t="array" ref="N1688">IF(K1688="שוטף",M1688,0)</f>
        <v>566</v>
      </c>
      <c r="O1688" s="143" cm="1">
        <f t="array" ref="O1688">IF(K1688="הכנסה שסווגה מחדש",-G1688,0)</f>
        <v>0</v>
      </c>
      <c r="P1688" t="s" s="86">
        <v>847</v>
      </c>
      <c r="Q1688" s="99"/>
      <c r="R1688" t="s" s="144">
        <v>743</v>
      </c>
      <c r="S1688" s="77"/>
    </row>
    <row r="1689" ht="13.65" customHeight="1">
      <c r="A1689" s="78">
        <v>46174</v>
      </c>
      <c r="B1689" t="s" s="79">
        <v>61</v>
      </c>
      <c r="C1689" t="s" s="80">
        <v>1036</v>
      </c>
      <c r="D1689" s="131">
        <v>28</v>
      </c>
      <c r="E1689" t="s" s="79">
        <v>1047</v>
      </c>
      <c r="F1689" t="s" s="80">
        <v>289</v>
      </c>
      <c r="G1689" s="132">
        <v>36</v>
      </c>
      <c r="H1689" t="s" s="133">
        <v>767</v>
      </c>
      <c r="I1689" t="s" s="134">
        <v>107</v>
      </c>
      <c r="J1689" t="s" s="134">
        <v>97</v>
      </c>
      <c r="K1689" t="str" s="135" cm="1">
        <f t="array" ref="K1689">IF(OR(H1689="ריביות",AND(H1689="דירה כצנלסון",G1689&lt;0,ISNUMBER(SEARCH("הכנסה",F1689)))),"הכנסה שסווגה מחדש",J1689)</f>
        <v>שוטף</v>
      </c>
      <c r="L1689" t="s" s="134">
        <v>741</v>
      </c>
      <c r="M1689" s="136" cm="1">
        <f t="array" ref="M1689">IF(L1689="מאושר",IF(K1689="הכנסה שסווגה מחדש",0,G1689),0)</f>
        <v>36</v>
      </c>
      <c r="N1689" s="136" cm="1">
        <f t="array" ref="N1689">IF(K1689="שוטף",M1689,0)</f>
        <v>36</v>
      </c>
      <c r="O1689" s="136" cm="1">
        <f t="array" ref="O1689">IF(K1689="הכנסה שסווגה מחדש",-G1689,0)</f>
        <v>0</v>
      </c>
      <c r="P1689" t="s" s="80">
        <v>847</v>
      </c>
      <c r="Q1689" s="100"/>
      <c r="R1689" t="s" s="137">
        <v>743</v>
      </c>
      <c r="S1689" s="77"/>
    </row>
    <row r="1690" ht="13.65" customHeight="1">
      <c r="A1690" s="84">
        <v>46174</v>
      </c>
      <c r="B1690" t="s" s="85">
        <v>61</v>
      </c>
      <c r="C1690" t="s" s="86">
        <v>1036</v>
      </c>
      <c r="D1690" s="138">
        <v>29</v>
      </c>
      <c r="E1690" t="s" s="85">
        <v>1048</v>
      </c>
      <c r="F1690" t="s" s="86">
        <v>365</v>
      </c>
      <c r="G1690" s="139">
        <v>90</v>
      </c>
      <c r="H1690" t="s" s="140">
        <v>767</v>
      </c>
      <c r="I1690" t="s" s="141">
        <v>107</v>
      </c>
      <c r="J1690" t="s" s="141">
        <v>97</v>
      </c>
      <c r="K1690" t="str" s="142" cm="1">
        <f t="array" ref="K1690">IF(OR(H1690="ריביות",AND(H1690="דירה כצנלסון",G1690&lt;0,ISNUMBER(SEARCH("הכנסה",F1690)))),"הכנסה שסווגה מחדש",J1690)</f>
        <v>שוטף</v>
      </c>
      <c r="L1690" t="s" s="141">
        <v>741</v>
      </c>
      <c r="M1690" s="143" cm="1">
        <f t="array" ref="M1690">IF(L1690="מאושר",IF(K1690="הכנסה שסווגה מחדש",0,G1690),0)</f>
        <v>90</v>
      </c>
      <c r="N1690" s="143" cm="1">
        <f t="array" ref="N1690">IF(K1690="שוטף",M1690,0)</f>
        <v>90</v>
      </c>
      <c r="O1690" s="143" cm="1">
        <f t="array" ref="O1690">IF(K1690="הכנסה שסווגה מחדש",-G1690,0)</f>
        <v>0</v>
      </c>
      <c r="P1690" t="s" s="86">
        <v>847</v>
      </c>
      <c r="Q1690" s="99"/>
      <c r="R1690" t="s" s="144">
        <v>743</v>
      </c>
      <c r="S1690" s="77"/>
    </row>
    <row r="1691" ht="13.65" customHeight="1">
      <c r="A1691" s="78">
        <v>46174</v>
      </c>
      <c r="B1691" t="s" s="79">
        <v>61</v>
      </c>
      <c r="C1691" t="s" s="80">
        <v>1036</v>
      </c>
      <c r="D1691" s="131">
        <v>30</v>
      </c>
      <c r="E1691" t="s" s="79">
        <v>1049</v>
      </c>
      <c r="F1691" t="s" s="80">
        <v>662</v>
      </c>
      <c r="G1691" s="132">
        <v>6</v>
      </c>
      <c r="H1691" t="s" s="133">
        <v>115</v>
      </c>
      <c r="I1691" t="s" s="134">
        <v>115</v>
      </c>
      <c r="J1691" t="s" s="134">
        <v>97</v>
      </c>
      <c r="K1691" t="str" s="135" cm="1">
        <f t="array" ref="K1691">IF(OR(H1691="ריביות",AND(H1691="דירה כצנלסון",G1691&lt;0,ISNUMBER(SEARCH("הכנסה",F1691)))),"הכנסה שסווגה מחדש",J1691)</f>
        <v>שוטף</v>
      </c>
      <c r="L1691" t="s" s="134">
        <v>741</v>
      </c>
      <c r="M1691" s="136" cm="1">
        <f t="array" ref="M1691">IF(L1691="מאושר",IF(K1691="הכנסה שסווגה מחדש",0,G1691),0)</f>
        <v>6</v>
      </c>
      <c r="N1691" s="136" cm="1">
        <f t="array" ref="N1691">IF(K1691="שוטף",M1691,0)</f>
        <v>6</v>
      </c>
      <c r="O1691" s="136" cm="1">
        <f t="array" ref="O1691">IF(K1691="הכנסה שסווגה מחדש",-G1691,0)</f>
        <v>0</v>
      </c>
      <c r="P1691" t="s" s="80">
        <v>847</v>
      </c>
      <c r="Q1691" s="100"/>
      <c r="R1691" t="s" s="137">
        <v>743</v>
      </c>
      <c r="S1691" s="77"/>
    </row>
    <row r="1692" ht="13.65" customHeight="1">
      <c r="A1692" s="84">
        <v>46174</v>
      </c>
      <c r="B1692" t="s" s="85">
        <v>61</v>
      </c>
      <c r="C1692" t="s" s="86">
        <v>1036</v>
      </c>
      <c r="D1692" s="138">
        <v>31</v>
      </c>
      <c r="E1692" t="s" s="85">
        <v>1050</v>
      </c>
      <c r="F1692" t="s" s="86">
        <v>223</v>
      </c>
      <c r="G1692" s="139">
        <v>-108</v>
      </c>
      <c r="H1692" t="s" s="140">
        <v>960</v>
      </c>
      <c r="I1692" t="s" s="141">
        <v>131</v>
      </c>
      <c r="J1692" t="s" s="141">
        <v>97</v>
      </c>
      <c r="K1692" t="str" s="142" cm="1">
        <f t="array" ref="K1692">IF(OR(H1692="ריביות",AND(H1692="דירה כצנלסון",G1692&lt;0,ISNUMBER(SEARCH("הכנסה",F1692)))),"הכנסה שסווגה מחדש",J1692)</f>
        <v>שוטף</v>
      </c>
      <c r="L1692" t="s" s="141">
        <v>741</v>
      </c>
      <c r="M1692" s="143" cm="1">
        <f t="array" ref="M1692">IF(L1692="מאושר",IF(K1692="הכנסה שסווגה מחדש",0,G1692),0)</f>
        <v>-108</v>
      </c>
      <c r="N1692" s="143" cm="1">
        <f t="array" ref="N1692">IF(K1692="שוטף",M1692,0)</f>
        <v>-108</v>
      </c>
      <c r="O1692" s="143" cm="1">
        <f t="array" ref="O1692">IF(K1692="הכנסה שסווגה מחדש",-G1692,0)</f>
        <v>0</v>
      </c>
      <c r="P1692" t="s" s="86">
        <v>847</v>
      </c>
      <c r="Q1692" s="99"/>
      <c r="R1692" t="s" s="144">
        <v>743</v>
      </c>
      <c r="S1692" s="77"/>
    </row>
    <row r="1693" ht="13.65" customHeight="1">
      <c r="A1693" s="78">
        <v>46174</v>
      </c>
      <c r="B1693" t="s" s="79">
        <v>61</v>
      </c>
      <c r="C1693" t="s" s="80">
        <v>1036</v>
      </c>
      <c r="D1693" s="131">
        <v>32</v>
      </c>
      <c r="E1693" t="s" s="79">
        <v>1051</v>
      </c>
      <c r="F1693" t="s" s="80">
        <v>200</v>
      </c>
      <c r="G1693" s="132">
        <v>9</v>
      </c>
      <c r="H1693" t="s" s="133">
        <v>109</v>
      </c>
      <c r="I1693" t="s" s="134">
        <v>109</v>
      </c>
      <c r="J1693" t="s" s="134">
        <v>97</v>
      </c>
      <c r="K1693" t="str" s="135" cm="1">
        <f t="array" ref="K1693">IF(OR(H1693="ריביות",AND(H1693="דירה כצנלסון",G1693&lt;0,ISNUMBER(SEARCH("הכנסה",F1693)))),"הכנסה שסווגה מחדש",J1693)</f>
        <v>שוטף</v>
      </c>
      <c r="L1693" t="s" s="134">
        <v>741</v>
      </c>
      <c r="M1693" s="136" cm="1">
        <f t="array" ref="M1693">IF(L1693="מאושר",IF(K1693="הכנסה שסווגה מחדש",0,G1693),0)</f>
        <v>9</v>
      </c>
      <c r="N1693" s="136" cm="1">
        <f t="array" ref="N1693">IF(K1693="שוטף",M1693,0)</f>
        <v>9</v>
      </c>
      <c r="O1693" s="136" cm="1">
        <f t="array" ref="O1693">IF(K1693="הכנסה שסווגה מחדש",-G1693,0)</f>
        <v>0</v>
      </c>
      <c r="P1693" t="s" s="80">
        <v>847</v>
      </c>
      <c r="Q1693" s="100"/>
      <c r="R1693" t="s" s="137">
        <v>743</v>
      </c>
      <c r="S1693" s="77"/>
    </row>
    <row r="1694" ht="13.65" customHeight="1">
      <c r="A1694" s="84">
        <v>46174</v>
      </c>
      <c r="B1694" t="s" s="85">
        <v>61</v>
      </c>
      <c r="C1694" t="s" s="86">
        <v>1036</v>
      </c>
      <c r="D1694" s="138">
        <v>33</v>
      </c>
      <c r="E1694" t="s" s="85">
        <v>1052</v>
      </c>
      <c r="F1694" t="s" s="86">
        <v>231</v>
      </c>
      <c r="G1694" s="139">
        <v>32</v>
      </c>
      <c r="H1694" t="s" s="140">
        <v>113</v>
      </c>
      <c r="I1694" t="s" s="141">
        <v>113</v>
      </c>
      <c r="J1694" t="s" s="141">
        <v>97</v>
      </c>
      <c r="K1694" t="str" s="142" cm="1">
        <f t="array" ref="K1694">IF(OR(H1694="ריביות",AND(H1694="דירה כצנלסון",G1694&lt;0,ISNUMBER(SEARCH("הכנסה",F1694)))),"הכנסה שסווגה מחדש",J1694)</f>
        <v>שוטף</v>
      </c>
      <c r="L1694" t="s" s="141">
        <v>741</v>
      </c>
      <c r="M1694" s="143" cm="1">
        <f t="array" ref="M1694">IF(L1694="מאושר",IF(K1694="הכנסה שסווגה מחדש",0,G1694),0)</f>
        <v>32</v>
      </c>
      <c r="N1694" s="143" cm="1">
        <f t="array" ref="N1694">IF(K1694="שוטף",M1694,0)</f>
        <v>32</v>
      </c>
      <c r="O1694" s="143" cm="1">
        <f t="array" ref="O1694">IF(K1694="הכנסה שסווגה מחדש",-G1694,0)</f>
        <v>0</v>
      </c>
      <c r="P1694" t="s" s="86">
        <v>847</v>
      </c>
      <c r="Q1694" s="99"/>
      <c r="R1694" t="s" s="144">
        <v>743</v>
      </c>
      <c r="S1694" s="77"/>
    </row>
    <row r="1695" ht="13.65" customHeight="1">
      <c r="A1695" s="78">
        <v>46174</v>
      </c>
      <c r="B1695" t="s" s="79">
        <v>61</v>
      </c>
      <c r="C1695" t="s" s="80">
        <v>1036</v>
      </c>
      <c r="D1695" s="131">
        <v>34</v>
      </c>
      <c r="E1695" t="s" s="79">
        <v>1053</v>
      </c>
      <c r="F1695" t="s" s="80">
        <v>400</v>
      </c>
      <c r="G1695" s="132">
        <v>295</v>
      </c>
      <c r="H1695" t="s" s="133">
        <v>121</v>
      </c>
      <c r="I1695" t="s" s="134">
        <v>121</v>
      </c>
      <c r="J1695" t="s" s="134">
        <v>97</v>
      </c>
      <c r="K1695" t="str" s="135" cm="1">
        <f t="array" ref="K1695">IF(OR(H1695="ריביות",AND(H1695="דירה כצנלסון",G1695&lt;0,ISNUMBER(SEARCH("הכנסה",F1695)))),"הכנסה שסווגה מחדש",J1695)</f>
        <v>שוטף</v>
      </c>
      <c r="L1695" t="s" s="134">
        <v>741</v>
      </c>
      <c r="M1695" s="136" cm="1">
        <f t="array" ref="M1695">IF(L1695="מאושר",IF(K1695="הכנסה שסווגה מחדש",0,G1695),0)</f>
        <v>295</v>
      </c>
      <c r="N1695" s="136" cm="1">
        <f t="array" ref="N1695">IF(K1695="שוטף",M1695,0)</f>
        <v>295</v>
      </c>
      <c r="O1695" s="136" cm="1">
        <f t="array" ref="O1695">IF(K1695="הכנסה שסווגה מחדש",-G1695,0)</f>
        <v>0</v>
      </c>
      <c r="P1695" t="s" s="80">
        <v>847</v>
      </c>
      <c r="Q1695" s="100"/>
      <c r="R1695" t="s" s="137">
        <v>743</v>
      </c>
      <c r="S1695" s="77"/>
    </row>
    <row r="1696" ht="13.65" customHeight="1">
      <c r="A1696" s="84">
        <v>46174</v>
      </c>
      <c r="B1696" t="s" s="85">
        <v>61</v>
      </c>
      <c r="C1696" t="s" s="86">
        <v>1036</v>
      </c>
      <c r="D1696" s="138">
        <v>35</v>
      </c>
      <c r="E1696" t="s" s="85">
        <v>1053</v>
      </c>
      <c r="F1696" t="s" s="86">
        <v>390</v>
      </c>
      <c r="G1696" s="139">
        <v>328</v>
      </c>
      <c r="H1696" t="s" s="140">
        <v>121</v>
      </c>
      <c r="I1696" t="s" s="141">
        <v>121</v>
      </c>
      <c r="J1696" t="s" s="141">
        <v>97</v>
      </c>
      <c r="K1696" t="str" s="142" cm="1">
        <f t="array" ref="K1696">IF(OR(H1696="ריביות",AND(H1696="דירה כצנלסון",G1696&lt;0,ISNUMBER(SEARCH("הכנסה",F1696)))),"הכנסה שסווגה מחדש",J1696)</f>
        <v>שוטף</v>
      </c>
      <c r="L1696" t="s" s="141">
        <v>741</v>
      </c>
      <c r="M1696" s="143" cm="1">
        <f t="array" ref="M1696">IF(L1696="מאושר",IF(K1696="הכנסה שסווגה מחדש",0,G1696),0)</f>
        <v>328</v>
      </c>
      <c r="N1696" s="143" cm="1">
        <f t="array" ref="N1696">IF(K1696="שוטף",M1696,0)</f>
        <v>328</v>
      </c>
      <c r="O1696" s="143" cm="1">
        <f t="array" ref="O1696">IF(K1696="הכנסה שסווגה מחדש",-G1696,0)</f>
        <v>0</v>
      </c>
      <c r="P1696" t="s" s="86">
        <v>847</v>
      </c>
      <c r="Q1696" s="99"/>
      <c r="R1696" t="s" s="144">
        <v>743</v>
      </c>
      <c r="S1696" s="77"/>
    </row>
    <row r="1697" ht="13.65" customHeight="1">
      <c r="A1697" s="78">
        <v>46174</v>
      </c>
      <c r="B1697" t="s" s="79">
        <v>61</v>
      </c>
      <c r="C1697" t="s" s="80">
        <v>1036</v>
      </c>
      <c r="D1697" s="131">
        <v>36</v>
      </c>
      <c r="E1697" t="s" s="79">
        <v>1054</v>
      </c>
      <c r="F1697" t="s" s="80">
        <v>473</v>
      </c>
      <c r="G1697" s="132">
        <v>70</v>
      </c>
      <c r="H1697" t="s" s="133">
        <v>113</v>
      </c>
      <c r="I1697" t="s" s="134">
        <v>113</v>
      </c>
      <c r="J1697" t="s" s="134">
        <v>97</v>
      </c>
      <c r="K1697" t="str" s="135" cm="1">
        <f t="array" ref="K1697">IF(OR(H1697="ריביות",AND(H1697="דירה כצנלסון",G1697&lt;0,ISNUMBER(SEARCH("הכנסה",F1697)))),"הכנסה שסווגה מחדש",J1697)</f>
        <v>שוטף</v>
      </c>
      <c r="L1697" t="s" s="134">
        <v>741</v>
      </c>
      <c r="M1697" s="136" cm="1">
        <f t="array" ref="M1697">IF(L1697="מאושר",IF(K1697="הכנסה שסווגה מחדש",0,G1697),0)</f>
        <v>70</v>
      </c>
      <c r="N1697" s="136" cm="1">
        <f t="array" ref="N1697">IF(K1697="שוטף",M1697,0)</f>
        <v>70</v>
      </c>
      <c r="O1697" s="136" cm="1">
        <f t="array" ref="O1697">IF(K1697="הכנסה שסווגה מחדש",-G1697,0)</f>
        <v>0</v>
      </c>
      <c r="P1697" t="s" s="80">
        <v>847</v>
      </c>
      <c r="Q1697" s="100"/>
      <c r="R1697" t="s" s="137">
        <v>743</v>
      </c>
      <c r="S1697" s="77"/>
    </row>
    <row r="1698" ht="13.65" customHeight="1">
      <c r="A1698" s="84">
        <v>46174</v>
      </c>
      <c r="B1698" t="s" s="85">
        <v>61</v>
      </c>
      <c r="C1698" t="s" s="86">
        <v>1036</v>
      </c>
      <c r="D1698" s="138">
        <v>37</v>
      </c>
      <c r="E1698" t="s" s="85">
        <v>1055</v>
      </c>
      <c r="F1698" t="s" s="86">
        <v>200</v>
      </c>
      <c r="G1698" s="139">
        <v>6</v>
      </c>
      <c r="H1698" t="s" s="140">
        <v>109</v>
      </c>
      <c r="I1698" t="s" s="141">
        <v>109</v>
      </c>
      <c r="J1698" t="s" s="141">
        <v>97</v>
      </c>
      <c r="K1698" t="str" s="142" cm="1">
        <f t="array" ref="K1698">IF(OR(H1698="ריביות",AND(H1698="דירה כצנלסון",G1698&lt;0,ISNUMBER(SEARCH("הכנסה",F1698)))),"הכנסה שסווגה מחדש",J1698)</f>
        <v>שוטף</v>
      </c>
      <c r="L1698" t="s" s="141">
        <v>741</v>
      </c>
      <c r="M1698" s="143" cm="1">
        <f t="array" ref="M1698">IF(L1698="מאושר",IF(K1698="הכנסה שסווגה מחדש",0,G1698),0)</f>
        <v>6</v>
      </c>
      <c r="N1698" s="143" cm="1">
        <f t="array" ref="N1698">IF(K1698="שוטף",M1698,0)</f>
        <v>6</v>
      </c>
      <c r="O1698" s="143" cm="1">
        <f t="array" ref="O1698">IF(K1698="הכנסה שסווגה מחדש",-G1698,0)</f>
        <v>0</v>
      </c>
      <c r="P1698" t="s" s="86">
        <v>847</v>
      </c>
      <c r="Q1698" s="99"/>
      <c r="R1698" t="s" s="144">
        <v>743</v>
      </c>
      <c r="S1698" s="77"/>
    </row>
    <row r="1699" ht="13.65" customHeight="1">
      <c r="A1699" s="78">
        <v>46174</v>
      </c>
      <c r="B1699" t="s" s="79">
        <v>61</v>
      </c>
      <c r="C1699" t="s" s="80">
        <v>1036</v>
      </c>
      <c r="D1699" s="131">
        <v>38</v>
      </c>
      <c r="E1699" t="s" s="79">
        <v>1056</v>
      </c>
      <c r="F1699" t="s" s="80">
        <v>223</v>
      </c>
      <c r="G1699" s="132">
        <v>202</v>
      </c>
      <c r="H1699" t="s" s="133">
        <v>960</v>
      </c>
      <c r="I1699" t="s" s="134">
        <v>131</v>
      </c>
      <c r="J1699" t="s" s="134">
        <v>97</v>
      </c>
      <c r="K1699" t="str" s="135" cm="1">
        <f t="array" ref="K1699">IF(OR(H1699="ריביות",AND(H1699="דירה כצנלסון",G1699&lt;0,ISNUMBER(SEARCH("הכנסה",F1699)))),"הכנסה שסווגה מחדש",J1699)</f>
        <v>שוטף</v>
      </c>
      <c r="L1699" t="s" s="134">
        <v>741</v>
      </c>
      <c r="M1699" s="136" cm="1">
        <f t="array" ref="M1699">IF(L1699="מאושר",IF(K1699="הכנסה שסווגה מחדש",0,G1699),0)</f>
        <v>202</v>
      </c>
      <c r="N1699" s="136" cm="1">
        <f t="array" ref="N1699">IF(K1699="שוטף",M1699,0)</f>
        <v>202</v>
      </c>
      <c r="O1699" s="136" cm="1">
        <f t="array" ref="O1699">IF(K1699="הכנסה שסווגה מחדש",-G1699,0)</f>
        <v>0</v>
      </c>
      <c r="P1699" t="s" s="80">
        <v>847</v>
      </c>
      <c r="Q1699" s="100"/>
      <c r="R1699" t="s" s="137">
        <v>743</v>
      </c>
      <c r="S1699" s="77"/>
    </row>
    <row r="1700" ht="13.65" customHeight="1">
      <c r="A1700" s="84">
        <v>46174</v>
      </c>
      <c r="B1700" t="s" s="85">
        <v>61</v>
      </c>
      <c r="C1700" t="s" s="86">
        <v>1036</v>
      </c>
      <c r="D1700" s="138">
        <v>39</v>
      </c>
      <c r="E1700" t="s" s="85">
        <v>1057</v>
      </c>
      <c r="F1700" t="s" s="86">
        <v>680</v>
      </c>
      <c r="G1700" s="139">
        <v>3</v>
      </c>
      <c r="H1700" t="s" s="140">
        <v>109</v>
      </c>
      <c r="I1700" t="s" s="141">
        <v>109</v>
      </c>
      <c r="J1700" t="s" s="141">
        <v>97</v>
      </c>
      <c r="K1700" t="str" s="142" cm="1">
        <f t="array" ref="K1700">IF(OR(H1700="ריביות",AND(H1700="דירה כצנלסון",G1700&lt;0,ISNUMBER(SEARCH("הכנסה",F1700)))),"הכנסה שסווגה מחדש",J1700)</f>
        <v>שוטף</v>
      </c>
      <c r="L1700" t="s" s="141">
        <v>741</v>
      </c>
      <c r="M1700" s="143" cm="1">
        <f t="array" ref="M1700">IF(L1700="מאושר",IF(K1700="הכנסה שסווגה מחדש",0,G1700),0)</f>
        <v>3</v>
      </c>
      <c r="N1700" s="143" cm="1">
        <f t="array" ref="N1700">IF(K1700="שוטף",M1700,0)</f>
        <v>3</v>
      </c>
      <c r="O1700" s="143" cm="1">
        <f t="array" ref="O1700">IF(K1700="הכנסה שסווגה מחדש",-G1700,0)</f>
        <v>0</v>
      </c>
      <c r="P1700" t="s" s="86">
        <v>847</v>
      </c>
      <c r="Q1700" s="99"/>
      <c r="R1700" t="s" s="144">
        <v>743</v>
      </c>
      <c r="S1700" s="77"/>
    </row>
    <row r="1701" ht="13.65" customHeight="1">
      <c r="A1701" s="78">
        <v>46174</v>
      </c>
      <c r="B1701" t="s" s="79">
        <v>61</v>
      </c>
      <c r="C1701" t="s" s="80">
        <v>1036</v>
      </c>
      <c r="D1701" s="131">
        <v>40</v>
      </c>
      <c r="E1701" t="s" s="79">
        <v>1058</v>
      </c>
      <c r="F1701" t="s" s="80">
        <v>200</v>
      </c>
      <c r="G1701" s="132">
        <v>1024</v>
      </c>
      <c r="H1701" t="s" s="133">
        <v>109</v>
      </c>
      <c r="I1701" t="s" s="134">
        <v>109</v>
      </c>
      <c r="J1701" t="s" s="134">
        <v>97</v>
      </c>
      <c r="K1701" t="str" s="135" cm="1">
        <f t="array" ref="K1701">IF(OR(H1701="ריביות",AND(H1701="דירה כצנלסון",G1701&lt;0,ISNUMBER(SEARCH("הכנסה",F1701)))),"הכנסה שסווגה מחדש",J1701)</f>
        <v>שוטף</v>
      </c>
      <c r="L1701" t="s" s="134">
        <v>741</v>
      </c>
      <c r="M1701" s="136" cm="1">
        <f t="array" ref="M1701">IF(L1701="מאושר",IF(K1701="הכנסה שסווגה מחדש",0,G1701),0)</f>
        <v>1024</v>
      </c>
      <c r="N1701" s="136" cm="1">
        <f t="array" ref="N1701">IF(K1701="שוטף",M1701,0)</f>
        <v>1024</v>
      </c>
      <c r="O1701" s="136" cm="1">
        <f t="array" ref="O1701">IF(K1701="הכנסה שסווגה מחדש",-G1701,0)</f>
        <v>0</v>
      </c>
      <c r="P1701" t="s" s="80">
        <v>847</v>
      </c>
      <c r="Q1701" s="100"/>
      <c r="R1701" t="s" s="137">
        <v>743</v>
      </c>
      <c r="S1701" s="77"/>
    </row>
    <row r="1702" ht="13.65" customHeight="1">
      <c r="A1702" s="84">
        <v>46174</v>
      </c>
      <c r="B1702" t="s" s="85">
        <v>61</v>
      </c>
      <c r="C1702" t="s" s="86">
        <v>1036</v>
      </c>
      <c r="D1702" s="138">
        <v>41</v>
      </c>
      <c r="E1702" t="s" s="85">
        <v>1059</v>
      </c>
      <c r="F1702" t="s" s="86">
        <v>235</v>
      </c>
      <c r="G1702" s="139">
        <v>330</v>
      </c>
      <c r="H1702" t="s" s="140">
        <v>109</v>
      </c>
      <c r="I1702" t="s" s="141">
        <v>109</v>
      </c>
      <c r="J1702" t="s" s="141">
        <v>97</v>
      </c>
      <c r="K1702" t="str" s="142" cm="1">
        <f t="array" ref="K1702">IF(OR(H1702="ריביות",AND(H1702="דירה כצנלסון",G1702&lt;0,ISNUMBER(SEARCH("הכנסה",F1702)))),"הכנסה שסווגה מחדש",J1702)</f>
        <v>שוטף</v>
      </c>
      <c r="L1702" t="s" s="141">
        <v>741</v>
      </c>
      <c r="M1702" s="143" cm="1">
        <f t="array" ref="M1702">IF(L1702="מאושר",IF(K1702="הכנסה שסווגה מחדש",0,G1702),0)</f>
        <v>330</v>
      </c>
      <c r="N1702" s="143" cm="1">
        <f t="array" ref="N1702">IF(K1702="שוטף",M1702,0)</f>
        <v>330</v>
      </c>
      <c r="O1702" s="143" cm="1">
        <f t="array" ref="O1702">IF(K1702="הכנסה שסווגה מחדש",-G1702,0)</f>
        <v>0</v>
      </c>
      <c r="P1702" t="s" s="86">
        <v>842</v>
      </c>
      <c r="Q1702" s="99"/>
      <c r="R1702" t="s" s="144">
        <v>743</v>
      </c>
      <c r="S1702" s="77"/>
    </row>
    <row r="1703" ht="13.65" customHeight="1">
      <c r="A1703" s="78">
        <v>46174</v>
      </c>
      <c r="B1703" t="s" s="79">
        <v>61</v>
      </c>
      <c r="C1703" t="s" s="80">
        <v>1036</v>
      </c>
      <c r="D1703" s="131">
        <v>42</v>
      </c>
      <c r="E1703" t="s" s="79">
        <v>1060</v>
      </c>
      <c r="F1703" t="s" s="80">
        <v>231</v>
      </c>
      <c r="G1703" s="132">
        <v>135</v>
      </c>
      <c r="H1703" t="s" s="133">
        <v>113</v>
      </c>
      <c r="I1703" t="s" s="134">
        <v>113</v>
      </c>
      <c r="J1703" t="s" s="134">
        <v>97</v>
      </c>
      <c r="K1703" t="str" s="135" cm="1">
        <f t="array" ref="K1703">IF(OR(H1703="ריביות",AND(H1703="דירה כצנלסון",G1703&lt;0,ISNUMBER(SEARCH("הכנסה",F1703)))),"הכנסה שסווגה מחדש",J1703)</f>
        <v>שוטף</v>
      </c>
      <c r="L1703" t="s" s="134">
        <v>741</v>
      </c>
      <c r="M1703" s="136" cm="1">
        <f t="array" ref="M1703">IF(L1703="מאושר",IF(K1703="הכנסה שסווגה מחדש",0,G1703),0)</f>
        <v>135</v>
      </c>
      <c r="N1703" s="136" cm="1">
        <f t="array" ref="N1703">IF(K1703="שוטף",M1703,0)</f>
        <v>135</v>
      </c>
      <c r="O1703" s="136" cm="1">
        <f t="array" ref="O1703">IF(K1703="הכנסה שסווגה מחדש",-G1703,0)</f>
        <v>0</v>
      </c>
      <c r="P1703" t="s" s="80">
        <v>842</v>
      </c>
      <c r="Q1703" s="100"/>
      <c r="R1703" t="s" s="137">
        <v>743</v>
      </c>
      <c r="S1703" s="77"/>
    </row>
    <row r="1704" ht="13.65" customHeight="1">
      <c r="A1704" s="84">
        <v>46174</v>
      </c>
      <c r="B1704" t="s" s="85">
        <v>61</v>
      </c>
      <c r="C1704" t="s" s="86">
        <v>1036</v>
      </c>
      <c r="D1704" s="138">
        <v>43</v>
      </c>
      <c r="E1704" t="s" s="85">
        <v>1046</v>
      </c>
      <c r="F1704" t="s" s="86">
        <v>200</v>
      </c>
      <c r="G1704" s="139">
        <v>587</v>
      </c>
      <c r="H1704" t="s" s="140">
        <v>109</v>
      </c>
      <c r="I1704" t="s" s="141">
        <v>109</v>
      </c>
      <c r="J1704" t="s" s="141">
        <v>97</v>
      </c>
      <c r="K1704" t="str" s="142" cm="1">
        <f t="array" ref="K1704">IF(OR(H1704="ריביות",AND(H1704="דירה כצנלסון",G1704&lt;0,ISNUMBER(SEARCH("הכנסה",F1704)))),"הכנסה שסווגה מחדש",J1704)</f>
        <v>שוטף</v>
      </c>
      <c r="L1704" t="s" s="141">
        <v>741</v>
      </c>
      <c r="M1704" s="143" cm="1">
        <f t="array" ref="M1704">IF(L1704="מאושר",IF(K1704="הכנסה שסווגה מחדש",0,G1704),0)</f>
        <v>587</v>
      </c>
      <c r="N1704" s="143" cm="1">
        <f t="array" ref="N1704">IF(K1704="שוטף",M1704,0)</f>
        <v>587</v>
      </c>
      <c r="O1704" s="143" cm="1">
        <f t="array" ref="O1704">IF(K1704="הכנסה שסווגה מחדש",-G1704,0)</f>
        <v>0</v>
      </c>
      <c r="P1704" t="s" s="86">
        <v>842</v>
      </c>
      <c r="Q1704" s="99"/>
      <c r="R1704" t="s" s="144">
        <v>743</v>
      </c>
      <c r="S1704" s="77"/>
    </row>
    <row r="1705" ht="13.65" customHeight="1">
      <c r="A1705" s="78">
        <v>46174</v>
      </c>
      <c r="B1705" t="s" s="79">
        <v>61</v>
      </c>
      <c r="C1705" t="s" s="80">
        <v>1036</v>
      </c>
      <c r="D1705" s="131">
        <v>44</v>
      </c>
      <c r="E1705" t="s" s="79">
        <v>1049</v>
      </c>
      <c r="F1705" t="s" s="80">
        <v>558</v>
      </c>
      <c r="G1705" s="132">
        <v>11</v>
      </c>
      <c r="H1705" t="s" s="133">
        <v>117</v>
      </c>
      <c r="I1705" t="s" s="134">
        <v>117</v>
      </c>
      <c r="J1705" t="s" s="134">
        <v>97</v>
      </c>
      <c r="K1705" t="str" s="135" cm="1">
        <f t="array" ref="K1705">IF(OR(H1705="ריביות",AND(H1705="דירה כצנלסון",G1705&lt;0,ISNUMBER(SEARCH("הכנסה",F1705)))),"הכנסה שסווגה מחדש",J1705)</f>
        <v>שוטף</v>
      </c>
      <c r="L1705" t="s" s="134">
        <v>741</v>
      </c>
      <c r="M1705" s="136" cm="1">
        <f t="array" ref="M1705">IF(L1705="מאושר",IF(K1705="הכנסה שסווגה מחדש",0,G1705),0)</f>
        <v>11</v>
      </c>
      <c r="N1705" s="136" cm="1">
        <f t="array" ref="N1705">IF(K1705="שוטף",M1705,0)</f>
        <v>11</v>
      </c>
      <c r="O1705" s="136" cm="1">
        <f t="array" ref="O1705">IF(K1705="הכנסה שסווגה מחדש",-G1705,0)</f>
        <v>0</v>
      </c>
      <c r="P1705" t="s" s="80">
        <v>842</v>
      </c>
      <c r="Q1705" s="100"/>
      <c r="R1705" t="s" s="137">
        <v>743</v>
      </c>
      <c r="S1705" s="77"/>
    </row>
    <row r="1706" ht="13.65" customHeight="1">
      <c r="A1706" s="84">
        <v>46174</v>
      </c>
      <c r="B1706" t="s" s="85">
        <v>61</v>
      </c>
      <c r="C1706" t="s" s="86">
        <v>1036</v>
      </c>
      <c r="D1706" s="138">
        <v>45</v>
      </c>
      <c r="E1706" t="s" s="85">
        <v>1061</v>
      </c>
      <c r="F1706" t="s" s="86">
        <v>479</v>
      </c>
      <c r="G1706" s="139">
        <v>25</v>
      </c>
      <c r="H1706" t="s" s="140">
        <v>113</v>
      </c>
      <c r="I1706" t="s" s="141">
        <v>113</v>
      </c>
      <c r="J1706" t="s" s="141">
        <v>97</v>
      </c>
      <c r="K1706" t="str" s="142" cm="1">
        <f t="array" ref="K1706">IF(OR(H1706="ריביות",AND(H1706="דירה כצנלסון",G1706&lt;0,ISNUMBER(SEARCH("הכנסה",F1706)))),"הכנסה שסווגה מחדש",J1706)</f>
        <v>שוטף</v>
      </c>
      <c r="L1706" t="s" s="141">
        <v>741</v>
      </c>
      <c r="M1706" s="143" cm="1">
        <f t="array" ref="M1706">IF(L1706="מאושר",IF(K1706="הכנסה שסווגה מחדש",0,G1706),0)</f>
        <v>25</v>
      </c>
      <c r="N1706" s="143" cm="1">
        <f t="array" ref="N1706">IF(K1706="שוטף",M1706,0)</f>
        <v>25</v>
      </c>
      <c r="O1706" s="143" cm="1">
        <f t="array" ref="O1706">IF(K1706="הכנסה שסווגה מחדש",-G1706,0)</f>
        <v>0</v>
      </c>
      <c r="P1706" t="s" s="86">
        <v>842</v>
      </c>
      <c r="Q1706" s="99"/>
      <c r="R1706" t="s" s="144">
        <v>743</v>
      </c>
      <c r="S1706" s="77"/>
    </row>
    <row r="1707" ht="13.65" customHeight="1">
      <c r="A1707" s="78">
        <v>46174</v>
      </c>
      <c r="B1707" t="s" s="79">
        <v>61</v>
      </c>
      <c r="C1707" t="s" s="80">
        <v>1036</v>
      </c>
      <c r="D1707" s="131">
        <v>46</v>
      </c>
      <c r="E1707" t="s" s="79">
        <v>1062</v>
      </c>
      <c r="F1707" t="s" s="80">
        <v>254</v>
      </c>
      <c r="G1707" s="132">
        <v>36</v>
      </c>
      <c r="H1707" t="s" s="133">
        <v>109</v>
      </c>
      <c r="I1707" t="s" s="134">
        <v>109</v>
      </c>
      <c r="J1707" t="s" s="134">
        <v>97</v>
      </c>
      <c r="K1707" t="str" s="135" cm="1">
        <f t="array" ref="K1707">IF(OR(H1707="ריביות",AND(H1707="דירה כצנלסון",G1707&lt;0,ISNUMBER(SEARCH("הכנסה",F1707)))),"הכנסה שסווגה מחדש",J1707)</f>
        <v>שוטף</v>
      </c>
      <c r="L1707" t="s" s="134">
        <v>741</v>
      </c>
      <c r="M1707" s="136" cm="1">
        <f t="array" ref="M1707">IF(L1707="מאושר",IF(K1707="הכנסה שסווגה מחדש",0,G1707),0)</f>
        <v>36</v>
      </c>
      <c r="N1707" s="136" cm="1">
        <f t="array" ref="N1707">IF(K1707="שוטף",M1707,0)</f>
        <v>36</v>
      </c>
      <c r="O1707" s="136" cm="1">
        <f t="array" ref="O1707">IF(K1707="הכנסה שסווגה מחדש",-G1707,0)</f>
        <v>0</v>
      </c>
      <c r="P1707" t="s" s="80">
        <v>842</v>
      </c>
      <c r="Q1707" s="100"/>
      <c r="R1707" t="s" s="137">
        <v>743</v>
      </c>
      <c r="S1707" s="77"/>
    </row>
    <row r="1708" ht="13.65" customHeight="1">
      <c r="A1708" s="84">
        <v>46174</v>
      </c>
      <c r="B1708" t="s" s="85">
        <v>61</v>
      </c>
      <c r="C1708" t="s" s="86">
        <v>1036</v>
      </c>
      <c r="D1708" s="138">
        <v>47</v>
      </c>
      <c r="E1708" t="s" s="85">
        <v>1052</v>
      </c>
      <c r="F1708" t="s" s="86">
        <v>557</v>
      </c>
      <c r="G1708" s="139">
        <v>79</v>
      </c>
      <c r="H1708" t="s" s="140">
        <v>113</v>
      </c>
      <c r="I1708" t="s" s="141">
        <v>113</v>
      </c>
      <c r="J1708" t="s" s="141">
        <v>97</v>
      </c>
      <c r="K1708" t="str" s="142" cm="1">
        <f t="array" ref="K1708">IF(OR(H1708="ריביות",AND(H1708="דירה כצנלסון",G1708&lt;0,ISNUMBER(SEARCH("הכנסה",F1708)))),"הכנסה שסווגה מחדש",J1708)</f>
        <v>שוטף</v>
      </c>
      <c r="L1708" t="s" s="141">
        <v>741</v>
      </c>
      <c r="M1708" s="143" cm="1">
        <f t="array" ref="M1708">IF(L1708="מאושר",IF(K1708="הכנסה שסווגה מחדש",0,G1708),0)</f>
        <v>79</v>
      </c>
      <c r="N1708" s="143" cm="1">
        <f t="array" ref="N1708">IF(K1708="שוטף",M1708,0)</f>
        <v>79</v>
      </c>
      <c r="O1708" s="143" cm="1">
        <f t="array" ref="O1708">IF(K1708="הכנסה שסווגה מחדש",-G1708,0)</f>
        <v>0</v>
      </c>
      <c r="P1708" t="s" s="86">
        <v>842</v>
      </c>
      <c r="Q1708" s="99"/>
      <c r="R1708" t="s" s="144">
        <v>743</v>
      </c>
      <c r="S1708" s="77"/>
    </row>
    <row r="1709" ht="13.65" customHeight="1">
      <c r="A1709" s="78">
        <v>46174</v>
      </c>
      <c r="B1709" t="s" s="79">
        <v>61</v>
      </c>
      <c r="C1709" t="s" s="80">
        <v>1036</v>
      </c>
      <c r="D1709" s="131">
        <v>48</v>
      </c>
      <c r="E1709" t="s" s="79">
        <v>1052</v>
      </c>
      <c r="F1709" t="s" s="80">
        <v>200</v>
      </c>
      <c r="G1709" s="132">
        <v>26</v>
      </c>
      <c r="H1709" t="s" s="133">
        <v>109</v>
      </c>
      <c r="I1709" t="s" s="134">
        <v>109</v>
      </c>
      <c r="J1709" t="s" s="134">
        <v>97</v>
      </c>
      <c r="K1709" t="str" s="135" cm="1">
        <f t="array" ref="K1709">IF(OR(H1709="ריביות",AND(H1709="דירה כצנלסון",G1709&lt;0,ISNUMBER(SEARCH("הכנסה",F1709)))),"הכנסה שסווגה מחדש",J1709)</f>
        <v>שוטף</v>
      </c>
      <c r="L1709" t="s" s="134">
        <v>741</v>
      </c>
      <c r="M1709" s="136" cm="1">
        <f t="array" ref="M1709">IF(L1709="מאושר",IF(K1709="הכנסה שסווגה מחדש",0,G1709),0)</f>
        <v>26</v>
      </c>
      <c r="N1709" s="136" cm="1">
        <f t="array" ref="N1709">IF(K1709="שוטף",M1709,0)</f>
        <v>26</v>
      </c>
      <c r="O1709" s="136" cm="1">
        <f t="array" ref="O1709">IF(K1709="הכנסה שסווגה מחדש",-G1709,0)</f>
        <v>0</v>
      </c>
      <c r="P1709" t="s" s="80">
        <v>842</v>
      </c>
      <c r="Q1709" s="100"/>
      <c r="R1709" t="s" s="137">
        <v>743</v>
      </c>
      <c r="S1709" s="77"/>
    </row>
    <row r="1710" ht="13.65" customHeight="1">
      <c r="A1710" s="84">
        <v>46174</v>
      </c>
      <c r="B1710" t="s" s="85">
        <v>61</v>
      </c>
      <c r="C1710" t="s" s="86">
        <v>1036</v>
      </c>
      <c r="D1710" s="138">
        <v>49</v>
      </c>
      <c r="E1710" t="s" s="85">
        <v>1053</v>
      </c>
      <c r="F1710" t="s" s="86">
        <v>254</v>
      </c>
      <c r="G1710" s="139">
        <v>35</v>
      </c>
      <c r="H1710" t="s" s="140">
        <v>109</v>
      </c>
      <c r="I1710" t="s" s="141">
        <v>109</v>
      </c>
      <c r="J1710" t="s" s="141">
        <v>97</v>
      </c>
      <c r="K1710" t="str" s="142" cm="1">
        <f t="array" ref="K1710">IF(OR(H1710="ריביות",AND(H1710="דירה כצנלסון",G1710&lt;0,ISNUMBER(SEARCH("הכנסה",F1710)))),"הכנסה שסווגה מחדש",J1710)</f>
        <v>שוטף</v>
      </c>
      <c r="L1710" t="s" s="141">
        <v>741</v>
      </c>
      <c r="M1710" s="143" cm="1">
        <f t="array" ref="M1710">IF(L1710="מאושר",IF(K1710="הכנסה שסווגה מחדש",0,G1710),0)</f>
        <v>35</v>
      </c>
      <c r="N1710" s="143" cm="1">
        <f t="array" ref="N1710">IF(K1710="שוטף",M1710,0)</f>
        <v>35</v>
      </c>
      <c r="O1710" s="143" cm="1">
        <f t="array" ref="O1710">IF(K1710="הכנסה שסווגה מחדש",-G1710,0)</f>
        <v>0</v>
      </c>
      <c r="P1710" t="s" s="86">
        <v>842</v>
      </c>
      <c r="Q1710" s="99"/>
      <c r="R1710" t="s" s="144">
        <v>743</v>
      </c>
      <c r="S1710" s="77"/>
    </row>
    <row r="1711" ht="13.65" customHeight="1">
      <c r="A1711" s="78">
        <v>46174</v>
      </c>
      <c r="B1711" t="s" s="79">
        <v>61</v>
      </c>
      <c r="C1711" t="s" s="80">
        <v>1036</v>
      </c>
      <c r="D1711" s="131">
        <v>50</v>
      </c>
      <c r="E1711" t="s" s="79">
        <v>1063</v>
      </c>
      <c r="F1711" t="s" s="80">
        <v>647</v>
      </c>
      <c r="G1711" s="132">
        <v>12</v>
      </c>
      <c r="H1711" t="s" s="133">
        <v>113</v>
      </c>
      <c r="I1711" t="s" s="134">
        <v>113</v>
      </c>
      <c r="J1711" t="s" s="134">
        <v>97</v>
      </c>
      <c r="K1711" t="str" s="135" cm="1">
        <f t="array" ref="K1711">IF(OR(H1711="ריביות",AND(H1711="דירה כצנלסון",G1711&lt;0,ISNUMBER(SEARCH("הכנסה",F1711)))),"הכנסה שסווגה מחדש",J1711)</f>
        <v>שוטף</v>
      </c>
      <c r="L1711" t="s" s="134">
        <v>741</v>
      </c>
      <c r="M1711" s="136" cm="1">
        <f t="array" ref="M1711">IF(L1711="מאושר",IF(K1711="הכנסה שסווגה מחדש",0,G1711),0)</f>
        <v>12</v>
      </c>
      <c r="N1711" s="136" cm="1">
        <f t="array" ref="N1711">IF(K1711="שוטף",M1711,0)</f>
        <v>12</v>
      </c>
      <c r="O1711" s="136" cm="1">
        <f t="array" ref="O1711">IF(K1711="הכנסה שסווגה מחדש",-G1711,0)</f>
        <v>0</v>
      </c>
      <c r="P1711" t="s" s="80">
        <v>842</v>
      </c>
      <c r="Q1711" s="100"/>
      <c r="R1711" t="s" s="137">
        <v>743</v>
      </c>
      <c r="S1711" s="77"/>
    </row>
    <row r="1712" ht="13.65" customHeight="1">
      <c r="A1712" s="84">
        <v>46174</v>
      </c>
      <c r="B1712" t="s" s="85">
        <v>61</v>
      </c>
      <c r="C1712" t="s" s="86">
        <v>1036</v>
      </c>
      <c r="D1712" s="138">
        <v>51</v>
      </c>
      <c r="E1712" t="s" s="85">
        <v>1054</v>
      </c>
      <c r="F1712" t="s" s="86">
        <v>213</v>
      </c>
      <c r="G1712" s="139">
        <v>233</v>
      </c>
      <c r="H1712" t="s" s="140">
        <v>115</v>
      </c>
      <c r="I1712" t="s" s="141">
        <v>115</v>
      </c>
      <c r="J1712" t="s" s="141">
        <v>97</v>
      </c>
      <c r="K1712" t="str" s="142" cm="1">
        <f t="array" ref="K1712">IF(OR(H1712="ריביות",AND(H1712="דירה כצנלסון",G1712&lt;0,ISNUMBER(SEARCH("הכנסה",F1712)))),"הכנסה שסווגה מחדש",J1712)</f>
        <v>שוטף</v>
      </c>
      <c r="L1712" t="s" s="141">
        <v>741</v>
      </c>
      <c r="M1712" s="143" cm="1">
        <f t="array" ref="M1712">IF(L1712="מאושר",IF(K1712="הכנסה שסווגה מחדש",0,G1712),0)</f>
        <v>233</v>
      </c>
      <c r="N1712" s="143" cm="1">
        <f t="array" ref="N1712">IF(K1712="שוטף",M1712,0)</f>
        <v>233</v>
      </c>
      <c r="O1712" s="143" cm="1">
        <f t="array" ref="O1712">IF(K1712="הכנסה שסווגה מחדש",-G1712,0)</f>
        <v>0</v>
      </c>
      <c r="P1712" t="s" s="86">
        <v>842</v>
      </c>
      <c r="Q1712" s="99"/>
      <c r="R1712" t="s" s="144">
        <v>743</v>
      </c>
      <c r="S1712" s="77"/>
    </row>
    <row r="1713" ht="13.65" customHeight="1">
      <c r="A1713" s="78">
        <v>46174</v>
      </c>
      <c r="B1713" t="s" s="79">
        <v>61</v>
      </c>
      <c r="C1713" t="s" s="80">
        <v>1036</v>
      </c>
      <c r="D1713" s="131">
        <v>52</v>
      </c>
      <c r="E1713" t="s" s="79">
        <v>1038</v>
      </c>
      <c r="F1713" t="s" s="80">
        <v>647</v>
      </c>
      <c r="G1713" s="132">
        <v>9</v>
      </c>
      <c r="H1713" t="s" s="133">
        <v>113</v>
      </c>
      <c r="I1713" t="s" s="134">
        <v>113</v>
      </c>
      <c r="J1713" t="s" s="134">
        <v>97</v>
      </c>
      <c r="K1713" t="str" s="135" cm="1">
        <f t="array" ref="K1713">IF(OR(H1713="ריביות",AND(H1713="דירה כצנלסון",G1713&lt;0,ISNUMBER(SEARCH("הכנסה",F1713)))),"הכנסה שסווגה מחדש",J1713)</f>
        <v>שוטף</v>
      </c>
      <c r="L1713" t="s" s="134">
        <v>741</v>
      </c>
      <c r="M1713" s="136" cm="1">
        <f t="array" ref="M1713">IF(L1713="מאושר",IF(K1713="הכנסה שסווגה מחדש",0,G1713),0)</f>
        <v>9</v>
      </c>
      <c r="N1713" s="136" cm="1">
        <f t="array" ref="N1713">IF(K1713="שוטף",M1713,0)</f>
        <v>9</v>
      </c>
      <c r="O1713" s="136" cm="1">
        <f t="array" ref="O1713">IF(K1713="הכנסה שסווגה מחדש",-G1713,0)</f>
        <v>0</v>
      </c>
      <c r="P1713" t="s" s="80">
        <v>842</v>
      </c>
      <c r="Q1713" s="100"/>
      <c r="R1713" t="s" s="137">
        <v>743</v>
      </c>
      <c r="S1713" s="77"/>
    </row>
    <row r="1714" ht="13.65" customHeight="1">
      <c r="A1714" s="84">
        <v>46174</v>
      </c>
      <c r="B1714" t="s" s="85">
        <v>61</v>
      </c>
      <c r="C1714" t="s" s="86">
        <v>1036</v>
      </c>
      <c r="D1714" s="138">
        <v>53</v>
      </c>
      <c r="E1714" t="s" s="85">
        <v>1055</v>
      </c>
      <c r="F1714" t="s" s="86">
        <v>200</v>
      </c>
      <c r="G1714" s="139">
        <v>13</v>
      </c>
      <c r="H1714" t="s" s="140">
        <v>109</v>
      </c>
      <c r="I1714" t="s" s="141">
        <v>109</v>
      </c>
      <c r="J1714" t="s" s="141">
        <v>97</v>
      </c>
      <c r="K1714" t="str" s="142" cm="1">
        <f t="array" ref="K1714">IF(OR(H1714="ריביות",AND(H1714="דירה כצנלסון",G1714&lt;0,ISNUMBER(SEARCH("הכנסה",F1714)))),"הכנסה שסווגה מחדש",J1714)</f>
        <v>שוטף</v>
      </c>
      <c r="L1714" t="s" s="141">
        <v>741</v>
      </c>
      <c r="M1714" s="143" cm="1">
        <f t="array" ref="M1714">IF(L1714="מאושר",IF(K1714="הכנסה שסווגה מחדש",0,G1714),0)</f>
        <v>13</v>
      </c>
      <c r="N1714" s="143" cm="1">
        <f t="array" ref="N1714">IF(K1714="שוטף",M1714,0)</f>
        <v>13</v>
      </c>
      <c r="O1714" s="143" cm="1">
        <f t="array" ref="O1714">IF(K1714="הכנסה שסווגה מחדש",-G1714,0)</f>
        <v>0</v>
      </c>
      <c r="P1714" t="s" s="86">
        <v>842</v>
      </c>
      <c r="Q1714" s="99"/>
      <c r="R1714" t="s" s="144">
        <v>743</v>
      </c>
      <c r="S1714" s="77"/>
    </row>
    <row r="1715" ht="13.65" customHeight="1">
      <c r="A1715" s="78">
        <v>46174</v>
      </c>
      <c r="B1715" t="s" s="79">
        <v>61</v>
      </c>
      <c r="C1715" t="s" s="80">
        <v>1036</v>
      </c>
      <c r="D1715" s="131">
        <v>54</v>
      </c>
      <c r="E1715" t="s" s="79">
        <v>1055</v>
      </c>
      <c r="F1715" t="s" s="80">
        <v>647</v>
      </c>
      <c r="G1715" s="132">
        <v>9</v>
      </c>
      <c r="H1715" t="s" s="133">
        <v>113</v>
      </c>
      <c r="I1715" t="s" s="134">
        <v>113</v>
      </c>
      <c r="J1715" t="s" s="134">
        <v>97</v>
      </c>
      <c r="K1715" t="str" s="135" cm="1">
        <f t="array" ref="K1715">IF(OR(H1715="ריביות",AND(H1715="דירה כצנלסון",G1715&lt;0,ISNUMBER(SEARCH("הכנסה",F1715)))),"הכנסה שסווגה מחדש",J1715)</f>
        <v>שוטף</v>
      </c>
      <c r="L1715" t="s" s="134">
        <v>741</v>
      </c>
      <c r="M1715" s="136" cm="1">
        <f t="array" ref="M1715">IF(L1715="מאושר",IF(K1715="הכנסה שסווגה מחדש",0,G1715),0)</f>
        <v>9</v>
      </c>
      <c r="N1715" s="136" cm="1">
        <f t="array" ref="N1715">IF(K1715="שוטף",M1715,0)</f>
        <v>9</v>
      </c>
      <c r="O1715" s="136" cm="1">
        <f t="array" ref="O1715">IF(K1715="הכנסה שסווגה מחדש",-G1715,0)</f>
        <v>0</v>
      </c>
      <c r="P1715" t="s" s="80">
        <v>842</v>
      </c>
      <c r="Q1715" s="100"/>
      <c r="R1715" t="s" s="137">
        <v>743</v>
      </c>
      <c r="S1715" s="77"/>
    </row>
    <row r="1716" ht="13.65" customHeight="1">
      <c r="A1716" s="84">
        <v>46174</v>
      </c>
      <c r="B1716" t="s" s="85">
        <v>61</v>
      </c>
      <c r="C1716" t="s" s="86">
        <v>1036</v>
      </c>
      <c r="D1716" s="138">
        <v>55</v>
      </c>
      <c r="E1716" t="s" s="85">
        <v>1041</v>
      </c>
      <c r="F1716" t="s" s="86">
        <v>254</v>
      </c>
      <c r="G1716" s="139">
        <v>48</v>
      </c>
      <c r="H1716" t="s" s="140">
        <v>109</v>
      </c>
      <c r="I1716" t="s" s="141">
        <v>109</v>
      </c>
      <c r="J1716" t="s" s="141">
        <v>97</v>
      </c>
      <c r="K1716" t="str" s="142" cm="1">
        <f t="array" ref="K1716">IF(OR(H1716="ריביות",AND(H1716="דירה כצנלסון",G1716&lt;0,ISNUMBER(SEARCH("הכנסה",F1716)))),"הכנסה שסווגה מחדש",J1716)</f>
        <v>שוטף</v>
      </c>
      <c r="L1716" t="s" s="141">
        <v>741</v>
      </c>
      <c r="M1716" s="143" cm="1">
        <f t="array" ref="M1716">IF(L1716="מאושר",IF(K1716="הכנסה שסווגה מחדש",0,G1716),0)</f>
        <v>48</v>
      </c>
      <c r="N1716" s="143" cm="1">
        <f t="array" ref="N1716">IF(K1716="שוטף",M1716,0)</f>
        <v>48</v>
      </c>
      <c r="O1716" s="143" cm="1">
        <f t="array" ref="O1716">IF(K1716="הכנסה שסווגה מחדש",-G1716,0)</f>
        <v>0</v>
      </c>
      <c r="P1716" t="s" s="86">
        <v>842</v>
      </c>
      <c r="Q1716" s="99"/>
      <c r="R1716" t="s" s="144">
        <v>743</v>
      </c>
      <c r="S1716" s="77"/>
    </row>
    <row r="1717" ht="13.65" customHeight="1">
      <c r="A1717" s="78">
        <v>46174</v>
      </c>
      <c r="B1717" t="s" s="79">
        <v>61</v>
      </c>
      <c r="C1717" t="s" s="80">
        <v>1036</v>
      </c>
      <c r="D1717" s="131">
        <v>56</v>
      </c>
      <c r="E1717" t="s" s="79">
        <v>1041</v>
      </c>
      <c r="F1717" t="s" s="80">
        <v>640</v>
      </c>
      <c r="G1717" s="132">
        <v>35</v>
      </c>
      <c r="H1717" t="s" s="133">
        <v>109</v>
      </c>
      <c r="I1717" t="s" s="134">
        <v>109</v>
      </c>
      <c r="J1717" t="s" s="134">
        <v>97</v>
      </c>
      <c r="K1717" t="str" s="135" cm="1">
        <f t="array" ref="K1717">IF(OR(H1717="ריביות",AND(H1717="דירה כצנלסון",G1717&lt;0,ISNUMBER(SEARCH("הכנסה",F1717)))),"הכנסה שסווגה מחדש",J1717)</f>
        <v>שוטף</v>
      </c>
      <c r="L1717" t="s" s="134">
        <v>741</v>
      </c>
      <c r="M1717" s="136" cm="1">
        <f t="array" ref="M1717">IF(L1717="מאושר",IF(K1717="הכנסה שסווגה מחדש",0,G1717),0)</f>
        <v>35</v>
      </c>
      <c r="N1717" s="136" cm="1">
        <f t="array" ref="N1717">IF(K1717="שוטף",M1717,0)</f>
        <v>35</v>
      </c>
      <c r="O1717" s="136" cm="1">
        <f t="array" ref="O1717">IF(K1717="הכנסה שסווגה מחדש",-G1717,0)</f>
        <v>0</v>
      </c>
      <c r="P1717" t="s" s="80">
        <v>842</v>
      </c>
      <c r="Q1717" s="100"/>
      <c r="R1717" t="s" s="137">
        <v>743</v>
      </c>
      <c r="S1717" s="77"/>
    </row>
    <row r="1718" ht="13.65" customHeight="1">
      <c r="A1718" s="84">
        <v>46174</v>
      </c>
      <c r="B1718" t="s" s="85">
        <v>61</v>
      </c>
      <c r="C1718" t="s" s="86">
        <v>1036</v>
      </c>
      <c r="D1718" s="138">
        <v>57</v>
      </c>
      <c r="E1718" t="s" s="85">
        <v>1041</v>
      </c>
      <c r="F1718" t="s" s="86">
        <v>693</v>
      </c>
      <c r="G1718" s="139">
        <v>14</v>
      </c>
      <c r="H1718" t="s" s="140">
        <v>113</v>
      </c>
      <c r="I1718" t="s" s="141">
        <v>113</v>
      </c>
      <c r="J1718" t="s" s="141">
        <v>97</v>
      </c>
      <c r="K1718" t="str" s="142" cm="1">
        <f t="array" ref="K1718">IF(OR(H1718="ריביות",AND(H1718="דירה כצנלסון",G1718&lt;0,ISNUMBER(SEARCH("הכנסה",F1718)))),"הכנסה שסווגה מחדש",J1718)</f>
        <v>שוטף</v>
      </c>
      <c r="L1718" t="s" s="141">
        <v>741</v>
      </c>
      <c r="M1718" s="143" cm="1">
        <f t="array" ref="M1718">IF(L1718="מאושר",IF(K1718="הכנסה שסווגה מחדש",0,G1718),0)</f>
        <v>14</v>
      </c>
      <c r="N1718" s="143" cm="1">
        <f t="array" ref="N1718">IF(K1718="שוטף",M1718,0)</f>
        <v>14</v>
      </c>
      <c r="O1718" s="143" cm="1">
        <f t="array" ref="O1718">IF(K1718="הכנסה שסווגה מחדש",-G1718,0)</f>
        <v>0</v>
      </c>
      <c r="P1718" t="s" s="86">
        <v>842</v>
      </c>
      <c r="Q1718" s="99"/>
      <c r="R1718" t="s" s="144">
        <v>743</v>
      </c>
      <c r="S1718" s="77"/>
    </row>
    <row r="1719" ht="13.65" customHeight="1">
      <c r="A1719" s="78">
        <v>46174</v>
      </c>
      <c r="B1719" t="s" s="79">
        <v>61</v>
      </c>
      <c r="C1719" t="s" s="80">
        <v>1036</v>
      </c>
      <c r="D1719" s="131">
        <v>58</v>
      </c>
      <c r="E1719" t="s" s="79">
        <v>1064</v>
      </c>
      <c r="F1719" t="s" s="80">
        <v>513</v>
      </c>
      <c r="G1719" s="132">
        <v>53</v>
      </c>
      <c r="H1719" t="s" s="133">
        <v>109</v>
      </c>
      <c r="I1719" t="s" s="134">
        <v>109</v>
      </c>
      <c r="J1719" t="s" s="134">
        <v>97</v>
      </c>
      <c r="K1719" t="str" s="135" cm="1">
        <f t="array" ref="K1719">IF(OR(H1719="ריביות",AND(H1719="דירה כצנלסון",G1719&lt;0,ISNUMBER(SEARCH("הכנסה",F1719)))),"הכנסה שסווגה מחדש",J1719)</f>
        <v>שוטף</v>
      </c>
      <c r="L1719" t="s" s="134">
        <v>741</v>
      </c>
      <c r="M1719" s="136" cm="1">
        <f t="array" ref="M1719">IF(L1719="מאושר",IF(K1719="הכנסה שסווגה מחדש",0,G1719),0)</f>
        <v>53</v>
      </c>
      <c r="N1719" s="136" cm="1">
        <f t="array" ref="N1719">IF(K1719="שוטף",M1719,0)</f>
        <v>53</v>
      </c>
      <c r="O1719" s="136" cm="1">
        <f t="array" ref="O1719">IF(K1719="הכנסה שסווגה מחדש",-G1719,0)</f>
        <v>0</v>
      </c>
      <c r="P1719" t="s" s="80">
        <v>842</v>
      </c>
      <c r="Q1719" s="100"/>
      <c r="R1719" t="s" s="137">
        <v>743</v>
      </c>
      <c r="S1719" s="77"/>
    </row>
    <row r="1720" ht="13.65" customHeight="1">
      <c r="A1720" s="84">
        <v>46174</v>
      </c>
      <c r="B1720" t="s" s="85">
        <v>61</v>
      </c>
      <c r="C1720" t="s" s="86">
        <v>1036</v>
      </c>
      <c r="D1720" s="138">
        <v>59</v>
      </c>
      <c r="E1720" t="s" s="85">
        <v>1065</v>
      </c>
      <c r="F1720" t="s" s="86">
        <v>578</v>
      </c>
      <c r="G1720" s="139">
        <v>68</v>
      </c>
      <c r="H1720" t="s" s="140">
        <v>767</v>
      </c>
      <c r="I1720" t="s" s="141">
        <v>107</v>
      </c>
      <c r="J1720" t="s" s="141">
        <v>97</v>
      </c>
      <c r="K1720" t="str" s="142" cm="1">
        <f t="array" ref="K1720">IF(OR(H1720="ריביות",AND(H1720="דירה כצנלסון",G1720&lt;0,ISNUMBER(SEARCH("הכנסה",F1720)))),"הכנסה שסווגה מחדש",J1720)</f>
        <v>שוטף</v>
      </c>
      <c r="L1720" t="s" s="141">
        <v>741</v>
      </c>
      <c r="M1720" s="143" cm="1">
        <f t="array" ref="M1720">IF(L1720="מאושר",IF(K1720="הכנסה שסווגה מחדש",0,G1720),0)</f>
        <v>68</v>
      </c>
      <c r="N1720" s="143" cm="1">
        <f t="array" ref="N1720">IF(K1720="שוטף",M1720,0)</f>
        <v>68</v>
      </c>
      <c r="O1720" s="143" cm="1">
        <f t="array" ref="O1720">IF(K1720="הכנסה שסווגה מחדש",-G1720,0)</f>
        <v>0</v>
      </c>
      <c r="P1720" t="s" s="86">
        <v>842</v>
      </c>
      <c r="Q1720" s="99"/>
      <c r="R1720" t="s" s="144">
        <v>743</v>
      </c>
      <c r="S1720" s="77"/>
    </row>
    <row r="1721" ht="13.65" customHeight="1">
      <c r="A1721" s="78">
        <v>46174</v>
      </c>
      <c r="B1721" t="s" s="79">
        <v>61</v>
      </c>
      <c r="C1721" t="s" s="80">
        <v>1036</v>
      </c>
      <c r="D1721" s="131">
        <v>60</v>
      </c>
      <c r="E1721" t="s" s="79">
        <v>1066</v>
      </c>
      <c r="F1721" t="s" s="80">
        <v>200</v>
      </c>
      <c r="G1721" s="132">
        <v>40</v>
      </c>
      <c r="H1721" t="s" s="133">
        <v>109</v>
      </c>
      <c r="I1721" t="s" s="134">
        <v>109</v>
      </c>
      <c r="J1721" t="s" s="134">
        <v>97</v>
      </c>
      <c r="K1721" t="str" s="135" cm="1">
        <f t="array" ref="K1721">IF(OR(H1721="ריביות",AND(H1721="דירה כצנלסון",G1721&lt;0,ISNUMBER(SEARCH("הכנסה",F1721)))),"הכנסה שסווגה מחדש",J1721)</f>
        <v>שוטף</v>
      </c>
      <c r="L1721" t="s" s="134">
        <v>741</v>
      </c>
      <c r="M1721" s="136" cm="1">
        <f t="array" ref="M1721">IF(L1721="מאושר",IF(K1721="הכנסה שסווגה מחדש",0,G1721),0)</f>
        <v>40</v>
      </c>
      <c r="N1721" s="136" cm="1">
        <f t="array" ref="N1721">IF(K1721="שוטף",M1721,0)</f>
        <v>40</v>
      </c>
      <c r="O1721" s="136" cm="1">
        <f t="array" ref="O1721">IF(K1721="הכנסה שסווגה מחדש",-G1721,0)</f>
        <v>0</v>
      </c>
      <c r="P1721" t="s" s="80">
        <v>983</v>
      </c>
      <c r="Q1721" s="100"/>
      <c r="R1721" t="s" s="137">
        <v>743</v>
      </c>
      <c r="S1721" s="77"/>
    </row>
    <row r="1722" ht="13.65" customHeight="1">
      <c r="A1722" s="84">
        <v>46174</v>
      </c>
      <c r="B1722" t="s" s="85">
        <v>61</v>
      </c>
      <c r="C1722" t="s" s="86">
        <v>1036</v>
      </c>
      <c r="D1722" s="138">
        <v>61</v>
      </c>
      <c r="E1722" t="s" s="85">
        <v>1067</v>
      </c>
      <c r="F1722" t="s" s="86">
        <v>209</v>
      </c>
      <c r="G1722" s="139">
        <v>45</v>
      </c>
      <c r="H1722" t="s" s="140">
        <v>113</v>
      </c>
      <c r="I1722" t="s" s="141">
        <v>113</v>
      </c>
      <c r="J1722" t="s" s="141">
        <v>97</v>
      </c>
      <c r="K1722" t="str" s="142" cm="1">
        <f t="array" ref="K1722">IF(OR(H1722="ריביות",AND(H1722="דירה כצנלסון",G1722&lt;0,ISNUMBER(SEARCH("הכנסה",F1722)))),"הכנסה שסווגה מחדש",J1722)</f>
        <v>שוטף</v>
      </c>
      <c r="L1722" t="s" s="141">
        <v>741</v>
      </c>
      <c r="M1722" s="143" cm="1">
        <f t="array" ref="M1722">IF(L1722="מאושר",IF(K1722="הכנסה שסווגה מחדש",0,G1722),0)</f>
        <v>45</v>
      </c>
      <c r="N1722" s="143" cm="1">
        <f t="array" ref="N1722">IF(K1722="שוטף",M1722,0)</f>
        <v>45</v>
      </c>
      <c r="O1722" s="143" cm="1">
        <f t="array" ref="O1722">IF(K1722="הכנסה שסווגה מחדש",-G1722,0)</f>
        <v>0</v>
      </c>
      <c r="P1722" t="s" s="85">
        <v>879</v>
      </c>
      <c r="Q1722" s="99"/>
      <c r="R1722" t="s" s="144">
        <v>743</v>
      </c>
      <c r="S1722" s="77"/>
    </row>
    <row r="1723" ht="13.65" customHeight="1">
      <c r="A1723" s="78">
        <v>46174</v>
      </c>
      <c r="B1723" t="s" s="79">
        <v>61</v>
      </c>
      <c r="C1723" t="s" s="80">
        <v>1036</v>
      </c>
      <c r="D1723" s="131">
        <v>62</v>
      </c>
      <c r="E1723" t="s" s="79">
        <v>1068</v>
      </c>
      <c r="F1723" t="s" s="80">
        <v>416</v>
      </c>
      <c r="G1723" s="132">
        <v>90</v>
      </c>
      <c r="H1723" s="146"/>
      <c r="I1723" t="s" s="134">
        <v>137</v>
      </c>
      <c r="J1723" t="s" s="134">
        <v>97</v>
      </c>
      <c r="K1723" t="str" s="135" cm="1">
        <f t="array" ref="K1723">IF(OR(H1723="ריביות",AND(H1723="דירה כצנלסון",G1723&lt;0,ISNUMBER(SEARCH("הכנסה",F1723)))),"הכנסה שסווגה מחדש",J1723)</f>
        <v>שוטף</v>
      </c>
      <c r="L1723" t="s" s="134">
        <v>741</v>
      </c>
      <c r="M1723" s="136" cm="1">
        <f t="array" ref="M1723">IF(L1723="מאושר",IF(K1723="הכנסה שסווגה מחדש",0,G1723),0)</f>
        <v>90</v>
      </c>
      <c r="N1723" s="136" cm="1">
        <f t="array" ref="N1723">IF(K1723="שוטף",M1723,0)</f>
        <v>90</v>
      </c>
      <c r="O1723" s="136" cm="1">
        <f t="array" ref="O1723">IF(K1723="הכנסה שסווגה מחדש",-G1723,0)</f>
        <v>0</v>
      </c>
      <c r="P1723" t="s" s="79">
        <v>879</v>
      </c>
      <c r="Q1723" s="100"/>
      <c r="R1723" t="s" s="137">
        <v>743</v>
      </c>
      <c r="S1723" s="77"/>
    </row>
    <row r="1724" ht="13.65" customHeight="1">
      <c r="A1724" s="84">
        <v>46174</v>
      </c>
      <c r="B1724" t="s" s="85">
        <v>61</v>
      </c>
      <c r="C1724" t="s" s="86">
        <v>1036</v>
      </c>
      <c r="D1724" s="138">
        <v>63</v>
      </c>
      <c r="E1724" t="s" s="85">
        <v>1069</v>
      </c>
      <c r="F1724" t="s" s="86">
        <v>277</v>
      </c>
      <c r="G1724" s="139">
        <v>24</v>
      </c>
      <c r="H1724" t="s" s="140">
        <v>115</v>
      </c>
      <c r="I1724" t="s" s="141">
        <v>115</v>
      </c>
      <c r="J1724" t="s" s="141">
        <v>97</v>
      </c>
      <c r="K1724" t="str" s="142" cm="1">
        <f t="array" ref="K1724">IF(OR(H1724="ריביות",AND(H1724="דירה כצנלסון",G1724&lt;0,ISNUMBER(SEARCH("הכנסה",F1724)))),"הכנסה שסווגה מחדש",J1724)</f>
        <v>שוטף</v>
      </c>
      <c r="L1724" t="s" s="141">
        <v>741</v>
      </c>
      <c r="M1724" s="143" cm="1">
        <f t="array" ref="M1724">IF(L1724="מאושר",IF(K1724="הכנסה שסווגה מחדש",0,G1724),0)</f>
        <v>24</v>
      </c>
      <c r="N1724" s="143" cm="1">
        <f t="array" ref="N1724">IF(K1724="שוטף",M1724,0)</f>
        <v>24</v>
      </c>
      <c r="O1724" s="143" cm="1">
        <f t="array" ref="O1724">IF(K1724="הכנסה שסווגה מחדש",-G1724,0)</f>
        <v>0</v>
      </c>
      <c r="P1724" t="s" s="85">
        <v>879</v>
      </c>
      <c r="Q1724" s="99"/>
      <c r="R1724" t="s" s="144">
        <v>743</v>
      </c>
      <c r="S1724" s="77"/>
    </row>
    <row r="1725" ht="13.65" customHeight="1">
      <c r="A1725" s="78">
        <v>46174</v>
      </c>
      <c r="B1725" t="s" s="79">
        <v>61</v>
      </c>
      <c r="C1725" t="s" s="80">
        <v>1036</v>
      </c>
      <c r="D1725" s="131">
        <v>64</v>
      </c>
      <c r="E1725" t="s" s="79">
        <v>1070</v>
      </c>
      <c r="F1725" t="s" s="80">
        <v>377</v>
      </c>
      <c r="G1725" s="132">
        <v>8</v>
      </c>
      <c r="H1725" t="s" s="133">
        <v>113</v>
      </c>
      <c r="I1725" t="s" s="134">
        <v>113</v>
      </c>
      <c r="J1725" t="s" s="134">
        <v>97</v>
      </c>
      <c r="K1725" t="str" s="135" cm="1">
        <f t="array" ref="K1725">IF(OR(H1725="ריביות",AND(H1725="דירה כצנלסון",G1725&lt;0,ISNUMBER(SEARCH("הכנסה",F1725)))),"הכנסה שסווגה מחדש",J1725)</f>
        <v>שוטף</v>
      </c>
      <c r="L1725" t="s" s="134">
        <v>741</v>
      </c>
      <c r="M1725" s="136" cm="1">
        <f t="array" ref="M1725">IF(L1725="מאושר",IF(K1725="הכנסה שסווגה מחדש",0,G1725),0)</f>
        <v>8</v>
      </c>
      <c r="N1725" s="136" cm="1">
        <f t="array" ref="N1725">IF(K1725="שוטף",M1725,0)</f>
        <v>8</v>
      </c>
      <c r="O1725" s="136" cm="1">
        <f t="array" ref="O1725">IF(K1725="הכנסה שסווגה מחדש",-G1725,0)</f>
        <v>0</v>
      </c>
      <c r="P1725" t="s" s="79">
        <v>879</v>
      </c>
      <c r="Q1725" s="100"/>
      <c r="R1725" t="s" s="137">
        <v>743</v>
      </c>
      <c r="S1725" s="77"/>
    </row>
    <row r="1726" ht="13.65" customHeight="1">
      <c r="A1726" s="84">
        <v>46174</v>
      </c>
      <c r="B1726" t="s" s="85">
        <v>61</v>
      </c>
      <c r="C1726" t="s" s="86">
        <v>1036</v>
      </c>
      <c r="D1726" s="138">
        <v>65</v>
      </c>
      <c r="E1726" t="s" s="85">
        <v>1071</v>
      </c>
      <c r="F1726" t="s" s="86">
        <v>199</v>
      </c>
      <c r="G1726" s="139">
        <v>1800</v>
      </c>
      <c r="H1726" t="s" s="140">
        <v>839</v>
      </c>
      <c r="I1726" t="s" s="141">
        <v>107</v>
      </c>
      <c r="J1726" t="s" s="141">
        <v>97</v>
      </c>
      <c r="K1726" t="str" s="142" cm="1">
        <f t="array" ref="K1726">IF(OR(H1726="ריביות",AND(H1726="דירה כצנלסון",G1726&lt;0,ISNUMBER(SEARCH("הכנסה",F1726)))),"הכנסה שסווגה מחדש",J1726)</f>
        <v>שוטף</v>
      </c>
      <c r="L1726" t="s" s="141">
        <v>741</v>
      </c>
      <c r="M1726" s="143" cm="1">
        <f t="array" ref="M1726">IF(L1726="מאושר",IF(K1726="הכנסה שסווגה מחדש",0,G1726),0)</f>
        <v>1800</v>
      </c>
      <c r="N1726" s="143" cm="1">
        <f t="array" ref="N1726">IF(K1726="שוטף",M1726,0)</f>
        <v>1800</v>
      </c>
      <c r="O1726" s="143" cm="1">
        <f t="array" ref="O1726">IF(K1726="הכנסה שסווגה מחדש",-G1726,0)</f>
        <v>0</v>
      </c>
      <c r="P1726" t="s" s="85">
        <v>742</v>
      </c>
      <c r="Q1726" s="99"/>
      <c r="R1726" t="s" s="144">
        <v>743</v>
      </c>
      <c r="S1726" s="77"/>
    </row>
    <row r="1727" ht="13.65" customHeight="1">
      <c r="A1727" s="78">
        <v>46174</v>
      </c>
      <c r="B1727" t="s" s="79">
        <v>61</v>
      </c>
      <c r="C1727" t="s" s="80">
        <v>1036</v>
      </c>
      <c r="D1727" s="131">
        <v>66</v>
      </c>
      <c r="E1727" t="s" s="79">
        <v>1072</v>
      </c>
      <c r="F1727" t="s" s="80">
        <v>239</v>
      </c>
      <c r="G1727" s="132">
        <v>2900</v>
      </c>
      <c r="H1727" t="s" s="133">
        <v>279</v>
      </c>
      <c r="I1727" t="s" s="134">
        <v>99</v>
      </c>
      <c r="J1727" t="s" s="134">
        <v>100</v>
      </c>
      <c r="K1727" t="str" s="135" cm="1">
        <f t="array" ref="K1727">IF(OR(H1727="ריביות",AND(H1727="דירה כצנלסון",G1727&lt;0,ISNUMBER(SEARCH("הכנסה",F1727)))),"הכנסה שסווגה מחדש",J1727)</f>
        <v>חריג/נכס</v>
      </c>
      <c r="L1727" t="s" s="134">
        <v>741</v>
      </c>
      <c r="M1727" s="136" cm="1">
        <f t="array" ref="M1727">IF(L1727="מאושר",IF(K1727="הכנסה שסווגה מחדש",0,G1727),0)</f>
        <v>2900</v>
      </c>
      <c r="N1727" s="136" cm="1">
        <f t="array" ref="N1727">IF(K1727="שוטף",M1727,0)</f>
        <v>0</v>
      </c>
      <c r="O1727" s="136" cm="1">
        <f t="array" ref="O1727">IF(K1727="הכנסה שסווגה מחדש",-G1727,0)</f>
        <v>0</v>
      </c>
      <c r="P1727" t="s" s="79">
        <v>742</v>
      </c>
      <c r="Q1727" s="100"/>
      <c r="R1727" t="s" s="137">
        <v>743</v>
      </c>
      <c r="S1727" s="77"/>
    </row>
    <row r="1728" ht="13.65" customHeight="1">
      <c r="A1728" s="84">
        <v>46174</v>
      </c>
      <c r="B1728" t="s" s="85">
        <v>61</v>
      </c>
      <c r="C1728" t="s" s="86">
        <v>1036</v>
      </c>
      <c r="D1728" s="138">
        <v>67</v>
      </c>
      <c r="E1728" t="s" s="85">
        <v>1072</v>
      </c>
      <c r="F1728" t="s" s="86">
        <v>257</v>
      </c>
      <c r="G1728" s="139">
        <v>708</v>
      </c>
      <c r="H1728" t="s" s="140">
        <v>1073</v>
      </c>
      <c r="I1728" t="s" s="141">
        <v>119</v>
      </c>
      <c r="J1728" t="s" s="141">
        <v>103</v>
      </c>
      <c r="K1728" t="str" s="142" cm="1">
        <f t="array" ref="K1728">IF(OR(H1728="ריביות",AND(H1728="דירה כצנלסון",G1728&lt;0,ISNUMBER(SEARCH("הכנסה",F1728)))),"הכנסה שסווגה מחדש",J1728)</f>
        <v>חריג</v>
      </c>
      <c r="L1728" t="s" s="141">
        <v>741</v>
      </c>
      <c r="M1728" s="143" cm="1">
        <f t="array" ref="M1728">IF(L1728="מאושר",IF(K1728="הכנסה שסווגה מחדש",0,G1728),0)</f>
        <v>708</v>
      </c>
      <c r="N1728" s="143" cm="1">
        <f t="array" ref="N1728">IF(K1728="שוטף",M1728,0)</f>
        <v>0</v>
      </c>
      <c r="O1728" s="143" cm="1">
        <f t="array" ref="O1728">IF(K1728="הכנסה שסווגה מחדש",-G1728,0)</f>
        <v>0</v>
      </c>
      <c r="P1728" t="s" s="85">
        <v>742</v>
      </c>
      <c r="Q1728" s="99"/>
      <c r="R1728" t="s" s="144">
        <v>743</v>
      </c>
      <c r="S1728" s="77"/>
    </row>
    <row r="1729" ht="13.65" customHeight="1">
      <c r="A1729" s="78">
        <v>46174</v>
      </c>
      <c r="B1729" t="s" s="79">
        <v>61</v>
      </c>
      <c r="C1729" t="s" s="80">
        <v>1036</v>
      </c>
      <c r="D1729" s="131">
        <v>68</v>
      </c>
      <c r="E1729" t="s" s="79">
        <v>1074</v>
      </c>
      <c r="F1729" t="s" s="80">
        <v>257</v>
      </c>
      <c r="G1729" s="132">
        <v>1179</v>
      </c>
      <c r="H1729" t="s" s="133">
        <v>1073</v>
      </c>
      <c r="I1729" t="s" s="134">
        <v>119</v>
      </c>
      <c r="J1729" t="s" s="134">
        <v>103</v>
      </c>
      <c r="K1729" t="str" s="135" cm="1">
        <f t="array" ref="K1729">IF(OR(H1729="ריביות",AND(H1729="דירה כצנלסון",G1729&lt;0,ISNUMBER(SEARCH("הכנסה",F1729)))),"הכנסה שסווגה מחדש",J1729)</f>
        <v>חריג</v>
      </c>
      <c r="L1729" t="s" s="134">
        <v>741</v>
      </c>
      <c r="M1729" s="136" cm="1">
        <f t="array" ref="M1729">IF(L1729="מאושר",IF(K1729="הכנסה שסווגה מחדש",0,G1729),0)</f>
        <v>1179</v>
      </c>
      <c r="N1729" s="136" cm="1">
        <f t="array" ref="N1729">IF(K1729="שוטף",M1729,0)</f>
        <v>0</v>
      </c>
      <c r="O1729" s="136" cm="1">
        <f t="array" ref="O1729">IF(K1729="הכנסה שסווגה מחדש",-G1729,0)</f>
        <v>0</v>
      </c>
      <c r="P1729" t="s" s="79">
        <v>742</v>
      </c>
      <c r="Q1729" s="100"/>
      <c r="R1729" t="s" s="137">
        <v>743</v>
      </c>
      <c r="S1729" s="77"/>
    </row>
    <row r="1730" ht="13.65" customHeight="1">
      <c r="A1730" s="84">
        <v>46174</v>
      </c>
      <c r="B1730" t="s" s="85">
        <v>61</v>
      </c>
      <c r="C1730" t="s" s="86">
        <v>1036</v>
      </c>
      <c r="D1730" s="138">
        <v>69</v>
      </c>
      <c r="E1730" t="s" s="85">
        <v>1069</v>
      </c>
      <c r="F1730" t="s" s="86">
        <v>277</v>
      </c>
      <c r="G1730" s="139">
        <v>8</v>
      </c>
      <c r="H1730" t="s" s="140">
        <v>115</v>
      </c>
      <c r="I1730" t="s" s="141">
        <v>115</v>
      </c>
      <c r="J1730" t="s" s="141">
        <v>97</v>
      </c>
      <c r="K1730" t="str" s="142" cm="1">
        <f t="array" ref="K1730">IF(OR(H1730="ריביות",AND(H1730="דירה כצנלסון",G1730&lt;0,ISNUMBER(SEARCH("הכנסה",F1730)))),"הכנסה שסווגה מחדש",J1730)</f>
        <v>שוטף</v>
      </c>
      <c r="L1730" t="s" s="141">
        <v>741</v>
      </c>
      <c r="M1730" s="143" cm="1">
        <f t="array" ref="M1730">IF(L1730="מאושר",IF(K1730="הכנסה שסווגה מחדש",0,G1730),0)</f>
        <v>8</v>
      </c>
      <c r="N1730" s="143" cm="1">
        <f t="array" ref="N1730">IF(K1730="שוטף",M1730,0)</f>
        <v>8</v>
      </c>
      <c r="O1730" s="143" cm="1">
        <f t="array" ref="O1730">IF(K1730="הכנסה שסווגה מחדש",-G1730,0)</f>
        <v>0</v>
      </c>
      <c r="P1730" t="s" s="85">
        <v>882</v>
      </c>
      <c r="Q1730" s="99"/>
      <c r="R1730" t="s" s="144">
        <v>743</v>
      </c>
      <c r="S1730" s="77"/>
    </row>
    <row r="1731" ht="13.65" customHeight="1">
      <c r="A1731" s="78">
        <v>46174</v>
      </c>
      <c r="B1731" t="s" s="79">
        <v>61</v>
      </c>
      <c r="C1731" t="s" s="80">
        <v>1036</v>
      </c>
      <c r="D1731" s="131">
        <v>70</v>
      </c>
      <c r="E1731" t="s" s="79">
        <v>1075</v>
      </c>
      <c r="F1731" t="s" s="80">
        <v>250</v>
      </c>
      <c r="G1731" s="132">
        <v>130</v>
      </c>
      <c r="H1731" t="s" s="133">
        <v>127</v>
      </c>
      <c r="I1731" t="s" s="134">
        <v>127</v>
      </c>
      <c r="J1731" t="s" s="134">
        <v>97</v>
      </c>
      <c r="K1731" t="str" s="135" cm="1">
        <f t="array" ref="K1731">IF(OR(H1731="ריביות",AND(H1731="דירה כצנלסון",G1731&lt;0,ISNUMBER(SEARCH("הכנסה",F1731)))),"הכנסה שסווגה מחדש",J1731)</f>
        <v>שוטף</v>
      </c>
      <c r="L1731" t="s" s="134">
        <v>741</v>
      </c>
      <c r="M1731" s="136" cm="1">
        <f t="array" ref="M1731">IF(L1731="מאושר",IF(K1731="הכנסה שסווגה מחדש",0,G1731),0)</f>
        <v>130</v>
      </c>
      <c r="N1731" s="136" cm="1">
        <f t="array" ref="N1731">IF(K1731="שוטף",M1731,0)</f>
        <v>130</v>
      </c>
      <c r="O1731" s="136" cm="1">
        <f t="array" ref="O1731">IF(K1731="הכנסה שסווגה מחדש",-G1731,0)</f>
        <v>0</v>
      </c>
      <c r="P1731" t="s" s="80">
        <v>884</v>
      </c>
      <c r="Q1731" s="100"/>
      <c r="R1731" t="s" s="137">
        <v>743</v>
      </c>
      <c r="S1731" s="77"/>
    </row>
    <row r="1732" ht="13.65" customHeight="1">
      <c r="A1732" s="84">
        <v>46174</v>
      </c>
      <c r="B1732" t="s" s="85">
        <v>61</v>
      </c>
      <c r="C1732" t="s" s="86">
        <v>1036</v>
      </c>
      <c r="D1732" s="138">
        <v>71</v>
      </c>
      <c r="E1732" t="s" s="85">
        <v>1076</v>
      </c>
      <c r="F1732" t="s" s="86">
        <v>401</v>
      </c>
      <c r="G1732" s="139">
        <v>97</v>
      </c>
      <c r="H1732" t="s" s="140">
        <v>839</v>
      </c>
      <c r="I1732" t="s" s="141">
        <v>107</v>
      </c>
      <c r="J1732" t="s" s="141">
        <v>97</v>
      </c>
      <c r="K1732" t="str" s="142" cm="1">
        <f t="array" ref="K1732">IF(OR(H1732="ריביות",AND(H1732="דירה כצנלסון",G1732&lt;0,ISNUMBER(SEARCH("הכנסה",F1732)))),"הכנסה שסווגה מחדש",J1732)</f>
        <v>שוטף</v>
      </c>
      <c r="L1732" t="s" s="141">
        <v>741</v>
      </c>
      <c r="M1732" s="143" cm="1">
        <f t="array" ref="M1732">IF(L1732="מאושר",IF(K1732="הכנסה שסווגה מחדש",0,G1732),0)</f>
        <v>97</v>
      </c>
      <c r="N1732" s="143" cm="1">
        <f t="array" ref="N1732">IF(K1732="שוטף",M1732,0)</f>
        <v>97</v>
      </c>
      <c r="O1732" s="143" cm="1">
        <f t="array" ref="O1732">IF(K1732="הכנסה שסווגה מחדש",-G1732,0)</f>
        <v>0</v>
      </c>
      <c r="P1732" t="s" s="86">
        <v>884</v>
      </c>
      <c r="Q1732" s="99"/>
      <c r="R1732" t="s" s="144">
        <v>743</v>
      </c>
      <c r="S1732" s="77"/>
    </row>
    <row r="1733" ht="13.65" customHeight="1">
      <c r="A1733" s="78">
        <v>46174</v>
      </c>
      <c r="B1733" t="s" s="79">
        <v>61</v>
      </c>
      <c r="C1733" t="s" s="80">
        <v>1036</v>
      </c>
      <c r="D1733" s="131">
        <v>72</v>
      </c>
      <c r="E1733" t="s" s="79">
        <v>1077</v>
      </c>
      <c r="F1733" t="s" s="80">
        <v>355</v>
      </c>
      <c r="G1733" s="132">
        <v>26</v>
      </c>
      <c r="H1733" t="s" s="133">
        <v>113</v>
      </c>
      <c r="I1733" t="s" s="134">
        <v>113</v>
      </c>
      <c r="J1733" t="s" s="134">
        <v>97</v>
      </c>
      <c r="K1733" t="str" s="135" cm="1">
        <f t="array" ref="K1733">IF(OR(H1733="ריביות",AND(H1733="דירה כצנלסון",G1733&lt;0,ISNUMBER(SEARCH("הכנסה",F1733)))),"הכנסה שסווגה מחדש",J1733)</f>
        <v>שוטף</v>
      </c>
      <c r="L1733" t="s" s="134">
        <v>741</v>
      </c>
      <c r="M1733" s="136" cm="1">
        <f t="array" ref="M1733">IF(L1733="מאושר",IF(K1733="הכנסה שסווגה מחדש",0,G1733),0)</f>
        <v>26</v>
      </c>
      <c r="N1733" s="136" cm="1">
        <f t="array" ref="N1733">IF(K1733="שוטף",M1733,0)</f>
        <v>26</v>
      </c>
      <c r="O1733" s="136" cm="1">
        <f t="array" ref="O1733">IF(K1733="הכנסה שסווגה מחדש",-G1733,0)</f>
        <v>0</v>
      </c>
      <c r="P1733" t="s" s="80">
        <v>884</v>
      </c>
      <c r="Q1733" s="100"/>
      <c r="R1733" t="s" s="137">
        <v>743</v>
      </c>
      <c r="S1733" s="77"/>
    </row>
    <row r="1734" ht="13.65" customHeight="1">
      <c r="A1734" s="84">
        <v>46174</v>
      </c>
      <c r="B1734" t="s" s="85">
        <v>61</v>
      </c>
      <c r="C1734" t="s" s="86">
        <v>1036</v>
      </c>
      <c r="D1734" s="138">
        <v>73</v>
      </c>
      <c r="E1734" t="s" s="85">
        <v>1069</v>
      </c>
      <c r="F1734" t="s" s="86">
        <v>678</v>
      </c>
      <c r="G1734" s="139">
        <v>20</v>
      </c>
      <c r="H1734" t="s" s="140">
        <v>121</v>
      </c>
      <c r="I1734" t="s" s="141">
        <v>121</v>
      </c>
      <c r="J1734" t="s" s="141">
        <v>97</v>
      </c>
      <c r="K1734" t="str" s="142" cm="1">
        <f t="array" ref="K1734">IF(OR(H1734="ריביות",AND(H1734="דירה כצנלסון",G1734&lt;0,ISNUMBER(SEARCH("הכנסה",F1734)))),"הכנסה שסווגה מחדש",J1734)</f>
        <v>שוטף</v>
      </c>
      <c r="L1734" t="s" s="141">
        <v>741</v>
      </c>
      <c r="M1734" s="143" cm="1">
        <f t="array" ref="M1734">IF(L1734="מאושר",IF(K1734="הכנסה שסווגה מחדש",0,G1734),0)</f>
        <v>20</v>
      </c>
      <c r="N1734" s="143" cm="1">
        <f t="array" ref="N1734">IF(K1734="שוטף",M1734,0)</f>
        <v>20</v>
      </c>
      <c r="O1734" s="143" cm="1">
        <f t="array" ref="O1734">IF(K1734="הכנסה שסווגה מחדש",-G1734,0)</f>
        <v>0</v>
      </c>
      <c r="P1734" t="s" s="86">
        <v>884</v>
      </c>
      <c r="Q1734" s="99"/>
      <c r="R1734" t="s" s="144">
        <v>743</v>
      </c>
      <c r="S1734" s="77"/>
    </row>
    <row r="1735" ht="13.65" customHeight="1">
      <c r="A1735" s="78">
        <v>46174</v>
      </c>
      <c r="B1735" t="s" s="79">
        <v>61</v>
      </c>
      <c r="C1735" t="s" s="80">
        <v>1036</v>
      </c>
      <c r="D1735" s="131">
        <v>74</v>
      </c>
      <c r="E1735" t="s" s="79">
        <v>1078</v>
      </c>
      <c r="F1735" t="s" s="80">
        <v>308</v>
      </c>
      <c r="G1735" s="132">
        <v>7</v>
      </c>
      <c r="H1735" t="s" s="133">
        <v>113</v>
      </c>
      <c r="I1735" t="s" s="134">
        <v>113</v>
      </c>
      <c r="J1735" t="s" s="134">
        <v>97</v>
      </c>
      <c r="K1735" t="str" s="135" cm="1">
        <f t="array" ref="K1735">IF(OR(H1735="ריביות",AND(H1735="דירה כצנלסון",G1735&lt;0,ISNUMBER(SEARCH("הכנסה",F1735)))),"הכנסה שסווגה מחדש",J1735)</f>
        <v>שוטף</v>
      </c>
      <c r="L1735" t="s" s="134">
        <v>741</v>
      </c>
      <c r="M1735" s="136" cm="1">
        <f t="array" ref="M1735">IF(L1735="מאושר",IF(K1735="הכנסה שסווגה מחדש",0,G1735),0)</f>
        <v>7</v>
      </c>
      <c r="N1735" s="136" cm="1">
        <f t="array" ref="N1735">IF(K1735="שוטף",M1735,0)</f>
        <v>7</v>
      </c>
      <c r="O1735" s="136" cm="1">
        <f t="array" ref="O1735">IF(K1735="הכנסה שסווגה מחדש",-G1735,0)</f>
        <v>0</v>
      </c>
      <c r="P1735" t="s" s="80">
        <v>884</v>
      </c>
      <c r="Q1735" s="100"/>
      <c r="R1735" t="s" s="137">
        <v>743</v>
      </c>
      <c r="S1735" s="77"/>
    </row>
    <row r="1736" ht="13.65" customHeight="1">
      <c r="A1736" s="84">
        <v>46174</v>
      </c>
      <c r="B1736" t="s" s="85">
        <v>61</v>
      </c>
      <c r="C1736" t="s" s="86">
        <v>1036</v>
      </c>
      <c r="D1736" s="138">
        <v>75</v>
      </c>
      <c r="E1736" s="99"/>
      <c r="F1736" t="s" s="86">
        <v>435</v>
      </c>
      <c r="G1736" s="139">
        <v>98</v>
      </c>
      <c r="H1736" t="s" s="140">
        <v>121</v>
      </c>
      <c r="I1736" t="s" s="141">
        <v>121</v>
      </c>
      <c r="J1736" t="s" s="141">
        <v>97</v>
      </c>
      <c r="K1736" t="str" s="142" cm="1">
        <f t="array" ref="K1736">IF(OR(H1736="ריביות",AND(H1736="דירה כצנלסון",G1736&lt;0,ISNUMBER(SEARCH("הכנסה",F1736)))),"הכנסה שסווגה מחדש",J1736)</f>
        <v>שוטף</v>
      </c>
      <c r="L1736" t="s" s="141">
        <v>741</v>
      </c>
      <c r="M1736" s="143" cm="1">
        <f t="array" ref="M1736">IF(L1736="מאושר",IF(K1736="הכנסה שסווגה מחדש",0,G1736),0)</f>
        <v>98</v>
      </c>
      <c r="N1736" s="143" cm="1">
        <f t="array" ref="N1736">IF(K1736="שוטף",M1736,0)</f>
        <v>98</v>
      </c>
      <c r="O1736" s="143" cm="1">
        <f t="array" ref="O1736">IF(K1736="הכנסה שסווגה מחדש",-G1736,0)</f>
        <v>0</v>
      </c>
      <c r="P1736" t="s" s="86">
        <v>884</v>
      </c>
      <c r="Q1736" s="99"/>
      <c r="R1736" t="s" s="144">
        <v>743</v>
      </c>
      <c r="S1736" s="77"/>
    </row>
    <row r="1737" ht="13.65" customHeight="1">
      <c r="A1737" s="78">
        <v>46174</v>
      </c>
      <c r="B1737" t="s" s="79">
        <v>61</v>
      </c>
      <c r="C1737" t="s" s="80">
        <v>1036</v>
      </c>
      <c r="D1737" s="131">
        <v>76</v>
      </c>
      <c r="E1737" t="s" s="79">
        <v>1078</v>
      </c>
      <c r="F1737" t="s" s="80">
        <v>209</v>
      </c>
      <c r="G1737" s="132">
        <v>19</v>
      </c>
      <c r="H1737" t="s" s="133">
        <v>113</v>
      </c>
      <c r="I1737" t="s" s="134">
        <v>113</v>
      </c>
      <c r="J1737" t="s" s="134">
        <v>97</v>
      </c>
      <c r="K1737" t="str" s="135" cm="1">
        <f t="array" ref="K1737">IF(OR(H1737="ריביות",AND(H1737="דירה כצנלסון",G1737&lt;0,ISNUMBER(SEARCH("הכנסה",F1737)))),"הכנסה שסווגה מחדש",J1737)</f>
        <v>שוטף</v>
      </c>
      <c r="L1737" t="s" s="134">
        <v>741</v>
      </c>
      <c r="M1737" s="136" cm="1">
        <f t="array" ref="M1737">IF(L1737="מאושר",IF(K1737="הכנסה שסווגה מחדש",0,G1737),0)</f>
        <v>19</v>
      </c>
      <c r="N1737" s="136" cm="1">
        <f t="array" ref="N1737">IF(K1737="שוטף",M1737,0)</f>
        <v>19</v>
      </c>
      <c r="O1737" s="136" cm="1">
        <f t="array" ref="O1737">IF(K1737="הכנסה שסווגה מחדש",-G1737,0)</f>
        <v>0</v>
      </c>
      <c r="P1737" t="s" s="80">
        <v>842</v>
      </c>
      <c r="Q1737" s="100"/>
      <c r="R1737" t="s" s="137">
        <v>743</v>
      </c>
      <c r="S1737" s="77"/>
    </row>
    <row r="1738" ht="13.65" customHeight="1">
      <c r="A1738" s="84">
        <v>46174</v>
      </c>
      <c r="B1738" t="s" s="85">
        <v>61</v>
      </c>
      <c r="C1738" t="s" s="86">
        <v>1036</v>
      </c>
      <c r="D1738" s="138">
        <v>77</v>
      </c>
      <c r="E1738" t="s" s="85">
        <v>1037</v>
      </c>
      <c r="F1738" t="s" s="86">
        <v>209</v>
      </c>
      <c r="G1738" s="139">
        <v>200</v>
      </c>
      <c r="H1738" t="s" s="140">
        <v>113</v>
      </c>
      <c r="I1738" t="s" s="141">
        <v>113</v>
      </c>
      <c r="J1738" t="s" s="141">
        <v>97</v>
      </c>
      <c r="K1738" t="str" s="142" cm="1">
        <f t="array" ref="K1738">IF(OR(H1738="ריביות",AND(H1738="דירה כצנלסון",G1738&lt;0,ISNUMBER(SEARCH("הכנסה",F1738)))),"הכנסה שסווגה מחדש",J1738)</f>
        <v>שוטף</v>
      </c>
      <c r="L1738" t="s" s="141">
        <v>741</v>
      </c>
      <c r="M1738" s="143" cm="1">
        <f t="array" ref="M1738">IF(L1738="מאושר",IF(K1738="הכנסה שסווגה מחדש",0,G1738),0)</f>
        <v>200</v>
      </c>
      <c r="N1738" s="143" cm="1">
        <f t="array" ref="N1738">IF(K1738="שוטף",M1738,0)</f>
        <v>200</v>
      </c>
      <c r="O1738" s="143" cm="1">
        <f t="array" ref="O1738">IF(K1738="הכנסה שסווגה מחדש",-G1738,0)</f>
        <v>0</v>
      </c>
      <c r="P1738" t="s" s="86">
        <v>890</v>
      </c>
      <c r="Q1738" s="99"/>
      <c r="R1738" t="s" s="144">
        <v>743</v>
      </c>
      <c r="S1738" s="77"/>
    </row>
    <row r="1739" ht="13.65" customHeight="1">
      <c r="A1739" s="78">
        <v>46174</v>
      </c>
      <c r="B1739" t="s" s="79">
        <v>61</v>
      </c>
      <c r="C1739" t="s" s="80">
        <v>1036</v>
      </c>
      <c r="D1739" s="131">
        <v>78</v>
      </c>
      <c r="E1739" t="s" s="79">
        <v>1079</v>
      </c>
      <c r="F1739" t="s" s="80">
        <v>209</v>
      </c>
      <c r="G1739" s="132">
        <v>196</v>
      </c>
      <c r="H1739" t="s" s="133">
        <v>113</v>
      </c>
      <c r="I1739" t="s" s="134">
        <v>113</v>
      </c>
      <c r="J1739" t="s" s="134">
        <v>97</v>
      </c>
      <c r="K1739" t="str" s="135" cm="1">
        <f t="array" ref="K1739">IF(OR(H1739="ריביות",AND(H1739="דירה כצנלסון",G1739&lt;0,ISNUMBER(SEARCH("הכנסה",F1739)))),"הכנסה שסווגה מחדש",J1739)</f>
        <v>שוטף</v>
      </c>
      <c r="L1739" t="s" s="134">
        <v>741</v>
      </c>
      <c r="M1739" s="136" cm="1">
        <f t="array" ref="M1739">IF(L1739="מאושר",IF(K1739="הכנסה שסווגה מחדש",0,G1739),0)</f>
        <v>196</v>
      </c>
      <c r="N1739" s="136" cm="1">
        <f t="array" ref="N1739">IF(K1739="שוטף",M1739,0)</f>
        <v>196</v>
      </c>
      <c r="O1739" s="136" cm="1">
        <f t="array" ref="O1739">IF(K1739="הכנסה שסווגה מחדש",-G1739,0)</f>
        <v>0</v>
      </c>
      <c r="P1739" t="s" s="80">
        <v>890</v>
      </c>
      <c r="Q1739" s="100"/>
      <c r="R1739" t="s" s="137">
        <v>743</v>
      </c>
      <c r="S1739" s="77"/>
    </row>
    <row r="1740" ht="13.65" customHeight="1">
      <c r="A1740" s="84">
        <v>46174</v>
      </c>
      <c r="B1740" t="s" s="85">
        <v>61</v>
      </c>
      <c r="C1740" t="s" s="86">
        <v>1036</v>
      </c>
      <c r="D1740" s="138">
        <v>79</v>
      </c>
      <c r="E1740" t="s" s="85">
        <v>1062</v>
      </c>
      <c r="F1740" t="s" s="86">
        <v>200</v>
      </c>
      <c r="G1740" s="139">
        <v>106</v>
      </c>
      <c r="H1740" t="s" s="140">
        <v>109</v>
      </c>
      <c r="I1740" t="s" s="141">
        <v>109</v>
      </c>
      <c r="J1740" t="s" s="141">
        <v>97</v>
      </c>
      <c r="K1740" t="str" s="142" cm="1">
        <f t="array" ref="K1740">IF(OR(H1740="ריביות",AND(H1740="דירה כצנלסון",G1740&lt;0,ISNUMBER(SEARCH("הכנסה",F1740)))),"הכנסה שסווגה מחדש",J1740)</f>
        <v>שוטף</v>
      </c>
      <c r="L1740" t="s" s="141">
        <v>741</v>
      </c>
      <c r="M1740" s="143" cm="1">
        <f t="array" ref="M1740">IF(L1740="מאושר",IF(K1740="הכנסה שסווגה מחדש",0,G1740),0)</f>
        <v>106</v>
      </c>
      <c r="N1740" s="143" cm="1">
        <f t="array" ref="N1740">IF(K1740="שוטף",M1740,0)</f>
        <v>106</v>
      </c>
      <c r="O1740" s="143" cm="1">
        <f t="array" ref="O1740">IF(K1740="הכנסה שסווגה מחדש",-G1740,0)</f>
        <v>0</v>
      </c>
      <c r="P1740" t="s" s="86">
        <v>890</v>
      </c>
      <c r="Q1740" s="99"/>
      <c r="R1740" t="s" s="144">
        <v>743</v>
      </c>
      <c r="S1740" s="77"/>
    </row>
    <row r="1741" ht="13.65" customHeight="1">
      <c r="A1741" s="78">
        <v>46174</v>
      </c>
      <c r="B1741" t="s" s="79">
        <v>61</v>
      </c>
      <c r="C1741" t="s" s="80">
        <v>1036</v>
      </c>
      <c r="D1741" s="131">
        <v>80</v>
      </c>
      <c r="E1741" t="s" s="79">
        <v>1052</v>
      </c>
      <c r="F1741" t="s" s="80">
        <v>209</v>
      </c>
      <c r="G1741" s="132">
        <v>51</v>
      </c>
      <c r="H1741" t="s" s="133">
        <v>113</v>
      </c>
      <c r="I1741" t="s" s="134">
        <v>113</v>
      </c>
      <c r="J1741" t="s" s="134">
        <v>97</v>
      </c>
      <c r="K1741" t="str" s="135" cm="1">
        <f t="array" ref="K1741">IF(OR(H1741="ריביות",AND(H1741="דירה כצנלסון",G1741&lt;0,ISNUMBER(SEARCH("הכנסה",F1741)))),"הכנסה שסווגה מחדש",J1741)</f>
        <v>שוטף</v>
      </c>
      <c r="L1741" t="s" s="134">
        <v>741</v>
      </c>
      <c r="M1741" s="136" cm="1">
        <f t="array" ref="M1741">IF(L1741="מאושר",IF(K1741="הכנסה שסווגה מחדש",0,G1741),0)</f>
        <v>51</v>
      </c>
      <c r="N1741" s="136" cm="1">
        <f t="array" ref="N1741">IF(K1741="שוטף",M1741,0)</f>
        <v>51</v>
      </c>
      <c r="O1741" s="136" cm="1">
        <f t="array" ref="O1741">IF(K1741="הכנסה שסווגה מחדש",-G1741,0)</f>
        <v>0</v>
      </c>
      <c r="P1741" t="s" s="80">
        <v>890</v>
      </c>
      <c r="Q1741" s="100"/>
      <c r="R1741" t="s" s="137">
        <v>743</v>
      </c>
      <c r="S1741" s="77"/>
    </row>
    <row r="1742" ht="13.65" customHeight="1">
      <c r="A1742" s="84">
        <v>46174</v>
      </c>
      <c r="B1742" t="s" s="85">
        <v>61</v>
      </c>
      <c r="C1742" t="s" s="86">
        <v>1036</v>
      </c>
      <c r="D1742" s="138">
        <v>81</v>
      </c>
      <c r="E1742" t="s" s="85">
        <v>1053</v>
      </c>
      <c r="F1742" t="s" s="86">
        <v>200</v>
      </c>
      <c r="G1742" s="139">
        <v>34</v>
      </c>
      <c r="H1742" t="s" s="140">
        <v>109</v>
      </c>
      <c r="I1742" t="s" s="141">
        <v>109</v>
      </c>
      <c r="J1742" t="s" s="141">
        <v>97</v>
      </c>
      <c r="K1742" t="str" s="142" cm="1">
        <f t="array" ref="K1742">IF(OR(H1742="ריביות",AND(H1742="דירה כצנלסון",G1742&lt;0,ISNUMBER(SEARCH("הכנסה",F1742)))),"הכנסה שסווגה מחדש",J1742)</f>
        <v>שוטף</v>
      </c>
      <c r="L1742" t="s" s="141">
        <v>741</v>
      </c>
      <c r="M1742" s="143" cm="1">
        <f t="array" ref="M1742">IF(L1742="מאושר",IF(K1742="הכנסה שסווגה מחדש",0,G1742),0)</f>
        <v>34</v>
      </c>
      <c r="N1742" s="143" cm="1">
        <f t="array" ref="N1742">IF(K1742="שוטף",M1742,0)</f>
        <v>34</v>
      </c>
      <c r="O1742" s="143" cm="1">
        <f t="array" ref="O1742">IF(K1742="הכנסה שסווגה מחדש",-G1742,0)</f>
        <v>0</v>
      </c>
      <c r="P1742" t="s" s="86">
        <v>890</v>
      </c>
      <c r="Q1742" s="99"/>
      <c r="R1742" t="s" s="144">
        <v>743</v>
      </c>
      <c r="S1742" s="77"/>
    </row>
    <row r="1743" ht="13.65" customHeight="1">
      <c r="A1743" s="78">
        <v>46174</v>
      </c>
      <c r="B1743" t="s" s="79">
        <v>61</v>
      </c>
      <c r="C1743" t="s" s="80">
        <v>1036</v>
      </c>
      <c r="D1743" s="131">
        <v>82</v>
      </c>
      <c r="E1743" t="s" s="79">
        <v>1053</v>
      </c>
      <c r="F1743" t="s" s="80">
        <v>200</v>
      </c>
      <c r="G1743" s="132">
        <v>20</v>
      </c>
      <c r="H1743" t="s" s="133">
        <v>109</v>
      </c>
      <c r="I1743" t="s" s="134">
        <v>109</v>
      </c>
      <c r="J1743" t="s" s="134">
        <v>97</v>
      </c>
      <c r="K1743" t="str" s="135" cm="1">
        <f t="array" ref="K1743">IF(OR(H1743="ריביות",AND(H1743="דירה כצנלסון",G1743&lt;0,ISNUMBER(SEARCH("הכנסה",F1743)))),"הכנסה שסווגה מחדש",J1743)</f>
        <v>שוטף</v>
      </c>
      <c r="L1743" t="s" s="134">
        <v>741</v>
      </c>
      <c r="M1743" s="136" cm="1">
        <f t="array" ref="M1743">IF(L1743="מאושר",IF(K1743="הכנסה שסווגה מחדש",0,G1743),0)</f>
        <v>20</v>
      </c>
      <c r="N1743" s="136" cm="1">
        <f t="array" ref="N1743">IF(K1743="שוטף",M1743,0)</f>
        <v>20</v>
      </c>
      <c r="O1743" s="136" cm="1">
        <f t="array" ref="O1743">IF(K1743="הכנסה שסווגה מחדש",-G1743,0)</f>
        <v>0</v>
      </c>
      <c r="P1743" t="s" s="80">
        <v>890</v>
      </c>
      <c r="Q1743" s="100"/>
      <c r="R1743" t="s" s="137">
        <v>743</v>
      </c>
      <c r="S1743" s="77"/>
    </row>
    <row r="1744" ht="13.65" customHeight="1">
      <c r="A1744" s="84">
        <v>46174</v>
      </c>
      <c r="B1744" t="s" s="85">
        <v>61</v>
      </c>
      <c r="C1744" t="s" s="86">
        <v>1036</v>
      </c>
      <c r="D1744" s="138">
        <v>83</v>
      </c>
      <c r="E1744" t="s" s="85">
        <v>1041</v>
      </c>
      <c r="F1744" t="s" s="86">
        <v>200</v>
      </c>
      <c r="G1744" s="139">
        <v>59</v>
      </c>
      <c r="H1744" t="s" s="140">
        <v>109</v>
      </c>
      <c r="I1744" t="s" s="141">
        <v>109</v>
      </c>
      <c r="J1744" t="s" s="141">
        <v>97</v>
      </c>
      <c r="K1744" t="str" s="142" cm="1">
        <f t="array" ref="K1744">IF(OR(H1744="ריביות",AND(H1744="דירה כצנלסון",G1744&lt;0,ISNUMBER(SEARCH("הכנסה",F1744)))),"הכנסה שסווגה מחדש",J1744)</f>
        <v>שוטף</v>
      </c>
      <c r="L1744" t="s" s="141">
        <v>741</v>
      </c>
      <c r="M1744" s="143" cm="1">
        <f t="array" ref="M1744">IF(L1744="מאושר",IF(K1744="הכנסה שסווגה מחדש",0,G1744),0)</f>
        <v>59</v>
      </c>
      <c r="N1744" s="143" cm="1">
        <f t="array" ref="N1744">IF(K1744="שוטף",M1744,0)</f>
        <v>59</v>
      </c>
      <c r="O1744" s="143" cm="1">
        <f t="array" ref="O1744">IF(K1744="הכנסה שסווגה מחדש",-G1744,0)</f>
        <v>0</v>
      </c>
      <c r="P1744" t="s" s="86">
        <v>890</v>
      </c>
      <c r="Q1744" s="99"/>
      <c r="R1744" t="s" s="144">
        <v>743</v>
      </c>
      <c r="S1744" s="77"/>
    </row>
    <row r="1745" ht="13.65" customHeight="1">
      <c r="A1745" s="78">
        <v>46174</v>
      </c>
      <c r="B1745" t="s" s="79">
        <v>61</v>
      </c>
      <c r="C1745" t="s" s="80">
        <v>1036</v>
      </c>
      <c r="D1745" s="131">
        <v>84</v>
      </c>
      <c r="E1745" t="s" s="79">
        <v>1057</v>
      </c>
      <c r="F1745" t="s" s="80">
        <v>209</v>
      </c>
      <c r="G1745" s="132">
        <v>79</v>
      </c>
      <c r="H1745" t="s" s="133">
        <v>113</v>
      </c>
      <c r="I1745" t="s" s="134">
        <v>113</v>
      </c>
      <c r="J1745" t="s" s="134">
        <v>97</v>
      </c>
      <c r="K1745" t="str" s="135" cm="1">
        <f t="array" ref="K1745">IF(OR(H1745="ריביות",AND(H1745="דירה כצנלסון",G1745&lt;0,ISNUMBER(SEARCH("הכנסה",F1745)))),"הכנסה שסווגה מחדש",J1745)</f>
        <v>שוטף</v>
      </c>
      <c r="L1745" t="s" s="134">
        <v>741</v>
      </c>
      <c r="M1745" s="136" cm="1">
        <f t="array" ref="M1745">IF(L1745="מאושר",IF(K1745="הכנסה שסווגה מחדש",0,G1745),0)</f>
        <v>79</v>
      </c>
      <c r="N1745" s="136" cm="1">
        <f t="array" ref="N1745">IF(K1745="שוטף",M1745,0)</f>
        <v>79</v>
      </c>
      <c r="O1745" s="136" cm="1">
        <f t="array" ref="O1745">IF(K1745="הכנסה שסווגה מחדש",-G1745,0)</f>
        <v>0</v>
      </c>
      <c r="P1745" t="s" s="80">
        <v>890</v>
      </c>
      <c r="Q1745" s="100"/>
      <c r="R1745" t="s" s="137">
        <v>743</v>
      </c>
      <c r="S1745" s="77"/>
    </row>
    <row r="1746" ht="13.65" customHeight="1">
      <c r="A1746" s="84">
        <v>46174</v>
      </c>
      <c r="B1746" t="s" s="85">
        <v>61</v>
      </c>
      <c r="C1746" t="s" s="86">
        <v>1036</v>
      </c>
      <c r="D1746" s="138">
        <v>85</v>
      </c>
      <c r="E1746" t="s" s="85">
        <v>1080</v>
      </c>
      <c r="F1746" t="s" s="86">
        <v>202</v>
      </c>
      <c r="G1746" s="139">
        <v>16703</v>
      </c>
      <c r="H1746" t="s" s="140">
        <v>1073</v>
      </c>
      <c r="I1746" t="s" s="141">
        <v>119</v>
      </c>
      <c r="J1746" t="s" s="141">
        <v>103</v>
      </c>
      <c r="K1746" t="str" s="142" cm="1">
        <f t="array" ref="K1746">IF(OR(H1746="ריביות",AND(H1746="דירה כצנלסון",G1746&lt;0,ISNUMBER(SEARCH("הכנסה",F1746)))),"הכנסה שסווגה מחדש",J1746)</f>
        <v>חריג</v>
      </c>
      <c r="L1746" t="s" s="141">
        <v>741</v>
      </c>
      <c r="M1746" s="143" cm="1">
        <f t="array" ref="M1746">IF(L1746="מאושר",IF(K1746="הכנסה שסווגה מחדש",0,G1746),0)</f>
        <v>16703</v>
      </c>
      <c r="N1746" s="143" cm="1">
        <f t="array" ref="N1746">IF(K1746="שוטף",M1746,0)</f>
        <v>0</v>
      </c>
      <c r="O1746" s="143" cm="1">
        <f t="array" ref="O1746">IF(K1746="הכנסה שסווגה מחדש",-G1746,0)</f>
        <v>0</v>
      </c>
      <c r="P1746" t="s" s="86">
        <v>786</v>
      </c>
      <c r="Q1746" s="99"/>
      <c r="R1746" t="s" s="144">
        <v>743</v>
      </c>
      <c r="S1746" s="77"/>
    </row>
    <row r="1747" ht="13.65" customHeight="1">
      <c r="A1747" s="78">
        <v>46204</v>
      </c>
      <c r="B1747" t="s" s="79">
        <v>62</v>
      </c>
      <c r="C1747" t="s" s="80">
        <v>1081</v>
      </c>
      <c r="D1747" s="131">
        <v>2</v>
      </c>
      <c r="E1747" s="100"/>
      <c r="F1747" t="s" s="80">
        <v>196</v>
      </c>
      <c r="G1747" s="132">
        <v>8000</v>
      </c>
      <c r="H1747" t="s" s="133">
        <v>838</v>
      </c>
      <c r="I1747" t="s" s="134">
        <v>96</v>
      </c>
      <c r="J1747" t="s" s="134">
        <v>97</v>
      </c>
      <c r="K1747" t="str" s="135" cm="1">
        <f t="array" ref="K1747">IF(OR(H1747="ריביות",AND(H1747="דירה כצנלסון",G1747&lt;0,ISNUMBER(SEARCH("הכנסה",F1747)))),"הכנסה שסווגה מחדש",J1747)</f>
        <v>שוטף</v>
      </c>
      <c r="L1747" t="s" s="134">
        <v>741</v>
      </c>
      <c r="M1747" s="136" cm="1">
        <f t="array" ref="M1747">IF(L1747="מאושר",IF(K1747="הכנסה שסווגה מחדש",0,G1747),0)</f>
        <v>8000</v>
      </c>
      <c r="N1747" s="136" cm="1">
        <f t="array" ref="N1747">IF(K1747="שוטף",M1747,0)</f>
        <v>8000</v>
      </c>
      <c r="O1747" s="136" cm="1">
        <f t="array" ref="O1747">IF(K1747="הכנסה שסווגה מחדש",-G1747,0)</f>
        <v>0</v>
      </c>
      <c r="P1747" t="s" s="80">
        <v>786</v>
      </c>
      <c r="Q1747" s="100"/>
      <c r="R1747" t="s" s="137">
        <v>743</v>
      </c>
      <c r="S1747" s="77"/>
    </row>
    <row r="1748" ht="13.65" customHeight="1">
      <c r="A1748" s="84">
        <v>46204</v>
      </c>
      <c r="B1748" t="s" s="85">
        <v>62</v>
      </c>
      <c r="C1748" t="s" s="86">
        <v>1081</v>
      </c>
      <c r="D1748" s="138">
        <v>3</v>
      </c>
      <c r="E1748" s="99"/>
      <c r="F1748" t="s" s="86">
        <v>197</v>
      </c>
      <c r="G1748" s="139">
        <v>6153</v>
      </c>
      <c r="H1748" t="s" s="140">
        <v>279</v>
      </c>
      <c r="I1748" t="s" s="141">
        <v>99</v>
      </c>
      <c r="J1748" t="s" s="141">
        <v>100</v>
      </c>
      <c r="K1748" t="str" s="142" cm="1">
        <f t="array" ref="K1748">IF(OR(H1748="ריביות",AND(H1748="דירה כצנלסון",G1748&lt;0,ISNUMBER(SEARCH("הכנסה",F1748)))),"הכנסה שסווגה מחדש",J1748)</f>
        <v>חריג/נכס</v>
      </c>
      <c r="L1748" t="s" s="141">
        <v>741</v>
      </c>
      <c r="M1748" s="143" cm="1">
        <f t="array" ref="M1748">IF(L1748="מאושר",IF(K1748="הכנסה שסווגה מחדש",0,G1748),0)</f>
        <v>6153</v>
      </c>
      <c r="N1748" s="143" cm="1">
        <f t="array" ref="N1748">IF(K1748="שוטף",M1748,0)</f>
        <v>0</v>
      </c>
      <c r="O1748" s="143" cm="1">
        <f t="array" ref="O1748">IF(K1748="הכנסה שסווגה מחדש",-G1748,0)</f>
        <v>0</v>
      </c>
      <c r="P1748" t="s" s="86">
        <v>786</v>
      </c>
      <c r="Q1748" s="99"/>
      <c r="R1748" t="s" s="144">
        <v>743</v>
      </c>
      <c r="S1748" s="77"/>
    </row>
    <row r="1749" ht="13.65" customHeight="1">
      <c r="A1749" s="78">
        <v>46204</v>
      </c>
      <c r="B1749" t="s" s="79">
        <v>62</v>
      </c>
      <c r="C1749" t="s" s="80">
        <v>1081</v>
      </c>
      <c r="D1749" s="131">
        <v>4</v>
      </c>
      <c r="E1749" s="100"/>
      <c r="F1749" t="s" s="80">
        <v>212</v>
      </c>
      <c r="G1749" s="132">
        <v>0</v>
      </c>
      <c r="H1749" t="s" s="133">
        <v>838</v>
      </c>
      <c r="I1749" t="s" s="134">
        <v>96</v>
      </c>
      <c r="J1749" t="s" s="134">
        <v>97</v>
      </c>
      <c r="K1749" t="str" s="135" cm="1">
        <f t="array" ref="K1749">IF(OR(H1749="ריביות",AND(H1749="דירה כצנלסון",G1749&lt;0,ISNUMBER(SEARCH("הכנסה",F1749)))),"הכנסה שסווגה מחדש",J1749)</f>
        <v>שוטף</v>
      </c>
      <c r="L1749" t="s" s="134">
        <v>741</v>
      </c>
      <c r="M1749" s="136" cm="1">
        <f t="array" ref="M1749">IF(L1749="מאושר",IF(K1749="הכנסה שסווגה מחדש",0,G1749),0)</f>
        <v>0</v>
      </c>
      <c r="N1749" s="136" cm="1">
        <f t="array" ref="N1749">IF(K1749="שוטף",M1749,0)</f>
        <v>0</v>
      </c>
      <c r="O1749" s="136" cm="1">
        <f t="array" ref="O1749">IF(K1749="הכנסה שסווגה מחדש",-G1749,0)</f>
        <v>0</v>
      </c>
      <c r="P1749" s="100"/>
      <c r="Q1749" s="100"/>
      <c r="R1749" t="s" s="137">
        <v>743</v>
      </c>
      <c r="S1749" s="77"/>
    </row>
    <row r="1750" ht="13.65" customHeight="1">
      <c r="A1750" s="84">
        <v>46204</v>
      </c>
      <c r="B1750" t="s" s="85">
        <v>62</v>
      </c>
      <c r="C1750" t="s" s="86">
        <v>1081</v>
      </c>
      <c r="D1750" s="138">
        <v>5</v>
      </c>
      <c r="E1750" t="s" s="85">
        <v>1082</v>
      </c>
      <c r="F1750" t="s" s="86">
        <v>221</v>
      </c>
      <c r="G1750" s="139">
        <v>197</v>
      </c>
      <c r="H1750" t="s" s="140">
        <v>838</v>
      </c>
      <c r="I1750" t="s" s="141">
        <v>96</v>
      </c>
      <c r="J1750" t="s" s="141">
        <v>97</v>
      </c>
      <c r="K1750" t="str" s="142" cm="1">
        <f t="array" ref="K1750">IF(OR(H1750="ריביות",AND(H1750="דירה כצנלסון",G1750&lt;0,ISNUMBER(SEARCH("הכנסה",F1750)))),"הכנסה שסווגה מחדש",J1750)</f>
        <v>שוטף</v>
      </c>
      <c r="L1750" t="s" s="141">
        <v>741</v>
      </c>
      <c r="M1750" s="143" cm="1">
        <f t="array" ref="M1750">IF(L1750="מאושר",IF(K1750="הכנסה שסווגה מחדש",0,G1750),0)</f>
        <v>197</v>
      </c>
      <c r="N1750" s="143" cm="1">
        <f t="array" ref="N1750">IF(K1750="שוטף",M1750,0)</f>
        <v>197</v>
      </c>
      <c r="O1750" s="143" cm="1">
        <f t="array" ref="O1750">IF(K1750="הכנסה שסווגה מחדש",-G1750,0)</f>
        <v>0</v>
      </c>
      <c r="P1750" t="s" s="86">
        <v>842</v>
      </c>
      <c r="Q1750" s="99"/>
      <c r="R1750" t="s" s="144">
        <v>743</v>
      </c>
      <c r="S1750" s="77"/>
    </row>
    <row r="1751" ht="13.65" customHeight="1">
      <c r="A1751" s="78">
        <v>46204</v>
      </c>
      <c r="B1751" t="s" s="79">
        <v>62</v>
      </c>
      <c r="C1751" t="s" s="80">
        <v>1081</v>
      </c>
      <c r="D1751" s="131">
        <v>6</v>
      </c>
      <c r="E1751" t="s" s="79">
        <v>1083</v>
      </c>
      <c r="F1751" t="s" s="80">
        <v>272</v>
      </c>
      <c r="G1751" s="132">
        <v>166</v>
      </c>
      <c r="H1751" t="s" s="133">
        <v>838</v>
      </c>
      <c r="I1751" t="s" s="134">
        <v>96</v>
      </c>
      <c r="J1751" t="s" s="134">
        <v>97</v>
      </c>
      <c r="K1751" t="str" s="135" cm="1">
        <f t="array" ref="K1751">IF(OR(H1751="ריביות",AND(H1751="דירה כצנלסון",G1751&lt;0,ISNUMBER(SEARCH("הכנסה",F1751)))),"הכנסה שסווגה מחדש",J1751)</f>
        <v>שוטף</v>
      </c>
      <c r="L1751" t="s" s="134">
        <v>741</v>
      </c>
      <c r="M1751" s="136" cm="1">
        <f t="array" ref="M1751">IF(L1751="מאושר",IF(K1751="הכנסה שסווגה מחדש",0,G1751),0)</f>
        <v>166</v>
      </c>
      <c r="N1751" s="136" cm="1">
        <f t="array" ref="N1751">IF(K1751="שוטף",M1751,0)</f>
        <v>166</v>
      </c>
      <c r="O1751" s="136" cm="1">
        <f t="array" ref="O1751">IF(K1751="הכנסה שסווגה מחדש",-G1751,0)</f>
        <v>0</v>
      </c>
      <c r="P1751" t="s" s="80">
        <v>884</v>
      </c>
      <c r="Q1751" s="100"/>
      <c r="R1751" t="s" s="137">
        <v>743</v>
      </c>
      <c r="S1751" s="77"/>
    </row>
    <row r="1752" ht="13.65" customHeight="1">
      <c r="A1752" s="84">
        <v>46204</v>
      </c>
      <c r="B1752" t="s" s="85">
        <v>62</v>
      </c>
      <c r="C1752" t="s" s="86">
        <v>1081</v>
      </c>
      <c r="D1752" s="138">
        <v>7</v>
      </c>
      <c r="E1752" t="s" s="85">
        <v>1084</v>
      </c>
      <c r="F1752" t="s" s="86">
        <v>374</v>
      </c>
      <c r="G1752" s="139">
        <v>36</v>
      </c>
      <c r="H1752" t="s" s="140">
        <v>838</v>
      </c>
      <c r="I1752" t="s" s="141">
        <v>96</v>
      </c>
      <c r="J1752" t="s" s="141">
        <v>97</v>
      </c>
      <c r="K1752" t="str" s="142" cm="1">
        <f t="array" ref="K1752">IF(OR(H1752="ריביות",AND(H1752="דירה כצנלסון",G1752&lt;0,ISNUMBER(SEARCH("הכנסה",F1752)))),"הכנסה שסווגה מחדש",J1752)</f>
        <v>שוטף</v>
      </c>
      <c r="L1752" t="s" s="141">
        <v>741</v>
      </c>
      <c r="M1752" s="143" cm="1">
        <f t="array" ref="M1752">IF(L1752="מאושר",IF(K1752="הכנסה שסווגה מחדש",0,G1752),0)</f>
        <v>36</v>
      </c>
      <c r="N1752" s="143" cm="1">
        <f t="array" ref="N1752">IF(K1752="שוטף",M1752,0)</f>
        <v>36</v>
      </c>
      <c r="O1752" s="143" cm="1">
        <f t="array" ref="O1752">IF(K1752="הכנסה שסווגה מחדש",-G1752,0)</f>
        <v>0</v>
      </c>
      <c r="P1752" t="s" s="86">
        <v>842</v>
      </c>
      <c r="Q1752" s="99"/>
      <c r="R1752" t="s" s="144">
        <v>743</v>
      </c>
      <c r="S1752" s="77"/>
    </row>
    <row r="1753" ht="13.65" customHeight="1">
      <c r="A1753" s="78">
        <v>46204</v>
      </c>
      <c r="B1753" t="s" s="79">
        <v>62</v>
      </c>
      <c r="C1753" t="s" s="80">
        <v>1081</v>
      </c>
      <c r="D1753" s="131">
        <v>8</v>
      </c>
      <c r="E1753" s="100"/>
      <c r="F1753" t="s" s="80">
        <v>232</v>
      </c>
      <c r="G1753" s="132">
        <v>600</v>
      </c>
      <c r="H1753" t="s" s="133">
        <v>838</v>
      </c>
      <c r="I1753" t="s" s="134">
        <v>96</v>
      </c>
      <c r="J1753" t="s" s="134">
        <v>97</v>
      </c>
      <c r="K1753" t="str" s="135" cm="1">
        <f t="array" ref="K1753">IF(OR(H1753="ריביות",AND(H1753="דירה כצנלסון",G1753&lt;0,ISNUMBER(SEARCH("הכנסה",F1753)))),"הכנסה שסווגה מחדש",J1753)</f>
        <v>שוטף</v>
      </c>
      <c r="L1753" t="s" s="134">
        <v>741</v>
      </c>
      <c r="M1753" s="136" cm="1">
        <f t="array" ref="M1753">IF(L1753="מאושר",IF(K1753="הכנסה שסווגה מחדש",0,G1753),0)</f>
        <v>600</v>
      </c>
      <c r="N1753" s="136" cm="1">
        <f t="array" ref="N1753">IF(K1753="שוטף",M1753,0)</f>
        <v>600</v>
      </c>
      <c r="O1753" s="136" cm="1">
        <f t="array" ref="O1753">IF(K1753="הכנסה שסווגה מחדש",-G1753,0)</f>
        <v>0</v>
      </c>
      <c r="P1753" t="s" s="80">
        <v>781</v>
      </c>
      <c r="Q1753" s="100"/>
      <c r="R1753" t="s" s="137">
        <v>743</v>
      </c>
      <c r="S1753" s="77"/>
    </row>
    <row r="1754" ht="13.65" customHeight="1">
      <c r="A1754" s="84">
        <v>46204</v>
      </c>
      <c r="B1754" t="s" s="85">
        <v>62</v>
      </c>
      <c r="C1754" t="s" s="86">
        <v>1081</v>
      </c>
      <c r="D1754" s="138">
        <v>9</v>
      </c>
      <c r="E1754" s="99"/>
      <c r="F1754" t="s" s="86">
        <v>211</v>
      </c>
      <c r="G1754" s="139">
        <v>1000</v>
      </c>
      <c r="H1754" t="s" s="140">
        <v>838</v>
      </c>
      <c r="I1754" t="s" s="141">
        <v>96</v>
      </c>
      <c r="J1754" t="s" s="141">
        <v>97</v>
      </c>
      <c r="K1754" t="str" s="142" cm="1">
        <f t="array" ref="K1754">IF(OR(H1754="ריביות",AND(H1754="דירה כצנלסון",G1754&lt;0,ISNUMBER(SEARCH("הכנסה",F1754)))),"הכנסה שסווגה מחדש",J1754)</f>
        <v>שוטף</v>
      </c>
      <c r="L1754" t="s" s="141">
        <v>741</v>
      </c>
      <c r="M1754" s="143" cm="1">
        <f t="array" ref="M1754">IF(L1754="מאושר",IF(K1754="הכנסה שסווגה מחדש",0,G1754),0)</f>
        <v>1000</v>
      </c>
      <c r="N1754" s="143" cm="1">
        <f t="array" ref="N1754">IF(K1754="שוטף",M1754,0)</f>
        <v>1000</v>
      </c>
      <c r="O1754" s="143" cm="1">
        <f t="array" ref="O1754">IF(K1754="הכנסה שסווגה מחדש",-G1754,0)</f>
        <v>0</v>
      </c>
      <c r="P1754" t="s" s="86">
        <v>781</v>
      </c>
      <c r="Q1754" s="99"/>
      <c r="R1754" t="s" s="144">
        <v>743</v>
      </c>
      <c r="S1754" s="77"/>
    </row>
    <row r="1755" ht="13.65" customHeight="1">
      <c r="A1755" s="78">
        <v>46204</v>
      </c>
      <c r="B1755" t="s" s="79">
        <v>62</v>
      </c>
      <c r="C1755" t="s" s="80">
        <v>1081</v>
      </c>
      <c r="D1755" s="131">
        <v>10</v>
      </c>
      <c r="E1755" t="s" s="79">
        <v>1085</v>
      </c>
      <c r="F1755" t="s" s="80">
        <v>302</v>
      </c>
      <c r="G1755" s="132">
        <v>79</v>
      </c>
      <c r="H1755" t="s" s="133">
        <v>838</v>
      </c>
      <c r="I1755" t="s" s="134">
        <v>96</v>
      </c>
      <c r="J1755" t="s" s="134">
        <v>97</v>
      </c>
      <c r="K1755" t="str" s="135" cm="1">
        <f t="array" ref="K1755">IF(OR(H1755="ריביות",AND(H1755="דירה כצנלסון",G1755&lt;0,ISNUMBER(SEARCH("הכנסה",F1755)))),"הכנסה שסווגה מחדש",J1755)</f>
        <v>שוטף</v>
      </c>
      <c r="L1755" t="s" s="134">
        <v>741</v>
      </c>
      <c r="M1755" s="136" cm="1">
        <f t="array" ref="M1755">IF(L1755="מאושר",IF(K1755="הכנסה שסווגה מחדש",0,G1755),0)</f>
        <v>79</v>
      </c>
      <c r="N1755" s="136" cm="1">
        <f t="array" ref="N1755">IF(K1755="שוטף",M1755,0)</f>
        <v>79</v>
      </c>
      <c r="O1755" s="136" cm="1">
        <f t="array" ref="O1755">IF(K1755="הכנסה שסווגה מחדש",-G1755,0)</f>
        <v>0</v>
      </c>
      <c r="P1755" t="s" s="80">
        <v>842</v>
      </c>
      <c r="Q1755" s="100"/>
      <c r="R1755" t="s" s="137">
        <v>743</v>
      </c>
      <c r="S1755" s="77"/>
    </row>
    <row r="1756" ht="13.65" customHeight="1">
      <c r="A1756" s="84">
        <v>46204</v>
      </c>
      <c r="B1756" t="s" s="85">
        <v>62</v>
      </c>
      <c r="C1756" t="s" s="86">
        <v>1081</v>
      </c>
      <c r="D1756" s="138">
        <v>11</v>
      </c>
      <c r="E1756" t="s" s="85">
        <v>1086</v>
      </c>
      <c r="F1756" t="s" s="86">
        <v>320</v>
      </c>
      <c r="G1756" s="139">
        <v>59</v>
      </c>
      <c r="H1756" t="s" s="140">
        <v>838</v>
      </c>
      <c r="I1756" t="s" s="141">
        <v>96</v>
      </c>
      <c r="J1756" t="s" s="141">
        <v>97</v>
      </c>
      <c r="K1756" t="str" s="142" cm="1">
        <f t="array" ref="K1756">IF(OR(H1756="ריביות",AND(H1756="דירה כצנלסון",G1756&lt;0,ISNUMBER(SEARCH("הכנסה",F1756)))),"הכנסה שסווגה מחדש",J1756)</f>
        <v>שוטף</v>
      </c>
      <c r="L1756" t="s" s="141">
        <v>741</v>
      </c>
      <c r="M1756" s="143" cm="1">
        <f t="array" ref="M1756">IF(L1756="מאושר",IF(K1756="הכנסה שסווגה מחדש",0,G1756),0)</f>
        <v>59</v>
      </c>
      <c r="N1756" s="143" cm="1">
        <f t="array" ref="N1756">IF(K1756="שוטף",M1756,0)</f>
        <v>59</v>
      </c>
      <c r="O1756" s="143" cm="1">
        <f t="array" ref="O1756">IF(K1756="הכנסה שסווגה מחדש",-G1756,0)</f>
        <v>0</v>
      </c>
      <c r="P1756" t="s" s="86">
        <v>842</v>
      </c>
      <c r="Q1756" s="99"/>
      <c r="R1756" t="s" s="144">
        <v>743</v>
      </c>
      <c r="S1756" s="77"/>
    </row>
    <row r="1757" ht="13.65" customHeight="1">
      <c r="A1757" s="78">
        <v>46204</v>
      </c>
      <c r="B1757" t="s" s="79">
        <v>62</v>
      </c>
      <c r="C1757" t="s" s="80">
        <v>1081</v>
      </c>
      <c r="D1757" s="131">
        <v>12</v>
      </c>
      <c r="E1757" t="s" s="79">
        <v>1087</v>
      </c>
      <c r="F1757" t="s" s="80">
        <v>273</v>
      </c>
      <c r="G1757" s="132">
        <v>71</v>
      </c>
      <c r="H1757" t="s" s="133">
        <v>279</v>
      </c>
      <c r="I1757" t="s" s="134">
        <v>99</v>
      </c>
      <c r="J1757" t="s" s="134">
        <v>100</v>
      </c>
      <c r="K1757" t="str" s="135" cm="1">
        <f t="array" ref="K1757">IF(OR(H1757="ריביות",AND(H1757="דירה כצנלסון",G1757&lt;0,ISNUMBER(SEARCH("הכנסה",F1757)))),"הכנסה שסווגה מחדש",J1757)</f>
        <v>חריג/נכס</v>
      </c>
      <c r="L1757" t="s" s="134">
        <v>741</v>
      </c>
      <c r="M1757" s="136" cm="1">
        <f t="array" ref="M1757">IF(L1757="מאושר",IF(K1757="הכנסה שסווגה מחדש",0,G1757),0)</f>
        <v>71</v>
      </c>
      <c r="N1757" s="136" cm="1">
        <f t="array" ref="N1757">IF(K1757="שוטף",M1757,0)</f>
        <v>0</v>
      </c>
      <c r="O1757" s="136" cm="1">
        <f t="array" ref="O1757">IF(K1757="הכנסה שסווגה מחדש",-G1757,0)</f>
        <v>0</v>
      </c>
      <c r="P1757" t="s" s="80">
        <v>842</v>
      </c>
      <c r="Q1757" s="100"/>
      <c r="R1757" t="s" s="137">
        <v>743</v>
      </c>
      <c r="S1757" s="77"/>
    </row>
    <row r="1758" ht="13.65" customHeight="1">
      <c r="A1758" s="84">
        <v>46204</v>
      </c>
      <c r="B1758" t="s" s="85">
        <v>62</v>
      </c>
      <c r="C1758" t="s" s="86">
        <v>1081</v>
      </c>
      <c r="D1758" s="138">
        <v>13</v>
      </c>
      <c r="E1758" t="s" s="85">
        <v>1088</v>
      </c>
      <c r="F1758" t="s" s="86">
        <v>328</v>
      </c>
      <c r="G1758" s="139">
        <v>36</v>
      </c>
      <c r="H1758" t="s" s="140">
        <v>279</v>
      </c>
      <c r="I1758" t="s" s="141">
        <v>99</v>
      </c>
      <c r="J1758" t="s" s="141">
        <v>100</v>
      </c>
      <c r="K1758" t="str" s="142" cm="1">
        <f t="array" ref="K1758">IF(OR(H1758="ריביות",AND(H1758="דירה כצנלסון",G1758&lt;0,ISNUMBER(SEARCH("הכנסה",F1758)))),"הכנסה שסווגה מחדש",J1758)</f>
        <v>חריג/נכס</v>
      </c>
      <c r="L1758" t="s" s="141">
        <v>741</v>
      </c>
      <c r="M1758" s="143" cm="1">
        <f t="array" ref="M1758">IF(L1758="מאושר",IF(K1758="הכנסה שסווגה מחדש",0,G1758),0)</f>
        <v>36</v>
      </c>
      <c r="N1758" s="143" cm="1">
        <f t="array" ref="N1758">IF(K1758="שוטף",M1758,0)</f>
        <v>0</v>
      </c>
      <c r="O1758" s="143" cm="1">
        <f t="array" ref="O1758">IF(K1758="הכנסה שסווגה מחדש",-G1758,0)</f>
        <v>0</v>
      </c>
      <c r="P1758" t="s" s="86">
        <v>842</v>
      </c>
      <c r="Q1758" s="99"/>
      <c r="R1758" t="s" s="144">
        <v>743</v>
      </c>
      <c r="S1758" s="77"/>
    </row>
    <row r="1759" ht="13.65" customHeight="1">
      <c r="A1759" s="78">
        <v>46204</v>
      </c>
      <c r="B1759" t="s" s="79">
        <v>62</v>
      </c>
      <c r="C1759" t="s" s="80">
        <v>1081</v>
      </c>
      <c r="D1759" s="131">
        <v>14</v>
      </c>
      <c r="E1759" t="s" s="79">
        <v>1085</v>
      </c>
      <c r="F1759" t="s" s="80">
        <v>263</v>
      </c>
      <c r="G1759" s="132">
        <v>117</v>
      </c>
      <c r="H1759" t="s" s="133">
        <v>135</v>
      </c>
      <c r="I1759" t="s" s="134">
        <v>135</v>
      </c>
      <c r="J1759" t="s" s="134">
        <v>97</v>
      </c>
      <c r="K1759" t="str" s="135" cm="1">
        <f t="array" ref="K1759">IF(OR(H1759="ריביות",AND(H1759="דירה כצנלסון",G1759&lt;0,ISNUMBER(SEARCH("הכנסה",F1759)))),"הכנסה שסווגה מחדש",J1759)</f>
        <v>שוטף</v>
      </c>
      <c r="L1759" t="s" s="134">
        <v>741</v>
      </c>
      <c r="M1759" s="136" cm="1">
        <f t="array" ref="M1759">IF(L1759="מאושר",IF(K1759="הכנסה שסווגה מחדש",0,G1759),0)</f>
        <v>117</v>
      </c>
      <c r="N1759" s="136" cm="1">
        <f t="array" ref="N1759">IF(K1759="שוטף",M1759,0)</f>
        <v>117</v>
      </c>
      <c r="O1759" s="136" cm="1">
        <f t="array" ref="O1759">IF(K1759="הכנסה שסווגה מחדש",-G1759,0)</f>
        <v>0</v>
      </c>
      <c r="P1759" t="s" s="80">
        <v>847</v>
      </c>
      <c r="Q1759" s="100"/>
      <c r="R1759" t="s" s="137">
        <v>743</v>
      </c>
      <c r="S1759" s="77"/>
    </row>
    <row r="1760" ht="13.65" customHeight="1">
      <c r="A1760" s="84">
        <v>46204</v>
      </c>
      <c r="B1760" t="s" s="85">
        <v>62</v>
      </c>
      <c r="C1760" t="s" s="86">
        <v>1081</v>
      </c>
      <c r="D1760" s="138">
        <v>15</v>
      </c>
      <c r="E1760" t="s" s="85">
        <v>1082</v>
      </c>
      <c r="F1760" t="s" s="86">
        <v>310</v>
      </c>
      <c r="G1760" s="139">
        <v>131</v>
      </c>
      <c r="H1760" t="s" s="140">
        <v>767</v>
      </c>
      <c r="I1760" t="s" s="141">
        <v>107</v>
      </c>
      <c r="J1760" t="s" s="141">
        <v>97</v>
      </c>
      <c r="K1760" t="str" s="142" cm="1">
        <f t="array" ref="K1760">IF(OR(H1760="ריביות",AND(H1760="דירה כצנלסון",G1760&lt;0,ISNUMBER(SEARCH("הכנסה",F1760)))),"הכנסה שסווגה מחדש",J1760)</f>
        <v>שוטף</v>
      </c>
      <c r="L1760" t="s" s="141">
        <v>741</v>
      </c>
      <c r="M1760" s="143" cm="1">
        <f t="array" ref="M1760">IF(L1760="מאושר",IF(K1760="הכנסה שסווגה מחדש",0,G1760),0)</f>
        <v>131</v>
      </c>
      <c r="N1760" s="143" cm="1">
        <f t="array" ref="N1760">IF(K1760="שוטף",M1760,0)</f>
        <v>131</v>
      </c>
      <c r="O1760" s="143" cm="1">
        <f t="array" ref="O1760">IF(K1760="הכנסה שסווגה מחדש",-G1760,0)</f>
        <v>0</v>
      </c>
      <c r="P1760" t="s" s="86">
        <v>847</v>
      </c>
      <c r="Q1760" s="99"/>
      <c r="R1760" t="s" s="144">
        <v>743</v>
      </c>
      <c r="S1760" s="77"/>
    </row>
    <row r="1761" ht="13.65" customHeight="1">
      <c r="A1761" s="78">
        <v>46204</v>
      </c>
      <c r="B1761" t="s" s="79">
        <v>62</v>
      </c>
      <c r="C1761" t="s" s="80">
        <v>1081</v>
      </c>
      <c r="D1761" s="131">
        <v>16</v>
      </c>
      <c r="E1761" t="s" s="79">
        <v>1082</v>
      </c>
      <c r="F1761" t="s" s="80">
        <v>356</v>
      </c>
      <c r="G1761" s="132">
        <v>57</v>
      </c>
      <c r="H1761" t="s" s="133">
        <v>767</v>
      </c>
      <c r="I1761" t="s" s="134">
        <v>107</v>
      </c>
      <c r="J1761" t="s" s="134">
        <v>97</v>
      </c>
      <c r="K1761" t="str" s="135" cm="1">
        <f t="array" ref="K1761">IF(OR(H1761="ריביות",AND(H1761="דירה כצנלסון",G1761&lt;0,ISNUMBER(SEARCH("הכנסה",F1761)))),"הכנסה שסווגה מחדש",J1761)</f>
        <v>שוטף</v>
      </c>
      <c r="L1761" t="s" s="134">
        <v>741</v>
      </c>
      <c r="M1761" s="136" cm="1">
        <f t="array" ref="M1761">IF(L1761="מאושר",IF(K1761="הכנסה שסווגה מחדש",0,G1761),0)</f>
        <v>57</v>
      </c>
      <c r="N1761" s="136" cm="1">
        <f t="array" ref="N1761">IF(K1761="שוטף",M1761,0)</f>
        <v>57</v>
      </c>
      <c r="O1761" s="136" cm="1">
        <f t="array" ref="O1761">IF(K1761="הכנסה שסווגה מחדש",-G1761,0)</f>
        <v>0</v>
      </c>
      <c r="P1761" t="s" s="80">
        <v>842</v>
      </c>
      <c r="Q1761" s="100"/>
      <c r="R1761" t="s" s="137">
        <v>743</v>
      </c>
      <c r="S1761" s="77"/>
    </row>
    <row r="1762" ht="13.65" customHeight="1">
      <c r="A1762" s="84">
        <v>46204</v>
      </c>
      <c r="B1762" t="s" s="85">
        <v>62</v>
      </c>
      <c r="C1762" t="s" s="86">
        <v>1081</v>
      </c>
      <c r="D1762" s="138">
        <v>17</v>
      </c>
      <c r="E1762" t="s" s="85">
        <v>859</v>
      </c>
      <c r="F1762" t="s" s="86">
        <v>222</v>
      </c>
      <c r="G1762" s="139">
        <v>632</v>
      </c>
      <c r="H1762" t="s" s="140">
        <v>111</v>
      </c>
      <c r="I1762" t="s" s="141">
        <v>111</v>
      </c>
      <c r="J1762" t="s" s="141">
        <v>97</v>
      </c>
      <c r="K1762" t="str" s="142" cm="1">
        <f t="array" ref="K1762">IF(OR(H1762="ריביות",AND(H1762="דירה כצנלסון",G1762&lt;0,ISNUMBER(SEARCH("הכנסה",F1762)))),"הכנסה שסווגה מחדש",J1762)</f>
        <v>שוטף</v>
      </c>
      <c r="L1762" t="s" s="141">
        <v>741</v>
      </c>
      <c r="M1762" s="143" cm="1">
        <f t="array" ref="M1762">IF(L1762="מאושר",IF(K1762="הכנסה שסווגה מחדש",0,G1762),0)</f>
        <v>632</v>
      </c>
      <c r="N1762" s="143" cm="1">
        <f t="array" ref="N1762">IF(K1762="שוטף",M1762,0)</f>
        <v>632</v>
      </c>
      <c r="O1762" s="143" cm="1">
        <f t="array" ref="O1762">IF(K1762="הכנסה שסווגה מחדש",-G1762,0)</f>
        <v>0</v>
      </c>
      <c r="P1762" t="s" s="86">
        <v>842</v>
      </c>
      <c r="Q1762" s="99"/>
      <c r="R1762" t="s" s="144">
        <v>743</v>
      </c>
      <c r="S1762" s="77"/>
    </row>
    <row r="1763" ht="13.65" customHeight="1">
      <c r="A1763" s="78">
        <v>46204</v>
      </c>
      <c r="B1763" t="s" s="79">
        <v>62</v>
      </c>
      <c r="C1763" t="s" s="80">
        <v>1081</v>
      </c>
      <c r="D1763" s="131">
        <v>18</v>
      </c>
      <c r="E1763" t="s" s="79">
        <v>861</v>
      </c>
      <c r="F1763" t="s" s="80">
        <v>294</v>
      </c>
      <c r="G1763" s="132">
        <v>130</v>
      </c>
      <c r="H1763" t="s" s="133">
        <v>115</v>
      </c>
      <c r="I1763" t="s" s="134">
        <v>115</v>
      </c>
      <c r="J1763" t="s" s="134">
        <v>97</v>
      </c>
      <c r="K1763" t="str" s="135" cm="1">
        <f t="array" ref="K1763">IF(OR(H1763="ריביות",AND(H1763="דירה כצנלסון",G1763&lt;0,ISNUMBER(SEARCH("הכנסה",F1763)))),"הכנסה שסווגה מחדש",J1763)</f>
        <v>שוטף</v>
      </c>
      <c r="L1763" t="s" s="134">
        <v>741</v>
      </c>
      <c r="M1763" s="136" cm="1">
        <f t="array" ref="M1763">IF(L1763="מאושר",IF(K1763="הכנסה שסווגה מחדש",0,G1763),0)</f>
        <v>130</v>
      </c>
      <c r="N1763" s="136" cm="1">
        <f t="array" ref="N1763">IF(K1763="שוטף",M1763,0)</f>
        <v>130</v>
      </c>
      <c r="O1763" s="136" cm="1">
        <f t="array" ref="O1763">IF(K1763="הכנסה שסווגה מחדש",-G1763,0)</f>
        <v>0</v>
      </c>
      <c r="P1763" t="s" s="80">
        <v>842</v>
      </c>
      <c r="Q1763" s="100"/>
      <c r="R1763" t="s" s="137">
        <v>743</v>
      </c>
      <c r="S1763" s="77"/>
    </row>
    <row r="1764" ht="13.65" customHeight="1">
      <c r="A1764" s="84">
        <v>46204</v>
      </c>
      <c r="B1764" t="s" s="85">
        <v>62</v>
      </c>
      <c r="C1764" t="s" s="86">
        <v>1081</v>
      </c>
      <c r="D1764" s="138">
        <v>19</v>
      </c>
      <c r="E1764" s="99"/>
      <c r="F1764" t="s" s="86">
        <v>324</v>
      </c>
      <c r="G1764" s="139">
        <v>97</v>
      </c>
      <c r="H1764" t="s" s="140">
        <v>839</v>
      </c>
      <c r="I1764" t="s" s="141">
        <v>107</v>
      </c>
      <c r="J1764" t="s" s="141">
        <v>97</v>
      </c>
      <c r="K1764" t="str" s="142" cm="1">
        <f t="array" ref="K1764">IF(OR(H1764="ריביות",AND(H1764="דירה כצנלסון",G1764&lt;0,ISNUMBER(SEARCH("הכנסה",F1764)))),"הכנסה שסווגה מחדש",J1764)</f>
        <v>שוטף</v>
      </c>
      <c r="L1764" t="s" s="141">
        <v>741</v>
      </c>
      <c r="M1764" s="143" cm="1">
        <f t="array" ref="M1764">IF(L1764="מאושר",IF(K1764="הכנסה שסווגה מחדש",0,G1764),0)</f>
        <v>97</v>
      </c>
      <c r="N1764" s="143" cm="1">
        <f t="array" ref="N1764">IF(K1764="שוטף",M1764,0)</f>
        <v>97</v>
      </c>
      <c r="O1764" s="143" cm="1">
        <f t="array" ref="O1764">IF(K1764="הכנסה שסווגה מחדש",-G1764,0)</f>
        <v>0</v>
      </c>
      <c r="P1764" t="s" s="86">
        <v>884</v>
      </c>
      <c r="Q1764" s="99"/>
      <c r="R1764" t="s" s="144">
        <v>743</v>
      </c>
      <c r="S1764" s="77"/>
    </row>
    <row r="1765" ht="13.65" customHeight="1">
      <c r="A1765" s="78">
        <v>46204</v>
      </c>
      <c r="B1765" t="s" s="79">
        <v>62</v>
      </c>
      <c r="C1765" t="s" s="80">
        <v>1081</v>
      </c>
      <c r="D1765" s="131">
        <v>20</v>
      </c>
      <c r="E1765" t="s" s="79">
        <v>1089</v>
      </c>
      <c r="F1765" t="s" s="80">
        <v>199</v>
      </c>
      <c r="G1765" s="132">
        <v>1350</v>
      </c>
      <c r="H1765" t="s" s="133">
        <v>839</v>
      </c>
      <c r="I1765" t="s" s="134">
        <v>107</v>
      </c>
      <c r="J1765" t="s" s="134">
        <v>97</v>
      </c>
      <c r="K1765" t="str" s="135" cm="1">
        <f t="array" ref="K1765">IF(OR(H1765="ריביות",AND(H1765="דירה כצנלסון",G1765&lt;0,ISNUMBER(SEARCH("הכנסה",F1765)))),"הכנסה שסווגה מחדש",J1765)</f>
        <v>שוטף</v>
      </c>
      <c r="L1765" t="s" s="134">
        <v>741</v>
      </c>
      <c r="M1765" s="136" cm="1">
        <f t="array" ref="M1765">IF(L1765="מאושר",IF(K1765="הכנסה שסווגה מחדש",0,G1765),0)</f>
        <v>1350</v>
      </c>
      <c r="N1765" s="136" cm="1">
        <f t="array" ref="N1765">IF(K1765="שוטף",M1765,0)</f>
        <v>1350</v>
      </c>
      <c r="O1765" s="136" cm="1">
        <f t="array" ref="O1765">IF(K1765="הכנסה שסווגה מחדש",-G1765,0)</f>
        <v>0</v>
      </c>
      <c r="P1765" t="s" s="79">
        <v>742</v>
      </c>
      <c r="Q1765" s="100"/>
      <c r="R1765" t="s" s="137">
        <v>743</v>
      </c>
      <c r="S1765" s="77"/>
    </row>
    <row r="1766" ht="13.65" customHeight="1">
      <c r="A1766" s="84">
        <v>46204</v>
      </c>
      <c r="B1766" t="s" s="85">
        <v>62</v>
      </c>
      <c r="C1766" t="s" s="86">
        <v>1081</v>
      </c>
      <c r="D1766" s="138">
        <v>21</v>
      </c>
      <c r="E1766" t="s" s="85">
        <v>1090</v>
      </c>
      <c r="F1766" t="s" s="86">
        <v>721</v>
      </c>
      <c r="G1766" s="139">
        <v>-376</v>
      </c>
      <c r="H1766" t="s" s="140">
        <v>123</v>
      </c>
      <c r="I1766" t="s" s="141">
        <v>123</v>
      </c>
      <c r="J1766" t="s" s="141">
        <v>97</v>
      </c>
      <c r="K1766" t="str" s="142" cm="1">
        <f t="array" ref="K1766">IF(OR(H1766="ריביות",AND(H1766="דירה כצנלסון",G1766&lt;0,ISNUMBER(SEARCH("הכנסה",F1766)))),"הכנסה שסווגה מחדש",J1766)</f>
        <v>שוטף</v>
      </c>
      <c r="L1766" t="s" s="141">
        <v>741</v>
      </c>
      <c r="M1766" s="143" cm="1">
        <f t="array" ref="M1766">IF(L1766="מאושר",IF(K1766="הכנסה שסווגה מחדש",0,G1766),0)</f>
        <v>-376</v>
      </c>
      <c r="N1766" s="143" cm="1">
        <f t="array" ref="N1766">IF(K1766="שוטף",M1766,0)</f>
        <v>-376</v>
      </c>
      <c r="O1766" s="143" cm="1">
        <f t="array" ref="O1766">IF(K1766="הכנסה שסווגה מחדש",-G1766,0)</f>
        <v>0</v>
      </c>
      <c r="P1766" t="s" s="86">
        <v>847</v>
      </c>
      <c r="Q1766" s="99"/>
      <c r="R1766" t="s" s="144">
        <v>743</v>
      </c>
      <c r="S1766" s="77"/>
    </row>
    <row r="1767" ht="13.65" customHeight="1">
      <c r="A1767" s="78">
        <v>46204</v>
      </c>
      <c r="B1767" t="s" s="79">
        <v>62</v>
      </c>
      <c r="C1767" t="s" s="80">
        <v>1081</v>
      </c>
      <c r="D1767" s="131">
        <v>22</v>
      </c>
      <c r="E1767" t="s" s="79">
        <v>1091</v>
      </c>
      <c r="F1767" t="s" s="80">
        <v>710</v>
      </c>
      <c r="G1767" s="132">
        <v>-112</v>
      </c>
      <c r="H1767" t="s" s="133">
        <v>960</v>
      </c>
      <c r="I1767" t="s" s="134">
        <v>131</v>
      </c>
      <c r="J1767" t="s" s="134">
        <v>97</v>
      </c>
      <c r="K1767" t="str" s="135" cm="1">
        <f t="array" ref="K1767">IF(OR(H1767="ריביות",AND(H1767="דירה כצנלסון",G1767&lt;0,ISNUMBER(SEARCH("הכנסה",F1767)))),"הכנסה שסווגה מחדש",J1767)</f>
        <v>שוטף</v>
      </c>
      <c r="L1767" t="s" s="134">
        <v>741</v>
      </c>
      <c r="M1767" s="136" cm="1">
        <f t="array" ref="M1767">IF(L1767="מאושר",IF(K1767="הכנסה שסווגה מחדש",0,G1767),0)</f>
        <v>-112</v>
      </c>
      <c r="N1767" s="136" cm="1">
        <f t="array" ref="N1767">IF(K1767="שוטף",M1767,0)</f>
        <v>-112</v>
      </c>
      <c r="O1767" s="136" cm="1">
        <f t="array" ref="O1767">IF(K1767="הכנסה שסווגה מחדש",-G1767,0)</f>
        <v>0</v>
      </c>
      <c r="P1767" t="s" s="80">
        <v>847</v>
      </c>
      <c r="Q1767" s="100"/>
      <c r="R1767" t="s" s="137">
        <v>743</v>
      </c>
      <c r="S1767" s="77"/>
    </row>
    <row r="1768" ht="13.65" customHeight="1">
      <c r="A1768" s="84">
        <v>46204</v>
      </c>
      <c r="B1768" t="s" s="85">
        <v>62</v>
      </c>
      <c r="C1768" t="s" s="86">
        <v>1081</v>
      </c>
      <c r="D1768" s="138">
        <v>23</v>
      </c>
      <c r="E1768" t="s" s="85">
        <v>1092</v>
      </c>
      <c r="F1768" t="s" s="86">
        <v>205</v>
      </c>
      <c r="G1768" s="139">
        <v>3000</v>
      </c>
      <c r="H1768" t="s" s="140">
        <v>111</v>
      </c>
      <c r="I1768" t="s" s="141">
        <v>111</v>
      </c>
      <c r="J1768" t="s" s="141">
        <v>97</v>
      </c>
      <c r="K1768" t="str" s="142" cm="1">
        <f t="array" ref="K1768">IF(OR(H1768="ריביות",AND(H1768="דירה כצנלסון",G1768&lt;0,ISNUMBER(SEARCH("הכנסה",F1768)))),"הכנסה שסווגה מחדש",J1768)</f>
        <v>שוטף</v>
      </c>
      <c r="L1768" t="s" s="141">
        <v>741</v>
      </c>
      <c r="M1768" s="143" cm="1">
        <f t="array" ref="M1768">IF(L1768="מאושר",IF(K1768="הכנסה שסווגה מחדש",0,G1768),0)</f>
        <v>3000</v>
      </c>
      <c r="N1768" s="143" cm="1">
        <f t="array" ref="N1768">IF(K1768="שוטף",M1768,0)</f>
        <v>3000</v>
      </c>
      <c r="O1768" s="143" cm="1">
        <f t="array" ref="O1768">IF(K1768="הכנסה שסווגה מחדש",-G1768,0)</f>
        <v>0</v>
      </c>
      <c r="P1768" t="s" s="86">
        <v>847</v>
      </c>
      <c r="Q1768" s="99"/>
      <c r="R1768" t="s" s="144">
        <v>743</v>
      </c>
      <c r="S1768" s="77"/>
    </row>
    <row r="1769" ht="13.65" customHeight="1">
      <c r="A1769" s="78">
        <v>46204</v>
      </c>
      <c r="B1769" t="s" s="79">
        <v>62</v>
      </c>
      <c r="C1769" t="s" s="80">
        <v>1081</v>
      </c>
      <c r="D1769" s="131">
        <v>24</v>
      </c>
      <c r="E1769" t="s" s="79">
        <v>1093</v>
      </c>
      <c r="F1769" t="s" s="80">
        <v>389</v>
      </c>
      <c r="G1769" s="132">
        <v>114</v>
      </c>
      <c r="H1769" t="s" s="133">
        <v>127</v>
      </c>
      <c r="I1769" t="s" s="134">
        <v>127</v>
      </c>
      <c r="J1769" t="s" s="134">
        <v>97</v>
      </c>
      <c r="K1769" t="str" s="135" cm="1">
        <f t="array" ref="K1769">IF(OR(H1769="ריביות",AND(H1769="דירה כצנלסון",G1769&lt;0,ISNUMBER(SEARCH("הכנסה",F1769)))),"הכנסה שסווגה מחדש",J1769)</f>
        <v>שוטף</v>
      </c>
      <c r="L1769" t="s" s="134">
        <v>741</v>
      </c>
      <c r="M1769" s="136" cm="1">
        <f t="array" ref="M1769">IF(L1769="מאושר",IF(K1769="הכנסה שסווגה מחדש",0,G1769),0)</f>
        <v>114</v>
      </c>
      <c r="N1769" s="136" cm="1">
        <f t="array" ref="N1769">IF(K1769="שוטף",M1769,0)</f>
        <v>114</v>
      </c>
      <c r="O1769" s="136" cm="1">
        <f t="array" ref="O1769">IF(K1769="הכנסה שסווגה מחדש",-G1769,0)</f>
        <v>0</v>
      </c>
      <c r="P1769" t="s" s="80">
        <v>884</v>
      </c>
      <c r="Q1769" s="100"/>
      <c r="R1769" t="s" s="137">
        <v>743</v>
      </c>
      <c r="S1769" s="77"/>
    </row>
    <row r="1770" ht="13.65" customHeight="1">
      <c r="A1770" s="84">
        <v>46204</v>
      </c>
      <c r="B1770" t="s" s="85">
        <v>62</v>
      </c>
      <c r="C1770" t="s" s="86">
        <v>1081</v>
      </c>
      <c r="D1770" s="138">
        <v>25</v>
      </c>
      <c r="E1770" t="s" s="85">
        <v>1094</v>
      </c>
      <c r="F1770" t="s" s="86">
        <v>277</v>
      </c>
      <c r="G1770" s="139">
        <v>96</v>
      </c>
      <c r="H1770" t="s" s="140">
        <v>115</v>
      </c>
      <c r="I1770" t="s" s="141">
        <v>115</v>
      </c>
      <c r="J1770" t="s" s="141">
        <v>97</v>
      </c>
      <c r="K1770" t="str" s="142" cm="1">
        <f t="array" ref="K1770">IF(OR(H1770="ריביות",AND(H1770="דירה כצנלסון",G1770&lt;0,ISNUMBER(SEARCH("הכנסה",F1770)))),"הכנסה שסווגה מחדש",J1770)</f>
        <v>שוטף</v>
      </c>
      <c r="L1770" t="s" s="141">
        <v>741</v>
      </c>
      <c r="M1770" s="143" cm="1">
        <f t="array" ref="M1770">IF(L1770="מאושר",IF(K1770="הכנסה שסווגה מחדש",0,G1770),0)</f>
        <v>96</v>
      </c>
      <c r="N1770" s="143" cm="1">
        <f t="array" ref="N1770">IF(K1770="שוטף",M1770,0)</f>
        <v>96</v>
      </c>
      <c r="O1770" s="143" cm="1">
        <f t="array" ref="O1770">IF(K1770="הכנסה שסווגה מחדש",-G1770,0)</f>
        <v>0</v>
      </c>
      <c r="P1770" t="s" s="85">
        <v>882</v>
      </c>
      <c r="Q1770" s="99"/>
      <c r="R1770" t="s" s="144">
        <v>743</v>
      </c>
      <c r="S1770" s="77"/>
    </row>
    <row r="1771" ht="13.65" customHeight="1">
      <c r="A1771" s="78">
        <v>46204</v>
      </c>
      <c r="B1771" t="s" s="79">
        <v>62</v>
      </c>
      <c r="C1771" t="s" s="80">
        <v>1081</v>
      </c>
      <c r="D1771" s="131">
        <v>26</v>
      </c>
      <c r="E1771" t="s" s="79">
        <v>1095</v>
      </c>
      <c r="F1771" t="s" s="80">
        <v>611</v>
      </c>
      <c r="G1771" s="132">
        <v>48</v>
      </c>
      <c r="H1771" t="s" s="133">
        <v>960</v>
      </c>
      <c r="I1771" t="s" s="134">
        <v>131</v>
      </c>
      <c r="J1771" t="s" s="134">
        <v>97</v>
      </c>
      <c r="K1771" t="str" s="135" cm="1">
        <f t="array" ref="K1771">IF(OR(H1771="ריביות",AND(H1771="דירה כצנלסון",G1771&lt;0,ISNUMBER(SEARCH("הכנסה",F1771)))),"הכנסה שסווגה מחדש",J1771)</f>
        <v>שוטף</v>
      </c>
      <c r="L1771" t="s" s="134">
        <v>741</v>
      </c>
      <c r="M1771" s="136" cm="1">
        <f t="array" ref="M1771">IF(L1771="מאושר",IF(K1771="הכנסה שסווגה מחדש",0,G1771),0)</f>
        <v>48</v>
      </c>
      <c r="N1771" s="136" cm="1">
        <f t="array" ref="N1771">IF(K1771="שוטף",M1771,0)</f>
        <v>48</v>
      </c>
      <c r="O1771" s="136" cm="1">
        <f t="array" ref="O1771">IF(K1771="הכנסה שסווגה מחדש",-G1771,0)</f>
        <v>0</v>
      </c>
      <c r="P1771" t="s" s="79">
        <v>882</v>
      </c>
      <c r="Q1771" s="100"/>
      <c r="R1771" t="s" s="137">
        <v>743</v>
      </c>
      <c r="S1771" s="77"/>
    </row>
    <row r="1772" ht="13.65" customHeight="1">
      <c r="A1772" s="84">
        <v>46204</v>
      </c>
      <c r="B1772" t="s" s="85">
        <v>62</v>
      </c>
      <c r="C1772" t="s" s="86">
        <v>1081</v>
      </c>
      <c r="D1772" s="138">
        <v>27</v>
      </c>
      <c r="E1772" t="s" s="85">
        <v>1096</v>
      </c>
      <c r="F1772" t="s" s="86">
        <v>250</v>
      </c>
      <c r="G1772" s="139">
        <v>130</v>
      </c>
      <c r="H1772" t="s" s="140">
        <v>127</v>
      </c>
      <c r="I1772" t="s" s="141">
        <v>127</v>
      </c>
      <c r="J1772" t="s" s="141">
        <v>97</v>
      </c>
      <c r="K1772" t="str" s="142" cm="1">
        <f t="array" ref="K1772">IF(OR(H1772="ריביות",AND(H1772="דירה כצנלסון",G1772&lt;0,ISNUMBER(SEARCH("הכנסה",F1772)))),"הכנסה שסווגה מחדש",J1772)</f>
        <v>שוטף</v>
      </c>
      <c r="L1772" t="s" s="141">
        <v>741</v>
      </c>
      <c r="M1772" s="143" cm="1">
        <f t="array" ref="M1772">IF(L1772="מאושר",IF(K1772="הכנסה שסווגה מחדש",0,G1772),0)</f>
        <v>130</v>
      </c>
      <c r="N1772" s="143" cm="1">
        <f t="array" ref="N1772">IF(K1772="שוטף",M1772,0)</f>
        <v>130</v>
      </c>
      <c r="O1772" s="143" cm="1">
        <f t="array" ref="O1772">IF(K1772="הכנסה שסווגה מחדש",-G1772,0)</f>
        <v>0</v>
      </c>
      <c r="P1772" t="s" s="86">
        <v>884</v>
      </c>
      <c r="Q1772" s="99"/>
      <c r="R1772" t="s" s="144">
        <v>743</v>
      </c>
      <c r="S1772" s="77"/>
    </row>
    <row r="1773" ht="13.65" customHeight="1">
      <c r="A1773" s="78">
        <v>46204</v>
      </c>
      <c r="B1773" t="s" s="79">
        <v>62</v>
      </c>
      <c r="C1773" t="s" s="80">
        <v>1081</v>
      </c>
      <c r="D1773" s="131">
        <v>28</v>
      </c>
      <c r="E1773" t="s" s="79">
        <v>1097</v>
      </c>
      <c r="F1773" t="s" s="80">
        <v>381</v>
      </c>
      <c r="G1773" s="132">
        <v>60</v>
      </c>
      <c r="H1773" t="s" s="133">
        <v>121</v>
      </c>
      <c r="I1773" t="s" s="134">
        <v>121</v>
      </c>
      <c r="J1773" t="s" s="134">
        <v>97</v>
      </c>
      <c r="K1773" t="str" s="135" cm="1">
        <f t="array" ref="K1773">IF(OR(H1773="ריביות",AND(H1773="דירה כצנלסון",G1773&lt;0,ISNUMBER(SEARCH("הכנסה",F1773)))),"הכנסה שסווגה מחדש",J1773)</f>
        <v>שוטף</v>
      </c>
      <c r="L1773" t="s" s="134">
        <v>741</v>
      </c>
      <c r="M1773" s="136" cm="1">
        <f t="array" ref="M1773">IF(L1773="מאושר",IF(K1773="הכנסה שסווגה מחדש",0,G1773),0)</f>
        <v>60</v>
      </c>
      <c r="N1773" s="136" cm="1">
        <f t="array" ref="N1773">IF(K1773="שוטף",M1773,0)</f>
        <v>60</v>
      </c>
      <c r="O1773" s="136" cm="1">
        <f t="array" ref="O1773">IF(K1773="הכנסה שסווגה מחדש",-G1773,0)</f>
        <v>0</v>
      </c>
      <c r="P1773" t="s" s="80">
        <v>1098</v>
      </c>
      <c r="Q1773" s="100"/>
      <c r="R1773" t="s" s="137">
        <v>743</v>
      </c>
      <c r="S1773" s="77"/>
    </row>
    <row r="1774" ht="13.65" customHeight="1">
      <c r="A1774" s="84">
        <v>46204</v>
      </c>
      <c r="B1774" t="s" s="85">
        <v>62</v>
      </c>
      <c r="C1774" t="s" s="86">
        <v>1081</v>
      </c>
      <c r="D1774" s="138">
        <v>29</v>
      </c>
      <c r="E1774" t="s" s="85">
        <v>1099</v>
      </c>
      <c r="F1774" t="s" s="86">
        <v>231</v>
      </c>
      <c r="G1774" s="139">
        <v>23</v>
      </c>
      <c r="H1774" t="s" s="140">
        <v>113</v>
      </c>
      <c r="I1774" t="s" s="141">
        <v>113</v>
      </c>
      <c r="J1774" t="s" s="141">
        <v>97</v>
      </c>
      <c r="K1774" t="str" s="142" cm="1">
        <f t="array" ref="K1774">IF(OR(H1774="ריביות",AND(H1774="דירה כצנלסון",G1774&lt;0,ISNUMBER(SEARCH("הכנסה",F1774)))),"הכנסה שסווגה מחדש",J1774)</f>
        <v>שוטף</v>
      </c>
      <c r="L1774" t="s" s="141">
        <v>741</v>
      </c>
      <c r="M1774" s="143" cm="1">
        <f t="array" ref="M1774">IF(L1774="מאושר",IF(K1774="הכנסה שסווגה מחדש",0,G1774),0)</f>
        <v>23</v>
      </c>
      <c r="N1774" s="143" cm="1">
        <f t="array" ref="N1774">IF(K1774="שוטף",M1774,0)</f>
        <v>23</v>
      </c>
      <c r="O1774" s="143" cm="1">
        <f t="array" ref="O1774">IF(K1774="הכנסה שסווגה מחדש",-G1774,0)</f>
        <v>0</v>
      </c>
      <c r="P1774" t="s" s="86">
        <v>884</v>
      </c>
      <c r="Q1774" s="99"/>
      <c r="R1774" t="s" s="144">
        <v>743</v>
      </c>
      <c r="S1774" s="77"/>
    </row>
    <row r="1775" ht="13.65" customHeight="1">
      <c r="A1775" s="78">
        <v>46204</v>
      </c>
      <c r="B1775" t="s" s="79">
        <v>62</v>
      </c>
      <c r="C1775" t="s" s="80">
        <v>1081</v>
      </c>
      <c r="D1775" s="131">
        <v>30</v>
      </c>
      <c r="E1775" t="s" s="79">
        <v>1100</v>
      </c>
      <c r="F1775" t="s" s="80">
        <v>355</v>
      </c>
      <c r="G1775" s="132">
        <v>13</v>
      </c>
      <c r="H1775" t="s" s="133">
        <v>113</v>
      </c>
      <c r="I1775" t="s" s="134">
        <v>113</v>
      </c>
      <c r="J1775" t="s" s="134">
        <v>97</v>
      </c>
      <c r="K1775" t="str" s="135" cm="1">
        <f t="array" ref="K1775">IF(OR(H1775="ריביות",AND(H1775="דירה כצנלסון",G1775&lt;0,ISNUMBER(SEARCH("הכנסה",F1775)))),"הכנסה שסווגה מחדש",J1775)</f>
        <v>שוטף</v>
      </c>
      <c r="L1775" t="s" s="134">
        <v>741</v>
      </c>
      <c r="M1775" s="136" cm="1">
        <f t="array" ref="M1775">IF(L1775="מאושר",IF(K1775="הכנסה שסווגה מחדש",0,G1775),0)</f>
        <v>13</v>
      </c>
      <c r="N1775" s="136" cm="1">
        <f t="array" ref="N1775">IF(K1775="שוטף",M1775,0)</f>
        <v>13</v>
      </c>
      <c r="O1775" s="136" cm="1">
        <f t="array" ref="O1775">IF(K1775="הכנסה שסווגה מחדש",-G1775,0)</f>
        <v>0</v>
      </c>
      <c r="P1775" t="s" s="80">
        <v>884</v>
      </c>
      <c r="Q1775" s="100"/>
      <c r="R1775" t="s" s="137">
        <v>743</v>
      </c>
      <c r="S1775" s="77"/>
    </row>
    <row r="1776" ht="13.65" customHeight="1">
      <c r="A1776" s="84">
        <v>46204</v>
      </c>
      <c r="B1776" t="s" s="85">
        <v>62</v>
      </c>
      <c r="C1776" t="s" s="86">
        <v>1081</v>
      </c>
      <c r="D1776" s="138">
        <v>31</v>
      </c>
      <c r="E1776" t="s" s="85">
        <v>1101</v>
      </c>
      <c r="F1776" t="s" s="86">
        <v>308</v>
      </c>
      <c r="G1776" s="139">
        <v>49</v>
      </c>
      <c r="H1776" t="s" s="140">
        <v>113</v>
      </c>
      <c r="I1776" t="s" s="141">
        <v>113</v>
      </c>
      <c r="J1776" t="s" s="141">
        <v>97</v>
      </c>
      <c r="K1776" t="str" s="142" cm="1">
        <f t="array" ref="K1776">IF(OR(H1776="ריביות",AND(H1776="דירה כצנלסון",G1776&lt;0,ISNUMBER(SEARCH("הכנסה",F1776)))),"הכנסה שסווגה מחדש",J1776)</f>
        <v>שוטף</v>
      </c>
      <c r="L1776" t="s" s="141">
        <v>741</v>
      </c>
      <c r="M1776" s="143" cm="1">
        <f t="array" ref="M1776">IF(L1776="מאושר",IF(K1776="הכנסה שסווגה מחדש",0,G1776),0)</f>
        <v>49</v>
      </c>
      <c r="N1776" s="143" cm="1">
        <f t="array" ref="N1776">IF(K1776="שוטף",M1776,0)</f>
        <v>49</v>
      </c>
      <c r="O1776" s="143" cm="1">
        <f t="array" ref="O1776">IF(K1776="הכנסה שסווגה מחדש",-G1776,0)</f>
        <v>0</v>
      </c>
      <c r="P1776" t="s" s="86">
        <v>884</v>
      </c>
      <c r="Q1776" s="99"/>
      <c r="R1776" t="s" s="144">
        <v>743</v>
      </c>
      <c r="S1776" s="77"/>
    </row>
    <row r="1777" ht="13.65" customHeight="1">
      <c r="A1777" s="78">
        <v>46204</v>
      </c>
      <c r="B1777" t="s" s="79">
        <v>62</v>
      </c>
      <c r="C1777" t="s" s="80">
        <v>1081</v>
      </c>
      <c r="D1777" s="131">
        <v>32</v>
      </c>
      <c r="E1777" t="s" s="79">
        <v>1094</v>
      </c>
      <c r="F1777" t="s" s="80">
        <v>304</v>
      </c>
      <c r="G1777" s="132">
        <v>385</v>
      </c>
      <c r="H1777" t="s" s="133">
        <v>960</v>
      </c>
      <c r="I1777" t="s" s="134">
        <v>131</v>
      </c>
      <c r="J1777" t="s" s="134">
        <v>97</v>
      </c>
      <c r="K1777" t="str" s="135" cm="1">
        <f t="array" ref="K1777">IF(OR(H1777="ריביות",AND(H1777="דירה כצנלסון",G1777&lt;0,ISNUMBER(SEARCH("הכנסה",F1777)))),"הכנסה שסווגה מחדש",J1777)</f>
        <v>שוטף</v>
      </c>
      <c r="L1777" t="s" s="134">
        <v>741</v>
      </c>
      <c r="M1777" s="136" cm="1">
        <f t="array" ref="M1777">IF(L1777="מאושר",IF(K1777="הכנסה שסווגה מחדש",0,G1777),0)</f>
        <v>385</v>
      </c>
      <c r="N1777" s="136" cm="1">
        <f t="array" ref="N1777">IF(K1777="שוטף",M1777,0)</f>
        <v>385</v>
      </c>
      <c r="O1777" s="136" cm="1">
        <f t="array" ref="O1777">IF(K1777="הכנסה שסווגה מחדש",-G1777,0)</f>
        <v>0</v>
      </c>
      <c r="P1777" t="s" s="80">
        <v>884</v>
      </c>
      <c r="Q1777" s="100"/>
      <c r="R1777" t="s" s="137">
        <v>743</v>
      </c>
      <c r="S1777" s="77"/>
    </row>
    <row r="1778" ht="13.65" customHeight="1">
      <c r="A1778" s="84">
        <v>46204</v>
      </c>
      <c r="B1778" t="s" s="85">
        <v>62</v>
      </c>
      <c r="C1778" t="s" s="86">
        <v>1081</v>
      </c>
      <c r="D1778" s="138">
        <v>33</v>
      </c>
      <c r="E1778" t="s" s="85">
        <v>1102</v>
      </c>
      <c r="F1778" t="s" s="86">
        <v>250</v>
      </c>
      <c r="G1778" s="139">
        <v>130</v>
      </c>
      <c r="H1778" t="s" s="140">
        <v>127</v>
      </c>
      <c r="I1778" t="s" s="141">
        <v>127</v>
      </c>
      <c r="J1778" t="s" s="141">
        <v>97</v>
      </c>
      <c r="K1778" t="str" s="142" cm="1">
        <f t="array" ref="K1778">IF(OR(H1778="ריביות",AND(H1778="דירה כצנלסון",G1778&lt;0,ISNUMBER(SEARCH("הכנסה",F1778)))),"הכנסה שסווגה מחדש",J1778)</f>
        <v>שוטף</v>
      </c>
      <c r="L1778" t="s" s="141">
        <v>741</v>
      </c>
      <c r="M1778" s="143" cm="1">
        <f t="array" ref="M1778">IF(L1778="מאושר",IF(K1778="הכנסה שסווגה מחדש",0,G1778),0)</f>
        <v>130</v>
      </c>
      <c r="N1778" s="143" cm="1">
        <f t="array" ref="N1778">IF(K1778="שוטף",M1778,0)</f>
        <v>130</v>
      </c>
      <c r="O1778" s="143" cm="1">
        <f t="array" ref="O1778">IF(K1778="הכנסה שסווגה מחדש",-G1778,0)</f>
        <v>0</v>
      </c>
      <c r="P1778" t="s" s="86">
        <v>884</v>
      </c>
      <c r="Q1778" s="99"/>
      <c r="R1778" t="s" s="144">
        <v>743</v>
      </c>
      <c r="S1778" s="77"/>
    </row>
    <row r="1779" ht="13.65" customHeight="1">
      <c r="A1779" s="78">
        <v>46204</v>
      </c>
      <c r="B1779" t="s" s="79">
        <v>62</v>
      </c>
      <c r="C1779" t="s" s="80">
        <v>1081</v>
      </c>
      <c r="D1779" s="131">
        <v>34</v>
      </c>
      <c r="E1779" t="s" s="79">
        <v>1102</v>
      </c>
      <c r="F1779" t="s" s="80">
        <v>712</v>
      </c>
      <c r="G1779" s="132">
        <v>-138</v>
      </c>
      <c r="H1779" t="s" s="133">
        <v>113</v>
      </c>
      <c r="I1779" t="s" s="134">
        <v>113</v>
      </c>
      <c r="J1779" t="s" s="134">
        <v>97</v>
      </c>
      <c r="K1779" t="str" s="135" cm="1">
        <f t="array" ref="K1779">IF(OR(H1779="ריביות",AND(H1779="דירה כצנלסון",G1779&lt;0,ISNUMBER(SEARCH("הכנסה",F1779)))),"הכנסה שסווגה מחדש",J1779)</f>
        <v>שוטף</v>
      </c>
      <c r="L1779" t="s" s="134">
        <v>741</v>
      </c>
      <c r="M1779" s="136" cm="1">
        <f t="array" ref="M1779">IF(L1779="מאושר",IF(K1779="הכנסה שסווגה מחדש",0,G1779),0)</f>
        <v>-138</v>
      </c>
      <c r="N1779" s="136" cm="1">
        <f t="array" ref="N1779">IF(K1779="שוטף",M1779,0)</f>
        <v>-138</v>
      </c>
      <c r="O1779" s="136" cm="1">
        <f t="array" ref="O1779">IF(K1779="הכנסה שסווגה מחדש",-G1779,0)</f>
        <v>0</v>
      </c>
      <c r="P1779" t="s" s="80">
        <v>786</v>
      </c>
      <c r="Q1779" s="100"/>
      <c r="R1779" t="s" s="137">
        <v>743</v>
      </c>
      <c r="S1779" s="77"/>
    </row>
    <row r="1780" ht="13.65" customHeight="1">
      <c r="A1780" s="84">
        <v>46204</v>
      </c>
      <c r="B1780" t="s" s="85">
        <v>62</v>
      </c>
      <c r="C1780" t="s" s="86">
        <v>1081</v>
      </c>
      <c r="D1780" s="138">
        <v>35</v>
      </c>
      <c r="E1780" t="s" s="85">
        <v>1103</v>
      </c>
      <c r="F1780" t="s" s="86">
        <v>365</v>
      </c>
      <c r="G1780" s="139">
        <v>150</v>
      </c>
      <c r="H1780" t="s" s="140">
        <v>767</v>
      </c>
      <c r="I1780" t="s" s="141">
        <v>107</v>
      </c>
      <c r="J1780" t="s" s="141">
        <v>97</v>
      </c>
      <c r="K1780" t="str" s="142" cm="1">
        <f t="array" ref="K1780">IF(OR(H1780="ריביות",AND(H1780="דירה כצנלסון",G1780&lt;0,ISNUMBER(SEARCH("הכנסה",F1780)))),"הכנסה שסווגה מחדש",J1780)</f>
        <v>שוטף</v>
      </c>
      <c r="L1780" t="s" s="141">
        <v>741</v>
      </c>
      <c r="M1780" s="143" cm="1">
        <f t="array" ref="M1780">IF(L1780="מאושר",IF(K1780="הכנסה שסווגה מחדש",0,G1780),0)</f>
        <v>150</v>
      </c>
      <c r="N1780" s="143" cm="1">
        <f t="array" ref="N1780">IF(K1780="שוטף",M1780,0)</f>
        <v>150</v>
      </c>
      <c r="O1780" s="143" cm="1">
        <f t="array" ref="O1780">IF(K1780="הכנסה שסווגה מחדש",-G1780,0)</f>
        <v>0</v>
      </c>
      <c r="P1780" t="s" s="86">
        <v>847</v>
      </c>
      <c r="Q1780" s="99"/>
      <c r="R1780" t="s" s="144">
        <v>743</v>
      </c>
      <c r="S1780" s="77"/>
    </row>
    <row r="1781" ht="13.65" customHeight="1">
      <c r="A1781" s="78">
        <v>46204</v>
      </c>
      <c r="B1781" t="s" s="79">
        <v>62</v>
      </c>
      <c r="C1781" t="s" s="80">
        <v>1081</v>
      </c>
      <c r="D1781" s="131">
        <v>36</v>
      </c>
      <c r="E1781" t="s" s="79">
        <v>1082</v>
      </c>
      <c r="F1781" t="s" s="80">
        <v>254</v>
      </c>
      <c r="G1781" s="132">
        <v>7</v>
      </c>
      <c r="H1781" t="s" s="133">
        <v>109</v>
      </c>
      <c r="I1781" t="s" s="134">
        <v>109</v>
      </c>
      <c r="J1781" t="s" s="134">
        <v>97</v>
      </c>
      <c r="K1781" t="str" s="135" cm="1">
        <f t="array" ref="K1781">IF(OR(H1781="ריביות",AND(H1781="דירה כצנלסון",G1781&lt;0,ISNUMBER(SEARCH("הכנסה",F1781)))),"הכנסה שסווגה מחדש",J1781)</f>
        <v>שוטף</v>
      </c>
      <c r="L1781" t="s" s="134">
        <v>741</v>
      </c>
      <c r="M1781" s="136" cm="1">
        <f t="array" ref="M1781">IF(L1781="מאושר",IF(K1781="הכנסה שסווגה מחדש",0,G1781),0)</f>
        <v>7</v>
      </c>
      <c r="N1781" s="136" cm="1">
        <f t="array" ref="N1781">IF(K1781="שוטף",M1781,0)</f>
        <v>7</v>
      </c>
      <c r="O1781" s="136" cm="1">
        <f t="array" ref="O1781">IF(K1781="הכנסה שסווגה מחדש",-G1781,0)</f>
        <v>0</v>
      </c>
      <c r="P1781" t="s" s="80">
        <v>847</v>
      </c>
      <c r="Q1781" s="100"/>
      <c r="R1781" t="s" s="137">
        <v>743</v>
      </c>
      <c r="S1781" s="77"/>
    </row>
    <row r="1782" ht="13.65" customHeight="1">
      <c r="A1782" s="84">
        <v>46204</v>
      </c>
      <c r="B1782" t="s" s="85">
        <v>62</v>
      </c>
      <c r="C1782" t="s" s="86">
        <v>1081</v>
      </c>
      <c r="D1782" s="138">
        <v>37</v>
      </c>
      <c r="E1782" t="s" s="85">
        <v>1082</v>
      </c>
      <c r="F1782" t="s" s="86">
        <v>213</v>
      </c>
      <c r="G1782" s="139">
        <v>175</v>
      </c>
      <c r="H1782" t="s" s="140">
        <v>115</v>
      </c>
      <c r="I1782" t="s" s="141">
        <v>115</v>
      </c>
      <c r="J1782" t="s" s="141">
        <v>97</v>
      </c>
      <c r="K1782" t="str" s="142" cm="1">
        <f t="array" ref="K1782">IF(OR(H1782="ריביות",AND(H1782="דירה כצנלסון",G1782&lt;0,ISNUMBER(SEARCH("הכנסה",F1782)))),"הכנסה שסווגה מחדש",J1782)</f>
        <v>שוטף</v>
      </c>
      <c r="L1782" t="s" s="141">
        <v>741</v>
      </c>
      <c r="M1782" s="143" cm="1">
        <f t="array" ref="M1782">IF(L1782="מאושר",IF(K1782="הכנסה שסווגה מחדש",0,G1782),0)</f>
        <v>175</v>
      </c>
      <c r="N1782" s="143" cm="1">
        <f t="array" ref="N1782">IF(K1782="שוטף",M1782,0)</f>
        <v>175</v>
      </c>
      <c r="O1782" s="143" cm="1">
        <f t="array" ref="O1782">IF(K1782="הכנסה שסווגה מחדש",-G1782,0)</f>
        <v>0</v>
      </c>
      <c r="P1782" t="s" s="86">
        <v>847</v>
      </c>
      <c r="Q1782" s="99"/>
      <c r="R1782" t="s" s="144">
        <v>743</v>
      </c>
      <c r="S1782" s="77"/>
    </row>
    <row r="1783" ht="13.65" customHeight="1">
      <c r="A1783" s="78">
        <v>46204</v>
      </c>
      <c r="B1783" t="s" s="79">
        <v>62</v>
      </c>
      <c r="C1783" t="s" s="80">
        <v>1081</v>
      </c>
      <c r="D1783" s="131">
        <v>38</v>
      </c>
      <c r="E1783" t="s" s="79">
        <v>1104</v>
      </c>
      <c r="F1783" t="s" s="80">
        <v>105</v>
      </c>
      <c r="G1783" s="132">
        <v>500</v>
      </c>
      <c r="H1783" t="s" s="133">
        <v>125</v>
      </c>
      <c r="I1783" t="s" s="134">
        <v>125</v>
      </c>
      <c r="J1783" t="s" s="134">
        <v>97</v>
      </c>
      <c r="K1783" t="str" s="135" cm="1">
        <f t="array" ref="K1783">IF(OR(H1783="ריביות",AND(H1783="דירה כצנלסון",G1783&lt;0,ISNUMBER(SEARCH("הכנסה",F1783)))),"הכנסה שסווגה מחדש",J1783)</f>
        <v>שוטף</v>
      </c>
      <c r="L1783" t="s" s="134">
        <v>741</v>
      </c>
      <c r="M1783" s="136" cm="1">
        <f t="array" ref="M1783">IF(L1783="מאושר",IF(K1783="הכנסה שסווגה מחדש",0,G1783),0)</f>
        <v>500</v>
      </c>
      <c r="N1783" s="136" cm="1">
        <f t="array" ref="N1783">IF(K1783="שוטף",M1783,0)</f>
        <v>500</v>
      </c>
      <c r="O1783" s="136" cm="1">
        <f t="array" ref="O1783">IF(K1783="הכנסה שסווגה מחדש",-G1783,0)</f>
        <v>0</v>
      </c>
      <c r="P1783" t="s" s="80">
        <v>847</v>
      </c>
      <c r="Q1783" s="100"/>
      <c r="R1783" t="s" s="137">
        <v>743</v>
      </c>
      <c r="S1783" s="77"/>
    </row>
    <row r="1784" ht="13.65" customHeight="1">
      <c r="A1784" s="84">
        <v>46204</v>
      </c>
      <c r="B1784" t="s" s="85">
        <v>62</v>
      </c>
      <c r="C1784" t="s" s="86">
        <v>1081</v>
      </c>
      <c r="D1784" s="138">
        <v>39</v>
      </c>
      <c r="E1784" t="s" s="85">
        <v>1105</v>
      </c>
      <c r="F1784" t="s" s="86">
        <v>346</v>
      </c>
      <c r="G1784" s="139">
        <v>520</v>
      </c>
      <c r="H1784" t="s" s="140">
        <v>123</v>
      </c>
      <c r="I1784" t="s" s="141">
        <v>123</v>
      </c>
      <c r="J1784" t="s" s="141">
        <v>97</v>
      </c>
      <c r="K1784" t="str" s="142" cm="1">
        <f t="array" ref="K1784">IF(OR(H1784="ריביות",AND(H1784="דירה כצנלסון",G1784&lt;0,ISNUMBER(SEARCH("הכנסה",F1784)))),"הכנסה שסווגה מחדש",J1784)</f>
        <v>שוטף</v>
      </c>
      <c r="L1784" t="s" s="141">
        <v>741</v>
      </c>
      <c r="M1784" s="143" cm="1">
        <f t="array" ref="M1784">IF(L1784="מאושר",IF(K1784="הכנסה שסווגה מחדש",0,G1784),0)</f>
        <v>520</v>
      </c>
      <c r="N1784" s="143" cm="1">
        <f t="array" ref="N1784">IF(K1784="שוטף",M1784,0)</f>
        <v>520</v>
      </c>
      <c r="O1784" s="143" cm="1">
        <f t="array" ref="O1784">IF(K1784="הכנסה שסווגה מחדש",-G1784,0)</f>
        <v>0</v>
      </c>
      <c r="P1784" t="s" s="86">
        <v>847</v>
      </c>
      <c r="Q1784" s="99"/>
      <c r="R1784" t="s" s="144">
        <v>743</v>
      </c>
      <c r="S1784" s="77"/>
    </row>
    <row r="1785" ht="13.65" customHeight="1">
      <c r="A1785" s="78">
        <v>46204</v>
      </c>
      <c r="B1785" t="s" s="79">
        <v>62</v>
      </c>
      <c r="C1785" t="s" s="80">
        <v>1081</v>
      </c>
      <c r="D1785" s="131">
        <v>40</v>
      </c>
      <c r="E1785" t="s" s="79">
        <v>1106</v>
      </c>
      <c r="F1785" t="s" s="80">
        <v>289</v>
      </c>
      <c r="G1785" s="132">
        <v>39</v>
      </c>
      <c r="H1785" t="s" s="133">
        <v>767</v>
      </c>
      <c r="I1785" t="s" s="134">
        <v>107</v>
      </c>
      <c r="J1785" t="s" s="134">
        <v>97</v>
      </c>
      <c r="K1785" t="str" s="135" cm="1">
        <f t="array" ref="K1785">IF(OR(H1785="ריביות",AND(H1785="דירה כצנלסון",G1785&lt;0,ISNUMBER(SEARCH("הכנסה",F1785)))),"הכנסה שסווגה מחדש",J1785)</f>
        <v>שוטף</v>
      </c>
      <c r="L1785" t="s" s="134">
        <v>741</v>
      </c>
      <c r="M1785" s="136" cm="1">
        <f t="array" ref="M1785">IF(L1785="מאושר",IF(K1785="הכנסה שסווגה מחדש",0,G1785),0)</f>
        <v>39</v>
      </c>
      <c r="N1785" s="136" cm="1">
        <f t="array" ref="N1785">IF(K1785="שוטף",M1785,0)</f>
        <v>39</v>
      </c>
      <c r="O1785" s="136" cm="1">
        <f t="array" ref="O1785">IF(K1785="הכנסה שסווגה מחדש",-G1785,0)</f>
        <v>0</v>
      </c>
      <c r="P1785" t="s" s="80">
        <v>847</v>
      </c>
      <c r="Q1785" s="100"/>
      <c r="R1785" t="s" s="137">
        <v>743</v>
      </c>
      <c r="S1785" s="77"/>
    </row>
    <row r="1786" ht="13.65" customHeight="1">
      <c r="A1786" s="84">
        <v>46204</v>
      </c>
      <c r="B1786" t="s" s="85">
        <v>62</v>
      </c>
      <c r="C1786" t="s" s="86">
        <v>1081</v>
      </c>
      <c r="D1786" s="138">
        <v>41</v>
      </c>
      <c r="E1786" t="s" s="85">
        <v>1107</v>
      </c>
      <c r="F1786" t="s" s="86">
        <v>563</v>
      </c>
      <c r="G1786" s="139">
        <v>73</v>
      </c>
      <c r="H1786" t="s" s="140">
        <v>113</v>
      </c>
      <c r="I1786" t="s" s="141">
        <v>113</v>
      </c>
      <c r="J1786" t="s" s="141">
        <v>97</v>
      </c>
      <c r="K1786" t="str" s="142" cm="1">
        <f t="array" ref="K1786">IF(OR(H1786="ריביות",AND(H1786="דירה כצנלסון",G1786&lt;0,ISNUMBER(SEARCH("הכנסה",F1786)))),"הכנסה שסווגה מחדש",J1786)</f>
        <v>שוטף</v>
      </c>
      <c r="L1786" t="s" s="141">
        <v>741</v>
      </c>
      <c r="M1786" s="143" cm="1">
        <f t="array" ref="M1786">IF(L1786="מאושר",IF(K1786="הכנסה שסווגה מחדש",0,G1786),0)</f>
        <v>73</v>
      </c>
      <c r="N1786" s="143" cm="1">
        <f t="array" ref="N1786">IF(K1786="שוטף",M1786,0)</f>
        <v>73</v>
      </c>
      <c r="O1786" s="143" cm="1">
        <f t="array" ref="O1786">IF(K1786="הכנסה שסווגה מחדש",-G1786,0)</f>
        <v>0</v>
      </c>
      <c r="P1786" t="s" s="86">
        <v>847</v>
      </c>
      <c r="Q1786" s="99"/>
      <c r="R1786" t="s" s="144">
        <v>743</v>
      </c>
      <c r="S1786" s="77"/>
    </row>
    <row r="1787" ht="13.65" customHeight="1">
      <c r="A1787" s="78">
        <v>46204</v>
      </c>
      <c r="B1787" t="s" s="79">
        <v>62</v>
      </c>
      <c r="C1787" t="s" s="80">
        <v>1081</v>
      </c>
      <c r="D1787" s="131">
        <v>42</v>
      </c>
      <c r="E1787" t="s" s="79">
        <v>1108</v>
      </c>
      <c r="F1787" t="s" s="80">
        <v>254</v>
      </c>
      <c r="G1787" s="132">
        <v>45</v>
      </c>
      <c r="H1787" t="s" s="133">
        <v>109</v>
      </c>
      <c r="I1787" t="s" s="134">
        <v>109</v>
      </c>
      <c r="J1787" t="s" s="134">
        <v>97</v>
      </c>
      <c r="K1787" t="str" s="135" cm="1">
        <f t="array" ref="K1787">IF(OR(H1787="ריביות",AND(H1787="דירה כצנלסון",G1787&lt;0,ISNUMBER(SEARCH("הכנסה",F1787)))),"הכנסה שסווגה מחדש",J1787)</f>
        <v>שוטף</v>
      </c>
      <c r="L1787" t="s" s="134">
        <v>741</v>
      </c>
      <c r="M1787" s="136" cm="1">
        <f t="array" ref="M1787">IF(L1787="מאושר",IF(K1787="הכנסה שסווגה מחדש",0,G1787),0)</f>
        <v>45</v>
      </c>
      <c r="N1787" s="136" cm="1">
        <f t="array" ref="N1787">IF(K1787="שוטף",M1787,0)</f>
        <v>45</v>
      </c>
      <c r="O1787" s="136" cm="1">
        <f t="array" ref="O1787">IF(K1787="הכנסה שסווגה מחדש",-G1787,0)</f>
        <v>0</v>
      </c>
      <c r="P1787" t="s" s="80">
        <v>847</v>
      </c>
      <c r="Q1787" s="100"/>
      <c r="R1787" t="s" s="137">
        <v>743</v>
      </c>
      <c r="S1787" s="77"/>
    </row>
    <row r="1788" ht="13.65" customHeight="1">
      <c r="A1788" s="84">
        <v>46204</v>
      </c>
      <c r="B1788" t="s" s="85">
        <v>62</v>
      </c>
      <c r="C1788" t="s" s="86">
        <v>1081</v>
      </c>
      <c r="D1788" s="138">
        <v>43</v>
      </c>
      <c r="E1788" t="s" s="85">
        <v>1109</v>
      </c>
      <c r="F1788" t="s" s="86">
        <v>200</v>
      </c>
      <c r="G1788" s="139">
        <v>9</v>
      </c>
      <c r="H1788" t="s" s="140">
        <v>109</v>
      </c>
      <c r="I1788" t="s" s="141">
        <v>109</v>
      </c>
      <c r="J1788" t="s" s="141">
        <v>97</v>
      </c>
      <c r="K1788" t="str" s="142" cm="1">
        <f t="array" ref="K1788">IF(OR(H1788="ריביות",AND(H1788="דירה כצנלסון",G1788&lt;0,ISNUMBER(SEARCH("הכנסה",F1788)))),"הכנסה שסווגה מחדש",J1788)</f>
        <v>שוטף</v>
      </c>
      <c r="L1788" t="s" s="141">
        <v>741</v>
      </c>
      <c r="M1788" s="143" cm="1">
        <f t="array" ref="M1788">IF(L1788="מאושר",IF(K1788="הכנסה שסווגה מחדש",0,G1788),0)</f>
        <v>9</v>
      </c>
      <c r="N1788" s="143" cm="1">
        <f t="array" ref="N1788">IF(K1788="שוטף",M1788,0)</f>
        <v>9</v>
      </c>
      <c r="O1788" s="143" cm="1">
        <f t="array" ref="O1788">IF(K1788="הכנסה שסווגה מחדש",-G1788,0)</f>
        <v>0</v>
      </c>
      <c r="P1788" t="s" s="86">
        <v>847</v>
      </c>
      <c r="Q1788" s="99"/>
      <c r="R1788" t="s" s="144">
        <v>743</v>
      </c>
      <c r="S1788" s="77"/>
    </row>
    <row r="1789" ht="13.65" customHeight="1">
      <c r="A1789" s="78">
        <v>46204</v>
      </c>
      <c r="B1789" t="s" s="79">
        <v>62</v>
      </c>
      <c r="C1789" t="s" s="80">
        <v>1081</v>
      </c>
      <c r="D1789" s="131">
        <v>44</v>
      </c>
      <c r="E1789" t="s" s="79">
        <v>1110</v>
      </c>
      <c r="F1789" t="s" s="80">
        <v>480</v>
      </c>
      <c r="G1789" s="132">
        <v>150</v>
      </c>
      <c r="H1789" t="s" s="133">
        <v>113</v>
      </c>
      <c r="I1789" t="s" s="134">
        <v>113</v>
      </c>
      <c r="J1789" t="s" s="134">
        <v>97</v>
      </c>
      <c r="K1789" t="str" s="135" cm="1">
        <f t="array" ref="K1789">IF(OR(H1789="ריביות",AND(H1789="דירה כצנלסון",G1789&lt;0,ISNUMBER(SEARCH("הכנסה",F1789)))),"הכנסה שסווגה מחדש",J1789)</f>
        <v>שוטף</v>
      </c>
      <c r="L1789" t="s" s="134">
        <v>741</v>
      </c>
      <c r="M1789" s="136" cm="1">
        <f t="array" ref="M1789">IF(L1789="מאושר",IF(K1789="הכנסה שסווגה מחדש",0,G1789),0)</f>
        <v>150</v>
      </c>
      <c r="N1789" s="136" cm="1">
        <f t="array" ref="N1789">IF(K1789="שוטף",M1789,0)</f>
        <v>150</v>
      </c>
      <c r="O1789" s="136" cm="1">
        <f t="array" ref="O1789">IF(K1789="הכנסה שסווגה מחדש",-G1789,0)</f>
        <v>0</v>
      </c>
      <c r="P1789" t="s" s="80">
        <v>847</v>
      </c>
      <c r="Q1789" s="100"/>
      <c r="R1789" t="s" s="137">
        <v>743</v>
      </c>
      <c r="S1789" s="77"/>
    </row>
    <row r="1790" ht="13.65" customHeight="1">
      <c r="A1790" s="84">
        <v>46204</v>
      </c>
      <c r="B1790" t="s" s="85">
        <v>62</v>
      </c>
      <c r="C1790" t="s" s="86">
        <v>1081</v>
      </c>
      <c r="D1790" s="138">
        <v>45</v>
      </c>
      <c r="E1790" t="s" s="85">
        <v>1111</v>
      </c>
      <c r="F1790" t="s" s="86">
        <v>200</v>
      </c>
      <c r="G1790" s="139">
        <v>6</v>
      </c>
      <c r="H1790" t="s" s="140">
        <v>109</v>
      </c>
      <c r="I1790" t="s" s="141">
        <v>109</v>
      </c>
      <c r="J1790" t="s" s="141">
        <v>97</v>
      </c>
      <c r="K1790" t="str" s="142" cm="1">
        <f t="array" ref="K1790">IF(OR(H1790="ריביות",AND(H1790="דירה כצנלסון",G1790&lt;0,ISNUMBER(SEARCH("הכנסה",F1790)))),"הכנסה שסווגה מחדש",J1790)</f>
        <v>שוטף</v>
      </c>
      <c r="L1790" t="s" s="141">
        <v>741</v>
      </c>
      <c r="M1790" s="143" cm="1">
        <f t="array" ref="M1790">IF(L1790="מאושר",IF(K1790="הכנסה שסווגה מחדש",0,G1790),0)</f>
        <v>6</v>
      </c>
      <c r="N1790" s="143" cm="1">
        <f t="array" ref="N1790">IF(K1790="שוטף",M1790,0)</f>
        <v>6</v>
      </c>
      <c r="O1790" s="143" cm="1">
        <f t="array" ref="O1790">IF(K1790="הכנסה שסווגה מחדש",-G1790,0)</f>
        <v>0</v>
      </c>
      <c r="P1790" t="s" s="86">
        <v>847</v>
      </c>
      <c r="Q1790" s="99"/>
      <c r="R1790" t="s" s="144">
        <v>743</v>
      </c>
      <c r="S1790" s="77"/>
    </row>
    <row r="1791" ht="13.65" customHeight="1">
      <c r="A1791" s="78">
        <v>46204</v>
      </c>
      <c r="B1791" t="s" s="79">
        <v>62</v>
      </c>
      <c r="C1791" t="s" s="80">
        <v>1081</v>
      </c>
      <c r="D1791" s="131">
        <v>46</v>
      </c>
      <c r="E1791" t="s" s="79">
        <v>1112</v>
      </c>
      <c r="F1791" t="s" s="80">
        <v>662</v>
      </c>
      <c r="G1791" s="132">
        <v>6</v>
      </c>
      <c r="H1791" t="s" s="133">
        <v>115</v>
      </c>
      <c r="I1791" t="s" s="134">
        <v>115</v>
      </c>
      <c r="J1791" t="s" s="134">
        <v>97</v>
      </c>
      <c r="K1791" t="str" s="135" cm="1">
        <f t="array" ref="K1791">IF(OR(H1791="ריביות",AND(H1791="דירה כצנלסון",G1791&lt;0,ISNUMBER(SEARCH("הכנסה",F1791)))),"הכנסה שסווגה מחדש",J1791)</f>
        <v>שוטף</v>
      </c>
      <c r="L1791" t="s" s="134">
        <v>741</v>
      </c>
      <c r="M1791" s="136" cm="1">
        <f t="array" ref="M1791">IF(L1791="מאושר",IF(K1791="הכנסה שסווגה מחדש",0,G1791),0)</f>
        <v>6</v>
      </c>
      <c r="N1791" s="136" cm="1">
        <f t="array" ref="N1791">IF(K1791="שוטף",M1791,0)</f>
        <v>6</v>
      </c>
      <c r="O1791" s="136" cm="1">
        <f t="array" ref="O1791">IF(K1791="הכנסה שסווגה מחדש",-G1791,0)</f>
        <v>0</v>
      </c>
      <c r="P1791" t="s" s="80">
        <v>847</v>
      </c>
      <c r="Q1791" s="100"/>
      <c r="R1791" t="s" s="137">
        <v>743</v>
      </c>
      <c r="S1791" s="77"/>
    </row>
    <row r="1792" ht="13.65" customHeight="1">
      <c r="A1792" s="84">
        <v>46204</v>
      </c>
      <c r="B1792" t="s" s="85">
        <v>62</v>
      </c>
      <c r="C1792" t="s" s="86">
        <v>1081</v>
      </c>
      <c r="D1792" s="138">
        <v>47</v>
      </c>
      <c r="E1792" t="s" s="85">
        <v>1113</v>
      </c>
      <c r="F1792" t="s" s="86">
        <v>223</v>
      </c>
      <c r="G1792" s="139">
        <v>30</v>
      </c>
      <c r="H1792" t="s" s="140">
        <v>115</v>
      </c>
      <c r="I1792" t="s" s="141">
        <v>115</v>
      </c>
      <c r="J1792" t="s" s="141">
        <v>97</v>
      </c>
      <c r="K1792" t="str" s="142" cm="1">
        <f t="array" ref="K1792">IF(OR(H1792="ריביות",AND(H1792="דירה כצנלסון",G1792&lt;0,ISNUMBER(SEARCH("הכנסה",F1792)))),"הכנסה שסווגה מחדש",J1792)</f>
        <v>שוטף</v>
      </c>
      <c r="L1792" t="s" s="141">
        <v>741</v>
      </c>
      <c r="M1792" s="143" cm="1">
        <f t="array" ref="M1792">IF(L1792="מאושר",IF(K1792="הכנסה שסווגה מחדש",0,G1792),0)</f>
        <v>30</v>
      </c>
      <c r="N1792" s="143" cm="1">
        <f t="array" ref="N1792">IF(K1792="שוטף",M1792,0)</f>
        <v>30</v>
      </c>
      <c r="O1792" s="143" cm="1">
        <f t="array" ref="O1792">IF(K1792="הכנסה שסווגה מחדש",-G1792,0)</f>
        <v>0</v>
      </c>
      <c r="P1792" t="s" s="86">
        <v>847</v>
      </c>
      <c r="Q1792" s="99"/>
      <c r="R1792" t="s" s="144">
        <v>743</v>
      </c>
      <c r="S1792" s="77"/>
    </row>
    <row r="1793" ht="13.65" customHeight="1">
      <c r="A1793" s="78">
        <v>46204</v>
      </c>
      <c r="B1793" t="s" s="79">
        <v>62</v>
      </c>
      <c r="C1793" t="s" s="80">
        <v>1081</v>
      </c>
      <c r="D1793" s="131">
        <v>48</v>
      </c>
      <c r="E1793" t="s" s="79">
        <v>1114</v>
      </c>
      <c r="F1793" t="s" s="80">
        <v>200</v>
      </c>
      <c r="G1793" s="132">
        <v>9</v>
      </c>
      <c r="H1793" t="s" s="133">
        <v>109</v>
      </c>
      <c r="I1793" t="s" s="134">
        <v>109</v>
      </c>
      <c r="J1793" t="s" s="134">
        <v>97</v>
      </c>
      <c r="K1793" t="str" s="135" cm="1">
        <f t="array" ref="K1793">IF(OR(H1793="ריביות",AND(H1793="דירה כצנלסון",G1793&lt;0,ISNUMBER(SEARCH("הכנסה",F1793)))),"הכנסה שסווגה מחדש",J1793)</f>
        <v>שוטף</v>
      </c>
      <c r="L1793" t="s" s="134">
        <v>741</v>
      </c>
      <c r="M1793" s="136" cm="1">
        <f t="array" ref="M1793">IF(L1793="מאושר",IF(K1793="הכנסה שסווגה מחדש",0,G1793),0)</f>
        <v>9</v>
      </c>
      <c r="N1793" s="136" cm="1">
        <f t="array" ref="N1793">IF(K1793="שוטף",M1793,0)</f>
        <v>9</v>
      </c>
      <c r="O1793" s="136" cm="1">
        <f t="array" ref="O1793">IF(K1793="הכנסה שסווגה מחדש",-G1793,0)</f>
        <v>0</v>
      </c>
      <c r="P1793" t="s" s="80">
        <v>847</v>
      </c>
      <c r="Q1793" s="100"/>
      <c r="R1793" t="s" s="137">
        <v>743</v>
      </c>
      <c r="S1793" s="77"/>
    </row>
    <row r="1794" ht="13.65" customHeight="1">
      <c r="A1794" s="84">
        <v>46204</v>
      </c>
      <c r="B1794" t="s" s="85">
        <v>62</v>
      </c>
      <c r="C1794" t="s" s="86">
        <v>1081</v>
      </c>
      <c r="D1794" s="138">
        <v>49</v>
      </c>
      <c r="E1794" t="s" s="85">
        <v>1115</v>
      </c>
      <c r="F1794" t="s" s="86">
        <v>511</v>
      </c>
      <c r="G1794" s="139">
        <v>109</v>
      </c>
      <c r="H1794" t="s" s="140">
        <v>960</v>
      </c>
      <c r="I1794" t="s" s="141">
        <v>131</v>
      </c>
      <c r="J1794" t="s" s="141">
        <v>97</v>
      </c>
      <c r="K1794" t="str" s="142" cm="1">
        <f t="array" ref="K1794">IF(OR(H1794="ריביות",AND(H1794="דירה כצנלסון",G1794&lt;0,ISNUMBER(SEARCH("הכנסה",F1794)))),"הכנסה שסווגה מחדש",J1794)</f>
        <v>שוטף</v>
      </c>
      <c r="L1794" t="s" s="141">
        <v>741</v>
      </c>
      <c r="M1794" s="143" cm="1">
        <f t="array" ref="M1794">IF(L1794="מאושר",IF(K1794="הכנסה שסווגה מחדש",0,G1794),0)</f>
        <v>109</v>
      </c>
      <c r="N1794" s="143" cm="1">
        <f t="array" ref="N1794">IF(K1794="שוטף",M1794,0)</f>
        <v>109</v>
      </c>
      <c r="O1794" s="143" cm="1">
        <f t="array" ref="O1794">IF(K1794="הכנסה שסווגה מחדש",-G1794,0)</f>
        <v>0</v>
      </c>
      <c r="P1794" t="s" s="86">
        <v>847</v>
      </c>
      <c r="Q1794" s="99"/>
      <c r="R1794" t="s" s="144">
        <v>743</v>
      </c>
      <c r="S1794" s="77"/>
    </row>
    <row r="1795" ht="13.65" customHeight="1">
      <c r="A1795" s="78">
        <v>46204</v>
      </c>
      <c r="B1795" t="s" s="79">
        <v>62</v>
      </c>
      <c r="C1795" t="s" s="80">
        <v>1081</v>
      </c>
      <c r="D1795" s="131">
        <v>50</v>
      </c>
      <c r="E1795" t="s" s="79">
        <v>1085</v>
      </c>
      <c r="F1795" t="s" s="80">
        <v>680</v>
      </c>
      <c r="G1795" s="132">
        <v>9</v>
      </c>
      <c r="H1795" t="s" s="133">
        <v>109</v>
      </c>
      <c r="I1795" t="s" s="134">
        <v>109</v>
      </c>
      <c r="J1795" t="s" s="134">
        <v>97</v>
      </c>
      <c r="K1795" t="str" s="135" cm="1">
        <f t="array" ref="K1795">IF(OR(H1795="ריביות",AND(H1795="דירה כצנלסון",G1795&lt;0,ISNUMBER(SEARCH("הכנסה",F1795)))),"הכנסה שסווגה מחדש",J1795)</f>
        <v>שוטף</v>
      </c>
      <c r="L1795" t="s" s="134">
        <v>741</v>
      </c>
      <c r="M1795" s="136" cm="1">
        <f t="array" ref="M1795">IF(L1795="מאושר",IF(K1795="הכנסה שסווגה מחדש",0,G1795),0)</f>
        <v>9</v>
      </c>
      <c r="N1795" s="136" cm="1">
        <f t="array" ref="N1795">IF(K1795="שוטף",M1795,0)</f>
        <v>9</v>
      </c>
      <c r="O1795" s="136" cm="1">
        <f t="array" ref="O1795">IF(K1795="הכנסה שסווגה מחדש",-G1795,0)</f>
        <v>0</v>
      </c>
      <c r="P1795" t="s" s="80">
        <v>847</v>
      </c>
      <c r="Q1795" s="100"/>
      <c r="R1795" t="s" s="137">
        <v>743</v>
      </c>
      <c r="S1795" s="77"/>
    </row>
    <row r="1796" ht="13.65" customHeight="1">
      <c r="A1796" s="84">
        <v>46204</v>
      </c>
      <c r="B1796" t="s" s="85">
        <v>62</v>
      </c>
      <c r="C1796" t="s" s="86">
        <v>1081</v>
      </c>
      <c r="D1796" s="138">
        <v>51</v>
      </c>
      <c r="E1796" t="s" s="85">
        <v>1116</v>
      </c>
      <c r="F1796" t="s" s="86">
        <v>412</v>
      </c>
      <c r="G1796" s="139">
        <v>264</v>
      </c>
      <c r="H1796" t="s" s="140">
        <v>135</v>
      </c>
      <c r="I1796" t="s" s="141">
        <v>135</v>
      </c>
      <c r="J1796" t="s" s="141">
        <v>97</v>
      </c>
      <c r="K1796" t="str" s="142" cm="1">
        <f t="array" ref="K1796">IF(OR(H1796="ריביות",AND(H1796="דירה כצנלסון",G1796&lt;0,ISNUMBER(SEARCH("הכנסה",F1796)))),"הכנסה שסווגה מחדש",J1796)</f>
        <v>שוטף</v>
      </c>
      <c r="L1796" t="s" s="141">
        <v>741</v>
      </c>
      <c r="M1796" s="143" cm="1">
        <f t="array" ref="M1796">IF(L1796="מאושר",IF(K1796="הכנסה שסווגה מחדש",0,G1796),0)</f>
        <v>264</v>
      </c>
      <c r="N1796" s="143" cm="1">
        <f t="array" ref="N1796">IF(K1796="שוטף",M1796,0)</f>
        <v>264</v>
      </c>
      <c r="O1796" s="143" cm="1">
        <f t="array" ref="O1796">IF(K1796="הכנסה שסווגה מחדש",-G1796,0)</f>
        <v>0</v>
      </c>
      <c r="P1796" t="s" s="86">
        <v>847</v>
      </c>
      <c r="Q1796" s="99"/>
      <c r="R1796" t="s" s="144">
        <v>743</v>
      </c>
      <c r="S1796" s="77"/>
    </row>
    <row r="1797" ht="13.65" customHeight="1">
      <c r="A1797" s="78">
        <v>46204</v>
      </c>
      <c r="B1797" t="s" s="79">
        <v>62</v>
      </c>
      <c r="C1797" t="s" s="80">
        <v>1081</v>
      </c>
      <c r="D1797" s="131">
        <v>52</v>
      </c>
      <c r="E1797" t="s" s="79">
        <v>1117</v>
      </c>
      <c r="F1797" t="s" s="80">
        <v>200</v>
      </c>
      <c r="G1797" s="132">
        <v>13</v>
      </c>
      <c r="H1797" t="s" s="133">
        <v>109</v>
      </c>
      <c r="I1797" t="s" s="134">
        <v>109</v>
      </c>
      <c r="J1797" t="s" s="134">
        <v>97</v>
      </c>
      <c r="K1797" t="str" s="135" cm="1">
        <f t="array" ref="K1797">IF(OR(H1797="ריביות",AND(H1797="דירה כצנלסון",G1797&lt;0,ISNUMBER(SEARCH("הכנסה",F1797)))),"הכנסה שסווגה מחדש",J1797)</f>
        <v>שוטף</v>
      </c>
      <c r="L1797" t="s" s="134">
        <v>741</v>
      </c>
      <c r="M1797" s="136" cm="1">
        <f t="array" ref="M1797">IF(L1797="מאושר",IF(K1797="הכנסה שסווגה מחדש",0,G1797),0)</f>
        <v>13</v>
      </c>
      <c r="N1797" s="136" cm="1">
        <f t="array" ref="N1797">IF(K1797="שוטף",M1797,0)</f>
        <v>13</v>
      </c>
      <c r="O1797" s="136" cm="1">
        <f t="array" ref="O1797">IF(K1797="הכנסה שסווגה מחדש",-G1797,0)</f>
        <v>0</v>
      </c>
      <c r="P1797" t="s" s="80">
        <v>847</v>
      </c>
      <c r="Q1797" s="100"/>
      <c r="R1797" t="s" s="137">
        <v>743</v>
      </c>
      <c r="S1797" s="77"/>
    </row>
    <row r="1798" ht="13.65" customHeight="1">
      <c r="A1798" s="84">
        <v>46204</v>
      </c>
      <c r="B1798" t="s" s="85">
        <v>62</v>
      </c>
      <c r="C1798" t="s" s="86">
        <v>1081</v>
      </c>
      <c r="D1798" s="138">
        <v>53</v>
      </c>
      <c r="E1798" t="s" s="85">
        <v>1118</v>
      </c>
      <c r="F1798" t="s" s="85">
        <v>268</v>
      </c>
      <c r="G1798" s="139">
        <v>319</v>
      </c>
      <c r="H1798" t="s" s="140">
        <v>123</v>
      </c>
      <c r="I1798" t="s" s="141">
        <v>123</v>
      </c>
      <c r="J1798" t="s" s="141">
        <v>97</v>
      </c>
      <c r="K1798" t="str" s="142" cm="1">
        <f t="array" ref="K1798">IF(OR(H1798="ריביות",AND(H1798="דירה כצנלסון",G1798&lt;0,ISNUMBER(SEARCH("הכנסה",F1798)))),"הכנסה שסווגה מחדש",J1798)</f>
        <v>שוטף</v>
      </c>
      <c r="L1798" t="s" s="141">
        <v>741</v>
      </c>
      <c r="M1798" s="143" cm="1">
        <f t="array" ref="M1798">IF(L1798="מאושר",IF(K1798="הכנסה שסווגה מחדש",0,G1798),0)</f>
        <v>319</v>
      </c>
      <c r="N1798" s="143" cm="1">
        <f t="array" ref="N1798">IF(K1798="שוטף",M1798,0)</f>
        <v>319</v>
      </c>
      <c r="O1798" s="143" cm="1">
        <f t="array" ref="O1798">IF(K1798="הכנסה שסווגה מחדש",-G1798,0)</f>
        <v>0</v>
      </c>
      <c r="P1798" t="s" s="86">
        <v>847</v>
      </c>
      <c r="Q1798" s="99"/>
      <c r="R1798" t="s" s="144">
        <v>743</v>
      </c>
      <c r="S1798" s="77"/>
    </row>
    <row r="1799" ht="13.65" customHeight="1">
      <c r="A1799" s="78">
        <v>46204</v>
      </c>
      <c r="B1799" t="s" s="79">
        <v>62</v>
      </c>
      <c r="C1799" t="s" s="80">
        <v>1081</v>
      </c>
      <c r="D1799" s="131">
        <v>54</v>
      </c>
      <c r="E1799" t="s" s="79">
        <v>1119</v>
      </c>
      <c r="F1799" t="s" s="80">
        <v>231</v>
      </c>
      <c r="G1799" s="132">
        <v>20</v>
      </c>
      <c r="H1799" t="s" s="133">
        <v>113</v>
      </c>
      <c r="I1799" t="s" s="134">
        <v>113</v>
      </c>
      <c r="J1799" t="s" s="134">
        <v>97</v>
      </c>
      <c r="K1799" t="str" s="135" cm="1">
        <f t="array" ref="K1799">IF(OR(H1799="ריביות",AND(H1799="דירה כצנלסון",G1799&lt;0,ISNUMBER(SEARCH("הכנסה",F1799)))),"הכנסה שסווגה מחדש",J1799)</f>
        <v>שוטף</v>
      </c>
      <c r="L1799" t="s" s="134">
        <v>741</v>
      </c>
      <c r="M1799" s="136" cm="1">
        <f t="array" ref="M1799">IF(L1799="מאושר",IF(K1799="הכנסה שסווגה מחדש",0,G1799),0)</f>
        <v>20</v>
      </c>
      <c r="N1799" s="136" cm="1">
        <f t="array" ref="N1799">IF(K1799="שוטף",M1799,0)</f>
        <v>20</v>
      </c>
      <c r="O1799" s="136" cm="1">
        <f t="array" ref="O1799">IF(K1799="הכנסה שסווגה מחדש",-G1799,0)</f>
        <v>0</v>
      </c>
      <c r="P1799" t="s" s="80">
        <v>847</v>
      </c>
      <c r="Q1799" s="100"/>
      <c r="R1799" t="s" s="137">
        <v>743</v>
      </c>
      <c r="S1799" s="77"/>
    </row>
    <row r="1800" ht="13.65" customHeight="1">
      <c r="A1800" s="84">
        <v>46204</v>
      </c>
      <c r="B1800" t="s" s="85">
        <v>62</v>
      </c>
      <c r="C1800" t="s" s="86">
        <v>1081</v>
      </c>
      <c r="D1800" s="138">
        <v>55</v>
      </c>
      <c r="E1800" t="s" s="85">
        <v>1120</v>
      </c>
      <c r="F1800" t="s" s="86">
        <v>648</v>
      </c>
      <c r="G1800" s="139">
        <v>30</v>
      </c>
      <c r="H1800" t="s" s="140">
        <v>109</v>
      </c>
      <c r="I1800" t="s" s="141">
        <v>109</v>
      </c>
      <c r="J1800" t="s" s="141">
        <v>97</v>
      </c>
      <c r="K1800" t="str" s="142" cm="1">
        <f t="array" ref="K1800">IF(OR(H1800="ריביות",AND(H1800="דירה כצנלסון",G1800&lt;0,ISNUMBER(SEARCH("הכנסה",F1800)))),"הכנסה שסווגה מחדש",J1800)</f>
        <v>שוטף</v>
      </c>
      <c r="L1800" t="s" s="141">
        <v>741</v>
      </c>
      <c r="M1800" s="143" cm="1">
        <f t="array" ref="M1800">IF(L1800="מאושר",IF(K1800="הכנסה שסווגה מחדש",0,G1800),0)</f>
        <v>30</v>
      </c>
      <c r="N1800" s="143" cm="1">
        <f t="array" ref="N1800">IF(K1800="שוטף",M1800,0)</f>
        <v>30</v>
      </c>
      <c r="O1800" s="143" cm="1">
        <f t="array" ref="O1800">IF(K1800="הכנסה שסווגה מחדש",-G1800,0)</f>
        <v>0</v>
      </c>
      <c r="P1800" t="s" s="86">
        <v>847</v>
      </c>
      <c r="Q1800" s="99"/>
      <c r="R1800" t="s" s="144">
        <v>743</v>
      </c>
      <c r="S1800" s="77"/>
    </row>
    <row r="1801" ht="13.65" customHeight="1">
      <c r="A1801" s="78">
        <v>46204</v>
      </c>
      <c r="B1801" t="s" s="79">
        <v>62</v>
      </c>
      <c r="C1801" t="s" s="80">
        <v>1081</v>
      </c>
      <c r="D1801" s="131">
        <v>56</v>
      </c>
      <c r="E1801" s="100"/>
      <c r="F1801" t="s" s="80">
        <v>203</v>
      </c>
      <c r="G1801" s="132">
        <v>16037</v>
      </c>
      <c r="H1801" t="s" s="133">
        <v>829</v>
      </c>
      <c r="I1801" t="s" s="134">
        <v>102</v>
      </c>
      <c r="J1801" t="s" s="134">
        <v>103</v>
      </c>
      <c r="K1801" t="str" s="135" cm="1">
        <f t="array" ref="K1801">IF(OR(H1801="ריביות",AND(H1801="דירה כצנלסון",G1801&lt;0,ISNUMBER(SEARCH("הכנסה",F1801)))),"הכנסה שסווגה מחדש",J1801)</f>
        <v>חריג</v>
      </c>
      <c r="L1801" t="s" s="134">
        <v>741</v>
      </c>
      <c r="M1801" s="136" cm="1">
        <f t="array" ref="M1801">IF(L1801="מאושר",IF(K1801="הכנסה שסווגה מחדש",0,G1801),0)</f>
        <v>16037</v>
      </c>
      <c r="N1801" s="136" cm="1">
        <f t="array" ref="N1801">IF(K1801="שוטף",M1801,0)</f>
        <v>0</v>
      </c>
      <c r="O1801" s="136" cm="1">
        <f t="array" ref="O1801">IF(K1801="הכנסה שסווגה מחדש",-G1801,0)</f>
        <v>0</v>
      </c>
      <c r="P1801" s="100"/>
      <c r="Q1801" t="s" s="79">
        <v>1121</v>
      </c>
      <c r="R1801" t="s" s="137">
        <v>831</v>
      </c>
      <c r="S1801" s="77"/>
    </row>
    <row r="1802" ht="13.65" customHeight="1">
      <c r="A1802" s="84">
        <v>46204</v>
      </c>
      <c r="B1802" t="s" s="85">
        <v>62</v>
      </c>
      <c r="C1802" t="s" s="86">
        <v>1081</v>
      </c>
      <c r="D1802" s="138">
        <v>57</v>
      </c>
      <c r="E1802" t="s" s="85">
        <v>1122</v>
      </c>
      <c r="F1802" t="s" s="86">
        <v>105</v>
      </c>
      <c r="G1802" s="139">
        <v>555</v>
      </c>
      <c r="H1802" t="s" s="140">
        <v>125</v>
      </c>
      <c r="I1802" t="s" s="141">
        <v>125</v>
      </c>
      <c r="J1802" t="s" s="141">
        <v>97</v>
      </c>
      <c r="K1802" t="str" s="142" cm="1">
        <f t="array" ref="K1802">IF(OR(H1802="ריביות",AND(H1802="דירה כצנלסון",G1802&lt;0,ISNUMBER(SEARCH("הכנסה",F1802)))),"הכנסה שסווגה מחדש",J1802)</f>
        <v>שוטף</v>
      </c>
      <c r="L1802" t="s" s="141">
        <v>741</v>
      </c>
      <c r="M1802" s="143" cm="1">
        <f t="array" ref="M1802">IF(L1802="מאושר",IF(K1802="הכנסה שסווגה מחדש",0,G1802),0)</f>
        <v>555</v>
      </c>
      <c r="N1802" s="143" cm="1">
        <f t="array" ref="N1802">IF(K1802="שוטף",M1802,0)</f>
        <v>555</v>
      </c>
      <c r="O1802" s="143" cm="1">
        <f t="array" ref="O1802">IF(K1802="הכנסה שסווגה מחדש",-G1802,0)</f>
        <v>0</v>
      </c>
      <c r="P1802" t="s" s="86">
        <v>842</v>
      </c>
      <c r="Q1802" s="99"/>
      <c r="R1802" t="s" s="144">
        <v>743</v>
      </c>
      <c r="S1802" s="77"/>
    </row>
    <row r="1803" ht="13.65" customHeight="1">
      <c r="A1803" s="78">
        <v>46204</v>
      </c>
      <c r="B1803" t="s" s="79">
        <v>62</v>
      </c>
      <c r="C1803" t="s" s="80">
        <v>1081</v>
      </c>
      <c r="D1803" s="131">
        <v>58</v>
      </c>
      <c r="E1803" t="s" s="79">
        <v>1123</v>
      </c>
      <c r="F1803" t="s" s="80">
        <v>200</v>
      </c>
      <c r="G1803" s="132">
        <v>12</v>
      </c>
      <c r="H1803" t="s" s="133">
        <v>109</v>
      </c>
      <c r="I1803" t="s" s="134">
        <v>109</v>
      </c>
      <c r="J1803" t="s" s="134">
        <v>97</v>
      </c>
      <c r="K1803" t="str" s="135" cm="1">
        <f t="array" ref="K1803">IF(OR(H1803="ריביות",AND(H1803="דירה כצנלסון",G1803&lt;0,ISNUMBER(SEARCH("הכנסה",F1803)))),"הכנסה שסווגה מחדש",J1803)</f>
        <v>שוטף</v>
      </c>
      <c r="L1803" t="s" s="134">
        <v>741</v>
      </c>
      <c r="M1803" s="136" cm="1">
        <f t="array" ref="M1803">IF(L1803="מאושר",IF(K1803="הכנסה שסווגה מחדש",0,G1803),0)</f>
        <v>12</v>
      </c>
      <c r="N1803" s="136" cm="1">
        <f t="array" ref="N1803">IF(K1803="שוטף",M1803,0)</f>
        <v>12</v>
      </c>
      <c r="O1803" s="136" cm="1">
        <f t="array" ref="O1803">IF(K1803="הכנסה שסווגה מחדש",-G1803,0)</f>
        <v>0</v>
      </c>
      <c r="P1803" t="s" s="80">
        <v>842</v>
      </c>
      <c r="Q1803" s="100"/>
      <c r="R1803" t="s" s="137">
        <v>743</v>
      </c>
      <c r="S1803" s="77"/>
    </row>
    <row r="1804" ht="13.65" customHeight="1">
      <c r="A1804" s="84">
        <v>46204</v>
      </c>
      <c r="B1804" t="s" s="85">
        <v>62</v>
      </c>
      <c r="C1804" t="s" s="86">
        <v>1081</v>
      </c>
      <c r="D1804" s="138">
        <v>59</v>
      </c>
      <c r="E1804" t="s" s="85">
        <v>1082</v>
      </c>
      <c r="F1804" t="s" s="86">
        <v>479</v>
      </c>
      <c r="G1804" s="139">
        <v>25</v>
      </c>
      <c r="H1804" t="s" s="140">
        <v>113</v>
      </c>
      <c r="I1804" t="s" s="141">
        <v>113</v>
      </c>
      <c r="J1804" t="s" s="141">
        <v>97</v>
      </c>
      <c r="K1804" t="str" s="142" cm="1">
        <f t="array" ref="K1804">IF(OR(H1804="ריביות",AND(H1804="דירה כצנלסון",G1804&lt;0,ISNUMBER(SEARCH("הכנסה",F1804)))),"הכנסה שסווגה מחדש",J1804)</f>
        <v>שוטף</v>
      </c>
      <c r="L1804" t="s" s="141">
        <v>741</v>
      </c>
      <c r="M1804" s="143" cm="1">
        <f t="array" ref="M1804">IF(L1804="מאושר",IF(K1804="הכנסה שסווגה מחדש",0,G1804),0)</f>
        <v>25</v>
      </c>
      <c r="N1804" s="143" cm="1">
        <f t="array" ref="N1804">IF(K1804="שוטף",M1804,0)</f>
        <v>25</v>
      </c>
      <c r="O1804" s="143" cm="1">
        <f t="array" ref="O1804">IF(K1804="הכנסה שסווגה מחדש",-G1804,0)</f>
        <v>0</v>
      </c>
      <c r="P1804" t="s" s="86">
        <v>842</v>
      </c>
      <c r="Q1804" s="99"/>
      <c r="R1804" t="s" s="144">
        <v>743</v>
      </c>
      <c r="S1804" s="77"/>
    </row>
    <row r="1805" ht="13.65" customHeight="1">
      <c r="A1805" s="78">
        <v>46204</v>
      </c>
      <c r="B1805" t="s" s="79">
        <v>62</v>
      </c>
      <c r="C1805" t="s" s="80">
        <v>1081</v>
      </c>
      <c r="D1805" s="131">
        <v>60</v>
      </c>
      <c r="E1805" t="s" s="79">
        <v>1124</v>
      </c>
      <c r="F1805" t="s" s="80">
        <v>621</v>
      </c>
      <c r="G1805" s="132">
        <v>44</v>
      </c>
      <c r="H1805" t="s" s="133">
        <v>115</v>
      </c>
      <c r="I1805" t="s" s="134">
        <v>115</v>
      </c>
      <c r="J1805" t="s" s="134">
        <v>97</v>
      </c>
      <c r="K1805" t="str" s="135" cm="1">
        <f t="array" ref="K1805">IF(OR(H1805="ריביות",AND(H1805="דירה כצנלסון",G1805&lt;0,ISNUMBER(SEARCH("הכנסה",F1805)))),"הכנסה שסווגה מחדש",J1805)</f>
        <v>שוטף</v>
      </c>
      <c r="L1805" t="s" s="134">
        <v>741</v>
      </c>
      <c r="M1805" s="136" cm="1">
        <f t="array" ref="M1805">IF(L1805="מאושר",IF(K1805="הכנסה שסווגה מחדש",0,G1805),0)</f>
        <v>44</v>
      </c>
      <c r="N1805" s="136" cm="1">
        <f t="array" ref="N1805">IF(K1805="שוטף",M1805,0)</f>
        <v>44</v>
      </c>
      <c r="O1805" s="136" cm="1">
        <f t="array" ref="O1805">IF(K1805="הכנסה שסווגה מחדש",-G1805,0)</f>
        <v>0</v>
      </c>
      <c r="P1805" t="s" s="80">
        <v>842</v>
      </c>
      <c r="Q1805" s="100"/>
      <c r="R1805" t="s" s="137">
        <v>743</v>
      </c>
      <c r="S1805" s="77"/>
    </row>
    <row r="1806" ht="13.65" customHeight="1">
      <c r="A1806" s="84">
        <v>46204</v>
      </c>
      <c r="B1806" t="s" s="85">
        <v>62</v>
      </c>
      <c r="C1806" t="s" s="86">
        <v>1081</v>
      </c>
      <c r="D1806" s="138">
        <v>61</v>
      </c>
      <c r="E1806" t="s" s="85">
        <v>1104</v>
      </c>
      <c r="F1806" t="s" s="86">
        <v>360</v>
      </c>
      <c r="G1806" s="139">
        <v>450</v>
      </c>
      <c r="H1806" t="s" s="140">
        <v>279</v>
      </c>
      <c r="I1806" t="s" s="141">
        <v>99</v>
      </c>
      <c r="J1806" t="s" s="141">
        <v>100</v>
      </c>
      <c r="K1806" t="str" s="142" cm="1">
        <f t="array" ref="K1806">IF(OR(H1806="ריביות",AND(H1806="דירה כצנלסון",G1806&lt;0,ISNUMBER(SEARCH("הכנסה",F1806)))),"הכנסה שסווגה מחדש",J1806)</f>
        <v>חריג/נכס</v>
      </c>
      <c r="L1806" t="s" s="141">
        <v>741</v>
      </c>
      <c r="M1806" s="143" cm="1">
        <f t="array" ref="M1806">IF(L1806="מאושר",IF(K1806="הכנסה שסווגה מחדש",0,G1806),0)</f>
        <v>450</v>
      </c>
      <c r="N1806" s="143" cm="1">
        <f t="array" ref="N1806">IF(K1806="שוטף",M1806,0)</f>
        <v>0</v>
      </c>
      <c r="O1806" s="143" cm="1">
        <f t="array" ref="O1806">IF(K1806="הכנסה שסווגה מחדש",-G1806,0)</f>
        <v>0</v>
      </c>
      <c r="P1806" t="s" s="86">
        <v>842</v>
      </c>
      <c r="Q1806" s="99"/>
      <c r="R1806" t="s" s="144">
        <v>743</v>
      </c>
      <c r="S1806" s="77"/>
    </row>
    <row r="1807" ht="13.65" customHeight="1">
      <c r="A1807" s="78">
        <v>46204</v>
      </c>
      <c r="B1807" t="s" s="79">
        <v>62</v>
      </c>
      <c r="C1807" t="s" s="80">
        <v>1081</v>
      </c>
      <c r="D1807" s="131">
        <v>62</v>
      </c>
      <c r="E1807" t="s" s="79">
        <v>1105</v>
      </c>
      <c r="F1807" t="s" s="80">
        <v>698</v>
      </c>
      <c r="G1807" s="132">
        <v>9</v>
      </c>
      <c r="H1807" t="s" s="133">
        <v>121</v>
      </c>
      <c r="I1807" t="s" s="134">
        <v>121</v>
      </c>
      <c r="J1807" t="s" s="134">
        <v>97</v>
      </c>
      <c r="K1807" t="str" s="135" cm="1">
        <f t="array" ref="K1807">IF(OR(H1807="ריביות",AND(H1807="דירה כצנלסון",G1807&lt;0,ISNUMBER(SEARCH("הכנסה",F1807)))),"הכנסה שסווגה מחדש",J1807)</f>
        <v>שוטף</v>
      </c>
      <c r="L1807" t="s" s="134">
        <v>741</v>
      </c>
      <c r="M1807" s="136" cm="1">
        <f t="array" ref="M1807">IF(L1807="מאושר",IF(K1807="הכנסה שסווגה מחדש",0,G1807),0)</f>
        <v>9</v>
      </c>
      <c r="N1807" s="136" cm="1">
        <f t="array" ref="N1807">IF(K1807="שוטף",M1807,0)</f>
        <v>9</v>
      </c>
      <c r="O1807" s="136" cm="1">
        <f t="array" ref="O1807">IF(K1807="הכנסה שסווגה מחדש",-G1807,0)</f>
        <v>0</v>
      </c>
      <c r="P1807" t="s" s="80">
        <v>842</v>
      </c>
      <c r="Q1807" s="100"/>
      <c r="R1807" t="s" s="137">
        <v>743</v>
      </c>
      <c r="S1807" s="77"/>
    </row>
    <row r="1808" ht="13.65" customHeight="1">
      <c r="A1808" s="84">
        <v>46204</v>
      </c>
      <c r="B1808" t="s" s="85">
        <v>62</v>
      </c>
      <c r="C1808" t="s" s="86">
        <v>1081</v>
      </c>
      <c r="D1808" s="138">
        <v>63</v>
      </c>
      <c r="E1808" t="s" s="85">
        <v>1125</v>
      </c>
      <c r="F1808" t="s" s="86">
        <v>254</v>
      </c>
      <c r="G1808" s="139">
        <v>30</v>
      </c>
      <c r="H1808" t="s" s="140">
        <v>109</v>
      </c>
      <c r="I1808" t="s" s="141">
        <v>109</v>
      </c>
      <c r="J1808" t="s" s="141">
        <v>97</v>
      </c>
      <c r="K1808" t="str" s="142" cm="1">
        <f t="array" ref="K1808">IF(OR(H1808="ריביות",AND(H1808="דירה כצנלסון",G1808&lt;0,ISNUMBER(SEARCH("הכנסה",F1808)))),"הכנסה שסווגה מחדש",J1808)</f>
        <v>שוטף</v>
      </c>
      <c r="L1808" t="s" s="141">
        <v>741</v>
      </c>
      <c r="M1808" s="143" cm="1">
        <f t="array" ref="M1808">IF(L1808="מאושר",IF(K1808="הכנסה שסווגה מחדש",0,G1808),0)</f>
        <v>30</v>
      </c>
      <c r="N1808" s="143" cm="1">
        <f t="array" ref="N1808">IF(K1808="שוטף",M1808,0)</f>
        <v>30</v>
      </c>
      <c r="O1808" s="143" cm="1">
        <f t="array" ref="O1808">IF(K1808="הכנסה שסווגה מחדש",-G1808,0)</f>
        <v>0</v>
      </c>
      <c r="P1808" t="s" s="86">
        <v>842</v>
      </c>
      <c r="Q1808" s="99"/>
      <c r="R1808" t="s" s="144">
        <v>743</v>
      </c>
      <c r="S1808" s="77"/>
    </row>
    <row r="1809" ht="13.65" customHeight="1">
      <c r="A1809" s="78">
        <v>46204</v>
      </c>
      <c r="B1809" t="s" s="79">
        <v>62</v>
      </c>
      <c r="C1809" t="s" s="80">
        <v>1081</v>
      </c>
      <c r="D1809" s="131">
        <v>64</v>
      </c>
      <c r="E1809" t="s" s="79">
        <v>1125</v>
      </c>
      <c r="F1809" t="s" s="80">
        <v>231</v>
      </c>
      <c r="G1809" s="132">
        <v>19</v>
      </c>
      <c r="H1809" t="s" s="133">
        <v>113</v>
      </c>
      <c r="I1809" t="s" s="134">
        <v>113</v>
      </c>
      <c r="J1809" t="s" s="134">
        <v>97</v>
      </c>
      <c r="K1809" t="str" s="135" cm="1">
        <f t="array" ref="K1809">IF(OR(H1809="ריביות",AND(H1809="דירה כצנלסון",G1809&lt;0,ISNUMBER(SEARCH("הכנסה",F1809)))),"הכנסה שסווגה מחדש",J1809)</f>
        <v>שוטף</v>
      </c>
      <c r="L1809" t="s" s="134">
        <v>741</v>
      </c>
      <c r="M1809" s="136" cm="1">
        <f t="array" ref="M1809">IF(L1809="מאושר",IF(K1809="הכנסה שסווגה מחדש",0,G1809),0)</f>
        <v>19</v>
      </c>
      <c r="N1809" s="136" cm="1">
        <f t="array" ref="N1809">IF(K1809="שוטף",M1809,0)</f>
        <v>19</v>
      </c>
      <c r="O1809" s="136" cm="1">
        <f t="array" ref="O1809">IF(K1809="הכנסה שסווגה מחדש",-G1809,0)</f>
        <v>0</v>
      </c>
      <c r="P1809" t="s" s="80">
        <v>842</v>
      </c>
      <c r="Q1809" s="100"/>
      <c r="R1809" t="s" s="137">
        <v>743</v>
      </c>
      <c r="S1809" s="77"/>
    </row>
    <row r="1810" ht="13.65" customHeight="1">
      <c r="A1810" s="84">
        <v>46204</v>
      </c>
      <c r="B1810" t="s" s="85">
        <v>62</v>
      </c>
      <c r="C1810" t="s" s="86">
        <v>1081</v>
      </c>
      <c r="D1810" s="138">
        <v>65</v>
      </c>
      <c r="E1810" t="s" s="85">
        <v>1084</v>
      </c>
      <c r="F1810" t="s" s="86">
        <v>231</v>
      </c>
      <c r="G1810" s="139">
        <v>131</v>
      </c>
      <c r="H1810" t="s" s="140">
        <v>113</v>
      </c>
      <c r="I1810" t="s" s="141">
        <v>113</v>
      </c>
      <c r="J1810" t="s" s="141">
        <v>97</v>
      </c>
      <c r="K1810" t="str" s="142" cm="1">
        <f t="array" ref="K1810">IF(OR(H1810="ריביות",AND(H1810="דירה כצנלסון",G1810&lt;0,ISNUMBER(SEARCH("הכנסה",F1810)))),"הכנסה שסווגה מחדש",J1810)</f>
        <v>שוטף</v>
      </c>
      <c r="L1810" t="s" s="141">
        <v>741</v>
      </c>
      <c r="M1810" s="143" cm="1">
        <f t="array" ref="M1810">IF(L1810="מאושר",IF(K1810="הכנסה שסווגה מחדש",0,G1810),0)</f>
        <v>131</v>
      </c>
      <c r="N1810" s="143" cm="1">
        <f t="array" ref="N1810">IF(K1810="שוטף",M1810,0)</f>
        <v>131</v>
      </c>
      <c r="O1810" s="143" cm="1">
        <f t="array" ref="O1810">IF(K1810="הכנסה שסווגה מחדש",-G1810,0)</f>
        <v>0</v>
      </c>
      <c r="P1810" t="s" s="86">
        <v>842</v>
      </c>
      <c r="Q1810" s="99"/>
      <c r="R1810" t="s" s="144">
        <v>743</v>
      </c>
      <c r="S1810" s="77"/>
    </row>
    <row r="1811" ht="13.65" customHeight="1">
      <c r="A1811" s="78">
        <v>46204</v>
      </c>
      <c r="B1811" t="s" s="79">
        <v>62</v>
      </c>
      <c r="C1811" t="s" s="80">
        <v>1081</v>
      </c>
      <c r="D1811" s="131">
        <v>66</v>
      </c>
      <c r="E1811" t="s" s="79">
        <v>1107</v>
      </c>
      <c r="F1811" t="s" s="80">
        <v>254</v>
      </c>
      <c r="G1811" s="132">
        <v>17</v>
      </c>
      <c r="H1811" t="s" s="133">
        <v>109</v>
      </c>
      <c r="I1811" t="s" s="134">
        <v>109</v>
      </c>
      <c r="J1811" t="s" s="134">
        <v>97</v>
      </c>
      <c r="K1811" t="str" s="135" cm="1">
        <f t="array" ref="K1811">IF(OR(H1811="ריביות",AND(H1811="דירה כצנלסון",G1811&lt;0,ISNUMBER(SEARCH("הכנסה",F1811)))),"הכנסה שסווגה מחדש",J1811)</f>
        <v>שוטף</v>
      </c>
      <c r="L1811" t="s" s="134">
        <v>741</v>
      </c>
      <c r="M1811" s="136" cm="1">
        <f t="array" ref="M1811">IF(L1811="מאושר",IF(K1811="הכנסה שסווגה מחדש",0,G1811),0)</f>
        <v>17</v>
      </c>
      <c r="N1811" s="136" cm="1">
        <f t="array" ref="N1811">IF(K1811="שוטף",M1811,0)</f>
        <v>17</v>
      </c>
      <c r="O1811" s="136" cm="1">
        <f t="array" ref="O1811">IF(K1811="הכנסה שסווגה מחדש",-G1811,0)</f>
        <v>0</v>
      </c>
      <c r="P1811" t="s" s="80">
        <v>842</v>
      </c>
      <c r="Q1811" s="100"/>
      <c r="R1811" t="s" s="137">
        <v>743</v>
      </c>
      <c r="S1811" s="77"/>
    </row>
    <row r="1812" ht="13.65" customHeight="1">
      <c r="A1812" s="84">
        <v>46204</v>
      </c>
      <c r="B1812" t="s" s="85">
        <v>62</v>
      </c>
      <c r="C1812" t="s" s="86">
        <v>1081</v>
      </c>
      <c r="D1812" s="138">
        <v>67</v>
      </c>
      <c r="E1812" t="s" s="85">
        <v>1126</v>
      </c>
      <c r="F1812" t="s" s="86">
        <v>209</v>
      </c>
      <c r="G1812" s="139">
        <v>15</v>
      </c>
      <c r="H1812" t="s" s="140">
        <v>113</v>
      </c>
      <c r="I1812" t="s" s="141">
        <v>113</v>
      </c>
      <c r="J1812" t="s" s="141">
        <v>97</v>
      </c>
      <c r="K1812" t="str" s="142" cm="1">
        <f t="array" ref="K1812">IF(OR(H1812="ריביות",AND(H1812="דירה כצנלסון",G1812&lt;0,ISNUMBER(SEARCH("הכנסה",F1812)))),"הכנסה שסווגה מחדש",J1812)</f>
        <v>שוטף</v>
      </c>
      <c r="L1812" t="s" s="141">
        <v>741</v>
      </c>
      <c r="M1812" s="143" cm="1">
        <f t="array" ref="M1812">IF(L1812="מאושר",IF(K1812="הכנסה שסווגה מחדש",0,G1812),0)</f>
        <v>15</v>
      </c>
      <c r="N1812" s="143" cm="1">
        <f t="array" ref="N1812">IF(K1812="שוטף",M1812,0)</f>
        <v>15</v>
      </c>
      <c r="O1812" s="143" cm="1">
        <f t="array" ref="O1812">IF(K1812="הכנסה שסווגה מחדש",-G1812,0)</f>
        <v>0</v>
      </c>
      <c r="P1812" t="s" s="86">
        <v>842</v>
      </c>
      <c r="Q1812" s="99"/>
      <c r="R1812" t="s" s="144">
        <v>743</v>
      </c>
      <c r="S1812" s="77"/>
    </row>
    <row r="1813" ht="13.65" customHeight="1">
      <c r="A1813" s="78">
        <v>46204</v>
      </c>
      <c r="B1813" t="s" s="79">
        <v>62</v>
      </c>
      <c r="C1813" t="s" s="80">
        <v>1081</v>
      </c>
      <c r="D1813" s="131">
        <v>68</v>
      </c>
      <c r="E1813" t="s" s="79">
        <v>1126</v>
      </c>
      <c r="F1813" t="s" s="80">
        <v>200</v>
      </c>
      <c r="G1813" s="132">
        <v>25</v>
      </c>
      <c r="H1813" t="s" s="133">
        <v>109</v>
      </c>
      <c r="I1813" t="s" s="134">
        <v>109</v>
      </c>
      <c r="J1813" t="s" s="134">
        <v>97</v>
      </c>
      <c r="K1813" t="str" s="135" cm="1">
        <f t="array" ref="K1813">IF(OR(H1813="ריביות",AND(H1813="דירה כצנלסון",G1813&lt;0,ISNUMBER(SEARCH("הכנסה",F1813)))),"הכנסה שסווגה מחדש",J1813)</f>
        <v>שוטף</v>
      </c>
      <c r="L1813" t="s" s="134">
        <v>741</v>
      </c>
      <c r="M1813" s="136" cm="1">
        <f t="array" ref="M1813">IF(L1813="מאושר",IF(K1813="הכנסה שסווגה מחדש",0,G1813),0)</f>
        <v>25</v>
      </c>
      <c r="N1813" s="136" cm="1">
        <f t="array" ref="N1813">IF(K1813="שוטף",M1813,0)</f>
        <v>25</v>
      </c>
      <c r="O1813" s="136" cm="1">
        <f t="array" ref="O1813">IF(K1813="הכנסה שסווגה מחדש",-G1813,0)</f>
        <v>0</v>
      </c>
      <c r="P1813" t="s" s="80">
        <v>842</v>
      </c>
      <c r="Q1813" s="100"/>
      <c r="R1813" t="s" s="137">
        <v>743</v>
      </c>
      <c r="S1813" s="77"/>
    </row>
    <row r="1814" ht="13.65" customHeight="1">
      <c r="A1814" s="84">
        <v>46204</v>
      </c>
      <c r="B1814" t="s" s="85">
        <v>62</v>
      </c>
      <c r="C1814" t="s" s="86">
        <v>1081</v>
      </c>
      <c r="D1814" s="138">
        <v>69</v>
      </c>
      <c r="E1814" t="s" s="85">
        <v>1126</v>
      </c>
      <c r="F1814" t="s" s="86">
        <v>663</v>
      </c>
      <c r="G1814" s="139">
        <v>24</v>
      </c>
      <c r="H1814" t="s" s="140">
        <v>109</v>
      </c>
      <c r="I1814" t="s" s="141">
        <v>109</v>
      </c>
      <c r="J1814" t="s" s="141">
        <v>97</v>
      </c>
      <c r="K1814" t="str" s="142" cm="1">
        <f t="array" ref="K1814">IF(OR(H1814="ריביות",AND(H1814="דירה כצנלסון",G1814&lt;0,ISNUMBER(SEARCH("הכנסה",F1814)))),"הכנסה שסווגה מחדש",J1814)</f>
        <v>שוטף</v>
      </c>
      <c r="L1814" t="s" s="141">
        <v>741</v>
      </c>
      <c r="M1814" s="143" cm="1">
        <f t="array" ref="M1814">IF(L1814="מאושר",IF(K1814="הכנסה שסווגה מחדש",0,G1814),0)</f>
        <v>24</v>
      </c>
      <c r="N1814" s="143" cm="1">
        <f t="array" ref="N1814">IF(K1814="שוטף",M1814,0)</f>
        <v>24</v>
      </c>
      <c r="O1814" s="143" cm="1">
        <f t="array" ref="O1814">IF(K1814="הכנסה שסווגה מחדש",-G1814,0)</f>
        <v>0</v>
      </c>
      <c r="P1814" t="s" s="86">
        <v>842</v>
      </c>
      <c r="Q1814" s="99"/>
      <c r="R1814" t="s" s="144">
        <v>743</v>
      </c>
      <c r="S1814" s="77"/>
    </row>
    <row r="1815" ht="13.65" customHeight="1">
      <c r="A1815" s="78">
        <v>46204</v>
      </c>
      <c r="B1815" t="s" s="79">
        <v>62</v>
      </c>
      <c r="C1815" t="s" s="80">
        <v>1081</v>
      </c>
      <c r="D1815" s="131">
        <v>70</v>
      </c>
      <c r="E1815" t="s" s="79">
        <v>1108</v>
      </c>
      <c r="F1815" t="s" s="80">
        <v>680</v>
      </c>
      <c r="G1815" s="132">
        <v>1</v>
      </c>
      <c r="H1815" t="s" s="133">
        <v>109</v>
      </c>
      <c r="I1815" t="s" s="134">
        <v>109</v>
      </c>
      <c r="J1815" t="s" s="134">
        <v>97</v>
      </c>
      <c r="K1815" t="str" s="135" cm="1">
        <f t="array" ref="K1815">IF(OR(H1815="ריביות",AND(H1815="דירה כצנלסון",G1815&lt;0,ISNUMBER(SEARCH("הכנסה",F1815)))),"הכנסה שסווגה מחדש",J1815)</f>
        <v>שוטף</v>
      </c>
      <c r="L1815" t="s" s="134">
        <v>741</v>
      </c>
      <c r="M1815" s="136" cm="1">
        <f t="array" ref="M1815">IF(L1815="מאושר",IF(K1815="הכנסה שסווגה מחדש",0,G1815),0)</f>
        <v>1</v>
      </c>
      <c r="N1815" s="136" cm="1">
        <f t="array" ref="N1815">IF(K1815="שוטף",M1815,0)</f>
        <v>1</v>
      </c>
      <c r="O1815" s="136" cm="1">
        <f t="array" ref="O1815">IF(K1815="הכנסה שסווגה מחדש",-G1815,0)</f>
        <v>0</v>
      </c>
      <c r="P1815" t="s" s="80">
        <v>842</v>
      </c>
      <c r="Q1815" s="100"/>
      <c r="R1815" t="s" s="137">
        <v>743</v>
      </c>
      <c r="S1815" s="77"/>
    </row>
    <row r="1816" ht="13.65" customHeight="1">
      <c r="A1816" s="84">
        <v>46204</v>
      </c>
      <c r="B1816" t="s" s="85">
        <v>62</v>
      </c>
      <c r="C1816" t="s" s="86">
        <v>1081</v>
      </c>
      <c r="D1816" s="138">
        <v>71</v>
      </c>
      <c r="E1816" t="s" s="85">
        <v>1108</v>
      </c>
      <c r="F1816" t="s" s="86">
        <v>213</v>
      </c>
      <c r="G1816" s="139">
        <v>184</v>
      </c>
      <c r="H1816" t="s" s="140">
        <v>115</v>
      </c>
      <c r="I1816" t="s" s="141">
        <v>115</v>
      </c>
      <c r="J1816" t="s" s="141">
        <v>97</v>
      </c>
      <c r="K1816" t="str" s="142" cm="1">
        <f t="array" ref="K1816">IF(OR(H1816="ריביות",AND(H1816="דירה כצנלסון",G1816&lt;0,ISNUMBER(SEARCH("הכנסה",F1816)))),"הכנסה שסווגה מחדש",J1816)</f>
        <v>שוטף</v>
      </c>
      <c r="L1816" t="s" s="141">
        <v>741</v>
      </c>
      <c r="M1816" s="143" cm="1">
        <f t="array" ref="M1816">IF(L1816="מאושר",IF(K1816="הכנסה שסווגה מחדש",0,G1816),0)</f>
        <v>184</v>
      </c>
      <c r="N1816" s="143" cm="1">
        <f t="array" ref="N1816">IF(K1816="שוטף",M1816,0)</f>
        <v>184</v>
      </c>
      <c r="O1816" s="143" cm="1">
        <f t="array" ref="O1816">IF(K1816="הכנסה שסווגה מחדש",-G1816,0)</f>
        <v>0</v>
      </c>
      <c r="P1816" t="s" s="86">
        <v>842</v>
      </c>
      <c r="Q1816" s="99"/>
      <c r="R1816" t="s" s="144">
        <v>743</v>
      </c>
      <c r="S1816" s="77"/>
    </row>
    <row r="1817" ht="13.65" customHeight="1">
      <c r="A1817" s="78">
        <v>46204</v>
      </c>
      <c r="B1817" t="s" s="79">
        <v>62</v>
      </c>
      <c r="C1817" t="s" s="80">
        <v>1081</v>
      </c>
      <c r="D1817" s="131">
        <v>72</v>
      </c>
      <c r="E1817" t="s" s="79">
        <v>1086</v>
      </c>
      <c r="F1817" t="s" s="80">
        <v>575</v>
      </c>
      <c r="G1817" s="132">
        <v>70</v>
      </c>
      <c r="H1817" t="s" s="133">
        <v>115</v>
      </c>
      <c r="I1817" t="s" s="134">
        <v>115</v>
      </c>
      <c r="J1817" t="s" s="134">
        <v>97</v>
      </c>
      <c r="K1817" t="str" s="135" cm="1">
        <f t="array" ref="K1817">IF(OR(H1817="ריביות",AND(H1817="דירה כצנלסון",G1817&lt;0,ISNUMBER(SEARCH("הכנסה",F1817)))),"הכנסה שסווגה מחדש",J1817)</f>
        <v>שוטף</v>
      </c>
      <c r="L1817" t="s" s="134">
        <v>741</v>
      </c>
      <c r="M1817" s="136" cm="1">
        <f t="array" ref="M1817">IF(L1817="מאושר",IF(K1817="הכנסה שסווגה מחדש",0,G1817),0)</f>
        <v>70</v>
      </c>
      <c r="N1817" s="136" cm="1">
        <f t="array" ref="N1817">IF(K1817="שוטף",M1817,0)</f>
        <v>70</v>
      </c>
      <c r="O1817" s="136" cm="1">
        <f t="array" ref="O1817">IF(K1817="הכנסה שסווגה מחדש",-G1817,0)</f>
        <v>0</v>
      </c>
      <c r="P1817" t="s" s="80">
        <v>842</v>
      </c>
      <c r="Q1817" s="100"/>
      <c r="R1817" t="s" s="137">
        <v>743</v>
      </c>
      <c r="S1817" s="77"/>
    </row>
    <row r="1818" ht="13.65" customHeight="1">
      <c r="A1818" s="84">
        <v>46204</v>
      </c>
      <c r="B1818" t="s" s="85">
        <v>62</v>
      </c>
      <c r="C1818" t="s" s="86">
        <v>1081</v>
      </c>
      <c r="D1818" s="138">
        <v>73</v>
      </c>
      <c r="E1818" t="s" s="85">
        <v>1086</v>
      </c>
      <c r="F1818" t="s" s="86">
        <v>662</v>
      </c>
      <c r="G1818" s="139">
        <v>6</v>
      </c>
      <c r="H1818" t="s" s="140">
        <v>115</v>
      </c>
      <c r="I1818" t="s" s="141">
        <v>115</v>
      </c>
      <c r="J1818" t="s" s="141">
        <v>97</v>
      </c>
      <c r="K1818" t="str" s="142" cm="1">
        <f t="array" ref="K1818">IF(OR(H1818="ריביות",AND(H1818="דירה כצנלסון",G1818&lt;0,ISNUMBER(SEARCH("הכנסה",F1818)))),"הכנסה שסווגה מחדש",J1818)</f>
        <v>שוטף</v>
      </c>
      <c r="L1818" t="s" s="141">
        <v>741</v>
      </c>
      <c r="M1818" s="143" cm="1">
        <f t="array" ref="M1818">IF(L1818="מאושר",IF(K1818="הכנסה שסווגה מחדש",0,G1818),0)</f>
        <v>6</v>
      </c>
      <c r="N1818" s="143" cm="1">
        <f t="array" ref="N1818">IF(K1818="שוטף",M1818,0)</f>
        <v>6</v>
      </c>
      <c r="O1818" s="143" cm="1">
        <f t="array" ref="O1818">IF(K1818="הכנסה שסווגה מחדש",-G1818,0)</f>
        <v>0</v>
      </c>
      <c r="P1818" t="s" s="86">
        <v>842</v>
      </c>
      <c r="Q1818" s="99"/>
      <c r="R1818" t="s" s="144">
        <v>743</v>
      </c>
      <c r="S1818" s="77"/>
    </row>
    <row r="1819" ht="13.65" customHeight="1">
      <c r="A1819" s="78">
        <v>46204</v>
      </c>
      <c r="B1819" t="s" s="79">
        <v>62</v>
      </c>
      <c r="C1819" t="s" s="80">
        <v>1081</v>
      </c>
      <c r="D1819" s="131">
        <v>74</v>
      </c>
      <c r="E1819" t="s" s="79">
        <v>1086</v>
      </c>
      <c r="F1819" t="s" s="80">
        <v>662</v>
      </c>
      <c r="G1819" s="132">
        <v>6</v>
      </c>
      <c r="H1819" t="s" s="133">
        <v>115</v>
      </c>
      <c r="I1819" t="s" s="134">
        <v>115</v>
      </c>
      <c r="J1819" t="s" s="134">
        <v>97</v>
      </c>
      <c r="K1819" t="str" s="135" cm="1">
        <f t="array" ref="K1819">IF(OR(H1819="ריביות",AND(H1819="דירה כצנלסון",G1819&lt;0,ISNUMBER(SEARCH("הכנסה",F1819)))),"הכנסה שסווגה מחדש",J1819)</f>
        <v>שוטף</v>
      </c>
      <c r="L1819" t="s" s="134">
        <v>741</v>
      </c>
      <c r="M1819" s="136" cm="1">
        <f t="array" ref="M1819">IF(L1819="מאושר",IF(K1819="הכנסה שסווגה מחדש",0,G1819),0)</f>
        <v>6</v>
      </c>
      <c r="N1819" s="136" cm="1">
        <f t="array" ref="N1819">IF(K1819="שוטף",M1819,0)</f>
        <v>6</v>
      </c>
      <c r="O1819" s="136" cm="1">
        <f t="array" ref="O1819">IF(K1819="הכנסה שסווגה מחדש",-G1819,0)</f>
        <v>0</v>
      </c>
      <c r="P1819" t="s" s="80">
        <v>842</v>
      </c>
      <c r="Q1819" s="100"/>
      <c r="R1819" t="s" s="137">
        <v>743</v>
      </c>
      <c r="S1819" s="77"/>
    </row>
    <row r="1820" ht="13.65" customHeight="1">
      <c r="A1820" s="84">
        <v>46204</v>
      </c>
      <c r="B1820" t="s" s="85">
        <v>62</v>
      </c>
      <c r="C1820" t="s" s="86">
        <v>1081</v>
      </c>
      <c r="D1820" s="138">
        <v>75</v>
      </c>
      <c r="E1820" t="s" s="85">
        <v>1086</v>
      </c>
      <c r="F1820" t="s" s="86">
        <v>200</v>
      </c>
      <c r="G1820" s="139">
        <v>13</v>
      </c>
      <c r="H1820" t="s" s="140">
        <v>109</v>
      </c>
      <c r="I1820" t="s" s="141">
        <v>109</v>
      </c>
      <c r="J1820" t="s" s="141">
        <v>97</v>
      </c>
      <c r="K1820" t="str" s="142" cm="1">
        <f t="array" ref="K1820">IF(OR(H1820="ריביות",AND(H1820="דירה כצנלסון",G1820&lt;0,ISNUMBER(SEARCH("הכנסה",F1820)))),"הכנסה שסווגה מחדש",J1820)</f>
        <v>שוטף</v>
      </c>
      <c r="L1820" t="s" s="141">
        <v>741</v>
      </c>
      <c r="M1820" s="143" cm="1">
        <f t="array" ref="M1820">IF(L1820="מאושר",IF(K1820="הכנסה שסווגה מחדש",0,G1820),0)</f>
        <v>13</v>
      </c>
      <c r="N1820" s="143" cm="1">
        <f t="array" ref="N1820">IF(K1820="שוטף",M1820,0)</f>
        <v>13</v>
      </c>
      <c r="O1820" s="143" cm="1">
        <f t="array" ref="O1820">IF(K1820="הכנסה שסווגה מחדש",-G1820,0)</f>
        <v>0</v>
      </c>
      <c r="P1820" t="s" s="86">
        <v>842</v>
      </c>
      <c r="Q1820" s="99"/>
      <c r="R1820" t="s" s="144">
        <v>743</v>
      </c>
      <c r="S1820" s="77"/>
    </row>
    <row r="1821" ht="13.65" customHeight="1">
      <c r="A1821" s="78">
        <v>46204</v>
      </c>
      <c r="B1821" t="s" s="79">
        <v>62</v>
      </c>
      <c r="C1821" t="s" s="80">
        <v>1081</v>
      </c>
      <c r="D1821" s="131">
        <v>76</v>
      </c>
      <c r="E1821" t="s" s="79">
        <v>1086</v>
      </c>
      <c r="F1821" t="s" s="79">
        <v>452</v>
      </c>
      <c r="G1821" s="132">
        <v>200</v>
      </c>
      <c r="H1821" t="s" s="133">
        <v>115</v>
      </c>
      <c r="I1821" t="s" s="134">
        <v>115</v>
      </c>
      <c r="J1821" t="s" s="134">
        <v>97</v>
      </c>
      <c r="K1821" t="str" s="135" cm="1">
        <f t="array" ref="K1821">IF(OR(H1821="ריביות",AND(H1821="דירה כצנלסון",G1821&lt;0,ISNUMBER(SEARCH("הכנסה",F1821)))),"הכנסה שסווגה מחדש",J1821)</f>
        <v>שוטף</v>
      </c>
      <c r="L1821" t="s" s="134">
        <v>741</v>
      </c>
      <c r="M1821" s="136" cm="1">
        <f t="array" ref="M1821">IF(L1821="מאושר",IF(K1821="הכנסה שסווגה מחדש",0,G1821),0)</f>
        <v>200</v>
      </c>
      <c r="N1821" s="136" cm="1">
        <f t="array" ref="N1821">IF(K1821="שוטף",M1821,0)</f>
        <v>200</v>
      </c>
      <c r="O1821" s="136" cm="1">
        <f t="array" ref="O1821">IF(K1821="הכנסה שסווגה מחדש",-G1821,0)</f>
        <v>0</v>
      </c>
      <c r="P1821" t="s" s="80">
        <v>842</v>
      </c>
      <c r="Q1821" s="100"/>
      <c r="R1821" t="s" s="137">
        <v>743</v>
      </c>
      <c r="S1821" s="77"/>
    </row>
    <row r="1822" ht="13.65" customHeight="1">
      <c r="A1822" s="84">
        <v>46204</v>
      </c>
      <c r="B1822" t="s" s="85">
        <v>62</v>
      </c>
      <c r="C1822" t="s" s="86">
        <v>1081</v>
      </c>
      <c r="D1822" s="138">
        <v>77</v>
      </c>
      <c r="E1822" t="s" s="85">
        <v>1127</v>
      </c>
      <c r="F1822" t="s" s="86">
        <v>305</v>
      </c>
      <c r="G1822" s="139">
        <v>62</v>
      </c>
      <c r="H1822" t="s" s="140">
        <v>125</v>
      </c>
      <c r="I1822" t="s" s="141">
        <v>125</v>
      </c>
      <c r="J1822" t="s" s="141">
        <v>97</v>
      </c>
      <c r="K1822" t="str" s="142" cm="1">
        <f t="array" ref="K1822">IF(OR(H1822="ריביות",AND(H1822="דירה כצנלסון",G1822&lt;0,ISNUMBER(SEARCH("הכנסה",F1822)))),"הכנסה שסווגה מחדש",J1822)</f>
        <v>שוטף</v>
      </c>
      <c r="L1822" t="s" s="141">
        <v>741</v>
      </c>
      <c r="M1822" s="143" cm="1">
        <f t="array" ref="M1822">IF(L1822="מאושר",IF(K1822="הכנסה שסווגה מחדש",0,G1822),0)</f>
        <v>62</v>
      </c>
      <c r="N1822" s="143" cm="1">
        <f t="array" ref="N1822">IF(K1822="שוטף",M1822,0)</f>
        <v>62</v>
      </c>
      <c r="O1822" s="143" cm="1">
        <f t="array" ref="O1822">IF(K1822="הכנסה שסווגה מחדש",-G1822,0)</f>
        <v>0</v>
      </c>
      <c r="P1822" t="s" s="86">
        <v>842</v>
      </c>
      <c r="Q1822" s="99"/>
      <c r="R1822" t="s" s="144">
        <v>743</v>
      </c>
      <c r="S1822" s="77"/>
    </row>
    <row r="1823" ht="13.65" customHeight="1">
      <c r="A1823" s="78">
        <v>46204</v>
      </c>
      <c r="B1823" t="s" s="79">
        <v>62</v>
      </c>
      <c r="C1823" t="s" s="80">
        <v>1081</v>
      </c>
      <c r="D1823" s="131">
        <v>78</v>
      </c>
      <c r="E1823" t="s" s="79">
        <v>1127</v>
      </c>
      <c r="F1823" t="s" s="80">
        <v>558</v>
      </c>
      <c r="G1823" s="132">
        <v>11</v>
      </c>
      <c r="H1823" t="s" s="133">
        <v>117</v>
      </c>
      <c r="I1823" t="s" s="134">
        <v>117</v>
      </c>
      <c r="J1823" t="s" s="134">
        <v>97</v>
      </c>
      <c r="K1823" t="str" s="135" cm="1">
        <f t="array" ref="K1823">IF(OR(H1823="ריביות",AND(H1823="דירה כצנלסון",G1823&lt;0,ISNUMBER(SEARCH("הכנסה",F1823)))),"הכנסה שסווגה מחדש",J1823)</f>
        <v>שוטף</v>
      </c>
      <c r="L1823" t="s" s="134">
        <v>741</v>
      </c>
      <c r="M1823" s="136" cm="1">
        <f t="array" ref="M1823">IF(L1823="מאושר",IF(K1823="הכנסה שסווגה מחדש",0,G1823),0)</f>
        <v>11</v>
      </c>
      <c r="N1823" s="136" cm="1">
        <f t="array" ref="N1823">IF(K1823="שוטף",M1823,0)</f>
        <v>11</v>
      </c>
      <c r="O1823" s="136" cm="1">
        <f t="array" ref="O1823">IF(K1823="הכנסה שסווגה מחדש",-G1823,0)</f>
        <v>0</v>
      </c>
      <c r="P1823" t="s" s="80">
        <v>842</v>
      </c>
      <c r="Q1823" s="100"/>
      <c r="R1823" t="s" s="137">
        <v>743</v>
      </c>
      <c r="S1823" s="77"/>
    </row>
    <row r="1824" ht="13.65" customHeight="1">
      <c r="A1824" s="84">
        <v>46204</v>
      </c>
      <c r="B1824" t="s" s="85">
        <v>62</v>
      </c>
      <c r="C1824" t="s" s="86">
        <v>1081</v>
      </c>
      <c r="D1824" s="138">
        <v>79</v>
      </c>
      <c r="E1824" t="s" s="85">
        <v>1111</v>
      </c>
      <c r="F1824" t="s" s="86">
        <v>254</v>
      </c>
      <c r="G1824" s="139">
        <v>37</v>
      </c>
      <c r="H1824" t="s" s="140">
        <v>109</v>
      </c>
      <c r="I1824" t="s" s="141">
        <v>109</v>
      </c>
      <c r="J1824" t="s" s="141">
        <v>97</v>
      </c>
      <c r="K1824" t="str" s="142" cm="1">
        <f t="array" ref="K1824">IF(OR(H1824="ריביות",AND(H1824="דירה כצנלסון",G1824&lt;0,ISNUMBER(SEARCH("הכנסה",F1824)))),"הכנסה שסווגה מחדש",J1824)</f>
        <v>שוטף</v>
      </c>
      <c r="L1824" t="s" s="141">
        <v>741</v>
      </c>
      <c r="M1824" s="143" cm="1">
        <f t="array" ref="M1824">IF(L1824="מאושר",IF(K1824="הכנסה שסווגה מחדש",0,G1824),0)</f>
        <v>37</v>
      </c>
      <c r="N1824" s="143" cm="1">
        <f t="array" ref="N1824">IF(K1824="שוטף",M1824,0)</f>
        <v>37</v>
      </c>
      <c r="O1824" s="143" cm="1">
        <f t="array" ref="O1824">IF(K1824="הכנסה שסווגה מחדש",-G1824,0)</f>
        <v>0</v>
      </c>
      <c r="P1824" t="s" s="86">
        <v>842</v>
      </c>
      <c r="Q1824" s="99"/>
      <c r="R1824" t="s" s="144">
        <v>743</v>
      </c>
      <c r="S1824" s="77"/>
    </row>
    <row r="1825" ht="13.65" customHeight="1">
      <c r="A1825" s="78">
        <v>46204</v>
      </c>
      <c r="B1825" t="s" s="79">
        <v>62</v>
      </c>
      <c r="C1825" t="s" s="80">
        <v>1081</v>
      </c>
      <c r="D1825" s="131">
        <v>80</v>
      </c>
      <c r="E1825" t="s" s="79">
        <v>1112</v>
      </c>
      <c r="F1825" t="s" s="80">
        <v>479</v>
      </c>
      <c r="G1825" s="132">
        <v>25</v>
      </c>
      <c r="H1825" t="s" s="133">
        <v>113</v>
      </c>
      <c r="I1825" t="s" s="134">
        <v>113</v>
      </c>
      <c r="J1825" t="s" s="134">
        <v>97</v>
      </c>
      <c r="K1825" t="str" s="135" cm="1">
        <f t="array" ref="K1825">IF(OR(H1825="ריביות",AND(H1825="דירה כצנלסון",G1825&lt;0,ISNUMBER(SEARCH("הכנסה",F1825)))),"הכנסה שסווגה מחדש",J1825)</f>
        <v>שוטף</v>
      </c>
      <c r="L1825" t="s" s="134">
        <v>741</v>
      </c>
      <c r="M1825" s="136" cm="1">
        <f t="array" ref="M1825">IF(L1825="מאושר",IF(K1825="הכנסה שסווגה מחדש",0,G1825),0)</f>
        <v>25</v>
      </c>
      <c r="N1825" s="136" cm="1">
        <f t="array" ref="N1825">IF(K1825="שוטף",M1825,0)</f>
        <v>25</v>
      </c>
      <c r="O1825" s="136" cm="1">
        <f t="array" ref="O1825">IF(K1825="הכנסה שסווגה מחדש",-G1825,0)</f>
        <v>0</v>
      </c>
      <c r="P1825" t="s" s="80">
        <v>842</v>
      </c>
      <c r="Q1825" s="100"/>
      <c r="R1825" t="s" s="137">
        <v>743</v>
      </c>
      <c r="S1825" s="77"/>
    </row>
    <row r="1826" ht="13.65" customHeight="1">
      <c r="A1826" s="84">
        <v>46204</v>
      </c>
      <c r="B1826" t="s" s="85">
        <v>62</v>
      </c>
      <c r="C1826" t="s" s="86">
        <v>1081</v>
      </c>
      <c r="D1826" s="138">
        <v>81</v>
      </c>
      <c r="E1826" t="s" s="85">
        <v>1112</v>
      </c>
      <c r="F1826" t="s" s="86">
        <v>513</v>
      </c>
      <c r="G1826" s="139">
        <v>55</v>
      </c>
      <c r="H1826" t="s" s="140">
        <v>109</v>
      </c>
      <c r="I1826" t="s" s="141">
        <v>109</v>
      </c>
      <c r="J1826" t="s" s="141">
        <v>97</v>
      </c>
      <c r="K1826" t="str" s="142" cm="1">
        <f t="array" ref="K1826">IF(OR(H1826="ריביות",AND(H1826="דירה כצנלסון",G1826&lt;0,ISNUMBER(SEARCH("הכנסה",F1826)))),"הכנסה שסווגה מחדש",J1826)</f>
        <v>שוטף</v>
      </c>
      <c r="L1826" t="s" s="141">
        <v>741</v>
      </c>
      <c r="M1826" s="143" cm="1">
        <f t="array" ref="M1826">IF(L1826="מאושר",IF(K1826="הכנסה שסווגה מחדש",0,G1826),0)</f>
        <v>55</v>
      </c>
      <c r="N1826" s="143" cm="1">
        <f t="array" ref="N1826">IF(K1826="שוטף",M1826,0)</f>
        <v>55</v>
      </c>
      <c r="O1826" s="143" cm="1">
        <f t="array" ref="O1826">IF(K1826="הכנסה שסווגה מחדש",-G1826,0)</f>
        <v>0</v>
      </c>
      <c r="P1826" t="s" s="86">
        <v>842</v>
      </c>
      <c r="Q1826" s="99"/>
      <c r="R1826" t="s" s="144">
        <v>743</v>
      </c>
      <c r="S1826" s="77"/>
    </row>
    <row r="1827" ht="13.65" customHeight="1">
      <c r="A1827" s="78">
        <v>46204</v>
      </c>
      <c r="B1827" t="s" s="79">
        <v>62</v>
      </c>
      <c r="C1827" t="s" s="80">
        <v>1081</v>
      </c>
      <c r="D1827" s="131">
        <v>82</v>
      </c>
      <c r="E1827" t="s" s="79">
        <v>1112</v>
      </c>
      <c r="F1827" t="s" s="80">
        <v>554</v>
      </c>
      <c r="G1827" s="132">
        <v>80</v>
      </c>
      <c r="H1827" t="s" s="133">
        <v>109</v>
      </c>
      <c r="I1827" t="s" s="134">
        <v>109</v>
      </c>
      <c r="J1827" t="s" s="134">
        <v>97</v>
      </c>
      <c r="K1827" t="str" s="135" cm="1">
        <f t="array" ref="K1827">IF(OR(H1827="ריביות",AND(H1827="דירה כצנלסון",G1827&lt;0,ISNUMBER(SEARCH("הכנסה",F1827)))),"הכנסה שסווגה מחדש",J1827)</f>
        <v>שוטף</v>
      </c>
      <c r="L1827" t="s" s="134">
        <v>741</v>
      </c>
      <c r="M1827" s="136" cm="1">
        <f t="array" ref="M1827">IF(L1827="מאושר",IF(K1827="הכנסה שסווגה מחדש",0,G1827),0)</f>
        <v>80</v>
      </c>
      <c r="N1827" s="136" cm="1">
        <f t="array" ref="N1827">IF(K1827="שוטף",M1827,0)</f>
        <v>80</v>
      </c>
      <c r="O1827" s="136" cm="1">
        <f t="array" ref="O1827">IF(K1827="הכנסה שסווגה מחדש",-G1827,0)</f>
        <v>0</v>
      </c>
      <c r="P1827" t="s" s="80">
        <v>842</v>
      </c>
      <c r="Q1827" s="100"/>
      <c r="R1827" t="s" s="137">
        <v>743</v>
      </c>
      <c r="S1827" s="77"/>
    </row>
    <row r="1828" ht="13.65" customHeight="1">
      <c r="A1828" s="84">
        <v>46204</v>
      </c>
      <c r="B1828" t="s" s="85">
        <v>62</v>
      </c>
      <c r="C1828" t="s" s="86">
        <v>1081</v>
      </c>
      <c r="D1828" s="138">
        <v>83</v>
      </c>
      <c r="E1828" t="s" s="85">
        <v>1128</v>
      </c>
      <c r="F1828" t="s" s="86">
        <v>200</v>
      </c>
      <c r="G1828" s="139">
        <v>63</v>
      </c>
      <c r="H1828" t="s" s="140">
        <v>109</v>
      </c>
      <c r="I1828" t="s" s="141">
        <v>109</v>
      </c>
      <c r="J1828" t="s" s="141">
        <v>97</v>
      </c>
      <c r="K1828" t="str" s="142" cm="1">
        <f t="array" ref="K1828">IF(OR(H1828="ריביות",AND(H1828="דירה כצנלסון",G1828&lt;0,ISNUMBER(SEARCH("הכנסה",F1828)))),"הכנסה שסווגה מחדש",J1828)</f>
        <v>שוטף</v>
      </c>
      <c r="L1828" t="s" s="141">
        <v>741</v>
      </c>
      <c r="M1828" s="143" cm="1">
        <f t="array" ref="M1828">IF(L1828="מאושר",IF(K1828="הכנסה שסווגה מחדש",0,G1828),0)</f>
        <v>63</v>
      </c>
      <c r="N1828" s="143" cm="1">
        <f t="array" ref="N1828">IF(K1828="שוטף",M1828,0)</f>
        <v>63</v>
      </c>
      <c r="O1828" s="143" cm="1">
        <f t="array" ref="O1828">IF(K1828="הכנסה שסווגה מחדש",-G1828,0)</f>
        <v>0</v>
      </c>
      <c r="P1828" t="s" s="86">
        <v>842</v>
      </c>
      <c r="Q1828" s="99"/>
      <c r="R1828" t="s" s="144">
        <v>743</v>
      </c>
      <c r="S1828" s="77"/>
    </row>
    <row r="1829" ht="13.65" customHeight="1">
      <c r="A1829" s="78">
        <v>46204</v>
      </c>
      <c r="B1829" t="s" s="79">
        <v>62</v>
      </c>
      <c r="C1829" t="s" s="80">
        <v>1081</v>
      </c>
      <c r="D1829" s="131">
        <v>84</v>
      </c>
      <c r="E1829" t="s" s="79">
        <v>1129</v>
      </c>
      <c r="F1829" t="s" s="80">
        <v>209</v>
      </c>
      <c r="G1829" s="132">
        <v>171</v>
      </c>
      <c r="H1829" t="s" s="133">
        <v>113</v>
      </c>
      <c r="I1829" t="s" s="134">
        <v>113</v>
      </c>
      <c r="J1829" t="s" s="134">
        <v>97</v>
      </c>
      <c r="K1829" t="str" s="135" cm="1">
        <f t="array" ref="K1829">IF(OR(H1829="ריביות",AND(H1829="דירה כצנלסון",G1829&lt;0,ISNUMBER(SEARCH("הכנסה",F1829)))),"הכנסה שסווגה מחדש",J1829)</f>
        <v>שוטף</v>
      </c>
      <c r="L1829" t="s" s="134">
        <v>741</v>
      </c>
      <c r="M1829" s="136" cm="1">
        <f t="array" ref="M1829">IF(L1829="מאושר",IF(K1829="הכנסה שסווגה מחדש",0,G1829),0)</f>
        <v>171</v>
      </c>
      <c r="N1829" s="136" cm="1">
        <f t="array" ref="N1829">IF(K1829="שוטף",M1829,0)</f>
        <v>171</v>
      </c>
      <c r="O1829" s="136" cm="1">
        <f t="array" ref="O1829">IF(K1829="הכנסה שסווגה מחדש",-G1829,0)</f>
        <v>0</v>
      </c>
      <c r="P1829" t="s" s="80">
        <v>842</v>
      </c>
      <c r="Q1829" s="100"/>
      <c r="R1829" t="s" s="137">
        <v>743</v>
      </c>
      <c r="S1829" s="77"/>
    </row>
    <row r="1830" ht="13.65" customHeight="1">
      <c r="A1830" s="84">
        <v>46204</v>
      </c>
      <c r="B1830" t="s" s="85">
        <v>62</v>
      </c>
      <c r="C1830" t="s" s="86">
        <v>1081</v>
      </c>
      <c r="D1830" s="138">
        <v>85</v>
      </c>
      <c r="E1830" t="s" s="85">
        <v>1130</v>
      </c>
      <c r="F1830" t="s" s="86">
        <v>200</v>
      </c>
      <c r="G1830" s="139">
        <v>469</v>
      </c>
      <c r="H1830" t="s" s="140">
        <v>109</v>
      </c>
      <c r="I1830" t="s" s="141">
        <v>109</v>
      </c>
      <c r="J1830" t="s" s="141">
        <v>97</v>
      </c>
      <c r="K1830" t="str" s="142" cm="1">
        <f t="array" ref="K1830">IF(OR(H1830="ריביות",AND(H1830="דירה כצנלסון",G1830&lt;0,ISNUMBER(SEARCH("הכנסה",F1830)))),"הכנסה שסווגה מחדש",J1830)</f>
        <v>שוטף</v>
      </c>
      <c r="L1830" t="s" s="141">
        <v>741</v>
      </c>
      <c r="M1830" s="143" cm="1">
        <f t="array" ref="M1830">IF(L1830="מאושר",IF(K1830="הכנסה שסווגה מחדש",0,G1830),0)</f>
        <v>469</v>
      </c>
      <c r="N1830" s="143" cm="1">
        <f t="array" ref="N1830">IF(K1830="שוטף",M1830,0)</f>
        <v>469</v>
      </c>
      <c r="O1830" s="143" cm="1">
        <f t="array" ref="O1830">IF(K1830="הכנסה שסווגה מחדש",-G1830,0)</f>
        <v>0</v>
      </c>
      <c r="P1830" t="s" s="86">
        <v>842</v>
      </c>
      <c r="Q1830" s="99"/>
      <c r="R1830" t="s" s="144">
        <v>743</v>
      </c>
      <c r="S1830" s="77"/>
    </row>
    <row r="1831" ht="13.65" customHeight="1">
      <c r="A1831" s="78">
        <v>46204</v>
      </c>
      <c r="B1831" t="s" s="79">
        <v>62</v>
      </c>
      <c r="C1831" t="s" s="80">
        <v>1081</v>
      </c>
      <c r="D1831" s="131">
        <v>86</v>
      </c>
      <c r="E1831" t="s" s="79">
        <v>1131</v>
      </c>
      <c r="F1831" t="s" s="80">
        <v>209</v>
      </c>
      <c r="G1831" s="132">
        <v>45</v>
      </c>
      <c r="H1831" t="s" s="133">
        <v>113</v>
      </c>
      <c r="I1831" t="s" s="134">
        <v>113</v>
      </c>
      <c r="J1831" t="s" s="134">
        <v>97</v>
      </c>
      <c r="K1831" t="str" s="135" cm="1">
        <f t="array" ref="K1831">IF(OR(H1831="ריביות",AND(H1831="דירה כצנלסון",G1831&lt;0,ISNUMBER(SEARCH("הכנסה",F1831)))),"הכנסה שסווגה מחדש",J1831)</f>
        <v>שוטף</v>
      </c>
      <c r="L1831" t="s" s="134">
        <v>741</v>
      </c>
      <c r="M1831" s="136" cm="1">
        <f t="array" ref="M1831">IF(L1831="מאושר",IF(K1831="הכנסה שסווגה מחדש",0,G1831),0)</f>
        <v>45</v>
      </c>
      <c r="N1831" s="136" cm="1">
        <f t="array" ref="N1831">IF(K1831="שוטף",M1831,0)</f>
        <v>45</v>
      </c>
      <c r="O1831" s="136" cm="1">
        <f t="array" ref="O1831">IF(K1831="הכנסה שסווגה מחדש",-G1831,0)</f>
        <v>0</v>
      </c>
      <c r="P1831" t="s" s="80">
        <v>842</v>
      </c>
      <c r="Q1831" s="100"/>
      <c r="R1831" t="s" s="137">
        <v>743</v>
      </c>
      <c r="S1831" s="77"/>
    </row>
    <row r="1832" ht="13.65" customHeight="1">
      <c r="A1832" s="84">
        <v>46204</v>
      </c>
      <c r="B1832" t="s" s="85">
        <v>62</v>
      </c>
      <c r="C1832" t="s" s="86">
        <v>1081</v>
      </c>
      <c r="D1832" s="138">
        <v>87</v>
      </c>
      <c r="E1832" t="s" s="85">
        <v>1131</v>
      </c>
      <c r="F1832" t="s" s="85">
        <v>612</v>
      </c>
      <c r="G1832" s="139">
        <v>48</v>
      </c>
      <c r="H1832" t="s" s="140">
        <v>113</v>
      </c>
      <c r="I1832" t="s" s="141">
        <v>113</v>
      </c>
      <c r="J1832" t="s" s="141">
        <v>97</v>
      </c>
      <c r="K1832" t="str" s="142" cm="1">
        <f t="array" ref="K1832">IF(OR(H1832="ריביות",AND(H1832="דירה כצנלסון",G1832&lt;0,ISNUMBER(SEARCH("הכנסה",F1832)))),"הכנסה שסווגה מחדש",J1832)</f>
        <v>שוטף</v>
      </c>
      <c r="L1832" t="s" s="141">
        <v>741</v>
      </c>
      <c r="M1832" s="143" cm="1">
        <f t="array" ref="M1832">IF(L1832="מאושר",IF(K1832="הכנסה שסווגה מחדש",0,G1832),0)</f>
        <v>48</v>
      </c>
      <c r="N1832" s="143" cm="1">
        <f t="array" ref="N1832">IF(K1832="שוטף",M1832,0)</f>
        <v>48</v>
      </c>
      <c r="O1832" s="143" cm="1">
        <f t="array" ref="O1832">IF(K1832="הכנסה שסווגה מחדש",-G1832,0)</f>
        <v>0</v>
      </c>
      <c r="P1832" t="s" s="86">
        <v>842</v>
      </c>
      <c r="Q1832" s="99"/>
      <c r="R1832" t="s" s="144">
        <v>743</v>
      </c>
      <c r="S1832" s="77"/>
    </row>
    <row r="1833" ht="13.65" customHeight="1">
      <c r="A1833" s="78">
        <v>46204</v>
      </c>
      <c r="B1833" t="s" s="79">
        <v>62</v>
      </c>
      <c r="C1833" t="s" s="80">
        <v>1081</v>
      </c>
      <c r="D1833" s="131">
        <v>88</v>
      </c>
      <c r="E1833" t="s" s="79">
        <v>1131</v>
      </c>
      <c r="F1833" t="s" s="80">
        <v>566</v>
      </c>
      <c r="G1833" s="132">
        <v>14</v>
      </c>
      <c r="H1833" t="s" s="133">
        <v>109</v>
      </c>
      <c r="I1833" t="s" s="134">
        <v>109</v>
      </c>
      <c r="J1833" t="s" s="134">
        <v>97</v>
      </c>
      <c r="K1833" t="str" s="135" cm="1">
        <f t="array" ref="K1833">IF(OR(H1833="ריביות",AND(H1833="דירה כצנלסון",G1833&lt;0,ISNUMBER(SEARCH("הכנסה",F1833)))),"הכנסה שסווגה מחדש",J1833)</f>
        <v>שוטף</v>
      </c>
      <c r="L1833" t="s" s="134">
        <v>741</v>
      </c>
      <c r="M1833" s="136" cm="1">
        <f t="array" ref="M1833">IF(L1833="מאושר",IF(K1833="הכנסה שסווגה מחדש",0,G1833),0)</f>
        <v>14</v>
      </c>
      <c r="N1833" s="136" cm="1">
        <f t="array" ref="N1833">IF(K1833="שוטף",M1833,0)</f>
        <v>14</v>
      </c>
      <c r="O1833" s="136" cm="1">
        <f t="array" ref="O1833">IF(K1833="הכנסה שסווגה מחדש",-G1833,0)</f>
        <v>0</v>
      </c>
      <c r="P1833" t="s" s="80">
        <v>842</v>
      </c>
      <c r="Q1833" s="100"/>
      <c r="R1833" t="s" s="137">
        <v>743</v>
      </c>
      <c r="S1833" s="77"/>
    </row>
    <row r="1834" ht="13.65" customHeight="1">
      <c r="A1834" s="84">
        <v>46204</v>
      </c>
      <c r="B1834" t="s" s="85">
        <v>62</v>
      </c>
      <c r="C1834" t="s" s="86">
        <v>1081</v>
      </c>
      <c r="D1834" s="138">
        <v>89</v>
      </c>
      <c r="E1834" t="s" s="85">
        <v>1132</v>
      </c>
      <c r="F1834" t="s" s="86">
        <v>209</v>
      </c>
      <c r="G1834" s="139">
        <v>23</v>
      </c>
      <c r="H1834" t="s" s="140">
        <v>113</v>
      </c>
      <c r="I1834" t="s" s="141">
        <v>113</v>
      </c>
      <c r="J1834" t="s" s="141">
        <v>97</v>
      </c>
      <c r="K1834" t="str" s="142" cm="1">
        <f t="array" ref="K1834">IF(OR(H1834="ריביות",AND(H1834="דירה כצנלסון",G1834&lt;0,ISNUMBER(SEARCH("הכנסה",F1834)))),"הכנסה שסווגה מחדש",J1834)</f>
        <v>שוטף</v>
      </c>
      <c r="L1834" t="s" s="141">
        <v>741</v>
      </c>
      <c r="M1834" s="143" cm="1">
        <f t="array" ref="M1834">IF(L1834="מאושר",IF(K1834="הכנסה שסווגה מחדש",0,G1834),0)</f>
        <v>23</v>
      </c>
      <c r="N1834" s="143" cm="1">
        <f t="array" ref="N1834">IF(K1834="שוטף",M1834,0)</f>
        <v>23</v>
      </c>
      <c r="O1834" s="143" cm="1">
        <f t="array" ref="O1834">IF(K1834="הכנסה שסווגה מחדש",-G1834,0)</f>
        <v>0</v>
      </c>
      <c r="P1834" t="s" s="86">
        <v>842</v>
      </c>
      <c r="Q1834" s="99"/>
      <c r="R1834" t="s" s="144">
        <v>743</v>
      </c>
      <c r="S1834" s="77"/>
    </row>
    <row r="1835" ht="13.65" customHeight="1">
      <c r="A1835" s="78">
        <v>46204</v>
      </c>
      <c r="B1835" t="s" s="79">
        <v>62</v>
      </c>
      <c r="C1835" t="s" s="80">
        <v>1081</v>
      </c>
      <c r="D1835" s="131">
        <v>90</v>
      </c>
      <c r="E1835" t="s" s="79">
        <v>1133</v>
      </c>
      <c r="F1835" t="s" s="80">
        <v>213</v>
      </c>
      <c r="G1835" s="132">
        <v>245</v>
      </c>
      <c r="H1835" t="s" s="133">
        <v>115</v>
      </c>
      <c r="I1835" t="s" s="134">
        <v>115</v>
      </c>
      <c r="J1835" t="s" s="134">
        <v>97</v>
      </c>
      <c r="K1835" t="str" s="135" cm="1">
        <f t="array" ref="K1835">IF(OR(H1835="ריביות",AND(H1835="דירה כצנלסון",G1835&lt;0,ISNUMBER(SEARCH("הכנסה",F1835)))),"הכנסה שסווגה מחדש",J1835)</f>
        <v>שוטף</v>
      </c>
      <c r="L1835" t="s" s="134">
        <v>741</v>
      </c>
      <c r="M1835" s="136" cm="1">
        <f t="array" ref="M1835">IF(L1835="מאושר",IF(K1835="הכנסה שסווגה מחדש",0,G1835),0)</f>
        <v>245</v>
      </c>
      <c r="N1835" s="136" cm="1">
        <f t="array" ref="N1835">IF(K1835="שוטף",M1835,0)</f>
        <v>245</v>
      </c>
      <c r="O1835" s="136" cm="1">
        <f t="array" ref="O1835">IF(K1835="הכנסה שסווגה מחדש",-G1835,0)</f>
        <v>0</v>
      </c>
      <c r="P1835" t="s" s="80">
        <v>842</v>
      </c>
      <c r="Q1835" s="100"/>
      <c r="R1835" t="s" s="137">
        <v>743</v>
      </c>
      <c r="S1835" s="77"/>
    </row>
    <row r="1836" ht="13.65" customHeight="1">
      <c r="A1836" s="84">
        <v>46204</v>
      </c>
      <c r="B1836" t="s" s="85">
        <v>62</v>
      </c>
      <c r="C1836" t="s" s="86">
        <v>1081</v>
      </c>
      <c r="D1836" s="138">
        <v>91</v>
      </c>
      <c r="E1836" t="s" s="85">
        <v>1117</v>
      </c>
      <c r="F1836" t="s" s="86">
        <v>566</v>
      </c>
      <c r="G1836" s="139">
        <v>35</v>
      </c>
      <c r="H1836" t="s" s="140">
        <v>109</v>
      </c>
      <c r="I1836" t="s" s="141">
        <v>109</v>
      </c>
      <c r="J1836" t="s" s="141">
        <v>97</v>
      </c>
      <c r="K1836" t="str" s="142" cm="1">
        <f t="array" ref="K1836">IF(OR(H1836="ריביות",AND(H1836="דירה כצנלסון",G1836&lt;0,ISNUMBER(SEARCH("הכנסה",F1836)))),"הכנסה שסווגה מחדש",J1836)</f>
        <v>שוטף</v>
      </c>
      <c r="L1836" t="s" s="141">
        <v>741</v>
      </c>
      <c r="M1836" s="143" cm="1">
        <f t="array" ref="M1836">IF(L1836="מאושר",IF(K1836="הכנסה שסווגה מחדש",0,G1836),0)</f>
        <v>35</v>
      </c>
      <c r="N1836" s="143" cm="1">
        <f t="array" ref="N1836">IF(K1836="שוטף",M1836,0)</f>
        <v>35</v>
      </c>
      <c r="O1836" s="143" cm="1">
        <f t="array" ref="O1836">IF(K1836="הכנסה שסווגה מחדש",-G1836,0)</f>
        <v>0</v>
      </c>
      <c r="P1836" t="s" s="86">
        <v>842</v>
      </c>
      <c r="Q1836" s="99"/>
      <c r="R1836" t="s" s="144">
        <v>743</v>
      </c>
      <c r="S1836" s="77"/>
    </row>
    <row r="1837" ht="13.65" customHeight="1">
      <c r="A1837" s="78">
        <v>46204</v>
      </c>
      <c r="B1837" t="s" s="79">
        <v>62</v>
      </c>
      <c r="C1837" t="s" s="80">
        <v>1081</v>
      </c>
      <c r="D1837" s="131">
        <v>92</v>
      </c>
      <c r="E1837" t="s" s="79">
        <v>1088</v>
      </c>
      <c r="F1837" t="s" s="80">
        <v>209</v>
      </c>
      <c r="G1837" s="132">
        <v>10</v>
      </c>
      <c r="H1837" t="s" s="133">
        <v>113</v>
      </c>
      <c r="I1837" t="s" s="134">
        <v>113</v>
      </c>
      <c r="J1837" t="s" s="134">
        <v>97</v>
      </c>
      <c r="K1837" t="str" s="135" cm="1">
        <f t="array" ref="K1837">IF(OR(H1837="ריביות",AND(H1837="דירה כצנלסון",G1837&lt;0,ISNUMBER(SEARCH("הכנסה",F1837)))),"הכנסה שסווגה מחדש",J1837)</f>
        <v>שוטף</v>
      </c>
      <c r="L1837" t="s" s="134">
        <v>741</v>
      </c>
      <c r="M1837" s="136" cm="1">
        <f t="array" ref="M1837">IF(L1837="מאושר",IF(K1837="הכנסה שסווגה מחדש",0,G1837),0)</f>
        <v>10</v>
      </c>
      <c r="N1837" s="136" cm="1">
        <f t="array" ref="N1837">IF(K1837="שוטף",M1837,0)</f>
        <v>10</v>
      </c>
      <c r="O1837" s="136" cm="1">
        <f t="array" ref="O1837">IF(K1837="הכנסה שסווגה מחדש",-G1837,0)</f>
        <v>0</v>
      </c>
      <c r="P1837" t="s" s="80">
        <v>842</v>
      </c>
      <c r="Q1837" s="100"/>
      <c r="R1837" t="s" s="137">
        <v>743</v>
      </c>
      <c r="S1837" s="77"/>
    </row>
    <row r="1838" ht="13.65" customHeight="1">
      <c r="A1838" s="84">
        <v>46204</v>
      </c>
      <c r="B1838" t="s" s="85">
        <v>62</v>
      </c>
      <c r="C1838" t="s" s="86">
        <v>1081</v>
      </c>
      <c r="D1838" s="138">
        <v>93</v>
      </c>
      <c r="E1838" t="s" s="85">
        <v>1118</v>
      </c>
      <c r="F1838" t="s" s="86">
        <v>209</v>
      </c>
      <c r="G1838" s="139">
        <v>6</v>
      </c>
      <c r="H1838" t="s" s="140">
        <v>113</v>
      </c>
      <c r="I1838" t="s" s="141">
        <v>113</v>
      </c>
      <c r="J1838" t="s" s="141">
        <v>97</v>
      </c>
      <c r="K1838" t="str" s="142" cm="1">
        <f t="array" ref="K1838">IF(OR(H1838="ריביות",AND(H1838="דירה כצנלסון",G1838&lt;0,ISNUMBER(SEARCH("הכנסה",F1838)))),"הכנסה שסווגה מחדש",J1838)</f>
        <v>שוטף</v>
      </c>
      <c r="L1838" t="s" s="141">
        <v>741</v>
      </c>
      <c r="M1838" s="143" cm="1">
        <f t="array" ref="M1838">IF(L1838="מאושר",IF(K1838="הכנסה שסווגה מחדש",0,G1838),0)</f>
        <v>6</v>
      </c>
      <c r="N1838" s="143" cm="1">
        <f t="array" ref="N1838">IF(K1838="שוטף",M1838,0)</f>
        <v>6</v>
      </c>
      <c r="O1838" s="143" cm="1">
        <f t="array" ref="O1838">IF(K1838="הכנסה שסווגה מחדש",-G1838,0)</f>
        <v>0</v>
      </c>
      <c r="P1838" t="s" s="86">
        <v>842</v>
      </c>
      <c r="Q1838" s="99"/>
      <c r="R1838" t="s" s="144">
        <v>743</v>
      </c>
      <c r="S1838" s="77"/>
    </row>
    <row r="1839" ht="13.65" customHeight="1">
      <c r="A1839" s="78">
        <v>46204</v>
      </c>
      <c r="B1839" t="s" s="79">
        <v>62</v>
      </c>
      <c r="C1839" t="s" s="80">
        <v>1081</v>
      </c>
      <c r="D1839" s="131">
        <v>94</v>
      </c>
      <c r="E1839" t="s" s="79">
        <v>1118</v>
      </c>
      <c r="F1839" t="s" s="80">
        <v>254</v>
      </c>
      <c r="G1839" s="132">
        <v>13</v>
      </c>
      <c r="H1839" t="s" s="133">
        <v>109</v>
      </c>
      <c r="I1839" t="s" s="134">
        <v>109</v>
      </c>
      <c r="J1839" t="s" s="134">
        <v>97</v>
      </c>
      <c r="K1839" t="str" s="135" cm="1">
        <f t="array" ref="K1839">IF(OR(H1839="ריביות",AND(H1839="דירה כצנלסון",G1839&lt;0,ISNUMBER(SEARCH("הכנסה",F1839)))),"הכנסה שסווגה מחדש",J1839)</f>
        <v>שוטף</v>
      </c>
      <c r="L1839" t="s" s="134">
        <v>741</v>
      </c>
      <c r="M1839" s="136" cm="1">
        <f t="array" ref="M1839">IF(L1839="מאושר",IF(K1839="הכנסה שסווגה מחדש",0,G1839),0)</f>
        <v>13</v>
      </c>
      <c r="N1839" s="136" cm="1">
        <f t="array" ref="N1839">IF(K1839="שוטף",M1839,0)</f>
        <v>13</v>
      </c>
      <c r="O1839" s="136" cm="1">
        <f t="array" ref="O1839">IF(K1839="הכנסה שסווגה מחדש",-G1839,0)</f>
        <v>0</v>
      </c>
      <c r="P1839" t="s" s="80">
        <v>842</v>
      </c>
      <c r="Q1839" s="100"/>
      <c r="R1839" t="s" s="137">
        <v>743</v>
      </c>
      <c r="S1839" s="77"/>
    </row>
    <row r="1840" ht="13.65" customHeight="1">
      <c r="A1840" s="84">
        <v>46204</v>
      </c>
      <c r="B1840" t="s" s="85">
        <v>62</v>
      </c>
      <c r="C1840" t="s" s="86">
        <v>1081</v>
      </c>
      <c r="D1840" s="138">
        <v>95</v>
      </c>
      <c r="E1840" t="s" s="85">
        <v>1118</v>
      </c>
      <c r="F1840" t="s" s="86">
        <v>377</v>
      </c>
      <c r="G1840" s="139">
        <v>50</v>
      </c>
      <c r="H1840" t="s" s="140">
        <v>113</v>
      </c>
      <c r="I1840" t="s" s="141">
        <v>113</v>
      </c>
      <c r="J1840" t="s" s="141">
        <v>97</v>
      </c>
      <c r="K1840" t="str" s="142" cm="1">
        <f t="array" ref="K1840">IF(OR(H1840="ריביות",AND(H1840="דירה כצנלסון",G1840&lt;0,ISNUMBER(SEARCH("הכנסה",F1840)))),"הכנסה שסווגה מחדש",J1840)</f>
        <v>שוטף</v>
      </c>
      <c r="L1840" t="s" s="141">
        <v>741</v>
      </c>
      <c r="M1840" s="143" cm="1">
        <f t="array" ref="M1840">IF(L1840="מאושר",IF(K1840="הכנסה שסווגה מחדש",0,G1840),0)</f>
        <v>50</v>
      </c>
      <c r="N1840" s="143" cm="1">
        <f t="array" ref="N1840">IF(K1840="שוטף",M1840,0)</f>
        <v>50</v>
      </c>
      <c r="O1840" s="143" cm="1">
        <f t="array" ref="O1840">IF(K1840="הכנסה שסווגה מחדש",-G1840,0)</f>
        <v>0</v>
      </c>
      <c r="P1840" t="s" s="86">
        <v>842</v>
      </c>
      <c r="Q1840" s="99"/>
      <c r="R1840" t="s" s="144">
        <v>743</v>
      </c>
      <c r="S1840" s="77"/>
    </row>
    <row r="1841" ht="13.65" customHeight="1">
      <c r="A1841" s="78">
        <v>46204</v>
      </c>
      <c r="B1841" t="s" s="79">
        <v>62</v>
      </c>
      <c r="C1841" t="s" s="80">
        <v>1081</v>
      </c>
      <c r="D1841" s="131">
        <v>96</v>
      </c>
      <c r="E1841" t="s" s="79">
        <v>1120</v>
      </c>
      <c r="F1841" t="s" s="80">
        <v>200</v>
      </c>
      <c r="G1841" s="132">
        <v>11</v>
      </c>
      <c r="H1841" t="s" s="133">
        <v>109</v>
      </c>
      <c r="I1841" t="s" s="134">
        <v>109</v>
      </c>
      <c r="J1841" t="s" s="134">
        <v>97</v>
      </c>
      <c r="K1841" t="str" s="135" cm="1">
        <f t="array" ref="K1841">IF(OR(H1841="ריביות",AND(H1841="דירה כצנלסון",G1841&lt;0,ISNUMBER(SEARCH("הכנסה",F1841)))),"הכנסה שסווגה מחדש",J1841)</f>
        <v>שוטף</v>
      </c>
      <c r="L1841" t="s" s="134">
        <v>741</v>
      </c>
      <c r="M1841" s="136" cm="1">
        <f t="array" ref="M1841">IF(L1841="מאושר",IF(K1841="הכנסה שסווגה מחדש",0,G1841),0)</f>
        <v>11</v>
      </c>
      <c r="N1841" s="136" cm="1">
        <f t="array" ref="N1841">IF(K1841="שוטף",M1841,0)</f>
        <v>11</v>
      </c>
      <c r="O1841" s="136" cm="1">
        <f t="array" ref="O1841">IF(K1841="הכנסה שסווגה מחדש",-G1841,0)</f>
        <v>0</v>
      </c>
      <c r="P1841" t="s" s="80">
        <v>842</v>
      </c>
      <c r="Q1841" s="100"/>
      <c r="R1841" t="s" s="137">
        <v>743</v>
      </c>
      <c r="S1841" s="77"/>
    </row>
    <row r="1842" ht="13.65" customHeight="1">
      <c r="A1842" s="84">
        <v>46204</v>
      </c>
      <c r="B1842" t="s" s="85">
        <v>62</v>
      </c>
      <c r="C1842" t="s" s="86">
        <v>1081</v>
      </c>
      <c r="D1842" s="138">
        <v>97</v>
      </c>
      <c r="E1842" t="s" s="85">
        <v>1094</v>
      </c>
      <c r="F1842" t="s" s="86">
        <v>453</v>
      </c>
      <c r="G1842" s="139">
        <v>200</v>
      </c>
      <c r="H1842" t="s" s="140">
        <v>123</v>
      </c>
      <c r="I1842" t="s" s="141">
        <v>123</v>
      </c>
      <c r="J1842" t="s" s="141">
        <v>97</v>
      </c>
      <c r="K1842" t="str" s="142" cm="1">
        <f t="array" ref="K1842">IF(OR(H1842="ריביות",AND(H1842="דירה כצנלסון",G1842&lt;0,ISNUMBER(SEARCH("הכנסה",F1842)))),"הכנסה שסווגה מחדש",J1842)</f>
        <v>שוטף</v>
      </c>
      <c r="L1842" t="s" s="141">
        <v>741</v>
      </c>
      <c r="M1842" s="143" cm="1">
        <f t="array" ref="M1842">IF(L1842="מאושר",IF(K1842="הכנסה שסווגה מחדש",0,G1842),0)</f>
        <v>200</v>
      </c>
      <c r="N1842" s="143" cm="1">
        <f t="array" ref="N1842">IF(K1842="שוטף",M1842,0)</f>
        <v>200</v>
      </c>
      <c r="O1842" s="143" cm="1">
        <f t="array" ref="O1842">IF(K1842="הכנסה שסווגה מחדש",-G1842,0)</f>
        <v>0</v>
      </c>
      <c r="P1842" t="s" s="86">
        <v>842</v>
      </c>
      <c r="Q1842" s="99"/>
      <c r="R1842" t="s" s="144">
        <v>743</v>
      </c>
      <c r="S1842" s="77"/>
    </row>
    <row r="1843" ht="13.65" customHeight="1">
      <c r="A1843" s="78">
        <v>46204</v>
      </c>
      <c r="B1843" t="s" s="79">
        <v>62</v>
      </c>
      <c r="C1843" t="s" s="80">
        <v>1081</v>
      </c>
      <c r="D1843" s="131">
        <v>98</v>
      </c>
      <c r="E1843" t="s" s="79">
        <v>1090</v>
      </c>
      <c r="F1843" t="s" s="80">
        <v>200</v>
      </c>
      <c r="G1843" s="132">
        <v>279</v>
      </c>
      <c r="H1843" t="s" s="133">
        <v>109</v>
      </c>
      <c r="I1843" t="s" s="134">
        <v>109</v>
      </c>
      <c r="J1843" t="s" s="134">
        <v>97</v>
      </c>
      <c r="K1843" t="str" s="135" cm="1">
        <f t="array" ref="K1843">IF(OR(H1843="ריביות",AND(H1843="דירה כצנלסון",G1843&lt;0,ISNUMBER(SEARCH("הכנסה",F1843)))),"הכנסה שסווגה מחדש",J1843)</f>
        <v>שוטף</v>
      </c>
      <c r="L1843" t="s" s="134">
        <v>741</v>
      </c>
      <c r="M1843" s="136" cm="1">
        <f t="array" ref="M1843">IF(L1843="מאושר",IF(K1843="הכנסה שסווגה מחדש",0,G1843),0)</f>
        <v>279</v>
      </c>
      <c r="N1843" s="136" cm="1">
        <f t="array" ref="N1843">IF(K1843="שוטף",M1843,0)</f>
        <v>279</v>
      </c>
      <c r="O1843" s="136" cm="1">
        <f t="array" ref="O1843">IF(K1843="הכנסה שסווגה מחדש",-G1843,0)</f>
        <v>0</v>
      </c>
      <c r="P1843" t="s" s="80">
        <v>1134</v>
      </c>
      <c r="Q1843" s="100"/>
      <c r="R1843" t="s" s="137">
        <v>743</v>
      </c>
      <c r="S1843" s="77"/>
    </row>
    <row r="1844" ht="13.65" customHeight="1">
      <c r="A1844" s="84">
        <v>46204</v>
      </c>
      <c r="B1844" t="s" s="85">
        <v>62</v>
      </c>
      <c r="C1844" t="s" s="86">
        <v>1081</v>
      </c>
      <c r="D1844" s="138">
        <v>99</v>
      </c>
      <c r="E1844" t="s" s="85">
        <v>1089</v>
      </c>
      <c r="F1844" t="s" s="86">
        <v>483</v>
      </c>
      <c r="G1844" s="139">
        <v>149</v>
      </c>
      <c r="H1844" t="s" s="140">
        <v>121</v>
      </c>
      <c r="I1844" t="s" s="141">
        <v>121</v>
      </c>
      <c r="J1844" t="s" s="141">
        <v>97</v>
      </c>
      <c r="K1844" t="str" s="142" cm="1">
        <f t="array" ref="K1844">IF(OR(H1844="ריביות",AND(H1844="דירה כצנלסון",G1844&lt;0,ISNUMBER(SEARCH("הכנסה",F1844)))),"הכנסה שסווגה מחדש",J1844)</f>
        <v>שוטף</v>
      </c>
      <c r="L1844" t="s" s="141">
        <v>741</v>
      </c>
      <c r="M1844" s="143" cm="1">
        <f t="array" ref="M1844">IF(L1844="מאושר",IF(K1844="הכנסה שסווגה מחדש",0,G1844),0)</f>
        <v>149</v>
      </c>
      <c r="N1844" s="143" cm="1">
        <f t="array" ref="N1844">IF(K1844="שוטף",M1844,0)</f>
        <v>149</v>
      </c>
      <c r="O1844" s="143" cm="1">
        <f t="array" ref="O1844">IF(K1844="הכנסה שסווגה מחדש",-G1844,0)</f>
        <v>0</v>
      </c>
      <c r="P1844" t="s" s="86">
        <v>983</v>
      </c>
      <c r="Q1844" s="99"/>
      <c r="R1844" t="s" s="144">
        <v>743</v>
      </c>
      <c r="S1844" s="77"/>
    </row>
    <row r="1845" ht="13.65" customHeight="1">
      <c r="A1845" s="78">
        <v>46204</v>
      </c>
      <c r="B1845" t="s" s="79">
        <v>62</v>
      </c>
      <c r="C1845" t="s" s="80">
        <v>1081</v>
      </c>
      <c r="D1845" s="131">
        <v>100</v>
      </c>
      <c r="E1845" t="s" s="79">
        <v>1097</v>
      </c>
      <c r="F1845" t="s" s="80">
        <v>619</v>
      </c>
      <c r="G1845" s="132">
        <v>45</v>
      </c>
      <c r="H1845" t="s" s="133">
        <v>113</v>
      </c>
      <c r="I1845" t="s" s="134">
        <v>113</v>
      </c>
      <c r="J1845" t="s" s="134">
        <v>97</v>
      </c>
      <c r="K1845" t="str" s="135" cm="1">
        <f t="array" ref="K1845">IF(OR(H1845="ריביות",AND(H1845="דירה כצנלסון",G1845&lt;0,ISNUMBER(SEARCH("הכנסה",F1845)))),"הכנסה שסווגה מחדש",J1845)</f>
        <v>שוטף</v>
      </c>
      <c r="L1845" t="s" s="134">
        <v>741</v>
      </c>
      <c r="M1845" s="136" cm="1">
        <f t="array" ref="M1845">IF(L1845="מאושר",IF(K1845="הכנסה שסווגה מחדש",0,G1845),0)</f>
        <v>45</v>
      </c>
      <c r="N1845" s="136" cm="1">
        <f t="array" ref="N1845">IF(K1845="שוטף",M1845,0)</f>
        <v>45</v>
      </c>
      <c r="O1845" s="136" cm="1">
        <f t="array" ref="O1845">IF(K1845="הכנסה שסווגה מחדש",-G1845,0)</f>
        <v>0</v>
      </c>
      <c r="P1845" t="s" s="79">
        <v>879</v>
      </c>
      <c r="Q1845" s="100"/>
      <c r="R1845" t="s" s="137">
        <v>743</v>
      </c>
      <c r="S1845" s="77"/>
    </row>
    <row r="1846" ht="13.65" customHeight="1">
      <c r="A1846" s="84">
        <v>46204</v>
      </c>
      <c r="B1846" t="s" s="85">
        <v>62</v>
      </c>
      <c r="C1846" t="s" s="86">
        <v>1081</v>
      </c>
      <c r="D1846" s="138">
        <v>101</v>
      </c>
      <c r="E1846" t="s" s="85">
        <v>1135</v>
      </c>
      <c r="F1846" t="s" s="86">
        <v>600</v>
      </c>
      <c r="G1846" s="139">
        <v>35</v>
      </c>
      <c r="H1846" t="s" s="140">
        <v>117</v>
      </c>
      <c r="I1846" t="s" s="141">
        <v>117</v>
      </c>
      <c r="J1846" t="s" s="141">
        <v>97</v>
      </c>
      <c r="K1846" t="str" s="142" cm="1">
        <f t="array" ref="K1846">IF(OR(H1846="ריביות",AND(H1846="דירה כצנלסון",G1846&lt;0,ISNUMBER(SEARCH("הכנסה",F1846)))),"הכנסה שסווגה מחדש",J1846)</f>
        <v>שוטף</v>
      </c>
      <c r="L1846" t="s" s="141">
        <v>741</v>
      </c>
      <c r="M1846" s="143" cm="1">
        <f t="array" ref="M1846">IF(L1846="מאושר",IF(K1846="הכנסה שסווגה מחדש",0,G1846),0)</f>
        <v>35</v>
      </c>
      <c r="N1846" s="143" cm="1">
        <f t="array" ref="N1846">IF(K1846="שוטף",M1846,0)</f>
        <v>35</v>
      </c>
      <c r="O1846" s="143" cm="1">
        <f t="array" ref="O1846">IF(K1846="הכנסה שסווגה מחדש",-G1846,0)</f>
        <v>0</v>
      </c>
      <c r="P1846" t="s" s="85">
        <v>879</v>
      </c>
      <c r="Q1846" s="99"/>
      <c r="R1846" t="s" s="144">
        <v>743</v>
      </c>
      <c r="S1846" s="77"/>
    </row>
    <row r="1847" ht="13.65" customHeight="1">
      <c r="A1847" s="78">
        <v>46204</v>
      </c>
      <c r="B1847" t="s" s="79">
        <v>62</v>
      </c>
      <c r="C1847" t="s" s="80">
        <v>1081</v>
      </c>
      <c r="D1847" s="131">
        <v>102</v>
      </c>
      <c r="E1847" t="s" s="79">
        <v>1094</v>
      </c>
      <c r="F1847" t="s" s="80">
        <v>277</v>
      </c>
      <c r="G1847" s="132">
        <v>65</v>
      </c>
      <c r="H1847" t="s" s="133">
        <v>115</v>
      </c>
      <c r="I1847" t="s" s="134">
        <v>115</v>
      </c>
      <c r="J1847" t="s" s="134">
        <v>97</v>
      </c>
      <c r="K1847" t="str" s="135" cm="1">
        <f t="array" ref="K1847">IF(OR(H1847="ריביות",AND(H1847="דירה כצנלסון",G1847&lt;0,ISNUMBER(SEARCH("הכנסה",F1847)))),"הכנסה שסווגה מחדש",J1847)</f>
        <v>שוטף</v>
      </c>
      <c r="L1847" t="s" s="134">
        <v>741</v>
      </c>
      <c r="M1847" s="136" cm="1">
        <f t="array" ref="M1847">IF(L1847="מאושר",IF(K1847="הכנסה שסווגה מחדש",0,G1847),0)</f>
        <v>65</v>
      </c>
      <c r="N1847" s="136" cm="1">
        <f t="array" ref="N1847">IF(K1847="שוטף",M1847,0)</f>
        <v>65</v>
      </c>
      <c r="O1847" s="136" cm="1">
        <f t="array" ref="O1847">IF(K1847="הכנסה שסווגה מחדש",-G1847,0)</f>
        <v>0</v>
      </c>
      <c r="P1847" t="s" s="79">
        <v>879</v>
      </c>
      <c r="Q1847" s="100"/>
      <c r="R1847" t="s" s="137">
        <v>743</v>
      </c>
      <c r="S1847" s="77"/>
    </row>
    <row r="1848" ht="13.65" customHeight="1">
      <c r="A1848" s="84">
        <v>46204</v>
      </c>
      <c r="B1848" t="s" s="85">
        <v>62</v>
      </c>
      <c r="C1848" t="s" s="86">
        <v>1081</v>
      </c>
      <c r="D1848" s="138">
        <v>103</v>
      </c>
      <c r="E1848" t="s" s="85">
        <v>1136</v>
      </c>
      <c r="F1848" t="s" s="86">
        <v>540</v>
      </c>
      <c r="G1848" s="139">
        <v>90</v>
      </c>
      <c r="H1848" t="s" s="140">
        <v>123</v>
      </c>
      <c r="I1848" t="s" s="141">
        <v>123</v>
      </c>
      <c r="J1848" t="s" s="141">
        <v>97</v>
      </c>
      <c r="K1848" t="str" s="142" cm="1">
        <f t="array" ref="K1848">IF(OR(H1848="ריביות",AND(H1848="דירה כצנלסון",G1848&lt;0,ISNUMBER(SEARCH("הכנסה",F1848)))),"הכנסה שסווגה מחדש",J1848)</f>
        <v>שוטף</v>
      </c>
      <c r="L1848" t="s" s="141">
        <v>741</v>
      </c>
      <c r="M1848" s="143" cm="1">
        <f t="array" ref="M1848">IF(L1848="מאושר",IF(K1848="הכנסה שסווגה מחדש",0,G1848),0)</f>
        <v>90</v>
      </c>
      <c r="N1848" s="143" cm="1">
        <f t="array" ref="N1848">IF(K1848="שוטף",M1848,0)</f>
        <v>90</v>
      </c>
      <c r="O1848" s="143" cm="1">
        <f t="array" ref="O1848">IF(K1848="הכנסה שסווגה מחדש",-G1848,0)</f>
        <v>0</v>
      </c>
      <c r="P1848" t="s" s="85">
        <v>879</v>
      </c>
      <c r="Q1848" s="99"/>
      <c r="R1848" t="s" s="144">
        <v>743</v>
      </c>
      <c r="S1848" s="77"/>
    </row>
    <row r="1849" ht="13.65" customHeight="1">
      <c r="A1849" s="78">
        <v>46204</v>
      </c>
      <c r="B1849" t="s" s="79">
        <v>62</v>
      </c>
      <c r="C1849" t="s" s="80">
        <v>1081</v>
      </c>
      <c r="D1849" s="131">
        <v>104</v>
      </c>
      <c r="E1849" t="s" s="79">
        <v>1123</v>
      </c>
      <c r="F1849" t="s" s="80">
        <v>209</v>
      </c>
      <c r="G1849" s="132">
        <v>71</v>
      </c>
      <c r="H1849" t="s" s="133">
        <v>113</v>
      </c>
      <c r="I1849" t="s" s="134">
        <v>113</v>
      </c>
      <c r="J1849" t="s" s="134">
        <v>97</v>
      </c>
      <c r="K1849" t="str" s="135" cm="1">
        <f t="array" ref="K1849">IF(OR(H1849="ריביות",AND(H1849="דירה כצנלסון",G1849&lt;0,ISNUMBER(SEARCH("הכנסה",F1849)))),"הכנסה שסווגה מחדש",J1849)</f>
        <v>שוטף</v>
      </c>
      <c r="L1849" t="s" s="134">
        <v>741</v>
      </c>
      <c r="M1849" s="136" cm="1">
        <f t="array" ref="M1849">IF(L1849="מאושר",IF(K1849="הכנסה שסווגה מחדש",0,G1849),0)</f>
        <v>71</v>
      </c>
      <c r="N1849" s="136" cm="1">
        <f t="array" ref="N1849">IF(K1849="שוטף",M1849,0)</f>
        <v>71</v>
      </c>
      <c r="O1849" s="136" cm="1">
        <f t="array" ref="O1849">IF(K1849="הכנסה שסווגה מחדש",-G1849,0)</f>
        <v>0</v>
      </c>
      <c r="P1849" t="s" s="80">
        <v>890</v>
      </c>
      <c r="Q1849" s="100"/>
      <c r="R1849" t="s" s="137">
        <v>743</v>
      </c>
      <c r="S1849" s="77"/>
    </row>
    <row r="1850" ht="13.65" customHeight="1">
      <c r="A1850" s="84">
        <v>46204</v>
      </c>
      <c r="B1850" t="s" s="85">
        <v>62</v>
      </c>
      <c r="C1850" t="s" s="86">
        <v>1081</v>
      </c>
      <c r="D1850" s="138">
        <v>105</v>
      </c>
      <c r="E1850" t="s" s="85">
        <v>1137</v>
      </c>
      <c r="F1850" t="s" s="86">
        <v>231</v>
      </c>
      <c r="G1850" s="139">
        <v>97</v>
      </c>
      <c r="H1850" t="s" s="140">
        <v>113</v>
      </c>
      <c r="I1850" t="s" s="141">
        <v>113</v>
      </c>
      <c r="J1850" t="s" s="141">
        <v>97</v>
      </c>
      <c r="K1850" t="str" s="142" cm="1">
        <f t="array" ref="K1850">IF(OR(H1850="ריביות",AND(H1850="דירה כצנלסון",G1850&lt;0,ISNUMBER(SEARCH("הכנסה",F1850)))),"הכנסה שסווגה מחדש",J1850)</f>
        <v>שוטף</v>
      </c>
      <c r="L1850" t="s" s="141">
        <v>741</v>
      </c>
      <c r="M1850" s="143" cm="1">
        <f t="array" ref="M1850">IF(L1850="מאושר",IF(K1850="הכנסה שסווגה מחדש",0,G1850),0)</f>
        <v>97</v>
      </c>
      <c r="N1850" s="143" cm="1">
        <f t="array" ref="N1850">IF(K1850="שוטף",M1850,0)</f>
        <v>97</v>
      </c>
      <c r="O1850" s="143" cm="1">
        <f t="array" ref="O1850">IF(K1850="הכנסה שסווגה מחדש",-G1850,0)</f>
        <v>0</v>
      </c>
      <c r="P1850" t="s" s="86">
        <v>890</v>
      </c>
      <c r="Q1850" s="99"/>
      <c r="R1850" t="s" s="144">
        <v>743</v>
      </c>
      <c r="S1850" s="77"/>
    </row>
    <row r="1851" ht="13.65" customHeight="1">
      <c r="A1851" s="78">
        <v>46204</v>
      </c>
      <c r="B1851" t="s" s="79">
        <v>62</v>
      </c>
      <c r="C1851" t="s" s="80">
        <v>1081</v>
      </c>
      <c r="D1851" s="131">
        <v>106</v>
      </c>
      <c r="E1851" t="s" s="79">
        <v>1107</v>
      </c>
      <c r="F1851" t="s" s="80">
        <v>200</v>
      </c>
      <c r="G1851" s="132">
        <v>67</v>
      </c>
      <c r="H1851" t="s" s="133">
        <v>109</v>
      </c>
      <c r="I1851" t="s" s="134">
        <v>109</v>
      </c>
      <c r="J1851" t="s" s="134">
        <v>97</v>
      </c>
      <c r="K1851" t="str" s="135" cm="1">
        <f t="array" ref="K1851">IF(OR(H1851="ריביות",AND(H1851="דירה כצנלסון",G1851&lt;0,ISNUMBER(SEARCH("הכנסה",F1851)))),"הכנסה שסווגה מחדש",J1851)</f>
        <v>שוטף</v>
      </c>
      <c r="L1851" t="s" s="134">
        <v>741</v>
      </c>
      <c r="M1851" s="136" cm="1">
        <f t="array" ref="M1851">IF(L1851="מאושר",IF(K1851="הכנסה שסווגה מחדש",0,G1851),0)</f>
        <v>67</v>
      </c>
      <c r="N1851" s="136" cm="1">
        <f t="array" ref="N1851">IF(K1851="שוטף",M1851,0)</f>
        <v>67</v>
      </c>
      <c r="O1851" s="136" cm="1">
        <f t="array" ref="O1851">IF(K1851="הכנסה שסווגה מחדש",-G1851,0)</f>
        <v>0</v>
      </c>
      <c r="P1851" t="s" s="80">
        <v>890</v>
      </c>
      <c r="Q1851" s="100"/>
      <c r="R1851" t="s" s="137">
        <v>743</v>
      </c>
      <c r="S1851" s="77"/>
    </row>
    <row r="1852" ht="13.65" customHeight="1">
      <c r="A1852" s="84">
        <v>46204</v>
      </c>
      <c r="B1852" t="s" s="85">
        <v>62</v>
      </c>
      <c r="C1852" t="s" s="86">
        <v>1081</v>
      </c>
      <c r="D1852" s="138">
        <v>107</v>
      </c>
      <c r="E1852" t="s" s="85">
        <v>1138</v>
      </c>
      <c r="F1852" t="s" s="86">
        <v>231</v>
      </c>
      <c r="G1852" s="139">
        <v>25</v>
      </c>
      <c r="H1852" t="s" s="140">
        <v>113</v>
      </c>
      <c r="I1852" t="s" s="141">
        <v>113</v>
      </c>
      <c r="J1852" t="s" s="141">
        <v>97</v>
      </c>
      <c r="K1852" t="str" s="142" cm="1">
        <f t="array" ref="K1852">IF(OR(H1852="ריביות",AND(H1852="דירה כצנלסון",G1852&lt;0,ISNUMBER(SEARCH("הכנסה",F1852)))),"הכנסה שסווגה מחדש",J1852)</f>
        <v>שוטף</v>
      </c>
      <c r="L1852" t="s" s="141">
        <v>741</v>
      </c>
      <c r="M1852" s="143" cm="1">
        <f t="array" ref="M1852">IF(L1852="מאושר",IF(K1852="הכנסה שסווגה מחדש",0,G1852),0)</f>
        <v>25</v>
      </c>
      <c r="N1852" s="143" cm="1">
        <f t="array" ref="N1852">IF(K1852="שוטף",M1852,0)</f>
        <v>25</v>
      </c>
      <c r="O1852" s="143" cm="1">
        <f t="array" ref="O1852">IF(K1852="הכנסה שסווגה מחדש",-G1852,0)</f>
        <v>0</v>
      </c>
      <c r="P1852" t="s" s="86">
        <v>890</v>
      </c>
      <c r="Q1852" s="99"/>
      <c r="R1852" t="s" s="144">
        <v>743</v>
      </c>
      <c r="S1852" s="77"/>
    </row>
    <row r="1853" ht="13.65" customHeight="1">
      <c r="A1853" s="78">
        <v>46204</v>
      </c>
      <c r="B1853" t="s" s="79">
        <v>62</v>
      </c>
      <c r="C1853" t="s" s="80">
        <v>1081</v>
      </c>
      <c r="D1853" s="131">
        <v>108</v>
      </c>
      <c r="E1853" t="s" s="79">
        <v>1139</v>
      </c>
      <c r="F1853" t="s" s="80">
        <v>200</v>
      </c>
      <c r="G1853" s="132">
        <v>55</v>
      </c>
      <c r="H1853" t="s" s="133">
        <v>109</v>
      </c>
      <c r="I1853" t="s" s="134">
        <v>109</v>
      </c>
      <c r="J1853" t="s" s="134">
        <v>97</v>
      </c>
      <c r="K1853" t="str" s="135" cm="1">
        <f t="array" ref="K1853">IF(OR(H1853="ריביות",AND(H1853="דירה כצנלסון",G1853&lt;0,ISNUMBER(SEARCH("הכנסה",F1853)))),"הכנסה שסווגה מחדש",J1853)</f>
        <v>שוטף</v>
      </c>
      <c r="L1853" t="s" s="134">
        <v>741</v>
      </c>
      <c r="M1853" s="136" cm="1">
        <f t="array" ref="M1853">IF(L1853="מאושר",IF(K1853="הכנסה שסווגה מחדש",0,G1853),0)</f>
        <v>55</v>
      </c>
      <c r="N1853" s="136" cm="1">
        <f t="array" ref="N1853">IF(K1853="שוטף",M1853,0)</f>
        <v>55</v>
      </c>
      <c r="O1853" s="136" cm="1">
        <f t="array" ref="O1853">IF(K1853="הכנסה שסווגה מחדש",-G1853,0)</f>
        <v>0</v>
      </c>
      <c r="P1853" t="s" s="80">
        <v>890</v>
      </c>
      <c r="Q1853" s="100"/>
      <c r="R1853" t="s" s="137">
        <v>743</v>
      </c>
      <c r="S1853" s="77"/>
    </row>
    <row r="1854" ht="13.65" customHeight="1">
      <c r="A1854" s="84">
        <v>46204</v>
      </c>
      <c r="B1854" t="s" s="85">
        <v>62</v>
      </c>
      <c r="C1854" t="s" s="86">
        <v>1081</v>
      </c>
      <c r="D1854" s="138">
        <v>109</v>
      </c>
      <c r="E1854" t="s" s="85">
        <v>1111</v>
      </c>
      <c r="F1854" t="s" s="86">
        <v>200</v>
      </c>
      <c r="G1854" s="139">
        <v>48</v>
      </c>
      <c r="H1854" t="s" s="140">
        <v>109</v>
      </c>
      <c r="I1854" t="s" s="141">
        <v>109</v>
      </c>
      <c r="J1854" t="s" s="141">
        <v>97</v>
      </c>
      <c r="K1854" t="str" s="142" cm="1">
        <f t="array" ref="K1854">IF(OR(H1854="ריביות",AND(H1854="דירה כצנלסון",G1854&lt;0,ISNUMBER(SEARCH("הכנסה",F1854)))),"הכנסה שסווגה מחדש",J1854)</f>
        <v>שוטף</v>
      </c>
      <c r="L1854" t="s" s="141">
        <v>741</v>
      </c>
      <c r="M1854" s="143" cm="1">
        <f t="array" ref="M1854">IF(L1854="מאושר",IF(K1854="הכנסה שסווגה מחדש",0,G1854),0)</f>
        <v>48</v>
      </c>
      <c r="N1854" s="143" cm="1">
        <f t="array" ref="N1854">IF(K1854="שוטף",M1854,0)</f>
        <v>48</v>
      </c>
      <c r="O1854" s="143" cm="1">
        <f t="array" ref="O1854">IF(K1854="הכנסה שסווגה מחדש",-G1854,0)</f>
        <v>0</v>
      </c>
      <c r="P1854" t="s" s="86">
        <v>890</v>
      </c>
      <c r="Q1854" s="99"/>
      <c r="R1854" t="s" s="144">
        <v>743</v>
      </c>
      <c r="S1854" s="77"/>
    </row>
    <row r="1855" ht="13.65" customHeight="1">
      <c r="A1855" s="78">
        <v>46204</v>
      </c>
      <c r="B1855" t="s" s="79">
        <v>62</v>
      </c>
      <c r="C1855" t="s" s="80">
        <v>1081</v>
      </c>
      <c r="D1855" s="131">
        <v>110</v>
      </c>
      <c r="E1855" t="s" s="79">
        <v>1129</v>
      </c>
      <c r="F1855" t="s" s="80">
        <v>209</v>
      </c>
      <c r="G1855" s="132">
        <v>73</v>
      </c>
      <c r="H1855" t="s" s="133">
        <v>113</v>
      </c>
      <c r="I1855" t="s" s="134">
        <v>113</v>
      </c>
      <c r="J1855" t="s" s="134">
        <v>97</v>
      </c>
      <c r="K1855" t="str" s="135" cm="1">
        <f t="array" ref="K1855">IF(OR(H1855="ריביות",AND(H1855="דירה כצנלסון",G1855&lt;0,ISNUMBER(SEARCH("הכנסה",F1855)))),"הכנסה שסווגה מחדש",J1855)</f>
        <v>שוטף</v>
      </c>
      <c r="L1855" t="s" s="134">
        <v>741</v>
      </c>
      <c r="M1855" s="136" cm="1">
        <f t="array" ref="M1855">IF(L1855="מאושר",IF(K1855="הכנסה שסווגה מחדש",0,G1855),0)</f>
        <v>73</v>
      </c>
      <c r="N1855" s="136" cm="1">
        <f t="array" ref="N1855">IF(K1855="שוטף",M1855,0)</f>
        <v>73</v>
      </c>
      <c r="O1855" s="136" cm="1">
        <f t="array" ref="O1855">IF(K1855="הכנסה שסווגה מחדש",-G1855,0)</f>
        <v>0</v>
      </c>
      <c r="P1855" t="s" s="80">
        <v>890</v>
      </c>
      <c r="Q1855" s="100"/>
      <c r="R1855" t="s" s="137">
        <v>743</v>
      </c>
      <c r="S1855" s="77"/>
    </row>
    <row r="1856" ht="13.65" customHeight="1">
      <c r="A1856" s="84">
        <v>46204</v>
      </c>
      <c r="B1856" t="s" s="85">
        <v>62</v>
      </c>
      <c r="C1856" t="s" s="86">
        <v>1081</v>
      </c>
      <c r="D1856" s="138">
        <v>111</v>
      </c>
      <c r="E1856" t="s" s="85">
        <v>1131</v>
      </c>
      <c r="F1856" t="s" s="86">
        <v>209</v>
      </c>
      <c r="G1856" s="139">
        <v>31</v>
      </c>
      <c r="H1856" t="s" s="140">
        <v>113</v>
      </c>
      <c r="I1856" t="s" s="141">
        <v>113</v>
      </c>
      <c r="J1856" t="s" s="141">
        <v>97</v>
      </c>
      <c r="K1856" t="str" s="142" cm="1">
        <f t="array" ref="K1856">IF(OR(H1856="ריביות",AND(H1856="דירה כצנלסון",G1856&lt;0,ISNUMBER(SEARCH("הכנסה",F1856)))),"הכנסה שסווגה מחדש",J1856)</f>
        <v>שוטף</v>
      </c>
      <c r="L1856" t="s" s="141">
        <v>741</v>
      </c>
      <c r="M1856" s="143" cm="1">
        <f t="array" ref="M1856">IF(L1856="מאושר",IF(K1856="הכנסה שסווגה מחדש",0,G1856),0)</f>
        <v>31</v>
      </c>
      <c r="N1856" s="143" cm="1">
        <f t="array" ref="N1856">IF(K1856="שוטף",M1856,0)</f>
        <v>31</v>
      </c>
      <c r="O1856" s="143" cm="1">
        <f t="array" ref="O1856">IF(K1856="הכנסה שסווגה מחדש",-G1856,0)</f>
        <v>0</v>
      </c>
      <c r="P1856" t="s" s="86">
        <v>890</v>
      </c>
      <c r="Q1856" s="99"/>
      <c r="R1856" t="s" s="144">
        <v>743</v>
      </c>
      <c r="S1856" s="77"/>
    </row>
    <row r="1857" ht="13.65" customHeight="1">
      <c r="A1857" s="78">
        <v>46204</v>
      </c>
      <c r="B1857" t="s" s="79">
        <v>62</v>
      </c>
      <c r="C1857" t="s" s="80">
        <v>1081</v>
      </c>
      <c r="D1857" s="131">
        <v>112</v>
      </c>
      <c r="E1857" t="s" s="79">
        <v>1131</v>
      </c>
      <c r="F1857" t="s" s="80">
        <v>308</v>
      </c>
      <c r="G1857" s="132">
        <v>42</v>
      </c>
      <c r="H1857" t="s" s="133">
        <v>113</v>
      </c>
      <c r="I1857" t="s" s="134">
        <v>113</v>
      </c>
      <c r="J1857" t="s" s="134">
        <v>97</v>
      </c>
      <c r="K1857" t="str" s="135" cm="1">
        <f t="array" ref="K1857">IF(OR(H1857="ריביות",AND(H1857="דירה כצנלסון",G1857&lt;0,ISNUMBER(SEARCH("הכנסה",F1857)))),"הכנסה שסווגה מחדש",J1857)</f>
        <v>שוטף</v>
      </c>
      <c r="L1857" t="s" s="134">
        <v>741</v>
      </c>
      <c r="M1857" s="136" cm="1">
        <f t="array" ref="M1857">IF(L1857="מאושר",IF(K1857="הכנסה שסווגה מחדש",0,G1857),0)</f>
        <v>42</v>
      </c>
      <c r="N1857" s="136" cm="1">
        <f t="array" ref="N1857">IF(K1857="שוטף",M1857,0)</f>
        <v>42</v>
      </c>
      <c r="O1857" s="136" cm="1">
        <f t="array" ref="O1857">IF(K1857="הכנסה שסווגה מחדש",-G1857,0)</f>
        <v>0</v>
      </c>
      <c r="P1857" t="s" s="80">
        <v>890</v>
      </c>
      <c r="Q1857" s="100"/>
      <c r="R1857" t="s" s="137">
        <v>743</v>
      </c>
      <c r="S1857" s="77"/>
    </row>
    <row r="1858" ht="13.65" customHeight="1">
      <c r="A1858" s="84">
        <v>46204</v>
      </c>
      <c r="B1858" t="s" s="85">
        <v>62</v>
      </c>
      <c r="C1858" t="s" s="86">
        <v>1081</v>
      </c>
      <c r="D1858" s="138">
        <v>113</v>
      </c>
      <c r="E1858" t="s" s="85">
        <v>1140</v>
      </c>
      <c r="F1858" t="s" s="86">
        <v>200</v>
      </c>
      <c r="G1858" s="139">
        <v>19</v>
      </c>
      <c r="H1858" t="s" s="140">
        <v>109</v>
      </c>
      <c r="I1858" t="s" s="141">
        <v>109</v>
      </c>
      <c r="J1858" t="s" s="141">
        <v>97</v>
      </c>
      <c r="K1858" t="str" s="142" cm="1">
        <f t="array" ref="K1858">IF(OR(H1858="ריביות",AND(H1858="דירה כצנלסון",G1858&lt;0,ISNUMBER(SEARCH("הכנסה",F1858)))),"הכנסה שסווגה מחדש",J1858)</f>
        <v>שוטף</v>
      </c>
      <c r="L1858" t="s" s="141">
        <v>741</v>
      </c>
      <c r="M1858" s="143" cm="1">
        <f t="array" ref="M1858">IF(L1858="מאושר",IF(K1858="הכנסה שסווגה מחדש",0,G1858),0)</f>
        <v>19</v>
      </c>
      <c r="N1858" s="143" cm="1">
        <f t="array" ref="N1858">IF(K1858="שוטף",M1858,0)</f>
        <v>19</v>
      </c>
      <c r="O1858" s="143" cm="1">
        <f t="array" ref="O1858">IF(K1858="הכנסה שסווגה מחדש",-G1858,0)</f>
        <v>0</v>
      </c>
      <c r="P1858" t="s" s="86">
        <v>890</v>
      </c>
      <c r="Q1858" s="99"/>
      <c r="R1858" t="s" s="144">
        <v>743</v>
      </c>
      <c r="S1858" s="77"/>
    </row>
    <row r="1859" ht="13.65" customHeight="1">
      <c r="A1859" s="78">
        <v>46204</v>
      </c>
      <c r="B1859" t="s" s="79">
        <v>62</v>
      </c>
      <c r="C1859" t="s" s="80">
        <v>1081</v>
      </c>
      <c r="D1859" s="131">
        <v>114</v>
      </c>
      <c r="E1859" t="s" s="79">
        <v>1087</v>
      </c>
      <c r="F1859" t="s" s="80">
        <v>209</v>
      </c>
      <c r="G1859" s="132">
        <v>71</v>
      </c>
      <c r="H1859" t="s" s="133">
        <v>113</v>
      </c>
      <c r="I1859" t="s" s="134">
        <v>113</v>
      </c>
      <c r="J1859" t="s" s="134">
        <v>97</v>
      </c>
      <c r="K1859" t="str" s="135" cm="1">
        <f t="array" ref="K1859">IF(OR(H1859="ריביות",AND(H1859="דירה כצנלסון",G1859&lt;0,ISNUMBER(SEARCH("הכנסה",F1859)))),"הכנסה שסווגה מחדש",J1859)</f>
        <v>שוטף</v>
      </c>
      <c r="L1859" t="s" s="134">
        <v>741</v>
      </c>
      <c r="M1859" s="136" cm="1">
        <f t="array" ref="M1859">IF(L1859="מאושר",IF(K1859="הכנסה שסווגה מחדש",0,G1859),0)</f>
        <v>71</v>
      </c>
      <c r="N1859" s="136" cm="1">
        <f t="array" ref="N1859">IF(K1859="שוטף",M1859,0)</f>
        <v>71</v>
      </c>
      <c r="O1859" s="136" cm="1">
        <f t="array" ref="O1859">IF(K1859="הכנסה שסווגה מחדש",-G1859,0)</f>
        <v>0</v>
      </c>
      <c r="P1859" t="s" s="80">
        <v>890</v>
      </c>
      <c r="Q1859" s="100"/>
      <c r="R1859" t="s" s="137">
        <v>743</v>
      </c>
      <c r="S1859" s="77"/>
    </row>
    <row r="1860" ht="13.65" customHeight="1">
      <c r="A1860" s="84">
        <v>46204</v>
      </c>
      <c r="B1860" t="s" s="85">
        <v>62</v>
      </c>
      <c r="C1860" t="s" s="86">
        <v>1081</v>
      </c>
      <c r="D1860" s="138">
        <v>115</v>
      </c>
      <c r="E1860" t="s" s="85">
        <v>1117</v>
      </c>
      <c r="F1860" t="s" s="86">
        <v>200</v>
      </c>
      <c r="G1860" s="139">
        <v>59</v>
      </c>
      <c r="H1860" t="s" s="140">
        <v>109</v>
      </c>
      <c r="I1860" t="s" s="141">
        <v>109</v>
      </c>
      <c r="J1860" t="s" s="141">
        <v>97</v>
      </c>
      <c r="K1860" t="str" s="142" cm="1">
        <f t="array" ref="K1860">IF(OR(H1860="ריביות",AND(H1860="דירה כצנלסון",G1860&lt;0,ISNUMBER(SEARCH("הכנסה",F1860)))),"הכנסה שסווגה מחדש",J1860)</f>
        <v>שוטף</v>
      </c>
      <c r="L1860" t="s" s="141">
        <v>741</v>
      </c>
      <c r="M1860" s="143" cm="1">
        <f t="array" ref="M1860">IF(L1860="מאושר",IF(K1860="הכנסה שסווגה מחדש",0,G1860),0)</f>
        <v>59</v>
      </c>
      <c r="N1860" s="143" cm="1">
        <f t="array" ref="N1860">IF(K1860="שוטף",M1860,0)</f>
        <v>59</v>
      </c>
      <c r="O1860" s="143" cm="1">
        <f t="array" ref="O1860">IF(K1860="הכנסה שסווגה מחדש",-G1860,0)</f>
        <v>0</v>
      </c>
      <c r="P1860" t="s" s="86">
        <v>890</v>
      </c>
      <c r="Q1860" s="99"/>
      <c r="R1860" t="s" s="144">
        <v>743</v>
      </c>
      <c r="S1860" s="77"/>
    </row>
    <row r="1861" ht="13.65" customHeight="1">
      <c r="A1861" s="78">
        <v>46204</v>
      </c>
      <c r="B1861" t="s" s="79">
        <v>62</v>
      </c>
      <c r="C1861" t="s" s="80">
        <v>1081</v>
      </c>
      <c r="D1861" s="131">
        <v>116</v>
      </c>
      <c r="E1861" t="s" s="79">
        <v>1088</v>
      </c>
      <c r="F1861" t="s" s="80">
        <v>209</v>
      </c>
      <c r="G1861" s="132">
        <v>176</v>
      </c>
      <c r="H1861" t="s" s="133">
        <v>113</v>
      </c>
      <c r="I1861" t="s" s="134">
        <v>113</v>
      </c>
      <c r="J1861" t="s" s="134">
        <v>97</v>
      </c>
      <c r="K1861" t="str" s="135" cm="1">
        <f t="array" ref="K1861">IF(OR(H1861="ריביות",AND(H1861="דירה כצנלסון",G1861&lt;0,ISNUMBER(SEARCH("הכנסה",F1861)))),"הכנסה שסווגה מחדש",J1861)</f>
        <v>שוטף</v>
      </c>
      <c r="L1861" t="s" s="134">
        <v>741</v>
      </c>
      <c r="M1861" s="136" cm="1">
        <f t="array" ref="M1861">IF(L1861="מאושר",IF(K1861="הכנסה שסווגה מחדש",0,G1861),0)</f>
        <v>176</v>
      </c>
      <c r="N1861" s="136" cm="1">
        <f t="array" ref="N1861">IF(K1861="שוטף",M1861,0)</f>
        <v>176</v>
      </c>
      <c r="O1861" s="136" cm="1">
        <f t="array" ref="O1861">IF(K1861="הכנסה שסווגה מחדש",-G1861,0)</f>
        <v>0</v>
      </c>
      <c r="P1861" t="s" s="80">
        <v>890</v>
      </c>
      <c r="Q1861" s="100"/>
      <c r="R1861" t="s" s="137">
        <v>743</v>
      </c>
      <c r="S1861" s="77"/>
    </row>
    <row r="1862" ht="13.65" customHeight="1">
      <c r="A1862" s="84">
        <v>46204</v>
      </c>
      <c r="B1862" t="s" s="85">
        <v>62</v>
      </c>
      <c r="C1862" t="s" s="86">
        <v>1081</v>
      </c>
      <c r="D1862" s="138">
        <v>117</v>
      </c>
      <c r="E1862" t="s" s="85">
        <v>1118</v>
      </c>
      <c r="F1862" t="s" s="86">
        <v>200</v>
      </c>
      <c r="G1862" s="139">
        <v>93</v>
      </c>
      <c r="H1862" t="s" s="140">
        <v>109</v>
      </c>
      <c r="I1862" t="s" s="141">
        <v>109</v>
      </c>
      <c r="J1862" t="s" s="141">
        <v>97</v>
      </c>
      <c r="K1862" t="str" s="142" cm="1">
        <f t="array" ref="K1862">IF(OR(H1862="ריביות",AND(H1862="דירה כצנלסון",G1862&lt;0,ISNUMBER(SEARCH("הכנסה",F1862)))),"הכנסה שסווגה מחדש",J1862)</f>
        <v>שוטף</v>
      </c>
      <c r="L1862" t="s" s="141">
        <v>741</v>
      </c>
      <c r="M1862" s="143" cm="1">
        <f t="array" ref="M1862">IF(L1862="מאושר",IF(K1862="הכנסה שסווגה מחדש",0,G1862),0)</f>
        <v>93</v>
      </c>
      <c r="N1862" s="143" cm="1">
        <f t="array" ref="N1862">IF(K1862="שוטף",M1862,0)</f>
        <v>93</v>
      </c>
      <c r="O1862" s="143" cm="1">
        <f t="array" ref="O1862">IF(K1862="הכנסה שסווגה מחדש",-G1862,0)</f>
        <v>0</v>
      </c>
      <c r="P1862" t="s" s="86">
        <v>890</v>
      </c>
      <c r="Q1862" s="99"/>
      <c r="R1862" t="s" s="144">
        <v>743</v>
      </c>
      <c r="S1862" s="77"/>
    </row>
    <row r="1863" ht="13.65" customHeight="1">
      <c r="A1863" s="78">
        <v>46235</v>
      </c>
      <c r="B1863" t="s" s="79">
        <v>63</v>
      </c>
      <c r="C1863" t="s" s="80">
        <v>1141</v>
      </c>
      <c r="D1863" s="131">
        <v>2</v>
      </c>
      <c r="E1863" s="100"/>
      <c r="F1863" t="s" s="80">
        <v>196</v>
      </c>
      <c r="G1863" s="132">
        <v>8000</v>
      </c>
      <c r="H1863" t="s" s="133">
        <v>838</v>
      </c>
      <c r="I1863" t="s" s="134">
        <v>96</v>
      </c>
      <c r="J1863" t="s" s="134">
        <v>97</v>
      </c>
      <c r="K1863" t="str" s="135" cm="1">
        <f t="array" ref="K1863">IF(OR(H1863="ריביות",AND(H1863="דירה כצנלסון",G1863&lt;0,ISNUMBER(SEARCH("הכנסה",F1863)))),"הכנסה שסווגה מחדש",J1863)</f>
        <v>שוטף</v>
      </c>
      <c r="L1863" t="s" s="134">
        <v>741</v>
      </c>
      <c r="M1863" s="136" cm="1">
        <f t="array" ref="M1863">IF(L1863="מאושר",IF(K1863="הכנסה שסווגה מחדש",0,G1863),0)</f>
        <v>8000</v>
      </c>
      <c r="N1863" s="136" cm="1">
        <f t="array" ref="N1863">IF(K1863="שוטף",M1863,0)</f>
        <v>8000</v>
      </c>
      <c r="O1863" s="136" cm="1">
        <f t="array" ref="O1863">IF(K1863="הכנסה שסווגה מחדש",-G1863,0)</f>
        <v>0</v>
      </c>
      <c r="P1863" t="s" s="80">
        <v>786</v>
      </c>
      <c r="Q1863" s="100"/>
      <c r="R1863" t="s" s="137">
        <v>743</v>
      </c>
      <c r="S1863" s="77"/>
    </row>
    <row r="1864" ht="13.65" customHeight="1">
      <c r="A1864" s="84">
        <v>46235</v>
      </c>
      <c r="B1864" t="s" s="85">
        <v>63</v>
      </c>
      <c r="C1864" t="s" s="86">
        <v>1141</v>
      </c>
      <c r="D1864" s="138">
        <v>3</v>
      </c>
      <c r="E1864" s="99"/>
      <c r="F1864" t="s" s="86">
        <v>197</v>
      </c>
      <c r="G1864" s="139">
        <v>6153</v>
      </c>
      <c r="H1864" t="s" s="140">
        <v>279</v>
      </c>
      <c r="I1864" t="s" s="141">
        <v>99</v>
      </c>
      <c r="J1864" t="s" s="141">
        <v>100</v>
      </c>
      <c r="K1864" t="str" s="142" cm="1">
        <f t="array" ref="K1864">IF(OR(H1864="ריביות",AND(H1864="דירה כצנלסון",G1864&lt;0,ISNUMBER(SEARCH("הכנסה",F1864)))),"הכנסה שסווגה מחדש",J1864)</f>
        <v>חריג/נכס</v>
      </c>
      <c r="L1864" t="s" s="141">
        <v>741</v>
      </c>
      <c r="M1864" s="143" cm="1">
        <f t="array" ref="M1864">IF(L1864="מאושר",IF(K1864="הכנסה שסווגה מחדש",0,G1864),0)</f>
        <v>6153</v>
      </c>
      <c r="N1864" s="143" cm="1">
        <f t="array" ref="N1864">IF(K1864="שוטף",M1864,0)</f>
        <v>0</v>
      </c>
      <c r="O1864" s="143" cm="1">
        <f t="array" ref="O1864">IF(K1864="הכנסה שסווגה מחדש",-G1864,0)</f>
        <v>0</v>
      </c>
      <c r="P1864" t="s" s="86">
        <v>786</v>
      </c>
      <c r="Q1864" s="99"/>
      <c r="R1864" t="s" s="144">
        <v>743</v>
      </c>
      <c r="S1864" s="77"/>
    </row>
    <row r="1865" ht="13.65" customHeight="1">
      <c r="A1865" s="78">
        <v>46235</v>
      </c>
      <c r="B1865" t="s" s="79">
        <v>63</v>
      </c>
      <c r="C1865" t="s" s="80">
        <v>1141</v>
      </c>
      <c r="D1865" s="131">
        <v>4</v>
      </c>
      <c r="E1865" t="s" s="79">
        <v>1142</v>
      </c>
      <c r="F1865" t="s" s="80">
        <v>212</v>
      </c>
      <c r="G1865" s="132">
        <v>1037</v>
      </c>
      <c r="H1865" t="s" s="133">
        <v>838</v>
      </c>
      <c r="I1865" t="s" s="134">
        <v>96</v>
      </c>
      <c r="J1865" t="s" s="134">
        <v>97</v>
      </c>
      <c r="K1865" t="str" s="135" cm="1">
        <f t="array" ref="K1865">IF(OR(H1865="ריביות",AND(H1865="דירה כצנלסון",G1865&lt;0,ISNUMBER(SEARCH("הכנסה",F1865)))),"הכנסה שסווגה מחדש",J1865)</f>
        <v>שוטף</v>
      </c>
      <c r="L1865" t="s" s="134">
        <v>741</v>
      </c>
      <c r="M1865" s="136" cm="1">
        <f t="array" ref="M1865">IF(L1865="מאושר",IF(K1865="הכנסה שסווגה מחדש",0,G1865),0)</f>
        <v>1037</v>
      </c>
      <c r="N1865" s="136" cm="1">
        <f t="array" ref="N1865">IF(K1865="שוטף",M1865,0)</f>
        <v>1037</v>
      </c>
      <c r="O1865" s="136" cm="1">
        <f t="array" ref="O1865">IF(K1865="הכנסה שסווגה מחדש",-G1865,0)</f>
        <v>0</v>
      </c>
      <c r="P1865" t="s" s="80">
        <v>842</v>
      </c>
      <c r="Q1865" s="100"/>
      <c r="R1865" t="s" s="137">
        <v>743</v>
      </c>
      <c r="S1865" s="77"/>
    </row>
    <row r="1866" ht="13.65" customHeight="1">
      <c r="A1866" s="84">
        <v>46235</v>
      </c>
      <c r="B1866" t="s" s="85">
        <v>63</v>
      </c>
      <c r="C1866" t="s" s="86">
        <v>1141</v>
      </c>
      <c r="D1866" s="138">
        <v>5</v>
      </c>
      <c r="E1866" t="s" s="85">
        <v>1143</v>
      </c>
      <c r="F1866" t="s" s="86">
        <v>221</v>
      </c>
      <c r="G1866" s="139">
        <v>695</v>
      </c>
      <c r="H1866" t="s" s="140">
        <v>838</v>
      </c>
      <c r="I1866" t="s" s="141">
        <v>96</v>
      </c>
      <c r="J1866" t="s" s="141">
        <v>97</v>
      </c>
      <c r="K1866" t="str" s="142" cm="1">
        <f t="array" ref="K1866">IF(OR(H1866="ריביות",AND(H1866="דירה כצנלסון",G1866&lt;0,ISNUMBER(SEARCH("הכנסה",F1866)))),"הכנסה שסווגה מחדש",J1866)</f>
        <v>שוטף</v>
      </c>
      <c r="L1866" t="s" s="141">
        <v>741</v>
      </c>
      <c r="M1866" s="143" cm="1">
        <f t="array" ref="M1866">IF(L1866="מאושר",IF(K1866="הכנסה שסווגה מחדש",0,G1866),0)</f>
        <v>695</v>
      </c>
      <c r="N1866" s="143" cm="1">
        <f t="array" ref="N1866">IF(K1866="שוטף",M1866,0)</f>
        <v>695</v>
      </c>
      <c r="O1866" s="143" cm="1">
        <f t="array" ref="O1866">IF(K1866="הכנסה שסווגה מחדש",-G1866,0)</f>
        <v>0</v>
      </c>
      <c r="P1866" t="s" s="86">
        <v>842</v>
      </c>
      <c r="Q1866" s="99"/>
      <c r="R1866" t="s" s="144">
        <v>743</v>
      </c>
      <c r="S1866" s="77"/>
    </row>
    <row r="1867" ht="13.65" customHeight="1">
      <c r="A1867" s="78">
        <v>46235</v>
      </c>
      <c r="B1867" t="s" s="79">
        <v>63</v>
      </c>
      <c r="C1867" t="s" s="80">
        <v>1141</v>
      </c>
      <c r="D1867" s="131">
        <v>6</v>
      </c>
      <c r="E1867" t="s" s="79">
        <v>1144</v>
      </c>
      <c r="F1867" t="s" s="80">
        <v>272</v>
      </c>
      <c r="G1867" s="132">
        <v>153</v>
      </c>
      <c r="H1867" t="s" s="133">
        <v>838</v>
      </c>
      <c r="I1867" t="s" s="134">
        <v>96</v>
      </c>
      <c r="J1867" t="s" s="134">
        <v>97</v>
      </c>
      <c r="K1867" t="str" s="135" cm="1">
        <f t="array" ref="K1867">IF(OR(H1867="ריביות",AND(H1867="דירה כצנלסון",G1867&lt;0,ISNUMBER(SEARCH("הכנסה",F1867)))),"הכנסה שסווגה מחדש",J1867)</f>
        <v>שוטף</v>
      </c>
      <c r="L1867" t="s" s="134">
        <v>741</v>
      </c>
      <c r="M1867" s="136" cm="1">
        <f t="array" ref="M1867">IF(L1867="מאושר",IF(K1867="הכנסה שסווגה מחדש",0,G1867),0)</f>
        <v>153</v>
      </c>
      <c r="N1867" s="136" cm="1">
        <f t="array" ref="N1867">IF(K1867="שוטף",M1867,0)</f>
        <v>153</v>
      </c>
      <c r="O1867" s="136" cm="1">
        <f t="array" ref="O1867">IF(K1867="הכנסה שסווגה מחדש",-G1867,0)</f>
        <v>0</v>
      </c>
      <c r="P1867" t="s" s="80">
        <v>884</v>
      </c>
      <c r="Q1867" s="100"/>
      <c r="R1867" t="s" s="137">
        <v>743</v>
      </c>
      <c r="S1867" s="77"/>
    </row>
    <row r="1868" ht="13.65" customHeight="1">
      <c r="A1868" s="84">
        <v>46235</v>
      </c>
      <c r="B1868" t="s" s="85">
        <v>63</v>
      </c>
      <c r="C1868" t="s" s="86">
        <v>1141</v>
      </c>
      <c r="D1868" s="138">
        <v>7</v>
      </c>
      <c r="E1868" s="99"/>
      <c r="F1868" t="s" s="86">
        <v>374</v>
      </c>
      <c r="G1868" s="139">
        <v>0</v>
      </c>
      <c r="H1868" t="s" s="140">
        <v>838</v>
      </c>
      <c r="I1868" t="s" s="141">
        <v>96</v>
      </c>
      <c r="J1868" t="s" s="141">
        <v>97</v>
      </c>
      <c r="K1868" t="str" s="142" cm="1">
        <f t="array" ref="K1868">IF(OR(H1868="ריביות",AND(H1868="דירה כצנלסון",G1868&lt;0,ISNUMBER(SEARCH("הכנסה",F1868)))),"הכנסה שסווגה מחדש",J1868)</f>
        <v>שוטף</v>
      </c>
      <c r="L1868" t="s" s="141">
        <v>741</v>
      </c>
      <c r="M1868" s="143" cm="1">
        <f t="array" ref="M1868">IF(L1868="מאושר",IF(K1868="הכנסה שסווגה מחדש",0,G1868),0)</f>
        <v>0</v>
      </c>
      <c r="N1868" s="143" cm="1">
        <f t="array" ref="N1868">IF(K1868="שוטף",M1868,0)</f>
        <v>0</v>
      </c>
      <c r="O1868" s="143" cm="1">
        <f t="array" ref="O1868">IF(K1868="הכנסה שסווגה מחדש",-G1868,0)</f>
        <v>0</v>
      </c>
      <c r="P1868" t="s" s="86">
        <v>842</v>
      </c>
      <c r="Q1868" s="99"/>
      <c r="R1868" t="s" s="144">
        <v>743</v>
      </c>
      <c r="S1868" s="77"/>
    </row>
    <row r="1869" ht="13.65" customHeight="1">
      <c r="A1869" s="78">
        <v>46235</v>
      </c>
      <c r="B1869" t="s" s="79">
        <v>63</v>
      </c>
      <c r="C1869" t="s" s="80">
        <v>1141</v>
      </c>
      <c r="D1869" s="131">
        <v>8</v>
      </c>
      <c r="E1869" s="100"/>
      <c r="F1869" t="s" s="80">
        <v>232</v>
      </c>
      <c r="G1869" s="132">
        <v>0</v>
      </c>
      <c r="H1869" t="s" s="133">
        <v>838</v>
      </c>
      <c r="I1869" t="s" s="134">
        <v>96</v>
      </c>
      <c r="J1869" t="s" s="134">
        <v>97</v>
      </c>
      <c r="K1869" t="str" s="135" cm="1">
        <f t="array" ref="K1869">IF(OR(H1869="ריביות",AND(H1869="דירה כצנלסון",G1869&lt;0,ISNUMBER(SEARCH("הכנסה",F1869)))),"הכנסה שסווגה מחדש",J1869)</f>
        <v>שוטף</v>
      </c>
      <c r="L1869" t="s" s="134">
        <v>741</v>
      </c>
      <c r="M1869" s="136" cm="1">
        <f t="array" ref="M1869">IF(L1869="מאושר",IF(K1869="הכנסה שסווגה מחדש",0,G1869),0)</f>
        <v>0</v>
      </c>
      <c r="N1869" s="136" cm="1">
        <f t="array" ref="N1869">IF(K1869="שוטף",M1869,0)</f>
        <v>0</v>
      </c>
      <c r="O1869" s="136" cm="1">
        <f t="array" ref="O1869">IF(K1869="הכנסה שסווגה מחדש",-G1869,0)</f>
        <v>0</v>
      </c>
      <c r="P1869" t="s" s="80">
        <v>781</v>
      </c>
      <c r="Q1869" s="100"/>
      <c r="R1869" t="s" s="137">
        <v>743</v>
      </c>
      <c r="S1869" s="77"/>
    </row>
    <row r="1870" ht="13.65" customHeight="1">
      <c r="A1870" s="84">
        <v>46235</v>
      </c>
      <c r="B1870" t="s" s="85">
        <v>63</v>
      </c>
      <c r="C1870" t="s" s="86">
        <v>1141</v>
      </c>
      <c r="D1870" s="138">
        <v>9</v>
      </c>
      <c r="E1870" s="99"/>
      <c r="F1870" t="s" s="86">
        <v>211</v>
      </c>
      <c r="G1870" s="139">
        <v>800</v>
      </c>
      <c r="H1870" t="s" s="140">
        <v>838</v>
      </c>
      <c r="I1870" t="s" s="141">
        <v>96</v>
      </c>
      <c r="J1870" t="s" s="141">
        <v>97</v>
      </c>
      <c r="K1870" t="str" s="142" cm="1">
        <f t="array" ref="K1870">IF(OR(H1870="ריביות",AND(H1870="דירה כצנלסון",G1870&lt;0,ISNUMBER(SEARCH("הכנסה",F1870)))),"הכנסה שסווגה מחדש",J1870)</f>
        <v>שוטף</v>
      </c>
      <c r="L1870" t="s" s="141">
        <v>741</v>
      </c>
      <c r="M1870" s="143" cm="1">
        <f t="array" ref="M1870">IF(L1870="מאושר",IF(K1870="הכנסה שסווגה מחדש",0,G1870),0)</f>
        <v>800</v>
      </c>
      <c r="N1870" s="143" cm="1">
        <f t="array" ref="N1870">IF(K1870="שוטף",M1870,0)</f>
        <v>800</v>
      </c>
      <c r="O1870" s="143" cm="1">
        <f t="array" ref="O1870">IF(K1870="הכנסה שסווגה מחדש",-G1870,0)</f>
        <v>0</v>
      </c>
      <c r="P1870" t="s" s="86">
        <v>781</v>
      </c>
      <c r="Q1870" s="99"/>
      <c r="R1870" t="s" s="144">
        <v>743</v>
      </c>
      <c r="S1870" s="77"/>
    </row>
    <row r="1871" ht="13.65" customHeight="1">
      <c r="A1871" s="78">
        <v>46235</v>
      </c>
      <c r="B1871" t="s" s="79">
        <v>63</v>
      </c>
      <c r="C1871" t="s" s="80">
        <v>1141</v>
      </c>
      <c r="D1871" s="131">
        <v>10</v>
      </c>
      <c r="E1871" t="s" s="79">
        <v>1145</v>
      </c>
      <c r="F1871" t="s" s="80">
        <v>302</v>
      </c>
      <c r="G1871" s="132">
        <v>87</v>
      </c>
      <c r="H1871" t="s" s="133">
        <v>838</v>
      </c>
      <c r="I1871" t="s" s="134">
        <v>96</v>
      </c>
      <c r="J1871" t="s" s="134">
        <v>97</v>
      </c>
      <c r="K1871" t="str" s="135" cm="1">
        <f t="array" ref="K1871">IF(OR(H1871="ריביות",AND(H1871="דירה כצנלסון",G1871&lt;0,ISNUMBER(SEARCH("הכנסה",F1871)))),"הכנסה שסווגה מחדש",J1871)</f>
        <v>שוטף</v>
      </c>
      <c r="L1871" t="s" s="134">
        <v>741</v>
      </c>
      <c r="M1871" s="136" cm="1">
        <f t="array" ref="M1871">IF(L1871="מאושר",IF(K1871="הכנסה שסווגה מחדש",0,G1871),0)</f>
        <v>87</v>
      </c>
      <c r="N1871" s="136" cm="1">
        <f t="array" ref="N1871">IF(K1871="שוטף",M1871,0)</f>
        <v>87</v>
      </c>
      <c r="O1871" s="136" cm="1">
        <f t="array" ref="O1871">IF(K1871="הכנסה שסווגה מחדש",-G1871,0)</f>
        <v>0</v>
      </c>
      <c r="P1871" t="s" s="80">
        <v>842</v>
      </c>
      <c r="Q1871" s="100"/>
      <c r="R1871" t="s" s="137">
        <v>743</v>
      </c>
      <c r="S1871" s="77"/>
    </row>
    <row r="1872" ht="13.65" customHeight="1">
      <c r="A1872" s="84">
        <v>46235</v>
      </c>
      <c r="B1872" t="s" s="85">
        <v>63</v>
      </c>
      <c r="C1872" t="s" s="86">
        <v>1141</v>
      </c>
      <c r="D1872" s="138">
        <v>11</v>
      </c>
      <c r="E1872" t="s" s="85">
        <v>1146</v>
      </c>
      <c r="F1872" t="s" s="86">
        <v>320</v>
      </c>
      <c r="G1872" s="139">
        <v>59</v>
      </c>
      <c r="H1872" t="s" s="140">
        <v>838</v>
      </c>
      <c r="I1872" t="s" s="141">
        <v>96</v>
      </c>
      <c r="J1872" t="s" s="141">
        <v>97</v>
      </c>
      <c r="K1872" t="str" s="142" cm="1">
        <f t="array" ref="K1872">IF(OR(H1872="ריביות",AND(H1872="דירה כצנלסון",G1872&lt;0,ISNUMBER(SEARCH("הכנסה",F1872)))),"הכנסה שסווגה מחדש",J1872)</f>
        <v>שוטף</v>
      </c>
      <c r="L1872" t="s" s="141">
        <v>741</v>
      </c>
      <c r="M1872" s="143" cm="1">
        <f t="array" ref="M1872">IF(L1872="מאושר",IF(K1872="הכנסה שסווגה מחדש",0,G1872),0)</f>
        <v>59</v>
      </c>
      <c r="N1872" s="143" cm="1">
        <f t="array" ref="N1872">IF(K1872="שוטף",M1872,0)</f>
        <v>59</v>
      </c>
      <c r="O1872" s="143" cm="1">
        <f t="array" ref="O1872">IF(K1872="הכנסה שסווגה מחדש",-G1872,0)</f>
        <v>0</v>
      </c>
      <c r="P1872" t="s" s="86">
        <v>842</v>
      </c>
      <c r="Q1872" s="99"/>
      <c r="R1872" t="s" s="144">
        <v>743</v>
      </c>
      <c r="S1872" s="77"/>
    </row>
    <row r="1873" ht="13.65" customHeight="1">
      <c r="A1873" s="78">
        <v>46235</v>
      </c>
      <c r="B1873" t="s" s="79">
        <v>63</v>
      </c>
      <c r="C1873" t="s" s="80">
        <v>1141</v>
      </c>
      <c r="D1873" s="131">
        <v>12</v>
      </c>
      <c r="E1873" t="s" s="79">
        <v>1147</v>
      </c>
      <c r="F1873" t="s" s="80">
        <v>273</v>
      </c>
      <c r="G1873" s="132">
        <v>71</v>
      </c>
      <c r="H1873" t="s" s="133">
        <v>279</v>
      </c>
      <c r="I1873" t="s" s="134">
        <v>99</v>
      </c>
      <c r="J1873" t="s" s="134">
        <v>100</v>
      </c>
      <c r="K1873" t="str" s="135" cm="1">
        <f t="array" ref="K1873">IF(OR(H1873="ריביות",AND(H1873="דירה כצנלסון",G1873&lt;0,ISNUMBER(SEARCH("הכנסה",F1873)))),"הכנסה שסווגה מחדש",J1873)</f>
        <v>חריג/נכס</v>
      </c>
      <c r="L1873" t="s" s="134">
        <v>741</v>
      </c>
      <c r="M1873" s="136" cm="1">
        <f t="array" ref="M1873">IF(L1873="מאושר",IF(K1873="הכנסה שסווגה מחדש",0,G1873),0)</f>
        <v>71</v>
      </c>
      <c r="N1873" s="136" cm="1">
        <f t="array" ref="N1873">IF(K1873="שוטף",M1873,0)</f>
        <v>0</v>
      </c>
      <c r="O1873" s="136" cm="1">
        <f t="array" ref="O1873">IF(K1873="הכנסה שסווגה מחדש",-G1873,0)</f>
        <v>0</v>
      </c>
      <c r="P1873" t="s" s="80">
        <v>842</v>
      </c>
      <c r="Q1873" s="100"/>
      <c r="R1873" t="s" s="137">
        <v>743</v>
      </c>
      <c r="S1873" s="77"/>
    </row>
    <row r="1874" ht="13.65" customHeight="1">
      <c r="A1874" s="84">
        <v>46235</v>
      </c>
      <c r="B1874" t="s" s="85">
        <v>63</v>
      </c>
      <c r="C1874" t="s" s="86">
        <v>1141</v>
      </c>
      <c r="D1874" s="138">
        <v>13</v>
      </c>
      <c r="E1874" t="s" s="85">
        <v>1148</v>
      </c>
      <c r="F1874" t="s" s="86">
        <v>328</v>
      </c>
      <c r="G1874" s="139">
        <v>36</v>
      </c>
      <c r="H1874" t="s" s="140">
        <v>279</v>
      </c>
      <c r="I1874" t="s" s="141">
        <v>99</v>
      </c>
      <c r="J1874" t="s" s="141">
        <v>100</v>
      </c>
      <c r="K1874" t="str" s="142" cm="1">
        <f t="array" ref="K1874">IF(OR(H1874="ריביות",AND(H1874="דירה כצנלסון",G1874&lt;0,ISNUMBER(SEARCH("הכנסה",F1874)))),"הכנסה שסווגה מחדש",J1874)</f>
        <v>חריג/נכס</v>
      </c>
      <c r="L1874" t="s" s="141">
        <v>741</v>
      </c>
      <c r="M1874" s="143" cm="1">
        <f t="array" ref="M1874">IF(L1874="מאושר",IF(K1874="הכנסה שסווגה מחדש",0,G1874),0)</f>
        <v>36</v>
      </c>
      <c r="N1874" s="143" cm="1">
        <f t="array" ref="N1874">IF(K1874="שוטף",M1874,0)</f>
        <v>0</v>
      </c>
      <c r="O1874" s="143" cm="1">
        <f t="array" ref="O1874">IF(K1874="הכנסה שסווגה מחדש",-G1874,0)</f>
        <v>0</v>
      </c>
      <c r="P1874" t="s" s="86">
        <v>842</v>
      </c>
      <c r="Q1874" s="99"/>
      <c r="R1874" t="s" s="144">
        <v>743</v>
      </c>
      <c r="S1874" s="77"/>
    </row>
    <row r="1875" ht="13.65" customHeight="1">
      <c r="A1875" s="78">
        <v>46235</v>
      </c>
      <c r="B1875" t="s" s="79">
        <v>63</v>
      </c>
      <c r="C1875" t="s" s="80">
        <v>1141</v>
      </c>
      <c r="D1875" s="131">
        <v>14</v>
      </c>
      <c r="E1875" t="s" s="79">
        <v>1147</v>
      </c>
      <c r="F1875" t="s" s="80">
        <v>263</v>
      </c>
      <c r="G1875" s="132">
        <v>117</v>
      </c>
      <c r="H1875" t="s" s="133">
        <v>135</v>
      </c>
      <c r="I1875" t="s" s="134">
        <v>135</v>
      </c>
      <c r="J1875" t="s" s="134">
        <v>97</v>
      </c>
      <c r="K1875" t="str" s="135" cm="1">
        <f t="array" ref="K1875">IF(OR(H1875="ריביות",AND(H1875="דירה כצנלסון",G1875&lt;0,ISNUMBER(SEARCH("הכנסה",F1875)))),"הכנסה שסווגה מחדש",J1875)</f>
        <v>שוטף</v>
      </c>
      <c r="L1875" t="s" s="134">
        <v>741</v>
      </c>
      <c r="M1875" s="136" cm="1">
        <f t="array" ref="M1875">IF(L1875="מאושר",IF(K1875="הכנסה שסווגה מחדש",0,G1875),0)</f>
        <v>117</v>
      </c>
      <c r="N1875" s="136" cm="1">
        <f t="array" ref="N1875">IF(K1875="שוטף",M1875,0)</f>
        <v>117</v>
      </c>
      <c r="O1875" s="136" cm="1">
        <f t="array" ref="O1875">IF(K1875="הכנסה שסווגה מחדש",-G1875,0)</f>
        <v>0</v>
      </c>
      <c r="P1875" t="s" s="80">
        <v>847</v>
      </c>
      <c r="Q1875" s="100"/>
      <c r="R1875" t="s" s="137">
        <v>743</v>
      </c>
      <c r="S1875" s="77"/>
    </row>
    <row r="1876" ht="13.65" customHeight="1">
      <c r="A1876" s="84">
        <v>46235</v>
      </c>
      <c r="B1876" t="s" s="85">
        <v>63</v>
      </c>
      <c r="C1876" t="s" s="86">
        <v>1141</v>
      </c>
      <c r="D1876" s="138">
        <v>15</v>
      </c>
      <c r="E1876" t="s" s="85">
        <v>1149</v>
      </c>
      <c r="F1876" t="s" s="86">
        <v>310</v>
      </c>
      <c r="G1876" s="139">
        <v>97</v>
      </c>
      <c r="H1876" t="s" s="140">
        <v>767</v>
      </c>
      <c r="I1876" t="s" s="141">
        <v>107</v>
      </c>
      <c r="J1876" t="s" s="141">
        <v>97</v>
      </c>
      <c r="K1876" t="str" s="142" cm="1">
        <f t="array" ref="K1876">IF(OR(H1876="ריביות",AND(H1876="דירה כצנלסון",G1876&lt;0,ISNUMBER(SEARCH("הכנסה",F1876)))),"הכנסה שסווגה מחדש",J1876)</f>
        <v>שוטף</v>
      </c>
      <c r="L1876" t="s" s="141">
        <v>741</v>
      </c>
      <c r="M1876" s="143" cm="1">
        <f t="array" ref="M1876">IF(L1876="מאושר",IF(K1876="הכנסה שסווגה מחדש",0,G1876),0)</f>
        <v>97</v>
      </c>
      <c r="N1876" s="143" cm="1">
        <f t="array" ref="N1876">IF(K1876="שוטף",M1876,0)</f>
        <v>97</v>
      </c>
      <c r="O1876" s="143" cm="1">
        <f t="array" ref="O1876">IF(K1876="הכנסה שסווגה מחדש",-G1876,0)</f>
        <v>0</v>
      </c>
      <c r="P1876" t="s" s="86">
        <v>847</v>
      </c>
      <c r="Q1876" s="99"/>
      <c r="R1876" t="s" s="144">
        <v>743</v>
      </c>
      <c r="S1876" s="77"/>
    </row>
    <row r="1877" ht="13.65" customHeight="1">
      <c r="A1877" s="78">
        <v>46235</v>
      </c>
      <c r="B1877" t="s" s="79">
        <v>63</v>
      </c>
      <c r="C1877" t="s" s="80">
        <v>1141</v>
      </c>
      <c r="D1877" s="131">
        <v>16</v>
      </c>
      <c r="E1877" t="s" s="79">
        <v>1149</v>
      </c>
      <c r="F1877" t="s" s="80">
        <v>356</v>
      </c>
      <c r="G1877" s="132">
        <v>57</v>
      </c>
      <c r="H1877" t="s" s="133">
        <v>767</v>
      </c>
      <c r="I1877" t="s" s="134">
        <v>107</v>
      </c>
      <c r="J1877" t="s" s="134">
        <v>97</v>
      </c>
      <c r="K1877" t="str" s="135" cm="1">
        <f t="array" ref="K1877">IF(OR(H1877="ריביות",AND(H1877="דירה כצנלסון",G1877&lt;0,ISNUMBER(SEARCH("הכנסה",F1877)))),"הכנסה שסווגה מחדש",J1877)</f>
        <v>שוטף</v>
      </c>
      <c r="L1877" t="s" s="134">
        <v>741</v>
      </c>
      <c r="M1877" s="136" cm="1">
        <f t="array" ref="M1877">IF(L1877="מאושר",IF(K1877="הכנסה שסווגה מחדש",0,G1877),0)</f>
        <v>57</v>
      </c>
      <c r="N1877" s="136" cm="1">
        <f t="array" ref="N1877">IF(K1877="שוטף",M1877,0)</f>
        <v>57</v>
      </c>
      <c r="O1877" s="136" cm="1">
        <f t="array" ref="O1877">IF(K1877="הכנסה שסווגה מחדש",-G1877,0)</f>
        <v>0</v>
      </c>
      <c r="P1877" t="s" s="80">
        <v>842</v>
      </c>
      <c r="Q1877" s="100"/>
      <c r="R1877" t="s" s="137">
        <v>743</v>
      </c>
      <c r="S1877" s="77"/>
    </row>
    <row r="1878" ht="13.65" customHeight="1">
      <c r="A1878" s="84">
        <v>46235</v>
      </c>
      <c r="B1878" t="s" s="85">
        <v>63</v>
      </c>
      <c r="C1878" t="s" s="86">
        <v>1141</v>
      </c>
      <c r="D1878" s="138">
        <v>17</v>
      </c>
      <c r="E1878" t="s" s="85">
        <v>859</v>
      </c>
      <c r="F1878" t="s" s="86">
        <v>222</v>
      </c>
      <c r="G1878" s="139">
        <v>632</v>
      </c>
      <c r="H1878" t="s" s="140">
        <v>111</v>
      </c>
      <c r="I1878" t="s" s="141">
        <v>111</v>
      </c>
      <c r="J1878" t="s" s="141">
        <v>97</v>
      </c>
      <c r="K1878" t="str" s="142" cm="1">
        <f t="array" ref="K1878">IF(OR(H1878="ריביות",AND(H1878="דירה כצנלסון",G1878&lt;0,ISNUMBER(SEARCH("הכנסה",F1878)))),"הכנסה שסווגה מחדש",J1878)</f>
        <v>שוטף</v>
      </c>
      <c r="L1878" t="s" s="141">
        <v>741</v>
      </c>
      <c r="M1878" s="143" cm="1">
        <f t="array" ref="M1878">IF(L1878="מאושר",IF(K1878="הכנסה שסווגה מחדש",0,G1878),0)</f>
        <v>632</v>
      </c>
      <c r="N1878" s="143" cm="1">
        <f t="array" ref="N1878">IF(K1878="שוטף",M1878,0)</f>
        <v>632</v>
      </c>
      <c r="O1878" s="143" cm="1">
        <f t="array" ref="O1878">IF(K1878="הכנסה שסווגה מחדש",-G1878,0)</f>
        <v>0</v>
      </c>
      <c r="P1878" t="s" s="86">
        <v>842</v>
      </c>
      <c r="Q1878" s="99"/>
      <c r="R1878" t="s" s="144">
        <v>743</v>
      </c>
      <c r="S1878" s="77"/>
    </row>
    <row r="1879" ht="13.65" customHeight="1">
      <c r="A1879" s="78">
        <v>46235</v>
      </c>
      <c r="B1879" t="s" s="79">
        <v>63</v>
      </c>
      <c r="C1879" t="s" s="80">
        <v>1141</v>
      </c>
      <c r="D1879" s="131">
        <v>18</v>
      </c>
      <c r="E1879" t="s" s="79">
        <v>861</v>
      </c>
      <c r="F1879" t="s" s="80">
        <v>294</v>
      </c>
      <c r="G1879" s="132">
        <v>130</v>
      </c>
      <c r="H1879" t="s" s="133">
        <v>115</v>
      </c>
      <c r="I1879" t="s" s="134">
        <v>115</v>
      </c>
      <c r="J1879" t="s" s="134">
        <v>97</v>
      </c>
      <c r="K1879" t="str" s="135" cm="1">
        <f t="array" ref="K1879">IF(OR(H1879="ריביות",AND(H1879="דירה כצנלסון",G1879&lt;0,ISNUMBER(SEARCH("הכנסה",F1879)))),"הכנסה שסווגה מחדש",J1879)</f>
        <v>שוטף</v>
      </c>
      <c r="L1879" t="s" s="134">
        <v>741</v>
      </c>
      <c r="M1879" s="136" cm="1">
        <f t="array" ref="M1879">IF(L1879="מאושר",IF(K1879="הכנסה שסווגה מחדש",0,G1879),0)</f>
        <v>130</v>
      </c>
      <c r="N1879" s="136" cm="1">
        <f t="array" ref="N1879">IF(K1879="שוטף",M1879,0)</f>
        <v>130</v>
      </c>
      <c r="O1879" s="136" cm="1">
        <f t="array" ref="O1879">IF(K1879="הכנסה שסווגה מחדש",-G1879,0)</f>
        <v>0</v>
      </c>
      <c r="P1879" t="s" s="80">
        <v>842</v>
      </c>
      <c r="Q1879" s="100"/>
      <c r="R1879" t="s" s="137">
        <v>743</v>
      </c>
      <c r="S1879" s="77"/>
    </row>
    <row r="1880" ht="13.65" customHeight="1">
      <c r="A1880" s="84">
        <v>46235</v>
      </c>
      <c r="B1880" t="s" s="85">
        <v>63</v>
      </c>
      <c r="C1880" t="s" s="86">
        <v>1141</v>
      </c>
      <c r="D1880" s="138">
        <v>19</v>
      </c>
      <c r="E1880" s="99"/>
      <c r="F1880" t="s" s="86">
        <v>324</v>
      </c>
      <c r="G1880" s="139">
        <v>97</v>
      </c>
      <c r="H1880" t="s" s="140">
        <v>839</v>
      </c>
      <c r="I1880" t="s" s="141">
        <v>107</v>
      </c>
      <c r="J1880" t="s" s="141">
        <v>97</v>
      </c>
      <c r="K1880" t="str" s="142" cm="1">
        <f t="array" ref="K1880">IF(OR(H1880="ריביות",AND(H1880="דירה כצנלסון",G1880&lt;0,ISNUMBER(SEARCH("הכנסה",F1880)))),"הכנסה שסווגה מחדש",J1880)</f>
        <v>שוטף</v>
      </c>
      <c r="L1880" t="s" s="141">
        <v>741</v>
      </c>
      <c r="M1880" s="143" cm="1">
        <f t="array" ref="M1880">IF(L1880="מאושר",IF(K1880="הכנסה שסווגה מחדש",0,G1880),0)</f>
        <v>97</v>
      </c>
      <c r="N1880" s="143" cm="1">
        <f t="array" ref="N1880">IF(K1880="שוטף",M1880,0)</f>
        <v>97</v>
      </c>
      <c r="O1880" s="143" cm="1">
        <f t="array" ref="O1880">IF(K1880="הכנסה שסווגה מחדש",-G1880,0)</f>
        <v>0</v>
      </c>
      <c r="P1880" t="s" s="86">
        <v>884</v>
      </c>
      <c r="Q1880" s="99"/>
      <c r="R1880" t="s" s="144">
        <v>743</v>
      </c>
      <c r="S1880" s="77"/>
    </row>
    <row r="1881" ht="13.65" customHeight="1">
      <c r="A1881" s="78">
        <v>46235</v>
      </c>
      <c r="B1881" t="s" s="79">
        <v>63</v>
      </c>
      <c r="C1881" t="s" s="80">
        <v>1141</v>
      </c>
      <c r="D1881" s="131">
        <v>20</v>
      </c>
      <c r="E1881" t="s" s="79">
        <v>1150</v>
      </c>
      <c r="F1881" t="s" s="79">
        <v>252</v>
      </c>
      <c r="G1881" s="132">
        <v>332</v>
      </c>
      <c r="H1881" t="s" s="133">
        <v>127</v>
      </c>
      <c r="I1881" t="s" s="134">
        <v>127</v>
      </c>
      <c r="J1881" t="s" s="134">
        <v>97</v>
      </c>
      <c r="K1881" t="str" s="135" cm="1">
        <f t="array" ref="K1881">IF(OR(H1881="ריביות",AND(H1881="דירה כצנלסון",G1881&lt;0,ISNUMBER(SEARCH("הכנסה",F1881)))),"הכנסה שסווגה מחדש",J1881)</f>
        <v>שוטף</v>
      </c>
      <c r="L1881" t="s" s="134">
        <v>741</v>
      </c>
      <c r="M1881" s="136" cm="1">
        <f t="array" ref="M1881">IF(L1881="מאושר",IF(K1881="הכנסה שסווגה מחדש",0,G1881),0)</f>
        <v>332</v>
      </c>
      <c r="N1881" s="136" cm="1">
        <f t="array" ref="N1881">IF(K1881="שוטף",M1881,0)</f>
        <v>332</v>
      </c>
      <c r="O1881" s="136" cm="1">
        <f t="array" ref="O1881">IF(K1881="הכנסה שסווגה מחדש",-G1881,0)</f>
        <v>0</v>
      </c>
      <c r="P1881" t="s" s="80">
        <v>847</v>
      </c>
      <c r="Q1881" s="100"/>
      <c r="R1881" t="s" s="137">
        <v>743</v>
      </c>
      <c r="S1881" s="77"/>
    </row>
    <row r="1882" ht="13.65" customHeight="1">
      <c r="A1882" s="84">
        <v>46235</v>
      </c>
      <c r="B1882" t="s" s="85">
        <v>63</v>
      </c>
      <c r="C1882" t="s" s="86">
        <v>1141</v>
      </c>
      <c r="D1882" s="138">
        <v>21</v>
      </c>
      <c r="E1882" t="s" s="85">
        <v>1151</v>
      </c>
      <c r="F1882" t="s" s="86">
        <v>223</v>
      </c>
      <c r="G1882" s="139">
        <v>56</v>
      </c>
      <c r="H1882" t="s" s="140">
        <v>121</v>
      </c>
      <c r="I1882" t="s" s="141">
        <v>121</v>
      </c>
      <c r="J1882" t="s" s="141">
        <v>97</v>
      </c>
      <c r="K1882" t="str" s="142" cm="1">
        <f t="array" ref="K1882">IF(OR(H1882="ריביות",AND(H1882="דירה כצנלסון",G1882&lt;0,ISNUMBER(SEARCH("הכנסה",F1882)))),"הכנסה שסווגה מחדש",J1882)</f>
        <v>שוטף</v>
      </c>
      <c r="L1882" t="s" s="141">
        <v>741</v>
      </c>
      <c r="M1882" s="143" cm="1">
        <f t="array" ref="M1882">IF(L1882="מאושר",IF(K1882="הכנסה שסווגה מחדש",0,G1882),0)</f>
        <v>56</v>
      </c>
      <c r="N1882" s="143" cm="1">
        <f t="array" ref="N1882">IF(K1882="שוטף",M1882,0)</f>
        <v>56</v>
      </c>
      <c r="O1882" s="143" cm="1">
        <f t="array" ref="O1882">IF(K1882="הכנסה שסווגה מחדש",-G1882,0)</f>
        <v>0</v>
      </c>
      <c r="P1882" t="s" s="86">
        <v>847</v>
      </c>
      <c r="Q1882" s="99"/>
      <c r="R1882" t="s" s="144">
        <v>743</v>
      </c>
      <c r="S1882" s="77"/>
    </row>
    <row r="1883" ht="13.65" customHeight="1">
      <c r="A1883" s="78">
        <v>46235</v>
      </c>
      <c r="B1883" t="s" s="79">
        <v>63</v>
      </c>
      <c r="C1883" t="s" s="80">
        <v>1141</v>
      </c>
      <c r="D1883" s="131">
        <v>22</v>
      </c>
      <c r="E1883" t="s" s="79">
        <v>1149</v>
      </c>
      <c r="F1883" t="s" s="80">
        <v>254</v>
      </c>
      <c r="G1883" s="132">
        <v>41</v>
      </c>
      <c r="H1883" t="s" s="133">
        <v>109</v>
      </c>
      <c r="I1883" t="s" s="134">
        <v>109</v>
      </c>
      <c r="J1883" t="s" s="134">
        <v>97</v>
      </c>
      <c r="K1883" t="str" s="135" cm="1">
        <f t="array" ref="K1883">IF(OR(H1883="ריביות",AND(H1883="דירה כצנלסון",G1883&lt;0,ISNUMBER(SEARCH("הכנסה",F1883)))),"הכנסה שסווגה מחדש",J1883)</f>
        <v>שוטף</v>
      </c>
      <c r="L1883" t="s" s="134">
        <v>741</v>
      </c>
      <c r="M1883" s="136" cm="1">
        <f t="array" ref="M1883">IF(L1883="מאושר",IF(K1883="הכנסה שסווגה מחדש",0,G1883),0)</f>
        <v>41</v>
      </c>
      <c r="N1883" s="136" cm="1">
        <f t="array" ref="N1883">IF(K1883="שוטף",M1883,0)</f>
        <v>41</v>
      </c>
      <c r="O1883" s="136" cm="1">
        <f t="array" ref="O1883">IF(K1883="הכנסה שסווגה מחדש",-G1883,0)</f>
        <v>0</v>
      </c>
      <c r="P1883" t="s" s="80">
        <v>847</v>
      </c>
      <c r="Q1883" s="100"/>
      <c r="R1883" t="s" s="137">
        <v>743</v>
      </c>
      <c r="S1883" s="77"/>
    </row>
    <row r="1884" ht="13.65" customHeight="1">
      <c r="A1884" s="84">
        <v>46235</v>
      </c>
      <c r="B1884" t="s" s="85">
        <v>63</v>
      </c>
      <c r="C1884" t="s" s="86">
        <v>1141</v>
      </c>
      <c r="D1884" s="138">
        <v>23</v>
      </c>
      <c r="E1884" t="s" s="85">
        <v>1152</v>
      </c>
      <c r="F1884" t="s" s="86">
        <v>200</v>
      </c>
      <c r="G1884" s="139">
        <v>927</v>
      </c>
      <c r="H1884" t="s" s="140">
        <v>109</v>
      </c>
      <c r="I1884" t="s" s="141">
        <v>109</v>
      </c>
      <c r="J1884" t="s" s="141">
        <v>97</v>
      </c>
      <c r="K1884" t="str" s="142" cm="1">
        <f t="array" ref="K1884">IF(OR(H1884="ריביות",AND(H1884="דירה כצנלסון",G1884&lt;0,ISNUMBER(SEARCH("הכנסה",F1884)))),"הכנסה שסווגה מחדש",J1884)</f>
        <v>שוטף</v>
      </c>
      <c r="L1884" t="s" s="141">
        <v>741</v>
      </c>
      <c r="M1884" s="143" cm="1">
        <f t="array" ref="M1884">IF(L1884="מאושר",IF(K1884="הכנסה שסווגה מחדש",0,G1884),0)</f>
        <v>927</v>
      </c>
      <c r="N1884" s="143" cm="1">
        <f t="array" ref="N1884">IF(K1884="שוטף",M1884,0)</f>
        <v>927</v>
      </c>
      <c r="O1884" s="143" cm="1">
        <f t="array" ref="O1884">IF(K1884="הכנסה שסווגה מחדש",-G1884,0)</f>
        <v>0</v>
      </c>
      <c r="P1884" t="s" s="86">
        <v>847</v>
      </c>
      <c r="Q1884" s="99"/>
      <c r="R1884" t="s" s="144">
        <v>743</v>
      </c>
      <c r="S1884" s="77"/>
    </row>
    <row r="1885" ht="13.65" customHeight="1">
      <c r="A1885" s="78">
        <v>46235</v>
      </c>
      <c r="B1885" t="s" s="79">
        <v>63</v>
      </c>
      <c r="C1885" t="s" s="80">
        <v>1141</v>
      </c>
      <c r="D1885" s="131">
        <v>24</v>
      </c>
      <c r="E1885" t="s" s="79">
        <v>1153</v>
      </c>
      <c r="F1885" t="s" s="80">
        <v>631</v>
      </c>
      <c r="G1885" s="132">
        <v>38</v>
      </c>
      <c r="H1885" t="s" s="133">
        <v>113</v>
      </c>
      <c r="I1885" t="s" s="134">
        <v>113</v>
      </c>
      <c r="J1885" t="s" s="134">
        <v>97</v>
      </c>
      <c r="K1885" t="str" s="135" cm="1">
        <f t="array" ref="K1885">IF(OR(H1885="ריביות",AND(H1885="דירה כצנלסון",G1885&lt;0,ISNUMBER(SEARCH("הכנסה",F1885)))),"הכנסה שסווגה מחדש",J1885)</f>
        <v>שוטף</v>
      </c>
      <c r="L1885" t="s" s="134">
        <v>741</v>
      </c>
      <c r="M1885" s="136" cm="1">
        <f t="array" ref="M1885">IF(L1885="מאושר",IF(K1885="הכנסה שסווגה מחדש",0,G1885),0)</f>
        <v>38</v>
      </c>
      <c r="N1885" s="136" cm="1">
        <f t="array" ref="N1885">IF(K1885="שוטף",M1885,0)</f>
        <v>38</v>
      </c>
      <c r="O1885" s="136" cm="1">
        <f t="array" ref="O1885">IF(K1885="הכנסה שסווגה מחדש",-G1885,0)</f>
        <v>0</v>
      </c>
      <c r="P1885" t="s" s="80">
        <v>847</v>
      </c>
      <c r="Q1885" s="100"/>
      <c r="R1885" t="s" s="137">
        <v>743</v>
      </c>
      <c r="S1885" s="77"/>
    </row>
    <row r="1886" ht="13.65" customHeight="1">
      <c r="A1886" s="84">
        <v>46235</v>
      </c>
      <c r="B1886" t="s" s="85">
        <v>63</v>
      </c>
      <c r="C1886" t="s" s="86">
        <v>1141</v>
      </c>
      <c r="D1886" s="138">
        <v>25</v>
      </c>
      <c r="E1886" t="s" s="85">
        <v>1154</v>
      </c>
      <c r="F1886" t="s" s="86">
        <v>223</v>
      </c>
      <c r="G1886" s="139">
        <v>202</v>
      </c>
      <c r="H1886" t="s" s="140">
        <v>960</v>
      </c>
      <c r="I1886" t="s" s="141">
        <v>131</v>
      </c>
      <c r="J1886" t="s" s="141">
        <v>97</v>
      </c>
      <c r="K1886" t="str" s="142" cm="1">
        <f t="array" ref="K1886">IF(OR(H1886="ריביות",AND(H1886="דירה כצנלסון",G1886&lt;0,ISNUMBER(SEARCH("הכנסה",F1886)))),"הכנסה שסווגה מחדש",J1886)</f>
        <v>שוטף</v>
      </c>
      <c r="L1886" t="s" s="141">
        <v>741</v>
      </c>
      <c r="M1886" s="143" cm="1">
        <f t="array" ref="M1886">IF(L1886="מאושר",IF(K1886="הכנסה שסווגה מחדש",0,G1886),0)</f>
        <v>202</v>
      </c>
      <c r="N1886" s="143" cm="1">
        <f t="array" ref="N1886">IF(K1886="שוטף",M1886,0)</f>
        <v>202</v>
      </c>
      <c r="O1886" s="143" cm="1">
        <f t="array" ref="O1886">IF(K1886="הכנסה שסווגה מחדש",-G1886,0)</f>
        <v>0</v>
      </c>
      <c r="P1886" t="s" s="86">
        <v>847</v>
      </c>
      <c r="Q1886" s="99"/>
      <c r="R1886" t="s" s="144">
        <v>743</v>
      </c>
      <c r="S1886" s="77"/>
    </row>
    <row r="1887" ht="13.65" customHeight="1">
      <c r="A1887" s="78">
        <v>46235</v>
      </c>
      <c r="B1887" t="s" s="79">
        <v>63</v>
      </c>
      <c r="C1887" t="s" s="80">
        <v>1141</v>
      </c>
      <c r="D1887" s="131">
        <v>26</v>
      </c>
      <c r="E1887" t="s" s="79">
        <v>1155</v>
      </c>
      <c r="F1887" t="s" s="80">
        <v>384</v>
      </c>
      <c r="G1887" s="132">
        <v>142</v>
      </c>
      <c r="H1887" t="s" s="133">
        <v>113</v>
      </c>
      <c r="I1887" t="s" s="134">
        <v>113</v>
      </c>
      <c r="J1887" t="s" s="134">
        <v>97</v>
      </c>
      <c r="K1887" t="str" s="135" cm="1">
        <f t="array" ref="K1887">IF(OR(H1887="ריביות",AND(H1887="דירה כצנלסון",G1887&lt;0,ISNUMBER(SEARCH("הכנסה",F1887)))),"הכנסה שסווגה מחדש",J1887)</f>
        <v>שוטף</v>
      </c>
      <c r="L1887" t="s" s="134">
        <v>741</v>
      </c>
      <c r="M1887" s="136" cm="1">
        <f t="array" ref="M1887">IF(L1887="מאושר",IF(K1887="הכנסה שסווגה מחדש",0,G1887),0)</f>
        <v>142</v>
      </c>
      <c r="N1887" s="136" cm="1">
        <f t="array" ref="N1887">IF(K1887="שוטף",M1887,0)</f>
        <v>142</v>
      </c>
      <c r="O1887" s="136" cm="1">
        <f t="array" ref="O1887">IF(K1887="הכנסה שסווגה מחדש",-G1887,0)</f>
        <v>0</v>
      </c>
      <c r="P1887" t="s" s="80">
        <v>847</v>
      </c>
      <c r="Q1887" s="100"/>
      <c r="R1887" t="s" s="137">
        <v>743</v>
      </c>
      <c r="S1887" s="77"/>
    </row>
    <row r="1888" ht="13.65" customHeight="1">
      <c r="A1888" s="84">
        <v>46235</v>
      </c>
      <c r="B1888" t="s" s="85">
        <v>63</v>
      </c>
      <c r="C1888" t="s" s="86">
        <v>1141</v>
      </c>
      <c r="D1888" s="138">
        <v>27</v>
      </c>
      <c r="E1888" t="s" s="85">
        <v>1156</v>
      </c>
      <c r="F1888" t="s" s="86">
        <v>223</v>
      </c>
      <c r="G1888" s="139">
        <v>45</v>
      </c>
      <c r="H1888" t="s" s="140">
        <v>117</v>
      </c>
      <c r="I1888" t="s" s="141">
        <v>117</v>
      </c>
      <c r="J1888" t="s" s="141">
        <v>97</v>
      </c>
      <c r="K1888" t="str" s="142" cm="1">
        <f t="array" ref="K1888">IF(OR(H1888="ריביות",AND(H1888="דירה כצנלסון",G1888&lt;0,ISNUMBER(SEARCH("הכנסה",F1888)))),"הכנסה שסווגה מחדש",J1888)</f>
        <v>שוטף</v>
      </c>
      <c r="L1888" t="s" s="141">
        <v>741</v>
      </c>
      <c r="M1888" s="143" cm="1">
        <f t="array" ref="M1888">IF(L1888="מאושר",IF(K1888="הכנסה שסווגה מחדש",0,G1888),0)</f>
        <v>45</v>
      </c>
      <c r="N1888" s="143" cm="1">
        <f t="array" ref="N1888">IF(K1888="שוטף",M1888,0)</f>
        <v>45</v>
      </c>
      <c r="O1888" s="143" cm="1">
        <f t="array" ref="O1888">IF(K1888="הכנסה שסווגה מחדש",-G1888,0)</f>
        <v>0</v>
      </c>
      <c r="P1888" t="s" s="86">
        <v>847</v>
      </c>
      <c r="Q1888" s="99"/>
      <c r="R1888" t="s" s="144">
        <v>743</v>
      </c>
      <c r="S1888" s="77"/>
    </row>
    <row r="1889" ht="13.65" customHeight="1">
      <c r="A1889" s="78">
        <v>46235</v>
      </c>
      <c r="B1889" t="s" s="79">
        <v>63</v>
      </c>
      <c r="C1889" t="s" s="80">
        <v>1141</v>
      </c>
      <c r="D1889" s="131">
        <v>28</v>
      </c>
      <c r="E1889" t="s" s="79">
        <v>1157</v>
      </c>
      <c r="F1889" t="s" s="80">
        <v>473</v>
      </c>
      <c r="G1889" s="132">
        <v>88</v>
      </c>
      <c r="H1889" t="s" s="133">
        <v>113</v>
      </c>
      <c r="I1889" t="s" s="134">
        <v>113</v>
      </c>
      <c r="J1889" t="s" s="134">
        <v>97</v>
      </c>
      <c r="K1889" t="str" s="135" cm="1">
        <f t="array" ref="K1889">IF(OR(H1889="ריביות",AND(H1889="דירה כצנלסון",G1889&lt;0,ISNUMBER(SEARCH("הכנסה",F1889)))),"הכנסה שסווגה מחדש",J1889)</f>
        <v>שוטף</v>
      </c>
      <c r="L1889" t="s" s="134">
        <v>741</v>
      </c>
      <c r="M1889" s="136" cm="1">
        <f t="array" ref="M1889">IF(L1889="מאושר",IF(K1889="הכנסה שסווגה מחדש",0,G1889),0)</f>
        <v>88</v>
      </c>
      <c r="N1889" s="136" cm="1">
        <f t="array" ref="N1889">IF(K1889="שוטף",M1889,0)</f>
        <v>88</v>
      </c>
      <c r="O1889" s="136" cm="1">
        <f t="array" ref="O1889">IF(K1889="הכנסה שסווגה מחדש",-G1889,0)</f>
        <v>0</v>
      </c>
      <c r="P1889" t="s" s="80">
        <v>847</v>
      </c>
      <c r="Q1889" s="100"/>
      <c r="R1889" t="s" s="137">
        <v>743</v>
      </c>
      <c r="S1889" s="77"/>
    </row>
    <row r="1890" ht="13.65" customHeight="1">
      <c r="A1890" s="84">
        <v>46235</v>
      </c>
      <c r="B1890" t="s" s="85">
        <v>63</v>
      </c>
      <c r="C1890" t="s" s="86">
        <v>1141</v>
      </c>
      <c r="D1890" s="138">
        <v>29</v>
      </c>
      <c r="E1890" t="s" s="85">
        <v>1158</v>
      </c>
      <c r="F1890" t="s" s="86">
        <v>670</v>
      </c>
      <c r="G1890" s="139">
        <v>21</v>
      </c>
      <c r="H1890" t="s" s="140">
        <v>117</v>
      </c>
      <c r="I1890" t="s" s="141">
        <v>117</v>
      </c>
      <c r="J1890" t="s" s="141">
        <v>97</v>
      </c>
      <c r="K1890" t="str" s="142" cm="1">
        <f t="array" ref="K1890">IF(OR(H1890="ריביות",AND(H1890="דירה כצנלסון",G1890&lt;0,ISNUMBER(SEARCH("הכנסה",F1890)))),"הכנסה שסווגה מחדש",J1890)</f>
        <v>שוטף</v>
      </c>
      <c r="L1890" t="s" s="141">
        <v>741</v>
      </c>
      <c r="M1890" s="143" cm="1">
        <f t="array" ref="M1890">IF(L1890="מאושר",IF(K1890="הכנסה שסווגה מחדש",0,G1890),0)</f>
        <v>21</v>
      </c>
      <c r="N1890" s="143" cm="1">
        <f t="array" ref="N1890">IF(K1890="שוטף",M1890,0)</f>
        <v>21</v>
      </c>
      <c r="O1890" s="143" cm="1">
        <f t="array" ref="O1890">IF(K1890="הכנסה שסווגה מחדש",-G1890,0)</f>
        <v>0</v>
      </c>
      <c r="P1890" t="s" s="86">
        <v>847</v>
      </c>
      <c r="Q1890" s="99"/>
      <c r="R1890" t="s" s="144">
        <v>743</v>
      </c>
      <c r="S1890" s="77"/>
    </row>
    <row r="1891" ht="13.65" customHeight="1">
      <c r="A1891" s="78">
        <v>46235</v>
      </c>
      <c r="B1891" t="s" s="79">
        <v>63</v>
      </c>
      <c r="C1891" t="s" s="80">
        <v>1141</v>
      </c>
      <c r="D1891" s="131">
        <v>30</v>
      </c>
      <c r="E1891" t="s" s="79">
        <v>1159</v>
      </c>
      <c r="F1891" t="s" s="80">
        <v>599</v>
      </c>
      <c r="G1891" s="132">
        <v>59</v>
      </c>
      <c r="H1891" t="s" s="133">
        <v>133</v>
      </c>
      <c r="I1891" t="s" s="134">
        <v>133</v>
      </c>
      <c r="J1891" t="s" s="134">
        <v>97</v>
      </c>
      <c r="K1891" t="str" s="135" cm="1">
        <f t="array" ref="K1891">IF(OR(H1891="ריביות",AND(H1891="דירה כצנלסון",G1891&lt;0,ISNUMBER(SEARCH("הכנסה",F1891)))),"הכנסה שסווגה מחדש",J1891)</f>
        <v>שוטף</v>
      </c>
      <c r="L1891" t="s" s="134">
        <v>741</v>
      </c>
      <c r="M1891" s="136" cm="1">
        <f t="array" ref="M1891">IF(L1891="מאושר",IF(K1891="הכנסה שסווגה מחדש",0,G1891),0)</f>
        <v>59</v>
      </c>
      <c r="N1891" s="136" cm="1">
        <f t="array" ref="N1891">IF(K1891="שוטף",M1891,0)</f>
        <v>59</v>
      </c>
      <c r="O1891" s="136" cm="1">
        <f t="array" ref="O1891">IF(K1891="הכנסה שסווגה מחדש",-G1891,0)</f>
        <v>0</v>
      </c>
      <c r="P1891" t="s" s="80">
        <v>847</v>
      </c>
      <c r="Q1891" s="100"/>
      <c r="R1891" t="s" s="137">
        <v>743</v>
      </c>
      <c r="S1891" s="77"/>
    </row>
    <row r="1892" ht="13.65" customHeight="1">
      <c r="A1892" s="84">
        <v>46235</v>
      </c>
      <c r="B1892" t="s" s="85">
        <v>63</v>
      </c>
      <c r="C1892" t="s" s="86">
        <v>1141</v>
      </c>
      <c r="D1892" s="138">
        <v>31</v>
      </c>
      <c r="E1892" t="s" s="85">
        <v>1160</v>
      </c>
      <c r="F1892" t="s" s="86">
        <v>223</v>
      </c>
      <c r="G1892" s="139">
        <v>-29</v>
      </c>
      <c r="H1892" t="s" s="140">
        <v>960</v>
      </c>
      <c r="I1892" t="s" s="141">
        <v>131</v>
      </c>
      <c r="J1892" t="s" s="141">
        <v>97</v>
      </c>
      <c r="K1892" t="str" s="142" cm="1">
        <f t="array" ref="K1892">IF(OR(H1892="ריביות",AND(H1892="דירה כצנלסון",G1892&lt;0,ISNUMBER(SEARCH("הכנסה",F1892)))),"הכנסה שסווגה מחדש",J1892)</f>
        <v>שוטף</v>
      </c>
      <c r="L1892" t="s" s="141">
        <v>741</v>
      </c>
      <c r="M1892" s="143" cm="1">
        <f t="array" ref="M1892">IF(L1892="מאושר",IF(K1892="הכנסה שסווגה מחדש",0,G1892),0)</f>
        <v>-29</v>
      </c>
      <c r="N1892" s="143" cm="1">
        <f t="array" ref="N1892">IF(K1892="שוטף",M1892,0)</f>
        <v>-29</v>
      </c>
      <c r="O1892" s="143" cm="1">
        <f t="array" ref="O1892">IF(K1892="הכנסה שסווגה מחדש",-G1892,0)</f>
        <v>0</v>
      </c>
      <c r="P1892" t="s" s="86">
        <v>847</v>
      </c>
      <c r="Q1892" s="99"/>
      <c r="R1892" t="s" s="144">
        <v>743</v>
      </c>
      <c r="S1892" s="77"/>
    </row>
    <row r="1893" ht="13.65" customHeight="1">
      <c r="A1893" s="78">
        <v>46235</v>
      </c>
      <c r="B1893" t="s" s="79">
        <v>63</v>
      </c>
      <c r="C1893" t="s" s="80">
        <v>1141</v>
      </c>
      <c r="D1893" s="131">
        <v>32</v>
      </c>
      <c r="E1893" t="s" s="79">
        <v>1160</v>
      </c>
      <c r="F1893" t="s" s="80">
        <v>223</v>
      </c>
      <c r="G1893" s="132">
        <v>154</v>
      </c>
      <c r="H1893" t="s" s="133">
        <v>960</v>
      </c>
      <c r="I1893" t="s" s="134">
        <v>131</v>
      </c>
      <c r="J1893" t="s" s="134">
        <v>97</v>
      </c>
      <c r="K1893" t="str" s="135" cm="1">
        <f t="array" ref="K1893">IF(OR(H1893="ריביות",AND(H1893="דירה כצנלסון",G1893&lt;0,ISNUMBER(SEARCH("הכנסה",F1893)))),"הכנסה שסווגה מחדש",J1893)</f>
        <v>שוטף</v>
      </c>
      <c r="L1893" t="s" s="134">
        <v>741</v>
      </c>
      <c r="M1893" s="136" cm="1">
        <f t="array" ref="M1893">IF(L1893="מאושר",IF(K1893="הכנסה שסווגה מחדש",0,G1893),0)</f>
        <v>154</v>
      </c>
      <c r="N1893" s="136" cm="1">
        <f t="array" ref="N1893">IF(K1893="שוטף",M1893,0)</f>
        <v>154</v>
      </c>
      <c r="O1893" s="136" cm="1">
        <f t="array" ref="O1893">IF(K1893="הכנסה שסווגה מחדש",-G1893,0)</f>
        <v>0</v>
      </c>
      <c r="P1893" t="s" s="80">
        <v>847</v>
      </c>
      <c r="Q1893" s="100"/>
      <c r="R1893" t="s" s="137">
        <v>743</v>
      </c>
      <c r="S1893" s="77"/>
    </row>
    <row r="1894" ht="13.65" customHeight="1">
      <c r="A1894" s="84">
        <v>46235</v>
      </c>
      <c r="B1894" t="s" s="85">
        <v>63</v>
      </c>
      <c r="C1894" t="s" s="86">
        <v>1141</v>
      </c>
      <c r="D1894" s="138">
        <v>33</v>
      </c>
      <c r="E1894" t="s" s="85">
        <v>1161</v>
      </c>
      <c r="F1894" t="s" s="86">
        <v>200</v>
      </c>
      <c r="G1894" s="139">
        <v>18</v>
      </c>
      <c r="H1894" t="s" s="140">
        <v>109</v>
      </c>
      <c r="I1894" t="s" s="141">
        <v>109</v>
      </c>
      <c r="J1894" t="s" s="141">
        <v>97</v>
      </c>
      <c r="K1894" t="str" s="142" cm="1">
        <f t="array" ref="K1894">IF(OR(H1894="ריביות",AND(H1894="דירה כצנלסון",G1894&lt;0,ISNUMBER(SEARCH("הכנסה",F1894)))),"הכנסה שסווגה מחדש",J1894)</f>
        <v>שוטף</v>
      </c>
      <c r="L1894" t="s" s="141">
        <v>741</v>
      </c>
      <c r="M1894" s="143" cm="1">
        <f t="array" ref="M1894">IF(L1894="מאושר",IF(K1894="הכנסה שסווגה מחדש",0,G1894),0)</f>
        <v>18</v>
      </c>
      <c r="N1894" s="143" cm="1">
        <f t="array" ref="N1894">IF(K1894="שוטף",M1894,0)</f>
        <v>18</v>
      </c>
      <c r="O1894" s="143" cm="1">
        <f t="array" ref="O1894">IF(K1894="הכנסה שסווגה מחדש",-G1894,0)</f>
        <v>0</v>
      </c>
      <c r="P1894" t="s" s="86">
        <v>847</v>
      </c>
      <c r="Q1894" s="99"/>
      <c r="R1894" t="s" s="144">
        <v>743</v>
      </c>
      <c r="S1894" s="77"/>
    </row>
    <row r="1895" ht="13.65" customHeight="1">
      <c r="A1895" s="78">
        <v>46235</v>
      </c>
      <c r="B1895" t="s" s="79">
        <v>63</v>
      </c>
      <c r="C1895" t="s" s="80">
        <v>1141</v>
      </c>
      <c r="D1895" s="131">
        <v>34</v>
      </c>
      <c r="E1895" t="s" s="79">
        <v>1162</v>
      </c>
      <c r="F1895" t="s" s="80">
        <v>231</v>
      </c>
      <c r="G1895" s="132">
        <v>20</v>
      </c>
      <c r="H1895" t="s" s="133">
        <v>117</v>
      </c>
      <c r="I1895" t="s" s="134">
        <v>117</v>
      </c>
      <c r="J1895" t="s" s="134">
        <v>97</v>
      </c>
      <c r="K1895" t="str" s="135" cm="1">
        <f t="array" ref="K1895">IF(OR(H1895="ריביות",AND(H1895="דירה כצנלסון",G1895&lt;0,ISNUMBER(SEARCH("הכנסה",F1895)))),"הכנסה שסווגה מחדש",J1895)</f>
        <v>שוטף</v>
      </c>
      <c r="L1895" t="s" s="134">
        <v>741</v>
      </c>
      <c r="M1895" s="136" cm="1">
        <f t="array" ref="M1895">IF(L1895="מאושר",IF(K1895="הכנסה שסווגה מחדש",0,G1895),0)</f>
        <v>20</v>
      </c>
      <c r="N1895" s="136" cm="1">
        <f t="array" ref="N1895">IF(K1895="שוטף",M1895,0)</f>
        <v>20</v>
      </c>
      <c r="O1895" s="136" cm="1">
        <f t="array" ref="O1895">IF(K1895="הכנסה שסווגה מחדש",-G1895,0)</f>
        <v>0</v>
      </c>
      <c r="P1895" t="s" s="80">
        <v>847</v>
      </c>
      <c r="Q1895" s="100"/>
      <c r="R1895" t="s" s="137">
        <v>743</v>
      </c>
      <c r="S1895" s="77"/>
    </row>
    <row r="1896" ht="13.65" customHeight="1">
      <c r="A1896" s="84">
        <v>46235</v>
      </c>
      <c r="B1896" t="s" s="85">
        <v>63</v>
      </c>
      <c r="C1896" t="s" s="86">
        <v>1141</v>
      </c>
      <c r="D1896" s="138">
        <v>35</v>
      </c>
      <c r="E1896" t="s" s="85">
        <v>1163</v>
      </c>
      <c r="F1896" t="s" s="85">
        <v>268</v>
      </c>
      <c r="G1896" s="139">
        <v>302</v>
      </c>
      <c r="H1896" t="s" s="140">
        <v>123</v>
      </c>
      <c r="I1896" t="s" s="141">
        <v>123</v>
      </c>
      <c r="J1896" t="s" s="141">
        <v>97</v>
      </c>
      <c r="K1896" t="str" s="142" cm="1">
        <f t="array" ref="K1896">IF(OR(H1896="ריביות",AND(H1896="דירה כצנלסון",G1896&lt;0,ISNUMBER(SEARCH("הכנסה",F1896)))),"הכנסה שסווגה מחדש",J1896)</f>
        <v>שוטף</v>
      </c>
      <c r="L1896" t="s" s="141">
        <v>741</v>
      </c>
      <c r="M1896" s="143" cm="1">
        <f t="array" ref="M1896">IF(L1896="מאושר",IF(K1896="הכנסה שסווגה מחדש",0,G1896),0)</f>
        <v>302</v>
      </c>
      <c r="N1896" s="143" cm="1">
        <f t="array" ref="N1896">IF(K1896="שוטף",M1896,0)</f>
        <v>302</v>
      </c>
      <c r="O1896" s="143" cm="1">
        <f t="array" ref="O1896">IF(K1896="הכנסה שסווגה מחדש",-G1896,0)</f>
        <v>0</v>
      </c>
      <c r="P1896" t="s" s="86">
        <v>847</v>
      </c>
      <c r="Q1896" s="99"/>
      <c r="R1896" t="s" s="144">
        <v>743</v>
      </c>
      <c r="S1896" s="77"/>
    </row>
    <row r="1897" ht="13.65" customHeight="1">
      <c r="A1897" s="78">
        <v>46235</v>
      </c>
      <c r="B1897" t="s" s="79">
        <v>63</v>
      </c>
      <c r="C1897" t="s" s="80">
        <v>1141</v>
      </c>
      <c r="D1897" s="131">
        <v>36</v>
      </c>
      <c r="E1897" t="s" s="79">
        <v>1164</v>
      </c>
      <c r="F1897" t="s" s="80">
        <v>200</v>
      </c>
      <c r="G1897" s="132">
        <v>508</v>
      </c>
      <c r="H1897" t="s" s="133">
        <v>109</v>
      </c>
      <c r="I1897" t="s" s="134">
        <v>109</v>
      </c>
      <c r="J1897" t="s" s="134">
        <v>97</v>
      </c>
      <c r="K1897" t="str" s="135" cm="1">
        <f t="array" ref="K1897">IF(OR(H1897="ריביות",AND(H1897="דירה כצנלסון",G1897&lt;0,ISNUMBER(SEARCH("הכנסה",F1897)))),"הכנסה שסווגה מחדש",J1897)</f>
        <v>שוטף</v>
      </c>
      <c r="L1897" t="s" s="134">
        <v>741</v>
      </c>
      <c r="M1897" s="136" cm="1">
        <f t="array" ref="M1897">IF(L1897="מאושר",IF(K1897="הכנסה שסווגה מחדש",0,G1897),0)</f>
        <v>508</v>
      </c>
      <c r="N1897" s="136" cm="1">
        <f t="array" ref="N1897">IF(K1897="שוטף",M1897,0)</f>
        <v>508</v>
      </c>
      <c r="O1897" s="136" cm="1">
        <f t="array" ref="O1897">IF(K1897="הכנסה שסווגה מחדש",-G1897,0)</f>
        <v>0</v>
      </c>
      <c r="P1897" t="s" s="80">
        <v>847</v>
      </c>
      <c r="Q1897" s="100"/>
      <c r="R1897" t="s" s="137">
        <v>743</v>
      </c>
      <c r="S1897" s="77"/>
    </row>
    <row r="1898" ht="13.65" customHeight="1">
      <c r="A1898" s="84">
        <v>46235</v>
      </c>
      <c r="B1898" t="s" s="85">
        <v>63</v>
      </c>
      <c r="C1898" t="s" s="86">
        <v>1141</v>
      </c>
      <c r="D1898" s="138">
        <v>37</v>
      </c>
      <c r="E1898" t="s" s="85">
        <v>1165</v>
      </c>
      <c r="F1898" t="s" s="86">
        <v>659</v>
      </c>
      <c r="G1898" s="139">
        <v>25</v>
      </c>
      <c r="H1898" t="s" s="140">
        <v>111</v>
      </c>
      <c r="I1898" t="s" s="141">
        <v>111</v>
      </c>
      <c r="J1898" t="s" s="141">
        <v>97</v>
      </c>
      <c r="K1898" t="str" s="142" cm="1">
        <f t="array" ref="K1898">IF(OR(H1898="ריביות",AND(H1898="דירה כצנלסון",G1898&lt;0,ISNUMBER(SEARCH("הכנסה",F1898)))),"הכנסה שסווגה מחדש",J1898)</f>
        <v>שוטף</v>
      </c>
      <c r="L1898" t="s" s="141">
        <v>741</v>
      </c>
      <c r="M1898" s="143" cm="1">
        <f t="array" ref="M1898">IF(L1898="מאושר",IF(K1898="הכנסה שסווגה מחדש",0,G1898),0)</f>
        <v>25</v>
      </c>
      <c r="N1898" s="143" cm="1">
        <f t="array" ref="N1898">IF(K1898="שוטף",M1898,0)</f>
        <v>25</v>
      </c>
      <c r="O1898" s="143" cm="1">
        <f t="array" ref="O1898">IF(K1898="הכנסה שסווגה מחדש",-G1898,0)</f>
        <v>0</v>
      </c>
      <c r="P1898" t="s" s="86">
        <v>847</v>
      </c>
      <c r="Q1898" s="99"/>
      <c r="R1898" t="s" s="144">
        <v>743</v>
      </c>
      <c r="S1898" s="77"/>
    </row>
    <row r="1899" ht="13.65" customHeight="1">
      <c r="A1899" s="78">
        <v>46235</v>
      </c>
      <c r="B1899" t="s" s="79">
        <v>63</v>
      </c>
      <c r="C1899" t="s" s="80">
        <v>1141</v>
      </c>
      <c r="D1899" s="131">
        <v>38</v>
      </c>
      <c r="E1899" t="s" s="79">
        <v>1145</v>
      </c>
      <c r="F1899" t="s" s="79">
        <v>268</v>
      </c>
      <c r="G1899" s="132">
        <v>-216</v>
      </c>
      <c r="H1899" t="s" s="133">
        <v>123</v>
      </c>
      <c r="I1899" t="s" s="134">
        <v>123</v>
      </c>
      <c r="J1899" t="s" s="134">
        <v>97</v>
      </c>
      <c r="K1899" t="str" s="135" cm="1">
        <f t="array" ref="K1899">IF(OR(H1899="ריביות",AND(H1899="דירה כצנלסון",G1899&lt;0,ISNUMBER(SEARCH("הכנסה",F1899)))),"הכנסה שסווגה מחדש",J1899)</f>
        <v>שוטף</v>
      </c>
      <c r="L1899" t="s" s="134">
        <v>741</v>
      </c>
      <c r="M1899" s="136" cm="1">
        <f t="array" ref="M1899">IF(L1899="מאושר",IF(K1899="הכנסה שסווגה מחדש",0,G1899),0)</f>
        <v>-216</v>
      </c>
      <c r="N1899" s="136" cm="1">
        <f t="array" ref="N1899">IF(K1899="שוטף",M1899,0)</f>
        <v>-216</v>
      </c>
      <c r="O1899" s="136" cm="1">
        <f t="array" ref="O1899">IF(K1899="הכנסה שסווגה מחדש",-G1899,0)</f>
        <v>0</v>
      </c>
      <c r="P1899" t="s" s="80">
        <v>847</v>
      </c>
      <c r="Q1899" s="100"/>
      <c r="R1899" t="s" s="137">
        <v>743</v>
      </c>
      <c r="S1899" s="77"/>
    </row>
    <row r="1900" ht="13.65" customHeight="1">
      <c r="A1900" s="84">
        <v>46235</v>
      </c>
      <c r="B1900" t="s" s="85">
        <v>63</v>
      </c>
      <c r="C1900" t="s" s="86">
        <v>1141</v>
      </c>
      <c r="D1900" s="138">
        <v>39</v>
      </c>
      <c r="E1900" t="s" s="85">
        <v>1165</v>
      </c>
      <c r="F1900" t="s" s="86">
        <v>223</v>
      </c>
      <c r="G1900" s="139">
        <v>123</v>
      </c>
      <c r="H1900" t="s" s="140">
        <v>117</v>
      </c>
      <c r="I1900" t="s" s="141">
        <v>117</v>
      </c>
      <c r="J1900" t="s" s="141">
        <v>97</v>
      </c>
      <c r="K1900" t="str" s="142" cm="1">
        <f t="array" ref="K1900">IF(OR(H1900="ריביות",AND(H1900="דירה כצנלסון",G1900&lt;0,ISNUMBER(SEARCH("הכנסה",F1900)))),"הכנסה שסווגה מחדש",J1900)</f>
        <v>שוטף</v>
      </c>
      <c r="L1900" t="s" s="141">
        <v>741</v>
      </c>
      <c r="M1900" s="143" cm="1">
        <f t="array" ref="M1900">IF(L1900="מאושר",IF(K1900="הכנסה שסווגה מחדש",0,G1900),0)</f>
        <v>123</v>
      </c>
      <c r="N1900" s="143" cm="1">
        <f t="array" ref="N1900">IF(K1900="שוטף",M1900,0)</f>
        <v>123</v>
      </c>
      <c r="O1900" s="143" cm="1">
        <f t="array" ref="O1900">IF(K1900="הכנסה שסווגה מחדש",-G1900,0)</f>
        <v>0</v>
      </c>
      <c r="P1900" t="s" s="86">
        <v>847</v>
      </c>
      <c r="Q1900" s="99"/>
      <c r="R1900" t="s" s="144">
        <v>743</v>
      </c>
      <c r="S1900" s="77"/>
    </row>
    <row r="1901" ht="13.65" customHeight="1">
      <c r="A1901" s="78">
        <v>46235</v>
      </c>
      <c r="B1901" t="s" s="79">
        <v>63</v>
      </c>
      <c r="C1901" t="s" s="80">
        <v>1141</v>
      </c>
      <c r="D1901" s="131">
        <v>40</v>
      </c>
      <c r="E1901" t="s" s="79">
        <v>1166</v>
      </c>
      <c r="F1901" t="s" s="80">
        <v>223</v>
      </c>
      <c r="G1901" s="132">
        <v>76</v>
      </c>
      <c r="H1901" t="s" s="133">
        <v>210</v>
      </c>
      <c r="I1901" t="s" s="134">
        <v>102</v>
      </c>
      <c r="J1901" t="s" s="134">
        <v>103</v>
      </c>
      <c r="K1901" t="str" s="135" cm="1">
        <f t="array" ref="K1901">IF(OR(H1901="ריביות",AND(H1901="דירה כצנלסון",G1901&lt;0,ISNUMBER(SEARCH("הכנסה",F1901)))),"הכנסה שסווגה מחדש",J1901)</f>
        <v>חריג</v>
      </c>
      <c r="L1901" t="s" s="134">
        <v>741</v>
      </c>
      <c r="M1901" s="136" cm="1">
        <f t="array" ref="M1901">IF(L1901="מאושר",IF(K1901="הכנסה שסווגה מחדש",0,G1901),0)</f>
        <v>76</v>
      </c>
      <c r="N1901" s="136" cm="1">
        <f t="array" ref="N1901">IF(K1901="שוטף",M1901,0)</f>
        <v>0</v>
      </c>
      <c r="O1901" s="136" cm="1">
        <f t="array" ref="O1901">IF(K1901="הכנסה שסווגה מחדש",-G1901,0)</f>
        <v>0</v>
      </c>
      <c r="P1901" t="s" s="80">
        <v>847</v>
      </c>
      <c r="Q1901" s="100"/>
      <c r="R1901" t="s" s="137">
        <v>743</v>
      </c>
      <c r="S1901" s="77"/>
    </row>
    <row r="1902" ht="13.65" customHeight="1">
      <c r="A1902" s="84">
        <v>46235</v>
      </c>
      <c r="B1902" t="s" s="85">
        <v>63</v>
      </c>
      <c r="C1902" t="s" s="86">
        <v>1141</v>
      </c>
      <c r="D1902" s="138">
        <v>41</v>
      </c>
      <c r="E1902" t="s" s="85">
        <v>1148</v>
      </c>
      <c r="F1902" t="s" s="86">
        <v>254</v>
      </c>
      <c r="G1902" s="139">
        <v>27</v>
      </c>
      <c r="H1902" t="s" s="140">
        <v>109</v>
      </c>
      <c r="I1902" t="s" s="141">
        <v>109</v>
      </c>
      <c r="J1902" t="s" s="141">
        <v>97</v>
      </c>
      <c r="K1902" t="str" s="142" cm="1">
        <f t="array" ref="K1902">IF(OR(H1902="ריביות",AND(H1902="דירה כצנלסון",G1902&lt;0,ISNUMBER(SEARCH("הכנסה",F1902)))),"הכנסה שסווגה מחדש",J1902)</f>
        <v>שוטף</v>
      </c>
      <c r="L1902" t="s" s="141">
        <v>741</v>
      </c>
      <c r="M1902" s="143" cm="1">
        <f t="array" ref="M1902">IF(L1902="מאושר",IF(K1902="הכנסה שסווגה מחדש",0,G1902),0)</f>
        <v>27</v>
      </c>
      <c r="N1902" s="143" cm="1">
        <f t="array" ref="N1902">IF(K1902="שוטף",M1902,0)</f>
        <v>27</v>
      </c>
      <c r="O1902" s="143" cm="1">
        <f t="array" ref="O1902">IF(K1902="הכנסה שסווגה מחדש",-G1902,0)</f>
        <v>0</v>
      </c>
      <c r="P1902" t="s" s="86">
        <v>847</v>
      </c>
      <c r="Q1902" s="99"/>
      <c r="R1902" t="s" s="144">
        <v>743</v>
      </c>
      <c r="S1902" s="77"/>
    </row>
    <row r="1903" ht="13.65" customHeight="1">
      <c r="A1903" s="78">
        <v>46235</v>
      </c>
      <c r="B1903" t="s" s="79">
        <v>63</v>
      </c>
      <c r="C1903" t="s" s="80">
        <v>1141</v>
      </c>
      <c r="D1903" s="131">
        <v>42</v>
      </c>
      <c r="E1903" t="s" s="79">
        <v>1167</v>
      </c>
      <c r="F1903" t="s" s="80">
        <v>495</v>
      </c>
      <c r="G1903" s="132">
        <v>130</v>
      </c>
      <c r="H1903" t="s" s="133">
        <v>127</v>
      </c>
      <c r="I1903" t="s" s="134">
        <v>127</v>
      </c>
      <c r="J1903" t="s" s="134">
        <v>97</v>
      </c>
      <c r="K1903" t="str" s="135" cm="1">
        <f t="array" ref="K1903">IF(OR(H1903="ריביות",AND(H1903="דירה כצנלסון",G1903&lt;0,ISNUMBER(SEARCH("הכנסה",F1903)))),"הכנסה שסווגה מחדש",J1903)</f>
        <v>שוטף</v>
      </c>
      <c r="L1903" t="s" s="134">
        <v>741</v>
      </c>
      <c r="M1903" s="136" cm="1">
        <f t="array" ref="M1903">IF(L1903="מאושר",IF(K1903="הכנסה שסווגה מחדש",0,G1903),0)</f>
        <v>130</v>
      </c>
      <c r="N1903" s="136" cm="1">
        <f t="array" ref="N1903">IF(K1903="שוטף",M1903,0)</f>
        <v>130</v>
      </c>
      <c r="O1903" s="136" cm="1">
        <f t="array" ref="O1903">IF(K1903="הכנסה שסווגה מחדש",-G1903,0)</f>
        <v>0</v>
      </c>
      <c r="P1903" t="s" s="80">
        <v>847</v>
      </c>
      <c r="Q1903" s="100"/>
      <c r="R1903" t="s" s="137">
        <v>743</v>
      </c>
      <c r="S1903" s="77"/>
    </row>
    <row r="1904" ht="13.65" customHeight="1">
      <c r="A1904" s="84">
        <v>46235</v>
      </c>
      <c r="B1904" t="s" s="85">
        <v>63</v>
      </c>
      <c r="C1904" t="s" s="86">
        <v>1141</v>
      </c>
      <c r="D1904" s="138">
        <v>43</v>
      </c>
      <c r="E1904" t="s" s="85">
        <v>1168</v>
      </c>
      <c r="F1904" t="s" s="85">
        <v>268</v>
      </c>
      <c r="G1904" s="139">
        <v>390</v>
      </c>
      <c r="H1904" t="s" s="140">
        <v>123</v>
      </c>
      <c r="I1904" t="s" s="141">
        <v>123</v>
      </c>
      <c r="J1904" t="s" s="141">
        <v>97</v>
      </c>
      <c r="K1904" t="str" s="142" cm="1">
        <f t="array" ref="K1904">IF(OR(H1904="ריביות",AND(H1904="דירה כצנלסון",G1904&lt;0,ISNUMBER(SEARCH("הכנסה",F1904)))),"הכנסה שסווגה מחדש",J1904)</f>
        <v>שוטף</v>
      </c>
      <c r="L1904" t="s" s="141">
        <v>741</v>
      </c>
      <c r="M1904" s="143" cm="1">
        <f t="array" ref="M1904">IF(L1904="מאושר",IF(K1904="הכנסה שסווגה מחדש",0,G1904),0)</f>
        <v>390</v>
      </c>
      <c r="N1904" s="143" cm="1">
        <f t="array" ref="N1904">IF(K1904="שוטף",M1904,0)</f>
        <v>390</v>
      </c>
      <c r="O1904" s="143" cm="1">
        <f t="array" ref="O1904">IF(K1904="הכנסה שסווגה מחדש",-G1904,0)</f>
        <v>0</v>
      </c>
      <c r="P1904" t="s" s="86">
        <v>847</v>
      </c>
      <c r="Q1904" s="99"/>
      <c r="R1904" t="s" s="144">
        <v>743</v>
      </c>
      <c r="S1904" s="77"/>
    </row>
    <row r="1905" ht="13.65" customHeight="1">
      <c r="A1905" s="78">
        <v>46235</v>
      </c>
      <c r="B1905" t="s" s="79">
        <v>63</v>
      </c>
      <c r="C1905" t="s" s="80">
        <v>1141</v>
      </c>
      <c r="D1905" s="131">
        <v>44</v>
      </c>
      <c r="E1905" t="s" s="79">
        <v>1168</v>
      </c>
      <c r="F1905" t="s" s="80">
        <v>289</v>
      </c>
      <c r="G1905" s="132">
        <v>23</v>
      </c>
      <c r="H1905" t="s" s="133">
        <v>767</v>
      </c>
      <c r="I1905" t="s" s="134">
        <v>107</v>
      </c>
      <c r="J1905" t="s" s="134">
        <v>97</v>
      </c>
      <c r="K1905" t="str" s="135" cm="1">
        <f t="array" ref="K1905">IF(OR(H1905="ריביות",AND(H1905="דירה כצנלסון",G1905&lt;0,ISNUMBER(SEARCH("הכנסה",F1905)))),"הכנסה שסווגה מחדש",J1905)</f>
        <v>שוטף</v>
      </c>
      <c r="L1905" t="s" s="134">
        <v>741</v>
      </c>
      <c r="M1905" s="136" cm="1">
        <f t="array" ref="M1905">IF(L1905="מאושר",IF(K1905="הכנסה שסווגה מחדש",0,G1905),0)</f>
        <v>23</v>
      </c>
      <c r="N1905" s="136" cm="1">
        <f t="array" ref="N1905">IF(K1905="שוטף",M1905,0)</f>
        <v>23</v>
      </c>
      <c r="O1905" s="136" cm="1">
        <f t="array" ref="O1905">IF(K1905="הכנסה שסווגה מחדש",-G1905,0)</f>
        <v>0</v>
      </c>
      <c r="P1905" t="s" s="80">
        <v>847</v>
      </c>
      <c r="Q1905" s="100"/>
      <c r="R1905" t="s" s="137">
        <v>743</v>
      </c>
      <c r="S1905" s="77"/>
    </row>
    <row r="1906" ht="13.65" customHeight="1">
      <c r="A1906" s="84">
        <v>46235</v>
      </c>
      <c r="B1906" t="s" s="85">
        <v>63</v>
      </c>
      <c r="C1906" t="s" s="86">
        <v>1141</v>
      </c>
      <c r="D1906" s="138">
        <v>45</v>
      </c>
      <c r="E1906" t="s" s="85">
        <v>1169</v>
      </c>
      <c r="F1906" t="s" s="86">
        <v>199</v>
      </c>
      <c r="G1906" s="139">
        <v>2250</v>
      </c>
      <c r="H1906" t="s" s="140">
        <v>839</v>
      </c>
      <c r="I1906" t="s" s="141">
        <v>107</v>
      </c>
      <c r="J1906" t="s" s="141">
        <v>97</v>
      </c>
      <c r="K1906" t="str" s="142" cm="1">
        <f t="array" ref="K1906">IF(OR(H1906="ריביות",AND(H1906="דירה כצנלסון",G1906&lt;0,ISNUMBER(SEARCH("הכנסה",F1906)))),"הכנסה שסווגה מחדש",J1906)</f>
        <v>שוטף</v>
      </c>
      <c r="L1906" t="s" s="141">
        <v>741</v>
      </c>
      <c r="M1906" s="143" cm="1">
        <f t="array" ref="M1906">IF(L1906="מאושר",IF(K1906="הכנסה שסווגה מחדש",0,G1906),0)</f>
        <v>2250</v>
      </c>
      <c r="N1906" s="143" cm="1">
        <f t="array" ref="N1906">IF(K1906="שוטף",M1906,0)</f>
        <v>2250</v>
      </c>
      <c r="O1906" s="143" cm="1">
        <f t="array" ref="O1906">IF(K1906="הכנסה שסווגה מחדש",-G1906,0)</f>
        <v>0</v>
      </c>
      <c r="P1906" t="s" s="85">
        <v>742</v>
      </c>
      <c r="Q1906" s="99"/>
      <c r="R1906" t="s" s="144">
        <v>743</v>
      </c>
      <c r="S1906" s="77"/>
    </row>
    <row r="1907" ht="13.65" customHeight="1">
      <c r="A1907" s="78">
        <v>46235</v>
      </c>
      <c r="B1907" t="s" s="79">
        <v>63</v>
      </c>
      <c r="C1907" t="s" s="80">
        <v>1141</v>
      </c>
      <c r="D1907" s="131">
        <v>46</v>
      </c>
      <c r="E1907" t="s" s="79">
        <v>1169</v>
      </c>
      <c r="F1907" t="s" s="80">
        <v>717</v>
      </c>
      <c r="G1907" s="132">
        <v>-21</v>
      </c>
      <c r="H1907" t="s" s="133">
        <v>210</v>
      </c>
      <c r="I1907" t="s" s="134">
        <v>102</v>
      </c>
      <c r="J1907" t="s" s="134">
        <v>103</v>
      </c>
      <c r="K1907" t="str" s="135" cm="1">
        <f t="array" ref="K1907">IF(OR(H1907="ריביות",AND(H1907="דירה כצנלסון",G1907&lt;0,ISNUMBER(SEARCH("הכנסה",F1907)))),"הכנסה שסווגה מחדש",J1907)</f>
        <v>חריג</v>
      </c>
      <c r="L1907" t="s" s="134">
        <v>741</v>
      </c>
      <c r="M1907" s="136" cm="1">
        <f t="array" ref="M1907">IF(L1907="מאושר",IF(K1907="הכנסה שסווגה מחדש",0,G1907),0)</f>
        <v>-21</v>
      </c>
      <c r="N1907" s="136" cm="1">
        <f t="array" ref="N1907">IF(K1907="שוטף",M1907,0)</f>
        <v>0</v>
      </c>
      <c r="O1907" s="136" cm="1">
        <f t="array" ref="O1907">IF(K1907="הכנסה שסווגה מחדש",-G1907,0)</f>
        <v>0</v>
      </c>
      <c r="P1907" t="s" s="79">
        <v>742</v>
      </c>
      <c r="Q1907" s="100"/>
      <c r="R1907" t="s" s="137">
        <v>743</v>
      </c>
      <c r="S1907" s="77"/>
    </row>
    <row r="1908" ht="13.65" customHeight="1">
      <c r="A1908" s="84">
        <v>46235</v>
      </c>
      <c r="B1908" t="s" s="85">
        <v>63</v>
      </c>
      <c r="C1908" t="s" s="86">
        <v>1141</v>
      </c>
      <c r="D1908" s="138">
        <v>48</v>
      </c>
      <c r="E1908" t="s" s="85">
        <v>1170</v>
      </c>
      <c r="F1908" t="s" s="86">
        <v>287</v>
      </c>
      <c r="G1908" s="139">
        <v>1160</v>
      </c>
      <c r="H1908" t="s" s="140">
        <v>279</v>
      </c>
      <c r="I1908" t="s" s="141">
        <v>99</v>
      </c>
      <c r="J1908" t="s" s="141">
        <v>100</v>
      </c>
      <c r="K1908" t="str" s="142" cm="1">
        <f t="array" ref="K1908">IF(OR(H1908="ריביות",AND(H1908="דירה כצנלסון",G1908&lt;0,ISNUMBER(SEARCH("הכנסה",F1908)))),"הכנסה שסווגה מחדש",J1908)</f>
        <v>חריג/נכס</v>
      </c>
      <c r="L1908" t="s" s="141">
        <v>741</v>
      </c>
      <c r="M1908" s="143" cm="1">
        <f t="array" ref="M1908">IF(L1908="מאושר",IF(K1908="הכנסה שסווגה מחדש",0,G1908),0)</f>
        <v>1160</v>
      </c>
      <c r="N1908" s="143" cm="1">
        <f t="array" ref="N1908">IF(K1908="שוטף",M1908,0)</f>
        <v>0</v>
      </c>
      <c r="O1908" s="143" cm="1">
        <f t="array" ref="O1908">IF(K1908="הכנסה שסווגה מחדש",-G1908,0)</f>
        <v>0</v>
      </c>
      <c r="P1908" t="s" s="85">
        <v>742</v>
      </c>
      <c r="Q1908" s="99"/>
      <c r="R1908" t="s" s="144">
        <v>743</v>
      </c>
      <c r="S1908" s="77"/>
    </row>
    <row r="1909" ht="13.65" customHeight="1">
      <c r="A1909" s="78">
        <v>46235</v>
      </c>
      <c r="B1909" t="s" s="79">
        <v>63</v>
      </c>
      <c r="C1909" t="s" s="80">
        <v>1141</v>
      </c>
      <c r="D1909" s="131">
        <v>49</v>
      </c>
      <c r="E1909" t="s" s="79">
        <v>1171</v>
      </c>
      <c r="F1909" t="s" s="80">
        <v>432</v>
      </c>
      <c r="G1909" s="132">
        <v>236</v>
      </c>
      <c r="H1909" t="s" s="133">
        <v>1073</v>
      </c>
      <c r="I1909" t="s" s="134">
        <v>119</v>
      </c>
      <c r="J1909" t="s" s="134">
        <v>103</v>
      </c>
      <c r="K1909" t="str" s="135" cm="1">
        <f t="array" ref="K1909">IF(OR(H1909="ריביות",AND(H1909="דירה כצנלסון",G1909&lt;0,ISNUMBER(SEARCH("הכנסה",F1909)))),"הכנסה שסווגה מחדש",J1909)</f>
        <v>חריג</v>
      </c>
      <c r="L1909" t="s" s="134">
        <v>741</v>
      </c>
      <c r="M1909" s="136" cm="1">
        <f t="array" ref="M1909">IF(L1909="מאושר",IF(K1909="הכנסה שסווגה מחדש",0,G1909),0)</f>
        <v>236</v>
      </c>
      <c r="N1909" s="136" cm="1">
        <f t="array" ref="N1909">IF(K1909="שוטף",M1909,0)</f>
        <v>0</v>
      </c>
      <c r="O1909" s="136" cm="1">
        <f t="array" ref="O1909">IF(K1909="הכנסה שסווגה מחדש",-G1909,0)</f>
        <v>0</v>
      </c>
      <c r="P1909" t="s" s="79">
        <v>742</v>
      </c>
      <c r="Q1909" s="100"/>
      <c r="R1909" t="s" s="137">
        <v>743</v>
      </c>
      <c r="S1909" s="77"/>
    </row>
    <row r="1910" ht="13.65" customHeight="1">
      <c r="A1910" s="84">
        <v>46235</v>
      </c>
      <c r="B1910" t="s" s="85">
        <v>63</v>
      </c>
      <c r="C1910" t="s" s="86">
        <v>1141</v>
      </c>
      <c r="D1910" s="138">
        <v>50</v>
      </c>
      <c r="E1910" t="s" s="85">
        <v>1111</v>
      </c>
      <c r="F1910" t="s" s="85">
        <v>268</v>
      </c>
      <c r="G1910" s="139">
        <v>601</v>
      </c>
      <c r="H1910" t="s" s="140">
        <v>123</v>
      </c>
      <c r="I1910" t="s" s="141">
        <v>123</v>
      </c>
      <c r="J1910" t="s" s="141">
        <v>97</v>
      </c>
      <c r="K1910" t="str" s="142" cm="1">
        <f t="array" ref="K1910">IF(OR(H1910="ריביות",AND(H1910="דירה כצנלסון",G1910&lt;0,ISNUMBER(SEARCH("הכנסה",F1910)))),"הכנסה שסווגה מחדש",J1910)</f>
        <v>שוטף</v>
      </c>
      <c r="L1910" t="s" s="141">
        <v>741</v>
      </c>
      <c r="M1910" s="143" cm="1">
        <f t="array" ref="M1910">IF(L1910="מאושר",IF(K1910="הכנסה שסווגה מחדש",0,G1910),0)</f>
        <v>601</v>
      </c>
      <c r="N1910" s="143" cm="1">
        <f t="array" ref="N1910">IF(K1910="שוטף",M1910,0)</f>
        <v>601</v>
      </c>
      <c r="O1910" s="143" cm="1">
        <f t="array" ref="O1910">IF(K1910="הכנסה שסווגה מחדש",-G1910,0)</f>
        <v>0</v>
      </c>
      <c r="P1910" t="s" s="86">
        <v>842</v>
      </c>
      <c r="Q1910" s="99"/>
      <c r="R1910" t="s" s="144">
        <v>743</v>
      </c>
      <c r="S1910" s="77"/>
    </row>
    <row r="1911" ht="13.65" customHeight="1">
      <c r="A1911" s="78">
        <v>46235</v>
      </c>
      <c r="B1911" t="s" s="79">
        <v>63</v>
      </c>
      <c r="C1911" t="s" s="80">
        <v>1141</v>
      </c>
      <c r="D1911" s="131">
        <v>51</v>
      </c>
      <c r="E1911" t="s" s="79">
        <v>1172</v>
      </c>
      <c r="F1911" t="s" s="80">
        <v>231</v>
      </c>
      <c r="G1911" s="132">
        <v>110</v>
      </c>
      <c r="H1911" t="s" s="133">
        <v>113</v>
      </c>
      <c r="I1911" t="s" s="134">
        <v>113</v>
      </c>
      <c r="J1911" t="s" s="134">
        <v>97</v>
      </c>
      <c r="K1911" t="str" s="135" cm="1">
        <f t="array" ref="K1911">IF(OR(H1911="ריביות",AND(H1911="דירה כצנלסון",G1911&lt;0,ISNUMBER(SEARCH("הכנסה",F1911)))),"הכנסה שסווגה מחדש",J1911)</f>
        <v>שוטף</v>
      </c>
      <c r="L1911" t="s" s="134">
        <v>741</v>
      </c>
      <c r="M1911" s="136" cm="1">
        <f t="array" ref="M1911">IF(L1911="מאושר",IF(K1911="הכנסה שסווגה מחדש",0,G1911),0)</f>
        <v>110</v>
      </c>
      <c r="N1911" s="136" cm="1">
        <f t="array" ref="N1911">IF(K1911="שוטף",M1911,0)</f>
        <v>110</v>
      </c>
      <c r="O1911" s="136" cm="1">
        <f t="array" ref="O1911">IF(K1911="הכנסה שסווגה מחדש",-G1911,0)</f>
        <v>0</v>
      </c>
      <c r="P1911" t="s" s="80">
        <v>842</v>
      </c>
      <c r="Q1911" s="100"/>
      <c r="R1911" t="s" s="137">
        <v>743</v>
      </c>
      <c r="S1911" s="77"/>
    </row>
    <row r="1912" ht="13.65" customHeight="1">
      <c r="A1912" s="84">
        <v>46235</v>
      </c>
      <c r="B1912" t="s" s="85">
        <v>63</v>
      </c>
      <c r="C1912" t="s" s="86">
        <v>1141</v>
      </c>
      <c r="D1912" s="138">
        <v>52</v>
      </c>
      <c r="E1912" t="s" s="85">
        <v>1150</v>
      </c>
      <c r="F1912" t="s" s="86">
        <v>209</v>
      </c>
      <c r="G1912" s="139">
        <v>180</v>
      </c>
      <c r="H1912" t="s" s="140">
        <v>113</v>
      </c>
      <c r="I1912" t="s" s="141">
        <v>113</v>
      </c>
      <c r="J1912" t="s" s="141">
        <v>97</v>
      </c>
      <c r="K1912" t="str" s="142" cm="1">
        <f t="array" ref="K1912">IF(OR(H1912="ריביות",AND(H1912="דירה כצנלסון",G1912&lt;0,ISNUMBER(SEARCH("הכנסה",F1912)))),"הכנסה שסווגה מחדש",J1912)</f>
        <v>שוטף</v>
      </c>
      <c r="L1912" t="s" s="141">
        <v>741</v>
      </c>
      <c r="M1912" s="143" cm="1">
        <f t="array" ref="M1912">IF(L1912="מאושר",IF(K1912="הכנסה שסווגה מחדש",0,G1912),0)</f>
        <v>180</v>
      </c>
      <c r="N1912" s="143" cm="1">
        <f t="array" ref="N1912">IF(K1912="שוטף",M1912,0)</f>
        <v>180</v>
      </c>
      <c r="O1912" s="143" cm="1">
        <f t="array" ref="O1912">IF(K1912="הכנסה שסווגה מחדש",-G1912,0)</f>
        <v>0</v>
      </c>
      <c r="P1912" t="s" s="86">
        <v>842</v>
      </c>
      <c r="Q1912" s="99"/>
      <c r="R1912" t="s" s="144">
        <v>743</v>
      </c>
      <c r="S1912" s="77"/>
    </row>
    <row r="1913" ht="13.65" customHeight="1">
      <c r="A1913" s="78">
        <v>46235</v>
      </c>
      <c r="B1913" t="s" s="79">
        <v>63</v>
      </c>
      <c r="C1913" t="s" s="80">
        <v>1141</v>
      </c>
      <c r="D1913" s="131">
        <v>53</v>
      </c>
      <c r="E1913" t="s" s="79">
        <v>1149</v>
      </c>
      <c r="F1913" t="s" s="80">
        <v>209</v>
      </c>
      <c r="G1913" s="132">
        <v>9</v>
      </c>
      <c r="H1913" t="s" s="133">
        <v>113</v>
      </c>
      <c r="I1913" t="s" s="134">
        <v>113</v>
      </c>
      <c r="J1913" t="s" s="134">
        <v>97</v>
      </c>
      <c r="K1913" t="str" s="135" cm="1">
        <f t="array" ref="K1913">IF(OR(H1913="ריביות",AND(H1913="דירה כצנלסון",G1913&lt;0,ISNUMBER(SEARCH("הכנסה",F1913)))),"הכנסה שסווגה מחדש",J1913)</f>
        <v>שוטף</v>
      </c>
      <c r="L1913" t="s" s="134">
        <v>741</v>
      </c>
      <c r="M1913" s="136" cm="1">
        <f t="array" ref="M1913">IF(L1913="מאושר",IF(K1913="הכנסה שסווגה מחדש",0,G1913),0)</f>
        <v>9</v>
      </c>
      <c r="N1913" s="136" cm="1">
        <f t="array" ref="N1913">IF(K1913="שוטף",M1913,0)</f>
        <v>9</v>
      </c>
      <c r="O1913" s="136" cm="1">
        <f t="array" ref="O1913">IF(K1913="הכנסה שסווגה מחדש",-G1913,0)</f>
        <v>0</v>
      </c>
      <c r="P1913" t="s" s="80">
        <v>842</v>
      </c>
      <c r="Q1913" s="100"/>
      <c r="R1913" t="s" s="137">
        <v>743</v>
      </c>
      <c r="S1913" s="77"/>
    </row>
    <row r="1914" ht="13.65" customHeight="1">
      <c r="A1914" s="84">
        <v>46235</v>
      </c>
      <c r="B1914" t="s" s="85">
        <v>63</v>
      </c>
      <c r="C1914" t="s" s="86">
        <v>1141</v>
      </c>
      <c r="D1914" s="138">
        <v>54</v>
      </c>
      <c r="E1914" t="s" s="85">
        <v>1173</v>
      </c>
      <c r="F1914" t="s" s="86">
        <v>325</v>
      </c>
      <c r="G1914" s="139">
        <v>373</v>
      </c>
      <c r="H1914" t="s" s="140">
        <v>125</v>
      </c>
      <c r="I1914" t="s" s="141">
        <v>125</v>
      </c>
      <c r="J1914" t="s" s="141">
        <v>97</v>
      </c>
      <c r="K1914" t="str" s="142" cm="1">
        <f t="array" ref="K1914">IF(OR(H1914="ריביות",AND(H1914="דירה כצנלסון",G1914&lt;0,ISNUMBER(SEARCH("הכנסה",F1914)))),"הכנסה שסווגה מחדש",J1914)</f>
        <v>שוטף</v>
      </c>
      <c r="L1914" t="s" s="141">
        <v>741</v>
      </c>
      <c r="M1914" s="143" cm="1">
        <f t="array" ref="M1914">IF(L1914="מאושר",IF(K1914="הכנסה שסווגה מחדש",0,G1914),0)</f>
        <v>373</v>
      </c>
      <c r="N1914" s="143" cm="1">
        <f t="array" ref="N1914">IF(K1914="שוטף",M1914,0)</f>
        <v>373</v>
      </c>
      <c r="O1914" s="143" cm="1">
        <f t="array" ref="O1914">IF(K1914="הכנסה שסווגה מחדש",-G1914,0)</f>
        <v>0</v>
      </c>
      <c r="P1914" t="s" s="86">
        <v>842</v>
      </c>
      <c r="Q1914" s="99"/>
      <c r="R1914" t="s" s="144">
        <v>743</v>
      </c>
      <c r="S1914" s="77"/>
    </row>
    <row r="1915" ht="13.65" customHeight="1">
      <c r="A1915" s="78">
        <v>46235</v>
      </c>
      <c r="B1915" t="s" s="79">
        <v>63</v>
      </c>
      <c r="C1915" t="s" s="80">
        <v>1141</v>
      </c>
      <c r="D1915" s="131">
        <v>55</v>
      </c>
      <c r="E1915" t="s" s="79">
        <v>1174</v>
      </c>
      <c r="F1915" t="s" s="80">
        <v>209</v>
      </c>
      <c r="G1915" s="132">
        <v>24</v>
      </c>
      <c r="H1915" t="s" s="133">
        <v>113</v>
      </c>
      <c r="I1915" t="s" s="134">
        <v>113</v>
      </c>
      <c r="J1915" t="s" s="134">
        <v>97</v>
      </c>
      <c r="K1915" t="str" s="135" cm="1">
        <f t="array" ref="K1915">IF(OR(H1915="ריביות",AND(H1915="דירה כצנלסון",G1915&lt;0,ISNUMBER(SEARCH("הכנסה",F1915)))),"הכנסה שסווגה מחדש",J1915)</f>
        <v>שוטף</v>
      </c>
      <c r="L1915" t="s" s="134">
        <v>741</v>
      </c>
      <c r="M1915" s="136" cm="1">
        <f t="array" ref="M1915">IF(L1915="מאושר",IF(K1915="הכנסה שסווגה מחדש",0,G1915),0)</f>
        <v>24</v>
      </c>
      <c r="N1915" s="136" cm="1">
        <f t="array" ref="N1915">IF(K1915="שוטף",M1915,0)</f>
        <v>24</v>
      </c>
      <c r="O1915" s="136" cm="1">
        <f t="array" ref="O1915">IF(K1915="הכנסה שסווגה מחדש",-G1915,0)</f>
        <v>0</v>
      </c>
      <c r="P1915" t="s" s="80">
        <v>842</v>
      </c>
      <c r="Q1915" s="100"/>
      <c r="R1915" t="s" s="137">
        <v>743</v>
      </c>
      <c r="S1915" s="77"/>
    </row>
    <row r="1916" ht="13.65" customHeight="1">
      <c r="A1916" s="84">
        <v>46235</v>
      </c>
      <c r="B1916" t="s" s="85">
        <v>63</v>
      </c>
      <c r="C1916" t="s" s="86">
        <v>1141</v>
      </c>
      <c r="D1916" s="138">
        <v>56</v>
      </c>
      <c r="E1916" t="s" s="85">
        <v>1175</v>
      </c>
      <c r="F1916" t="s" s="86">
        <v>561</v>
      </c>
      <c r="G1916" s="139">
        <v>75</v>
      </c>
      <c r="H1916" t="s" s="140">
        <v>125</v>
      </c>
      <c r="I1916" t="s" s="141">
        <v>125</v>
      </c>
      <c r="J1916" t="s" s="141">
        <v>97</v>
      </c>
      <c r="K1916" t="str" s="142" cm="1">
        <f t="array" ref="K1916">IF(OR(H1916="ריביות",AND(H1916="דירה כצנלסון",G1916&lt;0,ISNUMBER(SEARCH("הכנסה",F1916)))),"הכנסה שסווגה מחדש",J1916)</f>
        <v>שוטף</v>
      </c>
      <c r="L1916" t="s" s="141">
        <v>741</v>
      </c>
      <c r="M1916" s="143" cm="1">
        <f t="array" ref="M1916">IF(L1916="מאושר",IF(K1916="הכנסה שסווגה מחדש",0,G1916),0)</f>
        <v>75</v>
      </c>
      <c r="N1916" s="143" cm="1">
        <f t="array" ref="N1916">IF(K1916="שוטף",M1916,0)</f>
        <v>75</v>
      </c>
      <c r="O1916" s="143" cm="1">
        <f t="array" ref="O1916">IF(K1916="הכנסה שסווגה מחדש",-G1916,0)</f>
        <v>0</v>
      </c>
      <c r="P1916" t="s" s="86">
        <v>842</v>
      </c>
      <c r="Q1916" s="99"/>
      <c r="R1916" t="s" s="144">
        <v>743</v>
      </c>
      <c r="S1916" s="77"/>
    </row>
    <row r="1917" ht="13.65" customHeight="1">
      <c r="A1917" s="78">
        <v>46235</v>
      </c>
      <c r="B1917" t="s" s="79">
        <v>63</v>
      </c>
      <c r="C1917" t="s" s="80">
        <v>1141</v>
      </c>
      <c r="D1917" s="131">
        <v>57</v>
      </c>
      <c r="E1917" t="s" s="79">
        <v>1175</v>
      </c>
      <c r="F1917" t="s" s="80">
        <v>299</v>
      </c>
      <c r="G1917" s="132">
        <v>1000</v>
      </c>
      <c r="H1917" t="s" s="133">
        <v>125</v>
      </c>
      <c r="I1917" t="s" s="134">
        <v>125</v>
      </c>
      <c r="J1917" t="s" s="134">
        <v>97</v>
      </c>
      <c r="K1917" t="str" s="135" cm="1">
        <f t="array" ref="K1917">IF(OR(H1917="ריביות",AND(H1917="דירה כצנלסון",G1917&lt;0,ISNUMBER(SEARCH("הכנסה",F1917)))),"הכנסה שסווגה מחדש",J1917)</f>
        <v>שוטף</v>
      </c>
      <c r="L1917" t="s" s="134">
        <v>741</v>
      </c>
      <c r="M1917" s="136" cm="1">
        <f t="array" ref="M1917">IF(L1917="מאושר",IF(K1917="הכנסה שסווגה מחדש",0,G1917),0)</f>
        <v>1000</v>
      </c>
      <c r="N1917" s="136" cm="1">
        <f t="array" ref="N1917">IF(K1917="שוטף",M1917,0)</f>
        <v>1000</v>
      </c>
      <c r="O1917" s="136" cm="1">
        <f t="array" ref="O1917">IF(K1917="הכנסה שסווגה מחדש",-G1917,0)</f>
        <v>0</v>
      </c>
      <c r="P1917" t="s" s="80">
        <v>842</v>
      </c>
      <c r="Q1917" s="100"/>
      <c r="R1917" t="s" s="137">
        <v>743</v>
      </c>
      <c r="S1917" s="77"/>
    </row>
    <row r="1918" ht="13.65" customHeight="1">
      <c r="A1918" s="84">
        <v>46235</v>
      </c>
      <c r="B1918" t="s" s="85">
        <v>63</v>
      </c>
      <c r="C1918" t="s" s="86">
        <v>1141</v>
      </c>
      <c r="D1918" s="138">
        <v>58</v>
      </c>
      <c r="E1918" t="s" s="85">
        <v>1176</v>
      </c>
      <c r="F1918" t="s" s="86">
        <v>213</v>
      </c>
      <c r="G1918" s="139">
        <v>213</v>
      </c>
      <c r="H1918" t="s" s="140">
        <v>115</v>
      </c>
      <c r="I1918" t="s" s="141">
        <v>115</v>
      </c>
      <c r="J1918" t="s" s="141">
        <v>97</v>
      </c>
      <c r="K1918" t="str" s="142" cm="1">
        <f t="array" ref="K1918">IF(OR(H1918="ריביות",AND(H1918="דירה כצנלסון",G1918&lt;0,ISNUMBER(SEARCH("הכנסה",F1918)))),"הכנסה שסווגה מחדש",J1918)</f>
        <v>שוטף</v>
      </c>
      <c r="L1918" t="s" s="141">
        <v>741</v>
      </c>
      <c r="M1918" s="143" cm="1">
        <f t="array" ref="M1918">IF(L1918="מאושר",IF(K1918="הכנסה שסווגה מחדש",0,G1918),0)</f>
        <v>213</v>
      </c>
      <c r="N1918" s="143" cm="1">
        <f t="array" ref="N1918">IF(K1918="שוטף",M1918,0)</f>
        <v>213</v>
      </c>
      <c r="O1918" s="143" cm="1">
        <f t="array" ref="O1918">IF(K1918="הכנסה שסווגה מחדש",-G1918,0)</f>
        <v>0</v>
      </c>
      <c r="P1918" t="s" s="86">
        <v>842</v>
      </c>
      <c r="Q1918" s="99"/>
      <c r="R1918" t="s" s="144">
        <v>743</v>
      </c>
      <c r="S1918" s="77"/>
    </row>
    <row r="1919" ht="13.65" customHeight="1">
      <c r="A1919" s="78">
        <v>46235</v>
      </c>
      <c r="B1919" t="s" s="79">
        <v>63</v>
      </c>
      <c r="C1919" t="s" s="80">
        <v>1141</v>
      </c>
      <c r="D1919" s="131">
        <v>59</v>
      </c>
      <c r="E1919" t="s" s="79">
        <v>1177</v>
      </c>
      <c r="F1919" t="s" s="80">
        <v>654</v>
      </c>
      <c r="G1919" s="132">
        <v>26</v>
      </c>
      <c r="H1919" t="s" s="133">
        <v>115</v>
      </c>
      <c r="I1919" t="s" s="134">
        <v>115</v>
      </c>
      <c r="J1919" t="s" s="134">
        <v>97</v>
      </c>
      <c r="K1919" t="str" s="135" cm="1">
        <f t="array" ref="K1919">IF(OR(H1919="ריביות",AND(H1919="דירה כצנלסון",G1919&lt;0,ISNUMBER(SEARCH("הכנסה",F1919)))),"הכנסה שסווגה מחדש",J1919)</f>
        <v>שוטף</v>
      </c>
      <c r="L1919" t="s" s="134">
        <v>741</v>
      </c>
      <c r="M1919" s="136" cm="1">
        <f t="array" ref="M1919">IF(L1919="מאושר",IF(K1919="הכנסה שסווגה מחדש",0,G1919),0)</f>
        <v>26</v>
      </c>
      <c r="N1919" s="136" cm="1">
        <f t="array" ref="N1919">IF(K1919="שוטף",M1919,0)</f>
        <v>26</v>
      </c>
      <c r="O1919" s="136" cm="1">
        <f t="array" ref="O1919">IF(K1919="הכנסה שסווגה מחדש",-G1919,0)</f>
        <v>0</v>
      </c>
      <c r="P1919" t="s" s="80">
        <v>842</v>
      </c>
      <c r="Q1919" s="100"/>
      <c r="R1919" t="s" s="137">
        <v>743</v>
      </c>
      <c r="S1919" s="77"/>
    </row>
    <row r="1920" ht="13.65" customHeight="1">
      <c r="A1920" s="84">
        <v>46235</v>
      </c>
      <c r="B1920" t="s" s="85">
        <v>63</v>
      </c>
      <c r="C1920" t="s" s="86">
        <v>1141</v>
      </c>
      <c r="D1920" s="138">
        <v>60</v>
      </c>
      <c r="E1920" t="s" s="85">
        <v>1177</v>
      </c>
      <c r="F1920" t="s" s="86">
        <v>231</v>
      </c>
      <c r="G1920" s="139">
        <v>15</v>
      </c>
      <c r="H1920" s="145"/>
      <c r="I1920" t="s" s="141">
        <v>137</v>
      </c>
      <c r="J1920" t="s" s="141">
        <v>97</v>
      </c>
      <c r="K1920" t="str" s="142" cm="1">
        <f t="array" ref="K1920">IF(OR(H1920="ריביות",AND(H1920="דירה כצנלסון",G1920&lt;0,ISNUMBER(SEARCH("הכנסה",F1920)))),"הכנסה שסווגה מחדש",J1920)</f>
        <v>שוטף</v>
      </c>
      <c r="L1920" t="s" s="141">
        <v>741</v>
      </c>
      <c r="M1920" s="143" cm="1">
        <f t="array" ref="M1920">IF(L1920="מאושר",IF(K1920="הכנסה שסווגה מחדש",0,G1920),0)</f>
        <v>15</v>
      </c>
      <c r="N1920" s="143" cm="1">
        <f t="array" ref="N1920">IF(K1920="שוטף",M1920,0)</f>
        <v>15</v>
      </c>
      <c r="O1920" s="143" cm="1">
        <f t="array" ref="O1920">IF(K1920="הכנסה שסווגה מחדש",-G1920,0)</f>
        <v>0</v>
      </c>
      <c r="P1920" t="s" s="86">
        <v>842</v>
      </c>
      <c r="Q1920" s="99"/>
      <c r="R1920" t="s" s="144">
        <v>743</v>
      </c>
      <c r="S1920" s="77"/>
    </row>
    <row r="1921" ht="13.65" customHeight="1">
      <c r="A1921" s="78">
        <v>46235</v>
      </c>
      <c r="B1921" t="s" s="79">
        <v>63</v>
      </c>
      <c r="C1921" t="s" s="80">
        <v>1141</v>
      </c>
      <c r="D1921" s="131">
        <v>61</v>
      </c>
      <c r="E1921" t="s" s="79">
        <v>1178</v>
      </c>
      <c r="F1921" t="s" s="79">
        <v>268</v>
      </c>
      <c r="G1921" s="132">
        <v>-601</v>
      </c>
      <c r="H1921" t="s" s="133">
        <v>123</v>
      </c>
      <c r="I1921" t="s" s="134">
        <v>123</v>
      </c>
      <c r="J1921" t="s" s="134">
        <v>97</v>
      </c>
      <c r="K1921" t="str" s="135" cm="1">
        <f t="array" ref="K1921">IF(OR(H1921="ריביות",AND(H1921="דירה כצנלסון",G1921&lt;0,ISNUMBER(SEARCH("הכנסה",F1921)))),"הכנסה שסווגה מחדש",J1921)</f>
        <v>שוטף</v>
      </c>
      <c r="L1921" t="s" s="134">
        <v>741</v>
      </c>
      <c r="M1921" s="136" cm="1">
        <f t="array" ref="M1921">IF(L1921="מאושר",IF(K1921="הכנסה שסווגה מחדש",0,G1921),0)</f>
        <v>-601</v>
      </c>
      <c r="N1921" s="136" cm="1">
        <f t="array" ref="N1921">IF(K1921="שוטף",M1921,0)</f>
        <v>-601</v>
      </c>
      <c r="O1921" s="136" cm="1">
        <f t="array" ref="O1921">IF(K1921="הכנסה שסווגה מחדש",-G1921,0)</f>
        <v>0</v>
      </c>
      <c r="P1921" t="s" s="80">
        <v>842</v>
      </c>
      <c r="Q1921" s="100"/>
      <c r="R1921" t="s" s="137">
        <v>743</v>
      </c>
      <c r="S1921" s="77"/>
    </row>
    <row r="1922" ht="13.65" customHeight="1">
      <c r="A1922" s="84">
        <v>46235</v>
      </c>
      <c r="B1922" t="s" s="85">
        <v>63</v>
      </c>
      <c r="C1922" t="s" s="86">
        <v>1141</v>
      </c>
      <c r="D1922" s="138">
        <v>62</v>
      </c>
      <c r="E1922" t="s" s="85">
        <v>1179</v>
      </c>
      <c r="F1922" t="s" s="86">
        <v>125</v>
      </c>
      <c r="G1922" s="139">
        <v>20</v>
      </c>
      <c r="H1922" s="145"/>
      <c r="I1922" t="s" s="141">
        <v>137</v>
      </c>
      <c r="J1922" t="s" s="141">
        <v>97</v>
      </c>
      <c r="K1922" t="str" s="142" cm="1">
        <f t="array" ref="K1922">IF(OR(H1922="ריביות",AND(H1922="דירה כצנלסון",G1922&lt;0,ISNUMBER(SEARCH("הכנסה",F1922)))),"הכנסה שסווגה מחדש",J1922)</f>
        <v>שוטף</v>
      </c>
      <c r="L1922" t="s" s="141">
        <v>741</v>
      </c>
      <c r="M1922" s="143" cm="1">
        <f t="array" ref="M1922">IF(L1922="מאושר",IF(K1922="הכנסה שסווגה מחדש",0,G1922),0)</f>
        <v>20</v>
      </c>
      <c r="N1922" s="143" cm="1">
        <f t="array" ref="N1922">IF(K1922="שוטף",M1922,0)</f>
        <v>20</v>
      </c>
      <c r="O1922" s="143" cm="1">
        <f t="array" ref="O1922">IF(K1922="הכנסה שסווגה מחדש",-G1922,0)</f>
        <v>0</v>
      </c>
      <c r="P1922" t="s" s="86">
        <v>842</v>
      </c>
      <c r="Q1922" s="99"/>
      <c r="R1922" t="s" s="144">
        <v>743</v>
      </c>
      <c r="S1922" s="77"/>
    </row>
    <row r="1923" ht="13.65" customHeight="1">
      <c r="A1923" s="78">
        <v>46235</v>
      </c>
      <c r="B1923" t="s" s="79">
        <v>63</v>
      </c>
      <c r="C1923" t="s" s="80">
        <v>1141</v>
      </c>
      <c r="D1923" s="131">
        <v>63</v>
      </c>
      <c r="E1923" t="s" s="79">
        <v>1156</v>
      </c>
      <c r="F1923" t="s" s="80">
        <v>630</v>
      </c>
      <c r="G1923" s="132">
        <v>12</v>
      </c>
      <c r="H1923" t="s" s="133">
        <v>121</v>
      </c>
      <c r="I1923" t="s" s="134">
        <v>121</v>
      </c>
      <c r="J1923" t="s" s="134">
        <v>97</v>
      </c>
      <c r="K1923" t="str" s="135" cm="1">
        <f t="array" ref="K1923">IF(OR(H1923="ריביות",AND(H1923="דירה כצנלסון",G1923&lt;0,ISNUMBER(SEARCH("הכנסה",F1923)))),"הכנסה שסווגה מחדש",J1923)</f>
        <v>שוטף</v>
      </c>
      <c r="L1923" t="s" s="134">
        <v>741</v>
      </c>
      <c r="M1923" s="136" cm="1">
        <f t="array" ref="M1923">IF(L1923="מאושר",IF(K1923="הכנסה שסווגה מחדש",0,G1923),0)</f>
        <v>12</v>
      </c>
      <c r="N1923" s="136" cm="1">
        <f t="array" ref="N1923">IF(K1923="שוטף",M1923,0)</f>
        <v>12</v>
      </c>
      <c r="O1923" s="136" cm="1">
        <f t="array" ref="O1923">IF(K1923="הכנסה שסווגה מחדש",-G1923,0)</f>
        <v>0</v>
      </c>
      <c r="P1923" t="s" s="80">
        <v>842</v>
      </c>
      <c r="Q1923" s="100"/>
      <c r="R1923" t="s" s="137">
        <v>743</v>
      </c>
      <c r="S1923" s="77"/>
    </row>
    <row r="1924" ht="13.65" customHeight="1">
      <c r="A1924" s="84">
        <v>46235</v>
      </c>
      <c r="B1924" t="s" s="85">
        <v>63</v>
      </c>
      <c r="C1924" t="s" s="86">
        <v>1141</v>
      </c>
      <c r="D1924" s="138">
        <v>64</v>
      </c>
      <c r="E1924" t="s" s="85">
        <v>1180</v>
      </c>
      <c r="F1924" t="s" s="86">
        <v>209</v>
      </c>
      <c r="G1924" s="139">
        <v>21</v>
      </c>
      <c r="H1924" t="s" s="140">
        <v>113</v>
      </c>
      <c r="I1924" t="s" s="141">
        <v>113</v>
      </c>
      <c r="J1924" t="s" s="141">
        <v>97</v>
      </c>
      <c r="K1924" t="str" s="142" cm="1">
        <f t="array" ref="K1924">IF(OR(H1924="ריביות",AND(H1924="דירה כצנלסון",G1924&lt;0,ISNUMBER(SEARCH("הכנסה",F1924)))),"הכנסה שסווגה מחדש",J1924)</f>
        <v>שוטף</v>
      </c>
      <c r="L1924" t="s" s="141">
        <v>741</v>
      </c>
      <c r="M1924" s="143" cm="1">
        <f t="array" ref="M1924">IF(L1924="מאושר",IF(K1924="הכנסה שסווגה מחדש",0,G1924),0)</f>
        <v>21</v>
      </c>
      <c r="N1924" s="143" cm="1">
        <f t="array" ref="N1924">IF(K1924="שוטף",M1924,0)</f>
        <v>21</v>
      </c>
      <c r="O1924" s="143" cm="1">
        <f t="array" ref="O1924">IF(K1924="הכנסה שסווגה מחדש",-G1924,0)</f>
        <v>0</v>
      </c>
      <c r="P1924" t="s" s="86">
        <v>842</v>
      </c>
      <c r="Q1924" s="99"/>
      <c r="R1924" t="s" s="144">
        <v>743</v>
      </c>
      <c r="S1924" s="77"/>
    </row>
    <row r="1925" ht="13.65" customHeight="1">
      <c r="A1925" s="78">
        <v>46235</v>
      </c>
      <c r="B1925" t="s" s="79">
        <v>63</v>
      </c>
      <c r="C1925" t="s" s="80">
        <v>1141</v>
      </c>
      <c r="D1925" s="131">
        <v>65</v>
      </c>
      <c r="E1925" t="s" s="79">
        <v>1180</v>
      </c>
      <c r="F1925" t="s" s="80">
        <v>209</v>
      </c>
      <c r="G1925" s="132">
        <v>9</v>
      </c>
      <c r="H1925" t="s" s="133">
        <v>113</v>
      </c>
      <c r="I1925" t="s" s="134">
        <v>113</v>
      </c>
      <c r="J1925" t="s" s="134">
        <v>97</v>
      </c>
      <c r="K1925" t="str" s="135" cm="1">
        <f t="array" ref="K1925">IF(OR(H1925="ריביות",AND(H1925="דירה כצנלסון",G1925&lt;0,ISNUMBER(SEARCH("הכנסה",F1925)))),"הכנסה שסווגה מחדש",J1925)</f>
        <v>שוטף</v>
      </c>
      <c r="L1925" t="s" s="134">
        <v>741</v>
      </c>
      <c r="M1925" s="136" cm="1">
        <f t="array" ref="M1925">IF(L1925="מאושר",IF(K1925="הכנסה שסווגה מחדש",0,G1925),0)</f>
        <v>9</v>
      </c>
      <c r="N1925" s="136" cm="1">
        <f t="array" ref="N1925">IF(K1925="שוטף",M1925,0)</f>
        <v>9</v>
      </c>
      <c r="O1925" s="136" cm="1">
        <f t="array" ref="O1925">IF(K1925="הכנסה שסווגה מחדש",-G1925,0)</f>
        <v>0</v>
      </c>
      <c r="P1925" t="s" s="80">
        <v>842</v>
      </c>
      <c r="Q1925" s="100"/>
      <c r="R1925" t="s" s="137">
        <v>743</v>
      </c>
      <c r="S1925" s="77"/>
    </row>
    <row r="1926" ht="13.65" customHeight="1">
      <c r="A1926" s="84">
        <v>46235</v>
      </c>
      <c r="B1926" t="s" s="85">
        <v>63</v>
      </c>
      <c r="C1926" t="s" s="86">
        <v>1141</v>
      </c>
      <c r="D1926" s="138">
        <v>66</v>
      </c>
      <c r="E1926" t="s" s="85">
        <v>1180</v>
      </c>
      <c r="F1926" t="s" s="86">
        <v>209</v>
      </c>
      <c r="G1926" s="139">
        <v>352</v>
      </c>
      <c r="H1926" t="s" s="140">
        <v>113</v>
      </c>
      <c r="I1926" t="s" s="141">
        <v>113</v>
      </c>
      <c r="J1926" t="s" s="141">
        <v>97</v>
      </c>
      <c r="K1926" t="str" s="142" cm="1">
        <f t="array" ref="K1926">IF(OR(H1926="ריביות",AND(H1926="דירה כצנלסון",G1926&lt;0,ISNUMBER(SEARCH("הכנסה",F1926)))),"הכנסה שסווגה מחדש",J1926)</f>
        <v>שוטף</v>
      </c>
      <c r="L1926" t="s" s="141">
        <v>741</v>
      </c>
      <c r="M1926" s="143" cm="1">
        <f t="array" ref="M1926">IF(L1926="מאושר",IF(K1926="הכנסה שסווגה מחדש",0,G1926),0)</f>
        <v>352</v>
      </c>
      <c r="N1926" s="143" cm="1">
        <f t="array" ref="N1926">IF(K1926="שוטף",M1926,0)</f>
        <v>352</v>
      </c>
      <c r="O1926" s="143" cm="1">
        <f t="array" ref="O1926">IF(K1926="הכנסה שסווגה מחדש",-G1926,0)</f>
        <v>0</v>
      </c>
      <c r="P1926" t="s" s="86">
        <v>842</v>
      </c>
      <c r="Q1926" s="99"/>
      <c r="R1926" t="s" s="144">
        <v>743</v>
      </c>
      <c r="S1926" s="77"/>
    </row>
    <row r="1927" ht="13.65" customHeight="1">
      <c r="A1927" s="78">
        <v>46235</v>
      </c>
      <c r="B1927" t="s" s="79">
        <v>63</v>
      </c>
      <c r="C1927" t="s" s="80">
        <v>1141</v>
      </c>
      <c r="D1927" s="131">
        <v>67</v>
      </c>
      <c r="E1927" t="s" s="79">
        <v>1181</v>
      </c>
      <c r="F1927" t="s" s="80">
        <v>254</v>
      </c>
      <c r="G1927" s="132">
        <v>138</v>
      </c>
      <c r="H1927" t="s" s="133">
        <v>109</v>
      </c>
      <c r="I1927" t="s" s="134">
        <v>109</v>
      </c>
      <c r="J1927" t="s" s="134">
        <v>97</v>
      </c>
      <c r="K1927" t="str" s="135" cm="1">
        <f t="array" ref="K1927">IF(OR(H1927="ריביות",AND(H1927="דירה כצנלסון",G1927&lt;0,ISNUMBER(SEARCH("הכנסה",F1927)))),"הכנסה שסווגה מחדש",J1927)</f>
        <v>שוטף</v>
      </c>
      <c r="L1927" t="s" s="134">
        <v>741</v>
      </c>
      <c r="M1927" s="136" cm="1">
        <f t="array" ref="M1927">IF(L1927="מאושר",IF(K1927="הכנסה שסווגה מחדש",0,G1927),0)</f>
        <v>138</v>
      </c>
      <c r="N1927" s="136" cm="1">
        <f t="array" ref="N1927">IF(K1927="שוטף",M1927,0)</f>
        <v>138</v>
      </c>
      <c r="O1927" s="136" cm="1">
        <f t="array" ref="O1927">IF(K1927="הכנסה שסווגה מחדש",-G1927,0)</f>
        <v>0</v>
      </c>
      <c r="P1927" t="s" s="80">
        <v>842</v>
      </c>
      <c r="Q1927" s="100"/>
      <c r="R1927" t="s" s="137">
        <v>743</v>
      </c>
      <c r="S1927" s="77"/>
    </row>
    <row r="1928" ht="13.65" customHeight="1">
      <c r="A1928" s="84">
        <v>46235</v>
      </c>
      <c r="B1928" t="s" s="85">
        <v>63</v>
      </c>
      <c r="C1928" t="s" s="86">
        <v>1141</v>
      </c>
      <c r="D1928" s="138">
        <v>68</v>
      </c>
      <c r="E1928" t="s" s="85">
        <v>1182</v>
      </c>
      <c r="F1928" t="s" s="86">
        <v>213</v>
      </c>
      <c r="G1928" s="139">
        <v>234</v>
      </c>
      <c r="H1928" t="s" s="140">
        <v>115</v>
      </c>
      <c r="I1928" t="s" s="141">
        <v>115</v>
      </c>
      <c r="J1928" t="s" s="141">
        <v>97</v>
      </c>
      <c r="K1928" t="str" s="142" cm="1">
        <f t="array" ref="K1928">IF(OR(H1928="ריביות",AND(H1928="דירה כצנלסון",G1928&lt;0,ISNUMBER(SEARCH("הכנסה",F1928)))),"הכנסה שסווגה מחדש",J1928)</f>
        <v>שוטף</v>
      </c>
      <c r="L1928" t="s" s="141">
        <v>741</v>
      </c>
      <c r="M1928" s="143" cm="1">
        <f t="array" ref="M1928">IF(L1928="מאושר",IF(K1928="הכנסה שסווגה מחדש",0,G1928),0)</f>
        <v>234</v>
      </c>
      <c r="N1928" s="143" cm="1">
        <f t="array" ref="N1928">IF(K1928="שוטף",M1928,0)</f>
        <v>234</v>
      </c>
      <c r="O1928" s="143" cm="1">
        <f t="array" ref="O1928">IF(K1928="הכנסה שסווגה מחדש",-G1928,0)</f>
        <v>0</v>
      </c>
      <c r="P1928" t="s" s="86">
        <v>842</v>
      </c>
      <c r="Q1928" s="99"/>
      <c r="R1928" t="s" s="144">
        <v>743</v>
      </c>
      <c r="S1928" s="77"/>
    </row>
    <row r="1929" ht="13.65" customHeight="1">
      <c r="A1929" s="78">
        <v>46235</v>
      </c>
      <c r="B1929" t="s" s="79">
        <v>63</v>
      </c>
      <c r="C1929" t="s" s="80">
        <v>1141</v>
      </c>
      <c r="D1929" s="131">
        <v>69</v>
      </c>
      <c r="E1929" t="s" s="79">
        <v>1164</v>
      </c>
      <c r="F1929" t="s" s="80">
        <v>209</v>
      </c>
      <c r="G1929" s="132">
        <v>58</v>
      </c>
      <c r="H1929" t="s" s="133">
        <v>113</v>
      </c>
      <c r="I1929" t="s" s="134">
        <v>113</v>
      </c>
      <c r="J1929" t="s" s="134">
        <v>97</v>
      </c>
      <c r="K1929" t="str" s="135" cm="1">
        <f t="array" ref="K1929">IF(OR(H1929="ריביות",AND(H1929="דירה כצנלסון",G1929&lt;0,ISNUMBER(SEARCH("הכנסה",F1929)))),"הכנסה שסווגה מחדש",J1929)</f>
        <v>שוטף</v>
      </c>
      <c r="L1929" t="s" s="134">
        <v>741</v>
      </c>
      <c r="M1929" s="136" cm="1">
        <f t="array" ref="M1929">IF(L1929="מאושר",IF(K1929="הכנסה שסווגה מחדש",0,G1929),0)</f>
        <v>58</v>
      </c>
      <c r="N1929" s="136" cm="1">
        <f t="array" ref="N1929">IF(K1929="שוטף",M1929,0)</f>
        <v>58</v>
      </c>
      <c r="O1929" s="136" cm="1">
        <f t="array" ref="O1929">IF(K1929="הכנסה שסווגה מחדש",-G1929,0)</f>
        <v>0</v>
      </c>
      <c r="P1929" t="s" s="80">
        <v>842</v>
      </c>
      <c r="Q1929" s="100"/>
      <c r="R1929" t="s" s="137">
        <v>743</v>
      </c>
      <c r="S1929" s="77"/>
    </row>
    <row r="1930" ht="13.65" customHeight="1">
      <c r="A1930" s="84">
        <v>46235</v>
      </c>
      <c r="B1930" t="s" s="85">
        <v>63</v>
      </c>
      <c r="C1930" t="s" s="86">
        <v>1141</v>
      </c>
      <c r="D1930" s="138">
        <v>70</v>
      </c>
      <c r="E1930" t="s" s="85">
        <v>1164</v>
      </c>
      <c r="F1930" t="s" s="86">
        <v>642</v>
      </c>
      <c r="G1930" s="139">
        <v>34</v>
      </c>
      <c r="H1930" s="145"/>
      <c r="I1930" t="s" s="141">
        <v>137</v>
      </c>
      <c r="J1930" t="s" s="141">
        <v>97</v>
      </c>
      <c r="K1930" t="str" s="142" cm="1">
        <f t="array" ref="K1930">IF(OR(H1930="ריביות",AND(H1930="דירה כצנלסון",G1930&lt;0,ISNUMBER(SEARCH("הכנסה",F1930)))),"הכנסה שסווגה מחדש",J1930)</f>
        <v>שוטף</v>
      </c>
      <c r="L1930" t="s" s="141">
        <v>741</v>
      </c>
      <c r="M1930" s="143" cm="1">
        <f t="array" ref="M1930">IF(L1930="מאושר",IF(K1930="הכנסה שסווגה מחדש",0,G1930),0)</f>
        <v>34</v>
      </c>
      <c r="N1930" s="143" cm="1">
        <f t="array" ref="N1930">IF(K1930="שוטף",M1930,0)</f>
        <v>34</v>
      </c>
      <c r="O1930" s="143" cm="1">
        <f t="array" ref="O1930">IF(K1930="הכנסה שסווגה מחדש",-G1930,0)</f>
        <v>0</v>
      </c>
      <c r="P1930" t="s" s="86">
        <v>842</v>
      </c>
      <c r="Q1930" s="99"/>
      <c r="R1930" t="s" s="144">
        <v>743</v>
      </c>
      <c r="S1930" s="77"/>
    </row>
    <row r="1931" ht="13.65" customHeight="1">
      <c r="A1931" s="78">
        <v>46235</v>
      </c>
      <c r="B1931" t="s" s="79">
        <v>63</v>
      </c>
      <c r="C1931" t="s" s="80">
        <v>1141</v>
      </c>
      <c r="D1931" s="131">
        <v>71</v>
      </c>
      <c r="E1931" t="s" s="79">
        <v>1165</v>
      </c>
      <c r="F1931" t="s" s="79">
        <v>660</v>
      </c>
      <c r="G1931" s="132">
        <v>25</v>
      </c>
      <c r="H1931" t="s" s="133">
        <v>111</v>
      </c>
      <c r="I1931" t="s" s="134">
        <v>111</v>
      </c>
      <c r="J1931" t="s" s="134">
        <v>97</v>
      </c>
      <c r="K1931" t="str" s="135" cm="1">
        <f t="array" ref="K1931">IF(OR(H1931="ריביות",AND(H1931="דירה כצנלסון",G1931&lt;0,ISNUMBER(SEARCH("הכנסה",F1931)))),"הכנסה שסווגה מחדש",J1931)</f>
        <v>שוטף</v>
      </c>
      <c r="L1931" t="s" s="134">
        <v>741</v>
      </c>
      <c r="M1931" s="136" cm="1">
        <f t="array" ref="M1931">IF(L1931="מאושר",IF(K1931="הכנסה שסווגה מחדש",0,G1931),0)</f>
        <v>25</v>
      </c>
      <c r="N1931" s="136" cm="1">
        <f t="array" ref="N1931">IF(K1931="שוטף",M1931,0)</f>
        <v>25</v>
      </c>
      <c r="O1931" s="136" cm="1">
        <f t="array" ref="O1931">IF(K1931="הכנסה שסווגה מחדש",-G1931,0)</f>
        <v>0</v>
      </c>
      <c r="P1931" t="s" s="80">
        <v>842</v>
      </c>
      <c r="Q1931" s="100"/>
      <c r="R1931" t="s" s="137">
        <v>743</v>
      </c>
      <c r="S1931" s="77"/>
    </row>
    <row r="1932" ht="13.65" customHeight="1">
      <c r="A1932" s="84">
        <v>46235</v>
      </c>
      <c r="B1932" t="s" s="85">
        <v>63</v>
      </c>
      <c r="C1932" t="s" s="86">
        <v>1141</v>
      </c>
      <c r="D1932" s="138">
        <v>72</v>
      </c>
      <c r="E1932" t="s" s="85">
        <v>1145</v>
      </c>
      <c r="F1932" t="s" s="86">
        <v>200</v>
      </c>
      <c r="G1932" s="139">
        <v>485</v>
      </c>
      <c r="H1932" t="s" s="140">
        <v>109</v>
      </c>
      <c r="I1932" t="s" s="141">
        <v>109</v>
      </c>
      <c r="J1932" t="s" s="141">
        <v>97</v>
      </c>
      <c r="K1932" t="str" s="142" cm="1">
        <f t="array" ref="K1932">IF(OR(H1932="ריביות",AND(H1932="דירה כצנלסון",G1932&lt;0,ISNUMBER(SEARCH("הכנסה",F1932)))),"הכנסה שסווגה מחדש",J1932)</f>
        <v>שוטף</v>
      </c>
      <c r="L1932" t="s" s="141">
        <v>741</v>
      </c>
      <c r="M1932" s="143" cm="1">
        <f t="array" ref="M1932">IF(L1932="מאושר",IF(K1932="הכנסה שסווגה מחדש",0,G1932),0)</f>
        <v>485</v>
      </c>
      <c r="N1932" s="143" cm="1">
        <f t="array" ref="N1932">IF(K1932="שוטף",M1932,0)</f>
        <v>485</v>
      </c>
      <c r="O1932" s="143" cm="1">
        <f t="array" ref="O1932">IF(K1932="הכנסה שסווגה מחדש",-G1932,0)</f>
        <v>0</v>
      </c>
      <c r="P1932" t="s" s="86">
        <v>842</v>
      </c>
      <c r="Q1932" s="99"/>
      <c r="R1932" t="s" s="144">
        <v>743</v>
      </c>
      <c r="S1932" s="77"/>
    </row>
    <row r="1933" ht="13.65" customHeight="1">
      <c r="A1933" s="78">
        <v>46235</v>
      </c>
      <c r="B1933" t="s" s="79">
        <v>63</v>
      </c>
      <c r="C1933" t="s" s="80">
        <v>1141</v>
      </c>
      <c r="D1933" s="131">
        <v>73</v>
      </c>
      <c r="E1933" t="s" s="79">
        <v>1183</v>
      </c>
      <c r="F1933" t="s" s="80">
        <v>343</v>
      </c>
      <c r="G1933" s="132">
        <v>540</v>
      </c>
      <c r="H1933" t="s" s="133">
        <v>121</v>
      </c>
      <c r="I1933" t="s" s="134">
        <v>121</v>
      </c>
      <c r="J1933" t="s" s="134">
        <v>97</v>
      </c>
      <c r="K1933" t="str" s="135" cm="1">
        <f t="array" ref="K1933">IF(OR(H1933="ריביות",AND(H1933="דירה כצנלסון",G1933&lt;0,ISNUMBER(SEARCH("הכנסה",F1933)))),"הכנסה שסווגה מחדש",J1933)</f>
        <v>שוטף</v>
      </c>
      <c r="L1933" t="s" s="134">
        <v>741</v>
      </c>
      <c r="M1933" s="136" cm="1">
        <f t="array" ref="M1933">IF(L1933="מאושר",IF(K1933="הכנסה שסווגה מחדש",0,G1933),0)</f>
        <v>540</v>
      </c>
      <c r="N1933" s="136" cm="1">
        <f t="array" ref="N1933">IF(K1933="שוטף",M1933,0)</f>
        <v>540</v>
      </c>
      <c r="O1933" s="136" cm="1">
        <f t="array" ref="O1933">IF(K1933="הכנסה שסווגה מחדש",-G1933,0)</f>
        <v>0</v>
      </c>
      <c r="P1933" t="s" s="80">
        <v>842</v>
      </c>
      <c r="Q1933" s="100"/>
      <c r="R1933" t="s" s="137">
        <v>743</v>
      </c>
      <c r="S1933" s="77"/>
    </row>
    <row r="1934" ht="13.65" customHeight="1">
      <c r="A1934" s="84">
        <v>46235</v>
      </c>
      <c r="B1934" t="s" s="85">
        <v>63</v>
      </c>
      <c r="C1934" t="s" s="86">
        <v>1141</v>
      </c>
      <c r="D1934" s="138">
        <v>74</v>
      </c>
      <c r="E1934" t="s" s="85">
        <v>1148</v>
      </c>
      <c r="F1934" t="s" s="86">
        <v>200</v>
      </c>
      <c r="G1934" s="139">
        <v>64</v>
      </c>
      <c r="H1934" t="s" s="140">
        <v>109</v>
      </c>
      <c r="I1934" t="s" s="141">
        <v>109</v>
      </c>
      <c r="J1934" t="s" s="141">
        <v>97</v>
      </c>
      <c r="K1934" t="str" s="142" cm="1">
        <f t="array" ref="K1934">IF(OR(H1934="ריביות",AND(H1934="דירה כצנלסון",G1934&lt;0,ISNUMBER(SEARCH("הכנסה",F1934)))),"הכנסה שסווגה מחדש",J1934)</f>
        <v>שוטף</v>
      </c>
      <c r="L1934" t="s" s="141">
        <v>741</v>
      </c>
      <c r="M1934" s="143" cm="1">
        <f t="array" ref="M1934">IF(L1934="מאושר",IF(K1934="הכנסה שסווגה מחדש",0,G1934),0)</f>
        <v>64</v>
      </c>
      <c r="N1934" s="143" cm="1">
        <f t="array" ref="N1934">IF(K1934="שוטף",M1934,0)</f>
        <v>64</v>
      </c>
      <c r="O1934" s="143" cm="1">
        <f t="array" ref="O1934">IF(K1934="הכנסה שסווגה מחדש",-G1934,0)</f>
        <v>0</v>
      </c>
      <c r="P1934" t="s" s="86">
        <v>842</v>
      </c>
      <c r="Q1934" s="99"/>
      <c r="R1934" t="s" s="144">
        <v>743</v>
      </c>
      <c r="S1934" s="77"/>
    </row>
    <row r="1935" ht="13.65" customHeight="1">
      <c r="A1935" s="78">
        <v>46235</v>
      </c>
      <c r="B1935" t="s" s="79">
        <v>63</v>
      </c>
      <c r="C1935" t="s" s="80">
        <v>1141</v>
      </c>
      <c r="D1935" s="131">
        <v>75</v>
      </c>
      <c r="E1935" t="s" s="79">
        <v>1184</v>
      </c>
      <c r="F1935" t="s" s="80">
        <v>271</v>
      </c>
      <c r="G1935" s="132">
        <v>1500</v>
      </c>
      <c r="H1935" t="s" s="133">
        <v>133</v>
      </c>
      <c r="I1935" t="s" s="134">
        <v>133</v>
      </c>
      <c r="J1935" t="s" s="134">
        <v>97</v>
      </c>
      <c r="K1935" t="str" s="135" cm="1">
        <f t="array" ref="K1935">IF(OR(H1935="ריביות",AND(H1935="דירה כצנלסון",G1935&lt;0,ISNUMBER(SEARCH("הכנסה",F1935)))),"הכנסה שסווגה מחדש",J1935)</f>
        <v>שוטף</v>
      </c>
      <c r="L1935" t="s" s="134">
        <v>741</v>
      </c>
      <c r="M1935" s="136" cm="1">
        <f t="array" ref="M1935">IF(L1935="מאושר",IF(K1935="הכנסה שסווגה מחדש",0,G1935),0)</f>
        <v>1500</v>
      </c>
      <c r="N1935" s="136" cm="1">
        <f t="array" ref="N1935">IF(K1935="שוטף",M1935,0)</f>
        <v>1500</v>
      </c>
      <c r="O1935" s="136" cm="1">
        <f t="array" ref="O1935">IF(K1935="הכנסה שסווגה מחדש",-G1935,0)</f>
        <v>0</v>
      </c>
      <c r="P1935" t="s" s="80">
        <v>842</v>
      </c>
      <c r="Q1935" s="100"/>
      <c r="R1935" t="s" s="137">
        <v>743</v>
      </c>
      <c r="S1935" s="77"/>
    </row>
    <row r="1936" ht="13.65" customHeight="1">
      <c r="A1936" s="84">
        <v>46235</v>
      </c>
      <c r="B1936" t="s" s="85">
        <v>63</v>
      </c>
      <c r="C1936" t="s" s="86">
        <v>1141</v>
      </c>
      <c r="D1936" s="138">
        <v>76</v>
      </c>
      <c r="E1936" t="s" s="85">
        <v>1185</v>
      </c>
      <c r="F1936" t="s" s="86">
        <v>209</v>
      </c>
      <c r="G1936" s="139">
        <v>29</v>
      </c>
      <c r="H1936" t="s" s="140">
        <v>113</v>
      </c>
      <c r="I1936" t="s" s="141">
        <v>113</v>
      </c>
      <c r="J1936" t="s" s="141">
        <v>97</v>
      </c>
      <c r="K1936" t="str" s="142" cm="1">
        <f t="array" ref="K1936">IF(OR(H1936="ריביות",AND(H1936="דירה כצנלסון",G1936&lt;0,ISNUMBER(SEARCH("הכנסה",F1936)))),"הכנסה שסווגה מחדש",J1936)</f>
        <v>שוטף</v>
      </c>
      <c r="L1936" t="s" s="141">
        <v>741</v>
      </c>
      <c r="M1936" s="143" cm="1">
        <f t="array" ref="M1936">IF(L1936="מאושר",IF(K1936="הכנסה שסווגה מחדש",0,G1936),0)</f>
        <v>29</v>
      </c>
      <c r="N1936" s="143" cm="1">
        <f t="array" ref="N1936">IF(K1936="שוטף",M1936,0)</f>
        <v>29</v>
      </c>
      <c r="O1936" s="143" cm="1">
        <f t="array" ref="O1936">IF(K1936="הכנסה שסווגה מחדש",-G1936,0)</f>
        <v>0</v>
      </c>
      <c r="P1936" t="s" s="86">
        <v>842</v>
      </c>
      <c r="Q1936" s="99"/>
      <c r="R1936" t="s" s="144">
        <v>743</v>
      </c>
      <c r="S1936" s="77"/>
    </row>
    <row r="1937" ht="13.65" customHeight="1">
      <c r="A1937" s="78">
        <v>46235</v>
      </c>
      <c r="B1937" t="s" s="79">
        <v>63</v>
      </c>
      <c r="C1937" t="s" s="80">
        <v>1141</v>
      </c>
      <c r="D1937" s="131">
        <v>77</v>
      </c>
      <c r="E1937" t="s" s="79">
        <v>1185</v>
      </c>
      <c r="F1937" t="s" s="80">
        <v>213</v>
      </c>
      <c r="G1937" s="132">
        <v>245</v>
      </c>
      <c r="H1937" t="s" s="133">
        <v>115</v>
      </c>
      <c r="I1937" t="s" s="134">
        <v>115</v>
      </c>
      <c r="J1937" t="s" s="134">
        <v>97</v>
      </c>
      <c r="K1937" t="str" s="135" cm="1">
        <f t="array" ref="K1937">IF(OR(H1937="ריביות",AND(H1937="דירה כצנלסון",G1937&lt;0,ISNUMBER(SEARCH("הכנסה",F1937)))),"הכנסה שסווגה מחדש",J1937)</f>
        <v>שוטף</v>
      </c>
      <c r="L1937" t="s" s="134">
        <v>741</v>
      </c>
      <c r="M1937" s="136" cm="1">
        <f t="array" ref="M1937">IF(L1937="מאושר",IF(K1937="הכנסה שסווגה מחדש",0,G1937),0)</f>
        <v>245</v>
      </c>
      <c r="N1937" s="136" cm="1">
        <f t="array" ref="N1937">IF(K1937="שוטף",M1937,0)</f>
        <v>245</v>
      </c>
      <c r="O1937" s="136" cm="1">
        <f t="array" ref="O1937">IF(K1937="הכנסה שסווגה מחדש",-G1937,0)</f>
        <v>0</v>
      </c>
      <c r="P1937" t="s" s="80">
        <v>842</v>
      </c>
      <c r="Q1937" s="100"/>
      <c r="R1937" t="s" s="137">
        <v>743</v>
      </c>
      <c r="S1937" s="77"/>
    </row>
    <row r="1938" ht="13.65" customHeight="1">
      <c r="A1938" s="84">
        <v>46235</v>
      </c>
      <c r="B1938" t="s" s="85">
        <v>63</v>
      </c>
      <c r="C1938" t="s" s="86">
        <v>1141</v>
      </c>
      <c r="D1938" s="138">
        <v>78</v>
      </c>
      <c r="E1938" t="s" s="85">
        <v>1162</v>
      </c>
      <c r="F1938" t="s" s="86">
        <v>445</v>
      </c>
      <c r="G1938" s="139">
        <v>205</v>
      </c>
      <c r="H1938" t="s" s="140">
        <v>123</v>
      </c>
      <c r="I1938" t="s" s="141">
        <v>123</v>
      </c>
      <c r="J1938" t="s" s="141">
        <v>97</v>
      </c>
      <c r="K1938" t="str" s="142" cm="1">
        <f t="array" ref="K1938">IF(OR(H1938="ריביות",AND(H1938="דירה כצנלסון",G1938&lt;0,ISNUMBER(SEARCH("הכנסה",F1938)))),"הכנסה שסווגה מחדש",J1938)</f>
        <v>שוטף</v>
      </c>
      <c r="L1938" t="s" s="141">
        <v>741</v>
      </c>
      <c r="M1938" s="143" cm="1">
        <f t="array" ref="M1938">IF(L1938="מאושר",IF(K1938="הכנסה שסווגה מחדש",0,G1938),0)</f>
        <v>205</v>
      </c>
      <c r="N1938" s="143" cm="1">
        <f t="array" ref="N1938">IF(K1938="שוטף",M1938,0)</f>
        <v>205</v>
      </c>
      <c r="O1938" s="143" cm="1">
        <f t="array" ref="O1938">IF(K1938="הכנסה שסווגה מחדש",-G1938,0)</f>
        <v>0</v>
      </c>
      <c r="P1938" t="s" s="86">
        <v>1134</v>
      </c>
      <c r="Q1938" s="99"/>
      <c r="R1938" t="s" s="144">
        <v>743</v>
      </c>
      <c r="S1938" s="77"/>
    </row>
    <row r="1939" ht="13.65" customHeight="1">
      <c r="A1939" s="78">
        <v>46235</v>
      </c>
      <c r="B1939" t="s" s="79">
        <v>63</v>
      </c>
      <c r="C1939" t="s" s="80">
        <v>1141</v>
      </c>
      <c r="D1939" s="131">
        <v>79</v>
      </c>
      <c r="E1939" t="s" s="79">
        <v>1156</v>
      </c>
      <c r="F1939" t="s" s="79">
        <v>601</v>
      </c>
      <c r="G1939" s="132">
        <v>56</v>
      </c>
      <c r="H1939" t="s" s="133">
        <v>121</v>
      </c>
      <c r="I1939" t="s" s="134">
        <v>121</v>
      </c>
      <c r="J1939" t="s" s="134">
        <v>97</v>
      </c>
      <c r="K1939" t="str" s="135" cm="1">
        <f t="array" ref="K1939">IF(OR(H1939="ריביות",AND(H1939="דירה כצנלסון",G1939&lt;0,ISNUMBER(SEARCH("הכנסה",F1939)))),"הכנסה שסווגה מחדש",J1939)</f>
        <v>שוטף</v>
      </c>
      <c r="L1939" t="s" s="134">
        <v>741</v>
      </c>
      <c r="M1939" s="136" cm="1">
        <f t="array" ref="M1939">IF(L1939="מאושר",IF(K1939="הכנסה שסווגה מחדש",0,G1939),0)</f>
        <v>56</v>
      </c>
      <c r="N1939" s="136" cm="1">
        <f t="array" ref="N1939">IF(K1939="שוטף",M1939,0)</f>
        <v>56</v>
      </c>
      <c r="O1939" s="136" cm="1">
        <f t="array" ref="O1939">IF(K1939="הכנסה שסווגה מחדש",-G1939,0)</f>
        <v>0</v>
      </c>
      <c r="P1939" t="s" s="79">
        <v>879</v>
      </c>
      <c r="Q1939" s="100"/>
      <c r="R1939" t="s" s="137">
        <v>743</v>
      </c>
      <c r="S1939" s="77"/>
    </row>
    <row r="1940" ht="13.65" customHeight="1">
      <c r="A1940" s="84">
        <v>46235</v>
      </c>
      <c r="B1940" t="s" s="85">
        <v>63</v>
      </c>
      <c r="C1940" t="s" s="86">
        <v>1141</v>
      </c>
      <c r="D1940" s="138">
        <v>80</v>
      </c>
      <c r="E1940" t="s" s="85">
        <v>1156</v>
      </c>
      <c r="F1940" t="s" s="85">
        <v>562</v>
      </c>
      <c r="G1940" s="139">
        <v>75</v>
      </c>
      <c r="H1940" t="s" s="140">
        <v>113</v>
      </c>
      <c r="I1940" t="s" s="141">
        <v>113</v>
      </c>
      <c r="J1940" t="s" s="141">
        <v>97</v>
      </c>
      <c r="K1940" t="str" s="142" cm="1">
        <f t="array" ref="K1940">IF(OR(H1940="ריביות",AND(H1940="דירה כצנלסון",G1940&lt;0,ISNUMBER(SEARCH("הכנסה",F1940)))),"הכנסה שסווגה מחדש",J1940)</f>
        <v>שוטף</v>
      </c>
      <c r="L1940" t="s" s="141">
        <v>741</v>
      </c>
      <c r="M1940" s="143" cm="1">
        <f t="array" ref="M1940">IF(L1940="מאושר",IF(K1940="הכנסה שסווגה מחדש",0,G1940),0)</f>
        <v>75</v>
      </c>
      <c r="N1940" s="143" cm="1">
        <f t="array" ref="N1940">IF(K1940="שוטף",M1940,0)</f>
        <v>75</v>
      </c>
      <c r="O1940" s="143" cm="1">
        <f t="array" ref="O1940">IF(K1940="הכנסה שסווגה מחדש",-G1940,0)</f>
        <v>0</v>
      </c>
      <c r="P1940" t="s" s="85">
        <v>879</v>
      </c>
      <c r="Q1940" s="99"/>
      <c r="R1940" t="s" s="144">
        <v>743</v>
      </c>
      <c r="S1940" s="77"/>
    </row>
    <row r="1941" ht="13.65" customHeight="1">
      <c r="A1941" s="78">
        <v>46235</v>
      </c>
      <c r="B1941" t="s" s="79">
        <v>63</v>
      </c>
      <c r="C1941" t="s" s="80">
        <v>1141</v>
      </c>
      <c r="D1941" s="131">
        <v>81</v>
      </c>
      <c r="E1941" t="s" s="79">
        <v>1186</v>
      </c>
      <c r="F1941" t="s" s="80">
        <v>277</v>
      </c>
      <c r="G1941" s="132">
        <v>40</v>
      </c>
      <c r="H1941" t="s" s="133">
        <v>115</v>
      </c>
      <c r="I1941" t="s" s="134">
        <v>115</v>
      </c>
      <c r="J1941" t="s" s="134">
        <v>97</v>
      </c>
      <c r="K1941" t="str" s="135" cm="1">
        <f t="array" ref="K1941">IF(OR(H1941="ריביות",AND(H1941="דירה כצנלסון",G1941&lt;0,ISNUMBER(SEARCH("הכנסה",F1941)))),"הכנסה שסווגה מחדש",J1941)</f>
        <v>שוטף</v>
      </c>
      <c r="L1941" t="s" s="134">
        <v>741</v>
      </c>
      <c r="M1941" s="136" cm="1">
        <f t="array" ref="M1941">IF(L1941="מאושר",IF(K1941="הכנסה שסווגה מחדש",0,G1941),0)</f>
        <v>40</v>
      </c>
      <c r="N1941" s="136" cm="1">
        <f t="array" ref="N1941">IF(K1941="שוטף",M1941,0)</f>
        <v>40</v>
      </c>
      <c r="O1941" s="136" cm="1">
        <f t="array" ref="O1941">IF(K1941="הכנסה שסווגה מחדש",-G1941,0)</f>
        <v>0</v>
      </c>
      <c r="P1941" t="s" s="79">
        <v>879</v>
      </c>
      <c r="Q1941" s="100"/>
      <c r="R1941" t="s" s="137">
        <v>743</v>
      </c>
      <c r="S1941" s="77"/>
    </row>
    <row r="1942" ht="13.65" customHeight="1">
      <c r="A1942" s="84">
        <v>46235</v>
      </c>
      <c r="B1942" t="s" s="85">
        <v>63</v>
      </c>
      <c r="C1942" t="s" s="86">
        <v>1141</v>
      </c>
      <c r="D1942" s="138">
        <v>82</v>
      </c>
      <c r="E1942" t="s" s="85">
        <v>1151</v>
      </c>
      <c r="F1942" t="s" s="86">
        <v>223</v>
      </c>
      <c r="G1942" s="139">
        <v>95</v>
      </c>
      <c r="H1942" t="s" s="140">
        <v>121</v>
      </c>
      <c r="I1942" t="s" s="141">
        <v>121</v>
      </c>
      <c r="J1942" t="s" s="141">
        <v>97</v>
      </c>
      <c r="K1942" t="str" s="142" cm="1">
        <f t="array" ref="K1942">IF(OR(H1942="ריביות",AND(H1942="דירה כצנלסון",G1942&lt;0,ISNUMBER(SEARCH("הכנסה",F1942)))),"הכנסה שסווגה מחדש",J1942)</f>
        <v>שוטף</v>
      </c>
      <c r="L1942" t="s" s="141">
        <v>741</v>
      </c>
      <c r="M1942" s="143" cm="1">
        <f t="array" ref="M1942">IF(L1942="מאושר",IF(K1942="הכנסה שסווגה מחדש",0,G1942),0)</f>
        <v>95</v>
      </c>
      <c r="N1942" s="143" cm="1">
        <f t="array" ref="N1942">IF(K1942="שוטף",M1942,0)</f>
        <v>95</v>
      </c>
      <c r="O1942" s="143" cm="1">
        <f t="array" ref="O1942">IF(K1942="הכנסה שסווגה מחדש",-G1942,0)</f>
        <v>0</v>
      </c>
      <c r="P1942" t="s" s="86">
        <v>983</v>
      </c>
      <c r="Q1942" s="99"/>
      <c r="R1942" t="s" s="144">
        <v>743</v>
      </c>
      <c r="S1942" s="77"/>
    </row>
    <row r="1943" ht="13.65" customHeight="1">
      <c r="A1943" s="78">
        <v>46235</v>
      </c>
      <c r="B1943" t="s" s="79">
        <v>63</v>
      </c>
      <c r="C1943" t="s" s="80">
        <v>1141</v>
      </c>
      <c r="D1943" s="131">
        <v>83</v>
      </c>
      <c r="E1943" t="s" s="79">
        <v>1162</v>
      </c>
      <c r="F1943" t="s" s="80">
        <v>543</v>
      </c>
      <c r="G1943" s="132">
        <v>85</v>
      </c>
      <c r="H1943" t="s" s="133">
        <v>123</v>
      </c>
      <c r="I1943" t="s" s="134">
        <v>123</v>
      </c>
      <c r="J1943" t="s" s="134">
        <v>97</v>
      </c>
      <c r="K1943" t="str" s="135" cm="1">
        <f t="array" ref="K1943">IF(OR(H1943="ריביות",AND(H1943="דירה כצנלסון",G1943&lt;0,ISNUMBER(SEARCH("הכנסה",F1943)))),"הכנסה שסווגה מחדש",J1943)</f>
        <v>שוטף</v>
      </c>
      <c r="L1943" t="s" s="134">
        <v>741</v>
      </c>
      <c r="M1943" s="136" cm="1">
        <f t="array" ref="M1943">IF(L1943="מאושר",IF(K1943="הכנסה שסווגה מחדש",0,G1943),0)</f>
        <v>85</v>
      </c>
      <c r="N1943" s="136" cm="1">
        <f t="array" ref="N1943">IF(K1943="שוטף",M1943,0)</f>
        <v>85</v>
      </c>
      <c r="O1943" s="136" cm="1">
        <f t="array" ref="O1943">IF(K1943="הכנסה שסווגה מחדש",-G1943,0)</f>
        <v>0</v>
      </c>
      <c r="P1943" t="s" s="80">
        <v>983</v>
      </c>
      <c r="Q1943" s="100"/>
      <c r="R1943" t="s" s="137">
        <v>743</v>
      </c>
      <c r="S1943" s="77"/>
    </row>
    <row r="1944" ht="13.65" customHeight="1">
      <c r="A1944" s="84">
        <v>46235</v>
      </c>
      <c r="B1944" t="s" s="85">
        <v>63</v>
      </c>
      <c r="C1944" t="s" s="86">
        <v>1141</v>
      </c>
      <c r="D1944" s="138">
        <v>84</v>
      </c>
      <c r="E1944" t="s" s="85">
        <v>1187</v>
      </c>
      <c r="F1944" t="s" s="86">
        <v>333</v>
      </c>
      <c r="G1944" s="139">
        <v>649</v>
      </c>
      <c r="H1944" t="s" s="140">
        <v>133</v>
      </c>
      <c r="I1944" t="s" s="141">
        <v>133</v>
      </c>
      <c r="J1944" t="s" s="141">
        <v>97</v>
      </c>
      <c r="K1944" t="str" s="142" cm="1">
        <f t="array" ref="K1944">IF(OR(H1944="ריביות",AND(H1944="דירה כצנלסון",G1944&lt;0,ISNUMBER(SEARCH("הכנסה",F1944)))),"הכנסה שסווגה מחדש",J1944)</f>
        <v>שוטף</v>
      </c>
      <c r="L1944" t="s" s="141">
        <v>741</v>
      </c>
      <c r="M1944" s="143" cm="1">
        <f t="array" ref="M1944">IF(L1944="מאושר",IF(K1944="הכנסה שסווגה מחדש",0,G1944),0)</f>
        <v>649</v>
      </c>
      <c r="N1944" s="143" cm="1">
        <f t="array" ref="N1944">IF(K1944="שוטף",M1944,0)</f>
        <v>649</v>
      </c>
      <c r="O1944" s="143" cm="1">
        <f t="array" ref="O1944">IF(K1944="הכנסה שסווגה מחדש",-G1944,0)</f>
        <v>0</v>
      </c>
      <c r="P1944" t="s" s="86">
        <v>983</v>
      </c>
      <c r="Q1944" s="99"/>
      <c r="R1944" t="s" s="144">
        <v>743</v>
      </c>
      <c r="S1944" s="77"/>
    </row>
    <row r="1945" ht="13.65" customHeight="1">
      <c r="A1945" s="78">
        <v>46235</v>
      </c>
      <c r="B1945" t="s" s="79">
        <v>63</v>
      </c>
      <c r="C1945" t="s" s="80">
        <v>1141</v>
      </c>
      <c r="D1945" s="131">
        <v>85</v>
      </c>
      <c r="E1945" t="s" s="79">
        <v>1188</v>
      </c>
      <c r="F1945" t="s" s="80">
        <v>277</v>
      </c>
      <c r="G1945" s="132">
        <v>96</v>
      </c>
      <c r="H1945" t="s" s="133">
        <v>115</v>
      </c>
      <c r="I1945" t="s" s="134">
        <v>115</v>
      </c>
      <c r="J1945" t="s" s="134">
        <v>97</v>
      </c>
      <c r="K1945" t="str" s="135" cm="1">
        <f t="array" ref="K1945">IF(OR(H1945="ריביות",AND(H1945="דירה כצנלסון",G1945&lt;0,ISNUMBER(SEARCH("הכנסה",F1945)))),"הכנסה שסווגה מחדש",J1945)</f>
        <v>שוטף</v>
      </c>
      <c r="L1945" t="s" s="134">
        <v>741</v>
      </c>
      <c r="M1945" s="136" cm="1">
        <f t="array" ref="M1945">IF(L1945="מאושר",IF(K1945="הכנסה שסווגה מחדש",0,G1945),0)</f>
        <v>96</v>
      </c>
      <c r="N1945" s="136" cm="1">
        <f t="array" ref="N1945">IF(K1945="שוטף",M1945,0)</f>
        <v>96</v>
      </c>
      <c r="O1945" s="136" cm="1">
        <f t="array" ref="O1945">IF(K1945="הכנסה שסווגה מחדש",-G1945,0)</f>
        <v>0</v>
      </c>
      <c r="P1945" t="s" s="79">
        <v>882</v>
      </c>
      <c r="Q1945" s="100"/>
      <c r="R1945" t="s" s="137">
        <v>743</v>
      </c>
      <c r="S1945" s="77"/>
    </row>
    <row r="1946" ht="13.65" customHeight="1">
      <c r="A1946" s="84">
        <v>46235</v>
      </c>
      <c r="B1946" t="s" s="85">
        <v>63</v>
      </c>
      <c r="C1946" t="s" s="86">
        <v>1141</v>
      </c>
      <c r="D1946" s="138">
        <v>86</v>
      </c>
      <c r="E1946" s="99"/>
      <c r="F1946" t="s" s="86">
        <v>113</v>
      </c>
      <c r="G1946" s="139">
        <v>612</v>
      </c>
      <c r="H1946" t="s" s="140">
        <v>113</v>
      </c>
      <c r="I1946" t="s" s="141">
        <v>113</v>
      </c>
      <c r="J1946" t="s" s="141">
        <v>97</v>
      </c>
      <c r="K1946" t="str" s="142" cm="1">
        <f t="array" ref="K1946">IF(OR(H1946="ריביות",AND(H1946="דירה כצנלסון",G1946&lt;0,ISNUMBER(SEARCH("הכנסה",F1946)))),"הכנסה שסווגה מחדש",J1946)</f>
        <v>שוטף</v>
      </c>
      <c r="L1946" t="s" s="141">
        <v>741</v>
      </c>
      <c r="M1946" s="143" cm="1">
        <f t="array" ref="M1946">IF(L1946="מאושר",IF(K1946="הכנסה שסווגה מחדש",0,G1946),0)</f>
        <v>612</v>
      </c>
      <c r="N1946" s="143" cm="1">
        <f t="array" ref="N1946">IF(K1946="שוטף",M1946,0)</f>
        <v>612</v>
      </c>
      <c r="O1946" s="143" cm="1">
        <f t="array" ref="O1946">IF(K1946="הכנסה שסווגה מחדש",-G1946,0)</f>
        <v>0</v>
      </c>
      <c r="P1946" t="s" s="86">
        <v>890</v>
      </c>
      <c r="Q1946" s="99"/>
      <c r="R1946" t="s" s="144">
        <v>743</v>
      </c>
      <c r="S1946" s="77"/>
    </row>
    <row r="1947" ht="13.65" customHeight="1">
      <c r="A1947" s="78">
        <v>46235</v>
      </c>
      <c r="B1947" t="s" s="79">
        <v>63</v>
      </c>
      <c r="C1947" t="s" s="80">
        <v>1141</v>
      </c>
      <c r="D1947" s="131">
        <v>87</v>
      </c>
      <c r="E1947" t="s" s="79">
        <v>1189</v>
      </c>
      <c r="F1947" t="s" s="80">
        <v>418</v>
      </c>
      <c r="G1947" s="132">
        <v>258</v>
      </c>
      <c r="H1947" t="s" s="133">
        <v>127</v>
      </c>
      <c r="I1947" t="s" s="134">
        <v>127</v>
      </c>
      <c r="J1947" t="s" s="134">
        <v>97</v>
      </c>
      <c r="K1947" t="str" s="135" cm="1">
        <f t="array" ref="K1947">IF(OR(H1947="ריביות",AND(H1947="דירה כצנלסון",G1947&lt;0,ISNUMBER(SEARCH("הכנסה",F1947)))),"הכנסה שסווגה מחדש",J1947)</f>
        <v>שוטף</v>
      </c>
      <c r="L1947" t="s" s="134">
        <v>741</v>
      </c>
      <c r="M1947" s="136" cm="1">
        <f t="array" ref="M1947">IF(L1947="מאושר",IF(K1947="הכנסה שסווגה מחדש",0,G1947),0)</f>
        <v>258</v>
      </c>
      <c r="N1947" s="136" cm="1">
        <f t="array" ref="N1947">IF(K1947="שוטף",M1947,0)</f>
        <v>258</v>
      </c>
      <c r="O1947" s="136" cm="1">
        <f t="array" ref="O1947">IF(K1947="הכנסה שסווגה מחדש",-G1947,0)</f>
        <v>0</v>
      </c>
      <c r="P1947" t="s" s="80">
        <v>884</v>
      </c>
      <c r="Q1947" s="100"/>
      <c r="R1947" t="s" s="137">
        <v>743</v>
      </c>
      <c r="S1947" s="77"/>
    </row>
    <row r="1948" ht="13.65" customHeight="1">
      <c r="A1948" s="84">
        <v>46235</v>
      </c>
      <c r="B1948" t="s" s="85">
        <v>63</v>
      </c>
      <c r="C1948" t="s" s="86">
        <v>1141</v>
      </c>
      <c r="D1948" s="138">
        <v>88</v>
      </c>
      <c r="E1948" t="s" s="85">
        <v>1190</v>
      </c>
      <c r="F1948" t="s" s="86">
        <v>250</v>
      </c>
      <c r="G1948" s="139">
        <v>130</v>
      </c>
      <c r="H1948" t="s" s="140">
        <v>127</v>
      </c>
      <c r="I1948" t="s" s="141">
        <v>127</v>
      </c>
      <c r="J1948" t="s" s="141">
        <v>97</v>
      </c>
      <c r="K1948" t="str" s="142" cm="1">
        <f t="array" ref="K1948">IF(OR(H1948="ריביות",AND(H1948="דירה כצנלסון",G1948&lt;0,ISNUMBER(SEARCH("הכנסה",F1948)))),"הכנסה שסווגה מחדש",J1948)</f>
        <v>שוטף</v>
      </c>
      <c r="L1948" t="s" s="141">
        <v>741</v>
      </c>
      <c r="M1948" s="143" cm="1">
        <f t="array" ref="M1948">IF(L1948="מאושר",IF(K1948="הכנסה שסווגה מחדש",0,G1948),0)</f>
        <v>130</v>
      </c>
      <c r="N1948" s="143" cm="1">
        <f t="array" ref="N1948">IF(K1948="שוטף",M1948,0)</f>
        <v>130</v>
      </c>
      <c r="O1948" s="143" cm="1">
        <f t="array" ref="O1948">IF(K1948="הכנסה שסווגה מחדש",-G1948,0)</f>
        <v>0</v>
      </c>
      <c r="P1948" t="s" s="86">
        <v>884</v>
      </c>
      <c r="Q1948" s="99"/>
      <c r="R1948" t="s" s="144">
        <v>743</v>
      </c>
      <c r="S1948" s="77"/>
    </row>
    <row r="1949" ht="13.65" customHeight="1">
      <c r="A1949" s="78">
        <v>46235</v>
      </c>
      <c r="B1949" t="s" s="79">
        <v>63</v>
      </c>
      <c r="C1949" t="s" s="80">
        <v>1141</v>
      </c>
      <c r="D1949" s="131">
        <v>89</v>
      </c>
      <c r="E1949" t="s" s="79">
        <v>1144</v>
      </c>
      <c r="F1949" t="s" s="80">
        <v>304</v>
      </c>
      <c r="G1949" s="132">
        <v>252</v>
      </c>
      <c r="H1949" t="s" s="133">
        <v>960</v>
      </c>
      <c r="I1949" t="s" s="134">
        <v>131</v>
      </c>
      <c r="J1949" t="s" s="134">
        <v>97</v>
      </c>
      <c r="K1949" t="str" s="135" cm="1">
        <f t="array" ref="K1949">IF(OR(H1949="ריביות",AND(H1949="דירה כצנלסון",G1949&lt;0,ISNUMBER(SEARCH("הכנסה",F1949)))),"הכנסה שסווגה מחדש",J1949)</f>
        <v>שוטף</v>
      </c>
      <c r="L1949" t="s" s="134">
        <v>741</v>
      </c>
      <c r="M1949" s="136" cm="1">
        <f t="array" ref="M1949">IF(L1949="מאושר",IF(K1949="הכנסה שסווגה מחדש",0,G1949),0)</f>
        <v>252</v>
      </c>
      <c r="N1949" s="136" cm="1">
        <f t="array" ref="N1949">IF(K1949="שוטף",M1949,0)</f>
        <v>252</v>
      </c>
      <c r="O1949" s="136" cm="1">
        <f t="array" ref="O1949">IF(K1949="הכנסה שסווגה מחדש",-G1949,0)</f>
        <v>0</v>
      </c>
      <c r="P1949" t="s" s="80">
        <v>884</v>
      </c>
      <c r="Q1949" s="100"/>
      <c r="R1949" t="s" s="137">
        <v>743</v>
      </c>
      <c r="S1949" s="77"/>
    </row>
    <row r="1950" ht="13.65" customHeight="1">
      <c r="A1950" s="84">
        <v>46235</v>
      </c>
      <c r="B1950" t="s" s="85">
        <v>63</v>
      </c>
      <c r="C1950" t="s" s="86">
        <v>1141</v>
      </c>
      <c r="D1950" s="138">
        <v>90</v>
      </c>
      <c r="E1950" t="s" s="85">
        <v>1191</v>
      </c>
      <c r="F1950" t="s" s="86">
        <v>409</v>
      </c>
      <c r="G1950" s="139">
        <v>271</v>
      </c>
      <c r="H1950" t="s" s="140">
        <v>123</v>
      </c>
      <c r="I1950" t="s" s="141">
        <v>123</v>
      </c>
      <c r="J1950" t="s" s="141">
        <v>97</v>
      </c>
      <c r="K1950" t="str" s="142" cm="1">
        <f t="array" ref="K1950">IF(OR(H1950="ריביות",AND(H1950="דירה כצנלסון",G1950&lt;0,ISNUMBER(SEARCH("הכנסה",F1950)))),"הכנסה שסווגה מחדש",J1950)</f>
        <v>שוטף</v>
      </c>
      <c r="L1950" t="s" s="141">
        <v>741</v>
      </c>
      <c r="M1950" s="143" cm="1">
        <f t="array" ref="M1950">IF(L1950="מאושר",IF(K1950="הכנסה שסווגה מחדש",0,G1950),0)</f>
        <v>271</v>
      </c>
      <c r="N1950" s="143" cm="1">
        <f t="array" ref="N1950">IF(K1950="שוטף",M1950,0)</f>
        <v>271</v>
      </c>
      <c r="O1950" s="143" cm="1">
        <f t="array" ref="O1950">IF(K1950="הכנסה שסווגה מחדש",-G1950,0)</f>
        <v>0</v>
      </c>
      <c r="P1950" t="s" s="86">
        <v>1031</v>
      </c>
      <c r="Q1950" s="99"/>
      <c r="R1950" t="s" s="144">
        <v>743</v>
      </c>
      <c r="S1950" s="77"/>
    </row>
    <row r="1951" ht="13.65" customHeight="1">
      <c r="A1951" s="78">
        <v>46235</v>
      </c>
      <c r="B1951" t="s" s="79">
        <v>63</v>
      </c>
      <c r="C1951" t="s" s="80">
        <v>1141</v>
      </c>
      <c r="D1951" s="131">
        <v>91</v>
      </c>
      <c r="E1951" t="s" s="79">
        <v>1191</v>
      </c>
      <c r="F1951" t="s" s="80">
        <v>597</v>
      </c>
      <c r="G1951" s="132">
        <v>60</v>
      </c>
      <c r="H1951" t="s" s="133">
        <v>121</v>
      </c>
      <c r="I1951" t="s" s="134">
        <v>121</v>
      </c>
      <c r="J1951" t="s" s="134">
        <v>97</v>
      </c>
      <c r="K1951" t="str" s="135" cm="1">
        <f t="array" ref="K1951">IF(OR(H1951="ריביות",AND(H1951="דירה כצנלסון",G1951&lt;0,ISNUMBER(SEARCH("הכנסה",F1951)))),"הכנסה שסווגה מחדש",J1951)</f>
        <v>שוטף</v>
      </c>
      <c r="L1951" t="s" s="134">
        <v>741</v>
      </c>
      <c r="M1951" s="136" cm="1">
        <f t="array" ref="M1951">IF(L1951="מאושר",IF(K1951="הכנסה שסווגה מחדש",0,G1951),0)</f>
        <v>60</v>
      </c>
      <c r="N1951" s="136" cm="1">
        <f t="array" ref="N1951">IF(K1951="שוטף",M1951,0)</f>
        <v>60</v>
      </c>
      <c r="O1951" s="136" cm="1">
        <f t="array" ref="O1951">IF(K1951="הכנסה שסווגה מחדש",-G1951,0)</f>
        <v>0</v>
      </c>
      <c r="P1951" t="s" s="80">
        <v>1031</v>
      </c>
      <c r="Q1951" s="100"/>
      <c r="R1951" t="s" s="137">
        <v>743</v>
      </c>
      <c r="S1951" s="77"/>
    </row>
    <row r="1952" ht="13.65" customHeight="1">
      <c r="A1952" s="84">
        <v>46235</v>
      </c>
      <c r="B1952" t="s" s="85">
        <v>63</v>
      </c>
      <c r="C1952" t="s" s="86">
        <v>1141</v>
      </c>
      <c r="D1952" s="138">
        <v>92</v>
      </c>
      <c r="E1952" t="s" s="85">
        <v>1192</v>
      </c>
      <c r="F1952" t="s" s="86">
        <v>200</v>
      </c>
      <c r="G1952" s="139">
        <v>81</v>
      </c>
      <c r="H1952" t="s" s="140">
        <v>109</v>
      </c>
      <c r="I1952" t="s" s="141">
        <v>109</v>
      </c>
      <c r="J1952" t="s" s="141">
        <v>97</v>
      </c>
      <c r="K1952" t="str" s="142" cm="1">
        <f t="array" ref="K1952">IF(OR(H1952="ריביות",AND(H1952="דירה כצנלסון",G1952&lt;0,ISNUMBER(SEARCH("הכנסה",F1952)))),"הכנסה שסווגה מחדש",J1952)</f>
        <v>שוטף</v>
      </c>
      <c r="L1952" t="s" s="141">
        <v>741</v>
      </c>
      <c r="M1952" s="143" cm="1">
        <f t="array" ref="M1952">IF(L1952="מאושר",IF(K1952="הכנסה שסווגה מחדש",0,G1952),0)</f>
        <v>81</v>
      </c>
      <c r="N1952" s="143" cm="1">
        <f t="array" ref="N1952">IF(K1952="שוטף",M1952,0)</f>
        <v>81</v>
      </c>
      <c r="O1952" s="143" cm="1">
        <f t="array" ref="O1952">IF(K1952="הכנסה שסווגה מחדש",-G1952,0)</f>
        <v>0</v>
      </c>
      <c r="P1952" t="s" s="85">
        <v>1193</v>
      </c>
      <c r="Q1952" s="99"/>
      <c r="R1952" t="s" s="144">
        <v>743</v>
      </c>
      <c r="S1952" s="77"/>
    </row>
    <row r="1953" ht="13.65" customHeight="1">
      <c r="A1953" s="78">
        <v>46235</v>
      </c>
      <c r="B1953" t="s" s="79">
        <v>63</v>
      </c>
      <c r="C1953" t="s" s="80">
        <v>1141</v>
      </c>
      <c r="D1953" s="131">
        <v>93</v>
      </c>
      <c r="E1953" t="s" s="79">
        <v>1194</v>
      </c>
      <c r="F1953" t="s" s="80">
        <v>209</v>
      </c>
      <c r="G1953" s="132">
        <v>54</v>
      </c>
      <c r="H1953" t="s" s="133">
        <v>113</v>
      </c>
      <c r="I1953" t="s" s="134">
        <v>113</v>
      </c>
      <c r="J1953" t="s" s="134">
        <v>97</v>
      </c>
      <c r="K1953" t="str" s="135" cm="1">
        <f t="array" ref="K1953">IF(OR(H1953="ריביות",AND(H1953="דירה כצנלסון",G1953&lt;0,ISNUMBER(SEARCH("הכנסה",F1953)))),"הכנסה שסווגה מחדש",J1953)</f>
        <v>שוטף</v>
      </c>
      <c r="L1953" t="s" s="134">
        <v>741</v>
      </c>
      <c r="M1953" s="136" cm="1">
        <f t="array" ref="M1953">IF(L1953="מאושר",IF(K1953="הכנסה שסווגה מחדש",0,G1953),0)</f>
        <v>54</v>
      </c>
      <c r="N1953" s="136" cm="1">
        <f t="array" ref="N1953">IF(K1953="שוטף",M1953,0)</f>
        <v>54</v>
      </c>
      <c r="O1953" s="136" cm="1">
        <f t="array" ref="O1953">IF(K1953="הכנסה שסווגה מחדש",-G1953,0)</f>
        <v>0</v>
      </c>
      <c r="P1953" t="s" s="79">
        <v>1193</v>
      </c>
      <c r="Q1953" s="100"/>
      <c r="R1953" t="s" s="137">
        <v>743</v>
      </c>
      <c r="S1953" s="77"/>
    </row>
    <row r="1954" ht="13.65" customHeight="1">
      <c r="A1954" s="84">
        <v>46235</v>
      </c>
      <c r="B1954" t="s" s="85">
        <v>63</v>
      </c>
      <c r="C1954" t="s" s="86">
        <v>1141</v>
      </c>
      <c r="D1954" s="138">
        <v>94</v>
      </c>
      <c r="E1954" t="s" s="85">
        <v>1147</v>
      </c>
      <c r="F1954" t="s" s="86">
        <v>231</v>
      </c>
      <c r="G1954" s="139">
        <v>15</v>
      </c>
      <c r="H1954" t="s" s="140">
        <v>113</v>
      </c>
      <c r="I1954" t="s" s="141">
        <v>113</v>
      </c>
      <c r="J1954" t="s" s="141">
        <v>97</v>
      </c>
      <c r="K1954" t="str" s="142" cm="1">
        <f t="array" ref="K1954">IF(OR(H1954="ריביות",AND(H1954="דירה כצנלסון",G1954&lt;0,ISNUMBER(SEARCH("הכנסה",F1954)))),"הכנסה שסווגה מחדש",J1954)</f>
        <v>שוטף</v>
      </c>
      <c r="L1954" t="s" s="141">
        <v>741</v>
      </c>
      <c r="M1954" s="143" cm="1">
        <f t="array" ref="M1954">IF(L1954="מאושר",IF(K1954="הכנסה שסווגה מחדש",0,G1954),0)</f>
        <v>15</v>
      </c>
      <c r="N1954" s="143" cm="1">
        <f t="array" ref="N1954">IF(K1954="שוטף",M1954,0)</f>
        <v>15</v>
      </c>
      <c r="O1954" s="143" cm="1">
        <f t="array" ref="O1954">IF(K1954="הכנסה שסווגה מחדש",-G1954,0)</f>
        <v>0</v>
      </c>
      <c r="P1954" t="s" s="85">
        <v>1193</v>
      </c>
      <c r="Q1954" s="99"/>
      <c r="R1954" t="s" s="144">
        <v>743</v>
      </c>
      <c r="S1954" s="77"/>
    </row>
    <row r="1955" ht="13.65" customHeight="1">
      <c r="A1955" s="78">
        <v>46235</v>
      </c>
      <c r="B1955" t="s" s="79">
        <v>63</v>
      </c>
      <c r="C1955" t="s" s="80">
        <v>1141</v>
      </c>
      <c r="D1955" s="131">
        <v>95</v>
      </c>
      <c r="E1955" t="s" s="79">
        <v>1147</v>
      </c>
      <c r="F1955" t="s" s="80">
        <v>200</v>
      </c>
      <c r="G1955" s="132">
        <v>52</v>
      </c>
      <c r="H1955" t="s" s="133">
        <v>109</v>
      </c>
      <c r="I1955" t="s" s="134">
        <v>109</v>
      </c>
      <c r="J1955" t="s" s="134">
        <v>97</v>
      </c>
      <c r="K1955" t="str" s="135" cm="1">
        <f t="array" ref="K1955">IF(OR(H1955="ריביות",AND(H1955="דירה כצנלסון",G1955&lt;0,ISNUMBER(SEARCH("הכנסה",F1955)))),"הכנסה שסווגה מחדש",J1955)</f>
        <v>שוטף</v>
      </c>
      <c r="L1955" t="s" s="134">
        <v>741</v>
      </c>
      <c r="M1955" s="136" cm="1">
        <f t="array" ref="M1955">IF(L1955="מאושר",IF(K1955="הכנסה שסווגה מחדש",0,G1955),0)</f>
        <v>52</v>
      </c>
      <c r="N1955" s="136" cm="1">
        <f t="array" ref="N1955">IF(K1955="שוטף",M1955,0)</f>
        <v>52</v>
      </c>
      <c r="O1955" s="136" cm="1">
        <f t="array" ref="O1955">IF(K1955="הכנסה שסווגה מחדש",-G1955,0)</f>
        <v>0</v>
      </c>
      <c r="P1955" t="s" s="79">
        <v>1193</v>
      </c>
      <c r="Q1955" s="100"/>
      <c r="R1955" t="s" s="137">
        <v>743</v>
      </c>
      <c r="S1955" s="77"/>
    </row>
    <row r="1956" ht="13.65" customHeight="1">
      <c r="A1956" s="84">
        <v>46235</v>
      </c>
      <c r="B1956" t="s" s="85">
        <v>63</v>
      </c>
      <c r="C1956" t="s" s="86">
        <v>1141</v>
      </c>
      <c r="D1956" s="138">
        <v>96</v>
      </c>
      <c r="E1956" t="s" s="85">
        <v>1147</v>
      </c>
      <c r="F1956" t="s" s="86">
        <v>209</v>
      </c>
      <c r="G1956" s="139">
        <v>235</v>
      </c>
      <c r="H1956" t="s" s="140">
        <v>113</v>
      </c>
      <c r="I1956" t="s" s="141">
        <v>113</v>
      </c>
      <c r="J1956" t="s" s="141">
        <v>97</v>
      </c>
      <c r="K1956" t="str" s="142" cm="1">
        <f t="array" ref="K1956">IF(OR(H1956="ריביות",AND(H1956="דירה כצנלסון",G1956&lt;0,ISNUMBER(SEARCH("הכנסה",F1956)))),"הכנסה שסווגה מחדש",J1956)</f>
        <v>שוטף</v>
      </c>
      <c r="L1956" t="s" s="141">
        <v>741</v>
      </c>
      <c r="M1956" s="143" cm="1">
        <f t="array" ref="M1956">IF(L1956="מאושר",IF(K1956="הכנסה שסווגה מחדש",0,G1956),0)</f>
        <v>235</v>
      </c>
      <c r="N1956" s="143" cm="1">
        <f t="array" ref="N1956">IF(K1956="שוטף",M1956,0)</f>
        <v>235</v>
      </c>
      <c r="O1956" s="143" cm="1">
        <f t="array" ref="O1956">IF(K1956="הכנסה שסווגה מחדש",-G1956,0)</f>
        <v>0</v>
      </c>
      <c r="P1956" t="s" s="85">
        <v>1193</v>
      </c>
      <c r="Q1956" s="99"/>
      <c r="R1956" t="s" s="144">
        <v>743</v>
      </c>
      <c r="S1956" s="77"/>
    </row>
    <row r="1957" ht="13.65" customHeight="1">
      <c r="A1957" s="78">
        <v>46235</v>
      </c>
      <c r="B1957" t="s" s="79">
        <v>63</v>
      </c>
      <c r="C1957" t="s" s="80">
        <v>1141</v>
      </c>
      <c r="D1957" s="131">
        <v>97</v>
      </c>
      <c r="E1957" t="s" s="79">
        <v>1195</v>
      </c>
      <c r="F1957" t="s" s="80">
        <v>200</v>
      </c>
      <c r="G1957" s="132">
        <v>10</v>
      </c>
      <c r="H1957" t="s" s="133">
        <v>109</v>
      </c>
      <c r="I1957" t="s" s="134">
        <v>109</v>
      </c>
      <c r="J1957" t="s" s="134">
        <v>97</v>
      </c>
      <c r="K1957" t="str" s="135" cm="1">
        <f t="array" ref="K1957">IF(OR(H1957="ריביות",AND(H1957="דירה כצנלסון",G1957&lt;0,ISNUMBER(SEARCH("הכנסה",F1957)))),"הכנסה שסווגה מחדש",J1957)</f>
        <v>שוטף</v>
      </c>
      <c r="L1957" t="s" s="134">
        <v>741</v>
      </c>
      <c r="M1957" s="136" cm="1">
        <f t="array" ref="M1957">IF(L1957="מאושר",IF(K1957="הכנסה שסווגה מחדש",0,G1957),0)</f>
        <v>10</v>
      </c>
      <c r="N1957" s="136" cm="1">
        <f t="array" ref="N1957">IF(K1957="שוטף",M1957,0)</f>
        <v>10</v>
      </c>
      <c r="O1957" s="136" cm="1">
        <f t="array" ref="O1957">IF(K1957="הכנסה שסווגה מחדש",-G1957,0)</f>
        <v>0</v>
      </c>
      <c r="P1957" t="s" s="79">
        <v>1193</v>
      </c>
      <c r="Q1957" s="100"/>
      <c r="R1957" t="s" s="137">
        <v>743</v>
      </c>
      <c r="S1957" s="77"/>
    </row>
    <row r="1958" ht="13.65" customHeight="1">
      <c r="A1958" s="84">
        <v>46235</v>
      </c>
      <c r="B1958" t="s" s="85">
        <v>63</v>
      </c>
      <c r="C1958" t="s" s="86">
        <v>1141</v>
      </c>
      <c r="D1958" s="138">
        <v>98</v>
      </c>
      <c r="E1958" t="s" s="85">
        <v>1144</v>
      </c>
      <c r="F1958" t="s" s="86">
        <v>555</v>
      </c>
      <c r="G1958" s="139">
        <v>80</v>
      </c>
      <c r="H1958" t="s" s="140">
        <v>113</v>
      </c>
      <c r="I1958" t="s" s="141">
        <v>113</v>
      </c>
      <c r="J1958" t="s" s="141">
        <v>97</v>
      </c>
      <c r="K1958" t="str" s="142" cm="1">
        <f t="array" ref="K1958">IF(OR(H1958="ריביות",AND(H1958="דירה כצנלסון",G1958&lt;0,ISNUMBER(SEARCH("הכנסה",F1958)))),"הכנסה שסווגה מחדש",J1958)</f>
        <v>שוטף</v>
      </c>
      <c r="L1958" t="s" s="141">
        <v>741</v>
      </c>
      <c r="M1958" s="143" cm="1">
        <f t="array" ref="M1958">IF(L1958="מאושר",IF(K1958="הכנסה שסווגה מחדש",0,G1958),0)</f>
        <v>80</v>
      </c>
      <c r="N1958" s="143" cm="1">
        <f t="array" ref="N1958">IF(K1958="שוטף",M1958,0)</f>
        <v>80</v>
      </c>
      <c r="O1958" s="143" cm="1">
        <f t="array" ref="O1958">IF(K1958="הכנסה שסווגה מחדש",-G1958,0)</f>
        <v>0</v>
      </c>
      <c r="P1958" t="s" s="85">
        <v>1193</v>
      </c>
      <c r="Q1958" s="99"/>
      <c r="R1958" t="s" s="144">
        <v>743</v>
      </c>
      <c r="S1958" s="77"/>
    </row>
    <row r="1959" ht="13.55" customHeight="1">
      <c r="A1959" s="89"/>
      <c r="B1959" s="89"/>
      <c r="C1959" s="89"/>
      <c r="D1959" s="89"/>
      <c r="E1959" s="89"/>
      <c r="F1959" s="89"/>
      <c r="G1959" s="89"/>
      <c r="H1959" s="89"/>
      <c r="I1959" s="89"/>
      <c r="J1959" s="89"/>
      <c r="K1959" s="89"/>
      <c r="L1959" s="89"/>
      <c r="M1959" s="89"/>
      <c r="N1959" s="89"/>
      <c r="O1959" s="89"/>
      <c r="P1959" s="89"/>
      <c r="Q1959" s="89"/>
      <c r="R1959" s="89"/>
      <c r="S1959" s="62"/>
    </row>
  </sheetData>
  <conditionalFormatting sqref="G2:G1958 M2:O1958">
    <cfRule type="cellIs" dxfId="6"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G99"/>
  <sheetViews>
    <sheetView workbookViewId="0" showGridLines="0" defaultGridColor="1"/>
  </sheetViews>
  <sheetFormatPr defaultColWidth="8.83333" defaultRowHeight="15" customHeight="1" outlineLevelRow="0" outlineLevelCol="0"/>
  <cols>
    <col min="1" max="1" width="14" style="147" customWidth="1"/>
    <col min="2" max="2" width="12" style="147" customWidth="1"/>
    <col min="3" max="3" width="25" style="147" customWidth="1"/>
    <col min="4" max="4" width="16" style="147" customWidth="1"/>
    <col min="5" max="5" width="14" style="147" customWidth="1"/>
    <col min="6" max="6" width="16" style="147" customWidth="1"/>
    <col min="7" max="7" width="8.85156" style="147" customWidth="1"/>
    <col min="8" max="16384" width="8.85156" style="147" customWidth="1"/>
  </cols>
  <sheetData>
    <row r="1" ht="13.65" customHeight="1">
      <c r="A1" t="s" s="19">
        <v>66</v>
      </c>
      <c r="B1" t="s" s="19">
        <v>24</v>
      </c>
      <c r="C1" t="s" s="19">
        <v>1197</v>
      </c>
      <c r="D1" t="s" s="19">
        <v>1198</v>
      </c>
      <c r="E1" t="s" s="19">
        <v>1199</v>
      </c>
      <c r="F1" t="s" s="19">
        <v>725</v>
      </c>
      <c r="G1" s="69"/>
    </row>
    <row r="2" ht="13.65" customHeight="1">
      <c r="A2" s="71">
        <v>45658</v>
      </c>
      <c r="B2" t="s" s="72">
        <v>29</v>
      </c>
      <c r="C2" t="s" s="73">
        <v>1200</v>
      </c>
      <c r="D2" s="74">
        <v>46854</v>
      </c>
      <c r="E2" t="str" s="148" cm="1">
        <f t="array" ref="E2">IF(OR(ISNUMBER(SEARCH("ESPP",C2)),ISNUMBER(SEARCH("RSU",C2))),"הוני","שוטף")</f>
        <v>שוטף</v>
      </c>
      <c r="F2" t="s" s="130">
        <v>738</v>
      </c>
      <c r="G2" s="77"/>
    </row>
    <row r="3" ht="13.65" customHeight="1">
      <c r="A3" s="78">
        <v>45658</v>
      </c>
      <c r="B3" t="s" s="79">
        <v>29</v>
      </c>
      <c r="C3" t="s" s="80">
        <v>1201</v>
      </c>
      <c r="D3" s="81">
        <v>21647</v>
      </c>
      <c r="E3" t="str" s="149" cm="1">
        <f t="array" ref="E3">IF(OR(ISNUMBER(SEARCH("ESPP",C3)),ISNUMBER(SEARCH("RSU",C3))),"הוני","שוטף")</f>
        <v>שוטף</v>
      </c>
      <c r="F3" t="s" s="137">
        <v>738</v>
      </c>
      <c r="G3" s="77"/>
    </row>
    <row r="4" ht="13.65" customHeight="1">
      <c r="A4" s="84">
        <v>45658</v>
      </c>
      <c r="B4" t="s" s="85">
        <v>29</v>
      </c>
      <c r="C4" t="s" s="85">
        <v>1202</v>
      </c>
      <c r="D4" s="87">
        <v>77907</v>
      </c>
      <c r="E4" t="str" s="150" cm="1">
        <f t="array" ref="E4">IF(OR(ISNUMBER(SEARCH("ESPP",C4)),ISNUMBER(SEARCH("RSU",C4))),"הוני","שוטף")</f>
        <v>הוני</v>
      </c>
      <c r="F4" t="s" s="144">
        <v>738</v>
      </c>
      <c r="G4" s="77"/>
    </row>
    <row r="5" ht="13.65" customHeight="1">
      <c r="A5" s="78">
        <v>45689</v>
      </c>
      <c r="B5" t="s" s="79">
        <v>33</v>
      </c>
      <c r="C5" t="s" s="80">
        <v>1200</v>
      </c>
      <c r="D5" s="81">
        <v>18338</v>
      </c>
      <c r="E5" t="str" s="149" cm="1">
        <f t="array" ref="E5">IF(OR(ISNUMBER(SEARCH("ESPP",C5)),ISNUMBER(SEARCH("RSU",C5))),"הוני","שוטף")</f>
        <v>שוטף</v>
      </c>
      <c r="F5" t="s" s="137">
        <v>785</v>
      </c>
      <c r="G5" s="77"/>
    </row>
    <row r="6" ht="13.65" customHeight="1">
      <c r="A6" s="84">
        <v>45689</v>
      </c>
      <c r="B6" t="s" s="85">
        <v>33</v>
      </c>
      <c r="C6" t="s" s="86">
        <v>1201</v>
      </c>
      <c r="D6" s="87">
        <v>21641</v>
      </c>
      <c r="E6" t="str" s="150" cm="1">
        <f t="array" ref="E6">IF(OR(ISNUMBER(SEARCH("ESPP",C6)),ISNUMBER(SEARCH("RSU",C6))),"הוני","שוטף")</f>
        <v>שוטף</v>
      </c>
      <c r="F6" t="s" s="144">
        <v>785</v>
      </c>
      <c r="G6" s="77"/>
    </row>
    <row r="7" ht="13.65" customHeight="1">
      <c r="A7" s="78">
        <v>45689</v>
      </c>
      <c r="B7" t="s" s="79">
        <v>33</v>
      </c>
      <c r="C7" t="s" s="79">
        <v>1202</v>
      </c>
      <c r="D7" s="81">
        <v>0</v>
      </c>
      <c r="E7" t="str" s="149" cm="1">
        <f t="array" ref="E7">IF(OR(ISNUMBER(SEARCH("ESPP",C7)),ISNUMBER(SEARCH("RSU",C7))),"הוני","שוטף")</f>
        <v>הוני</v>
      </c>
      <c r="F7" t="s" s="137">
        <v>785</v>
      </c>
      <c r="G7" s="77"/>
    </row>
    <row r="8" ht="13.65" customHeight="1">
      <c r="A8" s="84">
        <v>45717</v>
      </c>
      <c r="B8" t="s" s="85">
        <v>37</v>
      </c>
      <c r="C8" t="s" s="86">
        <v>1200</v>
      </c>
      <c r="D8" s="87">
        <v>16076</v>
      </c>
      <c r="E8" t="str" s="150" cm="1">
        <f t="array" ref="E8">IF(OR(ISNUMBER(SEARCH("ESPP",C8)),ISNUMBER(SEARCH("RSU",C8))),"הוני","שוטף")</f>
        <v>שוטף</v>
      </c>
      <c r="F8" t="s" s="144">
        <v>793</v>
      </c>
      <c r="G8" s="77"/>
    </row>
    <row r="9" ht="13.65" customHeight="1">
      <c r="A9" s="78">
        <v>45717</v>
      </c>
      <c r="B9" t="s" s="79">
        <v>37</v>
      </c>
      <c r="C9" t="s" s="80">
        <v>1201</v>
      </c>
      <c r="D9" s="81">
        <v>21644</v>
      </c>
      <c r="E9" t="str" s="149" cm="1">
        <f t="array" ref="E9">IF(OR(ISNUMBER(SEARCH("ESPP",C9)),ISNUMBER(SEARCH("RSU",C9))),"הוני","שוטף")</f>
        <v>שוטף</v>
      </c>
      <c r="F9" t="s" s="137">
        <v>793</v>
      </c>
      <c r="G9" s="77"/>
    </row>
    <row r="10" ht="13.65" customHeight="1">
      <c r="A10" s="84">
        <v>45717</v>
      </c>
      <c r="B10" t="s" s="85">
        <v>37</v>
      </c>
      <c r="C10" t="s" s="85">
        <v>1202</v>
      </c>
      <c r="D10" s="87">
        <v>32403</v>
      </c>
      <c r="E10" t="str" s="150" cm="1">
        <f t="array" ref="E10">IF(OR(ISNUMBER(SEARCH("ESPP",C10)),ISNUMBER(SEARCH("RSU",C10))),"הוני","שוטף")</f>
        <v>הוני</v>
      </c>
      <c r="F10" t="s" s="144">
        <v>793</v>
      </c>
      <c r="G10" s="77"/>
    </row>
    <row r="11" ht="13.65" customHeight="1">
      <c r="A11" s="78">
        <v>45748</v>
      </c>
      <c r="B11" t="s" s="79">
        <v>41</v>
      </c>
      <c r="C11" t="s" s="80">
        <v>1200</v>
      </c>
      <c r="D11" s="81">
        <v>15210</v>
      </c>
      <c r="E11" t="str" s="149" cm="1">
        <f t="array" ref="E11">IF(OR(ISNUMBER(SEARCH("ESPP",C11)),ISNUMBER(SEARCH("RSU",C11))),"הוני","שוטף")</f>
        <v>שוטף</v>
      </c>
      <c r="F11" t="s" s="137">
        <v>796</v>
      </c>
      <c r="G11" s="77"/>
    </row>
    <row r="12" ht="13.65" customHeight="1">
      <c r="A12" s="84">
        <v>45748</v>
      </c>
      <c r="B12" t="s" s="85">
        <v>41</v>
      </c>
      <c r="C12" t="s" s="86">
        <v>1201</v>
      </c>
      <c r="D12" s="87">
        <v>18843</v>
      </c>
      <c r="E12" t="str" s="150" cm="1">
        <f t="array" ref="E12">IF(OR(ISNUMBER(SEARCH("ESPP",C12)),ISNUMBER(SEARCH("RSU",C12))),"הוני","שוטף")</f>
        <v>שוטף</v>
      </c>
      <c r="F12" t="s" s="144">
        <v>796</v>
      </c>
      <c r="G12" s="77"/>
    </row>
    <row r="13" ht="13.65" customHeight="1">
      <c r="A13" s="78">
        <v>45748</v>
      </c>
      <c r="B13" t="s" s="79">
        <v>41</v>
      </c>
      <c r="C13" t="s" s="79">
        <v>1202</v>
      </c>
      <c r="D13" s="81">
        <v>0</v>
      </c>
      <c r="E13" t="str" s="149" cm="1">
        <f t="array" ref="E13">IF(OR(ISNUMBER(SEARCH("ESPP",C13)),ISNUMBER(SEARCH("RSU",C13))),"הוני","שוטף")</f>
        <v>הוני</v>
      </c>
      <c r="F13" t="s" s="137">
        <v>796</v>
      </c>
      <c r="G13" s="77"/>
    </row>
    <row r="14" ht="13.65" customHeight="1">
      <c r="A14" s="84">
        <v>45778</v>
      </c>
      <c r="B14" t="s" s="85">
        <v>45</v>
      </c>
      <c r="C14" t="s" s="86">
        <v>1200</v>
      </c>
      <c r="D14" s="87">
        <v>15341</v>
      </c>
      <c r="E14" t="str" s="150" cm="1">
        <f t="array" ref="E14">IF(OR(ISNUMBER(SEARCH("ESPP",C14)),ISNUMBER(SEARCH("RSU",C14))),"הוני","שוטף")</f>
        <v>שוטף</v>
      </c>
      <c r="F14" t="s" s="144">
        <v>799</v>
      </c>
      <c r="G14" s="77"/>
    </row>
    <row r="15" ht="13.65" customHeight="1">
      <c r="A15" s="78">
        <v>45778</v>
      </c>
      <c r="B15" t="s" s="79">
        <v>45</v>
      </c>
      <c r="C15" t="s" s="80">
        <v>1201</v>
      </c>
      <c r="D15" s="81">
        <v>4458</v>
      </c>
      <c r="E15" t="str" s="149" cm="1">
        <f t="array" ref="E15">IF(OR(ISNUMBER(SEARCH("ESPP",C15)),ISNUMBER(SEARCH("RSU",C15))),"הוני","שוטף")</f>
        <v>שוטף</v>
      </c>
      <c r="F15" t="s" s="137">
        <v>799</v>
      </c>
      <c r="G15" s="77"/>
    </row>
    <row r="16" ht="13.65" customHeight="1">
      <c r="A16" s="84">
        <v>45778</v>
      </c>
      <c r="B16" t="s" s="85">
        <v>45</v>
      </c>
      <c r="C16" t="s" s="85">
        <v>1202</v>
      </c>
      <c r="D16" s="87">
        <v>0</v>
      </c>
      <c r="E16" t="str" s="150" cm="1">
        <f t="array" ref="E16">IF(OR(ISNUMBER(SEARCH("ESPP",C16)),ISNUMBER(SEARCH("RSU",C16))),"הוני","שוטף")</f>
        <v>הוני</v>
      </c>
      <c r="F16" t="s" s="144">
        <v>799</v>
      </c>
      <c r="G16" s="77"/>
    </row>
    <row r="17" ht="13.65" customHeight="1">
      <c r="A17" s="78">
        <v>45809</v>
      </c>
      <c r="B17" t="s" s="79">
        <v>49</v>
      </c>
      <c r="C17" t="s" s="80">
        <v>1200</v>
      </c>
      <c r="D17" s="81">
        <v>0</v>
      </c>
      <c r="E17" t="str" s="149" cm="1">
        <f t="array" ref="E17">IF(OR(ISNUMBER(SEARCH("ESPP",C17)),ISNUMBER(SEARCH("RSU",C17))),"הוני","שוטף")</f>
        <v>שוטף</v>
      </c>
      <c r="F17" t="s" s="137">
        <v>805</v>
      </c>
      <c r="G17" s="77"/>
    </row>
    <row r="18" ht="13.65" customHeight="1">
      <c r="A18" s="84">
        <v>45809</v>
      </c>
      <c r="B18" t="s" s="85">
        <v>49</v>
      </c>
      <c r="C18" t="s" s="86">
        <v>1201</v>
      </c>
      <c r="D18" s="87">
        <v>0</v>
      </c>
      <c r="E18" t="str" s="150" cm="1">
        <f t="array" ref="E18">IF(OR(ISNUMBER(SEARCH("ESPP",C18)),ISNUMBER(SEARCH("RSU",C18))),"הוני","שוטף")</f>
        <v>שוטף</v>
      </c>
      <c r="F18" t="s" s="144">
        <v>805</v>
      </c>
      <c r="G18" s="77"/>
    </row>
    <row r="19" ht="13.65" customHeight="1">
      <c r="A19" s="78">
        <v>45809</v>
      </c>
      <c r="B19" t="s" s="79">
        <v>49</v>
      </c>
      <c r="C19" t="s" s="79">
        <v>1202</v>
      </c>
      <c r="D19" s="81">
        <v>0</v>
      </c>
      <c r="E19" t="str" s="149" cm="1">
        <f t="array" ref="E19">IF(OR(ISNUMBER(SEARCH("ESPP",C19)),ISNUMBER(SEARCH("RSU",C19))),"הוני","שוטף")</f>
        <v>הוני</v>
      </c>
      <c r="F19" t="s" s="137">
        <v>805</v>
      </c>
      <c r="G19" s="77"/>
    </row>
    <row r="20" ht="13.65" customHeight="1">
      <c r="A20" s="84">
        <v>45839</v>
      </c>
      <c r="B20" t="s" s="85">
        <v>50</v>
      </c>
      <c r="C20" t="s" s="86">
        <v>1200</v>
      </c>
      <c r="D20" s="87">
        <v>15296</v>
      </c>
      <c r="E20" t="str" s="150" cm="1">
        <f t="array" ref="E20">IF(OR(ISNUMBER(SEARCH("ESPP",C20)),ISNUMBER(SEARCH("RSU",C20))),"הוני","שוטף")</f>
        <v>שוטף</v>
      </c>
      <c r="F20" t="s" s="144">
        <v>808</v>
      </c>
      <c r="G20" s="77"/>
    </row>
    <row r="21" ht="13.65" customHeight="1">
      <c r="A21" s="78">
        <v>45839</v>
      </c>
      <c r="B21" t="s" s="79">
        <v>50</v>
      </c>
      <c r="C21" t="s" s="80">
        <v>1201</v>
      </c>
      <c r="D21" s="81">
        <v>0</v>
      </c>
      <c r="E21" t="str" s="149" cm="1">
        <f t="array" ref="E21">IF(OR(ISNUMBER(SEARCH("ESPP",C21)),ISNUMBER(SEARCH("RSU",C21))),"הוני","שוטף")</f>
        <v>שוטף</v>
      </c>
      <c r="F21" t="s" s="137">
        <v>808</v>
      </c>
      <c r="G21" s="77"/>
    </row>
    <row r="22" ht="13.65" customHeight="1">
      <c r="A22" s="84">
        <v>45839</v>
      </c>
      <c r="B22" t="s" s="85">
        <v>50</v>
      </c>
      <c r="C22" t="s" s="85">
        <v>1202</v>
      </c>
      <c r="D22" s="87">
        <v>0</v>
      </c>
      <c r="E22" t="str" s="150" cm="1">
        <f t="array" ref="E22">IF(OR(ISNUMBER(SEARCH("ESPP",C22)),ISNUMBER(SEARCH("RSU",C22))),"הוני","שוטף")</f>
        <v>הוני</v>
      </c>
      <c r="F22" t="s" s="144">
        <v>808</v>
      </c>
      <c r="G22" s="77"/>
    </row>
    <row r="23" ht="13.65" customHeight="1">
      <c r="A23" s="78">
        <v>45870</v>
      </c>
      <c r="B23" t="s" s="79">
        <v>51</v>
      </c>
      <c r="C23" t="s" s="80">
        <v>1200</v>
      </c>
      <c r="D23" s="81">
        <v>15305</v>
      </c>
      <c r="E23" t="str" s="149" cm="1">
        <f t="array" ref="E23">IF(OR(ISNUMBER(SEARCH("ESPP",C23)),ISNUMBER(SEARCH("RSU",C23))),"הוני","שוטף")</f>
        <v>שוטף</v>
      </c>
      <c r="F23" t="s" s="137">
        <v>813</v>
      </c>
      <c r="G23" s="77"/>
    </row>
    <row r="24" ht="13.65" customHeight="1">
      <c r="A24" s="84">
        <v>45870</v>
      </c>
      <c r="B24" t="s" s="85">
        <v>51</v>
      </c>
      <c r="C24" t="s" s="86">
        <v>1201</v>
      </c>
      <c r="D24" s="87">
        <v>0</v>
      </c>
      <c r="E24" t="str" s="150" cm="1">
        <f t="array" ref="E24">IF(OR(ISNUMBER(SEARCH("ESPP",C24)),ISNUMBER(SEARCH("RSU",C24))),"הוני","שוטף")</f>
        <v>שוטף</v>
      </c>
      <c r="F24" t="s" s="144">
        <v>813</v>
      </c>
      <c r="G24" s="77"/>
    </row>
    <row r="25" ht="13.65" customHeight="1">
      <c r="A25" s="78">
        <v>45870</v>
      </c>
      <c r="B25" t="s" s="79">
        <v>51</v>
      </c>
      <c r="C25" t="s" s="79">
        <v>1202</v>
      </c>
      <c r="D25" s="81">
        <v>0</v>
      </c>
      <c r="E25" t="str" s="149" cm="1">
        <f t="array" ref="E25">IF(OR(ISNUMBER(SEARCH("ESPP",C25)),ISNUMBER(SEARCH("RSU",C25))),"הוני","שוטף")</f>
        <v>הוני</v>
      </c>
      <c r="F25" t="s" s="137">
        <v>813</v>
      </c>
      <c r="G25" s="77"/>
    </row>
    <row r="26" ht="13.65" customHeight="1">
      <c r="A26" s="84">
        <v>45901</v>
      </c>
      <c r="B26" t="s" s="85">
        <v>52</v>
      </c>
      <c r="C26" t="s" s="86">
        <v>1200</v>
      </c>
      <c r="D26" s="87">
        <v>17956</v>
      </c>
      <c r="E26" t="str" s="150" cm="1">
        <f t="array" ref="E26">IF(OR(ISNUMBER(SEARCH("ESPP",C26)),ISNUMBER(SEARCH("RSU",C26))),"הוני","שוטף")</f>
        <v>שוטף</v>
      </c>
      <c r="F26" t="s" s="144">
        <v>819</v>
      </c>
      <c r="G26" s="77"/>
    </row>
    <row r="27" ht="13.65" customHeight="1">
      <c r="A27" s="78">
        <v>45901</v>
      </c>
      <c r="B27" t="s" s="79">
        <v>52</v>
      </c>
      <c r="C27" t="s" s="80">
        <v>1201</v>
      </c>
      <c r="D27" s="81">
        <v>11714</v>
      </c>
      <c r="E27" t="str" s="149" cm="1">
        <f t="array" ref="E27">IF(OR(ISNUMBER(SEARCH("ESPP",C27)),ISNUMBER(SEARCH("RSU",C27))),"הוני","שוטף")</f>
        <v>שוטף</v>
      </c>
      <c r="F27" t="s" s="137">
        <v>819</v>
      </c>
      <c r="G27" s="77"/>
    </row>
    <row r="28" ht="13.65" customHeight="1">
      <c r="A28" s="84">
        <v>45901</v>
      </c>
      <c r="B28" t="s" s="85">
        <v>52</v>
      </c>
      <c r="C28" t="s" s="85">
        <v>1202</v>
      </c>
      <c r="D28" s="87">
        <v>0</v>
      </c>
      <c r="E28" t="str" s="150" cm="1">
        <f t="array" ref="E28">IF(OR(ISNUMBER(SEARCH("ESPP",C28)),ISNUMBER(SEARCH("RSU",C28))),"הוני","שוטף")</f>
        <v>הוני</v>
      </c>
      <c r="F28" t="s" s="144">
        <v>819</v>
      </c>
      <c r="G28" s="77"/>
    </row>
    <row r="29" ht="13.65" customHeight="1">
      <c r="A29" s="78">
        <v>45931</v>
      </c>
      <c r="B29" t="s" s="79">
        <v>53</v>
      </c>
      <c r="C29" t="s" s="80">
        <v>1200</v>
      </c>
      <c r="D29" s="81">
        <v>17734</v>
      </c>
      <c r="E29" t="str" s="149" cm="1">
        <f t="array" ref="E29">IF(OR(ISNUMBER(SEARCH("ESPP",C29)),ISNUMBER(SEARCH("RSU",C29))),"הוני","שוטף")</f>
        <v>שוטף</v>
      </c>
      <c r="F29" t="s" s="137">
        <v>822</v>
      </c>
      <c r="G29" s="77"/>
    </row>
    <row r="30" ht="13.65" customHeight="1">
      <c r="A30" s="84">
        <v>45931</v>
      </c>
      <c r="B30" t="s" s="85">
        <v>53</v>
      </c>
      <c r="C30" t="s" s="86">
        <v>1201</v>
      </c>
      <c r="D30" s="87">
        <v>12202</v>
      </c>
      <c r="E30" t="str" s="150" cm="1">
        <f t="array" ref="E30">IF(OR(ISNUMBER(SEARCH("ESPP",C30)),ISNUMBER(SEARCH("RSU",C30))),"הוני","שוטף")</f>
        <v>שוטף</v>
      </c>
      <c r="F30" t="s" s="144">
        <v>822</v>
      </c>
      <c r="G30" s="77"/>
    </row>
    <row r="31" ht="13.65" customHeight="1">
      <c r="A31" s="78">
        <v>45931</v>
      </c>
      <c r="B31" t="s" s="79">
        <v>53</v>
      </c>
      <c r="C31" t="s" s="79">
        <v>1202</v>
      </c>
      <c r="D31" s="81">
        <v>49691</v>
      </c>
      <c r="E31" t="str" s="149" cm="1">
        <f t="array" ref="E31">IF(OR(ISNUMBER(SEARCH("ESPP",C31)),ISNUMBER(SEARCH("RSU",C31))),"הוני","שוטף")</f>
        <v>הוני</v>
      </c>
      <c r="F31" t="s" s="137">
        <v>822</v>
      </c>
      <c r="G31" s="77"/>
    </row>
    <row r="32" ht="13.65" customHeight="1">
      <c r="A32" s="84">
        <v>45962</v>
      </c>
      <c r="B32" t="s" s="85">
        <v>54</v>
      </c>
      <c r="C32" t="s" s="86">
        <v>1200</v>
      </c>
      <c r="D32" s="87">
        <v>21380</v>
      </c>
      <c r="E32" t="str" s="150" cm="1">
        <f t="array" ref="E32">IF(OR(ISNUMBER(SEARCH("ESPP",C32)),ISNUMBER(SEARCH("RSU",C32))),"הוני","שוטף")</f>
        <v>שוטף</v>
      </c>
      <c r="F32" t="s" s="144">
        <v>825</v>
      </c>
      <c r="G32" s="77"/>
    </row>
    <row r="33" ht="13.65" customHeight="1">
      <c r="A33" s="78">
        <v>45962</v>
      </c>
      <c r="B33" t="s" s="79">
        <v>54</v>
      </c>
      <c r="C33" t="s" s="80">
        <v>1201</v>
      </c>
      <c r="D33" s="81">
        <v>12202</v>
      </c>
      <c r="E33" t="str" s="149" cm="1">
        <f t="array" ref="E33">IF(OR(ISNUMBER(SEARCH("ESPP",C33)),ISNUMBER(SEARCH("RSU",C33))),"הוני","שוטף")</f>
        <v>שוטף</v>
      </c>
      <c r="F33" t="s" s="137">
        <v>825</v>
      </c>
      <c r="G33" s="77"/>
    </row>
    <row r="34" ht="13.65" customHeight="1">
      <c r="A34" s="84">
        <v>45962</v>
      </c>
      <c r="B34" t="s" s="85">
        <v>54</v>
      </c>
      <c r="C34" t="s" s="85">
        <v>1202</v>
      </c>
      <c r="D34" s="87">
        <v>413860</v>
      </c>
      <c r="E34" t="str" s="150" cm="1">
        <f t="array" ref="E34">IF(OR(ISNUMBER(SEARCH("ESPP",C34)),ISNUMBER(SEARCH("RSU",C34))),"הוני","שוטף")</f>
        <v>הוני</v>
      </c>
      <c r="F34" t="s" s="144">
        <v>825</v>
      </c>
      <c r="G34" s="77"/>
    </row>
    <row r="35" ht="13.65" customHeight="1">
      <c r="A35" s="78">
        <v>45992</v>
      </c>
      <c r="B35" t="s" s="79">
        <v>55</v>
      </c>
      <c r="C35" t="s" s="80">
        <v>1200</v>
      </c>
      <c r="D35" s="81">
        <v>17405</v>
      </c>
      <c r="E35" t="str" s="149" cm="1">
        <f t="array" ref="E35">IF(OR(ISNUMBER(SEARCH("ESPP",C35)),ISNUMBER(SEARCH("RSU",C35))),"הוני","שוטף")</f>
        <v>שוטף</v>
      </c>
      <c r="F35" t="s" s="137">
        <v>832</v>
      </c>
      <c r="G35" s="77"/>
    </row>
    <row r="36" ht="13.65" customHeight="1">
      <c r="A36" s="84">
        <v>45992</v>
      </c>
      <c r="B36" t="s" s="85">
        <v>55</v>
      </c>
      <c r="C36" t="s" s="86">
        <v>1201</v>
      </c>
      <c r="D36" s="87">
        <v>34512</v>
      </c>
      <c r="E36" t="str" s="150" cm="1">
        <f t="array" ref="E36">IF(OR(ISNUMBER(SEARCH("ESPP",C36)),ISNUMBER(SEARCH("RSU",C36))),"הוני","שוטף")</f>
        <v>שוטף</v>
      </c>
      <c r="F36" t="s" s="144">
        <v>832</v>
      </c>
      <c r="G36" s="77"/>
    </row>
    <row r="37" ht="13.65" customHeight="1">
      <c r="A37" s="78">
        <v>45992</v>
      </c>
      <c r="B37" t="s" s="79">
        <v>55</v>
      </c>
      <c r="C37" t="s" s="79">
        <v>1202</v>
      </c>
      <c r="D37" s="81">
        <v>55687</v>
      </c>
      <c r="E37" t="str" s="149" cm="1">
        <f t="array" ref="E37">IF(OR(ISNUMBER(SEARCH("ESPP",C37)),ISNUMBER(SEARCH("RSU",C37))),"הוני","שוטף")</f>
        <v>הוני</v>
      </c>
      <c r="F37" t="s" s="137">
        <v>832</v>
      </c>
      <c r="G37" s="77"/>
    </row>
    <row r="38" ht="13.65" customHeight="1">
      <c r="A38" s="84">
        <v>46023</v>
      </c>
      <c r="B38" t="s" s="85">
        <v>56</v>
      </c>
      <c r="C38" t="s" s="86">
        <v>1204</v>
      </c>
      <c r="D38" s="87">
        <v>2295</v>
      </c>
      <c r="E38" t="str" s="150" cm="1">
        <f t="array" ref="E38">IF(OR(ISNUMBER(SEARCH("ESPP",C38)),ISNUMBER(SEARCH("RSU",C38))),"הוני","שוטף")</f>
        <v>שוטף</v>
      </c>
      <c r="F38" t="s" s="144">
        <v>837</v>
      </c>
      <c r="G38" s="77"/>
    </row>
    <row r="39" ht="13.65" customHeight="1">
      <c r="A39" s="78">
        <v>46023</v>
      </c>
      <c r="B39" t="s" s="79">
        <v>56</v>
      </c>
      <c r="C39" t="s" s="80">
        <v>1200</v>
      </c>
      <c r="D39" s="81">
        <v>15585</v>
      </c>
      <c r="E39" t="str" s="149" cm="1">
        <f t="array" ref="E39">IF(OR(ISNUMBER(SEARCH("ESPP",C39)),ISNUMBER(SEARCH("RSU",C39))),"הוני","שוטף")</f>
        <v>שוטף</v>
      </c>
      <c r="F39" t="s" s="137">
        <v>837</v>
      </c>
      <c r="G39" s="77"/>
    </row>
    <row r="40" ht="13.65" customHeight="1">
      <c r="A40" s="84">
        <v>46023</v>
      </c>
      <c r="B40" t="s" s="85">
        <v>56</v>
      </c>
      <c r="C40" t="s" s="86">
        <v>1201</v>
      </c>
      <c r="D40" s="87">
        <v>25017</v>
      </c>
      <c r="E40" t="str" s="150" cm="1">
        <f t="array" ref="E40">IF(OR(ISNUMBER(SEARCH("ESPP",C40)),ISNUMBER(SEARCH("RSU",C40))),"הוני","שוטף")</f>
        <v>שוטף</v>
      </c>
      <c r="F40" t="s" s="144">
        <v>837</v>
      </c>
      <c r="G40" s="77"/>
    </row>
    <row r="41" ht="13.65" customHeight="1">
      <c r="A41" s="78">
        <v>46023</v>
      </c>
      <c r="B41" t="s" s="79">
        <v>56</v>
      </c>
      <c r="C41" t="s" s="80">
        <v>521</v>
      </c>
      <c r="D41" s="81">
        <v>1087</v>
      </c>
      <c r="E41" t="str" s="149" cm="1">
        <f t="array" ref="E41">IF(OR(ISNUMBER(SEARCH("ESPP",C41)),ISNUMBER(SEARCH("RSU",C41))),"הוני","שוטף")</f>
        <v>שוטף</v>
      </c>
      <c r="F41" t="s" s="137">
        <v>837</v>
      </c>
      <c r="G41" s="77"/>
    </row>
    <row r="42" ht="13.65" customHeight="1">
      <c r="A42" s="84">
        <v>46023</v>
      </c>
      <c r="B42" t="s" s="85">
        <v>56</v>
      </c>
      <c r="C42" t="s" s="86">
        <v>746</v>
      </c>
      <c r="D42" s="87">
        <v>839</v>
      </c>
      <c r="E42" t="str" s="150" cm="1">
        <f t="array" ref="E42">IF(OR(ISNUMBER(SEARCH("ESPP",C42)),ISNUMBER(SEARCH("RSU",C42))),"הוני","שוטף")</f>
        <v>שוטף</v>
      </c>
      <c r="F42" t="s" s="144">
        <v>837</v>
      </c>
      <c r="G42" s="77"/>
    </row>
    <row r="43" ht="13.65" customHeight="1">
      <c r="A43" s="78">
        <v>46023</v>
      </c>
      <c r="B43" t="s" s="79">
        <v>56</v>
      </c>
      <c r="C43" t="s" s="80">
        <v>196</v>
      </c>
      <c r="D43" s="81">
        <v>6500</v>
      </c>
      <c r="E43" t="str" s="149" cm="1">
        <f t="array" ref="E43">IF(OR(ISNUMBER(SEARCH("ESPP",C43)),ISNUMBER(SEARCH("RSU",C43))),"הוני","שוטף")</f>
        <v>שוטף</v>
      </c>
      <c r="F43" t="s" s="137">
        <v>837</v>
      </c>
      <c r="G43" s="77"/>
    </row>
    <row r="44" ht="13.65" customHeight="1">
      <c r="A44" s="84">
        <v>46023</v>
      </c>
      <c r="B44" t="s" s="85">
        <v>56</v>
      </c>
      <c r="C44" t="s" s="85">
        <v>1202</v>
      </c>
      <c r="D44" s="87">
        <v>0</v>
      </c>
      <c r="E44" t="str" s="150" cm="1">
        <f t="array" ref="E44">IF(OR(ISNUMBER(SEARCH("ESPP",C44)),ISNUMBER(SEARCH("RSU",C44))),"הוני","שוטף")</f>
        <v>הוני</v>
      </c>
      <c r="F44" t="s" s="144">
        <v>837</v>
      </c>
      <c r="G44" s="77"/>
    </row>
    <row r="45" ht="13.65" customHeight="1">
      <c r="A45" s="78">
        <v>46023</v>
      </c>
      <c r="B45" t="s" s="79">
        <v>56</v>
      </c>
      <c r="C45" t="s" s="79">
        <v>1205</v>
      </c>
      <c r="D45" s="81">
        <v>0</v>
      </c>
      <c r="E45" t="str" s="149" cm="1">
        <f t="array" ref="E45">IF(OR(ISNUMBER(SEARCH("ESPP",C45)),ISNUMBER(SEARCH("RSU",C45))),"הוני","שוטף")</f>
        <v>הוני</v>
      </c>
      <c r="F45" t="s" s="137">
        <v>837</v>
      </c>
      <c r="G45" s="77"/>
    </row>
    <row r="46" ht="13.65" customHeight="1">
      <c r="A46" s="84">
        <v>46054</v>
      </c>
      <c r="B46" t="s" s="85">
        <v>57</v>
      </c>
      <c r="C46" t="s" s="86">
        <v>705</v>
      </c>
      <c r="D46" s="87">
        <v>3162</v>
      </c>
      <c r="E46" t="str" s="150" cm="1">
        <f t="array" ref="E46">IF(OR(ISNUMBER(SEARCH("ESPP",C46)),ISNUMBER(SEARCH("RSU",C46))),"הוני","שוטף")</f>
        <v>שוטף</v>
      </c>
      <c r="F46" t="s" s="144">
        <v>840</v>
      </c>
      <c r="G46" s="77"/>
    </row>
    <row r="47" ht="13.65" customHeight="1">
      <c r="A47" s="78">
        <v>46054</v>
      </c>
      <c r="B47" t="s" s="79">
        <v>57</v>
      </c>
      <c r="C47" t="s" s="80">
        <v>1200</v>
      </c>
      <c r="D47" s="81">
        <v>15584</v>
      </c>
      <c r="E47" t="str" s="149" cm="1">
        <f t="array" ref="E47">IF(OR(ISNUMBER(SEARCH("ESPP",C47)),ISNUMBER(SEARCH("RSU",C47))),"הוני","שוטף")</f>
        <v>שוטף</v>
      </c>
      <c r="F47" t="s" s="137">
        <v>840</v>
      </c>
      <c r="G47" s="77"/>
    </row>
    <row r="48" ht="13.65" customHeight="1">
      <c r="A48" s="84">
        <v>46054</v>
      </c>
      <c r="B48" t="s" s="85">
        <v>57</v>
      </c>
      <c r="C48" t="s" s="86">
        <v>1201</v>
      </c>
      <c r="D48" s="87">
        <v>23875</v>
      </c>
      <c r="E48" t="str" s="150" cm="1">
        <f t="array" ref="E48">IF(OR(ISNUMBER(SEARCH("ESPP",C48)),ISNUMBER(SEARCH("RSU",C48))),"הוני","שוטף")</f>
        <v>שוטף</v>
      </c>
      <c r="F48" t="s" s="144">
        <v>840</v>
      </c>
      <c r="G48" s="77"/>
    </row>
    <row r="49" ht="13.65" customHeight="1">
      <c r="A49" s="78">
        <v>46054</v>
      </c>
      <c r="B49" t="s" s="79">
        <v>57</v>
      </c>
      <c r="C49" t="s" s="80">
        <v>521</v>
      </c>
      <c r="D49" s="81">
        <v>1200</v>
      </c>
      <c r="E49" t="str" s="149" cm="1">
        <f t="array" ref="E49">IF(OR(ISNUMBER(SEARCH("ESPP",C49)),ISNUMBER(SEARCH("RSU",C49))),"הוני","שוטף")</f>
        <v>שוטף</v>
      </c>
      <c r="F49" t="s" s="137">
        <v>840</v>
      </c>
      <c r="G49" s="77"/>
    </row>
    <row r="50" ht="13.65" customHeight="1">
      <c r="A50" s="84">
        <v>46054</v>
      </c>
      <c r="B50" t="s" s="85">
        <v>57</v>
      </c>
      <c r="C50" t="s" s="86">
        <v>746</v>
      </c>
      <c r="D50" s="87">
        <v>329</v>
      </c>
      <c r="E50" t="str" s="150" cm="1">
        <f t="array" ref="E50">IF(OR(ISNUMBER(SEARCH("ESPP",C50)),ISNUMBER(SEARCH("RSU",C50))),"הוני","שוטף")</f>
        <v>שוטף</v>
      </c>
      <c r="F50" t="s" s="144">
        <v>840</v>
      </c>
      <c r="G50" s="77"/>
    </row>
    <row r="51" ht="13.65" customHeight="1">
      <c r="A51" s="78">
        <v>46054</v>
      </c>
      <c r="B51" t="s" s="79">
        <v>57</v>
      </c>
      <c r="C51" t="s" s="80">
        <v>196</v>
      </c>
      <c r="D51" s="81">
        <v>6500</v>
      </c>
      <c r="E51" t="str" s="149" cm="1">
        <f t="array" ref="E51">IF(OR(ISNUMBER(SEARCH("ESPP",C51)),ISNUMBER(SEARCH("RSU",C51))),"הוני","שוטף")</f>
        <v>שוטף</v>
      </c>
      <c r="F51" t="s" s="137">
        <v>840</v>
      </c>
      <c r="G51" s="77"/>
    </row>
    <row r="52" ht="13.65" customHeight="1">
      <c r="A52" s="84">
        <v>46054</v>
      </c>
      <c r="B52" t="s" s="85">
        <v>57</v>
      </c>
      <c r="C52" t="s" s="85">
        <v>1202</v>
      </c>
      <c r="D52" s="87">
        <v>0</v>
      </c>
      <c r="E52" t="str" s="150" cm="1">
        <f t="array" ref="E52">IF(OR(ISNUMBER(SEARCH("ESPP",C52)),ISNUMBER(SEARCH("RSU",C52))),"הוני","שוטף")</f>
        <v>הוני</v>
      </c>
      <c r="F52" t="s" s="144">
        <v>840</v>
      </c>
      <c r="G52" s="77"/>
    </row>
    <row r="53" ht="13.65" customHeight="1">
      <c r="A53" s="78">
        <v>46054</v>
      </c>
      <c r="B53" t="s" s="79">
        <v>57</v>
      </c>
      <c r="C53" t="s" s="79">
        <v>1205</v>
      </c>
      <c r="D53" s="81">
        <v>0</v>
      </c>
      <c r="E53" t="str" s="149" cm="1">
        <f t="array" ref="E53">IF(OR(ISNUMBER(SEARCH("ESPP",C53)),ISNUMBER(SEARCH("RSU",C53))),"הוני","שוטף")</f>
        <v>הוני</v>
      </c>
      <c r="F53" t="s" s="137">
        <v>840</v>
      </c>
      <c r="G53" s="77"/>
    </row>
    <row r="54" ht="13.65" customHeight="1">
      <c r="A54" s="84">
        <v>46082</v>
      </c>
      <c r="B54" t="s" s="85">
        <v>58</v>
      </c>
      <c r="C54" t="s" s="86">
        <v>1200</v>
      </c>
      <c r="D54" s="87">
        <v>24343</v>
      </c>
      <c r="E54" t="str" s="150" cm="1">
        <f t="array" ref="E54">IF(OR(ISNUMBER(SEARCH("ESPP",C54)),ISNUMBER(SEARCH("RSU",C54))),"הוני","שוטף")</f>
        <v>שוטף</v>
      </c>
      <c r="F54" t="s" s="144">
        <v>898</v>
      </c>
      <c r="G54" s="77"/>
    </row>
    <row r="55" ht="13.65" customHeight="1">
      <c r="A55" s="78">
        <v>46082</v>
      </c>
      <c r="B55" t="s" s="79">
        <v>58</v>
      </c>
      <c r="C55" t="s" s="80">
        <v>1201</v>
      </c>
      <c r="D55" s="81">
        <v>23877</v>
      </c>
      <c r="E55" t="str" s="149" cm="1">
        <f t="array" ref="E55">IF(OR(ISNUMBER(SEARCH("ESPP",C55)),ISNUMBER(SEARCH("RSU",C55))),"הוני","שוטף")</f>
        <v>שוטף</v>
      </c>
      <c r="F55" t="s" s="137">
        <v>898</v>
      </c>
      <c r="G55" s="77"/>
    </row>
    <row r="56" ht="13.65" customHeight="1">
      <c r="A56" s="84">
        <v>46082</v>
      </c>
      <c r="B56" t="s" s="85">
        <v>58</v>
      </c>
      <c r="C56" t="s" s="86">
        <v>521</v>
      </c>
      <c r="D56" s="87">
        <v>1200</v>
      </c>
      <c r="E56" t="str" s="150" cm="1">
        <f t="array" ref="E56">IF(OR(ISNUMBER(SEARCH("ESPP",C56)),ISNUMBER(SEARCH("RSU",C56))),"הוני","שוטף")</f>
        <v>שוטף</v>
      </c>
      <c r="F56" t="s" s="144">
        <v>898</v>
      </c>
      <c r="G56" s="77"/>
    </row>
    <row r="57" ht="13.65" customHeight="1">
      <c r="A57" s="78">
        <v>46082</v>
      </c>
      <c r="B57" t="s" s="79">
        <v>58</v>
      </c>
      <c r="C57" t="s" s="80">
        <v>746</v>
      </c>
      <c r="D57" s="81">
        <v>4694</v>
      </c>
      <c r="E57" t="str" s="149" cm="1">
        <f t="array" ref="E57">IF(OR(ISNUMBER(SEARCH("ESPP",C57)),ISNUMBER(SEARCH("RSU",C57))),"הוני","שוטף")</f>
        <v>שוטף</v>
      </c>
      <c r="F57" t="s" s="137">
        <v>898</v>
      </c>
      <c r="G57" s="77"/>
    </row>
    <row r="58" ht="13.65" customHeight="1">
      <c r="A58" s="84">
        <v>46082</v>
      </c>
      <c r="B58" t="s" s="85">
        <v>58</v>
      </c>
      <c r="C58" t="s" s="86">
        <v>196</v>
      </c>
      <c r="D58" s="87">
        <v>6500</v>
      </c>
      <c r="E58" t="str" s="150" cm="1">
        <f t="array" ref="E58">IF(OR(ISNUMBER(SEARCH("ESPP",C58)),ISNUMBER(SEARCH("RSU",C58))),"הוני","שוטף")</f>
        <v>שוטף</v>
      </c>
      <c r="F58" t="s" s="144">
        <v>898</v>
      </c>
      <c r="G58" s="77"/>
    </row>
    <row r="59" ht="13.65" customHeight="1">
      <c r="A59" s="78">
        <v>46082</v>
      </c>
      <c r="B59" t="s" s="79">
        <v>58</v>
      </c>
      <c r="C59" t="s" s="79">
        <v>1202</v>
      </c>
      <c r="D59" s="81">
        <v>50415</v>
      </c>
      <c r="E59" t="str" s="149" cm="1">
        <f t="array" ref="E59">IF(OR(ISNUMBER(SEARCH("ESPP",C59)),ISNUMBER(SEARCH("RSU",C59))),"הוני","שוטף")</f>
        <v>הוני</v>
      </c>
      <c r="F59" t="s" s="137">
        <v>898</v>
      </c>
      <c r="G59" s="77"/>
    </row>
    <row r="60" ht="13.65" customHeight="1">
      <c r="A60" s="84">
        <v>46082</v>
      </c>
      <c r="B60" t="s" s="85">
        <v>58</v>
      </c>
      <c r="C60" t="s" s="85">
        <v>1205</v>
      </c>
      <c r="D60" s="87">
        <v>0</v>
      </c>
      <c r="E60" t="str" s="150" cm="1">
        <f t="array" ref="E60">IF(OR(ISNUMBER(SEARCH("ESPP",C60)),ISNUMBER(SEARCH("RSU",C60))),"הוני","שוטף")</f>
        <v>הוני</v>
      </c>
      <c r="F60" t="s" s="144">
        <v>898</v>
      </c>
      <c r="G60" s="77"/>
    </row>
    <row r="61" ht="13.65" customHeight="1">
      <c r="A61" s="78">
        <v>46113</v>
      </c>
      <c r="B61" t="s" s="79">
        <v>59</v>
      </c>
      <c r="C61" t="s" s="80">
        <v>1200</v>
      </c>
      <c r="D61" s="81">
        <v>18017</v>
      </c>
      <c r="E61" t="str" s="149" cm="1">
        <f t="array" ref="E61">IF(OR(ISNUMBER(SEARCH("ESPP",C61)),ISNUMBER(SEARCH("RSU",C61))),"הוני","שוטף")</f>
        <v>שוטף</v>
      </c>
      <c r="F61" t="s" s="137">
        <v>939</v>
      </c>
      <c r="G61" s="77"/>
    </row>
    <row r="62" ht="13.65" customHeight="1">
      <c r="A62" s="84">
        <v>46113</v>
      </c>
      <c r="B62" t="s" s="85">
        <v>59</v>
      </c>
      <c r="C62" t="s" s="86">
        <v>1201</v>
      </c>
      <c r="D62" s="87">
        <v>25556</v>
      </c>
      <c r="E62" t="str" s="150" cm="1">
        <f t="array" ref="E62">IF(OR(ISNUMBER(SEARCH("ESPP",C62)),ISNUMBER(SEARCH("RSU",C62))),"הוני","שוטף")</f>
        <v>שוטף</v>
      </c>
      <c r="F62" t="s" s="144">
        <v>939</v>
      </c>
      <c r="G62" s="77"/>
    </row>
    <row r="63" ht="13.65" customHeight="1">
      <c r="A63" s="78">
        <v>46113</v>
      </c>
      <c r="B63" t="s" s="79">
        <v>59</v>
      </c>
      <c r="C63" t="s" s="80">
        <v>521</v>
      </c>
      <c r="D63" s="81">
        <v>900</v>
      </c>
      <c r="E63" t="str" s="149" cm="1">
        <f t="array" ref="E63">IF(OR(ISNUMBER(SEARCH("ESPP",C63)),ISNUMBER(SEARCH("RSU",C63))),"הוני","שוטף")</f>
        <v>שוטף</v>
      </c>
      <c r="F63" t="s" s="137">
        <v>939</v>
      </c>
      <c r="G63" s="77"/>
    </row>
    <row r="64" ht="13.65" customHeight="1">
      <c r="A64" s="84">
        <v>46113</v>
      </c>
      <c r="B64" t="s" s="85">
        <v>59</v>
      </c>
      <c r="C64" t="s" s="86">
        <v>746</v>
      </c>
      <c r="D64" s="87">
        <v>0</v>
      </c>
      <c r="E64" t="str" s="150" cm="1">
        <f t="array" ref="E64">IF(OR(ISNUMBER(SEARCH("ESPP",C64)),ISNUMBER(SEARCH("RSU",C64))),"הוני","שוטף")</f>
        <v>שוטף</v>
      </c>
      <c r="F64" t="s" s="144">
        <v>939</v>
      </c>
      <c r="G64" s="77"/>
    </row>
    <row r="65" ht="13.65" customHeight="1">
      <c r="A65" s="78">
        <v>46113</v>
      </c>
      <c r="B65" t="s" s="79">
        <v>59</v>
      </c>
      <c r="C65" t="s" s="80">
        <v>196</v>
      </c>
      <c r="D65" s="81">
        <v>6500</v>
      </c>
      <c r="E65" t="str" s="149" cm="1">
        <f t="array" ref="E65">IF(OR(ISNUMBER(SEARCH("ESPP",C65)),ISNUMBER(SEARCH("RSU",C65))),"הוני","שוטף")</f>
        <v>שוטף</v>
      </c>
      <c r="F65" t="s" s="137">
        <v>939</v>
      </c>
      <c r="G65" s="77"/>
    </row>
    <row r="66" ht="13.65" customHeight="1">
      <c r="A66" s="84">
        <v>46113</v>
      </c>
      <c r="B66" t="s" s="85">
        <v>59</v>
      </c>
      <c r="C66" t="s" s="85">
        <v>1202</v>
      </c>
      <c r="D66" s="87">
        <v>0</v>
      </c>
      <c r="E66" t="str" s="150" cm="1">
        <f t="array" ref="E66">IF(OR(ISNUMBER(SEARCH("ESPP",C66)),ISNUMBER(SEARCH("RSU",C66))),"הוני","שוטף")</f>
        <v>הוני</v>
      </c>
      <c r="F66" t="s" s="144">
        <v>939</v>
      </c>
      <c r="G66" s="77"/>
    </row>
    <row r="67" ht="13.65" customHeight="1">
      <c r="A67" s="78">
        <v>46113</v>
      </c>
      <c r="B67" t="s" s="79">
        <v>59</v>
      </c>
      <c r="C67" t="s" s="79">
        <v>1205</v>
      </c>
      <c r="D67" s="81">
        <v>83758</v>
      </c>
      <c r="E67" t="str" s="149" cm="1">
        <f t="array" ref="E67">IF(OR(ISNUMBER(SEARCH("ESPP",C67)),ISNUMBER(SEARCH("RSU",C67))),"הוני","שוטף")</f>
        <v>הוני</v>
      </c>
      <c r="F67" t="s" s="137">
        <v>939</v>
      </c>
      <c r="G67" s="77"/>
    </row>
    <row r="68" ht="13.65" customHeight="1">
      <c r="A68" s="84">
        <v>46143</v>
      </c>
      <c r="B68" t="s" s="85">
        <v>60</v>
      </c>
      <c r="C68" t="s" s="86">
        <v>1073</v>
      </c>
      <c r="D68" s="87">
        <v>1770</v>
      </c>
      <c r="E68" t="str" s="150" cm="1">
        <f t="array" ref="E68">IF(OR(ISNUMBER(SEARCH("ESPP",C68)),ISNUMBER(SEARCH("RSU",C68))),"הוני","שוטף")</f>
        <v>שוטף</v>
      </c>
      <c r="F68" t="s" s="144">
        <v>990</v>
      </c>
      <c r="G68" s="77"/>
    </row>
    <row r="69" ht="13.65" customHeight="1">
      <c r="A69" s="78">
        <v>46143</v>
      </c>
      <c r="B69" t="s" s="79">
        <v>60</v>
      </c>
      <c r="C69" t="s" s="80">
        <v>1200</v>
      </c>
      <c r="D69" s="81">
        <v>26023</v>
      </c>
      <c r="E69" t="str" s="149" cm="1">
        <f t="array" ref="E69">IF(OR(ISNUMBER(SEARCH("ESPP",C69)),ISNUMBER(SEARCH("RSU",C69))),"הוני","שוטף")</f>
        <v>שוטף</v>
      </c>
      <c r="F69" t="s" s="137">
        <v>990</v>
      </c>
      <c r="G69" s="77"/>
    </row>
    <row r="70" ht="13.65" customHeight="1">
      <c r="A70" s="84">
        <v>46143</v>
      </c>
      <c r="B70" t="s" s="85">
        <v>60</v>
      </c>
      <c r="C70" t="s" s="86">
        <v>1201</v>
      </c>
      <c r="D70" s="87">
        <v>24296</v>
      </c>
      <c r="E70" t="str" s="150" cm="1">
        <f t="array" ref="E70">IF(OR(ISNUMBER(SEARCH("ESPP",C70)),ISNUMBER(SEARCH("RSU",C70))),"הוני","שוטף")</f>
        <v>שוטף</v>
      </c>
      <c r="F70" t="s" s="144">
        <v>990</v>
      </c>
      <c r="G70" s="77"/>
    </row>
    <row r="71" ht="13.65" customHeight="1">
      <c r="A71" s="78">
        <v>46143</v>
      </c>
      <c r="B71" t="s" s="79">
        <v>60</v>
      </c>
      <c r="C71" t="s" s="80">
        <v>521</v>
      </c>
      <c r="D71" s="81">
        <v>1200</v>
      </c>
      <c r="E71" t="str" s="149" cm="1">
        <f t="array" ref="E71">IF(OR(ISNUMBER(SEARCH("ESPP",C71)),ISNUMBER(SEARCH("RSU",C71))),"הוני","שוטף")</f>
        <v>שוטף</v>
      </c>
      <c r="F71" t="s" s="137">
        <v>990</v>
      </c>
      <c r="G71" s="77"/>
    </row>
    <row r="72" ht="13.65" customHeight="1">
      <c r="A72" s="84">
        <v>46143</v>
      </c>
      <c r="B72" t="s" s="85">
        <v>60</v>
      </c>
      <c r="C72" t="s" s="86">
        <v>746</v>
      </c>
      <c r="D72" s="87">
        <v>0</v>
      </c>
      <c r="E72" t="str" s="150" cm="1">
        <f t="array" ref="E72">IF(OR(ISNUMBER(SEARCH("ESPP",C72)),ISNUMBER(SEARCH("RSU",C72))),"הוני","שוטף")</f>
        <v>שוטף</v>
      </c>
      <c r="F72" t="s" s="144">
        <v>990</v>
      </c>
      <c r="G72" s="77"/>
    </row>
    <row r="73" ht="13.65" customHeight="1">
      <c r="A73" s="78">
        <v>46143</v>
      </c>
      <c r="B73" t="s" s="79">
        <v>60</v>
      </c>
      <c r="C73" t="s" s="80">
        <v>196</v>
      </c>
      <c r="D73" s="81">
        <v>6500</v>
      </c>
      <c r="E73" t="str" s="149" cm="1">
        <f t="array" ref="E73">IF(OR(ISNUMBER(SEARCH("ESPP",C73)),ISNUMBER(SEARCH("RSU",C73))),"הוני","שוטף")</f>
        <v>שוטף</v>
      </c>
      <c r="F73" t="s" s="137">
        <v>990</v>
      </c>
      <c r="G73" s="77"/>
    </row>
    <row r="74" ht="13.65" customHeight="1">
      <c r="A74" s="84">
        <v>46143</v>
      </c>
      <c r="B74" t="s" s="85">
        <v>60</v>
      </c>
      <c r="C74" t="s" s="85">
        <v>1202</v>
      </c>
      <c r="D74" s="87">
        <v>0</v>
      </c>
      <c r="E74" t="str" s="150" cm="1">
        <f t="array" ref="E74">IF(OR(ISNUMBER(SEARCH("ESPP",C74)),ISNUMBER(SEARCH("RSU",C74))),"הוני","שוטף")</f>
        <v>הוני</v>
      </c>
      <c r="F74" t="s" s="144">
        <v>990</v>
      </c>
      <c r="G74" s="77"/>
    </row>
    <row r="75" ht="13.65" customHeight="1">
      <c r="A75" s="78">
        <v>46143</v>
      </c>
      <c r="B75" t="s" s="79">
        <v>60</v>
      </c>
      <c r="C75" t="s" s="79">
        <v>1205</v>
      </c>
      <c r="D75" s="81">
        <v>0</v>
      </c>
      <c r="E75" t="str" s="149" cm="1">
        <f t="array" ref="E75">IF(OR(ISNUMBER(SEARCH("ESPP",C75)),ISNUMBER(SEARCH("RSU",C75))),"הוני","שוטף")</f>
        <v>הוני</v>
      </c>
      <c r="F75" t="s" s="137">
        <v>990</v>
      </c>
      <c r="G75" s="77"/>
    </row>
    <row r="76" ht="13.65" customHeight="1">
      <c r="A76" s="84">
        <v>46174</v>
      </c>
      <c r="B76" t="s" s="85">
        <v>61</v>
      </c>
      <c r="C76" t="s" s="86">
        <v>705</v>
      </c>
      <c r="D76" s="87">
        <v>9069</v>
      </c>
      <c r="E76" t="str" s="150" cm="1">
        <f t="array" ref="E76">IF(OR(ISNUMBER(SEARCH("ESPP",C76)),ISNUMBER(SEARCH("RSU",C76))),"הוני","שוטף")</f>
        <v>שוטף</v>
      </c>
      <c r="F76" t="s" s="144">
        <v>1036</v>
      </c>
      <c r="G76" s="77"/>
    </row>
    <row r="77" ht="13.65" customHeight="1">
      <c r="A77" s="78">
        <v>46174</v>
      </c>
      <c r="B77" t="s" s="79">
        <v>61</v>
      </c>
      <c r="C77" t="s" s="80">
        <v>1200</v>
      </c>
      <c r="D77" s="81">
        <v>16980</v>
      </c>
      <c r="E77" t="str" s="149" cm="1">
        <f t="array" ref="E77">IF(OR(ISNUMBER(SEARCH("ESPP",C77)),ISNUMBER(SEARCH("RSU",C77))),"הוני","שוטף")</f>
        <v>שוטף</v>
      </c>
      <c r="F77" t="s" s="137">
        <v>1036</v>
      </c>
      <c r="G77" s="77"/>
    </row>
    <row r="78" ht="13.65" customHeight="1">
      <c r="A78" s="84">
        <v>46174</v>
      </c>
      <c r="B78" t="s" s="85">
        <v>61</v>
      </c>
      <c r="C78" t="s" s="86">
        <v>1201</v>
      </c>
      <c r="D78" s="87">
        <v>24296</v>
      </c>
      <c r="E78" t="str" s="150" cm="1">
        <f t="array" ref="E78">IF(OR(ISNUMBER(SEARCH("ESPP",C78)),ISNUMBER(SEARCH("RSU",C78))),"הוני","שוטף")</f>
        <v>שוטף</v>
      </c>
      <c r="F78" t="s" s="144">
        <v>1036</v>
      </c>
      <c r="G78" s="77"/>
    </row>
    <row r="79" ht="13.65" customHeight="1">
      <c r="A79" s="78">
        <v>46174</v>
      </c>
      <c r="B79" t="s" s="79">
        <v>61</v>
      </c>
      <c r="C79" t="s" s="80">
        <v>521</v>
      </c>
      <c r="D79" s="81">
        <v>1200</v>
      </c>
      <c r="E79" t="str" s="149" cm="1">
        <f t="array" ref="E79">IF(OR(ISNUMBER(SEARCH("ESPP",C79)),ISNUMBER(SEARCH("RSU",C79))),"הוני","שוטף")</f>
        <v>שוטף</v>
      </c>
      <c r="F79" t="s" s="137">
        <v>1036</v>
      </c>
      <c r="G79" s="77"/>
    </row>
    <row r="80" ht="13.65" customHeight="1">
      <c r="A80" s="84">
        <v>46174</v>
      </c>
      <c r="B80" t="s" s="85">
        <v>61</v>
      </c>
      <c r="C80" t="s" s="86">
        <v>746</v>
      </c>
      <c r="D80" s="87">
        <v>400</v>
      </c>
      <c r="E80" t="str" s="150" cm="1">
        <f t="array" ref="E80">IF(OR(ISNUMBER(SEARCH("ESPP",C80)),ISNUMBER(SEARCH("RSU",C80))),"הוני","שוטף")</f>
        <v>שוטף</v>
      </c>
      <c r="F80" t="s" s="144">
        <v>1036</v>
      </c>
      <c r="G80" s="77"/>
    </row>
    <row r="81" ht="13.65" customHeight="1">
      <c r="A81" s="78">
        <v>46174</v>
      </c>
      <c r="B81" t="s" s="79">
        <v>61</v>
      </c>
      <c r="C81" t="s" s="80">
        <v>196</v>
      </c>
      <c r="D81" s="81">
        <v>6500</v>
      </c>
      <c r="E81" t="str" s="149" cm="1">
        <f t="array" ref="E81">IF(OR(ISNUMBER(SEARCH("ESPP",C81)),ISNUMBER(SEARCH("RSU",C81))),"הוני","שוטף")</f>
        <v>שוטף</v>
      </c>
      <c r="F81" t="s" s="137">
        <v>1036</v>
      </c>
      <c r="G81" s="77"/>
    </row>
    <row r="82" ht="13.65" customHeight="1">
      <c r="A82" s="84">
        <v>46174</v>
      </c>
      <c r="B82" t="s" s="85">
        <v>61</v>
      </c>
      <c r="C82" t="s" s="85">
        <v>1202</v>
      </c>
      <c r="D82" s="87">
        <v>0</v>
      </c>
      <c r="E82" t="str" s="150" cm="1">
        <f t="array" ref="E82">IF(OR(ISNUMBER(SEARCH("ESPP",C82)),ISNUMBER(SEARCH("RSU",C82))),"הוני","שוטף")</f>
        <v>הוני</v>
      </c>
      <c r="F82" t="s" s="144">
        <v>1036</v>
      </c>
      <c r="G82" s="77"/>
    </row>
    <row r="83" ht="13.65" customHeight="1">
      <c r="A83" s="78">
        <v>46174</v>
      </c>
      <c r="B83" t="s" s="79">
        <v>61</v>
      </c>
      <c r="C83" t="s" s="79">
        <v>1205</v>
      </c>
      <c r="D83" s="81">
        <v>0</v>
      </c>
      <c r="E83" t="str" s="149" cm="1">
        <f t="array" ref="E83">IF(OR(ISNUMBER(SEARCH("ESPP",C83)),ISNUMBER(SEARCH("RSU",C83))),"הוני","שוטף")</f>
        <v>הוני</v>
      </c>
      <c r="F83" t="s" s="137">
        <v>1036</v>
      </c>
      <c r="G83" s="77"/>
    </row>
    <row r="84" ht="13.65" customHeight="1">
      <c r="A84" s="84">
        <v>46204</v>
      </c>
      <c r="B84" t="s" s="85">
        <v>62</v>
      </c>
      <c r="C84" t="s" s="86">
        <v>1200</v>
      </c>
      <c r="D84" s="87">
        <v>20633</v>
      </c>
      <c r="E84" t="str" s="150" cm="1">
        <f t="array" ref="E84">IF(OR(ISNUMBER(SEARCH("ESPP",C84)),ISNUMBER(SEARCH("RSU",C84))),"הוני","שוטף")</f>
        <v>שוטף</v>
      </c>
      <c r="F84" t="s" s="144">
        <v>1081</v>
      </c>
      <c r="G84" s="77"/>
    </row>
    <row r="85" ht="13.65" customHeight="1">
      <c r="A85" s="78">
        <v>46204</v>
      </c>
      <c r="B85" t="s" s="79">
        <v>62</v>
      </c>
      <c r="C85" t="s" s="80">
        <v>1201</v>
      </c>
      <c r="D85" s="81">
        <v>24296</v>
      </c>
      <c r="E85" t="str" s="149" cm="1">
        <f t="array" ref="E85">IF(OR(ISNUMBER(SEARCH("ESPP",C85)),ISNUMBER(SEARCH("RSU",C85))),"הוני","שוטף")</f>
        <v>שוטף</v>
      </c>
      <c r="F85" t="s" s="137">
        <v>1081</v>
      </c>
      <c r="G85" s="77"/>
    </row>
    <row r="86" ht="13.65" customHeight="1">
      <c r="A86" s="84">
        <v>46204</v>
      </c>
      <c r="B86" t="s" s="85">
        <v>62</v>
      </c>
      <c r="C86" t="s" s="86">
        <v>521</v>
      </c>
      <c r="D86" s="87">
        <v>700</v>
      </c>
      <c r="E86" t="str" s="150" cm="1">
        <f t="array" ref="E86">IF(OR(ISNUMBER(SEARCH("ESPP",C86)),ISNUMBER(SEARCH("RSU",C86))),"הוני","שוטף")</f>
        <v>שוטף</v>
      </c>
      <c r="F86" t="s" s="144">
        <v>1081</v>
      </c>
      <c r="G86" s="77"/>
    </row>
    <row r="87" ht="13.65" customHeight="1">
      <c r="A87" s="78">
        <v>46204</v>
      </c>
      <c r="B87" t="s" s="79">
        <v>62</v>
      </c>
      <c r="C87" t="s" s="80">
        <v>746</v>
      </c>
      <c r="D87" s="81">
        <v>0</v>
      </c>
      <c r="E87" t="str" s="149" cm="1">
        <f t="array" ref="E87">IF(OR(ISNUMBER(SEARCH("ESPP",C87)),ISNUMBER(SEARCH("RSU",C87))),"הוני","שוטף")</f>
        <v>שוטף</v>
      </c>
      <c r="F87" t="s" s="137">
        <v>1081</v>
      </c>
      <c r="G87" s="77"/>
    </row>
    <row r="88" ht="13.65" customHeight="1">
      <c r="A88" s="84">
        <v>46204</v>
      </c>
      <c r="B88" t="s" s="85">
        <v>62</v>
      </c>
      <c r="C88" t="s" s="86">
        <v>196</v>
      </c>
      <c r="D88" s="87">
        <v>6500</v>
      </c>
      <c r="E88" t="str" s="150" cm="1">
        <f t="array" ref="E88">IF(OR(ISNUMBER(SEARCH("ESPP",C88)),ISNUMBER(SEARCH("RSU",C88))),"הוני","שוטף")</f>
        <v>שוטף</v>
      </c>
      <c r="F88" t="s" s="144">
        <v>1081</v>
      </c>
      <c r="G88" s="77"/>
    </row>
    <row r="89" ht="13.65" customHeight="1">
      <c r="A89" s="78">
        <v>46204</v>
      </c>
      <c r="B89" t="s" s="79">
        <v>62</v>
      </c>
      <c r="C89" t="s" s="79">
        <v>1202</v>
      </c>
      <c r="D89" s="81">
        <v>0</v>
      </c>
      <c r="E89" t="str" s="149" cm="1">
        <f t="array" ref="E89">IF(OR(ISNUMBER(SEARCH("ESPP",C89)),ISNUMBER(SEARCH("RSU",C89))),"הוני","שוטף")</f>
        <v>הוני</v>
      </c>
      <c r="F89" t="s" s="137">
        <v>1081</v>
      </c>
      <c r="G89" s="77"/>
    </row>
    <row r="90" ht="13.65" customHeight="1">
      <c r="A90" s="84">
        <v>46204</v>
      </c>
      <c r="B90" t="s" s="85">
        <v>62</v>
      </c>
      <c r="C90" t="s" s="85">
        <v>1205</v>
      </c>
      <c r="D90" s="87">
        <v>64855</v>
      </c>
      <c r="E90" t="str" s="150" cm="1">
        <f t="array" ref="E90">IF(OR(ISNUMBER(SEARCH("ESPP",C90)),ISNUMBER(SEARCH("RSU",C90))),"הוני","שוטף")</f>
        <v>הוני</v>
      </c>
      <c r="F90" t="s" s="144">
        <v>1081</v>
      </c>
      <c r="G90" s="77"/>
    </row>
    <row r="91" ht="13.65" customHeight="1">
      <c r="A91" s="78">
        <v>46235</v>
      </c>
      <c r="B91" t="s" s="79">
        <v>63</v>
      </c>
      <c r="C91" t="s" s="80">
        <v>1206</v>
      </c>
      <c r="D91" s="81">
        <v>1250</v>
      </c>
      <c r="E91" t="str" s="149" cm="1">
        <f t="array" ref="E91">IF(OR(ISNUMBER(SEARCH("ESPP",C91)),ISNUMBER(SEARCH("RSU",C91))),"הוני","שוטף")</f>
        <v>שוטף</v>
      </c>
      <c r="F91" t="s" s="137">
        <v>1141</v>
      </c>
      <c r="G91" s="77"/>
    </row>
    <row r="92" ht="13.65" customHeight="1">
      <c r="A92" s="84">
        <v>46235</v>
      </c>
      <c r="B92" t="s" s="85">
        <v>63</v>
      </c>
      <c r="C92" t="s" s="86">
        <v>1200</v>
      </c>
      <c r="D92" s="87">
        <v>18570</v>
      </c>
      <c r="E92" t="str" s="150" cm="1">
        <f t="array" ref="E92">IF(OR(ISNUMBER(SEARCH("ESPP",C92)),ISNUMBER(SEARCH("RSU",C92))),"הוני","שוטף")</f>
        <v>שוטף</v>
      </c>
      <c r="F92" t="s" s="144">
        <v>1141</v>
      </c>
      <c r="G92" s="77"/>
    </row>
    <row r="93" ht="13.65" customHeight="1">
      <c r="A93" s="78">
        <v>46235</v>
      </c>
      <c r="B93" t="s" s="79">
        <v>63</v>
      </c>
      <c r="C93" t="s" s="80">
        <v>1201</v>
      </c>
      <c r="D93" s="81">
        <v>24296</v>
      </c>
      <c r="E93" t="str" s="149" cm="1">
        <f t="array" ref="E93">IF(OR(ISNUMBER(SEARCH("ESPP",C93)),ISNUMBER(SEARCH("RSU",C93))),"הוני","שוטף")</f>
        <v>שוטף</v>
      </c>
      <c r="F93" t="s" s="137">
        <v>1141</v>
      </c>
      <c r="G93" s="77"/>
    </row>
    <row r="94" ht="13.65" customHeight="1">
      <c r="A94" s="84">
        <v>46235</v>
      </c>
      <c r="B94" t="s" s="85">
        <v>63</v>
      </c>
      <c r="C94" t="s" s="86">
        <v>521</v>
      </c>
      <c r="D94" s="87">
        <v>1200</v>
      </c>
      <c r="E94" t="str" s="150" cm="1">
        <f t="array" ref="E94">IF(OR(ISNUMBER(SEARCH("ESPP",C94)),ISNUMBER(SEARCH("RSU",C94))),"הוני","שוטף")</f>
        <v>שוטף</v>
      </c>
      <c r="F94" t="s" s="144">
        <v>1141</v>
      </c>
      <c r="G94" s="77"/>
    </row>
    <row r="95" ht="13.65" customHeight="1">
      <c r="A95" s="78">
        <v>46235</v>
      </c>
      <c r="B95" t="s" s="79">
        <v>63</v>
      </c>
      <c r="C95" t="s" s="80">
        <v>746</v>
      </c>
      <c r="D95" s="81">
        <v>409</v>
      </c>
      <c r="E95" t="str" s="149" cm="1">
        <f t="array" ref="E95">IF(OR(ISNUMBER(SEARCH("ESPP",C95)),ISNUMBER(SEARCH("RSU",C95))),"הוני","שוטף")</f>
        <v>שוטף</v>
      </c>
      <c r="F95" t="s" s="137">
        <v>1141</v>
      </c>
      <c r="G95" s="77"/>
    </row>
    <row r="96" ht="13.65" customHeight="1">
      <c r="A96" s="84">
        <v>46235</v>
      </c>
      <c r="B96" t="s" s="85">
        <v>63</v>
      </c>
      <c r="C96" t="s" s="86">
        <v>196</v>
      </c>
      <c r="D96" s="87">
        <v>6500</v>
      </c>
      <c r="E96" t="str" s="150" cm="1">
        <f t="array" ref="E96">IF(OR(ISNUMBER(SEARCH("ESPP",C96)),ISNUMBER(SEARCH("RSU",C96))),"הוני","שוטף")</f>
        <v>שוטף</v>
      </c>
      <c r="F96" t="s" s="144">
        <v>1141</v>
      </c>
      <c r="G96" s="77"/>
    </row>
    <row r="97" ht="13.65" customHeight="1">
      <c r="A97" s="78">
        <v>46235</v>
      </c>
      <c r="B97" t="s" s="79">
        <v>63</v>
      </c>
      <c r="C97" t="s" s="79">
        <v>1202</v>
      </c>
      <c r="D97" s="81">
        <v>0</v>
      </c>
      <c r="E97" t="str" s="149" cm="1">
        <f t="array" ref="E97">IF(OR(ISNUMBER(SEARCH("ESPP",C97)),ISNUMBER(SEARCH("RSU",C97))),"הוני","שוטף")</f>
        <v>הוני</v>
      </c>
      <c r="F97" t="s" s="137">
        <v>1141</v>
      </c>
      <c r="G97" s="77"/>
    </row>
    <row r="98" ht="13.65" customHeight="1">
      <c r="A98" s="84">
        <v>46235</v>
      </c>
      <c r="B98" t="s" s="85">
        <v>63</v>
      </c>
      <c r="C98" t="s" s="85">
        <v>1205</v>
      </c>
      <c r="D98" s="87">
        <v>0</v>
      </c>
      <c r="E98" t="str" s="150" cm="1">
        <f t="array" ref="E98">IF(OR(ISNUMBER(SEARCH("ESPP",C98)),ISNUMBER(SEARCH("RSU",C98))),"הוני","שוטף")</f>
        <v>הוני</v>
      </c>
      <c r="F98" t="s" s="144">
        <v>1141</v>
      </c>
      <c r="G98" s="77"/>
    </row>
    <row r="99" ht="13.55" customHeight="1">
      <c r="A99" s="89"/>
      <c r="B99" s="89"/>
      <c r="C99" s="89"/>
      <c r="D99" s="89"/>
      <c r="E99" s="89"/>
      <c r="F99" s="89"/>
      <c r="G99" s="62"/>
    </row>
  </sheetData>
  <conditionalFormatting sqref="D2:D98">
    <cfRule type="cellIs" dxfId="7"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J428"/>
  <sheetViews>
    <sheetView workbookViewId="0" showGridLines="0" defaultGridColor="1"/>
  </sheetViews>
  <sheetFormatPr defaultColWidth="8.83333" defaultRowHeight="15" customHeight="1" outlineLevelRow="0" outlineLevelCol="0"/>
  <cols>
    <col min="1" max="1" width="2" style="151" customWidth="1"/>
    <col min="2" max="2" width="24" style="151" customWidth="1"/>
    <col min="3" max="3" width="12" style="151" customWidth="1"/>
    <col min="4" max="4" width="14" style="151" customWidth="1"/>
    <col min="5" max="5" width="32" style="151" customWidth="1"/>
    <col min="6" max="6" width="15" style="151" customWidth="1"/>
    <col min="7" max="7" width="18" style="151" customWidth="1"/>
    <col min="8" max="8" width="20" style="151" customWidth="1"/>
    <col min="9" max="9" width="12" style="151" customWidth="1"/>
    <col min="10" max="10" width="8.85156" style="151" customWidth="1"/>
    <col min="11" max="16384" width="8.85156" style="151" customWidth="1"/>
  </cols>
  <sheetData>
    <row r="1" ht="13.55" customHeight="1">
      <c r="A1" s="62"/>
      <c r="B1" s="62"/>
      <c r="C1" s="62"/>
      <c r="D1" s="62"/>
      <c r="E1" s="62"/>
      <c r="F1" s="62"/>
      <c r="G1" s="62"/>
      <c r="H1" s="62"/>
      <c r="I1" s="62"/>
      <c r="J1" s="62"/>
    </row>
    <row r="2" ht="20.45" customHeight="1">
      <c r="A2" s="62"/>
      <c r="B2" t="s" s="63">
        <v>1207</v>
      </c>
      <c r="C2" s="64"/>
      <c r="D2" s="64"/>
      <c r="E2" s="64"/>
      <c r="F2" s="64"/>
      <c r="G2" s="64"/>
      <c r="H2" s="64"/>
      <c r="I2" s="62"/>
      <c r="J2" s="62"/>
    </row>
    <row r="3" ht="13.65" customHeight="1">
      <c r="A3" s="62"/>
      <c r="B3" t="s" s="65">
        <v>1208</v>
      </c>
      <c r="C3" s="66"/>
      <c r="D3" s="66"/>
      <c r="E3" s="66"/>
      <c r="F3" s="66"/>
      <c r="G3" s="66"/>
      <c r="H3" s="66"/>
      <c r="I3" s="62"/>
      <c r="J3" s="62"/>
    </row>
    <row r="4" ht="13.55" customHeight="1">
      <c r="A4" s="62"/>
      <c r="B4" s="62"/>
      <c r="C4" s="62"/>
      <c r="D4" s="62"/>
      <c r="E4" s="62"/>
      <c r="F4" s="62"/>
      <c r="G4" s="62"/>
      <c r="H4" s="62"/>
      <c r="I4" s="62"/>
      <c r="J4" s="62"/>
    </row>
    <row r="5" ht="13.55" customHeight="1">
      <c r="A5" s="62"/>
      <c r="B5" s="67"/>
      <c r="C5" s="67"/>
      <c r="D5" s="67"/>
      <c r="E5" s="67"/>
      <c r="F5" s="67"/>
      <c r="G5" s="67"/>
      <c r="H5" s="67"/>
      <c r="I5" s="67"/>
      <c r="J5" s="62"/>
    </row>
    <row r="6" ht="13.65" customHeight="1">
      <c r="A6" s="68"/>
      <c r="B6" t="s" s="19">
        <v>829</v>
      </c>
      <c r="C6" t="s" s="19">
        <v>726</v>
      </c>
      <c r="D6" t="s" s="19">
        <v>1209</v>
      </c>
      <c r="E6" t="s" s="19">
        <v>188</v>
      </c>
      <c r="F6" t="s" s="19">
        <v>1198</v>
      </c>
      <c r="G6" t="s" s="19">
        <v>1210</v>
      </c>
      <c r="H6" t="s" s="19">
        <v>735</v>
      </c>
      <c r="I6" t="s" s="19">
        <v>67</v>
      </c>
      <c r="J6" s="69"/>
    </row>
    <row r="7" ht="13.65" customHeight="1">
      <c r="A7" s="70"/>
      <c r="B7" t="s" s="22">
        <v>1211</v>
      </c>
      <c r="C7" s="117">
        <v>2</v>
      </c>
      <c r="D7" t="s" s="72">
        <v>1212</v>
      </c>
      <c r="E7" t="s" s="73">
        <v>1213</v>
      </c>
      <c r="F7" s="74">
        <v>11469</v>
      </c>
      <c r="G7" t="s" s="73">
        <v>1213</v>
      </c>
      <c r="H7" t="s" s="72">
        <v>1214</v>
      </c>
      <c r="I7" t="s" s="130">
        <v>741</v>
      </c>
      <c r="J7" s="77"/>
    </row>
    <row r="8" ht="13.65" customHeight="1">
      <c r="A8" s="70"/>
      <c r="B8" t="s" s="94">
        <v>1211</v>
      </c>
      <c r="C8" s="118">
        <v>3</v>
      </c>
      <c r="D8" t="s" s="79">
        <v>1215</v>
      </c>
      <c r="E8" t="s" s="80">
        <v>237</v>
      </c>
      <c r="F8" s="81">
        <v>2994</v>
      </c>
      <c r="G8" t="s" s="80">
        <v>1213</v>
      </c>
      <c r="H8" t="s" s="79">
        <v>1214</v>
      </c>
      <c r="I8" t="s" s="137">
        <v>741</v>
      </c>
      <c r="J8" s="77"/>
    </row>
    <row r="9" ht="13.65" customHeight="1">
      <c r="A9" s="70"/>
      <c r="B9" t="s" s="27">
        <v>1211</v>
      </c>
      <c r="C9" s="119">
        <v>4</v>
      </c>
      <c r="D9" t="s" s="85">
        <v>1216</v>
      </c>
      <c r="E9" t="s" s="86">
        <v>1217</v>
      </c>
      <c r="F9" s="87">
        <v>320</v>
      </c>
      <c r="G9" t="s" s="86">
        <v>1218</v>
      </c>
      <c r="H9" t="s" s="85">
        <v>1219</v>
      </c>
      <c r="I9" t="s" s="144">
        <v>741</v>
      </c>
      <c r="J9" s="77"/>
    </row>
    <row r="10" ht="13.65" customHeight="1">
      <c r="A10" s="70"/>
      <c r="B10" t="s" s="94">
        <v>1211</v>
      </c>
      <c r="C10" s="118">
        <v>5</v>
      </c>
      <c r="D10" t="s" s="79">
        <v>1216</v>
      </c>
      <c r="E10" t="s" s="80">
        <v>1220</v>
      </c>
      <c r="F10" s="81">
        <v>33</v>
      </c>
      <c r="G10" t="s" s="80">
        <v>1218</v>
      </c>
      <c r="H10" t="s" s="79">
        <v>1219</v>
      </c>
      <c r="I10" t="s" s="137">
        <v>741</v>
      </c>
      <c r="J10" s="77"/>
    </row>
    <row r="11" ht="13.65" customHeight="1">
      <c r="A11" s="70"/>
      <c r="B11" t="s" s="27">
        <v>1211</v>
      </c>
      <c r="C11" s="119">
        <v>6</v>
      </c>
      <c r="D11" t="s" s="85">
        <v>1216</v>
      </c>
      <c r="E11" t="s" s="86">
        <v>1221</v>
      </c>
      <c r="F11" s="87">
        <v>3549</v>
      </c>
      <c r="G11" t="s" s="86">
        <v>1218</v>
      </c>
      <c r="H11" t="s" s="85">
        <v>1219</v>
      </c>
      <c r="I11" t="s" s="144">
        <v>741</v>
      </c>
      <c r="J11" s="77"/>
    </row>
    <row r="12" ht="13.65" customHeight="1">
      <c r="A12" s="70"/>
      <c r="B12" t="s" s="94">
        <v>1211</v>
      </c>
      <c r="C12" s="118">
        <v>7</v>
      </c>
      <c r="D12" t="s" s="79">
        <v>1222</v>
      </c>
      <c r="E12" t="s" s="80">
        <v>1223</v>
      </c>
      <c r="F12" s="81">
        <v>922</v>
      </c>
      <c r="G12" t="s" s="80">
        <v>1218</v>
      </c>
      <c r="H12" t="s" s="79">
        <v>1219</v>
      </c>
      <c r="I12" t="s" s="137">
        <v>741</v>
      </c>
      <c r="J12" s="77"/>
    </row>
    <row r="13" ht="13.65" customHeight="1">
      <c r="A13" s="70"/>
      <c r="B13" t="s" s="27">
        <v>1211</v>
      </c>
      <c r="C13" s="119">
        <v>8</v>
      </c>
      <c r="D13" t="s" s="85">
        <v>1224</v>
      </c>
      <c r="E13" t="s" s="86">
        <v>1225</v>
      </c>
      <c r="F13" s="87">
        <v>1127</v>
      </c>
      <c r="G13" t="s" s="86">
        <v>1218</v>
      </c>
      <c r="H13" t="s" s="86">
        <v>770</v>
      </c>
      <c r="I13" t="s" s="144">
        <v>741</v>
      </c>
      <c r="J13" s="77"/>
    </row>
    <row r="14" ht="13.65" customHeight="1">
      <c r="A14" s="70"/>
      <c r="B14" t="s" s="94">
        <v>1211</v>
      </c>
      <c r="C14" s="118">
        <v>9</v>
      </c>
      <c r="D14" t="s" s="79">
        <v>1224</v>
      </c>
      <c r="E14" t="s" s="80">
        <v>1226</v>
      </c>
      <c r="F14" s="81">
        <v>496</v>
      </c>
      <c r="G14" t="s" s="80">
        <v>1218</v>
      </c>
      <c r="H14" t="s" s="80">
        <v>770</v>
      </c>
      <c r="I14" t="s" s="137">
        <v>741</v>
      </c>
      <c r="J14" s="77"/>
    </row>
    <row r="15" ht="13.65" customHeight="1">
      <c r="A15" s="70"/>
      <c r="B15" t="s" s="27">
        <v>1211</v>
      </c>
      <c r="C15" s="119">
        <v>10</v>
      </c>
      <c r="D15" t="s" s="85">
        <v>1224</v>
      </c>
      <c r="E15" t="s" s="86">
        <v>1227</v>
      </c>
      <c r="F15" s="87">
        <v>619</v>
      </c>
      <c r="G15" t="s" s="86">
        <v>1218</v>
      </c>
      <c r="H15" t="s" s="86">
        <v>770</v>
      </c>
      <c r="I15" t="s" s="144">
        <v>741</v>
      </c>
      <c r="J15" s="77"/>
    </row>
    <row r="16" ht="13.65" customHeight="1">
      <c r="A16" s="70"/>
      <c r="B16" t="s" s="94">
        <v>1211</v>
      </c>
      <c r="C16" s="118">
        <v>11</v>
      </c>
      <c r="D16" t="s" s="79">
        <v>1224</v>
      </c>
      <c r="E16" t="s" s="80">
        <v>1228</v>
      </c>
      <c r="F16" s="81">
        <v>16</v>
      </c>
      <c r="G16" t="s" s="80">
        <v>1218</v>
      </c>
      <c r="H16" t="s" s="80">
        <v>770</v>
      </c>
      <c r="I16" t="s" s="137">
        <v>741</v>
      </c>
      <c r="J16" s="77"/>
    </row>
    <row r="17" ht="13.65" customHeight="1">
      <c r="A17" s="70"/>
      <c r="B17" t="s" s="27">
        <v>1211</v>
      </c>
      <c r="C17" s="119">
        <v>12</v>
      </c>
      <c r="D17" t="s" s="85">
        <v>1224</v>
      </c>
      <c r="E17" t="s" s="86">
        <v>1229</v>
      </c>
      <c r="F17" s="87">
        <v>339</v>
      </c>
      <c r="G17" t="s" s="86">
        <v>1218</v>
      </c>
      <c r="H17" t="s" s="86">
        <v>770</v>
      </c>
      <c r="I17" t="s" s="144">
        <v>741</v>
      </c>
      <c r="J17" s="77"/>
    </row>
    <row r="18" ht="13.65" customHeight="1">
      <c r="A18" s="70"/>
      <c r="B18" t="s" s="94">
        <v>1211</v>
      </c>
      <c r="C18" s="118">
        <v>13</v>
      </c>
      <c r="D18" t="s" s="79">
        <v>817</v>
      </c>
      <c r="E18" t="s" s="80">
        <v>1230</v>
      </c>
      <c r="F18" s="81">
        <v>4783</v>
      </c>
      <c r="G18" t="s" s="80">
        <v>1218</v>
      </c>
      <c r="H18" t="s" s="80">
        <v>770</v>
      </c>
      <c r="I18" t="s" s="137">
        <v>741</v>
      </c>
      <c r="J18" s="77"/>
    </row>
    <row r="19" ht="13.65" customHeight="1">
      <c r="A19" s="70"/>
      <c r="B19" t="s" s="27">
        <v>1211</v>
      </c>
      <c r="C19" s="119">
        <v>14</v>
      </c>
      <c r="D19" t="s" s="85">
        <v>817</v>
      </c>
      <c r="E19" t="s" s="86">
        <v>1231</v>
      </c>
      <c r="F19" s="87">
        <v>1</v>
      </c>
      <c r="G19" t="s" s="86">
        <v>115</v>
      </c>
      <c r="H19" t="s" s="86">
        <v>821</v>
      </c>
      <c r="I19" t="s" s="144">
        <v>741</v>
      </c>
      <c r="J19" s="77"/>
    </row>
    <row r="20" ht="13.65" customHeight="1">
      <c r="A20" s="70"/>
      <c r="B20" t="s" s="94">
        <v>1211</v>
      </c>
      <c r="C20" s="118">
        <v>15</v>
      </c>
      <c r="D20" t="s" s="79">
        <v>817</v>
      </c>
      <c r="E20" t="s" s="80">
        <v>342</v>
      </c>
      <c r="F20" s="81">
        <v>280</v>
      </c>
      <c r="G20" t="s" s="80">
        <v>115</v>
      </c>
      <c r="H20" t="s" s="80">
        <v>821</v>
      </c>
      <c r="I20" t="s" s="137">
        <v>741</v>
      </c>
      <c r="J20" s="77"/>
    </row>
    <row r="21" ht="13.65" customHeight="1">
      <c r="A21" s="70"/>
      <c r="B21" t="s" s="27">
        <v>1211</v>
      </c>
      <c r="C21" s="119">
        <v>16</v>
      </c>
      <c r="D21" t="s" s="85">
        <v>816</v>
      </c>
      <c r="E21" t="s" s="86">
        <v>1232</v>
      </c>
      <c r="F21" s="87">
        <v>1205</v>
      </c>
      <c r="G21" t="s" s="86">
        <v>115</v>
      </c>
      <c r="H21" t="s" s="86">
        <v>762</v>
      </c>
      <c r="I21" t="s" s="144">
        <v>741</v>
      </c>
      <c r="J21" s="77"/>
    </row>
    <row r="22" ht="13.65" customHeight="1">
      <c r="A22" s="70"/>
      <c r="B22" t="s" s="94">
        <v>1211</v>
      </c>
      <c r="C22" s="118">
        <v>17</v>
      </c>
      <c r="D22" t="s" s="79">
        <v>817</v>
      </c>
      <c r="E22" t="s" s="80">
        <v>1233</v>
      </c>
      <c r="F22" s="81">
        <v>10</v>
      </c>
      <c r="G22" t="s" s="80">
        <v>1218</v>
      </c>
      <c r="H22" t="s" s="80">
        <v>762</v>
      </c>
      <c r="I22" t="s" s="137">
        <v>741</v>
      </c>
      <c r="J22" s="77"/>
    </row>
    <row r="23" ht="13.65" customHeight="1">
      <c r="A23" s="70"/>
      <c r="B23" t="s" s="27">
        <v>1211</v>
      </c>
      <c r="C23" s="119">
        <v>18</v>
      </c>
      <c r="D23" t="s" s="85">
        <v>1234</v>
      </c>
      <c r="E23" t="s" s="86">
        <v>428</v>
      </c>
      <c r="F23" s="87">
        <v>240</v>
      </c>
      <c r="G23" t="s" s="86">
        <v>1235</v>
      </c>
      <c r="H23" t="s" s="86">
        <v>770</v>
      </c>
      <c r="I23" t="s" s="144">
        <v>741</v>
      </c>
      <c r="J23" s="77"/>
    </row>
    <row r="24" ht="13.65" customHeight="1">
      <c r="A24" s="70"/>
      <c r="B24" t="s" s="94">
        <v>1211</v>
      </c>
      <c r="C24" s="118">
        <v>19</v>
      </c>
      <c r="D24" t="s" s="79">
        <v>1234</v>
      </c>
      <c r="E24" t="s" s="80">
        <v>1236</v>
      </c>
      <c r="F24" s="81">
        <v>1069</v>
      </c>
      <c r="G24" t="s" s="80">
        <v>1235</v>
      </c>
      <c r="H24" t="s" s="80">
        <v>770</v>
      </c>
      <c r="I24" t="s" s="137">
        <v>741</v>
      </c>
      <c r="J24" s="77"/>
    </row>
    <row r="25" ht="13.65" customHeight="1">
      <c r="A25" s="70"/>
      <c r="B25" t="s" s="27">
        <v>1211</v>
      </c>
      <c r="C25" s="119">
        <v>20</v>
      </c>
      <c r="D25" t="s" s="85">
        <v>1237</v>
      </c>
      <c r="E25" t="s" s="86">
        <v>135</v>
      </c>
      <c r="F25" s="87">
        <v>343</v>
      </c>
      <c r="G25" t="s" s="86">
        <v>1238</v>
      </c>
      <c r="H25" t="s" s="86">
        <v>780</v>
      </c>
      <c r="I25" t="s" s="144">
        <v>741</v>
      </c>
      <c r="J25" s="77"/>
    </row>
    <row r="26" ht="13.65" customHeight="1">
      <c r="A26" s="70"/>
      <c r="B26" t="s" s="94">
        <v>1211</v>
      </c>
      <c r="C26" s="118">
        <v>21</v>
      </c>
      <c r="D26" t="s" s="79">
        <v>1234</v>
      </c>
      <c r="E26" t="s" s="80">
        <v>340</v>
      </c>
      <c r="F26" s="81">
        <v>591</v>
      </c>
      <c r="G26" t="s" s="80">
        <v>1235</v>
      </c>
      <c r="H26" t="s" s="80">
        <v>770</v>
      </c>
      <c r="I26" t="s" s="137">
        <v>741</v>
      </c>
      <c r="J26" s="77"/>
    </row>
    <row r="27" ht="13.65" customHeight="1">
      <c r="A27" s="70"/>
      <c r="B27" t="s" s="27">
        <v>1211</v>
      </c>
      <c r="C27" s="119">
        <v>22</v>
      </c>
      <c r="D27" t="s" s="85">
        <v>1239</v>
      </c>
      <c r="E27" t="s" s="86">
        <v>465</v>
      </c>
      <c r="F27" s="87">
        <v>175</v>
      </c>
      <c r="G27" t="s" s="86">
        <v>1235</v>
      </c>
      <c r="H27" t="s" s="86">
        <v>770</v>
      </c>
      <c r="I27" t="s" s="144">
        <v>741</v>
      </c>
      <c r="J27" s="77"/>
    </row>
    <row r="28" ht="13.65" customHeight="1">
      <c r="A28" s="70"/>
      <c r="B28" t="s" s="94">
        <v>1211</v>
      </c>
      <c r="C28" s="118">
        <v>23</v>
      </c>
      <c r="D28" t="s" s="79">
        <v>1240</v>
      </c>
      <c r="E28" t="s" s="80">
        <v>1241</v>
      </c>
      <c r="F28" s="81">
        <v>398</v>
      </c>
      <c r="G28" t="s" s="80">
        <v>115</v>
      </c>
      <c r="H28" t="s" s="80">
        <v>770</v>
      </c>
      <c r="I28" t="s" s="137">
        <v>741</v>
      </c>
      <c r="J28" s="77"/>
    </row>
    <row r="29" ht="13.65" customHeight="1">
      <c r="A29" s="70"/>
      <c r="B29" t="s" s="27">
        <v>1211</v>
      </c>
      <c r="C29" s="119">
        <v>24</v>
      </c>
      <c r="D29" t="s" s="85">
        <v>1240</v>
      </c>
      <c r="E29" t="s" s="86">
        <v>1241</v>
      </c>
      <c r="F29" s="87">
        <v>398</v>
      </c>
      <c r="G29" t="s" s="86">
        <v>115</v>
      </c>
      <c r="H29" t="s" s="86">
        <v>770</v>
      </c>
      <c r="I29" t="s" s="144">
        <v>741</v>
      </c>
      <c r="J29" s="77"/>
    </row>
    <row r="30" ht="13.65" customHeight="1">
      <c r="A30" s="70"/>
      <c r="B30" t="s" s="94">
        <v>1211</v>
      </c>
      <c r="C30" s="118">
        <v>25</v>
      </c>
      <c r="D30" t="s" s="79">
        <v>1242</v>
      </c>
      <c r="E30" t="s" s="80">
        <v>1243</v>
      </c>
      <c r="F30" s="81">
        <v>405</v>
      </c>
      <c r="G30" t="s" s="80">
        <v>1235</v>
      </c>
      <c r="H30" t="s" s="80">
        <v>770</v>
      </c>
      <c r="I30" t="s" s="137">
        <v>741</v>
      </c>
      <c r="J30" s="77"/>
    </row>
    <row r="31" ht="13.65" customHeight="1">
      <c r="A31" s="70"/>
      <c r="B31" t="s" s="27">
        <v>1211</v>
      </c>
      <c r="C31" s="119">
        <v>26</v>
      </c>
      <c r="D31" t="s" s="85">
        <v>1240</v>
      </c>
      <c r="E31" t="s" s="86">
        <v>490</v>
      </c>
      <c r="F31" s="87">
        <v>346</v>
      </c>
      <c r="G31" t="s" s="86">
        <v>1238</v>
      </c>
      <c r="H31" t="s" s="86">
        <v>770</v>
      </c>
      <c r="I31" t="s" s="144">
        <v>741</v>
      </c>
      <c r="J31" s="77"/>
    </row>
    <row r="32" ht="13.65" customHeight="1">
      <c r="A32" s="70"/>
      <c r="B32" t="s" s="94">
        <v>1211</v>
      </c>
      <c r="C32" s="118">
        <v>27</v>
      </c>
      <c r="D32" t="s" s="79">
        <v>1244</v>
      </c>
      <c r="E32" t="s" s="80">
        <v>1245</v>
      </c>
      <c r="F32" s="81">
        <v>802</v>
      </c>
      <c r="G32" t="s" s="80">
        <v>1235</v>
      </c>
      <c r="H32" t="s" s="80">
        <v>1246</v>
      </c>
      <c r="I32" t="s" s="137">
        <v>741</v>
      </c>
      <c r="J32" s="77"/>
    </row>
    <row r="33" ht="13.65" customHeight="1">
      <c r="A33" s="70"/>
      <c r="B33" t="s" s="27">
        <v>1211</v>
      </c>
      <c r="C33" s="119">
        <v>28</v>
      </c>
      <c r="D33" t="s" s="85">
        <v>1247</v>
      </c>
      <c r="E33" t="s" s="86">
        <v>665</v>
      </c>
      <c r="F33" s="87">
        <v>11</v>
      </c>
      <c r="G33" t="s" s="86">
        <v>1238</v>
      </c>
      <c r="H33" t="s" s="86">
        <v>762</v>
      </c>
      <c r="I33" t="s" s="144">
        <v>741</v>
      </c>
      <c r="J33" s="77"/>
    </row>
    <row r="34" ht="13.65" customHeight="1">
      <c r="A34" s="70"/>
      <c r="B34" t="s" s="94">
        <v>1211</v>
      </c>
      <c r="C34" s="118">
        <v>29</v>
      </c>
      <c r="D34" t="s" s="79">
        <v>1248</v>
      </c>
      <c r="E34" t="s" s="80">
        <v>665</v>
      </c>
      <c r="F34" s="81">
        <v>12</v>
      </c>
      <c r="G34" t="s" s="80">
        <v>1238</v>
      </c>
      <c r="H34" t="s" s="80">
        <v>783</v>
      </c>
      <c r="I34" t="s" s="137">
        <v>741</v>
      </c>
      <c r="J34" s="77"/>
    </row>
    <row r="35" ht="13.65" customHeight="1">
      <c r="A35" s="70"/>
      <c r="B35" t="s" s="27">
        <v>1211</v>
      </c>
      <c r="C35" s="119">
        <v>30</v>
      </c>
      <c r="D35" t="s" s="85">
        <v>30</v>
      </c>
      <c r="E35" t="s" s="86">
        <v>475</v>
      </c>
      <c r="F35" s="87">
        <v>15</v>
      </c>
      <c r="G35" t="s" s="86">
        <v>231</v>
      </c>
      <c r="H35" t="s" s="85">
        <v>1219</v>
      </c>
      <c r="I35" t="s" s="144">
        <v>741</v>
      </c>
      <c r="J35" s="77"/>
    </row>
    <row r="36" ht="13.65" customHeight="1">
      <c r="A36" s="70"/>
      <c r="B36" t="s" s="94">
        <v>1211</v>
      </c>
      <c r="C36" s="118">
        <v>31</v>
      </c>
      <c r="D36" t="s" s="79">
        <v>789</v>
      </c>
      <c r="E36" t="s" s="80">
        <v>1249</v>
      </c>
      <c r="F36" s="81">
        <v>20000433</v>
      </c>
      <c r="G36" t="s" s="80">
        <v>781</v>
      </c>
      <c r="H36" t="s" s="79">
        <v>1219</v>
      </c>
      <c r="I36" t="s" s="137">
        <v>1250</v>
      </c>
      <c r="J36" s="77"/>
    </row>
    <row r="37" ht="13.65" customHeight="1">
      <c r="A37" s="70"/>
      <c r="B37" t="s" s="27">
        <v>1211</v>
      </c>
      <c r="C37" s="119">
        <v>32</v>
      </c>
      <c r="D37" t="s" s="85">
        <v>788</v>
      </c>
      <c r="E37" t="s" s="86">
        <v>1251</v>
      </c>
      <c r="F37" s="87">
        <v>10</v>
      </c>
      <c r="G37" t="s" s="86">
        <v>231</v>
      </c>
      <c r="H37" t="s" s="85">
        <v>1219</v>
      </c>
      <c r="I37" t="s" s="144">
        <v>741</v>
      </c>
      <c r="J37" s="77"/>
    </row>
    <row r="38" ht="13.65" customHeight="1">
      <c r="A38" s="70"/>
      <c r="B38" t="s" s="94">
        <v>1211</v>
      </c>
      <c r="C38" s="118">
        <v>33</v>
      </c>
      <c r="D38" t="s" s="79">
        <v>788</v>
      </c>
      <c r="E38" t="s" s="80">
        <v>1252</v>
      </c>
      <c r="F38" s="81">
        <v>500</v>
      </c>
      <c r="G38" t="s" s="80">
        <v>1235</v>
      </c>
      <c r="H38" t="s" s="79">
        <v>1219</v>
      </c>
      <c r="I38" t="s" s="137">
        <v>741</v>
      </c>
      <c r="J38" s="77"/>
    </row>
    <row r="39" ht="13.65" customHeight="1">
      <c r="A39" s="70"/>
      <c r="B39" t="s" s="27">
        <v>1211</v>
      </c>
      <c r="C39" s="119">
        <v>34</v>
      </c>
      <c r="D39" t="s" s="85">
        <v>751</v>
      </c>
      <c r="E39" t="s" s="86">
        <v>1249</v>
      </c>
      <c r="F39" s="87">
        <v>20000434</v>
      </c>
      <c r="G39" t="s" s="86">
        <v>781</v>
      </c>
      <c r="H39" t="s" s="85">
        <v>1219</v>
      </c>
      <c r="I39" t="s" s="144">
        <v>1250</v>
      </c>
      <c r="J39" s="77"/>
    </row>
    <row r="40" ht="13.65" customHeight="1">
      <c r="A40" s="70"/>
      <c r="B40" t="s" s="94">
        <v>1211</v>
      </c>
      <c r="C40" s="118">
        <v>35</v>
      </c>
      <c r="D40" t="s" s="79">
        <v>790</v>
      </c>
      <c r="E40" t="s" s="80">
        <v>1253</v>
      </c>
      <c r="F40" s="81">
        <v>21</v>
      </c>
      <c r="G40" t="s" s="80">
        <v>231</v>
      </c>
      <c r="H40" t="s" s="79">
        <v>1219</v>
      </c>
      <c r="I40" t="s" s="137">
        <v>741</v>
      </c>
      <c r="J40" s="77"/>
    </row>
    <row r="41" ht="13.65" customHeight="1">
      <c r="A41" s="70"/>
      <c r="B41" t="s" s="27">
        <v>1211</v>
      </c>
      <c r="C41" s="119">
        <v>37</v>
      </c>
      <c r="D41" t="s" s="85">
        <v>34</v>
      </c>
      <c r="E41" t="s" s="86">
        <v>1254</v>
      </c>
      <c r="F41" s="87">
        <v>122</v>
      </c>
      <c r="G41" t="s" s="86">
        <v>1255</v>
      </c>
      <c r="H41" t="s" s="86">
        <v>1256</v>
      </c>
      <c r="I41" t="s" s="144">
        <v>741</v>
      </c>
      <c r="J41" s="77"/>
    </row>
    <row r="42" ht="13.65" customHeight="1">
      <c r="A42" s="70"/>
      <c r="B42" t="s" s="94">
        <v>1211</v>
      </c>
      <c r="C42" s="118">
        <v>38</v>
      </c>
      <c r="D42" t="s" s="79">
        <v>38</v>
      </c>
      <c r="E42" t="s" s="80">
        <v>1254</v>
      </c>
      <c r="F42" s="81">
        <v>66</v>
      </c>
      <c r="G42" t="s" s="80">
        <v>1255</v>
      </c>
      <c r="H42" t="s" s="80">
        <v>1256</v>
      </c>
      <c r="I42" t="s" s="137">
        <v>741</v>
      </c>
      <c r="J42" s="77"/>
    </row>
    <row r="43" ht="13.65" customHeight="1">
      <c r="A43" s="70"/>
      <c r="B43" t="s" s="27">
        <v>1211</v>
      </c>
      <c r="C43" s="119">
        <v>39</v>
      </c>
      <c r="D43" t="s" s="85">
        <v>42</v>
      </c>
      <c r="E43" t="s" s="86">
        <v>1254</v>
      </c>
      <c r="F43" s="87">
        <v>299</v>
      </c>
      <c r="G43" t="s" s="86">
        <v>1255</v>
      </c>
      <c r="H43" t="s" s="86">
        <v>1256</v>
      </c>
      <c r="I43" t="s" s="144">
        <v>741</v>
      </c>
      <c r="J43" s="77"/>
    </row>
    <row r="44" ht="13.65" customHeight="1">
      <c r="A44" s="70"/>
      <c r="B44" t="s" s="94">
        <v>1211</v>
      </c>
      <c r="C44" s="118">
        <v>40</v>
      </c>
      <c r="D44" t="s" s="79">
        <v>46</v>
      </c>
      <c r="E44" t="s" s="80">
        <v>1257</v>
      </c>
      <c r="F44" s="81">
        <v>148</v>
      </c>
      <c r="G44" t="s" s="80">
        <v>1235</v>
      </c>
      <c r="H44" t="s" s="80">
        <v>1256</v>
      </c>
      <c r="I44" t="s" s="137">
        <v>741</v>
      </c>
      <c r="J44" s="77"/>
    </row>
    <row r="45" ht="13.65" customHeight="1">
      <c r="A45" s="70"/>
      <c r="B45" t="s" s="27">
        <v>1211</v>
      </c>
      <c r="C45" s="119">
        <v>41</v>
      </c>
      <c r="D45" t="s" s="85">
        <v>789</v>
      </c>
      <c r="E45" t="s" s="86">
        <v>1254</v>
      </c>
      <c r="F45" s="87">
        <v>935</v>
      </c>
      <c r="G45" t="s" s="86">
        <v>1255</v>
      </c>
      <c r="H45" t="s" s="86">
        <v>1256</v>
      </c>
      <c r="I45" t="s" s="144">
        <v>741</v>
      </c>
      <c r="J45" s="77"/>
    </row>
    <row r="46" ht="13.65" customHeight="1">
      <c r="A46" s="70"/>
      <c r="B46" t="s" s="94">
        <v>1211</v>
      </c>
      <c r="C46" s="118">
        <v>42</v>
      </c>
      <c r="D46" t="s" s="79">
        <v>789</v>
      </c>
      <c r="E46" t="s" s="80">
        <v>1249</v>
      </c>
      <c r="F46" s="81">
        <v>20000432</v>
      </c>
      <c r="G46" t="s" s="80">
        <v>781</v>
      </c>
      <c r="H46" t="s" s="80">
        <v>1256</v>
      </c>
      <c r="I46" t="s" s="137">
        <v>1250</v>
      </c>
      <c r="J46" s="77"/>
    </row>
    <row r="47" ht="13.65" customHeight="1">
      <c r="A47" s="70"/>
      <c r="B47" t="s" s="27">
        <v>1211</v>
      </c>
      <c r="C47" s="119">
        <v>43</v>
      </c>
      <c r="D47" t="s" s="85">
        <v>751</v>
      </c>
      <c r="E47" t="s" s="86">
        <v>1254</v>
      </c>
      <c r="F47" s="87">
        <v>118</v>
      </c>
      <c r="G47" t="s" s="86">
        <v>1255</v>
      </c>
      <c r="H47" t="s" s="86">
        <v>1256</v>
      </c>
      <c r="I47" t="s" s="144">
        <v>741</v>
      </c>
      <c r="J47" s="77"/>
    </row>
    <row r="48" ht="13.65" customHeight="1">
      <c r="A48" s="70"/>
      <c r="B48" t="s" s="94">
        <v>1211</v>
      </c>
      <c r="C48" s="118">
        <v>44</v>
      </c>
      <c r="D48" t="s" s="79">
        <v>791</v>
      </c>
      <c r="E48" t="s" s="80">
        <v>1254</v>
      </c>
      <c r="F48" s="81">
        <v>864</v>
      </c>
      <c r="G48" t="s" s="80">
        <v>1255</v>
      </c>
      <c r="H48" t="s" s="80">
        <v>1256</v>
      </c>
      <c r="I48" t="s" s="137">
        <v>741</v>
      </c>
      <c r="J48" s="77"/>
    </row>
    <row r="49" ht="13.65" customHeight="1">
      <c r="A49" s="70"/>
      <c r="B49" t="s" s="27">
        <v>1211</v>
      </c>
      <c r="C49" s="119">
        <v>45</v>
      </c>
      <c r="D49" t="s" s="85">
        <v>791</v>
      </c>
      <c r="E49" t="s" s="86">
        <v>1254</v>
      </c>
      <c r="F49" s="87">
        <v>614</v>
      </c>
      <c r="G49" t="s" s="86">
        <v>1255</v>
      </c>
      <c r="H49" t="s" s="86">
        <v>1256</v>
      </c>
      <c r="I49" t="s" s="144">
        <v>741</v>
      </c>
      <c r="J49" s="77"/>
    </row>
    <row r="50" ht="13.65" customHeight="1">
      <c r="A50" s="70"/>
      <c r="B50" t="s" s="94">
        <v>1211</v>
      </c>
      <c r="C50" s="118">
        <v>46</v>
      </c>
      <c r="D50" t="s" s="79">
        <v>766</v>
      </c>
      <c r="E50" t="s" s="80">
        <v>1254</v>
      </c>
      <c r="F50" s="81">
        <v>71</v>
      </c>
      <c r="G50" t="s" s="80">
        <v>1255</v>
      </c>
      <c r="H50" t="s" s="80">
        <v>1256</v>
      </c>
      <c r="I50" t="s" s="137">
        <v>741</v>
      </c>
      <c r="J50" s="77"/>
    </row>
    <row r="51" ht="13.65" customHeight="1">
      <c r="A51" s="70"/>
      <c r="B51" t="s" s="27">
        <v>1211</v>
      </c>
      <c r="C51" s="119">
        <v>47</v>
      </c>
      <c r="D51" t="s" s="85">
        <v>765</v>
      </c>
      <c r="E51" t="s" s="86">
        <v>1254</v>
      </c>
      <c r="F51" s="87">
        <v>146</v>
      </c>
      <c r="G51" t="s" s="86">
        <v>1255</v>
      </c>
      <c r="H51" t="s" s="86">
        <v>1256</v>
      </c>
      <c r="I51" t="s" s="144">
        <v>741</v>
      </c>
      <c r="J51" s="77"/>
    </row>
    <row r="52" ht="13.65" customHeight="1">
      <c r="A52" s="70"/>
      <c r="B52" t="s" s="94">
        <v>1211</v>
      </c>
      <c r="C52" s="118">
        <v>49</v>
      </c>
      <c r="D52" t="s" s="79">
        <v>824</v>
      </c>
      <c r="E52" t="s" s="80">
        <v>781</v>
      </c>
      <c r="F52" s="81">
        <v>1400003264</v>
      </c>
      <c r="G52" t="s" s="80">
        <v>781</v>
      </c>
      <c r="H52" t="s" s="80">
        <v>770</v>
      </c>
      <c r="I52" t="s" s="137">
        <v>1250</v>
      </c>
      <c r="J52" s="77"/>
    </row>
    <row r="53" ht="13.65" customHeight="1">
      <c r="A53" s="70"/>
      <c r="B53" t="s" s="27">
        <v>1211</v>
      </c>
      <c r="C53" s="119">
        <v>50</v>
      </c>
      <c r="D53" t="s" s="85">
        <v>30</v>
      </c>
      <c r="E53" t="s" s="86">
        <v>1258</v>
      </c>
      <c r="F53" s="87">
        <v>61</v>
      </c>
      <c r="G53" t="s" s="86">
        <v>1238</v>
      </c>
      <c r="H53" t="s" s="86">
        <v>770</v>
      </c>
      <c r="I53" t="s" s="144">
        <v>741</v>
      </c>
      <c r="J53" s="77"/>
    </row>
    <row r="54" ht="13.65" customHeight="1">
      <c r="A54" s="70"/>
      <c r="B54" t="s" s="94">
        <v>1211</v>
      </c>
      <c r="C54" s="118">
        <v>51</v>
      </c>
      <c r="D54" t="s" s="79">
        <v>34</v>
      </c>
      <c r="E54" t="s" s="80">
        <v>303</v>
      </c>
      <c r="F54" s="81">
        <v>289</v>
      </c>
      <c r="G54" t="s" s="80">
        <v>1255</v>
      </c>
      <c r="H54" t="s" s="80">
        <v>770</v>
      </c>
      <c r="I54" t="s" s="137">
        <v>741</v>
      </c>
      <c r="J54" s="77"/>
    </row>
    <row r="55" ht="13.65" customHeight="1">
      <c r="A55" s="70"/>
      <c r="B55" t="s" s="27">
        <v>1211</v>
      </c>
      <c r="C55" s="119">
        <v>52</v>
      </c>
      <c r="D55" t="s" s="85">
        <v>42</v>
      </c>
      <c r="E55" t="s" s="86">
        <v>1251</v>
      </c>
      <c r="F55" s="87">
        <v>12</v>
      </c>
      <c r="G55" t="s" s="86">
        <v>231</v>
      </c>
      <c r="H55" t="s" s="86">
        <v>770</v>
      </c>
      <c r="I55" t="s" s="144">
        <v>741</v>
      </c>
      <c r="J55" s="77"/>
    </row>
    <row r="56" ht="13.65" customHeight="1">
      <c r="A56" s="70"/>
      <c r="B56" t="s" s="94">
        <v>1211</v>
      </c>
      <c r="C56" s="118">
        <v>53</v>
      </c>
      <c r="D56" t="s" s="79">
        <v>46</v>
      </c>
      <c r="E56" t="s" s="80">
        <v>1259</v>
      </c>
      <c r="F56" s="81">
        <v>87</v>
      </c>
      <c r="G56" t="s" s="80">
        <v>1235</v>
      </c>
      <c r="H56" t="s" s="80">
        <v>770</v>
      </c>
      <c r="I56" t="s" s="137">
        <v>741</v>
      </c>
      <c r="J56" s="77"/>
    </row>
    <row r="57" ht="13.65" customHeight="1">
      <c r="A57" s="70"/>
      <c r="B57" t="s" s="27">
        <v>1211</v>
      </c>
      <c r="C57" s="119">
        <v>54</v>
      </c>
      <c r="D57" t="s" s="85">
        <v>46</v>
      </c>
      <c r="E57" t="s" s="86">
        <v>1251</v>
      </c>
      <c r="F57" s="87">
        <v>4</v>
      </c>
      <c r="G57" t="s" s="86">
        <v>231</v>
      </c>
      <c r="H57" t="s" s="86">
        <v>770</v>
      </c>
      <c r="I57" t="s" s="144">
        <v>741</v>
      </c>
      <c r="J57" s="77"/>
    </row>
    <row r="58" ht="13.65" customHeight="1">
      <c r="A58" s="70"/>
      <c r="B58" t="s" s="94">
        <v>1211</v>
      </c>
      <c r="C58" s="118">
        <v>55</v>
      </c>
      <c r="D58" t="s" s="79">
        <v>769</v>
      </c>
      <c r="E58" t="s" s="80">
        <v>1260</v>
      </c>
      <c r="F58" s="81">
        <v>104</v>
      </c>
      <c r="G58" t="s" s="80">
        <v>231</v>
      </c>
      <c r="H58" t="s" s="80">
        <v>770</v>
      </c>
      <c r="I58" t="s" s="137">
        <v>741</v>
      </c>
      <c r="J58" s="77"/>
    </row>
    <row r="59" ht="13.65" customHeight="1">
      <c r="A59" s="70"/>
      <c r="B59" t="s" s="27">
        <v>1211</v>
      </c>
      <c r="C59" s="119">
        <v>56</v>
      </c>
      <c r="D59" t="s" s="85">
        <v>769</v>
      </c>
      <c r="E59" t="s" s="86">
        <v>1251</v>
      </c>
      <c r="F59" s="87">
        <v>34</v>
      </c>
      <c r="G59" t="s" s="86">
        <v>231</v>
      </c>
      <c r="H59" t="s" s="86">
        <v>770</v>
      </c>
      <c r="I59" t="s" s="144">
        <v>741</v>
      </c>
      <c r="J59" s="77"/>
    </row>
    <row r="60" ht="13.65" customHeight="1">
      <c r="A60" s="70"/>
      <c r="B60" t="s" s="94">
        <v>1211</v>
      </c>
      <c r="C60" s="118">
        <v>57</v>
      </c>
      <c r="D60" t="s" s="79">
        <v>769</v>
      </c>
      <c r="E60" t="s" s="80">
        <v>1261</v>
      </c>
      <c r="F60" s="81">
        <v>3170</v>
      </c>
      <c r="G60" t="s" s="80">
        <v>1218</v>
      </c>
      <c r="H60" t="s" s="80">
        <v>770</v>
      </c>
      <c r="I60" t="s" s="137">
        <v>741</v>
      </c>
      <c r="J60" s="77"/>
    </row>
    <row r="61" ht="13.65" customHeight="1">
      <c r="A61" s="70"/>
      <c r="B61" t="s" s="27">
        <v>1211</v>
      </c>
      <c r="C61" s="119">
        <v>58</v>
      </c>
      <c r="D61" t="s" s="85">
        <v>749</v>
      </c>
      <c r="E61" t="s" s="86">
        <v>344</v>
      </c>
      <c r="F61" s="87">
        <v>26</v>
      </c>
      <c r="G61" t="s" s="86">
        <v>231</v>
      </c>
      <c r="H61" t="s" s="86">
        <v>770</v>
      </c>
      <c r="I61" t="s" s="144">
        <v>741</v>
      </c>
      <c r="J61" s="77"/>
    </row>
    <row r="62" ht="13.65" customHeight="1">
      <c r="A62" s="70"/>
      <c r="B62" t="s" s="94">
        <v>1211</v>
      </c>
      <c r="C62" s="118">
        <v>59</v>
      </c>
      <c r="D62" t="s" s="79">
        <v>749</v>
      </c>
      <c r="E62" t="s" s="80">
        <v>1262</v>
      </c>
      <c r="F62" s="81">
        <v>43</v>
      </c>
      <c r="G62" t="s" s="80">
        <v>1263</v>
      </c>
      <c r="H62" t="s" s="80">
        <v>770</v>
      </c>
      <c r="I62" t="s" s="137">
        <v>741</v>
      </c>
      <c r="J62" s="77"/>
    </row>
    <row r="63" ht="13.65" customHeight="1">
      <c r="A63" s="70"/>
      <c r="B63" t="s" s="27">
        <v>1211</v>
      </c>
      <c r="C63" s="119">
        <v>60</v>
      </c>
      <c r="D63" t="s" s="85">
        <v>749</v>
      </c>
      <c r="E63" t="s" s="86">
        <v>1264</v>
      </c>
      <c r="F63" s="87">
        <v>32</v>
      </c>
      <c r="G63" t="s" s="86">
        <v>1263</v>
      </c>
      <c r="H63" t="s" s="86">
        <v>770</v>
      </c>
      <c r="I63" t="s" s="144">
        <v>741</v>
      </c>
      <c r="J63" s="77"/>
    </row>
    <row r="64" ht="13.65" customHeight="1">
      <c r="A64" s="70"/>
      <c r="B64" t="s" s="94">
        <v>1211</v>
      </c>
      <c r="C64" s="118">
        <v>61</v>
      </c>
      <c r="D64" t="s" s="79">
        <v>789</v>
      </c>
      <c r="E64" t="s" s="80">
        <v>272</v>
      </c>
      <c r="F64" s="81">
        <v>2</v>
      </c>
      <c r="G64" t="s" s="80">
        <v>231</v>
      </c>
      <c r="H64" t="s" s="80">
        <v>770</v>
      </c>
      <c r="I64" t="s" s="137">
        <v>741</v>
      </c>
      <c r="J64" s="77"/>
    </row>
    <row r="65" ht="13.65" customHeight="1">
      <c r="A65" s="70"/>
      <c r="B65" t="s" s="27">
        <v>1211</v>
      </c>
      <c r="C65" s="119">
        <v>62</v>
      </c>
      <c r="D65" t="s" s="85">
        <v>788</v>
      </c>
      <c r="E65" t="s" s="86">
        <v>1251</v>
      </c>
      <c r="F65" s="87">
        <v>8</v>
      </c>
      <c r="G65" t="s" s="86">
        <v>231</v>
      </c>
      <c r="H65" t="s" s="86">
        <v>770</v>
      </c>
      <c r="I65" t="s" s="144">
        <v>741</v>
      </c>
      <c r="J65" s="77"/>
    </row>
    <row r="66" ht="13.65" customHeight="1">
      <c r="A66" s="70"/>
      <c r="B66" t="s" s="94">
        <v>1211</v>
      </c>
      <c r="C66" s="118">
        <v>63</v>
      </c>
      <c r="D66" t="s" s="79">
        <v>788</v>
      </c>
      <c r="E66" t="s" s="80">
        <v>1265</v>
      </c>
      <c r="F66" s="81">
        <v>14</v>
      </c>
      <c r="G66" t="s" s="80">
        <v>231</v>
      </c>
      <c r="H66" t="s" s="80">
        <v>770</v>
      </c>
      <c r="I66" t="s" s="137">
        <v>741</v>
      </c>
      <c r="J66" s="77"/>
    </row>
    <row r="67" ht="13.65" customHeight="1">
      <c r="A67" s="70"/>
      <c r="B67" t="s" s="27">
        <v>1211</v>
      </c>
      <c r="C67" s="119">
        <v>64</v>
      </c>
      <c r="D67" t="s" s="85">
        <v>788</v>
      </c>
      <c r="E67" t="s" s="86">
        <v>200</v>
      </c>
      <c r="F67" s="87">
        <v>99</v>
      </c>
      <c r="G67" t="s" s="86">
        <v>231</v>
      </c>
      <c r="H67" t="s" s="86">
        <v>770</v>
      </c>
      <c r="I67" t="s" s="144">
        <v>741</v>
      </c>
      <c r="J67" s="77"/>
    </row>
    <row r="68" ht="13.65" customHeight="1">
      <c r="A68" s="70"/>
      <c r="B68" t="s" s="94">
        <v>1211</v>
      </c>
      <c r="C68" s="118">
        <v>65</v>
      </c>
      <c r="D68" t="s" s="79">
        <v>751</v>
      </c>
      <c r="E68" t="s" s="80">
        <v>475</v>
      </c>
      <c r="F68" s="81">
        <v>12</v>
      </c>
      <c r="G68" t="s" s="80">
        <v>231</v>
      </c>
      <c r="H68" t="s" s="80">
        <v>770</v>
      </c>
      <c r="I68" t="s" s="137">
        <v>741</v>
      </c>
      <c r="J68" s="77"/>
    </row>
    <row r="69" ht="13.65" customHeight="1">
      <c r="A69" s="70"/>
      <c r="B69" t="s" s="27">
        <v>1211</v>
      </c>
      <c r="C69" s="119">
        <v>66</v>
      </c>
      <c r="D69" t="s" s="85">
        <v>753</v>
      </c>
      <c r="E69" t="s" s="86">
        <v>1258</v>
      </c>
      <c r="F69" s="87">
        <v>92</v>
      </c>
      <c r="G69" t="s" s="86">
        <v>1238</v>
      </c>
      <c r="H69" t="s" s="86">
        <v>770</v>
      </c>
      <c r="I69" t="s" s="144">
        <v>741</v>
      </c>
      <c r="J69" s="77"/>
    </row>
    <row r="70" ht="13.65" customHeight="1">
      <c r="A70" s="70"/>
      <c r="B70" t="s" s="94">
        <v>1211</v>
      </c>
      <c r="C70" s="118">
        <v>67</v>
      </c>
      <c r="D70" t="s" s="79">
        <v>739</v>
      </c>
      <c r="E70" t="s" s="80">
        <v>1266</v>
      </c>
      <c r="F70" s="81">
        <v>14</v>
      </c>
      <c r="G70" t="s" s="80">
        <v>115</v>
      </c>
      <c r="H70" t="s" s="80">
        <v>770</v>
      </c>
      <c r="I70" t="s" s="137">
        <v>741</v>
      </c>
      <c r="J70" s="77"/>
    </row>
    <row r="71" ht="13.65" customHeight="1">
      <c r="A71" s="70"/>
      <c r="B71" t="s" s="27">
        <v>1211</v>
      </c>
      <c r="C71" s="119">
        <v>68</v>
      </c>
      <c r="D71" t="s" s="85">
        <v>771</v>
      </c>
      <c r="E71" t="s" s="86">
        <v>475</v>
      </c>
      <c r="F71" s="87">
        <v>19</v>
      </c>
      <c r="G71" t="s" s="86">
        <v>231</v>
      </c>
      <c r="H71" t="s" s="86">
        <v>770</v>
      </c>
      <c r="I71" t="s" s="144">
        <v>741</v>
      </c>
      <c r="J71" s="77"/>
    </row>
    <row r="72" ht="13.65" customHeight="1">
      <c r="A72" s="70"/>
      <c r="B72" t="s" s="94">
        <v>1211</v>
      </c>
      <c r="C72" s="118">
        <v>69</v>
      </c>
      <c r="D72" t="s" s="79">
        <v>772</v>
      </c>
      <c r="E72" t="s" s="80">
        <v>1251</v>
      </c>
      <c r="F72" s="81">
        <v>99</v>
      </c>
      <c r="G72" t="s" s="80">
        <v>231</v>
      </c>
      <c r="H72" t="s" s="80">
        <v>770</v>
      </c>
      <c r="I72" t="s" s="137">
        <v>741</v>
      </c>
      <c r="J72" s="77"/>
    </row>
    <row r="73" ht="13.65" customHeight="1">
      <c r="A73" s="70"/>
      <c r="B73" t="s" s="27">
        <v>1211</v>
      </c>
      <c r="C73" s="119">
        <v>70</v>
      </c>
      <c r="D73" t="s" s="85">
        <v>773</v>
      </c>
      <c r="E73" t="s" s="86">
        <v>1251</v>
      </c>
      <c r="F73" s="87">
        <v>101</v>
      </c>
      <c r="G73" t="s" s="86">
        <v>231</v>
      </c>
      <c r="H73" t="s" s="86">
        <v>770</v>
      </c>
      <c r="I73" t="s" s="144">
        <v>741</v>
      </c>
      <c r="J73" s="77"/>
    </row>
    <row r="74" ht="13.65" customHeight="1">
      <c r="A74" s="70"/>
      <c r="B74" t="s" s="94">
        <v>1211</v>
      </c>
      <c r="C74" s="118">
        <v>71</v>
      </c>
      <c r="D74" t="s" s="79">
        <v>790</v>
      </c>
      <c r="E74" t="s" s="80">
        <v>1267</v>
      </c>
      <c r="F74" s="81">
        <v>2632</v>
      </c>
      <c r="G74" t="s" s="80">
        <v>1218</v>
      </c>
      <c r="H74" t="s" s="80">
        <v>770</v>
      </c>
      <c r="I74" t="s" s="137">
        <v>741</v>
      </c>
      <c r="J74" s="77"/>
    </row>
    <row r="75" ht="13.65" customHeight="1">
      <c r="A75" s="70"/>
      <c r="B75" t="s" s="27">
        <v>1211</v>
      </c>
      <c r="C75" s="119">
        <v>72</v>
      </c>
      <c r="D75" t="s" s="85">
        <v>790</v>
      </c>
      <c r="E75" t="s" s="86">
        <v>1251</v>
      </c>
      <c r="F75" s="87">
        <v>26</v>
      </c>
      <c r="G75" t="s" s="86">
        <v>231</v>
      </c>
      <c r="H75" t="s" s="86">
        <v>770</v>
      </c>
      <c r="I75" t="s" s="144">
        <v>741</v>
      </c>
      <c r="J75" s="77"/>
    </row>
    <row r="76" ht="13.65" customHeight="1">
      <c r="A76" s="70"/>
      <c r="B76" t="s" s="94">
        <v>1211</v>
      </c>
      <c r="C76" s="118">
        <v>73</v>
      </c>
      <c r="D76" t="s" s="79">
        <v>761</v>
      </c>
      <c r="E76" t="s" s="80">
        <v>1251</v>
      </c>
      <c r="F76" s="81">
        <v>27</v>
      </c>
      <c r="G76" t="s" s="80">
        <v>231</v>
      </c>
      <c r="H76" t="s" s="80">
        <v>770</v>
      </c>
      <c r="I76" t="s" s="137">
        <v>741</v>
      </c>
      <c r="J76" s="77"/>
    </row>
    <row r="77" ht="13.65" customHeight="1">
      <c r="A77" s="70"/>
      <c r="B77" t="s" s="27">
        <v>1211</v>
      </c>
      <c r="C77" s="119">
        <v>74</v>
      </c>
      <c r="D77" t="s" s="85">
        <v>761</v>
      </c>
      <c r="E77" t="s" s="86">
        <v>1268</v>
      </c>
      <c r="F77" s="87">
        <v>19</v>
      </c>
      <c r="G77" t="s" s="86">
        <v>1263</v>
      </c>
      <c r="H77" t="s" s="86">
        <v>770</v>
      </c>
      <c r="I77" t="s" s="144">
        <v>741</v>
      </c>
      <c r="J77" s="77"/>
    </row>
    <row r="78" ht="13.65" customHeight="1">
      <c r="A78" s="70"/>
      <c r="B78" t="s" s="94">
        <v>1211</v>
      </c>
      <c r="C78" s="118">
        <v>75</v>
      </c>
      <c r="D78" t="s" s="79">
        <v>761</v>
      </c>
      <c r="E78" t="s" s="80">
        <v>1269</v>
      </c>
      <c r="F78" s="81">
        <v>783</v>
      </c>
      <c r="G78" t="s" s="80">
        <v>1255</v>
      </c>
      <c r="H78" t="s" s="80">
        <v>770</v>
      </c>
      <c r="I78" t="s" s="137">
        <v>741</v>
      </c>
      <c r="J78" s="77"/>
    </row>
    <row r="79" ht="13.65" customHeight="1">
      <c r="A79" s="70"/>
      <c r="B79" t="s" s="27">
        <v>1211</v>
      </c>
      <c r="C79" s="119">
        <v>76</v>
      </c>
      <c r="D79" t="s" s="85">
        <v>761</v>
      </c>
      <c r="E79" t="s" s="86">
        <v>1270</v>
      </c>
      <c r="F79" s="87">
        <v>183</v>
      </c>
      <c r="G79" t="s" s="86">
        <v>1263</v>
      </c>
      <c r="H79" t="s" s="86">
        <v>770</v>
      </c>
      <c r="I79" t="s" s="144">
        <v>741</v>
      </c>
      <c r="J79" s="77"/>
    </row>
    <row r="80" ht="13.65" customHeight="1">
      <c r="A80" s="70"/>
      <c r="B80" t="s" s="94">
        <v>1211</v>
      </c>
      <c r="C80" s="118">
        <v>77</v>
      </c>
      <c r="D80" t="s" s="79">
        <v>744</v>
      </c>
      <c r="E80" t="s" s="80">
        <v>1271</v>
      </c>
      <c r="F80" s="81">
        <v>152</v>
      </c>
      <c r="G80" t="s" s="80">
        <v>1255</v>
      </c>
      <c r="H80" t="s" s="80">
        <v>770</v>
      </c>
      <c r="I80" t="s" s="137">
        <v>741</v>
      </c>
      <c r="J80" s="77"/>
    </row>
    <row r="81" ht="13.65" customHeight="1">
      <c r="A81" s="70"/>
      <c r="B81" t="s" s="27">
        <v>1211</v>
      </c>
      <c r="C81" s="119">
        <v>78</v>
      </c>
      <c r="D81" t="s" s="85">
        <v>774</v>
      </c>
      <c r="E81" t="s" s="86">
        <v>1251</v>
      </c>
      <c r="F81" s="87">
        <v>39</v>
      </c>
      <c r="G81" t="s" s="86">
        <v>231</v>
      </c>
      <c r="H81" t="s" s="86">
        <v>770</v>
      </c>
      <c r="I81" t="s" s="144">
        <v>741</v>
      </c>
      <c r="J81" s="77"/>
    </row>
    <row r="82" ht="13.65" customHeight="1">
      <c r="A82" s="70"/>
      <c r="B82" t="s" s="94">
        <v>1211</v>
      </c>
      <c r="C82" s="118">
        <v>79</v>
      </c>
      <c r="D82" t="s" s="79">
        <v>768</v>
      </c>
      <c r="E82" t="s" s="80">
        <v>1272</v>
      </c>
      <c r="F82" s="81">
        <v>81</v>
      </c>
      <c r="G82" t="s" s="80">
        <v>1263</v>
      </c>
      <c r="H82" t="s" s="80">
        <v>770</v>
      </c>
      <c r="I82" t="s" s="137">
        <v>741</v>
      </c>
      <c r="J82" s="77"/>
    </row>
    <row r="83" ht="13.65" customHeight="1">
      <c r="A83" s="70"/>
      <c r="B83" t="s" s="27">
        <v>1211</v>
      </c>
      <c r="C83" s="119">
        <v>80</v>
      </c>
      <c r="D83" t="s" s="85">
        <v>768</v>
      </c>
      <c r="E83" t="s" s="86">
        <v>292</v>
      </c>
      <c r="F83" s="87">
        <v>115</v>
      </c>
      <c r="G83" t="s" s="86">
        <v>231</v>
      </c>
      <c r="H83" t="s" s="86">
        <v>770</v>
      </c>
      <c r="I83" t="s" s="144">
        <v>741</v>
      </c>
      <c r="J83" s="77"/>
    </row>
    <row r="84" ht="13.65" customHeight="1">
      <c r="A84" s="70"/>
      <c r="B84" t="s" s="94">
        <v>1211</v>
      </c>
      <c r="C84" s="118">
        <v>81</v>
      </c>
      <c r="D84" t="s" s="79">
        <v>768</v>
      </c>
      <c r="E84" t="s" s="80">
        <v>1273</v>
      </c>
      <c r="F84" s="81">
        <v>6</v>
      </c>
      <c r="G84" t="s" s="80">
        <v>1218</v>
      </c>
      <c r="H84" t="s" s="80">
        <v>770</v>
      </c>
      <c r="I84" t="s" s="137">
        <v>741</v>
      </c>
      <c r="J84" s="77"/>
    </row>
    <row r="85" ht="13.65" customHeight="1">
      <c r="A85" s="70"/>
      <c r="B85" t="s" s="27">
        <v>1211</v>
      </c>
      <c r="C85" s="119">
        <v>82</v>
      </c>
      <c r="D85" t="s" s="85">
        <v>768</v>
      </c>
      <c r="E85" t="s" s="86">
        <v>1251</v>
      </c>
      <c r="F85" s="87">
        <v>11</v>
      </c>
      <c r="G85" t="s" s="86">
        <v>231</v>
      </c>
      <c r="H85" t="s" s="86">
        <v>770</v>
      </c>
      <c r="I85" t="s" s="144">
        <v>741</v>
      </c>
      <c r="J85" s="77"/>
    </row>
    <row r="86" ht="13.65" customHeight="1">
      <c r="A86" s="70"/>
      <c r="B86" t="s" s="94">
        <v>1211</v>
      </c>
      <c r="C86" s="118">
        <v>83</v>
      </c>
      <c r="D86" t="s" s="79">
        <v>791</v>
      </c>
      <c r="E86" t="s" s="80">
        <v>1274</v>
      </c>
      <c r="F86" s="81">
        <v>416</v>
      </c>
      <c r="G86" t="s" s="80">
        <v>1263</v>
      </c>
      <c r="H86" t="s" s="80">
        <v>770</v>
      </c>
      <c r="I86" t="s" s="137">
        <v>741</v>
      </c>
      <c r="J86" s="77"/>
    </row>
    <row r="87" ht="13.65" customHeight="1">
      <c r="A87" s="70"/>
      <c r="B87" t="s" s="27">
        <v>1211</v>
      </c>
      <c r="C87" s="119">
        <v>84</v>
      </c>
      <c r="D87" t="s" s="85">
        <v>791</v>
      </c>
      <c r="E87" t="s" s="86">
        <v>1274</v>
      </c>
      <c r="F87" s="87">
        <v>307</v>
      </c>
      <c r="G87" t="s" s="86">
        <v>1263</v>
      </c>
      <c r="H87" t="s" s="86">
        <v>770</v>
      </c>
      <c r="I87" t="s" s="144">
        <v>741</v>
      </c>
      <c r="J87" s="77"/>
    </row>
    <row r="88" ht="13.65" customHeight="1">
      <c r="A88" s="70"/>
      <c r="B88" t="s" s="94">
        <v>1211</v>
      </c>
      <c r="C88" s="118">
        <v>85</v>
      </c>
      <c r="D88" t="s" s="79">
        <v>766</v>
      </c>
      <c r="E88" t="s" s="80">
        <v>1274</v>
      </c>
      <c r="F88" s="81">
        <v>212</v>
      </c>
      <c r="G88" t="s" s="80">
        <v>1263</v>
      </c>
      <c r="H88" t="s" s="80">
        <v>770</v>
      </c>
      <c r="I88" t="s" s="137">
        <v>741</v>
      </c>
      <c r="J88" s="77"/>
    </row>
    <row r="89" ht="13.65" customHeight="1">
      <c r="A89" s="70"/>
      <c r="B89" t="s" s="27">
        <v>1211</v>
      </c>
      <c r="C89" s="119">
        <v>86</v>
      </c>
      <c r="D89" t="s" s="85">
        <v>766</v>
      </c>
      <c r="E89" t="s" s="86">
        <v>1251</v>
      </c>
      <c r="F89" s="87">
        <v>16</v>
      </c>
      <c r="G89" t="s" s="86">
        <v>231</v>
      </c>
      <c r="H89" t="s" s="86">
        <v>770</v>
      </c>
      <c r="I89" t="s" s="144">
        <v>741</v>
      </c>
      <c r="J89" s="77"/>
    </row>
    <row r="90" ht="13.65" customHeight="1">
      <c r="A90" s="70"/>
      <c r="B90" t="s" s="94">
        <v>1211</v>
      </c>
      <c r="C90" s="118">
        <v>87</v>
      </c>
      <c r="D90" t="s" s="79">
        <v>755</v>
      </c>
      <c r="E90" t="s" s="80">
        <v>1275</v>
      </c>
      <c r="F90" s="81">
        <v>99</v>
      </c>
      <c r="G90" t="s" s="80">
        <v>231</v>
      </c>
      <c r="H90" t="s" s="80">
        <v>770</v>
      </c>
      <c r="I90" t="s" s="137">
        <v>741</v>
      </c>
      <c r="J90" s="77"/>
    </row>
    <row r="91" ht="13.65" customHeight="1">
      <c r="A91" s="70"/>
      <c r="B91" t="s" s="27">
        <v>1211</v>
      </c>
      <c r="C91" s="119">
        <v>88</v>
      </c>
      <c r="D91" t="s" s="85">
        <v>755</v>
      </c>
      <c r="E91" t="s" s="86">
        <v>1276</v>
      </c>
      <c r="F91" s="87">
        <v>27</v>
      </c>
      <c r="G91" t="s" s="86">
        <v>1255</v>
      </c>
      <c r="H91" t="s" s="86">
        <v>770</v>
      </c>
      <c r="I91" t="s" s="144">
        <v>741</v>
      </c>
      <c r="J91" s="77"/>
    </row>
    <row r="92" ht="13.65" customHeight="1">
      <c r="A92" s="70"/>
      <c r="B92" t="s" s="94">
        <v>1211</v>
      </c>
      <c r="C92" s="118">
        <v>89</v>
      </c>
      <c r="D92" t="s" s="79">
        <v>765</v>
      </c>
      <c r="E92" t="s" s="80">
        <v>1277</v>
      </c>
      <c r="F92" s="81">
        <v>9</v>
      </c>
      <c r="G92" t="s" s="80">
        <v>231</v>
      </c>
      <c r="H92" t="s" s="80">
        <v>770</v>
      </c>
      <c r="I92" t="s" s="137">
        <v>741</v>
      </c>
      <c r="J92" s="77"/>
    </row>
    <row r="93" ht="13.65" customHeight="1">
      <c r="A93" s="70"/>
      <c r="B93" t="s" s="27">
        <v>1211</v>
      </c>
      <c r="C93" s="119">
        <v>90</v>
      </c>
      <c r="D93" t="s" s="85">
        <v>765</v>
      </c>
      <c r="E93" t="s" s="86">
        <v>1251</v>
      </c>
      <c r="F93" s="87">
        <v>51</v>
      </c>
      <c r="G93" t="s" s="86">
        <v>231</v>
      </c>
      <c r="H93" t="s" s="86">
        <v>770</v>
      </c>
      <c r="I93" t="s" s="144">
        <v>741</v>
      </c>
      <c r="J93" s="77"/>
    </row>
    <row r="94" ht="13.65" customHeight="1">
      <c r="A94" s="70"/>
      <c r="B94" t="s" s="94">
        <v>1211</v>
      </c>
      <c r="C94" s="118">
        <v>91</v>
      </c>
      <c r="D94" t="s" s="79">
        <v>759</v>
      </c>
      <c r="E94" t="s" s="80">
        <v>1251</v>
      </c>
      <c r="F94" s="81">
        <v>13</v>
      </c>
      <c r="G94" t="s" s="80">
        <v>231</v>
      </c>
      <c r="H94" t="s" s="80">
        <v>770</v>
      </c>
      <c r="I94" t="s" s="137">
        <v>741</v>
      </c>
      <c r="J94" s="77"/>
    </row>
    <row r="95" ht="13.65" customHeight="1">
      <c r="A95" s="70"/>
      <c r="B95" t="s" s="27">
        <v>1211</v>
      </c>
      <c r="C95" s="119">
        <v>92</v>
      </c>
      <c r="D95" t="s" s="85">
        <v>759</v>
      </c>
      <c r="E95" t="s" s="86">
        <v>1278</v>
      </c>
      <c r="F95" s="87">
        <v>9</v>
      </c>
      <c r="G95" t="s" s="86">
        <v>231</v>
      </c>
      <c r="H95" t="s" s="86">
        <v>770</v>
      </c>
      <c r="I95" t="s" s="144">
        <v>741</v>
      </c>
      <c r="J95" s="77"/>
    </row>
    <row r="96" ht="13.65" customHeight="1">
      <c r="A96" s="70"/>
      <c r="B96" t="s" s="94">
        <v>1211</v>
      </c>
      <c r="C96" s="118">
        <v>94</v>
      </c>
      <c r="D96" t="s" s="79">
        <v>30</v>
      </c>
      <c r="E96" t="s" s="80">
        <v>1251</v>
      </c>
      <c r="F96" s="81">
        <v>20</v>
      </c>
      <c r="G96" t="s" s="80">
        <v>231</v>
      </c>
      <c r="H96" t="s" s="80">
        <v>821</v>
      </c>
      <c r="I96" t="s" s="137">
        <v>741</v>
      </c>
      <c r="J96" s="77"/>
    </row>
    <row r="97" ht="13.65" customHeight="1">
      <c r="A97" s="70"/>
      <c r="B97" t="s" s="27">
        <v>1211</v>
      </c>
      <c r="C97" s="119">
        <v>95</v>
      </c>
      <c r="D97" t="s" s="85">
        <v>30</v>
      </c>
      <c r="E97" t="s" s="86">
        <v>289</v>
      </c>
      <c r="F97" s="87">
        <v>21</v>
      </c>
      <c r="G97" t="s" s="86">
        <v>1238</v>
      </c>
      <c r="H97" t="s" s="86">
        <v>821</v>
      </c>
      <c r="I97" t="s" s="144">
        <v>741</v>
      </c>
      <c r="J97" s="77"/>
    </row>
    <row r="98" ht="13.65" customHeight="1">
      <c r="A98" s="70"/>
      <c r="B98" t="s" s="94">
        <v>1211</v>
      </c>
      <c r="C98" s="118">
        <v>96</v>
      </c>
      <c r="D98" t="s" s="79">
        <v>30</v>
      </c>
      <c r="E98" t="s" s="80">
        <v>292</v>
      </c>
      <c r="F98" s="81">
        <v>132</v>
      </c>
      <c r="G98" t="s" s="80">
        <v>231</v>
      </c>
      <c r="H98" t="s" s="80">
        <v>821</v>
      </c>
      <c r="I98" t="s" s="137">
        <v>741</v>
      </c>
      <c r="J98" s="77"/>
    </row>
    <row r="99" ht="13.65" customHeight="1">
      <c r="A99" s="70"/>
      <c r="B99" t="s" s="27">
        <v>1211</v>
      </c>
      <c r="C99" s="119">
        <v>97</v>
      </c>
      <c r="D99" t="s" s="85">
        <v>30</v>
      </c>
      <c r="E99" t="s" s="86">
        <v>475</v>
      </c>
      <c r="F99" s="87">
        <v>20</v>
      </c>
      <c r="G99" t="s" s="86">
        <v>231</v>
      </c>
      <c r="H99" t="s" s="86">
        <v>821</v>
      </c>
      <c r="I99" t="s" s="144">
        <v>741</v>
      </c>
      <c r="J99" s="77"/>
    </row>
    <row r="100" ht="13.65" customHeight="1">
      <c r="A100" s="70"/>
      <c r="B100" t="s" s="94">
        <v>1211</v>
      </c>
      <c r="C100" s="118">
        <v>98</v>
      </c>
      <c r="D100" t="s" s="79">
        <v>30</v>
      </c>
      <c r="E100" t="s" s="80">
        <v>1258</v>
      </c>
      <c r="F100" s="81">
        <v>84</v>
      </c>
      <c r="G100" t="s" s="80">
        <v>1238</v>
      </c>
      <c r="H100" t="s" s="80">
        <v>821</v>
      </c>
      <c r="I100" t="s" s="137">
        <v>741</v>
      </c>
      <c r="J100" s="77"/>
    </row>
    <row r="101" ht="13.65" customHeight="1">
      <c r="A101" s="70"/>
      <c r="B101" t="s" s="27">
        <v>1211</v>
      </c>
      <c r="C101" s="119">
        <v>99</v>
      </c>
      <c r="D101" t="s" s="85">
        <v>30</v>
      </c>
      <c r="E101" t="s" s="86">
        <v>1279</v>
      </c>
      <c r="F101" s="87">
        <v>27</v>
      </c>
      <c r="G101" t="s" s="86">
        <v>1218</v>
      </c>
      <c r="H101" t="s" s="86">
        <v>821</v>
      </c>
      <c r="I101" t="s" s="144">
        <v>741</v>
      </c>
      <c r="J101" s="77"/>
    </row>
    <row r="102" ht="13.65" customHeight="1">
      <c r="A102" s="70"/>
      <c r="B102" t="s" s="94">
        <v>1211</v>
      </c>
      <c r="C102" s="118">
        <v>100</v>
      </c>
      <c r="D102" t="s" s="79">
        <v>30</v>
      </c>
      <c r="E102" t="s" s="80">
        <v>1280</v>
      </c>
      <c r="F102" s="81">
        <v>25</v>
      </c>
      <c r="G102" t="s" s="80">
        <v>231</v>
      </c>
      <c r="H102" t="s" s="80">
        <v>821</v>
      </c>
      <c r="I102" t="s" s="137">
        <v>741</v>
      </c>
      <c r="J102" s="77"/>
    </row>
    <row r="103" ht="13.65" customHeight="1">
      <c r="A103" s="70"/>
      <c r="B103" t="s" s="27">
        <v>1211</v>
      </c>
      <c r="C103" s="119">
        <v>101</v>
      </c>
      <c r="D103" t="s" s="85">
        <v>34</v>
      </c>
      <c r="E103" t="s" s="86">
        <v>231</v>
      </c>
      <c r="F103" s="87">
        <v>34</v>
      </c>
      <c r="G103" t="s" s="86">
        <v>231</v>
      </c>
      <c r="H103" t="s" s="86">
        <v>821</v>
      </c>
      <c r="I103" t="s" s="144">
        <v>741</v>
      </c>
      <c r="J103" s="77"/>
    </row>
    <row r="104" ht="13.65" customHeight="1">
      <c r="A104" s="70"/>
      <c r="B104" t="s" s="94">
        <v>1211</v>
      </c>
      <c r="C104" s="118">
        <v>102</v>
      </c>
      <c r="D104" t="s" s="79">
        <v>34</v>
      </c>
      <c r="E104" t="s" s="80">
        <v>1274</v>
      </c>
      <c r="F104" s="81">
        <v>152</v>
      </c>
      <c r="G104" t="s" s="80">
        <v>1238</v>
      </c>
      <c r="H104" t="s" s="80">
        <v>821</v>
      </c>
      <c r="I104" t="s" s="137">
        <v>741</v>
      </c>
      <c r="J104" s="77"/>
    </row>
    <row r="105" ht="13.65" customHeight="1">
      <c r="A105" s="70"/>
      <c r="B105" t="s" s="27">
        <v>1211</v>
      </c>
      <c r="C105" s="119">
        <v>103</v>
      </c>
      <c r="D105" t="s" s="85">
        <v>34</v>
      </c>
      <c r="E105" t="s" s="86">
        <v>1281</v>
      </c>
      <c r="F105" s="87">
        <v>2</v>
      </c>
      <c r="G105" t="s" s="86">
        <v>231</v>
      </c>
      <c r="H105" t="s" s="86">
        <v>821</v>
      </c>
      <c r="I105" t="s" s="144">
        <v>741</v>
      </c>
      <c r="J105" s="77"/>
    </row>
    <row r="106" ht="13.65" customHeight="1">
      <c r="A106" s="70"/>
      <c r="B106" t="s" s="94">
        <v>1211</v>
      </c>
      <c r="C106" s="118">
        <v>104</v>
      </c>
      <c r="D106" t="s" s="79">
        <v>34</v>
      </c>
      <c r="E106" t="s" s="80">
        <v>1251</v>
      </c>
      <c r="F106" s="81">
        <v>41</v>
      </c>
      <c r="G106" t="s" s="80">
        <v>231</v>
      </c>
      <c r="H106" t="s" s="80">
        <v>821</v>
      </c>
      <c r="I106" t="s" s="137">
        <v>741</v>
      </c>
      <c r="J106" s="77"/>
    </row>
    <row r="107" ht="13.65" customHeight="1">
      <c r="A107" s="70"/>
      <c r="B107" t="s" s="27">
        <v>1211</v>
      </c>
      <c r="C107" s="119">
        <v>105</v>
      </c>
      <c r="D107" t="s" s="85">
        <v>34</v>
      </c>
      <c r="E107" t="s" s="86">
        <v>231</v>
      </c>
      <c r="F107" s="87">
        <v>7</v>
      </c>
      <c r="G107" t="s" s="86">
        <v>231</v>
      </c>
      <c r="H107" t="s" s="86">
        <v>821</v>
      </c>
      <c r="I107" t="s" s="144">
        <v>741</v>
      </c>
      <c r="J107" s="77"/>
    </row>
    <row r="108" ht="13.65" customHeight="1">
      <c r="A108" s="70"/>
      <c r="B108" t="s" s="94">
        <v>1211</v>
      </c>
      <c r="C108" s="118">
        <v>106</v>
      </c>
      <c r="D108" t="s" s="79">
        <v>38</v>
      </c>
      <c r="E108" t="s" s="80">
        <v>231</v>
      </c>
      <c r="F108" s="81">
        <v>57</v>
      </c>
      <c r="G108" t="s" s="80">
        <v>231</v>
      </c>
      <c r="H108" t="s" s="80">
        <v>821</v>
      </c>
      <c r="I108" t="s" s="137">
        <v>741</v>
      </c>
      <c r="J108" s="77"/>
    </row>
    <row r="109" ht="13.65" customHeight="1">
      <c r="A109" s="70"/>
      <c r="B109" t="s" s="27">
        <v>1211</v>
      </c>
      <c r="C109" s="119">
        <v>107</v>
      </c>
      <c r="D109" t="s" s="85">
        <v>38</v>
      </c>
      <c r="E109" t="s" s="86">
        <v>289</v>
      </c>
      <c r="F109" s="87">
        <v>30</v>
      </c>
      <c r="G109" t="s" s="86">
        <v>1238</v>
      </c>
      <c r="H109" t="s" s="86">
        <v>821</v>
      </c>
      <c r="I109" t="s" s="144">
        <v>741</v>
      </c>
      <c r="J109" s="77"/>
    </row>
    <row r="110" ht="13.65" customHeight="1">
      <c r="A110" s="70"/>
      <c r="B110" t="s" s="94">
        <v>1211</v>
      </c>
      <c r="C110" s="118">
        <v>108</v>
      </c>
      <c r="D110" t="s" s="79">
        <v>38</v>
      </c>
      <c r="E110" t="s" s="80">
        <v>1251</v>
      </c>
      <c r="F110" s="81">
        <v>96</v>
      </c>
      <c r="G110" t="s" s="80">
        <v>231</v>
      </c>
      <c r="H110" t="s" s="80">
        <v>821</v>
      </c>
      <c r="I110" t="s" s="137">
        <v>741</v>
      </c>
      <c r="J110" s="77"/>
    </row>
    <row r="111" ht="13.65" customHeight="1">
      <c r="A111" s="70"/>
      <c r="B111" t="s" s="27">
        <v>1211</v>
      </c>
      <c r="C111" s="119">
        <v>109</v>
      </c>
      <c r="D111" t="s" s="85">
        <v>38</v>
      </c>
      <c r="E111" t="s" s="86">
        <v>1282</v>
      </c>
      <c r="F111" s="87">
        <v>12</v>
      </c>
      <c r="G111" t="s" s="86">
        <v>1263</v>
      </c>
      <c r="H111" t="s" s="86">
        <v>821</v>
      </c>
      <c r="I111" t="s" s="144">
        <v>741</v>
      </c>
      <c r="J111" s="77"/>
    </row>
    <row r="112" ht="13.65" customHeight="1">
      <c r="A112" s="70"/>
      <c r="B112" t="s" s="94">
        <v>1211</v>
      </c>
      <c r="C112" s="118">
        <v>110</v>
      </c>
      <c r="D112" t="s" s="79">
        <v>38</v>
      </c>
      <c r="E112" t="s" s="80">
        <v>231</v>
      </c>
      <c r="F112" s="81">
        <v>64</v>
      </c>
      <c r="G112" t="s" s="80">
        <v>231</v>
      </c>
      <c r="H112" t="s" s="80">
        <v>821</v>
      </c>
      <c r="I112" t="s" s="137">
        <v>741</v>
      </c>
      <c r="J112" s="77"/>
    </row>
    <row r="113" ht="13.65" customHeight="1">
      <c r="A113" s="70"/>
      <c r="B113" t="s" s="27">
        <v>1211</v>
      </c>
      <c r="C113" s="119">
        <v>111</v>
      </c>
      <c r="D113" t="s" s="85">
        <v>42</v>
      </c>
      <c r="E113" t="s" s="86">
        <v>1251</v>
      </c>
      <c r="F113" s="87">
        <v>52</v>
      </c>
      <c r="G113" t="s" s="86">
        <v>231</v>
      </c>
      <c r="H113" t="s" s="86">
        <v>821</v>
      </c>
      <c r="I113" t="s" s="144">
        <v>741</v>
      </c>
      <c r="J113" s="77"/>
    </row>
    <row r="114" ht="13.65" customHeight="1">
      <c r="A114" s="70"/>
      <c r="B114" t="s" s="94">
        <v>1211</v>
      </c>
      <c r="C114" s="118">
        <v>112</v>
      </c>
      <c r="D114" t="s" s="79">
        <v>42</v>
      </c>
      <c r="E114" t="s" s="80">
        <v>1283</v>
      </c>
      <c r="F114" s="81">
        <v>69</v>
      </c>
      <c r="G114" t="s" s="80">
        <v>231</v>
      </c>
      <c r="H114" t="s" s="80">
        <v>821</v>
      </c>
      <c r="I114" t="s" s="137">
        <v>741</v>
      </c>
      <c r="J114" s="77"/>
    </row>
    <row r="115" ht="13.65" customHeight="1">
      <c r="A115" s="70"/>
      <c r="B115" t="s" s="27">
        <v>1211</v>
      </c>
      <c r="C115" s="119">
        <v>113</v>
      </c>
      <c r="D115" t="s" s="85">
        <v>42</v>
      </c>
      <c r="E115" t="s" s="86">
        <v>1284</v>
      </c>
      <c r="F115" s="87">
        <v>50</v>
      </c>
      <c r="G115" t="s" s="86">
        <v>231</v>
      </c>
      <c r="H115" t="s" s="86">
        <v>821</v>
      </c>
      <c r="I115" t="s" s="144">
        <v>741</v>
      </c>
      <c r="J115" s="77"/>
    </row>
    <row r="116" ht="13.65" customHeight="1">
      <c r="A116" s="70"/>
      <c r="B116" t="s" s="94">
        <v>1211</v>
      </c>
      <c r="C116" s="118">
        <v>114</v>
      </c>
      <c r="D116" t="s" s="79">
        <v>42</v>
      </c>
      <c r="E116" t="s" s="80">
        <v>1284</v>
      </c>
      <c r="F116" s="81">
        <v>20</v>
      </c>
      <c r="G116" t="s" s="80">
        <v>231</v>
      </c>
      <c r="H116" t="s" s="80">
        <v>821</v>
      </c>
      <c r="I116" t="s" s="137">
        <v>741</v>
      </c>
      <c r="J116" s="77"/>
    </row>
    <row r="117" ht="13.65" customHeight="1">
      <c r="A117" s="70"/>
      <c r="B117" t="s" s="27">
        <v>1211</v>
      </c>
      <c r="C117" s="119">
        <v>115</v>
      </c>
      <c r="D117" t="s" s="85">
        <v>42</v>
      </c>
      <c r="E117" t="s" s="86">
        <v>1284</v>
      </c>
      <c r="F117" s="87">
        <v>93</v>
      </c>
      <c r="G117" t="s" s="86">
        <v>231</v>
      </c>
      <c r="H117" t="s" s="86">
        <v>821</v>
      </c>
      <c r="I117" t="s" s="144">
        <v>741</v>
      </c>
      <c r="J117" s="77"/>
    </row>
    <row r="118" ht="13.65" customHeight="1">
      <c r="A118" s="70"/>
      <c r="B118" t="s" s="94">
        <v>1211</v>
      </c>
      <c r="C118" s="118">
        <v>116</v>
      </c>
      <c r="D118" t="s" s="79">
        <v>46</v>
      </c>
      <c r="E118" t="s" s="80">
        <v>475</v>
      </c>
      <c r="F118" s="81">
        <v>28</v>
      </c>
      <c r="G118" t="s" s="80">
        <v>231</v>
      </c>
      <c r="H118" t="s" s="80">
        <v>821</v>
      </c>
      <c r="I118" t="s" s="137">
        <v>741</v>
      </c>
      <c r="J118" s="77"/>
    </row>
    <row r="119" ht="13.65" customHeight="1">
      <c r="A119" s="70"/>
      <c r="B119" t="s" s="27">
        <v>1211</v>
      </c>
      <c r="C119" s="119">
        <v>117</v>
      </c>
      <c r="D119" t="s" s="85">
        <v>46</v>
      </c>
      <c r="E119" t="s" s="86">
        <v>1251</v>
      </c>
      <c r="F119" s="87">
        <v>58</v>
      </c>
      <c r="G119" t="s" s="86">
        <v>231</v>
      </c>
      <c r="H119" t="s" s="86">
        <v>821</v>
      </c>
      <c r="I119" t="s" s="144">
        <v>741</v>
      </c>
      <c r="J119" s="77"/>
    </row>
    <row r="120" ht="13.65" customHeight="1">
      <c r="A120" s="70"/>
      <c r="B120" t="s" s="94">
        <v>1211</v>
      </c>
      <c r="C120" s="118">
        <v>118</v>
      </c>
      <c r="D120" t="s" s="79">
        <v>46</v>
      </c>
      <c r="E120" t="s" s="80">
        <v>1285</v>
      </c>
      <c r="F120" s="81">
        <v>52</v>
      </c>
      <c r="G120" t="s" s="80">
        <v>231</v>
      </c>
      <c r="H120" t="s" s="80">
        <v>821</v>
      </c>
      <c r="I120" t="s" s="137">
        <v>741</v>
      </c>
      <c r="J120" s="77"/>
    </row>
    <row r="121" ht="13.65" customHeight="1">
      <c r="A121" s="70"/>
      <c r="B121" t="s" s="27">
        <v>1211</v>
      </c>
      <c r="C121" s="119">
        <v>119</v>
      </c>
      <c r="D121" t="s" s="85">
        <v>46</v>
      </c>
      <c r="E121" t="s" s="86">
        <v>289</v>
      </c>
      <c r="F121" s="87">
        <v>37</v>
      </c>
      <c r="G121" t="s" s="86">
        <v>1238</v>
      </c>
      <c r="H121" t="s" s="86">
        <v>821</v>
      </c>
      <c r="I121" t="s" s="144">
        <v>741</v>
      </c>
      <c r="J121" s="77"/>
    </row>
    <row r="122" ht="13.65" customHeight="1">
      <c r="A122" s="70"/>
      <c r="B122" t="s" s="94">
        <v>1211</v>
      </c>
      <c r="C122" s="118">
        <v>120</v>
      </c>
      <c r="D122" t="s" s="79">
        <v>769</v>
      </c>
      <c r="E122" t="s" s="80">
        <v>1285</v>
      </c>
      <c r="F122" s="81">
        <v>46</v>
      </c>
      <c r="G122" t="s" s="80">
        <v>231</v>
      </c>
      <c r="H122" t="s" s="80">
        <v>821</v>
      </c>
      <c r="I122" t="s" s="137">
        <v>741</v>
      </c>
      <c r="J122" s="77"/>
    </row>
    <row r="123" ht="13.65" customHeight="1">
      <c r="A123" s="70"/>
      <c r="B123" t="s" s="27">
        <v>1211</v>
      </c>
      <c r="C123" s="119">
        <v>121</v>
      </c>
      <c r="D123" t="s" s="85">
        <v>769</v>
      </c>
      <c r="E123" t="s" s="86">
        <v>292</v>
      </c>
      <c r="F123" s="87">
        <v>63</v>
      </c>
      <c r="G123" t="s" s="86">
        <v>231</v>
      </c>
      <c r="H123" t="s" s="86">
        <v>821</v>
      </c>
      <c r="I123" t="s" s="144">
        <v>741</v>
      </c>
      <c r="J123" s="77"/>
    </row>
    <row r="124" ht="13.65" customHeight="1">
      <c r="A124" s="70"/>
      <c r="B124" t="s" s="94">
        <v>1211</v>
      </c>
      <c r="C124" s="118">
        <v>122</v>
      </c>
      <c r="D124" t="s" s="79">
        <v>769</v>
      </c>
      <c r="E124" t="s" s="80">
        <v>1283</v>
      </c>
      <c r="F124" s="81">
        <v>44</v>
      </c>
      <c r="G124" t="s" s="80">
        <v>231</v>
      </c>
      <c r="H124" t="s" s="80">
        <v>821</v>
      </c>
      <c r="I124" t="s" s="137">
        <v>741</v>
      </c>
      <c r="J124" s="77"/>
    </row>
    <row r="125" ht="13.65" customHeight="1">
      <c r="A125" s="70"/>
      <c r="B125" t="s" s="27">
        <v>1211</v>
      </c>
      <c r="C125" s="119">
        <v>123</v>
      </c>
      <c r="D125" t="s" s="85">
        <v>769</v>
      </c>
      <c r="E125" t="s" s="86">
        <v>1251</v>
      </c>
      <c r="F125" s="87">
        <v>47</v>
      </c>
      <c r="G125" t="s" s="86">
        <v>231</v>
      </c>
      <c r="H125" t="s" s="86">
        <v>821</v>
      </c>
      <c r="I125" t="s" s="144">
        <v>741</v>
      </c>
      <c r="J125" s="77"/>
    </row>
    <row r="126" ht="13.65" customHeight="1">
      <c r="A126" s="70"/>
      <c r="B126" t="s" s="94">
        <v>1211</v>
      </c>
      <c r="C126" s="118">
        <v>124</v>
      </c>
      <c r="D126" t="s" s="79">
        <v>769</v>
      </c>
      <c r="E126" t="s" s="80">
        <v>1286</v>
      </c>
      <c r="F126" s="81">
        <v>17</v>
      </c>
      <c r="G126" t="s" s="80">
        <v>231</v>
      </c>
      <c r="H126" t="s" s="80">
        <v>821</v>
      </c>
      <c r="I126" t="s" s="137">
        <v>741</v>
      </c>
      <c r="J126" s="77"/>
    </row>
    <row r="127" ht="13.65" customHeight="1">
      <c r="A127" s="70"/>
      <c r="B127" t="s" s="27">
        <v>1211</v>
      </c>
      <c r="C127" s="119">
        <v>125</v>
      </c>
      <c r="D127" t="s" s="85">
        <v>769</v>
      </c>
      <c r="E127" t="s" s="86">
        <v>1287</v>
      </c>
      <c r="F127" s="87">
        <v>15</v>
      </c>
      <c r="G127" t="s" s="86">
        <v>1235</v>
      </c>
      <c r="H127" t="s" s="86">
        <v>821</v>
      </c>
      <c r="I127" t="s" s="144">
        <v>741</v>
      </c>
      <c r="J127" s="77"/>
    </row>
    <row r="128" ht="13.65" customHeight="1">
      <c r="A128" s="70"/>
      <c r="B128" t="s" s="94">
        <v>1211</v>
      </c>
      <c r="C128" s="118">
        <v>126</v>
      </c>
      <c r="D128" t="s" s="79">
        <v>749</v>
      </c>
      <c r="E128" t="s" s="80">
        <v>1288</v>
      </c>
      <c r="F128" s="81">
        <v>110</v>
      </c>
      <c r="G128" t="s" s="80">
        <v>115</v>
      </c>
      <c r="H128" t="s" s="80">
        <v>821</v>
      </c>
      <c r="I128" t="s" s="137">
        <v>741</v>
      </c>
      <c r="J128" s="77"/>
    </row>
    <row r="129" ht="13.65" customHeight="1">
      <c r="A129" s="70"/>
      <c r="B129" t="s" s="27">
        <v>1211</v>
      </c>
      <c r="C129" s="119">
        <v>127</v>
      </c>
      <c r="D129" t="s" s="85">
        <v>749</v>
      </c>
      <c r="E129" t="s" s="86">
        <v>1251</v>
      </c>
      <c r="F129" s="87">
        <v>25</v>
      </c>
      <c r="G129" t="s" s="86">
        <v>231</v>
      </c>
      <c r="H129" t="s" s="86">
        <v>821</v>
      </c>
      <c r="I129" t="s" s="144">
        <v>741</v>
      </c>
      <c r="J129" s="77"/>
    </row>
    <row r="130" ht="13.65" customHeight="1">
      <c r="A130" s="70"/>
      <c r="B130" t="s" s="94">
        <v>1211</v>
      </c>
      <c r="C130" s="118">
        <v>128</v>
      </c>
      <c r="D130" t="s" s="79">
        <v>749</v>
      </c>
      <c r="E130" t="s" s="80">
        <v>475</v>
      </c>
      <c r="F130" s="81">
        <v>14</v>
      </c>
      <c r="G130" t="s" s="80">
        <v>231</v>
      </c>
      <c r="H130" t="s" s="80">
        <v>821</v>
      </c>
      <c r="I130" t="s" s="137">
        <v>741</v>
      </c>
      <c r="J130" s="77"/>
    </row>
    <row r="131" ht="13.65" customHeight="1">
      <c r="A131" s="70"/>
      <c r="B131" t="s" s="27">
        <v>1211</v>
      </c>
      <c r="C131" s="119">
        <v>129</v>
      </c>
      <c r="D131" t="s" s="85">
        <v>749</v>
      </c>
      <c r="E131" t="s" s="86">
        <v>1289</v>
      </c>
      <c r="F131" s="87">
        <v>64</v>
      </c>
      <c r="G131" t="s" s="86">
        <v>1235</v>
      </c>
      <c r="H131" t="s" s="86">
        <v>821</v>
      </c>
      <c r="I131" t="s" s="144">
        <v>741</v>
      </c>
      <c r="J131" s="77"/>
    </row>
    <row r="132" ht="13.65" customHeight="1">
      <c r="A132" s="70"/>
      <c r="B132" t="s" s="94">
        <v>1211</v>
      </c>
      <c r="C132" s="118">
        <v>130</v>
      </c>
      <c r="D132" t="s" s="79">
        <v>749</v>
      </c>
      <c r="E132" t="s" s="80">
        <v>541</v>
      </c>
      <c r="F132" s="81">
        <v>75</v>
      </c>
      <c r="G132" t="s" s="80">
        <v>231</v>
      </c>
      <c r="H132" t="s" s="80">
        <v>821</v>
      </c>
      <c r="I132" t="s" s="137">
        <v>741</v>
      </c>
      <c r="J132" s="77"/>
    </row>
    <row r="133" ht="13.65" customHeight="1">
      <c r="A133" s="70"/>
      <c r="B133" t="s" s="27">
        <v>1211</v>
      </c>
      <c r="C133" s="119">
        <v>131</v>
      </c>
      <c r="D133" t="s" s="85">
        <v>749</v>
      </c>
      <c r="E133" t="s" s="86">
        <v>292</v>
      </c>
      <c r="F133" s="87">
        <v>131</v>
      </c>
      <c r="G133" t="s" s="86">
        <v>231</v>
      </c>
      <c r="H133" t="s" s="86">
        <v>821</v>
      </c>
      <c r="I133" t="s" s="144">
        <v>741</v>
      </c>
      <c r="J133" s="77"/>
    </row>
    <row r="134" ht="13.65" customHeight="1">
      <c r="A134" s="70"/>
      <c r="B134" t="s" s="94">
        <v>1211</v>
      </c>
      <c r="C134" s="118">
        <v>132</v>
      </c>
      <c r="D134" t="s" s="79">
        <v>749</v>
      </c>
      <c r="E134" t="s" s="80">
        <v>355</v>
      </c>
      <c r="F134" s="81">
        <v>39</v>
      </c>
      <c r="G134" t="s" s="80">
        <v>231</v>
      </c>
      <c r="H134" t="s" s="80">
        <v>821</v>
      </c>
      <c r="I134" t="s" s="137">
        <v>741</v>
      </c>
      <c r="J134" s="77"/>
    </row>
    <row r="135" ht="13.65" customHeight="1">
      <c r="A135" s="70"/>
      <c r="B135" t="s" s="27">
        <v>1211</v>
      </c>
      <c r="C135" s="119">
        <v>133</v>
      </c>
      <c r="D135" t="s" s="85">
        <v>789</v>
      </c>
      <c r="E135" t="s" s="86">
        <v>1251</v>
      </c>
      <c r="F135" s="87">
        <v>16</v>
      </c>
      <c r="G135" t="s" s="86">
        <v>231</v>
      </c>
      <c r="H135" t="s" s="86">
        <v>821</v>
      </c>
      <c r="I135" t="s" s="144">
        <v>741</v>
      </c>
      <c r="J135" s="77"/>
    </row>
    <row r="136" ht="13.65" customHeight="1">
      <c r="A136" s="70"/>
      <c r="B136" t="s" s="94">
        <v>1211</v>
      </c>
      <c r="C136" s="118">
        <v>134</v>
      </c>
      <c r="D136" t="s" s="79">
        <v>789</v>
      </c>
      <c r="E136" t="s" s="80">
        <v>1290</v>
      </c>
      <c r="F136" s="81">
        <v>151</v>
      </c>
      <c r="G136" t="s" s="80">
        <v>1263</v>
      </c>
      <c r="H136" t="s" s="80">
        <v>821</v>
      </c>
      <c r="I136" t="s" s="137">
        <v>741</v>
      </c>
      <c r="J136" s="77"/>
    </row>
    <row r="137" ht="13.65" customHeight="1">
      <c r="A137" s="70"/>
      <c r="B137" t="s" s="27">
        <v>1211</v>
      </c>
      <c r="C137" s="119">
        <v>135</v>
      </c>
      <c r="D137" t="s" s="85">
        <v>789</v>
      </c>
      <c r="E137" t="s" s="86">
        <v>1285</v>
      </c>
      <c r="F137" s="87">
        <v>81</v>
      </c>
      <c r="G137" t="s" s="86">
        <v>231</v>
      </c>
      <c r="H137" t="s" s="86">
        <v>821</v>
      </c>
      <c r="I137" t="s" s="144">
        <v>741</v>
      </c>
      <c r="J137" s="77"/>
    </row>
    <row r="138" ht="13.65" customHeight="1">
      <c r="A138" s="70"/>
      <c r="B138" t="s" s="94">
        <v>1211</v>
      </c>
      <c r="C138" s="118">
        <v>136</v>
      </c>
      <c r="D138" t="s" s="79">
        <v>789</v>
      </c>
      <c r="E138" t="s" s="80">
        <v>292</v>
      </c>
      <c r="F138" s="81">
        <v>57</v>
      </c>
      <c r="G138" t="s" s="80">
        <v>231</v>
      </c>
      <c r="H138" t="s" s="80">
        <v>821</v>
      </c>
      <c r="I138" t="s" s="137">
        <v>741</v>
      </c>
      <c r="J138" s="77"/>
    </row>
    <row r="139" ht="13.65" customHeight="1">
      <c r="A139" s="70"/>
      <c r="B139" t="s" s="27">
        <v>1211</v>
      </c>
      <c r="C139" s="119">
        <v>137</v>
      </c>
      <c r="D139" t="s" s="85">
        <v>788</v>
      </c>
      <c r="E139" t="s" s="86">
        <v>1291</v>
      </c>
      <c r="F139" s="87">
        <v>32</v>
      </c>
      <c r="G139" t="s" s="86">
        <v>1263</v>
      </c>
      <c r="H139" t="s" s="86">
        <v>821</v>
      </c>
      <c r="I139" t="s" s="144">
        <v>741</v>
      </c>
      <c r="J139" s="77"/>
    </row>
    <row r="140" ht="13.65" customHeight="1">
      <c r="A140" s="70"/>
      <c r="B140" t="s" s="94">
        <v>1211</v>
      </c>
      <c r="C140" s="118">
        <v>138</v>
      </c>
      <c r="D140" t="s" s="79">
        <v>788</v>
      </c>
      <c r="E140" t="s" s="80">
        <v>1292</v>
      </c>
      <c r="F140" s="81">
        <v>61</v>
      </c>
      <c r="G140" t="s" s="80">
        <v>231</v>
      </c>
      <c r="H140" t="s" s="80">
        <v>821</v>
      </c>
      <c r="I140" t="s" s="137">
        <v>741</v>
      </c>
      <c r="J140" s="77"/>
    </row>
    <row r="141" ht="13.65" customHeight="1">
      <c r="A141" s="70"/>
      <c r="B141" t="s" s="27">
        <v>1211</v>
      </c>
      <c r="C141" s="119">
        <v>139</v>
      </c>
      <c r="D141" t="s" s="85">
        <v>788</v>
      </c>
      <c r="E141" t="s" s="86">
        <v>1293</v>
      </c>
      <c r="F141" s="87">
        <v>83</v>
      </c>
      <c r="G141" t="s" s="86">
        <v>115</v>
      </c>
      <c r="H141" t="s" s="86">
        <v>821</v>
      </c>
      <c r="I141" t="s" s="144">
        <v>741</v>
      </c>
      <c r="J141" s="77"/>
    </row>
    <row r="142" ht="13.65" customHeight="1">
      <c r="A142" s="70"/>
      <c r="B142" t="s" s="94">
        <v>1211</v>
      </c>
      <c r="C142" s="118">
        <v>140</v>
      </c>
      <c r="D142" t="s" s="79">
        <v>788</v>
      </c>
      <c r="E142" t="s" s="80">
        <v>1265</v>
      </c>
      <c r="F142" s="81">
        <v>14</v>
      </c>
      <c r="G142" t="s" s="80">
        <v>231</v>
      </c>
      <c r="H142" t="s" s="80">
        <v>821</v>
      </c>
      <c r="I142" t="s" s="137">
        <v>741</v>
      </c>
      <c r="J142" s="77"/>
    </row>
    <row r="143" ht="13.65" customHeight="1">
      <c r="A143" s="70"/>
      <c r="B143" t="s" s="27">
        <v>1211</v>
      </c>
      <c r="C143" s="119">
        <v>141</v>
      </c>
      <c r="D143" t="s" s="85">
        <v>788</v>
      </c>
      <c r="E143" t="s" s="86">
        <v>272</v>
      </c>
      <c r="F143" s="87">
        <v>4</v>
      </c>
      <c r="G143" t="s" s="86">
        <v>231</v>
      </c>
      <c r="H143" t="s" s="86">
        <v>821</v>
      </c>
      <c r="I143" t="s" s="144">
        <v>741</v>
      </c>
      <c r="J143" s="77"/>
    </row>
    <row r="144" ht="13.65" customHeight="1">
      <c r="A144" s="70"/>
      <c r="B144" t="s" s="94">
        <v>1211</v>
      </c>
      <c r="C144" s="118">
        <v>142</v>
      </c>
      <c r="D144" t="s" s="79">
        <v>788</v>
      </c>
      <c r="E144" t="s" s="80">
        <v>1294</v>
      </c>
      <c r="F144" s="81">
        <v>83</v>
      </c>
      <c r="G144" t="s" s="80">
        <v>115</v>
      </c>
      <c r="H144" t="s" s="80">
        <v>821</v>
      </c>
      <c r="I144" t="s" s="137">
        <v>741</v>
      </c>
      <c r="J144" s="77"/>
    </row>
    <row r="145" ht="13.65" customHeight="1">
      <c r="A145" s="70"/>
      <c r="B145" t="s" s="27">
        <v>1211</v>
      </c>
      <c r="C145" s="119">
        <v>143</v>
      </c>
      <c r="D145" t="s" s="85">
        <v>788</v>
      </c>
      <c r="E145" t="s" s="86">
        <v>1262</v>
      </c>
      <c r="F145" s="87">
        <v>14</v>
      </c>
      <c r="G145" t="s" s="86">
        <v>1263</v>
      </c>
      <c r="H145" t="s" s="86">
        <v>821</v>
      </c>
      <c r="I145" t="s" s="144">
        <v>741</v>
      </c>
      <c r="J145" s="77"/>
    </row>
    <row r="146" ht="13.65" customHeight="1">
      <c r="A146" s="70"/>
      <c r="B146" t="s" s="94">
        <v>1211</v>
      </c>
      <c r="C146" s="118">
        <v>144</v>
      </c>
      <c r="D146" t="s" s="79">
        <v>788</v>
      </c>
      <c r="E146" t="s" s="80">
        <v>1251</v>
      </c>
      <c r="F146" s="81">
        <v>38</v>
      </c>
      <c r="G146" t="s" s="80">
        <v>231</v>
      </c>
      <c r="H146" t="s" s="80">
        <v>821</v>
      </c>
      <c r="I146" t="s" s="137">
        <v>741</v>
      </c>
      <c r="J146" s="77"/>
    </row>
    <row r="147" ht="13.65" customHeight="1">
      <c r="A147" s="70"/>
      <c r="B147" t="s" s="27">
        <v>1211</v>
      </c>
      <c r="C147" s="119">
        <v>145</v>
      </c>
      <c r="D147" t="s" s="85">
        <v>751</v>
      </c>
      <c r="E147" t="s" s="86">
        <v>1295</v>
      </c>
      <c r="F147" s="87">
        <v>9</v>
      </c>
      <c r="G147" t="s" s="86">
        <v>231</v>
      </c>
      <c r="H147" t="s" s="86">
        <v>821</v>
      </c>
      <c r="I147" t="s" s="144">
        <v>741</v>
      </c>
      <c r="J147" s="77"/>
    </row>
    <row r="148" ht="13.65" customHeight="1">
      <c r="A148" s="70"/>
      <c r="B148" t="s" s="94">
        <v>1211</v>
      </c>
      <c r="C148" s="118">
        <v>146</v>
      </c>
      <c r="D148" t="s" s="79">
        <v>751</v>
      </c>
      <c r="E148" t="s" s="80">
        <v>1296</v>
      </c>
      <c r="F148" s="81">
        <v>646</v>
      </c>
      <c r="G148" t="s" s="80">
        <v>231</v>
      </c>
      <c r="H148" t="s" s="80">
        <v>821</v>
      </c>
      <c r="I148" t="s" s="137">
        <v>741</v>
      </c>
      <c r="J148" s="77"/>
    </row>
    <row r="149" ht="13.65" customHeight="1">
      <c r="A149" s="70"/>
      <c r="B149" t="s" s="27">
        <v>1211</v>
      </c>
      <c r="C149" s="119">
        <v>147</v>
      </c>
      <c r="D149" t="s" s="85">
        <v>751</v>
      </c>
      <c r="E149" t="s" s="86">
        <v>1297</v>
      </c>
      <c r="F149" s="87">
        <v>16</v>
      </c>
      <c r="G149" t="s" s="86">
        <v>231</v>
      </c>
      <c r="H149" t="s" s="86">
        <v>821</v>
      </c>
      <c r="I149" t="s" s="144">
        <v>741</v>
      </c>
      <c r="J149" s="77"/>
    </row>
    <row r="150" ht="13.65" customHeight="1">
      <c r="A150" s="70"/>
      <c r="B150" t="s" s="94">
        <v>1211</v>
      </c>
      <c r="C150" s="118">
        <v>148</v>
      </c>
      <c r="D150" t="s" s="79">
        <v>751</v>
      </c>
      <c r="E150" t="s" s="80">
        <v>200</v>
      </c>
      <c r="F150" s="81">
        <v>42</v>
      </c>
      <c r="G150" t="s" s="80">
        <v>231</v>
      </c>
      <c r="H150" t="s" s="80">
        <v>821</v>
      </c>
      <c r="I150" t="s" s="137">
        <v>741</v>
      </c>
      <c r="J150" s="77"/>
    </row>
    <row r="151" ht="13.65" customHeight="1">
      <c r="A151" s="70"/>
      <c r="B151" t="s" s="27">
        <v>1211</v>
      </c>
      <c r="C151" s="119">
        <v>149</v>
      </c>
      <c r="D151" t="s" s="85">
        <v>751</v>
      </c>
      <c r="E151" t="s" s="86">
        <v>1297</v>
      </c>
      <c r="F151" s="87">
        <v>32</v>
      </c>
      <c r="G151" t="s" s="86">
        <v>231</v>
      </c>
      <c r="H151" t="s" s="86">
        <v>821</v>
      </c>
      <c r="I151" t="s" s="144">
        <v>741</v>
      </c>
      <c r="J151" s="77"/>
    </row>
    <row r="152" ht="13.65" customHeight="1">
      <c r="A152" s="70"/>
      <c r="B152" t="s" s="94">
        <v>1211</v>
      </c>
      <c r="C152" s="118">
        <v>150</v>
      </c>
      <c r="D152" t="s" s="79">
        <v>751</v>
      </c>
      <c r="E152" t="s" s="80">
        <v>289</v>
      </c>
      <c r="F152" s="81">
        <v>85</v>
      </c>
      <c r="G152" t="s" s="80">
        <v>1238</v>
      </c>
      <c r="H152" t="s" s="80">
        <v>821</v>
      </c>
      <c r="I152" t="s" s="137">
        <v>741</v>
      </c>
      <c r="J152" s="77"/>
    </row>
    <row r="153" ht="13.65" customHeight="1">
      <c r="A153" s="70"/>
      <c r="B153" t="s" s="27">
        <v>1211</v>
      </c>
      <c r="C153" s="119">
        <v>151</v>
      </c>
      <c r="D153" t="s" s="85">
        <v>751</v>
      </c>
      <c r="E153" t="s" s="86">
        <v>1251</v>
      </c>
      <c r="F153" s="87">
        <v>3</v>
      </c>
      <c r="G153" t="s" s="86">
        <v>231</v>
      </c>
      <c r="H153" t="s" s="86">
        <v>821</v>
      </c>
      <c r="I153" t="s" s="144">
        <v>741</v>
      </c>
      <c r="J153" s="77"/>
    </row>
    <row r="154" ht="13.65" customHeight="1">
      <c r="A154" s="70"/>
      <c r="B154" t="s" s="94">
        <v>1211</v>
      </c>
      <c r="C154" s="118">
        <v>152</v>
      </c>
      <c r="D154" t="s" s="79">
        <v>751</v>
      </c>
      <c r="E154" t="s" s="80">
        <v>1298</v>
      </c>
      <c r="F154" s="81">
        <v>65</v>
      </c>
      <c r="G154" t="s" s="80">
        <v>115</v>
      </c>
      <c r="H154" t="s" s="80">
        <v>821</v>
      </c>
      <c r="I154" t="s" s="137">
        <v>741</v>
      </c>
      <c r="J154" s="77"/>
    </row>
    <row r="155" ht="13.65" customHeight="1">
      <c r="A155" s="70"/>
      <c r="B155" t="s" s="27">
        <v>1211</v>
      </c>
      <c r="C155" s="119">
        <v>153</v>
      </c>
      <c r="D155" t="s" s="85">
        <v>751</v>
      </c>
      <c r="E155" t="s" s="86">
        <v>1299</v>
      </c>
      <c r="F155" s="87">
        <v>22</v>
      </c>
      <c r="G155" t="s" s="86">
        <v>1235</v>
      </c>
      <c r="H155" t="s" s="86">
        <v>821</v>
      </c>
      <c r="I155" t="s" s="144">
        <v>741</v>
      </c>
      <c r="J155" s="77"/>
    </row>
    <row r="156" ht="13.65" customHeight="1">
      <c r="A156" s="70"/>
      <c r="B156" t="s" s="94">
        <v>1211</v>
      </c>
      <c r="C156" s="118">
        <v>154</v>
      </c>
      <c r="D156" s="100"/>
      <c r="E156" t="s" s="80">
        <v>1299</v>
      </c>
      <c r="F156" s="81">
        <v>38</v>
      </c>
      <c r="G156" t="s" s="80">
        <v>1263</v>
      </c>
      <c r="H156" t="s" s="80">
        <v>821</v>
      </c>
      <c r="I156" t="s" s="137">
        <v>741</v>
      </c>
      <c r="J156" s="77"/>
    </row>
    <row r="157" ht="13.65" customHeight="1">
      <c r="A157" s="70"/>
      <c r="B157" t="s" s="27">
        <v>1211</v>
      </c>
      <c r="C157" s="119">
        <v>155</v>
      </c>
      <c r="D157" t="s" s="85">
        <v>751</v>
      </c>
      <c r="E157" t="s" s="86">
        <v>231</v>
      </c>
      <c r="F157" s="87">
        <v>7</v>
      </c>
      <c r="G157" t="s" s="86">
        <v>231</v>
      </c>
      <c r="H157" t="s" s="86">
        <v>821</v>
      </c>
      <c r="I157" t="s" s="144">
        <v>741</v>
      </c>
      <c r="J157" s="77"/>
    </row>
    <row r="158" ht="13.65" customHeight="1">
      <c r="A158" s="70"/>
      <c r="B158" t="s" s="94">
        <v>1211</v>
      </c>
      <c r="C158" s="118">
        <v>156</v>
      </c>
      <c r="D158" t="s" s="79">
        <v>751</v>
      </c>
      <c r="E158" t="s" s="80">
        <v>1292</v>
      </c>
      <c r="F158" s="81">
        <v>24</v>
      </c>
      <c r="G158" t="s" s="80">
        <v>231</v>
      </c>
      <c r="H158" t="s" s="80">
        <v>821</v>
      </c>
      <c r="I158" t="s" s="137">
        <v>741</v>
      </c>
      <c r="J158" s="77"/>
    </row>
    <row r="159" ht="13.65" customHeight="1">
      <c r="A159" s="70"/>
      <c r="B159" t="s" s="27">
        <v>1211</v>
      </c>
      <c r="C159" s="119">
        <v>157</v>
      </c>
      <c r="D159" t="s" s="85">
        <v>753</v>
      </c>
      <c r="E159" t="s" s="86">
        <v>1251</v>
      </c>
      <c r="F159" s="87">
        <v>15</v>
      </c>
      <c r="G159" t="s" s="86">
        <v>231</v>
      </c>
      <c r="H159" t="s" s="86">
        <v>821</v>
      </c>
      <c r="I159" t="s" s="144">
        <v>741</v>
      </c>
      <c r="J159" s="77"/>
    </row>
    <row r="160" ht="13.65" customHeight="1">
      <c r="A160" s="70"/>
      <c r="B160" t="s" s="94">
        <v>1211</v>
      </c>
      <c r="C160" s="118">
        <v>158</v>
      </c>
      <c r="D160" t="s" s="79">
        <v>753</v>
      </c>
      <c r="E160" t="s" s="80">
        <v>231</v>
      </c>
      <c r="F160" s="81">
        <v>8</v>
      </c>
      <c r="G160" t="s" s="80">
        <v>231</v>
      </c>
      <c r="H160" t="s" s="80">
        <v>821</v>
      </c>
      <c r="I160" t="s" s="137">
        <v>741</v>
      </c>
      <c r="J160" s="77"/>
    </row>
    <row r="161" ht="13.65" customHeight="1">
      <c r="A161" s="70"/>
      <c r="B161" t="s" s="27">
        <v>1211</v>
      </c>
      <c r="C161" s="119">
        <v>159</v>
      </c>
      <c r="D161" t="s" s="85">
        <v>753</v>
      </c>
      <c r="E161" t="s" s="86">
        <v>1251</v>
      </c>
      <c r="F161" s="87">
        <v>14</v>
      </c>
      <c r="G161" t="s" s="86">
        <v>231</v>
      </c>
      <c r="H161" t="s" s="86">
        <v>821</v>
      </c>
      <c r="I161" t="s" s="144">
        <v>741</v>
      </c>
      <c r="J161" s="77"/>
    </row>
    <row r="162" ht="13.65" customHeight="1">
      <c r="A162" s="70"/>
      <c r="B162" t="s" s="94">
        <v>1211</v>
      </c>
      <c r="C162" s="118">
        <v>160</v>
      </c>
      <c r="D162" t="s" s="79">
        <v>753</v>
      </c>
      <c r="E162" t="s" s="80">
        <v>1258</v>
      </c>
      <c r="F162" s="81">
        <v>56</v>
      </c>
      <c r="G162" t="s" s="80">
        <v>1238</v>
      </c>
      <c r="H162" t="s" s="80">
        <v>821</v>
      </c>
      <c r="I162" t="s" s="137">
        <v>741</v>
      </c>
      <c r="J162" s="77"/>
    </row>
    <row r="163" ht="13.65" customHeight="1">
      <c r="A163" s="70"/>
      <c r="B163" t="s" s="27">
        <v>1211</v>
      </c>
      <c r="C163" s="119">
        <v>161</v>
      </c>
      <c r="D163" t="s" s="85">
        <v>753</v>
      </c>
      <c r="E163" t="s" s="86">
        <v>231</v>
      </c>
      <c r="F163" s="87">
        <v>32</v>
      </c>
      <c r="G163" t="s" s="86">
        <v>231</v>
      </c>
      <c r="H163" t="s" s="86">
        <v>821</v>
      </c>
      <c r="I163" t="s" s="144">
        <v>741</v>
      </c>
      <c r="J163" s="77"/>
    </row>
    <row r="164" ht="13.65" customHeight="1">
      <c r="A164" s="70"/>
      <c r="B164" t="s" s="94">
        <v>1211</v>
      </c>
      <c r="C164" s="118">
        <v>162</v>
      </c>
      <c r="D164" t="s" s="79">
        <v>753</v>
      </c>
      <c r="E164" t="s" s="80">
        <v>1285</v>
      </c>
      <c r="F164" s="81">
        <v>56</v>
      </c>
      <c r="G164" t="s" s="80">
        <v>231</v>
      </c>
      <c r="H164" t="s" s="80">
        <v>821</v>
      </c>
      <c r="I164" t="s" s="137">
        <v>741</v>
      </c>
      <c r="J164" s="77"/>
    </row>
    <row r="165" ht="13.65" customHeight="1">
      <c r="A165" s="70"/>
      <c r="B165" t="s" s="27">
        <v>1211</v>
      </c>
      <c r="C165" s="119">
        <v>163</v>
      </c>
      <c r="D165" t="s" s="85">
        <v>753</v>
      </c>
      <c r="E165" t="s" s="86">
        <v>1285</v>
      </c>
      <c r="F165" s="87">
        <v>75</v>
      </c>
      <c r="G165" t="s" s="86">
        <v>231</v>
      </c>
      <c r="H165" t="s" s="86">
        <v>821</v>
      </c>
      <c r="I165" t="s" s="144">
        <v>741</v>
      </c>
      <c r="J165" s="77"/>
    </row>
    <row r="166" ht="13.65" customHeight="1">
      <c r="A166" s="70"/>
      <c r="B166" t="s" s="94">
        <v>1211</v>
      </c>
      <c r="C166" s="118">
        <v>164</v>
      </c>
      <c r="D166" t="s" s="79">
        <v>753</v>
      </c>
      <c r="E166" t="s" s="80">
        <v>1300</v>
      </c>
      <c r="F166" s="81">
        <v>18</v>
      </c>
      <c r="G166" t="s" s="80">
        <v>231</v>
      </c>
      <c r="H166" t="s" s="80">
        <v>821</v>
      </c>
      <c r="I166" t="s" s="137">
        <v>741</v>
      </c>
      <c r="J166" s="77"/>
    </row>
    <row r="167" ht="13.65" customHeight="1">
      <c r="A167" s="70"/>
      <c r="B167" t="s" s="27">
        <v>1211</v>
      </c>
      <c r="C167" s="119">
        <v>165</v>
      </c>
      <c r="D167" t="s" s="85">
        <v>753</v>
      </c>
      <c r="E167" t="s" s="86">
        <v>289</v>
      </c>
      <c r="F167" s="87">
        <v>41</v>
      </c>
      <c r="G167" t="s" s="86">
        <v>1238</v>
      </c>
      <c r="H167" t="s" s="86">
        <v>821</v>
      </c>
      <c r="I167" t="s" s="144">
        <v>741</v>
      </c>
      <c r="J167" s="77"/>
    </row>
    <row r="168" ht="13.65" customHeight="1">
      <c r="A168" s="70"/>
      <c r="B168" t="s" s="94">
        <v>1211</v>
      </c>
      <c r="C168" s="118">
        <v>166</v>
      </c>
      <c r="D168" t="s" s="79">
        <v>753</v>
      </c>
      <c r="E168" t="s" s="80">
        <v>1301</v>
      </c>
      <c r="F168" s="81">
        <v>5</v>
      </c>
      <c r="G168" t="s" s="80">
        <v>1263</v>
      </c>
      <c r="H168" t="s" s="80">
        <v>821</v>
      </c>
      <c r="I168" t="s" s="137">
        <v>741</v>
      </c>
      <c r="J168" s="77"/>
    </row>
    <row r="169" ht="13.65" customHeight="1">
      <c r="A169" s="70"/>
      <c r="B169" t="s" s="27">
        <v>1211</v>
      </c>
      <c r="C169" s="119">
        <v>167</v>
      </c>
      <c r="D169" t="s" s="85">
        <v>753</v>
      </c>
      <c r="E169" t="s" s="86">
        <v>1302</v>
      </c>
      <c r="F169" s="87">
        <v>16</v>
      </c>
      <c r="G169" t="s" s="86">
        <v>1263</v>
      </c>
      <c r="H169" t="s" s="86">
        <v>821</v>
      </c>
      <c r="I169" t="s" s="144">
        <v>741</v>
      </c>
      <c r="J169" s="77"/>
    </row>
    <row r="170" ht="13.65" customHeight="1">
      <c r="A170" s="70"/>
      <c r="B170" t="s" s="94">
        <v>1211</v>
      </c>
      <c r="C170" s="118">
        <v>168</v>
      </c>
      <c r="D170" t="s" s="79">
        <v>753</v>
      </c>
      <c r="E170" t="s" s="80">
        <v>1303</v>
      </c>
      <c r="F170" s="81">
        <v>344</v>
      </c>
      <c r="G170" t="s" s="80">
        <v>1255</v>
      </c>
      <c r="H170" t="s" s="80">
        <v>821</v>
      </c>
      <c r="I170" t="s" s="137">
        <v>741</v>
      </c>
      <c r="J170" s="77"/>
    </row>
    <row r="171" ht="13.65" customHeight="1">
      <c r="A171" s="70"/>
      <c r="B171" t="s" s="27">
        <v>1211</v>
      </c>
      <c r="C171" s="119">
        <v>169</v>
      </c>
      <c r="D171" t="s" s="85">
        <v>739</v>
      </c>
      <c r="E171" t="s" s="86">
        <v>292</v>
      </c>
      <c r="F171" s="87">
        <v>66</v>
      </c>
      <c r="G171" t="s" s="86">
        <v>231</v>
      </c>
      <c r="H171" t="s" s="86">
        <v>821</v>
      </c>
      <c r="I171" t="s" s="144">
        <v>741</v>
      </c>
      <c r="J171" s="77"/>
    </row>
    <row r="172" ht="13.65" customHeight="1">
      <c r="A172" s="70"/>
      <c r="B172" t="s" s="94">
        <v>1211</v>
      </c>
      <c r="C172" s="118">
        <v>170</v>
      </c>
      <c r="D172" t="s" s="79">
        <v>739</v>
      </c>
      <c r="E172" t="s" s="80">
        <v>1251</v>
      </c>
      <c r="F172" s="81">
        <v>21</v>
      </c>
      <c r="G172" t="s" s="80">
        <v>231</v>
      </c>
      <c r="H172" t="s" s="80">
        <v>821</v>
      </c>
      <c r="I172" t="s" s="137">
        <v>741</v>
      </c>
      <c r="J172" s="77"/>
    </row>
    <row r="173" ht="13.65" customHeight="1">
      <c r="A173" s="70"/>
      <c r="B173" t="s" s="27">
        <v>1211</v>
      </c>
      <c r="C173" s="119">
        <v>171</v>
      </c>
      <c r="D173" t="s" s="85">
        <v>739</v>
      </c>
      <c r="E173" t="s" s="86">
        <v>541</v>
      </c>
      <c r="F173" s="87">
        <v>102</v>
      </c>
      <c r="G173" t="s" s="86">
        <v>231</v>
      </c>
      <c r="H173" t="s" s="86">
        <v>821</v>
      </c>
      <c r="I173" t="s" s="144">
        <v>741</v>
      </c>
      <c r="J173" s="77"/>
    </row>
    <row r="174" ht="13.65" customHeight="1">
      <c r="A174" s="70"/>
      <c r="B174" t="s" s="94">
        <v>1211</v>
      </c>
      <c r="C174" s="118">
        <v>172</v>
      </c>
      <c r="D174" t="s" s="79">
        <v>739</v>
      </c>
      <c r="E174" t="s" s="80">
        <v>355</v>
      </c>
      <c r="F174" s="81">
        <v>21</v>
      </c>
      <c r="G174" t="s" s="80">
        <v>231</v>
      </c>
      <c r="H174" t="s" s="80">
        <v>821</v>
      </c>
      <c r="I174" t="s" s="137">
        <v>741</v>
      </c>
      <c r="J174" s="77"/>
    </row>
    <row r="175" ht="13.65" customHeight="1">
      <c r="A175" s="70"/>
      <c r="B175" t="s" s="27">
        <v>1211</v>
      </c>
      <c r="C175" s="119">
        <v>173</v>
      </c>
      <c r="D175" t="s" s="85">
        <v>739</v>
      </c>
      <c r="E175" t="s" s="86">
        <v>1304</v>
      </c>
      <c r="F175" s="87">
        <v>14</v>
      </c>
      <c r="G175" t="s" s="86">
        <v>1235</v>
      </c>
      <c r="H175" t="s" s="86">
        <v>821</v>
      </c>
      <c r="I175" t="s" s="144">
        <v>741</v>
      </c>
      <c r="J175" s="77"/>
    </row>
    <row r="176" ht="13.65" customHeight="1">
      <c r="A176" s="70"/>
      <c r="B176" t="s" s="94">
        <v>1211</v>
      </c>
      <c r="C176" s="118">
        <v>174</v>
      </c>
      <c r="D176" t="s" s="79">
        <v>739</v>
      </c>
      <c r="E176" t="s" s="80">
        <v>1251</v>
      </c>
      <c r="F176" s="81">
        <v>83</v>
      </c>
      <c r="G176" t="s" s="80">
        <v>231</v>
      </c>
      <c r="H176" t="s" s="80">
        <v>821</v>
      </c>
      <c r="I176" t="s" s="137">
        <v>741</v>
      </c>
      <c r="J176" s="77"/>
    </row>
    <row r="177" ht="13.65" customHeight="1">
      <c r="A177" s="70"/>
      <c r="B177" t="s" s="27">
        <v>1211</v>
      </c>
      <c r="C177" s="119">
        <v>175</v>
      </c>
      <c r="D177" t="s" s="85">
        <v>739</v>
      </c>
      <c r="E177" t="s" s="86">
        <v>272</v>
      </c>
      <c r="F177" s="87">
        <v>3</v>
      </c>
      <c r="G177" t="s" s="86">
        <v>231</v>
      </c>
      <c r="H177" t="s" s="86">
        <v>821</v>
      </c>
      <c r="I177" t="s" s="144">
        <v>741</v>
      </c>
      <c r="J177" s="77"/>
    </row>
    <row r="178" ht="13.65" customHeight="1">
      <c r="A178" s="70"/>
      <c r="B178" t="s" s="94">
        <v>1211</v>
      </c>
      <c r="C178" s="118">
        <v>176</v>
      </c>
      <c r="D178" t="s" s="79">
        <v>739</v>
      </c>
      <c r="E178" t="s" s="80">
        <v>583</v>
      </c>
      <c r="F178" s="81">
        <v>14</v>
      </c>
      <c r="G178" t="s" s="80">
        <v>115</v>
      </c>
      <c r="H178" t="s" s="80">
        <v>821</v>
      </c>
      <c r="I178" t="s" s="137">
        <v>741</v>
      </c>
      <c r="J178" s="77"/>
    </row>
    <row r="179" ht="13.65" customHeight="1">
      <c r="A179" s="70"/>
      <c r="B179" t="s" s="27">
        <v>1211</v>
      </c>
      <c r="C179" s="119">
        <v>177</v>
      </c>
      <c r="D179" t="s" s="85">
        <v>739</v>
      </c>
      <c r="E179" t="s" s="86">
        <v>1305</v>
      </c>
      <c r="F179" s="87">
        <v>48</v>
      </c>
      <c r="G179" t="s" s="86">
        <v>115</v>
      </c>
      <c r="H179" t="s" s="86">
        <v>821</v>
      </c>
      <c r="I179" t="s" s="144">
        <v>741</v>
      </c>
      <c r="J179" s="77"/>
    </row>
    <row r="180" ht="13.65" customHeight="1">
      <c r="A180" s="70"/>
      <c r="B180" t="s" s="94">
        <v>1211</v>
      </c>
      <c r="C180" s="118">
        <v>178</v>
      </c>
      <c r="D180" t="s" s="79">
        <v>739</v>
      </c>
      <c r="E180" t="s" s="80">
        <v>1306</v>
      </c>
      <c r="F180" s="81">
        <v>345</v>
      </c>
      <c r="G180" t="s" s="80">
        <v>115</v>
      </c>
      <c r="H180" t="s" s="80">
        <v>821</v>
      </c>
      <c r="I180" t="s" s="137">
        <v>741</v>
      </c>
      <c r="J180" s="77"/>
    </row>
    <row r="181" ht="13.65" customHeight="1">
      <c r="A181" s="70"/>
      <c r="B181" t="s" s="27">
        <v>1211</v>
      </c>
      <c r="C181" s="119">
        <v>179</v>
      </c>
      <c r="D181" t="s" s="85">
        <v>771</v>
      </c>
      <c r="E181" t="s" s="86">
        <v>231</v>
      </c>
      <c r="F181" s="87">
        <v>70</v>
      </c>
      <c r="G181" t="s" s="86">
        <v>231</v>
      </c>
      <c r="H181" t="s" s="86">
        <v>821</v>
      </c>
      <c r="I181" t="s" s="144">
        <v>741</v>
      </c>
      <c r="J181" s="77"/>
    </row>
    <row r="182" ht="13.65" customHeight="1">
      <c r="A182" s="70"/>
      <c r="B182" t="s" s="94">
        <v>1211</v>
      </c>
      <c r="C182" s="118">
        <v>180</v>
      </c>
      <c r="D182" t="s" s="79">
        <v>771</v>
      </c>
      <c r="E182" t="s" s="80">
        <v>1307</v>
      </c>
      <c r="F182" s="81">
        <v>28</v>
      </c>
      <c r="G182" t="s" s="80">
        <v>1263</v>
      </c>
      <c r="H182" t="s" s="80">
        <v>821</v>
      </c>
      <c r="I182" t="s" s="137">
        <v>741</v>
      </c>
      <c r="J182" s="77"/>
    </row>
    <row r="183" ht="13.65" customHeight="1">
      <c r="A183" s="70"/>
      <c r="B183" t="s" s="27">
        <v>1211</v>
      </c>
      <c r="C183" s="119">
        <v>181</v>
      </c>
      <c r="D183" t="s" s="85">
        <v>771</v>
      </c>
      <c r="E183" t="s" s="86">
        <v>1251</v>
      </c>
      <c r="F183" s="87">
        <v>11</v>
      </c>
      <c r="G183" t="s" s="86">
        <v>231</v>
      </c>
      <c r="H183" t="s" s="86">
        <v>821</v>
      </c>
      <c r="I183" t="s" s="144">
        <v>741</v>
      </c>
      <c r="J183" s="77"/>
    </row>
    <row r="184" ht="13.65" customHeight="1">
      <c r="A184" s="70"/>
      <c r="B184" t="s" s="94">
        <v>1211</v>
      </c>
      <c r="C184" s="118">
        <v>182</v>
      </c>
      <c r="D184" t="s" s="79">
        <v>772</v>
      </c>
      <c r="E184" t="s" s="80">
        <v>1308</v>
      </c>
      <c r="F184" s="81">
        <v>90</v>
      </c>
      <c r="G184" t="s" s="80">
        <v>231</v>
      </c>
      <c r="H184" t="s" s="80">
        <v>821</v>
      </c>
      <c r="I184" t="s" s="137">
        <v>741</v>
      </c>
      <c r="J184" s="77"/>
    </row>
    <row r="185" ht="13.65" customHeight="1">
      <c r="A185" s="70"/>
      <c r="B185" t="s" s="27">
        <v>1211</v>
      </c>
      <c r="C185" s="119">
        <v>183</v>
      </c>
      <c r="D185" t="s" s="85">
        <v>772</v>
      </c>
      <c r="E185" t="s" s="86">
        <v>269</v>
      </c>
      <c r="F185" s="87">
        <v>68</v>
      </c>
      <c r="G185" t="s" s="86">
        <v>231</v>
      </c>
      <c r="H185" t="s" s="86">
        <v>821</v>
      </c>
      <c r="I185" t="s" s="144">
        <v>741</v>
      </c>
      <c r="J185" s="77"/>
    </row>
    <row r="186" ht="13.65" customHeight="1">
      <c r="A186" s="70"/>
      <c r="B186" t="s" s="94">
        <v>1211</v>
      </c>
      <c r="C186" s="118">
        <v>184</v>
      </c>
      <c r="D186" t="s" s="79">
        <v>772</v>
      </c>
      <c r="E186" t="s" s="80">
        <v>475</v>
      </c>
      <c r="F186" s="81">
        <v>13</v>
      </c>
      <c r="G186" t="s" s="80">
        <v>231</v>
      </c>
      <c r="H186" t="s" s="80">
        <v>821</v>
      </c>
      <c r="I186" t="s" s="137">
        <v>741</v>
      </c>
      <c r="J186" s="77"/>
    </row>
    <row r="187" ht="13.65" customHeight="1">
      <c r="A187" s="70"/>
      <c r="B187" t="s" s="27">
        <v>1211</v>
      </c>
      <c r="C187" s="119">
        <v>185</v>
      </c>
      <c r="D187" t="s" s="85">
        <v>772</v>
      </c>
      <c r="E187" t="s" s="86">
        <v>1290</v>
      </c>
      <c r="F187" s="87">
        <v>14</v>
      </c>
      <c r="G187" t="s" s="86">
        <v>1263</v>
      </c>
      <c r="H187" t="s" s="86">
        <v>821</v>
      </c>
      <c r="I187" t="s" s="144">
        <v>741</v>
      </c>
      <c r="J187" s="77"/>
    </row>
    <row r="188" ht="13.65" customHeight="1">
      <c r="A188" s="70"/>
      <c r="B188" t="s" s="94">
        <v>1211</v>
      </c>
      <c r="C188" s="118">
        <v>186</v>
      </c>
      <c r="D188" t="s" s="79">
        <v>772</v>
      </c>
      <c r="E188" t="s" s="80">
        <v>1309</v>
      </c>
      <c r="F188" s="81">
        <v>4</v>
      </c>
      <c r="G188" t="s" s="80">
        <v>1218</v>
      </c>
      <c r="H188" t="s" s="80">
        <v>821</v>
      </c>
      <c r="I188" t="s" s="137">
        <v>741</v>
      </c>
      <c r="J188" s="77"/>
    </row>
    <row r="189" ht="13.65" customHeight="1">
      <c r="A189" s="70"/>
      <c r="B189" t="s" s="27">
        <v>1211</v>
      </c>
      <c r="C189" s="119">
        <v>187</v>
      </c>
      <c r="D189" t="s" s="85">
        <v>772</v>
      </c>
      <c r="E189" t="s" s="86">
        <v>472</v>
      </c>
      <c r="F189" s="87">
        <v>22</v>
      </c>
      <c r="G189" t="s" s="86">
        <v>115</v>
      </c>
      <c r="H189" t="s" s="86">
        <v>821</v>
      </c>
      <c r="I189" t="s" s="144">
        <v>741</v>
      </c>
      <c r="J189" s="77"/>
    </row>
    <row r="190" ht="13.65" customHeight="1">
      <c r="A190" s="70"/>
      <c r="B190" t="s" s="94">
        <v>1211</v>
      </c>
      <c r="C190" s="118">
        <v>188</v>
      </c>
      <c r="D190" t="s" s="79">
        <v>773</v>
      </c>
      <c r="E190" t="s" s="80">
        <v>1310</v>
      </c>
      <c r="F190" s="81">
        <v>31</v>
      </c>
      <c r="G190" t="s" s="80">
        <v>1235</v>
      </c>
      <c r="H190" t="s" s="80">
        <v>821</v>
      </c>
      <c r="I190" t="s" s="137">
        <v>741</v>
      </c>
      <c r="J190" s="77"/>
    </row>
    <row r="191" ht="13.65" customHeight="1">
      <c r="A191" s="70"/>
      <c r="B191" t="s" s="27">
        <v>1211</v>
      </c>
      <c r="C191" s="119">
        <v>189</v>
      </c>
      <c r="D191" t="s" s="85">
        <v>773</v>
      </c>
      <c r="E191" t="s" s="86">
        <v>472</v>
      </c>
      <c r="F191" s="87">
        <v>7</v>
      </c>
      <c r="G191" t="s" s="86">
        <v>115</v>
      </c>
      <c r="H191" t="s" s="86">
        <v>821</v>
      </c>
      <c r="I191" t="s" s="144">
        <v>741</v>
      </c>
      <c r="J191" s="77"/>
    </row>
    <row r="192" ht="13.65" customHeight="1">
      <c r="A192" s="70"/>
      <c r="B192" t="s" s="94">
        <v>1211</v>
      </c>
      <c r="C192" s="118">
        <v>190</v>
      </c>
      <c r="D192" t="s" s="79">
        <v>773</v>
      </c>
      <c r="E192" t="s" s="80">
        <v>1311</v>
      </c>
      <c r="F192" s="81">
        <v>143</v>
      </c>
      <c r="G192" t="s" s="80">
        <v>231</v>
      </c>
      <c r="H192" t="s" s="80">
        <v>821</v>
      </c>
      <c r="I192" t="s" s="137">
        <v>741</v>
      </c>
      <c r="J192" s="77"/>
    </row>
    <row r="193" ht="13.65" customHeight="1">
      <c r="A193" s="70"/>
      <c r="B193" t="s" s="27">
        <v>1211</v>
      </c>
      <c r="C193" s="119">
        <v>191</v>
      </c>
      <c r="D193" t="s" s="85">
        <v>773</v>
      </c>
      <c r="E193" t="s" s="86">
        <v>475</v>
      </c>
      <c r="F193" s="87">
        <v>12</v>
      </c>
      <c r="G193" t="s" s="86">
        <v>231</v>
      </c>
      <c r="H193" t="s" s="86">
        <v>821</v>
      </c>
      <c r="I193" t="s" s="144">
        <v>741</v>
      </c>
      <c r="J193" s="77"/>
    </row>
    <row r="194" ht="13.65" customHeight="1">
      <c r="A194" s="70"/>
      <c r="B194" t="s" s="94">
        <v>1211</v>
      </c>
      <c r="C194" s="118">
        <v>192</v>
      </c>
      <c r="D194" t="s" s="79">
        <v>773</v>
      </c>
      <c r="E194" t="s" s="80">
        <v>1312</v>
      </c>
      <c r="F194" s="81">
        <v>31</v>
      </c>
      <c r="G194" t="s" s="80">
        <v>1218</v>
      </c>
      <c r="H194" t="s" s="80">
        <v>821</v>
      </c>
      <c r="I194" t="s" s="137">
        <v>741</v>
      </c>
      <c r="J194" s="77"/>
    </row>
    <row r="195" ht="13.65" customHeight="1">
      <c r="A195" s="70"/>
      <c r="B195" t="s" s="27">
        <v>1211</v>
      </c>
      <c r="C195" s="119">
        <v>193</v>
      </c>
      <c r="D195" t="s" s="85">
        <v>773</v>
      </c>
      <c r="E195" t="s" s="86">
        <v>1313</v>
      </c>
      <c r="F195" s="87">
        <v>95</v>
      </c>
      <c r="G195" t="s" s="86">
        <v>1263</v>
      </c>
      <c r="H195" t="s" s="86">
        <v>821</v>
      </c>
      <c r="I195" t="s" s="144">
        <v>741</v>
      </c>
      <c r="J195" s="77"/>
    </row>
    <row r="196" ht="13.65" customHeight="1">
      <c r="A196" s="70"/>
      <c r="B196" t="s" s="94">
        <v>1211</v>
      </c>
      <c r="C196" s="118">
        <v>194</v>
      </c>
      <c r="D196" t="s" s="79">
        <v>773</v>
      </c>
      <c r="E196" t="s" s="80">
        <v>472</v>
      </c>
      <c r="F196" s="81">
        <v>44</v>
      </c>
      <c r="G196" t="s" s="80">
        <v>115</v>
      </c>
      <c r="H196" t="s" s="80">
        <v>821</v>
      </c>
      <c r="I196" t="s" s="137">
        <v>741</v>
      </c>
      <c r="J196" s="77"/>
    </row>
    <row r="197" ht="13.65" customHeight="1">
      <c r="A197" s="70"/>
      <c r="B197" t="s" s="27">
        <v>1211</v>
      </c>
      <c r="C197" s="119">
        <v>195</v>
      </c>
      <c r="D197" t="s" s="85">
        <v>773</v>
      </c>
      <c r="E197" t="s" s="86">
        <v>1251</v>
      </c>
      <c r="F197" s="87">
        <v>36</v>
      </c>
      <c r="G197" t="s" s="86">
        <v>231</v>
      </c>
      <c r="H197" t="s" s="86">
        <v>821</v>
      </c>
      <c r="I197" t="s" s="144">
        <v>741</v>
      </c>
      <c r="J197" s="77"/>
    </row>
    <row r="198" ht="13.65" customHeight="1">
      <c r="A198" s="70"/>
      <c r="B198" t="s" s="94">
        <v>1211</v>
      </c>
      <c r="C198" s="118">
        <v>196</v>
      </c>
      <c r="D198" t="s" s="79">
        <v>754</v>
      </c>
      <c r="E198" t="s" s="80">
        <v>1285</v>
      </c>
      <c r="F198" s="81">
        <v>75</v>
      </c>
      <c r="G198" t="s" s="80">
        <v>231</v>
      </c>
      <c r="H198" t="s" s="80">
        <v>821</v>
      </c>
      <c r="I198" t="s" s="137">
        <v>741</v>
      </c>
      <c r="J198" s="77"/>
    </row>
    <row r="199" ht="13.65" customHeight="1">
      <c r="A199" s="70"/>
      <c r="B199" t="s" s="27">
        <v>1211</v>
      </c>
      <c r="C199" s="119">
        <v>197</v>
      </c>
      <c r="D199" t="s" s="85">
        <v>754</v>
      </c>
      <c r="E199" t="s" s="86">
        <v>1290</v>
      </c>
      <c r="F199" s="87">
        <v>39</v>
      </c>
      <c r="G199" t="s" s="86">
        <v>1263</v>
      </c>
      <c r="H199" t="s" s="86">
        <v>821</v>
      </c>
      <c r="I199" t="s" s="144">
        <v>741</v>
      </c>
      <c r="J199" s="77"/>
    </row>
    <row r="200" ht="13.65" customHeight="1">
      <c r="A200" s="70"/>
      <c r="B200" t="s" s="94">
        <v>1211</v>
      </c>
      <c r="C200" s="118">
        <v>198</v>
      </c>
      <c r="D200" t="s" s="79">
        <v>754</v>
      </c>
      <c r="E200" t="s" s="80">
        <v>1314</v>
      </c>
      <c r="F200" s="81">
        <v>124</v>
      </c>
      <c r="G200" t="s" s="80">
        <v>115</v>
      </c>
      <c r="H200" t="s" s="80">
        <v>821</v>
      </c>
      <c r="I200" t="s" s="137">
        <v>741</v>
      </c>
      <c r="J200" s="77"/>
    </row>
    <row r="201" ht="13.65" customHeight="1">
      <c r="A201" s="70"/>
      <c r="B201" t="s" s="27">
        <v>1211</v>
      </c>
      <c r="C201" s="119">
        <v>199</v>
      </c>
      <c r="D201" t="s" s="85">
        <v>790</v>
      </c>
      <c r="E201" t="s" s="86">
        <v>292</v>
      </c>
      <c r="F201" s="87">
        <v>62</v>
      </c>
      <c r="G201" t="s" s="86">
        <v>231</v>
      </c>
      <c r="H201" t="s" s="86">
        <v>821</v>
      </c>
      <c r="I201" t="s" s="144">
        <v>741</v>
      </c>
      <c r="J201" s="77"/>
    </row>
    <row r="202" ht="13.65" customHeight="1">
      <c r="A202" s="70"/>
      <c r="B202" t="s" s="94">
        <v>1211</v>
      </c>
      <c r="C202" s="118">
        <v>200</v>
      </c>
      <c r="D202" t="s" s="79">
        <v>790</v>
      </c>
      <c r="E202" t="s" s="80">
        <v>213</v>
      </c>
      <c r="F202" s="81">
        <v>85</v>
      </c>
      <c r="G202" t="s" s="80">
        <v>115</v>
      </c>
      <c r="H202" t="s" s="80">
        <v>821</v>
      </c>
      <c r="I202" t="s" s="137">
        <v>741</v>
      </c>
      <c r="J202" s="77"/>
    </row>
    <row r="203" ht="13.65" customHeight="1">
      <c r="A203" s="70"/>
      <c r="B203" t="s" s="27">
        <v>1211</v>
      </c>
      <c r="C203" s="119">
        <v>201</v>
      </c>
      <c r="D203" t="s" s="85">
        <v>790</v>
      </c>
      <c r="E203" t="s" s="86">
        <v>1315</v>
      </c>
      <c r="F203" s="87">
        <v>13</v>
      </c>
      <c r="G203" t="s" s="86">
        <v>115</v>
      </c>
      <c r="H203" t="s" s="86">
        <v>821</v>
      </c>
      <c r="I203" t="s" s="144">
        <v>741</v>
      </c>
      <c r="J203" s="77"/>
    </row>
    <row r="204" ht="13.65" customHeight="1">
      <c r="A204" s="70"/>
      <c r="B204" t="s" s="94">
        <v>1211</v>
      </c>
      <c r="C204" s="118">
        <v>202</v>
      </c>
      <c r="D204" t="s" s="79">
        <v>790</v>
      </c>
      <c r="E204" t="s" s="80">
        <v>1251</v>
      </c>
      <c r="F204" s="81">
        <v>68</v>
      </c>
      <c r="G204" t="s" s="80">
        <v>231</v>
      </c>
      <c r="H204" t="s" s="80">
        <v>821</v>
      </c>
      <c r="I204" t="s" s="137">
        <v>741</v>
      </c>
      <c r="J204" s="77"/>
    </row>
    <row r="205" ht="13.65" customHeight="1">
      <c r="A205" s="70"/>
      <c r="B205" t="s" s="27">
        <v>1211</v>
      </c>
      <c r="C205" s="119">
        <v>203</v>
      </c>
      <c r="D205" t="s" s="85">
        <v>790</v>
      </c>
      <c r="E205" t="s" s="86">
        <v>1316</v>
      </c>
      <c r="F205" s="87">
        <v>154</v>
      </c>
      <c r="G205" t="s" s="86">
        <v>231</v>
      </c>
      <c r="H205" t="s" s="86">
        <v>821</v>
      </c>
      <c r="I205" t="s" s="144">
        <v>741</v>
      </c>
      <c r="J205" s="77"/>
    </row>
    <row r="206" ht="13.65" customHeight="1">
      <c r="A206" s="70"/>
      <c r="B206" t="s" s="94">
        <v>1211</v>
      </c>
      <c r="C206" s="118">
        <v>204</v>
      </c>
      <c r="D206" t="s" s="79">
        <v>790</v>
      </c>
      <c r="E206" t="s" s="80">
        <v>1317</v>
      </c>
      <c r="F206" s="81">
        <v>289</v>
      </c>
      <c r="G206" t="s" s="80">
        <v>115</v>
      </c>
      <c r="H206" t="s" s="80">
        <v>821</v>
      </c>
      <c r="I206" t="s" s="137">
        <v>741</v>
      </c>
      <c r="J206" s="77"/>
    </row>
    <row r="207" ht="13.65" customHeight="1">
      <c r="A207" s="70"/>
      <c r="B207" t="s" s="27">
        <v>1211</v>
      </c>
      <c r="C207" s="119">
        <v>205</v>
      </c>
      <c r="D207" t="s" s="85">
        <v>761</v>
      </c>
      <c r="E207" t="s" s="86">
        <v>541</v>
      </c>
      <c r="F207" s="87">
        <v>92</v>
      </c>
      <c r="G207" t="s" s="86">
        <v>231</v>
      </c>
      <c r="H207" t="s" s="86">
        <v>821</v>
      </c>
      <c r="I207" t="s" s="144">
        <v>741</v>
      </c>
      <c r="J207" s="77"/>
    </row>
    <row r="208" ht="13.65" customHeight="1">
      <c r="A208" s="70"/>
      <c r="B208" t="s" s="94">
        <v>1211</v>
      </c>
      <c r="C208" s="118">
        <v>206</v>
      </c>
      <c r="D208" t="s" s="79">
        <v>761</v>
      </c>
      <c r="E208" t="s" s="80">
        <v>1318</v>
      </c>
      <c r="F208" s="81">
        <v>19</v>
      </c>
      <c r="G208" t="s" s="80">
        <v>1263</v>
      </c>
      <c r="H208" t="s" s="80">
        <v>821</v>
      </c>
      <c r="I208" t="s" s="137">
        <v>741</v>
      </c>
      <c r="J208" s="77"/>
    </row>
    <row r="209" ht="13.65" customHeight="1">
      <c r="A209" s="70"/>
      <c r="B209" t="s" s="27">
        <v>1211</v>
      </c>
      <c r="C209" s="119">
        <v>207</v>
      </c>
      <c r="D209" t="s" s="85">
        <v>761</v>
      </c>
      <c r="E209" t="s" s="86">
        <v>1319</v>
      </c>
      <c r="F209" s="87">
        <v>10</v>
      </c>
      <c r="G209" t="s" s="86">
        <v>231</v>
      </c>
      <c r="H209" t="s" s="86">
        <v>821</v>
      </c>
      <c r="I209" t="s" s="144">
        <v>741</v>
      </c>
      <c r="J209" s="77"/>
    </row>
    <row r="210" ht="13.65" customHeight="1">
      <c r="A210" s="70"/>
      <c r="B210" t="s" s="94">
        <v>1211</v>
      </c>
      <c r="C210" s="118">
        <v>208</v>
      </c>
      <c r="D210" t="s" s="79">
        <v>761</v>
      </c>
      <c r="E210" t="s" s="80">
        <v>1251</v>
      </c>
      <c r="F210" s="81">
        <v>34</v>
      </c>
      <c r="G210" t="s" s="80">
        <v>231</v>
      </c>
      <c r="H210" t="s" s="80">
        <v>821</v>
      </c>
      <c r="I210" t="s" s="137">
        <v>741</v>
      </c>
      <c r="J210" s="77"/>
    </row>
    <row r="211" ht="13.65" customHeight="1">
      <c r="A211" s="70"/>
      <c r="B211" t="s" s="27">
        <v>1211</v>
      </c>
      <c r="C211" s="119">
        <v>209</v>
      </c>
      <c r="D211" t="s" s="85">
        <v>761</v>
      </c>
      <c r="E211" t="s" s="86">
        <v>1320</v>
      </c>
      <c r="F211" s="87">
        <v>22</v>
      </c>
      <c r="G211" t="s" s="86">
        <v>231</v>
      </c>
      <c r="H211" t="s" s="86">
        <v>821</v>
      </c>
      <c r="I211" t="s" s="144">
        <v>741</v>
      </c>
      <c r="J211" s="77"/>
    </row>
    <row r="212" ht="13.65" customHeight="1">
      <c r="A212" s="70"/>
      <c r="B212" t="s" s="94">
        <v>1211</v>
      </c>
      <c r="C212" s="118">
        <v>210</v>
      </c>
      <c r="D212" t="s" s="79">
        <v>744</v>
      </c>
      <c r="E212" t="s" s="80">
        <v>1251</v>
      </c>
      <c r="F212" s="81">
        <v>17</v>
      </c>
      <c r="G212" t="s" s="80">
        <v>231</v>
      </c>
      <c r="H212" t="s" s="80">
        <v>821</v>
      </c>
      <c r="I212" t="s" s="137">
        <v>741</v>
      </c>
      <c r="J212" s="77"/>
    </row>
    <row r="213" ht="13.65" customHeight="1">
      <c r="A213" s="70"/>
      <c r="B213" t="s" s="27">
        <v>1211</v>
      </c>
      <c r="C213" s="119">
        <v>211</v>
      </c>
      <c r="D213" t="s" s="85">
        <v>744</v>
      </c>
      <c r="E213" t="s" s="86">
        <v>1319</v>
      </c>
      <c r="F213" s="87">
        <v>4</v>
      </c>
      <c r="G213" t="s" s="86">
        <v>231</v>
      </c>
      <c r="H213" t="s" s="86">
        <v>821</v>
      </c>
      <c r="I213" t="s" s="144">
        <v>741</v>
      </c>
      <c r="J213" s="77"/>
    </row>
    <row r="214" ht="13.65" customHeight="1">
      <c r="A214" s="70"/>
      <c r="B214" t="s" s="94">
        <v>1211</v>
      </c>
      <c r="C214" s="118">
        <v>212</v>
      </c>
      <c r="D214" t="s" s="79">
        <v>744</v>
      </c>
      <c r="E214" t="s" s="80">
        <v>1321</v>
      </c>
      <c r="F214" s="81">
        <v>41</v>
      </c>
      <c r="G214" t="s" s="80">
        <v>231</v>
      </c>
      <c r="H214" t="s" s="80">
        <v>821</v>
      </c>
      <c r="I214" t="s" s="137">
        <v>741</v>
      </c>
      <c r="J214" s="77"/>
    </row>
    <row r="215" ht="13.65" customHeight="1">
      <c r="A215" s="70"/>
      <c r="B215" t="s" s="27">
        <v>1211</v>
      </c>
      <c r="C215" s="119">
        <v>213</v>
      </c>
      <c r="D215" t="s" s="85">
        <v>744</v>
      </c>
      <c r="E215" t="s" s="86">
        <v>1285</v>
      </c>
      <c r="F215" s="87">
        <v>58</v>
      </c>
      <c r="G215" t="s" s="86">
        <v>231</v>
      </c>
      <c r="H215" t="s" s="86">
        <v>821</v>
      </c>
      <c r="I215" t="s" s="144">
        <v>741</v>
      </c>
      <c r="J215" s="77"/>
    </row>
    <row r="216" ht="13.65" customHeight="1">
      <c r="A216" s="70"/>
      <c r="B216" t="s" s="94">
        <v>1211</v>
      </c>
      <c r="C216" s="118">
        <v>214</v>
      </c>
      <c r="D216" t="s" s="79">
        <v>744</v>
      </c>
      <c r="E216" t="s" s="80">
        <v>1251</v>
      </c>
      <c r="F216" s="81">
        <v>40</v>
      </c>
      <c r="G216" t="s" s="80">
        <v>231</v>
      </c>
      <c r="H216" t="s" s="80">
        <v>821</v>
      </c>
      <c r="I216" t="s" s="137">
        <v>741</v>
      </c>
      <c r="J216" s="77"/>
    </row>
    <row r="217" ht="13.65" customHeight="1">
      <c r="A217" s="70"/>
      <c r="B217" t="s" s="27">
        <v>1211</v>
      </c>
      <c r="C217" s="119">
        <v>215</v>
      </c>
      <c r="D217" t="s" s="85">
        <v>744</v>
      </c>
      <c r="E217" t="s" s="86">
        <v>619</v>
      </c>
      <c r="F217" s="87">
        <v>34</v>
      </c>
      <c r="G217" t="s" s="86">
        <v>231</v>
      </c>
      <c r="H217" t="s" s="86">
        <v>821</v>
      </c>
      <c r="I217" t="s" s="144">
        <v>741</v>
      </c>
      <c r="J217" s="77"/>
    </row>
    <row r="218" ht="13.65" customHeight="1">
      <c r="A218" s="70"/>
      <c r="B218" t="s" s="94">
        <v>1211</v>
      </c>
      <c r="C218" s="118">
        <v>216</v>
      </c>
      <c r="D218" t="s" s="79">
        <v>744</v>
      </c>
      <c r="E218" t="s" s="80">
        <v>272</v>
      </c>
      <c r="F218" s="81">
        <v>3</v>
      </c>
      <c r="G218" t="s" s="80">
        <v>231</v>
      </c>
      <c r="H218" t="s" s="80">
        <v>821</v>
      </c>
      <c r="I218" t="s" s="137">
        <v>741</v>
      </c>
      <c r="J218" s="77"/>
    </row>
    <row r="219" ht="13.65" customHeight="1">
      <c r="A219" s="70"/>
      <c r="B219" t="s" s="27">
        <v>1211</v>
      </c>
      <c r="C219" s="119">
        <v>217</v>
      </c>
      <c r="D219" t="s" s="85">
        <v>744</v>
      </c>
      <c r="E219" t="s" s="86">
        <v>1322</v>
      </c>
      <c r="F219" s="87">
        <v>177</v>
      </c>
      <c r="G219" t="s" s="86">
        <v>115</v>
      </c>
      <c r="H219" t="s" s="86">
        <v>821</v>
      </c>
      <c r="I219" t="s" s="144">
        <v>741</v>
      </c>
      <c r="J219" s="77"/>
    </row>
    <row r="220" ht="13.65" customHeight="1">
      <c r="A220" s="70"/>
      <c r="B220" t="s" s="94">
        <v>1211</v>
      </c>
      <c r="C220" s="118">
        <v>218</v>
      </c>
      <c r="D220" t="s" s="79">
        <v>744</v>
      </c>
      <c r="E220" t="s" s="80">
        <v>292</v>
      </c>
      <c r="F220" s="81">
        <v>50</v>
      </c>
      <c r="G220" t="s" s="80">
        <v>231</v>
      </c>
      <c r="H220" t="s" s="80">
        <v>821</v>
      </c>
      <c r="I220" t="s" s="137">
        <v>741</v>
      </c>
      <c r="J220" s="77"/>
    </row>
    <row r="221" ht="13.65" customHeight="1">
      <c r="A221" s="70"/>
      <c r="B221" t="s" s="27">
        <v>1211</v>
      </c>
      <c r="C221" s="119">
        <v>219</v>
      </c>
      <c r="D221" t="s" s="85">
        <v>774</v>
      </c>
      <c r="E221" t="s" s="86">
        <v>1323</v>
      </c>
      <c r="F221" s="87">
        <v>35</v>
      </c>
      <c r="G221" t="s" s="86">
        <v>231</v>
      </c>
      <c r="H221" t="s" s="86">
        <v>821</v>
      </c>
      <c r="I221" t="s" s="144">
        <v>741</v>
      </c>
      <c r="J221" s="77"/>
    </row>
    <row r="222" ht="13.65" customHeight="1">
      <c r="A222" s="70"/>
      <c r="B222" t="s" s="94">
        <v>366</v>
      </c>
      <c r="C222" s="118">
        <v>2</v>
      </c>
      <c r="D222" t="s" s="79">
        <v>1010</v>
      </c>
      <c r="E222" t="s" s="80">
        <v>459</v>
      </c>
      <c r="F222" s="81">
        <v>100</v>
      </c>
      <c r="G222" t="s" s="80">
        <v>231</v>
      </c>
      <c r="H222" t="s" s="80">
        <v>842</v>
      </c>
      <c r="I222" t="s" s="137">
        <v>741</v>
      </c>
      <c r="J222" s="77"/>
    </row>
    <row r="223" ht="13.65" customHeight="1">
      <c r="A223" s="70"/>
      <c r="B223" t="s" s="27">
        <v>366</v>
      </c>
      <c r="C223" s="119">
        <v>3</v>
      </c>
      <c r="D223" t="s" s="85">
        <v>1059</v>
      </c>
      <c r="E223" t="s" s="86">
        <v>213</v>
      </c>
      <c r="F223" s="87">
        <v>275</v>
      </c>
      <c r="G223" t="s" s="86">
        <v>115</v>
      </c>
      <c r="H223" t="s" s="86">
        <v>842</v>
      </c>
      <c r="I223" t="s" s="144">
        <v>741</v>
      </c>
      <c r="J223" s="77"/>
    </row>
    <row r="224" ht="13.65" customHeight="1">
      <c r="A224" s="70"/>
      <c r="B224" t="s" s="94">
        <v>366</v>
      </c>
      <c r="C224" s="118">
        <v>4</v>
      </c>
      <c r="D224" t="s" s="79">
        <v>1027</v>
      </c>
      <c r="E224" t="s" s="80">
        <v>1324</v>
      </c>
      <c r="F224" s="81">
        <v>25</v>
      </c>
      <c r="G224" t="s" s="80">
        <v>231</v>
      </c>
      <c r="H224" t="s" s="79">
        <v>879</v>
      </c>
      <c r="I224" t="s" s="137">
        <v>741</v>
      </c>
      <c r="J224" s="77"/>
    </row>
    <row r="225" ht="13.65" customHeight="1">
      <c r="A225" s="70"/>
      <c r="B225" t="s" s="27">
        <v>366</v>
      </c>
      <c r="C225" s="119">
        <v>5</v>
      </c>
      <c r="D225" t="s" s="85">
        <v>1325</v>
      </c>
      <c r="E225" t="s" s="86">
        <v>1326</v>
      </c>
      <c r="F225" s="87">
        <v>290</v>
      </c>
      <c r="G225" t="s" s="86">
        <v>1218</v>
      </c>
      <c r="H225" t="s" s="86">
        <v>847</v>
      </c>
      <c r="I225" t="s" s="144">
        <v>741</v>
      </c>
      <c r="J225" s="77"/>
    </row>
    <row r="226" ht="13.65" customHeight="1">
      <c r="A226" s="70"/>
      <c r="B226" t="s" s="94">
        <v>366</v>
      </c>
      <c r="C226" s="118">
        <v>6</v>
      </c>
      <c r="D226" t="s" s="79">
        <v>1017</v>
      </c>
      <c r="E226" t="s" s="79">
        <v>1327</v>
      </c>
      <c r="F226" s="81">
        <v>300</v>
      </c>
      <c r="G226" t="s" s="80">
        <v>1218</v>
      </c>
      <c r="H226" t="s" s="80">
        <v>890</v>
      </c>
      <c r="I226" t="s" s="137">
        <v>741</v>
      </c>
      <c r="J226" s="77"/>
    </row>
    <row r="227" ht="13.65" customHeight="1">
      <c r="A227" s="70"/>
      <c r="B227" t="s" s="27">
        <v>366</v>
      </c>
      <c r="C227" s="119">
        <v>7</v>
      </c>
      <c r="D227" t="s" s="85">
        <v>1017</v>
      </c>
      <c r="E227" t="s" s="85">
        <v>1327</v>
      </c>
      <c r="F227" s="87">
        <v>300</v>
      </c>
      <c r="G227" t="s" s="86">
        <v>1218</v>
      </c>
      <c r="H227" t="s" s="86">
        <v>890</v>
      </c>
      <c r="I227" t="s" s="144">
        <v>741</v>
      </c>
      <c r="J227" s="77"/>
    </row>
    <row r="228" ht="13.65" customHeight="1">
      <c r="A228" s="70"/>
      <c r="B228" t="s" s="94">
        <v>366</v>
      </c>
      <c r="C228" s="118">
        <v>8</v>
      </c>
      <c r="D228" t="s" s="79">
        <v>1328</v>
      </c>
      <c r="E228" t="s" s="80">
        <v>1329</v>
      </c>
      <c r="F228" s="81">
        <v>99</v>
      </c>
      <c r="G228" t="s" s="80">
        <v>231</v>
      </c>
      <c r="H228" t="s" s="80">
        <v>890</v>
      </c>
      <c r="I228" t="s" s="137">
        <v>741</v>
      </c>
      <c r="J228" s="77"/>
    </row>
    <row r="229" ht="13.65" customHeight="1">
      <c r="A229" s="70"/>
      <c r="B229" t="s" s="27">
        <v>366</v>
      </c>
      <c r="C229" s="119">
        <v>9</v>
      </c>
      <c r="D229" t="s" s="85">
        <v>1330</v>
      </c>
      <c r="E229" t="s" s="85">
        <v>1331</v>
      </c>
      <c r="F229" s="87">
        <v>300</v>
      </c>
      <c r="G229" t="s" s="86">
        <v>1218</v>
      </c>
      <c r="H229" t="s" s="86">
        <v>890</v>
      </c>
      <c r="I229" t="s" s="144">
        <v>741</v>
      </c>
      <c r="J229" s="77"/>
    </row>
    <row r="230" ht="13.65" customHeight="1">
      <c r="A230" s="70"/>
      <c r="B230" t="s" s="94">
        <v>491</v>
      </c>
      <c r="C230" s="118">
        <v>2</v>
      </c>
      <c r="D230" t="s" s="79">
        <v>1332</v>
      </c>
      <c r="E230" t="s" s="80">
        <v>1213</v>
      </c>
      <c r="F230" s="81">
        <v>3564</v>
      </c>
      <c r="G230" t="s" s="80">
        <v>1213</v>
      </c>
      <c r="H230" t="s" s="80">
        <v>762</v>
      </c>
      <c r="I230" t="s" s="137">
        <v>741</v>
      </c>
      <c r="J230" s="77"/>
    </row>
    <row r="231" ht="13.65" customHeight="1">
      <c r="A231" s="70"/>
      <c r="B231" t="s" s="27">
        <v>491</v>
      </c>
      <c r="C231" s="119">
        <v>15</v>
      </c>
      <c r="D231" s="99"/>
      <c r="E231" t="s" s="86">
        <v>1333</v>
      </c>
      <c r="F231" s="87">
        <v>3000</v>
      </c>
      <c r="G231" s="99"/>
      <c r="H231" s="99"/>
      <c r="I231" t="s" s="144">
        <v>1250</v>
      </c>
      <c r="J231" s="77"/>
    </row>
    <row r="232" ht="13.65" customHeight="1">
      <c r="A232" s="70"/>
      <c r="B232" t="s" s="94">
        <v>491</v>
      </c>
      <c r="C232" s="118">
        <v>16</v>
      </c>
      <c r="D232" s="100"/>
      <c r="E232" t="s" s="80">
        <v>1334</v>
      </c>
      <c r="F232" s="81">
        <v>3973</v>
      </c>
      <c r="G232" s="100"/>
      <c r="H232" s="100"/>
      <c r="I232" t="s" s="137">
        <v>1250</v>
      </c>
      <c r="J232" s="77"/>
    </row>
    <row r="233" ht="13.65" customHeight="1">
      <c r="A233" s="70"/>
      <c r="B233" t="s" s="27">
        <v>491</v>
      </c>
      <c r="C233" s="119">
        <v>18</v>
      </c>
      <c r="D233" t="s" s="85">
        <v>1335</v>
      </c>
      <c r="E233" t="s" s="86">
        <v>1336</v>
      </c>
      <c r="F233" s="87">
        <v>134</v>
      </c>
      <c r="G233" t="s" s="86">
        <v>1238</v>
      </c>
      <c r="H233" t="s" s="86">
        <v>842</v>
      </c>
      <c r="I233" t="s" s="144">
        <v>741</v>
      </c>
      <c r="J233" s="77"/>
    </row>
    <row r="234" ht="13.65" customHeight="1">
      <c r="A234" s="70"/>
      <c r="B234" t="s" s="94">
        <v>491</v>
      </c>
      <c r="C234" s="118">
        <v>19</v>
      </c>
      <c r="D234" t="s" s="79">
        <v>1167</v>
      </c>
      <c r="E234" t="s" s="80">
        <v>1337</v>
      </c>
      <c r="F234" s="81">
        <v>887</v>
      </c>
      <c r="G234" s="100"/>
      <c r="H234" t="s" s="80">
        <v>847</v>
      </c>
      <c r="I234" t="s" s="137">
        <v>741</v>
      </c>
      <c r="J234" s="77"/>
    </row>
    <row r="235" ht="13.65" customHeight="1">
      <c r="A235" s="70"/>
      <c r="B235" t="s" s="27">
        <v>1338</v>
      </c>
      <c r="C235" s="119">
        <v>2</v>
      </c>
      <c r="D235" t="s" s="85">
        <v>1339</v>
      </c>
      <c r="E235" t="s" s="86">
        <v>1213</v>
      </c>
      <c r="F235" s="87">
        <v>7005</v>
      </c>
      <c r="G235" t="s" s="86">
        <v>1213</v>
      </c>
      <c r="H235" t="s" s="85">
        <v>1219</v>
      </c>
      <c r="I235" t="s" s="144">
        <v>741</v>
      </c>
      <c r="J235" s="77"/>
    </row>
    <row r="236" ht="13.65" customHeight="1">
      <c r="A236" s="70"/>
      <c r="B236" t="s" s="94">
        <v>1338</v>
      </c>
      <c r="C236" s="118">
        <v>3</v>
      </c>
      <c r="D236" t="s" s="79">
        <v>1340</v>
      </c>
      <c r="E236" t="s" s="80">
        <v>1341</v>
      </c>
      <c r="F236" s="81">
        <v>3652</v>
      </c>
      <c r="G236" t="s" s="80">
        <v>1218</v>
      </c>
      <c r="H236" t="s" s="79">
        <v>1219</v>
      </c>
      <c r="I236" t="s" s="137">
        <v>741</v>
      </c>
      <c r="J236" s="77"/>
    </row>
    <row r="237" ht="13.65" customHeight="1">
      <c r="A237" s="70"/>
      <c r="B237" t="s" s="27">
        <v>1338</v>
      </c>
      <c r="C237" s="119">
        <v>4</v>
      </c>
      <c r="D237" t="s" s="85">
        <v>1342</v>
      </c>
      <c r="E237" t="s" s="86">
        <v>1343</v>
      </c>
      <c r="F237" s="87">
        <v>1910</v>
      </c>
      <c r="G237" t="s" s="86">
        <v>1218</v>
      </c>
      <c r="H237" t="s" s="86">
        <v>762</v>
      </c>
      <c r="I237" t="s" s="144">
        <v>741</v>
      </c>
      <c r="J237" s="77"/>
    </row>
    <row r="238" ht="13.65" customHeight="1">
      <c r="A238" s="70"/>
      <c r="B238" t="s" s="94">
        <v>1338</v>
      </c>
      <c r="C238" s="118">
        <v>5</v>
      </c>
      <c r="D238" t="s" s="79">
        <v>1344</v>
      </c>
      <c r="E238" t="s" s="80">
        <v>1345</v>
      </c>
      <c r="F238" s="81">
        <v>1836</v>
      </c>
      <c r="G238" t="s" s="80">
        <v>1213</v>
      </c>
      <c r="H238" t="s" s="79">
        <v>1219</v>
      </c>
      <c r="I238" t="s" s="137">
        <v>741</v>
      </c>
      <c r="J238" s="77"/>
    </row>
    <row r="239" ht="13.65" customHeight="1">
      <c r="A239" s="70"/>
      <c r="B239" t="s" s="27">
        <v>1338</v>
      </c>
      <c r="C239" s="119">
        <v>6</v>
      </c>
      <c r="D239" t="s" s="85">
        <v>1346</v>
      </c>
      <c r="E239" t="s" s="86">
        <v>1347</v>
      </c>
      <c r="F239" s="87">
        <v>119</v>
      </c>
      <c r="G239" t="s" s="86">
        <v>115</v>
      </c>
      <c r="H239" t="s" s="85">
        <v>1219</v>
      </c>
      <c r="I239" t="s" s="144">
        <v>741</v>
      </c>
      <c r="J239" s="77"/>
    </row>
    <row r="240" ht="13.65" customHeight="1">
      <c r="A240" s="70"/>
      <c r="B240" t="s" s="94">
        <v>1338</v>
      </c>
      <c r="C240" s="118">
        <v>7</v>
      </c>
      <c r="D240" t="s" s="79">
        <v>1215</v>
      </c>
      <c r="E240" t="s" s="80">
        <v>1347</v>
      </c>
      <c r="F240" s="81">
        <v>199</v>
      </c>
      <c r="G240" t="s" s="80">
        <v>115</v>
      </c>
      <c r="H240" t="s" s="79">
        <v>1214</v>
      </c>
      <c r="I240" t="s" s="137">
        <v>741</v>
      </c>
      <c r="J240" s="77"/>
    </row>
    <row r="241" ht="13.65" customHeight="1">
      <c r="A241" s="70"/>
      <c r="B241" t="s" s="27">
        <v>1338</v>
      </c>
      <c r="C241" s="119">
        <v>8</v>
      </c>
      <c r="D241" t="s" s="85">
        <v>1348</v>
      </c>
      <c r="E241" t="s" s="86">
        <v>781</v>
      </c>
      <c r="F241" s="87">
        <v>617</v>
      </c>
      <c r="G241" t="s" s="86">
        <v>231</v>
      </c>
      <c r="H241" t="s" s="86">
        <v>786</v>
      </c>
      <c r="I241" t="s" s="144">
        <v>741</v>
      </c>
      <c r="J241" s="77"/>
    </row>
    <row r="242" ht="13.65" customHeight="1">
      <c r="A242" s="70"/>
      <c r="B242" t="s" s="94">
        <v>1338</v>
      </c>
      <c r="C242" s="118">
        <v>9</v>
      </c>
      <c r="D242" t="s" s="79">
        <v>1349</v>
      </c>
      <c r="E242" t="s" s="80">
        <v>135</v>
      </c>
      <c r="F242" s="81">
        <v>251</v>
      </c>
      <c r="G242" t="s" s="80">
        <v>1238</v>
      </c>
      <c r="H242" t="s" s="80">
        <v>783</v>
      </c>
      <c r="I242" t="s" s="137">
        <v>741</v>
      </c>
      <c r="J242" s="77"/>
    </row>
    <row r="243" ht="13.65" customHeight="1">
      <c r="A243" s="70"/>
      <c r="B243" t="s" s="27">
        <v>1338</v>
      </c>
      <c r="C243" s="119">
        <v>10</v>
      </c>
      <c r="D243" t="s" s="85">
        <v>1350</v>
      </c>
      <c r="E243" t="s" s="86">
        <v>1351</v>
      </c>
      <c r="F243" s="87">
        <v>84</v>
      </c>
      <c r="G243" t="s" s="86">
        <v>1238</v>
      </c>
      <c r="H243" t="s" s="85">
        <v>1214</v>
      </c>
      <c r="I243" t="s" s="144">
        <v>741</v>
      </c>
      <c r="J243" s="77"/>
    </row>
    <row r="244" ht="13.65" customHeight="1">
      <c r="A244" s="70"/>
      <c r="B244" t="s" s="94">
        <v>1338</v>
      </c>
      <c r="C244" s="118">
        <v>11</v>
      </c>
      <c r="D244" t="s" s="79">
        <v>1352</v>
      </c>
      <c r="E244" t="s" s="80">
        <v>1353</v>
      </c>
      <c r="F244" s="81">
        <v>256</v>
      </c>
      <c r="G244" t="s" s="80">
        <v>115</v>
      </c>
      <c r="H244" t="s" s="79">
        <v>1214</v>
      </c>
      <c r="I244" t="s" s="137">
        <v>741</v>
      </c>
      <c r="J244" s="77"/>
    </row>
    <row r="245" ht="13.65" customHeight="1">
      <c r="A245" s="70"/>
      <c r="B245" t="s" s="27">
        <v>1338</v>
      </c>
      <c r="C245" s="119">
        <v>12</v>
      </c>
      <c r="D245" t="s" s="85">
        <v>1354</v>
      </c>
      <c r="E245" t="s" s="86">
        <v>1355</v>
      </c>
      <c r="F245" s="87">
        <v>34</v>
      </c>
      <c r="G245" t="s" s="86">
        <v>1235</v>
      </c>
      <c r="H245" t="s" s="85">
        <v>1214</v>
      </c>
      <c r="I245" t="s" s="144">
        <v>741</v>
      </c>
      <c r="J245" s="77"/>
    </row>
    <row r="246" ht="13.65" customHeight="1">
      <c r="A246" s="70"/>
      <c r="B246" t="s" s="94">
        <v>1338</v>
      </c>
      <c r="C246" s="118">
        <v>13</v>
      </c>
      <c r="D246" t="s" s="79">
        <v>761</v>
      </c>
      <c r="E246" t="s" s="80">
        <v>200</v>
      </c>
      <c r="F246" s="81">
        <v>10</v>
      </c>
      <c r="G246" t="s" s="80">
        <v>231</v>
      </c>
      <c r="H246" t="s" s="79">
        <v>1214</v>
      </c>
      <c r="I246" t="s" s="137">
        <v>741</v>
      </c>
      <c r="J246" s="77"/>
    </row>
    <row r="247" ht="13.65" customHeight="1">
      <c r="A247" s="70"/>
      <c r="B247" t="s" s="27">
        <v>1338</v>
      </c>
      <c r="C247" s="119">
        <v>14</v>
      </c>
      <c r="D247" t="s" s="85">
        <v>744</v>
      </c>
      <c r="E247" t="s" s="86">
        <v>200</v>
      </c>
      <c r="F247" s="87">
        <v>18</v>
      </c>
      <c r="G247" t="s" s="86">
        <v>231</v>
      </c>
      <c r="H247" t="s" s="85">
        <v>1214</v>
      </c>
      <c r="I247" t="s" s="144">
        <v>741</v>
      </c>
      <c r="J247" s="77"/>
    </row>
    <row r="248" ht="13.65" customHeight="1">
      <c r="A248" s="70"/>
      <c r="B248" t="s" s="94">
        <v>1338</v>
      </c>
      <c r="C248" s="118">
        <v>15</v>
      </c>
      <c r="D248" t="s" s="79">
        <v>768</v>
      </c>
      <c r="E248" t="s" s="80">
        <v>1278</v>
      </c>
      <c r="F248" s="81">
        <v>20</v>
      </c>
      <c r="G248" t="s" s="80">
        <v>231</v>
      </c>
      <c r="H248" t="s" s="79">
        <v>1214</v>
      </c>
      <c r="I248" t="s" s="137">
        <v>741</v>
      </c>
      <c r="J248" s="77"/>
    </row>
    <row r="249" ht="13.65" customHeight="1">
      <c r="A249" s="70"/>
      <c r="B249" t="s" s="27">
        <v>1338</v>
      </c>
      <c r="C249" s="119">
        <v>16</v>
      </c>
      <c r="D249" t="s" s="85">
        <v>773</v>
      </c>
      <c r="E249" t="s" s="86">
        <v>1356</v>
      </c>
      <c r="F249" s="87">
        <v>705</v>
      </c>
      <c r="G249" t="s" s="86">
        <v>115</v>
      </c>
      <c r="H249" t="s" s="86">
        <v>781</v>
      </c>
      <c r="I249" t="s" s="144">
        <v>741</v>
      </c>
      <c r="J249" s="77"/>
    </row>
    <row r="250" ht="13.65" customHeight="1">
      <c r="A250" s="70"/>
      <c r="B250" t="s" s="94">
        <v>1338</v>
      </c>
      <c r="C250" s="118">
        <v>17</v>
      </c>
      <c r="D250" t="s" s="79">
        <v>790</v>
      </c>
      <c r="E250" t="s" s="80">
        <v>1357</v>
      </c>
      <c r="F250" s="81">
        <v>220</v>
      </c>
      <c r="G250" t="s" s="80">
        <v>1235</v>
      </c>
      <c r="H250" t="s" s="80">
        <v>781</v>
      </c>
      <c r="I250" t="s" s="137">
        <v>741</v>
      </c>
      <c r="J250" s="77"/>
    </row>
    <row r="251" ht="13.65" customHeight="1">
      <c r="A251" s="70"/>
      <c r="B251" t="s" s="27">
        <v>1338</v>
      </c>
      <c r="C251" s="119">
        <v>18</v>
      </c>
      <c r="D251" t="s" s="85">
        <v>773</v>
      </c>
      <c r="E251" t="s" s="86">
        <v>1358</v>
      </c>
      <c r="F251" s="87">
        <v>220</v>
      </c>
      <c r="G251" t="s" s="86">
        <v>1238</v>
      </c>
      <c r="H251" t="s" s="86">
        <v>781</v>
      </c>
      <c r="I251" t="s" s="144">
        <v>741</v>
      </c>
      <c r="J251" s="77"/>
    </row>
    <row r="252" ht="13.65" customHeight="1">
      <c r="A252" s="70"/>
      <c r="B252" t="s" s="94">
        <v>1338</v>
      </c>
      <c r="C252" s="118">
        <v>19</v>
      </c>
      <c r="D252" t="s" s="79">
        <v>773</v>
      </c>
      <c r="E252" t="s" s="80">
        <v>200</v>
      </c>
      <c r="F252" s="81">
        <v>94</v>
      </c>
      <c r="G252" t="s" s="80">
        <v>231</v>
      </c>
      <c r="H252" t="s" s="79">
        <v>1219</v>
      </c>
      <c r="I252" t="s" s="137">
        <v>741</v>
      </c>
      <c r="J252" s="77"/>
    </row>
    <row r="253" ht="13.65" customHeight="1">
      <c r="A253" s="70"/>
      <c r="B253" t="s" s="27">
        <v>1338</v>
      </c>
      <c r="C253" s="119">
        <v>20</v>
      </c>
      <c r="D253" t="s" s="85">
        <v>773</v>
      </c>
      <c r="E253" t="s" s="86">
        <v>209</v>
      </c>
      <c r="F253" s="87">
        <v>73</v>
      </c>
      <c r="G253" t="s" s="86">
        <v>231</v>
      </c>
      <c r="H253" t="s" s="85">
        <v>1359</v>
      </c>
      <c r="I253" t="s" s="144">
        <v>741</v>
      </c>
      <c r="J253" s="77"/>
    </row>
    <row r="254" ht="13.65" customHeight="1">
      <c r="A254" s="70"/>
      <c r="B254" t="s" s="94">
        <v>1338</v>
      </c>
      <c r="C254" s="118">
        <v>21</v>
      </c>
      <c r="D254" t="s" s="79">
        <v>773</v>
      </c>
      <c r="E254" t="s" s="80">
        <v>200</v>
      </c>
      <c r="F254" s="81">
        <v>18</v>
      </c>
      <c r="G254" t="s" s="80">
        <v>231</v>
      </c>
      <c r="H254" t="s" s="79">
        <v>1360</v>
      </c>
      <c r="I254" t="s" s="137">
        <v>741</v>
      </c>
      <c r="J254" s="77"/>
    </row>
    <row r="255" ht="13.65" customHeight="1">
      <c r="A255" s="70"/>
      <c r="B255" t="s" s="27">
        <v>1338</v>
      </c>
      <c r="C255" s="119">
        <v>22</v>
      </c>
      <c r="D255" t="s" s="85">
        <v>773</v>
      </c>
      <c r="E255" t="s" s="86">
        <v>209</v>
      </c>
      <c r="F255" s="87">
        <v>220</v>
      </c>
      <c r="G255" t="s" s="86">
        <v>231</v>
      </c>
      <c r="H255" t="s" s="85">
        <v>1361</v>
      </c>
      <c r="I255" t="s" s="144">
        <v>741</v>
      </c>
      <c r="J255" s="77"/>
    </row>
    <row r="256" ht="13.65" customHeight="1">
      <c r="A256" s="70"/>
      <c r="B256" t="s" s="94">
        <v>1338</v>
      </c>
      <c r="C256" s="118">
        <v>23</v>
      </c>
      <c r="D256" t="s" s="79">
        <v>773</v>
      </c>
      <c r="E256" t="s" s="80">
        <v>200</v>
      </c>
      <c r="F256" s="81">
        <v>52</v>
      </c>
      <c r="G256" t="s" s="80">
        <v>231</v>
      </c>
      <c r="H256" t="s" s="79">
        <v>1362</v>
      </c>
      <c r="I256" t="s" s="137">
        <v>741</v>
      </c>
      <c r="J256" s="77"/>
    </row>
    <row r="257" ht="13.65" customHeight="1">
      <c r="A257" s="70"/>
      <c r="B257" t="s" s="27">
        <v>1338</v>
      </c>
      <c r="C257" s="119">
        <v>24</v>
      </c>
      <c r="D257" t="s" s="85">
        <v>754</v>
      </c>
      <c r="E257" t="s" s="86">
        <v>209</v>
      </c>
      <c r="F257" s="87">
        <v>46</v>
      </c>
      <c r="G257" t="s" s="86">
        <v>231</v>
      </c>
      <c r="H257" t="s" s="85">
        <v>1363</v>
      </c>
      <c r="I257" t="s" s="144">
        <v>741</v>
      </c>
      <c r="J257" s="77"/>
    </row>
    <row r="258" ht="13.65" customHeight="1">
      <c r="A258" s="70"/>
      <c r="B258" t="s" s="94">
        <v>1338</v>
      </c>
      <c r="C258" s="118">
        <v>25</v>
      </c>
      <c r="D258" t="s" s="79">
        <v>754</v>
      </c>
      <c r="E258" t="s" s="80">
        <v>209</v>
      </c>
      <c r="F258" s="81">
        <v>192</v>
      </c>
      <c r="G258" t="s" s="80">
        <v>231</v>
      </c>
      <c r="H258" t="s" s="79">
        <v>1364</v>
      </c>
      <c r="I258" t="s" s="137">
        <v>741</v>
      </c>
      <c r="J258" s="77"/>
    </row>
    <row r="259" ht="13.65" customHeight="1">
      <c r="A259" s="70"/>
      <c r="B259" t="s" s="27">
        <v>1338</v>
      </c>
      <c r="C259" s="119">
        <v>26</v>
      </c>
      <c r="D259" t="s" s="85">
        <v>754</v>
      </c>
      <c r="E259" t="s" s="86">
        <v>1365</v>
      </c>
      <c r="F259" s="87">
        <v>160</v>
      </c>
      <c r="G259" t="s" s="86">
        <v>1235</v>
      </c>
      <c r="H259" t="s" s="85">
        <v>1366</v>
      </c>
      <c r="I259" t="s" s="144">
        <v>741</v>
      </c>
      <c r="J259" s="77"/>
    </row>
    <row r="260" ht="13.65" customHeight="1">
      <c r="A260" s="70"/>
      <c r="B260" t="s" s="94">
        <v>1338</v>
      </c>
      <c r="C260" s="118">
        <v>27</v>
      </c>
      <c r="D260" t="s" s="79">
        <v>754</v>
      </c>
      <c r="E260" t="s" s="80">
        <v>200</v>
      </c>
      <c r="F260" s="81">
        <v>44</v>
      </c>
      <c r="G260" t="s" s="80">
        <v>231</v>
      </c>
      <c r="H260" t="s" s="79">
        <v>1367</v>
      </c>
      <c r="I260" t="s" s="137">
        <v>741</v>
      </c>
      <c r="J260" s="77"/>
    </row>
    <row r="261" ht="13.65" customHeight="1">
      <c r="A261" s="70"/>
      <c r="B261" t="s" s="27">
        <v>1338</v>
      </c>
      <c r="C261" s="119">
        <v>28</v>
      </c>
      <c r="D261" t="s" s="85">
        <v>790</v>
      </c>
      <c r="E261" t="s" s="86">
        <v>209</v>
      </c>
      <c r="F261" s="87">
        <v>160</v>
      </c>
      <c r="G261" t="s" s="86">
        <v>231</v>
      </c>
      <c r="H261" t="s" s="85">
        <v>1368</v>
      </c>
      <c r="I261" t="s" s="144">
        <v>741</v>
      </c>
      <c r="J261" s="77"/>
    </row>
    <row r="262" ht="13.65" customHeight="1">
      <c r="A262" s="70"/>
      <c r="B262" t="s" s="94">
        <v>1338</v>
      </c>
      <c r="C262" s="118">
        <v>29</v>
      </c>
      <c r="D262" t="s" s="79">
        <v>790</v>
      </c>
      <c r="E262" t="s" s="80">
        <v>209</v>
      </c>
      <c r="F262" s="81">
        <v>99</v>
      </c>
      <c r="G262" t="s" s="80">
        <v>231</v>
      </c>
      <c r="H262" t="s" s="79">
        <v>1369</v>
      </c>
      <c r="I262" t="s" s="137">
        <v>741</v>
      </c>
      <c r="J262" s="77"/>
    </row>
    <row r="263" ht="13.65" customHeight="1">
      <c r="A263" s="70"/>
      <c r="B263" t="s" s="27">
        <v>1338</v>
      </c>
      <c r="C263" s="119">
        <v>30</v>
      </c>
      <c r="D263" t="s" s="85">
        <v>790</v>
      </c>
      <c r="E263" t="s" s="86">
        <v>697</v>
      </c>
      <c r="F263" s="87">
        <v>25</v>
      </c>
      <c r="G263" t="s" s="86">
        <v>115</v>
      </c>
      <c r="H263" t="s" s="85">
        <v>1370</v>
      </c>
      <c r="I263" t="s" s="144">
        <v>741</v>
      </c>
      <c r="J263" s="77"/>
    </row>
    <row r="264" ht="13.65" customHeight="1">
      <c r="A264" s="70"/>
      <c r="B264" t="s" s="94">
        <v>1338</v>
      </c>
      <c r="C264" s="118">
        <v>31</v>
      </c>
      <c r="D264" t="s" s="79">
        <v>761</v>
      </c>
      <c r="E264" t="s" s="80">
        <v>200</v>
      </c>
      <c r="F264" s="81">
        <v>41</v>
      </c>
      <c r="G264" t="s" s="80">
        <v>231</v>
      </c>
      <c r="H264" t="s" s="79">
        <v>1371</v>
      </c>
      <c r="I264" t="s" s="137">
        <v>741</v>
      </c>
      <c r="J264" s="77"/>
    </row>
    <row r="265" ht="13.65" customHeight="1">
      <c r="A265" s="70"/>
      <c r="B265" t="s" s="27">
        <v>1338</v>
      </c>
      <c r="C265" s="119">
        <v>32</v>
      </c>
      <c r="D265" t="s" s="85">
        <v>761</v>
      </c>
      <c r="E265" t="s" s="86">
        <v>209</v>
      </c>
      <c r="F265" s="87">
        <v>47</v>
      </c>
      <c r="G265" t="s" s="86">
        <v>231</v>
      </c>
      <c r="H265" t="s" s="85">
        <v>1372</v>
      </c>
      <c r="I265" t="s" s="144">
        <v>741</v>
      </c>
      <c r="J265" s="77"/>
    </row>
    <row r="266" ht="13.65" customHeight="1">
      <c r="A266" s="70"/>
      <c r="B266" t="s" s="94">
        <v>1338</v>
      </c>
      <c r="C266" s="118">
        <v>33</v>
      </c>
      <c r="D266" t="s" s="79">
        <v>761</v>
      </c>
      <c r="E266" t="s" s="80">
        <v>209</v>
      </c>
      <c r="F266" s="81">
        <v>92</v>
      </c>
      <c r="G266" t="s" s="80">
        <v>231</v>
      </c>
      <c r="H266" t="s" s="79">
        <v>1373</v>
      </c>
      <c r="I266" t="s" s="137">
        <v>741</v>
      </c>
      <c r="J266" s="77"/>
    </row>
    <row r="267" ht="13.65" customHeight="1">
      <c r="A267" s="70"/>
      <c r="B267" t="s" s="27">
        <v>1338</v>
      </c>
      <c r="C267" s="119">
        <v>34</v>
      </c>
      <c r="D267" t="s" s="85">
        <v>761</v>
      </c>
      <c r="E267" t="s" s="86">
        <v>1374</v>
      </c>
      <c r="F267" s="87">
        <v>146</v>
      </c>
      <c r="G267" t="s" s="86">
        <v>1235</v>
      </c>
      <c r="H267" t="s" s="85">
        <v>1375</v>
      </c>
      <c r="I267" t="s" s="144">
        <v>741</v>
      </c>
      <c r="J267" s="77"/>
    </row>
    <row r="268" ht="13.65" customHeight="1">
      <c r="A268" s="70"/>
      <c r="B268" t="s" s="94">
        <v>1338</v>
      </c>
      <c r="C268" s="118">
        <v>35</v>
      </c>
      <c r="D268" t="s" s="79">
        <v>761</v>
      </c>
      <c r="E268" t="s" s="80">
        <v>1376</v>
      </c>
      <c r="F268" s="81">
        <v>515</v>
      </c>
      <c r="G268" t="s" s="80">
        <v>1235</v>
      </c>
      <c r="H268" t="s" s="79">
        <v>1377</v>
      </c>
      <c r="I268" t="s" s="137">
        <v>741</v>
      </c>
      <c r="J268" s="77"/>
    </row>
    <row r="269" ht="13.65" customHeight="1">
      <c r="A269" s="70"/>
      <c r="B269" t="s" s="27">
        <v>1338</v>
      </c>
      <c r="C269" s="119">
        <v>36</v>
      </c>
      <c r="D269" t="s" s="85">
        <v>744</v>
      </c>
      <c r="E269" t="s" s="86">
        <v>213</v>
      </c>
      <c r="F269" s="87">
        <v>62</v>
      </c>
      <c r="G269" t="s" s="86">
        <v>115</v>
      </c>
      <c r="H269" t="s" s="85">
        <v>1378</v>
      </c>
      <c r="I269" t="s" s="144">
        <v>741</v>
      </c>
      <c r="J269" s="77"/>
    </row>
    <row r="270" ht="13.65" customHeight="1">
      <c r="A270" s="70"/>
      <c r="B270" t="s" s="94">
        <v>1338</v>
      </c>
      <c r="C270" s="118">
        <v>37</v>
      </c>
      <c r="D270" t="s" s="79">
        <v>744</v>
      </c>
      <c r="E270" t="s" s="80">
        <v>209</v>
      </c>
      <c r="F270" s="81">
        <v>86</v>
      </c>
      <c r="G270" t="s" s="80">
        <v>231</v>
      </c>
      <c r="H270" t="s" s="79">
        <v>1379</v>
      </c>
      <c r="I270" t="s" s="137">
        <v>741</v>
      </c>
      <c r="J270" s="77"/>
    </row>
    <row r="271" ht="13.65" customHeight="1">
      <c r="A271" s="70"/>
      <c r="B271" t="s" s="27">
        <v>1338</v>
      </c>
      <c r="C271" s="119">
        <v>38</v>
      </c>
      <c r="D271" t="s" s="85">
        <v>744</v>
      </c>
      <c r="E271" t="s" s="86">
        <v>1380</v>
      </c>
      <c r="F271" s="87">
        <v>119</v>
      </c>
      <c r="G271" t="s" s="86">
        <v>231</v>
      </c>
      <c r="H271" t="s" s="85">
        <v>1381</v>
      </c>
      <c r="I271" t="s" s="144">
        <v>741</v>
      </c>
      <c r="J271" s="77"/>
    </row>
    <row r="272" ht="13.65" customHeight="1">
      <c r="A272" s="70"/>
      <c r="B272" t="s" s="94">
        <v>1338</v>
      </c>
      <c r="C272" s="118">
        <v>39</v>
      </c>
      <c r="D272" t="s" s="79">
        <v>744</v>
      </c>
      <c r="E272" t="s" s="80">
        <v>200</v>
      </c>
      <c r="F272" s="81">
        <v>20</v>
      </c>
      <c r="G272" t="s" s="80">
        <v>231</v>
      </c>
      <c r="H272" t="s" s="79">
        <v>1382</v>
      </c>
      <c r="I272" t="s" s="137">
        <v>741</v>
      </c>
      <c r="J272" s="77"/>
    </row>
    <row r="273" ht="13.65" customHeight="1">
      <c r="A273" s="70"/>
      <c r="B273" t="s" s="27">
        <v>1338</v>
      </c>
      <c r="C273" s="119">
        <v>40</v>
      </c>
      <c r="D273" t="s" s="85">
        <v>744</v>
      </c>
      <c r="E273" t="s" s="86">
        <v>1358</v>
      </c>
      <c r="F273" s="87">
        <v>98</v>
      </c>
      <c r="G273" t="s" s="86">
        <v>1238</v>
      </c>
      <c r="H273" t="s" s="85">
        <v>1383</v>
      </c>
      <c r="I273" t="s" s="144">
        <v>741</v>
      </c>
      <c r="J273" s="77"/>
    </row>
    <row r="274" ht="13.65" customHeight="1">
      <c r="A274" s="70"/>
      <c r="B274" t="s" s="94">
        <v>1338</v>
      </c>
      <c r="C274" s="118">
        <v>41</v>
      </c>
      <c r="D274" t="s" s="79">
        <v>744</v>
      </c>
      <c r="E274" t="s" s="80">
        <v>200</v>
      </c>
      <c r="F274" s="81">
        <v>21</v>
      </c>
      <c r="G274" t="s" s="80">
        <v>231</v>
      </c>
      <c r="H274" t="s" s="79">
        <v>1384</v>
      </c>
      <c r="I274" t="s" s="137">
        <v>741</v>
      </c>
      <c r="J274" s="77"/>
    </row>
    <row r="275" ht="13.65" customHeight="1">
      <c r="A275" s="70"/>
      <c r="B275" t="s" s="27">
        <v>1338</v>
      </c>
      <c r="C275" s="119">
        <v>42</v>
      </c>
      <c r="D275" t="s" s="85">
        <v>774</v>
      </c>
      <c r="E275" t="s" s="86">
        <v>1385</v>
      </c>
      <c r="F275" s="87">
        <v>483</v>
      </c>
      <c r="G275" t="s" s="86">
        <v>115</v>
      </c>
      <c r="H275" t="s" s="85">
        <v>1386</v>
      </c>
      <c r="I275" t="s" s="144">
        <v>741</v>
      </c>
      <c r="J275" s="77"/>
    </row>
    <row r="276" ht="13.65" customHeight="1">
      <c r="A276" s="70"/>
      <c r="B276" t="s" s="94">
        <v>1338</v>
      </c>
      <c r="C276" s="118">
        <v>43</v>
      </c>
      <c r="D276" t="s" s="79">
        <v>768</v>
      </c>
      <c r="E276" t="s" s="80">
        <v>1387</v>
      </c>
      <c r="F276" s="81">
        <v>28</v>
      </c>
      <c r="G276" t="s" s="80">
        <v>231</v>
      </c>
      <c r="H276" t="s" s="79">
        <v>1388</v>
      </c>
      <c r="I276" t="s" s="137">
        <v>741</v>
      </c>
      <c r="J276" s="77"/>
    </row>
    <row r="277" ht="13.65" customHeight="1">
      <c r="A277" s="70"/>
      <c r="B277" t="s" s="27">
        <v>1338</v>
      </c>
      <c r="C277" s="119">
        <v>44</v>
      </c>
      <c r="D277" t="s" s="85">
        <v>765</v>
      </c>
      <c r="E277" t="s" s="86">
        <v>1389</v>
      </c>
      <c r="F277" s="87">
        <v>270</v>
      </c>
      <c r="G277" t="s" s="86">
        <v>1213</v>
      </c>
      <c r="H277" t="s" s="86">
        <v>1390</v>
      </c>
      <c r="I277" t="s" s="144">
        <v>741</v>
      </c>
      <c r="J277" s="77"/>
    </row>
    <row r="278" ht="13.65" customHeight="1">
      <c r="A278" s="70"/>
      <c r="B278" t="s" s="94">
        <v>1338</v>
      </c>
      <c r="C278" s="118">
        <v>45</v>
      </c>
      <c r="D278" t="s" s="79">
        <v>772</v>
      </c>
      <c r="E278" t="s" s="80">
        <v>1391</v>
      </c>
      <c r="F278" s="81">
        <v>102</v>
      </c>
      <c r="G278" t="s" s="80">
        <v>231</v>
      </c>
      <c r="H278" t="s" s="80">
        <v>770</v>
      </c>
      <c r="I278" t="s" s="137">
        <v>741</v>
      </c>
      <c r="J278" s="77"/>
    </row>
    <row r="279" ht="13.65" customHeight="1">
      <c r="A279" s="70"/>
      <c r="B279" t="s" s="27">
        <v>1338</v>
      </c>
      <c r="C279" s="119">
        <v>46</v>
      </c>
      <c r="D279" t="s" s="85">
        <v>772</v>
      </c>
      <c r="E279" t="s" s="86">
        <v>1392</v>
      </c>
      <c r="F279" s="87">
        <v>400</v>
      </c>
      <c r="G279" t="s" s="86">
        <v>115</v>
      </c>
      <c r="H279" t="s" s="86">
        <v>770</v>
      </c>
      <c r="I279" t="s" s="144">
        <v>741</v>
      </c>
      <c r="J279" s="77"/>
    </row>
    <row r="280" ht="13.65" customHeight="1">
      <c r="A280" s="70"/>
      <c r="B280" t="s" s="94">
        <v>1338</v>
      </c>
      <c r="C280" s="118">
        <v>47</v>
      </c>
      <c r="D280" t="s" s="79">
        <v>772</v>
      </c>
      <c r="E280" t="s" s="80">
        <v>1393</v>
      </c>
      <c r="F280" s="81">
        <v>45</v>
      </c>
      <c r="G280" t="s" s="80">
        <v>1238</v>
      </c>
      <c r="H280" t="s" s="80">
        <v>783</v>
      </c>
      <c r="I280" t="s" s="137">
        <v>741</v>
      </c>
      <c r="J280" s="77"/>
    </row>
    <row r="281" ht="13.65" customHeight="1">
      <c r="A281" s="70"/>
      <c r="B281" t="s" s="27">
        <v>1338</v>
      </c>
      <c r="C281" s="119">
        <v>91</v>
      </c>
      <c r="D281" t="s" s="86">
        <v>1394</v>
      </c>
      <c r="E281" s="99"/>
      <c r="F281" s="87">
        <v>20914</v>
      </c>
      <c r="G281" s="99"/>
      <c r="H281" s="99"/>
      <c r="I281" t="s" s="144">
        <v>741</v>
      </c>
      <c r="J281" s="77"/>
    </row>
    <row r="282" ht="13.65" customHeight="1">
      <c r="A282" s="70"/>
      <c r="B282" t="s" s="94">
        <v>1395</v>
      </c>
      <c r="C282" s="118">
        <v>2</v>
      </c>
      <c r="D282" t="s" s="79">
        <v>1396</v>
      </c>
      <c r="E282" t="s" s="80">
        <v>1213</v>
      </c>
      <c r="F282" s="81">
        <v>3531</v>
      </c>
      <c r="G282" t="s" s="80">
        <v>1213</v>
      </c>
      <c r="H282" t="s" s="80">
        <v>762</v>
      </c>
      <c r="I282" t="s" s="137">
        <v>741</v>
      </c>
      <c r="J282" s="77"/>
    </row>
    <row r="283" ht="13.65" customHeight="1">
      <c r="A283" s="70"/>
      <c r="B283" t="s" s="27">
        <v>1395</v>
      </c>
      <c r="C283" s="119">
        <v>3</v>
      </c>
      <c r="D283" t="s" s="85">
        <v>1397</v>
      </c>
      <c r="E283" t="s" s="86">
        <v>1398</v>
      </c>
      <c r="F283" s="87">
        <v>827</v>
      </c>
      <c r="G283" t="s" s="86">
        <v>1235</v>
      </c>
      <c r="H283" t="s" s="86">
        <v>762</v>
      </c>
      <c r="I283" t="s" s="144">
        <v>741</v>
      </c>
      <c r="J283" s="77"/>
    </row>
    <row r="284" ht="13.65" customHeight="1">
      <c r="A284" s="70"/>
      <c r="B284" t="s" s="94">
        <v>1395</v>
      </c>
      <c r="C284" s="118">
        <v>4</v>
      </c>
      <c r="D284" t="s" s="79">
        <v>1397</v>
      </c>
      <c r="E284" t="s" s="80">
        <v>1399</v>
      </c>
      <c r="F284" s="81">
        <v>858</v>
      </c>
      <c r="G284" t="s" s="80">
        <v>1235</v>
      </c>
      <c r="H284" t="s" s="80">
        <v>770</v>
      </c>
      <c r="I284" t="s" s="137">
        <v>741</v>
      </c>
      <c r="J284" s="77"/>
    </row>
    <row r="285" ht="13.65" customHeight="1">
      <c r="A285" s="70"/>
      <c r="B285" t="s" s="27">
        <v>1395</v>
      </c>
      <c r="C285" s="119">
        <v>5</v>
      </c>
      <c r="D285" t="s" s="85">
        <v>1397</v>
      </c>
      <c r="E285" t="s" s="86">
        <v>1400</v>
      </c>
      <c r="F285" s="87">
        <v>1</v>
      </c>
      <c r="G285" t="s" s="86">
        <v>1235</v>
      </c>
      <c r="H285" t="s" s="86">
        <v>770</v>
      </c>
      <c r="I285" t="s" s="144">
        <v>741</v>
      </c>
      <c r="J285" s="77"/>
    </row>
    <row r="286" ht="13.65" customHeight="1">
      <c r="A286" s="70"/>
      <c r="B286" t="s" s="94">
        <v>1395</v>
      </c>
      <c r="C286" s="118">
        <v>6</v>
      </c>
      <c r="D286" t="s" s="79">
        <v>756</v>
      </c>
      <c r="E286" t="s" s="80">
        <v>383</v>
      </c>
      <c r="F286" s="81">
        <v>20</v>
      </c>
      <c r="G286" t="s" s="80">
        <v>231</v>
      </c>
      <c r="H286" t="s" s="79">
        <v>1214</v>
      </c>
      <c r="I286" t="s" s="137">
        <v>741</v>
      </c>
      <c r="J286" s="77"/>
    </row>
    <row r="287" ht="13.65" customHeight="1">
      <c r="A287" s="70"/>
      <c r="B287" t="s" s="27">
        <v>1395</v>
      </c>
      <c r="C287" s="119">
        <v>7</v>
      </c>
      <c r="D287" t="s" s="85">
        <v>756</v>
      </c>
      <c r="E287" t="s" s="86">
        <v>231</v>
      </c>
      <c r="F287" s="87">
        <v>45</v>
      </c>
      <c r="G287" t="s" s="86">
        <v>231</v>
      </c>
      <c r="H287" t="s" s="85">
        <v>1401</v>
      </c>
      <c r="I287" t="s" s="144">
        <v>741</v>
      </c>
      <c r="J287" s="77"/>
    </row>
    <row r="288" ht="13.65" customHeight="1">
      <c r="A288" s="70"/>
      <c r="B288" t="s" s="94">
        <v>1395</v>
      </c>
      <c r="C288" s="118">
        <v>8</v>
      </c>
      <c r="D288" t="s" s="79">
        <v>776</v>
      </c>
      <c r="E288" t="s" s="80">
        <v>475</v>
      </c>
      <c r="F288" s="81">
        <v>22</v>
      </c>
      <c r="G288" t="s" s="80">
        <v>231</v>
      </c>
      <c r="H288" t="s" s="79">
        <v>1402</v>
      </c>
      <c r="I288" t="s" s="137">
        <v>741</v>
      </c>
      <c r="J288" s="77"/>
    </row>
    <row r="289" ht="13.65" customHeight="1">
      <c r="A289" s="70"/>
      <c r="B289" t="s" s="27">
        <v>1395</v>
      </c>
      <c r="C289" s="119">
        <v>9</v>
      </c>
      <c r="D289" t="s" s="85">
        <v>759</v>
      </c>
      <c r="E289" t="s" s="86">
        <v>1403</v>
      </c>
      <c r="F289" s="87">
        <v>150</v>
      </c>
      <c r="G289" t="s" s="86">
        <v>115</v>
      </c>
      <c r="H289" t="s" s="86">
        <v>821</v>
      </c>
      <c r="I289" t="s" s="144">
        <v>741</v>
      </c>
      <c r="J289" s="77"/>
    </row>
    <row r="290" ht="13.65" customHeight="1">
      <c r="A290" s="70"/>
      <c r="B290" t="s" s="94">
        <v>1395</v>
      </c>
      <c r="C290" s="118">
        <v>10</v>
      </c>
      <c r="D290" t="s" s="79">
        <v>759</v>
      </c>
      <c r="E290" t="s" s="80">
        <v>1285</v>
      </c>
      <c r="F290" s="81">
        <v>173</v>
      </c>
      <c r="G290" t="s" s="80">
        <v>231</v>
      </c>
      <c r="H290" t="s" s="80">
        <v>821</v>
      </c>
      <c r="I290" t="s" s="137">
        <v>741</v>
      </c>
      <c r="J290" s="77"/>
    </row>
    <row r="291" ht="13.65" customHeight="1">
      <c r="A291" s="70"/>
      <c r="B291" t="s" s="27">
        <v>1395</v>
      </c>
      <c r="C291" s="119">
        <v>11</v>
      </c>
      <c r="D291" t="s" s="85">
        <v>759</v>
      </c>
      <c r="E291" t="s" s="86">
        <v>277</v>
      </c>
      <c r="F291" s="87">
        <v>15</v>
      </c>
      <c r="G291" t="s" s="86">
        <v>115</v>
      </c>
      <c r="H291" t="s" s="86">
        <v>821</v>
      </c>
      <c r="I291" t="s" s="144">
        <v>741</v>
      </c>
      <c r="J291" s="77"/>
    </row>
    <row r="292" ht="13.65" customHeight="1">
      <c r="A292" s="70"/>
      <c r="B292" t="s" s="94">
        <v>1395</v>
      </c>
      <c r="C292" s="118">
        <v>12</v>
      </c>
      <c r="D292" t="s" s="79">
        <v>759</v>
      </c>
      <c r="E292" t="s" s="80">
        <v>1404</v>
      </c>
      <c r="F292" s="81">
        <v>75</v>
      </c>
      <c r="G292" t="s" s="80">
        <v>1235</v>
      </c>
      <c r="H292" t="s" s="80">
        <v>821</v>
      </c>
      <c r="I292" t="s" s="137">
        <v>741</v>
      </c>
      <c r="J292" s="77"/>
    </row>
    <row r="293" ht="13.65" customHeight="1">
      <c r="A293" s="70"/>
      <c r="B293" t="s" s="27">
        <v>1395</v>
      </c>
      <c r="C293" s="119">
        <v>13</v>
      </c>
      <c r="D293" t="s" s="85">
        <v>759</v>
      </c>
      <c r="E293" t="s" s="86">
        <v>1321</v>
      </c>
      <c r="F293" s="87">
        <v>38</v>
      </c>
      <c r="G293" t="s" s="86">
        <v>231</v>
      </c>
      <c r="H293" t="s" s="86">
        <v>821</v>
      </c>
      <c r="I293" t="s" s="144">
        <v>741</v>
      </c>
      <c r="J293" s="77"/>
    </row>
    <row r="294" ht="13.65" customHeight="1">
      <c r="A294" s="70"/>
      <c r="B294" t="s" s="94">
        <v>1395</v>
      </c>
      <c r="C294" s="118">
        <v>14</v>
      </c>
      <c r="D294" t="s" s="79">
        <v>759</v>
      </c>
      <c r="E294" t="s" s="80">
        <v>1405</v>
      </c>
      <c r="F294" s="81">
        <v>38</v>
      </c>
      <c r="G294" t="s" s="80">
        <v>231</v>
      </c>
      <c r="H294" t="s" s="80">
        <v>821</v>
      </c>
      <c r="I294" t="s" s="137">
        <v>741</v>
      </c>
      <c r="J294" s="77"/>
    </row>
    <row r="295" ht="13.65" customHeight="1">
      <c r="A295" s="70"/>
      <c r="B295" t="s" s="27">
        <v>1395</v>
      </c>
      <c r="C295" s="119">
        <v>15</v>
      </c>
      <c r="D295" t="s" s="85">
        <v>759</v>
      </c>
      <c r="E295" t="s" s="86">
        <v>383</v>
      </c>
      <c r="F295" s="87">
        <v>35</v>
      </c>
      <c r="G295" t="s" s="86">
        <v>231</v>
      </c>
      <c r="H295" t="s" s="86">
        <v>821</v>
      </c>
      <c r="I295" t="s" s="144">
        <v>741</v>
      </c>
      <c r="J295" s="77"/>
    </row>
    <row r="296" ht="13.65" customHeight="1">
      <c r="A296" s="70"/>
      <c r="B296" t="s" s="94">
        <v>1395</v>
      </c>
      <c r="C296" s="118">
        <v>16</v>
      </c>
      <c r="D296" t="s" s="79">
        <v>759</v>
      </c>
      <c r="E296" t="s" s="80">
        <v>200</v>
      </c>
      <c r="F296" s="81">
        <v>29</v>
      </c>
      <c r="G296" t="s" s="80">
        <v>231</v>
      </c>
      <c r="H296" t="s" s="80">
        <v>821</v>
      </c>
      <c r="I296" t="s" s="137">
        <v>741</v>
      </c>
      <c r="J296" s="77"/>
    </row>
    <row r="297" ht="13.65" customHeight="1">
      <c r="A297" s="70"/>
      <c r="B297" t="s" s="27">
        <v>1395</v>
      </c>
      <c r="C297" s="119">
        <v>17</v>
      </c>
      <c r="D297" t="s" s="85">
        <v>759</v>
      </c>
      <c r="E297" t="s" s="86">
        <v>277</v>
      </c>
      <c r="F297" s="87">
        <v>90</v>
      </c>
      <c r="G297" t="s" s="86">
        <v>115</v>
      </c>
      <c r="H297" t="s" s="86">
        <v>821</v>
      </c>
      <c r="I297" t="s" s="144">
        <v>741</v>
      </c>
      <c r="J297" s="77"/>
    </row>
    <row r="298" ht="13.65" customHeight="1">
      <c r="A298" s="70"/>
      <c r="B298" t="s" s="94">
        <v>1395</v>
      </c>
      <c r="C298" s="118">
        <v>18</v>
      </c>
      <c r="D298" t="s" s="79">
        <v>759</v>
      </c>
      <c r="E298" t="s" s="80">
        <v>475</v>
      </c>
      <c r="F298" s="81">
        <v>24</v>
      </c>
      <c r="G298" t="s" s="80">
        <v>231</v>
      </c>
      <c r="H298" t="s" s="80">
        <v>821</v>
      </c>
      <c r="I298" t="s" s="137">
        <v>741</v>
      </c>
      <c r="J298" s="77"/>
    </row>
    <row r="299" ht="13.65" customHeight="1">
      <c r="A299" s="70"/>
      <c r="B299" t="s" s="27">
        <v>1395</v>
      </c>
      <c r="C299" s="119">
        <v>19</v>
      </c>
      <c r="D299" t="s" s="85">
        <v>775</v>
      </c>
      <c r="E299" t="s" s="86">
        <v>1406</v>
      </c>
      <c r="F299" s="87">
        <v>4</v>
      </c>
      <c r="G299" t="s" s="86">
        <v>231</v>
      </c>
      <c r="H299" t="s" s="86">
        <v>821</v>
      </c>
      <c r="I299" t="s" s="144">
        <v>741</v>
      </c>
      <c r="J299" s="77"/>
    </row>
    <row r="300" ht="13.65" customHeight="1">
      <c r="A300" s="70"/>
      <c r="B300" t="s" s="94">
        <v>1395</v>
      </c>
      <c r="C300" s="118">
        <v>20</v>
      </c>
      <c r="D300" t="s" s="79">
        <v>775</v>
      </c>
      <c r="E300" t="s" s="80">
        <v>1270</v>
      </c>
      <c r="F300" s="81">
        <v>15</v>
      </c>
      <c r="G300" t="s" s="80">
        <v>231</v>
      </c>
      <c r="H300" t="s" s="80">
        <v>821</v>
      </c>
      <c r="I300" t="s" s="137">
        <v>741</v>
      </c>
      <c r="J300" s="77"/>
    </row>
    <row r="301" ht="13.65" customHeight="1">
      <c r="A301" s="70"/>
      <c r="B301" t="s" s="27">
        <v>1395</v>
      </c>
      <c r="C301" s="119">
        <v>21</v>
      </c>
      <c r="D301" t="s" s="85">
        <v>775</v>
      </c>
      <c r="E301" t="s" s="86">
        <v>1321</v>
      </c>
      <c r="F301" s="87">
        <v>54</v>
      </c>
      <c r="G301" t="s" s="86">
        <v>231</v>
      </c>
      <c r="H301" t="s" s="86">
        <v>821</v>
      </c>
      <c r="I301" t="s" s="144">
        <v>741</v>
      </c>
      <c r="J301" s="77"/>
    </row>
    <row r="302" ht="13.65" customHeight="1">
      <c r="A302" s="70"/>
      <c r="B302" t="s" s="94">
        <v>1395</v>
      </c>
      <c r="C302" s="118">
        <v>22</v>
      </c>
      <c r="D302" t="s" s="79">
        <v>775</v>
      </c>
      <c r="E302" t="s" s="80">
        <v>475</v>
      </c>
      <c r="F302" s="81">
        <v>32</v>
      </c>
      <c r="G302" t="s" s="80">
        <v>231</v>
      </c>
      <c r="H302" t="s" s="80">
        <v>821</v>
      </c>
      <c r="I302" t="s" s="137">
        <v>741</v>
      </c>
      <c r="J302" s="77"/>
    </row>
    <row r="303" ht="13.65" customHeight="1">
      <c r="A303" s="70"/>
      <c r="B303" t="s" s="27">
        <v>1395</v>
      </c>
      <c r="C303" s="119">
        <v>23</v>
      </c>
      <c r="D303" t="s" s="85">
        <v>775</v>
      </c>
      <c r="E303" t="s" s="86">
        <v>433</v>
      </c>
      <c r="F303" s="87">
        <v>139</v>
      </c>
      <c r="G303" t="s" s="86">
        <v>231</v>
      </c>
      <c r="H303" t="s" s="86">
        <v>821</v>
      </c>
      <c r="I303" t="s" s="144">
        <v>741</v>
      </c>
      <c r="J303" s="77"/>
    </row>
    <row r="304" ht="13.65" customHeight="1">
      <c r="A304" s="70"/>
      <c r="B304" t="s" s="94">
        <v>1395</v>
      </c>
      <c r="C304" s="118">
        <v>24</v>
      </c>
      <c r="D304" t="s" s="79">
        <v>775</v>
      </c>
      <c r="E304" t="s" s="80">
        <v>231</v>
      </c>
      <c r="F304" s="81">
        <v>68</v>
      </c>
      <c r="G304" t="s" s="80">
        <v>231</v>
      </c>
      <c r="H304" t="s" s="80">
        <v>821</v>
      </c>
      <c r="I304" t="s" s="137">
        <v>741</v>
      </c>
      <c r="J304" s="77"/>
    </row>
    <row r="305" ht="13.65" customHeight="1">
      <c r="A305" s="70"/>
      <c r="B305" t="s" s="27">
        <v>1395</v>
      </c>
      <c r="C305" s="119">
        <v>25</v>
      </c>
      <c r="D305" t="s" s="85">
        <v>775</v>
      </c>
      <c r="E305" t="s" s="86">
        <v>1321</v>
      </c>
      <c r="F305" s="87">
        <v>23</v>
      </c>
      <c r="G305" t="s" s="86">
        <v>231</v>
      </c>
      <c r="H305" t="s" s="86">
        <v>821</v>
      </c>
      <c r="I305" t="s" s="144">
        <v>741</v>
      </c>
      <c r="J305" s="77"/>
    </row>
    <row r="306" ht="13.65" customHeight="1">
      <c r="A306" s="70"/>
      <c r="B306" t="s" s="94">
        <v>1395</v>
      </c>
      <c r="C306" s="118">
        <v>26</v>
      </c>
      <c r="D306" t="s" s="79">
        <v>775</v>
      </c>
      <c r="E306" t="s" s="80">
        <v>383</v>
      </c>
      <c r="F306" s="81">
        <v>8</v>
      </c>
      <c r="G306" t="s" s="80">
        <v>231</v>
      </c>
      <c r="H306" t="s" s="80">
        <v>821</v>
      </c>
      <c r="I306" t="s" s="137">
        <v>741</v>
      </c>
      <c r="J306" s="77"/>
    </row>
    <row r="307" ht="13.65" customHeight="1">
      <c r="A307" s="70"/>
      <c r="B307" t="s" s="27">
        <v>1395</v>
      </c>
      <c r="C307" s="119">
        <v>27</v>
      </c>
      <c r="D307" t="s" s="85">
        <v>775</v>
      </c>
      <c r="E307" t="s" s="86">
        <v>231</v>
      </c>
      <c r="F307" s="87">
        <v>132</v>
      </c>
      <c r="G307" t="s" s="86">
        <v>231</v>
      </c>
      <c r="H307" t="s" s="86">
        <v>821</v>
      </c>
      <c r="I307" t="s" s="144">
        <v>741</v>
      </c>
      <c r="J307" s="77"/>
    </row>
    <row r="308" ht="13.65" customHeight="1">
      <c r="A308" s="70"/>
      <c r="B308" t="s" s="94">
        <v>1395</v>
      </c>
      <c r="C308" s="118">
        <v>28</v>
      </c>
      <c r="D308" t="s" s="79">
        <v>764</v>
      </c>
      <c r="E308" t="s" s="80">
        <v>277</v>
      </c>
      <c r="F308" s="81">
        <v>18</v>
      </c>
      <c r="G308" t="s" s="80">
        <v>115</v>
      </c>
      <c r="H308" t="s" s="80">
        <v>821</v>
      </c>
      <c r="I308" t="s" s="137">
        <v>741</v>
      </c>
      <c r="J308" s="77"/>
    </row>
    <row r="309" ht="13.65" customHeight="1">
      <c r="A309" s="70"/>
      <c r="B309" t="s" s="27">
        <v>1395</v>
      </c>
      <c r="C309" s="119">
        <v>29</v>
      </c>
      <c r="D309" t="s" s="85">
        <v>764</v>
      </c>
      <c r="E309" t="s" s="86">
        <v>277</v>
      </c>
      <c r="F309" s="87">
        <v>90</v>
      </c>
      <c r="G309" t="s" s="86">
        <v>115</v>
      </c>
      <c r="H309" t="s" s="86">
        <v>821</v>
      </c>
      <c r="I309" t="s" s="144">
        <v>741</v>
      </c>
      <c r="J309" s="77"/>
    </row>
    <row r="310" ht="13.65" customHeight="1">
      <c r="A310" s="70"/>
      <c r="B310" t="s" s="94">
        <v>1395</v>
      </c>
      <c r="C310" s="118">
        <v>30</v>
      </c>
      <c r="D310" t="s" s="79">
        <v>764</v>
      </c>
      <c r="E310" t="s" s="80">
        <v>277</v>
      </c>
      <c r="F310" s="81">
        <v>36</v>
      </c>
      <c r="G310" t="s" s="80">
        <v>115</v>
      </c>
      <c r="H310" t="s" s="80">
        <v>821</v>
      </c>
      <c r="I310" t="s" s="137">
        <v>741</v>
      </c>
      <c r="J310" s="77"/>
    </row>
    <row r="311" ht="13.65" customHeight="1">
      <c r="A311" s="70"/>
      <c r="B311" t="s" s="27">
        <v>1395</v>
      </c>
      <c r="C311" s="119">
        <v>31</v>
      </c>
      <c r="D311" t="s" s="85">
        <v>764</v>
      </c>
      <c r="E311" t="s" s="86">
        <v>1407</v>
      </c>
      <c r="F311" s="87">
        <v>26</v>
      </c>
      <c r="G311" t="s" s="86">
        <v>231</v>
      </c>
      <c r="H311" t="s" s="86">
        <v>821</v>
      </c>
      <c r="I311" t="s" s="144">
        <v>741</v>
      </c>
      <c r="J311" s="77"/>
    </row>
    <row r="312" ht="13.65" customHeight="1">
      <c r="A312" s="70"/>
      <c r="B312" t="s" s="94">
        <v>1395</v>
      </c>
      <c r="C312" s="118">
        <v>32</v>
      </c>
      <c r="D312" t="s" s="79">
        <v>764</v>
      </c>
      <c r="E312" t="s" s="80">
        <v>231</v>
      </c>
      <c r="F312" s="81">
        <v>147</v>
      </c>
      <c r="G312" t="s" s="80">
        <v>231</v>
      </c>
      <c r="H312" t="s" s="80">
        <v>821</v>
      </c>
      <c r="I312" t="s" s="137">
        <v>741</v>
      </c>
      <c r="J312" s="77"/>
    </row>
    <row r="313" ht="13.65" customHeight="1">
      <c r="A313" s="70"/>
      <c r="B313" t="s" s="27">
        <v>1395</v>
      </c>
      <c r="C313" s="119">
        <v>33</v>
      </c>
      <c r="D313" t="s" s="85">
        <v>764</v>
      </c>
      <c r="E313" t="s" s="86">
        <v>1408</v>
      </c>
      <c r="F313" s="87">
        <v>34</v>
      </c>
      <c r="G313" t="s" s="86">
        <v>1238</v>
      </c>
      <c r="H313" t="s" s="86">
        <v>821</v>
      </c>
      <c r="I313" t="s" s="144">
        <v>741</v>
      </c>
      <c r="J313" s="77"/>
    </row>
    <row r="314" ht="13.65" customHeight="1">
      <c r="A314" s="70"/>
      <c r="B314" t="s" s="94">
        <v>1395</v>
      </c>
      <c r="C314" s="118">
        <v>34</v>
      </c>
      <c r="D314" t="s" s="79">
        <v>764</v>
      </c>
      <c r="E314" t="s" s="80">
        <v>1321</v>
      </c>
      <c r="F314" s="81">
        <v>23</v>
      </c>
      <c r="G314" t="s" s="80">
        <v>231</v>
      </c>
      <c r="H314" t="s" s="80">
        <v>821</v>
      </c>
      <c r="I314" t="s" s="137">
        <v>741</v>
      </c>
      <c r="J314" s="77"/>
    </row>
    <row r="315" ht="13.65" customHeight="1">
      <c r="A315" s="70"/>
      <c r="B315" t="s" s="27">
        <v>1395</v>
      </c>
      <c r="C315" s="119">
        <v>35</v>
      </c>
      <c r="D315" t="s" s="85">
        <v>764</v>
      </c>
      <c r="E315" t="s" s="86">
        <v>231</v>
      </c>
      <c r="F315" s="87">
        <v>130</v>
      </c>
      <c r="G315" t="s" s="86">
        <v>231</v>
      </c>
      <c r="H315" t="s" s="86">
        <v>821</v>
      </c>
      <c r="I315" t="s" s="144">
        <v>741</v>
      </c>
      <c r="J315" s="77"/>
    </row>
    <row r="316" ht="13.65" customHeight="1">
      <c r="A316" s="70"/>
      <c r="B316" t="s" s="94">
        <v>1395</v>
      </c>
      <c r="C316" s="118">
        <v>36</v>
      </c>
      <c r="D316" t="s" s="79">
        <v>764</v>
      </c>
      <c r="E316" t="s" s="80">
        <v>1406</v>
      </c>
      <c r="F316" s="81">
        <v>44</v>
      </c>
      <c r="G316" t="s" s="80">
        <v>231</v>
      </c>
      <c r="H316" t="s" s="80">
        <v>821</v>
      </c>
      <c r="I316" t="s" s="137">
        <v>741</v>
      </c>
      <c r="J316" s="77"/>
    </row>
    <row r="317" ht="13.65" customHeight="1">
      <c r="A317" s="70"/>
      <c r="B317" t="s" s="27">
        <v>1395</v>
      </c>
      <c r="C317" s="119">
        <v>37</v>
      </c>
      <c r="D317" t="s" s="85">
        <v>756</v>
      </c>
      <c r="E317" t="s" s="86">
        <v>231</v>
      </c>
      <c r="F317" s="87">
        <v>311</v>
      </c>
      <c r="G317" t="s" s="86">
        <v>231</v>
      </c>
      <c r="H317" t="s" s="86">
        <v>821</v>
      </c>
      <c r="I317" t="s" s="144">
        <v>741</v>
      </c>
      <c r="J317" s="77"/>
    </row>
    <row r="318" ht="13.65" customHeight="1">
      <c r="A318" s="70"/>
      <c r="B318" t="s" s="94">
        <v>1395</v>
      </c>
      <c r="C318" s="118">
        <v>38</v>
      </c>
      <c r="D318" t="s" s="79">
        <v>756</v>
      </c>
      <c r="E318" t="s" s="80">
        <v>1270</v>
      </c>
      <c r="F318" s="81">
        <v>15</v>
      </c>
      <c r="G318" t="s" s="80">
        <v>231</v>
      </c>
      <c r="H318" t="s" s="80">
        <v>821</v>
      </c>
      <c r="I318" t="s" s="137">
        <v>741</v>
      </c>
      <c r="J318" s="77"/>
    </row>
    <row r="319" ht="13.65" customHeight="1">
      <c r="A319" s="70"/>
      <c r="B319" t="s" s="27">
        <v>1395</v>
      </c>
      <c r="C319" s="119">
        <v>39</v>
      </c>
      <c r="D319" t="s" s="85">
        <v>756</v>
      </c>
      <c r="E319" t="s" s="86">
        <v>200</v>
      </c>
      <c r="F319" s="87">
        <v>70</v>
      </c>
      <c r="G319" t="s" s="86">
        <v>231</v>
      </c>
      <c r="H319" t="s" s="86">
        <v>821</v>
      </c>
      <c r="I319" t="s" s="144">
        <v>741</v>
      </c>
      <c r="J319" s="77"/>
    </row>
    <row r="320" ht="13.65" customHeight="1">
      <c r="A320" s="70"/>
      <c r="B320" t="s" s="94">
        <v>1395</v>
      </c>
      <c r="C320" s="118">
        <v>40</v>
      </c>
      <c r="D320" t="s" s="79">
        <v>756</v>
      </c>
      <c r="E320" t="s" s="80">
        <v>1282</v>
      </c>
      <c r="F320" s="81">
        <v>15</v>
      </c>
      <c r="G320" t="s" s="80">
        <v>1255</v>
      </c>
      <c r="H320" t="s" s="80">
        <v>821</v>
      </c>
      <c r="I320" t="s" s="137">
        <v>741</v>
      </c>
      <c r="J320" s="77"/>
    </row>
    <row r="321" ht="13.65" customHeight="1">
      <c r="A321" s="70"/>
      <c r="B321" t="s" s="27">
        <v>1395</v>
      </c>
      <c r="C321" s="119">
        <v>41</v>
      </c>
      <c r="D321" t="s" s="85">
        <v>756</v>
      </c>
      <c r="E321" t="s" s="86">
        <v>231</v>
      </c>
      <c r="F321" s="87">
        <v>225</v>
      </c>
      <c r="G321" t="s" s="86">
        <v>231</v>
      </c>
      <c r="H321" t="s" s="86">
        <v>821</v>
      </c>
      <c r="I321" t="s" s="144">
        <v>741</v>
      </c>
      <c r="J321" s="77"/>
    </row>
    <row r="322" ht="13.65" customHeight="1">
      <c r="A322" s="70"/>
      <c r="B322" t="s" s="94">
        <v>1395</v>
      </c>
      <c r="C322" s="118">
        <v>42</v>
      </c>
      <c r="D322" t="s" s="79">
        <v>756</v>
      </c>
      <c r="E322" t="s" s="80">
        <v>231</v>
      </c>
      <c r="F322" s="81">
        <v>50</v>
      </c>
      <c r="G322" t="s" s="80">
        <v>231</v>
      </c>
      <c r="H322" t="s" s="80">
        <v>821</v>
      </c>
      <c r="I322" t="s" s="137">
        <v>741</v>
      </c>
      <c r="J322" s="77"/>
    </row>
    <row r="323" ht="13.65" customHeight="1">
      <c r="A323" s="70"/>
      <c r="B323" t="s" s="27">
        <v>1395</v>
      </c>
      <c r="C323" s="119">
        <v>43</v>
      </c>
      <c r="D323" t="s" s="85">
        <v>756</v>
      </c>
      <c r="E323" t="s" s="86">
        <v>1408</v>
      </c>
      <c r="F323" s="87">
        <v>19</v>
      </c>
      <c r="G323" t="s" s="86">
        <v>1238</v>
      </c>
      <c r="H323" t="s" s="86">
        <v>821</v>
      </c>
      <c r="I323" t="s" s="144">
        <v>741</v>
      </c>
      <c r="J323" s="77"/>
    </row>
    <row r="324" ht="13.65" customHeight="1">
      <c r="A324" s="70"/>
      <c r="B324" t="s" s="94">
        <v>1395</v>
      </c>
      <c r="C324" s="118">
        <v>44</v>
      </c>
      <c r="D324" t="s" s="79">
        <v>756</v>
      </c>
      <c r="E324" t="s" s="80">
        <v>475</v>
      </c>
      <c r="F324" s="81">
        <v>21</v>
      </c>
      <c r="G324" t="s" s="80">
        <v>231</v>
      </c>
      <c r="H324" t="s" s="80">
        <v>821</v>
      </c>
      <c r="I324" t="s" s="137">
        <v>741</v>
      </c>
      <c r="J324" s="77"/>
    </row>
    <row r="325" ht="13.65" customHeight="1">
      <c r="A325" s="70"/>
      <c r="B325" t="s" s="27">
        <v>1395</v>
      </c>
      <c r="C325" s="119">
        <v>45</v>
      </c>
      <c r="D325" t="s" s="85">
        <v>756</v>
      </c>
      <c r="E325" t="s" s="86">
        <v>1321</v>
      </c>
      <c r="F325" s="87">
        <v>22</v>
      </c>
      <c r="G325" t="s" s="86">
        <v>231</v>
      </c>
      <c r="H325" t="s" s="86">
        <v>821</v>
      </c>
      <c r="I325" t="s" s="144">
        <v>741</v>
      </c>
      <c r="J325" s="77"/>
    </row>
    <row r="326" ht="13.65" customHeight="1">
      <c r="A326" s="70"/>
      <c r="B326" t="s" s="94">
        <v>1395</v>
      </c>
      <c r="C326" s="118">
        <v>46</v>
      </c>
      <c r="D326" t="s" s="79">
        <v>756</v>
      </c>
      <c r="E326" t="s" s="80">
        <v>1406</v>
      </c>
      <c r="F326" s="81">
        <v>56</v>
      </c>
      <c r="G326" t="s" s="80">
        <v>231</v>
      </c>
      <c r="H326" t="s" s="80">
        <v>821</v>
      </c>
      <c r="I326" t="s" s="137">
        <v>741</v>
      </c>
      <c r="J326" s="77"/>
    </row>
    <row r="327" ht="13.65" customHeight="1">
      <c r="A327" s="70"/>
      <c r="B327" t="s" s="27">
        <v>1395</v>
      </c>
      <c r="C327" s="119">
        <v>47</v>
      </c>
      <c r="D327" t="s" s="85">
        <v>776</v>
      </c>
      <c r="E327" t="s" s="86">
        <v>1403</v>
      </c>
      <c r="F327" s="87">
        <v>130</v>
      </c>
      <c r="G327" t="s" s="86">
        <v>115</v>
      </c>
      <c r="H327" t="s" s="86">
        <v>821</v>
      </c>
      <c r="I327" t="s" s="144">
        <v>741</v>
      </c>
      <c r="J327" s="77"/>
    </row>
    <row r="328" ht="13.65" customHeight="1">
      <c r="A328" s="70"/>
      <c r="B328" t="s" s="94">
        <v>1395</v>
      </c>
      <c r="C328" s="118">
        <v>48</v>
      </c>
      <c r="D328" t="s" s="79">
        <v>776</v>
      </c>
      <c r="E328" t="s" s="80">
        <v>475</v>
      </c>
      <c r="F328" s="81">
        <v>22</v>
      </c>
      <c r="G328" t="s" s="80">
        <v>231</v>
      </c>
      <c r="H328" t="s" s="80">
        <v>821</v>
      </c>
      <c r="I328" t="s" s="137">
        <v>741</v>
      </c>
      <c r="J328" s="77"/>
    </row>
    <row r="329" ht="13.65" customHeight="1">
      <c r="A329" s="70"/>
      <c r="B329" t="s" s="27">
        <v>1395</v>
      </c>
      <c r="C329" s="119">
        <v>49</v>
      </c>
      <c r="D329" t="s" s="85">
        <v>776</v>
      </c>
      <c r="E329" t="s" s="86">
        <v>231</v>
      </c>
      <c r="F329" s="87">
        <v>184</v>
      </c>
      <c r="G329" t="s" s="86">
        <v>231</v>
      </c>
      <c r="H329" t="s" s="86">
        <v>821</v>
      </c>
      <c r="I329" t="s" s="144">
        <v>741</v>
      </c>
      <c r="J329" s="77"/>
    </row>
    <row r="330" ht="13.65" customHeight="1">
      <c r="A330" s="70"/>
      <c r="B330" t="s" s="94">
        <v>1395</v>
      </c>
      <c r="C330" s="118">
        <v>50</v>
      </c>
      <c r="D330" t="s" s="79">
        <v>776</v>
      </c>
      <c r="E330" t="s" s="80">
        <v>231</v>
      </c>
      <c r="F330" s="81">
        <v>37</v>
      </c>
      <c r="G330" t="s" s="80">
        <v>231</v>
      </c>
      <c r="H330" t="s" s="80">
        <v>821</v>
      </c>
      <c r="I330" t="s" s="137">
        <v>741</v>
      </c>
      <c r="J330" s="77"/>
    </row>
    <row r="331" ht="13.65" customHeight="1">
      <c r="A331" s="70"/>
      <c r="B331" t="s" s="27">
        <v>1395</v>
      </c>
      <c r="C331" s="119">
        <v>51</v>
      </c>
      <c r="D331" t="s" s="85">
        <v>776</v>
      </c>
      <c r="E331" t="s" s="86">
        <v>200</v>
      </c>
      <c r="F331" s="87">
        <v>40</v>
      </c>
      <c r="G331" t="s" s="86">
        <v>231</v>
      </c>
      <c r="H331" t="s" s="86">
        <v>821</v>
      </c>
      <c r="I331" t="s" s="144">
        <v>741</v>
      </c>
      <c r="J331" s="77"/>
    </row>
    <row r="332" ht="13.65" customHeight="1">
      <c r="A332" s="70"/>
      <c r="B332" t="s" s="94">
        <v>1395</v>
      </c>
      <c r="C332" s="118">
        <v>52</v>
      </c>
      <c r="D332" t="s" s="79">
        <v>776</v>
      </c>
      <c r="E332" t="s" s="80">
        <v>1407</v>
      </c>
      <c r="F332" s="81">
        <v>52</v>
      </c>
      <c r="G332" t="s" s="80">
        <v>231</v>
      </c>
      <c r="H332" t="s" s="80">
        <v>821</v>
      </c>
      <c r="I332" t="s" s="137">
        <v>741</v>
      </c>
      <c r="J332" s="77"/>
    </row>
    <row r="333" ht="13.65" customHeight="1">
      <c r="A333" s="70"/>
      <c r="B333" t="s" s="27">
        <v>1395</v>
      </c>
      <c r="C333" s="119">
        <v>53</v>
      </c>
      <c r="D333" t="s" s="85">
        <v>776</v>
      </c>
      <c r="E333" t="s" s="86">
        <v>1409</v>
      </c>
      <c r="F333" s="87">
        <v>22</v>
      </c>
      <c r="G333" t="s" s="86">
        <v>231</v>
      </c>
      <c r="H333" t="s" s="86">
        <v>821</v>
      </c>
      <c r="I333" t="s" s="144">
        <v>741</v>
      </c>
      <c r="J333" s="77"/>
    </row>
    <row r="334" ht="13.65" customHeight="1">
      <c r="A334" s="70"/>
      <c r="B334" t="s" s="94">
        <v>1395</v>
      </c>
      <c r="C334" s="118">
        <v>54</v>
      </c>
      <c r="D334" t="s" s="79">
        <v>776</v>
      </c>
      <c r="E334" t="s" s="80">
        <v>1410</v>
      </c>
      <c r="F334" s="81">
        <v>37</v>
      </c>
      <c r="G334" t="s" s="80">
        <v>231</v>
      </c>
      <c r="H334" t="s" s="80">
        <v>821</v>
      </c>
      <c r="I334" t="s" s="137">
        <v>741</v>
      </c>
      <c r="J334" s="77"/>
    </row>
    <row r="335" ht="13.65" customHeight="1">
      <c r="A335" s="70"/>
      <c r="B335" t="s" s="27">
        <v>1395</v>
      </c>
      <c r="C335" s="119">
        <v>55</v>
      </c>
      <c r="D335" t="s" s="85">
        <v>1397</v>
      </c>
      <c r="E335" t="s" s="86">
        <v>1411</v>
      </c>
      <c r="F335" s="87">
        <v>827</v>
      </c>
      <c r="G335" t="s" s="86">
        <v>1235</v>
      </c>
      <c r="H335" t="s" s="86">
        <v>762</v>
      </c>
      <c r="I335" t="s" s="144">
        <v>741</v>
      </c>
      <c r="J335" s="77"/>
    </row>
    <row r="336" ht="13.65" customHeight="1">
      <c r="A336" s="70"/>
      <c r="B336" t="s" s="94">
        <v>1395</v>
      </c>
      <c r="C336" s="118">
        <v>56</v>
      </c>
      <c r="D336" t="s" s="79">
        <v>791</v>
      </c>
      <c r="E336" t="s" s="80">
        <v>206</v>
      </c>
      <c r="F336" s="81">
        <v>2742</v>
      </c>
      <c r="G336" t="s" s="80">
        <v>1218</v>
      </c>
      <c r="H336" t="s" s="80">
        <v>770</v>
      </c>
      <c r="I336" t="s" s="137">
        <v>741</v>
      </c>
      <c r="J336" s="77"/>
    </row>
    <row r="337" ht="13.65" customHeight="1">
      <c r="A337" s="70"/>
      <c r="B337" t="s" s="27">
        <v>1395</v>
      </c>
      <c r="C337" s="119">
        <v>57</v>
      </c>
      <c r="D337" t="s" s="85">
        <v>759</v>
      </c>
      <c r="E337" t="s" s="86">
        <v>1412</v>
      </c>
      <c r="F337" s="87">
        <v>166</v>
      </c>
      <c r="G337" t="s" s="86">
        <v>1218</v>
      </c>
      <c r="H337" t="s" s="86">
        <v>770</v>
      </c>
      <c r="I337" t="s" s="144">
        <v>741</v>
      </c>
      <c r="J337" s="77"/>
    </row>
    <row r="338" ht="13.65" customHeight="1">
      <c r="A338" s="70"/>
      <c r="B338" t="s" s="94">
        <v>1395</v>
      </c>
      <c r="C338" s="118">
        <v>58</v>
      </c>
      <c r="D338" t="s" s="79">
        <v>764</v>
      </c>
      <c r="E338" t="s" s="80">
        <v>1413</v>
      </c>
      <c r="F338" s="81">
        <v>10</v>
      </c>
      <c r="G338" t="s" s="80">
        <v>1238</v>
      </c>
      <c r="H338" t="s" s="80">
        <v>770</v>
      </c>
      <c r="I338" t="s" s="137">
        <v>741</v>
      </c>
      <c r="J338" s="77"/>
    </row>
    <row r="339" ht="13.65" customHeight="1">
      <c r="A339" s="70"/>
      <c r="B339" t="s" s="27">
        <v>1395</v>
      </c>
      <c r="C339" s="119">
        <v>59</v>
      </c>
      <c r="D339" t="s" s="85">
        <v>776</v>
      </c>
      <c r="E339" t="s" s="86">
        <v>1392</v>
      </c>
      <c r="F339" s="87">
        <v>250</v>
      </c>
      <c r="G339" t="s" s="86">
        <v>115</v>
      </c>
      <c r="H339" t="s" s="86">
        <v>770</v>
      </c>
      <c r="I339" t="s" s="144">
        <v>741</v>
      </c>
      <c r="J339" s="77"/>
    </row>
    <row r="340" ht="13.65" customHeight="1">
      <c r="A340" s="70"/>
      <c r="B340" t="s" s="94">
        <v>1395</v>
      </c>
      <c r="C340" s="118">
        <v>60</v>
      </c>
      <c r="D340" s="100"/>
      <c r="E340" t="s" s="80">
        <v>1414</v>
      </c>
      <c r="F340" s="81">
        <v>110</v>
      </c>
      <c r="G340" t="s" s="80">
        <v>1235</v>
      </c>
      <c r="H340" t="s" s="80">
        <v>781</v>
      </c>
      <c r="I340" t="s" s="137">
        <v>741</v>
      </c>
      <c r="J340" s="77"/>
    </row>
    <row r="341" ht="13.65" customHeight="1">
      <c r="A341" s="70"/>
      <c r="B341" t="s" s="27">
        <v>1395</v>
      </c>
      <c r="C341" s="119">
        <v>61</v>
      </c>
      <c r="D341" s="99"/>
      <c r="E341" t="s" s="86">
        <v>129</v>
      </c>
      <c r="F341" s="87">
        <v>34</v>
      </c>
      <c r="G341" t="s" s="86">
        <v>231</v>
      </c>
      <c r="H341" t="s" s="86">
        <v>781</v>
      </c>
      <c r="I341" t="s" s="144">
        <v>741</v>
      </c>
      <c r="J341" s="77"/>
    </row>
    <row r="342" ht="13.65" customHeight="1">
      <c r="A342" s="70"/>
      <c r="B342" t="s" s="94">
        <v>719</v>
      </c>
      <c r="C342" s="118">
        <v>2</v>
      </c>
      <c r="D342" t="s" s="79">
        <v>1415</v>
      </c>
      <c r="E342" t="s" s="80">
        <v>1213</v>
      </c>
      <c r="F342" s="81">
        <v>663</v>
      </c>
      <c r="G342" t="s" s="80">
        <v>1213</v>
      </c>
      <c r="H342" t="s" s="80">
        <v>762</v>
      </c>
      <c r="I342" t="s" s="137">
        <v>741</v>
      </c>
      <c r="J342" s="77"/>
    </row>
    <row r="343" ht="13.65" customHeight="1">
      <c r="A343" s="70"/>
      <c r="B343" t="s" s="27">
        <v>719</v>
      </c>
      <c r="C343" s="119">
        <v>5</v>
      </c>
      <c r="D343" t="s" s="85">
        <v>1416</v>
      </c>
      <c r="E343" t="s" s="86">
        <v>1417</v>
      </c>
      <c r="F343" s="87">
        <v>362</v>
      </c>
      <c r="G343" t="s" s="86">
        <v>1218</v>
      </c>
      <c r="H343" t="s" s="86">
        <v>983</v>
      </c>
      <c r="I343" t="s" s="144">
        <v>741</v>
      </c>
      <c r="J343" s="77"/>
    </row>
    <row r="344" ht="13.65" customHeight="1">
      <c r="A344" s="70"/>
      <c r="B344" t="s" s="94">
        <v>719</v>
      </c>
      <c r="C344" s="118">
        <v>6</v>
      </c>
      <c r="D344" t="s" s="79">
        <v>911</v>
      </c>
      <c r="E344" t="s" s="80">
        <v>1417</v>
      </c>
      <c r="F344" s="81">
        <v>260</v>
      </c>
      <c r="G344" t="s" s="80">
        <v>1218</v>
      </c>
      <c r="H344" t="s" s="80">
        <v>983</v>
      </c>
      <c r="I344" t="s" s="137">
        <v>741</v>
      </c>
      <c r="J344" s="77"/>
    </row>
    <row r="345" ht="13.65" customHeight="1">
      <c r="A345" s="70"/>
      <c r="B345" t="s" s="27">
        <v>719</v>
      </c>
      <c r="C345" s="119">
        <v>7</v>
      </c>
      <c r="D345" t="s" s="85">
        <v>1418</v>
      </c>
      <c r="E345" t="s" s="86">
        <v>722</v>
      </c>
      <c r="F345" s="87">
        <v>-602</v>
      </c>
      <c r="G345" t="s" s="86">
        <v>1213</v>
      </c>
      <c r="H345" t="s" s="86">
        <v>842</v>
      </c>
      <c r="I345" t="s" s="144">
        <v>741</v>
      </c>
      <c r="J345" s="77"/>
    </row>
    <row r="346" ht="13.65" customHeight="1">
      <c r="A346" s="70"/>
      <c r="B346" t="s" s="94">
        <v>719</v>
      </c>
      <c r="C346" s="118">
        <v>8</v>
      </c>
      <c r="D346" t="s" s="79">
        <v>1419</v>
      </c>
      <c r="E346" t="s" s="80">
        <v>723</v>
      </c>
      <c r="F346" s="81">
        <v>-257</v>
      </c>
      <c r="G346" t="s" s="80">
        <v>1218</v>
      </c>
      <c r="H346" t="s" s="80">
        <v>983</v>
      </c>
      <c r="I346" t="s" s="137">
        <v>741</v>
      </c>
      <c r="J346" s="77"/>
    </row>
    <row r="347" ht="13.65" customHeight="1">
      <c r="A347" s="70"/>
      <c r="B347" t="s" s="27">
        <v>719</v>
      </c>
      <c r="C347" s="119">
        <v>9</v>
      </c>
      <c r="D347" t="s" s="85">
        <v>1420</v>
      </c>
      <c r="E347" t="s" s="86">
        <v>723</v>
      </c>
      <c r="F347" s="87">
        <v>-353</v>
      </c>
      <c r="G347" t="s" s="86">
        <v>1218</v>
      </c>
      <c r="H347" t="s" s="86">
        <v>983</v>
      </c>
      <c r="I347" t="s" s="144">
        <v>741</v>
      </c>
      <c r="J347" s="77"/>
    </row>
    <row r="348" ht="13.65" customHeight="1">
      <c r="A348" s="70"/>
      <c r="B348" t="s" s="94">
        <v>203</v>
      </c>
      <c r="C348" s="118">
        <v>2</v>
      </c>
      <c r="D348" t="s" s="79">
        <v>1421</v>
      </c>
      <c r="E348" t="s" s="80">
        <v>1422</v>
      </c>
      <c r="F348" s="81">
        <v>8357</v>
      </c>
      <c r="G348" s="100"/>
      <c r="H348" t="s" s="80">
        <v>847</v>
      </c>
      <c r="I348" t="s" s="137">
        <v>741</v>
      </c>
      <c r="J348" s="77"/>
    </row>
    <row r="349" ht="13.65" customHeight="1">
      <c r="A349" s="70"/>
      <c r="B349" t="s" s="27">
        <v>203</v>
      </c>
      <c r="C349" s="119">
        <v>3</v>
      </c>
      <c r="D349" t="s" s="85">
        <v>1423</v>
      </c>
      <c r="E349" t="s" s="86">
        <v>1424</v>
      </c>
      <c r="F349" s="87">
        <v>7024</v>
      </c>
      <c r="G349" s="99"/>
      <c r="H349" t="s" s="86">
        <v>847</v>
      </c>
      <c r="I349" t="s" s="144">
        <v>741</v>
      </c>
      <c r="J349" s="77"/>
    </row>
    <row r="350" ht="13.65" customHeight="1">
      <c r="A350" s="70"/>
      <c r="B350" t="s" s="94">
        <v>203</v>
      </c>
      <c r="C350" s="118">
        <v>4</v>
      </c>
      <c r="D350" t="s" s="79">
        <v>1425</v>
      </c>
      <c r="E350" t="s" s="79">
        <v>1426</v>
      </c>
      <c r="F350" s="81">
        <v>8543</v>
      </c>
      <c r="G350" s="100"/>
      <c r="H350" t="s" s="80">
        <v>842</v>
      </c>
      <c r="I350" t="s" s="137">
        <v>741</v>
      </c>
      <c r="J350" s="77"/>
    </row>
    <row r="351" ht="13.65" customHeight="1">
      <c r="A351" s="70"/>
      <c r="B351" t="s" s="27">
        <v>203</v>
      </c>
      <c r="C351" s="119">
        <v>5</v>
      </c>
      <c r="D351" t="s" s="85">
        <v>1115</v>
      </c>
      <c r="E351" t="s" s="86">
        <v>380</v>
      </c>
      <c r="F351" s="87">
        <v>536</v>
      </c>
      <c r="G351" s="99"/>
      <c r="H351" t="s" s="86">
        <v>842</v>
      </c>
      <c r="I351" t="s" s="144">
        <v>741</v>
      </c>
      <c r="J351" s="77"/>
    </row>
    <row r="352" ht="13.65" customHeight="1">
      <c r="A352" s="70"/>
      <c r="B352" t="s" s="94">
        <v>203</v>
      </c>
      <c r="C352" s="118">
        <v>6</v>
      </c>
      <c r="D352" t="s" s="79">
        <v>1427</v>
      </c>
      <c r="E352" t="s" s="80">
        <v>1428</v>
      </c>
      <c r="F352" s="81">
        <v>120</v>
      </c>
      <c r="G352" s="100"/>
      <c r="H352" t="s" s="80">
        <v>847</v>
      </c>
      <c r="I352" t="s" s="137">
        <v>741</v>
      </c>
      <c r="J352" s="77"/>
    </row>
    <row r="353" ht="13.65" customHeight="1">
      <c r="A353" s="70"/>
      <c r="B353" t="s" s="27">
        <v>203</v>
      </c>
      <c r="C353" s="119">
        <v>7</v>
      </c>
      <c r="D353" t="s" s="85">
        <v>1425</v>
      </c>
      <c r="E353" t="s" s="86">
        <v>1429</v>
      </c>
      <c r="F353" s="87">
        <v>849</v>
      </c>
      <c r="G353" s="99"/>
      <c r="H353" t="s" s="86">
        <v>842</v>
      </c>
      <c r="I353" t="s" s="144">
        <v>741</v>
      </c>
      <c r="J353" s="77"/>
    </row>
    <row r="354" ht="13.65" customHeight="1">
      <c r="A354" s="70"/>
      <c r="B354" t="s" s="94">
        <v>203</v>
      </c>
      <c r="C354" s="118">
        <v>8</v>
      </c>
      <c r="D354" t="s" s="79">
        <v>1425</v>
      </c>
      <c r="E354" t="s" s="80">
        <v>1430</v>
      </c>
      <c r="F354" s="81">
        <v>849</v>
      </c>
      <c r="G354" s="100"/>
      <c r="H354" t="s" s="80">
        <v>842</v>
      </c>
      <c r="I354" t="s" s="137">
        <v>741</v>
      </c>
      <c r="J354" s="77"/>
    </row>
    <row r="355" ht="13.65" customHeight="1">
      <c r="A355" s="70"/>
      <c r="B355" t="s" s="27">
        <v>203</v>
      </c>
      <c r="C355" s="119">
        <v>9</v>
      </c>
      <c r="D355" t="s" s="85">
        <v>1114</v>
      </c>
      <c r="E355" t="s" s="85">
        <v>1431</v>
      </c>
      <c r="F355" s="87">
        <v>1960</v>
      </c>
      <c r="G355" s="99"/>
      <c r="H355" t="s" s="86">
        <v>842</v>
      </c>
      <c r="I355" t="s" s="144">
        <v>741</v>
      </c>
      <c r="J355" s="77"/>
    </row>
    <row r="356" ht="13.65" customHeight="1">
      <c r="A356" s="70"/>
      <c r="B356" t="s" s="94">
        <v>204</v>
      </c>
      <c r="C356" s="118">
        <v>2</v>
      </c>
      <c r="D356" t="s" s="79">
        <v>1432</v>
      </c>
      <c r="E356" t="s" s="80">
        <v>1213</v>
      </c>
      <c r="F356" s="81">
        <v>2799</v>
      </c>
      <c r="G356" t="s" s="80">
        <v>1213</v>
      </c>
      <c r="H356" t="s" s="80">
        <v>762</v>
      </c>
      <c r="I356" t="s" s="137">
        <v>741</v>
      </c>
      <c r="J356" s="77"/>
    </row>
    <row r="357" ht="13.65" customHeight="1">
      <c r="A357" s="70"/>
      <c r="B357" t="s" s="27">
        <v>204</v>
      </c>
      <c r="C357" s="119">
        <v>4</v>
      </c>
      <c r="D357" t="s" s="85">
        <v>1433</v>
      </c>
      <c r="E357" t="s" s="86">
        <v>1434</v>
      </c>
      <c r="F357" s="87">
        <v>100</v>
      </c>
      <c r="G357" t="s" s="86">
        <v>1218</v>
      </c>
      <c r="H357" t="s" s="86">
        <v>847</v>
      </c>
      <c r="I357" t="s" s="144">
        <v>741</v>
      </c>
      <c r="J357" s="77"/>
    </row>
    <row r="358" ht="13.65" customHeight="1">
      <c r="A358" s="70"/>
      <c r="B358" t="s" s="94">
        <v>204</v>
      </c>
      <c r="C358" s="118">
        <v>5</v>
      </c>
      <c r="D358" t="s" s="79">
        <v>1435</v>
      </c>
      <c r="E358" t="s" s="80">
        <v>1436</v>
      </c>
      <c r="F358" s="81">
        <v>926</v>
      </c>
      <c r="G358" t="s" s="80">
        <v>115</v>
      </c>
      <c r="H358" t="s" s="80">
        <v>847</v>
      </c>
      <c r="I358" t="s" s="137">
        <v>741</v>
      </c>
      <c r="J358" s="77"/>
    </row>
    <row r="359" ht="13.65" customHeight="1">
      <c r="A359" s="70"/>
      <c r="B359" t="s" s="27">
        <v>204</v>
      </c>
      <c r="C359" s="119">
        <v>6</v>
      </c>
      <c r="D359" t="s" s="85">
        <v>1435</v>
      </c>
      <c r="E359" t="s" s="86">
        <v>1213</v>
      </c>
      <c r="F359" s="87">
        <v>1402</v>
      </c>
      <c r="G359" t="s" s="86">
        <v>1213</v>
      </c>
      <c r="H359" t="s" s="86">
        <v>847</v>
      </c>
      <c r="I359" t="s" s="144">
        <v>741</v>
      </c>
      <c r="J359" s="77"/>
    </row>
    <row r="360" ht="13.65" customHeight="1">
      <c r="A360" s="70"/>
      <c r="B360" t="s" s="94">
        <v>204</v>
      </c>
      <c r="C360" s="118">
        <v>7</v>
      </c>
      <c r="D360" t="s" s="79">
        <v>1435</v>
      </c>
      <c r="E360" t="s" s="80">
        <v>1437</v>
      </c>
      <c r="F360" s="81">
        <v>-96</v>
      </c>
      <c r="G360" t="s" s="80">
        <v>1218</v>
      </c>
      <c r="H360" t="s" s="80">
        <v>847</v>
      </c>
      <c r="I360" t="s" s="137">
        <v>741</v>
      </c>
      <c r="J360" s="77"/>
    </row>
    <row r="361" ht="13.65" customHeight="1">
      <c r="A361" s="70"/>
      <c r="B361" t="s" s="27">
        <v>204</v>
      </c>
      <c r="C361" s="119">
        <v>8</v>
      </c>
      <c r="D361" t="s" s="85">
        <v>1438</v>
      </c>
      <c r="E361" t="s" s="86">
        <v>1439</v>
      </c>
      <c r="F361" s="87">
        <v>213</v>
      </c>
      <c r="G361" t="s" s="86">
        <v>1218</v>
      </c>
      <c r="H361" t="s" s="86">
        <v>847</v>
      </c>
      <c r="I361" t="s" s="144">
        <v>741</v>
      </c>
      <c r="J361" s="77"/>
    </row>
    <row r="362" ht="13.65" customHeight="1">
      <c r="A362" s="70"/>
      <c r="B362" t="s" s="94">
        <v>204</v>
      </c>
      <c r="C362" s="118">
        <v>9</v>
      </c>
      <c r="D362" t="s" s="79">
        <v>1440</v>
      </c>
      <c r="E362" t="s" s="80">
        <v>1441</v>
      </c>
      <c r="F362" s="81">
        <v>3274</v>
      </c>
      <c r="G362" t="s" s="80">
        <v>1218</v>
      </c>
      <c r="H362" t="s" s="80">
        <v>847</v>
      </c>
      <c r="I362" t="s" s="137">
        <v>741</v>
      </c>
      <c r="J362" s="77"/>
    </row>
    <row r="363" ht="13.65" customHeight="1">
      <c r="A363" s="70"/>
      <c r="B363" t="s" s="27">
        <v>204</v>
      </c>
      <c r="C363" s="119">
        <v>10</v>
      </c>
      <c r="D363" t="s" s="85">
        <v>1442</v>
      </c>
      <c r="E363" t="s" s="86">
        <v>1443</v>
      </c>
      <c r="F363" s="87">
        <v>92</v>
      </c>
      <c r="G363" t="s" s="86">
        <v>231</v>
      </c>
      <c r="H363" t="s" s="86">
        <v>983</v>
      </c>
      <c r="I363" t="s" s="144">
        <v>741</v>
      </c>
      <c r="J363" s="77"/>
    </row>
    <row r="364" ht="13.65" customHeight="1">
      <c r="A364" s="70"/>
      <c r="B364" t="s" s="94">
        <v>204</v>
      </c>
      <c r="C364" s="118">
        <v>11</v>
      </c>
      <c r="D364" t="s" s="79">
        <v>1442</v>
      </c>
      <c r="E364" t="s" s="80">
        <v>475</v>
      </c>
      <c r="F364" s="81">
        <v>70</v>
      </c>
      <c r="G364" t="s" s="80">
        <v>231</v>
      </c>
      <c r="H364" t="s" s="80">
        <v>983</v>
      </c>
      <c r="I364" t="s" s="137">
        <v>741</v>
      </c>
      <c r="J364" s="77"/>
    </row>
    <row r="365" ht="13.65" customHeight="1">
      <c r="A365" s="70"/>
      <c r="B365" t="s" s="27">
        <v>204</v>
      </c>
      <c r="C365" s="119">
        <v>12</v>
      </c>
      <c r="D365" t="s" s="85">
        <v>1076</v>
      </c>
      <c r="E365" t="s" s="86">
        <v>1443</v>
      </c>
      <c r="F365" s="87">
        <v>295</v>
      </c>
      <c r="G365" t="s" s="86">
        <v>231</v>
      </c>
      <c r="H365" t="s" s="86">
        <v>983</v>
      </c>
      <c r="I365" t="s" s="144">
        <v>741</v>
      </c>
      <c r="J365" s="77"/>
    </row>
    <row r="366" ht="13.65" customHeight="1">
      <c r="A366" s="70"/>
      <c r="B366" t="s" s="94">
        <v>204</v>
      </c>
      <c r="C366" s="118">
        <v>13</v>
      </c>
      <c r="D366" t="s" s="79">
        <v>1076</v>
      </c>
      <c r="E366" t="s" s="80">
        <v>200</v>
      </c>
      <c r="F366" s="81">
        <v>207</v>
      </c>
      <c r="G366" t="s" s="80">
        <v>231</v>
      </c>
      <c r="H366" t="s" s="80">
        <v>983</v>
      </c>
      <c r="I366" t="s" s="137">
        <v>741</v>
      </c>
      <c r="J366" s="77"/>
    </row>
    <row r="367" ht="13.65" customHeight="1">
      <c r="A367" s="70"/>
      <c r="B367" t="s" s="27">
        <v>204</v>
      </c>
      <c r="C367" s="119">
        <v>15</v>
      </c>
      <c r="D367" t="s" s="85">
        <v>1076</v>
      </c>
      <c r="E367" t="s" s="86">
        <v>1263</v>
      </c>
      <c r="F367" s="87">
        <v>78</v>
      </c>
      <c r="G367" t="s" s="86">
        <v>1255</v>
      </c>
      <c r="H367" t="s" s="86">
        <v>983</v>
      </c>
      <c r="I367" t="s" s="144">
        <v>741</v>
      </c>
      <c r="J367" s="77"/>
    </row>
    <row r="368" ht="13.65" customHeight="1">
      <c r="A368" s="70"/>
      <c r="B368" t="s" s="94">
        <v>204</v>
      </c>
      <c r="C368" s="118">
        <v>16</v>
      </c>
      <c r="D368" t="s" s="79">
        <v>1076</v>
      </c>
      <c r="E368" t="s" s="80">
        <v>1259</v>
      </c>
      <c r="F368" s="81">
        <v>87</v>
      </c>
      <c r="G368" t="s" s="80">
        <v>1235</v>
      </c>
      <c r="H368" t="s" s="80">
        <v>983</v>
      </c>
      <c r="I368" t="s" s="137">
        <v>741</v>
      </c>
      <c r="J368" s="77"/>
    </row>
    <row r="369" ht="13.65" customHeight="1">
      <c r="A369" s="70"/>
      <c r="B369" t="s" s="27">
        <v>204</v>
      </c>
      <c r="C369" s="119">
        <v>17</v>
      </c>
      <c r="D369" t="s" s="85">
        <v>1076</v>
      </c>
      <c r="E369" t="s" s="86">
        <v>472</v>
      </c>
      <c r="F369" s="87">
        <v>30</v>
      </c>
      <c r="G369" t="s" s="86">
        <v>115</v>
      </c>
      <c r="H369" t="s" s="86">
        <v>983</v>
      </c>
      <c r="I369" t="s" s="144">
        <v>741</v>
      </c>
      <c r="J369" s="77"/>
    </row>
    <row r="370" ht="13.65" customHeight="1">
      <c r="A370" s="70"/>
      <c r="B370" t="s" s="94">
        <v>204</v>
      </c>
      <c r="C370" s="118">
        <v>18</v>
      </c>
      <c r="D370" t="s" s="79">
        <v>1444</v>
      </c>
      <c r="E370" t="s" s="80">
        <v>475</v>
      </c>
      <c r="F370" s="81">
        <v>41</v>
      </c>
      <c r="G370" t="s" s="80">
        <v>231</v>
      </c>
      <c r="H370" t="s" s="80">
        <v>983</v>
      </c>
      <c r="I370" t="s" s="137">
        <v>741</v>
      </c>
      <c r="J370" s="77"/>
    </row>
    <row r="371" ht="13.65" customHeight="1">
      <c r="A371" s="70"/>
      <c r="B371" t="s" s="27">
        <v>204</v>
      </c>
      <c r="C371" s="119">
        <v>19</v>
      </c>
      <c r="D371" t="s" s="85">
        <v>1444</v>
      </c>
      <c r="E371" t="s" s="86">
        <v>200</v>
      </c>
      <c r="F371" s="87">
        <v>155</v>
      </c>
      <c r="G371" t="s" s="86">
        <v>231</v>
      </c>
      <c r="H371" t="s" s="86">
        <v>983</v>
      </c>
      <c r="I371" t="s" s="144">
        <v>741</v>
      </c>
      <c r="J371" s="77"/>
    </row>
    <row r="372" ht="13.65" customHeight="1">
      <c r="A372" s="70"/>
      <c r="B372" t="s" s="94">
        <v>204</v>
      </c>
      <c r="C372" s="118">
        <v>20</v>
      </c>
      <c r="D372" t="s" s="79">
        <v>1444</v>
      </c>
      <c r="E372" t="s" s="80">
        <v>1259</v>
      </c>
      <c r="F372" s="81">
        <v>281</v>
      </c>
      <c r="G372" t="s" s="80">
        <v>1235</v>
      </c>
      <c r="H372" t="s" s="80">
        <v>983</v>
      </c>
      <c r="I372" t="s" s="137">
        <v>741</v>
      </c>
      <c r="J372" s="77"/>
    </row>
    <row r="373" ht="13.65" customHeight="1">
      <c r="A373" s="70"/>
      <c r="B373" t="s" s="27">
        <v>204</v>
      </c>
      <c r="C373" s="119">
        <v>21</v>
      </c>
      <c r="D373" t="s" s="85">
        <v>1445</v>
      </c>
      <c r="E373" t="s" s="86">
        <v>1443</v>
      </c>
      <c r="F373" s="87">
        <v>246</v>
      </c>
      <c r="G373" t="s" s="86">
        <v>231</v>
      </c>
      <c r="H373" t="s" s="86">
        <v>983</v>
      </c>
      <c r="I373" t="s" s="144">
        <v>741</v>
      </c>
      <c r="J373" s="77"/>
    </row>
    <row r="374" ht="13.65" customHeight="1">
      <c r="A374" s="70"/>
      <c r="B374" t="s" s="94">
        <v>204</v>
      </c>
      <c r="C374" s="118">
        <v>22</v>
      </c>
      <c r="D374" t="s" s="79">
        <v>1445</v>
      </c>
      <c r="E374" t="s" s="80">
        <v>475</v>
      </c>
      <c r="F374" s="81">
        <v>37</v>
      </c>
      <c r="G374" t="s" s="80">
        <v>231</v>
      </c>
      <c r="H374" t="s" s="80">
        <v>983</v>
      </c>
      <c r="I374" t="s" s="137">
        <v>741</v>
      </c>
      <c r="J374" s="77"/>
    </row>
    <row r="375" ht="13.65" customHeight="1">
      <c r="A375" s="70"/>
      <c r="B375" t="s" s="27">
        <v>204</v>
      </c>
      <c r="C375" s="119">
        <v>23</v>
      </c>
      <c r="D375" t="s" s="85">
        <v>1445</v>
      </c>
      <c r="E375" t="s" s="86">
        <v>200</v>
      </c>
      <c r="F375" s="87">
        <v>59</v>
      </c>
      <c r="G375" t="s" s="86">
        <v>231</v>
      </c>
      <c r="H375" t="s" s="86">
        <v>983</v>
      </c>
      <c r="I375" t="s" s="144">
        <v>741</v>
      </c>
      <c r="J375" s="77"/>
    </row>
    <row r="376" ht="13.65" customHeight="1">
      <c r="A376" s="70"/>
      <c r="B376" t="s" s="94">
        <v>204</v>
      </c>
      <c r="C376" s="118">
        <v>24</v>
      </c>
      <c r="D376" t="s" s="79">
        <v>1445</v>
      </c>
      <c r="E376" t="s" s="80">
        <v>1259</v>
      </c>
      <c r="F376" s="81">
        <v>162</v>
      </c>
      <c r="G376" t="s" s="80">
        <v>1235</v>
      </c>
      <c r="H376" t="s" s="80">
        <v>983</v>
      </c>
      <c r="I376" t="s" s="137">
        <v>741</v>
      </c>
      <c r="J376" s="77"/>
    </row>
    <row r="377" ht="13.65" customHeight="1">
      <c r="A377" s="70"/>
      <c r="B377" t="s" s="27">
        <v>204</v>
      </c>
      <c r="C377" s="119">
        <v>25</v>
      </c>
      <c r="D377" t="s" s="85">
        <v>1446</v>
      </c>
      <c r="E377" t="s" s="86">
        <v>1447</v>
      </c>
      <c r="F377" s="87">
        <v>13</v>
      </c>
      <c r="G377" t="s" s="86">
        <v>231</v>
      </c>
      <c r="H377" t="s" s="86">
        <v>983</v>
      </c>
      <c r="I377" t="s" s="144">
        <v>741</v>
      </c>
      <c r="J377" s="77"/>
    </row>
    <row r="378" ht="13.65" customHeight="1">
      <c r="A378" s="70"/>
      <c r="B378" t="s" s="94">
        <v>204</v>
      </c>
      <c r="C378" s="118">
        <v>26</v>
      </c>
      <c r="D378" t="s" s="79">
        <v>1446</v>
      </c>
      <c r="E378" t="s" s="80">
        <v>1448</v>
      </c>
      <c r="F378" s="81">
        <v>380</v>
      </c>
      <c r="G378" t="s" s="80">
        <v>1235</v>
      </c>
      <c r="H378" t="s" s="80">
        <v>983</v>
      </c>
      <c r="I378" t="s" s="137">
        <v>741</v>
      </c>
      <c r="J378" s="77"/>
    </row>
    <row r="379" ht="13.65" customHeight="1">
      <c r="A379" s="70"/>
      <c r="B379" t="s" s="27">
        <v>204</v>
      </c>
      <c r="C379" s="119">
        <v>27</v>
      </c>
      <c r="D379" t="s" s="85">
        <v>1446</v>
      </c>
      <c r="E379" t="s" s="86">
        <v>200</v>
      </c>
      <c r="F379" s="87">
        <v>352</v>
      </c>
      <c r="G379" t="s" s="86">
        <v>231</v>
      </c>
      <c r="H379" t="s" s="86">
        <v>983</v>
      </c>
      <c r="I379" t="s" s="144">
        <v>741</v>
      </c>
      <c r="J379" s="77"/>
    </row>
    <row r="380" ht="13.65" customHeight="1">
      <c r="A380" s="70"/>
      <c r="B380" t="s" s="94">
        <v>204</v>
      </c>
      <c r="C380" s="118">
        <v>28</v>
      </c>
      <c r="D380" t="s" s="79">
        <v>1446</v>
      </c>
      <c r="E380" t="s" s="80">
        <v>1443</v>
      </c>
      <c r="F380" s="81">
        <v>200</v>
      </c>
      <c r="G380" t="s" s="80">
        <v>231</v>
      </c>
      <c r="H380" t="s" s="80">
        <v>983</v>
      </c>
      <c r="I380" t="s" s="137">
        <v>741</v>
      </c>
      <c r="J380" s="77"/>
    </row>
    <row r="381" ht="13.65" customHeight="1">
      <c r="A381" s="70"/>
      <c r="B381" t="s" s="27">
        <v>204</v>
      </c>
      <c r="C381" s="119">
        <v>29</v>
      </c>
      <c r="D381" t="s" s="85">
        <v>1446</v>
      </c>
      <c r="E381" t="s" s="86">
        <v>1259</v>
      </c>
      <c r="F381" s="87">
        <v>313</v>
      </c>
      <c r="G381" t="s" s="86">
        <v>1235</v>
      </c>
      <c r="H381" t="s" s="86">
        <v>983</v>
      </c>
      <c r="I381" t="s" s="144">
        <v>741</v>
      </c>
      <c r="J381" s="77"/>
    </row>
    <row r="382" ht="13.65" customHeight="1">
      <c r="A382" s="70"/>
      <c r="B382" t="s" s="94">
        <v>204</v>
      </c>
      <c r="C382" s="118">
        <v>30</v>
      </c>
      <c r="D382" t="s" s="79">
        <v>1446</v>
      </c>
      <c r="E382" t="s" s="80">
        <v>475</v>
      </c>
      <c r="F382" s="81">
        <v>39</v>
      </c>
      <c r="G382" t="s" s="80">
        <v>231</v>
      </c>
      <c r="H382" t="s" s="80">
        <v>983</v>
      </c>
      <c r="I382" t="s" s="137">
        <v>741</v>
      </c>
      <c r="J382" s="77"/>
    </row>
    <row r="383" ht="13.65" customHeight="1">
      <c r="A383" s="70"/>
      <c r="B383" t="s" s="27">
        <v>204</v>
      </c>
      <c r="C383" s="119">
        <v>31</v>
      </c>
      <c r="D383" t="s" s="85">
        <v>1449</v>
      </c>
      <c r="E383" t="s" s="86">
        <v>1450</v>
      </c>
      <c r="F383" s="87">
        <v>96</v>
      </c>
      <c r="G383" t="s" s="86">
        <v>1255</v>
      </c>
      <c r="H383" t="s" s="86">
        <v>983</v>
      </c>
      <c r="I383" t="s" s="144">
        <v>741</v>
      </c>
      <c r="J383" s="77"/>
    </row>
    <row r="384" ht="13.65" customHeight="1">
      <c r="A384" s="70"/>
      <c r="B384" t="s" s="94">
        <v>204</v>
      </c>
      <c r="C384" s="118">
        <v>32</v>
      </c>
      <c r="D384" t="s" s="79">
        <v>1449</v>
      </c>
      <c r="E384" t="s" s="80">
        <v>1451</v>
      </c>
      <c r="F384" s="81">
        <v>29</v>
      </c>
      <c r="G384" t="s" s="80">
        <v>231</v>
      </c>
      <c r="H384" t="s" s="80">
        <v>983</v>
      </c>
      <c r="I384" t="s" s="137">
        <v>741</v>
      </c>
      <c r="J384" s="77"/>
    </row>
    <row r="385" ht="13.65" customHeight="1">
      <c r="A385" s="70"/>
      <c r="B385" t="s" s="27">
        <v>204</v>
      </c>
      <c r="C385" s="119">
        <v>33</v>
      </c>
      <c r="D385" t="s" s="85">
        <v>1449</v>
      </c>
      <c r="E385" t="s" s="86">
        <v>1299</v>
      </c>
      <c r="F385" s="87">
        <v>274</v>
      </c>
      <c r="G385" t="s" s="86">
        <v>1235</v>
      </c>
      <c r="H385" t="s" s="86">
        <v>983</v>
      </c>
      <c r="I385" t="s" s="144">
        <v>741</v>
      </c>
      <c r="J385" s="77"/>
    </row>
    <row r="386" ht="13.65" customHeight="1">
      <c r="A386" s="70"/>
      <c r="B386" t="s" s="94">
        <v>204</v>
      </c>
      <c r="C386" s="118">
        <v>34</v>
      </c>
      <c r="D386" t="s" s="79">
        <v>1449</v>
      </c>
      <c r="E386" t="s" s="80">
        <v>475</v>
      </c>
      <c r="F386" s="81">
        <v>45</v>
      </c>
      <c r="G386" t="s" s="80">
        <v>231</v>
      </c>
      <c r="H386" t="s" s="80">
        <v>983</v>
      </c>
      <c r="I386" t="s" s="137">
        <v>741</v>
      </c>
      <c r="J386" s="77"/>
    </row>
    <row r="387" ht="13.65" customHeight="1">
      <c r="A387" s="70"/>
      <c r="B387" t="s" s="27">
        <v>204</v>
      </c>
      <c r="C387" s="119">
        <v>35</v>
      </c>
      <c r="D387" t="s" s="85">
        <v>1449</v>
      </c>
      <c r="E387" t="s" s="86">
        <v>1452</v>
      </c>
      <c r="F387" s="87">
        <v>16</v>
      </c>
      <c r="G387" t="s" s="86">
        <v>1255</v>
      </c>
      <c r="H387" t="s" s="86">
        <v>983</v>
      </c>
      <c r="I387" t="s" s="144">
        <v>741</v>
      </c>
      <c r="J387" s="77"/>
    </row>
    <row r="388" ht="13.65" customHeight="1">
      <c r="A388" s="70"/>
      <c r="B388" t="s" s="94">
        <v>204</v>
      </c>
      <c r="C388" s="118">
        <v>36</v>
      </c>
      <c r="D388" t="s" s="79">
        <v>1449</v>
      </c>
      <c r="E388" t="s" s="80">
        <v>1452</v>
      </c>
      <c r="F388" s="81">
        <v>29</v>
      </c>
      <c r="G388" t="s" s="80">
        <v>1255</v>
      </c>
      <c r="H388" t="s" s="80">
        <v>983</v>
      </c>
      <c r="I388" t="s" s="137">
        <v>741</v>
      </c>
      <c r="J388" s="77"/>
    </row>
    <row r="389" ht="13.65" customHeight="1">
      <c r="A389" s="70"/>
      <c r="B389" t="s" s="27">
        <v>204</v>
      </c>
      <c r="C389" s="119">
        <v>37</v>
      </c>
      <c r="D389" t="s" s="85">
        <v>1449</v>
      </c>
      <c r="E389" t="s" s="86">
        <v>1453</v>
      </c>
      <c r="F389" s="87">
        <v>40</v>
      </c>
      <c r="G389" t="s" s="86">
        <v>231</v>
      </c>
      <c r="H389" t="s" s="86">
        <v>983</v>
      </c>
      <c r="I389" t="s" s="144">
        <v>741</v>
      </c>
      <c r="J389" s="77"/>
    </row>
    <row r="390" ht="13.65" customHeight="1">
      <c r="A390" s="70"/>
      <c r="B390" t="s" s="94">
        <v>204</v>
      </c>
      <c r="C390" s="118">
        <v>38</v>
      </c>
      <c r="D390" t="s" s="79">
        <v>1449</v>
      </c>
      <c r="E390" t="s" s="80">
        <v>1443</v>
      </c>
      <c r="F390" s="81">
        <v>156</v>
      </c>
      <c r="G390" t="s" s="80">
        <v>231</v>
      </c>
      <c r="H390" t="s" s="80">
        <v>983</v>
      </c>
      <c r="I390" t="s" s="137">
        <v>741</v>
      </c>
      <c r="J390" s="77"/>
    </row>
    <row r="391" ht="13.65" customHeight="1">
      <c r="A391" s="70"/>
      <c r="B391" t="s" s="27">
        <v>204</v>
      </c>
      <c r="C391" s="119">
        <v>39</v>
      </c>
      <c r="D391" t="s" s="85">
        <v>1449</v>
      </c>
      <c r="E391" t="s" s="86">
        <v>472</v>
      </c>
      <c r="F391" s="87">
        <v>41</v>
      </c>
      <c r="G391" t="s" s="86">
        <v>115</v>
      </c>
      <c r="H391" t="s" s="86">
        <v>983</v>
      </c>
      <c r="I391" t="s" s="144">
        <v>741</v>
      </c>
      <c r="J391" s="77"/>
    </row>
    <row r="392" ht="13.65" customHeight="1">
      <c r="A392" s="70"/>
      <c r="B392" t="s" s="94">
        <v>204</v>
      </c>
      <c r="C392" s="118">
        <v>40</v>
      </c>
      <c r="D392" t="s" s="79">
        <v>1449</v>
      </c>
      <c r="E392" t="s" s="80">
        <v>1453</v>
      </c>
      <c r="F392" s="81">
        <v>17</v>
      </c>
      <c r="G392" t="s" s="80">
        <v>231</v>
      </c>
      <c r="H392" t="s" s="80">
        <v>983</v>
      </c>
      <c r="I392" t="s" s="137">
        <v>741</v>
      </c>
      <c r="J392" s="77"/>
    </row>
    <row r="393" ht="13.65" customHeight="1">
      <c r="A393" s="70"/>
      <c r="B393" t="s" s="27">
        <v>204</v>
      </c>
      <c r="C393" s="119">
        <v>41</v>
      </c>
      <c r="D393" t="s" s="85">
        <v>1442</v>
      </c>
      <c r="E393" t="s" s="86">
        <v>615</v>
      </c>
      <c r="F393" s="87">
        <v>19</v>
      </c>
      <c r="G393" t="s" s="86">
        <v>231</v>
      </c>
      <c r="H393" t="s" s="86">
        <v>847</v>
      </c>
      <c r="I393" t="s" s="144">
        <v>741</v>
      </c>
      <c r="J393" s="77"/>
    </row>
    <row r="394" ht="13.65" customHeight="1">
      <c r="A394" s="70"/>
      <c r="B394" t="s" s="94">
        <v>204</v>
      </c>
      <c r="C394" s="118">
        <v>42</v>
      </c>
      <c r="D394" t="s" s="79">
        <v>1442</v>
      </c>
      <c r="E394" t="s" s="80">
        <v>475</v>
      </c>
      <c r="F394" s="81">
        <v>47</v>
      </c>
      <c r="G394" t="s" s="80">
        <v>231</v>
      </c>
      <c r="H394" t="s" s="80">
        <v>847</v>
      </c>
      <c r="I394" t="s" s="137">
        <v>741</v>
      </c>
      <c r="J394" s="77"/>
    </row>
    <row r="395" ht="13.65" customHeight="1">
      <c r="A395" s="70"/>
      <c r="B395" t="s" s="27">
        <v>204</v>
      </c>
      <c r="C395" s="119">
        <v>43</v>
      </c>
      <c r="D395" t="s" s="85">
        <v>1442</v>
      </c>
      <c r="E395" t="s" s="86">
        <v>1454</v>
      </c>
      <c r="F395" s="87">
        <v>311</v>
      </c>
      <c r="G395" t="s" s="86">
        <v>115</v>
      </c>
      <c r="H395" t="s" s="86">
        <v>847</v>
      </c>
      <c r="I395" t="s" s="144">
        <v>741</v>
      </c>
      <c r="J395" s="77"/>
    </row>
    <row r="396" ht="13.65" customHeight="1">
      <c r="A396" s="70"/>
      <c r="B396" t="s" s="94">
        <v>204</v>
      </c>
      <c r="C396" s="118">
        <v>44</v>
      </c>
      <c r="D396" t="s" s="79">
        <v>1442</v>
      </c>
      <c r="E396" t="s" s="80">
        <v>200</v>
      </c>
      <c r="F396" s="81">
        <v>199</v>
      </c>
      <c r="G396" t="s" s="80">
        <v>231</v>
      </c>
      <c r="H396" t="s" s="80">
        <v>847</v>
      </c>
      <c r="I396" t="s" s="137">
        <v>741</v>
      </c>
      <c r="J396" s="77"/>
    </row>
    <row r="397" ht="13.65" customHeight="1">
      <c r="A397" s="70"/>
      <c r="B397" t="s" s="27">
        <v>204</v>
      </c>
      <c r="C397" s="119">
        <v>45</v>
      </c>
      <c r="D397" t="s" s="85">
        <v>1442</v>
      </c>
      <c r="E397" t="s" s="86">
        <v>200</v>
      </c>
      <c r="F397" s="87">
        <v>39</v>
      </c>
      <c r="G397" t="s" s="86">
        <v>231</v>
      </c>
      <c r="H397" t="s" s="86">
        <v>847</v>
      </c>
      <c r="I397" t="s" s="144">
        <v>741</v>
      </c>
      <c r="J397" s="77"/>
    </row>
    <row r="398" ht="13.65" customHeight="1">
      <c r="A398" s="70"/>
      <c r="B398" t="s" s="94">
        <v>204</v>
      </c>
      <c r="C398" s="118">
        <v>46</v>
      </c>
      <c r="D398" t="s" s="79">
        <v>1076</v>
      </c>
      <c r="E398" t="s" s="80">
        <v>200</v>
      </c>
      <c r="F398" s="81">
        <v>16</v>
      </c>
      <c r="G398" t="s" s="80">
        <v>231</v>
      </c>
      <c r="H398" t="s" s="80">
        <v>847</v>
      </c>
      <c r="I398" t="s" s="137">
        <v>741</v>
      </c>
      <c r="J398" s="77"/>
    </row>
    <row r="399" ht="13.65" customHeight="1">
      <c r="A399" s="70"/>
      <c r="B399" t="s" s="27">
        <v>204</v>
      </c>
      <c r="C399" s="119">
        <v>47</v>
      </c>
      <c r="D399" t="s" s="85">
        <v>1076</v>
      </c>
      <c r="E399" t="s" s="86">
        <v>200</v>
      </c>
      <c r="F399" s="87">
        <v>97</v>
      </c>
      <c r="G399" t="s" s="86">
        <v>231</v>
      </c>
      <c r="H399" t="s" s="86">
        <v>847</v>
      </c>
      <c r="I399" t="s" s="144">
        <v>741</v>
      </c>
      <c r="J399" s="77"/>
    </row>
    <row r="400" ht="13.65" customHeight="1">
      <c r="A400" s="70"/>
      <c r="B400" t="s" s="94">
        <v>204</v>
      </c>
      <c r="C400" s="118">
        <v>48</v>
      </c>
      <c r="D400" t="s" s="79">
        <v>1076</v>
      </c>
      <c r="E400" t="s" s="80">
        <v>1259</v>
      </c>
      <c r="F400" s="81">
        <v>337</v>
      </c>
      <c r="G400" t="s" s="80">
        <v>1235</v>
      </c>
      <c r="H400" t="s" s="80">
        <v>847</v>
      </c>
      <c r="I400" t="s" s="137">
        <v>741</v>
      </c>
      <c r="J400" s="77"/>
    </row>
    <row r="401" ht="13.65" customHeight="1">
      <c r="A401" s="70"/>
      <c r="B401" t="s" s="27">
        <v>204</v>
      </c>
      <c r="C401" s="119">
        <v>49</v>
      </c>
      <c r="D401" t="s" s="85">
        <v>1076</v>
      </c>
      <c r="E401" t="s" s="86">
        <v>475</v>
      </c>
      <c r="F401" s="87">
        <v>24</v>
      </c>
      <c r="G401" t="s" s="86">
        <v>231</v>
      </c>
      <c r="H401" t="s" s="86">
        <v>847</v>
      </c>
      <c r="I401" t="s" s="144">
        <v>741</v>
      </c>
      <c r="J401" s="77"/>
    </row>
    <row r="402" ht="13.65" customHeight="1">
      <c r="A402" s="70"/>
      <c r="B402" t="s" s="94">
        <v>204</v>
      </c>
      <c r="C402" s="118">
        <v>50</v>
      </c>
      <c r="D402" t="s" s="79">
        <v>1076</v>
      </c>
      <c r="E402" t="s" s="80">
        <v>472</v>
      </c>
      <c r="F402" s="81">
        <v>30</v>
      </c>
      <c r="G402" t="s" s="80">
        <v>115</v>
      </c>
      <c r="H402" t="s" s="80">
        <v>847</v>
      </c>
      <c r="I402" t="s" s="137">
        <v>741</v>
      </c>
      <c r="J402" s="77"/>
    </row>
    <row r="403" ht="13.65" customHeight="1">
      <c r="A403" s="70"/>
      <c r="B403" t="s" s="27">
        <v>204</v>
      </c>
      <c r="C403" s="119">
        <v>51</v>
      </c>
      <c r="D403" t="s" s="85">
        <v>1444</v>
      </c>
      <c r="E403" t="s" s="86">
        <v>355</v>
      </c>
      <c r="F403" s="87">
        <v>42</v>
      </c>
      <c r="G403" t="s" s="86">
        <v>231</v>
      </c>
      <c r="H403" t="s" s="86">
        <v>847</v>
      </c>
      <c r="I403" t="s" s="144">
        <v>741</v>
      </c>
      <c r="J403" s="77"/>
    </row>
    <row r="404" ht="13.65" customHeight="1">
      <c r="A404" s="70"/>
      <c r="B404" t="s" s="94">
        <v>204</v>
      </c>
      <c r="C404" s="118">
        <v>52</v>
      </c>
      <c r="D404" t="s" s="79">
        <v>1445</v>
      </c>
      <c r="E404" t="s" s="80">
        <v>1319</v>
      </c>
      <c r="F404" s="81">
        <v>72</v>
      </c>
      <c r="G404" t="s" s="80">
        <v>231</v>
      </c>
      <c r="H404" t="s" s="80">
        <v>847</v>
      </c>
      <c r="I404" t="s" s="137">
        <v>741</v>
      </c>
      <c r="J404" s="77"/>
    </row>
    <row r="405" ht="13.65" customHeight="1">
      <c r="A405" s="70"/>
      <c r="B405" t="s" s="27">
        <v>204</v>
      </c>
      <c r="C405" s="119">
        <v>53</v>
      </c>
      <c r="D405" t="s" s="85">
        <v>1445</v>
      </c>
      <c r="E405" t="s" s="86">
        <v>1455</v>
      </c>
      <c r="F405" s="87">
        <v>4</v>
      </c>
      <c r="G405" t="s" s="86">
        <v>1238</v>
      </c>
      <c r="H405" t="s" s="86">
        <v>847</v>
      </c>
      <c r="I405" t="s" s="144">
        <v>741</v>
      </c>
      <c r="J405" s="77"/>
    </row>
    <row r="406" ht="13.65" customHeight="1">
      <c r="A406" s="70"/>
      <c r="B406" t="s" s="94">
        <v>204</v>
      </c>
      <c r="C406" s="118">
        <v>54</v>
      </c>
      <c r="D406" t="s" s="79">
        <v>1445</v>
      </c>
      <c r="E406" t="s" s="80">
        <v>200</v>
      </c>
      <c r="F406" s="81">
        <v>54</v>
      </c>
      <c r="G406" t="s" s="80">
        <v>231</v>
      </c>
      <c r="H406" t="s" s="80">
        <v>847</v>
      </c>
      <c r="I406" t="s" s="137">
        <v>741</v>
      </c>
      <c r="J406" s="77"/>
    </row>
    <row r="407" ht="13.65" customHeight="1">
      <c r="A407" s="70"/>
      <c r="B407" t="s" s="27">
        <v>204</v>
      </c>
      <c r="C407" s="119">
        <v>55</v>
      </c>
      <c r="D407" t="s" s="85">
        <v>1449</v>
      </c>
      <c r="E407" t="s" s="86">
        <v>200</v>
      </c>
      <c r="F407" s="87">
        <v>25</v>
      </c>
      <c r="G407" t="s" s="86">
        <v>231</v>
      </c>
      <c r="H407" t="s" s="86">
        <v>847</v>
      </c>
      <c r="I407" t="s" s="144">
        <v>741</v>
      </c>
      <c r="J407" s="77"/>
    </row>
    <row r="408" ht="13.65" customHeight="1">
      <c r="A408" s="70"/>
      <c r="B408" t="s" s="94">
        <v>204</v>
      </c>
      <c r="C408" s="118">
        <v>56</v>
      </c>
      <c r="D408" t="s" s="79">
        <v>1442</v>
      </c>
      <c r="E408" t="s" s="80">
        <v>472</v>
      </c>
      <c r="F408" s="81">
        <v>7</v>
      </c>
      <c r="G408" t="s" s="80">
        <v>115</v>
      </c>
      <c r="H408" t="s" s="79">
        <v>882</v>
      </c>
      <c r="I408" t="s" s="137">
        <v>741</v>
      </c>
      <c r="J408" s="77"/>
    </row>
    <row r="409" ht="13.65" customHeight="1">
      <c r="A409" s="70"/>
      <c r="B409" t="s" s="27">
        <v>204</v>
      </c>
      <c r="C409" s="119">
        <v>57</v>
      </c>
      <c r="D409" t="s" s="85">
        <v>1444</v>
      </c>
      <c r="E409" t="s" s="86">
        <v>1443</v>
      </c>
      <c r="F409" s="87">
        <v>159</v>
      </c>
      <c r="G409" t="s" s="86">
        <v>231</v>
      </c>
      <c r="H409" t="s" s="85">
        <v>882</v>
      </c>
      <c r="I409" t="s" s="144">
        <v>741</v>
      </c>
      <c r="J409" s="77"/>
    </row>
    <row r="410" ht="13.65" customHeight="1">
      <c r="A410" s="70"/>
      <c r="B410" t="s" s="94">
        <v>204</v>
      </c>
      <c r="C410" s="118">
        <v>58</v>
      </c>
      <c r="D410" t="s" s="79">
        <v>1445</v>
      </c>
      <c r="E410" t="s" s="80">
        <v>1456</v>
      </c>
      <c r="F410" s="81">
        <v>58</v>
      </c>
      <c r="G410" t="s" s="80">
        <v>1235</v>
      </c>
      <c r="H410" t="s" s="79">
        <v>882</v>
      </c>
      <c r="I410" t="s" s="137">
        <v>741</v>
      </c>
      <c r="J410" s="77"/>
    </row>
    <row r="411" ht="13.65" customHeight="1">
      <c r="A411" s="70"/>
      <c r="B411" t="s" s="27">
        <v>204</v>
      </c>
      <c r="C411" s="119">
        <v>59</v>
      </c>
      <c r="D411" t="s" s="85">
        <v>1457</v>
      </c>
      <c r="E411" t="s" s="86">
        <v>135</v>
      </c>
      <c r="F411" s="87">
        <v>187</v>
      </c>
      <c r="G411" t="s" s="86">
        <v>1238</v>
      </c>
      <c r="H411" t="s" s="86">
        <v>842</v>
      </c>
      <c r="I411" t="s" s="144">
        <v>741</v>
      </c>
      <c r="J411" s="77"/>
    </row>
    <row r="412" ht="13.65" customHeight="1">
      <c r="A412" s="70"/>
      <c r="B412" t="s" s="94">
        <v>204</v>
      </c>
      <c r="C412" s="118">
        <v>60</v>
      </c>
      <c r="D412" s="100"/>
      <c r="E412" t="s" s="80">
        <v>781</v>
      </c>
      <c r="F412" s="81">
        <v>400</v>
      </c>
      <c r="G412" t="s" s="80">
        <v>1238</v>
      </c>
      <c r="H412" t="s" s="80">
        <v>781</v>
      </c>
      <c r="I412" t="s" s="137">
        <v>741</v>
      </c>
      <c r="J412" s="77"/>
    </row>
    <row r="413" ht="13.65" customHeight="1">
      <c r="A413" s="70"/>
      <c r="B413" t="s" s="27">
        <v>204</v>
      </c>
      <c r="C413" s="119">
        <v>61</v>
      </c>
      <c r="D413" t="s" s="85">
        <v>1458</v>
      </c>
      <c r="E413" t="s" s="86">
        <v>1459</v>
      </c>
      <c r="F413" s="87">
        <v>126</v>
      </c>
      <c r="G413" t="s" s="86">
        <v>1235</v>
      </c>
      <c r="H413" t="s" s="85">
        <v>879</v>
      </c>
      <c r="I413" t="s" s="144">
        <v>741</v>
      </c>
      <c r="J413" s="77"/>
    </row>
    <row r="414" ht="13.65" customHeight="1">
      <c r="A414" s="70"/>
      <c r="B414" t="s" s="94">
        <v>204</v>
      </c>
      <c r="C414" s="118">
        <v>62</v>
      </c>
      <c r="D414" t="s" s="79">
        <v>1460</v>
      </c>
      <c r="E414" t="s" s="80">
        <v>1461</v>
      </c>
      <c r="F414" s="81">
        <v>1413</v>
      </c>
      <c r="G414" t="s" s="80">
        <v>1218</v>
      </c>
      <c r="H414" t="s" s="80">
        <v>847</v>
      </c>
      <c r="I414" t="s" s="137">
        <v>741</v>
      </c>
      <c r="J414" s="77"/>
    </row>
    <row r="415" ht="13.65" customHeight="1">
      <c r="A415" s="70"/>
      <c r="B415" t="s" s="27">
        <v>204</v>
      </c>
      <c r="C415" s="119">
        <v>63</v>
      </c>
      <c r="D415" t="s" s="85">
        <v>1075</v>
      </c>
      <c r="E415" t="s" s="86">
        <v>1462</v>
      </c>
      <c r="F415" s="87">
        <v>1107</v>
      </c>
      <c r="G415" t="s" s="86">
        <v>1235</v>
      </c>
      <c r="H415" t="s" s="86">
        <v>847</v>
      </c>
      <c r="I415" t="s" s="144">
        <v>741</v>
      </c>
      <c r="J415" s="77"/>
    </row>
    <row r="416" ht="13.65" customHeight="1">
      <c r="A416" s="70"/>
      <c r="B416" t="s" s="94">
        <v>204</v>
      </c>
      <c r="C416" s="118">
        <v>64</v>
      </c>
      <c r="D416" t="s" s="79">
        <v>1449</v>
      </c>
      <c r="E416" t="s" s="80">
        <v>200</v>
      </c>
      <c r="F416" s="81">
        <v>25</v>
      </c>
      <c r="G416" t="s" s="80">
        <v>231</v>
      </c>
      <c r="H416" t="s" s="80">
        <v>847</v>
      </c>
      <c r="I416" t="s" s="137">
        <v>741</v>
      </c>
      <c r="J416" s="77"/>
    </row>
    <row r="417" ht="13.65" customHeight="1">
      <c r="A417" s="70"/>
      <c r="B417" t="s" s="27">
        <v>204</v>
      </c>
      <c r="C417" s="119">
        <v>65</v>
      </c>
      <c r="D417" t="s" s="85">
        <v>1463</v>
      </c>
      <c r="E417" t="s" s="86">
        <v>1259</v>
      </c>
      <c r="F417" s="87">
        <v>310</v>
      </c>
      <c r="G417" t="s" s="86">
        <v>1235</v>
      </c>
      <c r="H417" t="s" s="86">
        <v>847</v>
      </c>
      <c r="I417" t="s" s="144">
        <v>741</v>
      </c>
      <c r="J417" s="77"/>
    </row>
    <row r="418" ht="13.65" customHeight="1">
      <c r="A418" s="70"/>
      <c r="B418" t="s" s="94">
        <v>204</v>
      </c>
      <c r="C418" s="118">
        <v>66</v>
      </c>
      <c r="D418" t="s" s="79">
        <v>1464</v>
      </c>
      <c r="E418" t="s" s="80">
        <v>1465</v>
      </c>
      <c r="F418" s="81">
        <v>35</v>
      </c>
      <c r="G418" t="s" s="80">
        <v>231</v>
      </c>
      <c r="H418" t="s" s="80">
        <v>847</v>
      </c>
      <c r="I418" t="s" s="137">
        <v>741</v>
      </c>
      <c r="J418" s="77"/>
    </row>
    <row r="419" ht="13.65" customHeight="1">
      <c r="A419" s="70"/>
      <c r="B419" t="s" s="27">
        <v>204</v>
      </c>
      <c r="C419" s="119">
        <v>67</v>
      </c>
      <c r="D419" t="s" s="85">
        <v>1458</v>
      </c>
      <c r="E419" t="s" s="86">
        <v>475</v>
      </c>
      <c r="F419" s="87">
        <v>17</v>
      </c>
      <c r="G419" t="s" s="86">
        <v>231</v>
      </c>
      <c r="H419" t="s" s="86">
        <v>847</v>
      </c>
      <c r="I419" t="s" s="144">
        <v>741</v>
      </c>
      <c r="J419" s="77"/>
    </row>
    <row r="420" ht="13.65" customHeight="1">
      <c r="A420" s="70"/>
      <c r="B420" t="s" s="94">
        <v>204</v>
      </c>
      <c r="C420" s="118">
        <v>68</v>
      </c>
      <c r="D420" t="s" s="79">
        <v>1464</v>
      </c>
      <c r="E420" t="s" s="80">
        <v>687</v>
      </c>
      <c r="F420" s="81">
        <v>38</v>
      </c>
      <c r="G420" t="s" s="80">
        <v>1255</v>
      </c>
      <c r="H420" t="s" s="80">
        <v>983</v>
      </c>
      <c r="I420" t="s" s="137">
        <v>741</v>
      </c>
      <c r="J420" s="77"/>
    </row>
    <row r="421" ht="13.65" customHeight="1">
      <c r="A421" s="70"/>
      <c r="B421" t="s" s="27">
        <v>204</v>
      </c>
      <c r="C421" s="119">
        <v>69</v>
      </c>
      <c r="D421" t="s" s="85">
        <v>1464</v>
      </c>
      <c r="E421" t="s" s="86">
        <v>687</v>
      </c>
      <c r="F421" s="87">
        <v>92</v>
      </c>
      <c r="G421" t="s" s="86">
        <v>1255</v>
      </c>
      <c r="H421" t="s" s="86">
        <v>983</v>
      </c>
      <c r="I421" t="s" s="144">
        <v>741</v>
      </c>
      <c r="J421" s="77"/>
    </row>
    <row r="422" ht="13.65" customHeight="1">
      <c r="A422" s="70"/>
      <c r="B422" t="s" s="94">
        <v>204</v>
      </c>
      <c r="C422" s="118">
        <v>70</v>
      </c>
      <c r="D422" t="s" s="79">
        <v>1464</v>
      </c>
      <c r="E422" t="s" s="80">
        <v>209</v>
      </c>
      <c r="F422" s="81">
        <v>201</v>
      </c>
      <c r="G422" t="s" s="80">
        <v>231</v>
      </c>
      <c r="H422" t="s" s="80">
        <v>983</v>
      </c>
      <c r="I422" t="s" s="137">
        <v>741</v>
      </c>
      <c r="J422" s="77"/>
    </row>
    <row r="423" ht="13.65" customHeight="1">
      <c r="A423" s="70"/>
      <c r="B423" t="s" s="27">
        <v>204</v>
      </c>
      <c r="C423" s="119">
        <v>71</v>
      </c>
      <c r="D423" t="s" s="85">
        <v>1464</v>
      </c>
      <c r="E423" t="s" s="86">
        <v>200</v>
      </c>
      <c r="F423" s="87">
        <v>50</v>
      </c>
      <c r="G423" t="s" s="86">
        <v>231</v>
      </c>
      <c r="H423" t="s" s="86">
        <v>983</v>
      </c>
      <c r="I423" t="s" s="144">
        <v>741</v>
      </c>
      <c r="J423" s="77"/>
    </row>
    <row r="424" ht="13.65" customHeight="1">
      <c r="A424" s="70"/>
      <c r="B424" t="s" s="94">
        <v>204</v>
      </c>
      <c r="C424" s="118">
        <v>72</v>
      </c>
      <c r="D424" t="s" s="79">
        <v>1464</v>
      </c>
      <c r="E424" t="s" s="80">
        <v>200</v>
      </c>
      <c r="F424" s="81">
        <v>59</v>
      </c>
      <c r="G424" t="s" s="80">
        <v>231</v>
      </c>
      <c r="H424" t="s" s="80">
        <v>983</v>
      </c>
      <c r="I424" t="s" s="137">
        <v>741</v>
      </c>
      <c r="J424" s="77"/>
    </row>
    <row r="425" ht="13.65" customHeight="1">
      <c r="A425" s="70"/>
      <c r="B425" t="s" s="27">
        <v>204</v>
      </c>
      <c r="C425" s="119">
        <v>73</v>
      </c>
      <c r="D425" t="s" s="85">
        <v>1464</v>
      </c>
      <c r="E425" t="s" s="86">
        <v>213</v>
      </c>
      <c r="F425" s="87">
        <v>323</v>
      </c>
      <c r="G425" t="s" s="86">
        <v>115</v>
      </c>
      <c r="H425" t="s" s="86">
        <v>983</v>
      </c>
      <c r="I425" t="s" s="144">
        <v>741</v>
      </c>
      <c r="J425" s="77"/>
    </row>
    <row r="426" ht="13.65" customHeight="1">
      <c r="A426" s="70"/>
      <c r="B426" t="s" s="94">
        <v>204</v>
      </c>
      <c r="C426" s="118">
        <v>74</v>
      </c>
      <c r="D426" t="s" s="79">
        <v>1464</v>
      </c>
      <c r="E426" t="s" s="80">
        <v>1443</v>
      </c>
      <c r="F426" s="81">
        <v>204</v>
      </c>
      <c r="G426" t="s" s="80">
        <v>231</v>
      </c>
      <c r="H426" t="s" s="80">
        <v>983</v>
      </c>
      <c r="I426" t="s" s="137">
        <v>741</v>
      </c>
      <c r="J426" s="77"/>
    </row>
    <row r="427" ht="13.65" customHeight="1">
      <c r="A427" s="70"/>
      <c r="B427" t="s" s="27">
        <v>204</v>
      </c>
      <c r="C427" s="119">
        <v>75</v>
      </c>
      <c r="D427" t="s" s="85">
        <v>1466</v>
      </c>
      <c r="E427" t="s" s="86">
        <v>1403</v>
      </c>
      <c r="F427" s="87">
        <v>160</v>
      </c>
      <c r="G427" t="s" s="86">
        <v>115</v>
      </c>
      <c r="H427" t="s" s="86">
        <v>842</v>
      </c>
      <c r="I427" t="s" s="144">
        <v>741</v>
      </c>
      <c r="J427" s="77"/>
    </row>
    <row r="428" ht="13.55" customHeight="1">
      <c r="A428" s="62"/>
      <c r="B428" s="89"/>
      <c r="C428" s="89"/>
      <c r="D428" s="89"/>
      <c r="E428" s="89"/>
      <c r="F428" s="89"/>
      <c r="G428" s="89"/>
      <c r="H428" s="89"/>
      <c r="I428" s="89"/>
      <c r="J428" s="62"/>
    </row>
  </sheetData>
  <conditionalFormatting sqref="F7:F427">
    <cfRule type="cellIs" dxfId="8" priority="1" operator="lessThan" stopIfTrue="1">
      <formula>0</formula>
    </cfRule>
  </conditionalFormatting>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H52"/>
  <sheetViews>
    <sheetView workbookViewId="0" showGridLines="0" defaultGridColor="1"/>
  </sheetViews>
  <sheetFormatPr defaultColWidth="8.83333" defaultRowHeight="15" customHeight="1" outlineLevelRow="0" outlineLevelCol="0"/>
  <cols>
    <col min="1" max="1" width="2" style="152" customWidth="1"/>
    <col min="2" max="2" width="24" style="152" customWidth="1"/>
    <col min="3" max="3" width="25" style="152" customWidth="1"/>
    <col min="4" max="4" width="20" style="152" customWidth="1"/>
    <col min="5" max="5" width="50" style="152" customWidth="1"/>
    <col min="6" max="6" width="18" style="152" customWidth="1"/>
    <col min="7" max="7" width="55" style="152" customWidth="1"/>
    <col min="8" max="8" width="8.85156" style="152" customWidth="1"/>
    <col min="9" max="16384" width="8.85156" style="152" customWidth="1"/>
  </cols>
  <sheetData>
    <row r="1" ht="13.65" customHeight="1">
      <c r="A1" s="153"/>
      <c r="B1" s="153"/>
      <c r="C1" s="153"/>
      <c r="D1" s="153"/>
      <c r="E1" s="153"/>
      <c r="F1" s="153"/>
      <c r="G1" s="153"/>
      <c r="H1" s="153"/>
    </row>
    <row r="2" ht="20.45" customHeight="1">
      <c r="A2" s="62"/>
      <c r="B2" t="s" s="63">
        <v>1468</v>
      </c>
      <c r="C2" s="64"/>
      <c r="D2" s="64"/>
      <c r="E2" s="64"/>
      <c r="F2" s="64"/>
      <c r="G2" s="64"/>
      <c r="H2" s="64"/>
    </row>
    <row r="3" ht="13.65" customHeight="1">
      <c r="A3" s="62"/>
      <c r="B3" t="s" s="65">
        <v>1469</v>
      </c>
      <c r="C3" s="66"/>
      <c r="D3" s="66"/>
      <c r="E3" s="66"/>
      <c r="F3" s="66"/>
      <c r="G3" s="66"/>
      <c r="H3" s="66"/>
    </row>
    <row r="4" ht="13.55" customHeight="1">
      <c r="A4" s="62"/>
      <c r="B4" s="62"/>
      <c r="C4" s="62"/>
      <c r="D4" s="62"/>
      <c r="E4" s="62"/>
      <c r="F4" s="62"/>
      <c r="G4" s="62"/>
      <c r="H4" s="62"/>
    </row>
    <row r="5" ht="13.55" customHeight="1">
      <c r="A5" s="62"/>
      <c r="B5" s="67"/>
      <c r="C5" s="67"/>
      <c r="D5" s="67"/>
      <c r="E5" s="62"/>
      <c r="F5" s="62"/>
      <c r="G5" s="62"/>
      <c r="H5" s="62"/>
    </row>
    <row r="6" ht="13.65" customHeight="1">
      <c r="A6" s="68"/>
      <c r="B6" t="s" s="19">
        <v>729</v>
      </c>
      <c r="C6" t="s" s="19">
        <v>730</v>
      </c>
      <c r="D6" t="s" s="19">
        <v>731</v>
      </c>
      <c r="E6" s="69"/>
      <c r="F6" s="62"/>
      <c r="G6" s="62"/>
      <c r="H6" s="62"/>
    </row>
    <row r="7" ht="13.65" customHeight="1">
      <c r="A7" s="70"/>
      <c r="B7" s="154"/>
      <c r="C7" t="s" s="73">
        <v>137</v>
      </c>
      <c r="D7" t="s" s="130">
        <v>97</v>
      </c>
      <c r="E7" s="77"/>
      <c r="F7" s="62"/>
      <c r="G7" s="62"/>
      <c r="H7" s="62"/>
    </row>
    <row r="8" ht="13.65" customHeight="1">
      <c r="A8" s="70"/>
      <c r="B8" t="s" s="94">
        <v>113</v>
      </c>
      <c r="C8" t="s" s="80">
        <v>113</v>
      </c>
      <c r="D8" t="s" s="137">
        <v>97</v>
      </c>
      <c r="E8" s="77"/>
      <c r="F8" s="62"/>
      <c r="G8" s="62"/>
      <c r="H8" s="62"/>
    </row>
    <row r="9" ht="13.65" customHeight="1">
      <c r="A9" s="70"/>
      <c r="B9" t="s" s="27">
        <v>123</v>
      </c>
      <c r="C9" t="s" s="86">
        <v>123</v>
      </c>
      <c r="D9" t="s" s="144">
        <v>97</v>
      </c>
      <c r="E9" s="77"/>
      <c r="F9" s="62"/>
      <c r="G9" s="62"/>
      <c r="H9" s="62"/>
    </row>
    <row r="10" ht="13.65" customHeight="1">
      <c r="A10" s="70"/>
      <c r="B10" t="s" s="94">
        <v>129</v>
      </c>
      <c r="C10" t="s" s="80">
        <v>129</v>
      </c>
      <c r="D10" t="s" s="137">
        <v>97</v>
      </c>
      <c r="E10" s="77"/>
      <c r="F10" s="62"/>
      <c r="G10" s="62"/>
      <c r="H10" s="62"/>
    </row>
    <row r="11" ht="13.65" customHeight="1">
      <c r="A11" s="70"/>
      <c r="B11" t="s" s="27">
        <v>133</v>
      </c>
      <c r="C11" t="s" s="86">
        <v>133</v>
      </c>
      <c r="D11" t="s" s="144">
        <v>97</v>
      </c>
      <c r="E11" s="77"/>
      <c r="F11" s="62"/>
      <c r="G11" s="62"/>
      <c r="H11" s="62"/>
    </row>
    <row r="12" ht="13.65" customHeight="1">
      <c r="A12" s="70"/>
      <c r="B12" t="s" s="94">
        <v>135</v>
      </c>
      <c r="C12" t="s" s="80">
        <v>135</v>
      </c>
      <c r="D12" t="s" s="137">
        <v>97</v>
      </c>
      <c r="E12" s="77"/>
      <c r="F12" s="62"/>
      <c r="G12" s="62"/>
      <c r="H12" s="62"/>
    </row>
    <row r="13" ht="13.65" customHeight="1">
      <c r="A13" s="70"/>
      <c r="B13" t="s" s="27">
        <v>767</v>
      </c>
      <c r="C13" t="s" s="86">
        <v>107</v>
      </c>
      <c r="D13" t="s" s="144">
        <v>97</v>
      </c>
      <c r="E13" s="77"/>
      <c r="F13" s="62"/>
      <c r="G13" s="62"/>
      <c r="H13" s="62"/>
    </row>
    <row r="14" ht="13.65" customHeight="1">
      <c r="A14" s="70"/>
      <c r="B14" t="s" s="94">
        <v>279</v>
      </c>
      <c r="C14" t="s" s="80">
        <v>99</v>
      </c>
      <c r="D14" t="s" s="137">
        <v>100</v>
      </c>
      <c r="E14" s="77"/>
      <c r="F14" s="62"/>
      <c r="G14" s="62"/>
      <c r="H14" s="62"/>
    </row>
    <row r="15" ht="13.65" customHeight="1">
      <c r="A15" s="70"/>
      <c r="B15" t="s" s="27">
        <v>210</v>
      </c>
      <c r="C15" t="s" s="86">
        <v>102</v>
      </c>
      <c r="D15" t="s" s="144">
        <v>103</v>
      </c>
      <c r="E15" s="77"/>
      <c r="F15" s="62"/>
      <c r="G15" s="62"/>
      <c r="H15" s="62"/>
    </row>
    <row r="16" ht="13.65" customHeight="1">
      <c r="A16" s="70"/>
      <c r="B16" t="s" s="94">
        <v>829</v>
      </c>
      <c r="C16" t="s" s="80">
        <v>102</v>
      </c>
      <c r="D16" t="s" s="137">
        <v>103</v>
      </c>
      <c r="E16" s="77"/>
      <c r="F16" s="62"/>
      <c r="G16" s="62"/>
      <c r="H16" s="62"/>
    </row>
    <row r="17" ht="13.65" customHeight="1">
      <c r="A17" s="70"/>
      <c r="B17" t="s" s="27">
        <v>105</v>
      </c>
      <c r="C17" t="s" s="86">
        <v>105</v>
      </c>
      <c r="D17" t="s" s="144">
        <v>103</v>
      </c>
      <c r="E17" s="77"/>
      <c r="F17" s="62"/>
      <c r="G17" s="62"/>
      <c r="H17" s="62"/>
    </row>
    <row r="18" ht="13.65" customHeight="1">
      <c r="A18" s="70"/>
      <c r="B18" t="s" s="94">
        <v>839</v>
      </c>
      <c r="C18" t="s" s="80">
        <v>107</v>
      </c>
      <c r="D18" t="s" s="137">
        <v>97</v>
      </c>
      <c r="E18" s="77"/>
      <c r="F18" s="62"/>
      <c r="G18" s="62"/>
      <c r="H18" s="62"/>
    </row>
    <row r="19" ht="13.65" customHeight="1">
      <c r="A19" s="70"/>
      <c r="B19" t="s" s="27">
        <v>838</v>
      </c>
      <c r="C19" t="s" s="86">
        <v>96</v>
      </c>
      <c r="D19" t="s" s="144">
        <v>97</v>
      </c>
      <c r="E19" s="77"/>
      <c r="F19" s="62"/>
      <c r="G19" s="62"/>
      <c r="H19" s="62"/>
    </row>
    <row r="20" ht="13.65" customHeight="1">
      <c r="A20" s="70"/>
      <c r="B20" t="s" s="94">
        <v>763</v>
      </c>
      <c r="C20" t="s" s="80">
        <v>96</v>
      </c>
      <c r="D20" t="s" s="137">
        <v>97</v>
      </c>
      <c r="E20" s="77"/>
      <c r="F20" s="62"/>
      <c r="G20" s="62"/>
      <c r="H20" s="62"/>
    </row>
    <row r="21" ht="13.65" customHeight="1">
      <c r="A21" s="70"/>
      <c r="B21" t="s" s="27">
        <v>757</v>
      </c>
      <c r="C21" t="s" s="86">
        <v>96</v>
      </c>
      <c r="D21" t="s" s="144">
        <v>97</v>
      </c>
      <c r="E21" s="77"/>
      <c r="F21" s="62"/>
      <c r="G21" s="62"/>
      <c r="H21" s="62"/>
    </row>
    <row r="22" ht="13.65" customHeight="1">
      <c r="A22" s="70"/>
      <c r="B22" t="s" s="94">
        <v>109</v>
      </c>
      <c r="C22" t="s" s="80">
        <v>109</v>
      </c>
      <c r="D22" t="s" s="137">
        <v>97</v>
      </c>
      <c r="E22" s="77"/>
      <c r="F22" s="62"/>
      <c r="G22" s="62"/>
      <c r="H22" s="62"/>
    </row>
    <row r="23" ht="13.65" customHeight="1">
      <c r="A23" s="70"/>
      <c r="B23" t="s" s="27">
        <v>960</v>
      </c>
      <c r="C23" t="s" s="86">
        <v>131</v>
      </c>
      <c r="D23" t="s" s="144">
        <v>97</v>
      </c>
      <c r="E23" s="77"/>
      <c r="F23" s="62"/>
      <c r="G23" s="62"/>
      <c r="H23" s="62"/>
    </row>
    <row r="24" ht="13.65" customHeight="1">
      <c r="A24" s="70"/>
      <c r="B24" t="s" s="94">
        <v>1073</v>
      </c>
      <c r="C24" t="s" s="80">
        <v>119</v>
      </c>
      <c r="D24" t="s" s="137">
        <v>103</v>
      </c>
      <c r="E24" s="77"/>
      <c r="F24" s="62"/>
      <c r="G24" s="62"/>
      <c r="H24" s="62"/>
    </row>
    <row r="25" ht="13.65" customHeight="1">
      <c r="A25" s="70"/>
      <c r="B25" t="s" s="27">
        <v>125</v>
      </c>
      <c r="C25" t="s" s="86">
        <v>125</v>
      </c>
      <c r="D25" t="s" s="144">
        <v>97</v>
      </c>
      <c r="E25" s="77"/>
      <c r="F25" s="62"/>
      <c r="G25" s="62"/>
      <c r="H25" s="62"/>
    </row>
    <row r="26" ht="13.65" customHeight="1">
      <c r="A26" s="70"/>
      <c r="B26" t="s" s="94">
        <v>111</v>
      </c>
      <c r="C26" t="s" s="80">
        <v>111</v>
      </c>
      <c r="D26" t="s" s="137">
        <v>97</v>
      </c>
      <c r="E26" s="77"/>
      <c r="F26" s="62"/>
      <c r="G26" s="62"/>
      <c r="H26" s="62"/>
    </row>
    <row r="27" ht="13.65" customHeight="1">
      <c r="A27" s="70"/>
      <c r="B27" t="s" s="27">
        <v>139</v>
      </c>
      <c r="C27" t="s" s="86">
        <v>139</v>
      </c>
      <c r="D27" t="s" s="144">
        <v>97</v>
      </c>
      <c r="E27" s="77"/>
      <c r="F27" s="62"/>
      <c r="G27" s="62"/>
      <c r="H27" s="62"/>
    </row>
    <row r="28" ht="13.65" customHeight="1">
      <c r="A28" s="70"/>
      <c r="B28" t="s" s="94">
        <v>121</v>
      </c>
      <c r="C28" t="s" s="80">
        <v>121</v>
      </c>
      <c r="D28" t="s" s="137">
        <v>97</v>
      </c>
      <c r="E28" s="77"/>
      <c r="F28" s="62"/>
      <c r="G28" s="62"/>
      <c r="H28" s="62"/>
    </row>
    <row r="29" ht="13.65" customHeight="1">
      <c r="A29" s="70"/>
      <c r="B29" t="s" s="27">
        <v>127</v>
      </c>
      <c r="C29" t="s" s="86">
        <v>127</v>
      </c>
      <c r="D29" t="s" s="144">
        <v>97</v>
      </c>
      <c r="E29" s="77"/>
      <c r="F29" s="62"/>
      <c r="G29" s="62"/>
      <c r="H29" s="62"/>
    </row>
    <row r="30" ht="13.65" customHeight="1">
      <c r="A30" s="70"/>
      <c r="B30" t="s" s="94">
        <v>117</v>
      </c>
      <c r="C30" t="s" s="80">
        <v>117</v>
      </c>
      <c r="D30" t="s" s="137">
        <v>97</v>
      </c>
      <c r="E30" s="77"/>
      <c r="F30" s="62"/>
      <c r="G30" s="62"/>
      <c r="H30" s="62"/>
    </row>
    <row r="31" ht="13.65" customHeight="1">
      <c r="A31" s="70"/>
      <c r="B31" t="s" s="27">
        <v>746</v>
      </c>
      <c r="C31" t="s" s="86">
        <v>141</v>
      </c>
      <c r="D31" t="s" s="144">
        <v>142</v>
      </c>
      <c r="E31" s="77"/>
      <c r="F31" s="62"/>
      <c r="G31" s="62"/>
      <c r="H31" s="62"/>
    </row>
    <row r="32" ht="13.65" customHeight="1">
      <c r="A32" s="70"/>
      <c r="B32" t="s" s="94">
        <v>115</v>
      </c>
      <c r="C32" t="s" s="80">
        <v>115</v>
      </c>
      <c r="D32" t="s" s="137">
        <v>97</v>
      </c>
      <c r="E32" s="77"/>
      <c r="F32" s="62"/>
      <c r="G32" s="62"/>
      <c r="H32" s="62"/>
    </row>
    <row r="33" ht="13.65" customHeight="1">
      <c r="A33" s="70"/>
      <c r="B33" t="s" s="27">
        <v>806</v>
      </c>
      <c r="C33" t="s" s="86">
        <v>131</v>
      </c>
      <c r="D33" t="s" s="144">
        <v>97</v>
      </c>
      <c r="E33" s="77"/>
      <c r="F33" s="62"/>
      <c r="G33" s="62"/>
      <c r="H33" s="62"/>
    </row>
    <row r="34" ht="13.55" customHeight="1">
      <c r="A34" s="62"/>
      <c r="B34" s="89"/>
      <c r="C34" s="89"/>
      <c r="D34" s="89"/>
      <c r="E34" s="62"/>
      <c r="F34" s="62"/>
      <c r="G34" s="62"/>
      <c r="H34" s="62"/>
    </row>
    <row r="35" ht="13.55" customHeight="1">
      <c r="A35" s="62"/>
      <c r="B35" s="67"/>
      <c r="C35" s="67"/>
      <c r="D35" s="67"/>
      <c r="E35" s="67"/>
      <c r="F35" s="67"/>
      <c r="G35" s="62"/>
      <c r="H35" s="62"/>
    </row>
    <row r="36" ht="13.65" customHeight="1">
      <c r="A36" s="68"/>
      <c r="B36" t="s" s="19">
        <v>1470</v>
      </c>
      <c r="C36" t="s" s="19">
        <v>27</v>
      </c>
      <c r="D36" t="s" s="19">
        <v>1471</v>
      </c>
      <c r="E36" t="s" s="19">
        <v>1472</v>
      </c>
      <c r="F36" t="s" s="19">
        <v>67</v>
      </c>
      <c r="G36" s="69"/>
      <c r="H36" s="62"/>
    </row>
    <row r="37" ht="13.65" customHeight="1">
      <c r="A37" s="70"/>
      <c r="B37" t="s" s="155">
        <v>1473</v>
      </c>
      <c r="C37" t="s" s="113">
        <v>1474</v>
      </c>
      <c r="D37" t="s" s="113">
        <v>1475</v>
      </c>
      <c r="E37" t="s" s="113">
        <v>1476</v>
      </c>
      <c r="F37" t="s" s="93">
        <v>78</v>
      </c>
      <c r="G37" s="77"/>
      <c r="H37" s="62"/>
    </row>
    <row r="38" ht="13.65" customHeight="1">
      <c r="A38" s="70"/>
      <c r="B38" t="s" s="156">
        <v>1477</v>
      </c>
      <c r="C38" t="s" s="157">
        <v>1478</v>
      </c>
      <c r="D38" t="s" s="114">
        <v>1479</v>
      </c>
      <c r="E38" t="s" s="114">
        <v>1480</v>
      </c>
      <c r="F38" t="s" s="96">
        <v>1481</v>
      </c>
      <c r="G38" s="77"/>
      <c r="H38" s="62"/>
    </row>
    <row r="39" ht="24.65" customHeight="1">
      <c r="A39" s="70"/>
      <c r="B39" t="s" s="158">
        <v>1482</v>
      </c>
      <c r="C39" t="s" s="115">
        <v>1483</v>
      </c>
      <c r="D39" t="s" s="115">
        <v>1484</v>
      </c>
      <c r="E39" t="s" s="115">
        <v>1485</v>
      </c>
      <c r="F39" t="s" s="98">
        <v>1486</v>
      </c>
      <c r="G39" s="77"/>
      <c r="H39" s="62"/>
    </row>
    <row r="40" ht="24.65" customHeight="1">
      <c r="A40" s="70"/>
      <c r="B40" t="s" s="156">
        <v>1487</v>
      </c>
      <c r="C40" t="s" s="114">
        <v>1488</v>
      </c>
      <c r="D40" t="s" s="114">
        <v>1489</v>
      </c>
      <c r="E40" t="s" s="114">
        <v>1490</v>
      </c>
      <c r="F40" t="s" s="96">
        <v>1486</v>
      </c>
      <c r="G40" s="77"/>
      <c r="H40" s="62"/>
    </row>
    <row r="41" ht="13.65" customHeight="1">
      <c r="A41" s="70"/>
      <c r="B41" t="s" s="158">
        <v>746</v>
      </c>
      <c r="C41" t="s" s="115">
        <v>1491</v>
      </c>
      <c r="D41" t="s" s="115">
        <v>1492</v>
      </c>
      <c r="E41" t="s" s="115">
        <v>1493</v>
      </c>
      <c r="F41" t="s" s="98">
        <v>1486</v>
      </c>
      <c r="G41" s="77"/>
      <c r="H41" s="62"/>
    </row>
    <row r="42" ht="24.65" customHeight="1">
      <c r="A42" s="70"/>
      <c r="B42" t="s" s="156">
        <v>1494</v>
      </c>
      <c r="C42" t="s" s="157">
        <v>1495</v>
      </c>
      <c r="D42" t="s" s="114">
        <v>1496</v>
      </c>
      <c r="E42" t="s" s="114">
        <v>1497</v>
      </c>
      <c r="F42" t="s" s="96">
        <v>1486</v>
      </c>
      <c r="G42" s="77"/>
      <c r="H42" s="62"/>
    </row>
    <row r="43" ht="24.65" customHeight="1">
      <c r="A43" s="70"/>
      <c r="B43" t="s" s="158">
        <v>1207</v>
      </c>
      <c r="C43" t="s" s="115">
        <v>1498</v>
      </c>
      <c r="D43" t="s" s="115">
        <v>1499</v>
      </c>
      <c r="E43" t="s" s="115">
        <v>1500</v>
      </c>
      <c r="F43" t="s" s="98">
        <v>1501</v>
      </c>
      <c r="G43" s="77"/>
      <c r="H43" s="62"/>
    </row>
    <row r="44" ht="24.65" customHeight="1">
      <c r="A44" s="70"/>
      <c r="B44" t="s" s="156">
        <v>1502</v>
      </c>
      <c r="C44" t="s" s="114">
        <v>1503</v>
      </c>
      <c r="D44" t="s" s="114">
        <v>1504</v>
      </c>
      <c r="E44" t="s" s="114">
        <v>1505</v>
      </c>
      <c r="F44" t="s" s="96">
        <v>1506</v>
      </c>
      <c r="G44" s="77"/>
      <c r="H44" s="62"/>
    </row>
    <row r="45" ht="13.55" customHeight="1">
      <c r="A45" s="62"/>
      <c r="B45" s="89"/>
      <c r="C45" s="89"/>
      <c r="D45" s="89"/>
      <c r="E45" s="89"/>
      <c r="F45" s="89"/>
      <c r="G45" s="62"/>
      <c r="H45" s="62"/>
    </row>
    <row r="46" ht="13.55" customHeight="1">
      <c r="A46" s="62"/>
      <c r="B46" s="67"/>
      <c r="C46" s="67"/>
      <c r="D46" s="67"/>
      <c r="E46" s="67"/>
      <c r="F46" s="67"/>
      <c r="G46" s="67"/>
      <c r="H46" s="62"/>
    </row>
    <row r="47" ht="13.65" customHeight="1">
      <c r="A47" s="68"/>
      <c r="B47" t="s" s="19">
        <v>1507</v>
      </c>
      <c r="C47" t="s" s="19">
        <v>1508</v>
      </c>
      <c r="D47" t="s" s="19">
        <v>1509</v>
      </c>
      <c r="E47" t="s" s="19">
        <v>1510</v>
      </c>
      <c r="F47" t="s" s="19">
        <v>1511</v>
      </c>
      <c r="G47" t="s" s="19">
        <v>1501</v>
      </c>
      <c r="H47" s="69"/>
    </row>
    <row r="48" ht="13.65" customHeight="1">
      <c r="A48" s="70"/>
      <c r="B48" t="s" s="155">
        <v>1512</v>
      </c>
      <c r="C48" t="s" s="159">
        <v>1513</v>
      </c>
      <c r="D48" t="s" s="113">
        <v>1514</v>
      </c>
      <c r="E48" t="s" s="159">
        <v>1515</v>
      </c>
      <c r="F48" s="160"/>
      <c r="G48" t="s" s="93">
        <v>1516</v>
      </c>
      <c r="H48" s="77"/>
    </row>
    <row r="49" ht="46.65" customHeight="1">
      <c r="A49" s="70"/>
      <c r="B49" t="s" s="156">
        <v>1517</v>
      </c>
      <c r="C49" t="s" s="114">
        <v>1518</v>
      </c>
      <c r="D49" t="s" s="114">
        <v>1519</v>
      </c>
      <c r="E49" t="s" s="114">
        <v>1520</v>
      </c>
      <c r="F49" t="s" s="157">
        <v>1521</v>
      </c>
      <c r="G49" t="s" s="96">
        <v>1522</v>
      </c>
      <c r="H49" s="77"/>
    </row>
    <row r="50" ht="35.65" customHeight="1">
      <c r="A50" s="70"/>
      <c r="B50" t="s" s="158">
        <v>1523</v>
      </c>
      <c r="C50" t="s" s="115">
        <v>1518</v>
      </c>
      <c r="D50" t="s" s="115">
        <v>1524</v>
      </c>
      <c r="E50" t="s" s="115">
        <v>1525</v>
      </c>
      <c r="F50" t="s" s="161">
        <v>1526</v>
      </c>
      <c r="G50" t="s" s="98">
        <v>1527</v>
      </c>
      <c r="H50" s="77"/>
    </row>
    <row r="51" ht="123.65" customHeight="1">
      <c r="A51" s="70"/>
      <c r="B51" t="s" s="156">
        <v>1528</v>
      </c>
      <c r="C51" t="s" s="114">
        <v>1518</v>
      </c>
      <c r="D51" t="s" s="114">
        <v>1529</v>
      </c>
      <c r="E51" t="s" s="114">
        <v>1530</v>
      </c>
      <c r="F51" t="s" s="157">
        <v>1531</v>
      </c>
      <c r="G51" t="s" s="96">
        <v>1532</v>
      </c>
      <c r="H51" s="77"/>
    </row>
    <row r="52" ht="13.55" customHeight="1">
      <c r="A52" s="62"/>
      <c r="B52" s="89"/>
      <c r="C52" s="89"/>
      <c r="D52" s="89"/>
      <c r="E52" s="89"/>
      <c r="F52" s="89"/>
      <c r="G52" s="89"/>
      <c r="H52" s="6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