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188760ae7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f83c2f9a5f8a403f"/>
    <x:sheet xmlns:r="http://schemas.openxmlformats.org/officeDocument/2006/relationships" name="ניתוח חודשי" sheetId="2" r:id="Rf8cf1b6ff2e646c6"/>
    <x:sheet xmlns:r="http://schemas.openxmlformats.org/officeDocument/2006/relationships" name="ניתוח קטגוריות" sheetId="3" r:id="R01f0533280cb444d"/>
    <x:sheet xmlns:r="http://schemas.openxmlformats.org/officeDocument/2006/relationships" name="המלצות" sheetId="4" r:id="R745808dd3ebe4775"/>
    <x:sheet xmlns:r="http://schemas.openxmlformats.org/officeDocument/2006/relationships" name="בתי עסק" sheetId="5" r:id="Rdfcaa67ffe2b42a3"/>
    <x:sheet xmlns:r="http://schemas.openxmlformats.org/officeDocument/2006/relationships" name="עסקאות" sheetId="6" r:id="Rb47ced3b4ad14604"/>
    <x:sheet xmlns:r="http://schemas.openxmlformats.org/officeDocument/2006/relationships" name="הכנסות" sheetId="7" r:id="Rf62fba4d5ef04e50"/>
    <x:sheet xmlns:r="http://schemas.openxmlformats.org/officeDocument/2006/relationships" name="פירוט חופשות" sheetId="8" r:id="Reb482c03f8334e8f"/>
    <x:sheet xmlns:r="http://schemas.openxmlformats.org/officeDocument/2006/relationships" name="מיפוי ומקורות" sheetId="9" r:id="Rd5babf864aa4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0"/>
    <x:numFmt numFmtId="202" formatCode="#,##0;[Red](#,##0);-"/>
    <x:numFmt numFmtId="203" formatCode="0.0%;[Red](0.0%);-"/>
    <x:numFmt numFmtId="204" formatCode="#,##0"/>
  </x:numFmts>
  <x:fonts count="11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1"/>
      <x:color rgb="FF1F4E78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3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0" fontId="10" fillId="3" borderId="5" xfId="0" applyNumberFormat="1" applyFont="1" applyFill="1" applyBorder="1"/>
    <x:xf numFmtId="0" fontId="10" fillId="3" borderId="3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 applyAlignment="1">
      <x:alignment vertical="center"/>
    </x:xf>
    <x:xf numFmtId="202" fontId="10" fillId="3" borderId="4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3" fontId="4" fillId="0" borderId="1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186a137214aa9" /><Relationship Type="http://schemas.openxmlformats.org/officeDocument/2006/relationships/theme" Target="/xl/theme/theme1.xml" Id="R39cdd7a67478465a" /><Relationship Type="http://schemas.openxmlformats.org/officeDocument/2006/relationships/sharedStrings" Target="/xl/sharedStrings.xml" Id="Ra6ddabd399c44688" /><Relationship Type="http://schemas.openxmlformats.org/officeDocument/2006/relationships/worksheet" Target="/xl/worksheets/sheet1.xml" Id="Rf83c2f9a5f8a403f" /><Relationship Type="http://schemas.openxmlformats.org/officeDocument/2006/relationships/worksheet" Target="/xl/worksheets/sheet2.xml" Id="Rf8cf1b6ff2e646c6" /><Relationship Type="http://schemas.openxmlformats.org/officeDocument/2006/relationships/worksheet" Target="/xl/worksheets/sheet3.xml" Id="R01f0533280cb444d" /><Relationship Type="http://schemas.openxmlformats.org/officeDocument/2006/relationships/worksheet" Target="/xl/worksheets/sheet4.xml" Id="R745808dd3ebe4775" /><Relationship Type="http://schemas.openxmlformats.org/officeDocument/2006/relationships/worksheet" Target="/xl/worksheets/sheet5.xml" Id="Rdfcaa67ffe2b42a3" /><Relationship Type="http://schemas.openxmlformats.org/officeDocument/2006/relationships/worksheet" Target="/xl/worksheets/sheet6.xml" Id="Rb47ced3b4ad14604" /><Relationship Type="http://schemas.openxmlformats.org/officeDocument/2006/relationships/worksheet" Target="/xl/worksheets/sheet7.xml" Id="Rf62fba4d5ef04e50" /><Relationship Type="http://schemas.openxmlformats.org/officeDocument/2006/relationships/worksheet" Target="/xl/worksheets/sheet8.xml" Id="Reb482c03f8334e8f" /><Relationship Type="http://schemas.openxmlformats.org/officeDocument/2006/relationships/worksheet" Target="/xl/worksheets/sheet9.xml" Id="Rd5babf864aa44f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375c53ce3047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464b28b1b1e4c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מגמת הוצאות חודשית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הוצאות תקניות</c:v>
          </c:tx>
          <c:marker>
            <c:symbol val="none"/>
          </c:marker>
          <c:cat>
            <c:strRef>
              <c:f>'סיכום'!$F$23:$F$42</c:f>
              <c:strCache>
                <c:ptCount val="0"/>
              </c:strCache>
            </c:strRef>
          </c:cat>
          <c:val>
            <c:numRef>
              <c:f>'סיכום'!$G$23:$G$42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הוצאות שוטפות</c:v>
          </c:tx>
          <c:marker>
            <c:symbol val="none"/>
          </c:marker>
          <c:cat>
            <c:strRef>
              <c:f>'סיכום'!$F$23:$F$42</c:f>
              <c:strCache>
                <c:ptCount val="0"/>
              </c:strCache>
            </c:strRef>
          </c:cat>
          <c:val>
            <c:numRef>
              <c:f>'סיכום'!$H$23:$H$42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₪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הוצאה מצטברת לפי קבוצה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סה״כ (₪)</c:v>
          </c:tx>
          <c:cat>
            <c:strRef>
              <c:f>'ניתוח קטגוריות'!$B$7:$B$16</c:f>
              <c:strCache>
                <c:ptCount val="0"/>
              </c:strCache>
            </c:strRef>
          </c:cat>
          <c:val>
            <c:numRef>
              <c:f>'ניתוח קטגוריות'!$D$7:$D$16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₪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75c53ce30475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5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64b28b1b1e4c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" name="SummaryKpiTable" displayName="SummaryKpiTable" ref="B6:C14" headerRowCount="1" totalsRowCount="0" totalsRowShown="0">
  <x:tableColumns count="2">
    <x:tableColumn id="1" name="מדד"/>
    <x:tableColumn id="2" name="ער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MonthlyAnalysisTable" displayName="MonthlyAnalysisTable" ref="B6:M26" headerRowCount="1" totalsRowCount="0" totalsRowShown="0">
  <x:tableColumns count="12">
    <x:tableColumn id="1" name="חודש"/>
    <x:tableColumn id="2" name="תקופה"/>
    <x:tableColumn id="3" name="סטטוס"/>
    <x:tableColumn id="4" name="הוצאות תקניות (₪)"/>
    <x:tableColumn id="5" name="הוצאות שוטפות (₪)"/>
    <x:tableColumn id="6" name="שוטף לנפש (₪)"/>
    <x:tableColumn id="7" name="הכנסה רשומה (₪)"/>
    <x:tableColumn id="8" name="הכנסה שסווגה מחדש (₪)"/>
    <x:tableColumn id="9" name="הכנסה תקנית (₪)"/>
    <x:tableColumn id="10" name="חיסכון (₪)"/>
    <x:tableColumn id="11" name="שיעור חיסכון"/>
    <x:tableColumn id="12" name="ממוצע שוטף 3 ח׳ (₪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CategoryAnalysisTable" displayName="CategoryAnalysisTable" ref="B6:P28" headerRowCount="1" totalsRowCount="0" totalsRowShown="0">
  <x:tableColumns count="15">
    <x:tableColumn id="1" name="קבוצה"/>
    <x:tableColumn id="2" name="סיווג"/>
    <x:tableColumn id="3" name="סה״כ (₪)"/>
    <x:tableColumn id="4" name="ממוצע 20 ח׳ (₪)"/>
    <x:tableColumn id="5" name="ממוצע לנפש (₪)"/>
    <x:tableColumn id="6" name="חלק מההוצאה"/>
    <x:tableColumn id="7" name="2025 סה״כ (₪)"/>
    <x:tableColumn id="8" name="2025 חודשי (₪)"/>
    <x:tableColumn id="9" name="2026 סה״כ (₪)"/>
    <x:tableColumn id="10" name="2026 חודשי (₪)"/>
    <x:tableColumn id="11" name="שינוי חודשי"/>
    <x:tableColumn id="12" name="יעד צמצום"/>
    <x:tableColumn id="13" name="חיסכון חודשי (₪)"/>
    <x:tableColumn id="14" name="חיסכון שנתי (₪)"/>
    <x:tableColumn id="15" name="הערה למומח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RecommendationsTable" displayName="RecommendationsTable" ref="B6:J14" headerRowCount="1" totalsRowCount="0" totalsRowShown="0">
  <x:tableColumns count="9">
    <x:tableColumn id="1" name="תחום"/>
    <x:tableColumn id="2" name="בסיס חודשי (₪)"/>
    <x:tableColumn id="3" name="יעד נמוך"/>
    <x:tableColumn id="4" name="יעד גבוה"/>
    <x:tableColumn id="5" name="חיסכון נמוך (₪)"/>
    <x:tableColumn id="6" name="חיסכון גבוה (₪)"/>
    <x:tableColumn id="7" name="שנתי נמוך (₪)"/>
    <x:tableColumn id="8" name="שנתי גבוה (₪)"/>
    <x:tableColumn id="9" name="פעולה ללא פגיעה מהותי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ExpertReviewTable" displayName="ExpertReviewTable" ref="B18:E23" headerRowCount="1" totalsRowCount="0" totalsRowShown="0">
  <x:tableColumns count="4">
    <x:tableColumn id="1" name="נושא לבדיקה"/>
    <x:tableColumn id="2" name="סכום/בסיס"/>
    <x:tableColumn id="3" name="למה חשוב"/>
    <x:tableColumn id="4" name="מה לבקש מהמומח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MerchantAnalysisTable" displayName="MerchantAnalysisTable" ref="B6:J538" headerRowCount="1" totalsRowCount="0" totalsRowShown="0">
  <x:tableColumns count="9">
    <x:tableColumn id="1" name="תיאור"/>
    <x:tableColumn id="2" name="קבוצה עיקרית"/>
    <x:tableColumn id="3" name="מספר עסקאות"/>
    <x:tableColumn id="4" name="חודשים פעילים"/>
    <x:tableColumn id="5" name="סה״כ (₪)"/>
    <x:tableColumn id="6" name="ממוצע לעסקה (₪)"/>
    <x:tableColumn id="7" name="ממוצע חודשי (₪)"/>
    <x:tableColumn id="8" name="2025 (₪)"/>
    <x:tableColumn id="9" name="2026 (₪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TransactionsTable" displayName="TransactionsTable" ref="A1:R1958" headerRowCount="1" totalsRowCount="0" totalsRowShown="0">
  <x:tableColumns count="18">
    <x:tableColumn id="1" name="חודש"/>
    <x:tableColumn id="2" name="תקופה"/>
    <x:tableColumn id="3" name="גיליון מקור"/>
    <x:tableColumn id="4" name="שורת מקור"/>
    <x:tableColumn id="5" name="תאריך מקור"/>
    <x:tableColumn id="6" name="תיאור"/>
    <x:tableColumn id="7" name="סכום מקור (₪)"/>
    <x:tableColumn id="8" name="קטגוריה מקורית"/>
    <x:tableColumn id="9" name="קבוצה מנורמלת"/>
    <x:tableColumn id="10" name="סיווג בסיס"/>
    <x:tableColumn id="11" name="טיפול בשורה"/>
    <x:tableColumn id="12" name="סטטוס"/>
    <x:tableColumn id="13" name="הוצאה תקנית"/>
    <x:tableColumn id="14" name="הוצאה שוטפת"/>
    <x:tableColumn id="15" name="הכנסה שסווגה מחדש"/>
    <x:tableColumn id="16" name="כרטיס"/>
    <x:tableColumn id="17" name="הערות"/>
    <x:tableColumn id="18" name="סיכום חופש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IncomeTable" displayName="IncomeTable" ref="A1:F98" headerRowCount="1" totalsRowCount="0" totalsRowShown="0">
  <x:tableColumns count="6">
    <x:tableColumn id="1" name="חודש"/>
    <x:tableColumn id="2" name="תקופה"/>
    <x:tableColumn id="3" name="מקור הכנסה"/>
    <x:tableColumn id="4" name="סכום (₪)"/>
    <x:tableColumn id="5" name="סוג הכנסה"/>
    <x:tableColumn id="6" name="גיליון מקו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acationDetailTable" displayName="VacationDetailTable" ref="B6:I427" headerRowCount="1" totalsRowCount="0" totalsRowShown="0">
  <x:tableColumns count="8">
    <x:tableColumn id="1" name="חופשה"/>
    <x:tableColumn id="2" name="שורת מקור"/>
    <x:tableColumn id="3" name="תאריך"/>
    <x:tableColumn id="4" name="תיאור"/>
    <x:tableColumn id="5" name="סכום (₪)"/>
    <x:tableColumn id="6" name="קטגוריה"/>
    <x:tableColumn id="7" name="כרטיס"/>
    <x:tableColumn id="8" name="סטטוס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" name="CategoryMappingTable" displayName="CategoryMappingTable" ref="B6:D33" headerRowCount="1" totalsRowCount="0" totalsRowShown="0">
  <x:tableColumns count="3">
    <x:tableColumn id="1" name="קטגוריה מקורית"/>
    <x:tableColumn id="2" name="קבוצה מנורמלת"/>
    <x:tableColumn id="3" name="סיווג בסיס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" name="DataQualityTable" displayName="DataQualityTable" ref="B36:F44" headerRowCount="1" totalsRowCount="0" totalsRowShown="0">
  <x:tableColumns count="5">
    <x:tableColumn id="1" name="בדיקת איכות"/>
    <x:tableColumn id="2" name="ממצא"/>
    <x:tableColumn id="3" name="השפעה"/>
    <x:tableColumn id="4" name="טיפול מומלץ"/>
    <x:tableColumn id="5" name="סטטוס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" name="SourcesTable" displayName="SourcesTable" ref="B47:G51" headerRowCount="1" totalsRowCount="0" totalsRowShown="0">
  <x:tableColumns count="6">
    <x:tableColumn id="1" name="פריט"/>
    <x:tableColumn id="2" name="תקופה/מועד"/>
    <x:tableColumn id="3" name="סוג מקור"/>
    <x:tableColumn id="4" name="מקור"/>
    <x:tableColumn id="5" name="קישור"/>
    <x:tableColumn id="6" name="הער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574d3409ca4062" /><Relationship Type="http://schemas.openxmlformats.org/officeDocument/2006/relationships/table" Target="/xl/tables/table1.xml" Id="Reffd3f11a73d4a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ac2e07cdb142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e7d08eb40cb45a2" /><Relationship Type="http://schemas.openxmlformats.org/officeDocument/2006/relationships/table" Target="/xl/tables/table3.xml" Id="R52ed0e24a9934f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bcb235bcf24d25" /><Relationship Type="http://schemas.openxmlformats.org/officeDocument/2006/relationships/table" Target="/xl/tables/table5.xml" Id="R22844603e5e54f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e99127d7bfb43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f3cc0fd7f1c4f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e20ae5758f745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d0dc051017a54a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781779d64216465e" /><Relationship Type="http://schemas.openxmlformats.org/officeDocument/2006/relationships/table" Target="/xl/tables/table11.xml" Id="Rd5e8e5bae1b744f0" /><Relationship Type="http://schemas.openxmlformats.org/officeDocument/2006/relationships/table" Target="/xl/tables/table12.xml" Id="R7a4e0aff41a94e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8" hidden="0" customWidth="1"/>
    <x:col min="3" max="3" width="18" hidden="0" customWidth="1"/>
    <x:col min="4" max="4" width="18" hidden="0" customWidth="1"/>
    <x:col min="5" max="5" width="3" hidden="0" customWidth="1"/>
    <x:col min="6" max="6" width="14" hidden="0" customWidth="1"/>
    <x:col min="7" max="7" width="17" hidden="0" customWidth="1"/>
    <x:col min="8" max="8" width="17" hidden="0" customWidth="1"/>
    <x:col min="9" max="9" width="3" hidden="0" customWidth="1"/>
    <x:col min="10" max="10" width="7" hidden="0" customWidth="1"/>
    <x:col min="11" max="11" width="26" hidden="0" customWidth="1"/>
    <x:col min="12" max="12" width="62" hidden="0" customWidth="1"/>
  </x:cols>
  <x:sheetData>
    <x:row r="2">
      <x:c r="B2" s="2" t="str">
        <x:v>ניתוח הוצאות משק בית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B3" s="3" t="str">
        <x:v>2 נפשות | ינואר 2025 עד אוגוסט 2026 | סכומים בש״ח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6">
      <x:c r="B6" s="9" t="str">
        <x:v>מדד</x:v>
      </x:c>
      <x:c r="C6" s="9" t="str">
        <x:v>ערך</x:v>
      </x:c>
    </x:row>
    <x:row r="7">
      <x:c r="B7" s="11" t="str">
        <x:v>חודשים בניתוח</x:v>
      </x:c>
      <x:c r="C7" s="36" t="n">
        <x:v>20</x:v>
      </x:c>
    </x:row>
    <x:row r="8">
      <x:c r="B8" s="11" t="str">
        <x:v>שורות עסקאות</x:v>
      </x:c>
      <x:c r="C8" s="36" t="n">
        <x:v>1957</x:v>
      </x:c>
    </x:row>
    <x:row r="9">
      <x:c r="B9" s="11" t="str">
        <x:v>הוצאות מקור נטו</x:v>
      </x:c>
      <x:c r="C9" s="16" t="n">
        <x:v>733923</x:v>
      </x:c>
    </x:row>
    <x:row r="10">
      <x:c r="B10" s="11" t="str">
        <x:v>הוצאות תקניות</x:v>
      </x:c>
      <x:c r="C10" s="16" t="n">
        <x:v>819305</x:v>
      </x:c>
    </x:row>
    <x:row r="11">
      <x:c r="B11" s="11" t="str">
        <x:v>הוצאה שוטפת חודשית</x:v>
      </x:c>
      <x:c r="C11" s="16" t="n">
        <x:v>22579.05</x:v>
      </x:c>
    </x:row>
    <x:row r="12">
      <x:c r="B12" s="11" t="str">
        <x:v>הוצאה שוטפת לנפש</x:v>
      </x:c>
      <x:c r="C12" s="16" t="n">
        <x:v>11289.525</x:v>
      </x:c>
    </x:row>
    <x:row r="13">
      <x:c r="B13" s="11" t="str">
        <x:v>הכנסה תקנית</x:v>
      </x:c>
      <x:c r="C13" s="16" t="n">
        <x:v>1725864</x:v>
      </x:c>
    </x:row>
    <x:row r="14">
      <x:c r="B14" s="11" t="str">
        <x:v>חיסכון מצטבר</x:v>
      </x:c>
      <x:c r="C14" s="16" t="n">
        <x:v>906559</x:v>
      </x:c>
    </x:row>
    <x:row r="17">
      <x:c r="B17" s="37" t="str">
        <x:v>השוואת הוצאה שוטפת</x:v>
      </x:c>
      <x:c r="C17" s="38" t="str">
        <x:v>2025</x:v>
      </x:c>
      <x:c r="D17" s="39" t="str">
        <x:v>2026 (8 ח׳)</x:v>
      </x:c>
    </x:row>
    <x:row r="18">
      <x:c r="B18" s="40" t="str">
        <x:v>ממוצע חודשי</x:v>
      </x:c>
      <x:c r="C18" s="16" t="n">
        <x:v>22559</x:v>
      </x:c>
      <x:c r="D18" s="41" t="n">
        <x:v>22609.125</x:v>
      </x:c>
    </x:row>
    <x:row r="19">
      <x:c r="B19" s="40" t="str">
        <x:v>ממוצע לנפש</x:v>
      </x:c>
      <x:c r="C19" s="16" t="n">
        <x:v>11279.5</x:v>
      </x:c>
      <x:c r="D19" s="41" t="n">
        <x:v>11304.5625</x:v>
      </x:c>
    </x:row>
    <x:row r="20">
      <x:c r="B20" s="42" t="str">
        <x:v>שינוי לעומת 2025</x:v>
      </x:c>
      <x:c r="C20" s="43"/>
      <x:c r="D20" s="44" t="n">
        <x:v>0.002221951327629812</x:v>
      </x:c>
    </x:row>
    <x:row r="22">
      <x:c r="F22" s="9" t="str">
        <x:v>תקופה</x:v>
      </x:c>
      <x:c r="G22" s="9" t="str">
        <x:v>הוצאות תקניות</x:v>
      </x:c>
      <x:c r="H22" s="9" t="str">
        <x:v>הוצאות שוטפות</x:v>
      </x:c>
      <x:c r="J22" s="9" t="str">
        <x:v>מס׳</x:v>
      </x:c>
      <x:c r="K22" s="9" t="str">
        <x:v>ממצא</x:v>
      </x:c>
      <x:c r="L22" s="9" t="str">
        <x:v>פירוט</x:v>
      </x:c>
    </x:row>
    <x:row r="23">
      <x:c r="F23" s="11" t="str">
        <x:f>'ניתוח חודשי'!C7</x:f>
        <x:v>2025-01</x:v>
      </x:c>
      <x:c r="G23" s="16" t="n">
        <x:f>'ניתוח חודשי'!E7</x:f>
        <x:v>43507</x:v>
      </x:c>
      <x:c r="H23" s="16" t="n">
        <x:f>'ניתוח חודשי'!F7</x:f>
        <x:v>23605</x:v>
      </x:c>
      <x:c r="J23" s="47" t="str">
        <x:v>1</x:v>
      </x:c>
      <x:c r="K23" s="12" t="str">
        <x:v>ההוצאה השוטפת יציבה</x:v>
      </x:c>
      <x:c r="L23" s="12" t="str">
        <x:v>₪22,559 לחודש ב־2025 לעומת ₪22,609 ב־2026 — שינוי של 0.2%.</x:v>
      </x:c>
    </x:row>
    <x:row r="24">
      <x:c r="F24" s="11" t="str">
        <x:f>'ניתוח חודשי'!C8</x:f>
        <x:v>2025-02</x:v>
      </x:c>
      <x:c r="G24" s="16" t="n">
        <x:f>'ניתוח חודשי'!E8</x:f>
        <x:v>55680</x:v>
      </x:c>
      <x:c r="H24" s="16" t="n">
        <x:f>'ניתוח חודשי'!F8</x:f>
        <x:v>23441</x:v>
      </x:c>
      <x:c r="J24" s="47" t="str">
        <x:v>2</x:v>
      </x:c>
      <x:c r="K24" s="12" t="str">
        <x:v>הדיור הוא השינוי המבני המרכזי</x:v>
      </x:c>
      <x:c r="L24" s="12" t="str">
        <x:v>שכר הדירה עלה מכ־₪6,458 לחודש ב־2025 ל־₪8,000 ב־2026. יתר הסעיפים הגמישים ירדו בחלקם וקיזזו את העלייה.</x:v>
      </x:c>
    </x:row>
    <x:row r="25">
      <x:c r="F25" s="11" t="str">
        <x:f>'ניתוח חודשי'!C9</x:f>
        <x:v>2025-03</x:v>
      </x:c>
      <x:c r="G25" s="16" t="n">
        <x:f>'ניתוח חודשי'!E9</x:f>
        <x:v>56799</x:v>
      </x:c>
      <x:c r="H25" s="16" t="n">
        <x:f>'ניתוח חודשי'!F9</x:f>
        <x:v>28602</x:v>
      </x:c>
      <x:c r="J25" s="47" t="str">
        <x:v>3</x:v>
      </x:c>
      <x:c r="K25" s="12" t="str">
        <x:v>אוכל נשאר יציב יחסית</x:v>
      </x:c>
      <x:c r="L25" s="12" t="str">
        <x:v>מזון לבית ואוכל בחוץ יחד הם כ־₪3,600 לחודש למשק הבית, כ־₪1,800 לאדם.</x:v>
      </x:c>
    </x:row>
    <x:row r="26">
      <x:c r="F26" s="11" t="str">
        <x:f>'ניתוח חודשי'!C10</x:f>
        <x:v>2025-04</x:v>
      </x:c>
      <x:c r="G26" s="16" t="n">
        <x:f>'ניתוח חודשי'!E10</x:f>
        <x:v>38753</x:v>
      </x:c>
      <x:c r="H26" s="16" t="n">
        <x:f>'ניתוח חודשי'!F10</x:f>
        <x:v>24197</x:v>
      </x:c>
      <x:c r="J26" s="47" t="str">
        <x:v>4</x:v>
      </x:c>
      <x:c r="K26" s="12" t="str">
        <x:v>הוצאות בריאות וספורט מהותיות</x:v>
      </x:c>
      <x:c r="L26" s="12" t="str">
        <x:v>אין המלצה לקצץ טיפול; יש לבדוק החזרים וכפל כיסוי. בספורט יש מקום לבדוק חפיפה בין מסגרות.</x:v>
      </x:c>
    </x:row>
    <x:row r="27">
      <x:c r="F27" s="11" t="str">
        <x:f>'ניתוח חודשי'!C11</x:f>
        <x:v>2025-05</x:v>
      </x:c>
      <x:c r="G27" s="16" t="n">
        <x:f>'ניתוח חודשי'!E11</x:f>
        <x:v>78552</x:v>
      </x:c>
      <x:c r="H27" s="16" t="n">
        <x:f>'ניתוח חודשי'!F11</x:f>
        <x:v>16883</x:v>
      </x:c>
      <x:c r="J27" s="47" t="str">
        <x:v>5</x:v>
      </x:c>
      <x:c r="K27" s="12" t="str">
        <x:v>פוטנציאל החיסכון השמרני</x:v>
      </x:c>
      <x:c r="L27" s="12" t="str">
        <x:v>תרחיש ללא שינוי חד באורח החיים מכוון לכ־₪600–₪1,200 בחודש, בעיקר דרך תקציב גמיש, אוכל, ספקים וחפיפות.</x:v>
      </x:c>
    </x:row>
    <x:row r="28">
      <x:c r="F28" s="11" t="str">
        <x:f>'ניתוח חודשי'!C12</x:f>
        <x:v>2025-06</x:v>
      </x:c>
      <x:c r="G28" s="16" t="n">
        <x:f>'ניתוח חודשי'!E12</x:f>
        <x:v>31005</x:v>
      </x:c>
      <x:c r="H28" s="16" t="n">
        <x:f>'ניתוח חודשי'!F12</x:f>
        <x:v>23150</x:v>
      </x:c>
    </x:row>
    <x:row r="29">
      <x:c r="F29" s="11" t="str">
        <x:f>'ניתוח חודשי'!C13</x:f>
        <x:v>2025-07</x:v>
      </x:c>
      <x:c r="G29" s="16" t="n">
        <x:f>'ניתוח חודשי'!E13</x:f>
        <x:v>36910</x:v>
      </x:c>
      <x:c r="H29" s="16" t="n">
        <x:f>'ניתוח חודשי'!F13</x:f>
        <x:v>13450</x:v>
      </x:c>
    </x:row>
    <x:row r="30">
      <x:c r="F30" s="11" t="str">
        <x:f>'ניתוח חודשי'!C14</x:f>
        <x:v>2025-08</x:v>
      </x:c>
      <x:c r="G30" s="16" t="n">
        <x:f>'ניתוח חודשי'!E14</x:f>
        <x:v>33987</x:v>
      </x:c>
      <x:c r="H30" s="16" t="n">
        <x:f>'ניתוח חודשי'!F14</x:f>
        <x:v>21360</x:v>
      </x:c>
    </x:row>
    <x:row r="31">
      <x:c r="F31" s="11" t="str">
        <x:f>'ניתוח חודשי'!C15</x:f>
        <x:v>2025-09</x:v>
      </x:c>
      <x:c r="G31" s="16" t="n">
        <x:f>'ניתוח חודשי'!E15</x:f>
        <x:v>33640</x:v>
      </x:c>
      <x:c r="H31" s="16" t="n">
        <x:f>'ניתוח חודשי'!F15</x:f>
        <x:v>26039</x:v>
      </x:c>
    </x:row>
    <x:row r="32">
      <x:c r="F32" s="11" t="str">
        <x:f>'ניתוח חודשי'!C16</x:f>
        <x:v>2025-10</x:v>
      </x:c>
      <x:c r="G32" s="16" t="n">
        <x:f>'ניתוח חודשי'!E16</x:f>
        <x:v>44496</x:v>
      </x:c>
      <x:c r="H32" s="16" t="n">
        <x:f>'ניתוח חודשי'!F16</x:f>
        <x:v>18846</x:v>
      </x:c>
    </x:row>
    <x:row r="33">
      <x:c r="F33" s="11" t="str">
        <x:f>'ניתוח חודשי'!C17</x:f>
        <x:v>2025-11</x:v>
      </x:c>
      <x:c r="G33" s="16" t="n">
        <x:f>'ניתוח חודשי'!E17</x:f>
        <x:v>32456</x:v>
      </x:c>
      <x:c r="H33" s="16" t="n">
        <x:f>'ניתוח חודשי'!F17</x:f>
        <x:v>22159</x:v>
      </x:c>
    </x:row>
    <x:row r="34">
      <x:c r="F34" s="11" t="str">
        <x:f>'ניתוח חודשי'!C18</x:f>
        <x:v>2025-12</x:v>
      </x:c>
      <x:c r="G34" s="16" t="n">
        <x:f>'ניתוח חודשי'!E18</x:f>
        <x:v>47902</x:v>
      </x:c>
      <x:c r="H34" s="16" t="n">
        <x:f>'ניתוח חודשי'!F18</x:f>
        <x:v>28976</x:v>
      </x:c>
    </x:row>
    <x:row r="35">
      <x:c r="F35" s="11" t="str">
        <x:f>'ניתוח חודשי'!C19</x:f>
        <x:v>2026-01</x:v>
      </x:c>
      <x:c r="G35" s="16" t="n">
        <x:f>'ניתוח חודשי'!E19</x:f>
        <x:v>27251</x:v>
      </x:c>
      <x:c r="H35" s="16" t="n">
        <x:f>'ניתוח חודשי'!F19</x:f>
        <x:v>21001</x:v>
      </x:c>
    </x:row>
    <x:row r="36">
      <x:c r="F36" s="11" t="str">
        <x:f>'ניתוח חודשי'!C20</x:f>
        <x:v>2026-02</x:v>
      </x:c>
      <x:c r="G36" s="16" t="n">
        <x:f>'ניתוח חודשי'!E20</x:f>
        <x:v>26956</x:v>
      </x:c>
      <x:c r="H36" s="16" t="n">
        <x:f>'ניתוח חודשי'!F20</x:f>
        <x:v>20873</x:v>
      </x:c>
    </x:row>
    <x:row r="37">
      <x:c r="F37" s="11" t="str">
        <x:f>'ניתוח חודשי'!C21</x:f>
        <x:v>2026-03</x:v>
      </x:c>
      <x:c r="G37" s="16" t="n">
        <x:f>'ניתוח חודשי'!E21</x:f>
        <x:v>30147</x:v>
      </x:c>
      <x:c r="H37" s="16" t="n">
        <x:f>'ניתוח חודשי'!F21</x:f>
        <x:v>23144</x:v>
      </x:c>
    </x:row>
    <x:row r="38">
      <x:c r="F38" s="11" t="str">
        <x:f>'ניתוח חודשי'!C22</x:f>
        <x:v>2026-04</x:v>
      </x:c>
      <x:c r="G38" s="16" t="n">
        <x:f>'ניתוח חודשי'!E22</x:f>
        <x:v>32684</x:v>
      </x:c>
      <x:c r="H38" s="16" t="n">
        <x:f>'ניתוח חודשי'!F22</x:f>
        <x:v>24902</x:v>
      </x:c>
    </x:row>
    <x:row r="39">
      <x:c r="F39" s="11" t="str">
        <x:f>'ניתוח חודשי'!C23</x:f>
        <x:v>2026-05</x:v>
      </x:c>
      <x:c r="G39" s="16" t="n">
        <x:f>'ניתוח חודשי'!E23</x:f>
        <x:v>33320</x:v>
      </x:c>
      <x:c r="H39" s="16" t="n">
        <x:f>'ניתוח חודשי'!F23</x:f>
        <x:v>22338</x:v>
      </x:c>
    </x:row>
    <x:row r="40">
      <x:c r="F40" s="11" t="str">
        <x:f>'ניתוח חודשי'!C24</x:f>
        <x:v>2026-06</x:v>
      </x:c>
      <x:c r="G40" s="16" t="n">
        <x:f>'ניתוח חודשי'!E24</x:f>
        <x:v>54758</x:v>
      </x:c>
      <x:c r="H40" s="16" t="n">
        <x:f>'ניתוח חודשי'!F24</x:f>
        <x:v>18571</x:v>
      </x:c>
    </x:row>
    <x:row r="41">
      <x:c r="F41" s="11" t="str">
        <x:f>'ניתוח חודשי'!C25</x:f>
        <x:v>2026-07</x:v>
      </x:c>
      <x:c r="G41" s="16" t="n">
        <x:f>'ניתוח חודשי'!E25</x:f>
        <x:v>45952</x:v>
      </x:c>
      <x:c r="H41" s="16" t="n">
        <x:f>'ניתוח חודשי'!F25</x:f>
        <x:v>23205</x:v>
      </x:c>
    </x:row>
    <x:row r="42">
      <x:c r="F42" s="11" t="str">
        <x:f>'ניתוח חודשי'!C26</x:f>
        <x:v>2026-08</x:v>
      </x:c>
      <x:c r="G42" s="16" t="n">
        <x:f>'ניתוח חודשי'!E26</x:f>
        <x:v>34550</x:v>
      </x:c>
      <x:c r="H42" s="16" t="n">
        <x:f>'ניתוח חודשי'!F26</x:f>
        <x:v>26839</x:v>
      </x:c>
    </x:row>
  </x:sheetData>
  <x:pageMargins left="0.7" right="0.7" top="0.75" bottom="0.75" header="0.3" footer="0.3"/>
  <x:drawing xmlns:r="http://schemas.openxmlformats.org/officeDocument/2006/relationships" r:id="R2c574d3409ca4062"/>
  <x:tableParts count="1">
    <x:tablePart xmlns:r="http://schemas.openxmlformats.org/officeDocument/2006/relationships" r:id="Reffd3f11a73d4ae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14" hidden="0" customWidth="1"/>
    <x:col min="3" max="3" width="1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>
      <x:c r="B2" s="2" t="str">
        <x:v>ניתוח חודשי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B3" s="3" t="str">
        <x:v>הוצאות והכנסות מנורמלות; אוגוסט 2026 מסומן כחודש פתוח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6">
      <x:c r="B6" s="9" t="str">
        <x:v>חודש</x:v>
      </x:c>
      <x:c r="C6" s="9" t="str">
        <x:v>תקופה</x:v>
      </x:c>
      <x:c r="D6" s="9" t="str">
        <x:v>סטטוס</x:v>
      </x:c>
      <x:c r="E6" s="9" t="str">
        <x:v>הוצאות תקניות (₪)</x:v>
      </x:c>
      <x:c r="F6" s="9" t="str">
        <x:v>הוצאות שוטפות (₪)</x:v>
      </x:c>
      <x:c r="G6" s="9" t="str">
        <x:v>שוטף לנפש (₪)</x:v>
      </x:c>
      <x:c r="H6" s="9" t="str">
        <x:v>הכנסה רשומה (₪)</x:v>
      </x:c>
      <x:c r="I6" s="9" t="str">
        <x:v>הכנסה שסווגה מחדש (₪)</x:v>
      </x:c>
      <x:c r="J6" s="9" t="str">
        <x:v>הכנסה תקנית (₪)</x:v>
      </x:c>
      <x:c r="K6" s="9" t="str">
        <x:v>חיסכון (₪)</x:v>
      </x:c>
      <x:c r="L6" s="9" t="str">
        <x:v>שיעור חיסכון</x:v>
      </x:c>
      <x:c r="M6" s="9" t="str">
        <x:v>ממוצע שוטף 3 ח׳ (₪)</x:v>
      </x:c>
    </x:row>
    <x:row r="7">
      <x:c r="B7" s="14" t="n">
        <x:v>45658</x:v>
      </x:c>
      <x:c r="C7" s="11" t="str">
        <x:v>2025-01</x:v>
      </x:c>
      <x:c r="D7" s="11" t="str">
        <x:v>סגור</x:v>
      </x:c>
      <x:c r="E7" s="16" t="n">
        <x:f>SUMIFS('עסקאות'!$M$2:$M$1958,'עסקאות'!$A$2:$A$1958,B7)</x:f>
        <x:v>43507</x:v>
      </x:c>
      <x:c r="F7" s="16" t="n">
        <x:f>SUMIFS('עסקאות'!$N$2:$N$1958,'עסקאות'!$A$2:$A$1958,B7)</x:f>
        <x:v>23605</x:v>
      </x:c>
      <x:c r="G7" s="16" t="n">
        <x:f>F7/2</x:f>
        <x:v>11802.5</x:v>
      </x:c>
      <x:c r="H7" s="16" t="n">
        <x:f>SUMIFS('הכנסות'!$D$2:$D$98,'הכנסות'!$A$2:$A$98,B7)</x:f>
        <x:v>146408</x:v>
      </x:c>
      <x:c r="I7" s="16" t="n">
        <x:f>SUMIFS('עסקאות'!$O$2:$O$1958,'עסקאות'!$A$2:$A$1958,B7)</x:f>
        <x:v>6643</x:v>
      </x:c>
      <x:c r="J7" s="16" t="n">
        <x:f>H7+I7</x:f>
        <x:v>153051</x:v>
      </x:c>
      <x:c r="K7" s="16" t="n">
        <x:f>J7-E7</x:f>
        <x:v>109544</x:v>
      </x:c>
      <x:c r="L7" s="21" t="n">
        <x:f>IF(J7=0,"",K7/J7)</x:f>
        <x:v>0.7157352777832225</x:v>
      </x:c>
      <x:c r="M7" s="16"/>
    </x:row>
    <x:row r="8">
      <x:c r="B8" s="14" t="n">
        <x:v>45689</x:v>
      </x:c>
      <x:c r="C8" s="11" t="str">
        <x:v>2025-02</x:v>
      </x:c>
      <x:c r="D8" s="11" t="str">
        <x:v>סגור</x:v>
      </x:c>
      <x:c r="E8" s="16" t="n">
        <x:f>SUMIFS('עסקאות'!$M$2:$M$1958,'עסקאות'!$A$2:$A$1958,B8)</x:f>
        <x:v>55680</x:v>
      </x:c>
      <x:c r="F8" s="16" t="n">
        <x:f>SUMIFS('עסקאות'!$N$2:$N$1958,'עסקאות'!$A$2:$A$1958,B8)</x:f>
        <x:v>23441</x:v>
      </x:c>
      <x:c r="G8" s="16" t="n">
        <x:f>F8/2</x:f>
        <x:v>11720.5</x:v>
      </x:c>
      <x:c r="H8" s="16" t="n">
        <x:f>SUMIFS('הכנסות'!$D$2:$D$98,'הכנסות'!$A$2:$A$98,B8)</x:f>
        <x:v>39979</x:v>
      </x:c>
      <x:c r="I8" s="16" t="n">
        <x:f>SUMIFS('עסקאות'!$O$2:$O$1958,'עסקאות'!$A$2:$A$1958,B8)</x:f>
        <x:v>6663</x:v>
      </x:c>
      <x:c r="J8" s="16" t="n">
        <x:f>H8+I8</x:f>
        <x:v>46642</x:v>
      </x:c>
      <x:c r="K8" s="16" t="n">
        <x:f>J8-E8</x:f>
        <x:v>-9038</x:v>
      </x:c>
      <x:c r="L8" s="21" t="n">
        <x:f>IF(J8=0,"",K8/J8)</x:f>
        <x:v>-0.19377385189314353</x:v>
      </x:c>
      <x:c r="M8" s="16"/>
    </x:row>
    <x:row r="9">
      <x:c r="B9" s="14" t="n">
        <x:v>45717</x:v>
      </x:c>
      <x:c r="C9" s="11" t="str">
        <x:v>2025-03</x:v>
      </x:c>
      <x:c r="D9" s="11" t="str">
        <x:v>סגור</x:v>
      </x:c>
      <x:c r="E9" s="16" t="n">
        <x:f>SUMIFS('עסקאות'!$M$2:$M$1958,'עסקאות'!$A$2:$A$1958,B9)</x:f>
        <x:v>56799</x:v>
      </x:c>
      <x:c r="F9" s="16" t="n">
        <x:f>SUMIFS('עסקאות'!$N$2:$N$1958,'עסקאות'!$A$2:$A$1958,B9)</x:f>
        <x:v>28602</x:v>
      </x:c>
      <x:c r="G9" s="16" t="n">
        <x:f>F9/2</x:f>
        <x:v>14301</x:v>
      </x:c>
      <x:c r="H9" s="16" t="n">
        <x:f>SUMIFS('הכנסות'!$D$2:$D$98,'הכנסות'!$A$2:$A$98,B9)</x:f>
        <x:v>70123</x:v>
      </x:c>
      <x:c r="I9" s="16" t="n">
        <x:f>SUMIFS('עסקאות'!$O$2:$O$1958,'עסקאות'!$A$2:$A$1958,B9)</x:f>
        <x:v>6989</x:v>
      </x:c>
      <x:c r="J9" s="16" t="n">
        <x:f>H9+I9</x:f>
        <x:v>77112</x:v>
      </x:c>
      <x:c r="K9" s="16" t="n">
        <x:f>J9-E9</x:f>
        <x:v>20313</x:v>
      </x:c>
      <x:c r="L9" s="21" t="n">
        <x:f>IF(J9=0,"",K9/J9)</x:f>
        <x:v>0.263422035480859</x:v>
      </x:c>
      <x:c r="M9" s="16" t="n">
        <x:f>AVERAGE(F7:F9)</x:f>
        <x:v>25216</x:v>
      </x:c>
    </x:row>
    <x:row r="10">
      <x:c r="B10" s="14" t="n">
        <x:v>45748</x:v>
      </x:c>
      <x:c r="C10" s="11" t="str">
        <x:v>2025-04</x:v>
      </x:c>
      <x:c r="D10" s="11" t="str">
        <x:v>סגור</x:v>
      </x:c>
      <x:c r="E10" s="16" t="n">
        <x:f>SUMIFS('עסקאות'!$M$2:$M$1958,'עסקאות'!$A$2:$A$1958,B10)</x:f>
        <x:v>38753</x:v>
      </x:c>
      <x:c r="F10" s="16" t="n">
        <x:f>SUMIFS('עסקאות'!$N$2:$N$1958,'עסקאות'!$A$2:$A$1958,B10)</x:f>
        <x:v>24197</x:v>
      </x:c>
      <x:c r="G10" s="16" t="n">
        <x:f>F10/2</x:f>
        <x:v>12098.5</x:v>
      </x:c>
      <x:c r="H10" s="16" t="n">
        <x:f>SUMIFS('הכנסות'!$D$2:$D$98,'הכנסות'!$A$2:$A$98,B10)</x:f>
        <x:v>34053</x:v>
      </x:c>
      <x:c r="I10" s="16" t="n">
        <x:f>SUMIFS('עסקאות'!$O$2:$O$1958,'עסקאות'!$A$2:$A$1958,B10)</x:f>
        <x:v>8137</x:v>
      </x:c>
      <x:c r="J10" s="16" t="n">
        <x:f>H10+I10</x:f>
        <x:v>42190</x:v>
      </x:c>
      <x:c r="K10" s="16" t="n">
        <x:f>J10-E10</x:f>
        <x:v>3437</x:v>
      </x:c>
      <x:c r="L10" s="21" t="n">
        <x:f>IF(J10=0,"",K10/J10)</x:f>
        <x:v>0.08146480208580233</x:v>
      </x:c>
      <x:c r="M10" s="16" t="n">
        <x:f>AVERAGE(F8:F10)</x:f>
        <x:v>25413.333333333332</x:v>
      </x:c>
    </x:row>
    <x:row r="11">
      <x:c r="B11" s="14" t="n">
        <x:v>45778</x:v>
      </x:c>
      <x:c r="C11" s="11" t="str">
        <x:v>2025-05</x:v>
      </x:c>
      <x:c r="D11" s="11" t="str">
        <x:v>סגור</x:v>
      </x:c>
      <x:c r="E11" s="16" t="n">
        <x:f>SUMIFS('עסקאות'!$M$2:$M$1958,'עסקאות'!$A$2:$A$1958,B11)</x:f>
        <x:v>78552</x:v>
      </x:c>
      <x:c r="F11" s="16" t="n">
        <x:f>SUMIFS('עסקאות'!$N$2:$N$1958,'עסקאות'!$A$2:$A$1958,B11)</x:f>
        <x:v>16883</x:v>
      </x:c>
      <x:c r="G11" s="16" t="n">
        <x:f>F11/2</x:f>
        <x:v>8441.5</x:v>
      </x:c>
      <x:c r="H11" s="16" t="n">
        <x:f>SUMIFS('הכנסות'!$D$2:$D$98,'הכנסות'!$A$2:$A$98,B11)</x:f>
        <x:v>19799</x:v>
      </x:c>
      <x:c r="I11" s="16" t="n">
        <x:f>SUMIFS('עסקאות'!$O$2:$O$1958,'עסקאות'!$A$2:$A$1958,B11)</x:f>
        <x:v>6500</x:v>
      </x:c>
      <x:c r="J11" s="16" t="n">
        <x:f>H11+I11</x:f>
        <x:v>26299</x:v>
      </x:c>
      <x:c r="K11" s="16" t="n">
        <x:f>J11-E11</x:f>
        <x:v>-52253</x:v>
      </x:c>
      <x:c r="L11" s="21" t="n">
        <x:f>IF(J11=0,"",K11/J11)</x:f>
        <x:v>-1.9868816304802464</x:v>
      </x:c>
      <x:c r="M11" s="16" t="n">
        <x:f>AVERAGE(F9:F11)</x:f>
        <x:v>23227.333333333332</x:v>
      </x:c>
    </x:row>
    <x:row r="12">
      <x:c r="B12" s="14" t="n">
        <x:v>45809</x:v>
      </x:c>
      <x:c r="C12" s="11" t="str">
        <x:v>2025-06</x:v>
      </x:c>
      <x:c r="D12" s="11" t="str">
        <x:v>סגור</x:v>
      </x:c>
      <x:c r="E12" s="16" t="n">
        <x:f>SUMIFS('עסקאות'!$M$2:$M$1958,'עסקאות'!$A$2:$A$1958,B12)</x:f>
        <x:v>31005</x:v>
      </x:c>
      <x:c r="F12" s="16" t="n">
        <x:f>SUMIFS('עסקאות'!$N$2:$N$1958,'עסקאות'!$A$2:$A$1958,B12)</x:f>
        <x:v>23150</x:v>
      </x:c>
      <x:c r="G12" s="16" t="n">
        <x:f>F12/2</x:f>
        <x:v>11575</x:v>
      </x:c>
      <x:c r="H12" s="16" t="n">
        <x:f>SUMIFS('הכנסות'!$D$2:$D$98,'הכנסות'!$A$2:$A$98,B12)</x:f>
        <x:v>0</x:v>
      </x:c>
      <x:c r="I12" s="16" t="n">
        <x:f>SUMIFS('עסקאות'!$O$2:$O$1958,'עסקאות'!$A$2:$A$1958,B12)</x:f>
        <x:v>6500</x:v>
      </x:c>
      <x:c r="J12" s="16" t="n">
        <x:f>H12+I12</x:f>
        <x:v>6500</x:v>
      </x:c>
      <x:c r="K12" s="16" t="n">
        <x:f>J12-E12</x:f>
        <x:v>-24505</x:v>
      </x:c>
      <x:c r="L12" s="21" t="n">
        <x:f>IF(J12=0,"",K12/J12)</x:f>
        <x:v>-3.77</x:v>
      </x:c>
      <x:c r="M12" s="16" t="n">
        <x:f>AVERAGE(F10:F12)</x:f>
        <x:v>21410</x:v>
      </x:c>
    </x:row>
    <x:row r="13">
      <x:c r="B13" s="14" t="n">
        <x:v>45839</x:v>
      </x:c>
      <x:c r="C13" s="11" t="str">
        <x:v>2025-07</x:v>
      </x:c>
      <x:c r="D13" s="11" t="str">
        <x:v>סגור</x:v>
      </x:c>
      <x:c r="E13" s="16" t="n">
        <x:f>SUMIFS('עסקאות'!$M$2:$M$1958,'עסקאות'!$A$2:$A$1958,B13)</x:f>
        <x:v>36910</x:v>
      </x:c>
      <x:c r="F13" s="16" t="n">
        <x:f>SUMIFS('עסקאות'!$N$2:$N$1958,'עסקאות'!$A$2:$A$1958,B13)</x:f>
        <x:v>13450</x:v>
      </x:c>
      <x:c r="G13" s="16" t="n">
        <x:f>F13/2</x:f>
        <x:v>6725</x:v>
      </x:c>
      <x:c r="H13" s="16" t="n">
        <x:f>SUMIFS('הכנסות'!$D$2:$D$98,'הכנסות'!$A$2:$A$98,B13)</x:f>
        <x:v>15296</x:v>
      </x:c>
      <x:c r="I13" s="16" t="n">
        <x:f>SUMIFS('עסקאות'!$O$2:$O$1958,'עסקאות'!$A$2:$A$1958,B13)</x:f>
        <x:v>6924</x:v>
      </x:c>
      <x:c r="J13" s="16" t="n">
        <x:f>H13+I13</x:f>
        <x:v>22220</x:v>
      </x:c>
      <x:c r="K13" s="16" t="n">
        <x:f>J13-E13</x:f>
        <x:v>-14690</x:v>
      </x:c>
      <x:c r="L13" s="21" t="n">
        <x:f>IF(J13=0,"",K13/J13)</x:f>
        <x:v>-0.6611161116111611</x:v>
      </x:c>
      <x:c r="M13" s="16" t="n">
        <x:f>AVERAGE(F11:F13)</x:f>
        <x:v>17827.666666666668</x:v>
      </x:c>
    </x:row>
    <x:row r="14">
      <x:c r="B14" s="14" t="n">
        <x:v>45870</x:v>
      </x:c>
      <x:c r="C14" s="11" t="str">
        <x:v>2025-08</x:v>
      </x:c>
      <x:c r="D14" s="11" t="str">
        <x:v>סגור</x:v>
      </x:c>
      <x:c r="E14" s="16" t="n">
        <x:f>SUMIFS('עסקאות'!$M$2:$M$1958,'עסקאות'!$A$2:$A$1958,B14)</x:f>
        <x:v>33987</x:v>
      </x:c>
      <x:c r="F14" s="16" t="n">
        <x:f>SUMIFS('עסקאות'!$N$2:$N$1958,'עסקאות'!$A$2:$A$1958,B14)</x:f>
        <x:v>21360</x:v>
      </x:c>
      <x:c r="G14" s="16" t="n">
        <x:f>F14/2</x:f>
        <x:v>10680</x:v>
      </x:c>
      <x:c r="H14" s="16" t="n">
        <x:f>SUMIFS('הכנסות'!$D$2:$D$98,'הכנסות'!$A$2:$A$98,B14)</x:f>
        <x:v>15305</x:v>
      </x:c>
      <x:c r="I14" s="16" t="n">
        <x:f>SUMIFS('עסקאות'!$O$2:$O$1958,'עסקאות'!$A$2:$A$1958,B14)</x:f>
        <x:v>6716</x:v>
      </x:c>
      <x:c r="J14" s="16" t="n">
        <x:f>H14+I14</x:f>
        <x:v>22021</x:v>
      </x:c>
      <x:c r="K14" s="16" t="n">
        <x:f>J14-E14</x:f>
        <x:v>-11966</x:v>
      </x:c>
      <x:c r="L14" s="21" t="n">
        <x:f>IF(J14=0,"",K14/J14)</x:f>
        <x:v>-0.5433904000726579</x:v>
      </x:c>
      <x:c r="M14" s="16" t="n">
        <x:f>AVERAGE(F12:F14)</x:f>
        <x:v>19320</x:v>
      </x:c>
    </x:row>
    <x:row r="15">
      <x:c r="B15" s="14" t="n">
        <x:v>45901</x:v>
      </x:c>
      <x:c r="C15" s="11" t="str">
        <x:v>2025-09</x:v>
      </x:c>
      <x:c r="D15" s="11" t="str">
        <x:v>סגור</x:v>
      </x:c>
      <x:c r="E15" s="16" t="n">
        <x:f>SUMIFS('עסקאות'!$M$2:$M$1958,'עסקאות'!$A$2:$A$1958,B15)</x:f>
        <x:v>33640</x:v>
      </x:c>
      <x:c r="F15" s="16" t="n">
        <x:f>SUMIFS('עסקאות'!$N$2:$N$1958,'עסקאות'!$A$2:$A$1958,B15)</x:f>
        <x:v>26039</x:v>
      </x:c>
      <x:c r="G15" s="16" t="n">
        <x:f>F15/2</x:f>
        <x:v>13019.5</x:v>
      </x:c>
      <x:c r="H15" s="16" t="n">
        <x:f>SUMIFS('הכנסות'!$D$2:$D$98,'הכנסות'!$A$2:$A$98,B15)</x:f>
        <x:v>29670</x:v>
      </x:c>
      <x:c r="I15" s="16" t="n">
        <x:f>SUMIFS('עסקאות'!$O$2:$O$1958,'עסקאות'!$A$2:$A$1958,B15)</x:f>
        <x:v>6500</x:v>
      </x:c>
      <x:c r="J15" s="16" t="n">
        <x:f>H15+I15</x:f>
        <x:v>36170</x:v>
      </x:c>
      <x:c r="K15" s="16" t="n">
        <x:f>J15-E15</x:f>
        <x:v>2530</x:v>
      </x:c>
      <x:c r="L15" s="21" t="n">
        <x:f>IF(J15=0,"",K15/J15)</x:f>
        <x:v>0.06994747027923694</x:v>
      </x:c>
      <x:c r="M15" s="16" t="n">
        <x:f>AVERAGE(F13:F15)</x:f>
        <x:v>20283</x:v>
      </x:c>
    </x:row>
    <x:row r="16">
      <x:c r="B16" s="14" t="n">
        <x:v>45931</x:v>
      </x:c>
      <x:c r="C16" s="11" t="str">
        <x:v>2025-10</x:v>
      </x:c>
      <x:c r="D16" s="11" t="str">
        <x:v>סגור</x:v>
      </x:c>
      <x:c r="E16" s="16" t="n">
        <x:f>SUMIFS('עסקאות'!$M$2:$M$1958,'עסקאות'!$A$2:$A$1958,B16)</x:f>
        <x:v>44496</x:v>
      </x:c>
      <x:c r="F16" s="16" t="n">
        <x:f>SUMIFS('עסקאות'!$N$2:$N$1958,'עסקאות'!$A$2:$A$1958,B16)</x:f>
        <x:v>18846</x:v>
      </x:c>
      <x:c r="G16" s="16" t="n">
        <x:f>F16/2</x:f>
        <x:v>9423</x:v>
      </x:c>
      <x:c r="H16" s="16" t="n">
        <x:f>SUMIFS('הכנסות'!$D$2:$D$98,'הכנסות'!$A$2:$A$98,B16)</x:f>
        <x:v>79627</x:v>
      </x:c>
      <x:c r="I16" s="16" t="n">
        <x:f>SUMIFS('עסקאות'!$O$2:$O$1958,'עסקאות'!$A$2:$A$1958,B16)</x:f>
        <x:v>5563</x:v>
      </x:c>
      <x:c r="J16" s="16" t="n">
        <x:f>H16+I16</x:f>
        <x:v>85190</x:v>
      </x:c>
      <x:c r="K16" s="16" t="n">
        <x:f>J16-E16</x:f>
        <x:v>40694</x:v>
      </x:c>
      <x:c r="L16" s="21" t="n">
        <x:f>IF(J16=0,"",K16/J16)</x:f>
        <x:v>0.4776851743162343</x:v>
      </x:c>
      <x:c r="M16" s="16" t="n">
        <x:f>AVERAGE(F14:F16)</x:f>
        <x:v>22081.666666666668</x:v>
      </x:c>
    </x:row>
    <x:row r="17">
      <x:c r="B17" s="14" t="n">
        <x:v>45962</x:v>
      </x:c>
      <x:c r="C17" s="11" t="str">
        <x:v>2025-11</x:v>
      </x:c>
      <x:c r="D17" s="11" t="str">
        <x:v>סגור</x:v>
      </x:c>
      <x:c r="E17" s="16" t="n">
        <x:f>SUMIFS('עסקאות'!$M$2:$M$1958,'עסקאות'!$A$2:$A$1958,B17)</x:f>
        <x:v>32456</x:v>
      </x:c>
      <x:c r="F17" s="16" t="n">
        <x:f>SUMIFS('עסקאות'!$N$2:$N$1958,'עסקאות'!$A$2:$A$1958,B17)</x:f>
        <x:v>22159</x:v>
      </x:c>
      <x:c r="G17" s="16" t="n">
        <x:f>F17/2</x:f>
        <x:v>11079.5</x:v>
      </x:c>
      <x:c r="H17" s="16" t="n">
        <x:f>SUMIFS('הכנסות'!$D$2:$D$98,'הכנסות'!$A$2:$A$98,B17)</x:f>
        <x:v>447442</x:v>
      </x:c>
      <x:c r="I17" s="16" t="n">
        <x:f>SUMIFS('עסקאות'!$O$2:$O$1958,'עסקאות'!$A$2:$A$1958,B17)</x:f>
        <x:v>11701</x:v>
      </x:c>
      <x:c r="J17" s="16" t="n">
        <x:f>H17+I17</x:f>
        <x:v>459143</x:v>
      </x:c>
      <x:c r="K17" s="16" t="n">
        <x:f>J17-E17</x:f>
        <x:v>426687</x:v>
      </x:c>
      <x:c r="L17" s="21" t="n">
        <x:f>IF(J17=0,"",K17/J17)</x:f>
        <x:v>0.929311783039271</x:v>
      </x:c>
      <x:c r="M17" s="16" t="n">
        <x:f>AVERAGE(F15:F17)</x:f>
        <x:v>22348</x:v>
      </x:c>
    </x:row>
    <x:row r="18">
      <x:c r="B18" s="14" t="n">
        <x:v>45992</x:v>
      </x:c>
      <x:c r="C18" s="11" t="str">
        <x:v>2025-12</x:v>
      </x:c>
      <x:c r="D18" s="11" t="str">
        <x:v>סגור</x:v>
      </x:c>
      <x:c r="E18" s="16" t="n">
        <x:f>SUMIFS('עסקאות'!$M$2:$M$1958,'עסקאות'!$A$2:$A$1958,B18)</x:f>
        <x:v>47902</x:v>
      </x:c>
      <x:c r="F18" s="16" t="n">
        <x:f>SUMIFS('עסקאות'!$N$2:$N$1958,'עסקאות'!$A$2:$A$1958,B18)</x:f>
        <x:v>28976</x:v>
      </x:c>
      <x:c r="G18" s="16" t="n">
        <x:f>F18/2</x:f>
        <x:v>14488</x:v>
      </x:c>
      <x:c r="H18" s="16" t="n">
        <x:f>SUMIFS('הכנסות'!$D$2:$D$98,'הכנסות'!$A$2:$A$98,B18)</x:f>
        <x:v>107604</x:v>
      </x:c>
      <x:c r="I18" s="16" t="n">
        <x:f>SUMIFS('עסקאות'!$O$2:$O$1958,'עסקאות'!$A$2:$A$1958,B18)</x:f>
        <x:v>6546</x:v>
      </x:c>
      <x:c r="J18" s="16" t="n">
        <x:f>H18+I18</x:f>
        <x:v>114150</x:v>
      </x:c>
      <x:c r="K18" s="16" t="n">
        <x:f>J18-E18</x:f>
        <x:v>66248</x:v>
      </x:c>
      <x:c r="L18" s="21" t="n">
        <x:f>IF(J18=0,"",K18/J18)</x:f>
        <x:v>0.58035917652212</x:v>
      </x:c>
      <x:c r="M18" s="16" t="n">
        <x:f>AVERAGE(F16:F18)</x:f>
        <x:v>23327</x:v>
      </x:c>
    </x:row>
    <x:row r="19">
      <x:c r="B19" s="14" t="n">
        <x:v>46023</x:v>
      </x:c>
      <x:c r="C19" s="11" t="str">
        <x:v>2026-01</x:v>
      </x:c>
      <x:c r="D19" s="11" t="str">
        <x:v>סגור</x:v>
      </x:c>
      <x:c r="E19" s="16" t="n">
        <x:f>SUMIFS('עסקאות'!$M$2:$M$1958,'עסקאות'!$A$2:$A$1958,B19)</x:f>
        <x:v>27251</x:v>
      </x:c>
      <x:c r="F19" s="16" t="n">
        <x:f>SUMIFS('עסקאות'!$N$2:$N$1958,'עסקאות'!$A$2:$A$1958,B19)</x:f>
        <x:v>21001</x:v>
      </x:c>
      <x:c r="G19" s="16" t="n">
        <x:f>F19/2</x:f>
        <x:v>10500.5</x:v>
      </x:c>
      <x:c r="H19" s="16" t="n">
        <x:f>SUMIFS('הכנסות'!$D$2:$D$98,'הכנסות'!$A$2:$A$98,B19)</x:f>
        <x:v>51323</x:v>
      </x:c>
      <x:c r="I19" s="16" t="n">
        <x:f>SUMIFS('עסקאות'!$O$2:$O$1958,'עסקאות'!$A$2:$A$1958,B19)</x:f>
        <x:v>0</x:v>
      </x:c>
      <x:c r="J19" s="16" t="n">
        <x:f>H19+I19</x:f>
        <x:v>51323</x:v>
      </x:c>
      <x:c r="K19" s="16" t="n">
        <x:f>J19-E19</x:f>
        <x:v>24072</x:v>
      </x:c>
      <x:c r="L19" s="21" t="n">
        <x:f>IF(J19=0,"",K19/J19)</x:f>
        <x:v>0.46902947996025174</x:v>
      </x:c>
      <x:c r="M19" s="16" t="n">
        <x:f>AVERAGE(F17:F19)</x:f>
        <x:v>24045.333333333332</x:v>
      </x:c>
    </x:row>
    <x:row r="20">
      <x:c r="B20" s="14" t="n">
        <x:v>46054</x:v>
      </x:c>
      <x:c r="C20" s="11" t="str">
        <x:v>2026-02</x:v>
      </x:c>
      <x:c r="D20" s="11" t="str">
        <x:v>סגור</x:v>
      </x:c>
      <x:c r="E20" s="16" t="n">
        <x:f>SUMIFS('עסקאות'!$M$2:$M$1958,'עסקאות'!$A$2:$A$1958,B20)</x:f>
        <x:v>26956</x:v>
      </x:c>
      <x:c r="F20" s="16" t="n">
        <x:f>SUMIFS('עסקאות'!$N$2:$N$1958,'עסקאות'!$A$2:$A$1958,B20)</x:f>
        <x:v>20873</x:v>
      </x:c>
      <x:c r="G20" s="16" t="n">
        <x:f>F20/2</x:f>
        <x:v>10436.5</x:v>
      </x:c>
      <x:c r="H20" s="16" t="n">
        <x:f>SUMIFS('הכנסות'!$D$2:$D$98,'הכנסות'!$A$2:$A$98,B20)</x:f>
        <x:v>50650</x:v>
      </x:c>
      <x:c r="I20" s="16" t="n">
        <x:f>SUMIFS('עסקאות'!$O$2:$O$1958,'עסקאות'!$A$2:$A$1958,B20)</x:f>
        <x:v>0</x:v>
      </x:c>
      <x:c r="J20" s="16" t="n">
        <x:f>H20+I20</x:f>
        <x:v>50650</x:v>
      </x:c>
      <x:c r="K20" s="16" t="n">
        <x:f>J20-E20</x:f>
        <x:v>23694</x:v>
      </x:c>
      <x:c r="L20" s="21" t="n">
        <x:f>IF(J20=0,"",K20/J20)</x:f>
        <x:v>0.46779861796643635</x:v>
      </x:c>
      <x:c r="M20" s="16" t="n">
        <x:f>AVERAGE(F18:F20)</x:f>
        <x:v>23616.666666666668</x:v>
      </x:c>
    </x:row>
    <x:row r="21">
      <x:c r="B21" s="14" t="n">
        <x:v>46082</x:v>
      </x:c>
      <x:c r="C21" s="11" t="str">
        <x:v>2026-03</x:v>
      </x:c>
      <x:c r="D21" s="11" t="str">
        <x:v>סגור</x:v>
      </x:c>
      <x:c r="E21" s="16" t="n">
        <x:f>SUMIFS('עסקאות'!$M$2:$M$1958,'עסקאות'!$A$2:$A$1958,B21)</x:f>
        <x:v>30147</x:v>
      </x:c>
      <x:c r="F21" s="16" t="n">
        <x:f>SUMIFS('עסקאות'!$N$2:$N$1958,'עסקאות'!$A$2:$A$1958,B21)</x:f>
        <x:v>23144</x:v>
      </x:c>
      <x:c r="G21" s="16" t="n">
        <x:f>F21/2</x:f>
        <x:v>11572</x:v>
      </x:c>
      <x:c r="H21" s="16" t="n">
        <x:f>SUMIFS('הכנסות'!$D$2:$D$98,'הכנסות'!$A$2:$A$98,B21)</x:f>
        <x:v>111029</x:v>
      </x:c>
      <x:c r="I21" s="16" t="n">
        <x:f>SUMIFS('עסקאות'!$O$2:$O$1958,'עסקאות'!$A$2:$A$1958,B21)</x:f>
        <x:v>0</x:v>
      </x:c>
      <x:c r="J21" s="16" t="n">
        <x:f>H21+I21</x:f>
        <x:v>111029</x:v>
      </x:c>
      <x:c r="K21" s="16" t="n">
        <x:f>J21-E21</x:f>
        <x:v>80882</x:v>
      </x:c>
      <x:c r="L21" s="21" t="n">
        <x:f>IF(J21=0,"",K21/J21)</x:f>
        <x:v>0.7284763440182295</x:v>
      </x:c>
      <x:c r="M21" s="16" t="n">
        <x:f>AVERAGE(F19:F21)</x:f>
        <x:v>21672.666666666668</x:v>
      </x:c>
    </x:row>
    <x:row r="22">
      <x:c r="B22" s="14" t="n">
        <x:v>46113</x:v>
      </x:c>
      <x:c r="C22" s="11" t="str">
        <x:v>2026-04</x:v>
      </x:c>
      <x:c r="D22" s="11" t="str">
        <x:v>סגור</x:v>
      </x:c>
      <x:c r="E22" s="16" t="n">
        <x:f>SUMIFS('עסקאות'!$M$2:$M$1958,'עסקאות'!$A$2:$A$1958,B22)</x:f>
        <x:v>32684</x:v>
      </x:c>
      <x:c r="F22" s="16" t="n">
        <x:f>SUMIFS('עסקאות'!$N$2:$N$1958,'עסקאות'!$A$2:$A$1958,B22)</x:f>
        <x:v>24902</x:v>
      </x:c>
      <x:c r="G22" s="16" t="n">
        <x:f>F22/2</x:f>
        <x:v>12451</x:v>
      </x:c>
      <x:c r="H22" s="16" t="n">
        <x:f>SUMIFS('הכנסות'!$D$2:$D$98,'הכנסות'!$A$2:$A$98,B22)</x:f>
        <x:v>134731</x:v>
      </x:c>
      <x:c r="I22" s="16" t="n">
        <x:f>SUMIFS('עסקאות'!$O$2:$O$1958,'עסקאות'!$A$2:$A$1958,B22)</x:f>
        <x:v>0</x:v>
      </x:c>
      <x:c r="J22" s="16" t="n">
        <x:f>H22+I22</x:f>
        <x:v>134731</x:v>
      </x:c>
      <x:c r="K22" s="16" t="n">
        <x:f>J22-E22</x:f>
        <x:v>102047</x:v>
      </x:c>
      <x:c r="L22" s="21" t="n">
        <x:f>IF(J22=0,"",K22/J22)</x:f>
        <x:v>0.757412919075788</x:v>
      </x:c>
      <x:c r="M22" s="16" t="n">
        <x:f>AVERAGE(F20:F22)</x:f>
        <x:v>22973</x:v>
      </x:c>
    </x:row>
    <x:row r="23">
      <x:c r="B23" s="14" t="n">
        <x:v>46143</x:v>
      </x:c>
      <x:c r="C23" s="11" t="str">
        <x:v>2026-05</x:v>
      </x:c>
      <x:c r="D23" s="11" t="str">
        <x:v>סגור</x:v>
      </x:c>
      <x:c r="E23" s="16" t="n">
        <x:f>SUMIFS('עסקאות'!$M$2:$M$1958,'עסקאות'!$A$2:$A$1958,B23)</x:f>
        <x:v>33320</x:v>
      </x:c>
      <x:c r="F23" s="16" t="n">
        <x:f>SUMIFS('עסקאות'!$N$2:$N$1958,'עסקאות'!$A$2:$A$1958,B23)</x:f>
        <x:v>22338</x:v>
      </x:c>
      <x:c r="G23" s="16" t="n">
        <x:f>F23/2</x:f>
        <x:v>11169</x:v>
      </x:c>
      <x:c r="H23" s="16" t="n">
        <x:f>SUMIFS('הכנסות'!$D$2:$D$98,'הכנסות'!$A$2:$A$98,B23)</x:f>
        <x:v>59789</x:v>
      </x:c>
      <x:c r="I23" s="16" t="n">
        <x:f>SUMIFS('עסקאות'!$O$2:$O$1958,'עסקאות'!$A$2:$A$1958,B23)</x:f>
        <x:v>0</x:v>
      </x:c>
      <x:c r="J23" s="16" t="n">
        <x:f>H23+I23</x:f>
        <x:v>59789</x:v>
      </x:c>
      <x:c r="K23" s="16" t="n">
        <x:f>J23-E23</x:f>
        <x:v>26469</x:v>
      </x:c>
      <x:c r="L23" s="21" t="n">
        <x:f>IF(J23=0,"",K23/J23)</x:f>
        <x:v>0.4427068524310492</x:v>
      </x:c>
      <x:c r="M23" s="16" t="n">
        <x:f>AVERAGE(F21:F23)</x:f>
        <x:v>23461.333333333332</x:v>
      </x:c>
    </x:row>
    <x:row r="24">
      <x:c r="B24" s="14" t="n">
        <x:v>46174</x:v>
      </x:c>
      <x:c r="C24" s="11" t="str">
        <x:v>2026-06</x:v>
      </x:c>
      <x:c r="D24" s="11" t="str">
        <x:v>סגור</x:v>
      </x:c>
      <x:c r="E24" s="16" t="n">
        <x:f>SUMIFS('עסקאות'!$M$2:$M$1958,'עסקאות'!$A$2:$A$1958,B24)</x:f>
        <x:v>54758</x:v>
      </x:c>
      <x:c r="F24" s="16" t="n">
        <x:f>SUMIFS('עסקאות'!$N$2:$N$1958,'עסקאות'!$A$2:$A$1958,B24)</x:f>
        <x:v>18571</x:v>
      </x:c>
      <x:c r="G24" s="16" t="n">
        <x:f>F24/2</x:f>
        <x:v>9285.5</x:v>
      </x:c>
      <x:c r="H24" s="16" t="n">
        <x:f>SUMIFS('הכנסות'!$D$2:$D$98,'הכנסות'!$A$2:$A$98,B24)</x:f>
        <x:v>58445</x:v>
      </x:c>
      <x:c r="I24" s="16" t="n">
        <x:f>SUMIFS('עסקאות'!$O$2:$O$1958,'עסקאות'!$A$2:$A$1958,B24)</x:f>
        <x:v>0</x:v>
      </x:c>
      <x:c r="J24" s="16" t="n">
        <x:f>H24+I24</x:f>
        <x:v>58445</x:v>
      </x:c>
      <x:c r="K24" s="16" t="n">
        <x:f>J24-E24</x:f>
        <x:v>3687</x:v>
      </x:c>
      <x:c r="L24" s="21" t="n">
        <x:f>IF(J24=0,"",K24/J24)</x:f>
        <x:v>0.06308495166395757</x:v>
      </x:c>
      <x:c r="M24" s="16" t="n">
        <x:f>AVERAGE(F22:F24)</x:f>
        <x:v>21937</x:v>
      </x:c>
    </x:row>
    <x:row r="25">
      <x:c r="B25" s="14" t="n">
        <x:v>46204</x:v>
      </x:c>
      <x:c r="C25" s="11" t="str">
        <x:v>2026-07</x:v>
      </x:c>
      <x:c r="D25" s="11" t="str">
        <x:v>סגור</x:v>
      </x:c>
      <x:c r="E25" s="16" t="n">
        <x:f>SUMIFS('עסקאות'!$M$2:$M$1958,'עסקאות'!$A$2:$A$1958,B25)</x:f>
        <x:v>45952</x:v>
      </x:c>
      <x:c r="F25" s="16" t="n">
        <x:f>SUMIFS('עסקאות'!$N$2:$N$1958,'עסקאות'!$A$2:$A$1958,B25)</x:f>
        <x:v>23205</x:v>
      </x:c>
      <x:c r="G25" s="16" t="n">
        <x:f>F25/2</x:f>
        <x:v>11602.5</x:v>
      </x:c>
      <x:c r="H25" s="16" t="n">
        <x:f>SUMIFS('הכנסות'!$D$2:$D$98,'הכנסות'!$A$2:$A$98,B25)</x:f>
        <x:v>116984</x:v>
      </x:c>
      <x:c r="I25" s="16" t="n">
        <x:f>SUMIFS('עסקאות'!$O$2:$O$1958,'עסקאות'!$A$2:$A$1958,B25)</x:f>
        <x:v>0</x:v>
      </x:c>
      <x:c r="J25" s="16" t="n">
        <x:f>H25+I25</x:f>
        <x:v>116984</x:v>
      </x:c>
      <x:c r="K25" s="16" t="n">
        <x:f>J25-E25</x:f>
        <x:v>71032</x:v>
      </x:c>
      <x:c r="L25" s="21" t="n">
        <x:f>IF(J25=0,"",K25/J25)</x:f>
        <x:v>0.6071941462080285</x:v>
      </x:c>
      <x:c r="M25" s="16" t="n">
        <x:f>AVERAGE(F23:F25)</x:f>
        <x:v>21371.333333333332</x:v>
      </x:c>
    </x:row>
    <x:row r="26">
      <x:c r="B26" s="14" t="n">
        <x:v>46235</x:v>
      </x:c>
      <x:c r="C26" s="11" t="str">
        <x:v>2026-08</x:v>
      </x:c>
      <x:c r="D26" s="11" t="str">
        <x:v>פתוח</x:v>
      </x:c>
      <x:c r="E26" s="16" t="n">
        <x:f>SUMIFS('עסקאות'!$M$2:$M$1958,'עסקאות'!$A$2:$A$1958,B26)</x:f>
        <x:v>34550</x:v>
      </x:c>
      <x:c r="F26" s="16" t="n">
        <x:f>SUMIFS('עסקאות'!$N$2:$N$1958,'עסקאות'!$A$2:$A$1958,B26)</x:f>
        <x:v>26839</x:v>
      </x:c>
      <x:c r="G26" s="16" t="n">
        <x:f>F26/2</x:f>
        <x:v>13419.5</x:v>
      </x:c>
      <x:c r="H26" s="16" t="n">
        <x:f>SUMIFS('הכנסות'!$D$2:$D$98,'הכנסות'!$A$2:$A$98,B26)</x:f>
        <x:v>52225</x:v>
      </x:c>
      <x:c r="I26" s="16" t="n">
        <x:f>SUMIFS('עסקאות'!$O$2:$O$1958,'עסקאות'!$A$2:$A$1958,B26)</x:f>
        <x:v>0</x:v>
      </x:c>
      <x:c r="J26" s="16" t="n">
        <x:f>H26+I26</x:f>
        <x:v>52225</x:v>
      </x:c>
      <x:c r="K26" s="16" t="n">
        <x:f>J26-E26</x:f>
        <x:v>17675</x:v>
      </x:c>
      <x:c r="L26" s="21" t="n">
        <x:f>IF(J26=0,"",K26/J26)</x:f>
        <x:v>0.3384394447103877</x:v>
      </x:c>
      <x:c r="M26" s="16" t="n">
        <x:f>AVERAGE(F24:F26)</x:f>
        <x:v>22871.666666666668</x:v>
      </x:c>
    </x:row>
  </x:sheetData>
  <x:conditionalFormatting sqref="D7:D26">
    <x:cfRule type="containsText" dxfId="0" priority="1" operator="containsText" text="פתוח"/>
  </x:conditionalFormatting>
  <x:pageMargins left="0.7" right="0.7" top="0.75" bottom="0.75" header="0.3" footer="0.3"/>
  <x:tableParts count="1">
    <x:tablePart xmlns:r="http://schemas.openxmlformats.org/officeDocument/2006/relationships" r:id="R7aac2e07cdb142c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56" hidden="0" customWidth="1"/>
  </x:cols>
  <x:sheetData>
    <x:row r="2">
      <x:c r="B2" s="2" t="str">
        <x:v>ניתוח קטגוריות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B3" s="3" t="str">
        <x:v>קטגוריות מקור אוחדו לקבוצות עקב שינוי שמות בין השנים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6">
      <x:c r="B6" s="9" t="str">
        <x:v>קבוצה</x:v>
      </x:c>
      <x:c r="C6" s="9" t="str">
        <x:v>סיווג</x:v>
      </x:c>
      <x:c r="D6" s="9" t="str">
        <x:v>סה״כ (₪)</x:v>
      </x:c>
      <x:c r="E6" s="9" t="str">
        <x:v>ממוצע 20 ח׳ (₪)</x:v>
      </x:c>
      <x:c r="F6" s="9" t="str">
        <x:v>ממוצע לנפש (₪)</x:v>
      </x:c>
      <x:c r="G6" s="9" t="str">
        <x:v>חלק מההוצאה</x:v>
      </x:c>
      <x:c r="H6" s="9" t="str">
        <x:v>2025 סה״כ (₪)</x:v>
      </x:c>
      <x:c r="I6" s="9" t="str">
        <x:v>2025 חודשי (₪)</x:v>
      </x:c>
      <x:c r="J6" s="9" t="str">
        <x:v>2026 סה״כ (₪)</x:v>
      </x:c>
      <x:c r="K6" s="9" t="str">
        <x:v>2026 חודשי (₪)</x:v>
      </x:c>
      <x:c r="L6" s="9" t="str">
        <x:v>שינוי חודשי</x:v>
      </x:c>
      <x:c r="M6" s="9" t="str">
        <x:v>יעד צמצום</x:v>
      </x:c>
      <x:c r="N6" s="9" t="str">
        <x:v>חיסכון חודשי (₪)</x:v>
      </x:c>
      <x:c r="O6" s="9" t="str">
        <x:v>חיסכון שנתי (₪)</x:v>
      </x:c>
      <x:c r="P6" s="9" t="str">
        <x:v>הערה למומחה</x:v>
      </x:c>
    </x:row>
    <x:row r="7">
      <x:c r="B7" s="11" t="str">
        <x:v>דיור – בית מגורים</x:v>
      </x:c>
      <x:c r="C7" s="11" t="str">
        <x:v>שוטף</x:v>
      </x:c>
      <x:c r="D7" s="16" t="n">
        <x:f>SUMIFS('עסקאות'!$M$2:$M$1958,'עסקאות'!$I$2:$I$1958,B7)</x:f>
        <x:v>176730</x:v>
      </x:c>
      <x:c r="E7" s="16" t="n">
        <x:f>D7/20</x:f>
        <x:v>8836.5</x:v>
      </x:c>
      <x:c r="F7" s="16" t="n">
        <x:f>E7/2</x:f>
        <x:v>4418.25</x:v>
      </x:c>
      <x:c r="G7" s="21" t="n">
        <x:f>IF(SUM($D$7:$D$28)=0,"",D7/SUM($D$7:$D$28))</x:f>
        <x:v>0.2157072152617157</x:v>
      </x:c>
      <x:c r="H7" s="16" t="n">
        <x:f>SUMIFS('עסקאות'!$M$2:$M$1958,'עסקאות'!$I$2:$I$1958,B7,'עסקאות'!$A$2:$A$1958,"&gt;="&amp;DATE(2025,1,1),'עסקאות'!$A$2:$A$1958,"&lt;"&amp;DATE(2026,1,1))</x:f>
        <x:v>97325</x:v>
      </x:c>
      <x:c r="I7" s="16" t="n">
        <x:f>H7/12</x:f>
        <x:v>8110.416666666667</x:v>
      </x:c>
      <x:c r="J7" s="16" t="n">
        <x:f>SUMIFS('עסקאות'!$M$2:$M$1958,'עסקאות'!$I$2:$I$1958,B7,'עסקאות'!$A$2:$A$1958,"&gt;="&amp;DATE(2026,1,1),'עסקאות'!$A$2:$A$1958,"&lt;"&amp;DATE(2027,1,1))</x:f>
        <x:v>79405</x:v>
      </x:c>
      <x:c r="K7" s="16" t="n">
        <x:f>J7/8</x:f>
        <x:v>9925.625</x:v>
      </x:c>
      <x:c r="L7" s="21" t="n">
        <x:f>IF(I7=0,"",K7/I7-1)</x:f>
        <x:v>0.2238119702029282</x:v>
      </x:c>
      <x:c r="M7" s="22" t="n">
        <x:f>0</x:f>
        <x:v>0</x:v>
      </x:c>
      <x:c r="N7" s="16" t="n">
        <x:f>IF(C7="שוטף",K7*M7,0)</x:f>
        <x:v>0</x:v>
      </x:c>
      <x:c r="O7" s="16" t="n">
        <x:f>N7*12</x:f>
        <x:v>0</x:v>
      </x:c>
      <x:c r="P7" s="12" t="str">
        <x:v>הרכיב הגדול ביותר. שכר הדירה עלה מכ־₪6,458 לחודש ב־2025 ל־₪8,000 ב־2026; לבדוק חוזה, תקשורת, ניקיון וצריכת חשמל בנפרד.</x:v>
      </x:c>
    </x:row>
    <x:row r="8">
      <x:c r="B8" s="11" t="str">
        <x:v>נכס להשקעה</x:v>
      </x:c>
      <x:c r="C8" s="11" t="str">
        <x:v>חריג/נכס</x:v>
      </x:c>
      <x:c r="D8" s="16" t="n">
        <x:f>SUMIFS('עסקאות'!$M$2:$M$1958,'עסקאות'!$I$2:$I$1958,B8)</x:f>
        <x:v>134579</x:v>
      </x:c>
      <x:c r="E8" s="16" t="n">
        <x:f>D8/20</x:f>
        <x:v>6728.95</x:v>
      </x:c>
      <x:c r="F8" s="16" t="n">
        <x:f>E8/2</x:f>
        <x:v>3364.475</x:v>
      </x:c>
      <x:c r="G8" s="21" t="n">
        <x:f>IF(SUM($D$7:$D$28)=0,"",D8/SUM($D$7:$D$28))</x:f>
        <x:v>0.16425995203251537</x:v>
      </x:c>
      <x:c r="H8" s="16" t="n">
        <x:f>SUMIFS('עסקאות'!$M$2:$M$1958,'עסקאות'!$I$2:$I$1958,B8,'עסקאות'!$A$2:$A$1958,"&gt;="&amp;DATE(2025,1,1),'עסקאות'!$A$2:$A$1958,"&lt;"&amp;DATE(2026,1,1))</x:f>
        <x:v>80039</x:v>
      </x:c>
      <x:c r="I8" s="16" t="n">
        <x:f>H8/12</x:f>
        <x:v>6669.916666666667</x:v>
      </x:c>
      <x:c r="J8" s="16" t="n">
        <x:f>SUMIFS('עסקאות'!$M$2:$M$1958,'עסקאות'!$I$2:$I$1958,B8,'עסקאות'!$A$2:$A$1958,"&gt;="&amp;DATE(2026,1,1),'עסקאות'!$A$2:$A$1958,"&lt;"&amp;DATE(2027,1,1))</x:f>
        <x:v>54540</x:v>
      </x:c>
      <x:c r="K8" s="16" t="n">
        <x:f>J8/8</x:f>
        <x:v>6817.5</x:v>
      </x:c>
      <x:c r="L8" s="21" t="n">
        <x:f>IF(I8=0,"",K8/I8-1)</x:f>
        <x:v>0.022126713227301753</x:v>
      </x:c>
      <x:c r="M8" s="22" t="n">
        <x:f>0</x:f>
        <x:v>0</x:v>
      </x:c>
      <x:c r="N8" s="16" t="n">
        <x:f>IF(C8="שוטף",K8*M8,0)</x:f>
        <x:v>0</x:v>
      </x:c>
      <x:c r="O8" s="16" t="n">
        <x:f>N8*12</x:f>
        <x:v>0</x:v>
      </x:c>
      <x:c r="P8" s="12" t="str">
        <x:v>לנתח כיחידת רווח והפסד נפרדת. ב־2025 שכר הדירה נרשם כהוצאה שלילית; בקובץ הוא סווג מחדש להכנסה.</x:v>
      </x:c>
    </x:row>
    <x:row r="9">
      <x:c r="B9" s="11" t="str">
        <x:v>נסיעות וחופשות</x:v>
      </x:c>
      <x:c r="C9" s="11" t="str">
        <x:v>חריג</x:v>
      </x:c>
      <x:c r="D9" s="16" t="n">
        <x:f>SUMIFS('עסקאות'!$M$2:$M$1958,'עסקאות'!$I$2:$I$1958,B9)</x:f>
        <x:v>118704</x:v>
      </x:c>
      <x:c r="E9" s="16" t="n">
        <x:f>D9/20</x:f>
        <x:v>5935.2</x:v>
      </x:c>
      <x:c r="F9" s="16" t="n">
        <x:f>E9/2</x:f>
        <x:v>2967.6</x:v>
      </x:c>
      <x:c r="G9" s="21" t="n">
        <x:f>IF(SUM($D$7:$D$28)=0,"",D9/SUM($D$7:$D$28))</x:f>
        <x:v>0.14488377344212472</x:v>
      </x:c>
      <x:c r="H9" s="16" t="n">
        <x:f>SUMIFS('עסקאות'!$M$2:$M$1958,'עסקאות'!$I$2:$I$1958,B9,'עסקאות'!$A$2:$A$1958,"&gt;="&amp;DATE(2025,1,1),'עסקאות'!$A$2:$A$1958,"&lt;"&amp;DATE(2026,1,1))</x:f>
        <x:v>87325</x:v>
      </x:c>
      <x:c r="I9" s="16" t="n">
        <x:f>H9/12</x:f>
        <x:v>7277.083333333333</x:v>
      </x:c>
      <x:c r="J9" s="16" t="n">
        <x:f>SUMIFS('עסקאות'!$M$2:$M$1958,'עסקאות'!$I$2:$I$1958,B9,'עסקאות'!$A$2:$A$1958,"&gt;="&amp;DATE(2026,1,1),'עסקאות'!$A$2:$A$1958,"&lt;"&amp;DATE(2027,1,1))</x:f>
        <x:v>31379</x:v>
      </x:c>
      <x:c r="K9" s="16" t="n">
        <x:f>J9/8</x:f>
        <x:v>3922.375</x:v>
      </x:c>
      <x:c r="L9" s="21" t="n">
        <x:f>IF(I9=0,"",K9/I9-1)</x:f>
        <x:v>-0.46099627827082734</x:v>
      </x:c>
      <x:c r="M9" s="22" t="n">
        <x:f>0</x:f>
        <x:v>0</x:v>
      </x:c>
      <x:c r="N9" s="16" t="n">
        <x:f>IF(C9="שוטף",K9*M9,0)</x:f>
        <x:v>0</x:v>
      </x:c>
      <x:c r="O9" s="16" t="n">
        <x:f>N9*12</x:f>
        <x:v>0</x:v>
      </x:c>
      <x:c r="P9" s="12" t="str">
        <x:v>הוצאה מתוכננת ולא שוטפת. מומלץ לקבוע תקציב שנתי וקרן חודשית נפרדת.</x:v>
      </x:c>
    </x:row>
    <x:row r="10">
      <x:c r="B10" s="11" t="str">
        <x:v>חתונה</x:v>
      </x:c>
      <x:c r="C10" s="11" t="str">
        <x:v>חריג</x:v>
      </x:c>
      <x:c r="D10" s="16" t="n">
        <x:f>SUMIFS('עסקאות'!$M$2:$M$1958,'עסקאות'!$I$2:$I$1958,B10)</x:f>
        <x:v>95615</x:v>
      </x:c>
      <x:c r="E10" s="16" t="n">
        <x:f>D10/20</x:f>
        <x:v>4780.75</x:v>
      </x:c>
      <x:c r="F10" s="16" t="n">
        <x:f>E10/2</x:f>
        <x:v>2390.375</x:v>
      </x:c>
      <x:c r="G10" s="21" t="n">
        <x:f>IF(SUM($D$7:$D$28)=0,"",D10/SUM($D$7:$D$28))</x:f>
        <x:v>0.11670257108158744</x:v>
      </x:c>
      <x:c r="H10" s="16" t="n">
        <x:f>SUMIFS('עסקאות'!$M$2:$M$1958,'עסקאות'!$I$2:$I$1958,B10,'עסקאות'!$A$2:$A$1958,"&gt;="&amp;DATE(2025,1,1),'עסקאות'!$A$2:$A$1958,"&lt;"&amp;DATE(2026,1,1))</x:f>
        <x:v>95615</x:v>
      </x:c>
      <x:c r="I10" s="16" t="n">
        <x:f>H10/12</x:f>
        <x:v>7967.916666666667</x:v>
      </x:c>
      <x:c r="J10" s="16" t="n">
        <x:f>SUMIFS('עסקאות'!$M$2:$M$1958,'עסקאות'!$I$2:$I$1958,B10,'עסקאות'!$A$2:$A$1958,"&gt;="&amp;DATE(2026,1,1),'עסקאות'!$A$2:$A$1958,"&lt;"&amp;DATE(2027,1,1))</x:f>
        <x:v>0</x:v>
      </x:c>
      <x:c r="K10" s="16" t="n">
        <x:f>J10/8</x:f>
        <x:v>0</x:v>
      </x:c>
      <x:c r="L10" s="21" t="n">
        <x:f>IF(I10=0,"",K10/I10-1)</x:f>
        <x:v>-1</x:v>
      </x:c>
      <x:c r="M10" s="22" t="n">
        <x:f>0</x:f>
        <x:v>0</x:v>
      </x:c>
      <x:c r="N10" s="16" t="n">
        <x:f>IF(C10="שוטף",K10*M10,0)</x:f>
        <x:v>0</x:v>
      </x:c>
      <x:c r="O10" s="16" t="n">
        <x:f>N10*12</x:f>
        <x:v>0</x:v>
      </x:c>
      <x:c r="P10" s="12" t="str">
        <x:v>הוצאה חד־פעמית; הוחרגה ממדד ההוצאה השוטפת.</x:v>
      </x:c>
    </x:row>
    <x:row r="11">
      <x:c r="B11" s="11" t="str">
        <x:v>בריאות וטיפולים</x:v>
      </x:c>
      <x:c r="C11" s="11" t="str">
        <x:v>שוטף</x:v>
      </x:c>
      <x:c r="D11" s="16" t="n">
        <x:f>SUMIFS('עסקאות'!$M$2:$M$1958,'עסקאות'!$I$2:$I$1958,B11)</x:f>
        <x:v>51681</x:v>
      </x:c>
      <x:c r="E11" s="16" t="n">
        <x:f>D11/20</x:f>
        <x:v>2584.05</x:v>
      </x:c>
      <x:c r="F11" s="16" t="n">
        <x:f>E11/2</x:f>
        <x:v>1292.025</x:v>
      </x:c>
      <x:c r="G11" s="21" t="n">
        <x:f>IF(SUM($D$7:$D$28)=0,"",D11/SUM($D$7:$D$28))</x:f>
        <x:v>0.06307907311684903</x:v>
      </x:c>
      <x:c r="H11" s="16" t="n">
        <x:f>SUMIFS('עסקאות'!$M$2:$M$1958,'עסקאות'!$I$2:$I$1958,B11,'עסקאות'!$A$2:$A$1958,"&gt;="&amp;DATE(2025,1,1),'עסקאות'!$A$2:$A$1958,"&lt;"&amp;DATE(2026,1,1))</x:f>
        <x:v>32906</x:v>
      </x:c>
      <x:c r="I11" s="16" t="n">
        <x:f>H11/12</x:f>
        <x:v>2742.1666666666665</x:v>
      </x:c>
      <x:c r="J11" s="16" t="n">
        <x:f>SUMIFS('עסקאות'!$M$2:$M$1958,'עסקאות'!$I$2:$I$1958,B11,'עסקאות'!$A$2:$A$1958,"&gt;="&amp;DATE(2026,1,1),'עסקאות'!$A$2:$A$1958,"&lt;"&amp;DATE(2027,1,1))</x:f>
        <x:v>18775</x:v>
      </x:c>
      <x:c r="K11" s="16" t="n">
        <x:f>J11/8</x:f>
        <x:v>2346.875</x:v>
      </x:c>
      <x:c r="L11" s="21" t="n">
        <x:f>IF(I11=0,"",K11/I11-1)</x:f>
        <x:v>-0.14415304199841972</x:v>
      </x:c>
      <x:c r="M11" s="22" t="n">
        <x:f>0</x:f>
        <x:v>0</x:v>
      </x:c>
      <x:c r="N11" s="16" t="n">
        <x:f>IF(C11="שוטף",K11*M11,0)</x:f>
        <x:v>0</x:v>
      </x:c>
      <x:c r="O11" s="16" t="n">
        <x:f>N11*12</x:f>
        <x:v>0</x:v>
      </x:c>
      <x:c r="P11" s="12" t="str">
        <x:v>לא מומלץ לקצץ טיפול. לבדוק החזרים משב״ן/ביטוח וכפל כיסויים.</x:v>
      </x:c>
    </x:row>
    <x:row r="12">
      <x:c r="B12" s="11" t="str">
        <x:v>מזון לבית</x:v>
      </x:c>
      <x:c r="C12" s="11" t="str">
        <x:v>שוטף</x:v>
      </x:c>
      <x:c r="D12" s="16" t="n">
        <x:f>SUMIFS('עסקאות'!$M$2:$M$1958,'עסקאות'!$I$2:$I$1958,B12)</x:f>
        <x:v>41741</x:v>
      </x:c>
      <x:c r="E12" s="16" t="n">
        <x:f>D12/20</x:f>
        <x:v>2087.05</x:v>
      </x:c>
      <x:c r="F12" s="16" t="n">
        <x:f>E12/2</x:f>
        <x:v>1043.525</x:v>
      </x:c>
      <x:c r="G12" s="21" t="n">
        <x:f>IF(SUM($D$7:$D$28)=0,"",D12/SUM($D$7:$D$28))</x:f>
        <x:v>0.05094683908922806</x:v>
      </x:c>
      <x:c r="H12" s="16" t="n">
        <x:f>SUMIFS('עסקאות'!$M$2:$M$1958,'עסקאות'!$I$2:$I$1958,B12,'עסקאות'!$A$2:$A$1958,"&gt;="&amp;DATE(2025,1,1),'עסקאות'!$A$2:$A$1958,"&lt;"&amp;DATE(2026,1,1))</x:f>
        <x:v>24837</x:v>
      </x:c>
      <x:c r="I12" s="16" t="n">
        <x:f>H12/12</x:f>
        <x:v>2069.75</x:v>
      </x:c>
      <x:c r="J12" s="16" t="n">
        <x:f>SUMIFS('עסקאות'!$M$2:$M$1958,'עסקאות'!$I$2:$I$1958,B12,'עסקאות'!$A$2:$A$1958,"&gt;="&amp;DATE(2026,1,1),'עסקאות'!$A$2:$A$1958,"&lt;"&amp;DATE(2027,1,1))</x:f>
        <x:v>16904</x:v>
      </x:c>
      <x:c r="K12" s="16" t="n">
        <x:f>J12/8</x:f>
        <x:v>2113</x:v>
      </x:c>
      <x:c r="L12" s="21" t="n">
        <x:f>IF(I12=0,"",K12/I12-1)</x:f>
        <x:v>0.020896243507670054</x:v>
      </x:c>
      <x:c r="M12" s="22" t="n">
        <x:f>0.03</x:f>
        <x:v>0.03</x:v>
      </x:c>
      <x:c r="N12" s="16" t="n">
        <x:f>IF(C12="שוטף",K12*M12,0)</x:f>
        <x:v>63.39</x:v>
      </x:c>
      <x:c r="O12" s="16" t="n">
        <x:f>N12*12</x:f>
        <x:v>760.6800000000001</x:v>
      </x:c>
      <x:c r="P12" s="12" t="str">
        <x:v>רשימת קניות קבועה, איחוד קניות והשוואה חודשית בין סלים.</x:v>
      </x:c>
    </x:row>
    <x:row r="13">
      <x:c r="B13" s="11" t="str">
        <x:v>ספורט</x:v>
      </x:c>
      <x:c r="C13" s="11" t="str">
        <x:v>שוטף</x:v>
      </x:c>
      <x:c r="D13" s="16" t="n">
        <x:f>SUMIFS('עסקאות'!$M$2:$M$1958,'עסקאות'!$I$2:$I$1958,B13)</x:f>
        <x:v>38331</x:v>
      </x:c>
      <x:c r="E13" s="16" t="n">
        <x:f>D13/20</x:f>
        <x:v>1916.55</x:v>
      </x:c>
      <x:c r="F13" s="16" t="n">
        <x:f>E13/2</x:f>
        <x:v>958.275</x:v>
      </x:c>
      <x:c r="G13" s="21" t="n">
        <x:f>IF(SUM($D$7:$D$28)=0,"",D13/SUM($D$7:$D$28))</x:f>
        <x:v>0.04678477490067801</x:v>
      </x:c>
      <x:c r="H13" s="16" t="n">
        <x:f>SUMIFS('עסקאות'!$M$2:$M$1958,'עסקאות'!$I$2:$I$1958,B13,'עסקאות'!$A$2:$A$1958,"&gt;="&amp;DATE(2025,1,1),'עסקאות'!$A$2:$A$1958,"&lt;"&amp;DATE(2026,1,1))</x:f>
        <x:v>25610</x:v>
      </x:c>
      <x:c r="I13" s="16" t="n">
        <x:f>H13/12</x:f>
        <x:v>2134.1666666666665</x:v>
      </x:c>
      <x:c r="J13" s="16" t="n">
        <x:f>SUMIFS('עסקאות'!$M$2:$M$1958,'עסקאות'!$I$2:$I$1958,B13,'עסקאות'!$A$2:$A$1958,"&gt;="&amp;DATE(2026,1,1),'עסקאות'!$A$2:$A$1958,"&lt;"&amp;DATE(2027,1,1))</x:f>
        <x:v>12721</x:v>
      </x:c>
      <x:c r="K13" s="16" t="n">
        <x:f>J13/8</x:f>
        <x:v>1590.125</x:v>
      </x:c>
      <x:c r="L13" s="21" t="n">
        <x:f>IF(I13=0,"",K13/I13-1)</x:f>
        <x:v>-0.2549199531433033</x:v>
      </x:c>
      <x:c r="M13" s="22" t="n">
        <x:f>0.05</x:f>
        <x:v>0.05</x:v>
      </x:c>
      <x:c r="N13" s="16" t="n">
        <x:f>IF(C13="שוטף",K13*M13,0)</x:f>
        <x:v>79.50625000000001</x:v>
      </x:c>
      <x:c r="O13" s="16" t="n">
        <x:f>N13*12</x:f>
        <x:v>954.075</x:v>
      </x:c>
      <x:c r="P13" s="12" t="str">
        <x:v>בדיקת חפיפה בין קאנטרי, אימונים פרטיים וחבילות; לא לצמצם פעילות.</x:v>
      </x:c>
    </x:row>
    <x:row r="14">
      <x:c r="B14" s="11" t="str">
        <x:v>אוכל בחוץ</x:v>
      </x:c>
      <x:c r="C14" s="11" t="str">
        <x:v>שוטף</x:v>
      </x:c>
      <x:c r="D14" s="16" t="n">
        <x:f>SUMIFS('עסקאות'!$M$2:$M$1958,'עסקאות'!$I$2:$I$1958,B14)</x:f>
        <x:v>30226</x:v>
      </x:c>
      <x:c r="E14" s="16" t="n">
        <x:f>D14/20</x:f>
        <x:v>1511.3</x:v>
      </x:c>
      <x:c r="F14" s="16" t="n">
        <x:f>E14/2</x:f>
        <x:v>755.65</x:v>
      </x:c>
      <x:c r="G14" s="21" t="n">
        <x:f>IF(SUM($D$7:$D$28)=0,"",D14/SUM($D$7:$D$28))</x:f>
        <x:v>0.03689224403610377</x:v>
      </x:c>
      <x:c r="H14" s="16" t="n">
        <x:f>SUMIFS('עסקאות'!$M$2:$M$1958,'עסקאות'!$I$2:$I$1958,B14,'עסקאות'!$A$2:$A$1958,"&gt;="&amp;DATE(2025,1,1),'עסקאות'!$A$2:$A$1958,"&lt;"&amp;DATE(2026,1,1))</x:f>
        <x:v>17724</x:v>
      </x:c>
      <x:c r="I14" s="16" t="n">
        <x:f>H14/12</x:f>
        <x:v>1477</x:v>
      </x:c>
      <x:c r="J14" s="16" t="n">
        <x:f>SUMIFS('עסקאות'!$M$2:$M$1958,'עסקאות'!$I$2:$I$1958,B14,'עסקאות'!$A$2:$A$1958,"&gt;="&amp;DATE(2026,1,1),'עסקאות'!$A$2:$A$1958,"&lt;"&amp;DATE(2027,1,1))</x:f>
        <x:v>12502</x:v>
      </x:c>
      <x:c r="K14" s="16" t="n">
        <x:f>J14/8</x:f>
        <x:v>1562.75</x:v>
      </x:c>
      <x:c r="L14" s="21" t="n">
        <x:f>IF(I14=0,"",K14/I14-1)</x:f>
        <x:v>0.05805687203791465</x:v>
      </x:c>
      <x:c r="M14" s="22" t="n">
        <x:f>0.07</x:f>
        <x:v>0.07</x:v>
      </x:c>
      <x:c r="N14" s="16" t="n">
        <x:f>IF(C14="שוטף",K14*M14,0)</x:f>
        <x:v>109.39250000000001</x:v>
      </x:c>
      <x:c r="O14" s="16" t="n">
        <x:f>N14*12</x:f>
        <x:v>1312.71</x:v>
      </x:c>
      <x:c r="P14" s="12" t="str">
        <x:v>תקציב שבועי קבוע ושימוש מלא בהטבות אוכל לפני תשלום פרטי.</x:v>
      </x:c>
    </x:row>
    <x:row r="15">
      <x:c r="B15" s="11" t="str">
        <x:v>תחבורה</x:v>
      </x:c>
      <x:c r="C15" s="11" t="str">
        <x:v>שוטף</x:v>
      </x:c>
      <x:c r="D15" s="16" t="n">
        <x:f>SUMIFS('עסקאות'!$M$2:$M$1958,'עסקאות'!$I$2:$I$1958,B15)</x:f>
        <x:v>25185</x:v>
      </x:c>
      <x:c r="E15" s="16" t="n">
        <x:f>D15/20</x:f>
        <x:v>1259.25</x:v>
      </x:c>
      <x:c r="F15" s="16" t="n">
        <x:f>E15/2</x:f>
        <x:v>629.625</x:v>
      </x:c>
      <x:c r="G15" s="21" t="n">
        <x:f>IF(SUM($D$7:$D$28)=0,"",D15/SUM($D$7:$D$28))</x:f>
        <x:v>0.03073946820781028</x:v>
      </x:c>
      <x:c r="H15" s="16" t="n">
        <x:f>SUMIFS('עסקאות'!$M$2:$M$1958,'עסקאות'!$I$2:$I$1958,B15,'עסקאות'!$A$2:$A$1958,"&gt;="&amp;DATE(2025,1,1),'עסקאות'!$A$2:$A$1958,"&lt;"&amp;DATE(2026,1,1))</x:f>
        <x:v>16347</x:v>
      </x:c>
      <x:c r="I15" s="16" t="n">
        <x:f>H15/12</x:f>
        <x:v>1362.25</x:v>
      </x:c>
      <x:c r="J15" s="16" t="n">
        <x:f>SUMIFS('עסקאות'!$M$2:$M$1958,'עסקאות'!$I$2:$I$1958,B15,'עסקאות'!$A$2:$A$1958,"&gt;="&amp;DATE(2026,1,1),'עסקאות'!$A$2:$A$1958,"&lt;"&amp;DATE(2027,1,1))</x:f>
        <x:v>8838</x:v>
      </x:c>
      <x:c r="K15" s="16" t="n">
        <x:f>J15/8</x:f>
        <x:v>1104.75</x:v>
      </x:c>
      <x:c r="L15" s="21" t="n">
        <x:f>IF(I15=0,"",K15/I15-1)</x:f>
        <x:v>-0.18902550926775552</x:v>
      </x:c>
      <x:c r="M15" s="22" t="n">
        <x:f>0.03</x:f>
        <x:v>0.03</x:v>
      </x:c>
      <x:c r="N15" s="16" t="n">
        <x:f>IF(C15="שוטף",K15*M15,0)</x:f>
        <x:v>33.1425</x:v>
      </x:c>
      <x:c r="O15" s="16" t="n">
        <x:f>N15*12</x:f>
        <x:v>397.71</x:v>
      </x:c>
      <x:c r="P15" s="12" t="str">
        <x:v>תדלוק מתוכנן, איחוד נסיעות ובדיקת כיסוי ביטוחי פעם בשנה.</x:v>
      </x:c>
    </x:row>
    <x:row r="16">
      <x:c r="B16" s="11" t="str">
        <x:v>קניות לבית</x:v>
      </x:c>
      <x:c r="C16" s="11" t="str">
        <x:v>שוטף</x:v>
      </x:c>
      <x:c r="D16" s="16" t="n">
        <x:f>SUMIFS('עסקאות'!$M$2:$M$1958,'עסקאות'!$I$2:$I$1958,B16)</x:f>
        <x:v>20138</x:v>
      </x:c>
      <x:c r="E16" s="16" t="n">
        <x:f>D16/20</x:f>
        <x:v>1006.9</x:v>
      </x:c>
      <x:c r="F16" s="16" t="n">
        <x:f>E16/2</x:f>
        <x:v>503.45</x:v>
      </x:c>
      <x:c r="G16" s="21" t="n">
        <x:f>IF(SUM($D$7:$D$28)=0,"",D16/SUM($D$7:$D$28))</x:f>
        <x:v>0.02457936909941963</x:v>
      </x:c>
      <x:c r="H16" s="16" t="n">
        <x:f>SUMIFS('עסקאות'!$M$2:$M$1958,'עסקאות'!$I$2:$I$1958,B16,'עסקאות'!$A$2:$A$1958,"&gt;="&amp;DATE(2025,1,1),'עסקאות'!$A$2:$A$1958,"&lt;"&amp;DATE(2026,1,1))</x:f>
        <x:v>15288</x:v>
      </x:c>
      <x:c r="I16" s="16" t="n">
        <x:f>H16/12</x:f>
        <x:v>1274</x:v>
      </x:c>
      <x:c r="J16" s="16" t="n">
        <x:f>SUMIFS('עסקאות'!$M$2:$M$1958,'עסקאות'!$I$2:$I$1958,B16,'עסקאות'!$A$2:$A$1958,"&gt;="&amp;DATE(2026,1,1),'עסקאות'!$A$2:$A$1958,"&lt;"&amp;DATE(2027,1,1))</x:f>
        <x:v>4850</x:v>
      </x:c>
      <x:c r="K16" s="16" t="n">
        <x:f>J16/8</x:f>
        <x:v>606.25</x:v>
      </x:c>
      <x:c r="L16" s="21" t="n">
        <x:f>IF(I16=0,"",K16/I16-1)</x:f>
        <x:v>-0.5241365777080063</x:v>
      </x:c>
      <x:c r="M16" s="22" t="n">
        <x:f>0.07</x:f>
        <x:v>0.07</x:v>
      </x:c>
      <x:c r="N16" s="16" t="n">
        <x:f>IF(C16="שוטף",K16*M16,0)</x:f>
        <x:v>42.43750000000001</x:v>
      </x:c>
      <x:c r="O16" s="16" t="n">
        <x:f>N16*12</x:f>
        <x:v>509.2500000000001</x:v>
      </x:c>
      <x:c r="P16" s="12" t="str">
        <x:v>חלון המתנה של 48 שעות ורשימת רכישות חודשית מאוחדת.</x:v>
      </x:c>
    </x:row>
    <x:row r="17">
      <x:c r="B17" s="11" t="str">
        <x:v>מסים</x:v>
      </x:c>
      <x:c r="C17" s="11" t="str">
        <x:v>חריג</x:v>
      </x:c>
      <x:c r="D17" s="16" t="n">
        <x:f>SUMIFS('עסקאות'!$M$2:$M$1958,'עסקאות'!$I$2:$I$1958,B17)</x:f>
        <x:v>18826</x:v>
      </x:c>
      <x:c r="E17" s="16" t="n">
        <x:f>D17/20</x:f>
        <x:v>941.3</x:v>
      </x:c>
      <x:c r="F17" s="16" t="n">
        <x:f>E17/2</x:f>
        <x:v>470.65</x:v>
      </x:c>
      <x:c r="G17" s="21" t="n">
        <x:f>IF(SUM($D$7:$D$28)=0,"",D17/SUM($D$7:$D$28))</x:f>
        <x:v>0.02297801185150829</x:v>
      </x:c>
      <x:c r="H17" s="16" t="n">
        <x:f>SUMIFS('עסקאות'!$M$2:$M$1958,'עסקאות'!$I$2:$I$1958,B17,'עסקאות'!$A$2:$A$1958,"&gt;="&amp;DATE(2025,1,1),'עסקאות'!$A$2:$A$1958,"&lt;"&amp;DATE(2026,1,1))</x:f>
        <x:v>0</x:v>
      </x:c>
      <x:c r="I17" s="16" t="n">
        <x:f>H17/12</x:f>
        <x:v>0</x:v>
      </x:c>
      <x:c r="J17" s="16" t="n">
        <x:f>SUMIFS('עסקאות'!$M$2:$M$1958,'עסקאות'!$I$2:$I$1958,B17,'עסקאות'!$A$2:$A$1958,"&gt;="&amp;DATE(2026,1,1),'עסקאות'!$A$2:$A$1958,"&lt;"&amp;DATE(2027,1,1))</x:f>
        <x:v>18826</x:v>
      </x:c>
      <x:c r="K17" s="16" t="n">
        <x:f>J17/8</x:f>
        <x:v>2353.25</x:v>
      </x:c>
      <x:c r="L17" s="21" t="str">
        <x:f>IF(I17=0,"",K17/I17-1)</x:f>
      </x:c>
      <x:c r="M17" s="22" t="n">
        <x:f>0</x:f>
        <x:v>0</x:v>
      </x:c>
      <x:c r="N17" s="16" t="n">
        <x:f>IF(C17="שוטף",K17*M17,0)</x:f>
        <x:v>0</x:v>
      </x:c>
      <x:c r="O17" s="16" t="n">
        <x:f>N17*12</x:f>
        <x:v>0</x:v>
      </x:c>
      <x:c r="P17" s="12" t="str">
        <x:v>הוצאה חריגה; לבדוק מול רו״ח אם היא חד־פעמית או צפויה לחזור.</x:v>
      </x:c>
    </x:row>
    <x:row r="18">
      <x:c r="B18" s="11" t="str">
        <x:v>פנאי</x:v>
      </x:c>
      <x:c r="C18" s="11" t="str">
        <x:v>שוטף</x:v>
      </x:c>
      <x:c r="D18" s="16" t="n">
        <x:f>SUMIFS('עסקאות'!$M$2:$M$1958,'עסקאות'!$I$2:$I$1958,B18)</x:f>
        <x:v>11671</x:v>
      </x:c>
      <x:c r="E18" s="16" t="n">
        <x:f>D18/20</x:f>
        <x:v>583.55</x:v>
      </x:c>
      <x:c r="F18" s="16" t="n">
        <x:f>E18/2</x:f>
        <x:v>291.775</x:v>
      </x:c>
      <x:c r="G18" s="21" t="n">
        <x:f>IF(SUM($D$7:$D$28)=0,"",D18/SUM($D$7:$D$28))</x:f>
        <x:v>0.014245000335650338</x:v>
      </x:c>
      <x:c r="H18" s="16" t="n">
        <x:f>SUMIFS('עסקאות'!$M$2:$M$1958,'עסקאות'!$I$2:$I$1958,B18,'עסקאות'!$A$2:$A$1958,"&gt;="&amp;DATE(2025,1,1),'עסקאות'!$A$2:$A$1958,"&lt;"&amp;DATE(2026,1,1))</x:f>
        <x:v>9397</x:v>
      </x:c>
      <x:c r="I18" s="16" t="n">
        <x:f>H18/12</x:f>
        <x:v>783.0833333333334</x:v>
      </x:c>
      <x:c r="J18" s="16" t="n">
        <x:f>SUMIFS('עסקאות'!$M$2:$M$1958,'עסקאות'!$I$2:$I$1958,B18,'עסקאות'!$A$2:$A$1958,"&gt;="&amp;DATE(2026,1,1),'עסקאות'!$A$2:$A$1958,"&lt;"&amp;DATE(2027,1,1))</x:f>
        <x:v>2274</x:v>
      </x:c>
      <x:c r="K18" s="16" t="n">
        <x:f>J18/8</x:f>
        <x:v>284.25</x:v>
      </x:c>
      <x:c r="L18" s="21" t="n">
        <x:f>IF(I18=0,"",K18/I18-1)</x:f>
        <x:v>-0.6370118122805151</x:v>
      </x:c>
      <x:c r="M18" s="22" t="n">
        <x:f>0.07</x:f>
        <x:v>0.07</x:v>
      </x:c>
      <x:c r="N18" s="16" t="n">
        <x:f>IF(C18="שוטף",K18*M18,0)</x:f>
        <x:v>19.8975</x:v>
      </x:c>
      <x:c r="O18" s="16" t="n">
        <x:f>N18*12</x:f>
        <x:v>238.77</x:v>
      </x:c>
      <x:c r="P18" s="12" t="str">
        <x:v>תקרה חודשית מתגלגלת בלי לבטל פעילויות קבועות.</x:v>
      </x:c>
    </x:row>
    <x:row r="19">
      <x:c r="B19" s="11" t="str">
        <x:v>אופנה</x:v>
      </x:c>
      <x:c r="C19" s="11" t="str">
        <x:v>שוטף</x:v>
      </x:c>
      <x:c r="D19" s="16" t="n">
        <x:f>SUMIFS('עסקאות'!$M$2:$M$1958,'עסקאות'!$I$2:$I$1958,B19)</x:f>
        <x:v>10790</x:v>
      </x:c>
      <x:c r="E19" s="16" t="n">
        <x:f>D19/20</x:f>
        <x:v>539.5</x:v>
      </x:c>
      <x:c r="F19" s="16" t="n">
        <x:f>E19/2</x:f>
        <x:v>269.75</x:v>
      </x:c>
      <x:c r="G19" s="21" t="n">
        <x:f>IF(SUM($D$7:$D$28)=0,"",D19/SUM($D$7:$D$28))</x:f>
        <x:v>0.013169698708051337</x:v>
      </x:c>
      <x:c r="H19" s="16" t="n">
        <x:f>SUMIFS('עסקאות'!$M$2:$M$1958,'עסקאות'!$I$2:$I$1958,B19,'עסקאות'!$A$2:$A$1958,"&gt;="&amp;DATE(2025,1,1),'עסקאות'!$A$2:$A$1958,"&lt;"&amp;DATE(2026,1,1))</x:f>
        <x:v>7355</x:v>
      </x:c>
      <x:c r="I19" s="16" t="n">
        <x:f>H19/12</x:f>
        <x:v>612.9166666666666</x:v>
      </x:c>
      <x:c r="J19" s="16" t="n">
        <x:f>SUMIFS('עסקאות'!$M$2:$M$1958,'עסקאות'!$I$2:$I$1958,B19,'עסקאות'!$A$2:$A$1958,"&gt;="&amp;DATE(2026,1,1),'עסקאות'!$A$2:$A$1958,"&lt;"&amp;DATE(2027,1,1))</x:f>
        <x:v>3435</x:v>
      </x:c>
      <x:c r="K19" s="16" t="n">
        <x:f>J19/8</x:f>
        <x:v>429.375</x:v>
      </x:c>
      <x:c r="L19" s="21" t="n">
        <x:f>IF(I19=0,"",K19/I19-1)</x:f>
        <x:v>-0.29945615227736233</x:v>
      </x:c>
      <x:c r="M19" s="22" t="n">
        <x:f>0.07</x:f>
        <x:v>0.07</x:v>
      </x:c>
      <x:c r="N19" s="16" t="n">
        <x:f>IF(C19="שוטף",K19*M19,0)</x:f>
        <x:v>30.056250000000002</x:v>
      </x:c>
      <x:c r="O19" s="16" t="n">
        <x:f>N19*12</x:f>
        <x:v>360.675</x:v>
      </x:c>
      <x:c r="P19" s="12" t="str">
        <x:v>תקרת קנייה חודשית נטו אחרי החזרות.</x:v>
      </x:c>
    </x:row>
    <x:row r="20">
      <x:c r="B20" s="11" t="str">
        <x:v>מתנה</x:v>
      </x:c>
      <x:c r="C20" s="11" t="str">
        <x:v>שוטף</x:v>
      </x:c>
      <x:c r="D20" s="16" t="n">
        <x:f>SUMIFS('עסקאות'!$M$2:$M$1958,'עסקאות'!$I$2:$I$1958,B20)</x:f>
        <x:v>10572</x:v>
      </x:c>
      <x:c r="E20" s="16" t="n">
        <x:f>D20/20</x:f>
        <x:v>528.6</x:v>
      </x:c>
      <x:c r="F20" s="16" t="n">
        <x:f>E20/2</x:f>
        <x:v>264.3</x:v>
      </x:c>
      <x:c r="G20" s="21" t="n">
        <x:f>IF(SUM($D$7:$D$28)=0,"",D20/SUM($D$7:$D$28))</x:f>
        <x:v>0.012903619531188019</x:v>
      </x:c>
      <x:c r="H20" s="16" t="n">
        <x:f>SUMIFS('עסקאות'!$M$2:$M$1958,'עסקאות'!$I$2:$I$1958,B20,'עסקאות'!$A$2:$A$1958,"&gt;="&amp;DATE(2025,1,1),'עסקאות'!$A$2:$A$1958,"&lt;"&amp;DATE(2026,1,1))</x:f>
        <x:v>4345</x:v>
      </x:c>
      <x:c r="I20" s="16" t="n">
        <x:f>H20/12</x:f>
        <x:v>362.0833333333333</x:v>
      </x:c>
      <x:c r="J20" s="16" t="n">
        <x:f>SUMIFS('עסקאות'!$M$2:$M$1958,'עסקאות'!$I$2:$I$1958,B20,'עסקאות'!$A$2:$A$1958,"&gt;="&amp;DATE(2026,1,1),'עסקאות'!$A$2:$A$1958,"&lt;"&amp;DATE(2027,1,1))</x:f>
        <x:v>6227</x:v>
      </x:c>
      <x:c r="K20" s="16" t="n">
        <x:f>J20/8</x:f>
        <x:v>778.375</x:v>
      </x:c>
      <x:c r="L20" s="21" t="n">
        <x:f>IF(I20=0,"",K20/I20-1)</x:f>
        <x:v>1.1497123130034526</x:v>
      </x:c>
      <x:c r="M20" s="22" t="n">
        <x:f>0.07</x:f>
        <x:v>0.07</x:v>
      </x:c>
      <x:c r="N20" s="16" t="n">
        <x:f>IF(C20="שוטף",K20*M20,0)</x:f>
        <x:v>54.486250000000005</x:v>
      </x:c>
      <x:c r="O20" s="16" t="n">
        <x:f>N20*12</x:f>
        <x:v>653.835</x:v>
      </x:c>
      <x:c r="P20" s="12" t="str">
        <x:v>קרן שנתית לאירועים כדי להחליק חודשים יקרים.</x:v>
      </x:c>
    </x:row>
    <x:row r="21">
      <x:c r="B21" s="11" t="str">
        <x:v>קוסמטיקה</x:v>
      </x:c>
      <x:c r="C21" s="11" t="str">
        <x:v>שוטף</x:v>
      </x:c>
      <x:c r="D21" s="16" t="n">
        <x:f>SUMIFS('עסקאות'!$M$2:$M$1958,'עסקאות'!$I$2:$I$1958,B21)</x:f>
        <x:v>8307</x:v>
      </x:c>
      <x:c r="E21" s="16" t="n">
        <x:f>D21/20</x:f>
        <x:v>415.35</x:v>
      </x:c>
      <x:c r="F21" s="16" t="n">
        <x:f>E21/2</x:f>
        <x:v>207.675</x:v>
      </x:c>
      <x:c r="G21" s="21" t="n">
        <x:f>IF(SUM($D$7:$D$28)=0,"",D21/SUM($D$7:$D$28))</x:f>
        <x:v>0.010139081294511812</x:v>
      </x:c>
      <x:c r="H21" s="16" t="n">
        <x:f>SUMIFS('עסקאות'!$M$2:$M$1958,'עסקאות'!$I$2:$I$1958,B21,'עסקאות'!$A$2:$A$1958,"&gt;="&amp;DATE(2025,1,1),'עסקאות'!$A$2:$A$1958,"&lt;"&amp;DATE(2026,1,1))</x:f>
        <x:v>5736</x:v>
      </x:c>
      <x:c r="I21" s="16" t="n">
        <x:f>H21/12</x:f>
        <x:v>478</x:v>
      </x:c>
      <x:c r="J21" s="16" t="n">
        <x:f>SUMIFS('עסקאות'!$M$2:$M$1958,'עסקאות'!$I$2:$I$1958,B21,'עסקאות'!$A$2:$A$1958,"&gt;="&amp;DATE(2026,1,1),'עסקאות'!$A$2:$A$1958,"&lt;"&amp;DATE(2027,1,1))</x:f>
        <x:v>2571</x:v>
      </x:c>
      <x:c r="K21" s="16" t="n">
        <x:f>J21/8</x:f>
        <x:v>321.375</x:v>
      </x:c>
      <x:c r="L21" s="21" t="n">
        <x:f>IF(I21=0,"",K21/I21-1)</x:f>
        <x:v>-0.32766736401673635</x:v>
      </x:c>
      <x:c r="M21" s="22" t="n">
        <x:f>0.07</x:f>
        <x:v>0.07</x:v>
      </x:c>
      <x:c r="N21" s="16" t="n">
        <x:f>IF(C21="שוטף",K21*M21,0)</x:f>
        <x:v>22.496250000000003</x:v>
      </x:c>
      <x:c r="O21" s="16" t="n">
        <x:f>N21*12</x:f>
        <x:v>269.95500000000004</x:v>
      </x:c>
      <x:c r="P21" s="12" t="str">
        <x:v>ריכוז טיפולים ורכישות ובדיקת חבילות/הנחות.</x:v>
      </x:c>
    </x:row>
    <x:row r="22">
      <x:c r="B22" s="11" t="str">
        <x:v>אחר</x:v>
      </x:c>
      <x:c r="C22" s="11" t="str">
        <x:v>שוטף</x:v>
      </x:c>
      <x:c r="D22" s="16" t="n">
        <x:f>SUMIFS('עסקאות'!$M$2:$M$1958,'עסקאות'!$I$2:$I$1958,B22)</x:f>
        <x:v>7955</x:v>
      </x:c>
      <x:c r="E22" s="16" t="n">
        <x:f>D22/20</x:f>
        <x:v>397.75</x:v>
      </x:c>
      <x:c r="F22" s="16" t="n">
        <x:f>E22/2</x:f>
        <x:v>198.875</x:v>
      </x:c>
      <x:c r="G22" s="21" t="n">
        <x:f>IF(SUM($D$7:$D$28)=0,"",D22/SUM($D$7:$D$28))</x:f>
        <x:v>0.009709448862145354</x:v>
      </x:c>
      <x:c r="H22" s="16" t="n">
        <x:f>SUMIFS('עסקאות'!$M$2:$M$1958,'עסקאות'!$I$2:$I$1958,B22,'עסקאות'!$A$2:$A$1958,"&gt;="&amp;DATE(2025,1,1),'עסקאות'!$A$2:$A$1958,"&lt;"&amp;DATE(2026,1,1))</x:f>
        <x:v>7955</x:v>
      </x:c>
      <x:c r="I22" s="16" t="n">
        <x:f>H22/12</x:f>
        <x:v>662.9166666666666</x:v>
      </x:c>
      <x:c r="J22" s="16" t="n">
        <x:f>SUMIFS('עסקאות'!$M$2:$M$1958,'עסקאות'!$I$2:$I$1958,B22,'עסקאות'!$A$2:$A$1958,"&gt;="&amp;DATE(2026,1,1),'עסקאות'!$A$2:$A$1958,"&lt;"&amp;DATE(2027,1,1))</x:f>
        <x:v>0</x:v>
      </x:c>
      <x:c r="K22" s="16" t="n">
        <x:f>J22/8</x:f>
        <x:v>0</x:v>
      </x:c>
      <x:c r="L22" s="21" t="n">
        <x:f>IF(I22=0,"",K22/I22-1)</x:f>
        <x:v>-1</x:v>
      </x:c>
      <x:c r="M22" s="22" t="n">
        <x:f>0</x:f>
        <x:v>0</x:v>
      </x:c>
      <x:c r="N22" s="16" t="n">
        <x:f>IF(C22="שוטף",K22*M22,0)</x:f>
        <x:v>0</x:v>
      </x:c>
      <x:c r="O22" s="16" t="n">
        <x:f>N22*12</x:f>
        <x:v>0</x:v>
      </x:c>
      <x:c r="P22" s="12" t="str">
        <x:v>לבחון לפי סדרי העדיפויות של משק הבית.</x:v>
      </x:c>
    </x:row>
    <x:row r="23">
      <x:c r="B23" s="11" t="str">
        <x:v>תחביבים ומיג'י</x:v>
      </x:c>
      <x:c r="C23" s="11" t="str">
        <x:v>שוטף</x:v>
      </x:c>
      <x:c r="D23" s="16" t="n">
        <x:f>SUMIFS('עסקאות'!$M$2:$M$1958,'עסקאות'!$I$2:$I$1958,B23)</x:f>
        <x:v>7297</x:v>
      </x:c>
      <x:c r="E23" s="16" t="n">
        <x:f>D23/20</x:f>
        <x:v>364.85</x:v>
      </x:c>
      <x:c r="F23" s="16" t="n">
        <x:f>E23/2</x:f>
        <x:v>182.425</x:v>
      </x:c>
      <x:c r="G23" s="21" t="n">
        <x:f>IF(SUM($D$7:$D$28)=0,"",D23/SUM($D$7:$D$28))</x:f>
        <x:v>0.008906329144823966</x:v>
      </x:c>
      <x:c r="H23" s="16" t="n">
        <x:f>SUMIFS('עסקאות'!$M$2:$M$1958,'עסקאות'!$I$2:$I$1958,B23,'עסקאות'!$A$2:$A$1958,"&gt;="&amp;DATE(2025,1,1),'עסקאות'!$A$2:$A$1958,"&lt;"&amp;DATE(2026,1,1))</x:f>
        <x:v>1064</x:v>
      </x:c>
      <x:c r="I23" s="16" t="n">
        <x:f>H23/12</x:f>
        <x:v>88.66666666666667</x:v>
      </x:c>
      <x:c r="J23" s="16" t="n">
        <x:f>SUMIFS('עסקאות'!$M$2:$M$1958,'עסקאות'!$I$2:$I$1958,B23,'עסקאות'!$A$2:$A$1958,"&gt;="&amp;DATE(2026,1,1),'עסקאות'!$A$2:$A$1958,"&lt;"&amp;DATE(2027,1,1))</x:f>
        <x:v>6233</x:v>
      </x:c>
      <x:c r="K23" s="16" t="n">
        <x:f>J23/8</x:f>
        <x:v>779.125</x:v>
      </x:c>
      <x:c r="L23" s="21" t="n">
        <x:f>IF(I23=0,"",K23/I23-1)</x:f>
        <x:v>7.787124060150376</x:v>
      </x:c>
      <x:c r="M23" s="22" t="n">
        <x:f>0</x:f>
        <x:v>0</x:v>
      </x:c>
      <x:c r="N23" s="16" t="n">
        <x:f>IF(C23="שוטף",K23*M23,0)</x:f>
        <x:v>0</x:v>
      </x:c>
      <x:c r="O23" s="16" t="n">
        <x:f>N23*12</x:f>
        <x:v>0</x:v>
      </x:c>
      <x:c r="P23" s="12" t="str">
        <x:v>נדרש להסביר למומחה מה כוללת הקטגוריה לפני קביעת יעד.</x:v>
      </x:c>
    </x:row>
    <x:row r="24">
      <x:c r="B24" s="11" t="str">
        <x:v>אלקטרוניקה</x:v>
      </x:c>
      <x:c r="C24" s="11" t="str">
        <x:v>שוטף</x:v>
      </x:c>
      <x:c r="D24" s="16" t="n">
        <x:f>SUMIFS('עסקאות'!$M$2:$M$1958,'עסקאות'!$I$2:$I$1958,B24)</x:f>
        <x:v>6498</x:v>
      </x:c>
      <x:c r="E24" s="16" t="n">
        <x:f>D24/20</x:f>
        <x:v>324.9</x:v>
      </x:c>
      <x:c r="F24" s="16" t="n">
        <x:f>E24/2</x:f>
        <x:v>162.45</x:v>
      </x:c>
      <x:c r="G24" s="21" t="n">
        <x:f>IF(SUM($D$7:$D$28)=0,"",D24/SUM($D$7:$D$28))</x:f>
        <x:v>0.007931112345219423</x:v>
      </x:c>
      <x:c r="H24" s="16" t="n">
        <x:f>SUMIFS('עסקאות'!$M$2:$M$1958,'עסקאות'!$I$2:$I$1958,B24,'עסקאות'!$A$2:$A$1958,"&gt;="&amp;DATE(2025,1,1),'עסקאות'!$A$2:$A$1958,"&lt;"&amp;DATE(2026,1,1))</x:f>
        <x:v>3513</x:v>
      </x:c>
      <x:c r="I24" s="16" t="n">
        <x:f>H24/12</x:f>
        <x:v>292.75</x:v>
      </x:c>
      <x:c r="J24" s="16" t="n">
        <x:f>SUMIFS('עסקאות'!$M$2:$M$1958,'עסקאות'!$I$2:$I$1958,B24,'עסקאות'!$A$2:$A$1958,"&gt;="&amp;DATE(2026,1,1),'עסקאות'!$A$2:$A$1958,"&lt;"&amp;DATE(2027,1,1))</x:f>
        <x:v>2985</x:v>
      </x:c>
      <x:c r="K24" s="16" t="n">
        <x:f>J24/8</x:f>
        <x:v>373.125</x:v>
      </x:c>
      <x:c r="L24" s="21" t="n">
        <x:f>IF(I24=0,"",K24/I24-1)</x:f>
        <x:v>0.2745516652433817</x:v>
      </x:c>
      <x:c r="M24" s="22" t="n">
        <x:f>0.07</x:f>
        <x:v>0.07</x:v>
      </x:c>
      <x:c r="N24" s="16" t="n">
        <x:f>IF(C24="שוטף",K24*M24,0)</x:f>
        <x:v>26.118750000000002</x:v>
      </x:c>
      <x:c r="O24" s="16" t="n">
        <x:f>N24*12</x:f>
        <x:v>313.425</x:v>
      </x:c>
      <x:c r="P24" s="12" t="str">
        <x:v>קרן חודשית לרכישות גדולות במקום רכישות אד-הוק.</x:v>
      </x:c>
    </x:row>
    <x:row r="25">
      <x:c r="B25" s="11" t="str">
        <x:v>ביטוח</x:v>
      </x:c>
      <x:c r="C25" s="11" t="str">
        <x:v>שוטף</x:v>
      </x:c>
      <x:c r="D25" s="16" t="n">
        <x:f>SUMIFS('עסקאות'!$M$2:$M$1958,'עסקאות'!$I$2:$I$1958,B25)</x:f>
        <x:v>2216</x:v>
      </x:c>
      <x:c r="E25" s="16" t="n">
        <x:f>D25/20</x:f>
        <x:v>110.8</x:v>
      </x:c>
      <x:c r="F25" s="16" t="n">
        <x:f>E25/2</x:f>
        <x:v>55.4</x:v>
      </x:c>
      <x:c r="G25" s="21" t="n">
        <x:f>IF(SUM($D$7:$D$28)=0,"",D25/SUM($D$7:$D$28))</x:f>
        <x:v>0.0027047314492161037</x:v>
      </x:c>
      <x:c r="H25" s="16" t="n">
        <x:f>SUMIFS('עסקאות'!$M$2:$M$1958,'עסקאות'!$I$2:$I$1958,B25,'עסקאות'!$A$2:$A$1958,"&gt;="&amp;DATE(2025,1,1),'עסקאות'!$A$2:$A$1958,"&lt;"&amp;DATE(2026,1,1))</x:f>
        <x:v>1024</x:v>
      </x:c>
      <x:c r="I25" s="16" t="n">
        <x:f>H25/12</x:f>
        <x:v>85.33333333333333</x:v>
      </x:c>
      <x:c r="J25" s="16" t="n">
        <x:f>SUMIFS('עסקאות'!$M$2:$M$1958,'עסקאות'!$I$2:$I$1958,B25,'עסקאות'!$A$2:$A$1958,"&gt;="&amp;DATE(2026,1,1),'עסקאות'!$A$2:$A$1958,"&lt;"&amp;DATE(2027,1,1))</x:f>
        <x:v>1192</x:v>
      </x:c>
      <x:c r="K25" s="16" t="n">
        <x:f>J25/8</x:f>
        <x:v>149</x:v>
      </x:c>
      <x:c r="L25" s="21" t="n">
        <x:f>IF(I25=0,"",K25/I25-1)</x:f>
        <x:v>0.74609375</x:v>
      </x:c>
      <x:c r="M25" s="22" t="n">
        <x:f>0.05</x:f>
        <x:v>0.05</x:v>
      </x:c>
      <x:c r="N25" s="16" t="n">
        <x:f>IF(C25="שוטף",K25*M25,0)</x:f>
        <x:v>7.45</x:v>
      </x:c>
      <x:c r="O25" s="16" t="n">
        <x:f>N25*12</x:f>
        <x:v>89.4</x:v>
      </x:c>
      <x:c r="P25" s="12" t="str">
        <x:v>בדיקת כפילויות וכיסויים לפני חידוש; לא לבטל ללא בדיקה מקצועית.</x:v>
      </x:c>
    </x:row>
    <x:row r="26">
      <x:c r="B26" s="11" t="str">
        <x:v>לא מסווג</x:v>
      </x:c>
      <x:c r="C26" s="11" t="str">
        <x:v>שוטף</x:v>
      </x:c>
      <x:c r="D26" s="16" t="n">
        <x:f>SUMIFS('עסקאות'!$M$2:$M$1958,'עסקאות'!$I$2:$I$1958,B26)</x:f>
        <x:v>1959</x:v>
      </x:c>
      <x:c r="E26" s="16" t="n">
        <x:f>D26/20</x:f>
        <x:v>97.95</x:v>
      </x:c>
      <x:c r="F26" s="16" t="n">
        <x:f>E26/2</x:f>
        <x:v>48.975</x:v>
      </x:c>
      <x:c r="G26" s="21" t="n">
        <x:f>IF(SUM($D$7:$D$28)=0,"",D26/SUM($D$7:$D$28))</x:f>
        <x:v>0.002391050951721276</x:v>
      </x:c>
      <x:c r="H26" s="16" t="n">
        <x:f>SUMIFS('עסקאות'!$M$2:$M$1958,'עסקאות'!$I$2:$I$1958,B26,'עסקאות'!$A$2:$A$1958,"&gt;="&amp;DATE(2025,1,1),'עסקאות'!$A$2:$A$1958,"&lt;"&amp;DATE(2026,1,1))</x:f>
        <x:v>0</x:v>
      </x:c>
      <x:c r="I26" s="16" t="n">
        <x:f>H26/12</x:f>
        <x:v>0</x:v>
      </x:c>
      <x:c r="J26" s="16" t="n">
        <x:f>SUMIFS('עסקאות'!$M$2:$M$1958,'עסקאות'!$I$2:$I$1958,B26,'עסקאות'!$A$2:$A$1958,"&gt;="&amp;DATE(2026,1,1),'עסקאות'!$A$2:$A$1958,"&lt;"&amp;DATE(2027,1,1))</x:f>
        <x:v>1959</x:v>
      </x:c>
      <x:c r="K26" s="16" t="n">
        <x:f>J26/8</x:f>
        <x:v>244.875</x:v>
      </x:c>
      <x:c r="L26" s="21" t="str">
        <x:f>IF(I26=0,"",K26/I26-1)</x:f>
      </x:c>
      <x:c r="M26" s="22" t="n">
        <x:f>0</x:f>
        <x:v>0</x:v>
      </x:c>
      <x:c r="N26" s="16" t="n">
        <x:f>IF(C26="שוטף",K26*M26,0)</x:f>
        <x:v>0</x:v>
      </x:c>
      <x:c r="O26" s="16" t="n">
        <x:f>N26*12</x:f>
        <x:v>0</x:v>
      </x:c>
      <x:c r="P26" s="12" t="str">
        <x:v>יש לסווג לפני קבלת החלטות; רוב הסכום נובע מרשומה אחת בסך ₪1,800.</x:v>
      </x:c>
    </x:row>
    <x:row r="27">
      <x:c r="B27" s="11" t="str">
        <x:v>עמלות</x:v>
      </x:c>
      <x:c r="C27" s="11" t="str">
        <x:v>שוטף</x:v>
      </x:c>
      <x:c r="D27" s="16" t="n">
        <x:f>SUMIFS('עסקאות'!$M$2:$M$1958,'עסקאות'!$I$2:$I$1958,B27)</x:f>
        <x:v>284</x:v>
      </x:c>
      <x:c r="E27" s="16" t="n">
        <x:f>D27/20</x:f>
        <x:v>14.2</x:v>
      </x:c>
      <x:c r="F27" s="16" t="n">
        <x:f>E27/2</x:f>
        <x:v>7.1</x:v>
      </x:c>
      <x:c r="G27" s="21" t="n">
        <x:f>IF(SUM($D$7:$D$28)=0,"",D27/SUM($D$7:$D$28))</x:f>
        <x:v>0.00034663525793202776</x:v>
      </x:c>
      <x:c r="H27" s="16" t="n">
        <x:f>SUMIFS('עסקאות'!$M$2:$M$1958,'עסקאות'!$I$2:$I$1958,B27,'עסקאות'!$A$2:$A$1958,"&gt;="&amp;DATE(2025,1,1),'עסקאות'!$A$2:$A$1958,"&lt;"&amp;DATE(2026,1,1))</x:f>
        <x:v>282</x:v>
      </x:c>
      <x:c r="I27" s="16" t="n">
        <x:f>H27/12</x:f>
        <x:v>23.5</x:v>
      </x:c>
      <x:c r="J27" s="16" t="n">
        <x:f>SUMIFS('עסקאות'!$M$2:$M$1958,'עסקאות'!$I$2:$I$1958,B27,'עסקאות'!$A$2:$A$1958,"&gt;="&amp;DATE(2026,1,1),'עסקאות'!$A$2:$A$1958,"&lt;"&amp;DATE(2027,1,1))</x:f>
        <x:v>2</x:v>
      </x:c>
      <x:c r="K27" s="16" t="n">
        <x:f>J27/8</x:f>
        <x:v>0.25</x:v>
      </x:c>
      <x:c r="L27" s="21" t="n">
        <x:f>IF(I27=0,"",K27/I27-1)</x:f>
        <x:v>-0.9893617021276596</x:v>
      </x:c>
      <x:c r="M27" s="22" t="n">
        <x:f>0.2</x:f>
        <x:v>0.2</x:v>
      </x:c>
      <x:c r="N27" s="16" t="n">
        <x:f>IF(C27="שוטף",K27*M27,0)</x:f>
        <x:v>0.05</x:v>
      </x:c>
      <x:c r="O27" s="16" t="n">
        <x:f>N27*12</x:f>
        <x:v>0.6000000000000001</x:v>
      </x:c>
      <x:c r="P27" s="12" t="str">
        <x:v>בדיקת מסלול עמלות ותנאי כרטיסים; הסכום קטן אך קל לטיפול.</x:v>
      </x:c>
    </x:row>
    <x:row r="28">
      <x:c r="B28" s="11" t="str">
        <x:v>זרם פיננסי</x:v>
      </x:c>
      <x:c r="C28" s="11" t="str">
        <x:v>הכנסה שסווגה מחדש</x:v>
      </x:c>
      <x:c r="D28" s="16" t="n">
        <x:f>SUMIFS('עסקאות'!$M$2:$M$1958,'עסקאות'!$I$2:$I$1958,B28)</x:f>
        <x:v>0</x:v>
      </x:c>
      <x:c r="E28" s="16" t="n">
        <x:f>D28/20</x:f>
        <x:v>0</x:v>
      </x:c>
      <x:c r="F28" s="16" t="n">
        <x:f>E28/2</x:f>
        <x:v>0</x:v>
      </x:c>
      <x:c r="G28" s="21" t="n">
        <x:f>IF(SUM($D$7:$D$28)=0,"",D28/SUM($D$7:$D$28))</x:f>
        <x:v>0</x:v>
      </x:c>
      <x:c r="H28" s="16" t="n">
        <x:f>SUMIFS('עסקאות'!$M$2:$M$1958,'עסקאות'!$I$2:$I$1958,B28,'עסקאות'!$A$2:$A$1958,"&gt;="&amp;DATE(2025,1,1),'עסקאות'!$A$2:$A$1958,"&lt;"&amp;DATE(2026,1,1))</x:f>
        <x:v>0</x:v>
      </x:c>
      <x:c r="I28" s="16" t="n">
        <x:f>H28/12</x:f>
        <x:v>0</x:v>
      </x:c>
      <x:c r="J28" s="16" t="n">
        <x:f>SUMIFS('עסקאות'!$M$2:$M$1958,'עסקאות'!$I$2:$I$1958,B28,'עסקאות'!$A$2:$A$1958,"&gt;="&amp;DATE(2026,1,1),'עסקאות'!$A$2:$A$1958,"&lt;"&amp;DATE(2027,1,1))</x:f>
        <x:v>0</x:v>
      </x:c>
      <x:c r="K28" s="16" t="n">
        <x:f>J28/8</x:f>
        <x:v>0</x:v>
      </x:c>
      <x:c r="L28" s="21" t="str">
        <x:f>IF(I28=0,"",K28/I28-1)</x:f>
      </x:c>
      <x:c r="M28" s="22" t="n">
        <x:f>0</x:f>
        <x:v>0</x:v>
      </x:c>
      <x:c r="N28" s="16" t="n">
        <x:f>IF(C28="שוטף",K28*M28,0)</x:f>
        <x:v>0</x:v>
      </x:c>
      <x:c r="O28" s="16" t="n">
        <x:f>N28*12</x:f>
        <x:v>0</x:v>
      </x:c>
      <x:c r="P28" s="12" t="str">
        <x:v>ריביות והכנסות שנרשמו בסימן שלילי בצד ההוצאות; אינן הוצאה צרכנית.</x:v>
      </x:c>
    </x:row>
  </x:sheetData>
  <x:pageMargins left="0.7" right="0.7" top="0.75" bottom="0.75" header="0.3" footer="0.3"/>
  <x:drawing xmlns:r="http://schemas.openxmlformats.org/officeDocument/2006/relationships" r:id="Rce7d08eb40cb45a2"/>
  <x:tableParts count="1">
    <x:tablePart xmlns:r="http://schemas.openxmlformats.org/officeDocument/2006/relationships" r:id="R52ed0e24a9934ff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8" hidden="0" customWidth="1"/>
  </x:cols>
  <x:sheetData>
    <x:row r="2">
      <x:c r="B2" s="2" t="str">
        <x:v>המלצות להכנה לפגישת מומחה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B3" s="3" t="str">
        <x:v>החיסכון הוא תרחיש שמרני המבוסס על ממוצע היסטורי; שיעורי היעד בכחול וניתנים לשינוי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6">
      <x:c r="B6" s="9" t="str">
        <x:v>תחום</x:v>
      </x:c>
      <x:c r="C6" s="9" t="str">
        <x:v>בסיס חודשי (₪)</x:v>
      </x:c>
      <x:c r="D6" s="9" t="str">
        <x:v>יעד נמוך</x:v>
      </x:c>
      <x:c r="E6" s="9" t="str">
        <x:v>יעד גבוה</x:v>
      </x:c>
      <x:c r="F6" s="9" t="str">
        <x:v>חיסכון נמוך (₪)</x:v>
      </x:c>
      <x:c r="G6" s="9" t="str">
        <x:v>חיסכון גבוה (₪)</x:v>
      </x:c>
      <x:c r="H6" s="9" t="str">
        <x:v>שנתי נמוך (₪)</x:v>
      </x:c>
      <x:c r="I6" s="9" t="str">
        <x:v>שנתי גבוה (₪)</x:v>
      </x:c>
      <x:c r="J6" s="9" t="str">
        <x:v>פעולה ללא פגיעה מהותית</x:v>
      </x:c>
    </x:row>
    <x:row r="7" ht="32" customHeight="1">
      <x:c r="B7" s="11" t="str">
        <x:v>אוכל בחוץ</x:v>
      </x:c>
      <x:c r="C7" s="16" t="n">
        <x:f>'ניתוח קטגוריות'!E14</x:f>
        <x:v>1511.3</x:v>
      </x:c>
      <x:c r="D7" s="22" t="n">
        <x:v>0.07</x:v>
      </x:c>
      <x:c r="E7" s="22" t="n">
        <x:v>0.12</x:v>
      </x:c>
      <x:c r="F7" s="16" t="n">
        <x:f>C7*D7</x:f>
        <x:v>105.79100000000001</x:v>
      </x:c>
      <x:c r="G7" s="16" t="n">
        <x:f>C7*E7</x:f>
        <x:v>181.356</x:v>
      </x:c>
      <x:c r="H7" s="16" t="n">
        <x:f>F7*12</x:f>
        <x:v>1269.4920000000002</x:v>
      </x:c>
      <x:c r="I7" s="16" t="n">
        <x:f>G7*12</x:f>
        <x:v>2176.272</x:v>
      </x:c>
      <x:c r="J7" s="12" t="str">
        <x:v>תקציב שבועי ושימוש מלא בהטבות לפני תשלום פרטי.</x:v>
      </x:c>
    </x:row>
    <x:row r="8" ht="32" customHeight="1">
      <x:c r="B8" s="11" t="str">
        <x:v>מזון לבית</x:v>
      </x:c>
      <x:c r="C8" s="16" t="n">
        <x:f>'ניתוח קטגוריות'!E12</x:f>
        <x:v>2087.05</x:v>
      </x:c>
      <x:c r="D8" s="22" t="n">
        <x:v>0.03</x:v>
      </x:c>
      <x:c r="E8" s="22" t="n">
        <x:v>0.06</x:v>
      </x:c>
      <x:c r="F8" s="16" t="n">
        <x:f>C8*D8</x:f>
        <x:v>62.61150000000001</x:v>
      </x:c>
      <x:c r="G8" s="16" t="n">
        <x:f>C8*E8</x:f>
        <x:v>125.22300000000001</x:v>
      </x:c>
      <x:c r="H8" s="16" t="n">
        <x:f>F8*12</x:f>
        <x:v>751.3380000000001</x:v>
      </x:c>
      <x:c r="I8" s="16" t="n">
        <x:f>G8*12</x:f>
        <x:v>1502.6760000000002</x:v>
      </x:c>
      <x:c r="J8" s="12" t="str">
        <x:v>איחוד קניות, רשימה קבועה והשוואת סל פעם בחודש.</x:v>
      </x:c>
    </x:row>
    <x:row r="9" ht="32" customHeight="1">
      <x:c r="B9" s="11" t="str">
        <x:v>ספורט</x:v>
      </x:c>
      <x:c r="C9" s="16" t="n">
        <x:f>'ניתוח קטגוריות'!E13</x:f>
        <x:v>1916.55</x:v>
      </x:c>
      <x:c r="D9" s="22" t="n">
        <x:v>0.05</x:v>
      </x:c>
      <x:c r="E9" s="22" t="n">
        <x:v>0.12</x:v>
      </x:c>
      <x:c r="F9" s="16" t="n">
        <x:f>C9*D9</x:f>
        <x:v>95.8275</x:v>
      </x:c>
      <x:c r="G9" s="16" t="n">
        <x:f>C9*E9</x:f>
        <x:v>229.986</x:v>
      </x:c>
      <x:c r="H9" s="16" t="n">
        <x:f>F9*12</x:f>
        <x:v>1149.93</x:v>
      </x:c>
      <x:c r="I9" s="16" t="n">
        <x:f>G9*12</x:f>
        <x:v>2759.832</x:v>
      </x:c>
      <x:c r="J9" s="12" t="str">
        <x:v>לשמור על הפעילות ולבדוק חפיפה בין קאנטרי, מאמנים וחבילות.</x:v>
      </x:c>
    </x:row>
    <x:row r="10" ht="32" customHeight="1">
      <x:c r="B10" s="11" t="str">
        <x:v>קניות, פנאי ואופנה</x:v>
      </x:c>
      <x:c r="C10" s="16" t="n">
        <x:f>'ניתוח קטגוריות'!E16+'ניתוח קטגוריות'!E24+'ניתוח קטגוריות'!E19+'ניתוח קטגוריות'!E21+'ניתוח קטגוריות'!E18+'ניתוח קטגוריות'!E20</x:f>
        <x:v>3398.7999999999997</x:v>
      </x:c>
      <x:c r="D10" s="22" t="n">
        <x:v>0.07</x:v>
      </x:c>
      <x:c r="E10" s="22" t="n">
        <x:v>0.12</x:v>
      </x:c>
      <x:c r="F10" s="16" t="n">
        <x:f>C10*D10</x:f>
        <x:v>237.916</x:v>
      </x:c>
      <x:c r="G10" s="16" t="n">
        <x:f>C10*E10</x:f>
        <x:v>407.85599999999994</x:v>
      </x:c>
      <x:c r="H10" s="16" t="n">
        <x:f>F10*12</x:f>
        <x:v>2854.992</x:v>
      </x:c>
      <x:c r="I10" s="16" t="n">
        <x:f>G10*12</x:f>
        <x:v>4894.271999999999</x:v>
      </x:c>
      <x:c r="J10" s="12" t="str">
        <x:v>תקרה חודשית משותפת עם יתרה מתגלגלת וחלון המתנה לרכישות.</x:v>
      </x:c>
    </x:row>
    <x:row r="11" ht="32" customHeight="1">
      <x:c r="B11" s="11" t="str">
        <x:v>ניקיון</x:v>
      </x:c>
      <x:c r="C11" s="16" t="n">
        <x:f>SUMIFS('עסקאות'!$M$2:$M$1958,'עסקאות'!$F$2:$F$1958,"מנקה")/20</x:f>
        <x:v>523</x:v>
      </x:c>
      <x:c r="D11" s="22" t="n">
        <x:v>0.05</x:v>
      </x:c>
      <x:c r="E11" s="22" t="n">
        <x:v>0.15</x:v>
      </x:c>
      <x:c r="F11" s="16" t="n">
        <x:f>C11*D11</x:f>
        <x:v>26.150000000000002</x:v>
      </x:c>
      <x:c r="G11" s="16" t="n">
        <x:f>C11*E11</x:f>
        <x:v>78.45</x:v>
      </x:c>
      <x:c r="H11" s="16" t="n">
        <x:f>F11*12</x:f>
        <x:v>313.8</x:v>
      </x:c>
      <x:c r="I11" s="16" t="n">
        <x:f>G11*12</x:f>
        <x:v>941.4000000000001</x:v>
      </x:c>
      <x:c r="J11" s="12" t="str">
        <x:v>בדיקת תדירות או משך ביקור, בלי לוותר על השירות.</x:v>
      </x:c>
    </x:row>
    <x:row r="12" ht="32" customHeight="1">
      <x:c r="B12" s="11" t="str">
        <x:v>תחבורה</x:v>
      </x:c>
      <x:c r="C12" s="16" t="n">
        <x:f>'ניתוח קטגוריות'!E15</x:f>
        <x:v>1259.25</x:v>
      </x:c>
      <x:c r="D12" s="22" t="n">
        <x:v>0.03</x:v>
      </x:c>
      <x:c r="E12" s="22" t="n">
        <x:v>0.07</x:v>
      </x:c>
      <x:c r="F12" s="16" t="n">
        <x:f>C12*D12</x:f>
        <x:v>37.777499999999996</x:v>
      </x:c>
      <x:c r="G12" s="16" t="n">
        <x:f>C12*E12</x:f>
        <x:v>88.14750000000001</x:v>
      </x:c>
      <x:c r="H12" s="16" t="n">
        <x:f>F12*12</x:f>
        <x:v>453.3299999999999</x:v>
      </x:c>
      <x:c r="I12" s="16" t="n">
        <x:f>G12*12</x:f>
        <x:v>1057.77</x:v>
      </x:c>
      <x:c r="J12" s="12" t="str">
        <x:v>תדלוק מתוכנן, איחוד נסיעות ובדיקת ביטוח בחידוש.</x:v>
      </x:c>
    </x:row>
    <x:row r="13" ht="32" customHeight="1">
      <x:c r="B13" s="11" t="str">
        <x:v>ביטוחים ועמלות</x:v>
      </x:c>
      <x:c r="C13" s="16" t="n">
        <x:f>'ניתוח קטגוריות'!E25+'ניתוח קטגוריות'!E27</x:f>
        <x:v>125</x:v>
      </x:c>
      <x:c r="D13" s="22" t="n">
        <x:v>0.05</x:v>
      </x:c>
      <x:c r="E13" s="22" t="n">
        <x:v>0.15</x:v>
      </x:c>
      <x:c r="F13" s="16" t="n">
        <x:f>C13*D13</x:f>
        <x:v>6.25</x:v>
      </x:c>
      <x:c r="G13" s="16" t="n">
        <x:f>C13*E13</x:f>
        <x:v>18.75</x:v>
      </x:c>
      <x:c r="H13" s="16" t="n">
        <x:f>F13*12</x:f>
        <x:v>75</x:v>
      </x:c>
      <x:c r="I13" s="16" t="n">
        <x:f>G13*12</x:f>
        <x:v>225</x:v>
      </x:c>
      <x:c r="J13" s="12" t="str">
        <x:v>השוואת מסלולים וכפילויות; לא לבטל כיסוי ללא בדיקה מקצועית.</x:v>
      </x:c>
    </x:row>
    <x:row r="14" ht="32" customHeight="1">
      <x:c r="B14" s="11" t="str">
        <x:v>תקשורת</x:v>
      </x:c>
      <x:c r="C14" s="16" t="n">
        <x:f>(SUMIFS('עסקאות'!$M$2:$M$1958,'עסקאות'!$F$2:$F$1958,"אינטרנט")+SUMIFS('עסקאות'!$M$2:$M$1958,'עסקאות'!$F$2:$F$1958,"סלולר")+SUMIFS('עסקאות'!$M$2:$M$1958,'עסקאות'!$F$2:$F$1958,"סלולר + אינטרנט"))/20</x:f>
        <x:v>152.1</x:v>
      </x:c>
      <x:c r="D14" s="22" t="n">
        <x:v>0.1</x:v>
      </x:c>
      <x:c r="E14" s="22" t="n">
        <x:v>0.2</x:v>
      </x:c>
      <x:c r="F14" s="16" t="n">
        <x:f>C14*D14</x:f>
        <x:v>15.21</x:v>
      </x:c>
      <x:c r="G14" s="16" t="n">
        <x:f>C14*E14</x:f>
        <x:v>30.42</x:v>
      </x:c>
      <x:c r="H14" s="16" t="n">
        <x:f>F14*12</x:f>
        <x:v>182.52</x:v>
      </x:c>
      <x:c r="I14" s="16" t="n">
        <x:f>G14*12</x:f>
        <x:v>365.04</x:v>
      </x:c>
      <x:c r="J14" s="12" t="str">
        <x:v>סקר מחיר וחידוש הטבות אחת לשנה.</x:v>
      </x:c>
    </x:row>
    <x:row r="15" ht="32" customHeight="1">
      <x:c r="B15" s="31" t="str">
        <x:v>סה״כ תרחיש</x:v>
      </x:c>
      <x:c r="C15" s="34"/>
      <x:c r="D15" s="32"/>
      <x:c r="E15" s="32"/>
      <x:c r="F15" s="34" t="n">
        <x:f>SUM(F7:F14)</x:f>
        <x:v>587.5335000000001</x:v>
      </x:c>
      <x:c r="G15" s="34" t="n">
        <x:f>SUM(G7:G14)</x:f>
        <x:v>1160.1885000000002</x:v>
      </x:c>
      <x:c r="H15" s="34" t="n">
        <x:f>SUM(H7:H14)</x:f>
        <x:v>7050.402000000001</x:v>
      </x:c>
      <x:c r="I15" s="34" t="n">
        <x:f>SUM(I7:I14)</x:f>
        <x:v>13922.262</x:v>
      </x:c>
      <x:c r="J15" s="35" t="str">
        <x:v>היעדים הם נקודת פתיחה לדיון, לא הוראה אוטומטית לקיצוץ.</x:v>
      </x:c>
    </x:row>
    <x:row r="18">
      <x:c r="B18" s="9" t="str">
        <x:v>נושא לבדיקה</x:v>
      </x:c>
      <x:c r="C18" s="9" t="str">
        <x:v>סכום/בסיס</x:v>
      </x:c>
      <x:c r="D18" s="9" t="str">
        <x:v>למה חשוב</x:v>
      </x:c>
      <x:c r="E18" s="9" t="str">
        <x:v>מה לבקש מהמומחה</x:v>
      </x:c>
    </x:row>
    <x:row r="19" ht="38" customHeight="1">
      <x:c r="B19" s="11" t="str">
        <x:v>בריאות וטיפולים</x:v>
      </x:c>
      <x:c r="C19" s="16" t="n">
        <x:f>'ניתוח קטגוריות'!E11</x:f>
        <x:v>2584.05</x:v>
      </x:c>
      <x:c r="D19" s="12" t="str">
        <x:v>לא לקצץ טיפול</x:v>
      </x:c>
      <x:c r="E19" s="12" t="str">
        <x:v>בדיקת החזרים, שב״ן וכפל ביטוח</x:v>
      </x:c>
    </x:row>
    <x:row r="20" ht="38" customHeight="1">
      <x:c r="B20" s="11" t="str">
        <x:v>דיור</x:v>
      </x:c>
      <x:c r="C20" s="16" t="n">
        <x:f>'ניתוח קטגוריות'!E7</x:f>
        <x:v>8836.5</x:v>
      </x:c>
      <x:c r="D20" s="12" t="str">
        <x:v>ההוצאה המבנית הגדולה ביותר</x:v>
      </x:c>
      <x:c r="E20" s="12" t="str">
        <x:v>פירוק שכר דירה, ניקיון, תקשורת וחשבונות</x:v>
      </x:c>
    </x:row>
    <x:row r="21" ht="38" customHeight="1">
      <x:c r="B21" s="11" t="str">
        <x:v>נכס להשקעה</x:v>
      </x:c>
      <x:c r="C21" s="16" t="n">
        <x:f>'ניתוח קטגוריות'!D8</x:f>
        <x:v>134579</x:v>
      </x:c>
      <x:c r="D21" s="12" t="str">
        <x:v>דורש רווח והפסד נפרד</x:v>
      </x:c>
      <x:c r="E21" s="12" t="str">
        <x:v>תשואה נטו, מימון, תחזוקה ומיסוי</x:v>
      </x:c>
    </x:row>
    <x:row r="22" ht="38" customHeight="1">
      <x:c r="B22" s="11" t="str">
        <x:v>לא מסווג</x:v>
      </x:c>
      <x:c r="C22" s="16" t="n">
        <x:f>'ניתוח קטגוריות'!D26</x:f>
        <x:v>1959</x:v>
      </x:c>
      <x:c r="D22" s="12" t="str">
        <x:v>אי אפשר להמליץ בלי להבין את הסכום</x:v>
      </x:c>
      <x:c r="E22" s="12" t="str">
        <x:v>להשלים סיווג לפני הפגישה</x:v>
      </x:c>
    </x:row>
    <x:row r="23" ht="38" customHeight="1">
      <x:c r="B23" s="11" t="str">
        <x:v>תחביבים ומיג'י</x:v>
      </x:c>
      <x:c r="C23" s="16" t="n">
        <x:f>'ניתוח קטגוריות'!E23</x:f>
        <x:v>364.85</x:v>
      </x:c>
      <x:c r="D23" s="12" t="str">
        <x:v>הקטגוריה אינה מוסברת</x:v>
      </x:c>
      <x:c r="E23" s="12" t="str">
        <x:v>להגדיר מה חיוני ומה גמיש</x:v>
      </x:c>
    </x:row>
  </x:sheetData>
  <x:pageMargins left="0.7" right="0.7" top="0.75" bottom="0.75" header="0.3" footer="0.3"/>
  <x:tableParts count="2">
    <x:tablePart xmlns:r="http://schemas.openxmlformats.org/officeDocument/2006/relationships" r:id="R08bcb235bcf24d25"/>
    <x:tablePart xmlns:r="http://schemas.openxmlformats.org/officeDocument/2006/relationships" r:id="R22844603e5e54f2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34" hidden="0" customWidth="1"/>
    <x:col min="3" max="3" width="24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2" t="str">
        <x:v>ניתוח בתי עסק ותיאורים</x:v>
      </x:c>
      <x:c r="C2" s="1"/>
      <x:c r="D2" s="1"/>
      <x:c r="E2" s="1"/>
      <x:c r="F2" s="1"/>
      <x:c r="G2" s="1"/>
      <x:c r="H2" s="1"/>
      <x:c r="I2" s="1"/>
      <x:c r="J2" s="1"/>
    </x:row>
    <x:row r="3">
      <x:c r="B3" s="3" t="str">
        <x:v>הקיבוץ הוא לפי תיאור מדויק; שמות דומים עלולים להופיע בשורות נפרדות</x:v>
      </x:c>
      <x:c r="C3" s="3"/>
      <x:c r="D3" s="3"/>
      <x:c r="E3" s="3"/>
      <x:c r="F3" s="3"/>
      <x:c r="G3" s="3"/>
      <x:c r="H3" s="3"/>
      <x:c r="I3" s="3"/>
      <x:c r="J3" s="3"/>
    </x:row>
    <x:row r="6">
      <x:c r="B6" s="9" t="str">
        <x:v>תיאור</x:v>
      </x:c>
      <x:c r="C6" s="9" t="str">
        <x:v>קבוצה עיקרית</x:v>
      </x:c>
      <x:c r="D6" s="9" t="str">
        <x:v>מספר עסקאות</x:v>
      </x:c>
      <x:c r="E6" s="9" t="str">
        <x:v>חודשים פעילים</x:v>
      </x:c>
      <x:c r="F6" s="9" t="str">
        <x:v>סה״כ (₪)</x:v>
      </x:c>
      <x:c r="G6" s="9" t="str">
        <x:v>ממוצע לעסקה (₪)</x:v>
      </x:c>
      <x:c r="H6" s="9" t="str">
        <x:v>ממוצע חודשי (₪)</x:v>
      </x:c>
      <x:c r="I6" s="9" t="str">
        <x:v>2025 (₪)</x:v>
      </x:c>
      <x:c r="J6" s="9" t="str">
        <x:v>2026 (₪)</x:v>
      </x:c>
    </x:row>
    <x:row r="7">
      <x:c r="B7" s="11" t="str">
        <x:v>שכר דירה</x:v>
      </x:c>
      <x:c r="C7" s="11" t="str">
        <x:v>דיור – בית מגורים</x:v>
      </x:c>
      <x:c r="D7" s="11" t="n">
        <x:v>18</x:v>
      </x:c>
      <x:c r="E7" s="11" t="n">
        <x:v>18</x:v>
      </x:c>
      <x:c r="F7" s="16" t="n">
        <x:f>SUMIFS('עסקאות'!$M$2:$M$1958,'עסקאות'!$F$2:$F$1958,B7)</x:f>
        <x:v>141500</x:v>
      </x:c>
      <x:c r="G7" s="16" t="n">
        <x:f>IF(D7=0,"",F7/D7)</x:f>
        <x:v>7861.111111111111</x:v>
      </x:c>
      <x:c r="H7" s="16" t="n">
        <x:f>F7/20</x:f>
        <x:v>7075</x:v>
      </x:c>
      <x:c r="I7" s="16" t="n">
        <x:f>SUMIFS('עסקאות'!$M$2:$M$1958,'עסקאות'!$F$2:$F$1958,B7,'עסקאות'!$A$2:$A$1958,"&gt;="&amp;DATE(2025,1,1),'עסקאות'!$A$2:$A$1958,"&lt;"&amp;DATE(2026,1,1))</x:f>
        <x:v>77500</x:v>
      </x:c>
      <x:c r="J7" s="16" t="n">
        <x:f>SUMIFS('עסקאות'!$M$2:$M$1958,'עסקאות'!$F$2:$F$1958,B7,'עסקאות'!$A$2:$A$1958,"&gt;="&amp;DATE(2026,1,1),'עסקאות'!$A$2:$A$1958,"&lt;"&amp;DATE(2027,1,1))</x:f>
        <x:v>64000</x:v>
      </x:c>
    </x:row>
    <x:row r="8">
      <x:c r="B8" s="11" t="str">
        <x:v>משכנתא</x:v>
      </x:c>
      <x:c r="C8" s="11" t="str">
        <x:v>נכס להשקעה</x:v>
      </x:c>
      <x:c r="D8" s="11" t="n">
        <x:v>20</x:v>
      </x:c>
      <x:c r="E8" s="11" t="n">
        <x:v>20</x:v>
      </x:c>
      <x:c r="F8" s="16" t="n">
        <x:f>SUMIFS('עסקאות'!$M$2:$M$1958,'עסקאות'!$F$2:$F$1958,B8)</x:f>
        <x:v>122792</x:v>
      </x:c>
      <x:c r="G8" s="16" t="n">
        <x:f>IF(D8=0,"",F8/D8)</x:f>
        <x:v>6139.6</x:v>
      </x:c>
      <x:c r="H8" s="16" t="n">
        <x:f>F8/20</x:f>
        <x:v>6139.6</x:v>
      </x:c>
      <x:c r="I8" s="16" t="n">
        <x:f>SUMIFS('עסקאות'!$M$2:$M$1958,'עסקאות'!$F$2:$F$1958,B8,'עסקאות'!$A$2:$A$1958,"&gt;="&amp;DATE(2025,1,1),'עסקאות'!$A$2:$A$1958,"&lt;"&amp;DATE(2026,1,1))</x:f>
        <x:v>73618</x:v>
      </x:c>
      <x:c r="J8" s="16" t="n">
        <x:f>SUMIFS('עסקאות'!$M$2:$M$1958,'עסקאות'!$F$2:$F$1958,B8,'עסקאות'!$A$2:$A$1958,"&gt;="&amp;DATE(2026,1,1),'עסקאות'!$A$2:$A$1958,"&lt;"&amp;DATE(2027,1,1))</x:f>
        <x:v>49174</x:v>
      </x:c>
    </x:row>
    <x:row r="9">
      <x:c r="B9" s="11" t="str">
        <x:v>חלי</x:v>
      </x:c>
      <x:c r="C9" s="11" t="str">
        <x:v>חתונה</x:v>
      </x:c>
      <x:c r="D9" s="11" t="n">
        <x:v>1</x:v>
      </x:c>
      <x:c r="E9" s="11" t="n">
        <x:v>1</x:v>
      </x:c>
      <x:c r="F9" s="16" t="n">
        <x:f>SUMIFS('עסקאות'!$M$2:$M$1958,'עסקאות'!$F$2:$F$1958,B9)</x:f>
        <x:v>32471</x:v>
      </x:c>
      <x:c r="G9" s="16" t="n">
        <x:f>IF(D9=0,"",F9/D9)</x:f>
        <x:v>32471</x:v>
      </x:c>
      <x:c r="H9" s="16" t="n">
        <x:f>F9/20</x:f>
        <x:v>1623.55</x:v>
      </x:c>
      <x:c r="I9" s="16" t="n">
        <x:f>SUMIFS('עסקאות'!$M$2:$M$1958,'עסקאות'!$F$2:$F$1958,B9,'עסקאות'!$A$2:$A$1958,"&gt;="&amp;DATE(2025,1,1),'עסקאות'!$A$2:$A$1958,"&lt;"&amp;DATE(2026,1,1))</x:f>
        <x:v>32471</x:v>
      </x:c>
      <x:c r="J9" s="16" t="n">
        <x:f>SUMIFS('עסקאות'!$M$2:$M$1958,'עסקאות'!$F$2:$F$1958,B9,'עסקאות'!$A$2:$A$1958,"&gt;="&amp;DATE(2026,1,1),'עסקאות'!$A$2:$A$1958,"&lt;"&amp;DATE(2027,1,1))</x:f>
        <x:v>0</x:v>
      </x:c>
    </x:row>
    <x:row r="10">
      <x:c r="B10" s="11" t="str">
        <x:v>ליאת</x:v>
      </x:c>
      <x:c r="C10" s="11" t="str">
        <x:v>בריאות וטיפולים</x:v>
      </x:c>
      <x:c r="D10" s="11" t="n">
        <x:v>19</x:v>
      </x:c>
      <x:c r="E10" s="11" t="n">
        <x:v>19</x:v>
      </x:c>
      <x:c r="F10" s="16" t="n">
        <x:f>SUMIFS('עסקאות'!$M$2:$M$1958,'עסקאות'!$F$2:$F$1958,B10)</x:f>
        <x:v>31050</x:v>
      </x:c>
      <x:c r="G10" s="16" t="n">
        <x:f>IF(D10=0,"",F10/D10)</x:f>
        <x:v>1634.2105263157894</x:v>
      </x:c>
      <x:c r="H10" s="16" t="n">
        <x:f>F10/20</x:f>
        <x:v>1552.5</x:v>
      </x:c>
      <x:c r="I10" s="16" t="n">
        <x:f>SUMIFS('עסקאות'!$M$2:$M$1958,'עסקאות'!$F$2:$F$1958,B10,'עסקאות'!$A$2:$A$1958,"&gt;="&amp;DATE(2025,1,1),'עסקאות'!$A$2:$A$1958,"&lt;"&amp;DATE(2026,1,1))</x:f>
        <x:v>16650</x:v>
      </x:c>
      <x:c r="J10" s="16" t="n">
        <x:f>SUMIFS('עסקאות'!$M$2:$M$1958,'עסקאות'!$F$2:$F$1958,B10,'עסקאות'!$A$2:$A$1958,"&gt;="&amp;DATE(2026,1,1),'עסקאות'!$A$2:$A$1958,"&lt;"&amp;DATE(2027,1,1))</x:f>
        <x:v>14400</x:v>
      </x:c>
    </x:row>
    <x:row r="11">
      <x:c r="B11" s="11" t="str">
        <x:v>סופר</x:v>
      </x:c>
      <x:c r="C11" s="11" t="str">
        <x:v>מזון לבית</x:v>
      </x:c>
      <x:c r="D11" s="11" t="n">
        <x:v>221</x:v>
      </x:c>
      <x:c r="E11" s="11" t="n">
        <x:v>20</x:v>
      </x:c>
      <x:c r="F11" s="16" t="n">
        <x:f>SUMIFS('עסקאות'!$M$2:$M$1958,'עסקאות'!$F$2:$F$1958,B11)</x:f>
        <x:v>29703</x:v>
      </x:c>
      <x:c r="G11" s="16" t="n">
        <x:f>IF(D11=0,"",F11/D11)</x:f>
        <x:v>134.40271493212668</x:v>
      </x:c>
      <x:c r="H11" s="16" t="n">
        <x:f>F11/20</x:f>
        <x:v>1485.15</x:v>
      </x:c>
      <x:c r="I11" s="16" t="n">
        <x:f>SUMIFS('עסקאות'!$M$2:$M$1958,'עסקאות'!$F$2:$F$1958,B11,'עסקאות'!$A$2:$A$1958,"&gt;="&amp;DATE(2025,1,1),'עסקאות'!$A$2:$A$1958,"&lt;"&amp;DATE(2026,1,1))</x:f>
        <x:v>15422</x:v>
      </x:c>
      <x:c r="J11" s="16" t="n">
        <x:f>SUMIFS('עסקאות'!$M$2:$M$1958,'עסקאות'!$F$2:$F$1958,B11,'עסקאות'!$A$2:$A$1958,"&gt;="&amp;DATE(2026,1,1),'עסקאות'!$A$2:$A$1958,"&lt;"&amp;DATE(2027,1,1))</x:f>
        <x:v>14281</x:v>
      </x:c>
    </x:row>
    <x:row r="12">
      <x:c r="B12" s="11" t="str">
        <x:v>יפן</x:v>
      </x:c>
      <x:c r="C12" s="11" t="str">
        <x:v>נסיעות וחופשות</x:v>
      </x:c>
      <x:c r="D12" s="11" t="n">
        <x:v>7</x:v>
      </x:c>
      <x:c r="E12" s="11" t="n">
        <x:v>3</x:v>
      </x:c>
      <x:c r="F12" s="16" t="n">
        <x:f>SUMIFS('עסקאות'!$M$2:$M$1958,'עסקאות'!$F$2:$F$1958,B12)</x:f>
        <x:v>20825</x:v>
      </x:c>
      <x:c r="G12" s="16" t="n">
        <x:f>IF(D12=0,"",F12/D12)</x:f>
        <x:v>2975</x:v>
      </x:c>
      <x:c r="H12" s="16" t="n">
        <x:f>F12/20</x:f>
        <x:v>1041.25</x:v>
      </x:c>
      <x:c r="I12" s="16" t="n">
        <x:f>SUMIFS('עסקאות'!$M$2:$M$1958,'עסקאות'!$F$2:$F$1958,B12,'עסקאות'!$A$2:$A$1958,"&gt;="&amp;DATE(2025,1,1),'עסקאות'!$A$2:$A$1958,"&lt;"&amp;DATE(2026,1,1))</x:f>
        <x:v>20825</x:v>
      </x:c>
      <x:c r="J12" s="16" t="n">
        <x:f>SUMIFS('עסקאות'!$M$2:$M$1958,'עסקאות'!$F$2:$F$1958,B12,'עסקאות'!$A$2:$A$1958,"&gt;="&amp;DATE(2026,1,1),'עסקאות'!$A$2:$A$1958,"&lt;"&amp;DATE(2027,1,1))</x:f>
        <x:v>0</x:v>
      </x:c>
    </x:row>
    <x:row r="13">
      <x:c r="B13" s="11" t="str">
        <x:v>מס יסף</x:v>
      </x:c>
      <x:c r="C13" s="11" t="str">
        <x:v>מסים</x:v>
      </x:c>
      <x:c r="D13" s="11" t="n">
        <x:v>1</x:v>
      </x:c>
      <x:c r="E13" s="11" t="n">
        <x:v>1</x:v>
      </x:c>
      <x:c r="F13" s="16" t="n">
        <x:f>SUMIFS('עסקאות'!$M$2:$M$1958,'עסקאות'!$F$2:$F$1958,B13)</x:f>
        <x:v>16703</x:v>
      </x:c>
      <x:c r="G13" s="16" t="n">
        <x:f>IF(D13=0,"",F13/D13)</x:f>
        <x:v>16703</x:v>
      </x:c>
      <x:c r="H13" s="16" t="n">
        <x:f>F13/20</x:f>
        <x:v>835.15</x:v>
      </x:c>
      <x:c r="I13" s="16" t="n">
        <x:f>SUMIFS('עסקאות'!$M$2:$M$1958,'עסקאות'!$F$2:$F$1958,B13,'עסקאות'!$A$2:$A$1958,"&gt;="&amp;DATE(2025,1,1),'עסקאות'!$A$2:$A$1958,"&lt;"&amp;DATE(2026,1,1))</x:f>
        <x:v>0</x:v>
      </x:c>
      <x:c r="J13" s="16" t="n">
        <x:f>SUMIFS('עסקאות'!$M$2:$M$1958,'עסקאות'!$F$2:$F$1958,B13,'עסקאות'!$A$2:$A$1958,"&gt;="&amp;DATE(2026,1,1),'עסקאות'!$A$2:$A$1958,"&lt;"&amp;DATE(2027,1,1))</x:f>
        <x:v>16703</x:v>
      </x:c>
    </x:row>
    <x:row r="14">
      <x:c r="B14" s="11" t="str">
        <x:v>קרוז + ניו יורק 26</x:v>
      </x:c>
      <x:c r="C14" s="11" t="str">
        <x:v>נסיעות וחופשות</x:v>
      </x:c>
      <x:c r="D14" s="11" t="n">
        <x:v>1</x:v>
      </x:c>
      <x:c r="E14" s="11" t="n">
        <x:v>1</x:v>
      </x:c>
      <x:c r="F14" s="16" t="n">
        <x:f>SUMIFS('עסקאות'!$M$2:$M$1958,'עסקאות'!$F$2:$F$1958,B14)</x:f>
        <x:v>16037</x:v>
      </x:c>
      <x:c r="G14" s="16" t="n">
        <x:f>IF(D14=0,"",F14/D14)</x:f>
        <x:v>16037</x:v>
      </x:c>
      <x:c r="H14" s="16" t="n">
        <x:f>F14/20</x:f>
        <x:v>801.85</x:v>
      </x:c>
      <x:c r="I14" s="16" t="n">
        <x:f>SUMIFS('עסקאות'!$M$2:$M$1958,'עסקאות'!$F$2:$F$1958,B14,'עסקאות'!$A$2:$A$1958,"&gt;="&amp;DATE(2025,1,1),'עסקאות'!$A$2:$A$1958,"&lt;"&amp;DATE(2026,1,1))</x:f>
        <x:v>0</x:v>
      </x:c>
      <x:c r="J14" s="16" t="n">
        <x:f>SUMIFS('עסקאות'!$M$2:$M$1958,'עסקאות'!$F$2:$F$1958,B14,'עסקאות'!$A$2:$A$1958,"&gt;="&amp;DATE(2026,1,1),'עסקאות'!$A$2:$A$1958,"&lt;"&amp;DATE(2027,1,1))</x:f>
        <x:v>16037</x:v>
      </x:c>
    </x:row>
    <x:row r="15">
      <x:c r="B15" s="11" t="str">
        <x:v>שוויץ 26</x:v>
      </x:c>
      <x:c r="C15" s="11" t="str">
        <x:v>נסיעות וחופשות</x:v>
      </x:c>
      <x:c r="D15" s="11" t="n">
        <x:v>4</x:v>
      </x:c>
      <x:c r="E15" s="11" t="n">
        <x:v>4</x:v>
      </x:c>
      <x:c r="F15" s="16" t="n">
        <x:f>SUMIFS('עסקאות'!$M$2:$M$1958,'עסקאות'!$F$2:$F$1958,B15)</x:f>
        <x:v>15586</x:v>
      </x:c>
      <x:c r="G15" s="16" t="n">
        <x:f>IF(D15=0,"",F15/D15)</x:f>
        <x:v>3896.5</x:v>
      </x:c>
      <x:c r="H15" s="16" t="n">
        <x:f>F15/20</x:f>
        <x:v>779.3</x:v>
      </x:c>
      <x:c r="I15" s="16" t="n">
        <x:f>SUMIFS('עסקאות'!$M$2:$M$1958,'עסקאות'!$F$2:$F$1958,B15,'עסקאות'!$A$2:$A$1958,"&gt;="&amp;DATE(2025,1,1),'עסקאות'!$A$2:$A$1958,"&lt;"&amp;DATE(2026,1,1))</x:f>
        <x:v>100</x:v>
      </x:c>
      <x:c r="J15" s="16" t="n">
        <x:f>SUMIFS('עסקאות'!$M$2:$M$1958,'עסקאות'!$F$2:$F$1958,B15,'עסקאות'!$A$2:$A$1958,"&gt;="&amp;DATE(2026,1,1),'עסקאות'!$A$2:$A$1958,"&lt;"&amp;DATE(2027,1,1))</x:f>
        <x:v>15486</x:v>
      </x:c>
    </x:row>
    <x:row r="16">
      <x:c r="B16" s="11" t="str">
        <x:v>אימונים</x:v>
      </x:c>
      <x:c r="C16" s="11" t="str">
        <x:v>ספורט</x:v>
      </x:c>
      <x:c r="D16" s="11" t="n">
        <x:v>5</x:v>
      </x:c>
      <x:c r="E16" s="11" t="n">
        <x:v>5</x:v>
      </x:c>
      <x:c r="F16" s="16" t="n">
        <x:f>SUMIFS('עסקאות'!$M$2:$M$1958,'עסקאות'!$F$2:$F$1958,B16)</x:f>
        <x:v>15441</x:v>
      </x:c>
      <x:c r="G16" s="16" t="n">
        <x:f>IF(D16=0,"",F16/D16)</x:f>
        <x:v>3088.2</x:v>
      </x:c>
      <x:c r="H16" s="16" t="n">
        <x:f>F16/20</x:f>
        <x:v>772.05</x:v>
      </x:c>
      <x:c r="I16" s="16" t="n">
        <x:f>SUMIFS('עסקאות'!$M$2:$M$1958,'עסקאות'!$F$2:$F$1958,B16,'עסקאות'!$A$2:$A$1958,"&gt;="&amp;DATE(2025,1,1),'עסקאות'!$A$2:$A$1958,"&lt;"&amp;DATE(2026,1,1))</x:f>
        <x:v>12441</x:v>
      </x:c>
      <x:c r="J16" s="16" t="n">
        <x:f>SUMIFS('עסקאות'!$M$2:$M$1958,'עסקאות'!$F$2:$F$1958,B16,'עסקאות'!$A$2:$A$1958,"&gt;="&amp;DATE(2026,1,1),'עסקאות'!$A$2:$A$1958,"&lt;"&amp;DATE(2027,1,1))</x:f>
        <x:v>3000</x:v>
      </x:c>
    </x:row>
    <x:row r="17">
      <x:c r="B17" s="11" t="str">
        <x:v>מלון</x:v>
      </x:c>
      <x:c r="C17" s="11" t="str">
        <x:v>נסיעות וחופשות</x:v>
      </x:c>
      <x:c r="D17" s="11" t="n">
        <x:v>7</x:v>
      </x:c>
      <x:c r="E17" s="11" t="n">
        <x:v>2</x:v>
      </x:c>
      <x:c r="F17" s="16" t="n">
        <x:f>SUMIFS('עסקאות'!$M$2:$M$1958,'עסקאות'!$F$2:$F$1958,B17)</x:f>
        <x:v>11581</x:v>
      </x:c>
      <x:c r="G17" s="16" t="n">
        <x:f>IF(D17=0,"",F17/D17)</x:f>
        <x:v>1654.4285714285713</x:v>
      </x:c>
      <x:c r="H17" s="16" t="n">
        <x:f>F17/20</x:f>
        <x:v>579.05</x:v>
      </x:c>
      <x:c r="I17" s="16" t="n">
        <x:f>SUMIFS('עסקאות'!$M$2:$M$1958,'עסקאות'!$F$2:$F$1958,B17,'עסקאות'!$A$2:$A$1958,"&gt;="&amp;DATE(2025,1,1),'עסקאות'!$A$2:$A$1958,"&lt;"&amp;DATE(2026,1,1))</x:f>
        <x:v>11581</x:v>
      </x:c>
      <x:c r="J17" s="16" t="n">
        <x:f>SUMIFS('עסקאות'!$M$2:$M$1958,'עסקאות'!$F$2:$F$1958,B17,'עסקאות'!$A$2:$A$1958,"&gt;="&amp;DATE(2026,1,1),'עסקאות'!$A$2:$A$1958,"&lt;"&amp;DATE(2027,1,1))</x:f>
        <x:v>0</x:v>
      </x:c>
    </x:row>
    <x:row r="18">
      <x:c r="B18" s="11" t="str">
        <x:v>טיסה בחגים</x:v>
      </x:c>
      <x:c r="C18" s="11" t="str">
        <x:v>נסיעות וחופשות</x:v>
      </x:c>
      <x:c r="D18" s="11" t="n">
        <x:v>1</x:v>
      </x:c>
      <x:c r="E18" s="11" t="n">
        <x:v>1</x:v>
      </x:c>
      <x:c r="F18" s="16" t="n">
        <x:f>SUMIFS('עסקאות'!$M$2:$M$1958,'עסקאות'!$F$2:$F$1958,B18)</x:f>
        <x:v>11470</x:v>
      </x:c>
      <x:c r="G18" s="16" t="n">
        <x:f>IF(D18=0,"",F18/D18)</x:f>
        <x:v>11470</x:v>
      </x:c>
      <x:c r="H18" s="16" t="n">
        <x:f>F18/20</x:f>
        <x:v>573.5</x:v>
      </x:c>
      <x:c r="I18" s="16" t="n">
        <x:f>SUMIFS('עסקאות'!$M$2:$M$1958,'עסקאות'!$F$2:$F$1958,B18,'עסקאות'!$A$2:$A$1958,"&gt;="&amp;DATE(2025,1,1),'עסקאות'!$A$2:$A$1958,"&lt;"&amp;DATE(2026,1,1))</x:f>
        <x:v>11470</x:v>
      </x:c>
      <x:c r="J18" s="16" t="n">
        <x:f>SUMIFS('עסקאות'!$M$2:$M$1958,'עסקאות'!$F$2:$F$1958,B18,'עסקאות'!$A$2:$A$1958,"&gt;="&amp;DATE(2026,1,1),'עסקאות'!$A$2:$A$1958,"&lt;"&amp;DATE(2027,1,1))</x:f>
        <x:v>0</x:v>
      </x:c>
    </x:row>
    <x:row r="19">
      <x:c r="B19" s="11" t="str">
        <x:v>פריז</x:v>
      </x:c>
      <x:c r="C19" s="11" t="str">
        <x:v>נסיעות וחופשות</x:v>
      </x:c>
      <x:c r="D19" s="11" t="n">
        <x:v>6</x:v>
      </x:c>
      <x:c r="E19" s="11" t="n">
        <x:v>3</x:v>
      </x:c>
      <x:c r="F19" s="16" t="n">
        <x:f>SUMIFS('עסקאות'!$M$2:$M$1958,'עסקאות'!$F$2:$F$1958,B19)</x:f>
        <x:v>11360</x:v>
      </x:c>
      <x:c r="G19" s="16" t="n">
        <x:f>IF(D19=0,"",F19/D19)</x:f>
        <x:v>1893.3333333333333</x:v>
      </x:c>
      <x:c r="H19" s="16" t="n">
        <x:f>F19/20</x:f>
        <x:v>568</x:v>
      </x:c>
      <x:c r="I19" s="16" t="n">
        <x:f>SUMIFS('עסקאות'!$M$2:$M$1958,'עסקאות'!$F$2:$F$1958,B19,'עסקאות'!$A$2:$A$1958,"&gt;="&amp;DATE(2025,1,1),'עסקאות'!$A$2:$A$1958,"&lt;"&amp;DATE(2026,1,1))</x:f>
        <x:v>11360</x:v>
      </x:c>
      <x:c r="J19" s="16" t="n">
        <x:f>SUMIFS('עסקאות'!$M$2:$M$1958,'עסקאות'!$F$2:$F$1958,B19,'עסקאות'!$A$2:$A$1958,"&gt;="&amp;DATE(2026,1,1),'עסקאות'!$A$2:$A$1958,"&lt;"&amp;DATE(2027,1,1))</x:f>
        <x:v>0</x:v>
      </x:c>
    </x:row>
    <x:row r="20">
      <x:c r="B20" s="11" t="str">
        <x:v>מסעדה</x:v>
      </x:c>
      <x:c r="C20" s="11" t="str">
        <x:v>אוכל בחוץ</x:v>
      </x:c>
      <x:c r="D20" s="11" t="n">
        <x:v>117</x:v>
      </x:c>
      <x:c r="E20" s="11" t="n">
        <x:v>13</x:v>
      </x:c>
      <x:c r="F20" s="16" t="n">
        <x:f>SUMIFS('עסקאות'!$M$2:$M$1958,'עסקאות'!$F$2:$F$1958,B20)</x:f>
        <x:v>11226</x:v>
      </x:c>
      <x:c r="G20" s="16" t="n">
        <x:f>IF(D20=0,"",F20/D20)</x:f>
        <x:v>95.94871794871794</x:v>
      </x:c>
      <x:c r="H20" s="16" t="n">
        <x:f>F20/20</x:f>
        <x:v>561.3</x:v>
      </x:c>
      <x:c r="I20" s="16" t="n">
        <x:f>SUMIFS('עסקאות'!$M$2:$M$1958,'עסקאות'!$F$2:$F$1958,B20,'עסקאות'!$A$2:$A$1958,"&gt;="&amp;DATE(2025,1,1),'עסקאות'!$A$2:$A$1958,"&lt;"&amp;DATE(2026,1,1))</x:f>
        <x:v>4681</x:v>
      </x:c>
      <x:c r="J20" s="16" t="n">
        <x:f>SUMIFS('עסקאות'!$M$2:$M$1958,'עסקאות'!$F$2:$F$1958,B20,'עסקאות'!$A$2:$A$1958,"&gt;="&amp;DATE(2026,1,1),'עסקאות'!$A$2:$A$1958,"&lt;"&amp;DATE(2027,1,1))</x:f>
        <x:v>6545</x:v>
      </x:c>
    </x:row>
    <x:row r="21">
      <x:c r="B21" s="11" t="str">
        <x:v>חול</x:v>
      </x:c>
      <x:c r="C21" s="11" t="str">
        <x:v>נסיעות וחופשות</x:v>
      </x:c>
      <x:c r="D21" s="11" t="n">
        <x:v>3</x:v>
      </x:c>
      <x:c r="E21" s="11" t="n">
        <x:v>1</x:v>
      </x:c>
      <x:c r="F21" s="16" t="n">
        <x:f>SUMIFS('עסקאות'!$M$2:$M$1958,'עסקאות'!$F$2:$F$1958,B21)</x:f>
        <x:v>10495</x:v>
      </x:c>
      <x:c r="G21" s="16" t="n">
        <x:f>IF(D21=0,"",F21/D21)</x:f>
        <x:v>3498.3333333333335</x:v>
      </x:c>
      <x:c r="H21" s="16" t="n">
        <x:f>F21/20</x:f>
        <x:v>524.75</x:v>
      </x:c>
      <x:c r="I21" s="16" t="n">
        <x:f>SUMIFS('עסקאות'!$M$2:$M$1958,'עסקאות'!$F$2:$F$1958,B21,'עסקאות'!$A$2:$A$1958,"&gt;="&amp;DATE(2025,1,1),'עסקאות'!$A$2:$A$1958,"&lt;"&amp;DATE(2026,1,1))</x:f>
        <x:v>10495</x:v>
      </x:c>
      <x:c r="J21" s="16" t="n">
        <x:f>SUMIFS('עסקאות'!$M$2:$M$1958,'עסקאות'!$F$2:$F$1958,B21,'עסקאות'!$A$2:$A$1958,"&gt;="&amp;DATE(2026,1,1),'עסקאות'!$A$2:$A$1958,"&lt;"&amp;DATE(2027,1,1))</x:f>
        <x:v>0</x:v>
      </x:c>
    </x:row>
    <x:row r="22">
      <x:c r="B22" s="11" t="str">
        <x:v>מנקה</x:v>
      </x:c>
      <x:c r="C22" s="11" t="str">
        <x:v>דיור – בית מגורים</x:v>
      </x:c>
      <x:c r="D22" s="11" t="n">
        <x:v>20</x:v>
      </x:c>
      <x:c r="E22" s="11" t="n">
        <x:v>20</x:v>
      </x:c>
      <x:c r="F22" s="16" t="n">
        <x:f>SUMIFS('עסקאות'!$M$2:$M$1958,'עסקאות'!$F$2:$F$1958,B22)</x:f>
        <x:v>10460</x:v>
      </x:c>
      <x:c r="G22" s="16" t="n">
        <x:f>IF(D22=0,"",F22/D22)</x:f>
        <x:v>523</x:v>
      </x:c>
      <x:c r="H22" s="16" t="n">
        <x:f>F22/20</x:f>
        <x:v>523</x:v>
      </x:c>
      <x:c r="I22" s="16" t="n">
        <x:f>SUMIFS('עסקאות'!$M$2:$M$1958,'עסקאות'!$F$2:$F$1958,B22,'עסקאות'!$A$2:$A$1958,"&gt;="&amp;DATE(2025,1,1),'עסקאות'!$A$2:$A$1958,"&lt;"&amp;DATE(2026,1,1))</x:f>
        <x:v>4460</x:v>
      </x:c>
      <x:c r="J22" s="16" t="n">
        <x:f>SUMIFS('עסקאות'!$M$2:$M$1958,'עסקאות'!$F$2:$F$1958,B22,'עסקאות'!$A$2:$A$1958,"&gt;="&amp;DATE(2026,1,1),'עסקאות'!$A$2:$A$1958,"&lt;"&amp;DATE(2027,1,1))</x:f>
        <x:v>6000</x:v>
      </x:c>
    </x:row>
    <x:row r="23">
      <x:c r="B23" s="11" t="str">
        <x:v>ארנונה</x:v>
      </x:c>
      <x:c r="C23" s="11" t="str">
        <x:v>דיור – בית מגורים</x:v>
      </x:c>
      <x:c r="D23" s="11" t="n">
        <x:v>11</x:v>
      </x:c>
      <x:c r="E23" s="11" t="n">
        <x:v>11</x:v>
      </x:c>
      <x:c r="F23" s="16" t="n">
        <x:f>SUMIFS('עסקאות'!$M$2:$M$1958,'עסקאות'!$F$2:$F$1958,B23)</x:f>
        <x:v>10297</x:v>
      </x:c>
      <x:c r="G23" s="16" t="n">
        <x:f>IF(D23=0,"",F23/D23)</x:f>
        <x:v>936.0909090909091</x:v>
      </x:c>
      <x:c r="H23" s="16" t="n">
        <x:f>F23/20</x:f>
        <x:v>514.85</x:v>
      </x:c>
      <x:c r="I23" s="16" t="n">
        <x:f>SUMIFS('עסקאות'!$M$2:$M$1958,'עסקאות'!$F$2:$F$1958,B23,'עסקאות'!$A$2:$A$1958,"&gt;="&amp;DATE(2025,1,1),'עסקאות'!$A$2:$A$1958,"&lt;"&amp;DATE(2026,1,1))</x:f>
        <x:v>7182</x:v>
      </x:c>
      <x:c r="J23" s="16" t="n">
        <x:f>SUMIFS('עסקאות'!$M$2:$M$1958,'עסקאות'!$F$2:$F$1958,B23,'עסקאות'!$A$2:$A$1958,"&gt;="&amp;DATE(2026,1,1),'עסקאות'!$A$2:$A$1958,"&lt;"&amp;DATE(2027,1,1))</x:f>
        <x:v>3115</x:v>
      </x:c>
    </x:row>
    <x:row r="24">
      <x:c r="B24" s="11" t="str">
        <x:v>דלק</x:v>
      </x:c>
      <x:c r="C24" s="11" t="str">
        <x:v>תחבורה</x:v>
      </x:c>
      <x:c r="D24" s="11" t="n">
        <x:v>40</x:v>
      </x:c>
      <x:c r="E24" s="11" t="n">
        <x:v>19</x:v>
      </x:c>
      <x:c r="F24" s="16" t="n">
        <x:f>SUMIFS('עסקאות'!$M$2:$M$1958,'עסקאות'!$F$2:$F$1958,B24)</x:f>
        <x:v>8397</x:v>
      </x:c>
      <x:c r="G24" s="16" t="n">
        <x:f>IF(D24=0,"",F24/D24)</x:f>
        <x:v>209.925</x:v>
      </x:c>
      <x:c r="H24" s="16" t="n">
        <x:f>F24/20</x:f>
        <x:v>419.85</x:v>
      </x:c>
      <x:c r="I24" s="16" t="n">
        <x:f>SUMIFS('עסקאות'!$M$2:$M$1958,'עסקאות'!$F$2:$F$1958,B24,'עסקאות'!$A$2:$A$1958,"&gt;="&amp;DATE(2025,1,1),'עסקאות'!$A$2:$A$1958,"&lt;"&amp;DATE(2026,1,1))</x:f>
        <x:v>4949</x:v>
      </x:c>
      <x:c r="J24" s="16" t="n">
        <x:f>SUMIFS('עסקאות'!$M$2:$M$1958,'עסקאות'!$F$2:$F$1958,B24,'עסקאות'!$A$2:$A$1958,"&gt;="&amp;DATE(2026,1,1),'עסקאות'!$A$2:$A$1958,"&lt;"&amp;DATE(2027,1,1))</x:f>
        <x:v>3448</x:v>
      </x:c>
    </x:row>
    <x:row r="25">
      <x:c r="B25" s="11" t="str">
        <x:v>שירה</x:v>
      </x:c>
      <x:c r="C25" s="11" t="str">
        <x:v>בריאות וטיפולים</x:v>
      </x:c>
      <x:c r="D25" s="11" t="n">
        <x:v>7</x:v>
      </x:c>
      <x:c r="E25" s="11" t="n">
        <x:v>6</x:v>
      </x:c>
      <x:c r="F25" s="16" t="n">
        <x:f>SUMIFS('עסקאות'!$M$2:$M$1958,'עסקאות'!$F$2:$F$1958,B25)</x:f>
        <x:v>7020</x:v>
      </x:c>
      <x:c r="G25" s="16" t="n">
        <x:f>IF(D25=0,"",F25/D25)</x:f>
        <x:v>1002.8571428571429</x:v>
      </x:c>
      <x:c r="H25" s="16" t="n">
        <x:f>F25/20</x:f>
        <x:v>351</x:v>
      </x:c>
      <x:c r="I25" s="16" t="n">
        <x:f>SUMIFS('עסקאות'!$M$2:$M$1958,'עסקאות'!$F$2:$F$1958,B25,'עסקאות'!$A$2:$A$1958,"&gt;="&amp;DATE(2025,1,1),'עסקאות'!$A$2:$A$1958,"&lt;"&amp;DATE(2026,1,1))</x:f>
        <x:v>7020</x:v>
      </x:c>
      <x:c r="J25" s="16" t="n">
        <x:f>SUMIFS('עסקאות'!$M$2:$M$1958,'עסקאות'!$F$2:$F$1958,B25,'עסקאות'!$A$2:$A$1958,"&gt;="&amp;DATE(2026,1,1),'עסקאות'!$A$2:$A$1958,"&lt;"&amp;DATE(2027,1,1))</x:f>
        <x:v>0</x:v>
      </x:c>
    </x:row>
    <x:row r="26">
      <x:c r="B26" s="11" t="str">
        <x:v>מקדמה חלי</x:v>
      </x:c>
      <x:c r="C26" s="11" t="str">
        <x:v>חתונה</x:v>
      </x:c>
      <x:c r="D26" s="11" t="n">
        <x:v>1</x:v>
      </x:c>
      <x:c r="E26" s="11" t="n">
        <x:v>1</x:v>
      </x:c>
      <x:c r="F26" s="16" t="n">
        <x:f>SUMIFS('עסקאות'!$M$2:$M$1958,'עסקאות'!$F$2:$F$1958,B26)</x:f>
        <x:v>7000</x:v>
      </x:c>
      <x:c r="G26" s="16" t="n">
        <x:f>IF(D26=0,"",F26/D26)</x:f>
        <x:v>7000</x:v>
      </x:c>
      <x:c r="H26" s="16" t="n">
        <x:f>F26/20</x:f>
        <x:v>350</x:v>
      </x:c>
      <x:c r="I26" s="16" t="n">
        <x:f>SUMIFS('עסקאות'!$M$2:$M$1958,'עסקאות'!$F$2:$F$1958,B26,'עסקאות'!$A$2:$A$1958,"&gt;="&amp;DATE(2025,1,1),'עסקאות'!$A$2:$A$1958,"&lt;"&amp;DATE(2026,1,1))</x:f>
        <x:v>7000</x:v>
      </x:c>
      <x:c r="J26" s="16" t="n">
        <x:f>SUMIFS('עסקאות'!$M$2:$M$1958,'עסקאות'!$F$2:$F$1958,B26,'עסקאות'!$A$2:$A$1958,"&gt;="&amp;DATE(2026,1,1),'עסקאות'!$A$2:$A$1958,"&lt;"&amp;DATE(2027,1,1))</x:f>
        <x:v>0</x:v>
      </x:c>
    </x:row>
    <x:row r="27">
      <x:c r="B27" s="11" t="str">
        <x:v>מלצרים</x:v>
      </x:c>
      <x:c r="C27" s="11" t="str">
        <x:v>חתונה</x:v>
      </x:c>
      <x:c r="D27" s="11" t="n">
        <x:v>1</x:v>
      </x:c>
      <x:c r="E27" s="11" t="n">
        <x:v>1</x:v>
      </x:c>
      <x:c r="F27" s="16" t="n">
        <x:f>SUMIFS('עסקאות'!$M$2:$M$1958,'עסקאות'!$F$2:$F$1958,B27)</x:f>
        <x:v>6000</x:v>
      </x:c>
      <x:c r="G27" s="16" t="n">
        <x:f>IF(D27=0,"",F27/D27)</x:f>
        <x:v>6000</x:v>
      </x:c>
      <x:c r="H27" s="16" t="n">
        <x:f>F27/20</x:f>
        <x:v>300</x:v>
      </x:c>
      <x:c r="I27" s="16" t="n">
        <x:f>SUMIFS('עסקאות'!$M$2:$M$1958,'עסקאות'!$F$2:$F$1958,B27,'עסקאות'!$A$2:$A$1958,"&gt;="&amp;DATE(2025,1,1),'עסקאות'!$A$2:$A$1958,"&lt;"&amp;DATE(2026,1,1))</x:f>
        <x:v>6000</x:v>
      </x:c>
      <x:c r="J27" s="16" t="n">
        <x:f>SUMIFS('עסקאות'!$M$2:$M$1958,'עסקאות'!$F$2:$F$1958,B27,'עסקאות'!$A$2:$A$1958,"&gt;="&amp;DATE(2026,1,1),'עסקאות'!$A$2:$A$1958,"&lt;"&amp;DATE(2027,1,1))</x:f>
        <x:v>0</x:v>
      </x:c>
    </x:row>
    <x:row r="28">
      <x:c r="B28" s="11" t="str">
        <x:v>תשלום הסכם ממון</x:v>
      </x:c>
      <x:c r="C28" s="11" t="str">
        <x:v>אחר</x:v>
      </x:c>
      <x:c r="D28" s="11" t="n">
        <x:v>1</x:v>
      </x:c>
      <x:c r="E28" s="11" t="n">
        <x:v>1</x:v>
      </x:c>
      <x:c r="F28" s="16" t="n">
        <x:f>SUMIFS('עסקאות'!$M$2:$M$1958,'עסקאות'!$F$2:$F$1958,B28)</x:f>
        <x:v>5900</x:v>
      </x:c>
      <x:c r="G28" s="16" t="n">
        <x:f>IF(D28=0,"",F28/D28)</x:f>
        <x:v>5900</x:v>
      </x:c>
      <x:c r="H28" s="16" t="n">
        <x:f>F28/20</x:f>
        <x:v>295</x:v>
      </x:c>
      <x:c r="I28" s="16" t="n">
        <x:f>SUMIFS('עסקאות'!$M$2:$M$1958,'עסקאות'!$F$2:$F$1958,B28,'עסקאות'!$A$2:$A$1958,"&gt;="&amp;DATE(2025,1,1),'עסקאות'!$A$2:$A$1958,"&lt;"&amp;DATE(2026,1,1))</x:f>
        <x:v>5900</x:v>
      </x:c>
      <x:c r="J28" s="16" t="n">
        <x:f>SUMIFS('עסקאות'!$M$2:$M$1958,'עסקאות'!$F$2:$F$1958,B28,'עסקאות'!$A$2:$A$1958,"&gt;="&amp;DATE(2026,1,1),'עסקאות'!$A$2:$A$1958,"&lt;"&amp;DATE(2027,1,1))</x:f>
        <x:v>0</x:v>
      </x:c>
    </x:row>
    <x:row r="29">
      <x:c r="B29" s="11" t="str">
        <x:v>מלון סיישל</x:v>
      </x:c>
      <x:c r="C29" s="11" t="str">
        <x:v>חתונה</x:v>
      </x:c>
      <x:c r="D29" s="11" t="n">
        <x:v>2</x:v>
      </x:c>
      <x:c r="E29" s="11" t="n">
        <x:v>2</x:v>
      </x:c>
      <x:c r="F29" s="16" t="n">
        <x:f>SUMIFS('עסקאות'!$M$2:$M$1958,'עסקאות'!$F$2:$F$1958,B29)</x:f>
        <x:v>5562</x:v>
      </x:c>
      <x:c r="G29" s="16" t="n">
        <x:f>IF(D29=0,"",F29/D29)</x:f>
        <x:v>2781</x:v>
      </x:c>
      <x:c r="H29" s="16" t="n">
        <x:f>F29/20</x:f>
        <x:v>278.1</x:v>
      </x:c>
      <x:c r="I29" s="16" t="n">
        <x:f>SUMIFS('עסקאות'!$M$2:$M$1958,'עסקאות'!$F$2:$F$1958,B29,'עסקאות'!$A$2:$A$1958,"&gt;="&amp;DATE(2025,1,1),'עסקאות'!$A$2:$A$1958,"&lt;"&amp;DATE(2026,1,1))</x:f>
        <x:v>5562</x:v>
      </x:c>
      <x:c r="J29" s="16" t="n">
        <x:f>SUMIFS('עסקאות'!$M$2:$M$1958,'עסקאות'!$F$2:$F$1958,B29,'עסקאות'!$A$2:$A$1958,"&gt;="&amp;DATE(2026,1,1),'עסקאות'!$A$2:$A$1958,"&lt;"&amp;DATE(2027,1,1))</x:f>
        <x:v>0</x:v>
      </x:c>
    </x:row>
    <x:row r="30">
      <x:c r="B30" s="11" t="str">
        <x:v>טיסה לסישל</x:v>
      </x:c>
      <x:c r="C30" s="11" t="str">
        <x:v>חתונה</x:v>
      </x:c>
      <x:c r="D30" s="11" t="n">
        <x:v>1</x:v>
      </x:c>
      <x:c r="E30" s="11" t="n">
        <x:v>1</x:v>
      </x:c>
      <x:c r="F30" s="16" t="n">
        <x:f>SUMIFS('עסקאות'!$M$2:$M$1958,'עסקאות'!$F$2:$F$1958,B30)</x:f>
        <x:v>5404</x:v>
      </x:c>
      <x:c r="G30" s="16" t="n">
        <x:f>IF(D30=0,"",F30/D30)</x:f>
        <x:v>5404</x:v>
      </x:c>
      <x:c r="H30" s="16" t="n">
        <x:f>F30/20</x:f>
        <x:v>270.2</x:v>
      </x:c>
      <x:c r="I30" s="16" t="n">
        <x:f>SUMIFS('עסקאות'!$M$2:$M$1958,'עסקאות'!$F$2:$F$1958,B30,'עסקאות'!$A$2:$A$1958,"&gt;="&amp;DATE(2025,1,1),'עסקאות'!$A$2:$A$1958,"&lt;"&amp;DATE(2026,1,1))</x:f>
        <x:v>5404</x:v>
      </x:c>
      <x:c r="J30" s="16" t="n">
        <x:f>SUMIFS('עסקאות'!$M$2:$M$1958,'עסקאות'!$F$2:$F$1958,B30,'עסקאות'!$A$2:$A$1958,"&gt;="&amp;DATE(2026,1,1),'עסקאות'!$A$2:$A$1958,"&lt;"&amp;DATE(2027,1,1))</x:f>
        <x:v>0</x:v>
      </x:c>
    </x:row>
    <x:row r="31">
      <x:c r="B31" s="11" t="str">
        <x:v>יפן קניות</x:v>
      </x:c>
      <x:c r="C31" s="11" t="str">
        <x:v>אופנה</x:v>
      </x:c>
      <x:c r="D31" s="11" t="n">
        <x:v>3</x:v>
      </x:c>
      <x:c r="E31" s="11" t="n">
        <x:v>1</x:v>
      </x:c>
      <x:c r="F31" s="16" t="n">
        <x:f>SUMIFS('עסקאות'!$M$2:$M$1958,'עסקאות'!$F$2:$F$1958,B31)</x:f>
        <x:v>5202</x:v>
      </x:c>
      <x:c r="G31" s="16" t="n">
        <x:f>IF(D31=0,"",F31/D31)</x:f>
        <x:v>1734</x:v>
      </x:c>
      <x:c r="H31" s="16" t="n">
        <x:f>F31/20</x:f>
        <x:v>260.1</x:v>
      </x:c>
      <x:c r="I31" s="16" t="n">
        <x:f>SUMIFS('עסקאות'!$M$2:$M$1958,'עסקאות'!$F$2:$F$1958,B31,'עסקאות'!$A$2:$A$1958,"&gt;="&amp;DATE(2025,1,1),'עסקאות'!$A$2:$A$1958,"&lt;"&amp;DATE(2026,1,1))</x:f>
        <x:v>5202</x:v>
      </x:c>
      <x:c r="J31" s="16" t="n">
        <x:f>SUMIFS('עסקאות'!$M$2:$M$1958,'עסקאות'!$F$2:$F$1958,B31,'עסקאות'!$A$2:$A$1958,"&gt;="&amp;DATE(2026,1,1),'עסקאות'!$A$2:$A$1958,"&lt;"&amp;DATE(2027,1,1))</x:f>
        <x:v>0</x:v>
      </x:c>
    </x:row>
    <x:row r="32">
      <x:c r="B32" s="11" t="str">
        <x:v>חשמל</x:v>
      </x:c>
      <x:c r="C32" s="11" t="str">
        <x:v>דיור – בית מגורים</x:v>
      </x:c>
      <x:c r="D32" s="11" t="n">
        <x:v>18</x:v>
      </x:c>
      <x:c r="E32" s="11" t="n">
        <x:v>18</x:v>
      </x:c>
      <x:c r="F32" s="16" t="n">
        <x:f>SUMIFS('עסקאות'!$M$2:$M$1958,'עסקאות'!$F$2:$F$1958,B32)</x:f>
        <x:v>5186</x:v>
      </x:c>
      <x:c r="G32" s="16" t="n">
        <x:f>IF(D32=0,"",F32/D32)</x:f>
        <x:v>288.1111111111111</x:v>
      </x:c>
      <x:c r="H32" s="16" t="n">
        <x:f>F32/20</x:f>
        <x:v>259.3</x:v>
      </x:c>
      <x:c r="I32" s="16" t="n">
        <x:f>SUMIFS('עסקאות'!$M$2:$M$1958,'עסקאות'!$F$2:$F$1958,B32,'עסקאות'!$A$2:$A$1958,"&gt;="&amp;DATE(2025,1,1),'עסקאות'!$A$2:$A$1958,"&lt;"&amp;DATE(2026,1,1))</x:f>
        <x:v>2899</x:v>
      </x:c>
      <x:c r="J32" s="16" t="n">
        <x:f>SUMIFS('עסקאות'!$M$2:$M$1958,'עסקאות'!$F$2:$F$1958,B32,'עסקאות'!$A$2:$A$1958,"&gt;="&amp;DATE(2026,1,1),'עסקאות'!$A$2:$A$1958,"&lt;"&amp;DATE(2027,1,1))</x:f>
        <x:v>2287</x:v>
      </x:c>
    </x:row>
    <x:row r="33">
      <x:c r="B33" s="11" t="str">
        <x:v>קאנטרי</x:v>
      </x:c>
      <x:c r="C33" s="11" t="str">
        <x:v>ספורט</x:v>
      </x:c>
      <x:c r="D33" s="11" t="n">
        <x:v>8</x:v>
      </x:c>
      <x:c r="E33" s="11" t="n">
        <x:v>8</x:v>
      </x:c>
      <x:c r="F33" s="16" t="n">
        <x:f>SUMIFS('עסקאות'!$M$2:$M$1958,'עסקאות'!$F$2:$F$1958,B33)</x:f>
        <x:v>5056</x:v>
      </x:c>
      <x:c r="G33" s="16" t="n">
        <x:f>IF(D33=0,"",F33/D33)</x:f>
        <x:v>632</x:v>
      </x:c>
      <x:c r="H33" s="16" t="n">
        <x:f>F33/20</x:f>
        <x:v>252.8</x:v>
      </x:c>
      <x:c r="I33" s="16" t="n">
        <x:f>SUMIFS('עסקאות'!$M$2:$M$1958,'עסקאות'!$F$2:$F$1958,B33,'עסקאות'!$A$2:$A$1958,"&gt;="&amp;DATE(2025,1,1),'עסקאות'!$A$2:$A$1958,"&lt;"&amp;DATE(2026,1,1))</x:f>
        <x:v>0</x:v>
      </x:c>
      <x:c r="J33" s="16" t="n">
        <x:f>SUMIFS('עסקאות'!$M$2:$M$1958,'עסקאות'!$F$2:$F$1958,B33,'עסקאות'!$A$2:$A$1958,"&gt;="&amp;DATE(2026,1,1),'עסקאות'!$A$2:$A$1958,"&lt;"&amp;DATE(2027,1,1))</x:f>
        <x:v>5056</x:v>
      </x:c>
    </x:row>
    <x:row r="34">
      <x:c r="B34" s="11" t="str">
        <x:v>אלי</x:v>
      </x:c>
      <x:c r="C34" s="11" t="str">
        <x:v>קניות לבית</x:v>
      </x:c>
      <x:c r="D34" s="11" t="n">
        <x:v>59</x:v>
      </x:c>
      <x:c r="E34" s="11" t="n">
        <x:v>15</x:v>
      </x:c>
      <x:c r="F34" s="16" t="n">
        <x:f>SUMIFS('עסקאות'!$M$2:$M$1958,'עסקאות'!$F$2:$F$1958,B34)</x:f>
        <x:v>5036</x:v>
      </x:c>
      <x:c r="G34" s="16" t="n">
        <x:f>IF(D34=0,"",F34/D34)</x:f>
        <x:v>85.35593220338983</x:v>
      </x:c>
      <x:c r="H34" s="16" t="n">
        <x:f>F34/20</x:f>
        <x:v>251.8</x:v>
      </x:c>
      <x:c r="I34" s="16" t="n">
        <x:f>SUMIFS('עסקאות'!$M$2:$M$1958,'עסקאות'!$F$2:$F$1958,B34,'עסקאות'!$A$2:$A$1958,"&gt;="&amp;DATE(2025,1,1),'עסקאות'!$A$2:$A$1958,"&lt;"&amp;DATE(2026,1,1))</x:f>
        <x:v>1887</x:v>
      </x:c>
      <x:c r="J34" s="16" t="n">
        <x:f>SUMIFS('עסקאות'!$M$2:$M$1958,'עסקאות'!$F$2:$F$1958,B34,'עסקאות'!$A$2:$A$1958,"&gt;="&amp;DATE(2026,1,1),'עסקאות'!$A$2:$A$1958,"&lt;"&amp;DATE(2027,1,1))</x:f>
        <x:v>3149</x:v>
      </x:c>
    </x:row>
    <x:row r="35">
      <x:c r="B35" s="11" t="str">
        <x:v>צלם</x:v>
      </x:c>
      <x:c r="C35" s="11" t="str">
        <x:v>חתונה</x:v>
      </x:c>
      <x:c r="D35" s="11" t="n">
        <x:v>1</x:v>
      </x:c>
      <x:c r="E35" s="11" t="n">
        <x:v>1</x:v>
      </x:c>
      <x:c r="F35" s="16" t="n">
        <x:f>SUMIFS('עסקאות'!$M$2:$M$1958,'עסקאות'!$F$2:$F$1958,B35)</x:f>
        <x:v>5000</x:v>
      </x:c>
      <x:c r="G35" s="16" t="n">
        <x:f>IF(D35=0,"",F35/D35)</x:f>
        <x:v>5000</x:v>
      </x:c>
      <x:c r="H35" s="16" t="n">
        <x:f>F35/20</x:f>
        <x:v>250</x:v>
      </x:c>
      <x:c r="I35" s="16" t="n">
        <x:f>SUMIFS('עסקאות'!$M$2:$M$1958,'עסקאות'!$F$2:$F$1958,B35,'עסקאות'!$A$2:$A$1958,"&gt;="&amp;DATE(2025,1,1),'עסקאות'!$A$2:$A$1958,"&lt;"&amp;DATE(2026,1,1))</x:f>
        <x:v>5000</x:v>
      </x:c>
      <x:c r="J35" s="16" t="n">
        <x:f>SUMIFS('עסקאות'!$M$2:$M$1958,'עסקאות'!$F$2:$F$1958,B35,'עסקאות'!$A$2:$A$1958,"&gt;="&amp;DATE(2026,1,1),'עסקאות'!$A$2:$A$1958,"&lt;"&amp;DATE(2027,1,1))</x:f>
        <x:v>0</x:v>
      </x:c>
    </x:row>
    <x:row r="36">
      <x:c r="B36" s="11" t="str">
        <x:v>אימונים - יעל</x:v>
      </x:c>
      <x:c r="C36" s="11" t="str">
        <x:v>ספורט</x:v>
      </x:c>
      <x:c r="D36" s="11" t="n">
        <x:v>1</x:v>
      </x:c>
      <x:c r="E36" s="11" t="n">
        <x:v>1</x:v>
      </x:c>
      <x:c r="F36" s="16" t="n">
        <x:f>SUMIFS('עסקאות'!$M$2:$M$1958,'עסקאות'!$F$2:$F$1958,B36)</x:f>
        <x:v>4600</x:v>
      </x:c>
      <x:c r="G36" s="16" t="n">
        <x:f>IF(D36=0,"",F36/D36)</x:f>
        <x:v>4600</x:v>
      </x:c>
      <x:c r="H36" s="16" t="n">
        <x:f>F36/20</x:f>
        <x:v>230</x:v>
      </x:c>
      <x:c r="I36" s="16" t="n">
        <x:f>SUMIFS('עסקאות'!$M$2:$M$1958,'עסקאות'!$F$2:$F$1958,B36,'עסקאות'!$A$2:$A$1958,"&gt;="&amp;DATE(2025,1,1),'עסקאות'!$A$2:$A$1958,"&lt;"&amp;DATE(2026,1,1))</x:f>
        <x:v>4600</x:v>
      </x:c>
      <x:c r="J36" s="16" t="n">
        <x:f>SUMIFS('עסקאות'!$M$2:$M$1958,'עסקאות'!$F$2:$F$1958,B36,'עסקאות'!$A$2:$A$1958,"&gt;="&amp;DATE(2026,1,1),'עסקאות'!$A$2:$A$1958,"&lt;"&amp;DATE(2027,1,1))</x:f>
        <x:v>0</x:v>
      </x:c>
    </x:row>
    <x:row r="37">
      <x:c r="B37" s="11" t="str">
        <x:v>יעל- אימונים</x:v>
      </x:c>
      <x:c r="C37" s="11" t="str">
        <x:v>ספורט</x:v>
      </x:c>
      <x:c r="D37" s="11" t="n">
        <x:v>1</x:v>
      </x:c>
      <x:c r="E37" s="11" t="n">
        <x:v>1</x:v>
      </x:c>
      <x:c r="F37" s="16" t="n">
        <x:f>SUMIFS('עסקאות'!$M$2:$M$1958,'עסקאות'!$F$2:$F$1958,B37)</x:f>
        <x:v>4500</x:v>
      </x:c>
      <x:c r="G37" s="16" t="n">
        <x:f>IF(D37=0,"",F37/D37)</x:f>
        <x:v>4500</x:v>
      </x:c>
      <x:c r="H37" s="16" t="n">
        <x:f>F37/20</x:f>
        <x:v>225</x:v>
      </x:c>
      <x:c r="I37" s="16" t="n">
        <x:f>SUMIFS('עסקאות'!$M$2:$M$1958,'עסקאות'!$F$2:$F$1958,B37,'עסקאות'!$A$2:$A$1958,"&gt;="&amp;DATE(2025,1,1),'עסקאות'!$A$2:$A$1958,"&lt;"&amp;DATE(2026,1,1))</x:f>
        <x:v>4500</x:v>
      </x:c>
      <x:c r="J37" s="16" t="n">
        <x:f>SUMIFS('עסקאות'!$M$2:$M$1958,'עסקאות'!$F$2:$F$1958,B37,'עסקאות'!$A$2:$A$1958,"&gt;="&amp;DATE(2026,1,1),'עסקאות'!$A$2:$A$1958,"&lt;"&amp;DATE(2027,1,1))</x:f>
        <x:v>0</x:v>
      </x:c>
    </x:row>
    <x:row r="38">
      <x:c r="B38" s="11" t="str">
        <x:v>יעל</x:v>
      </x:c>
      <x:c r="C38" s="11" t="str">
        <x:v>ספורט</x:v>
      </x:c>
      <x:c r="D38" s="11" t="n">
        <x:v>1</x:v>
      </x:c>
      <x:c r="E38" s="11" t="n">
        <x:v>1</x:v>
      </x:c>
      <x:c r="F38" s="16" t="n">
        <x:f>SUMIFS('עסקאות'!$M$2:$M$1958,'עסקאות'!$F$2:$F$1958,B38)</x:f>
        <x:v>4500</x:v>
      </x:c>
      <x:c r="G38" s="16" t="n">
        <x:f>IF(D38=0,"",F38/D38)</x:f>
        <x:v>4500</x:v>
      </x:c>
      <x:c r="H38" s="16" t="n">
        <x:f>F38/20</x:f>
        <x:v>225</x:v>
      </x:c>
      <x:c r="I38" s="16" t="n">
        <x:f>SUMIFS('עסקאות'!$M$2:$M$1958,'עסקאות'!$F$2:$F$1958,B38,'עסקאות'!$A$2:$A$1958,"&gt;="&amp;DATE(2025,1,1),'עסקאות'!$A$2:$A$1958,"&lt;"&amp;DATE(2026,1,1))</x:f>
        <x:v>0</x:v>
      </x:c>
      <x:c r="J38" s="16" t="n">
        <x:f>SUMIFS('עסקאות'!$M$2:$M$1958,'עסקאות'!$F$2:$F$1958,B38,'עסקאות'!$A$2:$A$1958,"&gt;="&amp;DATE(2026,1,1),'עסקאות'!$A$2:$A$1958,"&lt;"&amp;DATE(2027,1,1))</x:f>
        <x:v>4500</x:v>
      </x:c>
    </x:row>
    <x:row r="39">
      <x:c r="B39" s="11" t="str">
        <x:v>ביטוח מקיף</x:v>
      </x:c>
      <x:c r="C39" s="11" t="str">
        <x:v>תחבורה</x:v>
      </x:c>
      <x:c r="D39" s="11" t="n">
        <x:v>2</x:v>
      </x:c>
      <x:c r="E39" s="11" t="n">
        <x:v>2</x:v>
      </x:c>
      <x:c r="F39" s="16" t="n">
        <x:f>SUMIFS('עסקאות'!$M$2:$M$1958,'עסקאות'!$F$2:$F$1958,B39)</x:f>
        <x:v>4259</x:v>
      </x:c>
      <x:c r="G39" s="16" t="n">
        <x:f>IF(D39=0,"",F39/D39)</x:f>
        <x:v>2129.5</x:v>
      </x:c>
      <x:c r="H39" s="16" t="n">
        <x:f>F39/20</x:f>
        <x:v>212.95</x:v>
      </x:c>
      <x:c r="I39" s="16" t="n">
        <x:f>SUMIFS('עסקאות'!$M$2:$M$1958,'עסקאות'!$F$2:$F$1958,B39,'עסקאות'!$A$2:$A$1958,"&gt;="&amp;DATE(2025,1,1),'עסקאות'!$A$2:$A$1958,"&lt;"&amp;DATE(2026,1,1))</x:f>
        <x:v>2683</x:v>
      </x:c>
      <x:c r="J39" s="16" t="n">
        <x:f>SUMIFS('עסקאות'!$M$2:$M$1958,'עסקאות'!$F$2:$F$1958,B39,'עסקאות'!$A$2:$A$1958,"&gt;="&amp;DATE(2026,1,1),'עסקאות'!$A$2:$A$1958,"&lt;"&amp;DATE(2027,1,1))</x:f>
        <x:v>1576</x:v>
      </x:c>
    </x:row>
    <x:row r="40">
      <x:c r="B40" s="11" t="str">
        <x:v>הוטלס יפן</x:v>
      </x:c>
      <x:c r="C40" s="11" t="str">
        <x:v>נסיעות וחופשות</x:v>
      </x:c>
      <x:c r="D40" s="11" t="n">
        <x:v>3</x:v>
      </x:c>
      <x:c r="E40" s="11" t="n">
        <x:v>1</x:v>
      </x:c>
      <x:c r="F40" s="16" t="n">
        <x:f>SUMIFS('עסקאות'!$M$2:$M$1958,'עסקאות'!$F$2:$F$1958,B40)</x:f>
        <x:v>4241</x:v>
      </x:c>
      <x:c r="G40" s="16" t="n">
        <x:f>IF(D40=0,"",F40/D40)</x:f>
        <x:v>1413.6666666666667</x:v>
      </x:c>
      <x:c r="H40" s="16" t="n">
        <x:f>F40/20</x:f>
        <x:v>212.05</x:v>
      </x:c>
      <x:c r="I40" s="16" t="n">
        <x:f>SUMIFS('עסקאות'!$M$2:$M$1958,'עסקאות'!$F$2:$F$1958,B40,'עסקאות'!$A$2:$A$1958,"&gt;="&amp;DATE(2025,1,1),'עסקאות'!$A$2:$A$1958,"&lt;"&amp;DATE(2026,1,1))</x:f>
        <x:v>4241</x:v>
      </x:c>
      <x:c r="J40" s="16" t="n">
        <x:f>SUMIFS('עסקאות'!$M$2:$M$1958,'עסקאות'!$F$2:$F$1958,B40,'עסקאות'!$A$2:$A$1958,"&gt;="&amp;DATE(2026,1,1),'עסקאות'!$A$2:$A$1958,"&lt;"&amp;DATE(2027,1,1))</x:f>
        <x:v>0</x:v>
      </x:c>
    </x:row>
    <x:row r="41">
      <x:c r="B41" s="11" t="str">
        <x:v>ספה</x:v>
      </x:c>
      <x:c r="C41" s="11" t="str">
        <x:v>קניות לבית</x:v>
      </x:c>
      <x:c r="D41" s="11" t="n">
        <x:v>1</x:v>
      </x:c>
      <x:c r="E41" s="11" t="n">
        <x:v>1</x:v>
      </x:c>
      <x:c r="F41" s="16" t="n">
        <x:f>SUMIFS('עסקאות'!$M$2:$M$1958,'עסקאות'!$F$2:$F$1958,B41)</x:f>
        <x:v>3900</x:v>
      </x:c>
      <x:c r="G41" s="16" t="n">
        <x:f>IF(D41=0,"",F41/D41)</x:f>
        <x:v>3900</x:v>
      </x:c>
      <x:c r="H41" s="16" t="n">
        <x:f>F41/20</x:f>
        <x:v>195</x:v>
      </x:c>
      <x:c r="I41" s="16" t="n">
        <x:f>SUMIFS('עסקאות'!$M$2:$M$1958,'עסקאות'!$F$2:$F$1958,B41,'עסקאות'!$A$2:$A$1958,"&gt;="&amp;DATE(2025,1,1),'עסקאות'!$A$2:$A$1958,"&lt;"&amp;DATE(2026,1,1))</x:f>
        <x:v>3900</x:v>
      </x:c>
      <x:c r="J41" s="16" t="n">
        <x:f>SUMIFS('עסקאות'!$M$2:$M$1958,'עסקאות'!$F$2:$F$1958,B41,'עסקאות'!$A$2:$A$1958,"&gt;="&amp;DATE(2026,1,1),'עסקאות'!$A$2:$A$1958,"&lt;"&amp;DATE(2027,1,1))</x:f>
        <x:v>0</x:v>
      </x:c>
    </x:row>
    <x:row r="42">
      <x:c r="B42" s="11" t="str">
        <x:v>אוכל</x:v>
      </x:c>
      <x:c r="C42" s="11" t="str">
        <x:v>אוכל בחוץ</x:v>
      </x:c>
      <x:c r="D42" s="11" t="n">
        <x:v>49</x:v>
      </x:c>
      <x:c r="E42" s="11" t="n">
        <x:v>9</x:v>
      </x:c>
      <x:c r="F42" s="16" t="n">
        <x:f>SUMIFS('עסקאות'!$M$2:$M$1958,'עסקאות'!$F$2:$F$1958,B42)</x:f>
        <x:v>3847</x:v>
      </x:c>
      <x:c r="G42" s="16" t="n">
        <x:f>IF(D42=0,"",F42/D42)</x:f>
        <x:v>78.51020408163265</x:v>
      </x:c>
      <x:c r="H42" s="16" t="n">
        <x:f>F42/20</x:f>
        <x:v>192.35</x:v>
      </x:c>
      <x:c r="I42" s="16" t="n">
        <x:f>SUMIFS('עסקאות'!$M$2:$M$1958,'עסקאות'!$F$2:$F$1958,B42,'עסקאות'!$A$2:$A$1958,"&gt;="&amp;DATE(2025,1,1),'עסקאות'!$A$2:$A$1958,"&lt;"&amp;DATE(2026,1,1))</x:f>
        <x:v>3205</x:v>
      </x:c>
      <x:c r="J42" s="16" t="n">
        <x:f>SUMIFS('עסקאות'!$M$2:$M$1958,'עסקאות'!$F$2:$F$1958,B42,'עסקאות'!$A$2:$A$1958,"&gt;="&amp;DATE(2026,1,1),'עסקאות'!$A$2:$A$1958,"&lt;"&amp;DATE(2027,1,1))</x:f>
        <x:v>642</x:v>
      </x:c>
    </x:row>
    <x:row r="43">
      <x:c r="B43" s="11" t="str">
        <x:v>ועד בית</x:v>
      </x:c>
      <x:c r="C43" s="11" t="str">
        <x:v>דיור – בית מגורים</x:v>
      </x:c>
      <x:c r="D43" s="11" t="n">
        <x:v>6</x:v>
      </x:c>
      <x:c r="E43" s="11" t="n">
        <x:v>6</x:v>
      </x:c>
      <x:c r="F43" s="16" t="n">
        <x:f>SUMIFS('עסקאות'!$M$2:$M$1958,'עסקאות'!$F$2:$F$1958,B43)</x:f>
        <x:v>3600</x:v>
      </x:c>
      <x:c r="G43" s="16" t="n">
        <x:f>IF(D43=0,"",F43/D43)</x:f>
        <x:v>600</x:v>
      </x:c>
      <x:c r="H43" s="16" t="n">
        <x:f>F43/20</x:f>
        <x:v>180</x:v>
      </x:c>
      <x:c r="I43" s="16" t="n">
        <x:f>SUMIFS('עסקאות'!$M$2:$M$1958,'עסקאות'!$F$2:$F$1958,B43,'עסקאות'!$A$2:$A$1958,"&gt;="&amp;DATE(2025,1,1),'עסקאות'!$A$2:$A$1958,"&lt;"&amp;DATE(2026,1,1))</x:f>
        <x:v>1800</x:v>
      </x:c>
      <x:c r="J43" s="16" t="n">
        <x:f>SUMIFS('עסקאות'!$M$2:$M$1958,'עסקאות'!$F$2:$F$1958,B43,'עסקאות'!$A$2:$A$1958,"&gt;="&amp;DATE(2026,1,1),'עסקאות'!$A$2:$A$1958,"&lt;"&amp;DATE(2027,1,1))</x:f>
        <x:v>1800</x:v>
      </x:c>
    </x:row>
    <x:row r="44">
      <x:c r="B44" s="11" t="str">
        <x:v>לונדון</x:v>
      </x:c>
      <x:c r="C44" s="11" t="str">
        <x:v>נסיעות וחופשות</x:v>
      </x:c>
      <x:c r="D44" s="11" t="n">
        <x:v>1</x:v>
      </x:c>
      <x:c r="E44" s="11" t="n">
        <x:v>1</x:v>
      </x:c>
      <x:c r="F44" s="16" t="n">
        <x:f>SUMIFS('עסקאות'!$M$2:$M$1958,'עסקאות'!$F$2:$F$1958,B44)</x:f>
        <x:v>3564</x:v>
      </x:c>
      <x:c r="G44" s="16" t="n">
        <x:f>IF(D44=0,"",F44/D44)</x:f>
        <x:v>3564</x:v>
      </x:c>
      <x:c r="H44" s="16" t="n">
        <x:f>F44/20</x:f>
        <x:v>178.2</x:v>
      </x:c>
      <x:c r="I44" s="16" t="n">
        <x:f>SUMIFS('עסקאות'!$M$2:$M$1958,'עסקאות'!$F$2:$F$1958,B44,'עסקאות'!$A$2:$A$1958,"&gt;="&amp;DATE(2025,1,1),'עסקאות'!$A$2:$A$1958,"&lt;"&amp;DATE(2026,1,1))</x:f>
        <x:v>3564</x:v>
      </x:c>
      <x:c r="J44" s="16" t="n">
        <x:f>SUMIFS('עסקאות'!$M$2:$M$1958,'עסקאות'!$F$2:$F$1958,B44,'עסקאות'!$A$2:$A$1958,"&gt;="&amp;DATE(2026,1,1),'עסקאות'!$A$2:$A$1958,"&lt;"&amp;DATE(2027,1,1))</x:f>
        <x:v>0</x:v>
      </x:c>
    </x:row>
    <x:row r="45">
      <x:c r="B45" s="11" t="str">
        <x:v>מזומן ליפן</x:v>
      </x:c>
      <x:c r="C45" s="11" t="str">
        <x:v>נסיעות וחופשות</x:v>
      </x:c>
      <x:c r="D45" s="11" t="n">
        <x:v>1</x:v>
      </x:c>
      <x:c r="E45" s="11" t="n">
        <x:v>1</x:v>
      </x:c>
      <x:c r="F45" s="16" t="n">
        <x:f>SUMIFS('עסקאות'!$M$2:$M$1958,'עסקאות'!$F$2:$F$1958,B45)</x:f>
        <x:v>3264</x:v>
      </x:c>
      <x:c r="G45" s="16" t="n">
        <x:f>IF(D45=0,"",F45/D45)</x:f>
        <x:v>3264</x:v>
      </x:c>
      <x:c r="H45" s="16" t="n">
        <x:f>F45/20</x:f>
        <x:v>163.2</x:v>
      </x:c>
      <x:c r="I45" s="16" t="n">
        <x:f>SUMIFS('עסקאות'!$M$2:$M$1958,'עסקאות'!$F$2:$F$1958,B45,'עסקאות'!$A$2:$A$1958,"&gt;="&amp;DATE(2025,1,1),'עסקאות'!$A$2:$A$1958,"&lt;"&amp;DATE(2026,1,1))</x:f>
        <x:v>3264</x:v>
      </x:c>
      <x:c r="J45" s="16" t="n">
        <x:f>SUMIFS('עסקאות'!$M$2:$M$1958,'עסקאות'!$F$2:$F$1958,B45,'עסקאות'!$A$2:$A$1958,"&gt;="&amp;DATE(2026,1,1),'עסקאות'!$A$2:$A$1958,"&lt;"&amp;DATE(2027,1,1))</x:f>
        <x:v>0</x:v>
      </x:c>
    </x:row>
    <x:row r="46">
      <x:c r="B46" s="11" t="str">
        <x:v>חלבון</x:v>
      </x:c>
      <x:c r="C46" s="11" t="str">
        <x:v>מזון לבית</x:v>
      </x:c>
      <x:c r="D46" s="11" t="n">
        <x:v>8</x:v>
      </x:c>
      <x:c r="E46" s="11" t="n">
        <x:v>8</x:v>
      </x:c>
      <x:c r="F46" s="16" t="n">
        <x:f>SUMIFS('עסקאות'!$M$2:$M$1958,'עסקאות'!$F$2:$F$1958,B46)</x:f>
        <x:v>3033</x:v>
      </x:c>
      <x:c r="G46" s="16" t="n">
        <x:f>IF(D46=0,"",F46/D46)</x:f>
        <x:v>379.125</x:v>
      </x:c>
      <x:c r="H46" s="16" t="n">
        <x:f>F46/20</x:f>
        <x:v>151.65</x:v>
      </x:c>
      <x:c r="I46" s="16" t="n">
        <x:f>SUMIFS('עסקאות'!$M$2:$M$1958,'עסקאות'!$F$2:$F$1958,B46,'עסקאות'!$A$2:$A$1958,"&gt;="&amp;DATE(2025,1,1),'עסקאות'!$A$2:$A$1958,"&lt;"&amp;DATE(2026,1,1))</x:f>
        <x:v>1995</x:v>
      </x:c>
      <x:c r="J46" s="16" t="n">
        <x:f>SUMIFS('עסקאות'!$M$2:$M$1958,'עסקאות'!$F$2:$F$1958,B46,'עסקאות'!$A$2:$A$1958,"&gt;="&amp;DATE(2026,1,1),'עסקאות'!$A$2:$A$1958,"&lt;"&amp;DATE(2027,1,1))</x:f>
        <x:v>1038</x:v>
      </x:c>
    </x:row>
    <x:row r="47">
      <x:c r="B47" s="11" t="str">
        <x:v>ריטריט מיניות</x:v>
      </x:c>
      <x:c r="C47" s="11" t="str">
        <x:v>פנאי</x:v>
      </x:c>
      <x:c r="D47" s="11" t="n">
        <x:v>1</x:v>
      </x:c>
      <x:c r="E47" s="11" t="n">
        <x:v>1</x:v>
      </x:c>
      <x:c r="F47" s="16" t="n">
        <x:f>SUMIFS('עסקאות'!$M$2:$M$1958,'עסקאות'!$F$2:$F$1958,B47)</x:f>
        <x:v>2999</x:v>
      </x:c>
      <x:c r="G47" s="16" t="n">
        <x:f>IF(D47=0,"",F47/D47)</x:f>
        <x:v>2999</x:v>
      </x:c>
      <x:c r="H47" s="16" t="n">
        <x:f>F47/20</x:f>
        <x:v>149.95</x:v>
      </x:c>
      <x:c r="I47" s="16" t="n">
        <x:f>SUMIFS('עסקאות'!$M$2:$M$1958,'עסקאות'!$F$2:$F$1958,B47,'עסקאות'!$A$2:$A$1958,"&gt;="&amp;DATE(2025,1,1),'עסקאות'!$A$2:$A$1958,"&lt;"&amp;DATE(2026,1,1))</x:f>
        <x:v>2999</x:v>
      </x:c>
      <x:c r="J47" s="16" t="n">
        <x:f>SUMIFS('עסקאות'!$M$2:$M$1958,'עסקאות'!$F$2:$F$1958,B47,'עסקאות'!$A$2:$A$1958,"&gt;="&amp;DATE(2026,1,1),'עסקאות'!$A$2:$A$1958,"&lt;"&amp;DATE(2027,1,1))</x:f>
        <x:v>0</x:v>
      </x:c>
    </x:row>
    <x:row r="48">
      <x:c r="B48" s="11" t="str">
        <x:v>טיסה לאוסקה</x:v>
      </x:c>
      <x:c r="C48" s="11" t="str">
        <x:v>נסיעות וחופשות</x:v>
      </x:c>
      <x:c r="D48" s="11" t="n">
        <x:v>1</x:v>
      </x:c>
      <x:c r="E48" s="11" t="n">
        <x:v>1</x:v>
      </x:c>
      <x:c r="F48" s="16" t="n">
        <x:f>SUMIFS('עסקאות'!$M$2:$M$1958,'עסקאות'!$F$2:$F$1958,B48)</x:f>
        <x:v>2994</x:v>
      </x:c>
      <x:c r="G48" s="16" t="n">
        <x:f>IF(D48=0,"",F48/D48)</x:f>
        <x:v>2994</x:v>
      </x:c>
      <x:c r="H48" s="16" t="n">
        <x:f>F48/20</x:f>
        <x:v>149.7</x:v>
      </x:c>
      <x:c r="I48" s="16" t="n">
        <x:f>SUMIFS('עסקאות'!$M$2:$M$1958,'עסקאות'!$F$2:$F$1958,B48,'עסקאות'!$A$2:$A$1958,"&gt;="&amp;DATE(2025,1,1),'עסקאות'!$A$2:$A$1958,"&lt;"&amp;DATE(2026,1,1))</x:f>
        <x:v>2994</x:v>
      </x:c>
      <x:c r="J48" s="16" t="n">
        <x:f>SUMIFS('עסקאות'!$M$2:$M$1958,'עסקאות'!$F$2:$F$1958,B48,'עסקאות'!$A$2:$A$1958,"&gt;="&amp;DATE(2026,1,1),'עסקאות'!$A$2:$A$1958,"&lt;"&amp;DATE(2027,1,1))</x:f>
        <x:v>0</x:v>
      </x:c>
    </x:row>
    <x:row r="49">
      <x:c r="B49" s="11" t="str">
        <x:v>סיישל כרטיס זיו</x:v>
      </x:c>
      <x:c r="C49" s="11" t="str">
        <x:v>חתונה</x:v>
      </x:c>
      <x:c r="D49" s="11" t="n">
        <x:v>1</x:v>
      </x:c>
      <x:c r="E49" s="11" t="n">
        <x:v>1</x:v>
      </x:c>
      <x:c r="F49" s="16" t="n">
        <x:f>SUMIFS('עסקאות'!$M$2:$M$1958,'עסקאות'!$F$2:$F$1958,B49)</x:f>
        <x:v>2941</x:v>
      </x:c>
      <x:c r="G49" s="16" t="n">
        <x:f>IF(D49=0,"",F49/D49)</x:f>
        <x:v>2941</x:v>
      </x:c>
      <x:c r="H49" s="16" t="n">
        <x:f>F49/20</x:f>
        <x:v>147.05</x:v>
      </x:c>
      <x:c r="I49" s="16" t="n">
        <x:f>SUMIFS('עסקאות'!$M$2:$M$1958,'עסקאות'!$F$2:$F$1958,B49,'עסקאות'!$A$2:$A$1958,"&gt;="&amp;DATE(2025,1,1),'עסקאות'!$A$2:$A$1958,"&lt;"&amp;DATE(2026,1,1))</x:f>
        <x:v>2941</x:v>
      </x:c>
      <x:c r="J49" s="16" t="n">
        <x:f>SUMIFS('עסקאות'!$M$2:$M$1958,'עסקאות'!$F$2:$F$1958,B49,'עסקאות'!$A$2:$A$1958,"&gt;="&amp;DATE(2026,1,1),'עסקאות'!$A$2:$A$1958,"&lt;"&amp;DATE(2027,1,1))</x:f>
        <x:v>0</x:v>
      </x:c>
    </x:row>
    <x:row r="50">
      <x:c r="B50" s="11" t="str">
        <x:v>בניין כצלנסון</x:v>
      </x:c>
      <x:c r="C50" s="11" t="str">
        <x:v>נכס להשקעה</x:v>
      </x:c>
      <x:c r="D50" s="11" t="n">
        <x:v>1</x:v>
      </x:c>
      <x:c r="E50" s="11" t="n">
        <x:v>1</x:v>
      </x:c>
      <x:c r="F50" s="16" t="n">
        <x:f>SUMIFS('עסקאות'!$M$2:$M$1958,'עסקאות'!$F$2:$F$1958,B50)</x:f>
        <x:v>2900</x:v>
      </x:c>
      <x:c r="G50" s="16" t="n">
        <x:f>IF(D50=0,"",F50/D50)</x:f>
        <x:v>2900</x:v>
      </x:c>
      <x:c r="H50" s="16" t="n">
        <x:f>F50/20</x:f>
        <x:v>145</x:v>
      </x:c>
      <x:c r="I50" s="16" t="n">
        <x:f>SUMIFS('עסקאות'!$M$2:$M$1958,'עסקאות'!$F$2:$F$1958,B50,'עסקאות'!$A$2:$A$1958,"&gt;="&amp;DATE(2025,1,1),'עסקאות'!$A$2:$A$1958,"&lt;"&amp;DATE(2026,1,1))</x:f>
        <x:v>0</x:v>
      </x:c>
      <x:c r="J50" s="16" t="n">
        <x:f>SUMIFS('עסקאות'!$M$2:$M$1958,'עסקאות'!$F$2:$F$1958,B50,'עסקאות'!$A$2:$A$1958,"&gt;="&amp;DATE(2026,1,1),'עסקאות'!$A$2:$A$1958,"&lt;"&amp;DATE(2027,1,1))</x:f>
        <x:v>2900</x:v>
      </x:c>
    </x:row>
    <x:row r="51">
      <x:c r="B51" s="11" t="str">
        <x:v>ברצלונה</x:v>
      </x:c>
      <x:c r="C51" s="11" t="str">
        <x:v>נסיעות וחופשות</x:v>
      </x:c>
      <x:c r="D51" s="11" t="n">
        <x:v>1</x:v>
      </x:c>
      <x:c r="E51" s="11" t="n">
        <x:v>1</x:v>
      </x:c>
      <x:c r="F51" s="16" t="n">
        <x:f>SUMIFS('עסקאות'!$M$2:$M$1958,'עסקאות'!$F$2:$F$1958,B51)</x:f>
        <x:v>2799</x:v>
      </x:c>
      <x:c r="G51" s="16" t="n">
        <x:f>IF(D51=0,"",F51/D51)</x:f>
        <x:v>2799</x:v>
      </x:c>
      <x:c r="H51" s="16" t="n">
        <x:f>F51/20</x:f>
        <x:v>139.95</x:v>
      </x:c>
      <x:c r="I51" s="16" t="n">
        <x:f>SUMIFS('עסקאות'!$M$2:$M$1958,'עסקאות'!$F$2:$F$1958,B51,'עסקאות'!$A$2:$A$1958,"&gt;="&amp;DATE(2025,1,1),'עסקאות'!$A$2:$A$1958,"&lt;"&amp;DATE(2026,1,1))</x:f>
        <x:v>2799</x:v>
      </x:c>
      <x:c r="J51" s="16" t="n">
        <x:f>SUMIFS('עסקאות'!$M$2:$M$1958,'עסקאות'!$F$2:$F$1958,B51,'עסקאות'!$A$2:$A$1958,"&gt;="&amp;DATE(2026,1,1),'עסקאות'!$A$2:$A$1958,"&lt;"&amp;DATE(2027,1,1))</x:f>
        <x:v>0</x:v>
      </x:c>
    </x:row>
    <x:row r="52">
      <x:c r="B52" s="11" t="str">
        <x:v>טבעות</x:v>
      </x:c>
      <x:c r="C52" s="11" t="str">
        <x:v>חתונה</x:v>
      </x:c>
      <x:c r="D52" s="11" t="n">
        <x:v>3</x:v>
      </x:c>
      <x:c r="E52" s="11" t="n">
        <x:v>2</x:v>
      </x:c>
      <x:c r="F52" s="16" t="n">
        <x:f>SUMIFS('עסקאות'!$M$2:$M$1958,'עסקאות'!$F$2:$F$1958,B52)</x:f>
        <x:v>2640</x:v>
      </x:c>
      <x:c r="G52" s="16" t="n">
        <x:f>IF(D52=0,"",F52/D52)</x:f>
        <x:v>880</x:v>
      </x:c>
      <x:c r="H52" s="16" t="n">
        <x:f>F52/20</x:f>
        <x:v>132</x:v>
      </x:c>
      <x:c r="I52" s="16" t="n">
        <x:f>SUMIFS('עסקאות'!$M$2:$M$1958,'עסקאות'!$F$2:$F$1958,B52,'עסקאות'!$A$2:$A$1958,"&gt;="&amp;DATE(2025,1,1),'עסקאות'!$A$2:$A$1958,"&lt;"&amp;DATE(2026,1,1))</x:f>
        <x:v>2640</x:v>
      </x:c>
      <x:c r="J52" s="16" t="n">
        <x:f>SUMIFS('עסקאות'!$M$2:$M$1958,'עסקאות'!$F$2:$F$1958,B52,'עסקאות'!$A$2:$A$1958,"&gt;="&amp;DATE(2026,1,1),'עסקאות'!$A$2:$A$1958,"&lt;"&amp;DATE(2027,1,1))</x:f>
        <x:v>0</x:v>
      </x:c>
    </x:row>
    <x:row r="53">
      <x:c r="B53" s="11" t="str">
        <x:v>הוויה</x:v>
      </x:c>
      <x:c r="C53" s="11" t="str">
        <x:v>חתונה</x:v>
      </x:c>
      <x:c r="D53" s="11" t="n">
        <x:v>1</x:v>
      </x:c>
      <x:c r="E53" s="11" t="n">
        <x:v>1</x:v>
      </x:c>
      <x:c r="F53" s="16" t="n">
        <x:f>SUMIFS('עסקאות'!$M$2:$M$1958,'עסקאות'!$F$2:$F$1958,B53)</x:f>
        <x:v>2625</x:v>
      </x:c>
      <x:c r="G53" s="16" t="n">
        <x:f>IF(D53=0,"",F53/D53)</x:f>
        <x:v>2625</x:v>
      </x:c>
      <x:c r="H53" s="16" t="n">
        <x:f>F53/20</x:f>
        <x:v>131.25</x:v>
      </x:c>
      <x:c r="I53" s="16" t="n">
        <x:f>SUMIFS('עסקאות'!$M$2:$M$1958,'עסקאות'!$F$2:$F$1958,B53,'עסקאות'!$A$2:$A$1958,"&gt;="&amp;DATE(2025,1,1),'עסקאות'!$A$2:$A$1958,"&lt;"&amp;DATE(2026,1,1))</x:f>
        <x:v>2625</x:v>
      </x:c>
      <x:c r="J53" s="16" t="n">
        <x:f>SUMIFS('עסקאות'!$M$2:$M$1958,'עסקאות'!$F$2:$F$1958,B53,'עסקאות'!$A$2:$A$1958,"&gt;="&amp;DATE(2026,1,1),'עסקאות'!$A$2:$A$1958,"&lt;"&amp;DATE(2027,1,1))</x:f>
        <x:v>0</x:v>
      </x:c>
    </x:row>
    <x:row r="54">
      <x:c r="B54" s="11" t="str">
        <x:v>מאפרת</x:v>
      </x:c>
      <x:c r="C54" s="11" t="str">
        <x:v>חתונה</x:v>
      </x:c>
      <x:c r="D54" s="11" t="n">
        <x:v>1</x:v>
      </x:c>
      <x:c r="E54" s="11" t="n">
        <x:v>1</x:v>
      </x:c>
      <x:c r="F54" s="16" t="n">
        <x:f>SUMIFS('עסקאות'!$M$2:$M$1958,'עסקאות'!$F$2:$F$1958,B54)</x:f>
        <x:v>2530</x:v>
      </x:c>
      <x:c r="G54" s="16" t="n">
        <x:f>IF(D54=0,"",F54/D54)</x:f>
        <x:v>2530</x:v>
      </x:c>
      <x:c r="H54" s="16" t="n">
        <x:f>F54/20</x:f>
        <x:v>126.5</x:v>
      </x:c>
      <x:c r="I54" s="16" t="n">
        <x:f>SUMIFS('עסקאות'!$M$2:$M$1958,'עסקאות'!$F$2:$F$1958,B54,'עסקאות'!$A$2:$A$1958,"&gt;="&amp;DATE(2025,1,1),'עסקאות'!$A$2:$A$1958,"&lt;"&amp;DATE(2026,1,1))</x:f>
        <x:v>2530</x:v>
      </x:c>
      <x:c r="J54" s="16" t="n">
        <x:f>SUMIFS('עסקאות'!$M$2:$M$1958,'עסקאות'!$F$2:$F$1958,B54,'עסקאות'!$A$2:$A$1958,"&gt;="&amp;DATE(2026,1,1),'עסקאות'!$A$2:$A$1958,"&lt;"&amp;DATE(2027,1,1))</x:f>
        <x:v>0</x:v>
      </x:c>
    </x:row>
    <x:row r="55">
      <x:c r="B55" s="11" t="str">
        <x:v>שמלת כלה (ביט)</x:v>
      </x:c>
      <x:c r="C55" s="11" t="str">
        <x:v>חתונה</x:v>
      </x:c>
      <x:c r="D55" s="11" t="n">
        <x:v>1</x:v>
      </x:c>
      <x:c r="E55" s="11" t="n">
        <x:v>1</x:v>
      </x:c>
      <x:c r="F55" s="16" t="n">
        <x:f>SUMIFS('עסקאות'!$M$2:$M$1958,'עסקאות'!$F$2:$F$1958,B55)</x:f>
        <x:v>2500</x:v>
      </x:c>
      <x:c r="G55" s="16" t="n">
        <x:f>IF(D55=0,"",F55/D55)</x:f>
        <x:v>2500</x:v>
      </x:c>
      <x:c r="H55" s="16" t="n">
        <x:f>F55/20</x:f>
        <x:v>125</x:v>
      </x:c>
      <x:c r="I55" s="16" t="n">
        <x:f>SUMIFS('עסקאות'!$M$2:$M$1958,'עסקאות'!$F$2:$F$1958,B55,'עסקאות'!$A$2:$A$1958,"&gt;="&amp;DATE(2025,1,1),'עסקאות'!$A$2:$A$1958,"&lt;"&amp;DATE(2026,1,1))</x:f>
        <x:v>2500</x:v>
      </x:c>
      <x:c r="J55" s="16" t="n">
        <x:f>SUMIFS('עסקאות'!$M$2:$M$1958,'עסקאות'!$F$2:$F$1958,B55,'עסקאות'!$A$2:$A$1958,"&gt;="&amp;DATE(2026,1,1),'עסקאות'!$A$2:$A$1958,"&lt;"&amp;DATE(2027,1,1))</x:f>
        <x:v>0</x:v>
      </x:c>
    </x:row>
    <x:row r="56">
      <x:c r="B56" s="11" t="str">
        <x:v>מכבי</x:v>
      </x:c>
      <x:c r="C56" s="11" t="str">
        <x:v>בריאות וטיפולים</x:v>
      </x:c>
      <x:c r="D56" s="11" t="n">
        <x:v>25</x:v>
      </x:c>
      <x:c r="E56" s="11" t="n">
        <x:v>13</x:v>
      </x:c>
      <x:c r="F56" s="16" t="n">
        <x:f>SUMIFS('עסקאות'!$M$2:$M$1958,'עסקאות'!$F$2:$F$1958,B56)</x:f>
        <x:v>2278</x:v>
      </x:c>
      <x:c r="G56" s="16" t="n">
        <x:f>IF(D56=0,"",F56/D56)</x:f>
        <x:v>91.12</x:v>
      </x:c>
      <x:c r="H56" s="16" t="n">
        <x:f>F56/20</x:f>
        <x:v>113.9</x:v>
      </x:c>
      <x:c r="I56" s="16" t="n">
        <x:f>SUMIFS('עסקאות'!$M$2:$M$1958,'עסקאות'!$F$2:$F$1958,B56,'עסקאות'!$A$2:$A$1958,"&gt;="&amp;DATE(2025,1,1),'עסקאות'!$A$2:$A$1958,"&lt;"&amp;DATE(2026,1,1))</x:f>
        <x:v>2126</x:v>
      </x:c>
      <x:c r="J56" s="16" t="n">
        <x:f>SUMIFS('עסקאות'!$M$2:$M$1958,'עסקאות'!$F$2:$F$1958,B56,'עסקאות'!$A$2:$A$1958,"&gt;="&amp;DATE(2026,1,1),'עסקאות'!$A$2:$A$1958,"&lt;"&amp;DATE(2027,1,1))</x:f>
        <x:v>152</x:v>
      </x:c>
    </x:row>
    <x:row r="57">
      <x:c r="B57" s="11" t="str">
        <x:v>מדיח</x:v>
      </x:c>
      <x:c r="C57" s="11" t="str">
        <x:v>קניות לבית</x:v>
      </x:c>
      <x:c r="D57" s="11" t="n">
        <x:v>1</x:v>
      </x:c>
      <x:c r="E57" s="11" t="n">
        <x:v>1</x:v>
      </x:c>
      <x:c r="F57" s="16" t="n">
        <x:f>SUMIFS('עסקאות'!$M$2:$M$1958,'עסקאות'!$F$2:$F$1958,B57)</x:f>
        <x:v>2190</x:v>
      </x:c>
      <x:c r="G57" s="16" t="n">
        <x:f>IF(D57=0,"",F57/D57)</x:f>
        <x:v>2190</x:v>
      </x:c>
      <x:c r="H57" s="16" t="n">
        <x:f>F57/20</x:f>
        <x:v>109.5</x:v>
      </x:c>
      <x:c r="I57" s="16" t="n">
        <x:f>SUMIFS('עסקאות'!$M$2:$M$1958,'עסקאות'!$F$2:$F$1958,B57,'עסקאות'!$A$2:$A$1958,"&gt;="&amp;DATE(2025,1,1),'עסקאות'!$A$2:$A$1958,"&lt;"&amp;DATE(2026,1,1))</x:f>
        <x:v>2190</x:v>
      </x:c>
      <x:c r="J57" s="16" t="n">
        <x:f>SUMIFS('עסקאות'!$M$2:$M$1958,'עסקאות'!$F$2:$F$1958,B57,'עסקאות'!$A$2:$A$1958,"&gt;="&amp;DATE(2026,1,1),'עסקאות'!$A$2:$A$1958,"&lt;"&amp;DATE(2027,1,1))</x:f>
        <x:v>0</x:v>
      </x:c>
    </x:row>
    <x:row r="58">
      <x:c r="B58" s="11" t="str">
        <x:v>טלפון זיו</x:v>
      </x:c>
      <x:c r="C58" s="11" t="str">
        <x:v>אלקטרוניקה</x:v>
      </x:c>
      <x:c r="D58" s="11" t="n">
        <x:v>1</x:v>
      </x:c>
      <x:c r="E58" s="11" t="n">
        <x:v>1</x:v>
      </x:c>
      <x:c r="F58" s="16" t="n">
        <x:f>SUMIFS('עסקאות'!$M$2:$M$1958,'עסקאות'!$F$2:$F$1958,B58)</x:f>
        <x:v>2178</x:v>
      </x:c>
      <x:c r="G58" s="16" t="n">
        <x:f>IF(D58=0,"",F58/D58)</x:f>
        <x:v>2178</x:v>
      </x:c>
      <x:c r="H58" s="16" t="n">
        <x:f>F58/20</x:f>
        <x:v>108.9</x:v>
      </x:c>
      <x:c r="I58" s="16" t="n">
        <x:f>SUMIFS('עסקאות'!$M$2:$M$1958,'עסקאות'!$F$2:$F$1958,B58,'עסקאות'!$A$2:$A$1958,"&gt;="&amp;DATE(2025,1,1),'עסקאות'!$A$2:$A$1958,"&lt;"&amp;DATE(2026,1,1))</x:f>
        <x:v>2178</x:v>
      </x:c>
      <x:c r="J58" s="16" t="n">
        <x:f>SUMIFS('עסקאות'!$M$2:$M$1958,'עסקאות'!$F$2:$F$1958,B58,'עסקאות'!$A$2:$A$1958,"&gt;="&amp;DATE(2026,1,1),'עסקאות'!$A$2:$A$1958,"&lt;"&amp;DATE(2027,1,1))</x:f>
        <x:v>0</x:v>
      </x:c>
    </x:row>
    <x:row r="59">
      <x:c r="B59" s="11" t="str">
        <x:v>טיסה לבוקרסט</x:v>
      </x:c>
      <x:c r="C59" s="11" t="str">
        <x:v>נסיעות וחופשות</x:v>
      </x:c>
      <x:c r="D59" s="11" t="n">
        <x:v>1</x:v>
      </x:c>
      <x:c r="E59" s="11" t="n">
        <x:v>1</x:v>
      </x:c>
      <x:c r="F59" s="16" t="n">
        <x:f>SUMIFS('עסקאות'!$M$2:$M$1958,'עסקאות'!$F$2:$F$1958,B59)</x:f>
        <x:v>2120</x:v>
      </x:c>
      <x:c r="G59" s="16" t="n">
        <x:f>IF(D59=0,"",F59/D59)</x:f>
        <x:v>2120</x:v>
      </x:c>
      <x:c r="H59" s="16" t="n">
        <x:f>F59/20</x:f>
        <x:v>106</x:v>
      </x:c>
      <x:c r="I59" s="16" t="n">
        <x:f>SUMIFS('עסקאות'!$M$2:$M$1958,'עסקאות'!$F$2:$F$1958,B59,'עסקאות'!$A$2:$A$1958,"&gt;="&amp;DATE(2025,1,1),'עסקאות'!$A$2:$A$1958,"&lt;"&amp;DATE(2026,1,1))</x:f>
        <x:v>2120</x:v>
      </x:c>
      <x:c r="J59" s="16" t="n">
        <x:f>SUMIFS('עסקאות'!$M$2:$M$1958,'עסקאות'!$F$2:$F$1958,B59,'עסקאות'!$A$2:$A$1958,"&gt;="&amp;DATE(2026,1,1),'עסקאות'!$A$2:$A$1958,"&lt;"&amp;DATE(2027,1,1))</x:f>
        <x:v>0</x:v>
      </x:c>
    </x:row>
    <x:row r="60">
      <x:c r="B60" s="11" t="str">
        <x:v>חליפה</x:v>
      </x:c>
      <x:c r="C60" s="11" t="str">
        <x:v>חתונה</x:v>
      </x:c>
      <x:c r="D60" s="11" t="n">
        <x:v>2</x:v>
      </x:c>
      <x:c r="E60" s="11" t="n">
        <x:v>2</x:v>
      </x:c>
      <x:c r="F60" s="16" t="n">
        <x:f>SUMIFS('עסקאות'!$M$2:$M$1958,'עסקאות'!$F$2:$F$1958,B60)</x:f>
        <x:v>2065</x:v>
      </x:c>
      <x:c r="G60" s="16" t="n">
        <x:f>IF(D60=0,"",F60/D60)</x:f>
        <x:v>1032.5</x:v>
      </x:c>
      <x:c r="H60" s="16" t="n">
        <x:f>F60/20</x:f>
        <x:v>103.25</x:v>
      </x:c>
      <x:c r="I60" s="16" t="n">
        <x:f>SUMIFS('עסקאות'!$M$2:$M$1958,'עסקאות'!$F$2:$F$1958,B60,'עסקאות'!$A$2:$A$1958,"&gt;="&amp;DATE(2025,1,1),'עסקאות'!$A$2:$A$1958,"&lt;"&amp;DATE(2026,1,1))</x:f>
        <x:v>2065</x:v>
      </x:c>
      <x:c r="J60" s="16" t="n">
        <x:f>SUMIFS('עסקאות'!$M$2:$M$1958,'עסקאות'!$F$2:$F$1958,B60,'עסקאות'!$A$2:$A$1958,"&gt;="&amp;DATE(2026,1,1),'עסקאות'!$A$2:$A$1958,"&lt;"&amp;DATE(2027,1,1))</x:f>
        <x:v>0</x:v>
      </x:c>
    </x:row>
    <x:row r="61">
      <x:c r="B61" s="11" t="str">
        <x:v>לק</x:v>
      </x:c>
      <x:c r="C61" s="11" t="str">
        <x:v>קוסמטיקה</x:v>
      </x:c>
      <x:c r="D61" s="11" t="n">
        <x:v>17</x:v>
      </x:c>
      <x:c r="E61" s="11" t="n">
        <x:v>16</x:v>
      </x:c>
      <x:c r="F61" s="16" t="n">
        <x:f>SUMIFS('עסקאות'!$M$2:$M$1958,'עסקאות'!$F$2:$F$1958,B61)</x:f>
        <x:v>2060</x:v>
      </x:c>
      <x:c r="G61" s="16" t="n">
        <x:f>IF(D61=0,"",F61/D61)</x:f>
        <x:v>121.17647058823529</x:v>
      </x:c>
      <x:c r="H61" s="16" t="n">
        <x:f>F61/20</x:f>
        <x:v>103</x:v>
      </x:c>
      <x:c r="I61" s="16" t="n">
        <x:f>SUMIFS('עסקאות'!$M$2:$M$1958,'עסקאות'!$F$2:$F$1958,B61,'עסקאות'!$A$2:$A$1958,"&gt;="&amp;DATE(2025,1,1),'עסקאות'!$A$2:$A$1958,"&lt;"&amp;DATE(2026,1,1))</x:f>
        <x:v>1060</x:v>
      </x:c>
      <x:c r="J61" s="16" t="n">
        <x:f>SUMIFS('עסקאות'!$M$2:$M$1958,'עסקאות'!$F$2:$F$1958,B61,'עסקאות'!$A$2:$A$1958,"&gt;="&amp;DATE(2026,1,1),'עסקאות'!$A$2:$A$1958,"&lt;"&amp;DATE(2027,1,1))</x:f>
        <x:v>1000</x:v>
      </x:c>
    </x:row>
    <x:row r="62">
      <x:c r="B62" s="11" t="str">
        <x:v>אימונים זיו</x:v>
      </x:c>
      <x:c r="C62" s="11" t="str">
        <x:v>ספורט</x:v>
      </x:c>
      <x:c r="D62" s="11" t="n">
        <x:v>1</x:v>
      </x:c>
      <x:c r="E62" s="11" t="n">
        <x:v>1</x:v>
      </x:c>
      <x:c r="F62" s="16" t="n">
        <x:f>SUMIFS('עסקאות'!$M$2:$M$1958,'עסקאות'!$F$2:$F$1958,B62)</x:f>
        <x:v>2050</x:v>
      </x:c>
      <x:c r="G62" s="16" t="n">
        <x:f>IF(D62=0,"",F62/D62)</x:f>
        <x:v>2050</x:v>
      </x:c>
      <x:c r="H62" s="16" t="n">
        <x:f>F62/20</x:f>
        <x:v>102.5</x:v>
      </x:c>
      <x:c r="I62" s="16" t="n">
        <x:f>SUMIFS('עסקאות'!$M$2:$M$1958,'עסקאות'!$F$2:$F$1958,B62,'עסקאות'!$A$2:$A$1958,"&gt;="&amp;DATE(2025,1,1),'עסקאות'!$A$2:$A$1958,"&lt;"&amp;DATE(2026,1,1))</x:f>
        <x:v>2050</x:v>
      </x:c>
      <x:c r="J62" s="16" t="n">
        <x:f>SUMIFS('עסקאות'!$M$2:$M$1958,'עסקאות'!$F$2:$F$1958,B62,'עסקאות'!$A$2:$A$1958,"&gt;="&amp;DATE(2026,1,1),'עסקאות'!$A$2:$A$1958,"&lt;"&amp;DATE(2027,1,1))</x:f>
        <x:v>0</x:v>
      </x:c>
    </x:row>
    <x:row r="63">
      <x:c r="B63" s="11" t="str">
        <x:v>KSP אקספרס-גמא</x:v>
      </x:c>
      <x:c r="C63" s="11" t="str">
        <x:v>קניות לבית</x:v>
      </x:c>
      <x:c r="D63" s="11" t="n">
        <x:v>2</x:v>
      </x:c>
      <x:c r="E63" s="11" t="n">
        <x:v>2</x:v>
      </x:c>
      <x:c r="F63" s="16" t="n">
        <x:f>SUMIFS('עסקאות'!$M$2:$M$1958,'עסקאות'!$F$2:$F$1958,B63)</x:f>
        <x:v>2002</x:v>
      </x:c>
      <x:c r="G63" s="16" t="n">
        <x:f>IF(D63=0,"",F63/D63)</x:f>
        <x:v>1001</x:v>
      </x:c>
      <x:c r="H63" s="16" t="n">
        <x:f>F63/20</x:f>
        <x:v>100.1</x:v>
      </x:c>
      <x:c r="I63" s="16" t="n">
        <x:f>SUMIFS('עסקאות'!$M$2:$M$1958,'עסקאות'!$F$2:$F$1958,B63,'עסקאות'!$A$2:$A$1958,"&gt;="&amp;DATE(2025,1,1),'עסקאות'!$A$2:$A$1958,"&lt;"&amp;DATE(2026,1,1))</x:f>
        <x:v>0</x:v>
      </x:c>
      <x:c r="J63" s="16" t="n">
        <x:f>SUMIFS('עסקאות'!$M$2:$M$1958,'עסקאות'!$F$2:$F$1958,B63,'עסקאות'!$A$2:$A$1958,"&gt;="&amp;DATE(2026,1,1),'עסקאות'!$A$2:$A$1958,"&lt;"&amp;DATE(2027,1,1))</x:f>
        <x:v>2002</x:v>
      </x:c>
    </x:row>
    <x:row r="64">
      <x:c r="B64" s="11" t="str">
        <x:v>צימר</x:v>
      </x:c>
      <x:c r="C64" s="11" t="str">
        <x:v>פנאי</x:v>
      </x:c>
      <x:c r="D64" s="11" t="n">
        <x:v>1</x:v>
      </x:c>
      <x:c r="E64" s="11" t="n">
        <x:v>1</x:v>
      </x:c>
      <x:c r="F64" s="16" t="n">
        <x:f>SUMIFS('עסקאות'!$M$2:$M$1958,'עסקאות'!$F$2:$F$1958,B64)</x:f>
        <x:v>2000</x:v>
      </x:c>
      <x:c r="G64" s="16" t="n">
        <x:f>IF(D64=0,"",F64/D64)</x:f>
        <x:v>2000</x:v>
      </x:c>
      <x:c r="H64" s="16" t="n">
        <x:f>F64/20</x:f>
        <x:v>100</x:v>
      </x:c>
      <x:c r="I64" s="16" t="n">
        <x:f>SUMIFS('עסקאות'!$M$2:$M$1958,'עסקאות'!$F$2:$F$1958,B64,'עסקאות'!$A$2:$A$1958,"&gt;="&amp;DATE(2025,1,1),'עסקאות'!$A$2:$A$1958,"&lt;"&amp;DATE(2026,1,1))</x:f>
        <x:v>2000</x:v>
      </x:c>
      <x:c r="J64" s="16" t="n">
        <x:f>SUMIFS('עסקאות'!$M$2:$M$1958,'עסקאות'!$F$2:$F$1958,B64,'עסקאות'!$A$2:$A$1958,"&gt;="&amp;DATE(2026,1,1),'עסקאות'!$A$2:$A$1958,"&lt;"&amp;DATE(2027,1,1))</x:f>
        <x:v>0</x:v>
      </x:c>
    </x:row>
    <x:row r="65">
      <x:c r="B65" s="11" t="str">
        <x:v>ירקן</x:v>
      </x:c>
      <x:c r="C65" s="11" t="str">
        <x:v>מזון לבית</x:v>
      </x:c>
      <x:c r="D65" s="11" t="n">
        <x:v>48</x:v>
      </x:c>
      <x:c r="E65" s="11" t="n">
        <x:v>15</x:v>
      </x:c>
      <x:c r="F65" s="16" t="n">
        <x:f>SUMIFS('עסקאות'!$M$2:$M$1958,'עסקאות'!$F$2:$F$1958,B65)</x:f>
        <x:v>1971</x:v>
      </x:c>
      <x:c r="G65" s="16" t="n">
        <x:f>IF(D65=0,"",F65/D65)</x:f>
        <x:v>41.0625</x:v>
      </x:c>
      <x:c r="H65" s="16" t="n">
        <x:f>F65/20</x:f>
        <x:v>98.55</x:v>
      </x:c>
      <x:c r="I65" s="16" t="n">
        <x:f>SUMIFS('עסקאות'!$M$2:$M$1958,'עסקאות'!$F$2:$F$1958,B65,'עסקאות'!$A$2:$A$1958,"&gt;="&amp;DATE(2025,1,1),'עסקאות'!$A$2:$A$1958,"&lt;"&amp;DATE(2026,1,1))</x:f>
        <x:v>775</x:v>
      </x:c>
      <x:c r="J65" s="16" t="n">
        <x:f>SUMIFS('עסקאות'!$M$2:$M$1958,'עסקאות'!$F$2:$F$1958,B65,'עסקאות'!$A$2:$A$1958,"&gt;="&amp;DATE(2026,1,1),'עסקאות'!$A$2:$A$1958,"&lt;"&amp;DATE(2027,1,1))</x:f>
        <x:v>1196</x:v>
      </x:c>
    </x:row>
    <x:row r="66">
      <x:c r="B66" s="11" t="str">
        <x:v>שיניים</x:v>
      </x:c>
      <x:c r="C66" s="11" t="str">
        <x:v>חתונה</x:v>
      </x:c>
      <x:c r="D66" s="11" t="n">
        <x:v>5</x:v>
      </x:c>
      <x:c r="E66" s="11" t="n">
        <x:v>3</x:v>
      </x:c>
      <x:c r="F66" s="16" t="n">
        <x:f>SUMIFS('עסקאות'!$M$2:$M$1958,'עסקאות'!$F$2:$F$1958,B66)</x:f>
        <x:v>1907</x:v>
      </x:c>
      <x:c r="G66" s="16" t="n">
        <x:f>IF(D66=0,"",F66/D66)</x:f>
        <x:v>381.4</x:v>
      </x:c>
      <x:c r="H66" s="16" t="n">
        <x:f>F66/20</x:f>
        <x:v>95.35</x:v>
      </x:c>
      <x:c r="I66" s="16" t="n">
        <x:f>SUMIFS('עסקאות'!$M$2:$M$1958,'עסקאות'!$F$2:$F$1958,B66,'עסקאות'!$A$2:$A$1958,"&gt;="&amp;DATE(2025,1,1),'עסקאות'!$A$2:$A$1958,"&lt;"&amp;DATE(2026,1,1))</x:f>
        <x:v>1907</x:v>
      </x:c>
      <x:c r="J66" s="16" t="n">
        <x:f>SUMIFS('עסקאות'!$M$2:$M$1958,'עסקאות'!$F$2:$F$1958,B66,'עסקאות'!$A$2:$A$1958,"&gt;="&amp;DATE(2026,1,1),'עסקאות'!$A$2:$A$1958,"&lt;"&amp;DATE(2027,1,1))</x:f>
        <x:v>0</x:v>
      </x:c>
    </x:row>
    <x:row r="67">
      <x:c r="B67" s="11" t="str">
        <x:v>שיין</x:v>
      </x:c>
      <x:c r="C67" s="11" t="str">
        <x:v>אופנה</x:v>
      </x:c>
      <x:c r="D67" s="11" t="n">
        <x:v>8</x:v>
      </x:c>
      <x:c r="E67" s="11" t="n">
        <x:v>6</x:v>
      </x:c>
      <x:c r="F67" s="16" t="n">
        <x:f>SUMIFS('עסקאות'!$M$2:$M$1958,'עסקאות'!$F$2:$F$1958,B67)</x:f>
        <x:v>1901</x:v>
      </x:c>
      <x:c r="G67" s="16" t="n">
        <x:f>IF(D67=0,"",F67/D67)</x:f>
        <x:v>237.625</x:v>
      </x:c>
      <x:c r="H67" s="16" t="n">
        <x:f>F67/20</x:f>
        <x:v>95.05</x:v>
      </x:c>
      <x:c r="I67" s="16" t="n">
        <x:f>SUMIFS('עסקאות'!$M$2:$M$1958,'עסקאות'!$F$2:$F$1958,B67,'עסקאות'!$A$2:$A$1958,"&gt;="&amp;DATE(2025,1,1),'עסקאות'!$A$2:$A$1958,"&lt;"&amp;DATE(2026,1,1))</x:f>
        <x:v>1901</x:v>
      </x:c>
      <x:c r="J67" s="16" t="n">
        <x:f>SUMIFS('עסקאות'!$M$2:$M$1958,'עסקאות'!$F$2:$F$1958,B67,'עסקאות'!$A$2:$A$1958,"&gt;="&amp;DATE(2026,1,1),'עסקאות'!$A$2:$A$1958,"&lt;"&amp;DATE(2027,1,1))</x:f>
        <x:v>0</x:v>
      </x:c>
    </x:row>
    <x:row r="68">
      <x:c r="B68" s="11" t="str">
        <x:v>רואה חשבון</x:v>
      </x:c>
      <x:c r="C68" s="11" t="str">
        <x:v>מסים</x:v>
      </x:c>
      <x:c r="D68" s="11" t="n">
        <x:v>2</x:v>
      </x:c>
      <x:c r="E68" s="11" t="n">
        <x:v>1</x:v>
      </x:c>
      <x:c r="F68" s="16" t="n">
        <x:f>SUMIFS('עסקאות'!$M$2:$M$1958,'עסקאות'!$F$2:$F$1958,B68)</x:f>
        <x:v>1887</x:v>
      </x:c>
      <x:c r="G68" s="16" t="n">
        <x:f>IF(D68=0,"",F68/D68)</x:f>
        <x:v>943.5</x:v>
      </x:c>
      <x:c r="H68" s="16" t="n">
        <x:f>F68/20</x:f>
        <x:v>94.35</x:v>
      </x:c>
      <x:c r="I68" s="16" t="n">
        <x:f>SUMIFS('עסקאות'!$M$2:$M$1958,'עסקאות'!$F$2:$F$1958,B68,'עסקאות'!$A$2:$A$1958,"&gt;="&amp;DATE(2025,1,1),'עסקאות'!$A$2:$A$1958,"&lt;"&amp;DATE(2026,1,1))</x:f>
        <x:v>0</x:v>
      </x:c>
      <x:c r="J68" s="16" t="n">
        <x:f>SUMIFS('עסקאות'!$M$2:$M$1958,'עסקאות'!$F$2:$F$1958,B68,'עסקאות'!$A$2:$A$1958,"&gt;="&amp;DATE(2026,1,1),'עסקאות'!$A$2:$A$1958,"&lt;"&amp;DATE(2027,1,1))</x:f>
        <x:v>1887</x:v>
      </x:c>
    </x:row>
    <x:row r="69">
      <x:c r="B69" s="11" t="str">
        <x:v>מדפסת תלת מימד</x:v>
      </x:c>
      <x:c r="C69" s="11" t="str">
        <x:v>תחביבים ומיג'י</x:v>
      </x:c>
      <x:c r="D69" s="11" t="n">
        <x:v>1</x:v>
      </x:c>
      <x:c r="E69" s="11" t="n">
        <x:v>1</x:v>
      </x:c>
      <x:c r="F69" s="16" t="n">
        <x:f>SUMIFS('עסקאות'!$M$2:$M$1958,'עסקאות'!$F$2:$F$1958,B69)</x:f>
        <x:v>1844</x:v>
      </x:c>
      <x:c r="G69" s="16" t="n">
        <x:f>IF(D69=0,"",F69/D69)</x:f>
        <x:v>1844</x:v>
      </x:c>
      <x:c r="H69" s="16" t="n">
        <x:f>F69/20</x:f>
        <x:v>92.2</x:v>
      </x:c>
      <x:c r="I69" s="16" t="n">
        <x:f>SUMIFS('עסקאות'!$M$2:$M$1958,'עסקאות'!$F$2:$F$1958,B69,'עסקאות'!$A$2:$A$1958,"&gt;="&amp;DATE(2025,1,1),'עסקאות'!$A$2:$A$1958,"&lt;"&amp;DATE(2026,1,1))</x:f>
        <x:v>0</x:v>
      </x:c>
      <x:c r="J69" s="16" t="n">
        <x:f>SUMIFS('עסקאות'!$M$2:$M$1958,'עסקאות'!$F$2:$F$1958,B69,'עסקאות'!$A$2:$A$1958,"&gt;="&amp;DATE(2026,1,1),'עסקאות'!$A$2:$A$1958,"&lt;"&amp;DATE(2027,1,1))</x:f>
        <x:v>1844</x:v>
      </x:c>
    </x:row>
    <x:row r="70">
      <x:c r="B70" s="11" t="str">
        <x:v>אייר סיישל</x:v>
      </x:c>
      <x:c r="C70" s="11" t="str">
        <x:v>חתונה</x:v>
      </x:c>
      <x:c r="D70" s="11" t="n">
        <x:v>1</x:v>
      </x:c>
      <x:c r="E70" s="11" t="n">
        <x:v>1</x:v>
      </x:c>
      <x:c r="F70" s="16" t="n">
        <x:f>SUMIFS('עסקאות'!$M$2:$M$1958,'עסקאות'!$F$2:$F$1958,B70)</x:f>
        <x:v>1835</x:v>
      </x:c>
      <x:c r="G70" s="16" t="n">
        <x:f>IF(D70=0,"",F70/D70)</x:f>
        <x:v>1835</x:v>
      </x:c>
      <x:c r="H70" s="16" t="n">
        <x:f>F70/20</x:f>
        <x:v>91.75</x:v>
      </x:c>
      <x:c r="I70" s="16" t="n">
        <x:f>SUMIFS('עסקאות'!$M$2:$M$1958,'עסקאות'!$F$2:$F$1958,B70,'עסקאות'!$A$2:$A$1958,"&gt;="&amp;DATE(2025,1,1),'עסקאות'!$A$2:$A$1958,"&lt;"&amp;DATE(2026,1,1))</x:f>
        <x:v>1835</x:v>
      </x:c>
      <x:c r="J70" s="16" t="n">
        <x:f>SUMIFS('עסקאות'!$M$2:$M$1958,'עסקאות'!$F$2:$F$1958,B70,'עסקאות'!$A$2:$A$1958,"&gt;="&amp;DATE(2026,1,1),'עסקאות'!$A$2:$A$1958,"&lt;"&amp;DATE(2027,1,1))</x:f>
        <x:v>0</x:v>
      </x:c>
    </x:row>
    <x:row r="71">
      <x:c r="B71" s="11" t="str">
        <x:v>אלבומים(ביט)</x:v>
      </x:c>
      <x:c r="C71" s="11" t="str">
        <x:v>חתונה</x:v>
      </x:c>
      <x:c r="D71" s="11" t="n">
        <x:v>1</x:v>
      </x:c>
      <x:c r="E71" s="11" t="n">
        <x:v>1</x:v>
      </x:c>
      <x:c r="F71" s="16" t="n">
        <x:f>SUMIFS('עסקאות'!$M$2:$M$1958,'עסקאות'!$F$2:$F$1958,B71)</x:f>
        <x:v>1800</x:v>
      </x:c>
      <x:c r="G71" s="16" t="n">
        <x:f>IF(D71=0,"",F71/D71)</x:f>
        <x:v>1800</x:v>
      </x:c>
      <x:c r="H71" s="16" t="n">
        <x:f>F71/20</x:f>
        <x:v>90</x:v>
      </x:c>
      <x:c r="I71" s="16" t="n">
        <x:f>SUMIFS('עסקאות'!$M$2:$M$1958,'עסקאות'!$F$2:$F$1958,B71,'עסקאות'!$A$2:$A$1958,"&gt;="&amp;DATE(2025,1,1),'עסקאות'!$A$2:$A$1958,"&lt;"&amp;DATE(2026,1,1))</x:f>
        <x:v>1800</x:v>
      </x:c>
      <x:c r="J71" s="16" t="n">
        <x:f>SUMIFS('עסקאות'!$M$2:$M$1958,'עסקאות'!$F$2:$F$1958,B71,'עסקאות'!$A$2:$A$1958,"&gt;="&amp;DATE(2026,1,1),'עסקאות'!$A$2:$A$1958,"&lt;"&amp;DATE(2027,1,1))</x:f>
        <x:v>0</x:v>
      </x:c>
    </x:row>
    <x:row r="72">
      <x:c r="B72" s="11" t="str">
        <x:v>ביטוח חובה</x:v>
      </x:c>
      <x:c r="C72" s="11" t="str">
        <x:v>תחבורה</x:v>
      </x:c>
      <x:c r="D72" s="11" t="n">
        <x:v>1</x:v>
      </x:c>
      <x:c r="E72" s="11" t="n">
        <x:v>1</x:v>
      </x:c>
      <x:c r="F72" s="16" t="n">
        <x:f>SUMIFS('עסקאות'!$M$2:$M$1958,'עסקאות'!$F$2:$F$1958,B72)</x:f>
        <x:v>1797</x:v>
      </x:c>
      <x:c r="G72" s="16" t="n">
        <x:f>IF(D72=0,"",F72/D72)</x:f>
        <x:v>1797</x:v>
      </x:c>
      <x:c r="H72" s="16" t="n">
        <x:f>F72/20</x:f>
        <x:v>89.85</x:v>
      </x:c>
      <x:c r="I72" s="16" t="n">
        <x:f>SUMIFS('עסקאות'!$M$2:$M$1958,'עסקאות'!$F$2:$F$1958,B72,'עסקאות'!$A$2:$A$1958,"&gt;="&amp;DATE(2025,1,1),'עסקאות'!$A$2:$A$1958,"&lt;"&amp;DATE(2026,1,1))</x:f>
        <x:v>1797</x:v>
      </x:c>
      <x:c r="J72" s="16" t="n">
        <x:f>SUMIFS('עסקאות'!$M$2:$M$1958,'עסקאות'!$F$2:$F$1958,B72,'עסקאות'!$A$2:$A$1958,"&gt;="&amp;DATE(2026,1,1),'עסקאות'!$A$2:$A$1958,"&lt;"&amp;DATE(2027,1,1))</x:f>
        <x:v>0</x:v>
      </x:c>
    </x:row>
    <x:row r="73">
      <x:c r="B73" s="11" t="str">
        <x:v>טיפול זוגי</x:v>
      </x:c>
      <x:c r="C73" s="11" t="str">
        <x:v>בריאות וטיפולים</x:v>
      </x:c>
      <x:c r="D73" s="11" t="n">
        <x:v>2</x:v>
      </x:c>
      <x:c r="E73" s="11" t="n">
        <x:v>2</x:v>
      </x:c>
      <x:c r="F73" s="16" t="n">
        <x:f>SUMIFS('עסקאות'!$M$2:$M$1958,'עסקאות'!$F$2:$F$1958,B73)</x:f>
        <x:v>1740</x:v>
      </x:c>
      <x:c r="G73" s="16" t="n">
        <x:f>IF(D73=0,"",F73/D73)</x:f>
        <x:v>870</x:v>
      </x:c>
      <x:c r="H73" s="16" t="n">
        <x:f>F73/20</x:f>
        <x:v>87</x:v>
      </x:c>
      <x:c r="I73" s="16" t="n">
        <x:f>SUMIFS('עסקאות'!$M$2:$M$1958,'עסקאות'!$F$2:$F$1958,B73,'עסקאות'!$A$2:$A$1958,"&gt;="&amp;DATE(2025,1,1),'עסקאות'!$A$2:$A$1958,"&lt;"&amp;DATE(2026,1,1))</x:f>
        <x:v>1740</x:v>
      </x:c>
      <x:c r="J73" s="16" t="n">
        <x:f>SUMIFS('עסקאות'!$M$2:$M$1958,'עסקאות'!$F$2:$F$1958,B73,'עסקאות'!$A$2:$A$1958,"&gt;="&amp;DATE(2026,1,1),'עסקאות'!$A$2:$A$1958,"&lt;"&amp;DATE(2027,1,1))</x:f>
        <x:v>0</x:v>
      </x:c>
    </x:row>
    <x:row r="74">
      <x:c r="B74" s="11" t="str">
        <x:v>ביטוח בריאות</x:v>
      </x:c>
      <x:c r="C74" s="11" t="str">
        <x:v>ביטוח</x:v>
      </x:c>
      <x:c r="D74" s="11" t="n">
        <x:v>15</x:v>
      </x:c>
      <x:c r="E74" s="11" t="n">
        <x:v>15</x:v>
      </x:c>
      <x:c r="F74" s="16" t="n">
        <x:f>SUMIFS('עסקאות'!$M$2:$M$1958,'עסקאות'!$F$2:$F$1958,B74)</x:f>
        <x:v>1734</x:v>
      </x:c>
      <x:c r="G74" s="16" t="n">
        <x:f>IF(D74=0,"",F74/D74)</x:f>
        <x:v>115.6</x:v>
      </x:c>
      <x:c r="H74" s="16" t="n">
        <x:f>F74/20</x:f>
        <x:v>86.7</x:v>
      </x:c>
      <x:c r="I74" s="16" t="n">
        <x:f>SUMIFS('עסקאות'!$M$2:$M$1958,'עסקאות'!$F$2:$F$1958,B74,'עסקאות'!$A$2:$A$1958,"&gt;="&amp;DATE(2025,1,1),'עסקאות'!$A$2:$A$1958,"&lt;"&amp;DATE(2026,1,1))</x:f>
        <x:v>806</x:v>
      </x:c>
      <x:c r="J74" s="16" t="n">
        <x:f>SUMIFS('עסקאות'!$M$2:$M$1958,'עסקאות'!$F$2:$F$1958,B74,'עסקאות'!$A$2:$A$1958,"&gt;="&amp;DATE(2026,1,1),'עסקאות'!$A$2:$A$1958,"&lt;"&amp;DATE(2027,1,1))</x:f>
        <x:v>928</x:v>
      </x:c>
    </x:row>
    <x:row r="75">
      <x:c r="B75" s="11" t="str">
        <x:v>שירה טיפול זוגי</x:v>
      </x:c>
      <x:c r="C75" s="11" t="str">
        <x:v>בריאות וטיפולים</x:v>
      </x:c>
      <x:c r="D75" s="11" t="n">
        <x:v>1</x:v>
      </x:c>
      <x:c r="E75" s="11" t="n">
        <x:v>1</x:v>
      </x:c>
      <x:c r="F75" s="16" t="n">
        <x:f>SUMIFS('עסקאות'!$M$2:$M$1958,'עסקאות'!$F$2:$F$1958,B75)</x:f>
        <x:v>1680</x:v>
      </x:c>
      <x:c r="G75" s="16" t="n">
        <x:f>IF(D75=0,"",F75/D75)</x:f>
        <x:v>1680</x:v>
      </x:c>
      <x:c r="H75" s="16" t="n">
        <x:f>F75/20</x:f>
        <x:v>84</x:v>
      </x:c>
      <x:c r="I75" s="16" t="n">
        <x:f>SUMIFS('עסקאות'!$M$2:$M$1958,'עסקאות'!$F$2:$F$1958,B75,'עסקאות'!$A$2:$A$1958,"&gt;="&amp;DATE(2025,1,1),'עסקאות'!$A$2:$A$1958,"&lt;"&amp;DATE(2026,1,1))</x:f>
        <x:v>1680</x:v>
      </x:c>
      <x:c r="J75" s="16" t="n">
        <x:f>SUMIFS('עסקאות'!$M$2:$M$1958,'עסקאות'!$F$2:$F$1958,B75,'עסקאות'!$A$2:$A$1958,"&gt;="&amp;DATE(2026,1,1),'עסקאות'!$A$2:$A$1958,"&lt;"&amp;DATE(2027,1,1))</x:f>
        <x:v>0</x:v>
      </x:c>
    </x:row>
    <x:row r="76">
      <x:c r="B76" s="11" t="str">
        <x:v>חתונה</x:v>
      </x:c>
      <x:c r="C76" s="11" t="str">
        <x:v>מתנה</x:v>
      </x:c>
      <x:c r="D76" s="11" t="n">
        <x:v>3</x:v>
      </x:c>
      <x:c r="E76" s="11" t="n">
        <x:v>2</x:v>
      </x:c>
      <x:c r="F76" s="16" t="n">
        <x:f>SUMIFS('עסקאות'!$M$2:$M$1958,'עסקאות'!$F$2:$F$1958,B76)</x:f>
        <x:v>1655</x:v>
      </x:c>
      <x:c r="G76" s="16" t="n">
        <x:f>IF(D76=0,"",F76/D76)</x:f>
        <x:v>551.6666666666666</x:v>
      </x:c>
      <x:c r="H76" s="16" t="n">
        <x:f>F76/20</x:f>
        <x:v>82.75</x:v>
      </x:c>
      <x:c r="I76" s="16" t="n">
        <x:f>SUMIFS('עסקאות'!$M$2:$M$1958,'עסקאות'!$F$2:$F$1958,B76,'עסקאות'!$A$2:$A$1958,"&gt;="&amp;DATE(2025,1,1),'עסקאות'!$A$2:$A$1958,"&lt;"&amp;DATE(2026,1,1))</x:f>
        <x:v>600</x:v>
      </x:c>
      <x:c r="J76" s="16" t="n">
        <x:f>SUMIFS('עסקאות'!$M$2:$M$1958,'עסקאות'!$F$2:$F$1958,B76,'עסקאות'!$A$2:$A$1958,"&gt;="&amp;DATE(2026,1,1),'עסקאות'!$A$2:$A$1958,"&lt;"&amp;DATE(2027,1,1))</x:f>
        <x:v>1055</x:v>
      </x:c>
    </x:row>
    <x:row r="77">
      <x:c r="B77" s="11" t="str">
        <x:v>נשים אורגזמיות</x:v>
      </x:c>
      <x:c r="C77" s="11" t="str">
        <x:v>בריאות וטיפולים</x:v>
      </x:c>
      <x:c r="D77" s="11" t="n">
        <x:v>1</x:v>
      </x:c>
      <x:c r="E77" s="11" t="n">
        <x:v>1</x:v>
      </x:c>
      <x:c r="F77" s="16" t="n">
        <x:f>SUMIFS('עסקאות'!$M$2:$M$1958,'עסקאות'!$F$2:$F$1958,B77)</x:f>
        <x:v>1650</x:v>
      </x:c>
      <x:c r="G77" s="16" t="n">
        <x:f>IF(D77=0,"",F77/D77)</x:f>
        <x:v>1650</x:v>
      </x:c>
      <x:c r="H77" s="16" t="n">
        <x:f>F77/20</x:f>
        <x:v>82.5</x:v>
      </x:c>
      <x:c r="I77" s="16" t="n">
        <x:f>SUMIFS('עסקאות'!$M$2:$M$1958,'עסקאות'!$F$2:$F$1958,B77,'עסקאות'!$A$2:$A$1958,"&gt;="&amp;DATE(2025,1,1),'עסקאות'!$A$2:$A$1958,"&lt;"&amp;DATE(2026,1,1))</x:f>
        <x:v>0</x:v>
      </x:c>
      <x:c r="J77" s="16" t="n">
        <x:f>SUMIFS('עסקאות'!$M$2:$M$1958,'עסקאות'!$F$2:$F$1958,B77,'עסקאות'!$A$2:$A$1958,"&gt;="&amp;DATE(2026,1,1),'עסקאות'!$A$2:$A$1958,"&lt;"&amp;DATE(2027,1,1))</x:f>
        <x:v>1650</x:v>
      </x:c>
    </x:row>
    <x:row r="78">
      <x:c r="B78" s="11" t="str">
        <x:v>טיסה לסיישל</x:v>
      </x:c>
      <x:c r="C78" s="11" t="str">
        <x:v>חתונה</x:v>
      </x:c>
      <x:c r="D78" s="11" t="n">
        <x:v>1</x:v>
      </x:c>
      <x:c r="E78" s="11" t="n">
        <x:v>1</x:v>
      </x:c>
      <x:c r="F78" s="16" t="n">
        <x:f>SUMIFS('עסקאות'!$M$2:$M$1958,'עסקאות'!$F$2:$F$1958,B78)</x:f>
        <x:v>1601</x:v>
      </x:c>
      <x:c r="G78" s="16" t="n">
        <x:f>IF(D78=0,"",F78/D78)</x:f>
        <x:v>1601</x:v>
      </x:c>
      <x:c r="H78" s="16" t="n">
        <x:f>F78/20</x:f>
        <x:v>80.05</x:v>
      </x:c>
      <x:c r="I78" s="16" t="n">
        <x:f>SUMIFS('עסקאות'!$M$2:$M$1958,'עסקאות'!$F$2:$F$1958,B78,'עסקאות'!$A$2:$A$1958,"&gt;="&amp;DATE(2025,1,1),'עסקאות'!$A$2:$A$1958,"&lt;"&amp;DATE(2026,1,1))</x:f>
        <x:v>1601</x:v>
      </x:c>
      <x:c r="J78" s="16" t="n">
        <x:f>SUMIFS('עסקאות'!$M$2:$M$1958,'עסקאות'!$F$2:$F$1958,B78,'עסקאות'!$A$2:$A$1958,"&gt;="&amp;DATE(2026,1,1),'עסקאות'!$A$2:$A$1958,"&lt;"&amp;DATE(2027,1,1))</x:f>
        <x:v>0</x:v>
      </x:c>
    </x:row>
    <x:row r="79">
      <x:c r="B79" s="11" t="str">
        <x:v>מכולת</x:v>
      </x:c>
      <x:c r="C79" s="11" t="str">
        <x:v>מזון לבית</x:v>
      </x:c>
      <x:c r="D79" s="11" t="n">
        <x:v>41</x:v>
      </x:c>
      <x:c r="E79" s="11" t="n">
        <x:v>9</x:v>
      </x:c>
      <x:c r="F79" s="16" t="n">
        <x:f>SUMIFS('עסקאות'!$M$2:$M$1958,'עסקאות'!$F$2:$F$1958,B79)</x:f>
        <x:v>1582</x:v>
      </x:c>
      <x:c r="G79" s="16" t="n">
        <x:f>IF(D79=0,"",F79/D79)</x:f>
        <x:v>38.58536585365854</x:v>
      </x:c>
      <x:c r="H79" s="16" t="n">
        <x:f>F79/20</x:f>
        <x:v>79.1</x:v>
      </x:c>
      <x:c r="I79" s="16" t="n">
        <x:f>SUMIFS('עסקאות'!$M$2:$M$1958,'עסקאות'!$F$2:$F$1958,B79,'עסקאות'!$A$2:$A$1958,"&gt;="&amp;DATE(2025,1,1),'עסקאות'!$A$2:$A$1958,"&lt;"&amp;DATE(2026,1,1))</x:f>
        <x:v>1575</x:v>
      </x:c>
      <x:c r="J79" s="16" t="n">
        <x:f>SUMIFS('עסקאות'!$M$2:$M$1958,'עסקאות'!$F$2:$F$1958,B79,'עסקאות'!$A$2:$A$1958,"&gt;="&amp;DATE(2026,1,1),'עסקאות'!$A$2:$A$1958,"&lt;"&amp;DATE(2027,1,1))</x:f>
        <x:v>7</x:v>
      </x:c>
    </x:row>
    <x:row r="80">
      <x:c r="B80" s="11" t="str">
        <x:v>SHEIN.COM</x:v>
      </x:c>
      <x:c r="C80" s="11" t="str">
        <x:v>אופנה</x:v>
      </x:c>
      <x:c r="D80" s="11" t="n">
        <x:v>8</x:v>
      </x:c>
      <x:c r="E80" s="11" t="n">
        <x:v>4</x:v>
      </x:c>
      <x:c r="F80" s="16" t="n">
        <x:f>SUMIFS('עסקאות'!$M$2:$M$1958,'עסקאות'!$F$2:$F$1958,B80)</x:f>
        <x:v>1557</x:v>
      </x:c>
      <x:c r="G80" s="16" t="n">
        <x:f>IF(D80=0,"",F80/D80)</x:f>
        <x:v>194.625</x:v>
      </x:c>
      <x:c r="H80" s="16" t="n">
        <x:f>F80/20</x:f>
        <x:v>77.85</x:v>
      </x:c>
      <x:c r="I80" s="16" t="n">
        <x:f>SUMIFS('עסקאות'!$M$2:$M$1958,'עסקאות'!$F$2:$F$1958,B80,'עסקאות'!$A$2:$A$1958,"&gt;="&amp;DATE(2025,1,1),'עסקאות'!$A$2:$A$1958,"&lt;"&amp;DATE(2026,1,1))</x:f>
        <x:v>0</x:v>
      </x:c>
      <x:c r="J80" s="16" t="n">
        <x:f>SUMIFS('עסקאות'!$M$2:$M$1958,'עסקאות'!$F$2:$F$1958,B80,'עסקאות'!$A$2:$A$1958,"&gt;="&amp;DATE(2026,1,1),'עסקאות'!$A$2:$A$1958,"&lt;"&amp;DATE(2027,1,1))</x:f>
        <x:v>1557</x:v>
      </x:c>
    </x:row>
    <x:row r="81">
      <x:c r="B81" s="11" t="str">
        <x:v>בראנץ</x:v>
      </x:c>
      <x:c r="C81" s="11" t="str">
        <x:v>אוכל בחוץ</x:v>
      </x:c>
      <x:c r="D81" s="11" t="n">
        <x:v>13</x:v>
      </x:c>
      <x:c r="E81" s="11" t="n">
        <x:v>4</x:v>
      </x:c>
      <x:c r="F81" s="16" t="n">
        <x:f>SUMIFS('עסקאות'!$M$2:$M$1958,'עסקאות'!$F$2:$F$1958,B81)</x:f>
        <x:v>1500</x:v>
      </x:c>
      <x:c r="G81" s="16" t="n">
        <x:f>IF(D81=0,"",F81/D81)</x:f>
        <x:v>115.38461538461539</x:v>
      </x:c>
      <x:c r="H81" s="16" t="n">
        <x:f>F81/20</x:f>
        <x:v>75</x:v>
      </x:c>
      <x:c r="I81" s="16" t="n">
        <x:f>SUMIFS('עסקאות'!$M$2:$M$1958,'עסקאות'!$F$2:$F$1958,B81,'עסקאות'!$A$2:$A$1958,"&gt;="&amp;DATE(2025,1,1),'עסקאות'!$A$2:$A$1958,"&lt;"&amp;DATE(2026,1,1))</x:f>
        <x:v>1500</x:v>
      </x:c>
      <x:c r="J81" s="16" t="n">
        <x:f>SUMIFS('עסקאות'!$M$2:$M$1958,'עסקאות'!$F$2:$F$1958,B81,'עסקאות'!$A$2:$A$1958,"&gt;="&amp;DATE(2026,1,1),'עסקאות'!$A$2:$A$1958,"&lt;"&amp;DATE(2027,1,1))</x:f>
        <x:v>0</x:v>
      </x:c>
    </x:row>
    <x:row r="82">
      <x:c r="B82" s="11" t="str">
        <x:v>חתונה דיבו</x:v>
      </x:c>
      <x:c r="C82" s="11" t="str">
        <x:v>מתנה</x:v>
      </x:c>
      <x:c r="D82" s="11" t="n">
        <x:v>1</x:v>
      </x:c>
      <x:c r="E82" s="11" t="n">
        <x:v>1</x:v>
      </x:c>
      <x:c r="F82" s="16" t="n">
        <x:f>SUMIFS('עסקאות'!$M$2:$M$1958,'עסקאות'!$F$2:$F$1958,B82)</x:f>
        <x:v>1500</x:v>
      </x:c>
      <x:c r="G82" s="16" t="n">
        <x:f>IF(D82=0,"",F82/D82)</x:f>
        <x:v>1500</x:v>
      </x:c>
      <x:c r="H82" s="16" t="n">
        <x:f>F82/20</x:f>
        <x:v>75</x:v>
      </x:c>
      <x:c r="I82" s="16" t="n">
        <x:f>SUMIFS('עסקאות'!$M$2:$M$1958,'עסקאות'!$F$2:$F$1958,B82,'עסקאות'!$A$2:$A$1958,"&gt;="&amp;DATE(2025,1,1),'עסקאות'!$A$2:$A$1958,"&lt;"&amp;DATE(2026,1,1))</x:f>
        <x:v>1500</x:v>
      </x:c>
      <x:c r="J82" s="16" t="n">
        <x:f>SUMIFS('עסקאות'!$M$2:$M$1958,'עסקאות'!$F$2:$F$1958,B82,'עסקאות'!$A$2:$A$1958,"&gt;="&amp;DATE(2026,1,1),'עסקאות'!$A$2:$A$1958,"&lt;"&amp;DATE(2027,1,1))</x:f>
        <x:v>0</x:v>
      </x:c>
    </x:row>
    <x:row r="83">
      <x:c r="B83" s="11" t="str">
        <x:v>סוני</x:v>
      </x:c>
      <x:c r="C83" s="11" t="str">
        <x:v>אלקטרוניקה</x:v>
      </x:c>
      <x:c r="D83" s="11" t="n">
        <x:v>1</x:v>
      </x:c>
      <x:c r="E83" s="11" t="n">
        <x:v>1</x:v>
      </x:c>
      <x:c r="F83" s="16" t="n">
        <x:f>SUMIFS('עסקאות'!$M$2:$M$1958,'עסקאות'!$F$2:$F$1958,B83)</x:f>
        <x:v>1500</x:v>
      </x:c>
      <x:c r="G83" s="16" t="n">
        <x:f>IF(D83=0,"",F83/D83)</x:f>
        <x:v>1500</x:v>
      </x:c>
      <x:c r="H83" s="16" t="n">
        <x:f>F83/20</x:f>
        <x:v>75</x:v>
      </x:c>
      <x:c r="I83" s="16" t="n">
        <x:f>SUMIFS('עסקאות'!$M$2:$M$1958,'עסקאות'!$F$2:$F$1958,B83,'עסקאות'!$A$2:$A$1958,"&gt;="&amp;DATE(2025,1,1),'עסקאות'!$A$2:$A$1958,"&lt;"&amp;DATE(2026,1,1))</x:f>
        <x:v>0</x:v>
      </x:c>
      <x:c r="J83" s="16" t="n">
        <x:f>SUMIFS('עסקאות'!$M$2:$M$1958,'עסקאות'!$F$2:$F$1958,B83,'עסקאות'!$A$2:$A$1958,"&gt;="&amp;DATE(2026,1,1),'עסקאות'!$A$2:$A$1958,"&lt;"&amp;DATE(2027,1,1))</x:f>
        <x:v>1500</x:v>
      </x:c>
    </x:row>
    <x:row r="84">
      <x:c r="B84" s="11" t="str">
        <x:v>מים</x:v>
      </x:c>
      <x:c r="C84" s="11" t="str">
        <x:v>דיור – בית מגורים</x:v>
      </x:c>
      <x:c r="D84" s="11" t="n">
        <x:v>11</x:v>
      </x:c>
      <x:c r="E84" s="11" t="n">
        <x:v>11</x:v>
      </x:c>
      <x:c r="F84" s="16" t="n">
        <x:f>SUMIFS('עסקאות'!$M$2:$M$1958,'עסקאות'!$F$2:$F$1958,B84)</x:f>
        <x:v>1471</x:v>
      </x:c>
      <x:c r="G84" s="16" t="n">
        <x:f>IF(D84=0,"",F84/D84)</x:f>
        <x:v>133.72727272727272</x:v>
      </x:c>
      <x:c r="H84" s="16" t="n">
        <x:f>F84/20</x:f>
        <x:v>73.55</x:v>
      </x:c>
      <x:c r="I84" s="16" t="n">
        <x:f>SUMIFS('עסקאות'!$M$2:$M$1958,'עסקאות'!$F$2:$F$1958,B84,'עסקאות'!$A$2:$A$1958,"&gt;="&amp;DATE(2025,1,1),'עסקאות'!$A$2:$A$1958,"&lt;"&amp;DATE(2026,1,1))</x:f>
        <x:v>721</x:v>
      </x:c>
      <x:c r="J84" s="16" t="n">
        <x:f>SUMIFS('עסקאות'!$M$2:$M$1958,'עסקאות'!$F$2:$F$1958,B84,'עסקאות'!$A$2:$A$1958,"&gt;="&amp;DATE(2026,1,1),'עסקאות'!$A$2:$A$1958,"&lt;"&amp;DATE(2027,1,1))</x:f>
        <x:v>750</x:v>
      </x:c>
    </x:row>
    <x:row r="85">
      <x:c r="B85" s="11" t="str">
        <x:v>ביטוח מבנה</x:v>
      </x:c>
      <x:c r="C85" s="11" t="str">
        <x:v>נכס להשקעה</x:v>
      </x:c>
      <x:c r="D85" s="11" t="n">
        <x:v>18</x:v>
      </x:c>
      <x:c r="E85" s="11" t="n">
        <x:v>18</x:v>
      </x:c>
      <x:c r="F85" s="16" t="n">
        <x:f>SUMIFS('עסקאות'!$M$2:$M$1958,'עסקאות'!$F$2:$F$1958,B85)</x:f>
        <x:v>1417</x:v>
      </x:c>
      <x:c r="G85" s="16" t="n">
        <x:f>IF(D85=0,"",F85/D85)</x:f>
        <x:v>78.72222222222223</x:v>
      </x:c>
      <x:c r="H85" s="16" t="n">
        <x:f>F85/20</x:f>
        <x:v>70.85</x:v>
      </x:c>
      <x:c r="I85" s="16" t="n">
        <x:f>SUMIFS('עסקאות'!$M$2:$M$1958,'עסקאות'!$F$2:$F$1958,B85,'עסקאות'!$A$2:$A$1958,"&gt;="&amp;DATE(2025,1,1),'עסקאות'!$A$2:$A$1958,"&lt;"&amp;DATE(2026,1,1))</x:f>
        <x:v>849</x:v>
      </x:c>
      <x:c r="J85" s="16" t="n">
        <x:f>SUMIFS('עסקאות'!$M$2:$M$1958,'עסקאות'!$F$2:$F$1958,B85,'עסקאות'!$A$2:$A$1958,"&gt;="&amp;DATE(2026,1,1),'עסקאות'!$A$2:$A$1958,"&lt;"&amp;DATE(2027,1,1))</x:f>
        <x:v>568</x:v>
      </x:c>
    </x:row>
    <x:row r="86">
      <x:c r="B86" s="11" t="str">
        <x:v>הסעה</x:v>
      </x:c>
      <x:c r="C86" s="11" t="str">
        <x:v>חתונה</x:v>
      </x:c>
      <x:c r="D86" s="11" t="n">
        <x:v>1</x:v>
      </x:c>
      <x:c r="E86" s="11" t="n">
        <x:v>1</x:v>
      </x:c>
      <x:c r="F86" s="16" t="n">
        <x:f>SUMIFS('עסקאות'!$M$2:$M$1958,'עסקאות'!$F$2:$F$1958,B86)</x:f>
        <x:v>1400</x:v>
      </x:c>
      <x:c r="G86" s="16" t="n">
        <x:f>IF(D86=0,"",F86/D86)</x:f>
        <x:v>1400</x:v>
      </x:c>
      <x:c r="H86" s="16" t="n">
        <x:f>F86/20</x:f>
        <x:v>70</x:v>
      </x:c>
      <x:c r="I86" s="16" t="n">
        <x:f>SUMIFS('עסקאות'!$M$2:$M$1958,'עסקאות'!$F$2:$F$1958,B86,'עסקאות'!$A$2:$A$1958,"&gt;="&amp;DATE(2025,1,1),'עסקאות'!$A$2:$A$1958,"&lt;"&amp;DATE(2026,1,1))</x:f>
        <x:v>1400</x:v>
      </x:c>
      <x:c r="J86" s="16" t="n">
        <x:f>SUMIFS('עסקאות'!$M$2:$M$1958,'עסקאות'!$F$2:$F$1958,B86,'עסקאות'!$A$2:$A$1958,"&gt;="&amp;DATE(2026,1,1),'עסקאות'!$A$2:$A$1958,"&lt;"&amp;DATE(2027,1,1))</x:f>
        <x:v>0</x:v>
      </x:c>
    </x:row>
    <x:row r="87">
      <x:c r="B87" s="11" t="str">
        <x:v>לייזר</x:v>
      </x:c>
      <x:c r="C87" s="11" t="str">
        <x:v>קוסמטיקה</x:v>
      </x:c>
      <x:c r="D87" s="11" t="n">
        <x:v>8</x:v>
      </x:c>
      <x:c r="E87" s="11" t="n">
        <x:v>8</x:v>
      </x:c>
      <x:c r="F87" s="16" t="n">
        <x:f>SUMIFS('עסקאות'!$M$2:$M$1958,'עסקאות'!$F$2:$F$1958,B87)</x:f>
        <x:v>1387</x:v>
      </x:c>
      <x:c r="G87" s="16" t="n">
        <x:f>IF(D87=0,"",F87/D87)</x:f>
        <x:v>173.375</x:v>
      </x:c>
      <x:c r="H87" s="16" t="n">
        <x:f>F87/20</x:f>
        <x:v>69.35</x:v>
      </x:c>
      <x:c r="I87" s="16" t="n">
        <x:f>SUMIFS('עסקאות'!$M$2:$M$1958,'עסקאות'!$F$2:$F$1958,B87,'עסקאות'!$A$2:$A$1958,"&gt;="&amp;DATE(2025,1,1),'עסקאות'!$A$2:$A$1958,"&lt;"&amp;DATE(2026,1,1))</x:f>
        <x:v>1387</x:v>
      </x:c>
      <x:c r="J87" s="16" t="n">
        <x:f>SUMIFS('עסקאות'!$M$2:$M$1958,'עסקאות'!$F$2:$F$1958,B87,'עסקאות'!$A$2:$A$1958,"&gt;="&amp;DATE(2026,1,1),'עסקאות'!$A$2:$A$1958,"&lt;"&amp;DATE(2027,1,1))</x:f>
        <x:v>0</x:v>
      </x:c>
    </x:row>
    <x:row r="88">
      <x:c r="B88" s="11" t="str">
        <x:v>סלולר + אינטרנט</x:v>
      </x:c>
      <x:c r="C88" s="11" t="str">
        <x:v>דיור – בית מגורים</x:v>
      </x:c>
      <x:c r="D88" s="11" t="n">
        <x:v>8</x:v>
      </x:c>
      <x:c r="E88" s="11" t="n">
        <x:v>8</x:v>
      </x:c>
      <x:c r="F88" s="16" t="n">
        <x:f>SUMIFS('עסקאות'!$M$2:$M$1958,'עסקאות'!$F$2:$F$1958,B88)</x:f>
        <x:v>1378</x:v>
      </x:c>
      <x:c r="G88" s="16" t="n">
        <x:f>IF(D88=0,"",F88/D88)</x:f>
        <x:v>172.25</x:v>
      </x:c>
      <x:c r="H88" s="16" t="n">
        <x:f>F88/20</x:f>
        <x:v>68.9</x:v>
      </x:c>
      <x:c r="I88" s="16" t="n">
        <x:f>SUMIFS('עסקאות'!$M$2:$M$1958,'עסקאות'!$F$2:$F$1958,B88,'עסקאות'!$A$2:$A$1958,"&gt;="&amp;DATE(2025,1,1),'עסקאות'!$A$2:$A$1958,"&lt;"&amp;DATE(2026,1,1))</x:f>
        <x:v>1378</x:v>
      </x:c>
      <x:c r="J88" s="16" t="n">
        <x:f>SUMIFS('עסקאות'!$M$2:$M$1958,'עסקאות'!$F$2:$F$1958,B88,'עסקאות'!$A$2:$A$1958,"&gt;="&amp;DATE(2026,1,1),'עסקאות'!$A$2:$A$1958,"&lt;"&amp;DATE(2027,1,1))</x:f>
        <x:v>0</x:v>
      </x:c>
    </x:row>
    <x:row r="89">
      <x:c r="B89" s="11" t="str">
        <x:v>תחבץ</x:v>
      </x:c>
      <x:c r="C89" s="11" t="str">
        <x:v>תחבורה</x:v>
      </x:c>
      <x:c r="D89" s="11" t="n">
        <x:v>28</x:v>
      </x:c>
      <x:c r="E89" s="11" t="n">
        <x:v>16</x:v>
      </x:c>
      <x:c r="F89" s="16" t="n">
        <x:f>SUMIFS('עסקאות'!$M$2:$M$1958,'עסקאות'!$F$2:$F$1958,B89)</x:f>
        <x:v>1372</x:v>
      </x:c>
      <x:c r="G89" s="16" t="n">
        <x:f>IF(D89=0,"",F89/D89)</x:f>
        <x:v>49</x:v>
      </x:c>
      <x:c r="H89" s="16" t="n">
        <x:f>F89/20</x:f>
        <x:v>68.6</x:v>
      </x:c>
      <x:c r="I89" s="16" t="n">
        <x:f>SUMIFS('עסקאות'!$M$2:$M$1958,'עסקאות'!$F$2:$F$1958,B89,'עסקאות'!$A$2:$A$1958,"&gt;="&amp;DATE(2025,1,1),'עסקאות'!$A$2:$A$1958,"&lt;"&amp;DATE(2026,1,1))</x:f>
        <x:v>771</x:v>
      </x:c>
      <x:c r="J89" s="16" t="n">
        <x:f>SUMIFS('עסקאות'!$M$2:$M$1958,'עסקאות'!$F$2:$F$1958,B89,'עסקאות'!$A$2:$A$1958,"&gt;="&amp;DATE(2026,1,1),'עסקאות'!$A$2:$A$1958,"&lt;"&amp;DATE(2027,1,1))</x:f>
        <x:v>601</x:v>
      </x:c>
    </x:row>
    <x:row r="90">
      <x:c r="B90" s="11" t="str">
        <x:v>בלתם כצנלסון</x:v>
      </x:c>
      <x:c r="C90" s="11" t="str">
        <x:v>נכס להשקעה</x:v>
      </x:c>
      <x:c r="D90" s="11" t="n">
        <x:v>1</x:v>
      </x:c>
      <x:c r="E90" s="11" t="n">
        <x:v>1</x:v>
      </x:c>
      <x:c r="F90" s="16" t="n">
        <x:f>SUMIFS('עסקאות'!$M$2:$M$1958,'עסקאות'!$F$2:$F$1958,B90)</x:f>
        <x:v>1350</x:v>
      </x:c>
      <x:c r="G90" s="16" t="n">
        <x:f>IF(D90=0,"",F90/D90)</x:f>
        <x:v>1350</x:v>
      </x:c>
      <x:c r="H90" s="16" t="n">
        <x:f>F90/20</x:f>
        <x:v>67.5</x:v>
      </x:c>
      <x:c r="I90" s="16" t="n">
        <x:f>SUMIFS('עסקאות'!$M$2:$M$1958,'עסקאות'!$F$2:$F$1958,B90,'עסקאות'!$A$2:$A$1958,"&gt;="&amp;DATE(2025,1,1),'עסקאות'!$A$2:$A$1958,"&lt;"&amp;DATE(2026,1,1))</x:f>
        <x:v>1350</x:v>
      </x:c>
      <x:c r="J90" s="16" t="n">
        <x:f>SUMIFS('עסקאות'!$M$2:$M$1958,'עסקאות'!$F$2:$F$1958,B90,'עסקאות'!$A$2:$A$1958,"&gt;="&amp;DATE(2026,1,1),'עסקאות'!$A$2:$A$1958,"&lt;"&amp;DATE(2027,1,1))</x:f>
        <x:v>0</x:v>
      </x:c>
    </x:row>
    <x:row r="91">
      <x:c r="B91" s="11" t="str">
        <x:v>דירה כצנלסון</x:v>
      </x:c>
      <x:c r="C91" s="11" t="str">
        <x:v>נכס להשקעה</x:v>
      </x:c>
      <x:c r="D91" s="11" t="n">
        <x:v>1</x:v>
      </x:c>
      <x:c r="E91" s="11" t="n">
        <x:v>1</x:v>
      </x:c>
      <x:c r="F91" s="16" t="n">
        <x:f>SUMIFS('עסקאות'!$M$2:$M$1958,'עסקאות'!$F$2:$F$1958,B91)</x:f>
        <x:v>1340</x:v>
      </x:c>
      <x:c r="G91" s="16" t="n">
        <x:f>IF(D91=0,"",F91/D91)</x:f>
        <x:v>1340</x:v>
      </x:c>
      <x:c r="H91" s="16" t="n">
        <x:f>F91/20</x:f>
        <x:v>67</x:v>
      </x:c>
      <x:c r="I91" s="16" t="n">
        <x:f>SUMIFS('עסקאות'!$M$2:$M$1958,'עסקאות'!$F$2:$F$1958,B91,'עסקאות'!$A$2:$A$1958,"&gt;="&amp;DATE(2025,1,1),'עסקאות'!$A$2:$A$1958,"&lt;"&amp;DATE(2026,1,1))</x:f>
        <x:v>1340</x:v>
      </x:c>
      <x:c r="J91" s="16" t="n">
        <x:f>SUMIFS('עסקאות'!$M$2:$M$1958,'עסקאות'!$F$2:$F$1958,B91,'עסקאות'!$A$2:$A$1958,"&gt;="&amp;DATE(2026,1,1),'עסקאות'!$A$2:$A$1958,"&lt;"&amp;DATE(2027,1,1))</x:f>
        <x:v>0</x:v>
      </x:c>
    </x:row>
    <x:row r="92">
      <x:c r="B92" s="11" t="str">
        <x:v>טכנאי מזגנים</x:v>
      </x:c>
      <x:c r="C92" s="11" t="str">
        <x:v>נכס להשקעה</x:v>
      </x:c>
      <x:c r="D92" s="11" t="n">
        <x:v>1</x:v>
      </x:c>
      <x:c r="E92" s="11" t="n">
        <x:v>1</x:v>
      </x:c>
      <x:c r="F92" s="16" t="n">
        <x:f>SUMIFS('עסקאות'!$M$2:$M$1958,'עסקאות'!$F$2:$F$1958,B92)</x:f>
        <x:v>1300</x:v>
      </x:c>
      <x:c r="G92" s="16" t="n">
        <x:f>IF(D92=0,"",F92/D92)</x:f>
        <x:v>1300</x:v>
      </x:c>
      <x:c r="H92" s="16" t="n">
        <x:f>F92/20</x:f>
        <x:v>65</x:v>
      </x:c>
      <x:c r="I92" s="16" t="n">
        <x:f>SUMIFS('עסקאות'!$M$2:$M$1958,'עסקאות'!$F$2:$F$1958,B92,'עסקאות'!$A$2:$A$1958,"&gt;="&amp;DATE(2025,1,1),'עסקאות'!$A$2:$A$1958,"&lt;"&amp;DATE(2026,1,1))</x:f>
        <x:v>1300</x:v>
      </x:c>
      <x:c r="J92" s="16" t="n">
        <x:f>SUMIFS('עסקאות'!$M$2:$M$1958,'עסקאות'!$F$2:$F$1958,B92,'עסקאות'!$A$2:$A$1958,"&gt;="&amp;DATE(2026,1,1),'עסקאות'!$A$2:$A$1958,"&lt;"&amp;DATE(2027,1,1))</x:f>
        <x:v>0</x:v>
      </x:c>
    </x:row>
    <x:row r="93">
      <x:c r="B93" s="11" t="str">
        <x:v>פרחים</x:v>
      </x:c>
      <x:c r="C93" s="11" t="str">
        <x:v>מתנה</x:v>
      </x:c>
      <x:c r="D93" s="11" t="n">
        <x:v>12</x:v>
      </x:c>
      <x:c r="E93" s="11" t="n">
        <x:v>8</x:v>
      </x:c>
      <x:c r="F93" s="16" t="n">
        <x:f>SUMIFS('עסקאות'!$M$2:$M$1958,'עסקאות'!$F$2:$F$1958,B93)</x:f>
        <x:v>1262</x:v>
      </x:c>
      <x:c r="G93" s="16" t="n">
        <x:f>IF(D93=0,"",F93/D93)</x:f>
        <x:v>105.16666666666667</x:v>
      </x:c>
      <x:c r="H93" s="16" t="n">
        <x:f>F93/20</x:f>
        <x:v>63.1</x:v>
      </x:c>
      <x:c r="I93" s="16" t="n">
        <x:f>SUMIFS('עסקאות'!$M$2:$M$1958,'עסקאות'!$F$2:$F$1958,B93,'עסקאות'!$A$2:$A$1958,"&gt;="&amp;DATE(2025,1,1),'עסקאות'!$A$2:$A$1958,"&lt;"&amp;DATE(2026,1,1))</x:f>
        <x:v>1162</x:v>
      </x:c>
      <x:c r="J93" s="16" t="n">
        <x:f>SUMIFS('עסקאות'!$M$2:$M$1958,'עסקאות'!$F$2:$F$1958,B93,'עסקאות'!$A$2:$A$1958,"&gt;="&amp;DATE(2026,1,1),'עסקאות'!$A$2:$A$1958,"&lt;"&amp;DATE(2027,1,1))</x:f>
        <x:v>100</x:v>
      </x:c>
    </x:row>
    <x:row r="94">
      <x:c r="B94" s="11" t="str">
        <x:v>שעון</x:v>
      </x:c>
      <x:c r="C94" s="11" t="str">
        <x:v>אלקטרוניקה</x:v>
      </x:c>
      <x:c r="D94" s="11" t="n">
        <x:v>1</x:v>
      </x:c>
      <x:c r="E94" s="11" t="n">
        <x:v>1</x:v>
      </x:c>
      <x:c r="F94" s="16" t="n">
        <x:f>SUMIFS('עסקאות'!$M$2:$M$1958,'עסקאות'!$F$2:$F$1958,B94)</x:f>
        <x:v>1255</x:v>
      </x:c>
      <x:c r="G94" s="16" t="n">
        <x:f>IF(D94=0,"",F94/D94)</x:f>
        <x:v>1255</x:v>
      </x:c>
      <x:c r="H94" s="16" t="n">
        <x:f>F94/20</x:f>
        <x:v>62.75</x:v>
      </x:c>
      <x:c r="I94" s="16" t="n">
        <x:f>SUMIFS('עסקאות'!$M$2:$M$1958,'עסקאות'!$F$2:$F$1958,B94,'עסקאות'!$A$2:$A$1958,"&gt;="&amp;DATE(2025,1,1),'עסקאות'!$A$2:$A$1958,"&lt;"&amp;DATE(2026,1,1))</x:f>
        <x:v>1255</x:v>
      </x:c>
      <x:c r="J94" s="16" t="n">
        <x:f>SUMIFS('עסקאות'!$M$2:$M$1958,'עסקאות'!$F$2:$F$1958,B94,'עסקאות'!$A$2:$A$1958,"&gt;="&amp;DATE(2026,1,1),'עסקאות'!$A$2:$A$1958,"&lt;"&amp;DATE(2027,1,1))</x:f>
        <x:v>0</x:v>
      </x:c>
    </x:row>
    <x:row r="95">
      <x:c r="B95" s="11" t="str">
        <x:v>העברה ב BIT בנה"פ</x:v>
      </x:c>
      <x:c r="C95" s="11" t="str">
        <x:v>מתנה</x:v>
      </x:c>
      <x:c r="D95" s="11" t="n">
        <x:v>7</x:v>
      </x:c>
      <x:c r="E95" s="11" t="n">
        <x:v>3</x:v>
      </x:c>
      <x:c r="F95" s="16" t="n">
        <x:f>SUMIFS('עסקאות'!$M$2:$M$1958,'עסקאות'!$F$2:$F$1958,B95)</x:f>
        <x:v>1253</x:v>
      </x:c>
      <x:c r="G95" s="16" t="n">
        <x:f>IF(D95=0,"",F95/D95)</x:f>
        <x:v>179</x:v>
      </x:c>
      <x:c r="H95" s="16" t="n">
        <x:f>F95/20</x:f>
        <x:v>62.65</x:v>
      </x:c>
      <x:c r="I95" s="16" t="n">
        <x:f>SUMIFS('עסקאות'!$M$2:$M$1958,'עסקאות'!$F$2:$F$1958,B95,'עסקאות'!$A$2:$A$1958,"&gt;="&amp;DATE(2025,1,1),'עסקאות'!$A$2:$A$1958,"&lt;"&amp;DATE(2026,1,1))</x:f>
        <x:v>0</x:v>
      </x:c>
      <x:c r="J95" s="16" t="n">
        <x:f>SUMIFS('עסקאות'!$M$2:$M$1958,'עסקאות'!$F$2:$F$1958,B95,'עסקאות'!$A$2:$A$1958,"&gt;="&amp;DATE(2026,1,1),'עסקאות'!$A$2:$A$1958,"&lt;"&amp;DATE(2027,1,1))</x:f>
        <x:v>1253</x:v>
      </x:c>
    </x:row>
    <x:row r="96">
      <x:c r="B96" s="11" t="str">
        <x:v>נעליים</x:v>
      </x:c>
      <x:c r="C96" s="11" t="str">
        <x:v>אופנה</x:v>
      </x:c>
      <x:c r="D96" s="11" t="n">
        <x:v>2</x:v>
      </x:c>
      <x:c r="E96" s="11" t="n">
        <x:v>2</x:v>
      </x:c>
      <x:c r="F96" s="16" t="n">
        <x:f>SUMIFS('עסקאות'!$M$2:$M$1958,'עסקאות'!$F$2:$F$1958,B96)</x:f>
        <x:v>1241</x:v>
      </x:c>
      <x:c r="G96" s="16" t="n">
        <x:f>IF(D96=0,"",F96/D96)</x:f>
        <x:v>620.5</x:v>
      </x:c>
      <x:c r="H96" s="16" t="n">
        <x:f>F96/20</x:f>
        <x:v>62.05</x:v>
      </x:c>
      <x:c r="I96" s="16" t="n">
        <x:f>SUMIFS('עסקאות'!$M$2:$M$1958,'עסקאות'!$F$2:$F$1958,B96,'עסקאות'!$A$2:$A$1958,"&gt;="&amp;DATE(2025,1,1),'עסקאות'!$A$2:$A$1958,"&lt;"&amp;DATE(2026,1,1))</x:f>
        <x:v>1241</x:v>
      </x:c>
      <x:c r="J96" s="16" t="n">
        <x:f>SUMIFS('עסקאות'!$M$2:$M$1958,'עסקאות'!$F$2:$F$1958,B96,'עסקאות'!$A$2:$A$1958,"&gt;="&amp;DATE(2026,1,1),'עסקאות'!$A$2:$A$1958,"&lt;"&amp;DATE(2027,1,1))</x:f>
        <x:v>0</x:v>
      </x:c>
    </x:row>
    <x:row r="97">
      <x:c r="B97" s="11" t="str">
        <x:v>טיפול רכב</x:v>
      </x:c>
      <x:c r="C97" s="11" t="str">
        <x:v>תחבורה</x:v>
      </x:c>
      <x:c r="D97" s="11" t="n">
        <x:v>1</x:v>
      </x:c>
      <x:c r="E97" s="11" t="n">
        <x:v>1</x:v>
      </x:c>
      <x:c r="F97" s="16" t="n">
        <x:f>SUMIFS('עסקאות'!$M$2:$M$1958,'עסקאות'!$F$2:$F$1958,B97)</x:f>
        <x:v>1221</x:v>
      </x:c>
      <x:c r="G97" s="16" t="n">
        <x:f>IF(D97=0,"",F97/D97)</x:f>
        <x:v>1221</x:v>
      </x:c>
      <x:c r="H97" s="16" t="n">
        <x:f>F97/20</x:f>
        <x:v>61.05</x:v>
      </x:c>
      <x:c r="I97" s="16" t="n">
        <x:f>SUMIFS('עסקאות'!$M$2:$M$1958,'עסקאות'!$F$2:$F$1958,B97,'עסקאות'!$A$2:$A$1958,"&gt;="&amp;DATE(2025,1,1),'עסקאות'!$A$2:$A$1958,"&lt;"&amp;DATE(2026,1,1))</x:f>
        <x:v>1221</x:v>
      </x:c>
      <x:c r="J97" s="16" t="n">
        <x:f>SUMIFS('עסקאות'!$M$2:$M$1958,'עסקאות'!$F$2:$F$1958,B97,'עסקאות'!$A$2:$A$1958,"&gt;="&amp;DATE(2026,1,1),'עסקאות'!$A$2:$A$1958,"&lt;"&amp;DATE(2027,1,1))</x:f>
        <x:v>0</x:v>
      </x:c>
    </x:row>
    <x:row r="98">
      <x:c r="B98" s="11" t="str">
        <x:v>רכב חול</x:v>
      </x:c>
      <x:c r="C98" s="11" t="str">
        <x:v>נסיעות וחופשות</x:v>
      </x:c>
      <x:c r="D98" s="11" t="n">
        <x:v>1</x:v>
      </x:c>
      <x:c r="E98" s="11" t="n">
        <x:v>1</x:v>
      </x:c>
      <x:c r="F98" s="16" t="n">
        <x:f>SUMIFS('עסקאות'!$M$2:$M$1958,'עסקאות'!$F$2:$F$1958,B98)</x:f>
        <x:v>1205</x:v>
      </x:c>
      <x:c r="G98" s="16" t="n">
        <x:f>IF(D98=0,"",F98/D98)</x:f>
        <x:v>1205</x:v>
      </x:c>
      <x:c r="H98" s="16" t="n">
        <x:f>F98/20</x:f>
        <x:v>60.25</x:v>
      </x:c>
      <x:c r="I98" s="16" t="n">
        <x:f>SUMIFS('עסקאות'!$M$2:$M$1958,'עסקאות'!$F$2:$F$1958,B98,'עסקאות'!$A$2:$A$1958,"&gt;="&amp;DATE(2025,1,1),'עסקאות'!$A$2:$A$1958,"&lt;"&amp;DATE(2026,1,1))</x:f>
        <x:v>1205</x:v>
      </x:c>
      <x:c r="J98" s="16" t="n">
        <x:f>SUMIFS('עסקאות'!$M$2:$M$1958,'עסקאות'!$F$2:$F$1958,B98,'עסקאות'!$A$2:$A$1958,"&gt;="&amp;DATE(2026,1,1),'עסקאות'!$A$2:$A$1958,"&lt;"&amp;DATE(2027,1,1))</x:f>
        <x:v>0</x:v>
      </x:c>
    </x:row>
    <x:row r="99">
      <x:c r="B99" s="11" t="str">
        <x:v>צנרת כצנלסון</x:v>
      </x:c>
      <x:c r="C99" s="11" t="str">
        <x:v>נכס להשקעה</x:v>
      </x:c>
      <x:c r="D99" s="11" t="n">
        <x:v>1</x:v>
      </x:c>
      <x:c r="E99" s="11" t="n">
        <x:v>1</x:v>
      </x:c>
      <x:c r="F99" s="16" t="n">
        <x:f>SUMIFS('עסקאות'!$M$2:$M$1958,'עסקאות'!$F$2:$F$1958,B99)</x:f>
        <x:v>1160</x:v>
      </x:c>
      <x:c r="G99" s="16" t="n">
        <x:f>IF(D99=0,"",F99/D99)</x:f>
        <x:v>1160</x:v>
      </x:c>
      <x:c r="H99" s="16" t="n">
        <x:f>F99/20</x:f>
        <x:v>58</x:v>
      </x:c>
      <x:c r="I99" s="16" t="n">
        <x:f>SUMIFS('עסקאות'!$M$2:$M$1958,'עסקאות'!$F$2:$F$1958,B99,'עסקאות'!$A$2:$A$1958,"&gt;="&amp;DATE(2025,1,1),'עסקאות'!$A$2:$A$1958,"&lt;"&amp;DATE(2026,1,1))</x:f>
        <x:v>0</x:v>
      </x:c>
      <x:c r="J99" s="16" t="n">
        <x:f>SUMIFS('עסקאות'!$M$2:$M$1958,'עסקאות'!$F$2:$F$1958,B99,'עסקאות'!$A$2:$A$1958,"&gt;="&amp;DATE(2026,1,1),'עסקאות'!$A$2:$A$1958,"&lt;"&amp;DATE(2027,1,1))</x:f>
        <x:v>1160</x:v>
      </x:c>
    </x:row>
    <x:row r="100">
      <x:c r="B100" s="11" t="str">
        <x:v>פילים</x:v>
      </x:c>
      <x:c r="C100" s="11" t="str">
        <x:v>חתונה</x:v>
      </x:c>
      <x:c r="D100" s="11" t="n">
        <x:v>2</x:v>
      </x:c>
      <x:c r="E100" s="11" t="n">
        <x:v>1</x:v>
      </x:c>
      <x:c r="F100" s="16" t="n">
        <x:f>SUMIFS('עסקאות'!$M$2:$M$1958,'עסקאות'!$F$2:$F$1958,B100)</x:f>
        <x:v>1098</x:v>
      </x:c>
      <x:c r="G100" s="16" t="n">
        <x:f>IF(D100=0,"",F100/D100)</x:f>
        <x:v>549</x:v>
      </x:c>
      <x:c r="H100" s="16" t="n">
        <x:f>F100/20</x:f>
        <x:v>54.9</x:v>
      </x:c>
      <x:c r="I100" s="16" t="n">
        <x:f>SUMIFS('עסקאות'!$M$2:$M$1958,'עסקאות'!$F$2:$F$1958,B100,'עסקאות'!$A$2:$A$1958,"&gt;="&amp;DATE(2025,1,1),'עסקאות'!$A$2:$A$1958,"&lt;"&amp;DATE(2026,1,1))</x:f>
        <x:v>1098</x:v>
      </x:c>
      <x:c r="J100" s="16" t="n">
        <x:f>SUMIFS('עסקאות'!$M$2:$M$1958,'עסקאות'!$F$2:$F$1958,B100,'עסקאות'!$A$2:$A$1958,"&gt;="&amp;DATE(2026,1,1),'עסקאות'!$A$2:$A$1958,"&lt;"&amp;DATE(2027,1,1))</x:f>
        <x:v>0</x:v>
      </x:c>
    </x:row>
    <x:row r="101">
      <x:c r="B101" s="11" t="str">
        <x:v>פארם</x:v>
      </x:c>
      <x:c r="C101" s="11" t="str">
        <x:v>בריאות וטיפולים</x:v>
      </x:c>
      <x:c r="D101" s="11" t="n">
        <x:v>14</x:v>
      </x:c>
      <x:c r="E101" s="11" t="n">
        <x:v>10</x:v>
      </x:c>
      <x:c r="F101" s="16" t="n">
        <x:f>SUMIFS('עסקאות'!$M$2:$M$1958,'עסקאות'!$F$2:$F$1958,B101)</x:f>
        <x:v>1090</x:v>
      </x:c>
      <x:c r="G101" s="16" t="n">
        <x:f>IF(D101=0,"",F101/D101)</x:f>
        <x:v>77.85714285714286</x:v>
      </x:c>
      <x:c r="H101" s="16" t="n">
        <x:f>F101/20</x:f>
        <x:v>54.5</x:v>
      </x:c>
      <x:c r="I101" s="16" t="n">
        <x:f>SUMIFS('עסקאות'!$M$2:$M$1958,'עסקאות'!$F$2:$F$1958,B101,'עסקאות'!$A$2:$A$1958,"&gt;="&amp;DATE(2025,1,1),'עסקאות'!$A$2:$A$1958,"&lt;"&amp;DATE(2026,1,1))</x:f>
        <x:v>287</x:v>
      </x:c>
      <x:c r="J101" s="16" t="n">
        <x:f>SUMIFS('עסקאות'!$M$2:$M$1958,'עסקאות'!$F$2:$F$1958,B101,'עסקאות'!$A$2:$A$1958,"&gt;="&amp;DATE(2026,1,1),'עסקאות'!$A$2:$A$1958,"&lt;"&amp;DATE(2027,1,1))</x:f>
        <x:v>803</x:v>
      </x:c>
    </x:row>
    <x:row r="102">
      <x:c r="B102" s="11" t="str">
        <x:v>אגרת רישוי</x:v>
      </x:c>
      <x:c r="C102" s="11" t="str">
        <x:v>תחבורה</x:v>
      </x:c>
      <x:c r="D102" s="11" t="n">
        <x:v>1</x:v>
      </x:c>
      <x:c r="E102" s="11" t="n">
        <x:v>1</x:v>
      </x:c>
      <x:c r="F102" s="16" t="n">
        <x:f>SUMIFS('עסקאות'!$M$2:$M$1958,'עסקאות'!$F$2:$F$1958,B102)</x:f>
        <x:v>1086</x:v>
      </x:c>
      <x:c r="G102" s="16" t="n">
        <x:f>IF(D102=0,"",F102/D102)</x:f>
        <x:v>1086</x:v>
      </x:c>
      <x:c r="H102" s="16" t="n">
        <x:f>F102/20</x:f>
        <x:v>54.3</x:v>
      </x:c>
      <x:c r="I102" s="16" t="n">
        <x:f>SUMIFS('עסקאות'!$M$2:$M$1958,'עסקאות'!$F$2:$F$1958,B102,'עסקאות'!$A$2:$A$1958,"&gt;="&amp;DATE(2025,1,1),'עסקאות'!$A$2:$A$1958,"&lt;"&amp;DATE(2026,1,1))</x:f>
        <x:v>0</x:v>
      </x:c>
      <x:c r="J102" s="16" t="n">
        <x:f>SUMIFS('עסקאות'!$M$2:$M$1958,'עסקאות'!$F$2:$F$1958,B102,'עסקאות'!$A$2:$A$1958,"&gt;="&amp;DATE(2026,1,1),'עסקאות'!$A$2:$A$1958,"&lt;"&amp;DATE(2027,1,1))</x:f>
        <x:v>1086</x:v>
      </x:c>
    </x:row>
    <x:row r="103">
      <x:c r="B103" s="11" t="str">
        <x:v>צלם יפן</x:v>
      </x:c>
      <x:c r="C103" s="11" t="str">
        <x:v>נסיעות וחופשות</x:v>
      </x:c>
      <x:c r="D103" s="11" t="n">
        <x:v>1</x:v>
      </x:c>
      <x:c r="E103" s="11" t="n">
        <x:v>1</x:v>
      </x:c>
      <x:c r="F103" s="16" t="n">
        <x:f>SUMIFS('עסקאות'!$M$2:$M$1958,'עסקאות'!$F$2:$F$1958,B103)</x:f>
        <x:v>1069</x:v>
      </x:c>
      <x:c r="G103" s="16" t="n">
        <x:f>IF(D103=0,"",F103/D103)</x:f>
        <x:v>1069</x:v>
      </x:c>
      <x:c r="H103" s="16" t="n">
        <x:f>F103/20</x:f>
        <x:v>53.45</x:v>
      </x:c>
      <x:c r="I103" s="16" t="n">
        <x:f>SUMIFS('עסקאות'!$M$2:$M$1958,'עסקאות'!$F$2:$F$1958,B103,'עסקאות'!$A$2:$A$1958,"&gt;="&amp;DATE(2025,1,1),'עסקאות'!$A$2:$A$1958,"&lt;"&amp;DATE(2026,1,1))</x:f>
        <x:v>1069</x:v>
      </x:c>
      <x:c r="J103" s="16" t="n">
        <x:f>SUMIFS('עסקאות'!$M$2:$M$1958,'עסקאות'!$F$2:$F$1958,B103,'עסקאות'!$A$2:$A$1958,"&gt;="&amp;DATE(2026,1,1),'עסקאות'!$A$2:$A$1958,"&lt;"&amp;DATE(2027,1,1))</x:f>
        <x:v>0</x:v>
      </x:c>
    </x:row>
    <x:row r="104">
      <x:c r="B104" s="11" t="str">
        <x:v>סושי</x:v>
      </x:c>
      <x:c r="C104" s="11" t="str">
        <x:v>חתונה</x:v>
      </x:c>
      <x:c r="D104" s="11" t="n">
        <x:v>3</x:v>
      </x:c>
      <x:c r="E104" s="11" t="n">
        <x:v>3</x:v>
      </x:c>
      <x:c r="F104" s="16" t="n">
        <x:f>SUMIFS('עסקאות'!$M$2:$M$1958,'עסקאות'!$F$2:$F$1958,B104)</x:f>
        <x:v>1060</x:v>
      </x:c>
      <x:c r="G104" s="16" t="n">
        <x:f>IF(D104=0,"",F104/D104)</x:f>
        <x:v>353.3333333333333</x:v>
      </x:c>
      <x:c r="H104" s="16" t="n">
        <x:f>F104/20</x:f>
        <x:v>53</x:v>
      </x:c>
      <x:c r="I104" s="16" t="n">
        <x:f>SUMIFS('עסקאות'!$M$2:$M$1958,'עסקאות'!$F$2:$F$1958,B104,'עסקאות'!$A$2:$A$1958,"&gt;="&amp;DATE(2025,1,1),'עסקאות'!$A$2:$A$1958,"&lt;"&amp;DATE(2026,1,1))</x:f>
        <x:v>1060</x:v>
      </x:c>
      <x:c r="J104" s="16" t="n">
        <x:f>SUMIFS('עסקאות'!$M$2:$M$1958,'עסקאות'!$F$2:$F$1958,B104,'עסקאות'!$A$2:$A$1958,"&gt;="&amp;DATE(2026,1,1),'עסקאות'!$A$2:$A$1958,"&lt;"&amp;DATE(2027,1,1))</x:f>
        <x:v>0</x:v>
      </x:c>
    </x:row>
    <x:row r="105">
      <x:c r="B105" s="11" t="str">
        <x:v>רשיון רכב</x:v>
      </x:c>
      <x:c r="C105" s="11" t="str">
        <x:v>תחבורה</x:v>
      </x:c>
      <x:c r="D105" s="11" t="n">
        <x:v>1</x:v>
      </x:c>
      <x:c r="E105" s="11" t="n">
        <x:v>1</x:v>
      </x:c>
      <x:c r="F105" s="16" t="n">
        <x:f>SUMIFS('עסקאות'!$M$2:$M$1958,'עסקאות'!$F$2:$F$1958,B105)</x:f>
        <x:v>1058</x:v>
      </x:c>
      <x:c r="G105" s="16" t="n">
        <x:f>IF(D105=0,"",F105/D105)</x:f>
        <x:v>1058</x:v>
      </x:c>
      <x:c r="H105" s="16" t="n">
        <x:f>F105/20</x:f>
        <x:v>52.9</x:v>
      </x:c>
      <x:c r="I105" s="16" t="n">
        <x:f>SUMIFS('עסקאות'!$M$2:$M$1958,'עסקאות'!$F$2:$F$1958,B105,'עסקאות'!$A$2:$A$1958,"&gt;="&amp;DATE(2025,1,1),'עסקאות'!$A$2:$A$1958,"&lt;"&amp;DATE(2026,1,1))</x:f>
        <x:v>1058</x:v>
      </x:c>
      <x:c r="J105" s="16" t="n">
        <x:f>SUMIFS('עסקאות'!$M$2:$M$1958,'עסקאות'!$F$2:$F$1958,B105,'עסקאות'!$A$2:$A$1958,"&gt;="&amp;DATE(2026,1,1),'עסקאות'!$A$2:$A$1958,"&lt;"&amp;DATE(2027,1,1))</x:f>
        <x:v>0</x:v>
      </x:c>
    </x:row>
    <x:row r="106">
      <x:c r="B106" s="11" t="str">
        <x:v>ביטוח רכב חובה</x:v>
      </x:c>
      <x:c r="C106" s="11" t="str">
        <x:v>תחבורה</x:v>
      </x:c>
      <x:c r="D106" s="11" t="n">
        <x:v>8</x:v>
      </x:c>
      <x:c r="E106" s="11" t="n">
        <x:v>8</x:v>
      </x:c>
      <x:c r="F106" s="16" t="n">
        <x:f>SUMIFS('עסקאות'!$M$2:$M$1958,'עסקאות'!$F$2:$F$1958,B106)</x:f>
        <x:v>1043</x:v>
      </x:c>
      <x:c r="G106" s="16" t="n">
        <x:f>IF(D106=0,"",F106/D106)</x:f>
        <x:v>130.375</x:v>
      </x:c>
      <x:c r="H106" s="16" t="n">
        <x:f>F106/20</x:f>
        <x:v>52.15</x:v>
      </x:c>
      <x:c r="I106" s="16" t="n">
        <x:f>SUMIFS('עסקאות'!$M$2:$M$1958,'עסקאות'!$F$2:$F$1958,B106,'עסקאות'!$A$2:$A$1958,"&gt;="&amp;DATE(2025,1,1),'עסקאות'!$A$2:$A$1958,"&lt;"&amp;DATE(2026,1,1))</x:f>
        <x:v>0</x:v>
      </x:c>
      <x:c r="J106" s="16" t="n">
        <x:f>SUMIFS('עסקאות'!$M$2:$M$1958,'עסקאות'!$F$2:$F$1958,B106,'עסקאות'!$A$2:$A$1958,"&gt;="&amp;DATE(2026,1,1),'עסקאות'!$A$2:$A$1958,"&lt;"&amp;DATE(2027,1,1))</x:f>
        <x:v>1043</x:v>
      </x:c>
    </x:row>
    <x:row r="107">
      <x:c r="B107" s="11" t="str">
        <x:v>אוכל בחוץ</x:v>
      </x:c>
      <x:c r="C107" s="11" t="str">
        <x:v>אוכל בחוץ</x:v>
      </x:c>
      <x:c r="D107" s="11" t="n">
        <x:v>9</x:v>
      </x:c>
      <x:c r="E107" s="11" t="n">
        <x:v>3</x:v>
      </x:c>
      <x:c r="F107" s="16" t="n">
        <x:f>SUMIFS('עסקאות'!$M$2:$M$1958,'עסקאות'!$F$2:$F$1958,B107)</x:f>
        <x:v>1022</x:v>
      </x:c>
      <x:c r="G107" s="16" t="n">
        <x:f>IF(D107=0,"",F107/D107)</x:f>
        <x:v>113.55555555555556</x:v>
      </x:c>
      <x:c r="H107" s="16" t="n">
        <x:f>F107/20</x:f>
        <x:v>51.1</x:v>
      </x:c>
      <x:c r="I107" s="16" t="n">
        <x:f>SUMIFS('עסקאות'!$M$2:$M$1958,'עסקאות'!$F$2:$F$1958,B107,'עסקאות'!$A$2:$A$1958,"&gt;="&amp;DATE(2025,1,1),'עסקאות'!$A$2:$A$1958,"&lt;"&amp;DATE(2026,1,1))</x:f>
        <x:v>355</x:v>
      </x:c>
      <x:c r="J107" s="16" t="n">
        <x:f>SUMIFS('עסקאות'!$M$2:$M$1958,'עסקאות'!$F$2:$F$1958,B107,'עסקאות'!$A$2:$A$1958,"&gt;="&amp;DATE(2026,1,1),'עסקאות'!$A$2:$A$1958,"&lt;"&amp;DATE(2027,1,1))</x:f>
        <x:v>667</x:v>
      </x:c>
    </x:row>
    <x:row r="108">
      <x:c r="B108" s="11" t="str">
        <x:v>שובר סופר</x:v>
      </x:c>
      <x:c r="C108" s="11" t="str">
        <x:v>מזון לבית</x:v>
      </x:c>
      <x:c r="D108" s="11" t="n">
        <x:v>2</x:v>
      </x:c>
      <x:c r="E108" s="11" t="n">
        <x:v>1</x:v>
      </x:c>
      <x:c r="F108" s="16" t="n">
        <x:f>SUMIFS('עסקאות'!$M$2:$M$1958,'עסקאות'!$F$2:$F$1958,B108)</x:f>
        <x:v>1012</x:v>
      </x:c>
      <x:c r="G108" s="16" t="n">
        <x:f>IF(D108=0,"",F108/D108)</x:f>
        <x:v>506</x:v>
      </x:c>
      <x:c r="H108" s="16" t="n">
        <x:f>F108/20</x:f>
        <x:v>50.6</x:v>
      </x:c>
      <x:c r="I108" s="16" t="n">
        <x:f>SUMIFS('עסקאות'!$M$2:$M$1958,'עסקאות'!$F$2:$F$1958,B108,'עסקאות'!$A$2:$A$1958,"&gt;="&amp;DATE(2025,1,1),'עסקאות'!$A$2:$A$1958,"&lt;"&amp;DATE(2026,1,1))</x:f>
        <x:v>1012</x:v>
      </x:c>
      <x:c r="J108" s="16" t="n">
        <x:f>SUMIFS('עסקאות'!$M$2:$M$1958,'עסקאות'!$F$2:$F$1958,B108,'עסקאות'!$A$2:$A$1958,"&gt;="&amp;DATE(2026,1,1),'עסקאות'!$A$2:$A$1958,"&lt;"&amp;DATE(2027,1,1))</x:f>
        <x:v>0</x:v>
      </x:c>
    </x:row>
    <x:row r="109">
      <x:c r="B109" s="11" t="str">
        <x:v>וולט</x:v>
      </x:c>
      <x:c r="C109" s="11" t="str">
        <x:v>אוכל בחוץ</x:v>
      </x:c>
      <x:c r="D109" s="11" t="n">
        <x:v>3</x:v>
      </x:c>
      <x:c r="E109" s="11" t="n">
        <x:v>3</x:v>
      </x:c>
      <x:c r="F109" s="16" t="n">
        <x:f>SUMIFS('עסקאות'!$M$2:$M$1958,'עסקאות'!$F$2:$F$1958,B109)</x:f>
        <x:v>1009</x:v>
      </x:c>
      <x:c r="G109" s="16" t="n">
        <x:f>IF(D109=0,"",F109/D109)</x:f>
        <x:v>336.3333333333333</x:v>
      </x:c>
      <x:c r="H109" s="16" t="n">
        <x:f>F109/20</x:f>
        <x:v>50.45</x:v>
      </x:c>
      <x:c r="I109" s="16" t="n">
        <x:f>SUMIFS('עסקאות'!$M$2:$M$1958,'עסקאות'!$F$2:$F$1958,B109,'עסקאות'!$A$2:$A$1958,"&gt;="&amp;DATE(2025,1,1),'עסקאות'!$A$2:$A$1958,"&lt;"&amp;DATE(2026,1,1))</x:f>
        <x:v>1009</x:v>
      </x:c>
      <x:c r="J109" s="16" t="n">
        <x:f>SUMIFS('עסקאות'!$M$2:$M$1958,'עסקאות'!$F$2:$F$1958,B109,'עסקאות'!$A$2:$A$1958,"&gt;="&amp;DATE(2026,1,1),'עסקאות'!$A$2:$A$1958,"&lt;"&amp;DATE(2027,1,1))</x:f>
        <x:v>0</x:v>
      </x:c>
    </x:row>
    <x:row r="110">
      <x:c r="B110" s="11" t="str">
        <x:v>מקדמה צלם</x:v>
      </x:c>
      <x:c r="C110" s="11" t="str">
        <x:v>חתונה</x:v>
      </x:c>
      <x:c r="D110" s="11" t="n">
        <x:v>1</x:v>
      </x:c>
      <x:c r="E110" s="11" t="n">
        <x:v>1</x:v>
      </x:c>
      <x:c r="F110" s="16" t="n">
        <x:f>SUMIFS('עסקאות'!$M$2:$M$1958,'עסקאות'!$F$2:$F$1958,B110)</x:f>
        <x:v>1000</x:v>
      </x:c>
      <x:c r="G110" s="16" t="n">
        <x:f>IF(D110=0,"",F110/D110)</x:f>
        <x:v>1000</x:v>
      </x:c>
      <x:c r="H110" s="16" t="n">
        <x:f>F110/20</x:f>
        <x:v>50</x:v>
      </x:c>
      <x:c r="I110" s="16" t="n">
        <x:f>SUMIFS('עסקאות'!$M$2:$M$1958,'עסקאות'!$F$2:$F$1958,B110,'עסקאות'!$A$2:$A$1958,"&gt;="&amp;DATE(2025,1,1),'עסקאות'!$A$2:$A$1958,"&lt;"&amp;DATE(2026,1,1))</x:f>
        <x:v>1000</x:v>
      </x:c>
      <x:c r="J110" s="16" t="n">
        <x:f>SUMIFS('עסקאות'!$M$2:$M$1958,'עסקאות'!$F$2:$F$1958,B110,'עסקאות'!$A$2:$A$1958,"&gt;="&amp;DATE(2026,1,1),'עסקאות'!$A$2:$A$1958,"&lt;"&amp;DATE(2027,1,1))</x:f>
        <x:v>0</x:v>
      </x:c>
    </x:row>
    <x:row r="111">
      <x:c r="B111" s="11" t="str">
        <x:v>קנס</x:v>
      </x:c>
      <x:c r="C111" s="11" t="str">
        <x:v>תחבורה</x:v>
      </x:c>
      <x:c r="D111" s="11" t="n">
        <x:v>1</x:v>
      </x:c>
      <x:c r="E111" s="11" t="n">
        <x:v>1</x:v>
      </x:c>
      <x:c r="F111" s="16" t="n">
        <x:f>SUMIFS('עסקאות'!$M$2:$M$1958,'עסקאות'!$F$2:$F$1958,B111)</x:f>
        <x:v>1000</x:v>
      </x:c>
      <x:c r="G111" s="16" t="n">
        <x:f>IF(D111=0,"",F111/D111)</x:f>
        <x:v>1000</x:v>
      </x:c>
      <x:c r="H111" s="16" t="n">
        <x:f>F111/20</x:f>
        <x:v>50</x:v>
      </x:c>
      <x:c r="I111" s="16" t="n">
        <x:f>SUMIFS('עסקאות'!$M$2:$M$1958,'עסקאות'!$F$2:$F$1958,B111,'עסקאות'!$A$2:$A$1958,"&gt;="&amp;DATE(2025,1,1),'עסקאות'!$A$2:$A$1958,"&lt;"&amp;DATE(2026,1,1))</x:f>
        <x:v>1000</x:v>
      </x:c>
      <x:c r="J111" s="16" t="n">
        <x:f>SUMIFS('עסקאות'!$M$2:$M$1958,'עסקאות'!$F$2:$F$1958,B111,'עסקאות'!$A$2:$A$1958,"&gt;="&amp;DATE(2026,1,1),'עסקאות'!$A$2:$A$1958,"&lt;"&amp;DATE(2027,1,1))</x:f>
        <x:v>0</x:v>
      </x:c>
    </x:row>
    <x:row r="112">
      <x:c r="B112" s="11" t="str">
        <x:v>שף יומולדת ירון</x:v>
      </x:c>
      <x:c r="C112" s="11" t="str">
        <x:v>מתנה</x:v>
      </x:c>
      <x:c r="D112" s="11" t="n">
        <x:v>1</x:v>
      </x:c>
      <x:c r="E112" s="11" t="n">
        <x:v>1</x:v>
      </x:c>
      <x:c r="F112" s="16" t="n">
        <x:f>SUMIFS('עסקאות'!$M$2:$M$1958,'עסקאות'!$F$2:$F$1958,B112)</x:f>
        <x:v>1000</x:v>
      </x:c>
      <x:c r="G112" s="16" t="n">
        <x:f>IF(D112=0,"",F112/D112)</x:f>
        <x:v>1000</x:v>
      </x:c>
      <x:c r="H112" s="16" t="n">
        <x:f>F112/20</x:f>
        <x:v>50</x:v>
      </x:c>
      <x:c r="I112" s="16" t="n">
        <x:f>SUMIFS('עסקאות'!$M$2:$M$1958,'עסקאות'!$F$2:$F$1958,B112,'עסקאות'!$A$2:$A$1958,"&gt;="&amp;DATE(2025,1,1),'עסקאות'!$A$2:$A$1958,"&lt;"&amp;DATE(2026,1,1))</x:f>
        <x:v>0</x:v>
      </x:c>
      <x:c r="J112" s="16" t="n">
        <x:f>SUMIFS('עסקאות'!$M$2:$M$1958,'עסקאות'!$F$2:$F$1958,B112,'עסקאות'!$A$2:$A$1958,"&gt;="&amp;DATE(2026,1,1),'עסקאות'!$A$2:$A$1958,"&lt;"&amp;DATE(2027,1,1))</x:f>
        <x:v>1000</x:v>
      </x:c>
    </x:row>
    <x:row r="113">
      <x:c r="B113" s="11" t="str">
        <x:v>קלוק</x:v>
      </x:c>
      <x:c r="C113" s="11" t="str">
        <x:v>נסיעות וחופשות</x:v>
      </x:c>
      <x:c r="D113" s="11" t="n">
        <x:v>2</x:v>
      </x:c>
      <x:c r="E113" s="11" t="n">
        <x:v>1</x:v>
      </x:c>
      <x:c r="F113" s="16" t="n">
        <x:f>SUMIFS('עסקאות'!$M$2:$M$1958,'עסקאות'!$F$2:$F$1958,B113)</x:f>
        <x:v>996</x:v>
      </x:c>
      <x:c r="G113" s="16" t="n">
        <x:f>IF(D113=0,"",F113/D113)</x:f>
        <x:v>498</x:v>
      </x:c>
      <x:c r="H113" s="16" t="n">
        <x:f>F113/20</x:f>
        <x:v>49.8</x:v>
      </x:c>
      <x:c r="I113" s="16" t="n">
        <x:f>SUMIFS('עסקאות'!$M$2:$M$1958,'עסקאות'!$F$2:$F$1958,B113,'עסקאות'!$A$2:$A$1958,"&gt;="&amp;DATE(2025,1,1),'עסקאות'!$A$2:$A$1958,"&lt;"&amp;DATE(2026,1,1))</x:f>
        <x:v>996</x:v>
      </x:c>
      <x:c r="J113" s="16" t="n">
        <x:f>SUMIFS('עסקאות'!$M$2:$M$1958,'עסקאות'!$F$2:$F$1958,B113,'עסקאות'!$A$2:$A$1958,"&gt;="&amp;DATE(2026,1,1),'עסקאות'!$A$2:$A$1958,"&lt;"&amp;DATE(2027,1,1))</x:f>
        <x:v>0</x:v>
      </x:c>
    </x:row>
    <x:row r="114">
      <x:c r="B114" s="11" t="str">
        <x:v>רכב ברצלונה</x:v>
      </x:c>
      <x:c r="C114" s="11" t="str">
        <x:v>נסיעות וחופשות</x:v>
      </x:c>
      <x:c r="D114" s="11" t="n">
        <x:v>1</x:v>
      </x:c>
      <x:c r="E114" s="11" t="n">
        <x:v>1</x:v>
      </x:c>
      <x:c r="F114" s="16" t="n">
        <x:f>SUMIFS('עסקאות'!$M$2:$M$1958,'עסקאות'!$F$2:$F$1958,B114)</x:f>
        <x:v>975</x:v>
      </x:c>
      <x:c r="G114" s="16" t="n">
        <x:f>IF(D114=0,"",F114/D114)</x:f>
        <x:v>975</x:v>
      </x:c>
      <x:c r="H114" s="16" t="n">
        <x:f>F114/20</x:f>
        <x:v>48.75</x:v>
      </x:c>
      <x:c r="I114" s="16" t="n">
        <x:f>SUMIFS('עסקאות'!$M$2:$M$1958,'עסקאות'!$F$2:$F$1958,B114,'עסקאות'!$A$2:$A$1958,"&gt;="&amp;DATE(2025,1,1),'עסקאות'!$A$2:$A$1958,"&lt;"&amp;DATE(2026,1,1))</x:f>
        <x:v>975</x:v>
      </x:c>
      <x:c r="J114" s="16" t="n">
        <x:f>SUMIFS('עסקאות'!$M$2:$M$1958,'עסקאות'!$F$2:$F$1958,B114,'עסקאות'!$A$2:$A$1958,"&gt;="&amp;DATE(2026,1,1),'עסקאות'!$A$2:$A$1958,"&lt;"&amp;DATE(2027,1,1))</x:f>
        <x:v>0</x:v>
      </x:c>
    </x:row>
    <x:row r="115">
      <x:c r="B115" s="11" t="str">
        <x:v>אינטרנט</x:v>
      </x:c>
      <x:c r="C115" s="11" t="str">
        <x:v>דיור – בית מגורים</x:v>
      </x:c>
      <x:c r="D115" s="11" t="n">
        <x:v>12</x:v>
      </x:c>
      <x:c r="E115" s="11" t="n">
        <x:v>12</x:v>
      </x:c>
      <x:c r="F115" s="16" t="n">
        <x:f>SUMIFS('עסקאות'!$M$2:$M$1958,'עסקאות'!$F$2:$F$1958,B115)</x:f>
        <x:v>956</x:v>
      </x:c>
      <x:c r="G115" s="16" t="n">
        <x:f>IF(D115=0,"",F115/D115)</x:f>
        <x:v>79.66666666666667</x:v>
      </x:c>
      <x:c r="H115" s="16" t="n">
        <x:f>F115/20</x:f>
        <x:v>47.8</x:v>
      </x:c>
      <x:c r="I115" s="16" t="n">
        <x:f>SUMIFS('עסקאות'!$M$2:$M$1958,'עסקאות'!$F$2:$F$1958,B115,'עסקאות'!$A$2:$A$1958,"&gt;="&amp;DATE(2025,1,1),'עסקאות'!$A$2:$A$1958,"&lt;"&amp;DATE(2026,1,1))</x:f>
        <x:v>316</x:v>
      </x:c>
      <x:c r="J115" s="16" t="n">
        <x:f>SUMIFS('עסקאות'!$M$2:$M$1958,'עסקאות'!$F$2:$F$1958,B115,'עסקאות'!$A$2:$A$1958,"&gt;="&amp;DATE(2026,1,1),'עסקאות'!$A$2:$A$1958,"&lt;"&amp;DATE(2027,1,1))</x:f>
        <x:v>640</x:v>
      </x:c>
    </x:row>
    <x:row r="116">
      <x:c r="B116" s="11" t="str">
        <x:v>יונקלו</x:v>
      </x:c>
      <x:c r="C116" s="11" t="str">
        <x:v>אופנה</x:v>
      </x:c>
      <x:c r="D116" s="11" t="n">
        <x:v>1</x:v>
      </x:c>
      <x:c r="E116" s="11" t="n">
        <x:v>1</x:v>
      </x:c>
      <x:c r="F116" s="16" t="n">
        <x:f>SUMIFS('עסקאות'!$M$2:$M$1958,'עסקאות'!$F$2:$F$1958,B116)</x:f>
        <x:v>954</x:v>
      </x:c>
      <x:c r="G116" s="16" t="n">
        <x:f>IF(D116=0,"",F116/D116)</x:f>
        <x:v>954</x:v>
      </x:c>
      <x:c r="H116" s="16" t="n">
        <x:f>F116/20</x:f>
        <x:v>47.7</x:v>
      </x:c>
      <x:c r="I116" s="16" t="n">
        <x:f>SUMIFS('עסקאות'!$M$2:$M$1958,'עסקאות'!$F$2:$F$1958,B116,'עסקאות'!$A$2:$A$1958,"&gt;="&amp;DATE(2025,1,1),'עסקאות'!$A$2:$A$1958,"&lt;"&amp;DATE(2026,1,1))</x:f>
        <x:v>954</x:v>
      </x:c>
      <x:c r="J116" s="16" t="n">
        <x:f>SUMIFS('עסקאות'!$M$2:$M$1958,'עסקאות'!$F$2:$F$1958,B116,'עסקאות'!$A$2:$A$1958,"&gt;="&amp;DATE(2026,1,1),'עסקאות'!$A$2:$A$1958,"&lt;"&amp;DATE(2027,1,1))</x:f>
        <x:v>0</x:v>
      </x:c>
    </x:row>
    <x:row r="117">
      <x:c r="B117" s="11" t="str">
        <x:v>פילימנטים</x:v>
      </x:c>
      <x:c r="C117" s="11" t="str">
        <x:v>תחביבים ומיג'י</x:v>
      </x:c>
      <x:c r="D117" s="11" t="n">
        <x:v>3</x:v>
      </x:c>
      <x:c r="E117" s="11" t="n">
        <x:v>3</x:v>
      </x:c>
      <x:c r="F117" s="16" t="n">
        <x:f>SUMIFS('עסקאות'!$M$2:$M$1958,'עסקאות'!$F$2:$F$1958,B117)</x:f>
        <x:v>953</x:v>
      </x:c>
      <x:c r="G117" s="16" t="n">
        <x:f>IF(D117=0,"",F117/D117)</x:f>
        <x:v>317.6666666666667</x:v>
      </x:c>
      <x:c r="H117" s="16" t="n">
        <x:f>F117/20</x:f>
        <x:v>47.65</x:v>
      </x:c>
      <x:c r="I117" s="16" t="n">
        <x:f>SUMIFS('עסקאות'!$M$2:$M$1958,'עסקאות'!$F$2:$F$1958,B117,'עסקאות'!$A$2:$A$1958,"&gt;="&amp;DATE(2025,1,1),'עסקאות'!$A$2:$A$1958,"&lt;"&amp;DATE(2026,1,1))</x:f>
        <x:v>0</x:v>
      </x:c>
      <x:c r="J117" s="16" t="n">
        <x:f>SUMIFS('עסקאות'!$M$2:$M$1958,'עסקאות'!$F$2:$F$1958,B117,'עסקאות'!$A$2:$A$1958,"&gt;="&amp;DATE(2026,1,1),'עסקאות'!$A$2:$A$1958,"&lt;"&amp;DATE(2027,1,1))</x:f>
        <x:v>953</x:v>
      </x:c>
    </x:row>
    <x:row r="118">
      <x:c r="B118" s="11" t="str">
        <x:v>סוד ירוק בע''מ</x:v>
      </x:c>
      <x:c r="C118" s="11" t="str">
        <x:v>מתנה</x:v>
      </x:c>
      <x:c r="D118" s="11" t="n">
        <x:v>3</x:v>
      </x:c>
      <x:c r="E118" s="11" t="n">
        <x:v>3</x:v>
      </x:c>
      <x:c r="F118" s="16" t="n">
        <x:f>SUMIFS('עסקאות'!$M$2:$M$1958,'עסקאות'!$F$2:$F$1958,B118)</x:f>
        <x:v>932</x:v>
      </x:c>
      <x:c r="G118" s="16" t="n">
        <x:f>IF(D118=0,"",F118/D118)</x:f>
        <x:v>310.6666666666667</x:v>
      </x:c>
      <x:c r="H118" s="16" t="n">
        <x:f>F118/20</x:f>
        <x:v>46.6</x:v>
      </x:c>
      <x:c r="I118" s="16" t="n">
        <x:f>SUMIFS('עסקאות'!$M$2:$M$1958,'עסקאות'!$F$2:$F$1958,B118,'עסקאות'!$A$2:$A$1958,"&gt;="&amp;DATE(2025,1,1),'עסקאות'!$A$2:$A$1958,"&lt;"&amp;DATE(2026,1,1))</x:f>
        <x:v>0</x:v>
      </x:c>
      <x:c r="J118" s="16" t="n">
        <x:f>SUMIFS('עסקאות'!$M$2:$M$1958,'עסקאות'!$F$2:$F$1958,B118,'עסקאות'!$A$2:$A$1958,"&gt;="&amp;DATE(2026,1,1),'עסקאות'!$A$2:$A$1958,"&lt;"&amp;DATE(2027,1,1))</x:f>
        <x:v>932</x:v>
      </x:c>
    </x:row>
    <x:row r="119">
      <x:c r="B119" s="11" t="str">
        <x:v>אימונים - עינור</x:v>
      </x:c>
      <x:c r="C119" s="11" t="str">
        <x:v>ספורט</x:v>
      </x:c>
      <x:c r="D119" s="11" t="n">
        <x:v>1</x:v>
      </x:c>
      <x:c r="E119" s="11" t="n">
        <x:v>1</x:v>
      </x:c>
      <x:c r="F119" s="16" t="n">
        <x:f>SUMIFS('עסקאות'!$M$2:$M$1958,'עסקאות'!$F$2:$F$1958,B119)</x:f>
        <x:v>926</x:v>
      </x:c>
      <x:c r="G119" s="16" t="n">
        <x:f>IF(D119=0,"",F119/D119)</x:f>
        <x:v>926</x:v>
      </x:c>
      <x:c r="H119" s="16" t="n">
        <x:f>F119/20</x:f>
        <x:v>46.3</x:v>
      </x:c>
      <x:c r="I119" s="16" t="n">
        <x:f>SUMIFS('עסקאות'!$M$2:$M$1958,'עסקאות'!$F$2:$F$1958,B119,'עסקאות'!$A$2:$A$1958,"&gt;="&amp;DATE(2025,1,1),'עסקאות'!$A$2:$A$1958,"&lt;"&amp;DATE(2026,1,1))</x:f>
        <x:v>926</x:v>
      </x:c>
      <x:c r="J119" s="16" t="n">
        <x:f>SUMIFS('עסקאות'!$M$2:$M$1958,'עסקאות'!$F$2:$F$1958,B119,'עסקאות'!$A$2:$A$1958,"&gt;="&amp;DATE(2026,1,1),'עסקאות'!$A$2:$A$1958,"&lt;"&amp;DATE(2027,1,1))</x:f>
        <x:v>0</x:v>
      </x:c>
    </x:row>
    <x:row r="120">
      <x:c r="B120" s="11" t="str">
        <x:v>ליים</x:v>
      </x:c>
      <x:c r="C120" s="11" t="str">
        <x:v>תחבורה</x:v>
      </x:c>
      <x:c r="D120" s="11" t="n">
        <x:v>27</x:v>
      </x:c>
      <x:c r="E120" s="11" t="n">
        <x:v>10</x:v>
      </x:c>
      <x:c r="F120" s="16" t="n">
        <x:f>SUMIFS('עסקאות'!$M$2:$M$1958,'עסקאות'!$F$2:$F$1958,B120)</x:f>
        <x:v>897</x:v>
      </x:c>
      <x:c r="G120" s="16" t="n">
        <x:f>IF(D120=0,"",F120/D120)</x:f>
        <x:v>33.22222222222222</x:v>
      </x:c>
      <x:c r="H120" s="16" t="n">
        <x:f>F120/20</x:f>
        <x:v>44.85</x:v>
      </x:c>
      <x:c r="I120" s="16" t="n">
        <x:f>SUMIFS('עסקאות'!$M$2:$M$1958,'עסקאות'!$F$2:$F$1958,B120,'עסקאות'!$A$2:$A$1958,"&gt;="&amp;DATE(2025,1,1),'עסקאות'!$A$2:$A$1958,"&lt;"&amp;DATE(2026,1,1))</x:f>
        <x:v>897</x:v>
      </x:c>
      <x:c r="J120" s="16" t="n">
        <x:f>SUMIFS('עסקאות'!$M$2:$M$1958,'עסקאות'!$F$2:$F$1958,B120,'עסקאות'!$A$2:$A$1958,"&gt;="&amp;DATE(2026,1,1),'עסקאות'!$A$2:$A$1958,"&lt;"&amp;DATE(2027,1,1))</x:f>
        <x:v>0</x:v>
      </x:c>
    </x:row>
    <x:row r="121">
      <x:c r="B121" s="11" t="str">
        <x:v>מאפיה</x:v>
      </x:c>
      <x:c r="C121" s="11" t="str">
        <x:v>אוכל בחוץ</x:v>
      </x:c>
      <x:c r="D121" s="11" t="n">
        <x:v>28</x:v>
      </x:c>
      <x:c r="E121" s="11" t="n">
        <x:v>15</x:v>
      </x:c>
      <x:c r="F121" s="16" t="n">
        <x:f>SUMIFS('עסקאות'!$M$2:$M$1958,'עסקאות'!$F$2:$F$1958,B121)</x:f>
        <x:v>858</x:v>
      </x:c>
      <x:c r="G121" s="16" t="n">
        <x:f>IF(D121=0,"",F121/D121)</x:f>
        <x:v>30.642857142857142</x:v>
      </x:c>
      <x:c r="H121" s="16" t="n">
        <x:f>F121/20</x:f>
        <x:v>42.9</x:v>
      </x:c>
      <x:c r="I121" s="16" t="n">
        <x:f>SUMIFS('עסקאות'!$M$2:$M$1958,'עסקאות'!$F$2:$F$1958,B121,'עסקאות'!$A$2:$A$1958,"&gt;="&amp;DATE(2025,1,1),'עסקאות'!$A$2:$A$1958,"&lt;"&amp;DATE(2026,1,1))</x:f>
        <x:v>523</x:v>
      </x:c>
      <x:c r="J121" s="16" t="n">
        <x:f>SUMIFS('עסקאות'!$M$2:$M$1958,'עסקאות'!$F$2:$F$1958,B121,'עסקאות'!$A$2:$A$1958,"&gt;="&amp;DATE(2026,1,1),'עסקאות'!$A$2:$A$1958,"&lt;"&amp;DATE(2027,1,1))</x:f>
        <x:v>335</x:v>
      </x:c>
    </x:row>
    <x:row r="122">
      <x:c r="B122" s="11" t="str">
        <x:v>פילמנטים</x:v>
      </x:c>
      <x:c r="C122" s="11" t="str">
        <x:v>תחביבים ומיג'י</x:v>
      </x:c>
      <x:c r="D122" s="11" t="n">
        <x:v>2</x:v>
      </x:c>
      <x:c r="E122" s="11" t="n">
        <x:v>1</x:v>
      </x:c>
      <x:c r="F122" s="16" t="n">
        <x:f>SUMIFS('עסקאות'!$M$2:$M$1958,'עסקאות'!$F$2:$F$1958,B122)</x:f>
        <x:v>820</x:v>
      </x:c>
      <x:c r="G122" s="16" t="n">
        <x:f>IF(D122=0,"",F122/D122)</x:f>
        <x:v>410</x:v>
      </x:c>
      <x:c r="H122" s="16" t="n">
        <x:f>F122/20</x:f>
        <x:v>41</x:v>
      </x:c>
      <x:c r="I122" s="16" t="n">
        <x:f>SUMIFS('עסקאות'!$M$2:$M$1958,'עסקאות'!$F$2:$F$1958,B122,'עסקאות'!$A$2:$A$1958,"&gt;="&amp;DATE(2025,1,1),'עסקאות'!$A$2:$A$1958,"&lt;"&amp;DATE(2026,1,1))</x:f>
        <x:v>0</x:v>
      </x:c>
      <x:c r="J122" s="16" t="n">
        <x:f>SUMIFS('עסקאות'!$M$2:$M$1958,'עסקאות'!$F$2:$F$1958,B122,'עסקאות'!$A$2:$A$1958,"&gt;="&amp;DATE(2026,1,1),'עסקאות'!$A$2:$A$1958,"&lt;"&amp;DATE(2027,1,1))</x:f>
        <x:v>820</x:v>
      </x:c>
    </x:row>
    <x:row r="123">
      <x:c r="B123" s="11" t="str">
        <x:v>מכבי עינור</x:v>
      </x:c>
      <x:c r="C123" s="11" t="str">
        <x:v>בריאות וטיפולים</x:v>
      </x:c>
      <x:c r="D123" s="11" t="n">
        <x:v>7</x:v>
      </x:c>
      <x:c r="E123" s="11" t="n">
        <x:v>7</x:v>
      </x:c>
      <x:c r="F123" s="16" t="n">
        <x:f>SUMIFS('עסקאות'!$M$2:$M$1958,'עסקאות'!$F$2:$F$1958,B123)</x:f>
        <x:v>816</x:v>
      </x:c>
      <x:c r="G123" s="16" t="n">
        <x:f>IF(D123=0,"",F123/D123)</x:f>
        <x:v>116.57142857142857</x:v>
      </x:c>
      <x:c r="H123" s="16" t="n">
        <x:f>F123/20</x:f>
        <x:v>40.8</x:v>
      </x:c>
      <x:c r="I123" s="16" t="n">
        <x:f>SUMIFS('עסקאות'!$M$2:$M$1958,'עסקאות'!$F$2:$F$1958,B123,'עסקאות'!$A$2:$A$1958,"&gt;="&amp;DATE(2025,1,1),'עסקאות'!$A$2:$A$1958,"&lt;"&amp;DATE(2026,1,1))</x:f>
        <x:v>0</x:v>
      </x:c>
      <x:c r="J123" s="16" t="n">
        <x:f>SUMIFS('עסקאות'!$M$2:$M$1958,'עסקאות'!$F$2:$F$1958,B123,'עסקאות'!$A$2:$A$1958,"&gt;="&amp;DATE(2026,1,1),'עסקאות'!$A$2:$A$1958,"&lt;"&amp;DATE(2027,1,1))</x:f>
        <x:v>816</x:v>
      </x:c>
    </x:row>
    <x:row r="124">
      <x:c r="B124" s="11" t="str">
        <x:v>הסכם ממון בית משפט</x:v>
      </x:c>
      <x:c r="C124" s="11" t="str">
        <x:v>אחר</x:v>
      </x:c>
      <x:c r="D124" s="11" t="n">
        <x:v>1</x:v>
      </x:c>
      <x:c r="E124" s="11" t="n">
        <x:v>1</x:v>
      </x:c>
      <x:c r="F124" s="16" t="n">
        <x:f>SUMIFS('עסקאות'!$M$2:$M$1958,'עסקאות'!$F$2:$F$1958,B124)</x:f>
        <x:v>803</x:v>
      </x:c>
      <x:c r="G124" s="16" t="n">
        <x:f>IF(D124=0,"",F124/D124)</x:f>
        <x:v>803</x:v>
      </x:c>
      <x:c r="H124" s="16" t="n">
        <x:f>F124/20</x:f>
        <x:v>40.15</x:v>
      </x:c>
      <x:c r="I124" s="16" t="n">
        <x:f>SUMIFS('עסקאות'!$M$2:$M$1958,'עסקאות'!$F$2:$F$1958,B124,'עסקאות'!$A$2:$A$1958,"&gt;="&amp;DATE(2025,1,1),'עסקאות'!$A$2:$A$1958,"&lt;"&amp;DATE(2026,1,1))</x:f>
        <x:v>803</x:v>
      </x:c>
      <x:c r="J124" s="16" t="n">
        <x:f>SUMIFS('עסקאות'!$M$2:$M$1958,'עסקאות'!$F$2:$F$1958,B124,'עסקאות'!$A$2:$A$1958,"&gt;="&amp;DATE(2026,1,1),'עסקאות'!$A$2:$A$1958,"&lt;"&amp;DATE(2027,1,1))</x:f>
        <x:v>0</x:v>
      </x:c>
    </x:row>
    <x:row r="125">
      <x:c r="B125" s="11" t="str">
        <x:v>סדנת בישול</x:v>
      </x:c>
      <x:c r="C125" s="11" t="str">
        <x:v>נסיעות וחופשות</x:v>
      </x:c>
      <x:c r="D125" s="11" t="n">
        <x:v>1</x:v>
      </x:c>
      <x:c r="E125" s="11" t="n">
        <x:v>1</x:v>
      </x:c>
      <x:c r="F125" s="16" t="n">
        <x:f>SUMIFS('עסקאות'!$M$2:$M$1958,'עסקאות'!$F$2:$F$1958,B125)</x:f>
        <x:v>802</x:v>
      </x:c>
      <x:c r="G125" s="16" t="n">
        <x:f>IF(D125=0,"",F125/D125)</x:f>
        <x:v>802</x:v>
      </x:c>
      <x:c r="H125" s="16" t="n">
        <x:f>F125/20</x:f>
        <x:v>40.1</x:v>
      </x:c>
      <x:c r="I125" s="16" t="n">
        <x:f>SUMIFS('עסקאות'!$M$2:$M$1958,'עסקאות'!$F$2:$F$1958,B125,'עסקאות'!$A$2:$A$1958,"&gt;="&amp;DATE(2025,1,1),'עסקאות'!$A$2:$A$1958,"&lt;"&amp;DATE(2026,1,1))</x:f>
        <x:v>802</x:v>
      </x:c>
      <x:c r="J125" s="16" t="n">
        <x:f>SUMIFS('עסקאות'!$M$2:$M$1958,'עסקאות'!$F$2:$F$1958,B125,'עסקאות'!$A$2:$A$1958,"&gt;="&amp;DATE(2026,1,1),'עסקאות'!$A$2:$A$1958,"&lt;"&amp;DATE(2027,1,1))</x:f>
        <x:v>0</x:v>
      </x:c>
    </x:row>
    <x:row r="126">
      <x:c r="B126" s="11" t="str">
        <x:v>מוסך</x:v>
      </x:c>
      <x:c r="C126" s="11" t="str">
        <x:v>תחבורה</x:v>
      </x:c>
      <x:c r="D126" s="11" t="n">
        <x:v>1</x:v>
      </x:c>
      <x:c r="E126" s="11" t="n">
        <x:v>1</x:v>
      </x:c>
      <x:c r="F126" s="16" t="n">
        <x:f>SUMIFS('עסקאות'!$M$2:$M$1958,'עסקאות'!$F$2:$F$1958,B126)</x:f>
        <x:v>783</x:v>
      </x:c>
      <x:c r="G126" s="16" t="n">
        <x:f>IF(D126=0,"",F126/D126)</x:f>
        <x:v>783</x:v>
      </x:c>
      <x:c r="H126" s="16" t="n">
        <x:f>F126/20</x:f>
        <x:v>39.15</x:v>
      </x:c>
      <x:c r="I126" s="16" t="n">
        <x:f>SUMIFS('עסקאות'!$M$2:$M$1958,'עסקאות'!$F$2:$F$1958,B126,'עסקאות'!$A$2:$A$1958,"&gt;="&amp;DATE(2025,1,1),'עסקאות'!$A$2:$A$1958,"&lt;"&amp;DATE(2026,1,1))</x:f>
        <x:v>783</x:v>
      </x:c>
      <x:c r="J126" s="16" t="n">
        <x:f>SUMIFS('עסקאות'!$M$2:$M$1958,'עסקאות'!$F$2:$F$1958,B126,'עסקאות'!$A$2:$A$1958,"&gt;="&amp;DATE(2026,1,1),'עסקאות'!$A$2:$A$1958,"&lt;"&amp;DATE(2027,1,1))</x:f>
        <x:v>0</x:v>
      </x:c>
    </x:row>
    <x:row r="127">
      <x:c r="B127" s="11" t="str">
        <x:v>מקס</x:v>
      </x:c>
      <x:c r="C127" s="11" t="str">
        <x:v>קניות לבית</x:v>
      </x:c>
      <x:c r="D127" s="11" t="n">
        <x:v>16</x:v>
      </x:c>
      <x:c r="E127" s="11" t="n">
        <x:v>8</x:v>
      </x:c>
      <x:c r="F127" s="16" t="n">
        <x:f>SUMIFS('עסקאות'!$M$2:$M$1958,'עסקאות'!$F$2:$F$1958,B127)</x:f>
        <x:v>760</x:v>
      </x:c>
      <x:c r="G127" s="16" t="n">
        <x:f>IF(D127=0,"",F127/D127)</x:f>
        <x:v>47.5</x:v>
      </x:c>
      <x:c r="H127" s="16" t="n">
        <x:f>F127/20</x:f>
        <x:v>38</x:v>
      </x:c>
      <x:c r="I127" s="16" t="n">
        <x:f>SUMIFS('עסקאות'!$M$2:$M$1958,'עסקאות'!$F$2:$F$1958,B127,'עסקאות'!$A$2:$A$1958,"&gt;="&amp;DATE(2025,1,1),'עסקאות'!$A$2:$A$1958,"&lt;"&amp;DATE(2026,1,1))</x:f>
        <x:v>740</x:v>
      </x:c>
      <x:c r="J127" s="16" t="n">
        <x:f>SUMIFS('עסקאות'!$M$2:$M$1958,'עסקאות'!$F$2:$F$1958,B127,'עסקאות'!$A$2:$A$1958,"&gt;="&amp;DATE(2026,1,1),'עסקאות'!$A$2:$A$1958,"&lt;"&amp;DATE(2027,1,1))</x:f>
        <x:v>20</x:v>
      </x:c>
    </x:row>
    <x:row r="128">
      <x:c r="B128" s="11" t="str">
        <x:v>מזוודה</x:v>
      </x:c>
      <x:c r="C128" s="11" t="str">
        <x:v>קניות לבית</x:v>
      </x:c>
      <x:c r="D128" s="11" t="n">
        <x:v>1</x:v>
      </x:c>
      <x:c r="E128" s="11" t="n">
        <x:v>1</x:v>
      </x:c>
      <x:c r="F128" s="16" t="n">
        <x:f>SUMIFS('עסקאות'!$M$2:$M$1958,'עסקאות'!$F$2:$F$1958,B128)</x:f>
        <x:v>760</x:v>
      </x:c>
      <x:c r="G128" s="16" t="n">
        <x:f>IF(D128=0,"",F128/D128)</x:f>
        <x:v>760</x:v>
      </x:c>
      <x:c r="H128" s="16" t="n">
        <x:f>F128/20</x:f>
        <x:v>38</x:v>
      </x:c>
      <x:c r="I128" s="16" t="n">
        <x:f>SUMIFS('עסקאות'!$M$2:$M$1958,'עסקאות'!$F$2:$F$1958,B128,'עסקאות'!$A$2:$A$1958,"&gt;="&amp;DATE(2025,1,1),'עסקאות'!$A$2:$A$1958,"&lt;"&amp;DATE(2026,1,1))</x:f>
        <x:v>760</x:v>
      </x:c>
      <x:c r="J128" s="16" t="n">
        <x:f>SUMIFS('עסקאות'!$M$2:$M$1958,'עסקאות'!$F$2:$F$1958,B128,'עסקאות'!$A$2:$A$1958,"&gt;="&amp;DATE(2026,1,1),'עסקאות'!$A$2:$A$1958,"&lt;"&amp;DATE(2027,1,1))</x:f>
        <x:v>0</x:v>
      </x:c>
    </x:row>
    <x:row r="129">
      <x:c r="B129" s="11" t="str">
        <x:v>מכבי טבעי</x:v>
      </x:c>
      <x:c r="C129" s="11" t="str">
        <x:v>בריאות וטיפולים</x:v>
      </x:c>
      <x:c r="D129" s="11" t="n">
        <x:v>2</x:v>
      </x:c>
      <x:c r="E129" s="11" t="n">
        <x:v>2</x:v>
      </x:c>
      <x:c r="F129" s="16" t="n">
        <x:f>SUMIFS('עסקאות'!$M$2:$M$1958,'עסקאות'!$F$2:$F$1958,B129)</x:f>
        <x:v>742</x:v>
      </x:c>
      <x:c r="G129" s="16" t="n">
        <x:f>IF(D129=0,"",F129/D129)</x:f>
        <x:v>371</x:v>
      </x:c>
      <x:c r="H129" s="16" t="n">
        <x:f>F129/20</x:f>
        <x:v>37.1</x:v>
      </x:c>
      <x:c r="I129" s="16" t="n">
        <x:f>SUMIFS('עסקאות'!$M$2:$M$1958,'עסקאות'!$F$2:$F$1958,B129,'עסקאות'!$A$2:$A$1958,"&gt;="&amp;DATE(2025,1,1),'עסקאות'!$A$2:$A$1958,"&lt;"&amp;DATE(2026,1,1))</x:f>
        <x:v>742</x:v>
      </x:c>
      <x:c r="J129" s="16" t="n">
        <x:f>SUMIFS('עסקאות'!$M$2:$M$1958,'עסקאות'!$F$2:$F$1958,B129,'עסקאות'!$A$2:$A$1958,"&gt;="&amp;DATE(2026,1,1),'עסקאות'!$A$2:$A$1958,"&lt;"&amp;DATE(2027,1,1))</x:f>
        <x:v>0</x:v>
      </x:c>
    </x:row>
    <x:row r="130">
      <x:c r="B130" s="11" t="str">
        <x:v>אימונים עינור</x:v>
      </x:c>
      <x:c r="C130" s="11" t="str">
        <x:v>ספורט</x:v>
      </x:c>
      <x:c r="D130" s="11" t="n">
        <x:v>1</x:v>
      </x:c>
      <x:c r="E130" s="11" t="n">
        <x:v>1</x:v>
      </x:c>
      <x:c r="F130" s="16" t="n">
        <x:f>SUMIFS('עסקאות'!$M$2:$M$1958,'עסקאות'!$F$2:$F$1958,B130)</x:f>
        <x:v>736</x:v>
      </x:c>
      <x:c r="G130" s="16" t="n">
        <x:f>IF(D130=0,"",F130/D130)</x:f>
        <x:v>736</x:v>
      </x:c>
      <x:c r="H130" s="16" t="n">
        <x:f>F130/20</x:f>
        <x:v>36.8</x:v>
      </x:c>
      <x:c r="I130" s="16" t="n">
        <x:f>SUMIFS('עסקאות'!$M$2:$M$1958,'עסקאות'!$F$2:$F$1958,B130,'עסקאות'!$A$2:$A$1958,"&gt;="&amp;DATE(2025,1,1),'עסקאות'!$A$2:$A$1958,"&lt;"&amp;DATE(2026,1,1))</x:f>
        <x:v>736</x:v>
      </x:c>
      <x:c r="J130" s="16" t="n">
        <x:f>SUMIFS('עסקאות'!$M$2:$M$1958,'עסקאות'!$F$2:$F$1958,B130,'עסקאות'!$A$2:$A$1958,"&gt;="&amp;DATE(2026,1,1),'עסקאות'!$A$2:$A$1958,"&lt;"&amp;DATE(2027,1,1))</x:f>
        <x:v>0</x:v>
      </x:c>
    </x:row>
    <x:row r="131">
      <x:c r="B131" s="11" t="str">
        <x:v>חצי חינם</x:v>
      </x:c>
      <x:c r="C131" s="11" t="str">
        <x:v>מזון לבית</x:v>
      </x:c>
      <x:c r="D131" s="11" t="n">
        <x:v>1</x:v>
      </x:c>
      <x:c r="E131" s="11" t="n">
        <x:v>1</x:v>
      </x:c>
      <x:c r="F131" s="16" t="n">
        <x:f>SUMIFS('עסקאות'!$M$2:$M$1958,'עסקאות'!$F$2:$F$1958,B131)</x:f>
        <x:v>736</x:v>
      </x:c>
      <x:c r="G131" s="16" t="n">
        <x:f>IF(D131=0,"",F131/D131)</x:f>
        <x:v>736</x:v>
      </x:c>
      <x:c r="H131" s="16" t="n">
        <x:f>F131/20</x:f>
        <x:v>36.8</x:v>
      </x:c>
      <x:c r="I131" s="16" t="n">
        <x:f>SUMIFS('עסקאות'!$M$2:$M$1958,'עסקאות'!$F$2:$F$1958,B131,'עסקאות'!$A$2:$A$1958,"&gt;="&amp;DATE(2025,1,1),'עסקאות'!$A$2:$A$1958,"&lt;"&amp;DATE(2026,1,1))</x:f>
        <x:v>736</x:v>
      </x:c>
      <x:c r="J131" s="16" t="n">
        <x:f>SUMIFS('עסקאות'!$M$2:$M$1958,'עסקאות'!$F$2:$F$1958,B131,'עסקאות'!$A$2:$A$1958,"&gt;="&amp;DATE(2026,1,1),'עסקאות'!$A$2:$A$1958,"&lt;"&amp;DATE(2027,1,1))</x:f>
        <x:v>0</x:v>
      </x:c>
    </x:row>
    <x:row r="132">
      <x:c r="B132" s="11" t="str">
        <x:v>סיסטרס</x:v>
      </x:c>
      <x:c r="C132" s="11" t="str">
        <x:v>בריאות וטיפולים</x:v>
      </x:c>
      <x:c r="D132" s="11" t="n">
        <x:v>1</x:v>
      </x:c>
      <x:c r="E132" s="11" t="n">
        <x:v>1</x:v>
      </x:c>
      <x:c r="F132" s="16" t="n">
        <x:f>SUMIFS('עסקאות'!$M$2:$M$1958,'עסקאות'!$F$2:$F$1958,B132)</x:f>
        <x:v>736</x:v>
      </x:c>
      <x:c r="G132" s="16" t="n">
        <x:f>IF(D132=0,"",F132/D132)</x:f>
        <x:v>736</x:v>
      </x:c>
      <x:c r="H132" s="16" t="n">
        <x:f>F132/20</x:f>
        <x:v>36.8</x:v>
      </x:c>
      <x:c r="I132" s="16" t="n">
        <x:f>SUMIFS('עסקאות'!$M$2:$M$1958,'עסקאות'!$F$2:$F$1958,B132,'עסקאות'!$A$2:$A$1958,"&gt;="&amp;DATE(2025,1,1),'עסקאות'!$A$2:$A$1958,"&lt;"&amp;DATE(2026,1,1))</x:f>
        <x:v>0</x:v>
      </x:c>
      <x:c r="J132" s="16" t="n">
        <x:f>SUMIFS('עסקאות'!$M$2:$M$1958,'עסקאות'!$F$2:$F$1958,B132,'עסקאות'!$A$2:$A$1958,"&gt;="&amp;DATE(2026,1,1),'עסקאות'!$A$2:$A$1958,"&lt;"&amp;DATE(2027,1,1))</x:f>
        <x:v>736</x:v>
      </x:c>
    </x:row>
    <x:row r="133">
      <x:c r="B133" s="11" t="str">
        <x:v>סלולר</x:v>
      </x:c>
      <x:c r="C133" s="11" t="str">
        <x:v>דיור – בית מגורים</x:v>
      </x:c>
      <x:c r="D133" s="11" t="n">
        <x:v>12</x:v>
      </x:c>
      <x:c r="E133" s="11" t="n">
        <x:v>12</x:v>
      </x:c>
      <x:c r="F133" s="16" t="n">
        <x:f>SUMIFS('עסקאות'!$M$2:$M$1958,'עסקאות'!$F$2:$F$1958,B133)</x:f>
        <x:v>708</x:v>
      </x:c>
      <x:c r="G133" s="16" t="n">
        <x:f>IF(D133=0,"",F133/D133)</x:f>
        <x:v>59</x:v>
      </x:c>
      <x:c r="H133" s="16" t="n">
        <x:f>F133/20</x:f>
        <x:v>35.4</x:v>
      </x:c>
      <x:c r="I133" s="16" t="n">
        <x:f>SUMIFS('עסקאות'!$M$2:$M$1958,'עסקאות'!$F$2:$F$1958,B133,'עסקאות'!$A$2:$A$1958,"&gt;="&amp;DATE(2025,1,1),'עסקאות'!$A$2:$A$1958,"&lt;"&amp;DATE(2026,1,1))</x:f>
        <x:v>236</x:v>
      </x:c>
      <x:c r="J133" s="16" t="n">
        <x:f>SUMIFS('עסקאות'!$M$2:$M$1958,'עסקאות'!$F$2:$F$1958,B133,'עסקאות'!$A$2:$A$1958,"&gt;="&amp;DATE(2026,1,1),'עסקאות'!$A$2:$A$1958,"&lt;"&amp;DATE(2027,1,1))</x:f>
        <x:v>472</x:v>
      </x:c>
    </x:row>
    <x:row r="134">
      <x:c r="B134" s="11" t="str">
        <x:v>חתונה אנבל</x:v>
      </x:c>
      <x:c r="C134" s="11" t="str">
        <x:v>מתנה</x:v>
      </x:c>
      <x:c r="D134" s="11" t="n">
        <x:v>1</x:v>
      </x:c>
      <x:c r="E134" s="11" t="n">
        <x:v>1</x:v>
      </x:c>
      <x:c r="F134" s="16" t="n">
        <x:f>SUMIFS('עסקאות'!$M$2:$M$1958,'עסקאות'!$F$2:$F$1958,B134)</x:f>
        <x:v>700</x:v>
      </x:c>
      <x:c r="G134" s="16" t="n">
        <x:f>IF(D134=0,"",F134/D134)</x:f>
        <x:v>700</x:v>
      </x:c>
      <x:c r="H134" s="16" t="n">
        <x:f>F134/20</x:f>
        <x:v>35</x:v>
      </x:c>
      <x:c r="I134" s="16" t="n">
        <x:f>SUMIFS('עסקאות'!$M$2:$M$1958,'עסקאות'!$F$2:$F$1958,B134,'עסקאות'!$A$2:$A$1958,"&gt;="&amp;DATE(2025,1,1),'עסקאות'!$A$2:$A$1958,"&lt;"&amp;DATE(2026,1,1))</x:f>
        <x:v>700</x:v>
      </x:c>
      <x:c r="J134" s="16" t="n">
        <x:f>SUMIFS('עסקאות'!$M$2:$M$1958,'עסקאות'!$F$2:$F$1958,B134,'עסקאות'!$A$2:$A$1958,"&gt;="&amp;DATE(2026,1,1),'עסקאות'!$A$2:$A$1958,"&lt;"&amp;DATE(2027,1,1))</x:f>
        <x:v>0</x:v>
      </x:c>
    </x:row>
    <x:row r="135">
      <x:c r="B135" s="11" t="str">
        <x:v>קרמיקה</x:v>
      </x:c>
      <x:c r="C135" s="11" t="str">
        <x:v>תחביבים ומיג'י</x:v>
      </x:c>
      <x:c r="D135" s="11" t="n">
        <x:v>1</x:v>
      </x:c>
      <x:c r="E135" s="11" t="n">
        <x:v>1</x:v>
      </x:c>
      <x:c r="F135" s="16" t="n">
        <x:f>SUMIFS('עסקאות'!$M$2:$M$1958,'עסקאות'!$F$2:$F$1958,B135)</x:f>
        <x:v>700</x:v>
      </x:c>
      <x:c r="G135" s="16" t="n">
        <x:f>IF(D135=0,"",F135/D135)</x:f>
        <x:v>700</x:v>
      </x:c>
      <x:c r="H135" s="16" t="n">
        <x:f>F135/20</x:f>
        <x:v>35</x:v>
      </x:c>
      <x:c r="I135" s="16" t="n">
        <x:f>SUMIFS('עסקאות'!$M$2:$M$1958,'עסקאות'!$F$2:$F$1958,B135,'עסקאות'!$A$2:$A$1958,"&gt;="&amp;DATE(2025,1,1),'עסקאות'!$A$2:$A$1958,"&lt;"&amp;DATE(2026,1,1))</x:f>
        <x:v>700</x:v>
      </x:c>
      <x:c r="J135" s="16" t="n">
        <x:f>SUMIFS('עסקאות'!$M$2:$M$1958,'עסקאות'!$F$2:$F$1958,B135,'עסקאות'!$A$2:$A$1958,"&gt;="&amp;DATE(2026,1,1),'עסקאות'!$A$2:$A$1958,"&lt;"&amp;DATE(2027,1,1))</x:f>
        <x:v>0</x:v>
      </x:c>
    </x:row>
    <x:row r="136">
      <x:c r="B136" s="11" t="str">
        <x:v>צלחות</x:v>
      </x:c>
      <x:c r="C136" s="11" t="str">
        <x:v>קניות לבית</x:v>
      </x:c>
      <x:c r="D136" s="11" t="n">
        <x:v>2</x:v>
      </x:c>
      <x:c r="E136" s="11" t="n">
        <x:v>1</x:v>
      </x:c>
      <x:c r="F136" s="16" t="n">
        <x:f>SUMIFS('עסקאות'!$M$2:$M$1958,'עסקאות'!$F$2:$F$1958,B136)</x:f>
        <x:v>698</x:v>
      </x:c>
      <x:c r="G136" s="16" t="n">
        <x:f>IF(D136=0,"",F136/D136)</x:f>
        <x:v>349</x:v>
      </x:c>
      <x:c r="H136" s="16" t="n">
        <x:f>F136/20</x:f>
        <x:v>34.9</x:v>
      </x:c>
      <x:c r="I136" s="16" t="n">
        <x:f>SUMIFS('עסקאות'!$M$2:$M$1958,'עסקאות'!$F$2:$F$1958,B136,'עסקאות'!$A$2:$A$1958,"&gt;="&amp;DATE(2025,1,1),'עסקאות'!$A$2:$A$1958,"&lt;"&amp;DATE(2026,1,1))</x:f>
        <x:v>698</x:v>
      </x:c>
      <x:c r="J136" s="16" t="n">
        <x:f>SUMIFS('עסקאות'!$M$2:$M$1958,'עסקאות'!$F$2:$F$1958,B136,'עסקאות'!$A$2:$A$1958,"&gt;="&amp;DATE(2026,1,1),'עסקאות'!$A$2:$A$1958,"&lt;"&amp;DATE(2027,1,1))</x:f>
        <x:v>0</x:v>
      </x:c>
    </x:row>
    <x:row r="137">
      <x:c r="B137" s="11" t="str">
        <x:v>האקדמיה האורגזמית</x:v>
      </x:c>
      <x:c r="C137" s="11" t="str">
        <x:v>בריאות וטיפולים</x:v>
      </x:c>
      <x:c r="D137" s="11" t="n">
        <x:v>7</x:v>
      </x:c>
      <x:c r="E137" s="11" t="n">
        <x:v>7</x:v>
      </x:c>
      <x:c r="F137" s="16" t="n">
        <x:f>SUMIFS('עסקאות'!$M$2:$M$1958,'עסקאות'!$F$2:$F$1958,B137)</x:f>
        <x:v>679</x:v>
      </x:c>
      <x:c r="G137" s="16" t="n">
        <x:f>IF(D137=0,"",F137/D137)</x:f>
        <x:v>97</x:v>
      </x:c>
      <x:c r="H137" s="16" t="n">
        <x:f>F137/20</x:f>
        <x:v>33.95</x:v>
      </x:c>
      <x:c r="I137" s="16" t="n">
        <x:f>SUMIFS('עסקאות'!$M$2:$M$1958,'עסקאות'!$F$2:$F$1958,B137,'עסקאות'!$A$2:$A$1958,"&gt;="&amp;DATE(2025,1,1),'עסקאות'!$A$2:$A$1958,"&lt;"&amp;DATE(2026,1,1))</x:f>
        <x:v>0</x:v>
      </x:c>
      <x:c r="J137" s="16" t="n">
        <x:f>SUMIFS('עסקאות'!$M$2:$M$1958,'עסקאות'!$F$2:$F$1958,B137,'עסקאות'!$A$2:$A$1958,"&gt;="&amp;DATE(2026,1,1),'עסקאות'!$A$2:$A$1958,"&lt;"&amp;DATE(2027,1,1))</x:f>
        <x:v>679</x:v>
      </x:c>
    </x:row>
    <x:row r="138">
      <x:c r="B138" s="11" t="str">
        <x:v>אדיב חולצות מודפסות</x:v>
      </x:c>
      <x:c r="C138" s="11" t="str">
        <x:v>מתנה</x:v>
      </x:c>
      <x:c r="D138" s="11" t="n">
        <x:v>2</x:v>
      </x:c>
      <x:c r="E138" s="11" t="n">
        <x:v>2</x:v>
      </x:c>
      <x:c r="F138" s="16" t="n">
        <x:f>SUMIFS('עסקאות'!$M$2:$M$1958,'עסקאות'!$F$2:$F$1958,B138)</x:f>
        <x:v>679</x:v>
      </x:c>
      <x:c r="G138" s="16" t="n">
        <x:f>IF(D138=0,"",F138/D138)</x:f>
        <x:v>339.5</x:v>
      </x:c>
      <x:c r="H138" s="16" t="n">
        <x:f>F138/20</x:f>
        <x:v>33.95</x:v>
      </x:c>
      <x:c r="I138" s="16" t="n">
        <x:f>SUMIFS('עסקאות'!$M$2:$M$1958,'עסקאות'!$F$2:$F$1958,B138,'עסקאות'!$A$2:$A$1958,"&gt;="&amp;DATE(2025,1,1),'עסקאות'!$A$2:$A$1958,"&lt;"&amp;DATE(2026,1,1))</x:f>
        <x:v>0</x:v>
      </x:c>
      <x:c r="J138" s="16" t="n">
        <x:f>SUMIFS('עסקאות'!$M$2:$M$1958,'עסקאות'!$F$2:$F$1958,B138,'עסקאות'!$A$2:$A$1958,"&gt;="&amp;DATE(2026,1,1),'עסקאות'!$A$2:$A$1958,"&lt;"&amp;DATE(2027,1,1))</x:f>
        <x:v>679</x:v>
      </x:c>
    </x:row>
    <x:row r="139">
      <x:c r="B139" s="11" t="str">
        <x:v>עלי אקספרס</x:v>
      </x:c>
      <x:c r="C139" s="11" t="str">
        <x:v>חתונה</x:v>
      </x:c>
      <x:c r="D139" s="11" t="n">
        <x:v>6</x:v>
      </x:c>
      <x:c r="E139" s="11" t="n">
        <x:v>1</x:v>
      </x:c>
      <x:c r="F139" s="16" t="n">
        <x:f>SUMIFS('עסקאות'!$M$2:$M$1958,'עסקאות'!$F$2:$F$1958,B139)</x:f>
        <x:v>672</x:v>
      </x:c>
      <x:c r="G139" s="16" t="n">
        <x:f>IF(D139=0,"",F139/D139)</x:f>
        <x:v>112</x:v>
      </x:c>
      <x:c r="H139" s="16" t="n">
        <x:f>F139/20</x:f>
        <x:v>33.6</x:v>
      </x:c>
      <x:c r="I139" s="16" t="n">
        <x:f>SUMIFS('עסקאות'!$M$2:$M$1958,'עסקאות'!$F$2:$F$1958,B139,'עסקאות'!$A$2:$A$1958,"&gt;="&amp;DATE(2025,1,1),'עסקאות'!$A$2:$A$1958,"&lt;"&amp;DATE(2026,1,1))</x:f>
        <x:v>672</x:v>
      </x:c>
      <x:c r="J139" s="16" t="n">
        <x:f>SUMIFS('עסקאות'!$M$2:$M$1958,'עסקאות'!$F$2:$F$1958,B139,'עסקאות'!$A$2:$A$1958,"&gt;="&amp;DATE(2026,1,1),'עסקאות'!$A$2:$A$1958,"&lt;"&amp;DATE(2027,1,1))</x:f>
        <x:v>0</x:v>
      </x:c>
    </x:row>
    <x:row r="140">
      <x:c r="B140" s="11" t="str">
        <x:v>טיסה קפריסין</x:v>
      </x:c>
      <x:c r="C140" s="11" t="str">
        <x:v>נסיעות וחופשות</x:v>
      </x:c>
      <x:c r="D140" s="11" t="n">
        <x:v>1</x:v>
      </x:c>
      <x:c r="E140" s="11" t="n">
        <x:v>1</x:v>
      </x:c>
      <x:c r="F140" s="16" t="n">
        <x:f>SUMIFS('עסקאות'!$M$2:$M$1958,'עסקאות'!$F$2:$F$1958,B140)</x:f>
        <x:v>663</x:v>
      </x:c>
      <x:c r="G140" s="16" t="n">
        <x:f>IF(D140=0,"",F140/D140)</x:f>
        <x:v>663</x:v>
      </x:c>
      <x:c r="H140" s="16" t="n">
        <x:f>F140/20</x:f>
        <x:v>33.15</x:v>
      </x:c>
      <x:c r="I140" s="16" t="n">
        <x:f>SUMIFS('עסקאות'!$M$2:$M$1958,'עסקאות'!$F$2:$F$1958,B140,'עסקאות'!$A$2:$A$1958,"&gt;="&amp;DATE(2025,1,1),'עסקאות'!$A$2:$A$1958,"&lt;"&amp;DATE(2026,1,1))</x:f>
        <x:v>663</x:v>
      </x:c>
      <x:c r="J140" s="16" t="n">
        <x:f>SUMIFS('עסקאות'!$M$2:$M$1958,'עסקאות'!$F$2:$F$1958,B140,'עסקאות'!$A$2:$A$1958,"&gt;="&amp;DATE(2026,1,1),'עסקאות'!$A$2:$A$1958,"&lt;"&amp;DATE(2027,1,1))</x:f>
        <x:v>0</x:v>
      </x:c>
    </x:row>
    <x:row r="141">
      <x:c r="B141" s="11" t="str">
        <x:v>ביטוח חיים</x:v>
      </x:c>
      <x:c r="C141" s="11" t="str">
        <x:v>נכס להשקעה</x:v>
      </x:c>
      <x:c r="D141" s="11" t="n">
        <x:v>20</x:v>
      </x:c>
      <x:c r="E141" s="11" t="n">
        <x:v>20</x:v>
      </x:c>
      <x:c r="F141" s="16" t="n">
        <x:f>SUMIFS('עסקאות'!$M$2:$M$1958,'עסקאות'!$F$2:$F$1958,B141)</x:f>
        <x:v>660</x:v>
      </x:c>
      <x:c r="G141" s="16" t="n">
        <x:f>IF(D141=0,"",F141/D141)</x:f>
        <x:v>33</x:v>
      </x:c>
      <x:c r="H141" s="16" t="n">
        <x:f>F141/20</x:f>
        <x:v>33</x:v>
      </x:c>
      <x:c r="I141" s="16" t="n">
        <x:f>SUMIFS('עסקאות'!$M$2:$M$1958,'עסקאות'!$F$2:$F$1958,B141,'עסקאות'!$A$2:$A$1958,"&gt;="&amp;DATE(2025,1,1),'עסקאות'!$A$2:$A$1958,"&lt;"&amp;DATE(2026,1,1))</x:f>
        <x:v>372</x:v>
      </x:c>
      <x:c r="J141" s="16" t="n">
        <x:f>SUMIFS('עסקאות'!$M$2:$M$1958,'עסקאות'!$F$2:$F$1958,B141,'עסקאות'!$A$2:$A$1958,"&gt;="&amp;DATE(2026,1,1),'עסקאות'!$A$2:$A$1958,"&lt;"&amp;DATE(2027,1,1))</x:f>
        <x:v>288</x:v>
      </x:c>
    </x:row>
    <x:row r="142">
      <x:c r="B142" s="11" t="str">
        <x:v>גבות</x:v>
      </x:c>
      <x:c r="C142" s="11" t="str">
        <x:v>קוסמטיקה</x:v>
      </x:c>
      <x:c r="D142" s="11" t="n">
        <x:v>10</x:v>
      </x:c>
      <x:c r="E142" s="11" t="n">
        <x:v>10</x:v>
      </x:c>
      <x:c r="F142" s="16" t="n">
        <x:f>SUMIFS('עסקאות'!$M$2:$M$1958,'עסקאות'!$F$2:$F$1958,B142)</x:f>
        <x:v>658</x:v>
      </x:c>
      <x:c r="G142" s="16" t="n">
        <x:f>IF(D142=0,"",F142/D142)</x:f>
        <x:v>65.8</x:v>
      </x:c>
      <x:c r="H142" s="16" t="n">
        <x:f>F142/20</x:f>
        <x:v>32.9</x:v>
      </x:c>
      <x:c r="I142" s="16" t="n">
        <x:f>SUMIFS('עסקאות'!$M$2:$M$1958,'עסקאות'!$F$2:$F$1958,B142,'עסקאות'!$A$2:$A$1958,"&gt;="&amp;DATE(2025,1,1),'עסקאות'!$A$2:$A$1958,"&lt;"&amp;DATE(2026,1,1))</x:f>
        <x:v>418</x:v>
      </x:c>
      <x:c r="J142" s="16" t="n">
        <x:f>SUMIFS('עסקאות'!$M$2:$M$1958,'עסקאות'!$F$2:$F$1958,B142,'עסקאות'!$A$2:$A$1958,"&gt;="&amp;DATE(2026,1,1),'עסקאות'!$A$2:$A$1958,"&lt;"&amp;DATE(2027,1,1))</x:f>
        <x:v>240</x:v>
      </x:c>
    </x:row>
    <x:row r="143">
      <x:c r="B143" s="11" t="str">
        <x:v>תיקונים לשמלה</x:v>
      </x:c>
      <x:c r="C143" s="11" t="str">
        <x:v>חתונה</x:v>
      </x:c>
      <x:c r="D143" s="11" t="n">
        <x:v>1</x:v>
      </x:c>
      <x:c r="E143" s="11" t="n">
        <x:v>1</x:v>
      </x:c>
      <x:c r="F143" s="16" t="n">
        <x:f>SUMIFS('עסקאות'!$M$2:$M$1958,'עסקאות'!$F$2:$F$1958,B143)</x:f>
        <x:v>650</x:v>
      </x:c>
      <x:c r="G143" s="16" t="n">
        <x:f>IF(D143=0,"",F143/D143)</x:f>
        <x:v>650</x:v>
      </x:c>
      <x:c r="H143" s="16" t="n">
        <x:f>F143/20</x:f>
        <x:v>32.5</x:v>
      </x:c>
      <x:c r="I143" s="16" t="n">
        <x:f>SUMIFS('עסקאות'!$M$2:$M$1958,'עסקאות'!$F$2:$F$1958,B143,'עסקאות'!$A$2:$A$1958,"&gt;="&amp;DATE(2025,1,1),'עסקאות'!$A$2:$A$1958,"&lt;"&amp;DATE(2026,1,1))</x:f>
        <x:v>650</x:v>
      </x:c>
      <x:c r="J143" s="16" t="n">
        <x:f>SUMIFS('עסקאות'!$M$2:$M$1958,'עסקאות'!$F$2:$F$1958,B143,'עסקאות'!$A$2:$A$1958,"&gt;="&amp;DATE(2026,1,1),'עסקאות'!$A$2:$A$1958,"&lt;"&amp;DATE(2027,1,1))</x:f>
        <x:v>0</x:v>
      </x:c>
    </x:row>
    <x:row r="144">
      <x:c r="B144" s="11" t="str">
        <x:v>רמי לוי</x:v>
      </x:c>
      <x:c r="C144" s="11" t="str">
        <x:v>מזון לבית</x:v>
      </x:c>
      <x:c r="D144" s="11" t="n">
        <x:v>2</x:v>
      </x:c>
      <x:c r="E144" s="11" t="n">
        <x:v>2</x:v>
      </x:c>
      <x:c r="F144" s="16" t="n">
        <x:f>SUMIFS('עסקאות'!$M$2:$M$1958,'עסקאות'!$F$2:$F$1958,B144)</x:f>
        <x:v>650</x:v>
      </x:c>
      <x:c r="G144" s="16" t="n">
        <x:f>IF(D144=0,"",F144/D144)</x:f>
        <x:v>325</x:v>
      </x:c>
      <x:c r="H144" s="16" t="n">
        <x:f>F144/20</x:f>
        <x:v>32.5</x:v>
      </x:c>
      <x:c r="I144" s="16" t="n">
        <x:f>SUMIFS('עסקאות'!$M$2:$M$1958,'עסקאות'!$F$2:$F$1958,B144,'עסקאות'!$A$2:$A$1958,"&gt;="&amp;DATE(2025,1,1),'עסקאות'!$A$2:$A$1958,"&lt;"&amp;DATE(2026,1,1))</x:f>
        <x:v>650</x:v>
      </x:c>
      <x:c r="J144" s="16" t="n">
        <x:f>SUMIFS('עסקאות'!$M$2:$M$1958,'עסקאות'!$F$2:$F$1958,B144,'עסקאות'!$A$2:$A$1958,"&gt;="&amp;DATE(2026,1,1),'עסקאות'!$A$2:$A$1958,"&lt;"&amp;DATE(2027,1,1))</x:f>
        <x:v>0</x:v>
      </x:c>
    </x:row>
    <x:row r="145">
      <x:c r="B145" s="11" t="str">
        <x:v>לוכד לחות</x:v>
      </x:c>
      <x:c r="C145" s="11" t="str">
        <x:v>קניות לבית</x:v>
      </x:c>
      <x:c r="D145" s="11" t="n">
        <x:v>1</x:v>
      </x:c>
      <x:c r="E145" s="11" t="n">
        <x:v>1</x:v>
      </x:c>
      <x:c r="F145" s="16" t="n">
        <x:f>SUMIFS('עסקאות'!$M$2:$M$1958,'עסקאות'!$F$2:$F$1958,B145)</x:f>
        <x:v>650</x:v>
      </x:c>
      <x:c r="G145" s="16" t="n">
        <x:f>IF(D145=0,"",F145/D145)</x:f>
        <x:v>650</x:v>
      </x:c>
      <x:c r="H145" s="16" t="n">
        <x:f>F145/20</x:f>
        <x:v>32.5</x:v>
      </x:c>
      <x:c r="I145" s="16" t="n">
        <x:f>SUMIFS('עסקאות'!$M$2:$M$1958,'עסקאות'!$F$2:$F$1958,B145,'עסקאות'!$A$2:$A$1958,"&gt;="&amp;DATE(2025,1,1),'עסקאות'!$A$2:$A$1958,"&lt;"&amp;DATE(2026,1,1))</x:f>
        <x:v>0</x:v>
      </x:c>
      <x:c r="J145" s="16" t="n">
        <x:f>SUMIFS('עסקאות'!$M$2:$M$1958,'עסקאות'!$F$2:$F$1958,B145,'עסקאות'!$A$2:$A$1958,"&gt;="&amp;DATE(2026,1,1),'עסקאות'!$A$2:$A$1958,"&lt;"&amp;DATE(2027,1,1))</x:f>
        <x:v>650</x:v>
      </x:c>
    </x:row>
    <x:row r="146">
      <x:c r="B146" s="11" t="str">
        <x:v>קינדל</x:v>
      </x:c>
      <x:c r="C146" s="11" t="str">
        <x:v>אלקטרוניקה</x:v>
      </x:c>
      <x:c r="D146" s="11" t="n">
        <x:v>1</x:v>
      </x:c>
      <x:c r="E146" s="11" t="n">
        <x:v>1</x:v>
      </x:c>
      <x:c r="F146" s="16" t="n">
        <x:f>SUMIFS('עסקאות'!$M$2:$M$1958,'עסקאות'!$F$2:$F$1958,B146)</x:f>
        <x:v>649</x:v>
      </x:c>
      <x:c r="G146" s="16" t="n">
        <x:f>IF(D146=0,"",F146/D146)</x:f>
        <x:v>649</x:v>
      </x:c>
      <x:c r="H146" s="16" t="n">
        <x:f>F146/20</x:f>
        <x:v>32.45</x:v>
      </x:c>
      <x:c r="I146" s="16" t="n">
        <x:f>SUMIFS('עסקאות'!$M$2:$M$1958,'עסקאות'!$F$2:$F$1958,B146,'עסקאות'!$A$2:$A$1958,"&gt;="&amp;DATE(2025,1,1),'עסקאות'!$A$2:$A$1958,"&lt;"&amp;DATE(2026,1,1))</x:f>
        <x:v>0</x:v>
      </x:c>
      <x:c r="J146" s="16" t="n">
        <x:f>SUMIFS('עסקאות'!$M$2:$M$1958,'עסקאות'!$F$2:$F$1958,B146,'עסקאות'!$A$2:$A$1958,"&gt;="&amp;DATE(2026,1,1),'עסקאות'!$A$2:$A$1958,"&lt;"&amp;DATE(2027,1,1))</x:f>
        <x:v>649</x:v>
      </x:c>
    </x:row>
    <x:row r="147">
      <x:c r="B147" s="11" t="str">
        <x:v>ירקות</x:v>
      </x:c>
      <x:c r="C147" s="11" t="str">
        <x:v>מזון לבית</x:v>
      </x:c>
      <x:c r="D147" s="11" t="n">
        <x:v>21</x:v>
      </x:c>
      <x:c r="E147" s="11" t="n">
        <x:v>4</x:v>
      </x:c>
      <x:c r="F147" s="16" t="n">
        <x:f>SUMIFS('עסקאות'!$M$2:$M$1958,'עסקאות'!$F$2:$F$1958,B147)</x:f>
        <x:v>620</x:v>
      </x:c>
      <x:c r="G147" s="16" t="n">
        <x:f>IF(D147=0,"",F147/D147)</x:f>
        <x:v>29.523809523809526</x:v>
      </x:c>
      <x:c r="H147" s="16" t="n">
        <x:f>F147/20</x:f>
        <x:v>31</x:v>
      </x:c>
      <x:c r="I147" s="16" t="n">
        <x:f>SUMIFS('עסקאות'!$M$2:$M$1958,'עסקאות'!$F$2:$F$1958,B147,'עסקאות'!$A$2:$A$1958,"&gt;="&amp;DATE(2025,1,1),'עסקאות'!$A$2:$A$1958,"&lt;"&amp;DATE(2026,1,1))</x:f>
        <x:v>620</x:v>
      </x:c>
      <x:c r="J147" s="16" t="n">
        <x:f>SUMIFS('עסקאות'!$M$2:$M$1958,'עסקאות'!$F$2:$F$1958,B147,'עסקאות'!$A$2:$A$1958,"&gt;="&amp;DATE(2026,1,1),'עסקאות'!$A$2:$A$1958,"&lt;"&amp;DATE(2027,1,1))</x:f>
        <x:v>0</x:v>
      </x:c>
    </x:row>
    <x:row r="148">
      <x:c r="B148" s="11" t="str">
        <x:v>אגרת בית משפט הסכם ממון</x:v>
      </x:c>
      <x:c r="C148" s="11" t="str">
        <x:v>אחר</x:v>
      </x:c>
      <x:c r="D148" s="11" t="n">
        <x:v>1</x:v>
      </x:c>
      <x:c r="E148" s="11" t="n">
        <x:v>1</x:v>
      </x:c>
      <x:c r="F148" s="16" t="n">
        <x:f>SUMIFS('עסקאות'!$M$2:$M$1958,'עסקאות'!$F$2:$F$1958,B148)</x:f>
        <x:v>615</x:v>
      </x:c>
      <x:c r="G148" s="16" t="n">
        <x:f>IF(D148=0,"",F148/D148)</x:f>
        <x:v>615</x:v>
      </x:c>
      <x:c r="H148" s="16" t="n">
        <x:f>F148/20</x:f>
        <x:v>30.75</x:v>
      </x:c>
      <x:c r="I148" s="16" t="n">
        <x:f>SUMIFS('עסקאות'!$M$2:$M$1958,'עסקאות'!$F$2:$F$1958,B148,'עסקאות'!$A$2:$A$1958,"&gt;="&amp;DATE(2025,1,1),'עסקאות'!$A$2:$A$1958,"&lt;"&amp;DATE(2026,1,1))</x:f>
        <x:v>615</x:v>
      </x:c>
      <x:c r="J148" s="16" t="n">
        <x:f>SUMIFS('עסקאות'!$M$2:$M$1958,'עסקאות'!$F$2:$F$1958,B148,'עסקאות'!$A$2:$A$1958,"&gt;="&amp;DATE(2026,1,1),'עסקאות'!$A$2:$A$1958,"&lt;"&amp;DATE(2027,1,1))</x:f>
        <x:v>0</x:v>
      </x:c>
    </x:row>
    <x:row r="149">
      <x:c r="B149" s="11" t="str">
        <x:v>סופר פארם</x:v>
      </x:c>
      <x:c r="C149" s="11" t="str">
        <x:v>בריאות וטיפולים</x:v>
      </x:c>
      <x:c r="D149" s="11" t="n">
        <x:v>8</x:v>
      </x:c>
      <x:c r="E149" s="11" t="n">
        <x:v>5</x:v>
      </x:c>
      <x:c r="F149" s="16" t="n">
        <x:f>SUMIFS('עסקאות'!$M$2:$M$1958,'עסקאות'!$F$2:$F$1958,B149)</x:f>
        <x:v>607</x:v>
      </x:c>
      <x:c r="G149" s="16" t="n">
        <x:f>IF(D149=0,"",F149/D149)</x:f>
        <x:v>75.875</x:v>
      </x:c>
      <x:c r="H149" s="16" t="n">
        <x:f>F149/20</x:f>
        <x:v>30.35</x:v>
      </x:c>
      <x:c r="I149" s="16" t="n">
        <x:f>SUMIFS('עסקאות'!$M$2:$M$1958,'עסקאות'!$F$2:$F$1958,B149,'עסקאות'!$A$2:$A$1958,"&gt;="&amp;DATE(2025,1,1),'עסקאות'!$A$2:$A$1958,"&lt;"&amp;DATE(2026,1,1))</x:f>
        <x:v>607</x:v>
      </x:c>
      <x:c r="J149" s="16" t="n">
        <x:f>SUMIFS('עסקאות'!$M$2:$M$1958,'עסקאות'!$F$2:$F$1958,B149,'עסקאות'!$A$2:$A$1958,"&gt;="&amp;DATE(2026,1,1),'עסקאות'!$A$2:$A$1958,"&lt;"&amp;DATE(2027,1,1))</x:f>
        <x:v>0</x:v>
      </x:c>
    </x:row>
    <x:row r="150">
      <x:c r="B150" s="11" t="str">
        <x:v>ביט (אינסטלטור)</x:v>
      </x:c>
      <x:c r="C150" s="11" t="str">
        <x:v>נכס להשקעה</x:v>
      </x:c>
      <x:c r="D150" s="11" t="n">
        <x:v>1</x:v>
      </x:c>
      <x:c r="E150" s="11" t="n">
        <x:v>1</x:v>
      </x:c>
      <x:c r="F150" s="16" t="n">
        <x:f>SUMIFS('עסקאות'!$M$2:$M$1958,'עסקאות'!$F$2:$F$1958,B150)</x:f>
        <x:v>600</x:v>
      </x:c>
      <x:c r="G150" s="16" t="n">
        <x:f>IF(D150=0,"",F150/D150)</x:f>
        <x:v>600</x:v>
      </x:c>
      <x:c r="H150" s="16" t="n">
        <x:f>F150/20</x:f>
        <x:v>30</x:v>
      </x:c>
      <x:c r="I150" s="16" t="n">
        <x:f>SUMIFS('עסקאות'!$M$2:$M$1958,'עסקאות'!$F$2:$F$1958,B150,'עסקאות'!$A$2:$A$1958,"&gt;="&amp;DATE(2025,1,1),'עסקאות'!$A$2:$A$1958,"&lt;"&amp;DATE(2026,1,1))</x:f>
        <x:v>600</x:v>
      </x:c>
      <x:c r="J150" s="16" t="n">
        <x:f>SUMIFS('עסקאות'!$M$2:$M$1958,'עסקאות'!$F$2:$F$1958,B150,'עסקאות'!$A$2:$A$1958,"&gt;="&amp;DATE(2026,1,1),'עסקאות'!$A$2:$A$1958,"&lt;"&amp;DATE(2027,1,1))</x:f>
        <x:v>0</x:v>
      </x:c>
    </x:row>
    <x:row r="151">
      <x:c r="B151" s="11" t="str">
        <x:v>חתונה עמית</x:v>
      </x:c>
      <x:c r="C151" s="11" t="str">
        <x:v>מתנה</x:v>
      </x:c>
      <x:c r="D151" s="11" t="n">
        <x:v>1</x:v>
      </x:c>
      <x:c r="E151" s="11" t="n">
        <x:v>1</x:v>
      </x:c>
      <x:c r="F151" s="16" t="n">
        <x:f>SUMIFS('עסקאות'!$M$2:$M$1958,'עסקאות'!$F$2:$F$1958,B151)</x:f>
        <x:v>600</x:v>
      </x:c>
      <x:c r="G151" s="16" t="n">
        <x:f>IF(D151=0,"",F151/D151)</x:f>
        <x:v>600</x:v>
      </x:c>
      <x:c r="H151" s="16" t="n">
        <x:f>F151/20</x:f>
        <x:v>30</x:v>
      </x:c>
      <x:c r="I151" s="16" t="n">
        <x:f>SUMIFS('עסקאות'!$M$2:$M$1958,'עסקאות'!$F$2:$F$1958,B151,'עסקאות'!$A$2:$A$1958,"&gt;="&amp;DATE(2025,1,1),'עסקאות'!$A$2:$A$1958,"&lt;"&amp;DATE(2026,1,1))</x:f>
        <x:v>600</x:v>
      </x:c>
      <x:c r="J151" s="16" t="n">
        <x:f>SUMIFS('עסקאות'!$M$2:$M$1958,'עסקאות'!$F$2:$F$1958,B151,'עסקאות'!$A$2:$A$1958,"&gt;="&amp;DATE(2026,1,1),'עסקאות'!$A$2:$A$1958,"&lt;"&amp;DATE(2027,1,1))</x:f>
        <x:v>0</x:v>
      </x:c>
    </x:row>
    <x:row r="152">
      <x:c r="B152" s="11" t="str">
        <x:v>נעלי כלה</x:v>
      </x:c>
      <x:c r="C152" s="11" t="str">
        <x:v>חתונה</x:v>
      </x:c>
      <x:c r="D152" s="11" t="n">
        <x:v>1</x:v>
      </x:c>
      <x:c r="E152" s="11" t="n">
        <x:v>1</x:v>
      </x:c>
      <x:c r="F152" s="16" t="n">
        <x:f>SUMIFS('עסקאות'!$M$2:$M$1958,'עסקאות'!$F$2:$F$1958,B152)</x:f>
        <x:v>600</x:v>
      </x:c>
      <x:c r="G152" s="16" t="n">
        <x:f>IF(D152=0,"",F152/D152)</x:f>
        <x:v>600</x:v>
      </x:c>
      <x:c r="H152" s="16" t="n">
        <x:f>F152/20</x:f>
        <x:v>30</x:v>
      </x:c>
      <x:c r="I152" s="16" t="n">
        <x:f>SUMIFS('עסקאות'!$M$2:$M$1958,'עסקאות'!$F$2:$F$1958,B152,'עסקאות'!$A$2:$A$1958,"&gt;="&amp;DATE(2025,1,1),'עסקאות'!$A$2:$A$1958,"&lt;"&amp;DATE(2026,1,1))</x:f>
        <x:v>600</x:v>
      </x:c>
      <x:c r="J152" s="16" t="n">
        <x:f>SUMIFS('עסקאות'!$M$2:$M$1958,'עסקאות'!$F$2:$F$1958,B152,'עסקאות'!$A$2:$A$1958,"&gt;="&amp;DATE(2026,1,1),'עסקאות'!$A$2:$A$1958,"&lt;"&amp;DATE(2027,1,1))</x:f>
        <x:v>0</x:v>
      </x:c>
    </x:row>
    <x:row r="153">
      <x:c r="B153" s="11" t="str">
        <x:v>דרך אלפינית</x:v>
      </x:c>
      <x:c r="C153" s="11" t="str">
        <x:v>נסיעות וחופשות</x:v>
      </x:c>
      <x:c r="D153" s="11" t="n">
        <x:v>1</x:v>
      </x:c>
      <x:c r="E153" s="11" t="n">
        <x:v>1</x:v>
      </x:c>
      <x:c r="F153" s="16" t="n">
        <x:f>SUMIFS('עסקאות'!$M$2:$M$1958,'עסקאות'!$F$2:$F$1958,B153)</x:f>
        <x:v>591</x:v>
      </x:c>
      <x:c r="G153" s="16" t="n">
        <x:f>IF(D153=0,"",F153/D153)</x:f>
        <x:v>591</x:v>
      </x:c>
      <x:c r="H153" s="16" t="n">
        <x:f>F153/20</x:f>
        <x:v>29.55</x:v>
      </x:c>
      <x:c r="I153" s="16" t="n">
        <x:f>SUMIFS('עסקאות'!$M$2:$M$1958,'עסקאות'!$F$2:$F$1958,B153,'עסקאות'!$A$2:$A$1958,"&gt;="&amp;DATE(2025,1,1),'עסקאות'!$A$2:$A$1958,"&lt;"&amp;DATE(2026,1,1))</x:f>
        <x:v>591</x:v>
      </x:c>
      <x:c r="J153" s="16" t="n">
        <x:f>SUMIFS('עסקאות'!$M$2:$M$1958,'עסקאות'!$F$2:$F$1958,B153,'עסקאות'!$A$2:$A$1958,"&gt;="&amp;DATE(2026,1,1),'עסקאות'!$A$2:$A$1958,"&lt;"&amp;DATE(2027,1,1))</x:f>
        <x:v>0</x:v>
      </x:c>
    </x:row>
    <x:row r="154">
      <x:c r="B154" s="11" t="str">
        <x:v>חשמלאי</x:v>
      </x:c>
      <x:c r="C154" s="11" t="str">
        <x:v>נכס להשקעה</x:v>
      </x:c>
      <x:c r="D154" s="11" t="n">
        <x:v>1</x:v>
      </x:c>
      <x:c r="E154" s="11" t="n">
        <x:v>1</x:v>
      </x:c>
      <x:c r="F154" s="16" t="n">
        <x:f>SUMIFS('עסקאות'!$M$2:$M$1958,'עסקאות'!$F$2:$F$1958,B154)</x:f>
        <x:v>575</x:v>
      </x:c>
      <x:c r="G154" s="16" t="n">
        <x:f>IF(D154=0,"",F154/D154)</x:f>
        <x:v>575</x:v>
      </x:c>
      <x:c r="H154" s="16" t="n">
        <x:f>F154/20</x:f>
        <x:v>28.75</x:v>
      </x:c>
      <x:c r="I154" s="16" t="n">
        <x:f>SUMIFS('עסקאות'!$M$2:$M$1958,'עסקאות'!$F$2:$F$1958,B154,'עסקאות'!$A$2:$A$1958,"&gt;="&amp;DATE(2025,1,1),'עסקאות'!$A$2:$A$1958,"&lt;"&amp;DATE(2026,1,1))</x:f>
        <x:v>575</x:v>
      </x:c>
      <x:c r="J154" s="16" t="n">
        <x:f>SUMIFS('עסקאות'!$M$2:$M$1958,'עסקאות'!$F$2:$F$1958,B154,'עסקאות'!$A$2:$A$1958,"&gt;="&amp;DATE(2026,1,1),'עסקאות'!$A$2:$A$1958,"&lt;"&amp;DATE(2027,1,1))</x:f>
        <x:v>0</x:v>
      </x:c>
    </x:row>
    <x:row r="155">
      <x:c r="B155" s="11" t="str">
        <x:v>רכב ניקו</x:v>
      </x:c>
      <x:c r="C155" s="11" t="str">
        <x:v>נסיעות וחופשות</x:v>
      </x:c>
      <x:c r="D155" s="11" t="n">
        <x:v>2</x:v>
      </x:c>
      <x:c r="E155" s="11" t="n">
        <x:v>1</x:v>
      </x:c>
      <x:c r="F155" s="16" t="n">
        <x:f>SUMIFS('עסקאות'!$M$2:$M$1958,'עסקאות'!$F$2:$F$1958,B155)</x:f>
        <x:v>560</x:v>
      </x:c>
      <x:c r="G155" s="16" t="n">
        <x:f>IF(D155=0,"",F155/D155)</x:f>
        <x:v>280</x:v>
      </x:c>
      <x:c r="H155" s="16" t="n">
        <x:f>F155/20</x:f>
        <x:v>28</x:v>
      </x:c>
      <x:c r="I155" s="16" t="n">
        <x:f>SUMIFS('עסקאות'!$M$2:$M$1958,'עסקאות'!$F$2:$F$1958,B155,'עסקאות'!$A$2:$A$1958,"&gt;="&amp;DATE(2025,1,1),'עסקאות'!$A$2:$A$1958,"&lt;"&amp;DATE(2026,1,1))</x:f>
        <x:v>560</x:v>
      </x:c>
      <x:c r="J155" s="16" t="n">
        <x:f>SUMIFS('עסקאות'!$M$2:$M$1958,'עסקאות'!$F$2:$F$1958,B155,'עסקאות'!$A$2:$A$1958,"&gt;="&amp;DATE(2026,1,1),'עסקאות'!$A$2:$A$1958,"&lt;"&amp;DATE(2027,1,1))</x:f>
        <x:v>0</x:v>
      </x:c>
    </x:row>
    <x:row r="156">
      <x:c r="B156" s="11" t="str">
        <x:v>יו יו טאי מסאג'</x:v>
      </x:c>
      <x:c r="C156" s="11" t="str">
        <x:v>פנאי</x:v>
      </x:c>
      <x:c r="D156" s="11" t="n">
        <x:v>1</x:v>
      </x:c>
      <x:c r="E156" s="11" t="n">
        <x:v>1</x:v>
      </x:c>
      <x:c r="F156" s="16" t="n">
        <x:f>SUMIFS('עסקאות'!$M$2:$M$1958,'עסקאות'!$F$2:$F$1958,B156)</x:f>
        <x:v>540</x:v>
      </x:c>
      <x:c r="G156" s="16" t="n">
        <x:f>IF(D156=0,"",F156/D156)</x:f>
        <x:v>540</x:v>
      </x:c>
      <x:c r="H156" s="16" t="n">
        <x:f>F156/20</x:f>
        <x:v>27</x:v>
      </x:c>
      <x:c r="I156" s="16" t="n">
        <x:f>SUMIFS('עסקאות'!$M$2:$M$1958,'עסקאות'!$F$2:$F$1958,B156,'עסקאות'!$A$2:$A$1958,"&gt;="&amp;DATE(2025,1,1),'עסקאות'!$A$2:$A$1958,"&lt;"&amp;DATE(2026,1,1))</x:f>
        <x:v>0</x:v>
      </x:c>
      <x:c r="J156" s="16" t="n">
        <x:f>SUMIFS('עסקאות'!$M$2:$M$1958,'עסקאות'!$F$2:$F$1958,B156,'עסקאות'!$A$2:$A$1958,"&gt;="&amp;DATE(2026,1,1),'עסקאות'!$A$2:$A$1958,"&lt;"&amp;DATE(2027,1,1))</x:f>
        <x:v>540</x:v>
      </x:c>
    </x:row>
    <x:row r="157">
      <x:c r="B157" s="11" t="str">
        <x:v>בר</x:v>
      </x:c>
      <x:c r="C157" s="11" t="str">
        <x:v>אוכל בחוץ</x:v>
      </x:c>
      <x:c r="D157" s="11" t="n">
        <x:v>4</x:v>
      </x:c>
      <x:c r="E157" s="11" t="n">
        <x:v>3</x:v>
      </x:c>
      <x:c r="F157" s="16" t="n">
        <x:f>SUMIFS('עסקאות'!$M$2:$M$1958,'עסקאות'!$F$2:$F$1958,B157)</x:f>
        <x:v>526</x:v>
      </x:c>
      <x:c r="G157" s="16" t="n">
        <x:f>IF(D157=0,"",F157/D157)</x:f>
        <x:v>131.5</x:v>
      </x:c>
      <x:c r="H157" s="16" t="n">
        <x:f>F157/20</x:f>
        <x:v>26.3</x:v>
      </x:c>
      <x:c r="I157" s="16" t="n">
        <x:f>SUMIFS('עסקאות'!$M$2:$M$1958,'עסקאות'!$F$2:$F$1958,B157,'עסקאות'!$A$2:$A$1958,"&gt;="&amp;DATE(2025,1,1),'עסקאות'!$A$2:$A$1958,"&lt;"&amp;DATE(2026,1,1))</x:f>
        <x:v>526</x:v>
      </x:c>
      <x:c r="J157" s="16" t="n">
        <x:f>SUMIFS('עסקאות'!$M$2:$M$1958,'עסקאות'!$F$2:$F$1958,B157,'עסקאות'!$A$2:$A$1958,"&gt;="&amp;DATE(2026,1,1),'עסקאות'!$A$2:$A$1958,"&lt;"&amp;DATE(2027,1,1))</x:f>
        <x:v>0</x:v>
      </x:c>
    </x:row>
    <x:row r="158">
      <x:c r="B158" s="11" t="str">
        <x:v>כוננית מיג'י</x:v>
      </x:c>
      <x:c r="C158" s="11" t="str">
        <x:v>תחביבים ומיג'י</x:v>
      </x:c>
      <x:c r="D158" s="11" t="n">
        <x:v>1</x:v>
      </x:c>
      <x:c r="E158" s="11" t="n">
        <x:v>1</x:v>
      </x:c>
      <x:c r="F158" s="16" t="n">
        <x:f>SUMIFS('עסקאות'!$M$2:$M$1958,'עסקאות'!$F$2:$F$1958,B158)</x:f>
        <x:v>524</x:v>
      </x:c>
      <x:c r="G158" s="16" t="n">
        <x:f>IF(D158=0,"",F158/D158)</x:f>
        <x:v>524</x:v>
      </x:c>
      <x:c r="H158" s="16" t="n">
        <x:f>F158/20</x:f>
        <x:v>26.2</x:v>
      </x:c>
      <x:c r="I158" s="16" t="n">
        <x:f>SUMIFS('עסקאות'!$M$2:$M$1958,'עסקאות'!$F$2:$F$1958,B158,'עסקאות'!$A$2:$A$1958,"&gt;="&amp;DATE(2025,1,1),'עסקאות'!$A$2:$A$1958,"&lt;"&amp;DATE(2026,1,1))</x:f>
        <x:v>0</x:v>
      </x:c>
      <x:c r="J158" s="16" t="n">
        <x:f>SUMIFS('עסקאות'!$M$2:$M$1958,'עסקאות'!$F$2:$F$1958,B158,'עסקאות'!$A$2:$A$1958,"&gt;="&amp;DATE(2026,1,1),'עסקאות'!$A$2:$A$1958,"&lt;"&amp;DATE(2027,1,1))</x:f>
        <x:v>524</x:v>
      </x:c>
    </x:row>
    <x:row r="159">
      <x:c r="B159" s="11" t="str">
        <x:v>אמריקן איגל גבעתיים-</x:v>
      </x:c>
      <x:c r="C159" s="11" t="str">
        <x:v>אופנה</x:v>
      </x:c>
      <x:c r="D159" s="11" t="n">
        <x:v>1</x:v>
      </x:c>
      <x:c r="E159" s="11" t="n">
        <x:v>1</x:v>
      </x:c>
      <x:c r="F159" s="16" t="n">
        <x:f>SUMIFS('עסקאות'!$M$2:$M$1958,'עסקאות'!$F$2:$F$1958,B159)</x:f>
        <x:v>520</x:v>
      </x:c>
      <x:c r="G159" s="16" t="n">
        <x:f>IF(D159=0,"",F159/D159)</x:f>
        <x:v>520</x:v>
      </x:c>
      <x:c r="H159" s="16" t="n">
        <x:f>F159/20</x:f>
        <x:v>26</x:v>
      </x:c>
      <x:c r="I159" s="16" t="n">
        <x:f>SUMIFS('עסקאות'!$M$2:$M$1958,'עסקאות'!$F$2:$F$1958,B159,'עסקאות'!$A$2:$A$1958,"&gt;="&amp;DATE(2025,1,1),'עסקאות'!$A$2:$A$1958,"&lt;"&amp;DATE(2026,1,1))</x:f>
        <x:v>0</x:v>
      </x:c>
      <x:c r="J159" s="16" t="n">
        <x:f>SUMIFS('עסקאות'!$M$2:$M$1958,'עסקאות'!$F$2:$F$1958,B159,'עסקאות'!$A$2:$A$1958,"&gt;="&amp;DATE(2026,1,1),'עסקאות'!$A$2:$A$1958,"&lt;"&amp;DATE(2027,1,1))</x:f>
        <x:v>520</x:v>
      </x:c>
    </x:row>
    <x:row r="160">
      <x:c r="B160" s="11" t="str">
        <x:v>מצלמה</x:v>
      </x:c>
      <x:c r="C160" s="11" t="str">
        <x:v>חתונה</x:v>
      </x:c>
      <x:c r="D160" s="11" t="n">
        <x:v>1</x:v>
      </x:c>
      <x:c r="E160" s="11" t="n">
        <x:v>1</x:v>
      </x:c>
      <x:c r="F160" s="16" t="n">
        <x:f>SUMIFS('עסקאות'!$M$2:$M$1958,'עסקאות'!$F$2:$F$1958,B160)</x:f>
        <x:v>517</x:v>
      </x:c>
      <x:c r="G160" s="16" t="n">
        <x:f>IF(D160=0,"",F160/D160)</x:f>
        <x:v>517</x:v>
      </x:c>
      <x:c r="H160" s="16" t="n">
        <x:f>F160/20</x:f>
        <x:v>25.85</x:v>
      </x:c>
      <x:c r="I160" s="16" t="n">
        <x:f>SUMIFS('עסקאות'!$M$2:$M$1958,'עסקאות'!$F$2:$F$1958,B160,'עסקאות'!$A$2:$A$1958,"&gt;="&amp;DATE(2025,1,1),'עסקאות'!$A$2:$A$1958,"&lt;"&amp;DATE(2026,1,1))</x:f>
        <x:v>517</x:v>
      </x:c>
      <x:c r="J160" s="16" t="n">
        <x:f>SUMIFS('עסקאות'!$M$2:$M$1958,'עסקאות'!$F$2:$F$1958,B160,'עסקאות'!$A$2:$A$1958,"&gt;="&amp;DATE(2026,1,1),'עסקאות'!$A$2:$A$1958,"&lt;"&amp;DATE(2027,1,1))</x:f>
        <x:v>0</x:v>
      </x:c>
    </x:row>
    <x:row r="161">
      <x:c r="B161" s="11" t="str">
        <x:v>אומנות</x:v>
      </x:c>
      <x:c r="C161" s="11" t="str">
        <x:v>תחביבים ומיג'י</x:v>
      </x:c>
      <x:c r="D161" s="11" t="n">
        <x:v>3</x:v>
      </x:c>
      <x:c r="E161" s="11" t="n">
        <x:v>1</x:v>
      </x:c>
      <x:c r="F161" s="16" t="n">
        <x:f>SUMIFS('עסקאות'!$M$2:$M$1958,'עסקאות'!$F$2:$F$1958,B161)</x:f>
        <x:v>512</x:v>
      </x:c>
      <x:c r="G161" s="16" t="n">
        <x:f>IF(D161=0,"",F161/D161)</x:f>
        <x:v>170.66666666666666</x:v>
      </x:c>
      <x:c r="H161" s="16" t="n">
        <x:f>F161/20</x:f>
        <x:v>25.6</x:v>
      </x:c>
      <x:c r="I161" s="16" t="n">
        <x:f>SUMIFS('עסקאות'!$M$2:$M$1958,'עסקאות'!$F$2:$F$1958,B161,'עסקאות'!$A$2:$A$1958,"&gt;="&amp;DATE(2025,1,1),'עסקאות'!$A$2:$A$1958,"&lt;"&amp;DATE(2026,1,1))</x:f>
        <x:v>512</x:v>
      </x:c>
      <x:c r="J161" s="16" t="n">
        <x:f>SUMIFS('עסקאות'!$M$2:$M$1958,'עסקאות'!$F$2:$F$1958,B161,'עסקאות'!$A$2:$A$1958,"&gt;="&amp;DATE(2026,1,1),'עסקאות'!$A$2:$A$1958,"&lt;"&amp;DATE(2027,1,1))</x:f>
        <x:v>0</x:v>
      </x:c>
    </x:row>
    <x:row r="162">
      <x:c r="B162" s="11" t="str">
        <x:v>חומוס</x:v>
      </x:c>
      <x:c r="C162" s="11" t="str">
        <x:v>אוכל בחוץ</x:v>
      </x:c>
      <x:c r="D162" s="11" t="n">
        <x:v>8</x:v>
      </x:c>
      <x:c r="E162" s="11" t="n">
        <x:v>6</x:v>
      </x:c>
      <x:c r="F162" s="16" t="n">
        <x:f>SUMIFS('עסקאות'!$M$2:$M$1958,'עסקאות'!$F$2:$F$1958,B162)</x:f>
        <x:v>503</x:v>
      </x:c>
      <x:c r="G162" s="16" t="n">
        <x:f>IF(D162=0,"",F162/D162)</x:f>
        <x:v>62.875</x:v>
      </x:c>
      <x:c r="H162" s="16" t="n">
        <x:f>F162/20</x:f>
        <x:v>25.15</x:v>
      </x:c>
      <x:c r="I162" s="16" t="n">
        <x:f>SUMIFS('עסקאות'!$M$2:$M$1958,'עסקאות'!$F$2:$F$1958,B162,'עסקאות'!$A$2:$A$1958,"&gt;="&amp;DATE(2025,1,1),'עסקאות'!$A$2:$A$1958,"&lt;"&amp;DATE(2026,1,1))</x:f>
        <x:v>503</x:v>
      </x:c>
      <x:c r="J162" s="16" t="n">
        <x:f>SUMIFS('עסקאות'!$M$2:$M$1958,'עסקאות'!$F$2:$F$1958,B162,'עסקאות'!$A$2:$A$1958,"&gt;="&amp;DATE(2026,1,1),'עסקאות'!$A$2:$A$1958,"&lt;"&amp;DATE(2027,1,1))</x:f>
        <x:v>0</x:v>
      </x:c>
    </x:row>
    <x:row r="163">
      <x:c r="B163" s="11" t="str">
        <x:v>סיישל כרטיס עינור</x:v>
      </x:c>
      <x:c r="C163" s="11" t="str">
        <x:v>חתונה</x:v>
      </x:c>
      <x:c r="D163" s="11" t="n">
        <x:v>1</x:v>
      </x:c>
      <x:c r="E163" s="11" t="n">
        <x:v>1</x:v>
      </x:c>
      <x:c r="F163" s="16" t="n">
        <x:f>SUMIFS('עסקאות'!$M$2:$M$1958,'עסקאות'!$F$2:$F$1958,B163)</x:f>
        <x:v>502</x:v>
      </x:c>
      <x:c r="G163" s="16" t="n">
        <x:f>IF(D163=0,"",F163/D163)</x:f>
        <x:v>502</x:v>
      </x:c>
      <x:c r="H163" s="16" t="n">
        <x:f>F163/20</x:f>
        <x:v>25.1</x:v>
      </x:c>
      <x:c r="I163" s="16" t="n">
        <x:f>SUMIFS('עסקאות'!$M$2:$M$1958,'עסקאות'!$F$2:$F$1958,B163,'עסקאות'!$A$2:$A$1958,"&gt;="&amp;DATE(2025,1,1),'עסקאות'!$A$2:$A$1958,"&lt;"&amp;DATE(2026,1,1))</x:f>
        <x:v>502</x:v>
      </x:c>
      <x:c r="J163" s="16" t="n">
        <x:f>SUMIFS('עסקאות'!$M$2:$M$1958,'עסקאות'!$F$2:$F$1958,B163,'עסקאות'!$A$2:$A$1958,"&gt;="&amp;DATE(2026,1,1),'עסקאות'!$A$2:$A$1958,"&lt;"&amp;DATE(2027,1,1))</x:f>
        <x:v>0</x:v>
      </x:c>
    </x:row>
    <x:row r="164">
      <x:c r="B164" s="11" t="str">
        <x:v>הובלה ספה</x:v>
      </x:c>
      <x:c r="C164" s="11" t="str">
        <x:v>קניות לבית</x:v>
      </x:c>
      <x:c r="D164" s="11" t="n">
        <x:v>1</x:v>
      </x:c>
      <x:c r="E164" s="11" t="n">
        <x:v>1</x:v>
      </x:c>
      <x:c r="F164" s="16" t="n">
        <x:f>SUMIFS('עסקאות'!$M$2:$M$1958,'עסקאות'!$F$2:$F$1958,B164)</x:f>
        <x:v>500</x:v>
      </x:c>
      <x:c r="G164" s="16" t="n">
        <x:f>IF(D164=0,"",F164/D164)</x:f>
        <x:v>500</x:v>
      </x:c>
      <x:c r="H164" s="16" t="n">
        <x:f>F164/20</x:f>
        <x:v>25</x:v>
      </x:c>
      <x:c r="I164" s="16" t="n">
        <x:f>SUMIFS('עסקאות'!$M$2:$M$1958,'עסקאות'!$F$2:$F$1958,B164,'עסקאות'!$A$2:$A$1958,"&gt;="&amp;DATE(2025,1,1),'עסקאות'!$A$2:$A$1958,"&lt;"&amp;DATE(2026,1,1))</x:f>
        <x:v>500</x:v>
      </x:c>
      <x:c r="J164" s="16" t="n">
        <x:f>SUMIFS('עסקאות'!$M$2:$M$1958,'עסקאות'!$F$2:$F$1958,B164,'עסקאות'!$A$2:$A$1958,"&gt;="&amp;DATE(2026,1,1),'עסקאות'!$A$2:$A$1958,"&lt;"&amp;DATE(2027,1,1))</x:f>
        <x:v>0</x:v>
      </x:c>
    </x:row>
    <x:row r="165">
      <x:c r="B165" s="11" t="str">
        <x:v>תמי 4</x:v>
      </x:c>
      <x:c r="C165" s="11" t="str">
        <x:v>קניות לבית</x:v>
      </x:c>
      <x:c r="D165" s="11" t="n">
        <x:v>1</x:v>
      </x:c>
      <x:c r="E165" s="11" t="n">
        <x:v>1</x:v>
      </x:c>
      <x:c r="F165" s="16" t="n">
        <x:f>SUMIFS('עסקאות'!$M$2:$M$1958,'עסקאות'!$F$2:$F$1958,B165)</x:f>
        <x:v>500</x:v>
      </x:c>
      <x:c r="G165" s="16" t="n">
        <x:f>IF(D165=0,"",F165/D165)</x:f>
        <x:v>500</x:v>
      </x:c>
      <x:c r="H165" s="16" t="n">
        <x:f>F165/20</x:f>
        <x:v>25</x:v>
      </x:c>
      <x:c r="I165" s="16" t="n">
        <x:f>SUMIFS('עסקאות'!$M$2:$M$1958,'עסקאות'!$F$2:$F$1958,B165,'עסקאות'!$A$2:$A$1958,"&gt;="&amp;DATE(2025,1,1),'עסקאות'!$A$2:$A$1958,"&lt;"&amp;DATE(2026,1,1))</x:f>
        <x:v>500</x:v>
      </x:c>
      <x:c r="J165" s="16" t="n">
        <x:f>SUMIFS('עסקאות'!$M$2:$M$1958,'עסקאות'!$F$2:$F$1958,B165,'עסקאות'!$A$2:$A$1958,"&gt;="&amp;DATE(2026,1,1),'עסקאות'!$A$2:$A$1958,"&lt;"&amp;DATE(2027,1,1))</x:f>
        <x:v>0</x:v>
      </x:c>
    </x:row>
    <x:row r="166">
      <x:c r="B166" s="11" t="str">
        <x:v>העברה ב BIT חתונה גל</x:v>
      </x:c>
      <x:c r="C166" s="11" t="str">
        <x:v>מתנה</x:v>
      </x:c>
      <x:c r="D166" s="11" t="n">
        <x:v>1</x:v>
      </x:c>
      <x:c r="E166" s="11" t="n">
        <x:v>1</x:v>
      </x:c>
      <x:c r="F166" s="16" t="n">
        <x:f>SUMIFS('עסקאות'!$M$2:$M$1958,'עסקאות'!$F$2:$F$1958,B166)</x:f>
        <x:v>500</x:v>
      </x:c>
      <x:c r="G166" s="16" t="n">
        <x:f>IF(D166=0,"",F166/D166)</x:f>
        <x:v>500</x:v>
      </x:c>
      <x:c r="H166" s="16" t="n">
        <x:f>F166/20</x:f>
        <x:v>25</x:v>
      </x:c>
      <x:c r="I166" s="16" t="n">
        <x:f>SUMIFS('עסקאות'!$M$2:$M$1958,'עסקאות'!$F$2:$F$1958,B166,'עסקאות'!$A$2:$A$1958,"&gt;="&amp;DATE(2025,1,1),'עסקאות'!$A$2:$A$1958,"&lt;"&amp;DATE(2026,1,1))</x:f>
        <x:v>0</x:v>
      </x:c>
      <x:c r="J166" s="16" t="n">
        <x:f>SUMIFS('עסקאות'!$M$2:$M$1958,'עסקאות'!$F$2:$F$1958,B166,'עסקאות'!$A$2:$A$1958,"&gt;="&amp;DATE(2026,1,1),'עסקאות'!$A$2:$A$1958,"&lt;"&amp;DATE(2027,1,1))</x:f>
        <x:v>500</x:v>
      </x:c>
    </x:row>
    <x:row r="167">
      <x:c r="B167" s="11" t="str">
        <x:v>איי הרב</x:v>
      </x:c>
      <x:c r="C167" s="11" t="str">
        <x:v>קוסמטיקה</x:v>
      </x:c>
      <x:c r="D167" s="11" t="n">
        <x:v>2</x:v>
      </x:c>
      <x:c r="E167" s="11" t="n">
        <x:v>1</x:v>
      </x:c>
      <x:c r="F167" s="16" t="n">
        <x:f>SUMIFS('עסקאות'!$M$2:$M$1958,'עסקאות'!$F$2:$F$1958,B167)</x:f>
        <x:v>498</x:v>
      </x:c>
      <x:c r="G167" s="16" t="n">
        <x:f>IF(D167=0,"",F167/D167)</x:f>
        <x:v>249</x:v>
      </x:c>
      <x:c r="H167" s="16" t="n">
        <x:f>F167/20</x:f>
        <x:v>24.9</x:v>
      </x:c>
      <x:c r="I167" s="16" t="n">
        <x:f>SUMIFS('עסקאות'!$M$2:$M$1958,'עסקאות'!$F$2:$F$1958,B167,'עסקאות'!$A$2:$A$1958,"&gt;="&amp;DATE(2025,1,1),'עסקאות'!$A$2:$A$1958,"&lt;"&amp;DATE(2026,1,1))</x:f>
        <x:v>498</x:v>
      </x:c>
      <x:c r="J167" s="16" t="n">
        <x:f>SUMIFS('עסקאות'!$M$2:$M$1958,'עסקאות'!$F$2:$F$1958,B167,'עסקאות'!$A$2:$A$1958,"&gt;="&amp;DATE(2026,1,1),'עסקאות'!$A$2:$A$1958,"&lt;"&amp;DATE(2027,1,1))</x:f>
        <x:v>0</x:v>
      </x:c>
    </x:row>
    <x:row r="168">
      <x:c r="B168" s="11" t="str">
        <x:v>גלידה</x:v>
      </x:c>
      <x:c r="C168" s="11" t="str">
        <x:v>אוכל בחוץ</x:v>
      </x:c>
      <x:c r="D168" s="11" t="n">
        <x:v>22</x:v>
      </x:c>
      <x:c r="E168" s="11" t="n">
        <x:v>11</x:v>
      </x:c>
      <x:c r="F168" s="16" t="n">
        <x:f>SUMIFS('עסקאות'!$M$2:$M$1958,'עסקאות'!$F$2:$F$1958,B168)</x:f>
        <x:v>487</x:v>
      </x:c>
      <x:c r="G168" s="16" t="n">
        <x:f>IF(D168=0,"",F168/D168)</x:f>
        <x:v>22.136363636363637</x:v>
      </x:c>
      <x:c r="H168" s="16" t="n">
        <x:f>F168/20</x:f>
        <x:v>24.35</x:v>
      </x:c>
      <x:c r="I168" s="16" t="n">
        <x:f>SUMIFS('עסקאות'!$M$2:$M$1958,'עסקאות'!$F$2:$F$1958,B168,'עסקאות'!$A$2:$A$1958,"&gt;="&amp;DATE(2025,1,1),'עסקאות'!$A$2:$A$1958,"&lt;"&amp;DATE(2026,1,1))</x:f>
        <x:v>448</x:v>
      </x:c>
      <x:c r="J168" s="16" t="n">
        <x:f>SUMIFS('עסקאות'!$M$2:$M$1958,'עסקאות'!$F$2:$F$1958,B168,'עסקאות'!$A$2:$A$1958,"&gt;="&amp;DATE(2026,1,1),'עסקאות'!$A$2:$A$1958,"&lt;"&amp;DATE(2027,1,1))</x:f>
        <x:v>39</x:v>
      </x:c>
    </x:row>
    <x:row r="169">
      <x:c r="B169" s="11" t="str">
        <x:v>מכבי זיו</x:v>
      </x:c>
      <x:c r="C169" s="11" t="str">
        <x:v>בריאות וטיפולים</x:v>
      </x:c>
      <x:c r="D169" s="11" t="n">
        <x:v>8</x:v>
      </x:c>
      <x:c r="E169" s="11" t="n">
        <x:v>8</x:v>
      </x:c>
      <x:c r="F169" s="16" t="n">
        <x:f>SUMIFS('עסקאות'!$M$2:$M$1958,'עסקאות'!$F$2:$F$1958,B169)</x:f>
        <x:v>485</x:v>
      </x:c>
      <x:c r="G169" s="16" t="n">
        <x:f>IF(D169=0,"",F169/D169)</x:f>
        <x:v>60.625</x:v>
      </x:c>
      <x:c r="H169" s="16" t="n">
        <x:f>F169/20</x:f>
        <x:v>24.25</x:v>
      </x:c>
      <x:c r="I169" s="16" t="n">
        <x:f>SUMIFS('עסקאות'!$M$2:$M$1958,'עסקאות'!$F$2:$F$1958,B169,'עסקאות'!$A$2:$A$1958,"&gt;="&amp;DATE(2025,1,1),'עסקאות'!$A$2:$A$1958,"&lt;"&amp;DATE(2026,1,1))</x:f>
        <x:v>55</x:v>
      </x:c>
      <x:c r="J169" s="16" t="n">
        <x:f>SUMIFS('עסקאות'!$M$2:$M$1958,'עסקאות'!$F$2:$F$1958,B169,'עסקאות'!$A$2:$A$1958,"&gt;="&amp;DATE(2026,1,1),'עסקאות'!$A$2:$A$1958,"&lt;"&amp;DATE(2027,1,1))</x:f>
        <x:v>430</x:v>
      </x:c>
    </x:row>
    <x:row r="170">
      <x:c r="B170" s="11" t="str">
        <x:v>בלוקים</x:v>
      </x:c>
      <x:c r="C170" s="11" t="str">
        <x:v>חתונה</x:v>
      </x:c>
      <x:c r="D170" s="11" t="n">
        <x:v>1</x:v>
      </x:c>
      <x:c r="E170" s="11" t="n">
        <x:v>1</x:v>
      </x:c>
      <x:c r="F170" s="16" t="n">
        <x:f>SUMIFS('עסקאות'!$M$2:$M$1958,'עסקאות'!$F$2:$F$1958,B170)</x:f>
        <x:v>475</x:v>
      </x:c>
      <x:c r="G170" s="16" t="n">
        <x:f>IF(D170=0,"",F170/D170)</x:f>
        <x:v>475</x:v>
      </x:c>
      <x:c r="H170" s="16" t="n">
        <x:f>F170/20</x:f>
        <x:v>23.75</x:v>
      </x:c>
      <x:c r="I170" s="16" t="n">
        <x:f>SUMIFS('עסקאות'!$M$2:$M$1958,'עסקאות'!$F$2:$F$1958,B170,'עסקאות'!$A$2:$A$1958,"&gt;="&amp;DATE(2025,1,1),'עסקאות'!$A$2:$A$1958,"&lt;"&amp;DATE(2026,1,1))</x:f>
        <x:v>475</x:v>
      </x:c>
      <x:c r="J170" s="16" t="n">
        <x:f>SUMIFS('עסקאות'!$M$2:$M$1958,'עסקאות'!$F$2:$F$1958,B170,'עסקאות'!$A$2:$A$1958,"&gt;="&amp;DATE(2026,1,1),'עסקאות'!$A$2:$A$1958,"&lt;"&amp;DATE(2027,1,1))</x:f>
        <x:v>0</x:v>
      </x:c>
    </x:row>
    <x:row r="171">
      <x:c r="B171" s="11" t="str">
        <x:v>טיפול פנים - ביט</x:v>
      </x:c>
      <x:c r="C171" s="11" t="str">
        <x:v>קוסמטיקה</x:v>
      </x:c>
      <x:c r="D171" s="11" t="n">
        <x:v>1</x:v>
      </x:c>
      <x:c r="E171" s="11" t="n">
        <x:v>1</x:v>
      </x:c>
      <x:c r="F171" s="16" t="n">
        <x:f>SUMIFS('עסקאות'!$M$2:$M$1958,'עסקאות'!$F$2:$F$1958,B171)</x:f>
        <x:v>470</x:v>
      </x:c>
      <x:c r="G171" s="16" t="n">
        <x:f>IF(D171=0,"",F171/D171)</x:f>
        <x:v>470</x:v>
      </x:c>
      <x:c r="H171" s="16" t="n">
        <x:f>F171/20</x:f>
        <x:v>23.5</x:v>
      </x:c>
      <x:c r="I171" s="16" t="n">
        <x:f>SUMIFS('עסקאות'!$M$2:$M$1958,'עסקאות'!$F$2:$F$1958,B171,'עסקאות'!$A$2:$A$1958,"&gt;="&amp;DATE(2025,1,1),'עסקאות'!$A$2:$A$1958,"&lt;"&amp;DATE(2026,1,1))</x:f>
        <x:v>470</x:v>
      </x:c>
      <x:c r="J171" s="16" t="n">
        <x:f>SUMIFS('עסקאות'!$M$2:$M$1958,'עסקאות'!$F$2:$F$1958,B171,'עסקאות'!$A$2:$A$1958,"&gt;="&amp;DATE(2026,1,1),'עסקאות'!$A$2:$A$1958,"&lt;"&amp;DATE(2027,1,1))</x:f>
        <x:v>0</x:v>
      </x:c>
    </x:row>
    <x:row r="172">
      <x:c r="B172" s="11" t="str">
        <x:v>פו סושי</x:v>
      </x:c>
      <x:c r="C172" s="11" t="str">
        <x:v>אוכל בחוץ</x:v>
      </x:c>
      <x:c r="D172" s="11" t="n">
        <x:v>1</x:v>
      </x:c>
      <x:c r="E172" s="11" t="n">
        <x:v>1</x:v>
      </x:c>
      <x:c r="F172" s="16" t="n">
        <x:f>SUMIFS('עסקאות'!$M$2:$M$1958,'עסקאות'!$F$2:$F$1958,B172)</x:f>
        <x:v>466</x:v>
      </x:c>
      <x:c r="G172" s="16" t="n">
        <x:f>IF(D172=0,"",F172/D172)</x:f>
        <x:v>466</x:v>
      </x:c>
      <x:c r="H172" s="16" t="n">
        <x:f>F172/20</x:f>
        <x:v>23.3</x:v>
      </x:c>
      <x:c r="I172" s="16" t="n">
        <x:f>SUMIFS('עסקאות'!$M$2:$M$1958,'עסקאות'!$F$2:$F$1958,B172,'עסקאות'!$A$2:$A$1958,"&gt;="&amp;DATE(2025,1,1),'עסקאות'!$A$2:$A$1958,"&lt;"&amp;DATE(2026,1,1))</x:f>
        <x:v>466</x:v>
      </x:c>
      <x:c r="J172" s="16" t="n">
        <x:f>SUMIFS('עסקאות'!$M$2:$M$1958,'עסקאות'!$F$2:$F$1958,B172,'עסקאות'!$A$2:$A$1958,"&gt;="&amp;DATE(2026,1,1),'עסקאות'!$A$2:$A$1958,"&lt;"&amp;DATE(2027,1,1))</x:f>
        <x:v>0</x:v>
      </x:c>
    </x:row>
    <x:row r="173">
      <x:c r="B173" s="11" t="str">
        <x:v>מזגן כצנלסון</x:v>
      </x:c>
      <x:c r="C173" s="11" t="str">
        <x:v>נכס להשקעה</x:v>
      </x:c>
      <x:c r="D173" s="11" t="n">
        <x:v>1</x:v>
      </x:c>
      <x:c r="E173" s="11" t="n">
        <x:v>1</x:v>
      </x:c>
      <x:c r="F173" s="16" t="n">
        <x:f>SUMIFS('עסקאות'!$M$2:$M$1958,'עסקאות'!$F$2:$F$1958,B173)</x:f>
        <x:v>450</x:v>
      </x:c>
      <x:c r="G173" s="16" t="n">
        <x:f>IF(D173=0,"",F173/D173)</x:f>
        <x:v>450</x:v>
      </x:c>
      <x:c r="H173" s="16" t="n">
        <x:f>F173/20</x:f>
        <x:v>22.5</x:v>
      </x:c>
      <x:c r="I173" s="16" t="n">
        <x:f>SUMIFS('עסקאות'!$M$2:$M$1958,'עסקאות'!$F$2:$F$1958,B173,'עסקאות'!$A$2:$A$1958,"&gt;="&amp;DATE(2025,1,1),'עסקאות'!$A$2:$A$1958,"&lt;"&amp;DATE(2026,1,1))</x:f>
        <x:v>0</x:v>
      </x:c>
      <x:c r="J173" s="16" t="n">
        <x:f>SUMIFS('עסקאות'!$M$2:$M$1958,'עסקאות'!$F$2:$F$1958,B173,'עסקאות'!$A$2:$A$1958,"&gt;="&amp;DATE(2026,1,1),'עסקאות'!$A$2:$A$1958,"&lt;"&amp;DATE(2027,1,1))</x:f>
        <x:v>450</x:v>
      </x:c>
    </x:row>
    <x:row r="174">
      <x:c r="B174" s="11" t="str">
        <x:v>קיפול ספרים</x:v>
      </x:c>
      <x:c r="C174" s="11" t="str">
        <x:v>פנאי</x:v>
      </x:c>
      <x:c r="D174" s="11" t="n">
        <x:v>1</x:v>
      </x:c>
      <x:c r="E174" s="11" t="n">
        <x:v>1</x:v>
      </x:c>
      <x:c r="F174" s="16" t="n">
        <x:f>SUMIFS('עסקאות'!$M$2:$M$1958,'עסקאות'!$F$2:$F$1958,B174)</x:f>
        <x:v>440</x:v>
      </x:c>
      <x:c r="G174" s="16" t="n">
        <x:f>IF(D174=0,"",F174/D174)</x:f>
        <x:v>440</x:v>
      </x:c>
      <x:c r="H174" s="16" t="n">
        <x:f>F174/20</x:f>
        <x:v>22</x:v>
      </x:c>
      <x:c r="I174" s="16" t="n">
        <x:f>SUMIFS('עסקאות'!$M$2:$M$1958,'עסקאות'!$F$2:$F$1958,B174,'עסקאות'!$A$2:$A$1958,"&gt;="&amp;DATE(2025,1,1),'עסקאות'!$A$2:$A$1958,"&lt;"&amp;DATE(2026,1,1))</x:f>
        <x:v>440</x:v>
      </x:c>
      <x:c r="J174" s="16" t="n">
        <x:f>SUMIFS('עסקאות'!$M$2:$M$1958,'עסקאות'!$F$2:$F$1958,B174,'עסקאות'!$A$2:$A$1958,"&gt;="&amp;DATE(2026,1,1),'עסקאות'!$A$2:$A$1958,"&lt;"&amp;DATE(2027,1,1))</x:f>
        <x:v>0</x:v>
      </x:c>
    </x:row>
    <x:row r="175">
      <x:c r="B175" s="11" t="str">
        <x:v>יין נווה ירק</x:v>
      </x:c>
      <x:c r="C175" s="11" t="str">
        <x:v>מזון לבית</x:v>
      </x:c>
      <x:c r="D175" s="11" t="n">
        <x:v>1</x:v>
      </x:c>
      <x:c r="E175" s="11" t="n">
        <x:v>1</x:v>
      </x:c>
      <x:c r="F175" s="16" t="n">
        <x:f>SUMIFS('עסקאות'!$M$2:$M$1958,'עסקאות'!$F$2:$F$1958,B175)</x:f>
        <x:v>437</x:v>
      </x:c>
      <x:c r="G175" s="16" t="n">
        <x:f>IF(D175=0,"",F175/D175)</x:f>
        <x:v>437</x:v>
      </x:c>
      <x:c r="H175" s="16" t="n">
        <x:f>F175/20</x:f>
        <x:v>21.85</x:v>
      </x:c>
      <x:c r="I175" s="16" t="n">
        <x:f>SUMIFS('עסקאות'!$M$2:$M$1958,'עסקאות'!$F$2:$F$1958,B175,'עסקאות'!$A$2:$A$1958,"&gt;="&amp;DATE(2025,1,1),'עסקאות'!$A$2:$A$1958,"&lt;"&amp;DATE(2026,1,1))</x:f>
        <x:v>437</x:v>
      </x:c>
      <x:c r="J175" s="16" t="n">
        <x:f>SUMIFS('עסקאות'!$M$2:$M$1958,'עסקאות'!$F$2:$F$1958,B175,'עסקאות'!$A$2:$A$1958,"&gt;="&amp;DATE(2026,1,1),'עסקאות'!$A$2:$A$1958,"&lt;"&amp;DATE(2027,1,1))</x:f>
        <x:v>0</x:v>
      </x:c>
    </x:row>
    <x:row r="176">
      <x:c r="B176" s="11" t="str">
        <x:v>משתלה</x:v>
      </x:c>
      <x:c r="C176" s="11" t="str">
        <x:v>קניות לבית</x:v>
      </x:c>
      <x:c r="D176" s="11" t="n">
        <x:v>1</x:v>
      </x:c>
      <x:c r="E176" s="11" t="n">
        <x:v>1</x:v>
      </x:c>
      <x:c r="F176" s="16" t="n">
        <x:f>SUMIFS('עסקאות'!$M$2:$M$1958,'עסקאות'!$F$2:$F$1958,B176)</x:f>
        <x:v>434</x:v>
      </x:c>
      <x:c r="G176" s="16" t="n">
        <x:f>IF(D176=0,"",F176/D176)</x:f>
        <x:v>434</x:v>
      </x:c>
      <x:c r="H176" s="16" t="n">
        <x:f>F176/20</x:f>
        <x:v>21.7</x:v>
      </x:c>
      <x:c r="I176" s="16" t="n">
        <x:f>SUMIFS('עסקאות'!$M$2:$M$1958,'עסקאות'!$F$2:$F$1958,B176,'עסקאות'!$A$2:$A$1958,"&gt;="&amp;DATE(2025,1,1),'עסקאות'!$A$2:$A$1958,"&lt;"&amp;DATE(2026,1,1))</x:f>
        <x:v>434</x:v>
      </x:c>
      <x:c r="J176" s="16" t="n">
        <x:f>SUMIFS('עסקאות'!$M$2:$M$1958,'עסקאות'!$F$2:$F$1958,B176,'עסקאות'!$A$2:$A$1958,"&gt;="&amp;DATE(2026,1,1),'עסקאות'!$A$2:$A$1958,"&lt;"&amp;DATE(2027,1,1))</x:f>
        <x:v>0</x:v>
      </x:c>
    </x:row>
    <x:row r="177">
      <x:c r="B177" s="11" t="str">
        <x:v>מדביר</x:v>
      </x:c>
      <x:c r="C177" s="11" t="str">
        <x:v>דיור – בית מגורים</x:v>
      </x:c>
      <x:c r="D177" s="11" t="n">
        <x:v>2</x:v>
      </x:c>
      <x:c r="E177" s="11" t="n">
        <x:v>2</x:v>
      </x:c>
      <x:c r="F177" s="16" t="n">
        <x:f>SUMIFS('עסקאות'!$M$2:$M$1958,'עסקאות'!$F$2:$F$1958,B177)</x:f>
        <x:v>430</x:v>
      </x:c>
      <x:c r="G177" s="16" t="n">
        <x:f>IF(D177=0,"",F177/D177)</x:f>
        <x:v>215</x:v>
      </x:c>
      <x:c r="H177" s="16" t="n">
        <x:f>F177/20</x:f>
        <x:v>21.5</x:v>
      </x:c>
      <x:c r="I177" s="16" t="n">
        <x:f>SUMIFS('עסקאות'!$M$2:$M$1958,'עסקאות'!$F$2:$F$1958,B177,'עסקאות'!$A$2:$A$1958,"&gt;="&amp;DATE(2025,1,1),'עסקאות'!$A$2:$A$1958,"&lt;"&amp;DATE(2026,1,1))</x:f>
        <x:v>250</x:v>
      </x:c>
      <x:c r="J177" s="16" t="n">
        <x:f>SUMIFS('עסקאות'!$M$2:$M$1958,'עסקאות'!$F$2:$F$1958,B177,'עסקאות'!$A$2:$A$1958,"&gt;="&amp;DATE(2026,1,1),'עסקאות'!$A$2:$A$1958,"&lt;"&amp;DATE(2027,1,1))</x:f>
        <x:v>180</x:v>
      </x:c>
    </x:row>
    <x:row r="178">
      <x:c r="B178" s="11" t="str">
        <x:v>מכבידנט גבעתיים</x:v>
      </x:c>
      <x:c r="C178" s="11" t="str">
        <x:v>בריאות וטיפולים</x:v>
      </x:c>
      <x:c r="D178" s="11" t="n">
        <x:v>3</x:v>
      </x:c>
      <x:c r="E178" s="11" t="n">
        <x:v>2</x:v>
      </x:c>
      <x:c r="F178" s="16" t="n">
        <x:f>SUMIFS('עסקאות'!$M$2:$M$1958,'עסקאות'!$F$2:$F$1958,B178)</x:f>
        <x:v>426</x:v>
      </x:c>
      <x:c r="G178" s="16" t="n">
        <x:f>IF(D178=0,"",F178/D178)</x:f>
        <x:v>142</x:v>
      </x:c>
      <x:c r="H178" s="16" t="n">
        <x:f>F178/20</x:f>
        <x:v>21.3</x:v>
      </x:c>
      <x:c r="I178" s="16" t="n">
        <x:f>SUMIFS('עסקאות'!$M$2:$M$1958,'עסקאות'!$F$2:$F$1958,B178,'עסקאות'!$A$2:$A$1958,"&gt;="&amp;DATE(2025,1,1),'עסקאות'!$A$2:$A$1958,"&lt;"&amp;DATE(2026,1,1))</x:f>
        <x:v>0</x:v>
      </x:c>
      <x:c r="J178" s="16" t="n">
        <x:f>SUMIFS('עסקאות'!$M$2:$M$1958,'עסקאות'!$F$2:$F$1958,B178,'עסקאות'!$A$2:$A$1958,"&gt;="&amp;DATE(2026,1,1),'עסקאות'!$A$2:$A$1958,"&lt;"&amp;DATE(2027,1,1))</x:f>
        <x:v>426</x:v>
      </x:c>
    </x:row>
    <x:row r="179">
      <x:c r="B179" s="11" t="str">
        <x:v>יקב אסף 26</x:v>
      </x:c>
      <x:c r="C179" s="11" t="str">
        <x:v>נסיעות וחופשות</x:v>
      </x:c>
      <x:c r="D179" s="11" t="n">
        <x:v>2</x:v>
      </x:c>
      <x:c r="E179" s="11" t="n">
        <x:v>2</x:v>
      </x:c>
      <x:c r="F179" s="16" t="n">
        <x:f>SUMIFS('עסקאות'!$M$2:$M$1958,'עסקאות'!$F$2:$F$1958,B179)</x:f>
        <x:v>424</x:v>
      </x:c>
      <x:c r="G179" s="16" t="n">
        <x:f>IF(D179=0,"",F179/D179)</x:f>
        <x:v>212</x:v>
      </x:c>
      <x:c r="H179" s="16" t="n">
        <x:f>F179/20</x:f>
        <x:v>21.2</x:v>
      </x:c>
      <x:c r="I179" s="16" t="n">
        <x:f>SUMIFS('עסקאות'!$M$2:$M$1958,'עסקאות'!$F$2:$F$1958,B179,'עסקאות'!$A$2:$A$1958,"&gt;="&amp;DATE(2025,1,1),'עסקאות'!$A$2:$A$1958,"&lt;"&amp;DATE(2026,1,1))</x:f>
        <x:v>0</x:v>
      </x:c>
      <x:c r="J179" s="16" t="n">
        <x:f>SUMIFS('עסקאות'!$M$2:$M$1958,'עסקאות'!$F$2:$F$1958,B179,'עסקאות'!$A$2:$A$1958,"&gt;="&amp;DATE(2026,1,1),'עסקאות'!$A$2:$A$1958,"&lt;"&amp;DATE(2027,1,1))</x:f>
        <x:v>424</x:v>
      </x:c>
    </x:row>
    <x:row r="180">
      <x:c r="B180" s="11" t="str">
        <x:v>סישל כרטיס עינור</x:v>
      </x:c>
      <x:c r="C180" s="11" t="str">
        <x:v>חתונה</x:v>
      </x:c>
      <x:c r="D180" s="11" t="n">
        <x:v>1</x:v>
      </x:c>
      <x:c r="E180" s="11" t="n">
        <x:v>1</x:v>
      </x:c>
      <x:c r="F180" s="16" t="n">
        <x:f>SUMIFS('עסקאות'!$M$2:$M$1958,'עסקאות'!$F$2:$F$1958,B180)</x:f>
        <x:v>422</x:v>
      </x:c>
      <x:c r="G180" s="16" t="n">
        <x:f>IF(D180=0,"",F180/D180)</x:f>
        <x:v>422</x:v>
      </x:c>
      <x:c r="H180" s="16" t="n">
        <x:f>F180/20</x:f>
        <x:v>21.1</x:v>
      </x:c>
      <x:c r="I180" s="16" t="n">
        <x:f>SUMIFS('עסקאות'!$M$2:$M$1958,'עסקאות'!$F$2:$F$1958,B180,'עסקאות'!$A$2:$A$1958,"&gt;="&amp;DATE(2025,1,1),'עסקאות'!$A$2:$A$1958,"&lt;"&amp;DATE(2026,1,1))</x:f>
        <x:v>422</x:v>
      </x:c>
      <x:c r="J180" s="16" t="n">
        <x:f>SUMIFS('עסקאות'!$M$2:$M$1958,'עסקאות'!$F$2:$F$1958,B180,'עסקאות'!$A$2:$A$1958,"&gt;="&amp;DATE(2026,1,1),'עסקאות'!$A$2:$A$1958,"&lt;"&amp;DATE(2027,1,1))</x:f>
        <x:v>0</x:v>
      </x:c>
    </x:row>
    <x:row r="181">
      <x:c r="B181" s="11" t="str">
        <x:v>הופעה</x:v>
      </x:c>
      <x:c r="C181" s="11" t="str">
        <x:v>פנאי</x:v>
      </x:c>
      <x:c r="D181" s="11" t="n">
        <x:v>4</x:v>
      </x:c>
      <x:c r="E181" s="11" t="n">
        <x:v>4</x:v>
      </x:c>
      <x:c r="F181" s="16" t="n">
        <x:f>SUMIFS('עסקאות'!$M$2:$M$1958,'עסקאות'!$F$2:$F$1958,B181)</x:f>
        <x:v>414</x:v>
      </x:c>
      <x:c r="G181" s="16" t="n">
        <x:f>IF(D181=0,"",F181/D181)</x:f>
        <x:v>103.5</x:v>
      </x:c>
      <x:c r="H181" s="16" t="n">
        <x:f>F181/20</x:f>
        <x:v>20.7</x:v>
      </x:c>
      <x:c r="I181" s="16" t="n">
        <x:f>SUMIFS('עסקאות'!$M$2:$M$1958,'עסקאות'!$F$2:$F$1958,B181,'עסקאות'!$A$2:$A$1958,"&gt;="&amp;DATE(2025,1,1),'עסקאות'!$A$2:$A$1958,"&lt;"&amp;DATE(2026,1,1))</x:f>
        <x:v>414</x:v>
      </x:c>
      <x:c r="J181" s="16" t="n">
        <x:f>SUMIFS('עסקאות'!$M$2:$M$1958,'עסקאות'!$F$2:$F$1958,B181,'עסקאות'!$A$2:$A$1958,"&gt;="&amp;DATE(2026,1,1),'עסקאות'!$A$2:$A$1958,"&lt;"&amp;DATE(2027,1,1))</x:f>
        <x:v>0</x:v>
      </x:c>
    </x:row>
    <x:row r="182">
      <x:c r="B182" s="11" t="str">
        <x:v>קולור קפה</x:v>
      </x:c>
      <x:c r="C182" s="11" t="str">
        <x:v>פנאי</x:v>
      </x:c>
      <x:c r="D182" s="11" t="n">
        <x:v>1</x:v>
      </x:c>
      <x:c r="E182" s="11" t="n">
        <x:v>1</x:v>
      </x:c>
      <x:c r="F182" s="16" t="n">
        <x:f>SUMIFS('עסקאות'!$M$2:$M$1958,'עסקאות'!$F$2:$F$1958,B182)</x:f>
        <x:v>410</x:v>
      </x:c>
      <x:c r="G182" s="16" t="n">
        <x:f>IF(D182=0,"",F182/D182)</x:f>
        <x:v>410</x:v>
      </x:c>
      <x:c r="H182" s="16" t="n">
        <x:f>F182/20</x:f>
        <x:v>20.5</x:v>
      </x:c>
      <x:c r="I182" s="16" t="n">
        <x:f>SUMIFS('עסקאות'!$M$2:$M$1958,'עסקאות'!$F$2:$F$1958,B182,'עסקאות'!$A$2:$A$1958,"&gt;="&amp;DATE(2025,1,1),'עסקאות'!$A$2:$A$1958,"&lt;"&amp;DATE(2026,1,1))</x:f>
        <x:v>410</x:v>
      </x:c>
      <x:c r="J182" s="16" t="n">
        <x:f>SUMIFS('עסקאות'!$M$2:$M$1958,'עסקאות'!$F$2:$F$1958,B182,'עסקאות'!$A$2:$A$1958,"&gt;="&amp;DATE(2026,1,1),'עסקאות'!$A$2:$A$1958,"&lt;"&amp;DATE(2027,1,1))</x:f>
        <x:v>0</x:v>
      </x:c>
    </x:row>
    <x:row r="183">
      <x:c r="B183" s="11" t="str">
        <x:v>סיור אוכל</x:v>
      </x:c>
      <x:c r="C183" s="11" t="str">
        <x:v>נסיעות וחופשות</x:v>
      </x:c>
      <x:c r="D183" s="11" t="n">
        <x:v>1</x:v>
      </x:c>
      <x:c r="E183" s="11" t="n">
        <x:v>1</x:v>
      </x:c>
      <x:c r="F183" s="16" t="n">
        <x:f>SUMIFS('עסקאות'!$M$2:$M$1958,'עסקאות'!$F$2:$F$1958,B183)</x:f>
        <x:v>405</x:v>
      </x:c>
      <x:c r="G183" s="16" t="n">
        <x:f>IF(D183=0,"",F183/D183)</x:f>
        <x:v>405</x:v>
      </x:c>
      <x:c r="H183" s="16" t="n">
        <x:f>F183/20</x:f>
        <x:v>20.25</x:v>
      </x:c>
      <x:c r="I183" s="16" t="n">
        <x:f>SUMIFS('עסקאות'!$M$2:$M$1958,'עסקאות'!$F$2:$F$1958,B183,'עסקאות'!$A$2:$A$1958,"&gt;="&amp;DATE(2025,1,1),'עסקאות'!$A$2:$A$1958,"&lt;"&amp;DATE(2026,1,1))</x:f>
        <x:v>405</x:v>
      </x:c>
      <x:c r="J183" s="16" t="n">
        <x:f>SUMIFS('עסקאות'!$M$2:$M$1958,'עסקאות'!$F$2:$F$1958,B183,'עסקאות'!$A$2:$A$1958,"&gt;="&amp;DATE(2026,1,1),'עסקאות'!$A$2:$A$1958,"&lt;"&amp;DATE(2027,1,1))</x:f>
        <x:v>0</x:v>
      </x:c>
    </x:row>
    <x:row r="184">
      <x:c r="B184" s="11" t="str">
        <x:v>פסיכולוגית</x:v>
      </x:c>
      <x:c r="C184" s="11" t="str">
        <x:v>בריאות וטיפולים</x:v>
      </x:c>
      <x:c r="D184" s="11" t="n">
        <x:v>1</x:v>
      </x:c>
      <x:c r="E184" s="11" t="n">
        <x:v>1</x:v>
      </x:c>
      <x:c r="F184" s="16" t="n">
        <x:f>SUMIFS('עסקאות'!$M$2:$M$1958,'עסקאות'!$F$2:$F$1958,B184)</x:f>
        <x:v>400</x:v>
      </x:c>
      <x:c r="G184" s="16" t="n">
        <x:f>IF(D184=0,"",F184/D184)</x:f>
        <x:v>400</x:v>
      </x:c>
      <x:c r="H184" s="16" t="n">
        <x:f>F184/20</x:f>
        <x:v>20</x:v>
      </x:c>
      <x:c r="I184" s="16" t="n">
        <x:f>SUMIFS('עסקאות'!$M$2:$M$1958,'עסקאות'!$F$2:$F$1958,B184,'עסקאות'!$A$2:$A$1958,"&gt;="&amp;DATE(2025,1,1),'עסקאות'!$A$2:$A$1958,"&lt;"&amp;DATE(2026,1,1))</x:f>
        <x:v>400</x:v>
      </x:c>
      <x:c r="J184" s="16" t="n">
        <x:f>SUMIFS('עסקאות'!$M$2:$M$1958,'עסקאות'!$F$2:$F$1958,B184,'עסקאות'!$A$2:$A$1958,"&gt;="&amp;DATE(2026,1,1),'עסקאות'!$A$2:$A$1958,"&lt;"&amp;DATE(2027,1,1))</x:f>
        <x:v>0</x:v>
      </x:c>
    </x:row>
    <x:row r="185">
      <x:c r="B185" s="11" t="str">
        <x:v>שיער - נעמה</x:v>
      </x:c>
      <x:c r="C185" s="11" t="str">
        <x:v>חתונה</x:v>
      </x:c>
      <x:c r="D185" s="11" t="n">
        <x:v>1</x:v>
      </x:c>
      <x:c r="E185" s="11" t="n">
        <x:v>1</x:v>
      </x:c>
      <x:c r="F185" s="16" t="n">
        <x:f>SUMIFS('עסקאות'!$M$2:$M$1958,'עסקאות'!$F$2:$F$1958,B185)</x:f>
        <x:v>400</x:v>
      </x:c>
      <x:c r="G185" s="16" t="n">
        <x:f>IF(D185=0,"",F185/D185)</x:f>
        <x:v>400</x:v>
      </x:c>
      <x:c r="H185" s="16" t="n">
        <x:f>F185/20</x:f>
        <x:v>20</x:v>
      </x:c>
      <x:c r="I185" s="16" t="n">
        <x:f>SUMIFS('עסקאות'!$M$2:$M$1958,'עסקאות'!$F$2:$F$1958,B185,'עסקאות'!$A$2:$A$1958,"&gt;="&amp;DATE(2025,1,1),'עסקאות'!$A$2:$A$1958,"&lt;"&amp;DATE(2026,1,1))</x:f>
        <x:v>400</x:v>
      </x:c>
      <x:c r="J185" s="16" t="n">
        <x:f>SUMIFS('עסקאות'!$M$2:$M$1958,'עסקאות'!$F$2:$F$1958,B185,'עסקאות'!$A$2:$A$1958,"&gt;="&amp;DATE(2026,1,1),'עסקאות'!$A$2:$A$1958,"&lt;"&amp;DATE(2027,1,1))</x:f>
        <x:v>0</x:v>
      </x:c>
    </x:row>
    <x:row r="186">
      <x:c r="B186" s="11" t="str">
        <x:v>תספורות זיו</x:v>
      </x:c>
      <x:c r="C186" s="11" t="str">
        <x:v>קוסמטיקה</x:v>
      </x:c>
      <x:c r="D186" s="11" t="n">
        <x:v>1</x:v>
      </x:c>
      <x:c r="E186" s="11" t="n">
        <x:v>1</x:v>
      </x:c>
      <x:c r="F186" s="16" t="n">
        <x:f>SUMIFS('עסקאות'!$M$2:$M$1958,'עסקאות'!$F$2:$F$1958,B186)</x:f>
        <x:v>400</x:v>
      </x:c>
      <x:c r="G186" s="16" t="n">
        <x:f>IF(D186=0,"",F186/D186)</x:f>
        <x:v>400</x:v>
      </x:c>
      <x:c r="H186" s="16" t="n">
        <x:f>F186/20</x:f>
        <x:v>20</x:v>
      </x:c>
      <x:c r="I186" s="16" t="n">
        <x:f>SUMIFS('עסקאות'!$M$2:$M$1958,'עסקאות'!$F$2:$F$1958,B186,'עסקאות'!$A$2:$A$1958,"&gt;="&amp;DATE(2025,1,1),'עסקאות'!$A$2:$A$1958,"&lt;"&amp;DATE(2026,1,1))</x:f>
        <x:v>400</x:v>
      </x:c>
      <x:c r="J186" s="16" t="n">
        <x:f>SUMIFS('עסקאות'!$M$2:$M$1958,'עסקאות'!$F$2:$F$1958,B186,'עסקאות'!$A$2:$A$1958,"&gt;="&amp;DATE(2026,1,1),'עסקאות'!$A$2:$A$1958,"&lt;"&amp;DATE(2027,1,1))</x:f>
        <x:v>0</x:v>
      </x:c>
    </x:row>
    <x:row r="187">
      <x:c r="B187" s="11" t="str">
        <x:v>גז</x:v>
      </x:c>
      <x:c r="C187" s="11" t="str">
        <x:v>דיור – בית מגורים</x:v>
      </x:c>
      <x:c r="D187" s="11" t="n">
        <x:v>10</x:v>
      </x:c>
      <x:c r="E187" s="11" t="n">
        <x:v>10</x:v>
      </x:c>
      <x:c r="F187" s="16" t="n">
        <x:f>SUMIFS('עסקאות'!$M$2:$M$1958,'עסקאות'!$F$2:$F$1958,B187)</x:f>
        <x:v>394</x:v>
      </x:c>
      <x:c r="G187" s="16" t="n">
        <x:f>IF(D187=0,"",F187/D187)</x:f>
        <x:v>39.4</x:v>
      </x:c>
      <x:c r="H187" s="16" t="n">
        <x:f>F187/20</x:f>
        <x:v>19.7</x:v>
      </x:c>
      <x:c r="I187" s="16" t="n">
        <x:f>SUMIFS('עסקאות'!$M$2:$M$1958,'עסקאות'!$F$2:$F$1958,B187,'עסקאות'!$A$2:$A$1958,"&gt;="&amp;DATE(2025,1,1),'עסקאות'!$A$2:$A$1958,"&lt;"&amp;DATE(2026,1,1))</x:f>
        <x:v>233</x:v>
      </x:c>
      <x:c r="J187" s="16" t="n">
        <x:f>SUMIFS('עסקאות'!$M$2:$M$1958,'עסקאות'!$F$2:$F$1958,B187,'עסקאות'!$A$2:$A$1958,"&gt;="&amp;DATE(2026,1,1),'עסקאות'!$A$2:$A$1958,"&lt;"&amp;DATE(2027,1,1))</x:f>
        <x:v>161</x:v>
      </x:c>
    </x:row>
    <x:row r="188">
      <x:c r="B188" s="11" t="str">
        <x:v>ביטוח מקיף רכב</x:v>
      </x:c>
      <x:c r="C188" s="11" t="str">
        <x:v>תחבורה</x:v>
      </x:c>
      <x:c r="D188" s="11" t="n">
        <x:v>1</x:v>
      </x:c>
      <x:c r="E188" s="11" t="n">
        <x:v>1</x:v>
      </x:c>
      <x:c r="F188" s="16" t="n">
        <x:f>SUMIFS('עסקאות'!$M$2:$M$1958,'עסקאות'!$F$2:$F$1958,B188)</x:f>
        <x:v>393</x:v>
      </x:c>
      <x:c r="G188" s="16" t="n">
        <x:f>IF(D188=0,"",F188/D188)</x:f>
        <x:v>393</x:v>
      </x:c>
      <x:c r="H188" s="16" t="n">
        <x:f>F188/20</x:f>
        <x:v>19.65</x:v>
      </x:c>
      <x:c r="I188" s="16" t="n">
        <x:f>SUMIFS('עסקאות'!$M$2:$M$1958,'עסקאות'!$F$2:$F$1958,B188,'עסקאות'!$A$2:$A$1958,"&gt;="&amp;DATE(2025,1,1),'עסקאות'!$A$2:$A$1958,"&lt;"&amp;DATE(2026,1,1))</x:f>
        <x:v>0</x:v>
      </x:c>
      <x:c r="J188" s="16" t="n">
        <x:f>SUMIFS('עסקאות'!$M$2:$M$1958,'עסקאות'!$F$2:$F$1958,B188,'עסקאות'!$A$2:$A$1958,"&gt;="&amp;DATE(2026,1,1),'עסקאות'!$A$2:$A$1958,"&lt;"&amp;DATE(2027,1,1))</x:f>
        <x:v>393</x:v>
      </x:c>
    </x:row>
    <x:row r="189">
      <x:c r="B189" s="11" t="str">
        <x:v>פילימנט</x:v>
      </x:c>
      <x:c r="C189" s="11" t="str">
        <x:v>תחביבים ומיג'י</x:v>
      </x:c>
      <x:c r="D189" s="11" t="n">
        <x:v>1</x:v>
      </x:c>
      <x:c r="E189" s="11" t="n">
        <x:v>1</x:v>
      </x:c>
      <x:c r="F189" s="16" t="n">
        <x:f>SUMIFS('עסקאות'!$M$2:$M$1958,'עסקאות'!$F$2:$F$1958,B189)</x:f>
        <x:v>392</x:v>
      </x:c>
      <x:c r="G189" s="16" t="n">
        <x:f>IF(D189=0,"",F189/D189)</x:f>
        <x:v>392</x:v>
      </x:c>
      <x:c r="H189" s="16" t="n">
        <x:f>F189/20</x:f>
        <x:v>19.6</x:v>
      </x:c>
      <x:c r="I189" s="16" t="n">
        <x:f>SUMIFS('עסקאות'!$M$2:$M$1958,'עסקאות'!$F$2:$F$1958,B189,'עסקאות'!$A$2:$A$1958,"&gt;="&amp;DATE(2025,1,1),'עסקאות'!$A$2:$A$1958,"&lt;"&amp;DATE(2026,1,1))</x:f>
        <x:v>0</x:v>
      </x:c>
      <x:c r="J189" s="16" t="n">
        <x:f>SUMIFS('עסקאות'!$M$2:$M$1958,'עסקאות'!$F$2:$F$1958,B189,'עסקאות'!$A$2:$A$1958,"&gt;="&amp;DATE(2026,1,1),'עסקאות'!$A$2:$A$1958,"&lt;"&amp;DATE(2027,1,1))</x:f>
        <x:v>392</x:v>
      </x:c>
    </x:row>
    <x:row r="190">
      <x:c r="B190" s="11" t="str">
        <x:v>פיצוציה</x:v>
      </x:c>
      <x:c r="C190" s="11" t="str">
        <x:v>אוכל בחוץ</x:v>
      </x:c>
      <x:c r="D190" s="11" t="n">
        <x:v>31</x:v>
      </x:c>
      <x:c r="E190" s="11" t="n">
        <x:v>14</x:v>
      </x:c>
      <x:c r="F190" s="16" t="n">
        <x:f>SUMIFS('עסקאות'!$M$2:$M$1958,'עסקאות'!$F$2:$F$1958,B190)</x:f>
        <x:v>367</x:v>
      </x:c>
      <x:c r="G190" s="16" t="n">
        <x:f>IF(D190=0,"",F190/D190)</x:f>
        <x:v>11.838709677419354</x:v>
      </x:c>
      <x:c r="H190" s="16" t="n">
        <x:f>F190/20</x:f>
        <x:v>18.35</x:v>
      </x:c>
      <x:c r="I190" s="16" t="n">
        <x:f>SUMIFS('עסקאות'!$M$2:$M$1958,'עסקאות'!$F$2:$F$1958,B190,'עסקאות'!$A$2:$A$1958,"&gt;="&amp;DATE(2025,1,1),'עסקאות'!$A$2:$A$1958,"&lt;"&amp;DATE(2026,1,1))</x:f>
        <x:v>224</x:v>
      </x:c>
      <x:c r="J190" s="16" t="n">
        <x:f>SUMIFS('עסקאות'!$M$2:$M$1958,'עסקאות'!$F$2:$F$1958,B190,'עסקאות'!$A$2:$A$1958,"&gt;="&amp;DATE(2026,1,1),'עסקאות'!$A$2:$A$1958,"&lt;"&amp;DATE(2027,1,1))</x:f>
        <x:v>143</x:v>
      </x:c>
    </x:row>
    <x:row r="191">
      <x:c r="B191" s="11" t="str">
        <x:v>יקב נווה ירק</x:v>
      </x:c>
      <x:c r="C191" s="11" t="str">
        <x:v>אוכל בחוץ</x:v>
      </x:c>
      <x:c r="D191" s="11" t="n">
        <x:v>1</x:v>
      </x:c>
      <x:c r="E191" s="11" t="n">
        <x:v>1</x:v>
      </x:c>
      <x:c r="F191" s="16" t="n">
        <x:f>SUMIFS('עסקאות'!$M$2:$M$1958,'עסקאות'!$F$2:$F$1958,B191)</x:f>
        <x:v>365</x:v>
      </x:c>
      <x:c r="G191" s="16" t="n">
        <x:f>IF(D191=0,"",F191/D191)</x:f>
        <x:v>365</x:v>
      </x:c>
      <x:c r="H191" s="16" t="n">
        <x:f>F191/20</x:f>
        <x:v>18.25</x:v>
      </x:c>
      <x:c r="I191" s="16" t="n">
        <x:f>SUMIFS('עסקאות'!$M$2:$M$1958,'עסקאות'!$F$2:$F$1958,B191,'עסקאות'!$A$2:$A$1958,"&gt;="&amp;DATE(2025,1,1),'עסקאות'!$A$2:$A$1958,"&lt;"&amp;DATE(2026,1,1))</x:f>
        <x:v>365</x:v>
      </x:c>
      <x:c r="J191" s="16" t="n">
        <x:f>SUMIFS('עסקאות'!$M$2:$M$1958,'עסקאות'!$F$2:$F$1958,B191,'עסקאות'!$A$2:$A$1958,"&gt;="&amp;DATE(2026,1,1),'עסקאות'!$A$2:$A$1958,"&lt;"&amp;DATE(2027,1,1))</x:f>
        <x:v>0</x:v>
      </x:c>
    </x:row>
    <x:row r="192">
      <x:c r="B192" s="11" t="str">
        <x:v>סדנת שוקולד</x:v>
      </x:c>
      <x:c r="C192" s="11" t="str">
        <x:v>פנאי</x:v>
      </x:c>
      <x:c r="D192" s="11" t="n">
        <x:v>1</x:v>
      </x:c>
      <x:c r="E192" s="11" t="n">
        <x:v>1</x:v>
      </x:c>
      <x:c r="F192" s="16" t="n">
        <x:f>SUMIFS('עסקאות'!$M$2:$M$1958,'עסקאות'!$F$2:$F$1958,B192)</x:f>
        <x:v>361</x:v>
      </x:c>
      <x:c r="G192" s="16" t="n">
        <x:f>IF(D192=0,"",F192/D192)</x:f>
        <x:v>361</x:v>
      </x:c>
      <x:c r="H192" s="16" t="n">
        <x:f>F192/20</x:f>
        <x:v>18.05</x:v>
      </x:c>
      <x:c r="I192" s="16" t="n">
        <x:f>SUMIFS('עסקאות'!$M$2:$M$1958,'עסקאות'!$F$2:$F$1958,B192,'עסקאות'!$A$2:$A$1958,"&gt;="&amp;DATE(2025,1,1),'עסקאות'!$A$2:$A$1958,"&lt;"&amp;DATE(2026,1,1))</x:f>
        <x:v>361</x:v>
      </x:c>
      <x:c r="J192" s="16" t="n">
        <x:f>SUMIFS('עסקאות'!$M$2:$M$1958,'עסקאות'!$F$2:$F$1958,B192,'עסקאות'!$A$2:$A$1958,"&gt;="&amp;DATE(2026,1,1),'עסקאות'!$A$2:$A$1958,"&lt;"&amp;DATE(2027,1,1))</x:f>
        <x:v>0</x:v>
      </x:c>
    </x:row>
    <x:row r="193">
      <x:c r="B193" s="11" t="str">
        <x:v>דקאתלון</x:v>
      </x:c>
      <x:c r="C193" s="11" t="str">
        <x:v>אופנה</x:v>
      </x:c>
      <x:c r="D193" s="11" t="n">
        <x:v>1</x:v>
      </x:c>
      <x:c r="E193" s="11" t="n">
        <x:v>1</x:v>
      </x:c>
      <x:c r="F193" s="16" t="n">
        <x:f>SUMIFS('עסקאות'!$M$2:$M$1958,'עסקאות'!$F$2:$F$1958,B193)</x:f>
        <x:v>360</x:v>
      </x:c>
      <x:c r="G193" s="16" t="n">
        <x:f>IF(D193=0,"",F193/D193)</x:f>
        <x:v>360</x:v>
      </x:c>
      <x:c r="H193" s="16" t="n">
        <x:f>F193/20</x:f>
        <x:v>18</x:v>
      </x:c>
      <x:c r="I193" s="16" t="n">
        <x:f>SUMIFS('עסקאות'!$M$2:$M$1958,'עסקאות'!$F$2:$F$1958,B193,'עסקאות'!$A$2:$A$1958,"&gt;="&amp;DATE(2025,1,1),'עסקאות'!$A$2:$A$1958,"&lt;"&amp;DATE(2026,1,1))</x:f>
        <x:v>0</x:v>
      </x:c>
      <x:c r="J193" s="16" t="n">
        <x:f>SUMIFS('עסקאות'!$M$2:$M$1958,'עסקאות'!$F$2:$F$1958,B193,'עסקאות'!$A$2:$A$1958,"&gt;="&amp;DATE(2026,1,1),'עסקאות'!$A$2:$A$1958,"&lt;"&amp;DATE(2027,1,1))</x:f>
        <x:v>360</x:v>
      </x:c>
    </x:row>
    <x:row r="194">
      <x:c r="B194" s="11" t="str">
        <x:v>סרט</x:v>
      </x:c>
      <x:c r="C194" s="11" t="str">
        <x:v>פנאי</x:v>
      </x:c>
      <x:c r="D194" s="11" t="n">
        <x:v>4</x:v>
      </x:c>
      <x:c r="E194" s="11" t="n">
        <x:v>4</x:v>
      </x:c>
      <x:c r="F194" s="16" t="n">
        <x:f>SUMIFS('עסקאות'!$M$2:$M$1958,'עסקאות'!$F$2:$F$1958,B194)</x:f>
        <x:v>358</x:v>
      </x:c>
      <x:c r="G194" s="16" t="n">
        <x:f>IF(D194=0,"",F194/D194)</x:f>
        <x:v>89.5</x:v>
      </x:c>
      <x:c r="H194" s="16" t="n">
        <x:f>F194/20</x:f>
        <x:v>17.9</x:v>
      </x:c>
      <x:c r="I194" s="16" t="n">
        <x:f>SUMIFS('עסקאות'!$M$2:$M$1958,'עסקאות'!$F$2:$F$1958,B194,'עסקאות'!$A$2:$A$1958,"&gt;="&amp;DATE(2025,1,1),'עסקאות'!$A$2:$A$1958,"&lt;"&amp;DATE(2026,1,1))</x:f>
        <x:v>298</x:v>
      </x:c>
      <x:c r="J194" s="16" t="n">
        <x:f>SUMIFS('עסקאות'!$M$2:$M$1958,'עסקאות'!$F$2:$F$1958,B194,'עסקאות'!$A$2:$A$1958,"&gt;="&amp;DATE(2026,1,1),'עסקאות'!$A$2:$A$1958,"&lt;"&amp;DATE(2027,1,1))</x:f>
        <x:v>60</x:v>
      </x:c>
    </x:row>
    <x:row r="195">
      <x:c r="B195" s="11" t="str">
        <x:v>אלבומים</x:v>
      </x:c>
      <x:c r="C195" s="11" t="str">
        <x:v>נסיעות וחופשות</x:v>
      </x:c>
      <x:c r="D195" s="11" t="n">
        <x:v>1</x:v>
      </x:c>
      <x:c r="E195" s="11" t="n">
        <x:v>1</x:v>
      </x:c>
      <x:c r="F195" s="16" t="n">
        <x:f>SUMIFS('עסקאות'!$M$2:$M$1958,'עסקאות'!$F$2:$F$1958,B195)</x:f>
        <x:v>357</x:v>
      </x:c>
      <x:c r="G195" s="16" t="n">
        <x:f>IF(D195=0,"",F195/D195)</x:f>
        <x:v>357</x:v>
      </x:c>
      <x:c r="H195" s="16" t="n">
        <x:f>F195/20</x:f>
        <x:v>17.85</x:v>
      </x:c>
      <x:c r="I195" s="16" t="n">
        <x:f>SUMIFS('עסקאות'!$M$2:$M$1958,'עסקאות'!$F$2:$F$1958,B195,'עסקאות'!$A$2:$A$1958,"&gt;="&amp;DATE(2025,1,1),'עסקאות'!$A$2:$A$1958,"&lt;"&amp;DATE(2026,1,1))</x:f>
        <x:v>357</x:v>
      </x:c>
      <x:c r="J195" s="16" t="n">
        <x:f>SUMIFS('עסקאות'!$M$2:$M$1958,'עסקאות'!$F$2:$F$1958,B195,'עסקאות'!$A$2:$A$1958,"&gt;="&amp;DATE(2026,1,1),'עסקאות'!$A$2:$A$1958,"&lt;"&amp;DATE(2027,1,1))</x:f>
        <x:v>0</x:v>
      </x:c>
    </x:row>
    <x:row r="196">
      <x:c r="B196" s="11" t="str">
        <x:v>קרפור</x:v>
      </x:c>
      <x:c r="C196" s="11" t="str">
        <x:v>מזון לבית</x:v>
      </x:c>
      <x:c r="D196" s="11" t="n">
        <x:v>3</x:v>
      </x:c>
      <x:c r="E196" s="11" t="n">
        <x:v>2</x:v>
      </x:c>
      <x:c r="F196" s="16" t="n">
        <x:f>SUMIFS('עסקאות'!$M$2:$M$1958,'עסקאות'!$F$2:$F$1958,B196)</x:f>
        <x:v>354</x:v>
      </x:c>
      <x:c r="G196" s="16" t="n">
        <x:f>IF(D196=0,"",F196/D196)</x:f>
        <x:v>118</x:v>
      </x:c>
      <x:c r="H196" s="16" t="n">
        <x:f>F196/20</x:f>
        <x:v>17.7</x:v>
      </x:c>
      <x:c r="I196" s="16" t="n">
        <x:f>SUMIFS('עסקאות'!$M$2:$M$1958,'עסקאות'!$F$2:$F$1958,B196,'עסקאות'!$A$2:$A$1958,"&gt;="&amp;DATE(2025,1,1),'עסקאות'!$A$2:$A$1958,"&lt;"&amp;DATE(2026,1,1))</x:f>
        <x:v>354</x:v>
      </x:c>
      <x:c r="J196" s="16" t="n">
        <x:f>SUMIFS('עסקאות'!$M$2:$M$1958,'עסקאות'!$F$2:$F$1958,B196,'עסקאות'!$A$2:$A$1958,"&gt;="&amp;DATE(2026,1,1),'עסקאות'!$A$2:$A$1958,"&lt;"&amp;DATE(2027,1,1))</x:f>
        <x:v>0</x:v>
      </x:c>
    </x:row>
    <x:row r="197">
      <x:c r="B197" s="11" t="str">
        <x:v>מסעדה (ביט)</x:v>
      </x:c>
      <x:c r="C197" s="11" t="str">
        <x:v>אוכל בחוץ</x:v>
      </x:c>
      <x:c r="D197" s="11" t="n">
        <x:v>3</x:v>
      </x:c>
      <x:c r="E197" s="11" t="n">
        <x:v>3</x:v>
      </x:c>
      <x:c r="F197" s="16" t="n">
        <x:f>SUMIFS('עסקאות'!$M$2:$M$1958,'עסקאות'!$F$2:$F$1958,B197)</x:f>
        <x:v>352</x:v>
      </x:c>
      <x:c r="G197" s="16" t="n">
        <x:f>IF(D197=0,"",F197/D197)</x:f>
        <x:v>117.33333333333333</x:v>
      </x:c>
      <x:c r="H197" s="16" t="n">
        <x:f>F197/20</x:f>
        <x:v>17.6</x:v>
      </x:c>
      <x:c r="I197" s="16" t="n">
        <x:f>SUMIFS('עסקאות'!$M$2:$M$1958,'עסקאות'!$F$2:$F$1958,B197,'עסקאות'!$A$2:$A$1958,"&gt;="&amp;DATE(2025,1,1),'עסקאות'!$A$2:$A$1958,"&lt;"&amp;DATE(2026,1,1))</x:f>
        <x:v>210</x:v>
      </x:c>
      <x:c r="J197" s="16" t="n">
        <x:f>SUMIFS('עסקאות'!$M$2:$M$1958,'עסקאות'!$F$2:$F$1958,B197,'עסקאות'!$A$2:$A$1958,"&gt;="&amp;DATE(2026,1,1),'עסקאות'!$A$2:$A$1958,"&lt;"&amp;DATE(2027,1,1))</x:f>
        <x:v>142</x:v>
      </x:c>
    </x:row>
    <x:row r="198">
      <x:c r="B198" s="11" t="str">
        <x:v>טיפול פנים</x:v>
      </x:c>
      <x:c r="C198" s="11" t="str">
        <x:v>חתונה</x:v>
      </x:c>
      <x:c r="D198" s="11" t="n">
        <x:v>1</x:v>
      </x:c>
      <x:c r="E198" s="11" t="n">
        <x:v>1</x:v>
      </x:c>
      <x:c r="F198" s="16" t="n">
        <x:f>SUMIFS('עסקאות'!$M$2:$M$1958,'עסקאות'!$F$2:$F$1958,B198)</x:f>
        <x:v>350</x:v>
      </x:c>
      <x:c r="G198" s="16" t="n">
        <x:f>IF(D198=0,"",F198/D198)</x:f>
        <x:v>350</x:v>
      </x:c>
      <x:c r="H198" s="16" t="n">
        <x:f>F198/20</x:f>
        <x:v>17.5</x:v>
      </x:c>
      <x:c r="I198" s="16" t="n">
        <x:f>SUMIFS('עסקאות'!$M$2:$M$1958,'עסקאות'!$F$2:$F$1958,B198,'עסקאות'!$A$2:$A$1958,"&gt;="&amp;DATE(2025,1,1),'עסקאות'!$A$2:$A$1958,"&lt;"&amp;DATE(2026,1,1))</x:f>
        <x:v>350</x:v>
      </x:c>
      <x:c r="J198" s="16" t="n">
        <x:f>SUMIFS('עסקאות'!$M$2:$M$1958,'עסקאות'!$F$2:$F$1958,B198,'עסקאות'!$A$2:$A$1958,"&gt;="&amp;DATE(2026,1,1),'עסקאות'!$A$2:$A$1958,"&lt;"&amp;DATE(2027,1,1))</x:f>
        <x:v>0</x:v>
      </x:c>
    </x:row>
    <x:row r="199">
      <x:c r="B199" s="11" t="str">
        <x:v>ניקוי ספות (ביט)</x:v>
      </x:c>
      <x:c r="C199" s="11" t="str">
        <x:v>דיור – בית מגורים</x:v>
      </x:c>
      <x:c r="D199" s="11" t="n">
        <x:v>1</x:v>
      </x:c>
      <x:c r="E199" s="11" t="n">
        <x:v>1</x:v>
      </x:c>
      <x:c r="F199" s="16" t="n">
        <x:f>SUMIFS('עסקאות'!$M$2:$M$1958,'עסקאות'!$F$2:$F$1958,B199)</x:f>
        <x:v>350</x:v>
      </x:c>
      <x:c r="G199" s="16" t="n">
        <x:f>IF(D199=0,"",F199/D199)</x:f>
        <x:v>350</x:v>
      </x:c>
      <x:c r="H199" s="16" t="n">
        <x:f>F199/20</x:f>
        <x:v>17.5</x:v>
      </x:c>
      <x:c r="I199" s="16" t="n">
        <x:f>SUMIFS('עסקאות'!$M$2:$M$1958,'עסקאות'!$F$2:$F$1958,B199,'עסקאות'!$A$2:$A$1958,"&gt;="&amp;DATE(2025,1,1),'עסקאות'!$A$2:$A$1958,"&lt;"&amp;DATE(2026,1,1))</x:f>
        <x:v>350</x:v>
      </x:c>
      <x:c r="J199" s="16" t="n">
        <x:f>SUMIFS('עסקאות'!$M$2:$M$1958,'עסקאות'!$F$2:$F$1958,B199,'עסקאות'!$A$2:$A$1958,"&gt;="&amp;DATE(2026,1,1),'עסקאות'!$A$2:$A$1958,"&lt;"&amp;DATE(2027,1,1))</x:f>
        <x:v>0</x:v>
      </x:c>
    </x:row>
    <x:row r="200">
      <x:c r="B200" s="11" t="str">
        <x:v>תרופות לחול</x:v>
      </x:c>
      <x:c r="C200" s="11" t="str">
        <x:v>נסיעות וחופשות</x:v>
      </x:c>
      <x:c r="D200" s="11" t="n">
        <x:v>1</x:v>
      </x:c>
      <x:c r="E200" s="11" t="n">
        <x:v>1</x:v>
      </x:c>
      <x:c r="F200" s="16" t="n">
        <x:f>SUMIFS('עסקאות'!$M$2:$M$1958,'עסקאות'!$F$2:$F$1958,B200)</x:f>
        <x:v>347</x:v>
      </x:c>
      <x:c r="G200" s="16" t="n">
        <x:f>IF(D200=0,"",F200/D200)</x:f>
        <x:v>347</x:v>
      </x:c>
      <x:c r="H200" s="16" t="n">
        <x:f>F200/20</x:f>
        <x:v>17.35</x:v>
      </x:c>
      <x:c r="I200" s="16" t="n">
        <x:f>SUMIFS('עסקאות'!$M$2:$M$1958,'עסקאות'!$F$2:$F$1958,B200,'עסקאות'!$A$2:$A$1958,"&gt;="&amp;DATE(2025,1,1),'עסקאות'!$A$2:$A$1958,"&lt;"&amp;DATE(2026,1,1))</x:f>
        <x:v>347</x:v>
      </x:c>
      <x:c r="J200" s="16" t="n">
        <x:f>SUMIFS('עסקאות'!$M$2:$M$1958,'עסקאות'!$F$2:$F$1958,B200,'עסקאות'!$A$2:$A$1958,"&gt;="&amp;DATE(2026,1,1),'עסקאות'!$A$2:$A$1958,"&lt;"&amp;DATE(2027,1,1))</x:f>
        <x:v>0</x:v>
      </x:c>
    </x:row>
    <x:row r="201">
      <x:c r="B201" s="11" t="str">
        <x:v>ביטוח חול</x:v>
      </x:c>
      <x:c r="C201" s="11" t="str">
        <x:v>נסיעות וחופשות</x:v>
      </x:c>
      <x:c r="D201" s="11" t="n">
        <x:v>1</x:v>
      </x:c>
      <x:c r="E201" s="11" t="n">
        <x:v>1</x:v>
      </x:c>
      <x:c r="F201" s="16" t="n">
        <x:f>SUMIFS('עסקאות'!$M$2:$M$1958,'עסקאות'!$F$2:$F$1958,B201)</x:f>
        <x:v>343</x:v>
      </x:c>
      <x:c r="G201" s="16" t="n">
        <x:f>IF(D201=0,"",F201/D201)</x:f>
        <x:v>343</x:v>
      </x:c>
      <x:c r="H201" s="16" t="n">
        <x:f>F201/20</x:f>
        <x:v>17.15</x:v>
      </x:c>
      <x:c r="I201" s="16" t="n">
        <x:f>SUMIFS('עסקאות'!$M$2:$M$1958,'עסקאות'!$F$2:$F$1958,B201,'עסקאות'!$A$2:$A$1958,"&gt;="&amp;DATE(2025,1,1),'עסקאות'!$A$2:$A$1958,"&lt;"&amp;DATE(2026,1,1))</x:f>
        <x:v>343</x:v>
      </x:c>
      <x:c r="J201" s="16" t="n">
        <x:f>SUMIFS('עסקאות'!$M$2:$M$1958,'עסקאות'!$F$2:$F$1958,B201,'עסקאות'!$A$2:$A$1958,"&gt;="&amp;DATE(2026,1,1),'עסקאות'!$A$2:$A$1958,"&lt;"&amp;DATE(2027,1,1))</x:f>
        <x:v>0</x:v>
      </x:c>
    </x:row>
    <x:row r="202">
      <x:c r="B202" s="11" t="str">
        <x:v>איי הארב</x:v>
      </x:c>
      <x:c r="C202" s="11" t="str">
        <x:v>קוסמטיקה</x:v>
      </x:c>
      <x:c r="D202" s="11" t="n">
        <x:v>2</x:v>
      </x:c>
      <x:c r="E202" s="11" t="n">
        <x:v>2</x:v>
      </x:c>
      <x:c r="F202" s="16" t="n">
        <x:f>SUMIFS('עסקאות'!$M$2:$M$1958,'עסקאות'!$F$2:$F$1958,B202)</x:f>
        <x:v>333</x:v>
      </x:c>
      <x:c r="G202" s="16" t="n">
        <x:f>IF(D202=0,"",F202/D202)</x:f>
        <x:v>166.5</x:v>
      </x:c>
      <x:c r="H202" s="16" t="n">
        <x:f>F202/20</x:f>
        <x:v>16.65</x:v>
      </x:c>
      <x:c r="I202" s="16" t="n">
        <x:f>SUMIFS('עסקאות'!$M$2:$M$1958,'עסקאות'!$F$2:$F$1958,B202,'עסקאות'!$A$2:$A$1958,"&gt;="&amp;DATE(2025,1,1),'עסקאות'!$A$2:$A$1958,"&lt;"&amp;DATE(2026,1,1))</x:f>
        <x:v>219</x:v>
      </x:c>
      <x:c r="J202" s="16" t="n">
        <x:f>SUMIFS('עסקאות'!$M$2:$M$1958,'עסקאות'!$F$2:$F$1958,B202,'עסקאות'!$A$2:$A$1958,"&gt;="&amp;DATE(2026,1,1),'עסקאות'!$A$2:$A$1958,"&lt;"&amp;DATE(2027,1,1))</x:f>
        <x:v>114</x:v>
      </x:c>
    </x:row>
    <x:row r="203">
      <x:c r="B203" s="11" t="str">
        <x:v>אדיר מילר</x:v>
      </x:c>
      <x:c r="C203" s="11" t="str">
        <x:v>פנאי</x:v>
      </x:c>
      <x:c r="D203" s="11" t="n">
        <x:v>1</x:v>
      </x:c>
      <x:c r="E203" s="11" t="n">
        <x:v>1</x:v>
      </x:c>
      <x:c r="F203" s="16" t="n">
        <x:f>SUMIFS('עסקאות'!$M$2:$M$1958,'עסקאות'!$F$2:$F$1958,B203)</x:f>
        <x:v>328</x:v>
      </x:c>
      <x:c r="G203" s="16" t="n">
        <x:f>IF(D203=0,"",F203/D203)</x:f>
        <x:v>328</x:v>
      </x:c>
      <x:c r="H203" s="16" t="n">
        <x:f>F203/20</x:f>
        <x:v>16.4</x:v>
      </x:c>
      <x:c r="I203" s="16" t="n">
        <x:f>SUMIFS('עסקאות'!$M$2:$M$1958,'עסקאות'!$F$2:$F$1958,B203,'עסקאות'!$A$2:$A$1958,"&gt;="&amp;DATE(2025,1,1),'עסקאות'!$A$2:$A$1958,"&lt;"&amp;DATE(2026,1,1))</x:f>
        <x:v>0</x:v>
      </x:c>
      <x:c r="J203" s="16" t="n">
        <x:f>SUMIFS('עסקאות'!$M$2:$M$1958,'עסקאות'!$F$2:$F$1958,B203,'עסקאות'!$A$2:$A$1958,"&gt;="&amp;DATE(2026,1,1),'עסקאות'!$A$2:$A$1958,"&lt;"&amp;DATE(2027,1,1))</x:f>
        <x:v>328</x:v>
      </x:c>
    </x:row>
    <x:row r="204">
      <x:c r="B204" s="11" t="str">
        <x:v>קורקינט</x:v>
      </x:c>
      <x:c r="C204" s="11" t="str">
        <x:v>תחבורה</x:v>
      </x:c>
      <x:c r="D204" s="11" t="n">
        <x:v>19</x:v>
      </x:c>
      <x:c r="E204" s="11" t="n">
        <x:v>5</x:v>
      </x:c>
      <x:c r="F204" s="16" t="n">
        <x:f>SUMIFS('עסקאות'!$M$2:$M$1958,'עסקאות'!$F$2:$F$1958,B204)</x:f>
        <x:v>325</x:v>
      </x:c>
      <x:c r="G204" s="16" t="n">
        <x:f>IF(D204=0,"",F204/D204)</x:f>
        <x:v>17.105263157894736</x:v>
      </x:c>
      <x:c r="H204" s="16" t="n">
        <x:f>F204/20</x:f>
        <x:v>16.25</x:v>
      </x:c>
      <x:c r="I204" s="16" t="n">
        <x:f>SUMIFS('עסקאות'!$M$2:$M$1958,'עסקאות'!$F$2:$F$1958,B204,'עסקאות'!$A$2:$A$1958,"&gt;="&amp;DATE(2025,1,1),'עסקאות'!$A$2:$A$1958,"&lt;"&amp;DATE(2026,1,1))</x:f>
        <x:v>249</x:v>
      </x:c>
      <x:c r="J204" s="16" t="n">
        <x:f>SUMIFS('עסקאות'!$M$2:$M$1958,'עסקאות'!$F$2:$F$1958,B204,'עסקאות'!$A$2:$A$1958,"&gt;="&amp;DATE(2026,1,1),'עסקאות'!$A$2:$A$1958,"&lt;"&amp;DATE(2027,1,1))</x:f>
        <x:v>76</x:v>
      </x:c>
    </x:row>
    <x:row r="205">
      <x:c r="B205" s="11" t="str">
        <x:v>אוזניות</x:v>
      </x:c>
      <x:c r="C205" s="11" t="str">
        <x:v>אלקטרוניקה</x:v>
      </x:c>
      <x:c r="D205" s="11" t="n">
        <x:v>1</x:v>
      </x:c>
      <x:c r="E205" s="11" t="n">
        <x:v>1</x:v>
      </x:c>
      <x:c r="F205" s="16" t="n">
        <x:f>SUMIFS('עסקאות'!$M$2:$M$1958,'עסקאות'!$F$2:$F$1958,B205)</x:f>
        <x:v>319</x:v>
      </x:c>
      <x:c r="G205" s="16" t="n">
        <x:f>IF(D205=0,"",F205/D205)</x:f>
        <x:v>319</x:v>
      </x:c>
      <x:c r="H205" s="16" t="n">
        <x:f>F205/20</x:f>
        <x:v>15.95</x:v>
      </x:c>
      <x:c r="I205" s="16" t="n">
        <x:f>SUMIFS('עסקאות'!$M$2:$M$1958,'עסקאות'!$F$2:$F$1958,B205,'עסקאות'!$A$2:$A$1958,"&gt;="&amp;DATE(2025,1,1),'עסקאות'!$A$2:$A$1958,"&lt;"&amp;DATE(2026,1,1))</x:f>
        <x:v>0</x:v>
      </x:c>
      <x:c r="J205" s="16" t="n">
        <x:f>SUMIFS('עסקאות'!$M$2:$M$1958,'עסקאות'!$F$2:$F$1958,B205,'עסקאות'!$A$2:$A$1958,"&gt;="&amp;DATE(2026,1,1),'עסקאות'!$A$2:$A$1958,"&lt;"&amp;DATE(2027,1,1))</x:f>
        <x:v>319</x:v>
      </x:c>
    </x:row>
    <x:row r="206">
      <x:c r="B206" s="11" t="str">
        <x:v>אמריקן איגל</x:v>
      </x:c>
      <x:c r="C206" s="11" t="str">
        <x:v>אופנה</x:v>
      </x:c>
      <x:c r="D206" s="11" t="n">
        <x:v>2</x:v>
      </x:c>
      <x:c r="E206" s="11" t="n">
        <x:v>1</x:v>
      </x:c>
      <x:c r="F206" s="16" t="n">
        <x:f>SUMIFS('עסקאות'!$M$2:$M$1958,'עסקאות'!$F$2:$F$1958,B206)</x:f>
        <x:v>315</x:v>
      </x:c>
      <x:c r="G206" s="16" t="n">
        <x:f>IF(D206=0,"",F206/D206)</x:f>
        <x:v>157.5</x:v>
      </x:c>
      <x:c r="H206" s="16" t="n">
        <x:f>F206/20</x:f>
        <x:v>15.75</x:v>
      </x:c>
      <x:c r="I206" s="16" t="n">
        <x:f>SUMIFS('עסקאות'!$M$2:$M$1958,'עסקאות'!$F$2:$F$1958,B206,'עסקאות'!$A$2:$A$1958,"&gt;="&amp;DATE(2025,1,1),'עסקאות'!$A$2:$A$1958,"&lt;"&amp;DATE(2026,1,1))</x:f>
        <x:v>0</x:v>
      </x:c>
      <x:c r="J206" s="16" t="n">
        <x:f>SUMIFS('עסקאות'!$M$2:$M$1958,'עסקאות'!$F$2:$F$1958,B206,'עסקאות'!$A$2:$A$1958,"&gt;="&amp;DATE(2026,1,1),'עסקאות'!$A$2:$A$1958,"&lt;"&amp;DATE(2027,1,1))</x:f>
        <x:v>315</x:v>
      </x:c>
    </x:row>
    <x:row r="207">
      <x:c r="B207" s="11" t="str">
        <x:v>קרפור סופר (ישן)</x:v>
      </x:c>
      <x:c r="C207" s="11" t="str">
        <x:v>מזון לבית</x:v>
      </x:c>
      <x:c r="D207" s="11" t="n">
        <x:v>1</x:v>
      </x:c>
      <x:c r="E207" s="11" t="n">
        <x:v>1</x:v>
      </x:c>
      <x:c r="F207" s="16" t="n">
        <x:f>SUMIFS('עסקאות'!$M$2:$M$1958,'עסקאות'!$F$2:$F$1958,B207)</x:f>
        <x:v>304</x:v>
      </x:c>
      <x:c r="G207" s="16" t="n">
        <x:f>IF(D207=0,"",F207/D207)</x:f>
        <x:v>304</x:v>
      </x:c>
      <x:c r="H207" s="16" t="n">
        <x:f>F207/20</x:f>
        <x:v>15.2</x:v>
      </x:c>
      <x:c r="I207" s="16" t="n">
        <x:f>SUMIFS('עסקאות'!$M$2:$M$1958,'עסקאות'!$F$2:$F$1958,B207,'עסקאות'!$A$2:$A$1958,"&gt;="&amp;DATE(2025,1,1),'עסקאות'!$A$2:$A$1958,"&lt;"&amp;DATE(2026,1,1))</x:f>
        <x:v>304</x:v>
      </x:c>
      <x:c r="J207" s="16" t="n">
        <x:f>SUMIFS('עסקאות'!$M$2:$M$1958,'עסקאות'!$F$2:$F$1958,B207,'עסקאות'!$A$2:$A$1958,"&gt;="&amp;DATE(2026,1,1),'עסקאות'!$A$2:$A$1958,"&lt;"&amp;DATE(2027,1,1))</x:f>
        <x:v>0</x:v>
      </x:c>
    </x:row>
    <x:row r="208">
      <x:c r="B208" s="11" t="str">
        <x:v>אוטובוסים</x:v>
      </x:c>
      <x:c r="C208" s="11" t="str">
        <x:v>תחבורה</x:v>
      </x:c>
      <x:c r="D208" s="11" t="n">
        <x:v>8</x:v>
      </x:c>
      <x:c r="E208" s="11" t="n">
        <x:v>5</x:v>
      </x:c>
      <x:c r="F208" s="16" t="n">
        <x:f>SUMIFS('עסקאות'!$M$2:$M$1958,'עסקאות'!$F$2:$F$1958,B208)</x:f>
        <x:v>303</x:v>
      </x:c>
      <x:c r="G208" s="16" t="n">
        <x:f>IF(D208=0,"",F208/D208)</x:f>
        <x:v>37.875</x:v>
      </x:c>
      <x:c r="H208" s="16" t="n">
        <x:f>F208/20</x:f>
        <x:v>15.15</x:v>
      </x:c>
      <x:c r="I208" s="16" t="n">
        <x:f>SUMIFS('עסקאות'!$M$2:$M$1958,'עסקאות'!$F$2:$F$1958,B208,'עסקאות'!$A$2:$A$1958,"&gt;="&amp;DATE(2025,1,1),'עסקאות'!$A$2:$A$1958,"&lt;"&amp;DATE(2026,1,1))</x:f>
        <x:v>303</x:v>
      </x:c>
      <x:c r="J208" s="16" t="n">
        <x:f>SUMIFS('עסקאות'!$M$2:$M$1958,'עסקאות'!$F$2:$F$1958,B208,'עסקאות'!$A$2:$A$1958,"&gt;="&amp;DATE(2026,1,1),'עסקאות'!$A$2:$A$1958,"&lt;"&amp;DATE(2027,1,1))</x:f>
        <x:v>0</x:v>
      </x:c>
    </x:row>
    <x:row r="209">
      <x:c r="B209" s="11" t="str">
        <x:v>שיט מחזור</x:v>
      </x:c>
      <x:c r="C209" s="11" t="str">
        <x:v>בריאות וטיפולים</x:v>
      </x:c>
      <x:c r="D209" s="11" t="n">
        <x:v>1</x:v>
      </x:c>
      <x:c r="E209" s="11" t="n">
        <x:v>1</x:v>
      </x:c>
      <x:c r="F209" s="16" t="n">
        <x:f>SUMIFS('עסקאות'!$M$2:$M$1958,'עסקאות'!$F$2:$F$1958,B209)</x:f>
        <x:v>302</x:v>
      </x:c>
      <x:c r="G209" s="16" t="n">
        <x:f>IF(D209=0,"",F209/D209)</x:f>
        <x:v>302</x:v>
      </x:c>
      <x:c r="H209" s="16" t="n">
        <x:f>F209/20</x:f>
        <x:v>15.1</x:v>
      </x:c>
      <x:c r="I209" s="16" t="n">
        <x:f>SUMIFS('עסקאות'!$M$2:$M$1958,'עסקאות'!$F$2:$F$1958,B209,'עסקאות'!$A$2:$A$1958,"&gt;="&amp;DATE(2025,1,1),'עסקאות'!$A$2:$A$1958,"&lt;"&amp;DATE(2026,1,1))</x:f>
        <x:v>302</x:v>
      </x:c>
      <x:c r="J209" s="16" t="n">
        <x:f>SUMIFS('עסקאות'!$M$2:$M$1958,'עסקאות'!$F$2:$F$1958,B209,'עסקאות'!$A$2:$A$1958,"&gt;="&amp;DATE(2026,1,1),'עסקאות'!$A$2:$A$1958,"&lt;"&amp;DATE(2027,1,1))</x:f>
        <x:v>0</x:v>
      </x:c>
    </x:row>
    <x:row r="210">
      <x:c r="B210" s="11" t="str">
        <x:v>דברים של לחות</x:v>
      </x:c>
      <x:c r="C210" s="11" t="str">
        <x:v>קניות לבית</x:v>
      </x:c>
      <x:c r="D210" s="11" t="n">
        <x:v>1</x:v>
      </x:c>
      <x:c r="E210" s="11" t="n">
        <x:v>1</x:v>
      </x:c>
      <x:c r="F210" s="16" t="n">
        <x:f>SUMIFS('עסקאות'!$M$2:$M$1958,'עסקאות'!$F$2:$F$1958,B210)</x:f>
        <x:v>302</x:v>
      </x:c>
      <x:c r="G210" s="16" t="n">
        <x:f>IF(D210=0,"",F210/D210)</x:f>
        <x:v>302</x:v>
      </x:c>
      <x:c r="H210" s="16" t="n">
        <x:f>F210/20</x:f>
        <x:v>15.1</x:v>
      </x:c>
      <x:c r="I210" s="16" t="n">
        <x:f>SUMIFS('עסקאות'!$M$2:$M$1958,'עסקאות'!$F$2:$F$1958,B210,'עסקאות'!$A$2:$A$1958,"&gt;="&amp;DATE(2025,1,1),'עסקאות'!$A$2:$A$1958,"&lt;"&amp;DATE(2026,1,1))</x:f>
        <x:v>302</x:v>
      </x:c>
      <x:c r="J210" s="16" t="n">
        <x:f>SUMIFS('עסקאות'!$M$2:$M$1958,'עסקאות'!$F$2:$F$1958,B210,'עסקאות'!$A$2:$A$1958,"&gt;="&amp;DATE(2026,1,1),'עסקאות'!$A$2:$A$1958,"&lt;"&amp;DATE(2027,1,1))</x:f>
        <x:v>0</x:v>
      </x:c>
    </x:row>
    <x:row r="211">
      <x:c r="B211" s="11" t="str">
        <x:v>ברית</x:v>
      </x:c>
      <x:c r="C211" s="11" t="str">
        <x:v>מתנה</x:v>
      </x:c>
      <x:c r="D211" s="11" t="n">
        <x:v>1</x:v>
      </x:c>
      <x:c r="E211" s="11" t="n">
        <x:v>1</x:v>
      </x:c>
      <x:c r="F211" s="16" t="n">
        <x:f>SUMIFS('עסקאות'!$M$2:$M$1958,'עסקאות'!$F$2:$F$1958,B211)</x:f>
        <x:v>300</x:v>
      </x:c>
      <x:c r="G211" s="16" t="n">
        <x:f>IF(D211=0,"",F211/D211)</x:f>
        <x:v>300</x:v>
      </x:c>
      <x:c r="H211" s="16" t="n">
        <x:f>F211/20</x:f>
        <x:v>15</x:v>
      </x:c>
      <x:c r="I211" s="16" t="n">
        <x:f>SUMIFS('עסקאות'!$M$2:$M$1958,'עסקאות'!$F$2:$F$1958,B211,'עסקאות'!$A$2:$A$1958,"&gt;="&amp;DATE(2025,1,1),'עסקאות'!$A$2:$A$1958,"&lt;"&amp;DATE(2026,1,1))</x:f>
        <x:v>0</x:v>
      </x:c>
      <x:c r="J211" s="16" t="n">
        <x:f>SUMIFS('עסקאות'!$M$2:$M$1958,'עסקאות'!$F$2:$F$1958,B211,'עסקאות'!$A$2:$A$1958,"&gt;="&amp;DATE(2026,1,1),'עסקאות'!$A$2:$A$1958,"&lt;"&amp;DATE(2027,1,1))</x:f>
        <x:v>300</x:v>
      </x:c>
    </x:row>
    <x:row r="212">
      <x:c r="B212" s="11" t="str">
        <x:v>כריות</x:v>
      </x:c>
      <x:c r="C212" s="11" t="str">
        <x:v>קניות לבית</x:v>
      </x:c>
      <x:c r="D212" s="11" t="n">
        <x:v>1</x:v>
      </x:c>
      <x:c r="E212" s="11" t="n">
        <x:v>1</x:v>
      </x:c>
      <x:c r="F212" s="16" t="n">
        <x:f>SUMIFS('עסקאות'!$M$2:$M$1958,'עסקאות'!$F$2:$F$1958,B212)</x:f>
        <x:v>299</x:v>
      </x:c>
      <x:c r="G212" s="16" t="n">
        <x:f>IF(D212=0,"",F212/D212)</x:f>
        <x:v>299</x:v>
      </x:c>
      <x:c r="H212" s="16" t="n">
        <x:f>F212/20</x:f>
        <x:v>14.95</x:v>
      </x:c>
      <x:c r="I212" s="16" t="n">
        <x:f>SUMIFS('עסקאות'!$M$2:$M$1958,'עסקאות'!$F$2:$F$1958,B212,'עסקאות'!$A$2:$A$1958,"&gt;="&amp;DATE(2025,1,1),'עסקאות'!$A$2:$A$1958,"&lt;"&amp;DATE(2026,1,1))</x:f>
        <x:v>299</x:v>
      </x:c>
      <x:c r="J212" s="16" t="n">
        <x:f>SUMIFS('עסקאות'!$M$2:$M$1958,'עסקאות'!$F$2:$F$1958,B212,'עסקאות'!$A$2:$A$1958,"&gt;="&amp;DATE(2026,1,1),'עסקאות'!$A$2:$A$1958,"&lt;"&amp;DATE(2027,1,1))</x:f>
        <x:v>0</x:v>
      </x:c>
    </x:row>
    <x:row r="213">
      <x:c r="B213" s="11" t="str">
        <x:v>שחר חסון</x:v>
      </x:c>
      <x:c r="C213" s="11" t="str">
        <x:v>פנאי</x:v>
      </x:c>
      <x:c r="D213" s="11" t="n">
        <x:v>1</x:v>
      </x:c>
      <x:c r="E213" s="11" t="n">
        <x:v>1</x:v>
      </x:c>
      <x:c r="F213" s="16" t="n">
        <x:f>SUMIFS('עסקאות'!$M$2:$M$1958,'עסקאות'!$F$2:$F$1958,B213)</x:f>
        <x:v>295</x:v>
      </x:c>
      <x:c r="G213" s="16" t="n">
        <x:f>IF(D213=0,"",F213/D213)</x:f>
        <x:v>295</x:v>
      </x:c>
      <x:c r="H213" s="16" t="n">
        <x:f>F213/20</x:f>
        <x:v>14.75</x:v>
      </x:c>
      <x:c r="I213" s="16" t="n">
        <x:f>SUMIFS('עסקאות'!$M$2:$M$1958,'עסקאות'!$F$2:$F$1958,B213,'עסקאות'!$A$2:$A$1958,"&gt;="&amp;DATE(2025,1,1),'עסקאות'!$A$2:$A$1958,"&lt;"&amp;DATE(2026,1,1))</x:f>
        <x:v>0</x:v>
      </x:c>
      <x:c r="J213" s="16" t="n">
        <x:f>SUMIFS('עסקאות'!$M$2:$M$1958,'עסקאות'!$F$2:$F$1958,B213,'עסקאות'!$A$2:$A$1958,"&gt;="&amp;DATE(2026,1,1),'עסקאות'!$A$2:$A$1958,"&lt;"&amp;DATE(2027,1,1))</x:f>
        <x:v>295</x:v>
      </x:c>
    </x:row>
    <x:row r="214">
      <x:c r="B214" s="11" t="str">
        <x:v>לירי</x:v>
      </x:c>
      <x:c r="C214" s="11" t="str">
        <x:v>בריאות וטיפולים</x:v>
      </x:c>
      <x:c r="D214" s="11" t="n">
        <x:v>3</x:v>
      </x:c>
      <x:c r="E214" s="11" t="n">
        <x:v>3</x:v>
      </x:c>
      <x:c r="F214" s="16" t="n">
        <x:f>SUMIFS('עסקאות'!$M$2:$M$1958,'עסקאות'!$F$2:$F$1958,B214)</x:f>
        <x:v>291</x:v>
      </x:c>
      <x:c r="G214" s="16" t="n">
        <x:f>IF(D214=0,"",F214/D214)</x:f>
        <x:v>97</x:v>
      </x:c>
      <x:c r="H214" s="16" t="n">
        <x:f>F214/20</x:f>
        <x:v>14.55</x:v>
      </x:c>
      <x:c r="I214" s="16" t="n">
        <x:f>SUMIFS('עסקאות'!$M$2:$M$1958,'עסקאות'!$F$2:$F$1958,B214,'עסקאות'!$A$2:$A$1958,"&gt;="&amp;DATE(2025,1,1),'עסקאות'!$A$2:$A$1958,"&lt;"&amp;DATE(2026,1,1))</x:f>
        <x:v>0</x:v>
      </x:c>
      <x:c r="J214" s="16" t="n">
        <x:f>SUMIFS('עסקאות'!$M$2:$M$1958,'עסקאות'!$F$2:$F$1958,B214,'עסקאות'!$A$2:$A$1958,"&gt;="&amp;DATE(2026,1,1),'עסקאות'!$A$2:$A$1958,"&lt;"&amp;DATE(2027,1,1))</x:f>
        <x:v>291</x:v>
      </x:c>
    </x:row>
    <x:row r="215">
      <x:c r="B215" s="11" t="str">
        <x:v>הודיס</x:v>
      </x:c>
      <x:c r="C215" s="11" t="str">
        <x:v>אופנה</x:v>
      </x:c>
      <x:c r="D215" s="11" t="n">
        <x:v>2</x:v>
      </x:c>
      <x:c r="E215" s="11" t="n">
        <x:v>2</x:v>
      </x:c>
      <x:c r="F215" s="16" t="n">
        <x:f>SUMIFS('עסקאות'!$M$2:$M$1958,'עסקאות'!$F$2:$F$1958,B215)</x:f>
        <x:v>285</x:v>
      </x:c>
      <x:c r="G215" s="16" t="n">
        <x:f>IF(D215=0,"",F215/D215)</x:f>
        <x:v>142.5</x:v>
      </x:c>
      <x:c r="H215" s="16" t="n">
        <x:f>F215/20</x:f>
        <x:v>14.25</x:v>
      </x:c>
      <x:c r="I215" s="16" t="n">
        <x:f>SUMIFS('עסקאות'!$M$2:$M$1958,'עסקאות'!$F$2:$F$1958,B215,'עסקאות'!$A$2:$A$1958,"&gt;="&amp;DATE(2025,1,1),'עסקאות'!$A$2:$A$1958,"&lt;"&amp;DATE(2026,1,1))</x:f>
        <x:v>135</x:v>
      </x:c>
      <x:c r="J215" s="16" t="n">
        <x:f>SUMIFS('עסקאות'!$M$2:$M$1958,'עסקאות'!$F$2:$F$1958,B215,'עסקאות'!$A$2:$A$1958,"&gt;="&amp;DATE(2026,1,1),'עסקאות'!$A$2:$A$1958,"&lt;"&amp;DATE(2027,1,1))</x:f>
        <x:v>150</x:v>
      </x:c>
    </x:row>
    <x:row r="216">
      <x:c r="B216" s="11" t="str">
        <x:v>העברה ב BIT שיעור טיסה לאבא</x:v>
      </x:c>
      <x:c r="C216" s="11" t="str">
        <x:v>מתנה</x:v>
      </x:c>
      <x:c r="D216" s="11" t="n">
        <x:v>1</x:v>
      </x:c>
      <x:c r="E216" s="11" t="n">
        <x:v>1</x:v>
      </x:c>
      <x:c r="F216" s="16" t="n">
        <x:f>SUMIFS('עסקאות'!$M$2:$M$1958,'עסקאות'!$F$2:$F$1958,B216)</x:f>
        <x:v>285</x:v>
      </x:c>
      <x:c r="G216" s="16" t="n">
        <x:f>IF(D216=0,"",F216/D216)</x:f>
        <x:v>285</x:v>
      </x:c>
      <x:c r="H216" s="16" t="n">
        <x:f>F216/20</x:f>
        <x:v>14.25</x:v>
      </x:c>
      <x:c r="I216" s="16" t="n">
        <x:f>SUMIFS('עסקאות'!$M$2:$M$1958,'עסקאות'!$F$2:$F$1958,B216,'עסקאות'!$A$2:$A$1958,"&gt;="&amp;DATE(2025,1,1),'עסקאות'!$A$2:$A$1958,"&lt;"&amp;DATE(2026,1,1))</x:f>
        <x:v>0</x:v>
      </x:c>
      <x:c r="J216" s="16" t="n">
        <x:f>SUMIFS('עסקאות'!$M$2:$M$1958,'עסקאות'!$F$2:$F$1958,B216,'עסקאות'!$A$2:$A$1958,"&gt;="&amp;DATE(2026,1,1),'עסקאות'!$A$2:$A$1958,"&lt;"&amp;DATE(2027,1,1))</x:f>
        <x:v>285</x:v>
      </x:c>
    </x:row>
    <x:row r="217">
      <x:c r="B217" s="11" t="str">
        <x:v>איקאה</x:v>
      </x:c>
      <x:c r="C217" s="11" t="str">
        <x:v>קניות לבית</x:v>
      </x:c>
      <x:c r="D217" s="11" t="n">
        <x:v>1</x:v>
      </x:c>
      <x:c r="E217" s="11" t="n">
        <x:v>1</x:v>
      </x:c>
      <x:c r="F217" s="16" t="n">
        <x:f>SUMIFS('עסקאות'!$M$2:$M$1958,'עסקאות'!$F$2:$F$1958,B217)</x:f>
        <x:v>283</x:v>
      </x:c>
      <x:c r="G217" s="16" t="n">
        <x:f>IF(D217=0,"",F217/D217)</x:f>
        <x:v>283</x:v>
      </x:c>
      <x:c r="H217" s="16" t="n">
        <x:f>F217/20</x:f>
        <x:v>14.15</x:v>
      </x:c>
      <x:c r="I217" s="16" t="n">
        <x:f>SUMIFS('עסקאות'!$M$2:$M$1958,'עסקאות'!$F$2:$F$1958,B217,'עסקאות'!$A$2:$A$1958,"&gt;="&amp;DATE(2025,1,1),'עסקאות'!$A$2:$A$1958,"&lt;"&amp;DATE(2026,1,1))</x:f>
        <x:v>283</x:v>
      </x:c>
      <x:c r="J217" s="16" t="n">
        <x:f>SUMIFS('עסקאות'!$M$2:$M$1958,'עסקאות'!$F$2:$F$1958,B217,'עסקאות'!$A$2:$A$1958,"&gt;="&amp;DATE(2026,1,1),'עסקאות'!$A$2:$A$1958,"&lt;"&amp;DATE(2027,1,1))</x:f>
        <x:v>0</x:v>
      </x:c>
    </x:row>
    <x:row r="218">
      <x:c r="B218" s="11" t="str">
        <x:v>אורות חנוכה</x:v>
      </x:c>
      <x:c r="C218" s="11" t="str">
        <x:v>פנאי</x:v>
      </x:c>
      <x:c r="D218" s="11" t="n">
        <x:v>2</x:v>
      </x:c>
      <x:c r="E218" s="11" t="n">
        <x:v>1</x:v>
      </x:c>
      <x:c r="F218" s="16" t="n">
        <x:f>SUMIFS('עסקאות'!$M$2:$M$1958,'עסקאות'!$F$2:$F$1958,B218)</x:f>
        <x:v>283</x:v>
      </x:c>
      <x:c r="G218" s="16" t="n">
        <x:f>IF(D218=0,"",F218/D218)</x:f>
        <x:v>141.5</x:v>
      </x:c>
      <x:c r="H218" s="16" t="n">
        <x:f>F218/20</x:f>
        <x:v>14.15</x:v>
      </x:c>
      <x:c r="I218" s="16" t="n">
        <x:f>SUMIFS('עסקאות'!$M$2:$M$1958,'עסקאות'!$F$2:$F$1958,B218,'עסקאות'!$A$2:$A$1958,"&gt;="&amp;DATE(2025,1,1),'עסקאות'!$A$2:$A$1958,"&lt;"&amp;DATE(2026,1,1))</x:f>
        <x:v>283</x:v>
      </x:c>
      <x:c r="J218" s="16" t="n">
        <x:f>SUMIFS('עסקאות'!$M$2:$M$1958,'עסקאות'!$F$2:$F$1958,B218,'עסקאות'!$A$2:$A$1958,"&gt;="&amp;DATE(2026,1,1),'עסקאות'!$A$2:$A$1958,"&lt;"&amp;DATE(2027,1,1))</x:f>
        <x:v>0</x:v>
      </x:c>
    </x:row>
    <x:row r="219">
      <x:c r="B219" s="11" t="str">
        <x:v>מחבתות</x:v>
      </x:c>
      <x:c r="C219" s="11" t="str">
        <x:v>קניות לבית</x:v>
      </x:c>
      <x:c r="D219" s="11" t="n">
        <x:v>1</x:v>
      </x:c>
      <x:c r="E219" s="11" t="n">
        <x:v>1</x:v>
      </x:c>
      <x:c r="F219" s="16" t="n">
        <x:f>SUMIFS('עסקאות'!$M$2:$M$1958,'עסקאות'!$F$2:$F$1958,B219)</x:f>
        <x:v>278</x:v>
      </x:c>
      <x:c r="G219" s="16" t="n">
        <x:f>IF(D219=0,"",F219/D219)</x:f>
        <x:v>278</x:v>
      </x:c>
      <x:c r="H219" s="16" t="n">
        <x:f>F219/20</x:f>
        <x:v>13.9</x:v>
      </x:c>
      <x:c r="I219" s="16" t="n">
        <x:f>SUMIFS('עסקאות'!$M$2:$M$1958,'עסקאות'!$F$2:$F$1958,B219,'עסקאות'!$A$2:$A$1958,"&gt;="&amp;DATE(2025,1,1),'עסקאות'!$A$2:$A$1958,"&lt;"&amp;DATE(2026,1,1))</x:f>
        <x:v>278</x:v>
      </x:c>
      <x:c r="J219" s="16" t="n">
        <x:f>SUMIFS('עסקאות'!$M$2:$M$1958,'עסקאות'!$F$2:$F$1958,B219,'עסקאות'!$A$2:$A$1958,"&gt;="&amp;DATE(2026,1,1),'עסקאות'!$A$2:$A$1958,"&lt;"&amp;DATE(2027,1,1))</x:f>
        <x:v>0</x:v>
      </x:c>
    </x:row>
    <x:row r="220">
      <x:c r="B220" s="11" t="str">
        <x:v>סבוקלם</x:v>
      </x:c>
      <x:c r="C220" s="11" t="str">
        <x:v>קוסמטיקה</x:v>
      </x:c>
      <x:c r="D220" s="11" t="n">
        <x:v>1</x:v>
      </x:c>
      <x:c r="E220" s="11" t="n">
        <x:v>1</x:v>
      </x:c>
      <x:c r="F220" s="16" t="n">
        <x:f>SUMIFS('עסקאות'!$M$2:$M$1958,'עסקאות'!$F$2:$F$1958,B220)</x:f>
        <x:v>276</x:v>
      </x:c>
      <x:c r="G220" s="16" t="n">
        <x:f>IF(D220=0,"",F220/D220)</x:f>
        <x:v>276</x:v>
      </x:c>
      <x:c r="H220" s="16" t="n">
        <x:f>F220/20</x:f>
        <x:v>13.8</x:v>
      </x:c>
      <x:c r="I220" s="16" t="n">
        <x:f>SUMIFS('עסקאות'!$M$2:$M$1958,'עסקאות'!$F$2:$F$1958,B220,'עסקאות'!$A$2:$A$1958,"&gt;="&amp;DATE(2025,1,1),'עסקאות'!$A$2:$A$1958,"&lt;"&amp;DATE(2026,1,1))</x:f>
        <x:v>276</x:v>
      </x:c>
      <x:c r="J220" s="16" t="n">
        <x:f>SUMIFS('עסקאות'!$M$2:$M$1958,'עסקאות'!$F$2:$F$1958,B220,'עסקאות'!$A$2:$A$1958,"&gt;="&amp;DATE(2026,1,1),'עסקאות'!$A$2:$A$1958,"&lt;"&amp;DATE(2027,1,1))</x:f>
        <x:v>0</x:v>
      </x:c>
    </x:row>
    <x:row r="221">
      <x:c r="B221" s="11" t="str">
        <x:v>ביטוח תכולה</x:v>
      </x:c>
      <x:c r="C221" s="11" t="str">
        <x:v>ביטוח</x:v>
      </x:c>
      <x:c r="D221" s="11" t="n">
        <x:v>1</x:v>
      </x:c>
      <x:c r="E221" s="11" t="n">
        <x:v>1</x:v>
      </x:c>
      <x:c r="F221" s="16" t="n">
        <x:f>SUMIFS('עסקאות'!$M$2:$M$1958,'עסקאות'!$F$2:$F$1958,B221)</x:f>
        <x:v>273</x:v>
      </x:c>
      <x:c r="G221" s="16" t="n">
        <x:f>IF(D221=0,"",F221/D221)</x:f>
        <x:v>273</x:v>
      </x:c>
      <x:c r="H221" s="16" t="n">
        <x:f>F221/20</x:f>
        <x:v>13.65</x:v>
      </x:c>
      <x:c r="I221" s="16" t="n">
        <x:f>SUMIFS('עסקאות'!$M$2:$M$1958,'עסקאות'!$F$2:$F$1958,B221,'עסקאות'!$A$2:$A$1958,"&gt;="&amp;DATE(2025,1,1),'עסקאות'!$A$2:$A$1958,"&lt;"&amp;DATE(2026,1,1))</x:f>
        <x:v>273</x:v>
      </x:c>
      <x:c r="J221" s="16" t="n">
        <x:f>SUMIFS('עסקאות'!$M$2:$M$1958,'עסקאות'!$F$2:$F$1958,B221,'עסקאות'!$A$2:$A$1958,"&gt;="&amp;DATE(2026,1,1),'עסקאות'!$A$2:$A$1958,"&lt;"&amp;DATE(2027,1,1))</x:f>
        <x:v>0</x:v>
      </x:c>
    </x:row>
    <x:row r="222">
      <x:c r="B222" s="11" t="str">
        <x:v>גינס</x:v>
      </x:c>
      <x:c r="C222" s="11" t="str">
        <x:v>אופנה</x:v>
      </x:c>
      <x:c r="D222" s="11" t="n">
        <x:v>1</x:v>
      </x:c>
      <x:c r="E222" s="11" t="n">
        <x:v>1</x:v>
      </x:c>
      <x:c r="F222" s="16" t="n">
        <x:f>SUMIFS('עסקאות'!$M$2:$M$1958,'עסקאות'!$F$2:$F$1958,B222)</x:f>
        <x:v>271</x:v>
      </x:c>
      <x:c r="G222" s="16" t="n">
        <x:f>IF(D222=0,"",F222/D222)</x:f>
        <x:v>271</x:v>
      </x:c>
      <x:c r="H222" s="16" t="n">
        <x:f>F222/20</x:f>
        <x:v>13.55</x:v>
      </x:c>
      <x:c r="I222" s="16" t="n">
        <x:f>SUMIFS('עסקאות'!$M$2:$M$1958,'עסקאות'!$F$2:$F$1958,B222,'עסקאות'!$A$2:$A$1958,"&gt;="&amp;DATE(2025,1,1),'עסקאות'!$A$2:$A$1958,"&lt;"&amp;DATE(2026,1,1))</x:f>
        <x:v>0</x:v>
      </x:c>
      <x:c r="J222" s="16" t="n">
        <x:f>SUMIFS('עסקאות'!$M$2:$M$1958,'עסקאות'!$F$2:$F$1958,B222,'עסקאות'!$A$2:$A$1958,"&gt;="&amp;DATE(2026,1,1),'עסקאות'!$A$2:$A$1958,"&lt;"&amp;DATE(2027,1,1))</x:f>
        <x:v>271</x:v>
      </x:c>
    </x:row>
    <x:row r="223">
      <x:c r="B223" s="11" t="str">
        <x:v>השלמת טיסות סישל</x:v>
      </x:c>
      <x:c r="C223" s="11" t="str">
        <x:v>חתונה</x:v>
      </x:c>
      <x:c r="D223" s="11" t="n">
        <x:v>1</x:v>
      </x:c>
      <x:c r="E223" s="11" t="n">
        <x:v>1</x:v>
      </x:c>
      <x:c r="F223" s="16" t="n">
        <x:f>SUMIFS('עסקאות'!$M$2:$M$1958,'עסקאות'!$F$2:$F$1958,B223)</x:f>
        <x:v>270</x:v>
      </x:c>
      <x:c r="G223" s="16" t="n">
        <x:f>IF(D223=0,"",F223/D223)</x:f>
        <x:v>270</x:v>
      </x:c>
      <x:c r="H223" s="16" t="n">
        <x:f>F223/20</x:f>
        <x:v>13.5</x:v>
      </x:c>
      <x:c r="I223" s="16" t="n">
        <x:f>SUMIFS('עסקאות'!$M$2:$M$1958,'עסקאות'!$F$2:$F$1958,B223,'עסקאות'!$A$2:$A$1958,"&gt;="&amp;DATE(2025,1,1),'עסקאות'!$A$2:$A$1958,"&lt;"&amp;DATE(2026,1,1))</x:f>
        <x:v>270</x:v>
      </x:c>
      <x:c r="J223" s="16" t="n">
        <x:f>SUMIFS('עסקאות'!$M$2:$M$1958,'עסקאות'!$F$2:$F$1958,B223,'עסקאות'!$A$2:$A$1958,"&gt;="&amp;DATE(2026,1,1),'עסקאות'!$A$2:$A$1958,"&lt;"&amp;DATE(2027,1,1))</x:f>
        <x:v>0</x:v>
      </x:c>
    </x:row>
    <x:row r="224">
      <x:c r="B224" s="11" t="str">
        <x:v>קרמים לשיער</x:v>
      </x:c>
      <x:c r="C224" s="11" t="str">
        <x:v>קוסמטיקה</x:v>
      </x:c>
      <x:c r="D224" s="11" t="n">
        <x:v>1</x:v>
      </x:c>
      <x:c r="E224" s="11" t="n">
        <x:v>1</x:v>
      </x:c>
      <x:c r="F224" s="16" t="n">
        <x:f>SUMIFS('עסקאות'!$M$2:$M$1958,'עסקאות'!$F$2:$F$1958,B224)</x:f>
        <x:v>268</x:v>
      </x:c>
      <x:c r="G224" s="16" t="n">
        <x:f>IF(D224=0,"",F224/D224)</x:f>
        <x:v>268</x:v>
      </x:c>
      <x:c r="H224" s="16" t="n">
        <x:f>F224/20</x:f>
        <x:v>13.4</x:v>
      </x:c>
      <x:c r="I224" s="16" t="n">
        <x:f>SUMIFS('עסקאות'!$M$2:$M$1958,'עסקאות'!$F$2:$F$1958,B224,'עסקאות'!$A$2:$A$1958,"&gt;="&amp;DATE(2025,1,1),'עסקאות'!$A$2:$A$1958,"&lt;"&amp;DATE(2026,1,1))</x:f>
        <x:v>268</x:v>
      </x:c>
      <x:c r="J224" s="16" t="n">
        <x:f>SUMIFS('עסקאות'!$M$2:$M$1958,'עסקאות'!$F$2:$F$1958,B224,'עסקאות'!$A$2:$A$1958,"&gt;="&amp;DATE(2026,1,1),'עסקאות'!$A$2:$A$1958,"&lt;"&amp;DATE(2027,1,1))</x:f>
        <x:v>0</x:v>
      </x:c>
    </x:row>
    <x:row r="225">
      <x:c r="B225" s="11" t="str">
        <x:v>הראל-ביטוח דירה</x:v>
      </x:c>
      <x:c r="C225" s="11" t="str">
        <x:v>ביטוח</x:v>
      </x:c>
      <x:c r="D225" s="11" t="n">
        <x:v>1</x:v>
      </x:c>
      <x:c r="E225" s="11" t="n">
        <x:v>1</x:v>
      </x:c>
      <x:c r="F225" s="16" t="n">
        <x:f>SUMIFS('עסקאות'!$M$2:$M$1958,'עסקאות'!$F$2:$F$1958,B225)</x:f>
        <x:v>264</x:v>
      </x:c>
      <x:c r="G225" s="16" t="n">
        <x:f>IF(D225=0,"",F225/D225)</x:f>
        <x:v>264</x:v>
      </x:c>
      <x:c r="H225" s="16" t="n">
        <x:f>F225/20</x:f>
        <x:v>13.2</x:v>
      </x:c>
      <x:c r="I225" s="16" t="n">
        <x:f>SUMIFS('עסקאות'!$M$2:$M$1958,'עסקאות'!$F$2:$F$1958,B225,'עסקאות'!$A$2:$A$1958,"&gt;="&amp;DATE(2025,1,1),'עסקאות'!$A$2:$A$1958,"&lt;"&amp;DATE(2026,1,1))</x:f>
        <x:v>0</x:v>
      </x:c>
      <x:c r="J225" s="16" t="n">
        <x:f>SUMIFS('עסקאות'!$M$2:$M$1958,'עסקאות'!$F$2:$F$1958,B225,'עסקאות'!$A$2:$A$1958,"&gt;="&amp;DATE(2026,1,1),'עסקאות'!$A$2:$A$1958,"&lt;"&amp;DATE(2027,1,1))</x:f>
        <x:v>264</x:v>
      </x:c>
    </x:row>
    <x:row r="226">
      <x:c r="B226" s="11" t="str">
        <x:v>אקספו</x:v>
      </x:c>
      <x:c r="C226" s="11" t="str">
        <x:v>נסיעות וחופשות</x:v>
      </x:c>
      <x:c r="D226" s="11" t="n">
        <x:v>1</x:v>
      </x:c>
      <x:c r="E226" s="11" t="n">
        <x:v>1</x:v>
      </x:c>
      <x:c r="F226" s="16" t="n">
        <x:f>SUMIFS('עסקאות'!$M$2:$M$1958,'עסקאות'!$F$2:$F$1958,B226)</x:f>
        <x:v>262</x:v>
      </x:c>
      <x:c r="G226" s="16" t="n">
        <x:f>IF(D226=0,"",F226/D226)</x:f>
        <x:v>262</x:v>
      </x:c>
      <x:c r="H226" s="16" t="n">
        <x:f>F226/20</x:f>
        <x:v>13.1</x:v>
      </x:c>
      <x:c r="I226" s="16" t="n">
        <x:f>SUMIFS('עסקאות'!$M$2:$M$1958,'עסקאות'!$F$2:$F$1958,B226,'עסקאות'!$A$2:$A$1958,"&gt;="&amp;DATE(2025,1,1),'עסקאות'!$A$2:$A$1958,"&lt;"&amp;DATE(2026,1,1))</x:f>
        <x:v>262</x:v>
      </x:c>
      <x:c r="J226" s="16" t="n">
        <x:f>SUMIFS('עסקאות'!$M$2:$M$1958,'עסקאות'!$F$2:$F$1958,B226,'עסקאות'!$A$2:$A$1958,"&gt;="&amp;DATE(2026,1,1),'עסקאות'!$A$2:$A$1958,"&lt;"&amp;DATE(2027,1,1))</x:f>
        <x:v>0</x:v>
      </x:c>
    </x:row>
    <x:row r="227">
      <x:c r="B227" s="11" t="str">
        <x:v>מקס ליונתן</x:v>
      </x:c>
      <x:c r="C227" s="11" t="str">
        <x:v>מתנה</x:v>
      </x:c>
      <x:c r="D227" s="11" t="n">
        <x:v>1</x:v>
      </x:c>
      <x:c r="E227" s="11" t="n">
        <x:v>1</x:v>
      </x:c>
      <x:c r="F227" s="16" t="n">
        <x:f>SUMIFS('עסקאות'!$M$2:$M$1958,'עסקאות'!$F$2:$F$1958,B227)</x:f>
        <x:v>262</x:v>
      </x:c>
      <x:c r="G227" s="16" t="n">
        <x:f>IF(D227=0,"",F227/D227)</x:f>
        <x:v>262</x:v>
      </x:c>
      <x:c r="H227" s="16" t="n">
        <x:f>F227/20</x:f>
        <x:v>13.1</x:v>
      </x:c>
      <x:c r="I227" s="16" t="n">
        <x:f>SUMIFS('עסקאות'!$M$2:$M$1958,'עסקאות'!$F$2:$F$1958,B227,'עסקאות'!$A$2:$A$1958,"&gt;="&amp;DATE(2025,1,1),'עסקאות'!$A$2:$A$1958,"&lt;"&amp;DATE(2026,1,1))</x:f>
        <x:v>262</x:v>
      </x:c>
      <x:c r="J227" s="16" t="n">
        <x:f>SUMIFS('עסקאות'!$M$2:$M$1958,'עסקאות'!$F$2:$F$1958,B227,'עסקאות'!$A$2:$A$1958,"&gt;="&amp;DATE(2026,1,1),'עסקאות'!$A$2:$A$1958,"&lt;"&amp;DATE(2027,1,1))</x:f>
        <x:v>0</x:v>
      </x:c>
    </x:row>
    <x:row r="228">
      <x:c r="B228" s="11" t="str">
        <x:v>NayLon - הוד השרון</x:v>
      </x:c>
      <x:c r="C228" s="11" t="str">
        <x:v>אוכל בחוץ</x:v>
      </x:c>
      <x:c r="D228" s="11" t="n">
        <x:v>1</x:v>
      </x:c>
      <x:c r="E228" s="11" t="n">
        <x:v>1</x:v>
      </x:c>
      <x:c r="F228" s="16" t="n">
        <x:f>SUMIFS('עסקאות'!$M$2:$M$1958,'עסקאות'!$F$2:$F$1958,B228)</x:f>
        <x:v>262</x:v>
      </x:c>
      <x:c r="G228" s="16" t="n">
        <x:f>IF(D228=0,"",F228/D228)</x:f>
        <x:v>262</x:v>
      </x:c>
      <x:c r="H228" s="16" t="n">
        <x:f>F228/20</x:f>
        <x:v>13.1</x:v>
      </x:c>
      <x:c r="I228" s="16" t="n">
        <x:f>SUMIFS('עסקאות'!$M$2:$M$1958,'עסקאות'!$F$2:$F$1958,B228,'עסקאות'!$A$2:$A$1958,"&gt;="&amp;DATE(2025,1,1),'עסקאות'!$A$2:$A$1958,"&lt;"&amp;DATE(2026,1,1))</x:f>
        <x:v>0</x:v>
      </x:c>
      <x:c r="J228" s="16" t="n">
        <x:f>SUMIFS('עסקאות'!$M$2:$M$1958,'עסקאות'!$F$2:$F$1958,B228,'עסקאות'!$A$2:$A$1958,"&gt;="&amp;DATE(2026,1,1),'עסקאות'!$A$2:$A$1958,"&lt;"&amp;DATE(2027,1,1))</x:f>
        <x:v>262</x:v>
      </x:c>
    </x:row>
    <x:row r="229">
      <x:c r="B229" s="11" t="str">
        <x:v>ספר</x:v>
      </x:c>
      <x:c r="C229" s="11" t="str">
        <x:v>קוסמטיקה</x:v>
      </x:c>
      <x:c r="D229" s="11" t="n">
        <x:v>3</x:v>
      </x:c>
      <x:c r="E229" s="11" t="n">
        <x:v>3</x:v>
      </x:c>
      <x:c r="F229" s="16" t="n">
        <x:f>SUMIFS('עסקאות'!$M$2:$M$1958,'עסקאות'!$F$2:$F$1958,B229)</x:f>
        <x:v>260</x:v>
      </x:c>
      <x:c r="G229" s="16" t="n">
        <x:f>IF(D229=0,"",F229/D229)</x:f>
        <x:v>86.66666666666667</x:v>
      </x:c>
      <x:c r="H229" s="16" t="n">
        <x:f>F229/20</x:f>
        <x:v>13</x:v>
      </x:c>
      <x:c r="I229" s="16" t="n">
        <x:f>SUMIFS('עסקאות'!$M$2:$M$1958,'עסקאות'!$F$2:$F$1958,B229,'עסקאות'!$A$2:$A$1958,"&gt;="&amp;DATE(2025,1,1),'עסקאות'!$A$2:$A$1958,"&lt;"&amp;DATE(2026,1,1))</x:f>
        <x:v>0</x:v>
      </x:c>
      <x:c r="J229" s="16" t="n">
        <x:f>SUMIFS('עסקאות'!$M$2:$M$1958,'עסקאות'!$F$2:$F$1958,B229,'עסקאות'!$A$2:$A$1958,"&gt;="&amp;DATE(2026,1,1),'עסקאות'!$A$2:$A$1958,"&lt;"&amp;DATE(2027,1,1))</x:f>
        <x:v>260</x:v>
      </x:c>
    </x:row>
    <x:row r="230">
      <x:c r="B230" s="11" t="str">
        <x:v>נונו מימי</x:v>
      </x:c>
      <x:c r="C230" s="11" t="str">
        <x:v>אוכל בחוץ</x:v>
      </x:c>
      <x:c r="D230" s="11" t="n">
        <x:v>1</x:v>
      </x:c>
      <x:c r="E230" s="11" t="n">
        <x:v>1</x:v>
      </x:c>
      <x:c r="F230" s="16" t="n">
        <x:f>SUMIFS('עסקאות'!$M$2:$M$1958,'עסקאות'!$F$2:$F$1958,B230)</x:f>
        <x:v>258</x:v>
      </x:c>
      <x:c r="G230" s="16" t="n">
        <x:f>IF(D230=0,"",F230/D230)</x:f>
        <x:v>258</x:v>
      </x:c>
      <x:c r="H230" s="16" t="n">
        <x:f>F230/20</x:f>
        <x:v>12.9</x:v>
      </x:c>
      <x:c r="I230" s="16" t="n">
        <x:f>SUMIFS('עסקאות'!$M$2:$M$1958,'עסקאות'!$F$2:$F$1958,B230,'עסקאות'!$A$2:$A$1958,"&gt;="&amp;DATE(2025,1,1),'עסקאות'!$A$2:$A$1958,"&lt;"&amp;DATE(2026,1,1))</x:f>
        <x:v>258</x:v>
      </x:c>
      <x:c r="J230" s="16" t="n">
        <x:f>SUMIFS('עסקאות'!$M$2:$M$1958,'עסקאות'!$F$2:$F$1958,B230,'עסקאות'!$A$2:$A$1958,"&gt;="&amp;DATE(2026,1,1),'עסקאות'!$A$2:$A$1958,"&lt;"&amp;DATE(2027,1,1))</x:f>
        <x:v>0</x:v>
      </x:c>
    </x:row>
    <x:row r="231">
      <x:c r="B231" s="11" t="str">
        <x:v>מסיכות שיער</x:v>
      </x:c>
      <x:c r="C231" s="11" t="str">
        <x:v>קוסמטיקה</x:v>
      </x:c>
      <x:c r="D231" s="11" t="n">
        <x:v>1</x:v>
      </x:c>
      <x:c r="E231" s="11" t="n">
        <x:v>1</x:v>
      </x:c>
      <x:c r="F231" s="16" t="n">
        <x:f>SUMIFS('עסקאות'!$M$2:$M$1958,'עסקאות'!$F$2:$F$1958,B231)</x:f>
        <x:v>258</x:v>
      </x:c>
      <x:c r="G231" s="16" t="n">
        <x:f>IF(D231=0,"",F231/D231)</x:f>
        <x:v>258</x:v>
      </x:c>
      <x:c r="H231" s="16" t="n">
        <x:f>F231/20</x:f>
        <x:v>12.9</x:v>
      </x:c>
      <x:c r="I231" s="16" t="n">
        <x:f>SUMIFS('עסקאות'!$M$2:$M$1958,'עסקאות'!$F$2:$F$1958,B231,'עסקאות'!$A$2:$A$1958,"&gt;="&amp;DATE(2025,1,1),'עסקאות'!$A$2:$A$1958,"&lt;"&amp;DATE(2026,1,1))</x:f>
        <x:v>0</x:v>
      </x:c>
      <x:c r="J231" s="16" t="n">
        <x:f>SUMIFS('עסקאות'!$M$2:$M$1958,'עסקאות'!$F$2:$F$1958,B231,'עסקאות'!$A$2:$A$1958,"&gt;="&amp;DATE(2026,1,1),'עסקאות'!$A$2:$A$1958,"&lt;"&amp;DATE(2027,1,1))</x:f>
        <x:v>258</x:v>
      </x:c>
    </x:row>
    <x:row r="232">
      <x:c r="B232" s="11" t="str">
        <x:v>תחתוני מחזור</x:v>
      </x:c>
      <x:c r="C232" s="11" t="str">
        <x:v>אופנה</x:v>
      </x:c>
      <x:c r="D232" s="11" t="n">
        <x:v>1</x:v>
      </x:c>
      <x:c r="E232" s="11" t="n">
        <x:v>1</x:v>
      </x:c>
      <x:c r="F232" s="16" t="n">
        <x:f>SUMIFS('עסקאות'!$M$2:$M$1958,'עסקאות'!$F$2:$F$1958,B232)</x:f>
        <x:v>257</x:v>
      </x:c>
      <x:c r="G232" s="16" t="n">
        <x:f>IF(D232=0,"",F232/D232)</x:f>
        <x:v>257</x:v>
      </x:c>
      <x:c r="H232" s="16" t="n">
        <x:f>F232/20</x:f>
        <x:v>12.85</x:v>
      </x:c>
      <x:c r="I232" s="16" t="n">
        <x:f>SUMIFS('עסקאות'!$M$2:$M$1958,'עסקאות'!$F$2:$F$1958,B232,'עסקאות'!$A$2:$A$1958,"&gt;="&amp;DATE(2025,1,1),'עסקאות'!$A$2:$A$1958,"&lt;"&amp;DATE(2026,1,1))</x:f>
        <x:v>257</x:v>
      </x:c>
      <x:c r="J232" s="16" t="n">
        <x:f>SUMIFS('עסקאות'!$M$2:$M$1958,'עסקאות'!$F$2:$F$1958,B232,'עסקאות'!$A$2:$A$1958,"&gt;="&amp;DATE(2026,1,1),'עסקאות'!$A$2:$A$1958,"&lt;"&amp;DATE(2027,1,1))</x:f>
        <x:v>0</x:v>
      </x:c>
    </x:row>
    <x:row r="233">
      <x:c r="B233" s="11" t="str">
        <x:v>חוות נעמי</x:v>
      </x:c>
      <x:c r="C233" s="11" t="str">
        <x:v>אוכל בחוץ</x:v>
      </x:c>
      <x:c r="D233" s="11" t="n">
        <x:v>2</x:v>
      </x:c>
      <x:c r="E233" s="11" t="n">
        <x:v>1</x:v>
      </x:c>
      <x:c r="F233" s="16" t="n">
        <x:f>SUMIFS('עסקאות'!$M$2:$M$1958,'עסקאות'!$F$2:$F$1958,B233)</x:f>
        <x:v>254</x:v>
      </x:c>
      <x:c r="G233" s="16" t="n">
        <x:f>IF(D233=0,"",F233/D233)</x:f>
        <x:v>127</x:v>
      </x:c>
      <x:c r="H233" s="16" t="n">
        <x:f>F233/20</x:f>
        <x:v>12.7</x:v>
      </x:c>
      <x:c r="I233" s="16" t="n">
        <x:f>SUMIFS('עסקאות'!$M$2:$M$1958,'עסקאות'!$F$2:$F$1958,B233,'עסקאות'!$A$2:$A$1958,"&gt;="&amp;DATE(2025,1,1),'עסקאות'!$A$2:$A$1958,"&lt;"&amp;DATE(2026,1,1))</x:f>
        <x:v>254</x:v>
      </x:c>
      <x:c r="J233" s="16" t="n">
        <x:f>SUMIFS('עסקאות'!$M$2:$M$1958,'עסקאות'!$F$2:$F$1958,B233,'עסקאות'!$A$2:$A$1958,"&gt;="&amp;DATE(2026,1,1),'עסקאות'!$A$2:$A$1958,"&lt;"&amp;DATE(2027,1,1))</x:f>
        <x:v>0</x:v>
      </x:c>
    </x:row>
    <x:row r="234">
      <x:c r="B234" s="11" t="str">
        <x:v>ביטוח חול סיישל</x:v>
      </x:c>
      <x:c r="C234" s="11" t="str">
        <x:v>חתונה</x:v>
      </x:c>
      <x:c r="D234" s="11" t="n">
        <x:v>1</x:v>
      </x:c>
      <x:c r="E234" s="11" t="n">
        <x:v>1</x:v>
      </x:c>
      <x:c r="F234" s="16" t="n">
        <x:f>SUMIFS('עסקאות'!$M$2:$M$1958,'עסקאות'!$F$2:$F$1958,B234)</x:f>
        <x:v>251</x:v>
      </x:c>
      <x:c r="G234" s="16" t="n">
        <x:f>IF(D234=0,"",F234/D234)</x:f>
        <x:v>251</x:v>
      </x:c>
      <x:c r="H234" s="16" t="n">
        <x:f>F234/20</x:f>
        <x:v>12.55</x:v>
      </x:c>
      <x:c r="I234" s="16" t="n">
        <x:f>SUMIFS('עסקאות'!$M$2:$M$1958,'עסקאות'!$F$2:$F$1958,B234,'עסקאות'!$A$2:$A$1958,"&gt;="&amp;DATE(2025,1,1),'עסקאות'!$A$2:$A$1958,"&lt;"&amp;DATE(2026,1,1))</x:f>
        <x:v>251</x:v>
      </x:c>
      <x:c r="J234" s="16" t="n">
        <x:f>SUMIFS('עסקאות'!$M$2:$M$1958,'עסקאות'!$F$2:$F$1958,B234,'עסקאות'!$A$2:$A$1958,"&gt;="&amp;DATE(2026,1,1),'עסקאות'!$A$2:$A$1958,"&lt;"&amp;DATE(2027,1,1))</x:f>
        <x:v>0</x:v>
      </x:c>
    </x:row>
    <x:row r="235">
      <x:c r="B235" s="11" t="str">
        <x:v>מקדחה</x:v>
      </x:c>
      <x:c r="C235" s="11" t="str">
        <x:v>קניות לבית</x:v>
      </x:c>
      <x:c r="D235" s="11" t="n">
        <x:v>1</x:v>
      </x:c>
      <x:c r="E235" s="11" t="n">
        <x:v>1</x:v>
      </x:c>
      <x:c r="F235" s="16" t="n">
        <x:f>SUMIFS('עסקאות'!$M$2:$M$1958,'עסקאות'!$F$2:$F$1958,B235)</x:f>
        <x:v>249</x:v>
      </x:c>
      <x:c r="G235" s="16" t="n">
        <x:f>IF(D235=0,"",F235/D235)</x:f>
        <x:v>249</x:v>
      </x:c>
      <x:c r="H235" s="16" t="n">
        <x:f>F235/20</x:f>
        <x:v>12.45</x:v>
      </x:c>
      <x:c r="I235" s="16" t="n">
        <x:f>SUMIFS('עסקאות'!$M$2:$M$1958,'עסקאות'!$F$2:$F$1958,B235,'עסקאות'!$A$2:$A$1958,"&gt;="&amp;DATE(2025,1,1),'עסקאות'!$A$2:$A$1958,"&lt;"&amp;DATE(2026,1,1))</x:f>
        <x:v>249</x:v>
      </x:c>
      <x:c r="J235" s="16" t="n">
        <x:f>SUMIFS('עסקאות'!$M$2:$M$1958,'עסקאות'!$F$2:$F$1958,B235,'עסקאות'!$A$2:$A$1958,"&gt;="&amp;DATE(2026,1,1),'עסקאות'!$A$2:$A$1958,"&lt;"&amp;DATE(2027,1,1))</x:f>
        <x:v>0</x:v>
      </x:c>
    </x:row>
    <x:row r="236">
      <x:c r="B236" s="11" t="str">
        <x:v>B</x:v>
      </x:c>
      <x:c r="C236" s="11" t="str">
        <x:v>בריאות וטיפולים</x:v>
      </x:c>
      <x:c r="D236" s="11" t="n">
        <x:v>3</x:v>
      </x:c>
      <x:c r="E236" s="11" t="n">
        <x:v>2</x:v>
      </x:c>
      <x:c r="F236" s="16" t="n">
        <x:f>SUMIFS('עסקאות'!$M$2:$M$1958,'עסקאות'!$F$2:$F$1958,B236)</x:f>
        <x:v>245</x:v>
      </x:c>
      <x:c r="G236" s="16" t="n">
        <x:f>IF(D236=0,"",F236/D236)</x:f>
        <x:v>81.66666666666667</x:v>
      </x:c>
      <x:c r="H236" s="16" t="n">
        <x:f>F236/20</x:f>
        <x:v>12.25</x:v>
      </x:c>
      <x:c r="I236" s="16" t="n">
        <x:f>SUMIFS('עסקאות'!$M$2:$M$1958,'עסקאות'!$F$2:$F$1958,B236,'עסקאות'!$A$2:$A$1958,"&gt;="&amp;DATE(2025,1,1),'עסקאות'!$A$2:$A$1958,"&lt;"&amp;DATE(2026,1,1))</x:f>
        <x:v>245</x:v>
      </x:c>
      <x:c r="J236" s="16" t="n">
        <x:f>SUMIFS('עסקאות'!$M$2:$M$1958,'עסקאות'!$F$2:$F$1958,B236,'עסקאות'!$A$2:$A$1958,"&gt;="&amp;DATE(2026,1,1),'עסקאות'!$A$2:$A$1958,"&lt;"&amp;DATE(2027,1,1))</x:f>
        <x:v>0</x:v>
      </x:c>
    </x:row>
    <x:row r="237">
      <x:c r="B237" s="11" t="str">
        <x:v>קלוד קוד</x:v>
      </x:c>
      <x:c r="C237" s="11" t="str">
        <x:v>אלקטרוניקה</x:v>
      </x:c>
      <x:c r="D237" s="11" t="n">
        <x:v>4</x:v>
      </x:c>
      <x:c r="E237" s="11" t="n">
        <x:v>4</x:v>
      </x:c>
      <x:c r="F237" s="16" t="n">
        <x:f>SUMIFS('עסקאות'!$M$2:$M$1958,'עסקאות'!$F$2:$F$1958,B237)</x:f>
        <x:v>244</x:v>
      </x:c>
      <x:c r="G237" s="16" t="n">
        <x:f>IF(D237=0,"",F237/D237)</x:f>
        <x:v>61</x:v>
      </x:c>
      <x:c r="H237" s="16" t="n">
        <x:f>F237/20</x:f>
        <x:v>12.2</x:v>
      </x:c>
      <x:c r="I237" s="16" t="n">
        <x:f>SUMIFS('עסקאות'!$M$2:$M$1958,'עסקאות'!$F$2:$F$1958,B237,'עסקאות'!$A$2:$A$1958,"&gt;="&amp;DATE(2025,1,1),'עסקאות'!$A$2:$A$1958,"&lt;"&amp;DATE(2026,1,1))</x:f>
        <x:v>0</x:v>
      </x:c>
      <x:c r="J237" s="16" t="n">
        <x:f>SUMIFS('עסקאות'!$M$2:$M$1958,'עסקאות'!$F$2:$F$1958,B237,'עסקאות'!$A$2:$A$1958,"&gt;="&amp;DATE(2026,1,1),'עסקאות'!$A$2:$A$1958,"&lt;"&amp;DATE(2027,1,1))</x:f>
        <x:v>244</x:v>
      </x:c>
    </x:row>
    <x:row r="238">
      <x:c r="B238" s="11" t="str">
        <x:v>אלי אקספקס</x:v>
      </x:c>
      <x:c r="C238" s="11" t="str">
        <x:v>קניות לבית</x:v>
      </x:c>
      <x:c r="D238" s="11" t="n">
        <x:v>2</x:v>
      </x:c>
      <x:c r="E238" s="11" t="n">
        <x:v>1</x:v>
      </x:c>
      <x:c r="F238" s="16" t="n">
        <x:f>SUMIFS('עסקאות'!$M$2:$M$1958,'עסקאות'!$F$2:$F$1958,B238)</x:f>
        <x:v>242</x:v>
      </x:c>
      <x:c r="G238" s="16" t="n">
        <x:f>IF(D238=0,"",F238/D238)</x:f>
        <x:v>121</x:v>
      </x:c>
      <x:c r="H238" s="16" t="n">
        <x:f>F238/20</x:f>
        <x:v>12.1</x:v>
      </x:c>
      <x:c r="I238" s="16" t="n">
        <x:f>SUMIFS('עסקאות'!$M$2:$M$1958,'עסקאות'!$F$2:$F$1958,B238,'עסקאות'!$A$2:$A$1958,"&gt;="&amp;DATE(2025,1,1),'עסקאות'!$A$2:$A$1958,"&lt;"&amp;DATE(2026,1,1))</x:f>
        <x:v>242</x:v>
      </x:c>
      <x:c r="J238" s="16" t="n">
        <x:f>SUMIFS('עסקאות'!$M$2:$M$1958,'עסקאות'!$F$2:$F$1958,B238,'עסקאות'!$A$2:$A$1958,"&gt;="&amp;DATE(2026,1,1),'עסקאות'!$A$2:$A$1958,"&lt;"&amp;DATE(2027,1,1))</x:f>
        <x:v>0</x:v>
      </x:c>
    </x:row>
    <x:row r="239">
      <x:c r="B239" s="11" t="str">
        <x:v>ציפורניים</x:v>
      </x:c>
      <x:c r="C239" s="11" t="str">
        <x:v>קוסמטיקה</x:v>
      </x:c>
      <x:c r="D239" s="11" t="n">
        <x:v>2</x:v>
      </x:c>
      <x:c r="E239" s="11" t="n">
        <x:v>2</x:v>
      </x:c>
      <x:c r="F239" s="16" t="n">
        <x:f>SUMIFS('עסקאות'!$M$2:$M$1958,'עסקאות'!$F$2:$F$1958,B239)</x:f>
        <x:v>240</x:v>
      </x:c>
      <x:c r="G239" s="16" t="n">
        <x:f>IF(D239=0,"",F239/D239)</x:f>
        <x:v>120</x:v>
      </x:c>
      <x:c r="H239" s="16" t="n">
        <x:f>F239/20</x:f>
        <x:v>12</x:v>
      </x:c>
      <x:c r="I239" s="16" t="n">
        <x:f>SUMIFS('עסקאות'!$M$2:$M$1958,'עסקאות'!$F$2:$F$1958,B239,'עסקאות'!$A$2:$A$1958,"&gt;="&amp;DATE(2025,1,1),'עסקאות'!$A$2:$A$1958,"&lt;"&amp;DATE(2026,1,1))</x:f>
        <x:v>240</x:v>
      </x:c>
      <x:c r="J239" s="16" t="n">
        <x:f>SUMIFS('עסקאות'!$M$2:$M$1958,'עסקאות'!$F$2:$F$1958,B239,'עסקאות'!$A$2:$A$1958,"&gt;="&amp;DATE(2026,1,1),'עסקאות'!$A$2:$A$1958,"&lt;"&amp;DATE(2027,1,1))</x:f>
        <x:v>0</x:v>
      </x:c>
    </x:row>
    <x:row r="240">
      <x:c r="B240" s="11" t="str">
        <x:v>תאתרון</x:v>
      </x:c>
      <x:c r="C240" s="11" t="str">
        <x:v>פנאי</x:v>
      </x:c>
      <x:c r="D240" s="11" t="n">
        <x:v>1</x:v>
      </x:c>
      <x:c r="E240" s="11" t="n">
        <x:v>1</x:v>
      </x:c>
      <x:c r="F240" s="16" t="n">
        <x:f>SUMIFS('עסקאות'!$M$2:$M$1958,'עסקאות'!$F$2:$F$1958,B240)</x:f>
        <x:v>240</x:v>
      </x:c>
      <x:c r="G240" s="16" t="n">
        <x:f>IF(D240=0,"",F240/D240)</x:f>
        <x:v>240</x:v>
      </x:c>
      <x:c r="H240" s="16" t="n">
        <x:f>F240/20</x:f>
        <x:v>12</x:v>
      </x:c>
      <x:c r="I240" s="16" t="n">
        <x:f>SUMIFS('עסקאות'!$M$2:$M$1958,'עסקאות'!$F$2:$F$1958,B240,'עסקאות'!$A$2:$A$1958,"&gt;="&amp;DATE(2025,1,1),'עסקאות'!$A$2:$A$1958,"&lt;"&amp;DATE(2026,1,1))</x:f>
        <x:v>240</x:v>
      </x:c>
      <x:c r="J240" s="16" t="n">
        <x:f>SUMIFS('עסקאות'!$M$2:$M$1958,'עסקאות'!$F$2:$F$1958,B240,'עסקאות'!$A$2:$A$1958,"&gt;="&amp;DATE(2026,1,1),'עסקאות'!$A$2:$A$1958,"&lt;"&amp;DATE(2027,1,1))</x:f>
        <x:v>0</x:v>
      </x:c>
    </x:row>
    <x:row r="241">
      <x:c r="B241" s="11" t="str">
        <x:v>טים לאב</x:v>
      </x:c>
      <x:c r="C241" s="11" t="str">
        <x:v>נסיעות וחופשות</x:v>
      </x:c>
      <x:c r="D241" s="11" t="n">
        <x:v>1</x:v>
      </x:c>
      <x:c r="E241" s="11" t="n">
        <x:v>1</x:v>
      </x:c>
      <x:c r="F241" s="16" t="n">
        <x:f>SUMIFS('עסקאות'!$M$2:$M$1958,'עסקאות'!$F$2:$F$1958,B241)</x:f>
        <x:v>240</x:v>
      </x:c>
      <x:c r="G241" s="16" t="n">
        <x:f>IF(D241=0,"",F241/D241)</x:f>
        <x:v>240</x:v>
      </x:c>
      <x:c r="H241" s="16" t="n">
        <x:f>F241/20</x:f>
        <x:v>12</x:v>
      </x:c>
      <x:c r="I241" s="16" t="n">
        <x:f>SUMIFS('עסקאות'!$M$2:$M$1958,'עסקאות'!$F$2:$F$1958,B241,'עסקאות'!$A$2:$A$1958,"&gt;="&amp;DATE(2025,1,1),'עסקאות'!$A$2:$A$1958,"&lt;"&amp;DATE(2026,1,1))</x:f>
        <x:v>240</x:v>
      </x:c>
      <x:c r="J241" s="16" t="n">
        <x:f>SUMIFS('עסקאות'!$M$2:$M$1958,'עסקאות'!$F$2:$F$1958,B241,'עסקאות'!$A$2:$A$1958,"&gt;="&amp;DATE(2026,1,1),'עסקאות'!$A$2:$A$1958,"&lt;"&amp;DATE(2027,1,1))</x:f>
        <x:v>0</x:v>
      </x:c>
    </x:row>
    <x:row r="242">
      <x:c r="B242" s="11" t="str">
        <x:v>סוהו</x:v>
      </x:c>
      <x:c r="C242" s="11" t="str">
        <x:v>קניות לבית</x:v>
      </x:c>
      <x:c r="D242" s="11" t="n">
        <x:v>1</x:v>
      </x:c>
      <x:c r="E242" s="11" t="n">
        <x:v>1</x:v>
      </x:c>
      <x:c r="F242" s="16" t="n">
        <x:f>SUMIFS('עסקאות'!$M$2:$M$1958,'עסקאות'!$F$2:$F$1958,B242)</x:f>
        <x:v>240</x:v>
      </x:c>
      <x:c r="G242" s="16" t="n">
        <x:f>IF(D242=0,"",F242/D242)</x:f>
        <x:v>240</x:v>
      </x:c>
      <x:c r="H242" s="16" t="n">
        <x:f>F242/20</x:f>
        <x:v>12</x:v>
      </x:c>
      <x:c r="I242" s="16" t="n">
        <x:f>SUMIFS('עסקאות'!$M$2:$M$1958,'עסקאות'!$F$2:$F$1958,B242,'עסקאות'!$A$2:$A$1958,"&gt;="&amp;DATE(2025,1,1),'עסקאות'!$A$2:$A$1958,"&lt;"&amp;DATE(2026,1,1))</x:f>
        <x:v>240</x:v>
      </x:c>
      <x:c r="J242" s="16" t="n">
        <x:f>SUMIFS('עסקאות'!$M$2:$M$1958,'עסקאות'!$F$2:$F$1958,B242,'עסקאות'!$A$2:$A$1958,"&gt;="&amp;DATE(2026,1,1),'עסקאות'!$A$2:$A$1958,"&lt;"&amp;DATE(2027,1,1))</x:f>
        <x:v>0</x:v>
      </x:c>
    </x:row>
    <x:row r="243">
      <x:c r="B243" s="11" t="str">
        <x:v>מראה</x:v>
      </x:c>
      <x:c r="C243" s="11" t="str">
        <x:v>חתונה</x:v>
      </x:c>
      <x:c r="D243" s="11" t="n">
        <x:v>1</x:v>
      </x:c>
      <x:c r="E243" s="11" t="n">
        <x:v>1</x:v>
      </x:c>
      <x:c r="F243" s="16" t="n">
        <x:f>SUMIFS('עסקאות'!$M$2:$M$1958,'עסקאות'!$F$2:$F$1958,B243)</x:f>
        <x:v>238</x:v>
      </x:c>
      <x:c r="G243" s="16" t="n">
        <x:f>IF(D243=0,"",F243/D243)</x:f>
        <x:v>238</x:v>
      </x:c>
      <x:c r="H243" s="16" t="n">
        <x:f>F243/20</x:f>
        <x:v>11.9</x:v>
      </x:c>
      <x:c r="I243" s="16" t="n">
        <x:f>SUMIFS('עסקאות'!$M$2:$M$1958,'עסקאות'!$F$2:$F$1958,B243,'עסקאות'!$A$2:$A$1958,"&gt;="&amp;DATE(2025,1,1),'עסקאות'!$A$2:$A$1958,"&lt;"&amp;DATE(2026,1,1))</x:f>
        <x:v>238</x:v>
      </x:c>
      <x:c r="J243" s="16" t="n">
        <x:f>SUMIFS('עסקאות'!$M$2:$M$1958,'עסקאות'!$F$2:$F$1958,B243,'עסקאות'!$A$2:$A$1958,"&gt;="&amp;DATE(2026,1,1),'עסקאות'!$A$2:$A$1958,"&lt;"&amp;DATE(2027,1,1))</x:f>
        <x:v>0</x:v>
      </x:c>
    </x:row>
    <x:row r="244">
      <x:c r="B244" s="11" t="str">
        <x:v>פסטיבל יין</x:v>
      </x:c>
      <x:c r="C244" s="11" t="str">
        <x:v>פנאי</x:v>
      </x:c>
      <x:c r="D244" s="11" t="n">
        <x:v>1</x:v>
      </x:c>
      <x:c r="E244" s="11" t="n">
        <x:v>1</x:v>
      </x:c>
      <x:c r="F244" s="16" t="n">
        <x:f>SUMIFS('עסקאות'!$M$2:$M$1958,'עסקאות'!$F$2:$F$1958,B244)</x:f>
        <x:v>238</x:v>
      </x:c>
      <x:c r="G244" s="16" t="n">
        <x:f>IF(D244=0,"",F244/D244)</x:f>
        <x:v>238</x:v>
      </x:c>
      <x:c r="H244" s="16" t="n">
        <x:f>F244/20</x:f>
        <x:v>11.9</x:v>
      </x:c>
      <x:c r="I244" s="16" t="n">
        <x:f>SUMIFS('עסקאות'!$M$2:$M$1958,'עסקאות'!$F$2:$F$1958,B244,'עסקאות'!$A$2:$A$1958,"&gt;="&amp;DATE(2025,1,1),'עסקאות'!$A$2:$A$1958,"&lt;"&amp;DATE(2026,1,1))</x:f>
        <x:v>238</x:v>
      </x:c>
      <x:c r="J244" s="16" t="n">
        <x:f>SUMIFS('עסקאות'!$M$2:$M$1958,'עסקאות'!$F$2:$F$1958,B244,'עסקאות'!$A$2:$A$1958,"&gt;="&amp;DATE(2026,1,1),'עסקאות'!$A$2:$A$1958,"&lt;"&amp;DATE(2027,1,1))</x:f>
        <x:v>0</x:v>
      </x:c>
    </x:row>
    <x:row r="245">
      <x:c r="B245" s="11" t="str">
        <x:v>סגירת תיק מס</x:v>
      </x:c>
      <x:c r="C245" s="11" t="str">
        <x:v>מסים</x:v>
      </x:c>
      <x:c r="D245" s="11" t="n">
        <x:v>1</x:v>
      </x:c>
      <x:c r="E245" s="11" t="n">
        <x:v>1</x:v>
      </x:c>
      <x:c r="F245" s="16" t="n">
        <x:f>SUMIFS('עסקאות'!$M$2:$M$1958,'עסקאות'!$F$2:$F$1958,B245)</x:f>
        <x:v>236</x:v>
      </x:c>
      <x:c r="G245" s="16" t="n">
        <x:f>IF(D245=0,"",F245/D245)</x:f>
        <x:v>236</x:v>
      </x:c>
      <x:c r="H245" s="16" t="n">
        <x:f>F245/20</x:f>
        <x:v>11.8</x:v>
      </x:c>
      <x:c r="I245" s="16" t="n">
        <x:f>SUMIFS('עסקאות'!$M$2:$M$1958,'עסקאות'!$F$2:$F$1958,B245,'עסקאות'!$A$2:$A$1958,"&gt;="&amp;DATE(2025,1,1),'עסקאות'!$A$2:$A$1958,"&lt;"&amp;DATE(2026,1,1))</x:f>
        <x:v>0</x:v>
      </x:c>
      <x:c r="J245" s="16" t="n">
        <x:f>SUMIFS('עסקאות'!$M$2:$M$1958,'עסקאות'!$F$2:$F$1958,B245,'עסקאות'!$A$2:$A$1958,"&gt;="&amp;DATE(2026,1,1),'עסקאות'!$A$2:$A$1958,"&lt;"&amp;DATE(2027,1,1))</x:f>
        <x:v>236</x:v>
      </x:c>
    </x:row>
    <x:row r="246">
      <x:c r="B246" s="11" t="str">
        <x:v>יין</x:v>
      </x:c>
      <x:c r="C246" s="11" t="str">
        <x:v>מזון לבית</x:v>
      </x:c>
      <x:c r="D246" s="11" t="n">
        <x:v>2</x:v>
      </x:c>
      <x:c r="E246" s="11" t="n">
        <x:v>2</x:v>
      </x:c>
      <x:c r="F246" s="16" t="n">
        <x:f>SUMIFS('עסקאות'!$M$2:$M$1958,'עסקאות'!$F$2:$F$1958,B246)</x:f>
        <x:v>229</x:v>
      </x:c>
      <x:c r="G246" s="16" t="n">
        <x:f>IF(D246=0,"",F246/D246)</x:f>
        <x:v>114.5</x:v>
      </x:c>
      <x:c r="H246" s="16" t="n">
        <x:f>F246/20</x:f>
        <x:v>11.45</x:v>
      </x:c>
      <x:c r="I246" s="16" t="n">
        <x:f>SUMIFS('עסקאות'!$M$2:$M$1958,'עסקאות'!$F$2:$F$1958,B246,'עסקאות'!$A$2:$A$1958,"&gt;="&amp;DATE(2025,1,1),'עסקאות'!$A$2:$A$1958,"&lt;"&amp;DATE(2026,1,1))</x:f>
        <x:v>229</x:v>
      </x:c>
      <x:c r="J246" s="16" t="n">
        <x:f>SUMIFS('עסקאות'!$M$2:$M$1958,'עסקאות'!$F$2:$F$1958,B246,'עסקאות'!$A$2:$A$1958,"&gt;="&amp;DATE(2026,1,1),'עסקאות'!$A$2:$A$1958,"&lt;"&amp;DATE(2027,1,1))</x:f>
        <x:v>0</x:v>
      </x:c>
    </x:row>
    <x:row r="247">
      <x:c r="B247" s="11" t="str">
        <x:v>זומבה</x:v>
      </x:c>
      <x:c r="C247" s="11" t="str">
        <x:v>ספורט</x:v>
      </x:c>
      <x:c r="D247" s="11" t="n">
        <x:v>9</x:v>
      </x:c>
      <x:c r="E247" s="11" t="n">
        <x:v>3</x:v>
      </x:c>
      <x:c r="F247" s="16" t="n">
        <x:f>SUMIFS('עסקאות'!$M$2:$M$1958,'עסקאות'!$F$2:$F$1958,B247)</x:f>
        <x:v>225</x:v>
      </x:c>
      <x:c r="G247" s="16" t="n">
        <x:f>IF(D247=0,"",F247/D247)</x:f>
        <x:v>25</x:v>
      </x:c>
      <x:c r="H247" s="16" t="n">
        <x:f>F247/20</x:f>
        <x:v>11.25</x:v>
      </x:c>
      <x:c r="I247" s="16" t="n">
        <x:f>SUMIFS('עסקאות'!$M$2:$M$1958,'עסקאות'!$F$2:$F$1958,B247,'עסקאות'!$A$2:$A$1958,"&gt;="&amp;DATE(2025,1,1),'עסקאות'!$A$2:$A$1958,"&lt;"&amp;DATE(2026,1,1))</x:f>
        <x:v>225</x:v>
      </x:c>
      <x:c r="J247" s="16" t="n">
        <x:f>SUMIFS('עסקאות'!$M$2:$M$1958,'עסקאות'!$F$2:$F$1958,B247,'עסקאות'!$A$2:$A$1958,"&gt;="&amp;DATE(2026,1,1),'עסקאות'!$A$2:$A$1958,"&lt;"&amp;DATE(2027,1,1))</x:f>
        <x:v>0</x:v>
      </x:c>
    </x:row>
    <x:row r="248">
      <x:c r="B248" s="11" t="str">
        <x:v>משחק</x:v>
      </x:c>
      <x:c r="C248" s="11" t="str">
        <x:v>פנאי</x:v>
      </x:c>
      <x:c r="D248" s="11" t="n">
        <x:v>6</x:v>
      </x:c>
      <x:c r="E248" s="11" t="n">
        <x:v>3</x:v>
      </x:c>
      <x:c r="F248" s="16" t="n">
        <x:f>SUMIFS('עסקאות'!$M$2:$M$1958,'עסקאות'!$F$2:$F$1958,B248)</x:f>
        <x:v>223</x:v>
      </x:c>
      <x:c r="G248" s="16" t="n">
        <x:f>IF(D248=0,"",F248/D248)</x:f>
        <x:v>37.166666666666664</x:v>
      </x:c>
      <x:c r="H248" s="16" t="n">
        <x:f>F248/20</x:f>
        <x:v>11.15</x:v>
      </x:c>
      <x:c r="I248" s="16" t="n">
        <x:f>SUMIFS('עסקאות'!$M$2:$M$1958,'עסקאות'!$F$2:$F$1958,B248,'עסקאות'!$A$2:$A$1958,"&gt;="&amp;DATE(2025,1,1),'עסקאות'!$A$2:$A$1958,"&lt;"&amp;DATE(2026,1,1))</x:f>
        <x:v>50</x:v>
      </x:c>
      <x:c r="J248" s="16" t="n">
        <x:f>SUMIFS('עסקאות'!$M$2:$M$1958,'עסקאות'!$F$2:$F$1958,B248,'עסקאות'!$A$2:$A$1958,"&gt;="&amp;DATE(2026,1,1),'עסקאות'!$A$2:$A$1958,"&lt;"&amp;DATE(2027,1,1))</x:f>
        <x:v>173</x:v>
      </x:c>
    </x:row>
    <x:row r="249">
      <x:c r="B249" s="11" t="str">
        <x:v>פילטרים</x:v>
      </x:c>
      <x:c r="C249" s="11" t="str">
        <x:v>קניות לבית</x:v>
      </x:c>
      <x:c r="D249" s="11" t="n">
        <x:v>1</x:v>
      </x:c>
      <x:c r="E249" s="11" t="n">
        <x:v>1</x:v>
      </x:c>
      <x:c r="F249" s="16" t="n">
        <x:f>SUMIFS('עסקאות'!$M$2:$M$1958,'עסקאות'!$F$2:$F$1958,B249)</x:f>
        <x:v>219</x:v>
      </x:c>
      <x:c r="G249" s="16" t="n">
        <x:f>IF(D249=0,"",F249/D249)</x:f>
        <x:v>219</x:v>
      </x:c>
      <x:c r="H249" s="16" t="n">
        <x:f>F249/20</x:f>
        <x:v>10.95</x:v>
      </x:c>
      <x:c r="I249" s="16" t="n">
        <x:f>SUMIFS('עסקאות'!$M$2:$M$1958,'עסקאות'!$F$2:$F$1958,B249,'עסקאות'!$A$2:$A$1958,"&gt;="&amp;DATE(2025,1,1),'עסקאות'!$A$2:$A$1958,"&lt;"&amp;DATE(2026,1,1))</x:f>
        <x:v>219</x:v>
      </x:c>
      <x:c r="J249" s="16" t="n">
        <x:f>SUMIFS('עסקאות'!$M$2:$M$1958,'עסקאות'!$F$2:$F$1958,B249,'עסקאות'!$A$2:$A$1958,"&gt;="&amp;DATE(2026,1,1),'עסקאות'!$A$2:$A$1958,"&lt;"&amp;DATE(2027,1,1))</x:f>
        <x:v>0</x:v>
      </x:c>
    </x:row>
    <x:row r="250">
      <x:c r="B250" s="11" t="str">
        <x:v>סיבוס פלאקסי</x:v>
      </x:c>
      <x:c r="C250" s="11" t="str">
        <x:v>אוכל בחוץ</x:v>
      </x:c>
      <x:c r="D250" s="11" t="n">
        <x:v>3</x:v>
      </x:c>
      <x:c r="E250" s="11" t="n">
        <x:v>3</x:v>
      </x:c>
      <x:c r="F250" s="16" t="n">
        <x:f>SUMIFS('עסקאות'!$M$2:$M$1958,'עסקאות'!$F$2:$F$1958,B250)</x:f>
        <x:v>212</x:v>
      </x:c>
      <x:c r="G250" s="16" t="n">
        <x:f>IF(D250=0,"",F250/D250)</x:f>
        <x:v>70.66666666666667</x:v>
      </x:c>
      <x:c r="H250" s="16" t="n">
        <x:f>F250/20</x:f>
        <x:v>10.6</x:v>
      </x:c>
      <x:c r="I250" s="16" t="n">
        <x:f>SUMIFS('עסקאות'!$M$2:$M$1958,'עסקאות'!$F$2:$F$1958,B250,'עסקאות'!$A$2:$A$1958,"&gt;="&amp;DATE(2025,1,1),'עסקאות'!$A$2:$A$1958,"&lt;"&amp;DATE(2026,1,1))</x:f>
        <x:v>0</x:v>
      </x:c>
      <x:c r="J250" s="16" t="n">
        <x:f>SUMIFS('עסקאות'!$M$2:$M$1958,'עסקאות'!$F$2:$F$1958,B250,'עסקאות'!$A$2:$A$1958,"&gt;="&amp;DATE(2026,1,1),'עסקאות'!$A$2:$A$1958,"&lt;"&amp;DATE(2027,1,1))</x:f>
        <x:v>212</x:v>
      </x:c>
    </x:row>
    <x:row r="251">
      <x:c r="B251" s="11" t="str">
        <x:v>פוקס הום</x:v>
      </x:c>
      <x:c r="C251" s="11" t="str">
        <x:v>קניות לבית</x:v>
      </x:c>
      <x:c r="D251" s="11" t="n">
        <x:v>1</x:v>
      </x:c>
      <x:c r="E251" s="11" t="n">
        <x:v>1</x:v>
      </x:c>
      <x:c r="F251" s="16" t="n">
        <x:f>SUMIFS('עסקאות'!$M$2:$M$1958,'עסקאות'!$F$2:$F$1958,B251)</x:f>
        <x:v>210</x:v>
      </x:c>
      <x:c r="G251" s="16" t="n">
        <x:f>IF(D251=0,"",F251/D251)</x:f>
        <x:v>210</x:v>
      </x:c>
      <x:c r="H251" s="16" t="n">
        <x:f>F251/20</x:f>
        <x:v>10.5</x:v>
      </x:c>
      <x:c r="I251" s="16" t="n">
        <x:f>SUMIFS('עסקאות'!$M$2:$M$1958,'עסקאות'!$F$2:$F$1958,B251,'עסקאות'!$A$2:$A$1958,"&gt;="&amp;DATE(2025,1,1),'עסקאות'!$A$2:$A$1958,"&lt;"&amp;DATE(2026,1,1))</x:f>
        <x:v>0</x:v>
      </x:c>
      <x:c r="J251" s="16" t="n">
        <x:f>SUMIFS('עסקאות'!$M$2:$M$1958,'עסקאות'!$F$2:$F$1958,B251,'עסקאות'!$A$2:$A$1958,"&gt;="&amp;DATE(2026,1,1),'עסקאות'!$A$2:$A$1958,"&lt;"&amp;DATE(2027,1,1))</x:f>
        <x:v>210</x:v>
      </x:c>
    </x:row>
    <x:row r="252">
      <x:c r="B252" s="11" t="str">
        <x:v>IHERB IHERB.COM</x:v>
      </x:c>
      <x:c r="C252" s="11" t="str">
        <x:v>קניות לבית</x:v>
      </x:c>
      <x:c r="D252" s="11" t="n">
        <x:v>1</x:v>
      </x:c>
      <x:c r="E252" s="11" t="n">
        <x:v>1</x:v>
      </x:c>
      <x:c r="F252" s="16" t="n">
        <x:f>SUMIFS('עסקאות'!$M$2:$M$1958,'עסקאות'!$F$2:$F$1958,B252)</x:f>
        <x:v>210</x:v>
      </x:c>
      <x:c r="G252" s="16" t="n">
        <x:f>IF(D252=0,"",F252/D252)</x:f>
        <x:v>210</x:v>
      </x:c>
      <x:c r="H252" s="16" t="n">
        <x:f>F252/20</x:f>
        <x:v>10.5</x:v>
      </x:c>
      <x:c r="I252" s="16" t="n">
        <x:f>SUMIFS('עסקאות'!$M$2:$M$1958,'עסקאות'!$F$2:$F$1958,B252,'עסקאות'!$A$2:$A$1958,"&gt;="&amp;DATE(2025,1,1),'עסקאות'!$A$2:$A$1958,"&lt;"&amp;DATE(2026,1,1))</x:f>
        <x:v>0</x:v>
      </x:c>
      <x:c r="J252" s="16" t="n">
        <x:f>SUMIFS('עסקאות'!$M$2:$M$1958,'עסקאות'!$F$2:$F$1958,B252,'עסקאות'!$A$2:$A$1958,"&gt;="&amp;DATE(2026,1,1),'עסקאות'!$A$2:$A$1958,"&lt;"&amp;DATE(2027,1,1))</x:f>
        <x:v>210</x:v>
      </x:c>
    </x:row>
    <x:row r="253">
      <x:c r="B253" s="11" t="str">
        <x:v>BOTTE</x:v>
      </x:c>
      <x:c r="C253" s="11" t="str">
        <x:v>אוכל בחוץ</x:v>
      </x:c>
      <x:c r="D253" s="11" t="n">
        <x:v>1</x:v>
      </x:c>
      <x:c r="E253" s="11" t="n">
        <x:v>1</x:v>
      </x:c>
      <x:c r="F253" s="16" t="n">
        <x:f>SUMIFS('עסקאות'!$M$2:$M$1958,'עסקאות'!$F$2:$F$1958,B253)</x:f>
        <x:v>210</x:v>
      </x:c>
      <x:c r="G253" s="16" t="n">
        <x:f>IF(D253=0,"",F253/D253)</x:f>
        <x:v>210</x:v>
      </x:c>
      <x:c r="H253" s="16" t="n">
        <x:f>F253/20</x:f>
        <x:v>10.5</x:v>
      </x:c>
      <x:c r="I253" s="16" t="n">
        <x:f>SUMIFS('עסקאות'!$M$2:$M$1958,'עסקאות'!$F$2:$F$1958,B253,'עסקאות'!$A$2:$A$1958,"&gt;="&amp;DATE(2025,1,1),'עסקאות'!$A$2:$A$1958,"&lt;"&amp;DATE(2026,1,1))</x:f>
        <x:v>0</x:v>
      </x:c>
      <x:c r="J253" s="16" t="n">
        <x:f>SUMIFS('עסקאות'!$M$2:$M$1958,'עסקאות'!$F$2:$F$1958,B253,'עסקאות'!$A$2:$A$1958,"&gt;="&amp;DATE(2026,1,1),'עסקאות'!$A$2:$A$1958,"&lt;"&amp;DATE(2027,1,1))</x:f>
        <x:v>210</x:v>
      </x:c>
    </x:row>
    <x:row r="254">
      <x:c r="B254" s="11" t="str">
        <x:v>אליאקספרס</x:v>
      </x:c>
      <x:c r="C254" s="11" t="str">
        <x:v>קניות לבית</x:v>
      </x:c>
      <x:c r="D254" s="11" t="n">
        <x:v>2</x:v>
      </x:c>
      <x:c r="E254" s="11" t="n">
        <x:v>1</x:v>
      </x:c>
      <x:c r="F254" s="16" t="n">
        <x:f>SUMIFS('עסקאות'!$M$2:$M$1958,'עסקאות'!$F$2:$F$1958,B254)</x:f>
        <x:v>207</x:v>
      </x:c>
      <x:c r="G254" s="16" t="n">
        <x:f>IF(D254=0,"",F254/D254)</x:f>
        <x:v>103.5</x:v>
      </x:c>
      <x:c r="H254" s="16" t="n">
        <x:f>F254/20</x:f>
        <x:v>10.35</x:v>
      </x:c>
      <x:c r="I254" s="16" t="n">
        <x:f>SUMIFS('עסקאות'!$M$2:$M$1958,'עסקאות'!$F$2:$F$1958,B254,'עסקאות'!$A$2:$A$1958,"&gt;="&amp;DATE(2025,1,1),'עסקאות'!$A$2:$A$1958,"&lt;"&amp;DATE(2026,1,1))</x:f>
        <x:v>207</x:v>
      </x:c>
      <x:c r="J254" s="16" t="n">
        <x:f>SUMIFS('עסקאות'!$M$2:$M$1958,'עסקאות'!$F$2:$F$1958,B254,'עסקאות'!$A$2:$A$1958,"&gt;="&amp;DATE(2026,1,1),'עסקאות'!$A$2:$A$1958,"&lt;"&amp;DATE(2027,1,1))</x:f>
        <x:v>0</x:v>
      </x:c>
    </x:row>
    <x:row r="255">
      <x:c r="B255" s="11" t="str">
        <x:v>שיער</x:v>
      </x:c>
      <x:c r="C255" s="11" t="str">
        <x:v>קוסמטיקה</x:v>
      </x:c>
      <x:c r="D255" s="11" t="n">
        <x:v>1</x:v>
      </x:c>
      <x:c r="E255" s="11" t="n">
        <x:v>1</x:v>
      </x:c>
      <x:c r="F255" s="16" t="n">
        <x:f>SUMIFS('עסקאות'!$M$2:$M$1958,'עסקאות'!$F$2:$F$1958,B255)</x:f>
        <x:v>207</x:v>
      </x:c>
      <x:c r="G255" s="16" t="n">
        <x:f>IF(D255=0,"",F255/D255)</x:f>
        <x:v>207</x:v>
      </x:c>
      <x:c r="H255" s="16" t="n">
        <x:f>F255/20</x:f>
        <x:v>10.35</x:v>
      </x:c>
      <x:c r="I255" s="16" t="n">
        <x:f>SUMIFS('עסקאות'!$M$2:$M$1958,'עסקאות'!$F$2:$F$1958,B255,'עסקאות'!$A$2:$A$1958,"&gt;="&amp;DATE(2025,1,1),'עסקאות'!$A$2:$A$1958,"&lt;"&amp;DATE(2026,1,1))</x:f>
        <x:v>0</x:v>
      </x:c>
      <x:c r="J255" s="16" t="n">
        <x:f>SUMIFS('עסקאות'!$M$2:$M$1958,'עסקאות'!$F$2:$F$1958,B255,'עסקאות'!$A$2:$A$1958,"&gt;="&amp;DATE(2026,1,1),'עסקאות'!$A$2:$A$1958,"&lt;"&amp;DATE(2027,1,1))</x:f>
        <x:v>207</x:v>
      </x:c>
    </x:row>
    <x:row r="256">
      <x:c r="B256" s="11" t="str">
        <x:v>פורטר</x:v>
      </x:c>
      <x:c r="C256" s="11" t="str">
        <x:v>אוכל בחוץ</x:v>
      </x:c>
      <x:c r="D256" s="11" t="n">
        <x:v>1</x:v>
      </x:c>
      <x:c r="E256" s="11" t="n">
        <x:v>1</x:v>
      </x:c>
      <x:c r="F256" s="16" t="n">
        <x:f>SUMIFS('עסקאות'!$M$2:$M$1958,'עסקאות'!$F$2:$F$1958,B256)</x:f>
        <x:v>205</x:v>
      </x:c>
      <x:c r="G256" s="16" t="n">
        <x:f>IF(D256=0,"",F256/D256)</x:f>
        <x:v>205</x:v>
      </x:c>
      <x:c r="H256" s="16" t="n">
        <x:f>F256/20</x:f>
        <x:v>10.25</x:v>
      </x:c>
      <x:c r="I256" s="16" t="n">
        <x:f>SUMIFS('עסקאות'!$M$2:$M$1958,'עסקאות'!$F$2:$F$1958,B256,'עסקאות'!$A$2:$A$1958,"&gt;="&amp;DATE(2025,1,1),'עסקאות'!$A$2:$A$1958,"&lt;"&amp;DATE(2026,1,1))</x:f>
        <x:v>205</x:v>
      </x:c>
      <x:c r="J256" s="16" t="n">
        <x:f>SUMIFS('עסקאות'!$M$2:$M$1958,'עסקאות'!$F$2:$F$1958,B256,'עסקאות'!$A$2:$A$1958,"&gt;="&amp;DATE(2026,1,1),'עסקאות'!$A$2:$A$1958,"&lt;"&amp;DATE(2027,1,1))</x:f>
        <x:v>0</x:v>
      </x:c>
    </x:row>
    <x:row r="257">
      <x:c r="B257" s="11" t="str">
        <x:v>נוצ - רמת השרון</x:v>
      </x:c>
      <x:c r="C257" s="11" t="str">
        <x:v>אוכל בחוץ</x:v>
      </x:c>
      <x:c r="D257" s="11" t="n">
        <x:v>1</x:v>
      </x:c>
      <x:c r="E257" s="11" t="n">
        <x:v>1</x:v>
      </x:c>
      <x:c r="F257" s="16" t="n">
        <x:f>SUMIFS('עסקאות'!$M$2:$M$1958,'עסקאות'!$F$2:$F$1958,B257)</x:f>
        <x:v>205</x:v>
      </x:c>
      <x:c r="G257" s="16" t="n">
        <x:f>IF(D257=0,"",F257/D257)</x:f>
        <x:v>205</x:v>
      </x:c>
      <x:c r="H257" s="16" t="n">
        <x:f>F257/20</x:f>
        <x:v>10.25</x:v>
      </x:c>
      <x:c r="I257" s="16" t="n">
        <x:f>SUMIFS('עסקאות'!$M$2:$M$1958,'עסקאות'!$F$2:$F$1958,B257,'עסקאות'!$A$2:$A$1958,"&gt;="&amp;DATE(2025,1,1),'עסקאות'!$A$2:$A$1958,"&lt;"&amp;DATE(2026,1,1))</x:f>
        <x:v>0</x:v>
      </x:c>
      <x:c r="J257" s="16" t="n">
        <x:f>SUMIFS('עסקאות'!$M$2:$M$1958,'עסקאות'!$F$2:$F$1958,B257,'עסקאות'!$A$2:$A$1958,"&gt;="&amp;DATE(2026,1,1),'עסקאות'!$A$2:$A$1958,"&lt;"&amp;DATE(2027,1,1))</x:f>
        <x:v>205</x:v>
      </x:c>
    </x:row>
    <x:row r="258">
      <x:c r="B258" s="11" t="str">
        <x:v>אופטיקה הלפרין בע"מ</x:v>
      </x:c>
      <x:c r="C258" s="11" t="str">
        <x:v>אופנה</x:v>
      </x:c>
      <x:c r="D258" s="11" t="n">
        <x:v>1</x:v>
      </x:c>
      <x:c r="E258" s="11" t="n">
        <x:v>1</x:v>
      </x:c>
      <x:c r="F258" s="16" t="n">
        <x:f>SUMIFS('עסקאות'!$M$2:$M$1958,'עסקאות'!$F$2:$F$1958,B258)</x:f>
        <x:v>205</x:v>
      </x:c>
      <x:c r="G258" s="16" t="n">
        <x:f>IF(D258=0,"",F258/D258)</x:f>
        <x:v>205</x:v>
      </x:c>
      <x:c r="H258" s="16" t="n">
        <x:f>F258/20</x:f>
        <x:v>10.25</x:v>
      </x:c>
      <x:c r="I258" s="16" t="n">
        <x:f>SUMIFS('עסקאות'!$M$2:$M$1958,'עסקאות'!$F$2:$F$1958,B258,'עסקאות'!$A$2:$A$1958,"&gt;="&amp;DATE(2025,1,1),'עסקאות'!$A$2:$A$1958,"&lt;"&amp;DATE(2026,1,1))</x:f>
        <x:v>0</x:v>
      </x:c>
      <x:c r="J258" s="16" t="n">
        <x:f>SUMIFS('עסקאות'!$M$2:$M$1958,'עסקאות'!$F$2:$F$1958,B258,'עסקאות'!$A$2:$A$1958,"&gt;="&amp;DATE(2026,1,1),'עסקאות'!$A$2:$A$1958,"&lt;"&amp;DATE(2027,1,1))</x:f>
        <x:v>205</x:v>
      </x:c>
    </x:row>
    <x:row r="259">
      <x:c r="B259" s="11" t="str">
        <x:v>יש לנו פיל (פאיי פאל)</x:v>
      </x:c>
      <x:c r="C259" s="11" t="str">
        <x:v>אחר</x:v>
      </x:c>
      <x:c r="D259" s="11" t="n">
        <x:v>1</x:v>
      </x:c>
      <x:c r="E259" s="11" t="n">
        <x:v>1</x:v>
      </x:c>
      <x:c r="F259" s="16" t="n">
        <x:f>SUMIFS('עסקאות'!$M$2:$M$1958,'עסקאות'!$F$2:$F$1958,B259)</x:f>
        <x:v>203</x:v>
      </x:c>
      <x:c r="G259" s="16" t="n">
        <x:f>IF(D259=0,"",F259/D259)</x:f>
        <x:v>203</x:v>
      </x:c>
      <x:c r="H259" s="16" t="n">
        <x:f>F259/20</x:f>
        <x:v>10.15</x:v>
      </x:c>
      <x:c r="I259" s="16" t="n">
        <x:f>SUMIFS('עסקאות'!$M$2:$M$1958,'עסקאות'!$F$2:$F$1958,B259,'עסקאות'!$A$2:$A$1958,"&gt;="&amp;DATE(2025,1,1),'עסקאות'!$A$2:$A$1958,"&lt;"&amp;DATE(2026,1,1))</x:f>
        <x:v>203</x:v>
      </x:c>
      <x:c r="J259" s="16" t="n">
        <x:f>SUMIFS('עסקאות'!$M$2:$M$1958,'עסקאות'!$F$2:$F$1958,B259,'עסקאות'!$A$2:$A$1958,"&gt;="&amp;DATE(2026,1,1),'עסקאות'!$A$2:$A$1958,"&lt;"&amp;DATE(2027,1,1))</x:f>
        <x:v>0</x:v>
      </x:c>
    </x:row>
    <x:row r="260">
      <x:c r="B260" s="11" t="str">
        <x:v>תספורת עינור</x:v>
      </x:c>
      <x:c r="C260" s="11" t="str">
        <x:v>קוסמטיקה</x:v>
      </x:c>
      <x:c r="D260" s="11" t="n">
        <x:v>1</x:v>
      </x:c>
      <x:c r="E260" s="11" t="n">
        <x:v>1</x:v>
      </x:c>
      <x:c r="F260" s="16" t="n">
        <x:f>SUMIFS('עסקאות'!$M$2:$M$1958,'עסקאות'!$F$2:$F$1958,B260)</x:f>
        <x:v>200</x:v>
      </x:c>
      <x:c r="G260" s="16" t="n">
        <x:f>IF(D260=0,"",F260/D260)</x:f>
        <x:v>200</x:v>
      </x:c>
      <x:c r="H260" s="16" t="n">
        <x:f>F260/20</x:f>
        <x:v>10</x:v>
      </x:c>
      <x:c r="I260" s="16" t="n">
        <x:f>SUMIFS('עסקאות'!$M$2:$M$1958,'עסקאות'!$F$2:$F$1958,B260,'עסקאות'!$A$2:$A$1958,"&gt;="&amp;DATE(2025,1,1),'עסקאות'!$A$2:$A$1958,"&lt;"&amp;DATE(2026,1,1))</x:f>
        <x:v>200</x:v>
      </x:c>
      <x:c r="J260" s="16" t="n">
        <x:f>SUMIFS('עסקאות'!$M$2:$M$1958,'עסקאות'!$F$2:$F$1958,B260,'עסקאות'!$A$2:$A$1958,"&gt;="&amp;DATE(2026,1,1),'עסקאות'!$A$2:$A$1958,"&lt;"&amp;DATE(2027,1,1))</x:f>
        <x:v>0</x:v>
      </x:c>
    </x:row>
    <x:row r="261">
      <x:c r="B261" s="11" t="str">
        <x:v>ביליארד</x:v>
      </x:c>
      <x:c r="C261" s="11" t="str">
        <x:v>פנאי</x:v>
      </x:c>
      <x:c r="D261" s="11" t="n">
        <x:v>3</x:v>
      </x:c>
      <x:c r="E261" s="11" t="n">
        <x:v>3</x:v>
      </x:c>
      <x:c r="F261" s="16" t="n">
        <x:f>SUMIFS('עסקאות'!$M$2:$M$1958,'עסקאות'!$F$2:$F$1958,B261)</x:f>
        <x:v>200</x:v>
      </x:c>
      <x:c r="G261" s="16" t="n">
        <x:f>IF(D261=0,"",F261/D261)</x:f>
        <x:v>66.66666666666667</x:v>
      </x:c>
      <x:c r="H261" s="16" t="n">
        <x:f>F261/20</x:f>
        <x:v>10</x:v>
      </x:c>
      <x:c r="I261" s="16" t="n">
        <x:f>SUMIFS('עסקאות'!$M$2:$M$1958,'עסקאות'!$F$2:$F$1958,B261,'עסקאות'!$A$2:$A$1958,"&gt;="&amp;DATE(2025,1,1),'עסקאות'!$A$2:$A$1958,"&lt;"&amp;DATE(2026,1,1))</x:f>
        <x:v>222</x:v>
      </x:c>
      <x:c r="J261" s="16" t="n">
        <x:f>SUMIFS('עסקאות'!$M$2:$M$1958,'עסקאות'!$F$2:$F$1958,B261,'עסקאות'!$A$2:$A$1958,"&gt;="&amp;DATE(2026,1,1),'עסקאות'!$A$2:$A$1958,"&lt;"&amp;DATE(2027,1,1))</x:f>
        <x:v>-22</x:v>
      </x:c>
    </x:row>
    <x:row r="262">
      <x:c r="B262" s="11" t="str">
        <x:v>מדרגות צמחים</x:v>
      </x:c>
      <x:c r="C262" s="11" t="str">
        <x:v>קניות לבית</x:v>
      </x:c>
      <x:c r="D262" s="11" t="n">
        <x:v>2</x:v>
      </x:c>
      <x:c r="E262" s="11" t="n">
        <x:v>1</x:v>
      </x:c>
      <x:c r="F262" s="16" t="n">
        <x:f>SUMIFS('עסקאות'!$M$2:$M$1958,'עסקאות'!$F$2:$F$1958,B262)</x:f>
        <x:v>200</x:v>
      </x:c>
      <x:c r="G262" s="16" t="n">
        <x:f>IF(D262=0,"",F262/D262)</x:f>
        <x:v>100</x:v>
      </x:c>
      <x:c r="H262" s="16" t="n">
        <x:f>F262/20</x:f>
        <x:v>10</x:v>
      </x:c>
      <x:c r="I262" s="16" t="n">
        <x:f>SUMIFS('עסקאות'!$M$2:$M$1958,'עסקאות'!$F$2:$F$1958,B262,'עסקאות'!$A$2:$A$1958,"&gt;="&amp;DATE(2025,1,1),'עסקאות'!$A$2:$A$1958,"&lt;"&amp;DATE(2026,1,1))</x:f>
        <x:v>200</x:v>
      </x:c>
      <x:c r="J262" s="16" t="n">
        <x:f>SUMIFS('עסקאות'!$M$2:$M$1958,'עסקאות'!$F$2:$F$1958,B262,'עסקאות'!$A$2:$A$1958,"&gt;="&amp;DATE(2026,1,1),'עסקאות'!$A$2:$A$1958,"&lt;"&amp;DATE(2027,1,1))</x:f>
        <x:v>0</x:v>
      </x:c>
    </x:row>
    <x:row r="263">
      <x:c r="B263" s="11" t="str">
        <x:v>KSP</x:v>
      </x:c>
      <x:c r="C263" s="11" t="str">
        <x:v>קוסמטיקה</x:v>
      </x:c>
      <x:c r="D263" s="11" t="n">
        <x:v>1</x:v>
      </x:c>
      <x:c r="E263" s="11" t="n">
        <x:v>1</x:v>
      </x:c>
      <x:c r="F263" s="16" t="n">
        <x:f>SUMIFS('עסקאות'!$M$2:$M$1958,'עסקאות'!$F$2:$F$1958,B263)</x:f>
        <x:v>200</x:v>
      </x:c>
      <x:c r="G263" s="16" t="n">
        <x:f>IF(D263=0,"",F263/D263)</x:f>
        <x:v>200</x:v>
      </x:c>
      <x:c r="H263" s="16" t="n">
        <x:f>F263/20</x:f>
        <x:v>10</x:v>
      </x:c>
      <x:c r="I263" s="16" t="n">
        <x:f>SUMIFS('עסקאות'!$M$2:$M$1958,'עסקאות'!$F$2:$F$1958,B263,'עסקאות'!$A$2:$A$1958,"&gt;="&amp;DATE(2025,1,1),'עסקאות'!$A$2:$A$1958,"&lt;"&amp;DATE(2026,1,1))</x:f>
        <x:v>200</x:v>
      </x:c>
      <x:c r="J263" s="16" t="n">
        <x:f>SUMIFS('עסקאות'!$M$2:$M$1958,'עסקאות'!$F$2:$F$1958,B263,'עסקאות'!$A$2:$A$1958,"&gt;="&amp;DATE(2026,1,1),'עסקאות'!$A$2:$A$1958,"&lt;"&amp;DATE(2027,1,1))</x:f>
        <x:v>0</x:v>
      </x:c>
    </x:row>
    <x:row r="264">
      <x:c r="B264" s="11" t="str">
        <x:v>בקבוקים</x:v>
      </x:c>
      <x:c r="C264" s="11" t="str">
        <x:v>קניות לבית</x:v>
      </x:c>
      <x:c r="D264" s="11" t="n">
        <x:v>1</x:v>
      </x:c>
      <x:c r="E264" s="11" t="n">
        <x:v>1</x:v>
      </x:c>
      <x:c r="F264" s="16" t="n">
        <x:f>SUMIFS('עסקאות'!$M$2:$M$1958,'עסקאות'!$F$2:$F$1958,B264)</x:f>
        <x:v>200</x:v>
      </x:c>
      <x:c r="G264" s="16" t="n">
        <x:f>IF(D264=0,"",F264/D264)</x:f>
        <x:v>200</x:v>
      </x:c>
      <x:c r="H264" s="16" t="n">
        <x:f>F264/20</x:f>
        <x:v>10</x:v>
      </x:c>
      <x:c r="I264" s="16" t="n">
        <x:f>SUMIFS('עסקאות'!$M$2:$M$1958,'עסקאות'!$F$2:$F$1958,B264,'עסקאות'!$A$2:$A$1958,"&gt;="&amp;DATE(2025,1,1),'עסקאות'!$A$2:$A$1958,"&lt;"&amp;DATE(2026,1,1))</x:f>
        <x:v>0</x:v>
      </x:c>
      <x:c r="J264" s="16" t="n">
        <x:f>SUMIFS('עסקאות'!$M$2:$M$1958,'עסקאות'!$F$2:$F$1958,B264,'עסקאות'!$A$2:$A$1958,"&gt;="&amp;DATE(2026,1,1),'עסקאות'!$A$2:$A$1958,"&lt;"&amp;DATE(2027,1,1))</x:f>
        <x:v>200</x:v>
      </x:c>
    </x:row>
    <x:row r="265">
      <x:c r="B265" s="11" t="str">
        <x:v>WE WASH-צמרת</x:v>
      </x:c>
      <x:c r="C265" s="11" t="str">
        <x:v>תחבורה</x:v>
      </x:c>
      <x:c r="D265" s="11" t="n">
        <x:v>1</x:v>
      </x:c>
      <x:c r="E265" s="11" t="n">
        <x:v>1</x:v>
      </x:c>
      <x:c r="F265" s="16" t="n">
        <x:f>SUMIFS('עסקאות'!$M$2:$M$1958,'עסקאות'!$F$2:$F$1958,B265)</x:f>
        <x:v>200</x:v>
      </x:c>
      <x:c r="G265" s="16" t="n">
        <x:f>IF(D265=0,"",F265/D265)</x:f>
        <x:v>200</x:v>
      </x:c>
      <x:c r="H265" s="16" t="n">
        <x:f>F265/20</x:f>
        <x:v>10</x:v>
      </x:c>
      <x:c r="I265" s="16" t="n">
        <x:f>SUMIFS('עסקאות'!$M$2:$M$1958,'עסקאות'!$F$2:$F$1958,B265,'עסקאות'!$A$2:$A$1958,"&gt;="&amp;DATE(2025,1,1),'עסקאות'!$A$2:$A$1958,"&lt;"&amp;DATE(2026,1,1))</x:f>
        <x:v>0</x:v>
      </x:c>
      <x:c r="J265" s="16" t="n">
        <x:f>SUMIFS('עסקאות'!$M$2:$M$1958,'עסקאות'!$F$2:$F$1958,B265,'עסקאות'!$A$2:$A$1958,"&gt;="&amp;DATE(2026,1,1),'עסקאות'!$A$2:$A$1958,"&lt;"&amp;DATE(2027,1,1))</x:f>
        <x:v>200</x:v>
      </x:c>
    </x:row>
    <x:row r="266">
      <x:c r="B266" s="11" t="str">
        <x:v>דקטלון</x:v>
      </x:c>
      <x:c r="C266" s="11" t="str">
        <x:v>אופנה</x:v>
      </x:c>
      <x:c r="D266" s="11" t="n">
        <x:v>1</x:v>
      </x:c>
      <x:c r="E266" s="11" t="n">
        <x:v>1</x:v>
      </x:c>
      <x:c r="F266" s="16" t="n">
        <x:f>SUMIFS('עסקאות'!$M$2:$M$1958,'עסקאות'!$F$2:$F$1958,B266)</x:f>
        <x:v>200</x:v>
      </x:c>
      <x:c r="G266" s="16" t="n">
        <x:f>IF(D266=0,"",F266/D266)</x:f>
        <x:v>200</x:v>
      </x:c>
      <x:c r="H266" s="16" t="n">
        <x:f>F266/20</x:f>
        <x:v>10</x:v>
      </x:c>
      <x:c r="I266" s="16" t="n">
        <x:f>SUMIFS('עסקאות'!$M$2:$M$1958,'עסקאות'!$F$2:$F$1958,B266,'עסקאות'!$A$2:$A$1958,"&gt;="&amp;DATE(2025,1,1),'עסקאות'!$A$2:$A$1958,"&lt;"&amp;DATE(2026,1,1))</x:f>
        <x:v>0</x:v>
      </x:c>
      <x:c r="J266" s="16" t="n">
        <x:f>SUMIFS('עסקאות'!$M$2:$M$1958,'עסקאות'!$F$2:$F$1958,B266,'עסקאות'!$A$2:$A$1958,"&gt;="&amp;DATE(2026,1,1),'עסקאות'!$A$2:$A$1958,"&lt;"&amp;DATE(2027,1,1))</x:f>
        <x:v>200</x:v>
      </x:c>
    </x:row>
    <x:row r="267">
      <x:c r="B267" s="11" t="str">
        <x:v>רכב סיישל מקדמה</x:v>
      </x:c>
      <x:c r="C267" s="11" t="str">
        <x:v>חתונה</x:v>
      </x:c>
      <x:c r="D267" s="11" t="n">
        <x:v>1</x:v>
      </x:c>
      <x:c r="E267" s="11" t="n">
        <x:v>1</x:v>
      </x:c>
      <x:c r="F267" s="16" t="n">
        <x:f>SUMIFS('עסקאות'!$M$2:$M$1958,'עסקאות'!$F$2:$F$1958,B267)</x:f>
        <x:v>199</x:v>
      </x:c>
      <x:c r="G267" s="16" t="n">
        <x:f>IF(D267=0,"",F267/D267)</x:f>
        <x:v>199</x:v>
      </x:c>
      <x:c r="H267" s="16" t="n">
        <x:f>F267/20</x:f>
        <x:v>9.95</x:v>
      </x:c>
      <x:c r="I267" s="16" t="n">
        <x:f>SUMIFS('עסקאות'!$M$2:$M$1958,'עסקאות'!$F$2:$F$1958,B267,'עסקאות'!$A$2:$A$1958,"&gt;="&amp;DATE(2025,1,1),'עסקאות'!$A$2:$A$1958,"&lt;"&amp;DATE(2026,1,1))</x:f>
        <x:v>199</x:v>
      </x:c>
      <x:c r="J267" s="16" t="n">
        <x:f>SUMIFS('עסקאות'!$M$2:$M$1958,'עסקאות'!$F$2:$F$1958,B267,'עסקאות'!$A$2:$A$1958,"&gt;="&amp;DATE(2026,1,1),'עסקאות'!$A$2:$A$1958,"&lt;"&amp;DATE(2027,1,1))</x:f>
        <x:v>0</x:v>
      </x:c>
    </x:row>
    <x:row r="268">
      <x:c r="B268" s="11" t="str">
        <x:v>סושי באר שבע</x:v>
      </x:c>
      <x:c r="C268" s="11" t="str">
        <x:v>אוכל בחוץ</x:v>
      </x:c>
      <x:c r="D268" s="11" t="n">
        <x:v>1</x:v>
      </x:c>
      <x:c r="E268" s="11" t="n">
        <x:v>1</x:v>
      </x:c>
      <x:c r="F268" s="16" t="n">
        <x:f>SUMIFS('עסקאות'!$M$2:$M$1958,'עסקאות'!$F$2:$F$1958,B268)</x:f>
        <x:v>199</x:v>
      </x:c>
      <x:c r="G268" s="16" t="n">
        <x:f>IF(D268=0,"",F268/D268)</x:f>
        <x:v>199</x:v>
      </x:c>
      <x:c r="H268" s="16" t="n">
        <x:f>F268/20</x:f>
        <x:v>9.95</x:v>
      </x:c>
      <x:c r="I268" s="16" t="n">
        <x:f>SUMIFS('עסקאות'!$M$2:$M$1958,'עסקאות'!$F$2:$F$1958,B268,'עסקאות'!$A$2:$A$1958,"&gt;="&amp;DATE(2025,1,1),'עסקאות'!$A$2:$A$1958,"&lt;"&amp;DATE(2026,1,1))</x:f>
        <x:v>199</x:v>
      </x:c>
      <x:c r="J268" s="16" t="n">
        <x:f>SUMIFS('עסקאות'!$M$2:$M$1958,'עסקאות'!$F$2:$F$1958,B268,'עסקאות'!$A$2:$A$1958,"&gt;="&amp;DATE(2026,1,1),'עסקאות'!$A$2:$A$1958,"&lt;"&amp;DATE(2027,1,1))</x:f>
        <x:v>0</x:v>
      </x:c>
    </x:row>
    <x:row r="269">
      <x:c r="B269" s="11" t="str">
        <x:v>עלי</x:v>
      </x:c>
      <x:c r="C269" s="11" t="str">
        <x:v>קניות לבית</x:v>
      </x:c>
      <x:c r="D269" s="11" t="n">
        <x:v>3</x:v>
      </x:c>
      <x:c r="E269" s="11" t="n">
        <x:v>1</x:v>
      </x:c>
      <x:c r="F269" s="16" t="n">
        <x:f>SUMIFS('עסקאות'!$M$2:$M$1958,'עסקאות'!$F$2:$F$1958,B269)</x:f>
        <x:v>196</x:v>
      </x:c>
      <x:c r="G269" s="16" t="n">
        <x:f>IF(D269=0,"",F269/D269)</x:f>
        <x:v>65.33333333333333</x:v>
      </x:c>
      <x:c r="H269" s="16" t="n">
        <x:f>F269/20</x:f>
        <x:v>9.8</x:v>
      </x:c>
      <x:c r="I269" s="16" t="n">
        <x:f>SUMIFS('עסקאות'!$M$2:$M$1958,'עסקאות'!$F$2:$F$1958,B269,'עסקאות'!$A$2:$A$1958,"&gt;="&amp;DATE(2025,1,1),'עסקאות'!$A$2:$A$1958,"&lt;"&amp;DATE(2026,1,1))</x:f>
        <x:v>196</x:v>
      </x:c>
      <x:c r="J269" s="16" t="n">
        <x:f>SUMIFS('עסקאות'!$M$2:$M$1958,'עסקאות'!$F$2:$F$1958,B269,'עסקאות'!$A$2:$A$1958,"&gt;="&amp;DATE(2026,1,1),'עסקאות'!$A$2:$A$1958,"&lt;"&amp;DATE(2027,1,1))</x:f>
        <x:v>0</x:v>
      </x:c>
    </x:row>
    <x:row r="270">
      <x:c r="B270" s="11" t="str">
        <x:v>מתנה לנוגה</x:v>
      </x:c>
      <x:c r="C270" s="11" t="str">
        <x:v>מתנה</x:v>
      </x:c>
      <x:c r="D270" s="11" t="n">
        <x:v>1</x:v>
      </x:c>
      <x:c r="E270" s="11" t="n">
        <x:v>1</x:v>
      </x:c>
      <x:c r="F270" s="16" t="n">
        <x:f>SUMIFS('עסקאות'!$M$2:$M$1958,'עסקאות'!$F$2:$F$1958,B270)</x:f>
        <x:v>196</x:v>
      </x:c>
      <x:c r="G270" s="16" t="n">
        <x:f>IF(D270=0,"",F270/D270)</x:f>
        <x:v>196</x:v>
      </x:c>
      <x:c r="H270" s="16" t="n">
        <x:f>F270/20</x:f>
        <x:v>9.8</x:v>
      </x:c>
      <x:c r="I270" s="16" t="n">
        <x:f>SUMIFS('עסקאות'!$M$2:$M$1958,'עסקאות'!$F$2:$F$1958,B270,'עסקאות'!$A$2:$A$1958,"&gt;="&amp;DATE(2025,1,1),'עסקאות'!$A$2:$A$1958,"&lt;"&amp;DATE(2026,1,1))</x:f>
        <x:v>0</x:v>
      </x:c>
      <x:c r="J270" s="16" t="n">
        <x:f>SUMIFS('עסקאות'!$M$2:$M$1958,'עסקאות'!$F$2:$F$1958,B270,'עסקאות'!$A$2:$A$1958,"&gt;="&amp;DATE(2026,1,1),'עסקאות'!$A$2:$A$1958,"&lt;"&amp;DATE(2027,1,1))</x:f>
        <x:v>196</x:v>
      </x:c>
    </x:row>
    <x:row r="271">
      <x:c r="B271" s="11" t="str">
        <x:v>אוטלו</x:v>
      </x:c>
      <x:c r="C271" s="11" t="str">
        <x:v>אוכל בחוץ</x:v>
      </x:c>
      <x:c r="D271" s="11" t="n">
        <x:v>4</x:v>
      </x:c>
      <x:c r="E271" s="11" t="n">
        <x:v>3</x:v>
      </x:c>
      <x:c r="F271" s="16" t="n">
        <x:f>SUMIFS('עסקאות'!$M$2:$M$1958,'עסקאות'!$F$2:$F$1958,B271)</x:f>
        <x:v>194</x:v>
      </x:c>
      <x:c r="G271" s="16" t="n">
        <x:f>IF(D271=0,"",F271/D271)</x:f>
        <x:v>48.5</x:v>
      </x:c>
      <x:c r="H271" s="16" t="n">
        <x:f>F271/20</x:f>
        <x:v>9.7</x:v>
      </x:c>
      <x:c r="I271" s="16" t="n">
        <x:f>SUMIFS('עסקאות'!$M$2:$M$1958,'עסקאות'!$F$2:$F$1958,B271,'עסקאות'!$A$2:$A$1958,"&gt;="&amp;DATE(2025,1,1),'עסקאות'!$A$2:$A$1958,"&lt;"&amp;DATE(2026,1,1))</x:f>
        <x:v>194</x:v>
      </x:c>
      <x:c r="J271" s="16" t="n">
        <x:f>SUMIFS('עסקאות'!$M$2:$M$1958,'עסקאות'!$F$2:$F$1958,B271,'עסקאות'!$A$2:$A$1958,"&gt;="&amp;DATE(2026,1,1),'עסקאות'!$A$2:$A$1958,"&lt;"&amp;DATE(2027,1,1))</x:f>
        <x:v>0</x:v>
      </x:c>
    </x:row>
    <x:row r="272">
      <x:c r="B272" s="11" t="str">
        <x:v>חוות נעמי - ת"א-צמרת</x:v>
      </x:c>
      <x:c r="C272" s="11" t="str">
        <x:v>אוכל בחוץ</x:v>
      </x:c>
      <x:c r="D272" s="11" t="n">
        <x:v>1</x:v>
      </x:c>
      <x:c r="E272" s="11" t="n">
        <x:v>1</x:v>
      </x:c>
      <x:c r="F272" s="16" t="n">
        <x:f>SUMIFS('עסקאות'!$M$2:$M$1958,'עסקאות'!$F$2:$F$1958,B272)</x:f>
        <x:v>191</x:v>
      </x:c>
      <x:c r="G272" s="16" t="n">
        <x:f>IF(D272=0,"",F272/D272)</x:f>
        <x:v>191</x:v>
      </x:c>
      <x:c r="H272" s="16" t="n">
        <x:f>F272/20</x:f>
        <x:v>9.55</x:v>
      </x:c>
      <x:c r="I272" s="16" t="n">
        <x:f>SUMIFS('עסקאות'!$M$2:$M$1958,'עסקאות'!$F$2:$F$1958,B272,'עסקאות'!$A$2:$A$1958,"&gt;="&amp;DATE(2025,1,1),'עסקאות'!$A$2:$A$1958,"&lt;"&amp;DATE(2026,1,1))</x:f>
        <x:v>0</x:v>
      </x:c>
      <x:c r="J272" s="16" t="n">
        <x:f>SUMIFS('עסקאות'!$M$2:$M$1958,'עסקאות'!$F$2:$F$1958,B272,'עסקאות'!$A$2:$A$1958,"&gt;="&amp;DATE(2026,1,1),'עסקאות'!$A$2:$A$1958,"&lt;"&amp;DATE(2027,1,1))</x:f>
        <x:v>191</x:v>
      </x:c>
    </x:row>
    <x:row r="273">
      <x:c r="B273" s="11" t="str">
        <x:v>ויטרינה</x:v>
      </x:c>
      <x:c r="C273" s="11" t="str">
        <x:v>אוכל בחוץ</x:v>
      </x:c>
      <x:c r="D273" s="11" t="n">
        <x:v>2</x:v>
      </x:c>
      <x:c r="E273" s="11" t="n">
        <x:v>2</x:v>
      </x:c>
      <x:c r="F273" s="16" t="n">
        <x:f>SUMIFS('עסקאות'!$M$2:$M$1958,'עסקאות'!$F$2:$F$1958,B273)</x:f>
        <x:v>188</x:v>
      </x:c>
      <x:c r="G273" s="16" t="n">
        <x:f>IF(D273=0,"",F273/D273)</x:f>
        <x:v>94</x:v>
      </x:c>
      <x:c r="H273" s="16" t="n">
        <x:f>F273/20</x:f>
        <x:v>9.4</x:v>
      </x:c>
      <x:c r="I273" s="16" t="n">
        <x:f>SUMIFS('עסקאות'!$M$2:$M$1958,'עסקאות'!$F$2:$F$1958,B273,'עסקאות'!$A$2:$A$1958,"&gt;="&amp;DATE(2025,1,1),'עסקאות'!$A$2:$A$1958,"&lt;"&amp;DATE(2026,1,1))</x:f>
        <x:v>188</x:v>
      </x:c>
      <x:c r="J273" s="16" t="n">
        <x:f>SUMIFS('עסקאות'!$M$2:$M$1958,'עסקאות'!$F$2:$F$1958,B273,'עסקאות'!$A$2:$A$1958,"&gt;="&amp;DATE(2026,1,1),'עסקאות'!$A$2:$A$1958,"&lt;"&amp;DATE(2027,1,1))</x:f>
        <x:v>0</x:v>
      </x:c>
    </x:row>
    <x:row r="274">
      <x:c r="B274" s="11" t="str">
        <x:v>דיקסי - תל אביב</x:v>
      </x:c>
      <x:c r="C274" s="11" t="str">
        <x:v>אוכל בחוץ</x:v>
      </x:c>
      <x:c r="D274" s="11" t="n">
        <x:v>1</x:v>
      </x:c>
      <x:c r="E274" s="11" t="n">
        <x:v>1</x:v>
      </x:c>
      <x:c r="F274" s="16" t="n">
        <x:f>SUMIFS('עסקאות'!$M$2:$M$1958,'עסקאות'!$F$2:$F$1958,B274)</x:f>
        <x:v>183</x:v>
      </x:c>
      <x:c r="G274" s="16" t="n">
        <x:f>IF(D274=0,"",F274/D274)</x:f>
        <x:v>183</x:v>
      </x:c>
      <x:c r="H274" s="16" t="n">
        <x:f>F274/20</x:f>
        <x:v>9.15</x:v>
      </x:c>
      <x:c r="I274" s="16" t="n">
        <x:f>SUMIFS('עסקאות'!$M$2:$M$1958,'עסקאות'!$F$2:$F$1958,B274,'עסקאות'!$A$2:$A$1958,"&gt;="&amp;DATE(2025,1,1),'עסקאות'!$A$2:$A$1958,"&lt;"&amp;DATE(2026,1,1))</x:f>
        <x:v>0</x:v>
      </x:c>
      <x:c r="J274" s="16" t="n">
        <x:f>SUMIFS('עסקאות'!$M$2:$M$1958,'עסקאות'!$F$2:$F$1958,B274,'עסקאות'!$A$2:$A$1958,"&gt;="&amp;DATE(2026,1,1),'עסקאות'!$A$2:$A$1958,"&lt;"&amp;DATE(2027,1,1))</x:f>
        <x:v>183</x:v>
      </x:c>
    </x:row>
    <x:row r="275">
      <x:c r="B275" s="11" t="str">
        <x:v>גאורגית</x:v>
      </x:c>
      <x:c r="C275" s="11" t="str">
        <x:v>אוכל בחוץ</x:v>
      </x:c>
      <x:c r="D275" s="11" t="n">
        <x:v>2</x:v>
      </x:c>
      <x:c r="E275" s="11" t="n">
        <x:v>2</x:v>
      </x:c>
      <x:c r="F275" s="16" t="n">
        <x:f>SUMIFS('עסקאות'!$M$2:$M$1958,'עסקאות'!$F$2:$F$1958,B275)</x:f>
        <x:v>182</x:v>
      </x:c>
      <x:c r="G275" s="16" t="n">
        <x:f>IF(D275=0,"",F275/D275)</x:f>
        <x:v>91</x:v>
      </x:c>
      <x:c r="H275" s="16" t="n">
        <x:f>F275/20</x:f>
        <x:v>9.1</x:v>
      </x:c>
      <x:c r="I275" s="16" t="n">
        <x:f>SUMIFS('עסקאות'!$M$2:$M$1958,'עסקאות'!$F$2:$F$1958,B275,'עסקאות'!$A$2:$A$1958,"&gt;="&amp;DATE(2025,1,1),'עסקאות'!$A$2:$A$1958,"&lt;"&amp;DATE(2026,1,1))</x:f>
        <x:v>182</x:v>
      </x:c>
      <x:c r="J275" s="16" t="n">
        <x:f>SUMIFS('עסקאות'!$M$2:$M$1958,'עסקאות'!$F$2:$F$1958,B275,'עסקאות'!$A$2:$A$1958,"&gt;="&amp;DATE(2026,1,1),'עסקאות'!$A$2:$A$1958,"&lt;"&amp;DATE(2027,1,1))</x:f>
        <x:v>0</x:v>
      </x:c>
    </x:row>
    <x:row r="276">
      <x:c r="B276" s="11" t="str">
        <x:v>שיננית</x:v>
      </x:c>
      <x:c r="C276" s="11" t="str">
        <x:v>בריאות וטיפולים</x:v>
      </x:c>
      <x:c r="D276" s="11" t="n">
        <x:v>2</x:v>
      </x:c>
      <x:c r="E276" s="11" t="n">
        <x:v>2</x:v>
      </x:c>
      <x:c r="F276" s="16" t="n">
        <x:f>SUMIFS('עסקאות'!$M$2:$M$1958,'עסקאות'!$F$2:$F$1958,B276)</x:f>
        <x:v>176</x:v>
      </x:c>
      <x:c r="G276" s="16" t="n">
        <x:f>IF(D276=0,"",F276/D276)</x:f>
        <x:v>88</x:v>
      </x:c>
      <x:c r="H276" s="16" t="n">
        <x:f>F276/20</x:f>
        <x:v>8.8</x:v>
      </x:c>
      <x:c r="I276" s="16" t="n">
        <x:f>SUMIFS('עסקאות'!$M$2:$M$1958,'עסקאות'!$F$2:$F$1958,B276,'עסקאות'!$A$2:$A$1958,"&gt;="&amp;DATE(2025,1,1),'עסקאות'!$A$2:$A$1958,"&lt;"&amp;DATE(2026,1,1))</x:f>
        <x:v>176</x:v>
      </x:c>
      <x:c r="J276" s="16" t="n">
        <x:f>SUMIFS('עסקאות'!$M$2:$M$1958,'עסקאות'!$F$2:$F$1958,B276,'עסקאות'!$A$2:$A$1958,"&gt;="&amp;DATE(2026,1,1),'עסקאות'!$A$2:$A$1958,"&lt;"&amp;DATE(2027,1,1))</x:f>
        <x:v>0</x:v>
      </x:c>
    </x:row>
    <x:row r="277">
      <x:c r="B277" s="11" t="str">
        <x:v>מסעדה מצפה</x:v>
      </x:c>
      <x:c r="C277" s="11" t="str">
        <x:v>אוכל בחוץ</x:v>
      </x:c>
      <x:c r="D277" s="11" t="n">
        <x:v>1</x:v>
      </x:c>
      <x:c r="E277" s="11" t="n">
        <x:v>1</x:v>
      </x:c>
      <x:c r="F277" s="16" t="n">
        <x:f>SUMIFS('עסקאות'!$M$2:$M$1958,'עסקאות'!$F$2:$F$1958,B277)</x:f>
        <x:v>176</x:v>
      </x:c>
      <x:c r="G277" s="16" t="n">
        <x:f>IF(D277=0,"",F277/D277)</x:f>
        <x:v>176</x:v>
      </x:c>
      <x:c r="H277" s="16" t="n">
        <x:f>F277/20</x:f>
        <x:v>8.8</x:v>
      </x:c>
      <x:c r="I277" s="16" t="n">
        <x:f>SUMIFS('עסקאות'!$M$2:$M$1958,'עסקאות'!$F$2:$F$1958,B277,'עסקאות'!$A$2:$A$1958,"&gt;="&amp;DATE(2025,1,1),'עסקאות'!$A$2:$A$1958,"&lt;"&amp;DATE(2026,1,1))</x:f>
        <x:v>176</x:v>
      </x:c>
      <x:c r="J277" s="16" t="n">
        <x:f>SUMIFS('עסקאות'!$M$2:$M$1958,'עסקאות'!$F$2:$F$1958,B277,'עסקאות'!$A$2:$A$1958,"&gt;="&amp;DATE(2026,1,1),'עסקאות'!$A$2:$A$1958,"&lt;"&amp;DATE(2027,1,1))</x:f>
        <x:v>0</x:v>
      </x:c>
    </x:row>
    <x:row r="278">
      <x:c r="B278" s="11" t="str">
        <x:v>טים לאב קיוטו</x:v>
      </x:c>
      <x:c r="C278" s="11" t="str">
        <x:v>נסיעות וחופשות</x:v>
      </x:c>
      <x:c r="D278" s="11" t="n">
        <x:v>1</x:v>
      </x:c>
      <x:c r="E278" s="11" t="n">
        <x:v>1</x:v>
      </x:c>
      <x:c r="F278" s="16" t="n">
        <x:f>SUMIFS('עסקאות'!$M$2:$M$1958,'עסקאות'!$F$2:$F$1958,B278)</x:f>
        <x:v>175</x:v>
      </x:c>
      <x:c r="G278" s="16" t="n">
        <x:f>IF(D278=0,"",F278/D278)</x:f>
        <x:v>175</x:v>
      </x:c>
      <x:c r="H278" s="16" t="n">
        <x:f>F278/20</x:f>
        <x:v>8.75</x:v>
      </x:c>
      <x:c r="I278" s="16" t="n">
        <x:f>SUMIFS('עסקאות'!$M$2:$M$1958,'עסקאות'!$F$2:$F$1958,B278,'עסקאות'!$A$2:$A$1958,"&gt;="&amp;DATE(2025,1,1),'עסקאות'!$A$2:$A$1958,"&lt;"&amp;DATE(2026,1,1))</x:f>
        <x:v>175</x:v>
      </x:c>
      <x:c r="J278" s="16" t="n">
        <x:f>SUMIFS('עסקאות'!$M$2:$M$1958,'עסקאות'!$F$2:$F$1958,B278,'עסקאות'!$A$2:$A$1958,"&gt;="&amp;DATE(2026,1,1),'עסקאות'!$A$2:$A$1958,"&lt;"&amp;DATE(2027,1,1))</x:f>
        <x:v>0</x:v>
      </x:c>
    </x:row>
    <x:row r="279">
      <x:c r="B279" s="11" t="str">
        <x:v>אייס ראשל צ-צמרת</x:v>
      </x:c>
      <x:c r="C279" s="11" t="str">
        <x:v>קניות לבית</x:v>
      </x:c>
      <x:c r="D279" s="11" t="n">
        <x:v>1</x:v>
      </x:c>
      <x:c r="E279" s="11" t="n">
        <x:v>1</x:v>
      </x:c>
      <x:c r="F279" s="16" t="n">
        <x:f>SUMIFS('עסקאות'!$M$2:$M$1958,'עסקאות'!$F$2:$F$1958,B279)</x:f>
        <x:v>165</x:v>
      </x:c>
      <x:c r="G279" s="16" t="n">
        <x:f>IF(D279=0,"",F279/D279)</x:f>
        <x:v>165</x:v>
      </x:c>
      <x:c r="H279" s="16" t="n">
        <x:f>F279/20</x:f>
        <x:v>8.25</x:v>
      </x:c>
      <x:c r="I279" s="16" t="n">
        <x:f>SUMIFS('עסקאות'!$M$2:$M$1958,'עסקאות'!$F$2:$F$1958,B279,'עסקאות'!$A$2:$A$1958,"&gt;="&amp;DATE(2025,1,1),'עסקאות'!$A$2:$A$1958,"&lt;"&amp;DATE(2026,1,1))</x:f>
        <x:v>0</x:v>
      </x:c>
      <x:c r="J279" s="16" t="n">
        <x:f>SUMIFS('עסקאות'!$M$2:$M$1958,'עסקאות'!$F$2:$F$1958,B279,'עסקאות'!$A$2:$A$1958,"&gt;="&amp;DATE(2026,1,1),'עסקאות'!$A$2:$A$1958,"&lt;"&amp;DATE(2027,1,1))</x:f>
        <x:v>165</x:v>
      </x:c>
    </x:row>
    <x:row r="280">
      <x:c r="B280" s="11" t="str">
        <x:v>פסטה</x:v>
      </x:c>
      <x:c r="C280" s="11" t="str">
        <x:v>אוכל בחוץ</x:v>
      </x:c>
      <x:c r="D280" s="11" t="n">
        <x:v>2</x:v>
      </x:c>
      <x:c r="E280" s="11" t="n">
        <x:v>2</x:v>
      </x:c>
      <x:c r="F280" s="16" t="n">
        <x:f>SUMIFS('עסקאות'!$M$2:$M$1958,'עסקאות'!$F$2:$F$1958,B280)</x:f>
        <x:v>161</x:v>
      </x:c>
      <x:c r="G280" s="16" t="n">
        <x:f>IF(D280=0,"",F280/D280)</x:f>
        <x:v>80.5</x:v>
      </x:c>
      <x:c r="H280" s="16" t="n">
        <x:f>F280/20</x:f>
        <x:v>8.05</x:v>
      </x:c>
      <x:c r="I280" s="16" t="n">
        <x:f>SUMIFS('עסקאות'!$M$2:$M$1958,'עסקאות'!$F$2:$F$1958,B280,'עסקאות'!$A$2:$A$1958,"&gt;="&amp;DATE(2025,1,1),'עסקאות'!$A$2:$A$1958,"&lt;"&amp;DATE(2026,1,1))</x:f>
        <x:v>161</x:v>
      </x:c>
      <x:c r="J280" s="16" t="n">
        <x:f>SUMIFS('עסקאות'!$M$2:$M$1958,'עסקאות'!$F$2:$F$1958,B280,'עסקאות'!$A$2:$A$1958,"&gt;="&amp;DATE(2026,1,1),'עסקאות'!$A$2:$A$1958,"&lt;"&amp;DATE(2027,1,1))</x:f>
        <x:v>0</x:v>
      </x:c>
    </x:row>
    <x:row r="281">
      <x:c r="B281" s="11" t="str">
        <x:v>קפה גן סיפור</x:v>
      </x:c>
      <x:c r="C281" s="11" t="str">
        <x:v>אוכל בחוץ</x:v>
      </x:c>
      <x:c r="D281" s="11" t="n">
        <x:v>1</x:v>
      </x:c>
      <x:c r="E281" s="11" t="n">
        <x:v>1</x:v>
      </x:c>
      <x:c r="F281" s="16" t="n">
        <x:f>SUMIFS('עסקאות'!$M$2:$M$1958,'עסקאות'!$F$2:$F$1958,B281)</x:f>
        <x:v>160</x:v>
      </x:c>
      <x:c r="G281" s="16" t="n">
        <x:f>IF(D281=0,"",F281/D281)</x:f>
        <x:v>160</x:v>
      </x:c>
      <x:c r="H281" s="16" t="n">
        <x:f>F281/20</x:f>
        <x:v>8</x:v>
      </x:c>
      <x:c r="I281" s="16" t="n">
        <x:f>SUMIFS('עסקאות'!$M$2:$M$1958,'עסקאות'!$F$2:$F$1958,B281,'עסקאות'!$A$2:$A$1958,"&gt;="&amp;DATE(2025,1,1),'עסקאות'!$A$2:$A$1958,"&lt;"&amp;DATE(2026,1,1))</x:f>
        <x:v>160</x:v>
      </x:c>
      <x:c r="J281" s="16" t="n">
        <x:f>SUMIFS('עסקאות'!$M$2:$M$1958,'עסקאות'!$F$2:$F$1958,B281,'עסקאות'!$A$2:$A$1958,"&gt;="&amp;DATE(2026,1,1),'עסקאות'!$A$2:$A$1958,"&lt;"&amp;DATE(2027,1,1))</x:f>
        <x:v>0</x:v>
      </x:c>
    </x:row>
    <x:row r="282">
      <x:c r="B282" s="11" t="str">
        <x:v>פדיקור</x:v>
      </x:c>
      <x:c r="C282" s="11" t="str">
        <x:v>חתונה</x:v>
      </x:c>
      <x:c r="D282" s="11" t="n">
        <x:v>1</x:v>
      </x:c>
      <x:c r="E282" s="11" t="n">
        <x:v>1</x:v>
      </x:c>
      <x:c r="F282" s="16" t="n">
        <x:f>SUMIFS('עסקאות'!$M$2:$M$1958,'עסקאות'!$F$2:$F$1958,B282)</x:f>
        <x:v>160</x:v>
      </x:c>
      <x:c r="G282" s="16" t="n">
        <x:f>IF(D282=0,"",F282/D282)</x:f>
        <x:v>160</x:v>
      </x:c>
      <x:c r="H282" s="16" t="n">
        <x:f>F282/20</x:f>
        <x:v>8</x:v>
      </x:c>
      <x:c r="I282" s="16" t="n">
        <x:f>SUMIFS('עסקאות'!$M$2:$M$1958,'עסקאות'!$F$2:$F$1958,B282,'עסקאות'!$A$2:$A$1958,"&gt;="&amp;DATE(2025,1,1),'עסקאות'!$A$2:$A$1958,"&lt;"&amp;DATE(2026,1,1))</x:f>
        <x:v>160</x:v>
      </x:c>
      <x:c r="J282" s="16" t="n">
        <x:f>SUMIFS('עסקאות'!$M$2:$M$1958,'עסקאות'!$F$2:$F$1958,B282,'עסקאות'!$A$2:$A$1958,"&gt;="&amp;DATE(2026,1,1),'עסקאות'!$A$2:$A$1958,"&lt;"&amp;DATE(2027,1,1))</x:f>
        <x:v>0</x:v>
      </x:c>
    </x:row>
    <x:row r="283">
      <x:c r="B283" s="11" t="str">
        <x:v>חומוס יום טוב - תל אביב</x:v>
      </x:c>
      <x:c r="C283" s="11" t="str">
        <x:v>אוכל בחוץ</x:v>
      </x:c>
      <x:c r="D283" s="11" t="n">
        <x:v>2</x:v>
      </x:c>
      <x:c r="E283" s="11" t="n">
        <x:v>1</x:v>
      </x:c>
      <x:c r="F283" s="16" t="n">
        <x:f>SUMIFS('עסקאות'!$M$2:$M$1958,'עסקאות'!$F$2:$F$1958,B283)</x:f>
        <x:v>160</x:v>
      </x:c>
      <x:c r="G283" s="16" t="n">
        <x:f>IF(D283=0,"",F283/D283)</x:f>
        <x:v>80</x:v>
      </x:c>
      <x:c r="H283" s="16" t="n">
        <x:f>F283/20</x:f>
        <x:v>8</x:v>
      </x:c>
      <x:c r="I283" s="16" t="n">
        <x:f>SUMIFS('עסקאות'!$M$2:$M$1958,'עסקאות'!$F$2:$F$1958,B283,'עסקאות'!$A$2:$A$1958,"&gt;="&amp;DATE(2025,1,1),'עסקאות'!$A$2:$A$1958,"&lt;"&amp;DATE(2026,1,1))</x:f>
        <x:v>0</x:v>
      </x:c>
      <x:c r="J283" s="16" t="n">
        <x:f>SUMIFS('עסקאות'!$M$2:$M$1958,'עסקאות'!$F$2:$F$1958,B283,'עסקאות'!$A$2:$A$1958,"&gt;="&amp;DATE(2026,1,1),'עסקאות'!$A$2:$A$1958,"&lt;"&amp;DATE(2027,1,1))</x:f>
        <x:v>160</x:v>
      </x:c>
    </x:row>
    <x:row r="284">
      <x:c r="B284" s="11" t="str">
        <x:v>אמפמ</x:v>
      </x:c>
      <x:c r="C284" s="11" t="str">
        <x:v>מזון לבית</x:v>
      </x:c>
      <x:c r="D284" s="11" t="n">
        <x:v>3</x:v>
      </x:c>
      <x:c r="E284" s="11" t="n">
        <x:v>2</x:v>
      </x:c>
      <x:c r="F284" s="16" t="n">
        <x:f>SUMIFS('עסקאות'!$M$2:$M$1958,'עסקאות'!$F$2:$F$1958,B284)</x:f>
        <x:v>159</x:v>
      </x:c>
      <x:c r="G284" s="16" t="n">
        <x:f>IF(D284=0,"",F284/D284)</x:f>
        <x:v>53</x:v>
      </x:c>
      <x:c r="H284" s="16" t="n">
        <x:f>F284/20</x:f>
        <x:v>7.95</x:v>
      </x:c>
      <x:c r="I284" s="16" t="n">
        <x:f>SUMIFS('עסקאות'!$M$2:$M$1958,'עסקאות'!$F$2:$F$1958,B284,'עסקאות'!$A$2:$A$1958,"&gt;="&amp;DATE(2025,1,1),'עסקאות'!$A$2:$A$1958,"&lt;"&amp;DATE(2026,1,1))</x:f>
        <x:v>159</x:v>
      </x:c>
      <x:c r="J284" s="16" t="n">
        <x:f>SUMIFS('עסקאות'!$M$2:$M$1958,'עסקאות'!$F$2:$F$1958,B284,'עסקאות'!$A$2:$A$1958,"&gt;="&amp;DATE(2026,1,1),'עסקאות'!$A$2:$A$1958,"&lt;"&amp;DATE(2027,1,1))</x:f>
        <x:v>0</x:v>
      </x:c>
    </x:row>
    <x:row r="285">
      <x:c r="B285" s="11" t="str">
        <x:v>חניה</x:v>
      </x:c>
      <x:c r="C285" s="11" t="str">
        <x:v>תחבורה</x:v>
      </x:c>
      <x:c r="D285" s="11" t="n">
        <x:v>8</x:v>
      </x:c>
      <x:c r="E285" s="11" t="n">
        <x:v>5</x:v>
      </x:c>
      <x:c r="F285" s="16" t="n">
        <x:f>SUMIFS('עסקאות'!$M$2:$M$1958,'עסקאות'!$F$2:$F$1958,B285)</x:f>
        <x:v>158</x:v>
      </x:c>
      <x:c r="G285" s="16" t="n">
        <x:f>IF(D285=0,"",F285/D285)</x:f>
        <x:v>19.75</x:v>
      </x:c>
      <x:c r="H285" s="16" t="n">
        <x:f>F285/20</x:f>
        <x:v>7.9</x:v>
      </x:c>
      <x:c r="I285" s="16" t="n">
        <x:f>SUMIFS('עסקאות'!$M$2:$M$1958,'עסקאות'!$F$2:$F$1958,B285,'עסקאות'!$A$2:$A$1958,"&gt;="&amp;DATE(2025,1,1),'עסקאות'!$A$2:$A$1958,"&lt;"&amp;DATE(2026,1,1))</x:f>
        <x:v>134</x:v>
      </x:c>
      <x:c r="J285" s="16" t="n">
        <x:f>SUMIFS('עסקאות'!$M$2:$M$1958,'עסקאות'!$F$2:$F$1958,B285,'עסקאות'!$A$2:$A$1958,"&gt;="&amp;DATE(2026,1,1),'עסקאות'!$A$2:$A$1958,"&lt;"&amp;DATE(2027,1,1))</x:f>
        <x:v>24</x:v>
      </x:c>
    </x:row>
    <x:row r="286">
      <x:c r="B286" s="11" t="str">
        <x:v>מינה שרונה בע"מ</x:v>
      </x:c>
      <x:c r="C286" s="11" t="str">
        <x:v>אוכל בחוץ</x:v>
      </x:c>
      <x:c r="D286" s="11" t="n">
        <x:v>2</x:v>
      </x:c>
      <x:c r="E286" s="11" t="n">
        <x:v>2</x:v>
      </x:c>
      <x:c r="F286" s="16" t="n">
        <x:f>SUMIFS('עסקאות'!$M$2:$M$1958,'עסקאות'!$F$2:$F$1958,B286)</x:f>
        <x:v>158</x:v>
      </x:c>
      <x:c r="G286" s="16" t="n">
        <x:f>IF(D286=0,"",F286/D286)</x:f>
        <x:v>79</x:v>
      </x:c>
      <x:c r="H286" s="16" t="n">
        <x:f>F286/20</x:f>
        <x:v>7.9</x:v>
      </x:c>
      <x:c r="I286" s="16" t="n">
        <x:f>SUMIFS('עסקאות'!$M$2:$M$1958,'עסקאות'!$F$2:$F$1958,B286,'עסקאות'!$A$2:$A$1958,"&gt;="&amp;DATE(2025,1,1),'עסקאות'!$A$2:$A$1958,"&lt;"&amp;DATE(2026,1,1))</x:f>
        <x:v>0</x:v>
      </x:c>
      <x:c r="J286" s="16" t="n">
        <x:f>SUMIFS('עסקאות'!$M$2:$M$1958,'עסקאות'!$F$2:$F$1958,B286,'עסקאות'!$A$2:$A$1958,"&gt;="&amp;DATE(2026,1,1),'עסקאות'!$A$2:$A$1958,"&lt;"&amp;DATE(2027,1,1))</x:f>
        <x:v>158</x:v>
      </x:c>
    </x:row>
    <x:row r="287">
      <x:c r="B287" s="11" t="str">
        <x:v>מילי</x:v>
      </x:c>
      <x:c r="C287" s="11" t="str">
        <x:v>נסיעות וחופשות</x:v>
      </x:c>
      <x:c r="D287" s="11" t="n">
        <x:v>1</x:v>
      </x:c>
      <x:c r="E287" s="11" t="n">
        <x:v>1</x:v>
      </x:c>
      <x:c r="F287" s="16" t="n">
        <x:f>SUMIFS('עסקאות'!$M$2:$M$1958,'עסקאות'!$F$2:$F$1958,B287)</x:f>
        <x:v>157</x:v>
      </x:c>
      <x:c r="G287" s="16" t="n">
        <x:f>IF(D287=0,"",F287/D287)</x:f>
        <x:v>157</x:v>
      </x:c>
      <x:c r="H287" s="16" t="n">
        <x:f>F287/20</x:f>
        <x:v>7.85</x:v>
      </x:c>
      <x:c r="I287" s="16" t="n">
        <x:f>SUMIFS('עסקאות'!$M$2:$M$1958,'עסקאות'!$F$2:$F$1958,B287,'עסקאות'!$A$2:$A$1958,"&gt;="&amp;DATE(2025,1,1),'עסקאות'!$A$2:$A$1958,"&lt;"&amp;DATE(2026,1,1))</x:f>
        <x:v>157</x:v>
      </x:c>
      <x:c r="J287" s="16" t="n">
        <x:f>SUMIFS('עסקאות'!$M$2:$M$1958,'עסקאות'!$F$2:$F$1958,B287,'עסקאות'!$A$2:$A$1958,"&gt;="&amp;DATE(2026,1,1),'עסקאות'!$A$2:$A$1958,"&lt;"&amp;DATE(2027,1,1))</x:f>
        <x:v>0</x:v>
      </x:c>
    </x:row>
    <x:row r="288">
      <x:c r="B288" s="11" t="str">
        <x:v>קפה</x:v>
      </x:c>
      <x:c r="C288" s="11" t="str">
        <x:v>אוכל בחוץ</x:v>
      </x:c>
      <x:c r="D288" s="11" t="n">
        <x:v>8</x:v>
      </x:c>
      <x:c r="E288" s="11" t="n">
        <x:v>5</x:v>
      </x:c>
      <x:c r="F288" s="16" t="n">
        <x:f>SUMIFS('עסקאות'!$M$2:$M$1958,'עסקאות'!$F$2:$F$1958,B288)</x:f>
        <x:v>156</x:v>
      </x:c>
      <x:c r="G288" s="16" t="n">
        <x:f>IF(D288=0,"",F288/D288)</x:f>
        <x:v>19.5</x:v>
      </x:c>
      <x:c r="H288" s="16" t="n">
        <x:f>F288/20</x:f>
        <x:v>7.8</x:v>
      </x:c>
      <x:c r="I288" s="16" t="n">
        <x:f>SUMIFS('עסקאות'!$M$2:$M$1958,'עסקאות'!$F$2:$F$1958,B288,'עסקאות'!$A$2:$A$1958,"&gt;="&amp;DATE(2025,1,1),'עסקאות'!$A$2:$A$1958,"&lt;"&amp;DATE(2026,1,1))</x:f>
        <x:v>156</x:v>
      </x:c>
      <x:c r="J288" s="16" t="n">
        <x:f>SUMIFS('עסקאות'!$M$2:$M$1958,'עסקאות'!$F$2:$F$1958,B288,'עסקאות'!$A$2:$A$1958,"&gt;="&amp;DATE(2026,1,1),'עסקאות'!$A$2:$A$1958,"&lt;"&amp;DATE(2027,1,1))</x:f>
        <x:v>0</x:v>
      </x:c>
    </x:row>
    <x:row r="289">
      <x:c r="B289" s="11" t="str">
        <x:v>אורבניקה</x:v>
      </x:c>
      <x:c r="C289" s="11" t="str">
        <x:v>קניות לבית</x:v>
      </x:c>
      <x:c r="D289" s="11" t="n">
        <x:v>1</x:v>
      </x:c>
      <x:c r="E289" s="11" t="n">
        <x:v>1</x:v>
      </x:c>
      <x:c r="F289" s="16" t="n">
        <x:f>SUMIFS('עסקאות'!$M$2:$M$1958,'עסקאות'!$F$2:$F$1958,B289)</x:f>
        <x:v>150</x:v>
      </x:c>
      <x:c r="G289" s="16" t="n">
        <x:f>IF(D289=0,"",F289/D289)</x:f>
        <x:v>150</x:v>
      </x:c>
      <x:c r="H289" s="16" t="n">
        <x:f>F289/20</x:f>
        <x:v>7.5</x:v>
      </x:c>
      <x:c r="I289" s="16" t="n">
        <x:f>SUMIFS('עסקאות'!$M$2:$M$1958,'עסקאות'!$F$2:$F$1958,B289,'עסקאות'!$A$2:$A$1958,"&gt;="&amp;DATE(2025,1,1),'עסקאות'!$A$2:$A$1958,"&lt;"&amp;DATE(2026,1,1))</x:f>
        <x:v>150</x:v>
      </x:c>
      <x:c r="J289" s="16" t="n">
        <x:f>SUMIFS('עסקאות'!$M$2:$M$1958,'עסקאות'!$F$2:$F$1958,B289,'עסקאות'!$A$2:$A$1958,"&gt;="&amp;DATE(2026,1,1),'עסקאות'!$A$2:$A$1958,"&lt;"&amp;DATE(2027,1,1))</x:f>
        <x:v>0</x:v>
      </x:c>
    </x:row>
    <x:row r="290">
      <x:c r="B290" s="11" t="str">
        <x:v>שלט לדלת</x:v>
      </x:c>
      <x:c r="C290" s="11" t="str">
        <x:v>קניות לבית</x:v>
      </x:c>
      <x:c r="D290" s="11" t="n">
        <x:v>1</x:v>
      </x:c>
      <x:c r="E290" s="11" t="n">
        <x:v>1</x:v>
      </x:c>
      <x:c r="F290" s="16" t="n">
        <x:f>SUMIFS('עסקאות'!$M$2:$M$1958,'עסקאות'!$F$2:$F$1958,B290)</x:f>
        <x:v>150</x:v>
      </x:c>
      <x:c r="G290" s="16" t="n">
        <x:f>IF(D290=0,"",F290/D290)</x:f>
        <x:v>150</x:v>
      </x:c>
      <x:c r="H290" s="16" t="n">
        <x:f>F290/20</x:f>
        <x:v>7.5</x:v>
      </x:c>
      <x:c r="I290" s="16" t="n">
        <x:f>SUMIFS('עסקאות'!$M$2:$M$1958,'עסקאות'!$F$2:$F$1958,B290,'עסקאות'!$A$2:$A$1958,"&gt;="&amp;DATE(2025,1,1),'עסקאות'!$A$2:$A$1958,"&lt;"&amp;DATE(2026,1,1))</x:f>
        <x:v>150</x:v>
      </x:c>
      <x:c r="J290" s="16" t="n">
        <x:f>SUMIFS('עסקאות'!$M$2:$M$1958,'עסקאות'!$F$2:$F$1958,B290,'עסקאות'!$A$2:$A$1958,"&gt;="&amp;DATE(2026,1,1),'עסקאות'!$A$2:$A$1958,"&lt;"&amp;DATE(2027,1,1))</x:f>
        <x:v>0</x:v>
      </x:c>
    </x:row>
    <x:row r="291">
      <x:c r="B291" s="11" t="str">
        <x:v>מגירות (ביט)</x:v>
      </x:c>
      <x:c r="C291" s="11" t="str">
        <x:v>קניות לבית</x:v>
      </x:c>
      <x:c r="D291" s="11" t="n">
        <x:v>1</x:v>
      </x:c>
      <x:c r="E291" s="11" t="n">
        <x:v>1</x:v>
      </x:c>
      <x:c r="F291" s="16" t="n">
        <x:f>SUMIFS('עסקאות'!$M$2:$M$1958,'עסקאות'!$F$2:$F$1958,B291)</x:f>
        <x:v>150</x:v>
      </x:c>
      <x:c r="G291" s="16" t="n">
        <x:f>IF(D291=0,"",F291/D291)</x:f>
        <x:v>150</x:v>
      </x:c>
      <x:c r="H291" s="16" t="n">
        <x:f>F291/20</x:f>
        <x:v>7.5</x:v>
      </x:c>
      <x:c r="I291" s="16" t="n">
        <x:f>SUMIFS('עסקאות'!$M$2:$M$1958,'עסקאות'!$F$2:$F$1958,B291,'עסקאות'!$A$2:$A$1958,"&gt;="&amp;DATE(2025,1,1),'עסקאות'!$A$2:$A$1958,"&lt;"&amp;DATE(2026,1,1))</x:f>
        <x:v>150</x:v>
      </x:c>
      <x:c r="J291" s="16" t="n">
        <x:f>SUMIFS('עסקאות'!$M$2:$M$1958,'עסקאות'!$F$2:$F$1958,B291,'עסקאות'!$A$2:$A$1958,"&gt;="&amp;DATE(2026,1,1),'עסקאות'!$A$2:$A$1958,"&lt;"&amp;DATE(2027,1,1))</x:f>
        <x:v>0</x:v>
      </x:c>
    </x:row>
    <x:row r="292">
      <x:c r="B292" s="11" t="str">
        <x:v>תמרה יוגורט</x:v>
      </x:c>
      <x:c r="C292" s="11" t="str">
        <x:v>אוכל בחוץ</x:v>
      </x:c>
      <x:c r="D292" s="11" t="n">
        <x:v>6</x:v>
      </x:c>
      <x:c r="E292" s="11" t="n">
        <x:v>3</x:v>
      </x:c>
      <x:c r="F292" s="16" t="n">
        <x:f>SUMIFS('עסקאות'!$M$2:$M$1958,'עסקאות'!$F$2:$F$1958,B292)</x:f>
        <x:v>150</x:v>
      </x:c>
      <x:c r="G292" s="16" t="n">
        <x:f>IF(D292=0,"",F292/D292)</x:f>
        <x:v>25</x:v>
      </x:c>
      <x:c r="H292" s="16" t="n">
        <x:f>F292/20</x:f>
        <x:v>7.5</x:v>
      </x:c>
      <x:c r="I292" s="16" t="n">
        <x:f>SUMIFS('עסקאות'!$M$2:$M$1958,'עסקאות'!$F$2:$F$1958,B292,'עסקאות'!$A$2:$A$1958,"&gt;="&amp;DATE(2025,1,1),'עסקאות'!$A$2:$A$1958,"&lt;"&amp;DATE(2026,1,1))</x:f>
        <x:v>0</x:v>
      </x:c>
      <x:c r="J292" s="16" t="n">
        <x:f>SUMIFS('עסקאות'!$M$2:$M$1958,'עסקאות'!$F$2:$F$1958,B292,'עסקאות'!$A$2:$A$1958,"&gt;="&amp;DATE(2026,1,1),'עסקאות'!$A$2:$A$1958,"&lt;"&amp;DATE(2027,1,1))</x:f>
        <x:v>150</x:v>
      </x:c>
    </x:row>
    <x:row r="293">
      <x:c r="B293" s="11" t="str">
        <x:v>ביצי'קלטה</x:v>
      </x:c>
      <x:c r="C293" s="11" t="str">
        <x:v>אוכל בחוץ</x:v>
      </x:c>
      <x:c r="D293" s="11" t="n">
        <x:v>1</x:v>
      </x:c>
      <x:c r="E293" s="11" t="n">
        <x:v>1</x:v>
      </x:c>
      <x:c r="F293" s="16" t="n">
        <x:f>SUMIFS('עסקאות'!$M$2:$M$1958,'עסקאות'!$F$2:$F$1958,B293)</x:f>
        <x:v>150</x:v>
      </x:c>
      <x:c r="G293" s="16" t="n">
        <x:f>IF(D293=0,"",F293/D293)</x:f>
        <x:v>150</x:v>
      </x:c>
      <x:c r="H293" s="16" t="n">
        <x:f>F293/20</x:f>
        <x:v>7.5</x:v>
      </x:c>
      <x:c r="I293" s="16" t="n">
        <x:f>SUMIFS('עסקאות'!$M$2:$M$1958,'עסקאות'!$F$2:$F$1958,B293,'עסקאות'!$A$2:$A$1958,"&gt;="&amp;DATE(2025,1,1),'עסקאות'!$A$2:$A$1958,"&lt;"&amp;DATE(2026,1,1))</x:f>
        <x:v>0</x:v>
      </x:c>
      <x:c r="J293" s="16" t="n">
        <x:f>SUMIFS('עסקאות'!$M$2:$M$1958,'עסקאות'!$F$2:$F$1958,B293,'עסקאות'!$A$2:$A$1958,"&gt;="&amp;DATE(2026,1,1),'עסקאות'!$A$2:$A$1958,"&lt;"&amp;DATE(2027,1,1))</x:f>
        <x:v>150</x:v>
      </x:c>
    </x:row>
    <x:row r="294">
      <x:c r="B294" s="11" t="str">
        <x:v>מגנטים</x:v>
      </x:c>
      <x:c r="C294" s="11" t="str">
        <x:v>חתונה</x:v>
      </x:c>
      <x:c r="D294" s="11" t="n">
        <x:v>1</x:v>
      </x:c>
      <x:c r="E294" s="11" t="n">
        <x:v>1</x:v>
      </x:c>
      <x:c r="F294" s="16" t="n">
        <x:f>SUMIFS('עסקאות'!$M$2:$M$1958,'עסקאות'!$F$2:$F$1958,B294)</x:f>
        <x:v>149</x:v>
      </x:c>
      <x:c r="G294" s="16" t="n">
        <x:f>IF(D294=0,"",F294/D294)</x:f>
        <x:v>149</x:v>
      </x:c>
      <x:c r="H294" s="16" t="n">
        <x:f>F294/20</x:f>
        <x:v>7.45</x:v>
      </x:c>
      <x:c r="I294" s="16" t="n">
        <x:f>SUMIFS('עסקאות'!$M$2:$M$1958,'עסקאות'!$F$2:$F$1958,B294,'עסקאות'!$A$2:$A$1958,"&gt;="&amp;DATE(2025,1,1),'עסקאות'!$A$2:$A$1958,"&lt;"&amp;DATE(2026,1,1))</x:f>
        <x:v>149</x:v>
      </x:c>
      <x:c r="J294" s="16" t="n">
        <x:f>SUMIFS('עסקאות'!$M$2:$M$1958,'עסקאות'!$F$2:$F$1958,B294,'עסקאות'!$A$2:$A$1958,"&gt;="&amp;DATE(2026,1,1),'עסקאות'!$A$2:$A$1958,"&lt;"&amp;DATE(2027,1,1))</x:f>
        <x:v>0</x:v>
      </x:c>
    </x:row>
    <x:row r="295">
      <x:c r="B295" s="11" t="str">
        <x:v>טימברלנד</x:v>
      </x:c>
      <x:c r="C295" s="11" t="str">
        <x:v>אופנה</x:v>
      </x:c>
      <x:c r="D295" s="11" t="n">
        <x:v>1</x:v>
      </x:c>
      <x:c r="E295" s="11" t="n">
        <x:v>1</x:v>
      </x:c>
      <x:c r="F295" s="16" t="n">
        <x:f>SUMIFS('עסקאות'!$M$2:$M$1958,'עסקאות'!$F$2:$F$1958,B295)</x:f>
        <x:v>149</x:v>
      </x:c>
      <x:c r="G295" s="16" t="n">
        <x:f>IF(D295=0,"",F295/D295)</x:f>
        <x:v>149</x:v>
      </x:c>
      <x:c r="H295" s="16" t="n">
        <x:f>F295/20</x:f>
        <x:v>7.45</x:v>
      </x:c>
      <x:c r="I295" s="16" t="n">
        <x:f>SUMIFS('עסקאות'!$M$2:$M$1958,'עסקאות'!$F$2:$F$1958,B295,'עסקאות'!$A$2:$A$1958,"&gt;="&amp;DATE(2025,1,1),'עסקאות'!$A$2:$A$1958,"&lt;"&amp;DATE(2026,1,1))</x:f>
        <x:v>149</x:v>
      </x:c>
      <x:c r="J295" s="16" t="n">
        <x:f>SUMIFS('עסקאות'!$M$2:$M$1958,'עסקאות'!$F$2:$F$1958,B295,'עסקאות'!$A$2:$A$1958,"&gt;="&amp;DATE(2026,1,1),'עסקאות'!$A$2:$A$1958,"&lt;"&amp;DATE(2027,1,1))</x:f>
        <x:v>0</x:v>
      </x:c>
    </x:row>
    <x:row r="296">
      <x:c r="B296" s="11" t="str">
        <x:v>משחקים אלי</x:v>
      </x:c>
      <x:c r="C296" s="11" t="str">
        <x:v>פנאי</x:v>
      </x:c>
      <x:c r="D296" s="11" t="n">
        <x:v>1</x:v>
      </x:c>
      <x:c r="E296" s="11" t="n">
        <x:v>1</x:v>
      </x:c>
      <x:c r="F296" s="16" t="n">
        <x:f>SUMIFS('עסקאות'!$M$2:$M$1958,'עסקאות'!$F$2:$F$1958,B296)</x:f>
        <x:v>149</x:v>
      </x:c>
      <x:c r="G296" s="16" t="n">
        <x:f>IF(D296=0,"",F296/D296)</x:f>
        <x:v>149</x:v>
      </x:c>
      <x:c r="H296" s="16" t="n">
        <x:f>F296/20</x:f>
        <x:v>7.45</x:v>
      </x:c>
      <x:c r="I296" s="16" t="n">
        <x:f>SUMIFS('עסקאות'!$M$2:$M$1958,'עסקאות'!$F$2:$F$1958,B296,'עסקאות'!$A$2:$A$1958,"&gt;="&amp;DATE(2025,1,1),'עסקאות'!$A$2:$A$1958,"&lt;"&amp;DATE(2026,1,1))</x:f>
        <x:v>0</x:v>
      </x:c>
      <x:c r="J296" s="16" t="n">
        <x:f>SUMIFS('עסקאות'!$M$2:$M$1958,'עסקאות'!$F$2:$F$1958,B296,'עסקאות'!$A$2:$A$1958,"&gt;="&amp;DATE(2026,1,1),'עסקאות'!$A$2:$A$1958,"&lt;"&amp;DATE(2027,1,1))</x:f>
        <x:v>149</x:v>
      </x:c>
    </x:row>
    <x:row r="297">
      <x:c r="B297" s="11" t="str">
        <x:v>מנטנטן - תל אביב יפו</x:v>
      </x:c>
      <x:c r="C297" s="11" t="str">
        <x:v>אוכל בחוץ</x:v>
      </x:c>
      <x:c r="D297" s="11" t="n">
        <x:v>1</x:v>
      </x:c>
      <x:c r="E297" s="11" t="n">
        <x:v>1</x:v>
      </x:c>
      <x:c r="F297" s="16" t="n">
        <x:f>SUMIFS('עסקאות'!$M$2:$M$1958,'עסקאות'!$F$2:$F$1958,B297)</x:f>
        <x:v>148</x:v>
      </x:c>
      <x:c r="G297" s="16" t="n">
        <x:f>IF(D297=0,"",F297/D297)</x:f>
        <x:v>148</x:v>
      </x:c>
      <x:c r="H297" s="16" t="n">
        <x:f>F297/20</x:f>
        <x:v>7.4</x:v>
      </x:c>
      <x:c r="I297" s="16" t="n">
        <x:f>SUMIFS('עסקאות'!$M$2:$M$1958,'עסקאות'!$F$2:$F$1958,B297,'עסקאות'!$A$2:$A$1958,"&gt;="&amp;DATE(2025,1,1),'עסקאות'!$A$2:$A$1958,"&lt;"&amp;DATE(2026,1,1))</x:f>
        <x:v>0</x:v>
      </x:c>
      <x:c r="J297" s="16" t="n">
        <x:f>SUMIFS('עסקאות'!$M$2:$M$1958,'עסקאות'!$F$2:$F$1958,B297,'עסקאות'!$A$2:$A$1958,"&gt;="&amp;DATE(2026,1,1),'עסקאות'!$A$2:$A$1958,"&lt;"&amp;DATE(2027,1,1))</x:f>
        <x:v>148</x:v>
      </x:c>
    </x:row>
    <x:row r="298">
      <x:c r="B298" s="11" t="str">
        <x:v>ללין</x:v>
      </x:c>
      <x:c r="C298" s="11" t="str">
        <x:v>קניות לבית</x:v>
      </x:c>
      <x:c r="D298" s="11" t="n">
        <x:v>1</x:v>
      </x:c>
      <x:c r="E298" s="11" t="n">
        <x:v>1</x:v>
      </x:c>
      <x:c r="F298" s="16" t="n">
        <x:f>SUMIFS('עסקאות'!$M$2:$M$1958,'עסקאות'!$F$2:$F$1958,B298)</x:f>
        <x:v>141</x:v>
      </x:c>
      <x:c r="G298" s="16" t="n">
        <x:f>IF(D298=0,"",F298/D298)</x:f>
        <x:v>141</x:v>
      </x:c>
      <x:c r="H298" s="16" t="n">
        <x:f>F298/20</x:f>
        <x:v>7.05</x:v>
      </x:c>
      <x:c r="I298" s="16" t="n">
        <x:f>SUMIFS('עסקאות'!$M$2:$M$1958,'עסקאות'!$F$2:$F$1958,B298,'עסקאות'!$A$2:$A$1958,"&gt;="&amp;DATE(2025,1,1),'עסקאות'!$A$2:$A$1958,"&lt;"&amp;DATE(2026,1,1))</x:f>
        <x:v>0</x:v>
      </x:c>
      <x:c r="J298" s="16" t="n">
        <x:f>SUMIFS('עסקאות'!$M$2:$M$1958,'עסקאות'!$F$2:$F$1958,B298,'עסקאות'!$A$2:$A$1958,"&gt;="&amp;DATE(2026,1,1),'עסקאות'!$A$2:$A$1958,"&lt;"&amp;DATE(2027,1,1))</x:f>
        <x:v>141</x:v>
      </x:c>
    </x:row>
    <x:row r="299">
      <x:c r="B299" s="11" t="str">
        <x:v>סטנדאפ</x:v>
      </x:c>
      <x:c r="C299" s="11" t="str">
        <x:v>פנאי</x:v>
      </x:c>
      <x:c r="D299" s="11" t="n">
        <x:v>1</x:v>
      </x:c>
      <x:c r="E299" s="11" t="n">
        <x:v>1</x:v>
      </x:c>
      <x:c r="F299" s="16" t="n">
        <x:f>SUMIFS('עסקאות'!$M$2:$M$1958,'עסקאות'!$F$2:$F$1958,B299)</x:f>
        <x:v>140</x:v>
      </x:c>
      <x:c r="G299" s="16" t="n">
        <x:f>IF(D299=0,"",F299/D299)</x:f>
        <x:v>140</x:v>
      </x:c>
      <x:c r="H299" s="16" t="n">
        <x:f>F299/20</x:f>
        <x:v>7</x:v>
      </x:c>
      <x:c r="I299" s="16" t="n">
        <x:f>SUMIFS('עסקאות'!$M$2:$M$1958,'עסקאות'!$F$2:$F$1958,B299,'עסקאות'!$A$2:$A$1958,"&gt;="&amp;DATE(2025,1,1),'עסקאות'!$A$2:$A$1958,"&lt;"&amp;DATE(2026,1,1))</x:f>
        <x:v>140</x:v>
      </x:c>
      <x:c r="J299" s="16" t="n">
        <x:f>SUMIFS('עסקאות'!$M$2:$M$1958,'עסקאות'!$F$2:$F$1958,B299,'עסקאות'!$A$2:$A$1958,"&gt;="&amp;DATE(2026,1,1),'עסקאות'!$A$2:$A$1958,"&lt;"&amp;DATE(2027,1,1))</x:f>
        <x:v>0</x:v>
      </x:c>
    </x:row>
    <x:row r="300">
      <x:c r="B300" s="11" t="str">
        <x:v>ציפורניים (פייבוקס)</x:v>
      </x:c>
      <x:c r="C300" s="11" t="str">
        <x:v>קוסמטיקה</x:v>
      </x:c>
      <x:c r="D300" s="11" t="n">
        <x:v>1</x:v>
      </x:c>
      <x:c r="E300" s="11" t="n">
        <x:v>1</x:v>
      </x:c>
      <x:c r="F300" s="16" t="n">
        <x:f>SUMIFS('עסקאות'!$M$2:$M$1958,'עסקאות'!$F$2:$F$1958,B300)</x:f>
        <x:v>140</x:v>
      </x:c>
      <x:c r="G300" s="16" t="n">
        <x:f>IF(D300=0,"",F300/D300)</x:f>
        <x:v>140</x:v>
      </x:c>
      <x:c r="H300" s="16" t="n">
        <x:f>F300/20</x:f>
        <x:v>7</x:v>
      </x:c>
      <x:c r="I300" s="16" t="n">
        <x:f>SUMIFS('עסקאות'!$M$2:$M$1958,'עסקאות'!$F$2:$F$1958,B300,'עסקאות'!$A$2:$A$1958,"&gt;="&amp;DATE(2025,1,1),'עסקאות'!$A$2:$A$1958,"&lt;"&amp;DATE(2026,1,1))</x:f>
        <x:v>140</x:v>
      </x:c>
      <x:c r="J300" s="16" t="n">
        <x:f>SUMIFS('עסקאות'!$M$2:$M$1958,'עסקאות'!$F$2:$F$1958,B300,'עסקאות'!$A$2:$A$1958,"&gt;="&amp;DATE(2026,1,1),'עסקאות'!$A$2:$A$1958,"&lt;"&amp;DATE(2027,1,1))</x:f>
        <x:v>0</x:v>
      </x:c>
    </x:row>
    <x:row r="301">
      <x:c r="B301" s="11" t="str">
        <x:v>גרזנים</x:v>
      </x:c>
      <x:c r="C301" s="11" t="str">
        <x:v>פנאי</x:v>
      </x:c>
      <x:c r="D301" s="11" t="n">
        <x:v>1</x:v>
      </x:c>
      <x:c r="E301" s="11" t="n">
        <x:v>1</x:v>
      </x:c>
      <x:c r="F301" s="16" t="n">
        <x:f>SUMIFS('עסקאות'!$M$2:$M$1958,'עסקאות'!$F$2:$F$1958,B301)</x:f>
        <x:v>140</x:v>
      </x:c>
      <x:c r="G301" s="16" t="n">
        <x:f>IF(D301=0,"",F301/D301)</x:f>
        <x:v>140</x:v>
      </x:c>
      <x:c r="H301" s="16" t="n">
        <x:f>F301/20</x:f>
        <x:v>7</x:v>
      </x:c>
      <x:c r="I301" s="16" t="n">
        <x:f>SUMIFS('עסקאות'!$M$2:$M$1958,'עסקאות'!$F$2:$F$1958,B301,'עסקאות'!$A$2:$A$1958,"&gt;="&amp;DATE(2025,1,1),'עסקאות'!$A$2:$A$1958,"&lt;"&amp;DATE(2026,1,1))</x:f>
        <x:v>140</x:v>
      </x:c>
      <x:c r="J301" s="16" t="n">
        <x:f>SUMIFS('עסקאות'!$M$2:$M$1958,'עסקאות'!$F$2:$F$1958,B301,'עסקאות'!$A$2:$A$1958,"&gt;="&amp;DATE(2026,1,1),'עסקאות'!$A$2:$A$1958,"&lt;"&amp;DATE(2027,1,1))</x:f>
        <x:v>0</x:v>
      </x:c>
    </x:row>
    <x:row r="302">
      <x:c r="B302" s="11" t="str">
        <x:v>על האש</x:v>
      </x:c>
      <x:c r="C302" s="11" t="str">
        <x:v>פנאי</x:v>
      </x:c>
      <x:c r="D302" s="11" t="n">
        <x:v>1</x:v>
      </x:c>
      <x:c r="E302" s="11" t="n">
        <x:v>1</x:v>
      </x:c>
      <x:c r="F302" s="16" t="n">
        <x:f>SUMIFS('עסקאות'!$M$2:$M$1958,'עסקאות'!$F$2:$F$1958,B302)</x:f>
        <x:v>138</x:v>
      </x:c>
      <x:c r="G302" s="16" t="n">
        <x:f>IF(D302=0,"",F302/D302)</x:f>
        <x:v>138</x:v>
      </x:c>
      <x:c r="H302" s="16" t="n">
        <x:f>F302/20</x:f>
        <x:v>6.9</x:v>
      </x:c>
      <x:c r="I302" s="16" t="n">
        <x:f>SUMIFS('עסקאות'!$M$2:$M$1958,'עסקאות'!$F$2:$F$1958,B302,'עסקאות'!$A$2:$A$1958,"&gt;="&amp;DATE(2025,1,1),'עסקאות'!$A$2:$A$1958,"&lt;"&amp;DATE(2026,1,1))</x:f>
        <x:v>138</x:v>
      </x:c>
      <x:c r="J302" s="16" t="n">
        <x:f>SUMIFS('עסקאות'!$M$2:$M$1958,'עסקאות'!$F$2:$F$1958,B302,'עסקאות'!$A$2:$A$1958,"&gt;="&amp;DATE(2026,1,1),'עסקאות'!$A$2:$A$1958,"&lt;"&amp;DATE(2027,1,1))</x:f>
        <x:v>0</x:v>
      </x:c>
    </x:row>
    <x:row r="303">
      <x:c r="B303" s="11" t="str">
        <x:v>תרופות</x:v>
      </x:c>
      <x:c r="C303" s="11" t="str">
        <x:v>בריאות וטיפולים</x:v>
      </x:c>
      <x:c r="D303" s="11" t="n">
        <x:v>2</x:v>
      </x:c>
      <x:c r="E303" s="11" t="n">
        <x:v>1</x:v>
      </x:c>
      <x:c r="F303" s="16" t="n">
        <x:f>SUMIFS('עסקאות'!$M$2:$M$1958,'עסקאות'!$F$2:$F$1958,B303)</x:f>
        <x:v>136</x:v>
      </x:c>
      <x:c r="G303" s="16" t="n">
        <x:f>IF(D303=0,"",F303/D303)</x:f>
        <x:v>68</x:v>
      </x:c>
      <x:c r="H303" s="16" t="n">
        <x:f>F303/20</x:f>
        <x:v>6.8</x:v>
      </x:c>
      <x:c r="I303" s="16" t="n">
        <x:f>SUMIFS('עסקאות'!$M$2:$M$1958,'עסקאות'!$F$2:$F$1958,B303,'עסקאות'!$A$2:$A$1958,"&gt;="&amp;DATE(2025,1,1),'עסקאות'!$A$2:$A$1958,"&lt;"&amp;DATE(2026,1,1))</x:f>
        <x:v>136</x:v>
      </x:c>
      <x:c r="J303" s="16" t="n">
        <x:f>SUMIFS('עסקאות'!$M$2:$M$1958,'עסקאות'!$F$2:$F$1958,B303,'עסקאות'!$A$2:$A$1958,"&gt;="&amp;DATE(2026,1,1),'עסקאות'!$A$2:$A$1958,"&lt;"&amp;DATE(2027,1,1))</x:f>
        <x:v>0</x:v>
      </x:c>
    </x:row>
    <x:row r="304">
      <x:c r="B304" s="11" t="str">
        <x:v>לונדון 26</x:v>
      </x:c>
      <x:c r="C304" s="11" t="str">
        <x:v>נסיעות וחופשות</x:v>
      </x:c>
      <x:c r="D304" s="11" t="n">
        <x:v>1</x:v>
      </x:c>
      <x:c r="E304" s="11" t="n">
        <x:v>1</x:v>
      </x:c>
      <x:c r="F304" s="16" t="n">
        <x:f>SUMIFS('עסקאות'!$M$2:$M$1958,'עסקאות'!$F$2:$F$1958,B304)</x:f>
        <x:v>134</x:v>
      </x:c>
      <x:c r="G304" s="16" t="n">
        <x:f>IF(D304=0,"",F304/D304)</x:f>
        <x:v>134</x:v>
      </x:c>
      <x:c r="H304" s="16" t="n">
        <x:f>F304/20</x:f>
        <x:v>6.7</x:v>
      </x:c>
      <x:c r="I304" s="16" t="n">
        <x:f>SUMIFS('עסקאות'!$M$2:$M$1958,'עסקאות'!$F$2:$F$1958,B304,'עסקאות'!$A$2:$A$1958,"&gt;="&amp;DATE(2025,1,1),'עסקאות'!$A$2:$A$1958,"&lt;"&amp;DATE(2026,1,1))</x:f>
        <x:v>0</x:v>
      </x:c>
      <x:c r="J304" s="16" t="n">
        <x:f>SUMIFS('עסקאות'!$M$2:$M$1958,'עסקאות'!$F$2:$F$1958,B304,'עסקאות'!$A$2:$A$1958,"&gt;="&amp;DATE(2026,1,1),'עסקאות'!$A$2:$A$1958,"&lt;"&amp;DATE(2027,1,1))</x:f>
        <x:v>134</x:v>
      </x:c>
    </x:row>
    <x:row r="305">
      <x:c r="B305" s="11" t="str">
        <x:v>יין שרונה תל אביב ב'</x:v>
      </x:c>
      <x:c r="C305" s="11" t="str">
        <x:v>אוכל בחוץ</x:v>
      </x:c>
      <x:c r="D305" s="11" t="n">
        <x:v>1</x:v>
      </x:c>
      <x:c r="E305" s="11" t="n">
        <x:v>1</x:v>
      </x:c>
      <x:c r="F305" s="16" t="n">
        <x:f>SUMIFS('עסקאות'!$M$2:$M$1958,'עסקאות'!$F$2:$F$1958,B305)</x:f>
        <x:v>134</x:v>
      </x:c>
      <x:c r="G305" s="16" t="n">
        <x:f>IF(D305=0,"",F305/D305)</x:f>
        <x:v>134</x:v>
      </x:c>
      <x:c r="H305" s="16" t="n">
        <x:f>F305/20</x:f>
        <x:v>6.7</x:v>
      </x:c>
      <x:c r="I305" s="16" t="n">
        <x:f>SUMIFS('עסקאות'!$M$2:$M$1958,'עסקאות'!$F$2:$F$1958,B305,'עסקאות'!$A$2:$A$1958,"&gt;="&amp;DATE(2025,1,1),'עסקאות'!$A$2:$A$1958,"&lt;"&amp;DATE(2026,1,1))</x:f>
        <x:v>0</x:v>
      </x:c>
      <x:c r="J305" s="16" t="n">
        <x:f>SUMIFS('עסקאות'!$M$2:$M$1958,'עסקאות'!$F$2:$F$1958,B305,'עסקאות'!$A$2:$A$1958,"&gt;="&amp;DATE(2026,1,1),'עסקאות'!$A$2:$A$1958,"&lt;"&amp;DATE(2027,1,1))</x:f>
        <x:v>134</x:v>
      </x:c>
    </x:row>
    <x:row r="306">
      <x:c r="B306" s="11" t="str">
        <x:v>מנוי גאפטה</x:v>
      </x:c>
      <x:c r="C306" s="11" t="str">
        <x:v>אחר</x:v>
      </x:c>
      <x:c r="D306" s="11" t="n">
        <x:v>2</x:v>
      </x:c>
      <x:c r="E306" s="11" t="n">
        <x:v>2</x:v>
      </x:c>
      <x:c r="F306" s="16" t="n">
        <x:f>SUMIFS('עסקאות'!$M$2:$M$1958,'עסקאות'!$F$2:$F$1958,B306)</x:f>
        <x:v>133</x:v>
      </x:c>
      <x:c r="G306" s="16" t="n">
        <x:f>IF(D306=0,"",F306/D306)</x:f>
        <x:v>66.5</x:v>
      </x:c>
      <x:c r="H306" s="16" t="n">
        <x:f>F306/20</x:f>
        <x:v>6.65</x:v>
      </x:c>
      <x:c r="I306" s="16" t="n">
        <x:f>SUMIFS('עסקאות'!$M$2:$M$1958,'עסקאות'!$F$2:$F$1958,B306,'עסקאות'!$A$2:$A$1958,"&gt;="&amp;DATE(2025,1,1),'עסקאות'!$A$2:$A$1958,"&lt;"&amp;DATE(2026,1,1))</x:f>
        <x:v>133</x:v>
      </x:c>
      <x:c r="J306" s="16" t="n">
        <x:f>SUMIFS('עסקאות'!$M$2:$M$1958,'עסקאות'!$F$2:$F$1958,B306,'עסקאות'!$A$2:$A$1958,"&gt;="&amp;DATE(2026,1,1),'עסקאות'!$A$2:$A$1958,"&lt;"&amp;DATE(2027,1,1))</x:f>
        <x:v>0</x:v>
      </x:c>
    </x:row>
    <x:row r="307">
      <x:c r="B307" s="11" t="str">
        <x:v>אמריקן איגל ראשל"צ-ג</x:v>
      </x:c>
      <x:c r="C307" s="11" t="str">
        <x:v>אופנה</x:v>
      </x:c>
      <x:c r="D307" s="11" t="n">
        <x:v>1</x:v>
      </x:c>
      <x:c r="E307" s="11" t="n">
        <x:v>1</x:v>
      </x:c>
      <x:c r="F307" s="16" t="n">
        <x:f>SUMIFS('עסקאות'!$M$2:$M$1958,'עסקאות'!$F$2:$F$1958,B307)</x:f>
        <x:v>130</x:v>
      </x:c>
      <x:c r="G307" s="16" t="n">
        <x:f>IF(D307=0,"",F307/D307)</x:f>
        <x:v>130</x:v>
      </x:c>
      <x:c r="H307" s="16" t="n">
        <x:f>F307/20</x:f>
        <x:v>6.5</x:v>
      </x:c>
      <x:c r="I307" s="16" t="n">
        <x:f>SUMIFS('עסקאות'!$M$2:$M$1958,'עסקאות'!$F$2:$F$1958,B307,'עסקאות'!$A$2:$A$1958,"&gt;="&amp;DATE(2025,1,1),'עסקאות'!$A$2:$A$1958,"&lt;"&amp;DATE(2026,1,1))</x:f>
        <x:v>0</x:v>
      </x:c>
      <x:c r="J307" s="16" t="n">
        <x:f>SUMIFS('עסקאות'!$M$2:$M$1958,'עסקאות'!$F$2:$F$1958,B307,'עסקאות'!$A$2:$A$1958,"&gt;="&amp;DATE(2026,1,1),'עסקאות'!$A$2:$A$1958,"&lt;"&amp;DATE(2027,1,1))</x:f>
        <x:v>130</x:v>
      </x:c>
    </x:row>
    <x:row r="308">
      <x:c r="B308" s="11" t="str">
        <x:v>שריג אלקטריק בע"מ-גמ</x:v>
      </x:c>
      <x:c r="C308" s="11" t="str">
        <x:v>קוסמטיקה</x:v>
      </x:c>
      <x:c r="D308" s="11" t="n">
        <x:v>1</x:v>
      </x:c>
      <x:c r="E308" s="11" t="n">
        <x:v>1</x:v>
      </x:c>
      <x:c r="F308" s="16" t="n">
        <x:f>SUMIFS('עסקאות'!$M$2:$M$1958,'עסקאות'!$F$2:$F$1958,B308)</x:f>
        <x:v>130</x:v>
      </x:c>
      <x:c r="G308" s="16" t="n">
        <x:f>IF(D308=0,"",F308/D308)</x:f>
        <x:v>130</x:v>
      </x:c>
      <x:c r="H308" s="16" t="n">
        <x:f>F308/20</x:f>
        <x:v>6.5</x:v>
      </x:c>
      <x:c r="I308" s="16" t="n">
        <x:f>SUMIFS('עסקאות'!$M$2:$M$1958,'עסקאות'!$F$2:$F$1958,B308,'עסקאות'!$A$2:$A$1958,"&gt;="&amp;DATE(2025,1,1),'עסקאות'!$A$2:$A$1958,"&lt;"&amp;DATE(2026,1,1))</x:f>
        <x:v>0</x:v>
      </x:c>
      <x:c r="J308" s="16" t="n">
        <x:f>SUMIFS('עסקאות'!$M$2:$M$1958,'עסקאות'!$F$2:$F$1958,B308,'עסקאות'!$A$2:$A$1958,"&gt;="&amp;DATE(2026,1,1),'עסקאות'!$A$2:$A$1958,"&lt;"&amp;DATE(2027,1,1))</x:f>
        <x:v>130</x:v>
      </x:c>
    </x:row>
    <x:row r="309">
      <x:c r="B309" s="11" t="str">
        <x:v>עגלת קפה</x:v>
      </x:c>
      <x:c r="C309" s="11" t="str">
        <x:v>אוכל בחוץ</x:v>
      </x:c>
      <x:c r="D309" s="11" t="n">
        <x:v>1</x:v>
      </x:c>
      <x:c r="E309" s="11" t="n">
        <x:v>1</x:v>
      </x:c>
      <x:c r="F309" s="16" t="n">
        <x:f>SUMIFS('עסקאות'!$M$2:$M$1958,'עסקאות'!$F$2:$F$1958,B309)</x:f>
        <x:v>128</x:v>
      </x:c>
      <x:c r="G309" s="16" t="n">
        <x:f>IF(D309=0,"",F309/D309)</x:f>
        <x:v>128</x:v>
      </x:c>
      <x:c r="H309" s="16" t="n">
        <x:f>F309/20</x:f>
        <x:v>6.4</x:v>
      </x:c>
      <x:c r="I309" s="16" t="n">
        <x:f>SUMIFS('עסקאות'!$M$2:$M$1958,'עסקאות'!$F$2:$F$1958,B309,'עסקאות'!$A$2:$A$1958,"&gt;="&amp;DATE(2025,1,1),'עסקאות'!$A$2:$A$1958,"&lt;"&amp;DATE(2026,1,1))</x:f>
        <x:v>128</x:v>
      </x:c>
      <x:c r="J309" s="16" t="n">
        <x:f>SUMIFS('עסקאות'!$M$2:$M$1958,'עסקאות'!$F$2:$F$1958,B309,'עסקאות'!$A$2:$A$1958,"&gt;="&amp;DATE(2026,1,1),'עסקאות'!$A$2:$A$1958,"&lt;"&amp;DATE(2027,1,1))</x:f>
        <x:v>0</x:v>
      </x:c>
    </x:row>
    <x:row r="310">
      <x:c r="B310" s="11" t="str">
        <x:v>אלי אקספרס חתונה</x:v>
      </x:c>
      <x:c r="C310" s="11" t="str">
        <x:v>חתונה</x:v>
      </x:c>
      <x:c r="D310" s="11" t="n">
        <x:v>1</x:v>
      </x:c>
      <x:c r="E310" s="11" t="n">
        <x:v>1</x:v>
      </x:c>
      <x:c r="F310" s="16" t="n">
        <x:f>SUMIFS('עסקאות'!$M$2:$M$1958,'עסקאות'!$F$2:$F$1958,B310)</x:f>
        <x:v>127</x:v>
      </x:c>
      <x:c r="G310" s="16" t="n">
        <x:f>IF(D310=0,"",F310/D310)</x:f>
        <x:v>127</x:v>
      </x:c>
      <x:c r="H310" s="16" t="n">
        <x:f>F310/20</x:f>
        <x:v>6.35</x:v>
      </x:c>
      <x:c r="I310" s="16" t="n">
        <x:f>SUMIFS('עסקאות'!$M$2:$M$1958,'עסקאות'!$F$2:$F$1958,B310,'עסקאות'!$A$2:$A$1958,"&gt;="&amp;DATE(2025,1,1),'עסקאות'!$A$2:$A$1958,"&lt;"&amp;DATE(2026,1,1))</x:f>
        <x:v>127</x:v>
      </x:c>
      <x:c r="J310" s="16" t="n">
        <x:f>SUMIFS('עסקאות'!$M$2:$M$1958,'עסקאות'!$F$2:$F$1958,B310,'עסקאות'!$A$2:$A$1958,"&gt;="&amp;DATE(2026,1,1),'עסקאות'!$A$2:$A$1958,"&lt;"&amp;DATE(2027,1,1))</x:f>
        <x:v>0</x:v>
      </x:c>
    </x:row>
    <x:row r="311">
      <x:c r="B311" s="11" t="str">
        <x:v>טסט</x:v>
      </x:c>
      <x:c r="C311" s="11" t="str">
        <x:v>תחבורה</x:v>
      </x:c>
      <x:c r="D311" s="11" t="n">
        <x:v>1</x:v>
      </x:c>
      <x:c r="E311" s="11" t="n">
        <x:v>1</x:v>
      </x:c>
      <x:c r="F311" s="16" t="n">
        <x:f>SUMIFS('עסקאות'!$M$2:$M$1958,'עסקאות'!$F$2:$F$1958,B311)</x:f>
        <x:v>127</x:v>
      </x:c>
      <x:c r="G311" s="16" t="n">
        <x:f>IF(D311=0,"",F311/D311)</x:f>
        <x:v>127</x:v>
      </x:c>
      <x:c r="H311" s="16" t="n">
        <x:f>F311/20</x:f>
        <x:v>6.35</x:v>
      </x:c>
      <x:c r="I311" s="16" t="n">
        <x:f>SUMIFS('עסקאות'!$M$2:$M$1958,'עסקאות'!$F$2:$F$1958,B311,'עסקאות'!$A$2:$A$1958,"&gt;="&amp;DATE(2025,1,1),'עסקאות'!$A$2:$A$1958,"&lt;"&amp;DATE(2026,1,1))</x:f>
        <x:v>0</x:v>
      </x:c>
      <x:c r="J311" s="16" t="n">
        <x:f>SUMIFS('עסקאות'!$M$2:$M$1958,'עסקאות'!$F$2:$F$1958,B311,'עסקאות'!$A$2:$A$1958,"&gt;="&amp;DATE(2026,1,1),'עסקאות'!$A$2:$A$1958,"&lt;"&amp;DATE(2027,1,1))</x:f>
        <x:v>127</x:v>
      </x:c>
    </x:row>
    <x:row r="312">
      <x:c r="B312" s="11" t="str">
        <x:v>טסט לרכב</x:v>
      </x:c>
      <x:c r="C312" s="11" t="str">
        <x:v>תחבורה</x:v>
      </x:c>
      <x:c r="D312" s="11" t="n">
        <x:v>1</x:v>
      </x:c>
      <x:c r="E312" s="11" t="n">
        <x:v>1</x:v>
      </x:c>
      <x:c r="F312" s="16" t="n">
        <x:f>SUMIFS('עסקאות'!$M$2:$M$1958,'עסקאות'!$F$2:$F$1958,B312)</x:f>
        <x:v>123</x:v>
      </x:c>
      <x:c r="G312" s="16" t="n">
        <x:f>IF(D312=0,"",F312/D312)</x:f>
        <x:v>123</x:v>
      </x:c>
      <x:c r="H312" s="16" t="n">
        <x:f>F312/20</x:f>
        <x:v>6.15</x:v>
      </x:c>
      <x:c r="I312" s="16" t="n">
        <x:f>SUMIFS('עסקאות'!$M$2:$M$1958,'עסקאות'!$F$2:$F$1958,B312,'עסקאות'!$A$2:$A$1958,"&gt;="&amp;DATE(2025,1,1),'עסקאות'!$A$2:$A$1958,"&lt;"&amp;DATE(2026,1,1))</x:f>
        <x:v>123</x:v>
      </x:c>
      <x:c r="J312" s="16" t="n">
        <x:f>SUMIFS('עסקאות'!$M$2:$M$1958,'עסקאות'!$F$2:$F$1958,B312,'עסקאות'!$A$2:$A$1958,"&gt;="&amp;DATE(2026,1,1),'עסקאות'!$A$2:$A$1958,"&lt;"&amp;DATE(2027,1,1))</x:f>
        <x:v>0</x:v>
      </x:c>
    </x:row>
    <x:row r="313">
      <x:c r="B313" s="11" t="str">
        <x:v>סופרפארם</x:v>
      </x:c>
      <x:c r="C313" s="11" t="str">
        <x:v>בריאות וטיפולים</x:v>
      </x:c>
      <x:c r="D313" s="11" t="n">
        <x:v>1</x:v>
      </x:c>
      <x:c r="E313" s="11" t="n">
        <x:v>1</x:v>
      </x:c>
      <x:c r="F313" s="16" t="n">
        <x:f>SUMIFS('עסקאות'!$M$2:$M$1958,'עסקאות'!$F$2:$F$1958,B313)</x:f>
        <x:v>120</x:v>
      </x:c>
      <x:c r="G313" s="16" t="n">
        <x:f>IF(D313=0,"",F313/D313)</x:f>
        <x:v>120</x:v>
      </x:c>
      <x:c r="H313" s="16" t="n">
        <x:f>F313/20</x:f>
        <x:v>6</x:v>
      </x:c>
      <x:c r="I313" s="16" t="n">
        <x:f>SUMIFS('עסקאות'!$M$2:$M$1958,'עסקאות'!$F$2:$F$1958,B313,'עסקאות'!$A$2:$A$1958,"&gt;="&amp;DATE(2025,1,1),'עסקאות'!$A$2:$A$1958,"&lt;"&amp;DATE(2026,1,1))</x:f>
        <x:v>120</x:v>
      </x:c>
      <x:c r="J313" s="16" t="n">
        <x:f>SUMIFS('עסקאות'!$M$2:$M$1958,'עסקאות'!$F$2:$F$1958,B313,'עסקאות'!$A$2:$A$1958,"&gt;="&amp;DATE(2026,1,1),'עסקאות'!$A$2:$A$1958,"&lt;"&amp;DATE(2027,1,1))</x:f>
        <x:v>0</x:v>
      </x:c>
    </x:row>
    <x:row r="314">
      <x:c r="B314" s="11" t="str">
        <x:v>נרות</x:v>
      </x:c>
      <x:c r="C314" s="11" t="str">
        <x:v>קניות לבית</x:v>
      </x:c>
      <x:c r="D314" s="11" t="n">
        <x:v>1</x:v>
      </x:c>
      <x:c r="E314" s="11" t="n">
        <x:v>1</x:v>
      </x:c>
      <x:c r="F314" s="16" t="n">
        <x:f>SUMIFS('עסקאות'!$M$2:$M$1958,'עסקאות'!$F$2:$F$1958,B314)</x:f>
        <x:v>120</x:v>
      </x:c>
      <x:c r="G314" s="16" t="n">
        <x:f>IF(D314=0,"",F314/D314)</x:f>
        <x:v>120</x:v>
      </x:c>
      <x:c r="H314" s="16" t="n">
        <x:f>F314/20</x:f>
        <x:v>6</x:v>
      </x:c>
      <x:c r="I314" s="16" t="n">
        <x:f>SUMIFS('עסקאות'!$M$2:$M$1958,'עסקאות'!$F$2:$F$1958,B314,'עסקאות'!$A$2:$A$1958,"&gt;="&amp;DATE(2025,1,1),'עסקאות'!$A$2:$A$1958,"&lt;"&amp;DATE(2026,1,1))</x:f>
        <x:v>0</x:v>
      </x:c>
      <x:c r="J314" s="16" t="n">
        <x:f>SUMIFS('עסקאות'!$M$2:$M$1958,'עסקאות'!$F$2:$F$1958,B314,'עסקאות'!$A$2:$A$1958,"&gt;="&amp;DATE(2026,1,1),'עסקאות'!$A$2:$A$1958,"&lt;"&amp;DATE(2027,1,1))</x:f>
        <x:v>120</x:v>
      </x:c>
    </x:row>
    <x:row r="315">
      <x:c r="B315" s="11" t="str">
        <x:v>נוריות</x:v>
      </x:c>
      <x:c r="C315" s="11" t="str">
        <x:v>פנאי</x:v>
      </x:c>
      <x:c r="D315" s="11" t="n">
        <x:v>1</x:v>
      </x:c>
      <x:c r="E315" s="11" t="n">
        <x:v>1</x:v>
      </x:c>
      <x:c r="F315" s="16" t="n">
        <x:f>SUMIFS('עסקאות'!$M$2:$M$1958,'עסקאות'!$F$2:$F$1958,B315)</x:f>
        <x:v>120</x:v>
      </x:c>
      <x:c r="G315" s="16" t="n">
        <x:f>IF(D315=0,"",F315/D315)</x:f>
        <x:v>120</x:v>
      </x:c>
      <x:c r="H315" s="16" t="n">
        <x:f>F315/20</x:f>
        <x:v>6</x:v>
      </x:c>
      <x:c r="I315" s="16" t="n">
        <x:f>SUMIFS('עסקאות'!$M$2:$M$1958,'עסקאות'!$F$2:$F$1958,B315,'עסקאות'!$A$2:$A$1958,"&gt;="&amp;DATE(2025,1,1),'עסקאות'!$A$2:$A$1958,"&lt;"&amp;DATE(2026,1,1))</x:f>
        <x:v>0</x:v>
      </x:c>
      <x:c r="J315" s="16" t="n">
        <x:f>SUMIFS('עסקאות'!$M$2:$M$1958,'עסקאות'!$F$2:$F$1958,B315,'עסקאות'!$A$2:$A$1958,"&gt;="&amp;DATE(2026,1,1),'עסקאות'!$A$2:$A$1958,"&lt;"&amp;DATE(2027,1,1))</x:f>
        <x:v>120</x:v>
      </x:c>
    </x:row>
    <x:row r="316">
      <x:c r="B316" s="11" t="str">
        <x:v>ציפורנים</x:v>
      </x:c>
      <x:c r="C316" s="11" t="str">
        <x:v>קוסמטיקה</x:v>
      </x:c>
      <x:c r="D316" s="11" t="n">
        <x:v>1</x:v>
      </x:c>
      <x:c r="E316" s="11" t="n">
        <x:v>1</x:v>
      </x:c>
      <x:c r="F316" s="16" t="n">
        <x:f>SUMIFS('עסקאות'!$M$2:$M$1958,'עסקאות'!$F$2:$F$1958,B316)</x:f>
        <x:v>120</x:v>
      </x:c>
      <x:c r="G316" s="16" t="n">
        <x:f>IF(D316=0,"",F316/D316)</x:f>
        <x:v>120</x:v>
      </x:c>
      <x:c r="H316" s="16" t="n">
        <x:f>F316/20</x:f>
        <x:v>6</x:v>
      </x:c>
      <x:c r="I316" s="16" t="n">
        <x:f>SUMIFS('עסקאות'!$M$2:$M$1958,'עסקאות'!$F$2:$F$1958,B316,'עסקאות'!$A$2:$A$1958,"&gt;="&amp;DATE(2025,1,1),'עסקאות'!$A$2:$A$1958,"&lt;"&amp;DATE(2026,1,1))</x:f>
        <x:v>0</x:v>
      </x:c>
      <x:c r="J316" s="16" t="n">
        <x:f>SUMIFS('עסקאות'!$M$2:$M$1958,'עסקאות'!$F$2:$F$1958,B316,'עסקאות'!$A$2:$A$1958,"&gt;="&amp;DATE(2026,1,1),'עסקאות'!$A$2:$A$1958,"&lt;"&amp;DATE(2027,1,1))</x:f>
        <x:v>120</x:v>
      </x:c>
    </x:row>
    <x:row r="317">
      <x:c r="B317" s="11" t="str">
        <x:v>רכב סיישל</x:v>
      </x:c>
      <x:c r="C317" s="11" t="str">
        <x:v>חתונה</x:v>
      </x:c>
      <x:c r="D317" s="11" t="n">
        <x:v>1</x:v>
      </x:c>
      <x:c r="E317" s="11" t="n">
        <x:v>1</x:v>
      </x:c>
      <x:c r="F317" s="16" t="n">
        <x:f>SUMIFS('עסקאות'!$M$2:$M$1958,'עסקאות'!$F$2:$F$1958,B317)</x:f>
        <x:v>119</x:v>
      </x:c>
      <x:c r="G317" s="16" t="n">
        <x:f>IF(D317=0,"",F317/D317)</x:f>
        <x:v>119</x:v>
      </x:c>
      <x:c r="H317" s="16" t="n">
        <x:f>F317/20</x:f>
        <x:v>5.95</x:v>
      </x:c>
      <x:c r="I317" s="16" t="n">
        <x:f>SUMIFS('עסקאות'!$M$2:$M$1958,'עסקאות'!$F$2:$F$1958,B317,'עסקאות'!$A$2:$A$1958,"&gt;="&amp;DATE(2025,1,1),'עסקאות'!$A$2:$A$1958,"&lt;"&amp;DATE(2026,1,1))</x:f>
        <x:v>119</x:v>
      </x:c>
      <x:c r="J317" s="16" t="n">
        <x:f>SUMIFS('עסקאות'!$M$2:$M$1958,'עסקאות'!$F$2:$F$1958,B317,'עסקאות'!$A$2:$A$1958,"&gt;="&amp;DATE(2026,1,1),'עסקאות'!$A$2:$A$1958,"&lt;"&amp;DATE(2027,1,1))</x:f>
        <x:v>0</x:v>
      </x:c>
    </x:row>
    <x:row r="318">
      <x:c r="B318" s="11" t="str">
        <x:v>נאו סושי בר - גבעתיים</x:v>
      </x:c>
      <x:c r="C318" s="11" t="str">
        <x:v>אוכל בחוץ</x:v>
      </x:c>
      <x:c r="D318" s="11" t="n">
        <x:v>1</x:v>
      </x:c>
      <x:c r="E318" s="11" t="n">
        <x:v>1</x:v>
      </x:c>
      <x:c r="F318" s="16" t="n">
        <x:f>SUMIFS('עסקאות'!$M$2:$M$1958,'עסקאות'!$F$2:$F$1958,B318)</x:f>
        <x:v>119</x:v>
      </x:c>
      <x:c r="G318" s="16" t="n">
        <x:f>IF(D318=0,"",F318/D318)</x:f>
        <x:v>119</x:v>
      </x:c>
      <x:c r="H318" s="16" t="n">
        <x:f>F318/20</x:f>
        <x:v>5.95</x:v>
      </x:c>
      <x:c r="I318" s="16" t="n">
        <x:f>SUMIFS('עסקאות'!$M$2:$M$1958,'עסקאות'!$F$2:$F$1958,B318,'עסקאות'!$A$2:$A$1958,"&gt;="&amp;DATE(2025,1,1),'עסקאות'!$A$2:$A$1958,"&lt;"&amp;DATE(2026,1,1))</x:f>
        <x:v>0</x:v>
      </x:c>
      <x:c r="J318" s="16" t="n">
        <x:f>SUMIFS('עסקאות'!$M$2:$M$1958,'עסקאות'!$F$2:$F$1958,B318,'עסקאות'!$A$2:$A$1958,"&gt;="&amp;DATE(2026,1,1),'עסקאות'!$A$2:$A$1958,"&lt;"&amp;DATE(2027,1,1))</x:f>
        <x:v>119</x:v>
      </x:c>
    </x:row>
    <x:row r="319">
      <x:c r="B319" s="11" t="str">
        <x:v>מגן מסך</x:v>
      </x:c>
      <x:c r="C319" s="11" t="str">
        <x:v>אלקטרוניקה</x:v>
      </x:c>
      <x:c r="D319" s="11" t="n">
        <x:v>1</x:v>
      </x:c>
      <x:c r="E319" s="11" t="n">
        <x:v>1</x:v>
      </x:c>
      <x:c r="F319" s="16" t="n">
        <x:f>SUMIFS('עסקאות'!$M$2:$M$1958,'עסקאות'!$F$2:$F$1958,B319)</x:f>
        <x:v>119</x:v>
      </x:c>
      <x:c r="G319" s="16" t="n">
        <x:f>IF(D319=0,"",F319/D319)</x:f>
        <x:v>119</x:v>
      </x:c>
      <x:c r="H319" s="16" t="n">
        <x:f>F319/20</x:f>
        <x:v>5.95</x:v>
      </x:c>
      <x:c r="I319" s="16" t="n">
        <x:f>SUMIFS('עסקאות'!$M$2:$M$1958,'עסקאות'!$F$2:$F$1958,B319,'עסקאות'!$A$2:$A$1958,"&gt;="&amp;DATE(2025,1,1),'עסקאות'!$A$2:$A$1958,"&lt;"&amp;DATE(2026,1,1))</x:f>
        <x:v>0</x:v>
      </x:c>
      <x:c r="J319" s="16" t="n">
        <x:f>SUMIFS('עסקאות'!$M$2:$M$1958,'עסקאות'!$F$2:$F$1958,B319,'עסקאות'!$A$2:$A$1958,"&gt;="&amp;DATE(2026,1,1),'עסקאות'!$A$2:$A$1958,"&lt;"&amp;DATE(2027,1,1))</x:f>
        <x:v>119</x:v>
      </x:c>
    </x:row>
    <x:row r="320">
      <x:c r="B320" s="11" t="str">
        <x:v>עוגה</x:v>
      </x:c>
      <x:c r="C320" s="11" t="str">
        <x:v>אוכל בחוץ</x:v>
      </x:c>
      <x:c r="D320" s="11" t="n">
        <x:v>2</x:v>
      </x:c>
      <x:c r="E320" s="11" t="n">
        <x:v>1</x:v>
      </x:c>
      <x:c r="F320" s="16" t="n">
        <x:f>SUMIFS('עסקאות'!$M$2:$M$1958,'עסקאות'!$F$2:$F$1958,B320)</x:f>
        <x:v>118</x:v>
      </x:c>
      <x:c r="G320" s="16" t="n">
        <x:f>IF(D320=0,"",F320/D320)</x:f>
        <x:v>59</x:v>
      </x:c>
      <x:c r="H320" s="16" t="n">
        <x:f>F320/20</x:f>
        <x:v>5.9</x:v>
      </x:c>
      <x:c r="I320" s="16" t="n">
        <x:f>SUMIFS('עסקאות'!$M$2:$M$1958,'עסקאות'!$F$2:$F$1958,B320,'עסקאות'!$A$2:$A$1958,"&gt;="&amp;DATE(2025,1,1),'עסקאות'!$A$2:$A$1958,"&lt;"&amp;DATE(2026,1,1))</x:f>
        <x:v>118</x:v>
      </x:c>
      <x:c r="J320" s="16" t="n">
        <x:f>SUMIFS('עסקאות'!$M$2:$M$1958,'עסקאות'!$F$2:$F$1958,B320,'עסקאות'!$A$2:$A$1958,"&gt;="&amp;DATE(2026,1,1),'עסקאות'!$A$2:$A$1958,"&lt;"&amp;DATE(2027,1,1))</x:f>
        <x:v>0</x:v>
      </x:c>
    </x:row>
    <x:row r="321">
      <x:c r="B321" s="11" t="str">
        <x:v>מקס סטוק</x:v>
      </x:c>
      <x:c r="C321" s="11" t="str">
        <x:v>קניות לבית</x:v>
      </x:c>
      <x:c r="D321" s="11" t="n">
        <x:v>2</x:v>
      </x:c>
      <x:c r="E321" s="11" t="n">
        <x:v>2</x:v>
      </x:c>
      <x:c r="F321" s="16" t="n">
        <x:f>SUMIFS('עסקאות'!$M$2:$M$1958,'עסקאות'!$F$2:$F$1958,B321)</x:f>
        <x:v>115</x:v>
      </x:c>
      <x:c r="G321" s="16" t="n">
        <x:f>IF(D321=0,"",F321/D321)</x:f>
        <x:v>57.5</x:v>
      </x:c>
      <x:c r="H321" s="16" t="n">
        <x:f>F321/20</x:f>
        <x:v>5.75</x:v>
      </x:c>
      <x:c r="I321" s="16" t="n">
        <x:f>SUMIFS('עסקאות'!$M$2:$M$1958,'עסקאות'!$F$2:$F$1958,B321,'עסקאות'!$A$2:$A$1958,"&gt;="&amp;DATE(2025,1,1),'עסקאות'!$A$2:$A$1958,"&lt;"&amp;DATE(2026,1,1))</x:f>
        <x:v>115</x:v>
      </x:c>
      <x:c r="J321" s="16" t="n">
        <x:f>SUMIFS('עסקאות'!$M$2:$M$1958,'עסקאות'!$F$2:$F$1958,B321,'עסקאות'!$A$2:$A$1958,"&gt;="&amp;DATE(2026,1,1),'עסקאות'!$A$2:$A$1958,"&lt;"&amp;DATE(2027,1,1))</x:f>
        <x:v>0</x:v>
      </x:c>
    </x:row>
    <x:row r="322">
      <x:c r="B322" s="11" t="str">
        <x:v>פירות</x:v>
      </x:c>
      <x:c r="C322" s="11" t="str">
        <x:v>מזון לבית</x:v>
      </x:c>
      <x:c r="D322" s="11" t="n">
        <x:v>3</x:v>
      </x:c>
      <x:c r="E322" s="11" t="n">
        <x:v>1</x:v>
      </x:c>
      <x:c r="F322" s="16" t="n">
        <x:f>SUMIFS('עסקאות'!$M$2:$M$1958,'עסקאות'!$F$2:$F$1958,B322)</x:f>
        <x:v>110</x:v>
      </x:c>
      <x:c r="G322" s="16" t="n">
        <x:f>IF(D322=0,"",F322/D322)</x:f>
        <x:v>36.666666666666664</x:v>
      </x:c>
      <x:c r="H322" s="16" t="n">
        <x:f>F322/20</x:f>
        <x:v>5.5</x:v>
      </x:c>
      <x:c r="I322" s="16" t="n">
        <x:f>SUMIFS('עסקאות'!$M$2:$M$1958,'עסקאות'!$F$2:$F$1958,B322,'עסקאות'!$A$2:$A$1958,"&gt;="&amp;DATE(2025,1,1),'עסקאות'!$A$2:$A$1958,"&lt;"&amp;DATE(2026,1,1))</x:f>
        <x:v>110</x:v>
      </x:c>
      <x:c r="J322" s="16" t="n">
        <x:f>SUMIFS('עסקאות'!$M$2:$M$1958,'עסקאות'!$F$2:$F$1958,B322,'עסקאות'!$A$2:$A$1958,"&gt;="&amp;DATE(2026,1,1),'עסקאות'!$A$2:$A$1958,"&lt;"&amp;DATE(2027,1,1))</x:f>
        <x:v>0</x:v>
      </x:c>
    </x:row>
    <x:row r="323">
      <x:c r="B323" s="11" t="str">
        <x:v>בר משחקי קופסא</x:v>
      </x:c>
      <x:c r="C323" s="11" t="str">
        <x:v>פנאי</x:v>
      </x:c>
      <x:c r="D323" s="11" t="n">
        <x:v>1</x:v>
      </x:c>
      <x:c r="E323" s="11" t="n">
        <x:v>1</x:v>
      </x:c>
      <x:c r="F323" s="16" t="n">
        <x:f>SUMIFS('עסקאות'!$M$2:$M$1958,'עסקאות'!$F$2:$F$1958,B323)</x:f>
        <x:v>110</x:v>
      </x:c>
      <x:c r="G323" s="16" t="n">
        <x:f>IF(D323=0,"",F323/D323)</x:f>
        <x:v>110</x:v>
      </x:c>
      <x:c r="H323" s="16" t="n">
        <x:f>F323/20</x:f>
        <x:v>5.5</x:v>
      </x:c>
      <x:c r="I323" s="16" t="n">
        <x:f>SUMIFS('עסקאות'!$M$2:$M$1958,'עסקאות'!$F$2:$F$1958,B323,'עסקאות'!$A$2:$A$1958,"&gt;="&amp;DATE(2025,1,1),'עסקאות'!$A$2:$A$1958,"&lt;"&amp;DATE(2026,1,1))</x:f>
        <x:v>110</x:v>
      </x:c>
      <x:c r="J323" s="16" t="n">
        <x:f>SUMIFS('עסקאות'!$M$2:$M$1958,'עסקאות'!$F$2:$F$1958,B323,'עסקאות'!$A$2:$A$1958,"&gt;="&amp;DATE(2026,1,1),'עסקאות'!$A$2:$A$1958,"&lt;"&amp;DATE(2027,1,1))</x:f>
        <x:v>0</x:v>
      </x:c>
    </x:row>
    <x:row r="324">
      <x:c r="B324" s="11" t="str">
        <x:v>באג מולטיסיסטם בע"מ-</x:v>
      </x:c>
      <x:c r="C324" s="11" t="str">
        <x:v>תחביבים ומיג'י</x:v>
      </x:c>
      <x:c r="D324" s="11" t="n">
        <x:v>1</x:v>
      </x:c>
      <x:c r="E324" s="11" t="n">
        <x:v>1</x:v>
      </x:c>
      <x:c r="F324" s="16" t="n">
        <x:f>SUMIFS('עסקאות'!$M$2:$M$1958,'עסקאות'!$F$2:$F$1958,B324)</x:f>
        <x:v>109</x:v>
      </x:c>
      <x:c r="G324" s="16" t="n">
        <x:f>IF(D324=0,"",F324/D324)</x:f>
        <x:v>109</x:v>
      </x:c>
      <x:c r="H324" s="16" t="n">
        <x:f>F324/20</x:f>
        <x:v>5.45</x:v>
      </x:c>
      <x:c r="I324" s="16" t="n">
        <x:f>SUMIFS('עסקאות'!$M$2:$M$1958,'עסקאות'!$F$2:$F$1958,B324,'עסקאות'!$A$2:$A$1958,"&gt;="&amp;DATE(2025,1,1),'עסקאות'!$A$2:$A$1958,"&lt;"&amp;DATE(2026,1,1))</x:f>
        <x:v>0</x:v>
      </x:c>
      <x:c r="J324" s="16" t="n">
        <x:f>SUMIFS('עסקאות'!$M$2:$M$1958,'עסקאות'!$F$2:$F$1958,B324,'עסקאות'!$A$2:$A$1958,"&gt;="&amp;DATE(2026,1,1),'עסקאות'!$A$2:$A$1958,"&lt;"&amp;DATE(2027,1,1))</x:f>
        <x:v>109</x:v>
      </x:c>
    </x:row>
    <x:row r="325">
      <x:c r="B325" s="11" t="str">
        <x:v>כרטיס לאורות חנוכה</x:v>
      </x:c>
      <x:c r="C325" s="11" t="str">
        <x:v>פנאי</x:v>
      </x:c>
      <x:c r="D325" s="11" t="n">
        <x:v>2</x:v>
      </x:c>
      <x:c r="E325" s="11" t="n">
        <x:v>1</x:v>
      </x:c>
      <x:c r="F325" s="16" t="n">
        <x:f>SUMIFS('עסקאות'!$M$2:$M$1958,'עסקאות'!$F$2:$F$1958,B325)</x:f>
        <x:v>108</x:v>
      </x:c>
      <x:c r="G325" s="16" t="n">
        <x:f>IF(D325=0,"",F325/D325)</x:f>
        <x:v>54</x:v>
      </x:c>
      <x:c r="H325" s="16" t="n">
        <x:f>F325/20</x:f>
        <x:v>5.4</x:v>
      </x:c>
      <x:c r="I325" s="16" t="n">
        <x:f>SUMIFS('עסקאות'!$M$2:$M$1958,'עסקאות'!$F$2:$F$1958,B325,'עסקאות'!$A$2:$A$1958,"&gt;="&amp;DATE(2025,1,1),'עסקאות'!$A$2:$A$1958,"&lt;"&amp;DATE(2026,1,1))</x:f>
        <x:v>108</x:v>
      </x:c>
      <x:c r="J325" s="16" t="n">
        <x:f>SUMIFS('עסקאות'!$M$2:$M$1958,'עסקאות'!$F$2:$F$1958,B325,'עסקאות'!$A$2:$A$1958,"&gt;="&amp;DATE(2026,1,1),'עסקאות'!$A$2:$A$1958,"&lt;"&amp;DATE(2027,1,1))</x:f>
        <x:v>0</x:v>
      </x:c>
    </x:row>
    <x:row r="326">
      <x:c r="B326" s="11" t="str">
        <x:v>אלמה מרקט גבעתיים</x:v>
      </x:c>
      <x:c r="C326" s="11" t="str">
        <x:v>מזון לבית</x:v>
      </x:c>
      <x:c r="D326" s="11" t="n">
        <x:v>2</x:v>
      </x:c>
      <x:c r="E326" s="11" t="n">
        <x:v>2</x:v>
      </x:c>
      <x:c r="F326" s="16" t="n">
        <x:f>SUMIFS('עסקאות'!$M$2:$M$1958,'עסקאות'!$F$2:$F$1958,B326)</x:f>
        <x:v>108</x:v>
      </x:c>
      <x:c r="G326" s="16" t="n">
        <x:f>IF(D326=0,"",F326/D326)</x:f>
        <x:v>54</x:v>
      </x:c>
      <x:c r="H326" s="16" t="n">
        <x:f>F326/20</x:f>
        <x:v>5.4</x:v>
      </x:c>
      <x:c r="I326" s="16" t="n">
        <x:f>SUMIFS('עסקאות'!$M$2:$M$1958,'עסקאות'!$F$2:$F$1958,B326,'עסקאות'!$A$2:$A$1958,"&gt;="&amp;DATE(2025,1,1),'עסקאות'!$A$2:$A$1958,"&lt;"&amp;DATE(2026,1,1))</x:f>
        <x:v>0</x:v>
      </x:c>
      <x:c r="J326" s="16" t="n">
        <x:f>SUMIFS('עסקאות'!$M$2:$M$1958,'עסקאות'!$F$2:$F$1958,B326,'עסקאות'!$A$2:$A$1958,"&gt;="&amp;DATE(2026,1,1),'עסקאות'!$A$2:$A$1958,"&lt;"&amp;DATE(2027,1,1))</x:f>
        <x:v>108</x:v>
      </x:c>
    </x:row>
    <x:row r="327">
      <x:c r="B327" s="11" t="str">
        <x:v>עיצוב הזמנה</x:v>
      </x:c>
      <x:c r="C327" s="11" t="str">
        <x:v>חתונה</x:v>
      </x:c>
      <x:c r="D327" s="11" t="n">
        <x:v>1</x:v>
      </x:c>
      <x:c r="E327" s="11" t="n">
        <x:v>1</x:v>
      </x:c>
      <x:c r="F327" s="16" t="n">
        <x:f>SUMIFS('עסקאות'!$M$2:$M$1958,'עסקאות'!$F$2:$F$1958,B327)</x:f>
        <x:v>107</x:v>
      </x:c>
      <x:c r="G327" s="16" t="n">
        <x:f>IF(D327=0,"",F327/D327)</x:f>
        <x:v>107</x:v>
      </x:c>
      <x:c r="H327" s="16" t="n">
        <x:f>F327/20</x:f>
        <x:v>5.35</x:v>
      </x:c>
      <x:c r="I327" s="16" t="n">
        <x:f>SUMIFS('עסקאות'!$M$2:$M$1958,'עסקאות'!$F$2:$F$1958,B327,'עסקאות'!$A$2:$A$1958,"&gt;="&amp;DATE(2025,1,1),'עסקאות'!$A$2:$A$1958,"&lt;"&amp;DATE(2026,1,1))</x:f>
        <x:v>107</x:v>
      </x:c>
      <x:c r="J327" s="16" t="n">
        <x:f>SUMIFS('עסקאות'!$M$2:$M$1958,'עסקאות'!$F$2:$F$1958,B327,'עסקאות'!$A$2:$A$1958,"&gt;="&amp;DATE(2026,1,1),'עסקאות'!$A$2:$A$1958,"&lt;"&amp;DATE(2027,1,1))</x:f>
        <x:v>0</x:v>
      </x:c>
    </x:row>
    <x:row r="328">
      <x:c r="B328" s="11" t="str">
        <x:v>אימון עינור</x:v>
      </x:c>
      <x:c r="C328" s="11" t="str">
        <x:v>ספורט</x:v>
      </x:c>
      <x:c r="D328" s="11" t="n">
        <x:v>1</x:v>
      </x:c>
      <x:c r="E328" s="11" t="n">
        <x:v>1</x:v>
      </x:c>
      <x:c r="F328" s="16" t="n">
        <x:f>SUMIFS('עסקאות'!$M$2:$M$1958,'עסקאות'!$F$2:$F$1958,B328)</x:f>
        <x:v>107</x:v>
      </x:c>
      <x:c r="G328" s="16" t="n">
        <x:f>IF(D328=0,"",F328/D328)</x:f>
        <x:v>107</x:v>
      </x:c>
      <x:c r="H328" s="16" t="n">
        <x:f>F328/20</x:f>
        <x:v>5.35</x:v>
      </x:c>
      <x:c r="I328" s="16" t="n">
        <x:f>SUMIFS('עסקאות'!$M$2:$M$1958,'עסקאות'!$F$2:$F$1958,B328,'עסקאות'!$A$2:$A$1958,"&gt;="&amp;DATE(2025,1,1),'עסקאות'!$A$2:$A$1958,"&lt;"&amp;DATE(2026,1,1))</x:f>
        <x:v>107</x:v>
      </x:c>
      <x:c r="J328" s="16" t="n">
        <x:f>SUMIFS('עסקאות'!$M$2:$M$1958,'עסקאות'!$F$2:$F$1958,B328,'עסקאות'!$A$2:$A$1958,"&gt;="&amp;DATE(2026,1,1),'עסקאות'!$A$2:$A$1958,"&lt;"&amp;DATE(2027,1,1))</x:f>
        <x:v>0</x:v>
      </x:c>
    </x:row>
    <x:row r="329">
      <x:c r="B329" s="11" t="str">
        <x:v>פליינג טייגר סינמה</x:v>
      </x:c>
      <x:c r="C329" s="11" t="str">
        <x:v>קניות לבית</x:v>
      </x:c>
      <x:c r="D329" s="11" t="n">
        <x:v>1</x:v>
      </x:c>
      <x:c r="E329" s="11" t="n">
        <x:v>1</x:v>
      </x:c>
      <x:c r="F329" s="16" t="n">
        <x:f>SUMIFS('עסקאות'!$M$2:$M$1958,'עסקאות'!$F$2:$F$1958,B329)</x:f>
        <x:v>106</x:v>
      </x:c>
      <x:c r="G329" s="16" t="n">
        <x:f>IF(D329=0,"",F329/D329)</x:f>
        <x:v>106</x:v>
      </x:c>
      <x:c r="H329" s="16" t="n">
        <x:f>F329/20</x:f>
        <x:v>5.3</x:v>
      </x:c>
      <x:c r="I329" s="16" t="n">
        <x:f>SUMIFS('עסקאות'!$M$2:$M$1958,'עסקאות'!$F$2:$F$1958,B329,'עסקאות'!$A$2:$A$1958,"&gt;="&amp;DATE(2025,1,1),'עסקאות'!$A$2:$A$1958,"&lt;"&amp;DATE(2026,1,1))</x:f>
        <x:v>0</x:v>
      </x:c>
      <x:c r="J329" s="16" t="n">
        <x:f>SUMIFS('עסקאות'!$M$2:$M$1958,'עסקאות'!$F$2:$F$1958,B329,'עסקאות'!$A$2:$A$1958,"&gt;="&amp;DATE(2026,1,1),'עסקאות'!$A$2:$A$1958,"&lt;"&amp;DATE(2027,1,1))</x:f>
        <x:v>106</x:v>
      </x:c>
    </x:row>
    <x:row r="330">
      <x:c r="B330" s="11" t="str">
        <x:v>ריסספשין</x:v>
      </x:c>
      <x:c r="C330" s="11" t="str">
        <x:v>אוכל בחוץ</x:v>
      </x:c>
      <x:c r="D330" s="11" t="n">
        <x:v>1</x:v>
      </x:c>
      <x:c r="E330" s="11" t="n">
        <x:v>1</x:v>
      </x:c>
      <x:c r="F330" s="16" t="n">
        <x:f>SUMIFS('עסקאות'!$M$2:$M$1958,'עסקאות'!$F$2:$F$1958,B330)</x:f>
        <x:v>105</x:v>
      </x:c>
      <x:c r="G330" s="16" t="n">
        <x:f>IF(D330=0,"",F330/D330)</x:f>
        <x:v>105</x:v>
      </x:c>
      <x:c r="H330" s="16" t="n">
        <x:f>F330/20</x:f>
        <x:v>5.25</x:v>
      </x:c>
      <x:c r="I330" s="16" t="n">
        <x:f>SUMIFS('עסקאות'!$M$2:$M$1958,'עסקאות'!$F$2:$F$1958,B330,'עסקאות'!$A$2:$A$1958,"&gt;="&amp;DATE(2025,1,1),'עסקאות'!$A$2:$A$1958,"&lt;"&amp;DATE(2026,1,1))</x:f>
        <x:v>105</x:v>
      </x:c>
      <x:c r="J330" s="16" t="n">
        <x:f>SUMIFS('עסקאות'!$M$2:$M$1958,'עסקאות'!$F$2:$F$1958,B330,'עסקאות'!$A$2:$A$1958,"&gt;="&amp;DATE(2026,1,1),'עסקאות'!$A$2:$A$1958,"&lt;"&amp;DATE(2027,1,1))</x:f>
        <x:v>0</x:v>
      </x:c>
    </x:row>
    <x:row r="331">
      <x:c r="B331" s="11" t="str">
        <x:v>עוגות</x:v>
      </x:c>
      <x:c r="C331" s="11" t="str">
        <x:v>אוכל בחוץ</x:v>
      </x:c>
      <x:c r="D331" s="11" t="n">
        <x:v>1</x:v>
      </x:c>
      <x:c r="E331" s="11" t="n">
        <x:v>1</x:v>
      </x:c>
      <x:c r="F331" s="16" t="n">
        <x:f>SUMIFS('עסקאות'!$M$2:$M$1958,'עסקאות'!$F$2:$F$1958,B331)</x:f>
        <x:v>105</x:v>
      </x:c>
      <x:c r="G331" s="16" t="n">
        <x:f>IF(D331=0,"",F331/D331)</x:f>
        <x:v>105</x:v>
      </x:c>
      <x:c r="H331" s="16" t="n">
        <x:f>F331/20</x:f>
        <x:v>5.25</x:v>
      </x:c>
      <x:c r="I331" s="16" t="n">
        <x:f>SUMIFS('עסקאות'!$M$2:$M$1958,'עסקאות'!$F$2:$F$1958,B331,'עסקאות'!$A$2:$A$1958,"&gt;="&amp;DATE(2025,1,1),'עסקאות'!$A$2:$A$1958,"&lt;"&amp;DATE(2026,1,1))</x:f>
        <x:v>105</x:v>
      </x:c>
      <x:c r="J331" s="16" t="n">
        <x:f>SUMIFS('עסקאות'!$M$2:$M$1958,'עסקאות'!$F$2:$F$1958,B331,'עסקאות'!$A$2:$A$1958,"&gt;="&amp;DATE(2026,1,1),'עסקאות'!$A$2:$A$1958,"&lt;"&amp;DATE(2027,1,1))</x:f>
        <x:v>0</x:v>
      </x:c>
    </x:row>
    <x:row r="332">
      <x:c r="B332" s="11" t="str">
        <x:v>שרשרת</x:v>
      </x:c>
      <x:c r="C332" s="11" t="str">
        <x:v>חתונה</x:v>
      </x:c>
      <x:c r="D332" s="11" t="n">
        <x:v>1</x:v>
      </x:c>
      <x:c r="E332" s="11" t="n">
        <x:v>1</x:v>
      </x:c>
      <x:c r="F332" s="16" t="n">
        <x:f>SUMIFS('עסקאות'!$M$2:$M$1958,'עסקאות'!$F$2:$F$1958,B332)</x:f>
        <x:v>103</x:v>
      </x:c>
      <x:c r="G332" s="16" t="n">
        <x:f>IF(D332=0,"",F332/D332)</x:f>
        <x:v>103</x:v>
      </x:c>
      <x:c r="H332" s="16" t="n">
        <x:f>F332/20</x:f>
        <x:v>5.15</x:v>
      </x:c>
      <x:c r="I332" s="16" t="n">
        <x:f>SUMIFS('עסקאות'!$M$2:$M$1958,'עסקאות'!$F$2:$F$1958,B332,'עסקאות'!$A$2:$A$1958,"&gt;="&amp;DATE(2025,1,1),'עסקאות'!$A$2:$A$1958,"&lt;"&amp;DATE(2026,1,1))</x:f>
        <x:v>103</x:v>
      </x:c>
      <x:c r="J332" s="16" t="n">
        <x:f>SUMIFS('עסקאות'!$M$2:$M$1958,'עסקאות'!$F$2:$F$1958,B332,'עסקאות'!$A$2:$A$1958,"&gt;="&amp;DATE(2026,1,1),'עסקאות'!$A$2:$A$1958,"&lt;"&amp;DATE(2027,1,1))</x:f>
        <x:v>0</x:v>
      </x:c>
    </x:row>
    <x:row r="333">
      <x:c r="B333" s="11" t="str">
        <x:v>עמלות ניירות ערך</x:v>
      </x:c>
      <x:c r="C333" s="11" t="str">
        <x:v>עמלות</x:v>
      </x:c>
      <x:c r="D333" s="11" t="n">
        <x:v>1</x:v>
      </x:c>
      <x:c r="E333" s="11" t="n">
        <x:v>1</x:v>
      </x:c>
      <x:c r="F333" s="16" t="n">
        <x:f>SUMIFS('עסקאות'!$M$2:$M$1958,'עסקאות'!$F$2:$F$1958,B333)</x:f>
        <x:v>103</x:v>
      </x:c>
      <x:c r="G333" s="16" t="n">
        <x:f>IF(D333=0,"",F333/D333)</x:f>
        <x:v>103</x:v>
      </x:c>
      <x:c r="H333" s="16" t="n">
        <x:f>F333/20</x:f>
        <x:v>5.15</x:v>
      </x:c>
      <x:c r="I333" s="16" t="n">
        <x:f>SUMIFS('עסקאות'!$M$2:$M$1958,'עסקאות'!$F$2:$F$1958,B333,'עסקאות'!$A$2:$A$1958,"&gt;="&amp;DATE(2025,1,1),'עסקאות'!$A$2:$A$1958,"&lt;"&amp;DATE(2026,1,1))</x:f>
        <x:v>103</x:v>
      </x:c>
      <x:c r="J333" s="16" t="n">
        <x:f>SUMIFS('עסקאות'!$M$2:$M$1958,'עסקאות'!$F$2:$F$1958,B333,'עסקאות'!$A$2:$A$1958,"&gt;="&amp;DATE(2026,1,1),'עסקאות'!$A$2:$A$1958,"&lt;"&amp;DATE(2027,1,1))</x:f>
        <x:v>0</x:v>
      </x:c>
    </x:row>
    <x:row r="334">
      <x:c r="B334" s="11" t="str">
        <x:v>סיבוס</x:v>
      </x:c>
      <x:c r="C334" s="11" t="str">
        <x:v>אוכל בחוץ</x:v>
      </x:c>
      <x:c r="D334" s="11" t="n">
        <x:v>2</x:v>
      </x:c>
      <x:c r="E334" s="11" t="n">
        <x:v>2</x:v>
      </x:c>
      <x:c r="F334" s="16" t="n">
        <x:f>SUMIFS('עסקאות'!$M$2:$M$1958,'עסקאות'!$F$2:$F$1958,B334)</x:f>
        <x:v>102</x:v>
      </x:c>
      <x:c r="G334" s="16" t="n">
        <x:f>IF(D334=0,"",F334/D334)</x:f>
        <x:v>51</x:v>
      </x:c>
      <x:c r="H334" s="16" t="n">
        <x:f>F334/20</x:f>
        <x:v>5.1</x:v>
      </x:c>
      <x:c r="I334" s="16" t="n">
        <x:f>SUMIFS('עסקאות'!$M$2:$M$1958,'עסקאות'!$F$2:$F$1958,B334,'עסקאות'!$A$2:$A$1958,"&gt;="&amp;DATE(2025,1,1),'עסקאות'!$A$2:$A$1958,"&lt;"&amp;DATE(2026,1,1))</x:f>
        <x:v>102</x:v>
      </x:c>
      <x:c r="J334" s="16" t="n">
        <x:f>SUMIFS('עסקאות'!$M$2:$M$1958,'עסקאות'!$F$2:$F$1958,B334,'עסקאות'!$A$2:$A$1958,"&gt;="&amp;DATE(2026,1,1),'עסקאות'!$A$2:$A$1958,"&lt;"&amp;DATE(2027,1,1))</x:f>
        <x:v>0</x:v>
      </x:c>
    </x:row>
    <x:row r="335">
      <x:c r="B335" s="11" t="str">
        <x:v>גבינות</x:v>
      </x:c>
      <x:c r="C335" s="11" t="str">
        <x:v>אוכל בחוץ</x:v>
      </x:c>
      <x:c r="D335" s="11" t="n">
        <x:v>1</x:v>
      </x:c>
      <x:c r="E335" s="11" t="n">
        <x:v>1</x:v>
      </x:c>
      <x:c r="F335" s="16" t="n">
        <x:f>SUMIFS('עסקאות'!$M$2:$M$1958,'עסקאות'!$F$2:$F$1958,B335)</x:f>
        <x:v>102</x:v>
      </x:c>
      <x:c r="G335" s="16" t="n">
        <x:f>IF(D335=0,"",F335/D335)</x:f>
        <x:v>102</x:v>
      </x:c>
      <x:c r="H335" s="16" t="n">
        <x:f>F335/20</x:f>
        <x:v>5.1</x:v>
      </x:c>
      <x:c r="I335" s="16" t="n">
        <x:f>SUMIFS('עסקאות'!$M$2:$M$1958,'עסקאות'!$F$2:$F$1958,B335,'עסקאות'!$A$2:$A$1958,"&gt;="&amp;DATE(2025,1,1),'עסקאות'!$A$2:$A$1958,"&lt;"&amp;DATE(2026,1,1))</x:f>
        <x:v>102</x:v>
      </x:c>
      <x:c r="J335" s="16" t="n">
        <x:f>SUMIFS('עסקאות'!$M$2:$M$1958,'עסקאות'!$F$2:$F$1958,B335,'עסקאות'!$A$2:$A$1958,"&gt;="&amp;DATE(2026,1,1),'עסקאות'!$A$2:$A$1958,"&lt;"&amp;DATE(2027,1,1))</x:f>
        <x:v>0</x:v>
      </x:c>
    </x:row>
    <x:row r="336">
      <x:c r="B336" s="11" t="str">
        <x:v>DJ</x:v>
      </x:c>
      <x:c r="C336" s="11" t="str">
        <x:v>חתונה</x:v>
      </x:c>
      <x:c r="D336" s="11" t="n">
        <x:v>1</x:v>
      </x:c>
      <x:c r="E336" s="11" t="n">
        <x:v>1</x:v>
      </x:c>
      <x:c r="F336" s="16" t="n">
        <x:f>SUMIFS('עסקאות'!$M$2:$M$1958,'עסקאות'!$F$2:$F$1958,B336)</x:f>
        <x:v>100</x:v>
      </x:c>
      <x:c r="G336" s="16" t="n">
        <x:f>IF(D336=0,"",F336/D336)</x:f>
        <x:v>100</x:v>
      </x:c>
      <x:c r="H336" s="16" t="n">
        <x:f>F336/20</x:f>
        <x:v>5</x:v>
      </x:c>
      <x:c r="I336" s="16" t="n">
        <x:f>SUMIFS('עסקאות'!$M$2:$M$1958,'עסקאות'!$F$2:$F$1958,B336,'עסקאות'!$A$2:$A$1958,"&gt;="&amp;DATE(2025,1,1),'עסקאות'!$A$2:$A$1958,"&lt;"&amp;DATE(2026,1,1))</x:f>
        <x:v>100</x:v>
      </x:c>
      <x:c r="J336" s="16" t="n">
        <x:f>SUMIFS('עסקאות'!$M$2:$M$1958,'עסקאות'!$F$2:$F$1958,B336,'עסקאות'!$A$2:$A$1958,"&gt;="&amp;DATE(2026,1,1),'עסקאות'!$A$2:$A$1958,"&lt;"&amp;DATE(2027,1,1))</x:f>
        <x:v>0</x:v>
      </x:c>
    </x:row>
    <x:row r="337">
      <x:c r="B337" s="11" t="str">
        <x:v>טמבוריה</x:v>
      </x:c>
      <x:c r="C337" s="11" t="str">
        <x:v>קניות לבית</x:v>
      </x:c>
      <x:c r="D337" s="11" t="n">
        <x:v>3</x:v>
      </x:c>
      <x:c r="E337" s="11" t="n">
        <x:v>2</x:v>
      </x:c>
      <x:c r="F337" s="16" t="n">
        <x:f>SUMIFS('עסקאות'!$M$2:$M$1958,'עסקאות'!$F$2:$F$1958,B337)</x:f>
        <x:v>100</x:v>
      </x:c>
      <x:c r="G337" s="16" t="n">
        <x:f>IF(D337=0,"",F337/D337)</x:f>
        <x:v>33.333333333333336</x:v>
      </x:c>
      <x:c r="H337" s="16" t="n">
        <x:f>F337/20</x:f>
        <x:v>5</x:v>
      </x:c>
      <x:c r="I337" s="16" t="n">
        <x:f>SUMIFS('עסקאות'!$M$2:$M$1958,'עסקאות'!$F$2:$F$1958,B337,'עסקאות'!$A$2:$A$1958,"&gt;="&amp;DATE(2025,1,1),'עסקאות'!$A$2:$A$1958,"&lt;"&amp;DATE(2026,1,1))</x:f>
        <x:v>10</x:v>
      </x:c>
      <x:c r="J337" s="16" t="n">
        <x:f>SUMIFS('עסקאות'!$M$2:$M$1958,'עסקאות'!$F$2:$F$1958,B337,'עסקאות'!$A$2:$A$1958,"&gt;="&amp;DATE(2026,1,1),'עסקאות'!$A$2:$A$1958,"&lt;"&amp;DATE(2027,1,1))</x:f>
        <x:v>90</x:v>
      </x:c>
    </x:row>
    <x:row r="338">
      <x:c r="B338" s="11" t="str">
        <x:v>שטיפת רכב</x:v>
      </x:c>
      <x:c r="C338" s="11" t="str">
        <x:v>חתונה</x:v>
      </x:c>
      <x:c r="D338" s="11" t="n">
        <x:v>1</x:v>
      </x:c>
      <x:c r="E338" s="11" t="n">
        <x:v>1</x:v>
      </x:c>
      <x:c r="F338" s="16" t="n">
        <x:f>SUMIFS('עסקאות'!$M$2:$M$1958,'עסקאות'!$F$2:$F$1958,B338)</x:f>
        <x:v>100</x:v>
      </x:c>
      <x:c r="G338" s="16" t="n">
        <x:f>IF(D338=0,"",F338/D338)</x:f>
        <x:v>100</x:v>
      </x:c>
      <x:c r="H338" s="16" t="n">
        <x:f>F338/20</x:f>
        <x:v>5</x:v>
      </x:c>
      <x:c r="I338" s="16" t="n">
        <x:f>SUMIFS('עסקאות'!$M$2:$M$1958,'עסקאות'!$F$2:$F$1958,B338,'עסקאות'!$A$2:$A$1958,"&gt;="&amp;DATE(2025,1,1),'עסקאות'!$A$2:$A$1958,"&lt;"&amp;DATE(2026,1,1))</x:f>
        <x:v>100</x:v>
      </x:c>
      <x:c r="J338" s="16" t="n">
        <x:f>SUMIFS('עסקאות'!$M$2:$M$1958,'עסקאות'!$F$2:$F$1958,B338,'עסקאות'!$A$2:$A$1958,"&gt;="&amp;DATE(2026,1,1),'עסקאות'!$A$2:$A$1958,"&lt;"&amp;DATE(2027,1,1))</x:f>
        <x:v>0</x:v>
      </x:c>
    </x:row>
    <x:row r="339">
      <x:c r="B339" s="11" t="str">
        <x:v>בייקר</x:v>
      </x:c>
      <x:c r="C339" s="11" t="str">
        <x:v>אוכל בחוץ</x:v>
      </x:c>
      <x:c r="D339" s="11" t="n">
        <x:v>1</x:v>
      </x:c>
      <x:c r="E339" s="11" t="n">
        <x:v>1</x:v>
      </x:c>
      <x:c r="F339" s="16" t="n">
        <x:f>SUMIFS('עסקאות'!$M$2:$M$1958,'עסקאות'!$F$2:$F$1958,B339)</x:f>
        <x:v>100</x:v>
      </x:c>
      <x:c r="G339" s="16" t="n">
        <x:f>IF(D339=0,"",F339/D339)</x:f>
        <x:v>100</x:v>
      </x:c>
      <x:c r="H339" s="16" t="n">
        <x:f>F339/20</x:f>
        <x:v>5</x:v>
      </x:c>
      <x:c r="I339" s="16" t="n">
        <x:f>SUMIFS('עסקאות'!$M$2:$M$1958,'עסקאות'!$F$2:$F$1958,B339,'עסקאות'!$A$2:$A$1958,"&gt;="&amp;DATE(2025,1,1),'עסקאות'!$A$2:$A$1958,"&lt;"&amp;DATE(2026,1,1))</x:f>
        <x:v>100</x:v>
      </x:c>
      <x:c r="J339" s="16" t="n">
        <x:f>SUMIFS('עסקאות'!$M$2:$M$1958,'עסקאות'!$F$2:$F$1958,B339,'עסקאות'!$A$2:$A$1958,"&gt;="&amp;DATE(2026,1,1),'עסקאות'!$A$2:$A$1958,"&lt;"&amp;DATE(2027,1,1))</x:f>
        <x:v>0</x:v>
      </x:c>
    </x:row>
    <x:row r="340">
      <x:c r="B340" s="11" t="str">
        <x:v>הום סנטר</x:v>
      </x:c>
      <x:c r="C340" s="11" t="str">
        <x:v>מתנה</x:v>
      </x:c>
      <x:c r="D340" s="11" t="n">
        <x:v>1</x:v>
      </x:c>
      <x:c r="E340" s="11" t="n">
        <x:v>1</x:v>
      </x:c>
      <x:c r="F340" s="16" t="n">
        <x:f>SUMIFS('עסקאות'!$M$2:$M$1958,'עסקאות'!$F$2:$F$1958,B340)</x:f>
        <x:v>100</x:v>
      </x:c>
      <x:c r="G340" s="16" t="n">
        <x:f>IF(D340=0,"",F340/D340)</x:f>
        <x:v>100</x:v>
      </x:c>
      <x:c r="H340" s="16" t="n">
        <x:f>F340/20</x:f>
        <x:v>5</x:v>
      </x:c>
      <x:c r="I340" s="16" t="n">
        <x:f>SUMIFS('עסקאות'!$M$2:$M$1958,'עסקאות'!$F$2:$F$1958,B340,'עסקאות'!$A$2:$A$1958,"&gt;="&amp;DATE(2025,1,1),'עסקאות'!$A$2:$A$1958,"&lt;"&amp;DATE(2026,1,1))</x:f>
        <x:v>100</x:v>
      </x:c>
      <x:c r="J340" s="16" t="n">
        <x:f>SUMIFS('עסקאות'!$M$2:$M$1958,'עסקאות'!$F$2:$F$1958,B340,'עסקאות'!$A$2:$A$1958,"&gt;="&amp;DATE(2026,1,1),'עסקאות'!$A$2:$A$1958,"&lt;"&amp;DATE(2027,1,1))</x:f>
        <x:v>0</x:v>
      </x:c>
    </x:row>
    <x:row r="341">
      <x:c r="B341" s="11" t="str">
        <x:v>מלון ברצלונה</x:v>
      </x:c>
      <x:c r="C341" s="11" t="str">
        <x:v>נסיעות וחופשות</x:v>
      </x:c>
      <x:c r="D341" s="11" t="n">
        <x:v>1</x:v>
      </x:c>
      <x:c r="E341" s="11" t="n">
        <x:v>1</x:v>
      </x:c>
      <x:c r="F341" s="16" t="n">
        <x:f>SUMIFS('עסקאות'!$M$2:$M$1958,'עסקאות'!$F$2:$F$1958,B341)</x:f>
        <x:v>100</x:v>
      </x:c>
      <x:c r="G341" s="16" t="n">
        <x:f>IF(D341=0,"",F341/D341)</x:f>
        <x:v>100</x:v>
      </x:c>
      <x:c r="H341" s="16" t="n">
        <x:f>F341/20</x:f>
        <x:v>5</x:v>
      </x:c>
      <x:c r="I341" s="16" t="n">
        <x:f>SUMIFS('עסקאות'!$M$2:$M$1958,'עסקאות'!$F$2:$F$1958,B341,'עסקאות'!$A$2:$A$1958,"&gt;="&amp;DATE(2025,1,1),'עסקאות'!$A$2:$A$1958,"&lt;"&amp;DATE(2026,1,1))</x:f>
        <x:v>100</x:v>
      </x:c>
      <x:c r="J341" s="16" t="n">
        <x:f>SUMIFS('עסקאות'!$M$2:$M$1958,'עסקאות'!$F$2:$F$1958,B341,'עסקאות'!$A$2:$A$1958,"&gt;="&amp;DATE(2026,1,1),'עסקאות'!$A$2:$A$1958,"&lt;"&amp;DATE(2027,1,1))</x:f>
        <x:v>0</x:v>
      </x:c>
    </x:row>
    <x:row r="342">
      <x:c r="B342" s="11" t="str">
        <x:v>כרית קאפ קייק</x:v>
      </x:c>
      <x:c r="C342" s="11" t="str">
        <x:v>קניות לבית</x:v>
      </x:c>
      <x:c r="D342" s="11" t="n">
        <x:v>1</x:v>
      </x:c>
      <x:c r="E342" s="11" t="n">
        <x:v>1</x:v>
      </x:c>
      <x:c r="F342" s="16" t="n">
        <x:f>SUMIFS('עסקאות'!$M$2:$M$1958,'עסקאות'!$F$2:$F$1958,B342)</x:f>
        <x:v>100</x:v>
      </x:c>
      <x:c r="G342" s="16" t="n">
        <x:f>IF(D342=0,"",F342/D342)</x:f>
        <x:v>100</x:v>
      </x:c>
      <x:c r="H342" s="16" t="n">
        <x:f>F342/20</x:f>
        <x:v>5</x:v>
      </x:c>
      <x:c r="I342" s="16" t="n">
        <x:f>SUMIFS('עסקאות'!$M$2:$M$1958,'עסקאות'!$F$2:$F$1958,B342,'עסקאות'!$A$2:$A$1958,"&gt;="&amp;DATE(2025,1,1),'עסקאות'!$A$2:$A$1958,"&lt;"&amp;DATE(2026,1,1))</x:f>
        <x:v>100</x:v>
      </x:c>
      <x:c r="J342" s="16" t="n">
        <x:f>SUMIFS('עסקאות'!$M$2:$M$1958,'עסקאות'!$F$2:$F$1958,B342,'עסקאות'!$A$2:$A$1958,"&gt;="&amp;DATE(2026,1,1),'עסקאות'!$A$2:$A$1958,"&lt;"&amp;DATE(2027,1,1))</x:f>
        <x:v>0</x:v>
      </x:c>
    </x:row>
    <x:row r="343">
      <x:c r="B343" s="11" t="str">
        <x:v>פיצה קרינה</x:v>
      </x:c>
      <x:c r="C343" s="11" t="str">
        <x:v>אוכל בחוץ</x:v>
      </x:c>
      <x:c r="D343" s="11" t="n">
        <x:v>1</x:v>
      </x:c>
      <x:c r="E343" s="11" t="n">
        <x:v>1</x:v>
      </x:c>
      <x:c r="F343" s="16" t="n">
        <x:f>SUMIFS('עסקאות'!$M$2:$M$1958,'עסקאות'!$F$2:$F$1958,B343)</x:f>
        <x:v>100</x:v>
      </x:c>
      <x:c r="G343" s="16" t="n">
        <x:f>IF(D343=0,"",F343/D343)</x:f>
        <x:v>100</x:v>
      </x:c>
      <x:c r="H343" s="16" t="n">
        <x:f>F343/20</x:f>
        <x:v>5</x:v>
      </x:c>
      <x:c r="I343" s="16" t="n">
        <x:f>SUMIFS('עסקאות'!$M$2:$M$1958,'עסקאות'!$F$2:$F$1958,B343,'עסקאות'!$A$2:$A$1958,"&gt;="&amp;DATE(2025,1,1),'עסקאות'!$A$2:$A$1958,"&lt;"&amp;DATE(2026,1,1))</x:f>
        <x:v>0</x:v>
      </x:c>
      <x:c r="J343" s="16" t="n">
        <x:f>SUMIFS('עסקאות'!$M$2:$M$1958,'עסקאות'!$F$2:$F$1958,B343,'עסקאות'!$A$2:$A$1958,"&gt;="&amp;DATE(2026,1,1),'עסקאות'!$A$2:$A$1958,"&lt;"&amp;DATE(2027,1,1))</x:f>
        <x:v>100</x:v>
      </x:c>
    </x:row>
    <x:row r="344">
      <x:c r="B344" s="11" t="str">
        <x:v>ג'חנון</x:v>
      </x:c>
      <x:c r="C344" s="11" t="str">
        <x:v>אוכל בחוץ</x:v>
      </x:c>
      <x:c r="D344" s="11" t="n">
        <x:v>1</x:v>
      </x:c>
      <x:c r="E344" s="11" t="n">
        <x:v>1</x:v>
      </x:c>
      <x:c r="F344" s="16" t="n">
        <x:f>SUMIFS('עסקאות'!$M$2:$M$1958,'עסקאות'!$F$2:$F$1958,B344)</x:f>
        <x:v>96</x:v>
      </x:c>
      <x:c r="G344" s="16" t="n">
        <x:f>IF(D344=0,"",F344/D344)</x:f>
        <x:v>96</x:v>
      </x:c>
      <x:c r="H344" s="16" t="n">
        <x:f>F344/20</x:f>
        <x:v>4.8</x:v>
      </x:c>
      <x:c r="I344" s="16" t="n">
        <x:f>SUMIFS('עסקאות'!$M$2:$M$1958,'עסקאות'!$F$2:$F$1958,B344,'עסקאות'!$A$2:$A$1958,"&gt;="&amp;DATE(2025,1,1),'עסקאות'!$A$2:$A$1958,"&lt;"&amp;DATE(2026,1,1))</x:f>
        <x:v>96</x:v>
      </x:c>
      <x:c r="J344" s="16" t="n">
        <x:f>SUMIFS('עסקאות'!$M$2:$M$1958,'עסקאות'!$F$2:$F$1958,B344,'עסקאות'!$A$2:$A$1958,"&gt;="&amp;DATE(2026,1,1),'עסקאות'!$A$2:$A$1958,"&lt;"&amp;DATE(2027,1,1))</x:f>
        <x:v>0</x:v>
      </x:c>
    </x:row>
    <x:row r="345">
      <x:c r="B345" s="11" t="str">
        <x:v>נונו מימי - גבעתיים</x:v>
      </x:c>
      <x:c r="C345" s="11" t="str">
        <x:v>אוכל בחוץ</x:v>
      </x:c>
      <x:c r="D345" s="11" t="n">
        <x:v>2</x:v>
      </x:c>
      <x:c r="E345" s="11" t="n">
        <x:v>1</x:v>
      </x:c>
      <x:c r="F345" s="16" t="n">
        <x:f>SUMIFS('עסקאות'!$M$2:$M$1958,'עסקאות'!$F$2:$F$1958,B345)</x:f>
        <x:v>96</x:v>
      </x:c>
      <x:c r="G345" s="16" t="n">
        <x:f>IF(D345=0,"",F345/D345)</x:f>
        <x:v>48</x:v>
      </x:c>
      <x:c r="H345" s="16" t="n">
        <x:f>F345/20</x:f>
        <x:v>4.8</x:v>
      </x:c>
      <x:c r="I345" s="16" t="n">
        <x:f>SUMIFS('עסקאות'!$M$2:$M$1958,'עסקאות'!$F$2:$F$1958,B345,'עסקאות'!$A$2:$A$1958,"&gt;="&amp;DATE(2025,1,1),'עסקאות'!$A$2:$A$1958,"&lt;"&amp;DATE(2026,1,1))</x:f>
        <x:v>0</x:v>
      </x:c>
      <x:c r="J345" s="16" t="n">
        <x:f>SUMIFS('עסקאות'!$M$2:$M$1958,'עסקאות'!$F$2:$F$1958,B345,'עסקאות'!$A$2:$A$1958,"&gt;="&amp;DATE(2026,1,1),'עסקאות'!$A$2:$A$1958,"&lt;"&amp;DATE(2027,1,1))</x:f>
        <x:v>96</x:v>
      </x:c>
    </x:row>
    <x:row r="346">
      <x:c r="B346" s="11" t="str">
        <x:v>מכונת תספורת</x:v>
      </x:c>
      <x:c r="C346" s="11" t="str">
        <x:v>קוסמטיקה</x:v>
      </x:c>
      <x:c r="D346" s="11" t="n">
        <x:v>1</x:v>
      </x:c>
      <x:c r="E346" s="11" t="n">
        <x:v>1</x:v>
      </x:c>
      <x:c r="F346" s="16" t="n">
        <x:f>SUMIFS('עסקאות'!$M$2:$M$1958,'עסקאות'!$F$2:$F$1958,B346)</x:f>
        <x:v>95</x:v>
      </x:c>
      <x:c r="G346" s="16" t="n">
        <x:f>IF(D346=0,"",F346/D346)</x:f>
        <x:v>95</x:v>
      </x:c>
      <x:c r="H346" s="16" t="n">
        <x:f>F346/20</x:f>
        <x:v>4.75</x:v>
      </x:c>
      <x:c r="I346" s="16" t="n">
        <x:f>SUMIFS('עסקאות'!$M$2:$M$1958,'עסקאות'!$F$2:$F$1958,B346,'עסקאות'!$A$2:$A$1958,"&gt;="&amp;DATE(2025,1,1),'עסקאות'!$A$2:$A$1958,"&lt;"&amp;DATE(2026,1,1))</x:f>
        <x:v>95</x:v>
      </x:c>
      <x:c r="J346" s="16" t="n">
        <x:f>SUMIFS('עסקאות'!$M$2:$M$1958,'עסקאות'!$F$2:$F$1958,B346,'עסקאות'!$A$2:$A$1958,"&gt;="&amp;DATE(2026,1,1),'עסקאות'!$A$2:$A$1958,"&lt;"&amp;DATE(2027,1,1))</x:f>
        <x:v>0</x:v>
      </x:c>
    </x:row>
    <x:row r="347">
      <x:c r="B347" s="11" t="str">
        <x:v>מקדונלדס חול</x:v>
      </x:c>
      <x:c r="C347" s="11" t="str">
        <x:v>נסיעות וחופשות</x:v>
      </x:c>
      <x:c r="D347" s="11" t="n">
        <x:v>1</x:v>
      </x:c>
      <x:c r="E347" s="11" t="n">
        <x:v>1</x:v>
      </x:c>
      <x:c r="F347" s="16" t="n">
        <x:f>SUMIFS('עסקאות'!$M$2:$M$1958,'עסקאות'!$F$2:$F$1958,B347)</x:f>
        <x:v>94</x:v>
      </x:c>
      <x:c r="G347" s="16" t="n">
        <x:f>IF(D347=0,"",F347/D347)</x:f>
        <x:v>94</x:v>
      </x:c>
      <x:c r="H347" s="16" t="n">
        <x:f>F347/20</x:f>
        <x:v>4.7</x:v>
      </x:c>
      <x:c r="I347" s="16" t="n">
        <x:f>SUMIFS('עסקאות'!$M$2:$M$1958,'עסקאות'!$F$2:$F$1958,B347,'עסקאות'!$A$2:$A$1958,"&gt;="&amp;DATE(2025,1,1),'עסקאות'!$A$2:$A$1958,"&lt;"&amp;DATE(2026,1,1))</x:f>
        <x:v>94</x:v>
      </x:c>
      <x:c r="J347" s="16" t="n">
        <x:f>SUMIFS('עסקאות'!$M$2:$M$1958,'עסקאות'!$F$2:$F$1958,B347,'עסקאות'!$A$2:$A$1958,"&gt;="&amp;DATE(2026,1,1),'עסקאות'!$A$2:$A$1958,"&lt;"&amp;DATE(2027,1,1))</x:f>
        <x:v>0</x:v>
      </x:c>
    </x:row>
    <x:row r="348">
      <x:c r="B348" s="11" t="str">
        <x:v>ריספשיין</x:v>
      </x:c>
      <x:c r="C348" s="11" t="str">
        <x:v>אוכל בחוץ</x:v>
      </x:c>
      <x:c r="D348" s="11" t="n">
        <x:v>1</x:v>
      </x:c>
      <x:c r="E348" s="11" t="n">
        <x:v>1</x:v>
      </x:c>
      <x:c r="F348" s="16" t="n">
        <x:f>SUMIFS('עסקאות'!$M$2:$M$1958,'עסקאות'!$F$2:$F$1958,B348)</x:f>
        <x:v>92</x:v>
      </x:c>
      <x:c r="G348" s="16" t="n">
        <x:f>IF(D348=0,"",F348/D348)</x:f>
        <x:v>92</x:v>
      </x:c>
      <x:c r="H348" s="16" t="n">
        <x:f>F348/20</x:f>
        <x:v>4.6</x:v>
      </x:c>
      <x:c r="I348" s="16" t="n">
        <x:f>SUMIFS('עסקאות'!$M$2:$M$1958,'עסקאות'!$F$2:$F$1958,B348,'עסקאות'!$A$2:$A$1958,"&gt;="&amp;DATE(2025,1,1),'עסקאות'!$A$2:$A$1958,"&lt;"&amp;DATE(2026,1,1))</x:f>
        <x:v>0</x:v>
      </x:c>
      <x:c r="J348" s="16" t="n">
        <x:f>SUMIFS('עסקאות'!$M$2:$M$1958,'עסקאות'!$F$2:$F$1958,B348,'עסקאות'!$A$2:$A$1958,"&gt;="&amp;DATE(2026,1,1),'עסקאות'!$A$2:$A$1958,"&lt;"&amp;DATE(2027,1,1))</x:f>
        <x:v>92</x:v>
      </x:c>
    </x:row>
    <x:row r="349">
      <x:c r="B349" s="11" t="str">
        <x:v>חוות אלפקות</x:v>
      </x:c>
      <x:c r="C349" s="11" t="str">
        <x:v>פנאי</x:v>
      </x:c>
      <x:c r="D349" s="11" t="n">
        <x:v>1</x:v>
      </x:c>
      <x:c r="E349" s="11" t="n">
        <x:v>1</x:v>
      </x:c>
      <x:c r="F349" s="16" t="n">
        <x:f>SUMIFS('עסקאות'!$M$2:$M$1958,'עסקאות'!$F$2:$F$1958,B349)</x:f>
        <x:v>90</x:v>
      </x:c>
      <x:c r="G349" s="16" t="n">
        <x:f>IF(D349=0,"",F349/D349)</x:f>
        <x:v>90</x:v>
      </x:c>
      <x:c r="H349" s="16" t="n">
        <x:f>F349/20</x:f>
        <x:v>4.5</x:v>
      </x:c>
      <x:c r="I349" s="16" t="n">
        <x:f>SUMIFS('עסקאות'!$M$2:$M$1958,'עסקאות'!$F$2:$F$1958,B349,'עסקאות'!$A$2:$A$1958,"&gt;="&amp;DATE(2025,1,1),'עסקאות'!$A$2:$A$1958,"&lt;"&amp;DATE(2026,1,1))</x:f>
        <x:v>90</x:v>
      </x:c>
      <x:c r="J349" s="16" t="n">
        <x:f>SUMIFS('עסקאות'!$M$2:$M$1958,'עסקאות'!$F$2:$F$1958,B349,'עסקאות'!$A$2:$A$1958,"&gt;="&amp;DATE(2026,1,1),'עסקאות'!$A$2:$A$1958,"&lt;"&amp;DATE(2027,1,1))</x:f>
        <x:v>0</x:v>
      </x:c>
    </x:row>
    <x:row r="350">
      <x:c r="B350" s="11" t="str">
        <x:v>קיי.אס.פי מחשבים-גמא</x:v>
      </x:c>
      <x:c r="C350" s="11" t="str">
        <x:v>קניות לבית</x:v>
      </x:c>
      <x:c r="D350" s="11" t="n">
        <x:v>2</x:v>
      </x:c>
      <x:c r="E350" s="11" t="n">
        <x:v>2</x:v>
      </x:c>
      <x:c r="F350" s="16" t="n">
        <x:f>SUMIFS('עסקאות'!$M$2:$M$1958,'עסקאות'!$F$2:$F$1958,B350)</x:f>
        <x:v>90</x:v>
      </x:c>
      <x:c r="G350" s="16" t="n">
        <x:f>IF(D350=0,"",F350/D350)</x:f>
        <x:v>45</x:v>
      </x:c>
      <x:c r="H350" s="16" t="n">
        <x:f>F350/20</x:f>
        <x:v>4.5</x:v>
      </x:c>
      <x:c r="I350" s="16" t="n">
        <x:f>SUMIFS('עסקאות'!$M$2:$M$1958,'עסקאות'!$F$2:$F$1958,B350,'עסקאות'!$A$2:$A$1958,"&gt;="&amp;DATE(2025,1,1),'עסקאות'!$A$2:$A$1958,"&lt;"&amp;DATE(2026,1,1))</x:f>
        <x:v>0</x:v>
      </x:c>
      <x:c r="J350" s="16" t="n">
        <x:f>SUMIFS('עסקאות'!$M$2:$M$1958,'עסקאות'!$F$2:$F$1958,B350,'עסקאות'!$A$2:$A$1958,"&gt;="&amp;DATE(2026,1,1),'עסקאות'!$A$2:$A$1958,"&lt;"&amp;DATE(2027,1,1))</x:f>
        <x:v>90</x:v>
      </x:c>
    </x:row>
    <x:row r="351">
      <x:c r="B351" s="11" t="str">
        <x:v>מכבידנט- פאיימי</x:v>
      </x:c>
      <x:c r="C351" s="11" t="str">
        <x:v>בריאות וטיפולים</x:v>
      </x:c>
      <x:c r="D351" s="11" t="n">
        <x:v>1</x:v>
      </x:c>
      <x:c r="E351" s="11" t="n">
        <x:v>1</x:v>
      </x:c>
      <x:c r="F351" s="16" t="n">
        <x:f>SUMIFS('עסקאות'!$M$2:$M$1958,'עסקאות'!$F$2:$F$1958,B351)</x:f>
        <x:v>90</x:v>
      </x:c>
      <x:c r="G351" s="16" t="n">
        <x:f>IF(D351=0,"",F351/D351)</x:f>
        <x:v>90</x:v>
      </x:c>
      <x:c r="H351" s="16" t="n">
        <x:f>F351/20</x:f>
        <x:v>4.5</x:v>
      </x:c>
      <x:c r="I351" s="16" t="n">
        <x:f>SUMIFS('עסקאות'!$M$2:$M$1958,'עסקאות'!$F$2:$F$1958,B351,'עסקאות'!$A$2:$A$1958,"&gt;="&amp;DATE(2025,1,1),'עסקאות'!$A$2:$A$1958,"&lt;"&amp;DATE(2026,1,1))</x:f>
        <x:v>0</x:v>
      </x:c>
      <x:c r="J351" s="16" t="n">
        <x:f>SUMIFS('עסקאות'!$M$2:$M$1958,'עסקאות'!$F$2:$F$1958,B351,'עסקאות'!$A$2:$A$1958,"&gt;="&amp;DATE(2026,1,1),'עסקאות'!$A$2:$A$1958,"&lt;"&amp;DATE(2027,1,1))</x:f>
        <x:v>90</x:v>
      </x:c>
    </x:row>
    <x:row r="352">
      <x:c r="B352" s="11" t="str">
        <x:v>חדר אוכל</x:v>
      </x:c>
      <x:c r="C352" s="11" t="str">
        <x:v>אוכל בחוץ</x:v>
      </x:c>
      <x:c r="D352" s="11" t="n">
        <x:v>2</x:v>
      </x:c>
      <x:c r="E352" s="11" t="n">
        <x:v>1</x:v>
      </x:c>
      <x:c r="F352" s="16" t="n">
        <x:f>SUMIFS('עסקאות'!$M$2:$M$1958,'עסקאות'!$F$2:$F$1958,B352)</x:f>
        <x:v>90</x:v>
      </x:c>
      <x:c r="G352" s="16" t="n">
        <x:f>IF(D352=0,"",F352/D352)</x:f>
        <x:v>45</x:v>
      </x:c>
      <x:c r="H352" s="16" t="n">
        <x:f>F352/20</x:f>
        <x:v>4.5</x:v>
      </x:c>
      <x:c r="I352" s="16" t="n">
        <x:f>SUMIFS('עסקאות'!$M$2:$M$1958,'עסקאות'!$F$2:$F$1958,B352,'עסקאות'!$A$2:$A$1958,"&gt;="&amp;DATE(2025,1,1),'עסקאות'!$A$2:$A$1958,"&lt;"&amp;DATE(2026,1,1))</x:f>
        <x:v>0</x:v>
      </x:c>
      <x:c r="J352" s="16" t="n">
        <x:f>SUMIFS('עסקאות'!$M$2:$M$1958,'עסקאות'!$F$2:$F$1958,B352,'עסקאות'!$A$2:$A$1958,"&gt;="&amp;DATE(2026,1,1),'עסקאות'!$A$2:$A$1958,"&lt;"&amp;DATE(2027,1,1))</x:f>
        <x:v>90</x:v>
      </x:c>
    </x:row>
    <x:row r="353">
      <x:c r="B353" s="11" t="str">
        <x:v>תספורת</x:v>
      </x:c>
      <x:c r="C353" s="11" t="str">
        <x:v>אופנה</x:v>
      </x:c>
      <x:c r="D353" s="11" t="n">
        <x:v>1</x:v>
      </x:c>
      <x:c r="E353" s="11" t="n">
        <x:v>1</x:v>
      </x:c>
      <x:c r="F353" s="16" t="n">
        <x:f>SUMIFS('עסקאות'!$M$2:$M$1958,'עסקאות'!$F$2:$F$1958,B353)</x:f>
        <x:v>90</x:v>
      </x:c>
      <x:c r="G353" s="16" t="n">
        <x:f>IF(D353=0,"",F353/D353)</x:f>
        <x:v>90</x:v>
      </x:c>
      <x:c r="H353" s="16" t="n">
        <x:f>F353/20</x:f>
        <x:v>4.5</x:v>
      </x:c>
      <x:c r="I353" s="16" t="n">
        <x:f>SUMIFS('עסקאות'!$M$2:$M$1958,'עסקאות'!$F$2:$F$1958,B353,'עסקאות'!$A$2:$A$1958,"&gt;="&amp;DATE(2025,1,1),'עסקאות'!$A$2:$A$1958,"&lt;"&amp;DATE(2026,1,1))</x:f>
        <x:v>0</x:v>
      </x:c>
      <x:c r="J353" s="16" t="n">
        <x:f>SUMIFS('עסקאות'!$M$2:$M$1958,'עסקאות'!$F$2:$F$1958,B353,'עסקאות'!$A$2:$A$1958,"&gt;="&amp;DATE(2026,1,1),'עסקאות'!$A$2:$A$1958,"&lt;"&amp;DATE(2027,1,1))</x:f>
        <x:v>90</x:v>
      </x:c>
    </x:row>
    <x:row r="354">
      <x:c r="B354" s="11" t="str">
        <x:v>המבורגר</x:v>
      </x:c>
      <x:c r="C354" s="11" t="str">
        <x:v>אוכל בחוץ</x:v>
      </x:c>
      <x:c r="D354" s="11" t="n">
        <x:v>1</x:v>
      </x:c>
      <x:c r="E354" s="11" t="n">
        <x:v>1</x:v>
      </x:c>
      <x:c r="F354" s="16" t="n">
        <x:f>SUMIFS('עסקאות'!$M$2:$M$1958,'עסקאות'!$F$2:$F$1958,B354)</x:f>
        <x:v>86</x:v>
      </x:c>
      <x:c r="G354" s="16" t="n">
        <x:f>IF(D354=0,"",F354/D354)</x:f>
        <x:v>86</x:v>
      </x:c>
      <x:c r="H354" s="16" t="n">
        <x:f>F354/20</x:f>
        <x:v>4.3</x:v>
      </x:c>
      <x:c r="I354" s="16" t="n">
        <x:f>SUMIFS('עסקאות'!$M$2:$M$1958,'עסקאות'!$F$2:$F$1958,B354,'עסקאות'!$A$2:$A$1958,"&gt;="&amp;DATE(2025,1,1),'עסקאות'!$A$2:$A$1958,"&lt;"&amp;DATE(2026,1,1))</x:f>
        <x:v>0</x:v>
      </x:c>
      <x:c r="J354" s="16" t="n">
        <x:f>SUMIFS('עסקאות'!$M$2:$M$1958,'עסקאות'!$F$2:$F$1958,B354,'עסקאות'!$A$2:$A$1958,"&gt;="&amp;DATE(2026,1,1),'עסקאות'!$A$2:$A$1958,"&lt;"&amp;DATE(2027,1,1))</x:f>
        <x:v>86</x:v>
      </x:c>
    </x:row>
    <x:row r="355">
      <x:c r="B355" s="11" t="str">
        <x:v>זר</x:v>
      </x:c>
      <x:c r="C355" s="11" t="str">
        <x:v>קניות לבית</x:v>
      </x:c>
      <x:c r="D355" s="11" t="n">
        <x:v>1</x:v>
      </x:c>
      <x:c r="E355" s="11" t="n">
        <x:v>1</x:v>
      </x:c>
      <x:c r="F355" s="16" t="n">
        <x:f>SUMIFS('עסקאות'!$M$2:$M$1958,'עסקאות'!$F$2:$F$1958,B355)</x:f>
        <x:v>85</x:v>
      </x:c>
      <x:c r="G355" s="16" t="n">
        <x:f>IF(D355=0,"",F355/D355)</x:f>
        <x:v>85</x:v>
      </x:c>
      <x:c r="H355" s="16" t="n">
        <x:f>F355/20</x:f>
        <x:v>4.25</x:v>
      </x:c>
      <x:c r="I355" s="16" t="n">
        <x:f>SUMIFS('עסקאות'!$M$2:$M$1958,'עסקאות'!$F$2:$F$1958,B355,'עסקאות'!$A$2:$A$1958,"&gt;="&amp;DATE(2025,1,1),'עסקאות'!$A$2:$A$1958,"&lt;"&amp;DATE(2026,1,1))</x:f>
        <x:v>85</x:v>
      </x:c>
      <x:c r="J355" s="16" t="n">
        <x:f>SUMIFS('עסקאות'!$M$2:$M$1958,'עסקאות'!$F$2:$F$1958,B355,'עסקאות'!$A$2:$A$1958,"&gt;="&amp;DATE(2026,1,1),'עסקאות'!$A$2:$A$1958,"&lt;"&amp;DATE(2027,1,1))</x:f>
        <x:v>0</x:v>
      </x:c>
    </x:row>
    <x:row r="356">
      <x:c r="B356" s="11" t="str">
        <x:v>רכישות שובר באתר המו</x:v>
      </x:c>
      <x:c r="C356" s="11" t="str">
        <x:v>אופנה</x:v>
      </x:c>
      <x:c r="D356" s="11" t="n">
        <x:v>1</x:v>
      </x:c>
      <x:c r="E356" s="11" t="n">
        <x:v>1</x:v>
      </x:c>
      <x:c r="F356" s="16" t="n">
        <x:f>SUMIFS('עסקאות'!$M$2:$M$1958,'עסקאות'!$F$2:$F$1958,B356)</x:f>
        <x:v>85</x:v>
      </x:c>
      <x:c r="G356" s="16" t="n">
        <x:f>IF(D356=0,"",F356/D356)</x:f>
        <x:v>85</x:v>
      </x:c>
      <x:c r="H356" s="16" t="n">
        <x:f>F356/20</x:f>
        <x:v>4.25</x:v>
      </x:c>
      <x:c r="I356" s="16" t="n">
        <x:f>SUMIFS('עסקאות'!$M$2:$M$1958,'עסקאות'!$F$2:$F$1958,B356,'עסקאות'!$A$2:$A$1958,"&gt;="&amp;DATE(2025,1,1),'עסקאות'!$A$2:$A$1958,"&lt;"&amp;DATE(2026,1,1))</x:f>
        <x:v>0</x:v>
      </x:c>
      <x:c r="J356" s="16" t="n">
        <x:f>SUMIFS('עסקאות'!$M$2:$M$1958,'עסקאות'!$F$2:$F$1958,B356,'עסקאות'!$A$2:$A$1958,"&gt;="&amp;DATE(2026,1,1),'עסקאות'!$A$2:$A$1958,"&lt;"&amp;DATE(2027,1,1))</x:f>
        <x:v>85</x:v>
      </x:c>
    </x:row>
    <x:row r="357">
      <x:c r="B357" s="11" t="str">
        <x:v>מפגש בסטייק</x:v>
      </x:c>
      <x:c r="C357" s="11" t="str">
        <x:v>אוכל בחוץ</x:v>
      </x:c>
      <x:c r="D357" s="11" t="n">
        <x:v>1</x:v>
      </x:c>
      <x:c r="E357" s="11" t="n">
        <x:v>1</x:v>
      </x:c>
      <x:c r="F357" s="16" t="n">
        <x:f>SUMIFS('עסקאות'!$M$2:$M$1958,'עסקאות'!$F$2:$F$1958,B357)</x:f>
        <x:v>84</x:v>
      </x:c>
      <x:c r="G357" s="16" t="n">
        <x:f>IF(D357=0,"",F357/D357)</x:f>
        <x:v>84</x:v>
      </x:c>
      <x:c r="H357" s="16" t="n">
        <x:f>F357/20</x:f>
        <x:v>4.2</x:v>
      </x:c>
      <x:c r="I357" s="16" t="n">
        <x:f>SUMIFS('עסקאות'!$M$2:$M$1958,'עסקאות'!$F$2:$F$1958,B357,'עסקאות'!$A$2:$A$1958,"&gt;="&amp;DATE(2025,1,1),'עסקאות'!$A$2:$A$1958,"&lt;"&amp;DATE(2026,1,1))</x:f>
        <x:v>84</x:v>
      </x:c>
      <x:c r="J357" s="16" t="n">
        <x:f>SUMIFS('עסקאות'!$M$2:$M$1958,'עסקאות'!$F$2:$F$1958,B357,'עסקאות'!$A$2:$A$1958,"&gt;="&amp;DATE(2026,1,1),'עסקאות'!$A$2:$A$1958,"&lt;"&amp;DATE(2027,1,1))</x:f>
        <x:v>0</x:v>
      </x:c>
    </x:row>
    <x:row r="358">
      <x:c r="B358" s="11" t="str">
        <x:v>מאפיה לשה</x:v>
      </x:c>
      <x:c r="C358" s="11" t="str">
        <x:v>אוכל בחוץ</x:v>
      </x:c>
      <x:c r="D358" s="11" t="n">
        <x:v>1</x:v>
      </x:c>
      <x:c r="E358" s="11" t="n">
        <x:v>1</x:v>
      </x:c>
      <x:c r="F358" s="16" t="n">
        <x:f>SUMIFS('עסקאות'!$M$2:$M$1958,'עסקאות'!$F$2:$F$1958,B358)</x:f>
        <x:v>83</x:v>
      </x:c>
      <x:c r="G358" s="16" t="n">
        <x:f>IF(D358=0,"",F358/D358)</x:f>
        <x:v>83</x:v>
      </x:c>
      <x:c r="H358" s="16" t="n">
        <x:f>F358/20</x:f>
        <x:v>4.15</x:v>
      </x:c>
      <x:c r="I358" s="16" t="n">
        <x:f>SUMIFS('עסקאות'!$M$2:$M$1958,'עסקאות'!$F$2:$F$1958,B358,'עסקאות'!$A$2:$A$1958,"&gt;="&amp;DATE(2025,1,1),'עסקאות'!$A$2:$A$1958,"&lt;"&amp;DATE(2026,1,1))</x:f>
        <x:v>83</x:v>
      </x:c>
      <x:c r="J358" s="16" t="n">
        <x:f>SUMIFS('עסקאות'!$M$2:$M$1958,'עסקאות'!$F$2:$F$1958,B358,'עסקאות'!$A$2:$A$1958,"&gt;="&amp;DATE(2026,1,1),'עסקאות'!$A$2:$A$1958,"&lt;"&amp;DATE(2027,1,1))</x:f>
        <x:v>0</x:v>
      </x:c>
    </x:row>
    <x:row r="359">
      <x:c r="B359" s="11" t="str">
        <x:v>אלוהה שרונה - תל אביב יפו</x:v>
      </x:c>
      <x:c r="C359" s="11" t="str">
        <x:v>אוכל בחוץ</x:v>
      </x:c>
      <x:c r="D359" s="11" t="n">
        <x:v>1</x:v>
      </x:c>
      <x:c r="E359" s="11" t="n">
        <x:v>1</x:v>
      </x:c>
      <x:c r="F359" s="16" t="n">
        <x:f>SUMIFS('עסקאות'!$M$2:$M$1958,'עסקאות'!$F$2:$F$1958,B359)</x:f>
        <x:v>83</x:v>
      </x:c>
      <x:c r="G359" s="16" t="n">
        <x:f>IF(D359=0,"",F359/D359)</x:f>
        <x:v>83</x:v>
      </x:c>
      <x:c r="H359" s="16" t="n">
        <x:f>F359/20</x:f>
        <x:v>4.15</x:v>
      </x:c>
      <x:c r="I359" s="16" t="n">
        <x:f>SUMIFS('עסקאות'!$M$2:$M$1958,'עסקאות'!$F$2:$F$1958,B359,'עסקאות'!$A$2:$A$1958,"&gt;="&amp;DATE(2025,1,1),'עסקאות'!$A$2:$A$1958,"&lt;"&amp;DATE(2026,1,1))</x:f>
        <x:v>0</x:v>
      </x:c>
      <x:c r="J359" s="16" t="n">
        <x:f>SUMIFS('עסקאות'!$M$2:$M$1958,'עסקאות'!$F$2:$F$1958,B359,'עסקאות'!$A$2:$A$1958,"&gt;="&amp;DATE(2026,1,1),'עסקאות'!$A$2:$A$1958,"&lt;"&amp;DATE(2027,1,1))</x:f>
        <x:v>83</x:v>
      </x:c>
    </x:row>
    <x:row r="360">
      <x:c r="B360" s="11" t="str">
        <x:v>מתנה לענבר (KSP)</x:v>
      </x:c>
      <x:c r="C360" s="11" t="str">
        <x:v>מתנה</x:v>
      </x:c>
      <x:c r="D360" s="11" t="n">
        <x:v>1</x:v>
      </x:c>
      <x:c r="E360" s="11" t="n">
        <x:v>1</x:v>
      </x:c>
      <x:c r="F360" s="16" t="n">
        <x:f>SUMIFS('עסקאות'!$M$2:$M$1958,'עסקאות'!$F$2:$F$1958,B360)</x:f>
        <x:v>82</x:v>
      </x:c>
      <x:c r="G360" s="16" t="n">
        <x:f>IF(D360=0,"",F360/D360)</x:f>
        <x:v>82</x:v>
      </x:c>
      <x:c r="H360" s="16" t="n">
        <x:f>F360/20</x:f>
        <x:v>4.1</x:v>
      </x:c>
      <x:c r="I360" s="16" t="n">
        <x:f>SUMIFS('עסקאות'!$M$2:$M$1958,'עסקאות'!$F$2:$F$1958,B360,'עסקאות'!$A$2:$A$1958,"&gt;="&amp;DATE(2025,1,1),'עסקאות'!$A$2:$A$1958,"&lt;"&amp;DATE(2026,1,1))</x:f>
        <x:v>82</x:v>
      </x:c>
      <x:c r="J360" s="16" t="n">
        <x:f>SUMIFS('עסקאות'!$M$2:$M$1958,'עסקאות'!$F$2:$F$1958,B360,'עסקאות'!$A$2:$A$1958,"&gt;="&amp;DATE(2026,1,1),'עסקאות'!$A$2:$A$1958,"&lt;"&amp;DATE(2027,1,1))</x:f>
        <x:v>0</x:v>
      </x:c>
    </x:row>
    <x:row r="361">
      <x:c r="B361" s="11" t="str">
        <x:v>ידיד בר יין</x:v>
      </x:c>
      <x:c r="C361" s="11" t="str">
        <x:v>אוכל בחוץ</x:v>
      </x:c>
      <x:c r="D361" s="11" t="n">
        <x:v>1</x:v>
      </x:c>
      <x:c r="E361" s="11" t="n">
        <x:v>1</x:v>
      </x:c>
      <x:c r="F361" s="16" t="n">
        <x:f>SUMIFS('עסקאות'!$M$2:$M$1958,'עסקאות'!$F$2:$F$1958,B361)</x:f>
        <x:v>81</x:v>
      </x:c>
      <x:c r="G361" s="16" t="n">
        <x:f>IF(D361=0,"",F361/D361)</x:f>
        <x:v>81</x:v>
      </x:c>
      <x:c r="H361" s="16" t="n">
        <x:f>F361/20</x:f>
        <x:v>4.05</x:v>
      </x:c>
      <x:c r="I361" s="16" t="n">
        <x:f>SUMIFS('עסקאות'!$M$2:$M$1958,'עסקאות'!$F$2:$F$1958,B361,'עסקאות'!$A$2:$A$1958,"&gt;="&amp;DATE(2025,1,1),'עסקאות'!$A$2:$A$1958,"&lt;"&amp;DATE(2026,1,1))</x:f>
        <x:v>0</x:v>
      </x:c>
      <x:c r="J361" s="16" t="n">
        <x:f>SUMIFS('עסקאות'!$M$2:$M$1958,'עסקאות'!$F$2:$F$1958,B361,'עסקאות'!$A$2:$A$1958,"&gt;="&amp;DATE(2026,1,1),'עסקאות'!$A$2:$A$1958,"&lt;"&amp;DATE(2027,1,1))</x:f>
        <x:v>81</x:v>
      </x:c>
    </x:row>
    <x:row r="362">
      <x:c r="B362" s="11" t="str">
        <x:v>מגן לטלפון</x:v>
      </x:c>
      <x:c r="C362" s="11" t="str">
        <x:v>אלקטרוניקה</x:v>
      </x:c>
      <x:c r="D362" s="11" t="n">
        <x:v>1</x:v>
      </x:c>
      <x:c r="E362" s="11" t="n">
        <x:v>1</x:v>
      </x:c>
      <x:c r="F362" s="16" t="n">
        <x:f>SUMIFS('עסקאות'!$M$2:$M$1958,'עסקאות'!$F$2:$F$1958,B362)</x:f>
        <x:v>80</x:v>
      </x:c>
      <x:c r="G362" s="16" t="n">
        <x:f>IF(D362=0,"",F362/D362)</x:f>
        <x:v>80</x:v>
      </x:c>
      <x:c r="H362" s="16" t="n">
        <x:f>F362/20</x:f>
        <x:v>4</x:v>
      </x:c>
      <x:c r="I362" s="16" t="n">
        <x:f>SUMIFS('עסקאות'!$M$2:$M$1958,'עסקאות'!$F$2:$F$1958,B362,'עסקאות'!$A$2:$A$1958,"&gt;="&amp;DATE(2025,1,1),'עסקאות'!$A$2:$A$1958,"&lt;"&amp;DATE(2026,1,1))</x:f>
        <x:v>80</x:v>
      </x:c>
      <x:c r="J362" s="16" t="n">
        <x:f>SUMIFS('עסקאות'!$M$2:$M$1958,'עסקאות'!$F$2:$F$1958,B362,'עסקאות'!$A$2:$A$1958,"&gt;="&amp;DATE(2026,1,1),'עסקאות'!$A$2:$A$1958,"&lt;"&amp;DATE(2027,1,1))</x:f>
        <x:v>0</x:v>
      </x:c>
    </x:row>
    <x:row r="363">
      <x:c r="B363" s="11" t="str">
        <x:v>הדפסת תמונות</x:v>
      </x:c>
      <x:c r="C363" s="11" t="str">
        <x:v>חתונה</x:v>
      </x:c>
      <x:c r="D363" s="11" t="n">
        <x:v>1</x:v>
      </x:c>
      <x:c r="E363" s="11" t="n">
        <x:v>1</x:v>
      </x:c>
      <x:c r="F363" s="16" t="n">
        <x:f>SUMIFS('עסקאות'!$M$2:$M$1958,'עסקאות'!$F$2:$F$1958,B363)</x:f>
        <x:v>80</x:v>
      </x:c>
      <x:c r="G363" s="16" t="n">
        <x:f>IF(D363=0,"",F363/D363)</x:f>
        <x:v>80</x:v>
      </x:c>
      <x:c r="H363" s="16" t="n">
        <x:f>F363/20</x:f>
        <x:v>4</x:v>
      </x:c>
      <x:c r="I363" s="16" t="n">
        <x:f>SUMIFS('עסקאות'!$M$2:$M$1958,'עסקאות'!$F$2:$F$1958,B363,'עסקאות'!$A$2:$A$1958,"&gt;="&amp;DATE(2025,1,1),'עסקאות'!$A$2:$A$1958,"&lt;"&amp;DATE(2026,1,1))</x:f>
        <x:v>80</x:v>
      </x:c>
      <x:c r="J363" s="16" t="n">
        <x:f>SUMIFS('עסקאות'!$M$2:$M$1958,'עסקאות'!$F$2:$F$1958,B363,'עסקאות'!$A$2:$A$1958,"&gt;="&amp;DATE(2026,1,1),'עסקאות'!$A$2:$A$1958,"&lt;"&amp;DATE(2027,1,1))</x:f>
        <x:v>0</x:v>
      </x:c>
    </x:row>
    <x:row r="364">
      <x:c r="B364" s="11" t="str">
        <x:v>מגבים</x:v>
      </x:c>
      <x:c r="C364" s="11" t="str">
        <x:v>תחבורה</x:v>
      </x:c>
      <x:c r="D364" s="11" t="n">
        <x:v>1</x:v>
      </x:c>
      <x:c r="E364" s="11" t="n">
        <x:v>1</x:v>
      </x:c>
      <x:c r="F364" s="16" t="n">
        <x:f>SUMIFS('עסקאות'!$M$2:$M$1958,'עסקאות'!$F$2:$F$1958,B364)</x:f>
        <x:v>80</x:v>
      </x:c>
      <x:c r="G364" s="16" t="n">
        <x:f>IF(D364=0,"",F364/D364)</x:f>
        <x:v>80</x:v>
      </x:c>
      <x:c r="H364" s="16" t="n">
        <x:f>F364/20</x:f>
        <x:v>4</x:v>
      </x:c>
      <x:c r="I364" s="16" t="n">
        <x:f>SUMIFS('עסקאות'!$M$2:$M$1958,'עסקאות'!$F$2:$F$1958,B364,'עסקאות'!$A$2:$A$1958,"&gt;="&amp;DATE(2025,1,1),'עסקאות'!$A$2:$A$1958,"&lt;"&amp;DATE(2026,1,1))</x:f>
        <x:v>80</x:v>
      </x:c>
      <x:c r="J364" s="16" t="n">
        <x:f>SUMIFS('עסקאות'!$M$2:$M$1958,'עסקאות'!$F$2:$F$1958,B364,'עסקאות'!$A$2:$A$1958,"&gt;="&amp;DATE(2026,1,1),'עסקאות'!$A$2:$A$1958,"&lt;"&amp;DATE(2027,1,1))</x:f>
        <x:v>0</x:v>
      </x:c>
    </x:row>
    <x:row r="365">
      <x:c r="B365" s="11" t="str">
        <x:v>גוגל</x:v>
      </x:c>
      <x:c r="C365" s="11" t="str">
        <x:v>אלקטרוניקה</x:v>
      </x:c>
      <x:c r="D365" s="11" t="n">
        <x:v>1</x:v>
      </x:c>
      <x:c r="E365" s="11" t="n">
        <x:v>1</x:v>
      </x:c>
      <x:c r="F365" s="16" t="n">
        <x:f>SUMIFS('עסקאות'!$M$2:$M$1958,'עסקאות'!$F$2:$F$1958,B365)</x:f>
        <x:v>80</x:v>
      </x:c>
      <x:c r="G365" s="16" t="n">
        <x:f>IF(D365=0,"",F365/D365)</x:f>
        <x:v>80</x:v>
      </x:c>
      <x:c r="H365" s="16" t="n">
        <x:f>F365/20</x:f>
        <x:v>4</x:v>
      </x:c>
      <x:c r="I365" s="16" t="n">
        <x:f>SUMIFS('עסקאות'!$M$2:$M$1958,'עסקאות'!$F$2:$F$1958,B365,'עסקאות'!$A$2:$A$1958,"&gt;="&amp;DATE(2025,1,1),'עסקאות'!$A$2:$A$1958,"&lt;"&amp;DATE(2026,1,1))</x:f>
        <x:v>0</x:v>
      </x:c>
      <x:c r="J365" s="16" t="n">
        <x:f>SUMIFS('עסקאות'!$M$2:$M$1958,'עסקאות'!$F$2:$F$1958,B365,'עסקאות'!$A$2:$A$1958,"&gt;="&amp;DATE(2026,1,1),'עסקאות'!$A$2:$A$1958,"&lt;"&amp;DATE(2027,1,1))</x:f>
        <x:v>80</x:v>
      </x:c>
    </x:row>
    <x:row r="366">
      <x:c r="B366" s="11" t="str">
        <x:v>הגן הבוטני</x:v>
      </x:c>
      <x:c r="C366" s="11" t="str">
        <x:v>פנאי</x:v>
      </x:c>
      <x:c r="D366" s="11" t="n">
        <x:v>1</x:v>
      </x:c>
      <x:c r="E366" s="11" t="n">
        <x:v>1</x:v>
      </x:c>
      <x:c r="F366" s="16" t="n">
        <x:f>SUMIFS('עסקאות'!$M$2:$M$1958,'עסקאות'!$F$2:$F$1958,B366)</x:f>
        <x:v>80</x:v>
      </x:c>
      <x:c r="G366" s="16" t="n">
        <x:f>IF(D366=0,"",F366/D366)</x:f>
        <x:v>80</x:v>
      </x:c>
      <x:c r="H366" s="16" t="n">
        <x:f>F366/20</x:f>
        <x:v>4</x:v>
      </x:c>
      <x:c r="I366" s="16" t="n">
        <x:f>SUMIFS('עסקאות'!$M$2:$M$1958,'עסקאות'!$F$2:$F$1958,B366,'עסקאות'!$A$2:$A$1958,"&gt;="&amp;DATE(2025,1,1),'עסקאות'!$A$2:$A$1958,"&lt;"&amp;DATE(2026,1,1))</x:f>
        <x:v>0</x:v>
      </x:c>
      <x:c r="J366" s="16" t="n">
        <x:f>SUMIFS('עסקאות'!$M$2:$M$1958,'עסקאות'!$F$2:$F$1958,B366,'עסקאות'!$A$2:$A$1958,"&gt;="&amp;DATE(2026,1,1),'עסקאות'!$A$2:$A$1958,"&lt;"&amp;DATE(2027,1,1))</x:f>
        <x:v>80</x:v>
      </x:c>
    </x:row>
    <x:row r="367">
      <x:c r="B367" s="11" t="str">
        <x:v>מעדני צדקיהו תל אביב</x:v>
      </x:c>
      <x:c r="C367" s="11" t="str">
        <x:v>מזון לבית</x:v>
      </x:c>
      <x:c r="D367" s="11" t="n">
        <x:v>1</x:v>
      </x:c>
      <x:c r="E367" s="11" t="n">
        <x:v>1</x:v>
      </x:c>
      <x:c r="F367" s="16" t="n">
        <x:f>SUMIFS('עסקאות'!$M$2:$M$1958,'עסקאות'!$F$2:$F$1958,B367)</x:f>
        <x:v>80</x:v>
      </x:c>
      <x:c r="G367" s="16" t="n">
        <x:f>IF(D367=0,"",F367/D367)</x:f>
        <x:v>80</x:v>
      </x:c>
      <x:c r="H367" s="16" t="n">
        <x:f>F367/20</x:f>
        <x:v>4</x:v>
      </x:c>
      <x:c r="I367" s="16" t="n">
        <x:f>SUMIFS('עסקאות'!$M$2:$M$1958,'עסקאות'!$F$2:$F$1958,B367,'עסקאות'!$A$2:$A$1958,"&gt;="&amp;DATE(2025,1,1),'עסקאות'!$A$2:$A$1958,"&lt;"&amp;DATE(2026,1,1))</x:f>
        <x:v>0</x:v>
      </x:c>
      <x:c r="J367" s="16" t="n">
        <x:f>SUMIFS('עסקאות'!$M$2:$M$1958,'עסקאות'!$F$2:$F$1958,B367,'עסקאות'!$A$2:$A$1958,"&gt;="&amp;DATE(2026,1,1),'עסקאות'!$A$2:$A$1958,"&lt;"&amp;DATE(2027,1,1))</x:f>
        <x:v>80</x:v>
      </x:c>
    </x:row>
    <x:row r="368">
      <x:c r="B368" s="11" t="str">
        <x:v>החזר מסעדה (ביט)</x:v>
      </x:c>
      <x:c r="C368" s="11" t="str">
        <x:v>אוכל בחוץ</x:v>
      </x:c>
      <x:c r="D368" s="11" t="n">
        <x:v>1</x:v>
      </x:c>
      <x:c r="E368" s="11" t="n">
        <x:v>1</x:v>
      </x:c>
      <x:c r="F368" s="16" t="n">
        <x:f>SUMIFS('עסקאות'!$M$2:$M$1958,'עסקאות'!$F$2:$F$1958,B368)</x:f>
        <x:v>80</x:v>
      </x:c>
      <x:c r="G368" s="16" t="n">
        <x:f>IF(D368=0,"",F368/D368)</x:f>
        <x:v>80</x:v>
      </x:c>
      <x:c r="H368" s="16" t="n">
        <x:f>F368/20</x:f>
        <x:v>4</x:v>
      </x:c>
      <x:c r="I368" s="16" t="n">
        <x:f>SUMIFS('עסקאות'!$M$2:$M$1958,'עסקאות'!$F$2:$F$1958,B368,'עסקאות'!$A$2:$A$1958,"&gt;="&amp;DATE(2025,1,1),'עסקאות'!$A$2:$A$1958,"&lt;"&amp;DATE(2026,1,1))</x:f>
        <x:v>0</x:v>
      </x:c>
      <x:c r="J368" s="16" t="n">
        <x:f>SUMIFS('עסקאות'!$M$2:$M$1958,'עסקאות'!$F$2:$F$1958,B368,'עסקאות'!$A$2:$A$1958,"&gt;="&amp;DATE(2026,1,1),'עסקאות'!$A$2:$A$1958,"&lt;"&amp;DATE(2027,1,1))</x:f>
        <x:v>80</x:v>
      </x:c>
    </x:row>
    <x:row r="369">
      <x:c r="B369" s="11" t="str">
        <x:v>בייקר הוד השרון</x:v>
      </x:c>
      <x:c r="C369" s="11" t="str">
        <x:v>אוכל בחוץ</x:v>
      </x:c>
      <x:c r="D369" s="11" t="n">
        <x:v>1</x:v>
      </x:c>
      <x:c r="E369" s="11" t="n">
        <x:v>1</x:v>
      </x:c>
      <x:c r="F369" s="16" t="n">
        <x:f>SUMIFS('עסקאות'!$M$2:$M$1958,'עסקאות'!$F$2:$F$1958,B369)</x:f>
        <x:v>79</x:v>
      </x:c>
      <x:c r="G369" s="16" t="n">
        <x:f>IF(D369=0,"",F369/D369)</x:f>
        <x:v>79</x:v>
      </x:c>
      <x:c r="H369" s="16" t="n">
        <x:f>F369/20</x:f>
        <x:v>3.95</x:v>
      </x:c>
      <x:c r="I369" s="16" t="n">
        <x:f>SUMIFS('עסקאות'!$M$2:$M$1958,'עסקאות'!$F$2:$F$1958,B369,'עסקאות'!$A$2:$A$1958,"&gt;="&amp;DATE(2025,1,1),'עסקאות'!$A$2:$A$1958,"&lt;"&amp;DATE(2026,1,1))</x:f>
        <x:v>0</x:v>
      </x:c>
      <x:c r="J369" s="16" t="n">
        <x:f>SUMIFS('עסקאות'!$M$2:$M$1958,'עסקאות'!$F$2:$F$1958,B369,'עסקאות'!$A$2:$A$1958,"&gt;="&amp;DATE(2026,1,1),'עסקאות'!$A$2:$A$1958,"&lt;"&amp;DATE(2027,1,1))</x:f>
        <x:v>79</x:v>
      </x:c>
    </x:row>
    <x:row r="370">
      <x:c r="B370" s="11" t="str">
        <x:v>מקדונלד'ס מגדלי ת"א</x:v>
      </x:c>
      <x:c r="C370" s="11" t="str">
        <x:v>אוכל בחוץ</x:v>
      </x:c>
      <x:c r="D370" s="11" t="n">
        <x:v>1</x:v>
      </x:c>
      <x:c r="E370" s="11" t="n">
        <x:v>1</x:v>
      </x:c>
      <x:c r="F370" s="16" t="n">
        <x:f>SUMIFS('עסקאות'!$M$2:$M$1958,'עסקאות'!$F$2:$F$1958,B370)</x:f>
        <x:v>79</x:v>
      </x:c>
      <x:c r="G370" s="16" t="n">
        <x:f>IF(D370=0,"",F370/D370)</x:f>
        <x:v>79</x:v>
      </x:c>
      <x:c r="H370" s="16" t="n">
        <x:f>F370/20</x:f>
        <x:v>3.95</x:v>
      </x:c>
      <x:c r="I370" s="16" t="n">
        <x:f>SUMIFS('עסקאות'!$M$2:$M$1958,'עסקאות'!$F$2:$F$1958,B370,'עסקאות'!$A$2:$A$1958,"&gt;="&amp;DATE(2025,1,1),'עסקאות'!$A$2:$A$1958,"&lt;"&amp;DATE(2026,1,1))</x:f>
        <x:v>0</x:v>
      </x:c>
      <x:c r="J370" s="16" t="n">
        <x:f>SUMIFS('עסקאות'!$M$2:$M$1958,'עסקאות'!$F$2:$F$1958,B370,'עסקאות'!$A$2:$A$1958,"&gt;="&amp;DATE(2026,1,1),'עסקאות'!$A$2:$A$1958,"&lt;"&amp;DATE(2027,1,1))</x:f>
        <x:v>79</x:v>
      </x:c>
    </x:row>
    <x:row r="371">
      <x:c r="B371" s="11" t="str">
        <x:v>מקס 20 גבעתיים</x:v>
      </x:c>
      <x:c r="C371" s="11" t="str">
        <x:v>קניות לבית</x:v>
      </x:c>
      <x:c r="D371" s="11" t="n">
        <x:v>5</x:v>
      </x:c>
      <x:c r="E371" s="11" t="n">
        <x:v>4</x:v>
      </x:c>
      <x:c r="F371" s="16" t="n">
        <x:f>SUMIFS('עסקאות'!$M$2:$M$1958,'עסקאות'!$F$2:$F$1958,B371)</x:f>
        <x:v>78</x:v>
      </x:c>
      <x:c r="G371" s="16" t="n">
        <x:f>IF(D371=0,"",F371/D371)</x:f>
        <x:v>15.6</x:v>
      </x:c>
      <x:c r="H371" s="16" t="n">
        <x:f>F371/20</x:f>
        <x:v>3.9</x:v>
      </x:c>
      <x:c r="I371" s="16" t="n">
        <x:f>SUMIFS('עסקאות'!$M$2:$M$1958,'עסקאות'!$F$2:$F$1958,B371,'עסקאות'!$A$2:$A$1958,"&gt;="&amp;DATE(2025,1,1),'עסקאות'!$A$2:$A$1958,"&lt;"&amp;DATE(2026,1,1))</x:f>
        <x:v>0</x:v>
      </x:c>
      <x:c r="J371" s="16" t="n">
        <x:f>SUMIFS('עסקאות'!$M$2:$M$1958,'עסקאות'!$F$2:$F$1958,B371,'עסקאות'!$A$2:$A$1958,"&gt;="&amp;DATE(2026,1,1),'עסקאות'!$A$2:$A$1958,"&lt;"&amp;DATE(2027,1,1))</x:f>
        <x:v>78</x:v>
      </x:c>
    </x:row>
    <x:row r="372">
      <x:c r="B372" s="11" t="str">
        <x:v>קניות איפור</x:v>
      </x:c>
      <x:c r="C372" s="11" t="str">
        <x:v>קוסמטיקה</x:v>
      </x:c>
      <x:c r="D372" s="11" t="n">
        <x:v>1</x:v>
      </x:c>
      <x:c r="E372" s="11" t="n">
        <x:v>1</x:v>
      </x:c>
      <x:c r="F372" s="16" t="n">
        <x:f>SUMIFS('עסקאות'!$M$2:$M$1958,'עסקאות'!$F$2:$F$1958,B372)</x:f>
        <x:v>76</x:v>
      </x:c>
      <x:c r="G372" s="16" t="n">
        <x:f>IF(D372=0,"",F372/D372)</x:f>
        <x:v>76</x:v>
      </x:c>
      <x:c r="H372" s="16" t="n">
        <x:f>F372/20</x:f>
        <x:v>3.8</x:v>
      </x:c>
      <x:c r="I372" s="16" t="n">
        <x:f>SUMIFS('עסקאות'!$M$2:$M$1958,'עסקאות'!$F$2:$F$1958,B372,'עסקאות'!$A$2:$A$1958,"&gt;="&amp;DATE(2025,1,1),'עסקאות'!$A$2:$A$1958,"&lt;"&amp;DATE(2026,1,1))</x:f>
        <x:v>76</x:v>
      </x:c>
      <x:c r="J372" s="16" t="n">
        <x:f>SUMIFS('עסקאות'!$M$2:$M$1958,'עסקאות'!$F$2:$F$1958,B372,'עסקאות'!$A$2:$A$1958,"&gt;="&amp;DATE(2026,1,1),'עסקאות'!$A$2:$A$1958,"&lt;"&amp;DATE(2027,1,1))</x:f>
        <x:v>0</x:v>
      </x:c>
    </x:row>
    <x:row r="373">
      <x:c r="B373" s="11" t="str">
        <x:v>מכבידנט</x:v>
      </x:c>
      <x:c r="C373" s="11" t="str">
        <x:v>בריאות וטיפולים</x:v>
      </x:c>
      <x:c r="D373" s="11" t="n">
        <x:v>1</x:v>
      </x:c>
      <x:c r="E373" s="11" t="n">
        <x:v>1</x:v>
      </x:c>
      <x:c r="F373" s="16" t="n">
        <x:f>SUMIFS('עסקאות'!$M$2:$M$1958,'עסקאות'!$F$2:$F$1958,B373)</x:f>
        <x:v>76</x:v>
      </x:c>
      <x:c r="G373" s="16" t="n">
        <x:f>IF(D373=0,"",F373/D373)</x:f>
        <x:v>76</x:v>
      </x:c>
      <x:c r="H373" s="16" t="n">
        <x:f>F373/20</x:f>
        <x:v>3.8</x:v>
      </x:c>
      <x:c r="I373" s="16" t="n">
        <x:f>SUMIFS('עסקאות'!$M$2:$M$1958,'עסקאות'!$F$2:$F$1958,B373,'עסקאות'!$A$2:$A$1958,"&gt;="&amp;DATE(2025,1,1),'עסקאות'!$A$2:$A$1958,"&lt;"&amp;DATE(2026,1,1))</x:f>
        <x:v>76</x:v>
      </x:c>
      <x:c r="J373" s="16" t="n">
        <x:f>SUMIFS('עסקאות'!$M$2:$M$1958,'עסקאות'!$F$2:$F$1958,B373,'עסקאות'!$A$2:$A$1958,"&gt;="&amp;DATE(2026,1,1),'עסקאות'!$A$2:$A$1958,"&lt;"&amp;DATE(2027,1,1))</x:f>
        <x:v>0</x:v>
      </x:c>
    </x:row>
    <x:row r="374">
      <x:c r="B374" s="11" t="str">
        <x:v>הולה - גו ווינגס</x:v>
      </x:c>
      <x:c r="C374" s="11" t="str">
        <x:v>מתנה</x:v>
      </x:c>
      <x:c r="D374" s="11" t="n">
        <x:v>1</x:v>
      </x:c>
      <x:c r="E374" s="11" t="n">
        <x:v>1</x:v>
      </x:c>
      <x:c r="F374" s="16" t="n">
        <x:f>SUMIFS('עסקאות'!$M$2:$M$1958,'עסקאות'!$F$2:$F$1958,B374)</x:f>
        <x:v>75</x:v>
      </x:c>
      <x:c r="G374" s="16" t="n">
        <x:f>IF(D374=0,"",F374/D374)</x:f>
        <x:v>75</x:v>
      </x:c>
      <x:c r="H374" s="16" t="n">
        <x:f>F374/20</x:f>
        <x:v>3.75</x:v>
      </x:c>
      <x:c r="I374" s="16" t="n">
        <x:f>SUMIFS('עסקאות'!$M$2:$M$1958,'עסקאות'!$F$2:$F$1958,B374,'עסקאות'!$A$2:$A$1958,"&gt;="&amp;DATE(2025,1,1),'עסקאות'!$A$2:$A$1958,"&lt;"&amp;DATE(2026,1,1))</x:f>
        <x:v>0</x:v>
      </x:c>
      <x:c r="J374" s="16" t="n">
        <x:f>SUMIFS('עסקאות'!$M$2:$M$1958,'עסקאות'!$F$2:$F$1958,B374,'עסקאות'!$A$2:$A$1958,"&gt;="&amp;DATE(2026,1,1),'עסקאות'!$A$2:$A$1958,"&lt;"&amp;DATE(2027,1,1))</x:f>
        <x:v>75</x:v>
      </x:c>
    </x:row>
    <x:row r="375">
      <x:c r="B375" s="11" t="str">
        <x:v>ALMAZ מנדל</x:v>
      </x:c>
      <x:c r="C375" s="11" t="str">
        <x:v>אוכל בחוץ</x:v>
      </x:c>
      <x:c r="D375" s="11" t="n">
        <x:v>1</x:v>
      </x:c>
      <x:c r="E375" s="11" t="n">
        <x:v>1</x:v>
      </x:c>
      <x:c r="F375" s="16" t="n">
        <x:f>SUMIFS('עסקאות'!$M$2:$M$1958,'עסקאות'!$F$2:$F$1958,B375)</x:f>
        <x:v>75</x:v>
      </x:c>
      <x:c r="G375" s="16" t="n">
        <x:f>IF(D375=0,"",F375/D375)</x:f>
        <x:v>75</x:v>
      </x:c>
      <x:c r="H375" s="16" t="n">
        <x:f>F375/20</x:f>
        <x:v>3.75</x:v>
      </x:c>
      <x:c r="I375" s="16" t="n">
        <x:f>SUMIFS('עסקאות'!$M$2:$M$1958,'עסקאות'!$F$2:$F$1958,B375,'עסקאות'!$A$2:$A$1958,"&gt;="&amp;DATE(2025,1,1),'עסקאות'!$A$2:$A$1958,"&lt;"&amp;DATE(2026,1,1))</x:f>
        <x:v>0</x:v>
      </x:c>
      <x:c r="J375" s="16" t="n">
        <x:f>SUMIFS('עסקאות'!$M$2:$M$1958,'עסקאות'!$F$2:$F$1958,B375,'עסקאות'!$A$2:$A$1958,"&gt;="&amp;DATE(2026,1,1),'עסקאות'!$A$2:$A$1958,"&lt;"&amp;DATE(2027,1,1))</x:f>
        <x:v>75</x:v>
      </x:c>
    </x:row>
    <x:row r="376">
      <x:c r="B376" s="11" t="str">
        <x:v>בנדיקט שרונה</x:v>
      </x:c>
      <x:c r="C376" s="11" t="str">
        <x:v>אוכל בחוץ</x:v>
      </x:c>
      <x:c r="D376" s="11" t="n">
        <x:v>1</x:v>
      </x:c>
      <x:c r="E376" s="11" t="n">
        <x:v>1</x:v>
      </x:c>
      <x:c r="F376" s="16" t="n">
        <x:f>SUMIFS('עסקאות'!$M$2:$M$1958,'עסקאות'!$F$2:$F$1958,B376)</x:f>
        <x:v>73</x:v>
      </x:c>
      <x:c r="G376" s="16" t="n">
        <x:f>IF(D376=0,"",F376/D376)</x:f>
        <x:v>73</x:v>
      </x:c>
      <x:c r="H376" s="16" t="n">
        <x:f>F376/20</x:f>
        <x:v>3.65</x:v>
      </x:c>
      <x:c r="I376" s="16" t="n">
        <x:f>SUMIFS('עסקאות'!$M$2:$M$1958,'עסקאות'!$F$2:$F$1958,B376,'עסקאות'!$A$2:$A$1958,"&gt;="&amp;DATE(2025,1,1),'עסקאות'!$A$2:$A$1958,"&lt;"&amp;DATE(2026,1,1))</x:f>
        <x:v>0</x:v>
      </x:c>
      <x:c r="J376" s="16" t="n">
        <x:f>SUMIFS('עסקאות'!$M$2:$M$1958,'עסקאות'!$F$2:$F$1958,B376,'עסקאות'!$A$2:$A$1958,"&gt;="&amp;DATE(2026,1,1),'עסקאות'!$A$2:$A$1958,"&lt;"&amp;DATE(2027,1,1))</x:f>
        <x:v>73</x:v>
      </x:c>
    </x:row>
    <x:row r="377">
      <x:c r="B377" s="11" t="str">
        <x:v>בושם</x:v>
      </x:c>
      <x:c r="C377" s="11" t="str">
        <x:v>קוסמטיקה</x:v>
      </x:c>
      <x:c r="D377" s="11" t="n">
        <x:v>1</x:v>
      </x:c>
      <x:c r="E377" s="11" t="n">
        <x:v>1</x:v>
      </x:c>
      <x:c r="F377" s="16" t="n">
        <x:f>SUMIFS('עסקאות'!$M$2:$M$1958,'עסקאות'!$F$2:$F$1958,B377)</x:f>
        <x:v>72</x:v>
      </x:c>
      <x:c r="G377" s="16" t="n">
        <x:f>IF(D377=0,"",F377/D377)</x:f>
        <x:v>72</x:v>
      </x:c>
      <x:c r="H377" s="16" t="n">
        <x:f>F377/20</x:f>
        <x:v>3.6</x:v>
      </x:c>
      <x:c r="I377" s="16" t="n">
        <x:f>SUMIFS('עסקאות'!$M$2:$M$1958,'עסקאות'!$F$2:$F$1958,B377,'עסקאות'!$A$2:$A$1958,"&gt;="&amp;DATE(2025,1,1),'עסקאות'!$A$2:$A$1958,"&lt;"&amp;DATE(2026,1,1))</x:f>
        <x:v>72</x:v>
      </x:c>
      <x:c r="J377" s="16" t="n">
        <x:f>SUMIFS('עסקאות'!$M$2:$M$1958,'עסקאות'!$F$2:$F$1958,B377,'עסקאות'!$A$2:$A$1958,"&gt;="&amp;DATE(2026,1,1),'עסקאות'!$A$2:$A$1958,"&lt;"&amp;DATE(2027,1,1))</x:f>
        <x:v>0</x:v>
      </x:c>
    </x:row>
    <x:row r="378">
      <x:c r="B378" s="11" t="str">
        <x:v>DIZZYFRISHDONBAR-יצי</x:v>
      </x:c>
      <x:c r="C378" s="11" t="str">
        <x:v>אוכל בחוץ</x:v>
      </x:c>
      <x:c r="D378" s="11" t="n">
        <x:v>1</x:v>
      </x:c>
      <x:c r="E378" s="11" t="n">
        <x:v>1</x:v>
      </x:c>
      <x:c r="F378" s="16" t="n">
        <x:f>SUMIFS('עסקאות'!$M$2:$M$1958,'עסקאות'!$F$2:$F$1958,B378)</x:f>
        <x:v>72</x:v>
      </x:c>
      <x:c r="G378" s="16" t="n">
        <x:f>IF(D378=0,"",F378/D378)</x:f>
        <x:v>72</x:v>
      </x:c>
      <x:c r="H378" s="16" t="n">
        <x:f>F378/20</x:f>
        <x:v>3.6</x:v>
      </x:c>
      <x:c r="I378" s="16" t="n">
        <x:f>SUMIFS('עסקאות'!$M$2:$M$1958,'עסקאות'!$F$2:$F$1958,B378,'עסקאות'!$A$2:$A$1958,"&gt;="&amp;DATE(2025,1,1),'עסקאות'!$A$2:$A$1958,"&lt;"&amp;DATE(2026,1,1))</x:f>
        <x:v>0</x:v>
      </x:c>
      <x:c r="J378" s="16" t="n">
        <x:f>SUMIFS('עסקאות'!$M$2:$M$1958,'עסקאות'!$F$2:$F$1958,B378,'עסקאות'!$A$2:$A$1958,"&gt;="&amp;DATE(2026,1,1),'עסקאות'!$A$2:$A$1958,"&lt;"&amp;DATE(2027,1,1))</x:f>
        <x:v>72</x:v>
      </x:c>
    </x:row>
    <x:row r="379">
      <x:c r="B379" s="11" t="str">
        <x:v>כגן הירק</x:v>
      </x:c>
      <x:c r="C379" s="11" t="str">
        <x:v>מזון לבית</x:v>
      </x:c>
      <x:c r="D379" s="11" t="n">
        <x:v>3</x:v>
      </x:c>
      <x:c r="E379" s="11" t="n">
        <x:v>2</x:v>
      </x:c>
      <x:c r="F379" s="16" t="n">
        <x:f>SUMIFS('עסקאות'!$M$2:$M$1958,'עסקאות'!$F$2:$F$1958,B379)</x:f>
        <x:v>72</x:v>
      </x:c>
      <x:c r="G379" s="16" t="n">
        <x:f>IF(D379=0,"",F379/D379)</x:f>
        <x:v>24</x:v>
      </x:c>
      <x:c r="H379" s="16" t="n">
        <x:f>F379/20</x:f>
        <x:v>3.6</x:v>
      </x:c>
      <x:c r="I379" s="16" t="n">
        <x:f>SUMIFS('עסקאות'!$M$2:$M$1958,'עסקאות'!$F$2:$F$1958,B379,'עסקאות'!$A$2:$A$1958,"&gt;="&amp;DATE(2025,1,1),'עסקאות'!$A$2:$A$1958,"&lt;"&amp;DATE(2026,1,1))</x:f>
        <x:v>0</x:v>
      </x:c>
      <x:c r="J379" s="16" t="n">
        <x:f>SUMIFS('עסקאות'!$M$2:$M$1958,'עסקאות'!$F$2:$F$1958,B379,'עסקאות'!$A$2:$A$1958,"&gt;="&amp;DATE(2026,1,1),'עסקאות'!$A$2:$A$1958,"&lt;"&amp;DATE(2027,1,1))</x:f>
        <x:v>72</x:v>
      </x:c>
    </x:row>
    <x:row r="380">
      <x:c r="B380" s="11" t="str">
        <x:v>פרו פקטורי</x:v>
      </x:c>
      <x:c r="C380" s="11" t="str">
        <x:v>ספורט</x:v>
      </x:c>
      <x:c r="D380" s="11" t="n">
        <x:v>1</x:v>
      </x:c>
      <x:c r="E380" s="11" t="n">
        <x:v>1</x:v>
      </x:c>
      <x:c r="F380" s="16" t="n">
        <x:f>SUMIFS('עסקאות'!$M$2:$M$1958,'עסקאות'!$F$2:$F$1958,B380)</x:f>
        <x:v>71</x:v>
      </x:c>
      <x:c r="G380" s="16" t="n">
        <x:f>IF(D380=0,"",F380/D380)</x:f>
        <x:v>71</x:v>
      </x:c>
      <x:c r="H380" s="16" t="n">
        <x:f>F380/20</x:f>
        <x:v>3.55</x:v>
      </x:c>
      <x:c r="I380" s="16" t="n">
        <x:f>SUMIFS('עסקאות'!$M$2:$M$1958,'עסקאות'!$F$2:$F$1958,B380,'עסקאות'!$A$2:$A$1958,"&gt;="&amp;DATE(2025,1,1),'עסקאות'!$A$2:$A$1958,"&lt;"&amp;DATE(2026,1,1))</x:f>
        <x:v>0</x:v>
      </x:c>
      <x:c r="J380" s="16" t="n">
        <x:f>SUMIFS('עסקאות'!$M$2:$M$1958,'עסקאות'!$F$2:$F$1958,B380,'עסקאות'!$A$2:$A$1958,"&gt;="&amp;DATE(2026,1,1),'עסקאות'!$A$2:$A$1958,"&lt;"&amp;DATE(2027,1,1))</x:f>
        <x:v>71</x:v>
      </x:c>
    </x:row>
    <x:row r="381">
      <x:c r="B381" s="11" t="str">
        <x:v>ינגו דאלי</x:v>
      </x:c>
      <x:c r="C381" s="11" t="str">
        <x:v>מזון לבית</x:v>
      </x:c>
      <x:c r="D381" s="11" t="n">
        <x:v>1</x:v>
      </x:c>
      <x:c r="E381" s="11" t="n">
        <x:v>1</x:v>
      </x:c>
      <x:c r="F381" s="16" t="n">
        <x:f>SUMIFS('עסקאות'!$M$2:$M$1958,'עסקאות'!$F$2:$F$1958,B381)</x:f>
        <x:v>70</x:v>
      </x:c>
      <x:c r="G381" s="16" t="n">
        <x:f>IF(D381=0,"",F381/D381)</x:f>
        <x:v>70</x:v>
      </x:c>
      <x:c r="H381" s="16" t="n">
        <x:f>F381/20</x:f>
        <x:v>3.5</x:v>
      </x:c>
      <x:c r="I381" s="16" t="n">
        <x:f>SUMIFS('עסקאות'!$M$2:$M$1958,'עסקאות'!$F$2:$F$1958,B381,'עסקאות'!$A$2:$A$1958,"&gt;="&amp;DATE(2025,1,1),'עסקאות'!$A$2:$A$1958,"&lt;"&amp;DATE(2026,1,1))</x:f>
        <x:v>70</x:v>
      </x:c>
      <x:c r="J381" s="16" t="n">
        <x:f>SUMIFS('עסקאות'!$M$2:$M$1958,'עסקאות'!$F$2:$F$1958,B381,'עסקאות'!$A$2:$A$1958,"&gt;="&amp;DATE(2026,1,1),'עסקאות'!$A$2:$A$1958,"&lt;"&amp;DATE(2027,1,1))</x:f>
        <x:v>0</x:v>
      </x:c>
    </x:row>
    <x:row r="382">
      <x:c r="B382" s="11" t="str">
        <x:v>בוקסר</x:v>
      </x:c>
      <x:c r="C382" s="11" t="str">
        <x:v>חתונה</x:v>
      </x:c>
      <x:c r="D382" s="11" t="n">
        <x:v>1</x:v>
      </x:c>
      <x:c r="E382" s="11" t="n">
        <x:v>1</x:v>
      </x:c>
      <x:c r="F382" s="16" t="n">
        <x:f>SUMIFS('עסקאות'!$M$2:$M$1958,'עסקאות'!$F$2:$F$1958,B382)</x:f>
        <x:v>70</x:v>
      </x:c>
      <x:c r="G382" s="16" t="n">
        <x:f>IF(D382=0,"",F382/D382)</x:f>
        <x:v>70</x:v>
      </x:c>
      <x:c r="H382" s="16" t="n">
        <x:f>F382/20</x:f>
        <x:v>3.5</x:v>
      </x:c>
      <x:c r="I382" s="16" t="n">
        <x:f>SUMIFS('עסקאות'!$M$2:$M$1958,'עסקאות'!$F$2:$F$1958,B382,'עסקאות'!$A$2:$A$1958,"&gt;="&amp;DATE(2025,1,1),'עסקאות'!$A$2:$A$1958,"&lt;"&amp;DATE(2026,1,1))</x:f>
        <x:v>70</x:v>
      </x:c>
      <x:c r="J382" s="16" t="n">
        <x:f>SUMIFS('עסקאות'!$M$2:$M$1958,'עסקאות'!$F$2:$F$1958,B382,'עסקאות'!$A$2:$A$1958,"&gt;="&amp;DATE(2026,1,1),'עסקאות'!$A$2:$A$1958,"&lt;"&amp;DATE(2027,1,1))</x:f>
        <x:v>0</x:v>
      </x:c>
    </x:row>
    <x:row r="383">
      <x:c r="B383" s="11" t="str">
        <x:v>גבות (פייבוקס)</x:v>
      </x:c>
      <x:c r="C383" s="11" t="str">
        <x:v>קוסמטיקה</x:v>
      </x:c>
      <x:c r="D383" s="11" t="n">
        <x:v>1</x:v>
      </x:c>
      <x:c r="E383" s="11" t="n">
        <x:v>1</x:v>
      </x:c>
      <x:c r="F383" s="16" t="n">
        <x:f>SUMIFS('עסקאות'!$M$2:$M$1958,'עסקאות'!$F$2:$F$1958,B383)</x:f>
        <x:v>70</x:v>
      </x:c>
      <x:c r="G383" s="16" t="n">
        <x:f>IF(D383=0,"",F383/D383)</x:f>
        <x:v>70</x:v>
      </x:c>
      <x:c r="H383" s="16" t="n">
        <x:f>F383/20</x:f>
        <x:v>3.5</x:v>
      </x:c>
      <x:c r="I383" s="16" t="n">
        <x:f>SUMIFS('עסקאות'!$M$2:$M$1958,'עסקאות'!$F$2:$F$1958,B383,'עסקאות'!$A$2:$A$1958,"&gt;="&amp;DATE(2025,1,1),'עסקאות'!$A$2:$A$1958,"&lt;"&amp;DATE(2026,1,1))</x:f>
        <x:v>70</x:v>
      </x:c>
      <x:c r="J383" s="16" t="n">
        <x:f>SUMIFS('עסקאות'!$M$2:$M$1958,'עסקאות'!$F$2:$F$1958,B383,'עסקאות'!$A$2:$A$1958,"&gt;="&amp;DATE(2026,1,1),'עסקאות'!$A$2:$A$1958,"&lt;"&amp;DATE(2027,1,1))</x:f>
        <x:v>0</x:v>
      </x:c>
    </x:row>
    <x:row r="384">
      <x:c r="B384" s="11" t="str">
        <x:v>גבות (ביט)</x:v>
      </x:c>
      <x:c r="C384" s="11" t="str">
        <x:v>קוסמטיקה</x:v>
      </x:c>
      <x:c r="D384" s="11" t="n">
        <x:v>1</x:v>
      </x:c>
      <x:c r="E384" s="11" t="n">
        <x:v>1</x:v>
      </x:c>
      <x:c r="F384" s="16" t="n">
        <x:f>SUMIFS('עסקאות'!$M$2:$M$1958,'עסקאות'!$F$2:$F$1958,B384)</x:f>
        <x:v>70</x:v>
      </x:c>
      <x:c r="G384" s="16" t="n">
        <x:f>IF(D384=0,"",F384/D384)</x:f>
        <x:v>70</x:v>
      </x:c>
      <x:c r="H384" s="16" t="n">
        <x:f>F384/20</x:f>
        <x:v>3.5</x:v>
      </x:c>
      <x:c r="I384" s="16" t="n">
        <x:f>SUMIFS('עסקאות'!$M$2:$M$1958,'עסקאות'!$F$2:$F$1958,B384,'עסקאות'!$A$2:$A$1958,"&gt;="&amp;DATE(2025,1,1),'עסקאות'!$A$2:$A$1958,"&lt;"&amp;DATE(2026,1,1))</x:f>
        <x:v>70</x:v>
      </x:c>
      <x:c r="J384" s="16" t="n">
        <x:f>SUMIFS('עסקאות'!$M$2:$M$1958,'עסקאות'!$F$2:$F$1958,B384,'עסקאות'!$A$2:$A$1958,"&gt;="&amp;DATE(2026,1,1),'עסקאות'!$A$2:$A$1958,"&lt;"&amp;DATE(2027,1,1))</x:f>
        <x:v>0</x:v>
      </x:c>
    </x:row>
    <x:row r="385">
      <x:c r="B385" s="11" t="str">
        <x:v>בלונים</x:v>
      </x:c>
      <x:c r="C385" s="11" t="str">
        <x:v>מתנה</x:v>
      </x:c>
      <x:c r="D385" s="11" t="n">
        <x:v>1</x:v>
      </x:c>
      <x:c r="E385" s="11" t="n">
        <x:v>1</x:v>
      </x:c>
      <x:c r="F385" s="16" t="n">
        <x:f>SUMIFS('עסקאות'!$M$2:$M$1958,'עסקאות'!$F$2:$F$1958,B385)</x:f>
        <x:v>70</x:v>
      </x:c>
      <x:c r="G385" s="16" t="n">
        <x:f>IF(D385=0,"",F385/D385)</x:f>
        <x:v>70</x:v>
      </x:c>
      <x:c r="H385" s="16" t="n">
        <x:f>F385/20</x:f>
        <x:v>3.5</x:v>
      </x:c>
      <x:c r="I385" s="16" t="n">
        <x:f>SUMIFS('עסקאות'!$M$2:$M$1958,'עסקאות'!$F$2:$F$1958,B385,'עסקאות'!$A$2:$A$1958,"&gt;="&amp;DATE(2025,1,1),'עסקאות'!$A$2:$A$1958,"&lt;"&amp;DATE(2026,1,1))</x:f>
        <x:v>70</x:v>
      </x:c>
      <x:c r="J385" s="16" t="n">
        <x:f>SUMIFS('עסקאות'!$M$2:$M$1958,'עסקאות'!$F$2:$F$1958,B385,'עסקאות'!$A$2:$A$1958,"&gt;="&amp;DATE(2026,1,1),'עסקאות'!$A$2:$A$1958,"&lt;"&amp;DATE(2027,1,1))</x:f>
        <x:v>0</x:v>
      </x:c>
    </x:row>
    <x:row r="386">
      <x:c r="B386" s="11" t="str">
        <x:v>תחתונים</x:v>
      </x:c>
      <x:c r="C386" s="11" t="str">
        <x:v>אופנה</x:v>
      </x:c>
      <x:c r="D386" s="11" t="n">
        <x:v>1</x:v>
      </x:c>
      <x:c r="E386" s="11" t="n">
        <x:v>1</x:v>
      </x:c>
      <x:c r="F386" s="16" t="n">
        <x:f>SUMIFS('עסקאות'!$M$2:$M$1958,'עסקאות'!$F$2:$F$1958,B386)</x:f>
        <x:v>70</x:v>
      </x:c>
      <x:c r="G386" s="16" t="n">
        <x:f>IF(D386=0,"",F386/D386)</x:f>
        <x:v>70</x:v>
      </x:c>
      <x:c r="H386" s="16" t="n">
        <x:f>F386/20</x:f>
        <x:v>3.5</x:v>
      </x:c>
      <x:c r="I386" s="16" t="n">
        <x:f>SUMIFS('עסקאות'!$M$2:$M$1958,'עסקאות'!$F$2:$F$1958,B386,'עסקאות'!$A$2:$A$1958,"&gt;="&amp;DATE(2025,1,1),'עסקאות'!$A$2:$A$1958,"&lt;"&amp;DATE(2026,1,1))</x:f>
        <x:v>0</x:v>
      </x:c>
      <x:c r="J386" s="16" t="n">
        <x:f>SUMIFS('עסקאות'!$M$2:$M$1958,'עסקאות'!$F$2:$F$1958,B386,'עסקאות'!$A$2:$A$1958,"&gt;="&amp;DATE(2026,1,1),'עסקאות'!$A$2:$A$1958,"&lt;"&amp;DATE(2027,1,1))</x:f>
        <x:v>70</x:v>
      </x:c>
    </x:row>
    <x:row r="387">
      <x:c r="B387" s="11" t="str">
        <x:v>נורה לרכב</x:v>
      </x:c>
      <x:c r="C387" s="11" t="str">
        <x:v>תחבורה</x:v>
      </x:c>
      <x:c r="D387" s="11" t="n">
        <x:v>1</x:v>
      </x:c>
      <x:c r="E387" s="11" t="n">
        <x:v>1</x:v>
      </x:c>
      <x:c r="F387" s="16" t="n">
        <x:f>SUMIFS('עסקאות'!$M$2:$M$1958,'עסקאות'!$F$2:$F$1958,B387)</x:f>
        <x:v>70</x:v>
      </x:c>
      <x:c r="G387" s="16" t="n">
        <x:f>IF(D387=0,"",F387/D387)</x:f>
        <x:v>70</x:v>
      </x:c>
      <x:c r="H387" s="16" t="n">
        <x:f>F387/20</x:f>
        <x:v>3.5</x:v>
      </x:c>
      <x:c r="I387" s="16" t="n">
        <x:f>SUMIFS('עסקאות'!$M$2:$M$1958,'עסקאות'!$F$2:$F$1958,B387,'עסקאות'!$A$2:$A$1958,"&gt;="&amp;DATE(2025,1,1),'עסקאות'!$A$2:$A$1958,"&lt;"&amp;DATE(2026,1,1))</x:f>
        <x:v>0</x:v>
      </x:c>
      <x:c r="J387" s="16" t="n">
        <x:f>SUMIFS('עסקאות'!$M$2:$M$1958,'עסקאות'!$F$2:$F$1958,B387,'עסקאות'!$A$2:$A$1958,"&gt;="&amp;DATE(2026,1,1),'עסקאות'!$A$2:$A$1958,"&lt;"&amp;DATE(2027,1,1))</x:f>
        <x:v>70</x:v>
      </x:c>
    </x:row>
    <x:row r="388">
      <x:c r="B388" s="11" t="str">
        <x:v>לוחית רישוי לאור</x:v>
      </x:c>
      <x:c r="C388" s="11" t="str">
        <x:v>תחבורה</x:v>
      </x:c>
      <x:c r="D388" s="11" t="n">
        <x:v>1</x:v>
      </x:c>
      <x:c r="E388" s="11" t="n">
        <x:v>1</x:v>
      </x:c>
      <x:c r="F388" s="16" t="n">
        <x:f>SUMIFS('עסקאות'!$M$2:$M$1958,'עסקאות'!$F$2:$F$1958,B388)</x:f>
        <x:v>70</x:v>
      </x:c>
      <x:c r="G388" s="16" t="n">
        <x:f>IF(D388=0,"",F388/D388)</x:f>
        <x:v>70</x:v>
      </x:c>
      <x:c r="H388" s="16" t="n">
        <x:f>F388/20</x:f>
        <x:v>3.5</x:v>
      </x:c>
      <x:c r="I388" s="16" t="n">
        <x:f>SUMIFS('עסקאות'!$M$2:$M$1958,'עסקאות'!$F$2:$F$1958,B388,'עסקאות'!$A$2:$A$1958,"&gt;="&amp;DATE(2025,1,1),'עסקאות'!$A$2:$A$1958,"&lt;"&amp;DATE(2026,1,1))</x:f>
        <x:v>0</x:v>
      </x:c>
      <x:c r="J388" s="16" t="n">
        <x:f>SUMIFS('עסקאות'!$M$2:$M$1958,'עסקאות'!$F$2:$F$1958,B388,'עסקאות'!$A$2:$A$1958,"&gt;="&amp;DATE(2026,1,1),'עסקאות'!$A$2:$A$1958,"&lt;"&amp;DATE(2027,1,1))</x:f>
        <x:v>70</x:v>
      </x:c>
    </x:row>
    <x:row r="389">
      <x:c r="B389" s="11" t="str">
        <x:v>אלי אקספרס</x:v>
      </x:c>
      <x:c r="C389" s="11" t="str">
        <x:v>חתונה</x:v>
      </x:c>
      <x:c r="D389" s="11" t="n">
        <x:v>2</x:v>
      </x:c>
      <x:c r="E389" s="11" t="n">
        <x:v>1</x:v>
      </x:c>
      <x:c r="F389" s="16" t="n">
        <x:f>SUMIFS('עסקאות'!$M$2:$M$1958,'עסקאות'!$F$2:$F$1958,B389)</x:f>
        <x:v>68</x:v>
      </x:c>
      <x:c r="G389" s="16" t="n">
        <x:f>IF(D389=0,"",F389/D389)</x:f>
        <x:v>34</x:v>
      </x:c>
      <x:c r="H389" s="16" t="n">
        <x:f>F389/20</x:f>
        <x:v>3.4</x:v>
      </x:c>
      <x:c r="I389" s="16" t="n">
        <x:f>SUMIFS('עסקאות'!$M$2:$M$1958,'עסקאות'!$F$2:$F$1958,B389,'עסקאות'!$A$2:$A$1958,"&gt;="&amp;DATE(2025,1,1),'עסקאות'!$A$2:$A$1958,"&lt;"&amp;DATE(2026,1,1))</x:f>
        <x:v>68</x:v>
      </x:c>
      <x:c r="J389" s="16" t="n">
        <x:f>SUMIFS('עסקאות'!$M$2:$M$1958,'עסקאות'!$F$2:$F$1958,B389,'עסקאות'!$A$2:$A$1958,"&gt;="&amp;DATE(2026,1,1),'עסקאות'!$A$2:$A$1958,"&lt;"&amp;DATE(2027,1,1))</x:f>
        <x:v>0</x:v>
      </x:c>
    </x:row>
    <x:row r="390">
      <x:c r="B390" s="11" t="str">
        <x:v>ג'פטה</x:v>
      </x:c>
      <x:c r="C390" s="11" t="str">
        <x:v>אחר</x:v>
      </x:c>
      <x:c r="D390" s="11" t="n">
        <x:v>1</x:v>
      </x:c>
      <x:c r="E390" s="11" t="n">
        <x:v>1</x:v>
      </x:c>
      <x:c r="F390" s="16" t="n">
        <x:f>SUMIFS('עסקאות'!$M$2:$M$1958,'עסקאות'!$F$2:$F$1958,B390)</x:f>
        <x:v>68</x:v>
      </x:c>
      <x:c r="G390" s="16" t="n">
        <x:f>IF(D390=0,"",F390/D390)</x:f>
        <x:v>68</x:v>
      </x:c>
      <x:c r="H390" s="16" t="n">
        <x:f>F390/20</x:f>
        <x:v>3.4</x:v>
      </x:c>
      <x:c r="I390" s="16" t="n">
        <x:f>SUMIFS('עסקאות'!$M$2:$M$1958,'עסקאות'!$F$2:$F$1958,B390,'עסקאות'!$A$2:$A$1958,"&gt;="&amp;DATE(2025,1,1),'עסקאות'!$A$2:$A$1958,"&lt;"&amp;DATE(2026,1,1))</x:f>
        <x:v>68</x:v>
      </x:c>
      <x:c r="J390" s="16" t="n">
        <x:f>SUMIFS('עסקאות'!$M$2:$M$1958,'עסקאות'!$F$2:$F$1958,B390,'עסקאות'!$A$2:$A$1958,"&gt;="&amp;DATE(2026,1,1),'עסקאות'!$A$2:$A$1958,"&lt;"&amp;DATE(2027,1,1))</x:f>
        <x:v>0</x:v>
      </x:c>
    </x:row>
    <x:row r="391">
      <x:c r="B391" s="11" t="str">
        <x:v>מכבי דנט מרפ"ש רמת ג</x:v>
      </x:c>
      <x:c r="C391" s="11" t="str">
        <x:v>בריאות וטיפולים</x:v>
      </x:c>
      <x:c r="D391" s="11" t="n">
        <x:v>1</x:v>
      </x:c>
      <x:c r="E391" s="11" t="n">
        <x:v>1</x:v>
      </x:c>
      <x:c r="F391" s="16" t="n">
        <x:f>SUMIFS('עסקאות'!$M$2:$M$1958,'עסקאות'!$F$2:$F$1958,B391)</x:f>
        <x:v>68</x:v>
      </x:c>
      <x:c r="G391" s="16" t="n">
        <x:f>IF(D391=0,"",F391/D391)</x:f>
        <x:v>68</x:v>
      </x:c>
      <x:c r="H391" s="16" t="n">
        <x:f>F391/20</x:f>
        <x:v>3.4</x:v>
      </x:c>
      <x:c r="I391" s="16" t="n">
        <x:f>SUMIFS('עסקאות'!$M$2:$M$1958,'עסקאות'!$F$2:$F$1958,B391,'עסקאות'!$A$2:$A$1958,"&gt;="&amp;DATE(2025,1,1),'עסקאות'!$A$2:$A$1958,"&lt;"&amp;DATE(2026,1,1))</x:f>
        <x:v>0</x:v>
      </x:c>
      <x:c r="J391" s="16" t="n">
        <x:f>SUMIFS('עסקאות'!$M$2:$M$1958,'עסקאות'!$F$2:$F$1958,B391,'עסקאות'!$A$2:$A$1958,"&gt;="&amp;DATE(2026,1,1),'עסקאות'!$A$2:$A$1958,"&lt;"&amp;DATE(2027,1,1))</x:f>
        <x:v>68</x:v>
      </x:c>
    </x:row>
    <x:row r="392">
      <x:c r="B392" s="11" t="str">
        <x:v>גפטה</x:v>
      </x:c>
      <x:c r="C392" s="11" t="str">
        <x:v>אחר</x:v>
      </x:c>
      <x:c r="D392" s="11" t="n">
        <x:v>1</x:v>
      </x:c>
      <x:c r="E392" s="11" t="n">
        <x:v>1</x:v>
      </x:c>
      <x:c r="F392" s="16" t="n">
        <x:f>SUMIFS('עסקאות'!$M$2:$M$1958,'עסקאות'!$F$2:$F$1958,B392)</x:f>
        <x:v>65</x:v>
      </x:c>
      <x:c r="G392" s="16" t="n">
        <x:f>IF(D392=0,"",F392/D392)</x:f>
        <x:v>65</x:v>
      </x:c>
      <x:c r="H392" s="16" t="n">
        <x:f>F392/20</x:f>
        <x:v>3.25</x:v>
      </x:c>
      <x:c r="I392" s="16" t="n">
        <x:f>SUMIFS('עסקאות'!$M$2:$M$1958,'עסקאות'!$F$2:$F$1958,B392,'עסקאות'!$A$2:$A$1958,"&gt;="&amp;DATE(2025,1,1),'עסקאות'!$A$2:$A$1958,"&lt;"&amp;DATE(2026,1,1))</x:f>
        <x:v>65</x:v>
      </x:c>
      <x:c r="J392" s="16" t="n">
        <x:f>SUMIFS('עסקאות'!$M$2:$M$1958,'עסקאות'!$F$2:$F$1958,B392,'עסקאות'!$A$2:$A$1958,"&gt;="&amp;DATE(2026,1,1),'עסקאות'!$A$2:$A$1958,"&lt;"&amp;DATE(2027,1,1))</x:f>
        <x:v>0</x:v>
      </x:c>
    </x:row>
    <x:row r="393">
      <x:c r="B393" s="11" t="str">
        <x:v>קורסר</x:v>
      </x:c>
      <x:c r="C393" s="11" t="str">
        <x:v>אחר</x:v>
      </x:c>
      <x:c r="D393" s="11" t="n">
        <x:v>1</x:v>
      </x:c>
      <x:c r="E393" s="11" t="n">
        <x:v>1</x:v>
      </x:c>
      <x:c r="F393" s="16" t="n">
        <x:f>SUMIFS('עסקאות'!$M$2:$M$1958,'עסקאות'!$F$2:$F$1958,B393)</x:f>
        <x:v>65</x:v>
      </x:c>
      <x:c r="G393" s="16" t="n">
        <x:f>IF(D393=0,"",F393/D393)</x:f>
        <x:v>65</x:v>
      </x:c>
      <x:c r="H393" s="16" t="n">
        <x:f>F393/20</x:f>
        <x:v>3.25</x:v>
      </x:c>
      <x:c r="I393" s="16" t="n">
        <x:f>SUMIFS('עסקאות'!$M$2:$M$1958,'עסקאות'!$F$2:$F$1958,B393,'עסקאות'!$A$2:$A$1958,"&gt;="&amp;DATE(2025,1,1),'עסקאות'!$A$2:$A$1958,"&lt;"&amp;DATE(2026,1,1))</x:f>
        <x:v>65</x:v>
      </x:c>
      <x:c r="J393" s="16" t="n">
        <x:f>SUMIFS('עסקאות'!$M$2:$M$1958,'עסקאות'!$F$2:$F$1958,B393,'עסקאות'!$A$2:$A$1958,"&gt;="&amp;DATE(2026,1,1),'עסקאות'!$A$2:$A$1958,"&lt;"&amp;DATE(2027,1,1))</x:f>
        <x:v>0</x:v>
      </x:c>
    </x:row>
    <x:row r="394">
      <x:c r="B394" s="11" t="str">
        <x:v>ג'אפטה</x:v>
      </x:c>
      <x:c r="C394" s="11" t="str">
        <x:v>אחר</x:v>
      </x:c>
      <x:c r="D394" s="11" t="n">
        <x:v>1</x:v>
      </x:c>
      <x:c r="E394" s="11" t="n">
        <x:v>1</x:v>
      </x:c>
      <x:c r="F394" s="16" t="n">
        <x:f>SUMIFS('עסקאות'!$M$2:$M$1958,'עסקאות'!$F$2:$F$1958,B394)</x:f>
        <x:v>65</x:v>
      </x:c>
      <x:c r="G394" s="16" t="n">
        <x:f>IF(D394=0,"",F394/D394)</x:f>
        <x:v>65</x:v>
      </x:c>
      <x:c r="H394" s="16" t="n">
        <x:f>F394/20</x:f>
        <x:v>3.25</x:v>
      </x:c>
      <x:c r="I394" s="16" t="n">
        <x:f>SUMIFS('עסקאות'!$M$2:$M$1958,'עסקאות'!$F$2:$F$1958,B394,'עסקאות'!$A$2:$A$1958,"&gt;="&amp;DATE(2025,1,1),'עסקאות'!$A$2:$A$1958,"&lt;"&amp;DATE(2026,1,1))</x:f>
        <x:v>65</x:v>
      </x:c>
      <x:c r="J394" s="16" t="n">
        <x:f>SUMIFS('עסקאות'!$M$2:$M$1958,'עסקאות'!$F$2:$F$1958,B394,'עסקאות'!$A$2:$A$1958,"&gt;="&amp;DATE(2026,1,1),'עסקאות'!$A$2:$A$1958,"&lt;"&amp;DATE(2027,1,1))</x:f>
        <x:v>0</x:v>
      </x:c>
    </x:row>
    <x:row r="395">
      <x:c r="B395" s="11" t="str">
        <x:v>צ'יקן סטיישן המסגר</x:v>
      </x:c>
      <x:c r="C395" s="11" t="str">
        <x:v>אוכל בחוץ</x:v>
      </x:c>
      <x:c r="D395" s="11" t="n">
        <x:v>1</x:v>
      </x:c>
      <x:c r="E395" s="11" t="n">
        <x:v>1</x:v>
      </x:c>
      <x:c r="F395" s="16" t="n">
        <x:f>SUMIFS('עסקאות'!$M$2:$M$1958,'עסקאות'!$F$2:$F$1958,B395)</x:f>
        <x:v>65</x:v>
      </x:c>
      <x:c r="G395" s="16" t="n">
        <x:f>IF(D395=0,"",F395/D395)</x:f>
        <x:v>65</x:v>
      </x:c>
      <x:c r="H395" s="16" t="n">
        <x:f>F395/20</x:f>
        <x:v>3.25</x:v>
      </x:c>
      <x:c r="I395" s="16" t="n">
        <x:f>SUMIFS('עסקאות'!$M$2:$M$1958,'עסקאות'!$F$2:$F$1958,B395,'עסקאות'!$A$2:$A$1958,"&gt;="&amp;DATE(2025,1,1),'עסקאות'!$A$2:$A$1958,"&lt;"&amp;DATE(2026,1,1))</x:f>
        <x:v>0</x:v>
      </x:c>
      <x:c r="J395" s="16" t="n">
        <x:f>SUMIFS('עסקאות'!$M$2:$M$1958,'עסקאות'!$F$2:$F$1958,B395,'עסקאות'!$A$2:$A$1958,"&gt;="&amp;DATE(2026,1,1),'עסקאות'!$A$2:$A$1958,"&lt;"&amp;DATE(2027,1,1))</x:f>
        <x:v>65</x:v>
      </x:c>
    </x:row>
    <x:row r="396">
      <x:c r="B396" s="11" t="str">
        <x:v>אוטובוס</x:v>
      </x:c>
      <x:c r="C396" s="11" t="str">
        <x:v>תחבורה</x:v>
      </x:c>
      <x:c r="D396" s="11" t="n">
        <x:v>2</x:v>
      </x:c>
      <x:c r="E396" s="11" t="n">
        <x:v>2</x:v>
      </x:c>
      <x:c r="F396" s="16" t="n">
        <x:f>SUMIFS('עסקאות'!$M$2:$M$1958,'עסקאות'!$F$2:$F$1958,B396)</x:f>
        <x:v>61</x:v>
      </x:c>
      <x:c r="G396" s="16" t="n">
        <x:f>IF(D396=0,"",F396/D396)</x:f>
        <x:v>30.5</x:v>
      </x:c>
      <x:c r="H396" s="16" t="n">
        <x:f>F396/20</x:f>
        <x:v>3.05</x:v>
      </x:c>
      <x:c r="I396" s="16" t="n">
        <x:f>SUMIFS('עסקאות'!$M$2:$M$1958,'עסקאות'!$F$2:$F$1958,B396,'עסקאות'!$A$2:$A$1958,"&gt;="&amp;DATE(2025,1,1),'עסקאות'!$A$2:$A$1958,"&lt;"&amp;DATE(2026,1,1))</x:f>
        <x:v>61</x:v>
      </x:c>
      <x:c r="J396" s="16" t="n">
        <x:f>SUMIFS('עסקאות'!$M$2:$M$1958,'עסקאות'!$F$2:$F$1958,B396,'עסקאות'!$A$2:$A$1958,"&gt;="&amp;DATE(2026,1,1),'עסקאות'!$A$2:$A$1958,"&lt;"&amp;DATE(2027,1,1))</x:f>
        <x:v>0</x:v>
      </x:c>
    </x:row>
    <x:row r="397">
      <x:c r="B397" s="11" t="str">
        <x:v>דלתא</x:v>
      </x:c>
      <x:c r="C397" s="11" t="str">
        <x:v>אופנה</x:v>
      </x:c>
      <x:c r="D397" s="11" t="n">
        <x:v>3</x:v>
      </x:c>
      <x:c r="E397" s="11" t="n">
        <x:v>3</x:v>
      </x:c>
      <x:c r="F397" s="16" t="n">
        <x:f>SUMIFS('עסקאות'!$M$2:$M$1958,'עסקאות'!$F$2:$F$1958,B397)</x:f>
        <x:v>61</x:v>
      </x:c>
      <x:c r="G397" s="16" t="n">
        <x:f>IF(D397=0,"",F397/D397)</x:f>
        <x:v>20.333333333333332</x:v>
      </x:c>
      <x:c r="H397" s="16" t="n">
        <x:f>F397/20</x:f>
        <x:v>3.05</x:v>
      </x:c>
      <x:c r="I397" s="16" t="n">
        <x:f>SUMIFS('עסקאות'!$M$2:$M$1958,'עסקאות'!$F$2:$F$1958,B397,'עסקאות'!$A$2:$A$1958,"&gt;="&amp;DATE(2025,1,1),'עסקאות'!$A$2:$A$1958,"&lt;"&amp;DATE(2026,1,1))</x:f>
        <x:v>61</x:v>
      </x:c>
      <x:c r="J397" s="16" t="n">
        <x:f>SUMIFS('עסקאות'!$M$2:$M$1958,'עסקאות'!$F$2:$F$1958,B397,'עסקאות'!$A$2:$A$1958,"&gt;="&amp;DATE(2026,1,1),'עסקאות'!$A$2:$A$1958,"&lt;"&amp;DATE(2027,1,1))</x:f>
        <x:v>0</x:v>
      </x:c>
    </x:row>
    <x:row r="398">
      <x:c r="B398" s="11" t="str">
        <x:v>חזי זלאיט דגים בע''מ</x:v>
      </x:c>
      <x:c r="C398" s="11" t="str">
        <x:v>אוכל בחוץ</x:v>
      </x:c>
      <x:c r="D398" s="11" t="n">
        <x:v>1</x:v>
      </x:c>
      <x:c r="E398" s="11" t="n">
        <x:v>1</x:v>
      </x:c>
      <x:c r="F398" s="16" t="n">
        <x:f>SUMIFS('עסקאות'!$M$2:$M$1958,'עסקאות'!$F$2:$F$1958,B398)</x:f>
        <x:v>61</x:v>
      </x:c>
      <x:c r="G398" s="16" t="n">
        <x:f>IF(D398=0,"",F398/D398)</x:f>
        <x:v>61</x:v>
      </x:c>
      <x:c r="H398" s="16" t="n">
        <x:f>F398/20</x:f>
        <x:v>3.05</x:v>
      </x:c>
      <x:c r="I398" s="16" t="n">
        <x:f>SUMIFS('עסקאות'!$M$2:$M$1958,'עסקאות'!$F$2:$F$1958,B398,'עסקאות'!$A$2:$A$1958,"&gt;="&amp;DATE(2025,1,1),'עסקאות'!$A$2:$A$1958,"&lt;"&amp;DATE(2026,1,1))</x:f>
        <x:v>0</x:v>
      </x:c>
      <x:c r="J398" s="16" t="n">
        <x:f>SUMIFS('עסקאות'!$M$2:$M$1958,'עסקאות'!$F$2:$F$1958,B398,'עסקאות'!$A$2:$A$1958,"&gt;="&amp;DATE(2026,1,1),'עסקאות'!$A$2:$A$1958,"&lt;"&amp;DATE(2027,1,1))</x:f>
        <x:v>61</x:v>
      </x:c>
    </x:row>
    <x:row r="399">
      <x:c r="B399" s="11" t="str">
        <x:v>חשמל כצלנסון</x:v>
      </x:c>
      <x:c r="C399" s="11" t="str">
        <x:v>נכס להשקעה</x:v>
      </x:c>
      <x:c r="D399" s="11" t="n">
        <x:v>1</x:v>
      </x:c>
      <x:c r="E399" s="11" t="n">
        <x:v>1</x:v>
      </x:c>
      <x:c r="F399" s="16" t="n">
        <x:f>SUMIFS('עסקאות'!$M$2:$M$1958,'עסקאות'!$F$2:$F$1958,B399)</x:f>
        <x:v>60</x:v>
      </x:c>
      <x:c r="G399" s="16" t="n">
        <x:f>IF(D399=0,"",F399/D399)</x:f>
        <x:v>60</x:v>
      </x:c>
      <x:c r="H399" s="16" t="n">
        <x:f>F399/20</x:f>
        <x:v>3</x:v>
      </x:c>
      <x:c r="I399" s="16" t="n">
        <x:f>SUMIFS('עסקאות'!$M$2:$M$1958,'עסקאות'!$F$2:$F$1958,B399,'עסקאות'!$A$2:$A$1958,"&gt;="&amp;DATE(2025,1,1),'עסקאות'!$A$2:$A$1958,"&lt;"&amp;DATE(2026,1,1))</x:f>
        <x:v>60</x:v>
      </x:c>
      <x:c r="J399" s="16" t="n">
        <x:f>SUMIFS('עסקאות'!$M$2:$M$1958,'עסקאות'!$F$2:$F$1958,B399,'עסקאות'!$A$2:$A$1958,"&gt;="&amp;DATE(2026,1,1),'עסקאות'!$A$2:$A$1958,"&lt;"&amp;DATE(2027,1,1))</x:f>
        <x:v>0</x:v>
      </x:c>
    </x:row>
    <x:row r="400">
      <x:c r="B400" s="11" t="str">
        <x:v>חניון ירושלים</x:v>
      </x:c>
      <x:c r="C400" s="11" t="str">
        <x:v>תחבורה</x:v>
      </x:c>
      <x:c r="D400" s="11" t="n">
        <x:v>1</x:v>
      </x:c>
      <x:c r="E400" s="11" t="n">
        <x:v>1</x:v>
      </x:c>
      <x:c r="F400" s="16" t="n">
        <x:f>SUMIFS('עסקאות'!$M$2:$M$1958,'עסקאות'!$F$2:$F$1958,B400)</x:f>
        <x:v>60</x:v>
      </x:c>
      <x:c r="G400" s="16" t="n">
        <x:f>IF(D400=0,"",F400/D400)</x:f>
        <x:v>60</x:v>
      </x:c>
      <x:c r="H400" s="16" t="n">
        <x:f>F400/20</x:f>
        <x:v>3</x:v>
      </x:c>
      <x:c r="I400" s="16" t="n">
        <x:f>SUMIFS('עסקאות'!$M$2:$M$1958,'עסקאות'!$F$2:$F$1958,B400,'עסקאות'!$A$2:$A$1958,"&gt;="&amp;DATE(2025,1,1),'עסקאות'!$A$2:$A$1958,"&lt;"&amp;DATE(2026,1,1))</x:f>
        <x:v>60</x:v>
      </x:c>
      <x:c r="J400" s="16" t="n">
        <x:f>SUMIFS('עסקאות'!$M$2:$M$1958,'עסקאות'!$F$2:$F$1958,B400,'עסקאות'!$A$2:$A$1958,"&gt;="&amp;DATE(2026,1,1),'עסקאות'!$A$2:$A$1958,"&lt;"&amp;DATE(2027,1,1))</x:f>
        <x:v>0</x:v>
      </x:c>
    </x:row>
    <x:row r="401">
      <x:c r="B401" s="11" t="str">
        <x:v>הזמנות</x:v>
      </x:c>
      <x:c r="C401" s="11" t="str">
        <x:v>חתונה</x:v>
      </x:c>
      <x:c r="D401" s="11" t="n">
        <x:v>1</x:v>
      </x:c>
      <x:c r="E401" s="11" t="n">
        <x:v>1</x:v>
      </x:c>
      <x:c r="F401" s="16" t="n">
        <x:f>SUMIFS('עסקאות'!$M$2:$M$1958,'עסקאות'!$F$2:$F$1958,B401)</x:f>
        <x:v>60</x:v>
      </x:c>
      <x:c r="G401" s="16" t="n">
        <x:f>IF(D401=0,"",F401/D401)</x:f>
        <x:v>60</x:v>
      </x:c>
      <x:c r="H401" s="16" t="n">
        <x:f>F401/20</x:f>
        <x:v>3</x:v>
      </x:c>
      <x:c r="I401" s="16" t="n">
        <x:f>SUMIFS('עסקאות'!$M$2:$M$1958,'עסקאות'!$F$2:$F$1958,B401,'עסקאות'!$A$2:$A$1958,"&gt;="&amp;DATE(2025,1,1),'עסקאות'!$A$2:$A$1958,"&lt;"&amp;DATE(2026,1,1))</x:f>
        <x:v>60</x:v>
      </x:c>
      <x:c r="J401" s="16" t="n">
        <x:f>SUMIFS('עסקאות'!$M$2:$M$1958,'עסקאות'!$F$2:$F$1958,B401,'עסקאות'!$A$2:$A$1958,"&gt;="&amp;DATE(2026,1,1),'עסקאות'!$A$2:$A$1958,"&lt;"&amp;DATE(2027,1,1))</x:f>
        <x:v>0</x:v>
      </x:c>
    </x:row>
    <x:row r="402">
      <x:c r="B402" s="11" t="str">
        <x:v>מספרי שוחן</x:v>
      </x:c>
      <x:c r="C402" s="11" t="str">
        <x:v>חתונה</x:v>
      </x:c>
      <x:c r="D402" s="11" t="n">
        <x:v>1</x:v>
      </x:c>
      <x:c r="E402" s="11" t="n">
        <x:v>1</x:v>
      </x:c>
      <x:c r="F402" s="16" t="n">
        <x:f>SUMIFS('עסקאות'!$M$2:$M$1958,'עסקאות'!$F$2:$F$1958,B402)</x:f>
        <x:v>60</x:v>
      </x:c>
      <x:c r="G402" s="16" t="n">
        <x:f>IF(D402=0,"",F402/D402)</x:f>
        <x:v>60</x:v>
      </x:c>
      <x:c r="H402" s="16" t="n">
        <x:f>F402/20</x:f>
        <x:v>3</x:v>
      </x:c>
      <x:c r="I402" s="16" t="n">
        <x:f>SUMIFS('עסקאות'!$M$2:$M$1958,'עסקאות'!$F$2:$F$1958,B402,'עסקאות'!$A$2:$A$1958,"&gt;="&amp;DATE(2025,1,1),'עסקאות'!$A$2:$A$1958,"&lt;"&amp;DATE(2026,1,1))</x:f>
        <x:v>60</x:v>
      </x:c>
      <x:c r="J402" s="16" t="n">
        <x:f>SUMIFS('עסקאות'!$M$2:$M$1958,'עסקאות'!$F$2:$F$1958,B402,'עסקאות'!$A$2:$A$1958,"&gt;="&amp;DATE(2026,1,1),'עסקאות'!$A$2:$A$1958,"&lt;"&amp;DATE(2027,1,1))</x:f>
        <x:v>0</x:v>
      </x:c>
    </x:row>
    <x:row r="403">
      <x:c r="B403" s="11" t="str">
        <x:v>ביטוח רכב לדיבו</x:v>
      </x:c>
      <x:c r="C403" s="11" t="str">
        <x:v>חתונה</x:v>
      </x:c>
      <x:c r="D403" s="11" t="n">
        <x:v>1</x:v>
      </x:c>
      <x:c r="E403" s="11" t="n">
        <x:v>1</x:v>
      </x:c>
      <x:c r="F403" s="16" t="n">
        <x:f>SUMIFS('עסקאות'!$M$2:$M$1958,'עסקאות'!$F$2:$F$1958,B403)</x:f>
        <x:v>60</x:v>
      </x:c>
      <x:c r="G403" s="16" t="n">
        <x:f>IF(D403=0,"",F403/D403)</x:f>
        <x:v>60</x:v>
      </x:c>
      <x:c r="H403" s="16" t="n">
        <x:f>F403/20</x:f>
        <x:v>3</x:v>
      </x:c>
      <x:c r="I403" s="16" t="n">
        <x:f>SUMIFS('עסקאות'!$M$2:$M$1958,'עסקאות'!$F$2:$F$1958,B403,'עסקאות'!$A$2:$A$1958,"&gt;="&amp;DATE(2025,1,1),'עסקאות'!$A$2:$A$1958,"&lt;"&amp;DATE(2026,1,1))</x:f>
        <x:v>60</x:v>
      </x:c>
      <x:c r="J403" s="16" t="n">
        <x:f>SUMIFS('עסקאות'!$M$2:$M$1958,'עסקאות'!$F$2:$F$1958,B403,'עסקאות'!$A$2:$A$1958,"&gt;="&amp;DATE(2026,1,1),'עסקאות'!$A$2:$A$1958,"&lt;"&amp;DATE(2027,1,1))</x:f>
        <x:v>0</x:v>
      </x:c>
    </x:row>
    <x:row r="404">
      <x:c r="B404" s="11" t="str">
        <x:v>פנצר</x:v>
      </x:c>
      <x:c r="C404" s="11" t="str">
        <x:v>תחבורה</x:v>
      </x:c>
      <x:c r="D404" s="11" t="n">
        <x:v>1</x:v>
      </x:c>
      <x:c r="E404" s="11" t="n">
        <x:v>1</x:v>
      </x:c>
      <x:c r="F404" s="16" t="n">
        <x:f>SUMIFS('עסקאות'!$M$2:$M$1958,'עסקאות'!$F$2:$F$1958,B404)</x:f>
        <x:v>60</x:v>
      </x:c>
      <x:c r="G404" s="16" t="n">
        <x:f>IF(D404=0,"",F404/D404)</x:f>
        <x:v>60</x:v>
      </x:c>
      <x:c r="H404" s="16" t="n">
        <x:f>F404/20</x:f>
        <x:v>3</x:v>
      </x:c>
      <x:c r="I404" s="16" t="n">
        <x:f>SUMIFS('עסקאות'!$M$2:$M$1958,'עסקאות'!$F$2:$F$1958,B404,'עסקאות'!$A$2:$A$1958,"&gt;="&amp;DATE(2025,1,1),'עסקאות'!$A$2:$A$1958,"&lt;"&amp;DATE(2026,1,1))</x:f>
        <x:v>60</x:v>
      </x:c>
      <x:c r="J404" s="16" t="n">
        <x:f>SUMIFS('עסקאות'!$M$2:$M$1958,'עסקאות'!$F$2:$F$1958,B404,'עסקאות'!$A$2:$A$1958,"&gt;="&amp;DATE(2026,1,1),'עסקאות'!$A$2:$A$1958,"&lt;"&amp;DATE(2027,1,1))</x:f>
        <x:v>0</x:v>
      </x:c>
    </x:row>
    <x:row r="405">
      <x:c r="B405" s="11" t="str">
        <x:v>מקדמה גרזנים</x:v>
      </x:c>
      <x:c r="C405" s="11" t="str">
        <x:v>פנאי</x:v>
      </x:c>
      <x:c r="D405" s="11" t="n">
        <x:v>1</x:v>
      </x:c>
      <x:c r="E405" s="11" t="n">
        <x:v>1</x:v>
      </x:c>
      <x:c r="F405" s="16" t="n">
        <x:f>SUMIFS('עסקאות'!$M$2:$M$1958,'עסקאות'!$F$2:$F$1958,B405)</x:f>
        <x:v>60</x:v>
      </x:c>
      <x:c r="G405" s="16" t="n">
        <x:f>IF(D405=0,"",F405/D405)</x:f>
        <x:v>60</x:v>
      </x:c>
      <x:c r="H405" s="16" t="n">
        <x:f>F405/20</x:f>
        <x:v>3</x:v>
      </x:c>
      <x:c r="I405" s="16" t="n">
        <x:f>SUMIFS('עסקאות'!$M$2:$M$1958,'עסקאות'!$F$2:$F$1958,B405,'עסקאות'!$A$2:$A$1958,"&gt;="&amp;DATE(2025,1,1),'עסקאות'!$A$2:$A$1958,"&lt;"&amp;DATE(2026,1,1))</x:f>
        <x:v>60</x:v>
      </x:c>
      <x:c r="J405" s="16" t="n">
        <x:f>SUMIFS('עסקאות'!$M$2:$M$1958,'עסקאות'!$F$2:$F$1958,B405,'עסקאות'!$A$2:$A$1958,"&gt;="&amp;DATE(2026,1,1),'עסקאות'!$A$2:$A$1958,"&lt;"&amp;DATE(2027,1,1))</x:f>
        <x:v>0</x:v>
      </x:c>
    </x:row>
    <x:row r="406">
      <x:c r="B406" s="11" t="str">
        <x:v>פוליטיקה ארגונית</x:v>
      </x:c>
      <x:c r="C406" s="11" t="str">
        <x:v>פנאי</x:v>
      </x:c>
      <x:c r="D406" s="11" t="n">
        <x:v>1</x:v>
      </x:c>
      <x:c r="E406" s="11" t="n">
        <x:v>1</x:v>
      </x:c>
      <x:c r="F406" s="16" t="n">
        <x:f>SUMIFS('עסקאות'!$M$2:$M$1958,'עסקאות'!$F$2:$F$1958,B406)</x:f>
        <x:v>60</x:v>
      </x:c>
      <x:c r="G406" s="16" t="n">
        <x:f>IF(D406=0,"",F406/D406)</x:f>
        <x:v>60</x:v>
      </x:c>
      <x:c r="H406" s="16" t="n">
        <x:f>F406/20</x:f>
        <x:v>3</x:v>
      </x:c>
      <x:c r="I406" s="16" t="n">
        <x:f>SUMIFS('עסקאות'!$M$2:$M$1958,'עסקאות'!$F$2:$F$1958,B406,'עסקאות'!$A$2:$A$1958,"&gt;="&amp;DATE(2025,1,1),'עסקאות'!$A$2:$A$1958,"&lt;"&amp;DATE(2026,1,1))</x:f>
        <x:v>60</x:v>
      </x:c>
      <x:c r="J406" s="16" t="n">
        <x:f>SUMIFS('עסקאות'!$M$2:$M$1958,'עסקאות'!$F$2:$F$1958,B406,'עסקאות'!$A$2:$A$1958,"&gt;="&amp;DATE(2026,1,1),'עסקאות'!$A$2:$A$1958,"&lt;"&amp;DATE(2027,1,1))</x:f>
        <x:v>0</x:v>
      </x:c>
    </x:row>
    <x:row r="407">
      <x:c r="B407" s="11" t="str">
        <x:v>אוכל (ביט)</x:v>
      </x:c>
      <x:c r="C407" s="11" t="str">
        <x:v>אוכל בחוץ</x:v>
      </x:c>
      <x:c r="D407" s="11" t="n">
        <x:v>1</x:v>
      </x:c>
      <x:c r="E407" s="11" t="n">
        <x:v>1</x:v>
      </x:c>
      <x:c r="F407" s="16" t="n">
        <x:f>SUMIFS('עסקאות'!$M$2:$M$1958,'עסקאות'!$F$2:$F$1958,B407)</x:f>
        <x:v>60</x:v>
      </x:c>
      <x:c r="G407" s="16" t="n">
        <x:f>IF(D407=0,"",F407/D407)</x:f>
        <x:v>60</x:v>
      </x:c>
      <x:c r="H407" s="16" t="n">
        <x:f>F407/20</x:f>
        <x:v>3</x:v>
      </x:c>
      <x:c r="I407" s="16" t="n">
        <x:f>SUMIFS('עסקאות'!$M$2:$M$1958,'עסקאות'!$F$2:$F$1958,B407,'עסקאות'!$A$2:$A$1958,"&gt;="&amp;DATE(2025,1,1),'עסקאות'!$A$2:$A$1958,"&lt;"&amp;DATE(2026,1,1))</x:f>
        <x:v>60</x:v>
      </x:c>
      <x:c r="J407" s="16" t="n">
        <x:f>SUMIFS('עסקאות'!$M$2:$M$1958,'עסקאות'!$F$2:$F$1958,B407,'עסקאות'!$A$2:$A$1958,"&gt;="&amp;DATE(2026,1,1),'עסקאות'!$A$2:$A$1958,"&lt;"&amp;DATE(2027,1,1))</x:f>
        <x:v>0</x:v>
      </x:c>
    </x:row>
    <x:row r="408">
      <x:c r="B408" s="11" t="str">
        <x:v>מתנת לידה</x:v>
      </x:c>
      <x:c r="C408" s="11" t="str">
        <x:v>מתנה</x:v>
      </x:c>
      <x:c r="D408" s="11" t="n">
        <x:v>3</x:v>
      </x:c>
      <x:c r="E408" s="11" t="n">
        <x:v>1</x:v>
      </x:c>
      <x:c r="F408" s="16" t="n">
        <x:f>SUMIFS('עסקאות'!$M$2:$M$1958,'עסקאות'!$F$2:$F$1958,B408)</x:f>
        <x:v>60</x:v>
      </x:c>
      <x:c r="G408" s="16" t="n">
        <x:f>IF(D408=0,"",F408/D408)</x:f>
        <x:v>20</x:v>
      </x:c>
      <x:c r="H408" s="16" t="n">
        <x:f>F408/20</x:f>
        <x:v>3</x:v>
      </x:c>
      <x:c r="I408" s="16" t="n">
        <x:f>SUMIFS('עסקאות'!$M$2:$M$1958,'עסקאות'!$F$2:$F$1958,B408,'עסקאות'!$A$2:$A$1958,"&gt;="&amp;DATE(2025,1,1),'עסקאות'!$A$2:$A$1958,"&lt;"&amp;DATE(2026,1,1))</x:f>
        <x:v>60</x:v>
      </x:c>
      <x:c r="J408" s="16" t="n">
        <x:f>SUMIFS('עסקאות'!$M$2:$M$1958,'עסקאות'!$F$2:$F$1958,B408,'עסקאות'!$A$2:$A$1958,"&gt;="&amp;DATE(2026,1,1),'עסקאות'!$A$2:$A$1958,"&lt;"&amp;DATE(2027,1,1))</x:f>
        <x:v>0</x:v>
      </x:c>
    </x:row>
    <x:row r="409">
      <x:c r="B409" s="11" t="str">
        <x:v>שרויטמן לחם-יציל</x:v>
      </x:c>
      <x:c r="C409" s="11" t="str">
        <x:v>אוכל בחוץ</x:v>
      </x:c>
      <x:c r="D409" s="11" t="n">
        <x:v>1</x:v>
      </x:c>
      <x:c r="E409" s="11" t="n">
        <x:v>1</x:v>
      </x:c>
      <x:c r="F409" s="16" t="n">
        <x:f>SUMIFS('עסקאות'!$M$2:$M$1958,'עסקאות'!$F$2:$F$1958,B409)</x:f>
        <x:v>60</x:v>
      </x:c>
      <x:c r="G409" s="16" t="n">
        <x:f>IF(D409=0,"",F409/D409)</x:f>
        <x:v>60</x:v>
      </x:c>
      <x:c r="H409" s="16" t="n">
        <x:f>F409/20</x:f>
        <x:v>3</x:v>
      </x:c>
      <x:c r="I409" s="16" t="n">
        <x:f>SUMIFS('עסקאות'!$M$2:$M$1958,'עסקאות'!$F$2:$F$1958,B409,'עסקאות'!$A$2:$A$1958,"&gt;="&amp;DATE(2025,1,1),'עסקאות'!$A$2:$A$1958,"&lt;"&amp;DATE(2026,1,1))</x:f>
        <x:v>0</x:v>
      </x:c>
      <x:c r="J409" s="16" t="n">
        <x:f>SUMIFS('עסקאות'!$M$2:$M$1958,'עסקאות'!$F$2:$F$1958,B409,'עסקאות'!$A$2:$A$1958,"&gt;="&amp;DATE(2026,1,1),'עסקאות'!$A$2:$A$1958,"&lt;"&amp;DATE(2027,1,1))</x:f>
        <x:v>60</x:v>
      </x:c>
    </x:row>
    <x:row r="410">
      <x:c r="B410" s="11" t="str">
        <x:v>קולנוע</x:v>
      </x:c>
      <x:c r="C410" s="11" t="str">
        <x:v>פנאי</x:v>
      </x:c>
      <x:c r="D410" s="11" t="n">
        <x:v>1</x:v>
      </x:c>
      <x:c r="E410" s="11" t="n">
        <x:v>1</x:v>
      </x:c>
      <x:c r="F410" s="16" t="n">
        <x:f>SUMIFS('עסקאות'!$M$2:$M$1958,'עסקאות'!$F$2:$F$1958,B410)</x:f>
        <x:v>60</x:v>
      </x:c>
      <x:c r="G410" s="16" t="n">
        <x:f>IF(D410=0,"",F410/D410)</x:f>
        <x:v>60</x:v>
      </x:c>
      <x:c r="H410" s="16" t="n">
        <x:f>F410/20</x:f>
        <x:v>3</x:v>
      </x:c>
      <x:c r="I410" s="16" t="n">
        <x:f>SUMIFS('עסקאות'!$M$2:$M$1958,'עסקאות'!$F$2:$F$1958,B410,'עסקאות'!$A$2:$A$1958,"&gt;="&amp;DATE(2025,1,1),'עסקאות'!$A$2:$A$1958,"&lt;"&amp;DATE(2026,1,1))</x:f>
        <x:v>0</x:v>
      </x:c>
      <x:c r="J410" s="16" t="n">
        <x:f>SUMIFS('עסקאות'!$M$2:$M$1958,'עסקאות'!$F$2:$F$1958,B410,'עסקאות'!$A$2:$A$1958,"&gt;="&amp;DATE(2026,1,1),'עסקאות'!$A$2:$A$1958,"&lt;"&amp;DATE(2027,1,1))</x:f>
        <x:v>60</x:v>
      </x:c>
    </x:row>
    <x:row r="411">
      <x:c r="B411" s="11" t="str">
        <x:v>בילוארד</x:v>
      </x:c>
      <x:c r="C411" s="11" t="str">
        <x:v>פנאי</x:v>
      </x:c>
      <x:c r="D411" s="11" t="n">
        <x:v>1</x:v>
      </x:c>
      <x:c r="E411" s="11" t="n">
        <x:v>1</x:v>
      </x:c>
      <x:c r="F411" s="16" t="n">
        <x:f>SUMIFS('עסקאות'!$M$2:$M$1958,'עסקאות'!$F$2:$F$1958,B411)</x:f>
        <x:v>59</x:v>
      </x:c>
      <x:c r="G411" s="16" t="n">
        <x:f>IF(D411=0,"",F411/D411)</x:f>
        <x:v>59</x:v>
      </x:c>
      <x:c r="H411" s="16" t="n">
        <x:f>F411/20</x:f>
        <x:v>2.95</x:v>
      </x:c>
      <x:c r="I411" s="16" t="n">
        <x:f>SUMIFS('עסקאות'!$M$2:$M$1958,'עסקאות'!$F$2:$F$1958,B411,'עסקאות'!$A$2:$A$1958,"&gt;="&amp;DATE(2025,1,1),'עסקאות'!$A$2:$A$1958,"&lt;"&amp;DATE(2026,1,1))</x:f>
        <x:v>59</x:v>
      </x:c>
      <x:c r="J411" s="16" t="n">
        <x:f>SUMIFS('עסקאות'!$M$2:$M$1958,'עסקאות'!$F$2:$F$1958,B411,'עסקאות'!$A$2:$A$1958,"&gt;="&amp;DATE(2026,1,1),'עסקאות'!$A$2:$A$1958,"&lt;"&amp;DATE(2027,1,1))</x:f>
        <x:v>0</x:v>
      </x:c>
    </x:row>
    <x:row r="412">
      <x:c r="B412" s="11" t="str">
        <x:v>צאט</x:v>
      </x:c>
      <x:c r="C412" s="11" t="str">
        <x:v>אלקטרוניקה</x:v>
      </x:c>
      <x:c r="D412" s="11" t="n">
        <x:v>1</x:v>
      </x:c>
      <x:c r="E412" s="11" t="n">
        <x:v>1</x:v>
      </x:c>
      <x:c r="F412" s="16" t="n">
        <x:f>SUMIFS('עסקאות'!$M$2:$M$1958,'עסקאות'!$F$2:$F$1958,B412)</x:f>
        <x:v>59</x:v>
      </x:c>
      <x:c r="G412" s="16" t="n">
        <x:f>IF(D412=0,"",F412/D412)</x:f>
        <x:v>59</x:v>
      </x:c>
      <x:c r="H412" s="16" t="n">
        <x:f>F412/20</x:f>
        <x:v>2.95</x:v>
      </x:c>
      <x:c r="I412" s="16" t="n">
        <x:f>SUMIFS('עסקאות'!$M$2:$M$1958,'עסקאות'!$F$2:$F$1958,B412,'עסקאות'!$A$2:$A$1958,"&gt;="&amp;DATE(2025,1,1),'עסקאות'!$A$2:$A$1958,"&lt;"&amp;DATE(2026,1,1))</x:f>
        <x:v>0</x:v>
      </x:c>
      <x:c r="J412" s="16" t="n">
        <x:f>SUMIFS('עסקאות'!$M$2:$M$1958,'עסקאות'!$F$2:$F$1958,B412,'עסקאות'!$A$2:$A$1958,"&gt;="&amp;DATE(2026,1,1),'עסקאות'!$A$2:$A$1958,"&lt;"&amp;DATE(2027,1,1))</x:f>
        <x:v>59</x:v>
      </x:c>
    </x:row>
    <x:row r="413">
      <x:c r="B413" s="11" t="str">
        <x:v>תמבוריה</x:v>
      </x:c>
      <x:c r="C413" s="11" t="str">
        <x:v>קניות לבית</x:v>
      </x:c>
      <x:c r="D413" s="11" t="n">
        <x:v>2</x:v>
      </x:c>
      <x:c r="E413" s="11" t="n">
        <x:v>2</x:v>
      </x:c>
      <x:c r="F413" s="16" t="n">
        <x:f>SUMIFS('עסקאות'!$M$2:$M$1958,'עסקאות'!$F$2:$F$1958,B413)</x:f>
        <x:v>58</x:v>
      </x:c>
      <x:c r="G413" s="16" t="n">
        <x:f>IF(D413=0,"",F413/D413)</x:f>
        <x:v>29</x:v>
      </x:c>
      <x:c r="H413" s="16" t="n">
        <x:f>F413/20</x:f>
        <x:v>2.9</x:v>
      </x:c>
      <x:c r="I413" s="16" t="n">
        <x:f>SUMIFS('עסקאות'!$M$2:$M$1958,'עסקאות'!$F$2:$F$1958,B413,'עסקאות'!$A$2:$A$1958,"&gt;="&amp;DATE(2025,1,1),'עסקאות'!$A$2:$A$1958,"&lt;"&amp;DATE(2026,1,1))</x:f>
        <x:v>23</x:v>
      </x:c>
      <x:c r="J413" s="16" t="n">
        <x:f>SUMIFS('עסקאות'!$M$2:$M$1958,'עסקאות'!$F$2:$F$1958,B413,'עסקאות'!$A$2:$A$1958,"&gt;="&amp;DATE(2026,1,1),'עסקאות'!$A$2:$A$1958,"&lt;"&amp;DATE(2027,1,1))</x:f>
        <x:v>35</x:v>
      </x:c>
    </x:row>
    <x:row r="414">
      <x:c r="B414" s="11" t="str">
        <x:v>the blue fox</x:v>
      </x:c>
      <x:c r="C414" s="11" t="str">
        <x:v>פנאי</x:v>
      </x:c>
      <x:c r="D414" s="11" t="n">
        <x:v>1</x:v>
      </x:c>
      <x:c r="E414" s="11" t="n">
        <x:v>1</x:v>
      </x:c>
      <x:c r="F414" s="16" t="n">
        <x:f>SUMIFS('עסקאות'!$M$2:$M$1958,'עסקאות'!$F$2:$F$1958,B414)</x:f>
        <x:v>56</x:v>
      </x:c>
      <x:c r="G414" s="16" t="n">
        <x:f>IF(D414=0,"",F414/D414)</x:f>
        <x:v>56</x:v>
      </x:c>
      <x:c r="H414" s="16" t="n">
        <x:f>F414/20</x:f>
        <x:v>2.8</x:v>
      </x:c>
      <x:c r="I414" s="16" t="n">
        <x:f>SUMIFS('עסקאות'!$M$2:$M$1958,'עסקאות'!$F$2:$F$1958,B414,'עסקאות'!$A$2:$A$1958,"&gt;="&amp;DATE(2025,1,1),'עסקאות'!$A$2:$A$1958,"&lt;"&amp;DATE(2026,1,1))</x:f>
        <x:v>0</x:v>
      </x:c>
      <x:c r="J414" s="16" t="n">
        <x:f>SUMIFS('עסקאות'!$M$2:$M$1958,'עסקאות'!$F$2:$F$1958,B414,'עסקאות'!$A$2:$A$1958,"&gt;="&amp;DATE(2026,1,1),'עסקאות'!$A$2:$A$1958,"&lt;"&amp;DATE(2027,1,1))</x:f>
        <x:v>56</x:v>
      </x:c>
    </x:row>
    <x:row r="415">
      <x:c r="B415" s="11" t="str">
        <x:v>סומסום</x:v>
      </x:c>
      <x:c r="C415" s="11" t="str">
        <x:v>אוכל בחוץ</x:v>
      </x:c>
      <x:c r="D415" s="11" t="n">
        <x:v>1</x:v>
      </x:c>
      <x:c r="E415" s="11" t="n">
        <x:v>1</x:v>
      </x:c>
      <x:c r="F415" s="16" t="n">
        <x:f>SUMIFS('עסקאות'!$M$2:$M$1958,'עסקאות'!$F$2:$F$1958,B415)</x:f>
        <x:v>55</x:v>
      </x:c>
      <x:c r="G415" s="16" t="n">
        <x:f>IF(D415=0,"",F415/D415)</x:f>
        <x:v>55</x:v>
      </x:c>
      <x:c r="H415" s="16" t="n">
        <x:f>F415/20</x:f>
        <x:v>2.75</x:v>
      </x:c>
      <x:c r="I415" s="16" t="n">
        <x:f>SUMIFS('עסקאות'!$M$2:$M$1958,'עסקאות'!$F$2:$F$1958,B415,'עסקאות'!$A$2:$A$1958,"&gt;="&amp;DATE(2025,1,1),'עסקאות'!$A$2:$A$1958,"&lt;"&amp;DATE(2026,1,1))</x:f>
        <x:v>55</x:v>
      </x:c>
      <x:c r="J415" s="16" t="n">
        <x:f>SUMIFS('עסקאות'!$M$2:$M$1958,'עסקאות'!$F$2:$F$1958,B415,'עסקאות'!$A$2:$A$1958,"&gt;="&amp;DATE(2026,1,1),'עסקאות'!$A$2:$A$1958,"&lt;"&amp;DATE(2027,1,1))</x:f>
        <x:v>0</x:v>
      </x:c>
    </x:row>
    <x:row r="416">
      <x:c r="B416" s="11" t="str">
        <x:v>מסגרות</x:v>
      </x:c>
      <x:c r="C416" s="11" t="str">
        <x:v>חתונה</x:v>
      </x:c>
      <x:c r="D416" s="11" t="n">
        <x:v>1</x:v>
      </x:c>
      <x:c r="E416" s="11" t="n">
        <x:v>1</x:v>
      </x:c>
      <x:c r="F416" s="16" t="n">
        <x:f>SUMIFS('עסקאות'!$M$2:$M$1958,'עסקאות'!$F$2:$F$1958,B416)</x:f>
        <x:v>55</x:v>
      </x:c>
      <x:c r="G416" s="16" t="n">
        <x:f>IF(D416=0,"",F416/D416)</x:f>
        <x:v>55</x:v>
      </x:c>
      <x:c r="H416" s="16" t="n">
        <x:f>F416/20</x:f>
        <x:v>2.75</x:v>
      </x:c>
      <x:c r="I416" s="16" t="n">
        <x:f>SUMIFS('עסקאות'!$M$2:$M$1958,'עסקאות'!$F$2:$F$1958,B416,'עסקאות'!$A$2:$A$1958,"&gt;="&amp;DATE(2025,1,1),'עסקאות'!$A$2:$A$1958,"&lt;"&amp;DATE(2026,1,1))</x:f>
        <x:v>55</x:v>
      </x:c>
      <x:c r="J416" s="16" t="n">
        <x:f>SUMIFS('עסקאות'!$M$2:$M$1958,'עסקאות'!$F$2:$F$1958,B416,'עסקאות'!$A$2:$A$1958,"&gt;="&amp;DATE(2026,1,1),'עסקאות'!$A$2:$A$1958,"&lt;"&amp;DATE(2027,1,1))</x:f>
        <x:v>0</x:v>
      </x:c>
    </x:row>
    <x:row r="417">
      <x:c r="B417" s="11" t="str">
        <x:v>חניון הדסה</x:v>
      </x:c>
      <x:c r="C417" s="11" t="str">
        <x:v>תחבורה</x:v>
      </x:c>
      <x:c r="D417" s="11" t="n">
        <x:v>1</x:v>
      </x:c>
      <x:c r="E417" s="11" t="n">
        <x:v>1</x:v>
      </x:c>
      <x:c r="F417" s="16" t="n">
        <x:f>SUMIFS('עסקאות'!$M$2:$M$1958,'עסקאות'!$F$2:$F$1958,B417)</x:f>
        <x:v>54</x:v>
      </x:c>
      <x:c r="G417" s="16" t="n">
        <x:f>IF(D417=0,"",F417/D417)</x:f>
        <x:v>54</x:v>
      </x:c>
      <x:c r="H417" s="16" t="n">
        <x:f>F417/20</x:f>
        <x:v>2.7</x:v>
      </x:c>
      <x:c r="I417" s="16" t="n">
        <x:f>SUMIFS('עסקאות'!$M$2:$M$1958,'עסקאות'!$F$2:$F$1958,B417,'עסקאות'!$A$2:$A$1958,"&gt;="&amp;DATE(2025,1,1),'עסקאות'!$A$2:$A$1958,"&lt;"&amp;DATE(2026,1,1))</x:f>
        <x:v>54</x:v>
      </x:c>
      <x:c r="J417" s="16" t="n">
        <x:f>SUMIFS('עסקאות'!$M$2:$M$1958,'עסקאות'!$F$2:$F$1958,B417,'עסקאות'!$A$2:$A$1958,"&gt;="&amp;DATE(2026,1,1),'עסקאות'!$A$2:$A$1958,"&lt;"&amp;DATE(2027,1,1))</x:f>
        <x:v>0</x:v>
      </x:c>
    </x:row>
    <x:row r="418">
      <x:c r="B418" s="11" t="str">
        <x:v>פלייניג טייגר</x:v>
      </x:c>
      <x:c r="C418" s="11" t="str">
        <x:v>קניות לבית</x:v>
      </x:c>
      <x:c r="D418" s="11" t="n">
        <x:v>1</x:v>
      </x:c>
      <x:c r="E418" s="11" t="n">
        <x:v>1</x:v>
      </x:c>
      <x:c r="F418" s="16" t="n">
        <x:f>SUMIFS('עסקאות'!$M$2:$M$1958,'עסקאות'!$F$2:$F$1958,B418)</x:f>
        <x:v>53</x:v>
      </x:c>
      <x:c r="G418" s="16" t="n">
        <x:f>IF(D418=0,"",F418/D418)</x:f>
        <x:v>53</x:v>
      </x:c>
      <x:c r="H418" s="16" t="n">
        <x:f>F418/20</x:f>
        <x:v>2.65</x:v>
      </x:c>
      <x:c r="I418" s="16" t="n">
        <x:f>SUMIFS('עסקאות'!$M$2:$M$1958,'עסקאות'!$F$2:$F$1958,B418,'עסקאות'!$A$2:$A$1958,"&gt;="&amp;DATE(2025,1,1),'עסקאות'!$A$2:$A$1958,"&lt;"&amp;DATE(2026,1,1))</x:f>
        <x:v>53</x:v>
      </x:c>
      <x:c r="J418" s="16" t="n">
        <x:f>SUMIFS('עסקאות'!$M$2:$M$1958,'עסקאות'!$F$2:$F$1958,B418,'עסקאות'!$A$2:$A$1958,"&gt;="&amp;DATE(2026,1,1),'עסקאות'!$A$2:$A$1958,"&lt;"&amp;DATE(2027,1,1))</x:f>
        <x:v>0</x:v>
      </x:c>
    </x:row>
    <x:row r="419">
      <x:c r="B419" s="11" t="str">
        <x:v>סופר (ביט)</x:v>
      </x:c>
      <x:c r="C419" s="11" t="str">
        <x:v>מזון לבית</x:v>
      </x:c>
      <x:c r="D419" s="11" t="n">
        <x:v>1</x:v>
      </x:c>
      <x:c r="E419" s="11" t="n">
        <x:v>1</x:v>
      </x:c>
      <x:c r="F419" s="16" t="n">
        <x:f>SUMIFS('עסקאות'!$M$2:$M$1958,'עסקאות'!$F$2:$F$1958,B419)</x:f>
        <x:v>51</x:v>
      </x:c>
      <x:c r="G419" s="16" t="n">
        <x:f>IF(D419=0,"",F419/D419)</x:f>
        <x:v>51</x:v>
      </x:c>
      <x:c r="H419" s="16" t="n">
        <x:f>F419/20</x:f>
        <x:v>2.55</x:v>
      </x:c>
      <x:c r="I419" s="16" t="n">
        <x:f>SUMIFS('עסקאות'!$M$2:$M$1958,'עסקאות'!$F$2:$F$1958,B419,'עסקאות'!$A$2:$A$1958,"&gt;="&amp;DATE(2025,1,1),'עסקאות'!$A$2:$A$1958,"&lt;"&amp;DATE(2026,1,1))</x:f>
        <x:v>51</x:v>
      </x:c>
      <x:c r="J419" s="16" t="n">
        <x:f>SUMIFS('עסקאות'!$M$2:$M$1958,'עסקאות'!$F$2:$F$1958,B419,'עסקאות'!$A$2:$A$1958,"&gt;="&amp;DATE(2026,1,1),'עסקאות'!$A$2:$A$1958,"&lt;"&amp;DATE(2027,1,1))</x:f>
        <x:v>0</x:v>
      </x:c>
    </x:row>
    <x:row r="420">
      <x:c r="B420" s="11" t="str">
        <x:v>חנן בן ארי</x:v>
      </x:c>
      <x:c r="C420" s="11" t="str">
        <x:v>פנאי</x:v>
      </x:c>
      <x:c r="D420" s="11" t="n">
        <x:v>1</x:v>
      </x:c>
      <x:c r="E420" s="11" t="n">
        <x:v>1</x:v>
      </x:c>
      <x:c r="F420" s="16" t="n">
        <x:f>SUMIFS('עסקאות'!$M$2:$M$1958,'עסקאות'!$F$2:$F$1958,B420)</x:f>
        <x:v>50</x:v>
      </x:c>
      <x:c r="G420" s="16" t="n">
        <x:f>IF(D420=0,"",F420/D420)</x:f>
        <x:v>50</x:v>
      </x:c>
      <x:c r="H420" s="16" t="n">
        <x:f>F420/20</x:f>
        <x:v>2.5</x:v>
      </x:c>
      <x:c r="I420" s="16" t="n">
        <x:f>SUMIFS('עסקאות'!$M$2:$M$1958,'עסקאות'!$F$2:$F$1958,B420,'עסקאות'!$A$2:$A$1958,"&gt;="&amp;DATE(2025,1,1),'עסקאות'!$A$2:$A$1958,"&lt;"&amp;DATE(2026,1,1))</x:f>
        <x:v>50</x:v>
      </x:c>
      <x:c r="J420" s="16" t="n">
        <x:f>SUMIFS('עסקאות'!$M$2:$M$1958,'עסקאות'!$F$2:$F$1958,B420,'עסקאות'!$A$2:$A$1958,"&gt;="&amp;DATE(2026,1,1),'עסקאות'!$A$2:$A$1958,"&lt;"&amp;DATE(2027,1,1))</x:f>
        <x:v>0</x:v>
      </x:c>
    </x:row>
    <x:row r="421">
      <x:c r="B421" s="11" t="str">
        <x:v>פדים לזיעה</x:v>
      </x:c>
      <x:c r="C421" s="11" t="str">
        <x:v>חתונה</x:v>
      </x:c>
      <x:c r="D421" s="11" t="n">
        <x:v>1</x:v>
      </x:c>
      <x:c r="E421" s="11" t="n">
        <x:v>1</x:v>
      </x:c>
      <x:c r="F421" s="16" t="n">
        <x:f>SUMIFS('עסקאות'!$M$2:$M$1958,'עסקאות'!$F$2:$F$1958,B421)</x:f>
        <x:v>50</x:v>
      </x:c>
      <x:c r="G421" s="16" t="n">
        <x:f>IF(D421=0,"",F421/D421)</x:f>
        <x:v>50</x:v>
      </x:c>
      <x:c r="H421" s="16" t="n">
        <x:f>F421/20</x:f>
        <x:v>2.5</x:v>
      </x:c>
      <x:c r="I421" s="16" t="n">
        <x:f>SUMIFS('עסקאות'!$M$2:$M$1958,'עסקאות'!$F$2:$F$1958,B421,'עסקאות'!$A$2:$A$1958,"&gt;="&amp;DATE(2025,1,1),'עסקאות'!$A$2:$A$1958,"&lt;"&amp;DATE(2026,1,1))</x:f>
        <x:v>50</x:v>
      </x:c>
      <x:c r="J421" s="16" t="n">
        <x:f>SUMIFS('עסקאות'!$M$2:$M$1958,'עסקאות'!$F$2:$F$1958,B421,'עסקאות'!$A$2:$A$1958,"&gt;="&amp;DATE(2026,1,1),'עסקאות'!$A$2:$A$1958,"&lt;"&amp;DATE(2027,1,1))</x:f>
        <x:v>0</x:v>
      </x:c>
    </x:row>
    <x:row r="422">
      <x:c r="B422" s="11" t="str">
        <x:v>בורקס</x:v>
      </x:c>
      <x:c r="C422" s="11" t="str">
        <x:v>אוכל בחוץ</x:v>
      </x:c>
      <x:c r="D422" s="11" t="n">
        <x:v>1</x:v>
      </x:c>
      <x:c r="E422" s="11" t="n">
        <x:v>1</x:v>
      </x:c>
      <x:c r="F422" s="16" t="n">
        <x:f>SUMIFS('עסקאות'!$M$2:$M$1958,'עסקאות'!$F$2:$F$1958,B422)</x:f>
        <x:v>50</x:v>
      </x:c>
      <x:c r="G422" s="16" t="n">
        <x:f>IF(D422=0,"",F422/D422)</x:f>
        <x:v>50</x:v>
      </x:c>
      <x:c r="H422" s="16" t="n">
        <x:f>F422/20</x:f>
        <x:v>2.5</x:v>
      </x:c>
      <x:c r="I422" s="16" t="n">
        <x:f>SUMIFS('עסקאות'!$M$2:$M$1958,'עסקאות'!$F$2:$F$1958,B422,'עסקאות'!$A$2:$A$1958,"&gt;="&amp;DATE(2025,1,1),'עסקאות'!$A$2:$A$1958,"&lt;"&amp;DATE(2026,1,1))</x:f>
        <x:v>50</x:v>
      </x:c>
      <x:c r="J422" s="16" t="n">
        <x:f>SUMIFS('עסקאות'!$M$2:$M$1958,'עסקאות'!$F$2:$F$1958,B422,'עסקאות'!$A$2:$A$1958,"&gt;="&amp;DATE(2026,1,1),'עסקאות'!$A$2:$A$1958,"&lt;"&amp;DATE(2027,1,1))</x:f>
        <x:v>0</x:v>
      </x:c>
    </x:row>
    <x:row r="423">
      <x:c r="B423" s="11" t="str">
        <x:v>עמלות</x:v>
      </x:c>
      <x:c r="C423" s="11" t="str">
        <x:v>עמלות</x:v>
      </x:c>
      <x:c r="D423" s="11" t="n">
        <x:v>1</x:v>
      </x:c>
      <x:c r="E423" s="11" t="n">
        <x:v>1</x:v>
      </x:c>
      <x:c r="F423" s="16" t="n">
        <x:f>SUMIFS('עסקאות'!$M$2:$M$1958,'עסקאות'!$F$2:$F$1958,B423)</x:f>
        <x:v>48</x:v>
      </x:c>
      <x:c r="G423" s="16" t="n">
        <x:f>IF(D423=0,"",F423/D423)</x:f>
        <x:v>48</x:v>
      </x:c>
      <x:c r="H423" s="16" t="n">
        <x:f>F423/20</x:f>
        <x:v>2.4</x:v>
      </x:c>
      <x:c r="I423" s="16" t="n">
        <x:f>SUMIFS('עסקאות'!$M$2:$M$1958,'עסקאות'!$F$2:$F$1958,B423,'עסקאות'!$A$2:$A$1958,"&gt;="&amp;DATE(2025,1,1),'עסקאות'!$A$2:$A$1958,"&lt;"&amp;DATE(2026,1,1))</x:f>
        <x:v>48</x:v>
      </x:c>
      <x:c r="J423" s="16" t="n">
        <x:f>SUMIFS('עסקאות'!$M$2:$M$1958,'עסקאות'!$F$2:$F$1958,B423,'עסקאות'!$A$2:$A$1958,"&gt;="&amp;DATE(2026,1,1),'עסקאות'!$A$2:$A$1958,"&lt;"&amp;DATE(2027,1,1))</x:f>
        <x:v>0</x:v>
      </x:c>
    </x:row>
    <x:row r="424">
      <x:c r="B424" s="11" t="str">
        <x:v>פליינג טיגר</x:v>
      </x:c>
      <x:c r="C424" s="11" t="str">
        <x:v>קניות לבית</x:v>
      </x:c>
      <x:c r="D424" s="11" t="n">
        <x:v>1</x:v>
      </x:c>
      <x:c r="E424" s="11" t="n">
        <x:v>1</x:v>
      </x:c>
      <x:c r="F424" s="16" t="n">
        <x:f>SUMIFS('עסקאות'!$M$2:$M$1958,'עסקאות'!$F$2:$F$1958,B424)</x:f>
        <x:v>48</x:v>
      </x:c>
      <x:c r="G424" s="16" t="n">
        <x:f>IF(D424=0,"",F424/D424)</x:f>
        <x:v>48</x:v>
      </x:c>
      <x:c r="H424" s="16" t="n">
        <x:f>F424/20</x:f>
        <x:v>2.4</x:v>
      </x:c>
      <x:c r="I424" s="16" t="n">
        <x:f>SUMIFS('עסקאות'!$M$2:$M$1958,'עסקאות'!$F$2:$F$1958,B424,'עסקאות'!$A$2:$A$1958,"&gt;="&amp;DATE(2025,1,1),'עסקאות'!$A$2:$A$1958,"&lt;"&amp;DATE(2026,1,1))</x:f>
        <x:v>0</x:v>
      </x:c>
      <x:c r="J424" s="16" t="n">
        <x:f>SUMIFS('עסקאות'!$M$2:$M$1958,'עסקאות'!$F$2:$F$1958,B424,'עסקאות'!$A$2:$A$1958,"&gt;="&amp;DATE(2026,1,1),'עסקאות'!$A$2:$A$1958,"&lt;"&amp;DATE(2027,1,1))</x:f>
        <x:v>48</x:v>
      </x:c>
    </x:row>
    <x:row r="425">
      <x:c r="B425" s="11" t="str">
        <x:v>רמיקוב תלת מימד</x:v>
      </x:c>
      <x:c r="C425" s="11" t="str">
        <x:v>תחביבים ומיג'י</x:v>
      </x:c>
      <x:c r="D425" s="11" t="n">
        <x:v>1</x:v>
      </x:c>
      <x:c r="E425" s="11" t="n">
        <x:v>1</x:v>
      </x:c>
      <x:c r="F425" s="16" t="n">
        <x:f>SUMIFS('עסקאות'!$M$2:$M$1958,'עסקאות'!$F$2:$F$1958,B425)</x:f>
        <x:v>48</x:v>
      </x:c>
      <x:c r="G425" s="16" t="n">
        <x:f>IF(D425=0,"",F425/D425)</x:f>
        <x:v>48</x:v>
      </x:c>
      <x:c r="H425" s="16" t="n">
        <x:f>F425/20</x:f>
        <x:v>2.4</x:v>
      </x:c>
      <x:c r="I425" s="16" t="n">
        <x:f>SUMIFS('עסקאות'!$M$2:$M$1958,'עסקאות'!$F$2:$F$1958,B425,'עסקאות'!$A$2:$A$1958,"&gt;="&amp;DATE(2025,1,1),'עסקאות'!$A$2:$A$1958,"&lt;"&amp;DATE(2026,1,1))</x:f>
        <x:v>0</x:v>
      </x:c>
      <x:c r="J425" s="16" t="n">
        <x:f>SUMIFS('עסקאות'!$M$2:$M$1958,'עסקאות'!$F$2:$F$1958,B425,'עסקאות'!$A$2:$A$1958,"&gt;="&amp;DATE(2026,1,1),'עסקאות'!$A$2:$A$1958,"&lt;"&amp;DATE(2027,1,1))</x:f>
        <x:v>48</x:v>
      </x:c>
    </x:row>
    <x:row r="426">
      <x:c r="B426" s="11" t="str">
        <x:v>CAFE FLEUR-יציל</x:v>
      </x:c>
      <x:c r="C426" s="11" t="str">
        <x:v>אוכל בחוץ</x:v>
      </x:c>
      <x:c r="D426" s="11" t="n">
        <x:v>1</x:v>
      </x:c>
      <x:c r="E426" s="11" t="n">
        <x:v>1</x:v>
      </x:c>
      <x:c r="F426" s="16" t="n">
        <x:f>SUMIFS('עסקאות'!$M$2:$M$1958,'עסקאות'!$F$2:$F$1958,B426)</x:f>
        <x:v>48</x:v>
      </x:c>
      <x:c r="G426" s="16" t="n">
        <x:f>IF(D426=0,"",F426/D426)</x:f>
        <x:v>48</x:v>
      </x:c>
      <x:c r="H426" s="16" t="n">
        <x:f>F426/20</x:f>
        <x:v>2.4</x:v>
      </x:c>
      <x:c r="I426" s="16" t="n">
        <x:f>SUMIFS('עסקאות'!$M$2:$M$1958,'עסקאות'!$F$2:$F$1958,B426,'עסקאות'!$A$2:$A$1958,"&gt;="&amp;DATE(2025,1,1),'עסקאות'!$A$2:$A$1958,"&lt;"&amp;DATE(2026,1,1))</x:f>
        <x:v>0</x:v>
      </x:c>
      <x:c r="J426" s="16" t="n">
        <x:f>SUMIFS('עסקאות'!$M$2:$M$1958,'עסקאות'!$F$2:$F$1958,B426,'עסקאות'!$A$2:$A$1958,"&gt;="&amp;DATE(2026,1,1),'עסקאות'!$A$2:$A$1958,"&lt;"&amp;DATE(2027,1,1))</x:f>
        <x:v>48</x:v>
      </x:c>
    </x:row>
    <x:row r="427">
      <x:c r="B427" s="11" t="str">
        <x:v>מתנה לשחף</x:v>
      </x:c>
      <x:c r="C427" s="11" t="str">
        <x:v>מתנה</x:v>
      </x:c>
      <x:c r="D427" s="11" t="n">
        <x:v>1</x:v>
      </x:c>
      <x:c r="E427" s="11" t="n">
        <x:v>1</x:v>
      </x:c>
      <x:c r="F427" s="16" t="n">
        <x:f>SUMIFS('עסקאות'!$M$2:$M$1958,'עסקאות'!$F$2:$F$1958,B427)</x:f>
        <x:v>47</x:v>
      </x:c>
      <x:c r="G427" s="16" t="n">
        <x:f>IF(D427=0,"",F427/D427)</x:f>
        <x:v>47</x:v>
      </x:c>
      <x:c r="H427" s="16" t="n">
        <x:f>F427/20</x:f>
        <x:v>2.35</x:v>
      </x:c>
      <x:c r="I427" s="16" t="n">
        <x:f>SUMIFS('עסקאות'!$M$2:$M$1958,'עסקאות'!$F$2:$F$1958,B427,'עסקאות'!$A$2:$A$1958,"&gt;="&amp;DATE(2025,1,1),'עסקאות'!$A$2:$A$1958,"&lt;"&amp;DATE(2026,1,1))</x:f>
        <x:v>47</x:v>
      </x:c>
      <x:c r="J427" s="16" t="n">
        <x:f>SUMIFS('עסקאות'!$M$2:$M$1958,'עסקאות'!$F$2:$F$1958,B427,'עסקאות'!$A$2:$A$1958,"&gt;="&amp;DATE(2026,1,1),'עסקאות'!$A$2:$A$1958,"&lt;"&amp;DATE(2027,1,1))</x:f>
        <x:v>0</x:v>
      </x:c>
    </x:row>
    <x:row r="428">
      <x:c r="B428" s="11" t="str">
        <x:v>עמלת קנייה ני"ע</x:v>
      </x:c>
      <x:c r="C428" s="11" t="str">
        <x:v>עמלות</x:v>
      </x:c>
      <x:c r="D428" s="11" t="n">
        <x:v>2</x:v>
      </x:c>
      <x:c r="E428" s="11" t="n">
        <x:v>1</x:v>
      </x:c>
      <x:c r="F428" s="16" t="n">
        <x:f>SUMIFS('עסקאות'!$M$2:$M$1958,'עסקאות'!$F$2:$F$1958,B428)</x:f>
        <x:v>46</x:v>
      </x:c>
      <x:c r="G428" s="16" t="n">
        <x:f>IF(D428=0,"",F428/D428)</x:f>
        <x:v>23</x:v>
      </x:c>
      <x:c r="H428" s="16" t="n">
        <x:f>F428/20</x:f>
        <x:v>2.3</x:v>
      </x:c>
      <x:c r="I428" s="16" t="n">
        <x:f>SUMIFS('עסקאות'!$M$2:$M$1958,'עסקאות'!$F$2:$F$1958,B428,'עסקאות'!$A$2:$A$1958,"&gt;="&amp;DATE(2025,1,1),'עסקאות'!$A$2:$A$1958,"&lt;"&amp;DATE(2026,1,1))</x:f>
        <x:v>46</x:v>
      </x:c>
      <x:c r="J428" s="16" t="n">
        <x:f>SUMIFS('עסקאות'!$M$2:$M$1958,'עסקאות'!$F$2:$F$1958,B428,'עסקאות'!$A$2:$A$1958,"&gt;="&amp;DATE(2026,1,1),'עסקאות'!$A$2:$A$1958,"&lt;"&amp;DATE(2027,1,1))</x:f>
        <x:v>0</x:v>
      </x:c>
    </x:row>
    <x:row r="429">
      <x:c r="B429" s="11" t="str">
        <x:v>מאפה</x:v>
      </x:c>
      <x:c r="C429" s="11" t="str">
        <x:v>אוכל בחוץ</x:v>
      </x:c>
      <x:c r="D429" s="11" t="n">
        <x:v>1</x:v>
      </x:c>
      <x:c r="E429" s="11" t="n">
        <x:v>1</x:v>
      </x:c>
      <x:c r="F429" s="16" t="n">
        <x:f>SUMIFS('עסקאות'!$M$2:$M$1958,'עסקאות'!$F$2:$F$1958,B429)</x:f>
        <x:v>46</x:v>
      </x:c>
      <x:c r="G429" s="16" t="n">
        <x:f>IF(D429=0,"",F429/D429)</x:f>
        <x:v>46</x:v>
      </x:c>
      <x:c r="H429" s="16" t="n">
        <x:f>F429/20</x:f>
        <x:v>2.3</x:v>
      </x:c>
      <x:c r="I429" s="16" t="n">
        <x:f>SUMIFS('עסקאות'!$M$2:$M$1958,'עסקאות'!$F$2:$F$1958,B429,'עסקאות'!$A$2:$A$1958,"&gt;="&amp;DATE(2025,1,1),'עסקאות'!$A$2:$A$1958,"&lt;"&amp;DATE(2026,1,1))</x:f>
        <x:v>46</x:v>
      </x:c>
      <x:c r="J429" s="16" t="n">
        <x:f>SUMIFS('עסקאות'!$M$2:$M$1958,'עסקאות'!$F$2:$F$1958,B429,'עסקאות'!$A$2:$A$1958,"&gt;="&amp;DATE(2026,1,1),'עסקאות'!$A$2:$A$1958,"&lt;"&amp;DATE(2027,1,1))</x:f>
        <x:v>0</x:v>
      </x:c>
    </x:row>
    <x:row r="430">
      <x:c r="B430" s="11" t="str">
        <x:v>תוספת ביטוח סיישל</x:v>
      </x:c>
      <x:c r="C430" s="11" t="str">
        <x:v>חתונה</x:v>
      </x:c>
      <x:c r="D430" s="11" t="n">
        <x:v>1</x:v>
      </x:c>
      <x:c r="E430" s="11" t="n">
        <x:v>1</x:v>
      </x:c>
      <x:c r="F430" s="16" t="n">
        <x:f>SUMIFS('עסקאות'!$M$2:$M$1958,'עסקאות'!$F$2:$F$1958,B430)</x:f>
        <x:v>45</x:v>
      </x:c>
      <x:c r="G430" s="16" t="n">
        <x:f>IF(D430=0,"",F430/D430)</x:f>
        <x:v>45</x:v>
      </x:c>
      <x:c r="H430" s="16" t="n">
        <x:f>F430/20</x:f>
        <x:v>2.25</x:v>
      </x:c>
      <x:c r="I430" s="16" t="n">
        <x:f>SUMIFS('עסקאות'!$M$2:$M$1958,'עסקאות'!$F$2:$F$1958,B430,'עסקאות'!$A$2:$A$1958,"&gt;="&amp;DATE(2025,1,1),'עסקאות'!$A$2:$A$1958,"&lt;"&amp;DATE(2026,1,1))</x:f>
        <x:v>45</x:v>
      </x:c>
      <x:c r="J430" s="16" t="n">
        <x:f>SUMIFS('עסקאות'!$M$2:$M$1958,'עסקאות'!$F$2:$F$1958,B430,'עסקאות'!$A$2:$A$1958,"&gt;="&amp;DATE(2026,1,1),'עסקאות'!$A$2:$A$1958,"&lt;"&amp;DATE(2027,1,1))</x:f>
        <x:v>0</x:v>
      </x:c>
    </x:row>
    <x:row r="431">
      <x:c r="B431" s="11" t="str">
        <x:v>לאקי צארמס</x:v>
      </x:c>
      <x:c r="C431" s="11" t="str">
        <x:v>מזון לבית</x:v>
      </x:c>
      <x:c r="D431" s="11" t="n">
        <x:v>1</x:v>
      </x:c>
      <x:c r="E431" s="11" t="n">
        <x:v>1</x:v>
      </x:c>
      <x:c r="F431" s="16" t="n">
        <x:f>SUMIFS('עסקאות'!$M$2:$M$1958,'עסקאות'!$F$2:$F$1958,B431)</x:f>
        <x:v>45</x:v>
      </x:c>
      <x:c r="G431" s="16" t="n">
        <x:f>IF(D431=0,"",F431/D431)</x:f>
        <x:v>45</x:v>
      </x:c>
      <x:c r="H431" s="16" t="n">
        <x:f>F431/20</x:f>
        <x:v>2.25</x:v>
      </x:c>
      <x:c r="I431" s="16" t="n">
        <x:f>SUMIFS('עסקאות'!$M$2:$M$1958,'עסקאות'!$F$2:$F$1958,B431,'עסקאות'!$A$2:$A$1958,"&gt;="&amp;DATE(2025,1,1),'עסקאות'!$A$2:$A$1958,"&lt;"&amp;DATE(2026,1,1))</x:f>
        <x:v>45</x:v>
      </x:c>
      <x:c r="J431" s="16" t="n">
        <x:f>SUMIFS('עסקאות'!$M$2:$M$1958,'עסקאות'!$F$2:$F$1958,B431,'עסקאות'!$A$2:$A$1958,"&gt;="&amp;DATE(2026,1,1),'עסקאות'!$A$2:$A$1958,"&lt;"&amp;DATE(2027,1,1))</x:f>
        <x:v>0</x:v>
      </x:c>
    </x:row>
    <x:row r="432">
      <x:c r="B432" s="11" t="str">
        <x:v>PAYBOX</x:v>
      </x:c>
      <x:c r="C432" s="11" t="str">
        <x:v>מתנה</x:v>
      </x:c>
      <x:c r="D432" s="11" t="n">
        <x:v>2</x:v>
      </x:c>
      <x:c r="E432" s="11" t="n">
        <x:v>1</x:v>
      </x:c>
      <x:c r="F432" s="16" t="n">
        <x:f>SUMIFS('עסקאות'!$M$2:$M$1958,'עסקאות'!$F$2:$F$1958,B432)</x:f>
        <x:v>45</x:v>
      </x:c>
      <x:c r="G432" s="16" t="n">
        <x:f>IF(D432=0,"",F432/D432)</x:f>
        <x:v>22.5</x:v>
      </x:c>
      <x:c r="H432" s="16" t="n">
        <x:f>F432/20</x:f>
        <x:v>2.25</x:v>
      </x:c>
      <x:c r="I432" s="16" t="n">
        <x:f>SUMIFS('עסקאות'!$M$2:$M$1958,'עסקאות'!$F$2:$F$1958,B432,'עסקאות'!$A$2:$A$1958,"&gt;="&amp;DATE(2025,1,1),'עסקאות'!$A$2:$A$1958,"&lt;"&amp;DATE(2026,1,1))</x:f>
        <x:v>0</x:v>
      </x:c>
      <x:c r="J432" s="16" t="n">
        <x:f>SUMIFS('עסקאות'!$M$2:$M$1958,'עסקאות'!$F$2:$F$1958,B432,'עסקאות'!$A$2:$A$1958,"&gt;="&amp;DATE(2026,1,1),'עסקאות'!$A$2:$A$1958,"&lt;"&amp;DATE(2027,1,1))</x:f>
        <x:v>45</x:v>
      </x:c>
    </x:row>
    <x:row r="433">
      <x:c r="B433" s="11" t="str">
        <x:v>פנקיק</x:v>
      </x:c>
      <x:c r="C433" s="11" t="str">
        <x:v>אוכל בחוץ</x:v>
      </x:c>
      <x:c r="D433" s="11" t="n">
        <x:v>1</x:v>
      </x:c>
      <x:c r="E433" s="11" t="n">
        <x:v>1</x:v>
      </x:c>
      <x:c r="F433" s="16" t="n">
        <x:f>SUMIFS('עסקאות'!$M$2:$M$1958,'עסקאות'!$F$2:$F$1958,B433)</x:f>
        <x:v>45</x:v>
      </x:c>
      <x:c r="G433" s="16" t="n">
        <x:f>IF(D433=0,"",F433/D433)</x:f>
        <x:v>45</x:v>
      </x:c>
      <x:c r="H433" s="16" t="n">
        <x:f>F433/20</x:f>
        <x:v>2.25</x:v>
      </x:c>
      <x:c r="I433" s="16" t="n">
        <x:f>SUMIFS('עסקאות'!$M$2:$M$1958,'עסקאות'!$F$2:$F$1958,B433,'עסקאות'!$A$2:$A$1958,"&gt;="&amp;DATE(2025,1,1),'עסקאות'!$A$2:$A$1958,"&lt;"&amp;DATE(2026,1,1))</x:f>
        <x:v>0</x:v>
      </x:c>
      <x:c r="J433" s="16" t="n">
        <x:f>SUMIFS('עסקאות'!$M$2:$M$1958,'עסקאות'!$F$2:$F$1958,B433,'עסקאות'!$A$2:$A$1958,"&gt;="&amp;DATE(2026,1,1),'עסקאות'!$A$2:$A$1958,"&lt;"&amp;DATE(2027,1,1))</x:f>
        <x:v>45</x:v>
      </x:c>
    </x:row>
    <x:row r="434">
      <x:c r="B434" s="11" t="str">
        <x:v>פיטה דרוזית</x:v>
      </x:c>
      <x:c r="C434" s="11" t="str">
        <x:v>אוכל בחוץ</x:v>
      </x:c>
      <x:c r="D434" s="11" t="n">
        <x:v>1</x:v>
      </x:c>
      <x:c r="E434" s="11" t="n">
        <x:v>1</x:v>
      </x:c>
      <x:c r="F434" s="16" t="n">
        <x:f>SUMIFS('עסקאות'!$M$2:$M$1958,'עסקאות'!$F$2:$F$1958,B434)</x:f>
        <x:v>44</x:v>
      </x:c>
      <x:c r="G434" s="16" t="n">
        <x:f>IF(D434=0,"",F434/D434)</x:f>
        <x:v>44</x:v>
      </x:c>
      <x:c r="H434" s="16" t="n">
        <x:f>F434/20</x:f>
        <x:v>2.2</x:v>
      </x:c>
      <x:c r="I434" s="16" t="n">
        <x:f>SUMIFS('עסקאות'!$M$2:$M$1958,'עסקאות'!$F$2:$F$1958,B434,'עסקאות'!$A$2:$A$1958,"&gt;="&amp;DATE(2025,1,1),'עסקאות'!$A$2:$A$1958,"&lt;"&amp;DATE(2026,1,1))</x:f>
        <x:v>44</x:v>
      </x:c>
      <x:c r="J434" s="16" t="n">
        <x:f>SUMIFS('עסקאות'!$M$2:$M$1958,'עסקאות'!$F$2:$F$1958,B434,'עסקאות'!$A$2:$A$1958,"&gt;="&amp;DATE(2026,1,1),'עסקאות'!$A$2:$A$1958,"&lt;"&amp;DATE(2027,1,1))</x:f>
        <x:v>0</x:v>
      </x:c>
    </x:row>
    <x:row r="435">
      <x:c r="B435" s="11" t="str">
        <x:v>אחוזות החוף- חניון ס</x:v>
      </x:c>
      <x:c r="C435" s="11" t="str">
        <x:v>תחבורה</x:v>
      </x:c>
      <x:c r="D435" s="11" t="n">
        <x:v>1</x:v>
      </x:c>
      <x:c r="E435" s="11" t="n">
        <x:v>1</x:v>
      </x:c>
      <x:c r="F435" s="16" t="n">
        <x:f>SUMIFS('עסקאות'!$M$2:$M$1958,'עסקאות'!$F$2:$F$1958,B435)</x:f>
        <x:v>44</x:v>
      </x:c>
      <x:c r="G435" s="16" t="n">
        <x:f>IF(D435=0,"",F435/D435)</x:f>
        <x:v>44</x:v>
      </x:c>
      <x:c r="H435" s="16" t="n">
        <x:f>F435/20</x:f>
        <x:v>2.2</x:v>
      </x:c>
      <x:c r="I435" s="16" t="n">
        <x:f>SUMIFS('עסקאות'!$M$2:$M$1958,'עסקאות'!$F$2:$F$1958,B435,'עסקאות'!$A$2:$A$1958,"&gt;="&amp;DATE(2025,1,1),'עסקאות'!$A$2:$A$1958,"&lt;"&amp;DATE(2026,1,1))</x:f>
        <x:v>0</x:v>
      </x:c>
      <x:c r="J435" s="16" t="n">
        <x:f>SUMIFS('עסקאות'!$M$2:$M$1958,'עסקאות'!$F$2:$F$1958,B435,'עסקאות'!$A$2:$A$1958,"&gt;="&amp;DATE(2026,1,1),'עסקאות'!$A$2:$A$1958,"&lt;"&amp;DATE(2027,1,1))</x:f>
        <x:v>44</x:v>
      </x:c>
    </x:row>
    <x:row r="436">
      <x:c r="B436" s="11" t="str">
        <x:v>דונטס</x:v>
      </x:c>
      <x:c r="C436" s="11" t="str">
        <x:v>אוכל בחוץ</x:v>
      </x:c>
      <x:c r="D436" s="11" t="n">
        <x:v>1</x:v>
      </x:c>
      <x:c r="E436" s="11" t="n">
        <x:v>1</x:v>
      </x:c>
      <x:c r="F436" s="16" t="n">
        <x:f>SUMIFS('עסקאות'!$M$2:$M$1958,'עסקאות'!$F$2:$F$1958,B436)</x:f>
        <x:v>43</x:v>
      </x:c>
      <x:c r="G436" s="16" t="n">
        <x:f>IF(D436=0,"",F436/D436)</x:f>
        <x:v>43</x:v>
      </x:c>
      <x:c r="H436" s="16" t="n">
        <x:f>F436/20</x:f>
        <x:v>2.15</x:v>
      </x:c>
      <x:c r="I436" s="16" t="n">
        <x:f>SUMIFS('עסקאות'!$M$2:$M$1958,'עסקאות'!$F$2:$F$1958,B436,'עסקאות'!$A$2:$A$1958,"&gt;="&amp;DATE(2025,1,1),'עסקאות'!$A$2:$A$1958,"&lt;"&amp;DATE(2026,1,1))</x:f>
        <x:v>43</x:v>
      </x:c>
      <x:c r="J436" s="16" t="n">
        <x:f>SUMIFS('עסקאות'!$M$2:$M$1958,'עסקאות'!$F$2:$F$1958,B436,'עסקאות'!$A$2:$A$1958,"&gt;="&amp;DATE(2026,1,1),'עסקאות'!$A$2:$A$1958,"&lt;"&amp;DATE(2027,1,1))</x:f>
        <x:v>0</x:v>
      </x:c>
    </x:row>
    <x:row r="437">
      <x:c r="B437" s="11" t="str">
        <x:v>קינוח</x:v>
      </x:c>
      <x:c r="C437" s="11" t="str">
        <x:v>אוכל בחוץ</x:v>
      </x:c>
      <x:c r="D437" s="11" t="n">
        <x:v>1</x:v>
      </x:c>
      <x:c r="E437" s="11" t="n">
        <x:v>1</x:v>
      </x:c>
      <x:c r="F437" s="16" t="n">
        <x:f>SUMIFS('עסקאות'!$M$2:$M$1958,'עסקאות'!$F$2:$F$1958,B437)</x:f>
        <x:v>43</x:v>
      </x:c>
      <x:c r="G437" s="16" t="n">
        <x:f>IF(D437=0,"",F437/D437)</x:f>
        <x:v>43</x:v>
      </x:c>
      <x:c r="H437" s="16" t="n">
        <x:f>F437/20</x:f>
        <x:v>2.15</x:v>
      </x:c>
      <x:c r="I437" s="16" t="n">
        <x:f>SUMIFS('עסקאות'!$M$2:$M$1958,'עסקאות'!$F$2:$F$1958,B437,'עסקאות'!$A$2:$A$1958,"&gt;="&amp;DATE(2025,1,1),'עסקאות'!$A$2:$A$1958,"&lt;"&amp;DATE(2026,1,1))</x:f>
        <x:v>43</x:v>
      </x:c>
      <x:c r="J437" s="16" t="n">
        <x:f>SUMIFS('עסקאות'!$M$2:$M$1958,'עסקאות'!$F$2:$F$1958,B437,'עסקאות'!$A$2:$A$1958,"&gt;="&amp;DATE(2026,1,1),'עסקאות'!$A$2:$A$1958,"&lt;"&amp;DATE(2027,1,1))</x:f>
        <x:v>0</x:v>
      </x:c>
    </x:row>
    <x:row r="438">
      <x:c r="B438" s="11" t="str">
        <x:v>מכבי דנט</x:v>
      </x:c>
      <x:c r="C438" s="11" t="str">
        <x:v>בריאות וטיפולים</x:v>
      </x:c>
      <x:c r="D438" s="11" t="n">
        <x:v>1</x:v>
      </x:c>
      <x:c r="E438" s="11" t="n">
        <x:v>1</x:v>
      </x:c>
      <x:c r="F438" s="16" t="n">
        <x:f>SUMIFS('עסקאות'!$M$2:$M$1958,'עסקאות'!$F$2:$F$1958,B438)</x:f>
        <x:v>42</x:v>
      </x:c>
      <x:c r="G438" s="16" t="n">
        <x:f>IF(D438=0,"",F438/D438)</x:f>
        <x:v>42</x:v>
      </x:c>
      <x:c r="H438" s="16" t="n">
        <x:f>F438/20</x:f>
        <x:v>2.1</x:v>
      </x:c>
      <x:c r="I438" s="16" t="n">
        <x:f>SUMIFS('עסקאות'!$M$2:$M$1958,'עסקאות'!$F$2:$F$1958,B438,'עסקאות'!$A$2:$A$1958,"&gt;="&amp;DATE(2025,1,1),'עסקאות'!$A$2:$A$1958,"&lt;"&amp;DATE(2026,1,1))</x:f>
        <x:v>42</x:v>
      </x:c>
      <x:c r="J438" s="16" t="n">
        <x:f>SUMIFS('עסקאות'!$M$2:$M$1958,'עסקאות'!$F$2:$F$1958,B438,'עסקאות'!$A$2:$A$1958,"&gt;="&amp;DATE(2026,1,1),'עסקאות'!$A$2:$A$1958,"&lt;"&amp;DATE(2027,1,1))</x:f>
        <x:v>0</x:v>
      </x:c>
    </x:row>
    <x:row r="439">
      <x:c r="B439" s="11" t="str">
        <x:v>אוכל בסטאנדאפ</x:v>
      </x:c>
      <x:c r="C439" s="11" t="str">
        <x:v>אוכל בחוץ</x:v>
      </x:c>
      <x:c r="D439" s="11" t="n">
        <x:v>1</x:v>
      </x:c>
      <x:c r="E439" s="11" t="n">
        <x:v>1</x:v>
      </x:c>
      <x:c r="F439" s="16" t="n">
        <x:f>SUMIFS('עסקאות'!$M$2:$M$1958,'עסקאות'!$F$2:$F$1958,B439)</x:f>
        <x:v>41</x:v>
      </x:c>
      <x:c r="G439" s="16" t="n">
        <x:f>IF(D439=0,"",F439/D439)</x:f>
        <x:v>41</x:v>
      </x:c>
      <x:c r="H439" s="16" t="n">
        <x:f>F439/20</x:f>
        <x:v>2.05</x:v>
      </x:c>
      <x:c r="I439" s="16" t="n">
        <x:f>SUMIFS('עסקאות'!$M$2:$M$1958,'עסקאות'!$F$2:$F$1958,B439,'עסקאות'!$A$2:$A$1958,"&gt;="&amp;DATE(2025,1,1),'עסקאות'!$A$2:$A$1958,"&lt;"&amp;DATE(2026,1,1))</x:f>
        <x:v>41</x:v>
      </x:c>
      <x:c r="J439" s="16" t="n">
        <x:f>SUMIFS('עסקאות'!$M$2:$M$1958,'עסקאות'!$F$2:$F$1958,B439,'עסקאות'!$A$2:$A$1958,"&gt;="&amp;DATE(2026,1,1),'עסקאות'!$A$2:$A$1958,"&lt;"&amp;DATE(2027,1,1))</x:f>
        <x:v>0</x:v>
      </x:c>
    </x:row>
    <x:row r="440">
      <x:c r="B440" s="11" t="str">
        <x:v>משקפים</x:v>
      </x:c>
      <x:c r="C440" s="11" t="str">
        <x:v>בריאות וטיפולים</x:v>
      </x:c>
      <x:c r="D440" s="11" t="n">
        <x:v>1</x:v>
      </x:c>
      <x:c r="E440" s="11" t="n">
        <x:v>1</x:v>
      </x:c>
      <x:c r="F440" s="16" t="n">
        <x:f>SUMIFS('עסקאות'!$M$2:$M$1958,'עסקאות'!$F$2:$F$1958,B440)</x:f>
        <x:v>40</x:v>
      </x:c>
      <x:c r="G440" s="16" t="n">
        <x:f>IF(D440=0,"",F440/D440)</x:f>
        <x:v>40</x:v>
      </x:c>
      <x:c r="H440" s="16" t="n">
        <x:f>F440/20</x:f>
        <x:v>2</x:v>
      </x:c>
      <x:c r="I440" s="16" t="n">
        <x:f>SUMIFS('עסקאות'!$M$2:$M$1958,'עסקאות'!$F$2:$F$1958,B440,'עסקאות'!$A$2:$A$1958,"&gt;="&amp;DATE(2025,1,1),'עסקאות'!$A$2:$A$1958,"&lt;"&amp;DATE(2026,1,1))</x:f>
        <x:v>40</x:v>
      </x:c>
      <x:c r="J440" s="16" t="n">
        <x:f>SUMIFS('עסקאות'!$M$2:$M$1958,'עסקאות'!$F$2:$F$1958,B440,'עסקאות'!$A$2:$A$1958,"&gt;="&amp;DATE(2026,1,1),'עסקאות'!$A$2:$A$1958,"&lt;"&amp;DATE(2027,1,1))</x:f>
        <x:v>0</x:v>
      </x:c>
    </x:row>
    <x:row r="441">
      <x:c r="B441" s="11" t="str">
        <x:v>מנוי קורקינט</x:v>
      </x:c>
      <x:c r="C441" s="11" t="str">
        <x:v>תחבורה</x:v>
      </x:c>
      <x:c r="D441" s="11" t="n">
        <x:v>1</x:v>
      </x:c>
      <x:c r="E441" s="11" t="n">
        <x:v>1</x:v>
      </x:c>
      <x:c r="F441" s="16" t="n">
        <x:f>SUMIFS('עסקאות'!$M$2:$M$1958,'עסקאות'!$F$2:$F$1958,B441)</x:f>
        <x:v>40</x:v>
      </x:c>
      <x:c r="G441" s="16" t="n">
        <x:f>IF(D441=0,"",F441/D441)</x:f>
        <x:v>40</x:v>
      </x:c>
      <x:c r="H441" s="16" t="n">
        <x:f>F441/20</x:f>
        <x:v>2</x:v>
      </x:c>
      <x:c r="I441" s="16" t="n">
        <x:f>SUMIFS('עסקאות'!$M$2:$M$1958,'עסקאות'!$F$2:$F$1958,B441,'עסקאות'!$A$2:$A$1958,"&gt;="&amp;DATE(2025,1,1),'עסקאות'!$A$2:$A$1958,"&lt;"&amp;DATE(2026,1,1))</x:f>
        <x:v>40</x:v>
      </x:c>
      <x:c r="J441" s="16" t="n">
        <x:f>SUMIFS('עסקאות'!$M$2:$M$1958,'עסקאות'!$F$2:$F$1958,B441,'עסקאות'!$A$2:$A$1958,"&gt;="&amp;DATE(2026,1,1),'עסקאות'!$A$2:$A$1958,"&lt;"&amp;DATE(2027,1,1))</x:f>
        <x:v>0</x:v>
      </x:c>
    </x:row>
    <x:row r="442">
      <x:c r="B442" s="11" t="str">
        <x:v>מתנה (ביט)</x:v>
      </x:c>
      <x:c r="C442" s="11" t="str">
        <x:v>מתנה</x:v>
      </x:c>
      <x:c r="D442" s="11" t="n">
        <x:v>2</x:v>
      </x:c>
      <x:c r="E442" s="11" t="n">
        <x:v>2</x:v>
      </x:c>
      <x:c r="F442" s="16" t="n">
        <x:f>SUMIFS('עסקאות'!$M$2:$M$1958,'עסקאות'!$F$2:$F$1958,B442)</x:f>
        <x:v>40</x:v>
      </x:c>
      <x:c r="G442" s="16" t="n">
        <x:f>IF(D442=0,"",F442/D442)</x:f>
        <x:v>20</x:v>
      </x:c>
      <x:c r="H442" s="16" t="n">
        <x:f>F442/20</x:f>
        <x:v>2</x:v>
      </x:c>
      <x:c r="I442" s="16" t="n">
        <x:f>SUMIFS('עסקאות'!$M$2:$M$1958,'עסקאות'!$F$2:$F$1958,B442,'עסקאות'!$A$2:$A$1958,"&gt;="&amp;DATE(2025,1,1),'עסקאות'!$A$2:$A$1958,"&lt;"&amp;DATE(2026,1,1))</x:f>
        <x:v>40</x:v>
      </x:c>
      <x:c r="J442" s="16" t="n">
        <x:f>SUMIFS('עסקאות'!$M$2:$M$1958,'עסקאות'!$F$2:$F$1958,B442,'עסקאות'!$A$2:$A$1958,"&gt;="&amp;DATE(2026,1,1),'עסקאות'!$A$2:$A$1958,"&lt;"&amp;DATE(2027,1,1))</x:f>
        <x:v>0</x:v>
      </x:c>
    </x:row>
    <x:row r="443">
      <x:c r="B443" s="11" t="str">
        <x:v>בטריות</x:v>
      </x:c>
      <x:c r="C443" s="11" t="str">
        <x:v>קניות לבית</x:v>
      </x:c>
      <x:c r="D443" s="11" t="n">
        <x:v>1</x:v>
      </x:c>
      <x:c r="E443" s="11" t="n">
        <x:v>1</x:v>
      </x:c>
      <x:c r="F443" s="16" t="n">
        <x:f>SUMIFS('עסקאות'!$M$2:$M$1958,'עסקאות'!$F$2:$F$1958,B443)</x:f>
        <x:v>38</x:v>
      </x:c>
      <x:c r="G443" s="16" t="n">
        <x:f>IF(D443=0,"",F443/D443)</x:f>
        <x:v>38</x:v>
      </x:c>
      <x:c r="H443" s="16" t="n">
        <x:f>F443/20</x:f>
        <x:v>1.9</x:v>
      </x:c>
      <x:c r="I443" s="16" t="n">
        <x:f>SUMIFS('עסקאות'!$M$2:$M$1958,'עסקאות'!$F$2:$F$1958,B443,'עסקאות'!$A$2:$A$1958,"&gt;="&amp;DATE(2025,1,1),'עסקאות'!$A$2:$A$1958,"&lt;"&amp;DATE(2026,1,1))</x:f>
        <x:v>38</x:v>
      </x:c>
      <x:c r="J443" s="16" t="n">
        <x:f>SUMIFS('עסקאות'!$M$2:$M$1958,'עסקאות'!$F$2:$F$1958,B443,'עסקאות'!$A$2:$A$1958,"&gt;="&amp;DATE(2026,1,1),'עסקאות'!$A$2:$A$1958,"&lt;"&amp;DATE(2027,1,1))</x:f>
        <x:v>0</x:v>
      </x:c>
    </x:row>
    <x:row r="444">
      <x:c r="B444" s="11" t="str">
        <x:v>סנוקר</x:v>
      </x:c>
      <x:c r="C444" s="11" t="str">
        <x:v>פנאי</x:v>
      </x:c>
      <x:c r="D444" s="11" t="n">
        <x:v>2</x:v>
      </x:c>
      <x:c r="E444" s="11" t="n">
        <x:v>2</x:v>
      </x:c>
      <x:c r="F444" s="16" t="n">
        <x:f>SUMIFS('עסקאות'!$M$2:$M$1958,'עסקאות'!$F$2:$F$1958,B444)</x:f>
        <x:v>38</x:v>
      </x:c>
      <x:c r="G444" s="16" t="n">
        <x:f>IF(D444=0,"",F444/D444)</x:f>
        <x:v>19</x:v>
      </x:c>
      <x:c r="H444" s="16" t="n">
        <x:f>F444/20</x:f>
        <x:v>1.9</x:v>
      </x:c>
      <x:c r="I444" s="16" t="n">
        <x:f>SUMIFS('עסקאות'!$M$2:$M$1958,'עסקאות'!$F$2:$F$1958,B444,'עסקאות'!$A$2:$A$1958,"&gt;="&amp;DATE(2025,1,1),'עסקאות'!$A$2:$A$1958,"&lt;"&amp;DATE(2026,1,1))</x:f>
        <x:v>0</x:v>
      </x:c>
      <x:c r="J444" s="16" t="n">
        <x:f>SUMIFS('עסקאות'!$M$2:$M$1958,'עסקאות'!$F$2:$F$1958,B444,'עסקאות'!$A$2:$A$1958,"&gt;="&amp;DATE(2026,1,1),'עסקאות'!$A$2:$A$1958,"&lt;"&amp;DATE(2027,1,1))</x:f>
        <x:v>38</x:v>
      </x:c>
    </x:row>
    <x:row r="445">
      <x:c r="B445" s="11" t="str">
        <x:v>גולדה נמל תל אביב-יצ</x:v>
      </x:c>
      <x:c r="C445" s="11" t="str">
        <x:v>אוכל בחוץ</x:v>
      </x:c>
      <x:c r="D445" s="11" t="n">
        <x:v>1</x:v>
      </x:c>
      <x:c r="E445" s="11" t="n">
        <x:v>1</x:v>
      </x:c>
      <x:c r="F445" s="16" t="n">
        <x:f>SUMIFS('עסקאות'!$M$2:$M$1958,'עסקאות'!$F$2:$F$1958,B445)</x:f>
        <x:v>38</x:v>
      </x:c>
      <x:c r="G445" s="16" t="n">
        <x:f>IF(D445=0,"",F445/D445)</x:f>
        <x:v>38</x:v>
      </x:c>
      <x:c r="H445" s="16" t="n">
        <x:f>F445/20</x:f>
        <x:v>1.9</x:v>
      </x:c>
      <x:c r="I445" s="16" t="n">
        <x:f>SUMIFS('עסקאות'!$M$2:$M$1958,'עסקאות'!$F$2:$F$1958,B445,'עסקאות'!$A$2:$A$1958,"&gt;="&amp;DATE(2025,1,1),'עסקאות'!$A$2:$A$1958,"&lt;"&amp;DATE(2026,1,1))</x:f>
        <x:v>0</x:v>
      </x:c>
      <x:c r="J445" s="16" t="n">
        <x:f>SUMIFS('עסקאות'!$M$2:$M$1958,'עסקאות'!$F$2:$F$1958,B445,'עסקאות'!$A$2:$A$1958,"&gt;="&amp;DATE(2026,1,1),'עסקאות'!$A$2:$A$1958,"&lt;"&amp;DATE(2027,1,1))</x:f>
        <x:v>38</x:v>
      </x:c>
    </x:row>
    <x:row r="446">
      <x:c r="B446" s="11" t="str">
        <x:v>עמלות נירות ערך</x:v>
      </x:c>
      <x:c r="C446" s="11" t="str">
        <x:v>עמלות</x:v>
      </x:c>
      <x:c r="D446" s="11" t="n">
        <x:v>1</x:v>
      </x:c>
      <x:c r="E446" s="11" t="n">
        <x:v>1</x:v>
      </x:c>
      <x:c r="F446" s="16" t="n">
        <x:f>SUMIFS('עסקאות'!$M$2:$M$1958,'עסקאות'!$F$2:$F$1958,B446)</x:f>
        <x:v>37</x:v>
      </x:c>
      <x:c r="G446" s="16" t="n">
        <x:f>IF(D446=0,"",F446/D446)</x:f>
        <x:v>37</x:v>
      </x:c>
      <x:c r="H446" s="16" t="n">
        <x:f>F446/20</x:f>
        <x:v>1.85</x:v>
      </x:c>
      <x:c r="I446" s="16" t="n">
        <x:f>SUMIFS('עסקאות'!$M$2:$M$1958,'עסקאות'!$F$2:$F$1958,B446,'עסקאות'!$A$2:$A$1958,"&gt;="&amp;DATE(2025,1,1),'עסקאות'!$A$2:$A$1958,"&lt;"&amp;DATE(2026,1,1))</x:f>
        <x:v>37</x:v>
      </x:c>
      <x:c r="J446" s="16" t="n">
        <x:f>SUMIFS('עסקאות'!$M$2:$M$1958,'עסקאות'!$F$2:$F$1958,B446,'עסקאות'!$A$2:$A$1958,"&gt;="&amp;DATE(2026,1,1),'עסקאות'!$A$2:$A$1958,"&lt;"&amp;DATE(2027,1,1))</x:f>
        <x:v>0</x:v>
      </x:c>
    </x:row>
    <x:row r="447">
      <x:c r="B447" s="11" t="str">
        <x:v>כוס חתן</x:v>
      </x:c>
      <x:c r="C447" s="11" t="str">
        <x:v>חתונה</x:v>
      </x:c>
      <x:c r="D447" s="11" t="n">
        <x:v>1</x:v>
      </x:c>
      <x:c r="E447" s="11" t="n">
        <x:v>1</x:v>
      </x:c>
      <x:c r="F447" s="16" t="n">
        <x:f>SUMIFS('עסקאות'!$M$2:$M$1958,'עסקאות'!$F$2:$F$1958,B447)</x:f>
        <x:v>36</x:v>
      </x:c>
      <x:c r="G447" s="16" t="n">
        <x:f>IF(D447=0,"",F447/D447)</x:f>
        <x:v>36</x:v>
      </x:c>
      <x:c r="H447" s="16" t="n">
        <x:f>F447/20</x:f>
        <x:v>1.8</x:v>
      </x:c>
      <x:c r="I447" s="16" t="n">
        <x:f>SUMIFS('עסקאות'!$M$2:$M$1958,'עסקאות'!$F$2:$F$1958,B447,'עסקאות'!$A$2:$A$1958,"&gt;="&amp;DATE(2025,1,1),'עסקאות'!$A$2:$A$1958,"&lt;"&amp;DATE(2026,1,1))</x:f>
        <x:v>36</x:v>
      </x:c>
      <x:c r="J447" s="16" t="n">
        <x:f>SUMIFS('עסקאות'!$M$2:$M$1958,'עסקאות'!$F$2:$F$1958,B447,'עסקאות'!$A$2:$A$1958,"&gt;="&amp;DATE(2026,1,1),'עסקאות'!$A$2:$A$1958,"&lt;"&amp;DATE(2027,1,1))</x:f>
        <x:v>0</x:v>
      </x:c>
    </x:row>
    <x:row r="448">
      <x:c r="B448" s="11" t="str">
        <x:v>פרחים (ביט)</x:v>
      </x:c>
      <x:c r="C448" s="11" t="str">
        <x:v>קניות לבית</x:v>
      </x:c>
      <x:c r="D448" s="11" t="n">
        <x:v>1</x:v>
      </x:c>
      <x:c r="E448" s="11" t="n">
        <x:v>1</x:v>
      </x:c>
      <x:c r="F448" s="16" t="n">
        <x:f>SUMIFS('עסקאות'!$M$2:$M$1958,'עסקאות'!$F$2:$F$1958,B448)</x:f>
        <x:v>35</x:v>
      </x:c>
      <x:c r="G448" s="16" t="n">
        <x:f>IF(D448=0,"",F448/D448)</x:f>
        <x:v>35</x:v>
      </x:c>
      <x:c r="H448" s="16" t="n">
        <x:f>F448/20</x:f>
        <x:v>1.75</x:v>
      </x:c>
      <x:c r="I448" s="16" t="n">
        <x:f>SUMIFS('עסקאות'!$M$2:$M$1958,'עסקאות'!$F$2:$F$1958,B448,'עסקאות'!$A$2:$A$1958,"&gt;="&amp;DATE(2025,1,1),'עסקאות'!$A$2:$A$1958,"&lt;"&amp;DATE(2026,1,1))</x:f>
        <x:v>35</x:v>
      </x:c>
      <x:c r="J448" s="16" t="n">
        <x:f>SUMIFS('עסקאות'!$M$2:$M$1958,'עסקאות'!$F$2:$F$1958,B448,'עסקאות'!$A$2:$A$1958,"&gt;="&amp;DATE(2026,1,1),'עסקאות'!$A$2:$A$1958,"&lt;"&amp;DATE(2027,1,1))</x:f>
        <x:v>0</x:v>
      </x:c>
    </x:row>
    <x:row r="449">
      <x:c r="B449" s="11" t="str">
        <x:v>פרחים - ביט</x:v>
      </x:c>
      <x:c r="C449" s="11" t="str">
        <x:v>קניות לבית</x:v>
      </x:c>
      <x:c r="D449" s="11" t="n">
        <x:v>1</x:v>
      </x:c>
      <x:c r="E449" s="11" t="n">
        <x:v>1</x:v>
      </x:c>
      <x:c r="F449" s="16" t="n">
        <x:f>SUMIFS('עסקאות'!$M$2:$M$1958,'עסקאות'!$F$2:$F$1958,B449)</x:f>
        <x:v>35</x:v>
      </x:c>
      <x:c r="G449" s="16" t="n">
        <x:f>IF(D449=0,"",F449/D449)</x:f>
        <x:v>35</x:v>
      </x:c>
      <x:c r="H449" s="16" t="n">
        <x:f>F449/20</x:f>
        <x:v>1.75</x:v>
      </x:c>
      <x:c r="I449" s="16" t="n">
        <x:f>SUMIFS('עסקאות'!$M$2:$M$1958,'עסקאות'!$F$2:$F$1958,B449,'עסקאות'!$A$2:$A$1958,"&gt;="&amp;DATE(2025,1,1),'עסקאות'!$A$2:$A$1958,"&lt;"&amp;DATE(2026,1,1))</x:f>
        <x:v>35</x:v>
      </x:c>
      <x:c r="J449" s="16" t="n">
        <x:f>SUMIFS('עסקאות'!$M$2:$M$1958,'עסקאות'!$F$2:$F$1958,B449,'עסקאות'!$A$2:$A$1958,"&gt;="&amp;DATE(2026,1,1),'עסקאות'!$A$2:$A$1958,"&lt;"&amp;DATE(2027,1,1))</x:f>
        <x:v>0</x:v>
      </x:c>
    </x:row>
    <x:row r="450">
      <x:c r="B450" s="11" t="str">
        <x:v>מקולת</x:v>
      </x:c>
      <x:c r="C450" s="11" t="str">
        <x:v>מזון לבית</x:v>
      </x:c>
      <x:c r="D450" s="11" t="n">
        <x:v>1</x:v>
      </x:c>
      <x:c r="E450" s="11" t="n">
        <x:v>1</x:v>
      </x:c>
      <x:c r="F450" s="16" t="n">
        <x:f>SUMIFS('עסקאות'!$M$2:$M$1958,'עסקאות'!$F$2:$F$1958,B450)</x:f>
        <x:v>35</x:v>
      </x:c>
      <x:c r="G450" s="16" t="n">
        <x:f>IF(D450=0,"",F450/D450)</x:f>
        <x:v>35</x:v>
      </x:c>
      <x:c r="H450" s="16" t="n">
        <x:f>F450/20</x:f>
        <x:v>1.75</x:v>
      </x:c>
      <x:c r="I450" s="16" t="n">
        <x:f>SUMIFS('עסקאות'!$M$2:$M$1958,'עסקאות'!$F$2:$F$1958,B450,'עסקאות'!$A$2:$A$1958,"&gt;="&amp;DATE(2025,1,1),'עסקאות'!$A$2:$A$1958,"&lt;"&amp;DATE(2026,1,1))</x:f>
        <x:v>35</x:v>
      </x:c>
      <x:c r="J450" s="16" t="n">
        <x:f>SUMIFS('עסקאות'!$M$2:$M$1958,'עסקאות'!$F$2:$F$1958,B450,'עסקאות'!$A$2:$A$1958,"&gt;="&amp;DATE(2026,1,1),'עסקאות'!$A$2:$A$1958,"&lt;"&amp;DATE(2027,1,1))</x:f>
        <x:v>0</x:v>
      </x:c>
    </x:row>
    <x:row r="451">
      <x:c r="B451" s="11" t="str">
        <x:v>לחם</x:v>
      </x:c>
      <x:c r="C451" s="11" t="str">
        <x:v>מזון לבית</x:v>
      </x:c>
      <x:c r="D451" s="11" t="n">
        <x:v>2</x:v>
      </x:c>
      <x:c r="E451" s="11" t="n">
        <x:v>2</x:v>
      </x:c>
      <x:c r="F451" s="16" t="n">
        <x:f>SUMIFS('עסקאות'!$M$2:$M$1958,'עסקאות'!$F$2:$F$1958,B451)</x:f>
        <x:v>35</x:v>
      </x:c>
      <x:c r="G451" s="16" t="n">
        <x:f>IF(D451=0,"",F451/D451)</x:f>
        <x:v>17.5</x:v>
      </x:c>
      <x:c r="H451" s="16" t="n">
        <x:f>F451/20</x:f>
        <x:v>1.75</x:v>
      </x:c>
      <x:c r="I451" s="16" t="n">
        <x:f>SUMIFS('עסקאות'!$M$2:$M$1958,'עסקאות'!$F$2:$F$1958,B451,'עסקאות'!$A$2:$A$1958,"&gt;="&amp;DATE(2025,1,1),'עסקאות'!$A$2:$A$1958,"&lt;"&amp;DATE(2026,1,1))</x:f>
        <x:v>35</x:v>
      </x:c>
      <x:c r="J451" s="16" t="n">
        <x:f>SUMIFS('עסקאות'!$M$2:$M$1958,'עסקאות'!$F$2:$F$1958,B451,'עסקאות'!$A$2:$A$1958,"&gt;="&amp;DATE(2026,1,1),'עסקאות'!$A$2:$A$1958,"&lt;"&amp;DATE(2027,1,1))</x:f>
        <x:v>0</x:v>
      </x:c>
    </x:row>
    <x:row r="452">
      <x:c r="B452" s="11" t="str">
        <x:v>סנדלריה</x:v>
      </x:c>
      <x:c r="C452" s="11" t="str">
        <x:v>קניות לבית</x:v>
      </x:c>
      <x:c r="D452" s="11" t="n">
        <x:v>1</x:v>
      </x:c>
      <x:c r="E452" s="11" t="n">
        <x:v>1</x:v>
      </x:c>
      <x:c r="F452" s="16" t="n">
        <x:f>SUMIFS('עסקאות'!$M$2:$M$1958,'עסקאות'!$F$2:$F$1958,B452)</x:f>
        <x:v>35</x:v>
      </x:c>
      <x:c r="G452" s="16" t="n">
        <x:f>IF(D452=0,"",F452/D452)</x:f>
        <x:v>35</x:v>
      </x:c>
      <x:c r="H452" s="16" t="n">
        <x:f>F452/20</x:f>
        <x:v>1.75</x:v>
      </x:c>
      <x:c r="I452" s="16" t="n">
        <x:f>SUMIFS('עסקאות'!$M$2:$M$1958,'עסקאות'!$F$2:$F$1958,B452,'עסקאות'!$A$2:$A$1958,"&gt;="&amp;DATE(2025,1,1),'עסקאות'!$A$2:$A$1958,"&lt;"&amp;DATE(2026,1,1))</x:f>
        <x:v>35</x:v>
      </x:c>
      <x:c r="J452" s="16" t="n">
        <x:f>SUMIFS('עסקאות'!$M$2:$M$1958,'עסקאות'!$F$2:$F$1958,B452,'עסקאות'!$A$2:$A$1958,"&gt;="&amp;DATE(2026,1,1),'עסקאות'!$A$2:$A$1958,"&lt;"&amp;DATE(2027,1,1))</x:f>
        <x:v>0</x:v>
      </x:c>
    </x:row>
    <x:row r="453">
      <x:c r="B453" s="11" t="str">
        <x:v>לבונטין 7</x:v>
      </x:c>
      <x:c r="C453" s="11" t="str">
        <x:v>אוכל בחוץ</x:v>
      </x:c>
      <x:c r="D453" s="11" t="n">
        <x:v>1</x:v>
      </x:c>
      <x:c r="E453" s="11" t="n">
        <x:v>1</x:v>
      </x:c>
      <x:c r="F453" s="16" t="n">
        <x:f>SUMIFS('עסקאות'!$M$2:$M$1958,'עסקאות'!$F$2:$F$1958,B453)</x:f>
        <x:v>35</x:v>
      </x:c>
      <x:c r="G453" s="16" t="n">
        <x:f>IF(D453=0,"",F453/D453)</x:f>
        <x:v>35</x:v>
      </x:c>
      <x:c r="H453" s="16" t="n">
        <x:f>F453/20</x:f>
        <x:v>1.75</x:v>
      </x:c>
      <x:c r="I453" s="16" t="n">
        <x:f>SUMIFS('עסקאות'!$M$2:$M$1958,'עסקאות'!$F$2:$F$1958,B453,'עסקאות'!$A$2:$A$1958,"&gt;="&amp;DATE(2025,1,1),'עסקאות'!$A$2:$A$1958,"&lt;"&amp;DATE(2026,1,1))</x:f>
        <x:v>0</x:v>
      </x:c>
      <x:c r="J453" s="16" t="n">
        <x:f>SUMIFS('עסקאות'!$M$2:$M$1958,'עסקאות'!$F$2:$F$1958,B453,'עסקאות'!$A$2:$A$1958,"&gt;="&amp;DATE(2026,1,1),'עסקאות'!$A$2:$A$1958,"&lt;"&amp;DATE(2027,1,1))</x:f>
        <x:v>35</x:v>
      </x:c>
    </x:row>
    <x:row r="454">
      <x:c r="B454" s="11" t="str">
        <x:v>סטופמרקט השרון</x:v>
      </x:c>
      <x:c r="C454" s="11" t="str">
        <x:v>מזון לבית</x:v>
      </x:c>
      <x:c r="D454" s="11" t="n">
        <x:v>1</x:v>
      </x:c>
      <x:c r="E454" s="11" t="n">
        <x:v>1</x:v>
      </x:c>
      <x:c r="F454" s="16" t="n">
        <x:f>SUMIFS('עסקאות'!$M$2:$M$1958,'עסקאות'!$F$2:$F$1958,B454)</x:f>
        <x:v>35</x:v>
      </x:c>
      <x:c r="G454" s="16" t="n">
        <x:f>IF(D454=0,"",F454/D454)</x:f>
        <x:v>35</x:v>
      </x:c>
      <x:c r="H454" s="16" t="n">
        <x:f>F454/20</x:f>
        <x:v>1.75</x:v>
      </x:c>
      <x:c r="I454" s="16" t="n">
        <x:f>SUMIFS('עסקאות'!$M$2:$M$1958,'עסקאות'!$F$2:$F$1958,B454,'עסקאות'!$A$2:$A$1958,"&gt;="&amp;DATE(2025,1,1),'עסקאות'!$A$2:$A$1958,"&lt;"&amp;DATE(2026,1,1))</x:f>
        <x:v>0</x:v>
      </x:c>
      <x:c r="J454" s="16" t="n">
        <x:f>SUMIFS('עסקאות'!$M$2:$M$1958,'עסקאות'!$F$2:$F$1958,B454,'עסקאות'!$A$2:$A$1958,"&gt;="&amp;DATE(2026,1,1),'עסקאות'!$A$2:$A$1958,"&lt;"&amp;DATE(2027,1,1))</x:f>
        <x:v>35</x:v>
      </x:c>
    </x:row>
    <x:row r="455">
      <x:c r="B455" s="11" t="str">
        <x:v>פרארם</x:v>
      </x:c>
      <x:c r="C455" s="11" t="str">
        <x:v>בריאות וטיפולים</x:v>
      </x:c>
      <x:c r="D455" s="11" t="n">
        <x:v>1</x:v>
      </x:c>
      <x:c r="E455" s="11" t="n">
        <x:v>1</x:v>
      </x:c>
      <x:c r="F455" s="16" t="n">
        <x:f>SUMIFS('עסקאות'!$M$2:$M$1958,'עסקאות'!$F$2:$F$1958,B455)</x:f>
        <x:v>34</x:v>
      </x:c>
      <x:c r="G455" s="16" t="n">
        <x:f>IF(D455=0,"",F455/D455)</x:f>
        <x:v>34</x:v>
      </x:c>
      <x:c r="H455" s="16" t="n">
        <x:f>F455/20</x:f>
        <x:v>1.7</x:v>
      </x:c>
      <x:c r="I455" s="16" t="n">
        <x:f>SUMIFS('עסקאות'!$M$2:$M$1958,'עסקאות'!$F$2:$F$1958,B455,'עסקאות'!$A$2:$A$1958,"&gt;="&amp;DATE(2025,1,1),'עסקאות'!$A$2:$A$1958,"&lt;"&amp;DATE(2026,1,1))</x:f>
        <x:v>0</x:v>
      </x:c>
      <x:c r="J455" s="16" t="n">
        <x:f>SUMIFS('עסקאות'!$M$2:$M$1958,'עסקאות'!$F$2:$F$1958,B455,'עסקאות'!$A$2:$A$1958,"&gt;="&amp;DATE(2026,1,1),'עסקאות'!$A$2:$A$1958,"&lt;"&amp;DATE(2027,1,1))</x:f>
        <x:v>34</x:v>
      </x:c>
    </x:row>
    <x:row r="456">
      <x:c r="B456" s="11" t="str">
        <x:v>חניון קצה השדרה</x:v>
      </x:c>
      <x:c r="C456" s="11" t="str">
        <x:v>לא מסווג</x:v>
      </x:c>
      <x:c r="D456" s="11" t="n">
        <x:v>1</x:v>
      </x:c>
      <x:c r="E456" s="11" t="n">
        <x:v>1</x:v>
      </x:c>
      <x:c r="F456" s="16" t="n">
        <x:f>SUMIFS('עסקאות'!$M$2:$M$1958,'עסקאות'!$F$2:$F$1958,B456)</x:f>
        <x:v>34</x:v>
      </x:c>
      <x:c r="G456" s="16" t="n">
        <x:f>IF(D456=0,"",F456/D456)</x:f>
        <x:v>34</x:v>
      </x:c>
      <x:c r="H456" s="16" t="n">
        <x:f>F456/20</x:f>
        <x:v>1.7</x:v>
      </x:c>
      <x:c r="I456" s="16" t="n">
        <x:f>SUMIFS('עסקאות'!$M$2:$M$1958,'עסקאות'!$F$2:$F$1958,B456,'עסקאות'!$A$2:$A$1958,"&gt;="&amp;DATE(2025,1,1),'עסקאות'!$A$2:$A$1958,"&lt;"&amp;DATE(2026,1,1))</x:f>
        <x:v>0</x:v>
      </x:c>
      <x:c r="J456" s="16" t="n">
        <x:f>SUMIFS('עסקאות'!$M$2:$M$1958,'עסקאות'!$F$2:$F$1958,B456,'עסקאות'!$A$2:$A$1958,"&gt;="&amp;DATE(2026,1,1),'עסקאות'!$A$2:$A$1958,"&lt;"&amp;DATE(2027,1,1))</x:f>
        <x:v>34</x:v>
      </x:c>
    </x:row>
    <x:row r="457">
      <x:c r="B457" s="11" t="str">
        <x:v>תחנת לחם</x:v>
      </x:c>
      <x:c r="C457" s="11" t="str">
        <x:v>אוכל בחוץ</x:v>
      </x:c>
      <x:c r="D457" s="11" t="n">
        <x:v>1</x:v>
      </x:c>
      <x:c r="E457" s="11" t="n">
        <x:v>1</x:v>
      </x:c>
      <x:c r="F457" s="16" t="n">
        <x:f>SUMIFS('עסקאות'!$M$2:$M$1958,'עסקאות'!$F$2:$F$1958,B457)</x:f>
        <x:v>31</x:v>
      </x:c>
      <x:c r="G457" s="16" t="n">
        <x:f>IF(D457=0,"",F457/D457)</x:f>
        <x:v>31</x:v>
      </x:c>
      <x:c r="H457" s="16" t="n">
        <x:f>F457/20</x:f>
        <x:v>1.55</x:v>
      </x:c>
      <x:c r="I457" s="16" t="n">
        <x:f>SUMIFS('עסקאות'!$M$2:$M$1958,'עסקאות'!$F$2:$F$1958,B457,'עסקאות'!$A$2:$A$1958,"&gt;="&amp;DATE(2025,1,1),'עסקאות'!$A$2:$A$1958,"&lt;"&amp;DATE(2026,1,1))</x:f>
        <x:v>31</x:v>
      </x:c>
      <x:c r="J457" s="16" t="n">
        <x:f>SUMIFS('עסקאות'!$M$2:$M$1958,'עסקאות'!$F$2:$F$1958,B457,'עסקאות'!$A$2:$A$1958,"&gt;="&amp;DATE(2026,1,1),'עסקאות'!$A$2:$A$1958,"&lt;"&amp;DATE(2027,1,1))</x:f>
        <x:v>0</x:v>
      </x:c>
    </x:row>
    <x:row r="458">
      <x:c r="B458" s="11" t="str">
        <x:v>ספייר איט</x:v>
      </x:c>
      <x:c r="C458" s="11" t="str">
        <x:v>אוכל בחוץ</x:v>
      </x:c>
      <x:c r="D458" s="11" t="n">
        <x:v>1</x:v>
      </x:c>
      <x:c r="E458" s="11" t="n">
        <x:v>1</x:v>
      </x:c>
      <x:c r="F458" s="16" t="n">
        <x:f>SUMIFS('עסקאות'!$M$2:$M$1958,'עסקאות'!$F$2:$F$1958,B458)</x:f>
        <x:v>30</x:v>
      </x:c>
      <x:c r="G458" s="16" t="n">
        <x:f>IF(D458=0,"",F458/D458)</x:f>
        <x:v>30</x:v>
      </x:c>
      <x:c r="H458" s="16" t="n">
        <x:f>F458/20</x:f>
        <x:v>1.5</x:v>
      </x:c>
      <x:c r="I458" s="16" t="n">
        <x:f>SUMIFS('עסקאות'!$M$2:$M$1958,'עסקאות'!$F$2:$F$1958,B458,'עסקאות'!$A$2:$A$1958,"&gt;="&amp;DATE(2025,1,1),'עסקאות'!$A$2:$A$1958,"&lt;"&amp;DATE(2026,1,1))</x:f>
        <x:v>30</x:v>
      </x:c>
      <x:c r="J458" s="16" t="n">
        <x:f>SUMIFS('עסקאות'!$M$2:$M$1958,'עסקאות'!$F$2:$F$1958,B458,'עסקאות'!$A$2:$A$1958,"&gt;="&amp;DATE(2026,1,1),'עסקאות'!$A$2:$A$1958,"&lt;"&amp;DATE(2027,1,1))</x:f>
        <x:v>0</x:v>
      </x:c>
    </x:row>
    <x:row r="459">
      <x:c r="B459" s="11" t="str">
        <x:v>בירה (ביט)</x:v>
      </x:c>
      <x:c r="C459" s="11" t="str">
        <x:v>אוכל בחוץ</x:v>
      </x:c>
      <x:c r="D459" s="11" t="n">
        <x:v>1</x:v>
      </x:c>
      <x:c r="E459" s="11" t="n">
        <x:v>1</x:v>
      </x:c>
      <x:c r="F459" s="16" t="n">
        <x:f>SUMIFS('עסקאות'!$M$2:$M$1958,'עסקאות'!$F$2:$F$1958,B459)</x:f>
        <x:v>30</x:v>
      </x:c>
      <x:c r="G459" s="16" t="n">
        <x:f>IF(D459=0,"",F459/D459)</x:f>
        <x:v>30</x:v>
      </x:c>
      <x:c r="H459" s="16" t="n">
        <x:f>F459/20</x:f>
        <x:v>1.5</x:v>
      </x:c>
      <x:c r="I459" s="16" t="n">
        <x:f>SUMIFS('עסקאות'!$M$2:$M$1958,'עסקאות'!$F$2:$F$1958,B459,'עסקאות'!$A$2:$A$1958,"&gt;="&amp;DATE(2025,1,1),'עסקאות'!$A$2:$A$1958,"&lt;"&amp;DATE(2026,1,1))</x:f>
        <x:v>30</x:v>
      </x:c>
      <x:c r="J459" s="16" t="n">
        <x:f>SUMIFS('עסקאות'!$M$2:$M$1958,'עסקאות'!$F$2:$F$1958,B459,'עסקאות'!$A$2:$A$1958,"&gt;="&amp;DATE(2026,1,1),'עסקאות'!$A$2:$A$1958,"&lt;"&amp;DATE(2027,1,1))</x:f>
        <x:v>0</x:v>
      </x:c>
    </x:row>
    <x:row r="460">
      <x:c r="B460" s="11" t="str">
        <x:v>SPAREEAT-גמא</x:v>
      </x:c>
      <x:c r="C460" s="11" t="str">
        <x:v>אוכל בחוץ</x:v>
      </x:c>
      <x:c r="D460" s="11" t="n">
        <x:v>1</x:v>
      </x:c>
      <x:c r="E460" s="11" t="n">
        <x:v>1</x:v>
      </x:c>
      <x:c r="F460" s="16" t="n">
        <x:f>SUMIFS('עסקאות'!$M$2:$M$1958,'עסקאות'!$F$2:$F$1958,B460)</x:f>
        <x:v>30</x:v>
      </x:c>
      <x:c r="G460" s="16" t="n">
        <x:f>IF(D460=0,"",F460/D460)</x:f>
        <x:v>30</x:v>
      </x:c>
      <x:c r="H460" s="16" t="n">
        <x:f>F460/20</x:f>
        <x:v>1.5</x:v>
      </x:c>
      <x:c r="I460" s="16" t="n">
        <x:f>SUMIFS('עסקאות'!$M$2:$M$1958,'עסקאות'!$F$2:$F$1958,B460,'עסקאות'!$A$2:$A$1958,"&gt;="&amp;DATE(2025,1,1),'עסקאות'!$A$2:$A$1958,"&lt;"&amp;DATE(2026,1,1))</x:f>
        <x:v>0</x:v>
      </x:c>
      <x:c r="J460" s="16" t="n">
        <x:f>SUMIFS('עסקאות'!$M$2:$M$1958,'עסקאות'!$F$2:$F$1958,B460,'עסקאות'!$A$2:$A$1958,"&gt;="&amp;DATE(2026,1,1),'עסקאות'!$A$2:$A$1958,"&lt;"&amp;DATE(2027,1,1))</x:f>
        <x:v>30</x:v>
      </x:c>
    </x:row>
    <x:row r="461">
      <x:c r="B461" s="11" t="str">
        <x:v>ספייס אינביידרז</x:v>
      </x:c>
      <x:c r="C461" s="11" t="str">
        <x:v>אוכל בחוץ</x:v>
      </x:c>
      <x:c r="D461" s="11" t="n">
        <x:v>3</x:v>
      </x:c>
      <x:c r="E461" s="11" t="n">
        <x:v>1</x:v>
      </x:c>
      <x:c r="F461" s="16" t="n">
        <x:f>SUMIFS('עסקאות'!$M$2:$M$1958,'עסקאות'!$F$2:$F$1958,B461)</x:f>
        <x:v>30</x:v>
      </x:c>
      <x:c r="G461" s="16" t="n">
        <x:f>IF(D461=0,"",F461/D461)</x:f>
        <x:v>10</x:v>
      </x:c>
      <x:c r="H461" s="16" t="n">
        <x:f>F461/20</x:f>
        <x:v>1.5</x:v>
      </x:c>
      <x:c r="I461" s="16" t="n">
        <x:f>SUMIFS('עסקאות'!$M$2:$M$1958,'עסקאות'!$F$2:$F$1958,B461,'עסקאות'!$A$2:$A$1958,"&gt;="&amp;DATE(2025,1,1),'עסקאות'!$A$2:$A$1958,"&lt;"&amp;DATE(2026,1,1))</x:f>
        <x:v>0</x:v>
      </x:c>
      <x:c r="J461" s="16" t="n">
        <x:f>SUMIFS('עסקאות'!$M$2:$M$1958,'עסקאות'!$F$2:$F$1958,B461,'עסקאות'!$A$2:$A$1958,"&gt;="&amp;DATE(2026,1,1),'עסקאות'!$A$2:$A$1958,"&lt;"&amp;DATE(2027,1,1))</x:f>
        <x:v>30</x:v>
      </x:c>
    </x:row>
    <x:row r="462">
      <x:c r="B462" s="11" t="str">
        <x:v>ניצת הדובדבן אבן גבי</x:v>
      </x:c>
      <x:c r="C462" s="11" t="str">
        <x:v>מזון לבית</x:v>
      </x:c>
      <x:c r="D462" s="11" t="n">
        <x:v>1</x:v>
      </x:c>
      <x:c r="E462" s="11" t="n">
        <x:v>1</x:v>
      </x:c>
      <x:c r="F462" s="16" t="n">
        <x:f>SUMIFS('עסקאות'!$M$2:$M$1958,'עסקאות'!$F$2:$F$1958,B462)</x:f>
        <x:v>30</x:v>
      </x:c>
      <x:c r="G462" s="16" t="n">
        <x:f>IF(D462=0,"",F462/D462)</x:f>
        <x:v>30</x:v>
      </x:c>
      <x:c r="H462" s="16" t="n">
        <x:f>F462/20</x:f>
        <x:v>1.5</x:v>
      </x:c>
      <x:c r="I462" s="16" t="n">
        <x:f>SUMIFS('עסקאות'!$M$2:$M$1958,'עסקאות'!$F$2:$F$1958,B462,'עסקאות'!$A$2:$A$1958,"&gt;="&amp;DATE(2025,1,1),'עסקאות'!$A$2:$A$1958,"&lt;"&amp;DATE(2026,1,1))</x:f>
        <x:v>0</x:v>
      </x:c>
      <x:c r="J462" s="16" t="n">
        <x:f>SUMIFS('עסקאות'!$M$2:$M$1958,'עסקאות'!$F$2:$F$1958,B462,'עסקאות'!$A$2:$A$1958,"&gt;="&amp;DATE(2026,1,1),'עסקאות'!$A$2:$A$1958,"&lt;"&amp;DATE(2027,1,1))</x:f>
        <x:v>30</x:v>
      </x:c>
    </x:row>
    <x:row r="463">
      <x:c r="B463" s="11" t="str">
        <x:v>חניון</x:v>
      </x:c>
      <x:c r="C463" s="11" t="str">
        <x:v>תחבורה</x:v>
      </x:c>
      <x:c r="D463" s="11" t="n">
        <x:v>1</x:v>
      </x:c>
      <x:c r="E463" s="11" t="n">
        <x:v>1</x:v>
      </x:c>
      <x:c r="F463" s="16" t="n">
        <x:f>SUMIFS('עסקאות'!$M$2:$M$1958,'עסקאות'!$F$2:$F$1958,B463)</x:f>
        <x:v>29</x:v>
      </x:c>
      <x:c r="G463" s="16" t="n">
        <x:f>IF(D463=0,"",F463/D463)</x:f>
        <x:v>29</x:v>
      </x:c>
      <x:c r="H463" s="16" t="n">
        <x:f>F463/20</x:f>
        <x:v>1.45</x:v>
      </x:c>
      <x:c r="I463" s="16" t="n">
        <x:f>SUMIFS('עסקאות'!$M$2:$M$1958,'עסקאות'!$F$2:$F$1958,B463,'עסקאות'!$A$2:$A$1958,"&gt;="&amp;DATE(2025,1,1),'עסקאות'!$A$2:$A$1958,"&lt;"&amp;DATE(2026,1,1))</x:f>
        <x:v>29</x:v>
      </x:c>
      <x:c r="J463" s="16" t="n">
        <x:f>SUMIFS('עסקאות'!$M$2:$M$1958,'עסקאות'!$F$2:$F$1958,B463,'עסקאות'!$A$2:$A$1958,"&gt;="&amp;DATE(2026,1,1),'עסקאות'!$A$2:$A$1958,"&lt;"&amp;DATE(2027,1,1))</x:f>
        <x:v>0</x:v>
      </x:c>
    </x:row>
    <x:row r="464">
      <x:c r="B464" s="11" t="str">
        <x:v>צייט פור ברוט</x:v>
      </x:c>
      <x:c r="C464" s="11" t="str">
        <x:v>אוכל בחוץ</x:v>
      </x:c>
      <x:c r="D464" s="11" t="n">
        <x:v>1</x:v>
      </x:c>
      <x:c r="E464" s="11" t="n">
        <x:v>1</x:v>
      </x:c>
      <x:c r="F464" s="16" t="n">
        <x:f>SUMIFS('עסקאות'!$M$2:$M$1958,'עסקאות'!$F$2:$F$1958,B464)</x:f>
        <x:v>29</x:v>
      </x:c>
      <x:c r="G464" s="16" t="n">
        <x:f>IF(D464=0,"",F464/D464)</x:f>
        <x:v>29</x:v>
      </x:c>
      <x:c r="H464" s="16" t="n">
        <x:f>F464/20</x:f>
        <x:v>1.45</x:v>
      </x:c>
      <x:c r="I464" s="16" t="n">
        <x:f>SUMIFS('עסקאות'!$M$2:$M$1958,'עסקאות'!$F$2:$F$1958,B464,'עסקאות'!$A$2:$A$1958,"&gt;="&amp;DATE(2025,1,1),'עסקאות'!$A$2:$A$1958,"&lt;"&amp;DATE(2026,1,1))</x:f>
        <x:v>0</x:v>
      </x:c>
      <x:c r="J464" s="16" t="n">
        <x:f>SUMIFS('עסקאות'!$M$2:$M$1958,'עסקאות'!$F$2:$F$1958,B464,'עסקאות'!$A$2:$A$1958,"&gt;="&amp;DATE(2026,1,1),'עסקאות'!$A$2:$A$1958,"&lt;"&amp;DATE(2027,1,1))</x:f>
        <x:v>29</x:v>
      </x:c>
    </x:row>
    <x:row r="465">
      <x:c r="B465" s="11" t="str">
        <x:v>עמלות ני"ע</x:v>
      </x:c>
      <x:c r="C465" s="11" t="str">
        <x:v>עמלות</x:v>
      </x:c>
      <x:c r="D465" s="11" t="n">
        <x:v>1</x:v>
      </x:c>
      <x:c r="E465" s="11" t="n">
        <x:v>1</x:v>
      </x:c>
      <x:c r="F465" s="16" t="n">
        <x:f>SUMIFS('עסקאות'!$M$2:$M$1958,'עסקאות'!$F$2:$F$1958,B465)</x:f>
        <x:v>28</x:v>
      </x:c>
      <x:c r="G465" s="16" t="n">
        <x:f>IF(D465=0,"",F465/D465)</x:f>
        <x:v>28</x:v>
      </x:c>
      <x:c r="H465" s="16" t="n">
        <x:f>F465/20</x:f>
        <x:v>1.4</x:v>
      </x:c>
      <x:c r="I465" s="16" t="n">
        <x:f>SUMIFS('עסקאות'!$M$2:$M$1958,'עסקאות'!$F$2:$F$1958,B465,'עסקאות'!$A$2:$A$1958,"&gt;="&amp;DATE(2025,1,1),'עסקאות'!$A$2:$A$1958,"&lt;"&amp;DATE(2026,1,1))</x:f>
        <x:v>28</x:v>
      </x:c>
      <x:c r="J465" s="16" t="n">
        <x:f>SUMIFS('עסקאות'!$M$2:$M$1958,'עסקאות'!$F$2:$F$1958,B465,'עסקאות'!$A$2:$A$1958,"&gt;="&amp;DATE(2026,1,1),'עסקאות'!$A$2:$A$1958,"&lt;"&amp;DATE(2027,1,1))</x:f>
        <x:v>0</x:v>
      </x:c>
    </x:row>
    <x:row r="466">
      <x:c r="B466" s="11" t="str">
        <x:v>ממתק</x:v>
      </x:c>
      <x:c r="C466" s="11" t="str">
        <x:v>אוכל בחוץ</x:v>
      </x:c>
      <x:c r="D466" s="11" t="n">
        <x:v>1</x:v>
      </x:c>
      <x:c r="E466" s="11" t="n">
        <x:v>1</x:v>
      </x:c>
      <x:c r="F466" s="16" t="n">
        <x:f>SUMIFS('עסקאות'!$M$2:$M$1958,'עסקאות'!$F$2:$F$1958,B466)</x:f>
        <x:v>28</x:v>
      </x:c>
      <x:c r="G466" s="16" t="n">
        <x:f>IF(D466=0,"",F466/D466)</x:f>
        <x:v>28</x:v>
      </x:c>
      <x:c r="H466" s="16" t="n">
        <x:f>F466/20</x:f>
        <x:v>1.4</x:v>
      </x:c>
      <x:c r="I466" s="16" t="n">
        <x:f>SUMIFS('עסקאות'!$M$2:$M$1958,'עסקאות'!$F$2:$F$1958,B466,'עסקאות'!$A$2:$A$1958,"&gt;="&amp;DATE(2025,1,1),'עסקאות'!$A$2:$A$1958,"&lt;"&amp;DATE(2026,1,1))</x:f>
        <x:v>28</x:v>
      </x:c>
      <x:c r="J466" s="16" t="n">
        <x:f>SUMIFS('עסקאות'!$M$2:$M$1958,'עסקאות'!$F$2:$F$1958,B466,'עסקאות'!$A$2:$A$1958,"&gt;="&amp;DATE(2026,1,1),'עסקאות'!$A$2:$A$1958,"&lt;"&amp;DATE(2027,1,1))</x:f>
        <x:v>0</x:v>
      </x:c>
    </x:row>
    <x:row r="467">
      <x:c r="B467" s="11" t="str">
        <x:v>סנוקר (ביט)</x:v>
      </x:c>
      <x:c r="C467" s="11" t="str">
        <x:v>פנאי</x:v>
      </x:c>
      <x:c r="D467" s="11" t="n">
        <x:v>1</x:v>
      </x:c>
      <x:c r="E467" s="11" t="n">
        <x:v>1</x:v>
      </x:c>
      <x:c r="F467" s="16" t="n">
        <x:f>SUMIFS('עסקאות'!$M$2:$M$1958,'עסקאות'!$F$2:$F$1958,B467)</x:f>
        <x:v>26</x:v>
      </x:c>
      <x:c r="G467" s="16" t="n">
        <x:f>IF(D467=0,"",F467/D467)</x:f>
        <x:v>26</x:v>
      </x:c>
      <x:c r="H467" s="16" t="n">
        <x:f>F467/20</x:f>
        <x:v>1.3</x:v>
      </x:c>
      <x:c r="I467" s="16" t="n">
        <x:f>SUMIFS('עסקאות'!$M$2:$M$1958,'עסקאות'!$F$2:$F$1958,B467,'עסקאות'!$A$2:$A$1958,"&gt;="&amp;DATE(2025,1,1),'עסקאות'!$A$2:$A$1958,"&lt;"&amp;DATE(2026,1,1))</x:f>
        <x:v>26</x:v>
      </x:c>
      <x:c r="J467" s="16" t="n">
        <x:f>SUMIFS('עסקאות'!$M$2:$M$1958,'עסקאות'!$F$2:$F$1958,B467,'עסקאות'!$A$2:$A$1958,"&gt;="&amp;DATE(2026,1,1),'עסקאות'!$A$2:$A$1958,"&lt;"&amp;DATE(2027,1,1))</x:f>
        <x:v>0</x:v>
      </x:c>
    </x:row>
    <x:row r="468">
      <x:c r="B468" s="11" t="str">
        <x:v>חניון ג'י סיטי</x:v>
      </x:c>
      <x:c r="C468" s="11" t="str">
        <x:v>תחבורה</x:v>
      </x:c>
      <x:c r="D468" s="11" t="n">
        <x:v>1</x:v>
      </x:c>
      <x:c r="E468" s="11" t="n">
        <x:v>1</x:v>
      </x:c>
      <x:c r="F468" s="16" t="n">
        <x:f>SUMIFS('עסקאות'!$M$2:$M$1958,'עסקאות'!$F$2:$F$1958,B468)</x:f>
        <x:v>26</x:v>
      </x:c>
      <x:c r="G468" s="16" t="n">
        <x:f>IF(D468=0,"",F468/D468)</x:f>
        <x:v>26</x:v>
      </x:c>
      <x:c r="H468" s="16" t="n">
        <x:f>F468/20</x:f>
        <x:v>1.3</x:v>
      </x:c>
      <x:c r="I468" s="16" t="n">
        <x:f>SUMIFS('עסקאות'!$M$2:$M$1958,'עסקאות'!$F$2:$F$1958,B468,'עסקאות'!$A$2:$A$1958,"&gt;="&amp;DATE(2025,1,1),'עסקאות'!$A$2:$A$1958,"&lt;"&amp;DATE(2026,1,1))</x:f>
        <x:v>0</x:v>
      </x:c>
      <x:c r="J468" s="16" t="n">
        <x:f>SUMIFS('עסקאות'!$M$2:$M$1958,'עסקאות'!$F$2:$F$1958,B468,'עסקאות'!$A$2:$A$1958,"&gt;="&amp;DATE(2026,1,1),'עסקאות'!$A$2:$A$1958,"&lt;"&amp;DATE(2027,1,1))</x:f>
        <x:v>26</x:v>
      </x:c>
    </x:row>
    <x:row r="469">
      <x:c r="B469" s="11" t="str">
        <x:v>ביט (אוכל)</x:v>
      </x:c>
      <x:c r="C469" s="11" t="str">
        <x:v>אוכל בחוץ</x:v>
      </x:c>
      <x:c r="D469" s="11" t="n">
        <x:v>1</x:v>
      </x:c>
      <x:c r="E469" s="11" t="n">
        <x:v>1</x:v>
      </x:c>
      <x:c r="F469" s="16" t="n">
        <x:f>SUMIFS('עסקאות'!$M$2:$M$1958,'עסקאות'!$F$2:$F$1958,B469)</x:f>
        <x:v>25</x:v>
      </x:c>
      <x:c r="G469" s="16" t="n">
        <x:f>IF(D469=0,"",F469/D469)</x:f>
        <x:v>25</x:v>
      </x:c>
      <x:c r="H469" s="16" t="n">
        <x:f>F469/20</x:f>
        <x:v>1.25</x:v>
      </x:c>
      <x:c r="I469" s="16" t="n">
        <x:f>SUMIFS('עסקאות'!$M$2:$M$1958,'עסקאות'!$F$2:$F$1958,B469,'עסקאות'!$A$2:$A$1958,"&gt;="&amp;DATE(2025,1,1),'עסקאות'!$A$2:$A$1958,"&lt;"&amp;DATE(2026,1,1))</x:f>
        <x:v>25</x:v>
      </x:c>
      <x:c r="J469" s="16" t="n">
        <x:f>SUMIFS('עסקאות'!$M$2:$M$1958,'עסקאות'!$F$2:$F$1958,B469,'עסקאות'!$A$2:$A$1958,"&gt;="&amp;DATE(2026,1,1),'עסקאות'!$A$2:$A$1958,"&lt;"&amp;DATE(2027,1,1))</x:f>
        <x:v>0</x:v>
      </x:c>
    </x:row>
    <x:row r="470">
      <x:c r="B470" s="11" t="str">
        <x:v>אבולאפיה</x:v>
      </x:c>
      <x:c r="C470" s="11" t="str">
        <x:v>אוכל בחוץ</x:v>
      </x:c>
      <x:c r="D470" s="11" t="n">
        <x:v>1</x:v>
      </x:c>
      <x:c r="E470" s="11" t="n">
        <x:v>1</x:v>
      </x:c>
      <x:c r="F470" s="16" t="n">
        <x:f>SUMIFS('עסקאות'!$M$2:$M$1958,'עסקאות'!$F$2:$F$1958,B470)</x:f>
        <x:v>25</x:v>
      </x:c>
      <x:c r="G470" s="16" t="n">
        <x:f>IF(D470=0,"",F470/D470)</x:f>
        <x:v>25</x:v>
      </x:c>
      <x:c r="H470" s="16" t="n">
        <x:f>F470/20</x:f>
        <x:v>1.25</x:v>
      </x:c>
      <x:c r="I470" s="16" t="n">
        <x:f>SUMIFS('עסקאות'!$M$2:$M$1958,'עסקאות'!$F$2:$F$1958,B470,'עסקאות'!$A$2:$A$1958,"&gt;="&amp;DATE(2025,1,1),'עסקאות'!$A$2:$A$1958,"&lt;"&amp;DATE(2026,1,1))</x:f>
        <x:v>25</x:v>
      </x:c>
      <x:c r="J470" s="16" t="n">
        <x:f>SUMIFS('עסקאות'!$M$2:$M$1958,'עסקאות'!$F$2:$F$1958,B470,'עסקאות'!$A$2:$A$1958,"&gt;="&amp;DATE(2026,1,1),'עסקאות'!$A$2:$A$1958,"&lt;"&amp;DATE(2027,1,1))</x:f>
        <x:v>0</x:v>
      </x:c>
    </x:row>
    <x:row r="471">
      <x:c r="B471" s="11" t="str">
        <x:v>שופרסל</x:v>
      </x:c>
      <x:c r="C471" s="11" t="str">
        <x:v>מזון לבית</x:v>
      </x:c>
      <x:c r="D471" s="11" t="n">
        <x:v>2</x:v>
      </x:c>
      <x:c r="E471" s="11" t="n">
        <x:v>1</x:v>
      </x:c>
      <x:c r="F471" s="16" t="n">
        <x:f>SUMIFS('עסקאות'!$M$2:$M$1958,'עסקאות'!$F$2:$F$1958,B471)</x:f>
        <x:v>25</x:v>
      </x:c>
      <x:c r="G471" s="16" t="n">
        <x:f>IF(D471=0,"",F471/D471)</x:f>
        <x:v>12.5</x:v>
      </x:c>
      <x:c r="H471" s="16" t="n">
        <x:f>F471/20</x:f>
        <x:v>1.25</x:v>
      </x:c>
      <x:c r="I471" s="16" t="n">
        <x:f>SUMIFS('עסקאות'!$M$2:$M$1958,'עסקאות'!$F$2:$F$1958,B471,'עסקאות'!$A$2:$A$1958,"&gt;="&amp;DATE(2025,1,1),'עסקאות'!$A$2:$A$1958,"&lt;"&amp;DATE(2026,1,1))</x:f>
        <x:v>25</x:v>
      </x:c>
      <x:c r="J471" s="16" t="n">
        <x:f>SUMIFS('עסקאות'!$M$2:$M$1958,'עסקאות'!$F$2:$F$1958,B471,'עסקאות'!$A$2:$A$1958,"&gt;="&amp;DATE(2026,1,1),'עסקאות'!$A$2:$A$1958,"&lt;"&amp;DATE(2027,1,1))</x:f>
        <x:v>0</x:v>
      </x:c>
    </x:row>
    <x:row r="472">
      <x:c r="B472" s="11" t="str">
        <x:v>מטרו</x:v>
      </x:c>
      <x:c r="C472" s="11" t="str">
        <x:v>ספורט</x:v>
      </x:c>
      <x:c r="D472" s="11" t="n">
        <x:v>1</x:v>
      </x:c>
      <x:c r="E472" s="11" t="n">
        <x:v>1</x:v>
      </x:c>
      <x:c r="F472" s="16" t="n">
        <x:f>SUMIFS('עסקאות'!$M$2:$M$1958,'עסקאות'!$F$2:$F$1958,B472)</x:f>
        <x:v>25</x:v>
      </x:c>
      <x:c r="G472" s="16" t="n">
        <x:f>IF(D472=0,"",F472/D472)</x:f>
        <x:v>25</x:v>
      </x:c>
      <x:c r="H472" s="16" t="n">
        <x:f>F472/20</x:f>
        <x:v>1.25</x:v>
      </x:c>
      <x:c r="I472" s="16" t="n">
        <x:f>SUMIFS('עסקאות'!$M$2:$M$1958,'עסקאות'!$F$2:$F$1958,B472,'עסקאות'!$A$2:$A$1958,"&gt;="&amp;DATE(2025,1,1),'עסקאות'!$A$2:$A$1958,"&lt;"&amp;DATE(2026,1,1))</x:f>
        <x:v>25</x:v>
      </x:c>
      <x:c r="J472" s="16" t="n">
        <x:f>SUMIFS('עסקאות'!$M$2:$M$1958,'עסקאות'!$F$2:$F$1958,B472,'עסקאות'!$A$2:$A$1958,"&gt;="&amp;DATE(2026,1,1),'עסקאות'!$A$2:$A$1958,"&lt;"&amp;DATE(2027,1,1))</x:f>
        <x:v>0</x:v>
      </x:c>
    </x:row>
    <x:row r="473">
      <x:c r="B473" s="11" t="str">
        <x:v>אימון - UPAPP</x:v>
      </x:c>
      <x:c r="C473" s="11" t="str">
        <x:v>ספורט</x:v>
      </x:c>
      <x:c r="D473" s="11" t="n">
        <x:v>1</x:v>
      </x:c>
      <x:c r="E473" s="11" t="n">
        <x:v>1</x:v>
      </x:c>
      <x:c r="F473" s="16" t="n">
        <x:f>SUMIFS('עסקאות'!$M$2:$M$1958,'עסקאות'!$F$2:$F$1958,B473)</x:f>
        <x:v>25</x:v>
      </x:c>
      <x:c r="G473" s="16" t="n">
        <x:f>IF(D473=0,"",F473/D473)</x:f>
        <x:v>25</x:v>
      </x:c>
      <x:c r="H473" s="16" t="n">
        <x:f>F473/20</x:f>
        <x:v>1.25</x:v>
      </x:c>
      <x:c r="I473" s="16" t="n">
        <x:f>SUMIFS('עסקאות'!$M$2:$M$1958,'עסקאות'!$F$2:$F$1958,B473,'עסקאות'!$A$2:$A$1958,"&gt;="&amp;DATE(2025,1,1),'עסקאות'!$A$2:$A$1958,"&lt;"&amp;DATE(2026,1,1))</x:f>
        <x:v>0</x:v>
      </x:c>
      <x:c r="J473" s="16" t="n">
        <x:f>SUMIFS('עסקאות'!$M$2:$M$1958,'עסקאות'!$F$2:$F$1958,B473,'עסקאות'!$A$2:$A$1958,"&gt;="&amp;DATE(2026,1,1),'עסקאות'!$A$2:$A$1958,"&lt;"&amp;DATE(2027,1,1))</x:f>
        <x:v>25</x:v>
      </x:c>
    </x:row>
    <x:row r="474">
      <x:c r="B474" s="11" t="str">
        <x:v>UPAPP - אימון</x:v>
      </x:c>
      <x:c r="C474" s="11" t="str">
        <x:v>ספורט</x:v>
      </x:c>
      <x:c r="D474" s="11" t="n">
        <x:v>1</x:v>
      </x:c>
      <x:c r="E474" s="11" t="n">
        <x:v>1</x:v>
      </x:c>
      <x:c r="F474" s="16" t="n">
        <x:f>SUMIFS('עסקאות'!$M$2:$M$1958,'עסקאות'!$F$2:$F$1958,B474)</x:f>
        <x:v>25</x:v>
      </x:c>
      <x:c r="G474" s="16" t="n">
        <x:f>IF(D474=0,"",F474/D474)</x:f>
        <x:v>25</x:v>
      </x:c>
      <x:c r="H474" s="16" t="n">
        <x:f>F474/20</x:f>
        <x:v>1.25</x:v>
      </x:c>
      <x:c r="I474" s="16" t="n">
        <x:f>SUMIFS('עסקאות'!$M$2:$M$1958,'עסקאות'!$F$2:$F$1958,B474,'עסקאות'!$A$2:$A$1958,"&gt;="&amp;DATE(2025,1,1),'עסקאות'!$A$2:$A$1958,"&lt;"&amp;DATE(2026,1,1))</x:f>
        <x:v>0</x:v>
      </x:c>
      <x:c r="J474" s="16" t="n">
        <x:f>SUMIFS('עסקאות'!$M$2:$M$1958,'עסקאות'!$F$2:$F$1958,B474,'עסקאות'!$A$2:$A$1958,"&gt;="&amp;DATE(2026,1,1),'עסקאות'!$A$2:$A$1958,"&lt;"&amp;DATE(2027,1,1))</x:f>
        <x:v>25</x:v>
      </x:c>
    </x:row>
    <x:row r="475">
      <x:c r="B475" s="11" t="str">
        <x:v>צמח</x:v>
      </x:c>
      <x:c r="C475" s="11" t="str">
        <x:v>קניות לבית</x:v>
      </x:c>
      <x:c r="D475" s="11" t="n">
        <x:v>1</x:v>
      </x:c>
      <x:c r="E475" s="11" t="n">
        <x:v>1</x:v>
      </x:c>
      <x:c r="F475" s="16" t="n">
        <x:f>SUMIFS('עסקאות'!$M$2:$M$1958,'עסקאות'!$F$2:$F$1958,B475)</x:f>
        <x:v>24</x:v>
      </x:c>
      <x:c r="G475" s="16" t="n">
        <x:f>IF(D475=0,"",F475/D475)</x:f>
        <x:v>24</x:v>
      </x:c>
      <x:c r="H475" s="16" t="n">
        <x:f>F475/20</x:f>
        <x:v>1.2</x:v>
      </x:c>
      <x:c r="I475" s="16" t="n">
        <x:f>SUMIFS('עסקאות'!$M$2:$M$1958,'עסקאות'!$F$2:$F$1958,B475,'עסקאות'!$A$2:$A$1958,"&gt;="&amp;DATE(2025,1,1),'עסקאות'!$A$2:$A$1958,"&lt;"&amp;DATE(2026,1,1))</x:f>
        <x:v>24</x:v>
      </x:c>
      <x:c r="J475" s="16" t="n">
        <x:f>SUMIFS('עסקאות'!$M$2:$M$1958,'עסקאות'!$F$2:$F$1958,B475,'עסקאות'!$A$2:$A$1958,"&gt;="&amp;DATE(2026,1,1),'עסקאות'!$A$2:$A$1958,"&lt;"&amp;DATE(2027,1,1))</x:f>
        <x:v>0</x:v>
      </x:c>
    </x:row>
    <x:row r="476">
      <x:c r="B476" s="11" t="str">
        <x:v>חניון עזריאלי גבעתיי</x:v>
      </x:c>
      <x:c r="C476" s="11" t="str">
        <x:v>תחבורה</x:v>
      </x:c>
      <x:c r="D476" s="11" t="n">
        <x:v>4</x:v>
      </x:c>
      <x:c r="E476" s="11" t="n">
        <x:v>2</x:v>
      </x:c>
      <x:c r="F476" s="16" t="n">
        <x:f>SUMIFS('עסקאות'!$M$2:$M$1958,'עסקאות'!$F$2:$F$1958,B476)</x:f>
        <x:v>24</x:v>
      </x:c>
      <x:c r="G476" s="16" t="n">
        <x:f>IF(D476=0,"",F476/D476)</x:f>
        <x:v>6</x:v>
      </x:c>
      <x:c r="H476" s="16" t="n">
        <x:f>F476/20</x:f>
        <x:v>1.2</x:v>
      </x:c>
      <x:c r="I476" s="16" t="n">
        <x:f>SUMIFS('עסקאות'!$M$2:$M$1958,'עסקאות'!$F$2:$F$1958,B476,'עסקאות'!$A$2:$A$1958,"&gt;="&amp;DATE(2025,1,1),'עסקאות'!$A$2:$A$1958,"&lt;"&amp;DATE(2026,1,1))</x:f>
        <x:v>0</x:v>
      </x:c>
      <x:c r="J476" s="16" t="n">
        <x:f>SUMIFS('עסקאות'!$M$2:$M$1958,'עסקאות'!$F$2:$F$1958,B476,'עסקאות'!$A$2:$A$1958,"&gt;="&amp;DATE(2026,1,1),'עסקאות'!$A$2:$A$1958,"&lt;"&amp;DATE(2027,1,1))</x:f>
        <x:v>24</x:v>
      </x:c>
    </x:row>
    <x:row r="477">
      <x:c r="B477" s="11" t="str">
        <x:v>סופר מאמא</x:v>
      </x:c>
      <x:c r="C477" s="11" t="str">
        <x:v>מזון לבית</x:v>
      </x:c>
      <x:c r="D477" s="11" t="n">
        <x:v>1</x:v>
      </x:c>
      <x:c r="E477" s="11" t="n">
        <x:v>1</x:v>
      </x:c>
      <x:c r="F477" s="16" t="n">
        <x:f>SUMIFS('עסקאות'!$M$2:$M$1958,'עסקאות'!$F$2:$F$1958,B477)</x:f>
        <x:v>24</x:v>
      </x:c>
      <x:c r="G477" s="16" t="n">
        <x:f>IF(D477=0,"",F477/D477)</x:f>
        <x:v>24</x:v>
      </x:c>
      <x:c r="H477" s="16" t="n">
        <x:f>F477/20</x:f>
        <x:v>1.2</x:v>
      </x:c>
      <x:c r="I477" s="16" t="n">
        <x:f>SUMIFS('עסקאות'!$M$2:$M$1958,'עסקאות'!$F$2:$F$1958,B477,'עסקאות'!$A$2:$A$1958,"&gt;="&amp;DATE(2025,1,1),'עסקאות'!$A$2:$A$1958,"&lt;"&amp;DATE(2026,1,1))</x:f>
        <x:v>0</x:v>
      </x:c>
      <x:c r="J477" s="16" t="n">
        <x:f>SUMIFS('עסקאות'!$M$2:$M$1958,'עסקאות'!$F$2:$F$1958,B477,'עסקאות'!$A$2:$A$1958,"&gt;="&amp;DATE(2026,1,1),'עסקאות'!$A$2:$A$1958,"&lt;"&amp;DATE(2027,1,1))</x:f>
        <x:v>24</x:v>
      </x:c>
    </x:row>
    <x:row r="478">
      <x:c r="B478" s="11" t="str">
        <x:v>רישיון נהיגה</x:v>
      </x:c>
      <x:c r="C478" s="11" t="str">
        <x:v>אחר</x:v>
      </x:c>
      <x:c r="D478" s="11" t="n">
        <x:v>1</x:v>
      </x:c>
      <x:c r="E478" s="11" t="n">
        <x:v>1</x:v>
      </x:c>
      <x:c r="F478" s="16" t="n">
        <x:f>SUMIFS('עסקאות'!$M$2:$M$1958,'עסקאות'!$F$2:$F$1958,B478)</x:f>
        <x:v>23</x:v>
      </x:c>
      <x:c r="G478" s="16" t="n">
        <x:f>IF(D478=0,"",F478/D478)</x:f>
        <x:v>23</x:v>
      </x:c>
      <x:c r="H478" s="16" t="n">
        <x:f>F478/20</x:f>
        <x:v>1.15</x:v>
      </x:c>
      <x:c r="I478" s="16" t="n">
        <x:f>SUMIFS('עסקאות'!$M$2:$M$1958,'עסקאות'!$F$2:$F$1958,B478,'עסקאות'!$A$2:$A$1958,"&gt;="&amp;DATE(2025,1,1),'עסקאות'!$A$2:$A$1958,"&lt;"&amp;DATE(2026,1,1))</x:f>
        <x:v>23</x:v>
      </x:c>
      <x:c r="J478" s="16" t="n">
        <x:f>SUMIFS('עסקאות'!$M$2:$M$1958,'עסקאות'!$F$2:$F$1958,B478,'עסקאות'!$A$2:$A$1958,"&gt;="&amp;DATE(2026,1,1),'עסקאות'!$A$2:$A$1958,"&lt;"&amp;DATE(2027,1,1))</x:f>
        <x:v>0</x:v>
      </x:c>
    </x:row>
    <x:row r="479">
      <x:c r="B479" s="11" t="str">
        <x:v>רישיון בינלאומי</x:v>
      </x:c>
      <x:c r="C479" s="11" t="str">
        <x:v>נסיעות וחופשות</x:v>
      </x:c>
      <x:c r="D479" s="11" t="n">
        <x:v>2</x:v>
      </x:c>
      <x:c r="E479" s="11" t="n">
        <x:v>1</x:v>
      </x:c>
      <x:c r="F479" s="16" t="n">
        <x:f>SUMIFS('עסקאות'!$M$2:$M$1958,'עסקאות'!$F$2:$F$1958,B479)</x:f>
        <x:v>23</x:v>
      </x:c>
      <x:c r="G479" s="16" t="n">
        <x:f>IF(D479=0,"",F479/D479)</x:f>
        <x:v>11.5</x:v>
      </x:c>
      <x:c r="H479" s="16" t="n">
        <x:f>F479/20</x:f>
        <x:v>1.15</x:v>
      </x:c>
      <x:c r="I479" s="16" t="n">
        <x:f>SUMIFS('עסקאות'!$M$2:$M$1958,'עסקאות'!$F$2:$F$1958,B479,'עסקאות'!$A$2:$A$1958,"&gt;="&amp;DATE(2025,1,1),'עסקאות'!$A$2:$A$1958,"&lt;"&amp;DATE(2026,1,1))</x:f>
        <x:v>23</x:v>
      </x:c>
      <x:c r="J479" s="16" t="n">
        <x:f>SUMIFS('עסקאות'!$M$2:$M$1958,'עסקאות'!$F$2:$F$1958,B479,'עסקאות'!$A$2:$A$1958,"&gt;="&amp;DATE(2026,1,1),'עסקאות'!$A$2:$A$1958,"&lt;"&amp;DATE(2027,1,1))</x:f>
        <x:v>0</x:v>
      </x:c>
    </x:row>
    <x:row r="480">
      <x:c r="B480" s="11" t="str">
        <x:v>אבולעפיה נחלת בנימין</x:v>
      </x:c>
      <x:c r="C480" s="11" t="str">
        <x:v>אוכל בחוץ</x:v>
      </x:c>
      <x:c r="D480" s="11" t="n">
        <x:v>1</x:v>
      </x:c>
      <x:c r="E480" s="11" t="n">
        <x:v>1</x:v>
      </x:c>
      <x:c r="F480" s="16" t="n">
        <x:f>SUMIFS('עסקאות'!$M$2:$M$1958,'עסקאות'!$F$2:$F$1958,B480)</x:f>
        <x:v>23</x:v>
      </x:c>
      <x:c r="G480" s="16" t="n">
        <x:f>IF(D480=0,"",F480/D480)</x:f>
        <x:v>23</x:v>
      </x:c>
      <x:c r="H480" s="16" t="n">
        <x:f>F480/20</x:f>
        <x:v>1.15</x:v>
      </x:c>
      <x:c r="I480" s="16" t="n">
        <x:f>SUMIFS('עסקאות'!$M$2:$M$1958,'עסקאות'!$F$2:$F$1958,B480,'עסקאות'!$A$2:$A$1958,"&gt;="&amp;DATE(2025,1,1),'עסקאות'!$A$2:$A$1958,"&lt;"&amp;DATE(2026,1,1))</x:f>
        <x:v>0</x:v>
      </x:c>
      <x:c r="J480" s="16" t="n">
        <x:f>SUMIFS('עסקאות'!$M$2:$M$1958,'עסקאות'!$F$2:$F$1958,B480,'עסקאות'!$A$2:$A$1958,"&gt;="&amp;DATE(2026,1,1),'עסקאות'!$A$2:$A$1958,"&lt;"&amp;DATE(2027,1,1))</x:f>
        <x:v>23</x:v>
      </x:c>
    </x:row>
    <x:row r="481">
      <x:c r="B481" s="11" t="str">
        <x:v>חנייה בורסה</x:v>
      </x:c>
      <x:c r="C481" s="11" t="str">
        <x:v>תחבורה</x:v>
      </x:c>
      <x:c r="D481" s="11" t="n">
        <x:v>2</x:v>
      </x:c>
      <x:c r="E481" s="11" t="n">
        <x:v>1</x:v>
      </x:c>
      <x:c r="F481" s="16" t="n">
        <x:f>SUMIFS('עסקאות'!$M$2:$M$1958,'עסקאות'!$F$2:$F$1958,B481)</x:f>
        <x:v>22</x:v>
      </x:c>
      <x:c r="G481" s="16" t="n">
        <x:f>IF(D481=0,"",F481/D481)</x:f>
        <x:v>11</x:v>
      </x:c>
      <x:c r="H481" s="16" t="n">
        <x:f>F481/20</x:f>
        <x:v>1.1</x:v>
      </x:c>
      <x:c r="I481" s="16" t="n">
        <x:f>SUMIFS('עסקאות'!$M$2:$M$1958,'עסקאות'!$F$2:$F$1958,B481,'עסקאות'!$A$2:$A$1958,"&gt;="&amp;DATE(2025,1,1),'עסקאות'!$A$2:$A$1958,"&lt;"&amp;DATE(2026,1,1))</x:f>
        <x:v>22</x:v>
      </x:c>
      <x:c r="J481" s="16" t="n">
        <x:f>SUMIFS('עסקאות'!$M$2:$M$1958,'עסקאות'!$F$2:$F$1958,B481,'עסקאות'!$A$2:$A$1958,"&gt;="&amp;DATE(2026,1,1),'עסקאות'!$A$2:$A$1958,"&lt;"&amp;DATE(2027,1,1))</x:f>
        <x:v>0</x:v>
      </x:c>
    </x:row>
    <x:row r="482">
      <x:c r="B482" s="11" t="str">
        <x:v>אבולעפיה</x:v>
      </x:c>
      <x:c r="C482" s="11" t="str">
        <x:v>אוכל בחוץ</x:v>
      </x:c>
      <x:c r="D482" s="11" t="n">
        <x:v>1</x:v>
      </x:c>
      <x:c r="E482" s="11" t="n">
        <x:v>1</x:v>
      </x:c>
      <x:c r="F482" s="16" t="n">
        <x:f>SUMIFS('עסקאות'!$M$2:$M$1958,'עסקאות'!$F$2:$F$1958,B482)</x:f>
        <x:v>22</x:v>
      </x:c>
      <x:c r="G482" s="16" t="n">
        <x:f>IF(D482=0,"",F482/D482)</x:f>
        <x:v>22</x:v>
      </x:c>
      <x:c r="H482" s="16" t="n">
        <x:f>F482/20</x:f>
        <x:v>1.1</x:v>
      </x:c>
      <x:c r="I482" s="16" t="n">
        <x:f>SUMIFS('עסקאות'!$M$2:$M$1958,'עסקאות'!$F$2:$F$1958,B482,'עסקאות'!$A$2:$A$1958,"&gt;="&amp;DATE(2025,1,1),'עסקאות'!$A$2:$A$1958,"&lt;"&amp;DATE(2026,1,1))</x:f>
        <x:v>22</x:v>
      </x:c>
      <x:c r="J482" s="16" t="n">
        <x:f>SUMIFS('עסקאות'!$M$2:$M$1958,'עסקאות'!$F$2:$F$1958,B482,'עסקאות'!$A$2:$A$1958,"&gt;="&amp;DATE(2026,1,1),'עסקאות'!$A$2:$A$1958,"&lt;"&amp;DATE(2027,1,1))</x:f>
        <x:v>0</x:v>
      </x:c>
    </x:row>
    <x:row r="483">
      <x:c r="B483" s="11" t="str">
        <x:v>קפה גן סיפור הוד השר</x:v>
      </x:c>
      <x:c r="C483" s="11" t="str">
        <x:v>אוכל בחוץ</x:v>
      </x:c>
      <x:c r="D483" s="11" t="n">
        <x:v>1</x:v>
      </x:c>
      <x:c r="E483" s="11" t="n">
        <x:v>1</x:v>
      </x:c>
      <x:c r="F483" s="16" t="n">
        <x:f>SUMIFS('עסקאות'!$M$2:$M$1958,'עסקאות'!$F$2:$F$1958,B483)</x:f>
        <x:v>22</x:v>
      </x:c>
      <x:c r="G483" s="16" t="n">
        <x:f>IF(D483=0,"",F483/D483)</x:f>
        <x:v>22</x:v>
      </x:c>
      <x:c r="H483" s="16" t="n">
        <x:f>F483/20</x:f>
        <x:v>1.1</x:v>
      </x:c>
      <x:c r="I483" s="16" t="n">
        <x:f>SUMIFS('עסקאות'!$M$2:$M$1958,'עסקאות'!$F$2:$F$1958,B483,'עסקאות'!$A$2:$A$1958,"&gt;="&amp;DATE(2025,1,1),'עסקאות'!$A$2:$A$1958,"&lt;"&amp;DATE(2026,1,1))</x:f>
        <x:v>0</x:v>
      </x:c>
      <x:c r="J483" s="16" t="n">
        <x:f>SUMIFS('עסקאות'!$M$2:$M$1958,'עסקאות'!$F$2:$F$1958,B483,'עסקאות'!$A$2:$A$1958,"&gt;="&amp;DATE(2026,1,1),'עסקאות'!$A$2:$A$1958,"&lt;"&amp;DATE(2027,1,1))</x:f>
        <x:v>22</x:v>
      </x:c>
    </x:row>
    <x:row r="484">
      <x:c r="B484" s="11" t="str">
        <x:v>ללין נרות וסבונים</x:v>
      </x:c>
      <x:c r="C484" s="11" t="str">
        <x:v>קניות לבית</x:v>
      </x:c>
      <x:c r="D484" s="11" t="n">
        <x:v>1</x:v>
      </x:c>
      <x:c r="E484" s="11" t="n">
        <x:v>1</x:v>
      </x:c>
      <x:c r="F484" s="16" t="n">
        <x:f>SUMIFS('עסקאות'!$M$2:$M$1958,'עסקאות'!$F$2:$F$1958,B484)</x:f>
        <x:v>21</x:v>
      </x:c>
      <x:c r="G484" s="16" t="n">
        <x:f>IF(D484=0,"",F484/D484)</x:f>
        <x:v>21</x:v>
      </x:c>
      <x:c r="H484" s="16" t="n">
        <x:f>F484/20</x:f>
        <x:v>1.05</x:v>
      </x:c>
      <x:c r="I484" s="16" t="n">
        <x:f>SUMIFS('עסקאות'!$M$2:$M$1958,'עסקאות'!$F$2:$F$1958,B484,'עסקאות'!$A$2:$A$1958,"&gt;="&amp;DATE(2025,1,1),'עסקאות'!$A$2:$A$1958,"&lt;"&amp;DATE(2026,1,1))</x:f>
        <x:v>0</x:v>
      </x:c>
      <x:c r="J484" s="16" t="n">
        <x:f>SUMIFS('עסקאות'!$M$2:$M$1958,'עסקאות'!$F$2:$F$1958,B484,'עסקאות'!$A$2:$A$1958,"&gt;="&amp;DATE(2026,1,1),'עסקאות'!$A$2:$A$1958,"&lt;"&amp;DATE(2027,1,1))</x:f>
        <x:v>21</x:v>
      </x:c>
    </x:row>
    <x:row r="485">
      <x:c r="B485" s="11" t="str">
        <x:v>ביט (מתנה)</x:v>
      </x:c>
      <x:c r="C485" s="11" t="str">
        <x:v>מתנה</x:v>
      </x:c>
      <x:c r="D485" s="11" t="n">
        <x:v>1</x:v>
      </x:c>
      <x:c r="E485" s="11" t="n">
        <x:v>1</x:v>
      </x:c>
      <x:c r="F485" s="16" t="n">
        <x:f>SUMIFS('עסקאות'!$M$2:$M$1958,'עסקאות'!$F$2:$F$1958,B485)</x:f>
        <x:v>20</x:v>
      </x:c>
      <x:c r="G485" s="16" t="n">
        <x:f>IF(D485=0,"",F485/D485)</x:f>
        <x:v>20</x:v>
      </x:c>
      <x:c r="H485" s="16" t="n">
        <x:f>F485/20</x:f>
        <x:v>1</x:v>
      </x:c>
      <x:c r="I485" s="16" t="n">
        <x:f>SUMIFS('עסקאות'!$M$2:$M$1958,'עסקאות'!$F$2:$F$1958,B485,'עסקאות'!$A$2:$A$1958,"&gt;="&amp;DATE(2025,1,1),'עסקאות'!$A$2:$A$1958,"&lt;"&amp;DATE(2026,1,1))</x:f>
        <x:v>20</x:v>
      </x:c>
      <x:c r="J485" s="16" t="n">
        <x:f>SUMIFS('עסקאות'!$M$2:$M$1958,'עסקאות'!$F$2:$F$1958,B485,'עסקאות'!$A$2:$A$1958,"&gt;="&amp;DATE(2026,1,1),'עסקאות'!$A$2:$A$1958,"&lt;"&amp;DATE(2027,1,1))</x:f>
        <x:v>0</x:v>
      </x:c>
    </x:row>
    <x:row r="486">
      <x:c r="B486" s="11" t="str">
        <x:v>מתנה ללורן</x:v>
      </x:c>
      <x:c r="C486" s="11" t="str">
        <x:v>מתנה</x:v>
      </x:c>
      <x:c r="D486" s="11" t="n">
        <x:v>1</x:v>
      </x:c>
      <x:c r="E486" s="11" t="n">
        <x:v>1</x:v>
      </x:c>
      <x:c r="F486" s="16" t="n">
        <x:f>SUMIFS('עסקאות'!$M$2:$M$1958,'עסקאות'!$F$2:$F$1958,B486)</x:f>
        <x:v>20</x:v>
      </x:c>
      <x:c r="G486" s="16" t="n">
        <x:f>IF(D486=0,"",F486/D486)</x:f>
        <x:v>20</x:v>
      </x:c>
      <x:c r="H486" s="16" t="n">
        <x:f>F486/20</x:f>
        <x:v>1</x:v>
      </x:c>
      <x:c r="I486" s="16" t="n">
        <x:f>SUMIFS('עסקאות'!$M$2:$M$1958,'עסקאות'!$F$2:$F$1958,B486,'עסקאות'!$A$2:$A$1958,"&gt;="&amp;DATE(2025,1,1),'עסקאות'!$A$2:$A$1958,"&lt;"&amp;DATE(2026,1,1))</x:f>
        <x:v>20</x:v>
      </x:c>
      <x:c r="J486" s="16" t="n">
        <x:f>SUMIFS('עסקאות'!$M$2:$M$1958,'עסקאות'!$F$2:$F$1958,B486,'עסקאות'!$A$2:$A$1958,"&gt;="&amp;DATE(2026,1,1),'עסקאות'!$A$2:$A$1958,"&lt;"&amp;DATE(2027,1,1))</x:f>
        <x:v>0</x:v>
      </x:c>
    </x:row>
    <x:row r="487">
      <x:c r="B487" s="11" t="str">
        <x:v>דמי כרטיס</x:v>
      </x:c>
      <x:c r="C487" s="11" t="str">
        <x:v>עמלות</x:v>
      </x:c>
      <x:c r="D487" s="11" t="n">
        <x:v>1</x:v>
      </x:c>
      <x:c r="E487" s="11" t="n">
        <x:v>1</x:v>
      </x:c>
      <x:c r="F487" s="16" t="n">
        <x:f>SUMIFS('עסקאות'!$M$2:$M$1958,'עסקאות'!$F$2:$F$1958,B487)</x:f>
        <x:v>20</x:v>
      </x:c>
      <x:c r="G487" s="16" t="n">
        <x:f>IF(D487=0,"",F487/D487)</x:f>
        <x:v>20</x:v>
      </x:c>
      <x:c r="H487" s="16" t="n">
        <x:f>F487/20</x:f>
        <x:v>1</x:v>
      </x:c>
      <x:c r="I487" s="16" t="n">
        <x:f>SUMIFS('עסקאות'!$M$2:$M$1958,'עסקאות'!$F$2:$F$1958,B487,'עסקאות'!$A$2:$A$1958,"&gt;="&amp;DATE(2025,1,1),'עסקאות'!$A$2:$A$1958,"&lt;"&amp;DATE(2026,1,1))</x:f>
        <x:v>20</x:v>
      </x:c>
      <x:c r="J487" s="16" t="n">
        <x:f>SUMIFS('עסקאות'!$M$2:$M$1958,'עסקאות'!$F$2:$F$1958,B487,'עסקאות'!$A$2:$A$1958,"&gt;="&amp;DATE(2026,1,1),'עסקאות'!$A$2:$A$1958,"&lt;"&amp;DATE(2027,1,1))</x:f>
        <x:v>0</x:v>
      </x:c>
    </x:row>
    <x:row r="488">
      <x:c r="B488" s="11" t="str">
        <x:v>מתנה לדניאל</x:v>
      </x:c>
      <x:c r="C488" s="11" t="str">
        <x:v>מתנה</x:v>
      </x:c>
      <x:c r="D488" s="11" t="n">
        <x:v>1</x:v>
      </x:c>
      <x:c r="E488" s="11" t="n">
        <x:v>1</x:v>
      </x:c>
      <x:c r="F488" s="16" t="n">
        <x:f>SUMIFS('עסקאות'!$M$2:$M$1958,'עסקאות'!$F$2:$F$1958,B488)</x:f>
        <x:v>20</x:v>
      </x:c>
      <x:c r="G488" s="16" t="n">
        <x:f>IF(D488=0,"",F488/D488)</x:f>
        <x:v>20</x:v>
      </x:c>
      <x:c r="H488" s="16" t="n">
        <x:f>F488/20</x:f>
        <x:v>1</x:v>
      </x:c>
      <x:c r="I488" s="16" t="n">
        <x:f>SUMIFS('עסקאות'!$M$2:$M$1958,'עסקאות'!$F$2:$F$1958,B488,'עסקאות'!$A$2:$A$1958,"&gt;="&amp;DATE(2025,1,1),'עסקאות'!$A$2:$A$1958,"&lt;"&amp;DATE(2026,1,1))</x:f>
        <x:v>20</x:v>
      </x:c>
      <x:c r="J488" s="16" t="n">
        <x:f>SUMIFS('עסקאות'!$M$2:$M$1958,'עסקאות'!$F$2:$F$1958,B488,'עסקאות'!$A$2:$A$1958,"&gt;="&amp;DATE(2026,1,1),'עסקאות'!$A$2:$A$1958,"&lt;"&amp;DATE(2027,1,1))</x:f>
        <x:v>0</x:v>
      </x:c>
    </x:row>
    <x:row r="489">
      <x:c r="B489" s="11" t="str">
        <x:v>ארומה</x:v>
      </x:c>
      <x:c r="C489" s="11" t="str">
        <x:v>אוכל בחוץ</x:v>
      </x:c>
      <x:c r="D489" s="11" t="n">
        <x:v>1</x:v>
      </x:c>
      <x:c r="E489" s="11" t="n">
        <x:v>1</x:v>
      </x:c>
      <x:c r="F489" s="16" t="n">
        <x:f>SUMIFS('עסקאות'!$M$2:$M$1958,'עסקאות'!$F$2:$F$1958,B489)</x:f>
        <x:v>20</x:v>
      </x:c>
      <x:c r="G489" s="16" t="n">
        <x:f>IF(D489=0,"",F489/D489)</x:f>
        <x:v>20</x:v>
      </x:c>
      <x:c r="H489" s="16" t="n">
        <x:f>F489/20</x:f>
        <x:v>1</x:v>
      </x:c>
      <x:c r="I489" s="16" t="n">
        <x:f>SUMIFS('עסקאות'!$M$2:$M$1958,'עסקאות'!$F$2:$F$1958,B489,'עסקאות'!$A$2:$A$1958,"&gt;="&amp;DATE(2025,1,1),'עסקאות'!$A$2:$A$1958,"&lt;"&amp;DATE(2026,1,1))</x:f>
        <x:v>20</x:v>
      </x:c>
      <x:c r="J489" s="16" t="n">
        <x:f>SUMIFS('עסקאות'!$M$2:$M$1958,'עסקאות'!$F$2:$F$1958,B489,'עסקאות'!$A$2:$A$1958,"&gt;="&amp;DATE(2026,1,1),'עסקאות'!$A$2:$A$1958,"&lt;"&amp;DATE(2027,1,1))</x:f>
        <x:v>0</x:v>
      </x:c>
    </x:row>
    <x:row r="490">
      <x:c r="B490" s="11" t="str">
        <x:v>מקדונלדס - מגדלי תל אביב</x:v>
      </x:c>
      <x:c r="C490" s="11" t="str">
        <x:v>אוכל בחוץ</x:v>
      </x:c>
      <x:c r="D490" s="11" t="n">
        <x:v>1</x:v>
      </x:c>
      <x:c r="E490" s="11" t="n">
        <x:v>1</x:v>
      </x:c>
      <x:c r="F490" s="16" t="n">
        <x:f>SUMIFS('עסקאות'!$M$2:$M$1958,'עסקאות'!$F$2:$F$1958,B490)</x:f>
        <x:v>20</x:v>
      </x:c>
      <x:c r="G490" s="16" t="n">
        <x:f>IF(D490=0,"",F490/D490)</x:f>
        <x:v>20</x:v>
      </x:c>
      <x:c r="H490" s="16" t="n">
        <x:f>F490/20</x:f>
        <x:v>1</x:v>
      </x:c>
      <x:c r="I490" s="16" t="n">
        <x:f>SUMIFS('עסקאות'!$M$2:$M$1958,'עסקאות'!$F$2:$F$1958,B490,'עסקאות'!$A$2:$A$1958,"&gt;="&amp;DATE(2025,1,1),'עסקאות'!$A$2:$A$1958,"&lt;"&amp;DATE(2026,1,1))</x:f>
        <x:v>0</x:v>
      </x:c>
      <x:c r="J490" s="16" t="n">
        <x:f>SUMIFS('עסקאות'!$M$2:$M$1958,'עסקאות'!$F$2:$F$1958,B490,'עסקאות'!$A$2:$A$1958,"&gt;="&amp;DATE(2026,1,1),'עסקאות'!$A$2:$A$1958,"&lt;"&amp;DATE(2027,1,1))</x:f>
        <x:v>20</x:v>
      </x:c>
    </x:row>
    <x:row r="491">
      <x:c r="B491" s="11" t="str">
        <x:v>דיקסי גריל בר בעמ</x:v>
      </x:c>
      <x:c r="C491" s="11" t="str">
        <x:v>אוכל בחוץ</x:v>
      </x:c>
      <x:c r="D491" s="11" t="n">
        <x:v>1</x:v>
      </x:c>
      <x:c r="E491" s="11" t="n">
        <x:v>1</x:v>
      </x:c>
      <x:c r="F491" s="16" t="n">
        <x:f>SUMIFS('עסקאות'!$M$2:$M$1958,'עסקאות'!$F$2:$F$1958,B491)</x:f>
        <x:v>20</x:v>
      </x:c>
      <x:c r="G491" s="16" t="n">
        <x:f>IF(D491=0,"",F491/D491)</x:f>
        <x:v>20</x:v>
      </x:c>
      <x:c r="H491" s="16" t="n">
        <x:f>F491/20</x:f>
        <x:v>1</x:v>
      </x:c>
      <x:c r="I491" s="16" t="n">
        <x:f>SUMIFS('עסקאות'!$M$2:$M$1958,'עסקאות'!$F$2:$F$1958,B491,'עסקאות'!$A$2:$A$1958,"&gt;="&amp;DATE(2025,1,1),'עסקאות'!$A$2:$A$1958,"&lt;"&amp;DATE(2026,1,1))</x:f>
        <x:v>0</x:v>
      </x:c>
      <x:c r="J491" s="16" t="n">
        <x:f>SUMIFS('עסקאות'!$M$2:$M$1958,'עסקאות'!$F$2:$F$1958,B491,'עסקאות'!$A$2:$A$1958,"&gt;="&amp;DATE(2026,1,1),'עסקאות'!$A$2:$A$1958,"&lt;"&amp;DATE(2027,1,1))</x:f>
        <x:v>20</x:v>
      </x:c>
    </x:row>
    <x:row r="492">
      <x:c r="B492" s="11" t="str">
        <x:v>תמונה</x:v>
      </x:c>
      <x:c r="C492" s="11" t="str">
        <x:v>פנאי</x:v>
      </x:c>
      <x:c r="D492" s="11" t="n">
        <x:v>1</x:v>
      </x:c>
      <x:c r="E492" s="11" t="n">
        <x:v>1</x:v>
      </x:c>
      <x:c r="F492" s="16" t="n">
        <x:f>SUMIFS('עסקאות'!$M$2:$M$1958,'עסקאות'!$F$2:$F$1958,B492)</x:f>
        <x:v>20</x:v>
      </x:c>
      <x:c r="G492" s="16" t="n">
        <x:f>IF(D492=0,"",F492/D492)</x:f>
        <x:v>20</x:v>
      </x:c>
      <x:c r="H492" s="16" t="n">
        <x:f>F492/20</x:f>
        <x:v>1</x:v>
      </x:c>
      <x:c r="I492" s="16" t="n">
        <x:f>SUMIFS('עסקאות'!$M$2:$M$1958,'עסקאות'!$F$2:$F$1958,B492,'עסקאות'!$A$2:$A$1958,"&gt;="&amp;DATE(2025,1,1),'עסקאות'!$A$2:$A$1958,"&lt;"&amp;DATE(2026,1,1))</x:f>
        <x:v>0</x:v>
      </x:c>
      <x:c r="J492" s="16" t="n">
        <x:f>SUMIFS('עסקאות'!$M$2:$M$1958,'עסקאות'!$F$2:$F$1958,B492,'עסקאות'!$A$2:$A$1958,"&gt;="&amp;DATE(2026,1,1),'עסקאות'!$A$2:$A$1958,"&lt;"&amp;DATE(2027,1,1))</x:f>
        <x:v>20</x:v>
      </x:c>
    </x:row>
    <x:row r="493">
      <x:c r="B493" s="11" t="str">
        <x:v>מתנה</x:v>
      </x:c>
      <x:c r="C493" s="11" t="str">
        <x:v>לא מסווג</x:v>
      </x:c>
      <x:c r="D493" s="11" t="n">
        <x:v>1</x:v>
      </x:c>
      <x:c r="E493" s="11" t="n">
        <x:v>1</x:v>
      </x:c>
      <x:c r="F493" s="16" t="n">
        <x:f>SUMIFS('עסקאות'!$M$2:$M$1958,'עסקאות'!$F$2:$F$1958,B493)</x:f>
        <x:v>20</x:v>
      </x:c>
      <x:c r="G493" s="16" t="n">
        <x:f>IF(D493=0,"",F493/D493)</x:f>
        <x:v>20</x:v>
      </x:c>
      <x:c r="H493" s="16" t="n">
        <x:f>F493/20</x:f>
        <x:v>1</x:v>
      </x:c>
      <x:c r="I493" s="16" t="n">
        <x:f>SUMIFS('עסקאות'!$M$2:$M$1958,'עסקאות'!$F$2:$F$1958,B493,'עסקאות'!$A$2:$A$1958,"&gt;="&amp;DATE(2025,1,1),'עסקאות'!$A$2:$A$1958,"&lt;"&amp;DATE(2026,1,1))</x:f>
        <x:v>0</x:v>
      </x:c>
      <x:c r="J493" s="16" t="n">
        <x:f>SUMIFS('עסקאות'!$M$2:$M$1958,'עסקאות'!$F$2:$F$1958,B493,'עסקאות'!$A$2:$A$1958,"&gt;="&amp;DATE(2026,1,1),'עסקאות'!$A$2:$A$1958,"&lt;"&amp;DATE(2027,1,1))</x:f>
        <x:v>20</x:v>
      </x:c>
    </x:row>
    <x:row r="494">
      <x:c r="B494" s="11" t="str">
        <x:v>קרביץ</x:v>
      </x:c>
      <x:c r="C494" s="11" t="str">
        <x:v>תחביבים ומיג'י</x:v>
      </x:c>
      <x:c r="D494" s="11" t="n">
        <x:v>1</x:v>
      </x:c>
      <x:c r="E494" s="11" t="n">
        <x:v>1</x:v>
      </x:c>
      <x:c r="F494" s="16" t="n">
        <x:f>SUMIFS('עסקאות'!$M$2:$M$1958,'עסקאות'!$F$2:$F$1958,B494)</x:f>
        <x:v>19</x:v>
      </x:c>
      <x:c r="G494" s="16" t="n">
        <x:f>IF(D494=0,"",F494/D494)</x:f>
        <x:v>19</x:v>
      </x:c>
      <x:c r="H494" s="16" t="n">
        <x:f>F494/20</x:f>
        <x:v>0.95</x:v>
      </x:c>
      <x:c r="I494" s="16" t="n">
        <x:f>SUMIFS('עסקאות'!$M$2:$M$1958,'עסקאות'!$F$2:$F$1958,B494,'עסקאות'!$A$2:$A$1958,"&gt;="&amp;DATE(2025,1,1),'עסקאות'!$A$2:$A$1958,"&lt;"&amp;DATE(2026,1,1))</x:f>
        <x:v>19</x:v>
      </x:c>
      <x:c r="J494" s="16" t="n">
        <x:f>SUMIFS('עסקאות'!$M$2:$M$1958,'עסקאות'!$F$2:$F$1958,B494,'עסקאות'!$A$2:$A$1958,"&gt;="&amp;DATE(2026,1,1),'עסקאות'!$A$2:$A$1958,"&lt;"&amp;DATE(2027,1,1))</x:f>
        <x:v>0</x:v>
      </x:c>
    </x:row>
    <x:row r="495">
      <x:c r="B495" s="11" t="str">
        <x:v>אדון ליאון כצנלסון</x:v>
      </x:c>
      <x:c r="C495" s="11" t="str">
        <x:v>מזון לבית</x:v>
      </x:c>
      <x:c r="D495" s="11" t="n">
        <x:v>4</x:v>
      </x:c>
      <x:c r="E495" s="11" t="n">
        <x:v>3</x:v>
      </x:c>
      <x:c r="F495" s="16" t="n">
        <x:f>SUMIFS('עסקאות'!$M$2:$M$1958,'עסקאות'!$F$2:$F$1958,B495)</x:f>
        <x:v>19</x:v>
      </x:c>
      <x:c r="G495" s="16" t="n">
        <x:f>IF(D495=0,"",F495/D495)</x:f>
        <x:v>4.75</x:v>
      </x:c>
      <x:c r="H495" s="16" t="n">
        <x:f>F495/20</x:f>
        <x:v>0.95</x:v>
      </x:c>
      <x:c r="I495" s="16" t="n">
        <x:f>SUMIFS('עסקאות'!$M$2:$M$1958,'עסקאות'!$F$2:$F$1958,B495,'עסקאות'!$A$2:$A$1958,"&gt;="&amp;DATE(2025,1,1),'עסקאות'!$A$2:$A$1958,"&lt;"&amp;DATE(2026,1,1))</x:f>
        <x:v>0</x:v>
      </x:c>
      <x:c r="J495" s="16" t="n">
        <x:f>SUMIFS('עסקאות'!$M$2:$M$1958,'עסקאות'!$F$2:$F$1958,B495,'עסקאות'!$A$2:$A$1958,"&gt;="&amp;DATE(2026,1,1),'עסקאות'!$A$2:$A$1958,"&lt;"&amp;DATE(2027,1,1))</x:f>
        <x:v>19</x:v>
      </x:c>
    </x:row>
    <x:row r="496">
      <x:c r="B496" s="11" t="str">
        <x:v>רלדין</x:v>
      </x:c>
      <x:c r="C496" s="11" t="str">
        <x:v>אוכל בחוץ</x:v>
      </x:c>
      <x:c r="D496" s="11" t="n">
        <x:v>1</x:v>
      </x:c>
      <x:c r="E496" s="11" t="n">
        <x:v>1</x:v>
      </x:c>
      <x:c r="F496" s="16" t="n">
        <x:f>SUMIFS('עסקאות'!$M$2:$M$1958,'עסקאות'!$F$2:$F$1958,B496)</x:f>
        <x:v>16</x:v>
      </x:c>
      <x:c r="G496" s="16" t="n">
        <x:f>IF(D496=0,"",F496/D496)</x:f>
        <x:v>16</x:v>
      </x:c>
      <x:c r="H496" s="16" t="n">
        <x:f>F496/20</x:f>
        <x:v>0.8</x:v>
      </x:c>
      <x:c r="I496" s="16" t="n">
        <x:f>SUMIFS('עסקאות'!$M$2:$M$1958,'עסקאות'!$F$2:$F$1958,B496,'עסקאות'!$A$2:$A$1958,"&gt;="&amp;DATE(2025,1,1),'עסקאות'!$A$2:$A$1958,"&lt;"&amp;DATE(2026,1,1))</x:f>
        <x:v>16</x:v>
      </x:c>
      <x:c r="J496" s="16" t="n">
        <x:f>SUMIFS('עסקאות'!$M$2:$M$1958,'עסקאות'!$F$2:$F$1958,B496,'עסקאות'!$A$2:$A$1958,"&gt;="&amp;DATE(2026,1,1),'עסקאות'!$A$2:$A$1958,"&lt;"&amp;DATE(2027,1,1))</x:f>
        <x:v>0</x:v>
      </x:c>
    </x:row>
    <x:row r="497">
      <x:c r="B497" s="11" t="str">
        <x:v>אייס קפה</x:v>
      </x:c>
      <x:c r="C497" s="11" t="str">
        <x:v>אוכל בחוץ</x:v>
      </x:c>
      <x:c r="D497" s="11" t="n">
        <x:v>1</x:v>
      </x:c>
      <x:c r="E497" s="11" t="n">
        <x:v>1</x:v>
      </x:c>
      <x:c r="F497" s="16" t="n">
        <x:f>SUMIFS('עסקאות'!$M$2:$M$1958,'עסקאות'!$F$2:$F$1958,B497)</x:f>
        <x:v>16</x:v>
      </x:c>
      <x:c r="G497" s="16" t="n">
        <x:f>IF(D497=0,"",F497/D497)</x:f>
        <x:v>16</x:v>
      </x:c>
      <x:c r="H497" s="16" t="n">
        <x:f>F497/20</x:f>
        <x:v>0.8</x:v>
      </x:c>
      <x:c r="I497" s="16" t="n">
        <x:f>SUMIFS('עסקאות'!$M$2:$M$1958,'עסקאות'!$F$2:$F$1958,B497,'עסקאות'!$A$2:$A$1958,"&gt;="&amp;DATE(2025,1,1),'עסקאות'!$A$2:$A$1958,"&lt;"&amp;DATE(2026,1,1))</x:f>
        <x:v>16</x:v>
      </x:c>
      <x:c r="J497" s="16" t="n">
        <x:f>SUMIFS('עסקאות'!$M$2:$M$1958,'עסקאות'!$F$2:$F$1958,B497,'עסקאות'!$A$2:$A$1958,"&gt;="&amp;DATE(2026,1,1),'עסקאות'!$A$2:$A$1958,"&lt;"&amp;DATE(2027,1,1))</x:f>
        <x:v>0</x:v>
      </x:c>
    </x:row>
    <x:row r="498">
      <x:c r="B498" s="11" t="str">
        <x:v>נונומימי גבעתיים</x:v>
      </x:c>
      <x:c r="C498" s="11" t="str">
        <x:v>אוכל בחוץ</x:v>
      </x:c>
      <x:c r="D498" s="11" t="n">
        <x:v>1</x:v>
      </x:c>
      <x:c r="E498" s="11" t="n">
        <x:v>1</x:v>
      </x:c>
      <x:c r="F498" s="16" t="n">
        <x:f>SUMIFS('עסקאות'!$M$2:$M$1958,'עסקאות'!$F$2:$F$1958,B498)</x:f>
        <x:v>16</x:v>
      </x:c>
      <x:c r="G498" s="16" t="n">
        <x:f>IF(D498=0,"",F498/D498)</x:f>
        <x:v>16</x:v>
      </x:c>
      <x:c r="H498" s="16" t="n">
        <x:f>F498/20</x:f>
        <x:v>0.8</x:v>
      </x:c>
      <x:c r="I498" s="16" t="n">
        <x:f>SUMIFS('עסקאות'!$M$2:$M$1958,'עסקאות'!$F$2:$F$1958,B498,'עסקאות'!$A$2:$A$1958,"&gt;="&amp;DATE(2025,1,1),'עסקאות'!$A$2:$A$1958,"&lt;"&amp;DATE(2026,1,1))</x:f>
        <x:v>0</x:v>
      </x:c>
      <x:c r="J498" s="16" t="n">
        <x:f>SUMIFS('עסקאות'!$M$2:$M$1958,'עסקאות'!$F$2:$F$1958,B498,'עסקאות'!$A$2:$A$1958,"&gt;="&amp;DATE(2026,1,1),'עסקאות'!$A$2:$A$1958,"&lt;"&amp;DATE(2027,1,1))</x:f>
        <x:v>16</x:v>
      </x:c>
    </x:row>
    <x:row r="499">
      <x:c r="B499" s="11" t="str">
        <x:v>סיכת חתופים</x:v>
      </x:c>
      <x:c r="C499" s="11" t="str">
        <x:v>אחר</x:v>
      </x:c>
      <x:c r="D499" s="11" t="n">
        <x:v>1</x:v>
      </x:c>
      <x:c r="E499" s="11" t="n">
        <x:v>1</x:v>
      </x:c>
      <x:c r="F499" s="16" t="n">
        <x:f>SUMIFS('עסקאות'!$M$2:$M$1958,'עסקאות'!$F$2:$F$1958,B499)</x:f>
        <x:v>15</x:v>
      </x:c>
      <x:c r="G499" s="16" t="n">
        <x:f>IF(D499=0,"",F499/D499)</x:f>
        <x:v>15</x:v>
      </x:c>
      <x:c r="H499" s="16" t="n">
        <x:f>F499/20</x:f>
        <x:v>0.75</x:v>
      </x:c>
      <x:c r="I499" s="16" t="n">
        <x:f>SUMIFS('עסקאות'!$M$2:$M$1958,'עסקאות'!$F$2:$F$1958,B499,'עסקאות'!$A$2:$A$1958,"&gt;="&amp;DATE(2025,1,1),'עסקאות'!$A$2:$A$1958,"&lt;"&amp;DATE(2026,1,1))</x:f>
        <x:v>15</x:v>
      </x:c>
      <x:c r="J499" s="16" t="n">
        <x:f>SUMIFS('עסקאות'!$M$2:$M$1958,'עסקאות'!$F$2:$F$1958,B499,'עסקאות'!$A$2:$A$1958,"&gt;="&amp;DATE(2026,1,1),'עסקאות'!$A$2:$A$1958,"&lt;"&amp;DATE(2027,1,1))</x:f>
        <x:v>0</x:v>
      </x:c>
    </x:row>
    <x:row r="500">
      <x:c r="B500" s="11" t="str">
        <x:v>סוללות</x:v>
      </x:c>
      <x:c r="C500" s="11" t="str">
        <x:v>חתונה</x:v>
      </x:c>
      <x:c r="D500" s="11" t="n">
        <x:v>1</x:v>
      </x:c>
      <x:c r="E500" s="11" t="n">
        <x:v>1</x:v>
      </x:c>
      <x:c r="F500" s="16" t="n">
        <x:f>SUMIFS('עסקאות'!$M$2:$M$1958,'עסקאות'!$F$2:$F$1958,B500)</x:f>
        <x:v>15</x:v>
      </x:c>
      <x:c r="G500" s="16" t="n">
        <x:f>IF(D500=0,"",F500/D500)</x:f>
        <x:v>15</x:v>
      </x:c>
      <x:c r="H500" s="16" t="n">
        <x:f>F500/20</x:f>
        <x:v>0.75</x:v>
      </x:c>
      <x:c r="I500" s="16" t="n">
        <x:f>SUMIFS('עסקאות'!$M$2:$M$1958,'עסקאות'!$F$2:$F$1958,B500,'עסקאות'!$A$2:$A$1958,"&gt;="&amp;DATE(2025,1,1),'עסקאות'!$A$2:$A$1958,"&lt;"&amp;DATE(2026,1,1))</x:f>
        <x:v>15</x:v>
      </x:c>
      <x:c r="J500" s="16" t="n">
        <x:f>SUMIFS('עסקאות'!$M$2:$M$1958,'עסקאות'!$F$2:$F$1958,B500,'עסקאות'!$A$2:$A$1958,"&gt;="&amp;DATE(2026,1,1),'עסקאות'!$A$2:$A$1958,"&lt;"&amp;DATE(2027,1,1))</x:f>
        <x:v>0</x:v>
      </x:c>
    </x:row>
    <x:row r="501">
      <x:c r="B501" s="11" t="str">
        <x:v>הטענת כסף ליאמי</x:v>
      </x:c>
      <x:c r="C501" s="11" t="str">
        <x:v>אלקטרוניקה</x:v>
      </x:c>
      <x:c r="D501" s="11" t="n">
        <x:v>1</x:v>
      </x:c>
      <x:c r="E501" s="11" t="n">
        <x:v>1</x:v>
      </x:c>
      <x:c r="F501" s="16" t="n">
        <x:f>SUMIFS('עסקאות'!$M$2:$M$1958,'עסקאות'!$F$2:$F$1958,B501)</x:f>
        <x:v>15</x:v>
      </x:c>
      <x:c r="G501" s="16" t="n">
        <x:f>IF(D501=0,"",F501/D501)</x:f>
        <x:v>15</x:v>
      </x:c>
      <x:c r="H501" s="16" t="n">
        <x:f>F501/20</x:f>
        <x:v>0.75</x:v>
      </x:c>
      <x:c r="I501" s="16" t="n">
        <x:f>SUMIFS('עסקאות'!$M$2:$M$1958,'עסקאות'!$F$2:$F$1958,B501,'עסקאות'!$A$2:$A$1958,"&gt;="&amp;DATE(2025,1,1),'עסקאות'!$A$2:$A$1958,"&lt;"&amp;DATE(2026,1,1))</x:f>
        <x:v>0</x:v>
      </x:c>
      <x:c r="J501" s="16" t="n">
        <x:f>SUMIFS('עסקאות'!$M$2:$M$1958,'עסקאות'!$F$2:$F$1958,B501,'עסקאות'!$A$2:$A$1958,"&gt;="&amp;DATE(2026,1,1),'עסקאות'!$A$2:$A$1958,"&lt;"&amp;DATE(2027,1,1))</x:f>
        <x:v>15</x:v>
      </x:c>
    </x:row>
    <x:row r="502">
      <x:c r="B502" s="11" t="str">
        <x:v>שוקולד</x:v>
      </x:c>
      <x:c r="C502" s="11" t="str">
        <x:v>אוכל בחוץ</x:v>
      </x:c>
      <x:c r="D502" s="11" t="n">
        <x:v>1</x:v>
      </x:c>
      <x:c r="E502" s="11" t="n">
        <x:v>1</x:v>
      </x:c>
      <x:c r="F502" s="16" t="n">
        <x:f>SUMIFS('עסקאות'!$M$2:$M$1958,'עסקאות'!$F$2:$F$1958,B502)</x:f>
        <x:v>14</x:v>
      </x:c>
      <x:c r="G502" s="16" t="n">
        <x:f>IF(D502=0,"",F502/D502)</x:f>
        <x:v>14</x:v>
      </x:c>
      <x:c r="H502" s="16" t="n">
        <x:f>F502/20</x:f>
        <x:v>0.7</x:v>
      </x:c>
      <x:c r="I502" s="16" t="n">
        <x:f>SUMIFS('עסקאות'!$M$2:$M$1958,'עסקאות'!$F$2:$F$1958,B502,'עסקאות'!$A$2:$A$1958,"&gt;="&amp;DATE(2025,1,1),'עסקאות'!$A$2:$A$1958,"&lt;"&amp;DATE(2026,1,1))</x:f>
        <x:v>14</x:v>
      </x:c>
      <x:c r="J502" s="16" t="n">
        <x:f>SUMIFS('עסקאות'!$M$2:$M$1958,'עסקאות'!$F$2:$F$1958,B502,'עסקאות'!$A$2:$A$1958,"&gt;="&amp;DATE(2026,1,1),'עסקאות'!$A$2:$A$1958,"&lt;"&amp;DATE(2027,1,1))</x:f>
        <x:v>0</x:v>
      </x:c>
    </x:row>
    <x:row r="503">
      <x:c r="B503" s="11" t="str">
        <x:v>חלה</x:v>
      </x:c>
      <x:c r="C503" s="11" t="str">
        <x:v>אוכל בחוץ</x:v>
      </x:c>
      <x:c r="D503" s="11" t="n">
        <x:v>1</x:v>
      </x:c>
      <x:c r="E503" s="11" t="n">
        <x:v>1</x:v>
      </x:c>
      <x:c r="F503" s="16" t="n">
        <x:f>SUMIFS('עסקאות'!$M$2:$M$1958,'עסקאות'!$F$2:$F$1958,B503)</x:f>
        <x:v>14</x:v>
      </x:c>
      <x:c r="G503" s="16" t="n">
        <x:f>IF(D503=0,"",F503/D503)</x:f>
        <x:v>14</x:v>
      </x:c>
      <x:c r="H503" s="16" t="n">
        <x:f>F503/20</x:f>
        <x:v>0.7</x:v>
      </x:c>
      <x:c r="I503" s="16" t="n">
        <x:f>SUMIFS('עסקאות'!$M$2:$M$1958,'עסקאות'!$F$2:$F$1958,B503,'עסקאות'!$A$2:$A$1958,"&gt;="&amp;DATE(2025,1,1),'עסקאות'!$A$2:$A$1958,"&lt;"&amp;DATE(2026,1,1))</x:f>
        <x:v>14</x:v>
      </x:c>
      <x:c r="J503" s="16" t="n">
        <x:f>SUMIFS('עסקאות'!$M$2:$M$1958,'עסקאות'!$F$2:$F$1958,B503,'עסקאות'!$A$2:$A$1958,"&gt;="&amp;DATE(2026,1,1),'עסקאות'!$A$2:$A$1958,"&lt;"&amp;DATE(2027,1,1))</x:f>
        <x:v>0</x:v>
      </x:c>
    </x:row>
    <x:row r="504">
      <x:c r="B504" s="11" t="str">
        <x:v>קיוסק</x:v>
      </x:c>
      <x:c r="C504" s="11" t="str">
        <x:v>אוכל בחוץ</x:v>
      </x:c>
      <x:c r="D504" s="11" t="n">
        <x:v>2</x:v>
      </x:c>
      <x:c r="E504" s="11" t="n">
        <x:v>1</x:v>
      </x:c>
      <x:c r="F504" s="16" t="n">
        <x:f>SUMIFS('עסקאות'!$M$2:$M$1958,'עסקאות'!$F$2:$F$1958,B504)</x:f>
        <x:v>14</x:v>
      </x:c>
      <x:c r="G504" s="16" t="n">
        <x:f>IF(D504=0,"",F504/D504)</x:f>
        <x:v>7</x:v>
      </x:c>
      <x:c r="H504" s="16" t="n">
        <x:f>F504/20</x:f>
        <x:v>0.7</x:v>
      </x:c>
      <x:c r="I504" s="16" t="n">
        <x:f>SUMIFS('עסקאות'!$M$2:$M$1958,'עסקאות'!$F$2:$F$1958,B504,'עסקאות'!$A$2:$A$1958,"&gt;="&amp;DATE(2025,1,1),'עסקאות'!$A$2:$A$1958,"&lt;"&amp;DATE(2026,1,1))</x:f>
        <x:v>14</x:v>
      </x:c>
      <x:c r="J504" s="16" t="n">
        <x:f>SUMIFS('עסקאות'!$M$2:$M$1958,'עסקאות'!$F$2:$F$1958,B504,'עסקאות'!$A$2:$A$1958,"&gt;="&amp;DATE(2026,1,1),'עסקאות'!$A$2:$A$1958,"&lt;"&amp;DATE(2027,1,1))</x:f>
        <x:v>0</x:v>
      </x:c>
    </x:row>
    <x:row r="505">
      <x:c r="B505" s="11" t="str">
        <x:v>חלב</x:v>
      </x:c>
      <x:c r="C505" s="11" t="str">
        <x:v>מזון לבית</x:v>
      </x:c>
      <x:c r="D505" s="11" t="n">
        <x:v>2</x:v>
      </x:c>
      <x:c r="E505" s="11" t="n">
        <x:v>1</x:v>
      </x:c>
      <x:c r="F505" s="16" t="n">
        <x:f>SUMIFS('עסקאות'!$M$2:$M$1958,'עסקאות'!$F$2:$F$1958,B505)</x:f>
        <x:v>14</x:v>
      </x:c>
      <x:c r="G505" s="16" t="n">
        <x:f>IF(D505=0,"",F505/D505)</x:f>
        <x:v>7</x:v>
      </x:c>
      <x:c r="H505" s="16" t="n">
        <x:f>F505/20</x:f>
        <x:v>0.7</x:v>
      </x:c>
      <x:c r="I505" s="16" t="n">
        <x:f>SUMIFS('עסקאות'!$M$2:$M$1958,'עסקאות'!$F$2:$F$1958,B505,'עסקאות'!$A$2:$A$1958,"&gt;="&amp;DATE(2025,1,1),'עסקאות'!$A$2:$A$1958,"&lt;"&amp;DATE(2026,1,1))</x:f>
        <x:v>14</x:v>
      </x:c>
      <x:c r="J505" s="16" t="n">
        <x:f>SUMIFS('עסקאות'!$M$2:$M$1958,'עסקאות'!$F$2:$F$1958,B505,'עסקאות'!$A$2:$A$1958,"&gt;="&amp;DATE(2026,1,1),'עסקאות'!$A$2:$A$1958,"&lt;"&amp;DATE(2027,1,1))</x:f>
        <x:v>0</x:v>
      </x:c>
    </x:row>
    <x:row r="506">
      <x:c r="B506" s="11" t="str">
        <x:v>אי.אם.פי אם-לינקולן</x:v>
      </x:c>
      <x:c r="C506" s="11" t="str">
        <x:v>מזון לבית</x:v>
      </x:c>
      <x:c r="D506" s="11" t="n">
        <x:v>1</x:v>
      </x:c>
      <x:c r="E506" s="11" t="n">
        <x:v>1</x:v>
      </x:c>
      <x:c r="F506" s="16" t="n">
        <x:f>SUMIFS('עסקאות'!$M$2:$M$1958,'עסקאות'!$F$2:$F$1958,B506)</x:f>
        <x:v>14</x:v>
      </x:c>
      <x:c r="G506" s="16" t="n">
        <x:f>IF(D506=0,"",F506/D506)</x:f>
        <x:v>14</x:v>
      </x:c>
      <x:c r="H506" s="16" t="n">
        <x:f>F506/20</x:f>
        <x:v>0.7</x:v>
      </x:c>
      <x:c r="I506" s="16" t="n">
        <x:f>SUMIFS('עסקאות'!$M$2:$M$1958,'עסקאות'!$F$2:$F$1958,B506,'עסקאות'!$A$2:$A$1958,"&gt;="&amp;DATE(2025,1,1),'עסקאות'!$A$2:$A$1958,"&lt;"&amp;DATE(2026,1,1))</x:f>
        <x:v>0</x:v>
      </x:c>
      <x:c r="J506" s="16" t="n">
        <x:f>SUMIFS('עסקאות'!$M$2:$M$1958,'עסקאות'!$F$2:$F$1958,B506,'עסקאות'!$A$2:$A$1958,"&gt;="&amp;DATE(2026,1,1),'עסקאות'!$A$2:$A$1958,"&lt;"&amp;DATE(2027,1,1))</x:f>
        <x:v>14</x:v>
      </x:c>
    </x:row>
    <x:row r="507">
      <x:c r="B507" s="11" t="str">
        <x:v>THE SANDO BOX</x:v>
      </x:c>
      <x:c r="C507" s="11" t="str">
        <x:v>אוכל בחוץ</x:v>
      </x:c>
      <x:c r="D507" s="11" t="n">
        <x:v>1</x:v>
      </x:c>
      <x:c r="E507" s="11" t="n">
        <x:v>1</x:v>
      </x:c>
      <x:c r="F507" s="16" t="n">
        <x:f>SUMIFS('עסקאות'!$M$2:$M$1958,'עסקאות'!$F$2:$F$1958,B507)</x:f>
        <x:v>14</x:v>
      </x:c>
      <x:c r="G507" s="16" t="n">
        <x:f>IF(D507=0,"",F507/D507)</x:f>
        <x:v>14</x:v>
      </x:c>
      <x:c r="H507" s="16" t="n">
        <x:f>F507/20</x:f>
        <x:v>0.7</x:v>
      </x:c>
      <x:c r="I507" s="16" t="n">
        <x:f>SUMIFS('עסקאות'!$M$2:$M$1958,'עסקאות'!$F$2:$F$1958,B507,'עסקאות'!$A$2:$A$1958,"&gt;="&amp;DATE(2025,1,1),'עסקאות'!$A$2:$A$1958,"&lt;"&amp;DATE(2026,1,1))</x:f>
        <x:v>0</x:v>
      </x:c>
      <x:c r="J507" s="16" t="n">
        <x:f>SUMIFS('עסקאות'!$M$2:$M$1958,'עסקאות'!$F$2:$F$1958,B507,'עסקאות'!$A$2:$A$1958,"&gt;="&amp;DATE(2026,1,1),'עסקאות'!$A$2:$A$1958,"&lt;"&amp;DATE(2027,1,1))</x:f>
        <x:v>14</x:v>
      </x:c>
    </x:row>
    <x:row r="508">
      <x:c r="B508" s="11" t="str">
        <x:v>פיצה רומא</x:v>
      </x:c>
      <x:c r="C508" s="11" t="str">
        <x:v>אוכל בחוץ</x:v>
      </x:c>
      <x:c r="D508" s="11" t="n">
        <x:v>1</x:v>
      </x:c>
      <x:c r="E508" s="11" t="n">
        <x:v>1</x:v>
      </x:c>
      <x:c r="F508" s="16" t="n">
        <x:f>SUMIFS('עסקאות'!$M$2:$M$1958,'עסקאות'!$F$2:$F$1958,B508)</x:f>
        <x:v>14</x:v>
      </x:c>
      <x:c r="G508" s="16" t="n">
        <x:f>IF(D508=0,"",F508/D508)</x:f>
        <x:v>14</x:v>
      </x:c>
      <x:c r="H508" s="16" t="n">
        <x:f>F508/20</x:f>
        <x:v>0.7</x:v>
      </x:c>
      <x:c r="I508" s="16" t="n">
        <x:f>SUMIFS('עסקאות'!$M$2:$M$1958,'עסקאות'!$F$2:$F$1958,B508,'עסקאות'!$A$2:$A$1958,"&gt;="&amp;DATE(2025,1,1),'עסקאות'!$A$2:$A$1958,"&lt;"&amp;DATE(2026,1,1))</x:f>
        <x:v>0</x:v>
      </x:c>
      <x:c r="J508" s="16" t="n">
        <x:f>SUMIFS('עסקאות'!$M$2:$M$1958,'עסקאות'!$F$2:$F$1958,B508,'עסקאות'!$A$2:$A$1958,"&gt;="&amp;DATE(2026,1,1),'עסקאות'!$A$2:$A$1958,"&lt;"&amp;DATE(2027,1,1))</x:f>
        <x:v>14</x:v>
      </x:c>
    </x:row>
    <x:row r="509">
      <x:c r="B509" s="11" t="str">
        <x:v>קרח</x:v>
      </x:c>
      <x:c r="C509" s="11" t="str">
        <x:v>אוכל בחוץ</x:v>
      </x:c>
      <x:c r="D509" s="11" t="n">
        <x:v>1</x:v>
      </x:c>
      <x:c r="E509" s="11" t="n">
        <x:v>1</x:v>
      </x:c>
      <x:c r="F509" s="16" t="n">
        <x:f>SUMIFS('עסקאות'!$M$2:$M$1958,'עסקאות'!$F$2:$F$1958,B509)</x:f>
        <x:v>13</x:v>
      </x:c>
      <x:c r="G509" s="16" t="n">
        <x:f>IF(D509=0,"",F509/D509)</x:f>
        <x:v>13</x:v>
      </x:c>
      <x:c r="H509" s="16" t="n">
        <x:f>F509/20</x:f>
        <x:v>0.65</x:v>
      </x:c>
      <x:c r="I509" s="16" t="n">
        <x:f>SUMIFS('עסקאות'!$M$2:$M$1958,'עסקאות'!$F$2:$F$1958,B509,'עסקאות'!$A$2:$A$1958,"&gt;="&amp;DATE(2025,1,1),'עסקאות'!$A$2:$A$1958,"&lt;"&amp;DATE(2026,1,1))</x:f>
        <x:v>13</x:v>
      </x:c>
      <x:c r="J509" s="16" t="n">
        <x:f>SUMIFS('עסקאות'!$M$2:$M$1958,'עסקאות'!$F$2:$F$1958,B509,'עסקאות'!$A$2:$A$1958,"&gt;="&amp;DATE(2026,1,1),'עסקאות'!$A$2:$A$1958,"&lt;"&amp;DATE(2027,1,1))</x:f>
        <x:v>0</x:v>
      </x:c>
    </x:row>
    <x:row r="510">
      <x:c r="B510" s="11" t="str">
        <x:v>גלידנית</x:v>
      </x:c>
      <x:c r="C510" s="11" t="str">
        <x:v>אוכל בחוץ</x:v>
      </x:c>
      <x:c r="D510" s="11" t="n">
        <x:v>1</x:v>
      </x:c>
      <x:c r="E510" s="11" t="n">
        <x:v>1</x:v>
      </x:c>
      <x:c r="F510" s="16" t="n">
        <x:f>SUMIFS('עסקאות'!$M$2:$M$1958,'עסקאות'!$F$2:$F$1958,B510)</x:f>
        <x:v>12</x:v>
      </x:c>
      <x:c r="G510" s="16" t="n">
        <x:f>IF(D510=0,"",F510/D510)</x:f>
        <x:v>12</x:v>
      </x:c>
      <x:c r="H510" s="16" t="n">
        <x:f>F510/20</x:f>
        <x:v>0.6</x:v>
      </x:c>
      <x:c r="I510" s="16" t="n">
        <x:f>SUMIFS('עסקאות'!$M$2:$M$1958,'עסקאות'!$F$2:$F$1958,B510,'עסקאות'!$A$2:$A$1958,"&gt;="&amp;DATE(2025,1,1),'עסקאות'!$A$2:$A$1958,"&lt;"&amp;DATE(2026,1,1))</x:f>
        <x:v>0</x:v>
      </x:c>
      <x:c r="J510" s="16" t="n">
        <x:f>SUMIFS('עסקאות'!$M$2:$M$1958,'עסקאות'!$F$2:$F$1958,B510,'עסקאות'!$A$2:$A$1958,"&gt;="&amp;DATE(2026,1,1),'עסקאות'!$A$2:$A$1958,"&lt;"&amp;DATE(2027,1,1))</x:f>
        <x:v>12</x:v>
      </x:c>
    </x:row>
    <x:row r="511">
      <x:c r="B511" s="11" t="str">
        <x:v>חלום יעקב רמת גן</x:v>
      </x:c>
      <x:c r="C511" s="11" t="str">
        <x:v>אוכל בחוץ</x:v>
      </x:c>
      <x:c r="D511" s="11" t="n">
        <x:v>1</x:v>
      </x:c>
      <x:c r="E511" s="11" t="n">
        <x:v>1</x:v>
      </x:c>
      <x:c r="F511" s="16" t="n">
        <x:f>SUMIFS('עסקאות'!$M$2:$M$1958,'עסקאות'!$F$2:$F$1958,B511)</x:f>
        <x:v>11</x:v>
      </x:c>
      <x:c r="G511" s="16" t="n">
        <x:f>IF(D511=0,"",F511/D511)</x:f>
        <x:v>11</x:v>
      </x:c>
      <x:c r="H511" s="16" t="n">
        <x:f>F511/20</x:f>
        <x:v>0.55</x:v>
      </x:c>
      <x:c r="I511" s="16" t="n">
        <x:f>SUMIFS('עסקאות'!$M$2:$M$1958,'עסקאות'!$F$2:$F$1958,B511,'עסקאות'!$A$2:$A$1958,"&gt;="&amp;DATE(2025,1,1),'עסקאות'!$A$2:$A$1958,"&lt;"&amp;DATE(2026,1,1))</x:f>
        <x:v>0</x:v>
      </x:c>
      <x:c r="J511" s="16" t="n">
        <x:f>SUMIFS('עסקאות'!$M$2:$M$1958,'עסקאות'!$F$2:$F$1958,B511,'עסקאות'!$A$2:$A$1958,"&gt;="&amp;DATE(2026,1,1),'עסקאות'!$A$2:$A$1958,"&lt;"&amp;DATE(2027,1,1))</x:f>
        <x:v>11</x:v>
      </x:c>
    </x:row>
    <x:row r="512">
      <x:c r="B512" s="11" t="str">
        <x:v>חנייה</x:v>
      </x:c>
      <x:c r="C512" s="11" t="str">
        <x:v>תחבורה</x:v>
      </x:c>
      <x:c r="D512" s="11" t="n">
        <x:v>1</x:v>
      </x:c>
      <x:c r="E512" s="11" t="n">
        <x:v>1</x:v>
      </x:c>
      <x:c r="F512" s="16" t="n">
        <x:f>SUMIFS('עסקאות'!$M$2:$M$1958,'עסקאות'!$F$2:$F$1958,B512)</x:f>
        <x:v>10</x:v>
      </x:c>
      <x:c r="G512" s="16" t="n">
        <x:f>IF(D512=0,"",F512/D512)</x:f>
        <x:v>10</x:v>
      </x:c>
      <x:c r="H512" s="16" t="n">
        <x:f>F512/20</x:f>
        <x:v>0.5</x:v>
      </x:c>
      <x:c r="I512" s="16" t="n">
        <x:f>SUMIFS('עסקאות'!$M$2:$M$1958,'עסקאות'!$F$2:$F$1958,B512,'עסקאות'!$A$2:$A$1958,"&gt;="&amp;DATE(2025,1,1),'עסקאות'!$A$2:$A$1958,"&lt;"&amp;DATE(2026,1,1))</x:f>
        <x:v>10</x:v>
      </x:c>
      <x:c r="J512" s="16" t="n">
        <x:f>SUMIFS('עסקאות'!$M$2:$M$1958,'עסקאות'!$F$2:$F$1958,B512,'עסקאות'!$A$2:$A$1958,"&gt;="&amp;DATE(2026,1,1),'עסקאות'!$A$2:$A$1958,"&lt;"&amp;DATE(2027,1,1))</x:f>
        <x:v>0</x:v>
      </x:c>
    </x:row>
    <x:row r="513">
      <x:c r="B513" s="11" t="str">
        <x:v>רב חן גבעתיים-אינטרנ</x:v>
      </x:c>
      <x:c r="C513" s="11" t="str">
        <x:v>פנאי</x:v>
      </x:c>
      <x:c r="D513" s="11" t="n">
        <x:v>1</x:v>
      </x:c>
      <x:c r="E513" s="11" t="n">
        <x:v>1</x:v>
      </x:c>
      <x:c r="F513" s="16" t="n">
        <x:f>SUMIFS('עסקאות'!$M$2:$M$1958,'עסקאות'!$F$2:$F$1958,B513)</x:f>
        <x:v>9</x:v>
      </x:c>
      <x:c r="G513" s="16" t="n">
        <x:f>IF(D513=0,"",F513/D513)</x:f>
        <x:v>9</x:v>
      </x:c>
      <x:c r="H513" s="16" t="n">
        <x:f>F513/20</x:f>
        <x:v>0.45</x:v>
      </x:c>
      <x:c r="I513" s="16" t="n">
        <x:f>SUMIFS('עסקאות'!$M$2:$M$1958,'עסקאות'!$F$2:$F$1958,B513,'עסקאות'!$A$2:$A$1958,"&gt;="&amp;DATE(2025,1,1),'עסקאות'!$A$2:$A$1958,"&lt;"&amp;DATE(2026,1,1))</x:f>
        <x:v>0</x:v>
      </x:c>
      <x:c r="J513" s="16" t="n">
        <x:f>SUMIFS('עסקאות'!$M$2:$M$1958,'עסקאות'!$F$2:$F$1958,B513,'עסקאות'!$A$2:$A$1958,"&gt;="&amp;DATE(2026,1,1),'עסקאות'!$A$2:$A$1958,"&lt;"&amp;DATE(2027,1,1))</x:f>
        <x:v>9</x:v>
      </x:c>
    </x:row>
    <x:row r="514">
      <x:c r="B514" s="11" t="str">
        <x:v>מים כצנלסון</x:v>
      </x:c>
      <x:c r="C514" s="11" t="str">
        <x:v>נכס להשקעה</x:v>
      </x:c>
      <x:c r="D514" s="11" t="n">
        <x:v>1</x:v>
      </x:c>
      <x:c r="E514" s="11" t="n">
        <x:v>1</x:v>
      </x:c>
      <x:c r="F514" s="16" t="n">
        <x:f>SUMIFS('עסקאות'!$M$2:$M$1958,'עסקאות'!$F$2:$F$1958,B514)</x:f>
        <x:v>8</x:v>
      </x:c>
      <x:c r="G514" s="16" t="n">
        <x:f>IF(D514=0,"",F514/D514)</x:f>
        <x:v>8</x:v>
      </x:c>
      <x:c r="H514" s="16" t="n">
        <x:f>F514/20</x:f>
        <x:v>0.4</x:v>
      </x:c>
      <x:c r="I514" s="16" t="n">
        <x:f>SUMIFS('עסקאות'!$M$2:$M$1958,'עסקאות'!$F$2:$F$1958,B514,'עסקאות'!$A$2:$A$1958,"&gt;="&amp;DATE(2025,1,1),'עסקאות'!$A$2:$A$1958,"&lt;"&amp;DATE(2026,1,1))</x:f>
        <x:v>8</x:v>
      </x:c>
      <x:c r="J514" s="16" t="n">
        <x:f>SUMIFS('עסקאות'!$M$2:$M$1958,'עסקאות'!$F$2:$F$1958,B514,'עסקאות'!$A$2:$A$1958,"&gt;="&amp;DATE(2026,1,1),'עסקאות'!$A$2:$A$1958,"&lt;"&amp;DATE(2027,1,1))</x:f>
        <x:v>0</x:v>
      </x:c>
    </x:row>
    <x:row r="515">
      <x:c r="B515" s="11" t="str">
        <x:v>הנתיב המהיר</x:v>
      </x:c>
      <x:c r="C515" s="11" t="str">
        <x:v>תחבורה</x:v>
      </x:c>
      <x:c r="D515" s="11" t="n">
        <x:v>1</x:v>
      </x:c>
      <x:c r="E515" s="11" t="n">
        <x:v>1</x:v>
      </x:c>
      <x:c r="F515" s="16" t="n">
        <x:f>SUMIFS('עסקאות'!$M$2:$M$1958,'עסקאות'!$F$2:$F$1958,B515)</x:f>
        <x:v>8</x:v>
      </x:c>
      <x:c r="G515" s="16" t="n">
        <x:f>IF(D515=0,"",F515/D515)</x:f>
        <x:v>8</x:v>
      </x:c>
      <x:c r="H515" s="16" t="n">
        <x:f>F515/20</x:f>
        <x:v>0.4</x:v>
      </x:c>
      <x:c r="I515" s="16" t="n">
        <x:f>SUMIFS('עסקאות'!$M$2:$M$1958,'עסקאות'!$F$2:$F$1958,B515,'עסקאות'!$A$2:$A$1958,"&gt;="&amp;DATE(2025,1,1),'עסקאות'!$A$2:$A$1958,"&lt;"&amp;DATE(2026,1,1))</x:f>
        <x:v>8</x:v>
      </x:c>
      <x:c r="J515" s="16" t="n">
        <x:f>SUMIFS('עסקאות'!$M$2:$M$1958,'עסקאות'!$F$2:$F$1958,B515,'עסקאות'!$A$2:$A$1958,"&gt;="&amp;DATE(2026,1,1),'עסקאות'!$A$2:$A$1958,"&lt;"&amp;DATE(2027,1,1))</x:f>
        <x:v>0</x:v>
      </x:c>
    </x:row>
    <x:row r="516">
      <x:c r="B516" s="11" t="str">
        <x:v>הגלידריה שלי-אילנה ג</x:v>
      </x:c>
      <x:c r="C516" s="11" t="str">
        <x:v>אוכל בחוץ</x:v>
      </x:c>
      <x:c r="D516" s="11" t="n">
        <x:v>1</x:v>
      </x:c>
      <x:c r="E516" s="11" t="n">
        <x:v>1</x:v>
      </x:c>
      <x:c r="F516" s="16" t="n">
        <x:f>SUMIFS('עסקאות'!$M$2:$M$1958,'עסקאות'!$F$2:$F$1958,B516)</x:f>
        <x:v>8</x:v>
      </x:c>
      <x:c r="G516" s="16" t="n">
        <x:f>IF(D516=0,"",F516/D516)</x:f>
        <x:v>8</x:v>
      </x:c>
      <x:c r="H516" s="16" t="n">
        <x:f>F516/20</x:f>
        <x:v>0.4</x:v>
      </x:c>
      <x:c r="I516" s="16" t="n">
        <x:f>SUMIFS('עסקאות'!$M$2:$M$1958,'עסקאות'!$F$2:$F$1958,B516,'עסקאות'!$A$2:$A$1958,"&gt;="&amp;DATE(2025,1,1),'עסקאות'!$A$2:$A$1958,"&lt;"&amp;DATE(2026,1,1))</x:f>
        <x:v>0</x:v>
      </x:c>
      <x:c r="J516" s="16" t="n">
        <x:f>SUMIFS('עסקאות'!$M$2:$M$1958,'עסקאות'!$F$2:$F$1958,B516,'עסקאות'!$A$2:$A$1958,"&gt;="&amp;DATE(2026,1,1),'עסקאות'!$A$2:$A$1958,"&lt;"&amp;DATE(2027,1,1))</x:f>
        <x:v>8</x:v>
      </x:c>
    </x:row>
    <x:row r="517">
      <x:c r="B517" s="11" t="str">
        <x:v>חניון קניון</x:v>
      </x:c>
      <x:c r="C517" s="11" t="str">
        <x:v>תחבורה</x:v>
      </x:c>
      <x:c r="D517" s="11" t="n">
        <x:v>1</x:v>
      </x:c>
      <x:c r="E517" s="11" t="n">
        <x:v>1</x:v>
      </x:c>
      <x:c r="F517" s="16" t="n">
        <x:f>SUMIFS('עסקאות'!$M$2:$M$1958,'עסקאות'!$F$2:$F$1958,B517)</x:f>
        <x:v>5</x:v>
      </x:c>
      <x:c r="G517" s="16" t="n">
        <x:f>IF(D517=0,"",F517/D517)</x:f>
        <x:v>5</x:v>
      </x:c>
      <x:c r="H517" s="16" t="n">
        <x:f>F517/20</x:f>
        <x:v>0.25</x:v>
      </x:c>
      <x:c r="I517" s="16" t="n">
        <x:f>SUMIFS('עסקאות'!$M$2:$M$1958,'עסקאות'!$F$2:$F$1958,B517,'עסקאות'!$A$2:$A$1958,"&gt;="&amp;DATE(2025,1,1),'עסקאות'!$A$2:$A$1958,"&lt;"&amp;DATE(2026,1,1))</x:f>
        <x:v>5</x:v>
      </x:c>
      <x:c r="J517" s="16" t="n">
        <x:f>SUMIFS('עסקאות'!$M$2:$M$1958,'עסקאות'!$F$2:$F$1958,B517,'עסקאות'!$A$2:$A$1958,"&gt;="&amp;DATE(2026,1,1),'עסקאות'!$A$2:$A$1958,"&lt;"&amp;DATE(2027,1,1))</x:f>
        <x:v>0</x:v>
      </x:c>
    </x:row>
    <x:row r="518">
      <x:c r="B518" s="11" t="str">
        <x:v>מעטפות</x:v>
      </x:c>
      <x:c r="C518" s="11" t="str">
        <x:v>חתונה</x:v>
      </x:c>
      <x:c r="D518" s="11" t="n">
        <x:v>1</x:v>
      </x:c>
      <x:c r="E518" s="11" t="n">
        <x:v>1</x:v>
      </x:c>
      <x:c r="F518" s="16" t="n">
        <x:f>SUMIFS('עסקאות'!$M$2:$M$1958,'עסקאות'!$F$2:$F$1958,B518)</x:f>
        <x:v>5</x:v>
      </x:c>
      <x:c r="G518" s="16" t="n">
        <x:f>IF(D518=0,"",F518/D518)</x:f>
        <x:v>5</x:v>
      </x:c>
      <x:c r="H518" s="16" t="n">
        <x:f>F518/20</x:f>
        <x:v>0.25</x:v>
      </x:c>
      <x:c r="I518" s="16" t="n">
        <x:f>SUMIFS('עסקאות'!$M$2:$M$1958,'עסקאות'!$F$2:$F$1958,B518,'עסקאות'!$A$2:$A$1958,"&gt;="&amp;DATE(2025,1,1),'עסקאות'!$A$2:$A$1958,"&lt;"&amp;DATE(2026,1,1))</x:f>
        <x:v>5</x:v>
      </x:c>
      <x:c r="J518" s="16" t="n">
        <x:f>SUMIFS('עסקאות'!$M$2:$M$1958,'עסקאות'!$F$2:$F$1958,B518,'עסקאות'!$A$2:$A$1958,"&gt;="&amp;DATE(2026,1,1),'עסקאות'!$A$2:$A$1958,"&lt;"&amp;DATE(2027,1,1))</x:f>
        <x:v>0</x:v>
      </x:c>
    </x:row>
    <x:row r="519">
      <x:c r="B519" s="11" t="str">
        <x:v>ביטול הוראת קבע</x:v>
      </x:c>
      <x:c r="C519" s="11" t="str">
        <x:v>עמלות</x:v>
      </x:c>
      <x:c r="D519" s="11" t="n">
        <x:v>1</x:v>
      </x:c>
      <x:c r="E519" s="11" t="n">
        <x:v>1</x:v>
      </x:c>
      <x:c r="F519" s="16" t="n">
        <x:f>SUMIFS('עסקאות'!$M$2:$M$1958,'עסקאות'!$F$2:$F$1958,B519)</x:f>
        <x:v>2</x:v>
      </x:c>
      <x:c r="G519" s="16" t="n">
        <x:f>IF(D519=0,"",F519/D519)</x:f>
        <x:v>2</x:v>
      </x:c>
      <x:c r="H519" s="16" t="n">
        <x:f>F519/20</x:f>
        <x:v>0.1</x:v>
      </x:c>
      <x:c r="I519" s="16" t="n">
        <x:f>SUMIFS('עסקאות'!$M$2:$M$1958,'עסקאות'!$F$2:$F$1958,B519,'עסקאות'!$A$2:$A$1958,"&gt;="&amp;DATE(2025,1,1),'עסקאות'!$A$2:$A$1958,"&lt;"&amp;DATE(2026,1,1))</x:f>
        <x:v>0</x:v>
      </x:c>
      <x:c r="J519" s="16" t="n">
        <x:f>SUMIFS('עסקאות'!$M$2:$M$1958,'עסקאות'!$F$2:$F$1958,B519,'עסקאות'!$A$2:$A$1958,"&gt;="&amp;DATE(2026,1,1),'עסקאות'!$A$2:$A$1958,"&lt;"&amp;DATE(2027,1,1))</x:f>
        <x:v>2</x:v>
      </x:c>
    </x:row>
    <x:row r="520">
      <x:c r="B520" s="11" t="str">
        <x:v>החזר מס</x:v>
      </x:c>
      <x:c r="C520" s="11" t="str">
        <x:v>נכס להשקעה</x:v>
      </x:c>
      <x:c r="D520" s="11" t="n">
        <x:v>1</x:v>
      </x:c>
      <x:c r="E520" s="11" t="n">
        <x:v>1</x:v>
      </x:c>
      <x:c r="F520" s="16" t="n">
        <x:f>SUMIFS('עסקאות'!$M$2:$M$1958,'עסקאות'!$F$2:$F$1958,B520)</x:f>
        <x:v>-33</x:v>
      </x:c>
      <x:c r="G520" s="16" t="n">
        <x:f>IF(D520=0,"",F520/D520)</x:f>
        <x:v>-33</x:v>
      </x:c>
      <x:c r="H520" s="16" t="n">
        <x:f>F520/20</x:f>
        <x:v>-1.65</x:v>
      </x:c>
      <x:c r="I520" s="16" t="n">
        <x:f>SUMIFS('עסקאות'!$M$2:$M$1958,'עסקאות'!$F$2:$F$1958,B520,'עסקאות'!$A$2:$A$1958,"&gt;="&amp;DATE(2025,1,1),'עסקאות'!$A$2:$A$1958,"&lt;"&amp;DATE(2026,1,1))</x:f>
        <x:v>-33</x:v>
      </x:c>
      <x:c r="J520" s="16" t="n">
        <x:f>SUMIFS('עסקאות'!$M$2:$M$1958,'עסקאות'!$F$2:$F$1958,B520,'עסקאות'!$A$2:$A$1958,"&gt;="&amp;DATE(2026,1,1),'עסקאות'!$A$2:$A$1958,"&lt;"&amp;DATE(2027,1,1))</x:f>
        <x:v>0</x:v>
      </x:c>
    </x:row>
    <x:row r="521">
      <x:c r="B521" s="11" t="str">
        <x:v>כביש 6 (דרך ארץ - עלה 50)</x:v>
      </x:c>
      <x:c r="C521" s="11" t="str">
        <x:v>תחבורה</x:v>
      </x:c>
      <x:c r="D521" s="11" t="n">
        <x:v>1</x:v>
      </x:c>
      <x:c r="E521" s="11" t="n">
        <x:v>1</x:v>
      </x:c>
      <x:c r="F521" s="16" t="n">
        <x:f>SUMIFS('עסקאות'!$M$2:$M$1958,'עסקאות'!$F$2:$F$1958,B521)</x:f>
        <x:v>-50</x:v>
      </x:c>
      <x:c r="G521" s="16" t="n">
        <x:f>IF(D521=0,"",F521/D521)</x:f>
        <x:v>-50</x:v>
      </x:c>
      <x:c r="H521" s="16" t="n">
        <x:f>F521/20</x:f>
        <x:v>-2.5</x:v>
      </x:c>
      <x:c r="I521" s="16" t="n">
        <x:f>SUMIFS('עסקאות'!$M$2:$M$1958,'עסקאות'!$F$2:$F$1958,B521,'עסקאות'!$A$2:$A$1958,"&gt;="&amp;DATE(2025,1,1),'עסקאות'!$A$2:$A$1958,"&lt;"&amp;DATE(2026,1,1))</x:f>
        <x:v>-50</x:v>
      </x:c>
      <x:c r="J521" s="16" t="n">
        <x:f>SUMIFS('עסקאות'!$M$2:$M$1958,'עסקאות'!$F$2:$F$1958,B521,'עסקאות'!$A$2:$A$1958,"&gt;="&amp;DATE(2026,1,1),'עסקאות'!$A$2:$A$1958,"&lt;"&amp;DATE(2027,1,1))</x:f>
        <x:v>0</x:v>
      </x:c>
    </x:row>
    <x:row r="522">
      <x:c r="B522" s="11" t="str">
        <x:v>החזר ביטוח</x:v>
      </x:c>
      <x:c r="C522" s="11" t="str">
        <x:v>ביטוח</x:v>
      </x:c>
      <x:c r="D522" s="11" t="n">
        <x:v>1</x:v>
      </x:c>
      <x:c r="E522" s="11" t="n">
        <x:v>1</x:v>
      </x:c>
      <x:c r="F522" s="16" t="n">
        <x:f>SUMIFS('עסקאות'!$M$2:$M$1958,'עסקאות'!$F$2:$F$1958,B522)</x:f>
        <x:v>-55</x:v>
      </x:c>
      <x:c r="G522" s="16" t="n">
        <x:f>IF(D522=0,"",F522/D522)</x:f>
        <x:v>-55</x:v>
      </x:c>
      <x:c r="H522" s="16" t="n">
        <x:f>F522/20</x:f>
        <x:v>-2.75</x:v>
      </x:c>
      <x:c r="I522" s="16" t="n">
        <x:f>SUMIFS('עסקאות'!$M$2:$M$1958,'עסקאות'!$F$2:$F$1958,B522,'עסקאות'!$A$2:$A$1958,"&gt;="&amp;DATE(2025,1,1),'עסקאות'!$A$2:$A$1958,"&lt;"&amp;DATE(2026,1,1))</x:f>
        <x:v>-55</x:v>
      </x:c>
      <x:c r="J522" s="16" t="n">
        <x:f>SUMIFS('עסקאות'!$M$2:$M$1958,'עסקאות'!$F$2:$F$1958,B522,'עסקאות'!$A$2:$A$1958,"&gt;="&amp;DATE(2026,1,1),'עסקאות'!$A$2:$A$1958,"&lt;"&amp;DATE(2027,1,1))</x:f>
        <x:v>0</x:v>
      </x:c>
    </x:row>
    <x:row r="523">
      <x:c r="B523" s="11" t="str">
        <x:v>החזר אלי</x:v>
      </x:c>
      <x:c r="C523" s="11" t="str">
        <x:v>קניות לבית</x:v>
      </x:c>
      <x:c r="D523" s="11" t="n">
        <x:v>3</x:v>
      </x:c>
      <x:c r="E523" s="11" t="n">
        <x:v>1</x:v>
      </x:c>
      <x:c r="F523" s="16" t="n">
        <x:f>SUMIFS('עסקאות'!$M$2:$M$1958,'עסקאות'!$F$2:$F$1958,B523)</x:f>
        <x:v>-66</x:v>
      </x:c>
      <x:c r="G523" s="16" t="n">
        <x:f>IF(D523=0,"",F523/D523)</x:f>
        <x:v>-22</x:v>
      </x:c>
      <x:c r="H523" s="16" t="n">
        <x:f>F523/20</x:f>
        <x:v>-3.3</x:v>
      </x:c>
      <x:c r="I523" s="16" t="n">
        <x:f>SUMIFS('עסקאות'!$M$2:$M$1958,'עסקאות'!$F$2:$F$1958,B523,'עסקאות'!$A$2:$A$1958,"&gt;="&amp;DATE(2025,1,1),'עסקאות'!$A$2:$A$1958,"&lt;"&amp;DATE(2026,1,1))</x:f>
        <x:v>-66</x:v>
      </x:c>
      <x:c r="J523" s="16" t="n">
        <x:f>SUMIFS('עסקאות'!$M$2:$M$1958,'עסקאות'!$F$2:$F$1958,B523,'עסקאות'!$A$2:$A$1958,"&gt;="&amp;DATE(2026,1,1),'עסקאות'!$A$2:$A$1958,"&lt;"&amp;DATE(2027,1,1))</x:f>
        <x:v>0</x:v>
      </x:c>
    </x:row>
    <x:row r="524">
      <x:c r="B524" s="11" t="str">
        <x:v>החזר TOP CACH</x:v>
      </x:c>
      <x:c r="C524" s="11" t="str">
        <x:v>נסיעות וחופשות</x:v>
      </x:c>
      <x:c r="D524" s="11" t="n">
        <x:v>1</x:v>
      </x:c>
      <x:c r="E524" s="11" t="n">
        <x:v>1</x:v>
      </x:c>
      <x:c r="F524" s="16" t="n">
        <x:f>SUMIFS('עסקאות'!$M$2:$M$1958,'עסקאות'!$F$2:$F$1958,B524)</x:f>
        <x:v>-76</x:v>
      </x:c>
      <x:c r="G524" s="16" t="n">
        <x:f>IF(D524=0,"",F524/D524)</x:f>
        <x:v>-76</x:v>
      </x:c>
      <x:c r="H524" s="16" t="n">
        <x:f>F524/20</x:f>
        <x:v>-3.8</x:v>
      </x:c>
      <x:c r="I524" s="16" t="n">
        <x:f>SUMIFS('עסקאות'!$M$2:$M$1958,'עסקאות'!$F$2:$F$1958,B524,'עסקאות'!$A$2:$A$1958,"&gt;="&amp;DATE(2025,1,1),'עסקאות'!$A$2:$A$1958,"&lt;"&amp;DATE(2026,1,1))</x:f>
        <x:v>-76</x:v>
      </x:c>
      <x:c r="J524" s="16" t="n">
        <x:f>SUMIFS('עסקאות'!$M$2:$M$1958,'עסקאות'!$F$2:$F$1958,B524,'עסקאות'!$A$2:$A$1958,"&gt;="&amp;DATE(2026,1,1),'עסקאות'!$A$2:$A$1958,"&lt;"&amp;DATE(2027,1,1))</x:f>
        <x:v>0</x:v>
      </x:c>
    </x:row>
    <x:row r="525">
      <x:c r="B525" s="11" t="str">
        <x:v>החזר פילימנט</x:v>
      </x:c>
      <x:c r="C525" s="11" t="str">
        <x:v>תחביבים ומיג'י</x:v>
      </x:c>
      <x:c r="D525" s="11" t="n">
        <x:v>1</x:v>
      </x:c>
      <x:c r="E525" s="11" t="n">
        <x:v>1</x:v>
      </x:c>
      <x:c r="F525" s="16" t="n">
        <x:f>SUMIFS('עסקאות'!$M$2:$M$1958,'עסקאות'!$F$2:$F$1958,B525)</x:f>
        <x:v>-112</x:v>
      </x:c>
      <x:c r="G525" s="16" t="n">
        <x:f>IF(D525=0,"",F525/D525)</x:f>
        <x:v>-112</x:v>
      </x:c>
      <x:c r="H525" s="16" t="n">
        <x:f>F525/20</x:f>
        <x:v>-5.6</x:v>
      </x:c>
      <x:c r="I525" s="16" t="n">
        <x:f>SUMIFS('עסקאות'!$M$2:$M$1958,'עסקאות'!$F$2:$F$1958,B525,'עסקאות'!$A$2:$A$1958,"&gt;="&amp;DATE(2025,1,1),'עסקאות'!$A$2:$A$1958,"&lt;"&amp;DATE(2026,1,1))</x:f>
        <x:v>0</x:v>
      </x:c>
      <x:c r="J525" s="16" t="n">
        <x:f>SUMIFS('עסקאות'!$M$2:$M$1958,'עסקאות'!$F$2:$F$1958,B525,'עסקאות'!$A$2:$A$1958,"&gt;="&amp;DATE(2026,1,1),'עסקאות'!$A$2:$A$1958,"&lt;"&amp;DATE(2027,1,1))</x:f>
        <x:v>-112</x:v>
      </x:c>
    </x:row>
    <x:row r="526">
      <x:c r="B526" s="11" t="str">
        <x:v>החזר חצי חינם</x:v>
      </x:c>
      <x:c r="C526" s="11" t="str">
        <x:v>מזון לבית</x:v>
      </x:c>
      <x:c r="D526" s="11" t="n">
        <x:v>1</x:v>
      </x:c>
      <x:c r="E526" s="11" t="n">
        <x:v>1</x:v>
      </x:c>
      <x:c r="F526" s="16" t="n">
        <x:f>SUMIFS('עסקאות'!$M$2:$M$1958,'עסקאות'!$F$2:$F$1958,B526)</x:f>
        <x:v>-130</x:v>
      </x:c>
      <x:c r="G526" s="16" t="n">
        <x:f>IF(D526=0,"",F526/D526)</x:f>
        <x:v>-130</x:v>
      </x:c>
      <x:c r="H526" s="16" t="n">
        <x:f>F526/20</x:f>
        <x:v>-6.5</x:v>
      </x:c>
      <x:c r="I526" s="16" t="n">
        <x:f>SUMIFS('עסקאות'!$M$2:$M$1958,'עסקאות'!$F$2:$F$1958,B526,'עסקאות'!$A$2:$A$1958,"&gt;="&amp;DATE(2025,1,1),'עסקאות'!$A$2:$A$1958,"&lt;"&amp;DATE(2026,1,1))</x:f>
        <x:v>-130</x:v>
      </x:c>
      <x:c r="J526" s="16" t="n">
        <x:f>SUMIFS('עסקאות'!$M$2:$M$1958,'עסקאות'!$F$2:$F$1958,B526,'עסקאות'!$A$2:$A$1958,"&gt;="&amp;DATE(2026,1,1),'עסקאות'!$A$2:$A$1958,"&lt;"&amp;DATE(2027,1,1))</x:f>
        <x:v>0</x:v>
      </x:c>
    </x:row>
    <x:row r="527">
      <x:c r="B527" s="11" t="str">
        <x:v>החזר ביט אוכל</x:v>
      </x:c>
      <x:c r="C527" s="11" t="str">
        <x:v>אוכל בחוץ</x:v>
      </x:c>
      <x:c r="D527" s="11" t="n">
        <x:v>1</x:v>
      </x:c>
      <x:c r="E527" s="11" t="n">
        <x:v>1</x:v>
      </x:c>
      <x:c r="F527" s="16" t="n">
        <x:f>SUMIFS('עסקאות'!$M$2:$M$1958,'עסקאות'!$F$2:$F$1958,B527)</x:f>
        <x:v>-138</x:v>
      </x:c>
      <x:c r="G527" s="16" t="n">
        <x:f>IF(D527=0,"",F527/D527)</x:f>
        <x:v>-138</x:v>
      </x:c>
      <x:c r="H527" s="16" t="n">
        <x:f>F527/20</x:f>
        <x:v>-6.9</x:v>
      </x:c>
      <x:c r="I527" s="16" t="n">
        <x:f>SUMIFS('עסקאות'!$M$2:$M$1958,'עסקאות'!$F$2:$F$1958,B527,'עסקאות'!$A$2:$A$1958,"&gt;="&amp;DATE(2025,1,1),'עסקאות'!$A$2:$A$1958,"&lt;"&amp;DATE(2026,1,1))</x:f>
        <x:v>0</x:v>
      </x:c>
      <x:c r="J527" s="16" t="n">
        <x:f>SUMIFS('עסקאות'!$M$2:$M$1958,'עסקאות'!$F$2:$F$1958,B527,'עסקאות'!$A$2:$A$1958,"&gt;="&amp;DATE(2026,1,1),'עסקאות'!$A$2:$A$1958,"&lt;"&amp;DATE(2027,1,1))</x:f>
        <x:v>-138</x:v>
      </x:c>
    </x:row>
    <x:row r="528">
      <x:c r="B528" s="11" t="str">
        <x:v>החזר פאנדה</x:v>
      </x:c>
      <x:c r="C528" s="11" t="str">
        <x:v>קניות לבית</x:v>
      </x:c>
      <x:c r="D528" s="11" t="n">
        <x:v>1</x:v>
      </x:c>
      <x:c r="E528" s="11" t="n">
        <x:v>1</x:v>
      </x:c>
      <x:c r="F528" s="16" t="n">
        <x:f>SUMIFS('עסקאות'!$M$2:$M$1958,'עסקאות'!$F$2:$F$1958,B528)</x:f>
        <x:v>-149</x:v>
      </x:c>
      <x:c r="G528" s="16" t="n">
        <x:f>IF(D528=0,"",F528/D528)</x:f>
        <x:v>-149</x:v>
      </x:c>
      <x:c r="H528" s="16" t="n">
        <x:f>F528/20</x:f>
        <x:v>-7.45</x:v>
      </x:c>
      <x:c r="I528" s="16" t="n">
        <x:f>SUMIFS('עסקאות'!$M$2:$M$1958,'עסקאות'!$F$2:$F$1958,B528,'עסקאות'!$A$2:$A$1958,"&gt;="&amp;DATE(2025,1,1),'עסקאות'!$A$2:$A$1958,"&lt;"&amp;DATE(2026,1,1))</x:f>
        <x:v>-149</x:v>
      </x:c>
      <x:c r="J528" s="16" t="n">
        <x:f>SUMIFS('עסקאות'!$M$2:$M$1958,'עסקאות'!$F$2:$F$1958,B528,'עסקאות'!$A$2:$A$1958,"&gt;="&amp;DATE(2026,1,1),'עסקאות'!$A$2:$A$1958,"&lt;"&amp;DATE(2027,1,1))</x:f>
        <x:v>0</x:v>
      </x:c>
    </x:row>
    <x:row r="529">
      <x:c r="B529" s="11" t="str">
        <x:v>החזר אוכל בחוץ</x:v>
      </x:c>
      <x:c r="C529" s="11" t="str">
        <x:v>אוכל בחוץ</x:v>
      </x:c>
      <x:c r="D529" s="11" t="n">
        <x:v>2</x:v>
      </x:c>
      <x:c r="E529" s="11" t="n">
        <x:v>1</x:v>
      </x:c>
      <x:c r="F529" s="16" t="n">
        <x:f>SUMIFS('עסקאות'!$M$2:$M$1958,'עסקאות'!$F$2:$F$1958,B529)</x:f>
        <x:v>-199</x:v>
      </x:c>
      <x:c r="G529" s="16" t="n">
        <x:f>IF(D529=0,"",F529/D529)</x:f>
        <x:v>-99.5</x:v>
      </x:c>
      <x:c r="H529" s="16" t="n">
        <x:f>F529/20</x:f>
        <x:v>-9.95</x:v>
      </x:c>
      <x:c r="I529" s="16" t="n">
        <x:f>SUMIFS('עסקאות'!$M$2:$M$1958,'עסקאות'!$F$2:$F$1958,B529,'עסקאות'!$A$2:$A$1958,"&gt;="&amp;DATE(2025,1,1),'עסקאות'!$A$2:$A$1958,"&lt;"&amp;DATE(2026,1,1))</x:f>
        <x:v>-199</x:v>
      </x:c>
      <x:c r="J529" s="16" t="n">
        <x:f>SUMIFS('עסקאות'!$M$2:$M$1958,'עסקאות'!$F$2:$F$1958,B529,'עסקאות'!$A$2:$A$1958,"&gt;="&amp;DATE(2026,1,1),'עסקאות'!$A$2:$A$1958,"&lt;"&amp;DATE(2027,1,1))</x:f>
        <x:v>0</x:v>
      </x:c>
    </x:row>
    <x:row r="530">
      <x:c r="B530" s="11" t="str">
        <x:v>החזר משיין</x:v>
      </x:c>
      <x:c r="C530" s="11" t="str">
        <x:v>אופנה</x:v>
      </x:c>
      <x:c r="D530" s="11" t="n">
        <x:v>1</x:v>
      </x:c>
      <x:c r="E530" s="11" t="n">
        <x:v>1</x:v>
      </x:c>
      <x:c r="F530" s="16" t="n">
        <x:f>SUMIFS('עסקאות'!$M$2:$M$1958,'עסקאות'!$F$2:$F$1958,B530)</x:f>
        <x:v>-261</x:v>
      </x:c>
      <x:c r="G530" s="16" t="n">
        <x:f>IF(D530=0,"",F530/D530)</x:f>
        <x:v>-261</x:v>
      </x:c>
      <x:c r="H530" s="16" t="n">
        <x:f>F530/20</x:f>
        <x:v>-13.05</x:v>
      </x:c>
      <x:c r="I530" s="16" t="n">
        <x:f>SUMIFS('עסקאות'!$M$2:$M$1958,'עסקאות'!$F$2:$F$1958,B530,'עסקאות'!$A$2:$A$1958,"&gt;="&amp;DATE(2025,1,1),'עסקאות'!$A$2:$A$1958,"&lt;"&amp;DATE(2026,1,1))</x:f>
        <x:v>-261</x:v>
      </x:c>
      <x:c r="J530" s="16" t="n">
        <x:f>SUMIFS('עסקאות'!$M$2:$M$1958,'עסקאות'!$F$2:$F$1958,B530,'עסקאות'!$A$2:$A$1958,"&gt;="&amp;DATE(2026,1,1),'עסקאות'!$A$2:$A$1958,"&lt;"&amp;DATE(2027,1,1))</x:f>
        <x:v>0</x:v>
      </x:c>
    </x:row>
    <x:row r="531">
      <x:c r="B531" s="11" t="str">
        <x:v>החזר רכב</x:v>
      </x:c>
      <x:c r="C531" s="11" t="str">
        <x:v>נסיעות וחופשות</x:v>
      </x:c>
      <x:c r="D531" s="11" t="n">
        <x:v>1</x:v>
      </x:c>
      <x:c r="E531" s="11" t="n">
        <x:v>1</x:v>
      </x:c>
      <x:c r="F531" s="16" t="n">
        <x:f>SUMIFS('עסקאות'!$M$2:$M$1958,'עסקאות'!$F$2:$F$1958,B531)</x:f>
        <x:v>-279</x:v>
      </x:c>
      <x:c r="G531" s="16" t="n">
        <x:f>IF(D531=0,"",F531/D531)</x:f>
        <x:v>-279</x:v>
      </x:c>
      <x:c r="H531" s="16" t="n">
        <x:f>F531/20</x:f>
        <x:v>-13.95</x:v>
      </x:c>
      <x:c r="I531" s="16" t="n">
        <x:f>SUMIFS('עסקאות'!$M$2:$M$1958,'עסקאות'!$F$2:$F$1958,B531,'עסקאות'!$A$2:$A$1958,"&gt;="&amp;DATE(2025,1,1),'עסקאות'!$A$2:$A$1958,"&lt;"&amp;DATE(2026,1,1))</x:f>
        <x:v>-279</x:v>
      </x:c>
      <x:c r="J531" s="16" t="n">
        <x:f>SUMIFS('עסקאות'!$M$2:$M$1958,'עסקאות'!$F$2:$F$1958,B531,'עסקאות'!$A$2:$A$1958,"&gt;="&amp;DATE(2026,1,1),'עסקאות'!$A$2:$A$1958,"&lt;"&amp;DATE(2027,1,1))</x:f>
        <x:v>0</x:v>
      </x:c>
    </x:row>
    <x:row r="532">
      <x:c r="B532" s="11" t="str">
        <x:v>קש בק</x:v>
      </x:c>
      <x:c r="C532" s="11" t="str">
        <x:v>נסיעות וחופשות</x:v>
      </x:c>
      <x:c r="D532" s="11" t="n">
        <x:v>3</x:v>
      </x:c>
      <x:c r="E532" s="11" t="n">
        <x:v>3</x:v>
      </x:c>
      <x:c r="F532" s="16" t="n">
        <x:f>SUMIFS('עסקאות'!$M$2:$M$1958,'עסקאות'!$F$2:$F$1958,B532)</x:f>
        <x:v>-375</x:v>
      </x:c>
      <x:c r="G532" s="16" t="n">
        <x:f>IF(D532=0,"",F532/D532)</x:f>
        <x:v>-125</x:v>
      </x:c>
      <x:c r="H532" s="16" t="n">
        <x:f>F532/20</x:f>
        <x:v>-18.75</x:v>
      </x:c>
      <x:c r="I532" s="16" t="n">
        <x:f>SUMIFS('עסקאות'!$M$2:$M$1958,'עסקאות'!$F$2:$F$1958,B532,'עסקאות'!$A$2:$A$1958,"&gt;="&amp;DATE(2025,1,1),'עסקאות'!$A$2:$A$1958,"&lt;"&amp;DATE(2026,1,1))</x:f>
        <x:v>-187</x:v>
      </x:c>
      <x:c r="J532" s="16" t="n">
        <x:f>SUMIFS('עסקאות'!$M$2:$M$1958,'עסקאות'!$F$2:$F$1958,B532,'עסקאות'!$A$2:$A$1958,"&gt;="&amp;DATE(2026,1,1),'עסקאות'!$A$2:$A$1958,"&lt;"&amp;DATE(2027,1,1))</x:f>
        <x:v>-188</x:v>
      </x:c>
    </x:row>
    <x:row r="533">
      <x:c r="B533" s="11" t="str">
        <x:v>מתנה מההרורים של זיו</x:v>
      </x:c>
      <x:c r="C533" s="11" t="str">
        <x:v>מתנה</x:v>
      </x:c>
      <x:c r="D533" s="11" t="n">
        <x:v>1</x:v>
      </x:c>
      <x:c r="E533" s="11" t="n">
        <x:v>1</x:v>
      </x:c>
      <x:c r="F533" s="16" t="n">
        <x:f>SUMIFS('עסקאות'!$M$2:$M$1958,'עסקאות'!$F$2:$F$1958,B533)</x:f>
        <x:v>-500</x:v>
      </x:c>
      <x:c r="G533" s="16" t="n">
        <x:f>IF(D533=0,"",F533/D533)</x:f>
        <x:v>-500</x:v>
      </x:c>
      <x:c r="H533" s="16" t="n">
        <x:f>F533/20</x:f>
        <x:v>-25</x:v>
      </x:c>
      <x:c r="I533" s="16" t="n">
        <x:f>SUMIFS('עסקאות'!$M$2:$M$1958,'עסקאות'!$F$2:$F$1958,B533,'עסקאות'!$A$2:$A$1958,"&gt;="&amp;DATE(2025,1,1),'עסקאות'!$A$2:$A$1958,"&lt;"&amp;DATE(2026,1,1))</x:f>
        <x:v>-500</x:v>
      </x:c>
      <x:c r="J533" s="16" t="n">
        <x:f>SUMIFS('עסקאות'!$M$2:$M$1958,'עסקאות'!$F$2:$F$1958,B533,'עסקאות'!$A$2:$A$1958,"&gt;="&amp;DATE(2026,1,1),'עסקאות'!$A$2:$A$1958,"&lt;"&amp;DATE(2027,1,1))</x:f>
        <x:v>0</x:v>
      </x:c>
    </x:row>
    <x:row r="534">
      <x:c r="B534" s="11" t="str">
        <x:v>קפריסין 26</x:v>
      </x:c>
      <x:c r="C534" s="11" t="str">
        <x:v>נסיעות וחופשות</x:v>
      </x:c>
      <x:c r="D534" s="11" t="n">
        <x:v>2</x:v>
      </x:c>
      <x:c r="E534" s="11" t="n">
        <x:v>2</x:v>
      </x:c>
      <x:c r="F534" s="16" t="n">
        <x:f>SUMIFS('עסקאות'!$M$2:$M$1958,'עסקאות'!$F$2:$F$1958,B534)</x:f>
        <x:v>-590</x:v>
      </x:c>
      <x:c r="G534" s="16" t="n">
        <x:f>IF(D534=0,"",F534/D534)</x:f>
        <x:v>-295</x:v>
      </x:c>
      <x:c r="H534" s="16" t="n">
        <x:f>F534/20</x:f>
        <x:v>-29.5</x:v>
      </x:c>
      <x:c r="I534" s="16" t="n">
        <x:f>SUMIFS('עסקאות'!$M$2:$M$1958,'עסקאות'!$F$2:$F$1958,B534,'עסקאות'!$A$2:$A$1958,"&gt;="&amp;DATE(2025,1,1),'עסקאות'!$A$2:$A$1958,"&lt;"&amp;DATE(2026,1,1))</x:f>
        <x:v>0</x:v>
      </x:c>
      <x:c r="J534" s="16" t="n">
        <x:f>SUMIFS('עסקאות'!$M$2:$M$1958,'עסקאות'!$F$2:$F$1958,B534,'עסקאות'!$A$2:$A$1958,"&gt;="&amp;DATE(2026,1,1),'עסקאות'!$A$2:$A$1958,"&lt;"&amp;DATE(2027,1,1))</x:f>
        <x:v>-590</x:v>
      </x:c>
    </x:row>
    <x:row r="535">
      <x:c r="B535" s="11" t="str">
        <x:v>החזר יוניקלו הורים</x:v>
      </x:c>
      <x:c r="C535" s="11" t="str">
        <x:v>אופנה</x:v>
      </x:c>
      <x:c r="D535" s="11" t="n">
        <x:v>1</x:v>
      </x:c>
      <x:c r="E535" s="11" t="n">
        <x:v>1</x:v>
      </x:c>
      <x:c r="F535" s="16" t="n">
        <x:f>SUMIFS('עסקאות'!$M$2:$M$1958,'עסקאות'!$F$2:$F$1958,B535)</x:f>
        <x:v>-715</x:v>
      </x:c>
      <x:c r="G535" s="16" t="n">
        <x:f>IF(D535=0,"",F535/D535)</x:f>
        <x:v>-715</x:v>
      </x:c>
      <x:c r="H535" s="16" t="n">
        <x:f>F535/20</x:f>
        <x:v>-35.75</x:v>
      </x:c>
      <x:c r="I535" s="16" t="n">
        <x:f>SUMIFS('עסקאות'!$M$2:$M$1958,'עסקאות'!$F$2:$F$1958,B535,'עסקאות'!$A$2:$A$1958,"&gt;="&amp;DATE(2025,1,1),'עסקאות'!$A$2:$A$1958,"&lt;"&amp;DATE(2026,1,1))</x:f>
        <x:v>-715</x:v>
      </x:c>
      <x:c r="J535" s="16" t="n">
        <x:f>SUMIFS('עסקאות'!$M$2:$M$1958,'עסקאות'!$F$2:$F$1958,B535,'עסקאות'!$A$2:$A$1958,"&gt;="&amp;DATE(2026,1,1),'עסקאות'!$A$2:$A$1958,"&lt;"&amp;DATE(2027,1,1))</x:f>
        <x:v>0</x:v>
      </x:c>
    </x:row>
    <x:row r="536">
      <x:c r="B536" s="11" t="str">
        <x:v>החזר שיין</x:v>
      </x:c>
      <x:c r="C536" s="11" t="str">
        <x:v>אופנה</x:v>
      </x:c>
      <x:c r="D536" s="11" t="n">
        <x:v>5</x:v>
      </x:c>
      <x:c r="E536" s="11" t="n">
        <x:v>5</x:v>
      </x:c>
      <x:c r="F536" s="16" t="n">
        <x:f>SUMIFS('עסקאות'!$M$2:$M$1958,'עסקאות'!$F$2:$F$1958,B536)</x:f>
        <x:v>-1569</x:v>
      </x:c>
      <x:c r="G536" s="16" t="n">
        <x:f>IF(D536=0,"",F536/D536)</x:f>
        <x:v>-313.8</x:v>
      </x:c>
      <x:c r="H536" s="16" t="n">
        <x:f>F536/20</x:f>
        <x:v>-78.45</x:v>
      </x:c>
      <x:c r="I536" s="16" t="n">
        <x:f>SUMIFS('עסקאות'!$M$2:$M$1958,'עסקאות'!$F$2:$F$1958,B536,'עסקאות'!$A$2:$A$1958,"&gt;="&amp;DATE(2025,1,1),'עסקאות'!$A$2:$A$1958,"&lt;"&amp;DATE(2026,1,1))</x:f>
        <x:v>-1051</x:v>
      </x:c>
      <x:c r="J536" s="16" t="n">
        <x:f>SUMIFS('עסקאות'!$M$2:$M$1958,'עסקאות'!$F$2:$F$1958,B536,'עסקאות'!$A$2:$A$1958,"&gt;="&amp;DATE(2026,1,1),'עסקאות'!$A$2:$A$1958,"&lt;"&amp;DATE(2027,1,1))</x:f>
        <x:v>-518</x:v>
      </x:c>
    </x:row>
    <x:row r="537">
      <x:c r="B537" s="11" t="str">
        <x:v>החזר טיסה</x:v>
      </x:c>
      <x:c r="C537" s="11" t="str">
        <x:v>נסיעות וחופשות</x:v>
      </x:c>
      <x:c r="D537" s="11" t="n">
        <x:v>1</x:v>
      </x:c>
      <x:c r="E537" s="11" t="n">
        <x:v>1</x:v>
      </x:c>
      <x:c r="F537" s="16" t="n">
        <x:f>SUMIFS('עסקאות'!$M$2:$M$1958,'עסקאות'!$F$2:$F$1958,B537)</x:f>
        <x:v>-2120</x:v>
      </x:c>
      <x:c r="G537" s="16" t="n">
        <x:f>IF(D537=0,"",F537/D537)</x:f>
        <x:v>-2120</x:v>
      </x:c>
      <x:c r="H537" s="16" t="n">
        <x:f>F537/20</x:f>
        <x:v>-106</x:v>
      </x:c>
      <x:c r="I537" s="16" t="n">
        <x:f>SUMIFS('עסקאות'!$M$2:$M$1958,'עסקאות'!$F$2:$F$1958,B537,'עסקאות'!$A$2:$A$1958,"&gt;="&amp;DATE(2025,1,1),'עסקאות'!$A$2:$A$1958,"&lt;"&amp;DATE(2026,1,1))</x:f>
        <x:v>-2120</x:v>
      </x:c>
      <x:c r="J537" s="16" t="n">
        <x:f>SUMIFS('עסקאות'!$M$2:$M$1958,'עסקאות'!$F$2:$F$1958,B537,'עסקאות'!$A$2:$A$1958,"&gt;="&amp;DATE(2026,1,1),'עסקאות'!$A$2:$A$1958,"&lt;"&amp;DATE(2027,1,1))</x:f>
        <x:v>0</x:v>
      </x:c>
    </x:row>
    <x:row r="538">
      <x:c r="B538" s="11" t="str">
        <x:v>החזר מלון</x:v>
      </x:c>
      <x:c r="C538" s="11" t="str">
        <x:v>נסיעות וחופשות</x:v>
      </x:c>
      <x:c r="D538" s="11" t="n">
        <x:v>2</x:v>
      </x:c>
      <x:c r="E538" s="11" t="n">
        <x:v>1</x:v>
      </x:c>
      <x:c r="F538" s="16" t="n">
        <x:f>SUMIFS('עסקאות'!$M$2:$M$1958,'עסקאות'!$F$2:$F$1958,B538)</x:f>
        <x:v>-4190</x:v>
      </x:c>
      <x:c r="G538" s="16" t="n">
        <x:f>IF(D538=0,"",F538/D538)</x:f>
        <x:v>-2095</x:v>
      </x:c>
      <x:c r="H538" s="16" t="n">
        <x:f>F538/20</x:f>
        <x:v>-209.5</x:v>
      </x:c>
      <x:c r="I538" s="16" t="n">
        <x:f>SUMIFS('עסקאות'!$M$2:$M$1958,'עסקאות'!$F$2:$F$1958,B538,'עסקאות'!$A$2:$A$1958,"&gt;="&amp;DATE(2025,1,1),'עסקאות'!$A$2:$A$1958,"&lt;"&amp;DATE(2026,1,1))</x:f>
        <x:v>-4190</x:v>
      </x:c>
      <x:c r="J538" s="16" t="n">
        <x:f>SUMIFS('עסקאות'!$M$2:$M$1958,'עסקאות'!$F$2:$F$1958,B538,'עסקאות'!$A$2:$A$1958,"&gt;="&amp;DATE(2026,1,1),'עסקאות'!$A$2:$A$1958,"&lt;"&amp;DATE(2027,1,1))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99127d7bfb435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5" hidden="0" customWidth="1"/>
    <x:col min="4" max="4" width="10" hidden="0" customWidth="1"/>
    <x:col min="5" max="5" width="12" hidden="0" customWidth="1"/>
    <x:col min="6" max="6" width="28" hidden="0" customWidth="1"/>
    <x:col min="7" max="7" width="14" hidden="0" customWidth="1"/>
    <x:col min="8" max="8" width="18" hidden="0" customWidth="1"/>
    <x:col min="9" max="9" width="24" hidden="0" customWidth="1"/>
    <x:col min="10" max="10" width="17" hidden="0" customWidth="1"/>
    <x:col min="11" max="11" width="24" hidden="0" customWidth="1"/>
    <x:col min="12" max="12" width="11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8" hidden="0" customWidth="1"/>
    <x:col min="18" max="18" width="13" hidden="0" customWidth="1"/>
  </x:cols>
  <x:sheetData>
    <x:row r="1">
      <x:c r="A1" s="9" t="str">
        <x:v>חודש</x:v>
      </x:c>
      <x:c r="B1" s="9" t="str">
        <x:v>תקופה</x:v>
      </x:c>
      <x:c r="C1" s="9" t="str">
        <x:v>גיליון מקור</x:v>
      </x:c>
      <x:c r="D1" s="9" t="str">
        <x:v>שורת מקור</x:v>
      </x:c>
      <x:c r="E1" s="9" t="str">
        <x:v>תאריך מקור</x:v>
      </x:c>
      <x:c r="F1" s="9" t="str">
        <x:v>תיאור</x:v>
      </x:c>
      <x:c r="G1" s="9" t="str">
        <x:v>סכום מקור (₪)</x:v>
      </x:c>
      <x:c r="H1" s="9" t="str">
        <x:v>קטגוריה מקורית</x:v>
      </x:c>
      <x:c r="I1" s="9" t="str">
        <x:v>קבוצה מנורמלת</x:v>
      </x:c>
      <x:c r="J1" s="9" t="str">
        <x:v>סיווג בסיס</x:v>
      </x:c>
      <x:c r="K1" s="9" t="str">
        <x:v>טיפול בשורה</x:v>
      </x:c>
      <x:c r="L1" s="9" t="str">
        <x:v>סטטוס</x:v>
      </x:c>
      <x:c r="M1" s="9" t="str">
        <x:v>הוצאה תקנית</x:v>
      </x:c>
      <x:c r="N1" s="9" t="str">
        <x:v>הוצאה שוטפת</x:v>
      </x:c>
      <x:c r="O1" s="9" t="str">
        <x:v>הכנסה שסווגה מחדש</x:v>
      </x:c>
      <x:c r="P1" s="9" t="str">
        <x:v>כרטיס</x:v>
      </x:c>
      <x:c r="Q1" s="9" t="str">
        <x:v>הערות</x:v>
      </x:c>
      <x:c r="R1" s="9" t="str">
        <x:v>סיכום חופשה</x:v>
      </x:c>
    </x:row>
    <x:row r="2">
      <x:c r="A2" s="14" t="n">
        <x:v>45658</x:v>
      </x:c>
      <x:c r="B2" s="11" t="str">
        <x:v>2025-01</x:v>
      </x:c>
      <x:c r="C2" s="11" t="str">
        <x:v>ינואר 25</x:v>
      </x:c>
      <x:c r="D2" s="15" t="n">
        <x:v>2</x:v>
      </x:c>
      <x:c r="E2" s="11" t="str">
        <x:v>12</x:v>
      </x:c>
      <x:c r="F2" s="11" t="str">
        <x:v>הכנסה משכר דירה</x:v>
      </x:c>
      <x:c r="G2" s="17" t="n">
        <x:v>-6500</x:v>
      </x:c>
      <x:c r="H2" s="18" t="str">
        <x:v>דירה כצנלסון</x:v>
      </x:c>
      <x:c r="I2" s="19" t="str">
        <x:f>IFERROR(INDEX('מיפוי ומקורות'!$C$7:$C$33,MATCH(H2,'מיפוי ומקורות'!$B$7:$B$33,0)),"לא מסווג")</x:f>
        <x:v>נכס להשקעה</x:v>
      </x:c>
      <x:c r="J2" s="19" t="str">
        <x:f>IFERROR(INDEX('מיפוי ומקורות'!$D$7:$D$33,MATCH(H2,'מיפוי ומקורות'!$B$7:$B$33,0)),"שוטף")</x:f>
        <x:v>חריג/נכס</x:v>
      </x:c>
      <x:c r="K2" s="19" t="str">
        <x:f>IF(OR(H2="ריביות",AND(H2="דירה כצנלסון",G2&lt;0,ISNUMBER(SEARCH("הכנסה",F2)))),"הכנסה שסווגה מחדש",J2)</x:f>
        <x:v>הכנסה שסווגה מחדש</x:v>
      </x:c>
      <x:c r="L2" s="19" t="str">
        <x:v>מאושר</x:v>
      </x:c>
      <x:c r="M2" s="20" t="n">
        <x:f>IF(L2="מאושר",IF(K2="הכנסה שסווגה מחדש",0,G2),0)</x:f>
        <x:v>0</x:v>
      </x:c>
      <x:c r="N2" s="20" t="n">
        <x:f>IF(K2="שוטף",M2,0)</x:f>
        <x:v>0</x:v>
      </x:c>
      <x:c r="O2" s="20" t="n">
        <x:f>IF(K2="הכנסה שסווגה מחדש",-G2,0)</x:f>
        <x:v>6500</x:v>
      </x:c>
      <x:c r="P2" s="11" t="str">
        <x:v>one zero</x:v>
      </x:c>
      <x:c r="Q2" s="11" t="str"/>
      <x:c r="R2" s="11" t="str">
        <x:v>לא</x:v>
      </x:c>
    </x:row>
    <x:row r="3">
      <x:c r="A3" s="14" t="n">
        <x:v>45658</x:v>
      </x:c>
      <x:c r="B3" s="11" t="str">
        <x:v>2025-01</x:v>
      </x:c>
      <x:c r="C3" s="11" t="str">
        <x:v>ינואר 25</x:v>
      </x:c>
      <x:c r="D3" s="15" t="n">
        <x:v>3</x:v>
      </x:c>
      <x:c r="E3" s="11" t="str">
        <x:v>19</x:v>
      </x:c>
      <x:c r="F3" s="11" t="str">
        <x:v>ריבית מחיסון</x:v>
      </x:c>
      <x:c r="G3" s="17" t="n">
        <x:v>-143</x:v>
      </x:c>
      <x:c r="H3" s="18" t="str">
        <x:v>ריביות</x:v>
      </x:c>
      <x:c r="I3" s="19" t="str">
        <x:f>IFERROR(INDEX('מיפוי ומקורות'!$C$7:$C$33,MATCH(H3,'מיפוי ומקורות'!$B$7:$B$33,0)),"לא מסווג")</x:f>
        <x:v>זרם פיננסי</x:v>
      </x:c>
      <x:c r="J3" s="19" t="str">
        <x:f>IFERROR(INDEX('מיפוי ומקורות'!$D$7:$D$33,MATCH(H3,'מיפוי ומקורות'!$B$7:$B$33,0)),"שוטף")</x:f>
        <x:v>הכנסה שסווגה מחדש</x:v>
      </x:c>
      <x:c r="K3" s="19" t="str">
        <x:f>IF(OR(H3="ריביות",AND(H3="דירה כצנלסון",G3&lt;0,ISNUMBER(SEARCH("הכנסה",F3)))),"הכנסה שסווגה מחדש",J3)</x:f>
        <x:v>הכנסה שסווגה מחדש</x:v>
      </x:c>
      <x:c r="L3" s="19" t="str">
        <x:v>מאושר</x:v>
      </x:c>
      <x:c r="M3" s="20" t="n">
        <x:f>IF(L3="מאושר",IF(K3="הכנסה שסווגה מחדש",0,G3),0)</x:f>
        <x:v>0</x:v>
      </x:c>
      <x:c r="N3" s="20" t="n">
        <x:f>IF(K3="שוטף",M3,0)</x:f>
        <x:v>0</x:v>
      </x:c>
      <x:c r="O3" s="20" t="n">
        <x:f>IF(K3="הכנסה שסווגה מחדש",-G3,0)</x:f>
        <x:v>143</x:v>
      </x:c>
      <x:c r="P3" s="11" t="str">
        <x:v>one zero</x:v>
      </x:c>
      <x:c r="Q3" s="11" t="str"/>
      <x:c r="R3" s="11" t="str">
        <x:v>לא</x:v>
      </x:c>
    </x:row>
    <x:row r="4">
      <x:c r="A4" s="14" t="n">
        <x:v>45658</x:v>
      </x:c>
      <x:c r="B4" s="11" t="str">
        <x:v>2025-01</x:v>
      </x:c>
      <x:c r="C4" s="11" t="str">
        <x:v>ינואר 25</x:v>
      </x:c>
      <x:c r="D4" s="15" t="n">
        <x:v>4</x:v>
      </x:c>
      <x:c r="E4" s="11" t="str"/>
      <x:c r="F4" s="11" t="str">
        <x:v>חול</x:v>
      </x:c>
      <x:c r="G4" s="17" t="n">
        <x:v>1098</x:v>
      </x:c>
      <x:c r="H4" s="18" t="str">
        <x:v>חול</x:v>
      </x:c>
      <x:c r="I4" s="19" t="str">
        <x:f>IFERROR(INDEX('מיפוי ומקורות'!$C$7:$C$33,MATCH(H4,'מיפוי ומקורות'!$B$7:$B$33,0)),"לא מסווג")</x:f>
        <x:v>נסיעות וחופשות</x:v>
      </x:c>
      <x:c r="J4" s="19" t="str">
        <x:f>IFERROR(INDEX('מיפוי ומקורות'!$D$7:$D$33,MATCH(H4,'מיפוי ומקורות'!$B$7:$B$33,0)),"שוטף")</x:f>
        <x:v>חריג</x:v>
      </x:c>
      <x:c r="K4" s="19" t="str">
        <x:f>IF(OR(H4="ריביות",AND(H4="דירה כצנלסון",G4&lt;0,ISNUMBER(SEARCH("הכנסה",F4)))),"הכנסה שסווגה מחדש",J4)</x:f>
        <x:v>חריג</x:v>
      </x:c>
      <x:c r="L4" s="19" t="str">
        <x:v>מאושר</x:v>
      </x:c>
      <x:c r="M4" s="20" t="n">
        <x:f>IF(L4="מאושר",IF(K4="הכנסה שסווגה מחדש",0,G4),0)</x:f>
        <x:v>1098</x:v>
      </x:c>
      <x:c r="N4" s="20" t="n">
        <x:f>IF(K4="שוטף",M4,0)</x:f>
        <x:v>0</x:v>
      </x:c>
      <x:c r="O4" s="20" t="n">
        <x:f>IF(K4="הכנסה שסווגה מחדש",-G4,0)</x:f>
        <x:v>0</x:v>
      </x:c>
      <x:c r="P4" s="11" t="str">
        <x:v>one zero זיו</x:v>
      </x:c>
      <x:c r="Q4" s="11" t="str"/>
      <x:c r="R4" s="11" t="str">
        <x:v>לא</x:v>
      </x:c>
    </x:row>
    <x:row r="5">
      <x:c r="A5" s="14" t="n">
        <x:v>45658</x:v>
      </x:c>
      <x:c r="B5" s="11" t="str">
        <x:v>2025-01</x:v>
      </x:c>
      <x:c r="C5" s="11" t="str">
        <x:v>ינואר 25</x:v>
      </x:c>
      <x:c r="D5" s="15" t="n">
        <x:v>5</x:v>
      </x:c>
      <x:c r="E5" s="11" t="str">
        <x:v>7</x:v>
      </x:c>
      <x:c r="F5" s="11" t="str">
        <x:v>חשמל כצלנסון</x:v>
      </x:c>
      <x:c r="G5" s="17" t="n">
        <x:v>60</x:v>
      </x:c>
      <x:c r="H5" s="18" t="str">
        <x:v>דירה כצנלסון</x:v>
      </x:c>
      <x:c r="I5" s="19" t="str">
        <x:f>IFERROR(INDEX('מיפוי ומקורות'!$C$7:$C$33,MATCH(H5,'מיפוי ומקורות'!$B$7:$B$33,0)),"לא מסווג")</x:f>
        <x:v>נכס להשקעה</x:v>
      </x:c>
      <x:c r="J5" s="19" t="str">
        <x:f>IFERROR(INDEX('מיפוי ומקורות'!$D$7:$D$33,MATCH(H5,'מיפוי ומקורות'!$B$7:$B$33,0)),"שוטף")</x:f>
        <x:v>חריג/נכס</x:v>
      </x:c>
      <x:c r="K5" s="19" t="str">
        <x:f>IF(OR(H5="ריביות",AND(H5="דירה כצנלסון",G5&lt;0,ISNUMBER(SEARCH("הכנסה",F5)))),"הכנסה שסווגה מחדש",J5)</x:f>
        <x:v>חריג/נכס</x:v>
      </x:c>
      <x:c r="L5" s="19" t="str">
        <x:v>מאושר</x:v>
      </x:c>
      <x:c r="M5" s="20" t="n">
        <x:f>IF(L5="מאושר",IF(K5="הכנסה שסווגה מחדש",0,G5),0)</x:f>
        <x:v>60</x:v>
      </x:c>
      <x:c r="N5" s="20" t="n">
        <x:f>IF(K5="שוטף",M5,0)</x:f>
        <x:v>0</x:v>
      </x:c>
      <x:c r="O5" s="20" t="n">
        <x:f>IF(K5="הכנסה שסווגה מחדש",-G5,0)</x:f>
        <x:v>0</x:v>
      </x:c>
      <x:c r="P5" s="11" t="str">
        <x:v>one zero זיו</x:v>
      </x:c>
      <x:c r="Q5" s="11" t="str"/>
      <x:c r="R5" s="11" t="str">
        <x:v>לא</x:v>
      </x:c>
    </x:row>
    <x:row r="6">
      <x:c r="A6" s="14" t="n">
        <x:v>45658</x:v>
      </x:c>
      <x:c r="B6" s="11" t="str">
        <x:v>2025-01</x:v>
      </x:c>
      <x:c r="C6" s="11" t="str">
        <x:v>ינואר 25</x:v>
      </x:c>
      <x:c r="D6" s="15" t="n">
        <x:v>6</x:v>
      </x:c>
      <x:c r="E6" s="11" t="str">
        <x:v>10</x:v>
      </x:c>
      <x:c r="F6" s="11" t="str">
        <x:v>יונקלו</x:v>
      </x:c>
      <x:c r="G6" s="17" t="n">
        <x:v>954</x:v>
      </x:c>
      <x:c r="H6" s="18" t="str">
        <x:v>אופנה</x:v>
      </x:c>
      <x:c r="I6" s="19" t="str">
        <x:f>IFERROR(INDEX('מיפוי ומקורות'!$C$7:$C$33,MATCH(H6,'מיפוי ומקורות'!$B$7:$B$33,0)),"לא מסווג")</x:f>
        <x:v>אופנה</x:v>
      </x:c>
      <x:c r="J6" s="19" t="str">
        <x:f>IFERROR(INDEX('מיפוי ומקורות'!$D$7:$D$33,MATCH(H6,'מיפוי ומקורות'!$B$7:$B$33,0)),"שוטף")</x:f>
        <x:v>שוטף</x:v>
      </x:c>
      <x:c r="K6" s="19" t="str">
        <x:f>IF(OR(H6="ריביות",AND(H6="דירה כצנלסון",G6&lt;0,ISNUMBER(SEARCH("הכנסה",F6)))),"הכנסה שסווגה מחדש",J6)</x:f>
        <x:v>שוטף</x:v>
      </x:c>
      <x:c r="L6" s="19" t="str">
        <x:v>מאושר</x:v>
      </x:c>
      <x:c r="M6" s="20" t="n">
        <x:f>IF(L6="מאושר",IF(K6="הכנסה שסווגה מחדש",0,G6),0)</x:f>
        <x:v>954</x:v>
      </x:c>
      <x:c r="N6" s="20" t="n">
        <x:f>IF(K6="שוטף",M6,0)</x:f>
        <x:v>954</x:v>
      </x:c>
      <x:c r="O6" s="20" t="n">
        <x:f>IF(K6="הכנסה שסווגה מחדש",-G6,0)</x:f>
        <x:v>0</x:v>
      </x:c>
      <x:c r="P6" s="11" t="str">
        <x:v>one zero זיו</x:v>
      </x:c>
      <x:c r="Q6" s="11" t="str"/>
      <x:c r="R6" s="11" t="str">
        <x:v>לא</x:v>
      </x:c>
    </x:row>
    <x:row r="7">
      <x:c r="A7" s="14" t="n">
        <x:v>45658</x:v>
      </x:c>
      <x:c r="B7" s="11" t="str">
        <x:v>2025-01</x:v>
      </x:c>
      <x:c r="C7" s="11" t="str">
        <x:v>ינואר 25</x:v>
      </x:c>
      <x:c r="D7" s="15" t="n">
        <x:v>7</x:v>
      </x:c>
      <x:c r="E7" s="11" t="str">
        <x:v>11</x:v>
      </x:c>
      <x:c r="F7" s="11" t="str">
        <x:v>קניות איפור</x:v>
      </x:c>
      <x:c r="G7" s="17" t="n">
        <x:v>76</x:v>
      </x:c>
      <x:c r="H7" s="18" t="str">
        <x:v>קוסמטיקה</x:v>
      </x:c>
      <x:c r="I7" s="19" t="str">
        <x:f>IFERROR(INDEX('מיפוי ומקורות'!$C$7:$C$33,MATCH(H7,'מיפוי ומקורות'!$B$7:$B$33,0)),"לא מסווג")</x:f>
        <x:v>קוסמטיקה</x:v>
      </x:c>
      <x:c r="J7" s="19" t="str">
        <x:f>IFERROR(INDEX('מיפוי ומקורות'!$D$7:$D$33,MATCH(H7,'מיפוי ומקורות'!$B$7:$B$33,0)),"שוטף")</x:f>
        <x:v>שוטף</x:v>
      </x:c>
      <x:c r="K7" s="19" t="str">
        <x:f>IF(OR(H7="ריביות",AND(H7="דירה כצנלסון",G7&lt;0,ISNUMBER(SEARCH("הכנסה",F7)))),"הכנסה שסווגה מחדש",J7)</x:f>
        <x:v>שוטף</x:v>
      </x:c>
      <x:c r="L7" s="19" t="str">
        <x:v>מאושר</x:v>
      </x:c>
      <x:c r="M7" s="20" t="n">
        <x:f>IF(L7="מאושר",IF(K7="הכנסה שסווגה מחדש",0,G7),0)</x:f>
        <x:v>76</x:v>
      </x:c>
      <x:c r="N7" s="20" t="n">
        <x:f>IF(K7="שוטף",M7,0)</x:f>
        <x:v>76</x:v>
      </x:c>
      <x:c r="O7" s="20" t="n">
        <x:f>IF(K7="הכנסה שסווגה מחדש",-G7,0)</x:f>
        <x:v>0</x:v>
      </x:c>
      <x:c r="P7" s="11" t="str">
        <x:v>one zero זיו</x:v>
      </x:c>
      <x:c r="Q7" s="11" t="str"/>
      <x:c r="R7" s="11" t="str">
        <x:v>לא</x:v>
      </x:c>
    </x:row>
    <x:row r="8">
      <x:c r="A8" s="14" t="n">
        <x:v>45658</x:v>
      </x:c>
      <x:c r="B8" s="11" t="str">
        <x:v>2025-01</x:v>
      </x:c>
      <x:c r="C8" s="11" t="str">
        <x:v>ינואר 25</x:v>
      </x:c>
      <x:c r="D8" s="15" t="n">
        <x:v>8</x:v>
      </x:c>
      <x:c r="E8" s="11" t="str">
        <x:v>16</x:v>
      </x:c>
      <x:c r="F8" s="11" t="str">
        <x:v>פיצוציה</x:v>
      </x:c>
      <x:c r="G8" s="17" t="n">
        <x:v>14</x:v>
      </x:c>
      <x:c r="H8" s="18" t="str">
        <x:v>אוכל בחוץ</x:v>
      </x:c>
      <x:c r="I8" s="19" t="str">
        <x:f>IFERROR(INDEX('מיפוי ומקורות'!$C$7:$C$33,MATCH(H8,'מיפוי ומקורות'!$B$7:$B$33,0)),"לא מסווג")</x:f>
        <x:v>אוכל בחוץ</x:v>
      </x:c>
      <x:c r="J8" s="19" t="str">
        <x:f>IFERROR(INDEX('מיפוי ומקורות'!$D$7:$D$33,MATCH(H8,'מיפוי ומקורות'!$B$7:$B$33,0)),"שוטף")</x:f>
        <x:v>שוטף</x:v>
      </x:c>
      <x:c r="K8" s="19" t="str">
        <x:f>IF(OR(H8="ריביות",AND(H8="דירה כצנלסון",G8&lt;0,ISNUMBER(SEARCH("הכנסה",F8)))),"הכנסה שסווגה מחדש",J8)</x:f>
        <x:v>שוטף</x:v>
      </x:c>
      <x:c r="L8" s="19" t="str">
        <x:v>מאושר</x:v>
      </x:c>
      <x:c r="M8" s="20" t="n">
        <x:f>IF(L8="מאושר",IF(K8="הכנסה שסווגה מחדש",0,G8),0)</x:f>
        <x:v>14</x:v>
      </x:c>
      <x:c r="N8" s="20" t="n">
        <x:f>IF(K8="שוטף",M8,0)</x:f>
        <x:v>14</x:v>
      </x:c>
      <x:c r="O8" s="20" t="n">
        <x:f>IF(K8="הכנסה שסווגה מחדש",-G8,0)</x:f>
        <x:v>0</x:v>
      </x:c>
      <x:c r="P8" s="11" t="str">
        <x:v>one zero זיו</x:v>
      </x:c>
      <x:c r="Q8" s="11" t="str"/>
      <x:c r="R8" s="11" t="str">
        <x:v>לא</x:v>
      </x:c>
    </x:row>
    <x:row r="9">
      <x:c r="A9" s="14" t="n">
        <x:v>45658</x:v>
      </x:c>
      <x:c r="B9" s="11" t="str">
        <x:v>2025-01</x:v>
      </x:c>
      <x:c r="C9" s="11" t="str">
        <x:v>ינואר 25</x:v>
      </x:c>
      <x:c r="D9" s="15" t="n">
        <x:v>9</x:v>
      </x:c>
      <x:c r="E9" s="11" t="str">
        <x:v>24</x:v>
      </x:c>
      <x:c r="F9" s="11" t="str">
        <x:v>יקב נווה ירק</x:v>
      </x:c>
      <x:c r="G9" s="17" t="n">
        <x:v>365</x:v>
      </x:c>
      <x:c r="H9" s="18" t="str">
        <x:v>אוכל בחוץ</x:v>
      </x:c>
      <x:c r="I9" s="19" t="str">
        <x:f>IFERROR(INDEX('מיפוי ומקורות'!$C$7:$C$33,MATCH(H9,'מיפוי ומקורות'!$B$7:$B$33,0)),"לא מסווג")</x:f>
        <x:v>אוכל בחוץ</x:v>
      </x:c>
      <x:c r="J9" s="19" t="str">
        <x:f>IFERROR(INDEX('מיפוי ומקורות'!$D$7:$D$33,MATCH(H9,'מיפוי ומקורות'!$B$7:$B$33,0)),"שוטף")</x:f>
        <x:v>שוטף</x:v>
      </x:c>
      <x:c r="K9" s="19" t="str">
        <x:f>IF(OR(H9="ריביות",AND(H9="דירה כצנלסון",G9&lt;0,ISNUMBER(SEARCH("הכנסה",F9)))),"הכנסה שסווגה מחדש",J9)</x:f>
        <x:v>שוטף</x:v>
      </x:c>
      <x:c r="L9" s="19" t="str">
        <x:v>מאושר</x:v>
      </x:c>
      <x:c r="M9" s="20" t="n">
        <x:f>IF(L9="מאושר",IF(K9="הכנסה שסווגה מחדש",0,G9),0)</x:f>
        <x:v>365</x:v>
      </x:c>
      <x:c r="N9" s="20" t="n">
        <x:f>IF(K9="שוטף",M9,0)</x:f>
        <x:v>365</x:v>
      </x:c>
      <x:c r="O9" s="20" t="n">
        <x:f>IF(K9="הכנסה שסווגה מחדש",-G9,0)</x:f>
        <x:v>0</x:v>
      </x:c>
      <x:c r="P9" s="11" t="str">
        <x:v>one zero זיו</x:v>
      </x:c>
      <x:c r="Q9" s="11" t="str"/>
      <x:c r="R9" s="11" t="str">
        <x:v>לא</x:v>
      </x:c>
    </x:row>
    <x:row r="10">
      <x:c r="A10" s="14" t="n">
        <x:v>45658</x:v>
      </x:c>
      <x:c r="B10" s="11" t="str">
        <x:v>2025-01</x:v>
      </x:c>
      <x:c r="C10" s="11" t="str">
        <x:v>ינואר 25</x:v>
      </x:c>
      <x:c r="D10" s="15" t="n">
        <x:v>10</x:v>
      </x:c>
      <x:c r="E10" s="11" t="str">
        <x:v>29</x:v>
      </x:c>
      <x:c r="F10" s="11" t="str">
        <x:v>פורטר</x:v>
      </x:c>
      <x:c r="G10" s="17" t="n">
        <x:v>205</x:v>
      </x:c>
      <x:c r="H10" s="18" t="str">
        <x:v>אוכל בחוץ</x:v>
      </x:c>
      <x:c r="I10" s="19" t="str">
        <x:f>IFERROR(INDEX('מיפוי ומקורות'!$C$7:$C$33,MATCH(H10,'מיפוי ומקורות'!$B$7:$B$33,0)),"לא מסווג")</x:f>
        <x:v>אוכל בחוץ</x:v>
      </x:c>
      <x:c r="J10" s="19" t="str">
        <x:f>IFERROR(INDEX('מיפוי ומקורות'!$D$7:$D$33,MATCH(H10,'מיפוי ומקורות'!$B$7:$B$33,0)),"שוטף")</x:f>
        <x:v>שוטף</x:v>
      </x:c>
      <x:c r="K10" s="19" t="str">
        <x:f>IF(OR(H10="ריביות",AND(H10="דירה כצנלסון",G10&lt;0,ISNUMBER(SEARCH("הכנסה",F10)))),"הכנסה שסווגה מחדש",J10)</x:f>
        <x:v>שוטף</x:v>
      </x:c>
      <x:c r="L10" s="19" t="str">
        <x:v>מאושר</x:v>
      </x:c>
      <x:c r="M10" s="20" t="n">
        <x:f>IF(L10="מאושר",IF(K10="הכנסה שסווגה מחדש",0,G10),0)</x:f>
        <x:v>205</x:v>
      </x:c>
      <x:c r="N10" s="20" t="n">
        <x:f>IF(K10="שוטף",M10,0)</x:f>
        <x:v>205</x:v>
      </x:c>
      <x:c r="O10" s="20" t="n">
        <x:f>IF(K10="הכנסה שסווגה מחדש",-G10,0)</x:f>
        <x:v>0</x:v>
      </x:c>
      <x:c r="P10" s="11" t="str">
        <x:v>one zero זיו</x:v>
      </x:c>
      <x:c r="Q10" s="11" t="str"/>
      <x:c r="R10" s="11" t="str">
        <x:v>לא</x:v>
      </x:c>
    </x:row>
    <x:row r="11">
      <x:c r="A11" s="14" t="n">
        <x:v>45658</x:v>
      </x:c>
      <x:c r="B11" s="11" t="str">
        <x:v>2025-01</x:v>
      </x:c>
      <x:c r="C11" s="11" t="str">
        <x:v>ינואר 25</x:v>
      </x:c>
      <x:c r="D11" s="15" t="n">
        <x:v>11</x:v>
      </x:c>
      <x:c r="E11" s="11" t="str">
        <x:v>7</x:v>
      </x:c>
      <x:c r="F11" s="11" t="str">
        <x:v>מים</x:v>
      </x:c>
      <x:c r="G11" s="17" t="n">
        <x:v>125</x:v>
      </x:c>
      <x:c r="H11" s="18" t="str">
        <x:v>מגורים צריכה</x:v>
      </x:c>
      <x:c r="I11" s="19" t="str">
        <x:f>IFERROR(INDEX('מיפוי ומקורות'!$C$7:$C$33,MATCH(H11,'מיפוי ומקורות'!$B$7:$B$33,0)),"לא מסווג")</x:f>
        <x:v>דיור – בית מגורים</x:v>
      </x:c>
      <x:c r="J11" s="19" t="str">
        <x:f>IFERROR(INDEX('מיפוי ומקורות'!$D$7:$D$33,MATCH(H11,'מיפוי ומקורות'!$B$7:$B$33,0)),"שוטף")</x:f>
        <x:v>שוטף</x:v>
      </x:c>
      <x:c r="K11" s="19" t="str">
        <x:f>IF(OR(H11="ריביות",AND(H11="דירה כצנלסון",G11&lt;0,ISNUMBER(SEARCH("הכנסה",F11)))),"הכנסה שסווגה מחדש",J11)</x:f>
        <x:v>שוטף</x:v>
      </x:c>
      <x:c r="L11" s="19" t="str">
        <x:v>מאושר</x:v>
      </x:c>
      <x:c r="M11" s="20" t="n">
        <x:f>IF(L11="מאושר",IF(K11="הכנסה שסווגה מחדש",0,G11),0)</x:f>
        <x:v>125</x:v>
      </x:c>
      <x:c r="N11" s="20" t="n">
        <x:f>IF(K11="שוטף",M11,0)</x:f>
        <x:v>125</x:v>
      </x:c>
      <x:c r="O11" s="20" t="n">
        <x:f>IF(K11="הכנסה שסווגה מחדש",-G11,0)</x:f>
        <x:v>0</x:v>
      </x:c>
      <x:c r="P11" s="11" t="str">
        <x:v>one zero עינור</x:v>
      </x:c>
      <x:c r="Q11" s="11" t="str"/>
      <x:c r="R11" s="11" t="str">
        <x:v>לא</x:v>
      </x:c>
    </x:row>
    <x:row r="12">
      <x:c r="A12" s="14" t="n">
        <x:v>45658</x:v>
      </x:c>
      <x:c r="B12" s="11" t="str">
        <x:v>2025-01</x:v>
      </x:c>
      <x:c r="C12" s="11" t="str">
        <x:v>ינואר 25</x:v>
      </x:c>
      <x:c r="D12" s="15" t="n">
        <x:v>12</x:v>
      </x:c>
      <x:c r="E12" s="11" t="str">
        <x:v>7</x:v>
      </x:c>
      <x:c r="F12" s="11" t="str">
        <x:v>מים כצנלסון</x:v>
      </x:c>
      <x:c r="G12" s="17" t="n">
        <x:v>8</x:v>
      </x:c>
      <x:c r="H12" s="18" t="str">
        <x:v>דירה כצנלסון</x:v>
      </x:c>
      <x:c r="I12" s="19" t="str">
        <x:f>IFERROR(INDEX('מיפוי ומקורות'!$C$7:$C$33,MATCH(H12,'מיפוי ומקורות'!$B$7:$B$33,0)),"לא מסווג")</x:f>
        <x:v>נכס להשקעה</x:v>
      </x:c>
      <x:c r="J12" s="19" t="str">
        <x:f>IFERROR(INDEX('מיפוי ומקורות'!$D$7:$D$33,MATCH(H12,'מיפוי ומקורות'!$B$7:$B$33,0)),"שוטף")</x:f>
        <x:v>חריג/נכס</x:v>
      </x:c>
      <x:c r="K12" s="19" t="str">
        <x:f>IF(OR(H12="ריביות",AND(H12="דירה כצנלסון",G12&lt;0,ISNUMBER(SEARCH("הכנסה",F12)))),"הכנסה שסווגה מחדש",J12)</x:f>
        <x:v>חריג/נכס</x:v>
      </x:c>
      <x:c r="L12" s="19" t="str">
        <x:v>מאושר</x:v>
      </x:c>
      <x:c r="M12" s="20" t="n">
        <x:f>IF(L12="מאושר",IF(K12="הכנסה שסווגה מחדש",0,G12),0)</x:f>
        <x:v>8</x:v>
      </x:c>
      <x:c r="N12" s="20" t="n">
        <x:f>IF(K12="שוטף",M12,0)</x:f>
        <x:v>0</x:v>
      </x:c>
      <x:c r="O12" s="20" t="n">
        <x:f>IF(K12="הכנסה שסווגה מחדש",-G12,0)</x:f>
        <x:v>0</x:v>
      </x:c>
      <x:c r="P12" s="11" t="str">
        <x:v>one zero עינור</x:v>
      </x:c>
      <x:c r="Q12" s="11" t="str"/>
      <x:c r="R12" s="11" t="str">
        <x:v>לא</x:v>
      </x:c>
    </x:row>
    <x:row r="13">
      <x:c r="A13" s="14" t="n">
        <x:v>45658</x:v>
      </x:c>
      <x:c r="B13" s="11" t="str">
        <x:v>2025-01</x:v>
      </x:c>
      <x:c r="C13" s="11" t="str">
        <x:v>ינואר 25</x:v>
      </x:c>
      <x:c r="D13" s="15" t="n">
        <x:v>13</x:v>
      </x:c>
      <x:c r="E13" s="11" t="str">
        <x:v>12</x:v>
      </x:c>
      <x:c r="F13" s="11" t="str">
        <x:v>לק</x:v>
      </x:c>
      <x:c r="G13" s="17" t="n">
        <x:v>110</x:v>
      </x:c>
      <x:c r="H13" s="18" t="str">
        <x:v>קוסמטיקה</x:v>
      </x:c>
      <x:c r="I13" s="19" t="str">
        <x:f>IFERROR(INDEX('מיפוי ומקורות'!$C$7:$C$33,MATCH(H13,'מיפוי ומקורות'!$B$7:$B$33,0)),"לא מסווג")</x:f>
        <x:v>קוסמטיקה</x:v>
      </x:c>
      <x:c r="J13" s="19" t="str">
        <x:f>IFERROR(INDEX('מיפוי ומקורות'!$D$7:$D$33,MATCH(H13,'מיפוי ומקורות'!$B$7:$B$33,0)),"שוטף")</x:f>
        <x:v>שוטף</x:v>
      </x:c>
      <x:c r="K13" s="19" t="str">
        <x:f>IF(OR(H13="ריביות",AND(H13="דירה כצנלסון",G13&lt;0,ISNUMBER(SEARCH("הכנסה",F13)))),"הכנסה שסווגה מחדש",J13)</x:f>
        <x:v>שוטף</x:v>
      </x:c>
      <x:c r="L13" s="19" t="str">
        <x:v>מאושר</x:v>
      </x:c>
      <x:c r="M13" s="20" t="n">
        <x:f>IF(L13="מאושר",IF(K13="הכנסה שסווגה מחדש",0,G13),0)</x:f>
        <x:v>110</x:v>
      </x:c>
      <x:c r="N13" s="20" t="n">
        <x:f>IF(K13="שוטף",M13,0)</x:f>
        <x:v>110</x:v>
      </x:c>
      <x:c r="O13" s="20" t="n">
        <x:f>IF(K13="הכנסה שסווגה מחדש",-G13,0)</x:f>
        <x:v>0</x:v>
      </x:c>
      <x:c r="P13" s="11" t="str">
        <x:v>one zero עינור</x:v>
      </x:c>
      <x:c r="Q13" s="11" t="str"/>
      <x:c r="R13" s="11" t="str">
        <x:v>לא</x:v>
      </x:c>
    </x:row>
    <x:row r="14">
      <x:c r="A14" s="14" t="n">
        <x:v>45658</x:v>
      </x:c>
      <x:c r="B14" s="11" t="str">
        <x:v>2025-01</x:v>
      </x:c>
      <x:c r="C14" s="11" t="str">
        <x:v>ינואר 25</x:v>
      </x:c>
      <x:c r="D14" s="15" t="n">
        <x:v>14</x:v>
      </x:c>
      <x:c r="E14" s="11" t="str">
        <x:v>12</x:v>
      </x:c>
      <x:c r="F14" s="11" t="str">
        <x:v>סופר</x:v>
      </x:c>
      <x:c r="G14" s="17" t="n">
        <x:v>14</x:v>
      </x:c>
      <x:c r="H14" s="18" t="str">
        <x:v>מזון לבית</x:v>
      </x:c>
      <x:c r="I14" s="19" t="str">
        <x:f>IFERROR(INDEX('מיפוי ומקורות'!$C$7:$C$33,MATCH(H14,'מיפוי ומקורות'!$B$7:$B$33,0)),"לא מסווג")</x:f>
        <x:v>מזון לבית</x:v>
      </x:c>
      <x:c r="J14" s="19" t="str">
        <x:f>IFERROR(INDEX('מיפוי ומקורות'!$D$7:$D$33,MATCH(H14,'מיפוי ומקורות'!$B$7:$B$33,0)),"שוטף")</x:f>
        <x:v>שוטף</x:v>
      </x:c>
      <x:c r="K14" s="19" t="str">
        <x:f>IF(OR(H14="ריביות",AND(H14="דירה כצנלסון",G14&lt;0,ISNUMBER(SEARCH("הכנסה",F14)))),"הכנסה שסווגה מחדש",J14)</x:f>
        <x:v>שוטף</x:v>
      </x:c>
      <x:c r="L14" s="19" t="str">
        <x:v>מאושר</x:v>
      </x:c>
      <x:c r="M14" s="20" t="n">
        <x:f>IF(L14="מאושר",IF(K14="הכנסה שסווגה מחדש",0,G14),0)</x:f>
        <x:v>14</x:v>
      </x:c>
      <x:c r="N14" s="20" t="n">
        <x:f>IF(K14="שוטף",M14,0)</x:f>
        <x:v>14</x:v>
      </x:c>
      <x:c r="O14" s="20" t="n">
        <x:f>IF(K14="הכנסה שסווגה מחדש",-G14,0)</x:f>
        <x:v>0</x:v>
      </x:c>
      <x:c r="P14" s="11" t="str">
        <x:v>one zero עינור</x:v>
      </x:c>
      <x:c r="Q14" s="11" t="str"/>
      <x:c r="R14" s="11" t="str">
        <x:v>לא</x:v>
      </x:c>
    </x:row>
    <x:row r="15">
      <x:c r="A15" s="14" t="n">
        <x:v>45658</x:v>
      </x:c>
      <x:c r="B15" s="11" t="str">
        <x:v>2025-01</x:v>
      </x:c>
      <x:c r="C15" s="11" t="str">
        <x:v>ינואר 25</x:v>
      </x:c>
      <x:c r="D15" s="15" t="n">
        <x:v>15</x:v>
      </x:c>
      <x:c r="E15" s="11" t="str"/>
      <x:c r="F15" s="11" t="str">
        <x:v>משחק</x:v>
      </x:c>
      <x:c r="G15" s="17" t="n">
        <x:v>50</x:v>
      </x:c>
      <x:c r="H15" s="18" t="str">
        <x:v>פנאי</x:v>
      </x:c>
      <x:c r="I15" s="19" t="str">
        <x:f>IFERROR(INDEX('מיפוי ומקורות'!$C$7:$C$33,MATCH(H15,'מיפוי ומקורות'!$B$7:$B$33,0)),"לא מסווג")</x:f>
        <x:v>פנאי</x:v>
      </x:c>
      <x:c r="J15" s="19" t="str">
        <x:f>IFERROR(INDEX('מיפוי ומקורות'!$D$7:$D$33,MATCH(H15,'מיפוי ומקורות'!$B$7:$B$33,0)),"שוטף")</x:f>
        <x:v>שוטף</x:v>
      </x:c>
      <x:c r="K15" s="19" t="str">
        <x:f>IF(OR(H15="ריביות",AND(H15="דירה כצנלסון",G15&lt;0,ISNUMBER(SEARCH("הכנסה",F15)))),"הכנסה שסווגה מחדש",J15)</x:f>
        <x:v>שוטף</x:v>
      </x:c>
      <x:c r="L15" s="19" t="str">
        <x:v>מאושר</x:v>
      </x:c>
      <x:c r="M15" s="20" t="n">
        <x:f>IF(L15="מאושר",IF(K15="הכנסה שסווגה מחדש",0,G15),0)</x:f>
        <x:v>50</x:v>
      </x:c>
      <x:c r="N15" s="20" t="n">
        <x:f>IF(K15="שוטף",M15,0)</x:f>
        <x:v>50</x:v>
      </x:c>
      <x:c r="O15" s="20" t="n">
        <x:f>IF(K15="הכנסה שסווגה מחדש",-G15,0)</x:f>
        <x:v>0</x:v>
      </x:c>
      <x:c r="P15" s="11" t="str">
        <x:v>one zero עינור</x:v>
      </x:c>
      <x:c r="Q15" s="11" t="str"/>
      <x:c r="R15" s="11" t="str">
        <x:v>לא</x:v>
      </x:c>
    </x:row>
    <x:row r="16">
      <x:c r="A16" s="14" t="n">
        <x:v>45658</x:v>
      </x:c>
      <x:c r="B16" s="11" t="str">
        <x:v>2025-01</x:v>
      </x:c>
      <x:c r="C16" s="11" t="str">
        <x:v>ינואר 25</x:v>
      </x:c>
      <x:c r="D16" s="15" t="n">
        <x:v>16</x:v>
      </x:c>
      <x:c r="E16" s="11" t="str"/>
      <x:c r="F16" s="11" t="str">
        <x:v>חול</x:v>
      </x:c>
      <x:c r="G16" s="17" t="n">
        <x:v>1065</x:v>
      </x:c>
      <x:c r="H16" s="18" t="str">
        <x:v>חול</x:v>
      </x:c>
      <x:c r="I16" s="19" t="str">
        <x:f>IFERROR(INDEX('מיפוי ומקורות'!$C$7:$C$33,MATCH(H16,'מיפוי ומקורות'!$B$7:$B$33,0)),"לא מסווג")</x:f>
        <x:v>נסיעות וחופשות</x:v>
      </x:c>
      <x:c r="J16" s="19" t="str">
        <x:f>IFERROR(INDEX('מיפוי ומקורות'!$D$7:$D$33,MATCH(H16,'מיפוי ומקורות'!$B$7:$B$33,0)),"שוטף")</x:f>
        <x:v>חריג</x:v>
      </x:c>
      <x:c r="K16" s="19" t="str">
        <x:f>IF(OR(H16="ריביות",AND(H16="דירה כצנלסון",G16&lt;0,ISNUMBER(SEARCH("הכנסה",F16)))),"הכנסה שסווגה מחדש",J16)</x:f>
        <x:v>חריג</x:v>
      </x:c>
      <x:c r="L16" s="19" t="str">
        <x:v>מאושר</x:v>
      </x:c>
      <x:c r="M16" s="20" t="n">
        <x:f>IF(L16="מאושר",IF(K16="הכנסה שסווגה מחדש",0,G16),0)</x:f>
        <x:v>1065</x:v>
      </x:c>
      <x:c r="N16" s="20" t="n">
        <x:f>IF(K16="שוטף",M16,0)</x:f>
        <x:v>0</x:v>
      </x:c>
      <x:c r="O16" s="20" t="n">
        <x:f>IF(K16="הכנסה שסווגה מחדש",-G16,0)</x:f>
        <x:v>0</x:v>
      </x:c>
      <x:c r="P16" s="11" t="str">
        <x:v>one zero עינור</x:v>
      </x:c>
      <x:c r="Q16" s="11" t="str"/>
      <x:c r="R16" s="11" t="str">
        <x:v>לא</x:v>
      </x:c>
    </x:row>
    <x:row r="17">
      <x:c r="A17" s="14" t="n">
        <x:v>45658</x:v>
      </x:c>
      <x:c r="B17" s="11" t="str">
        <x:v>2025-01</x:v>
      </x:c>
      <x:c r="C17" s="11" t="str">
        <x:v>ינואר 25</x:v>
      </x:c>
      <x:c r="D17" s="15" t="n">
        <x:v>17</x:v>
      </x:c>
      <x:c r="E17" s="11" t="str">
        <x:v>26</x:v>
      </x:c>
      <x:c r="F17" s="11" t="str">
        <x:v>שיין</x:v>
      </x:c>
      <x:c r="G17" s="17" t="n">
        <x:v>286</x:v>
      </x:c>
      <x:c r="H17" s="18" t="str">
        <x:v>אופנה</x:v>
      </x:c>
      <x:c r="I17" s="19" t="str">
        <x:f>IFERROR(INDEX('מיפוי ומקורות'!$C$7:$C$33,MATCH(H17,'מיפוי ומקורות'!$B$7:$B$33,0)),"לא מסווג")</x:f>
        <x:v>אופנה</x:v>
      </x:c>
      <x:c r="J17" s="19" t="str">
        <x:f>IFERROR(INDEX('מיפוי ומקורות'!$D$7:$D$33,MATCH(H17,'מיפוי ומקורות'!$B$7:$B$33,0)),"שוטף")</x:f>
        <x:v>שוטף</x:v>
      </x:c>
      <x:c r="K17" s="19" t="str">
        <x:f>IF(OR(H17="ריביות",AND(H17="דירה כצנלסון",G17&lt;0,ISNUMBER(SEARCH("הכנסה",F17)))),"הכנסה שסווגה מחדש",J17)</x:f>
        <x:v>שוטף</x:v>
      </x:c>
      <x:c r="L17" s="19" t="str">
        <x:v>מאושר</x:v>
      </x:c>
      <x:c r="M17" s="20" t="n">
        <x:f>IF(L17="מאושר",IF(K17="הכנסה שסווגה מחדש",0,G17),0)</x:f>
        <x:v>286</x:v>
      </x:c>
      <x:c r="N17" s="20" t="n">
        <x:f>IF(K17="שוטף",M17,0)</x:f>
        <x:v>286</x:v>
      </x:c>
      <x:c r="O17" s="20" t="n">
        <x:f>IF(K17="הכנסה שסווגה מחדש",-G17,0)</x:f>
        <x:v>0</x:v>
      </x:c>
      <x:c r="P17" s="11" t="str">
        <x:v>one zero עינור</x:v>
      </x:c>
      <x:c r="Q17" s="11" t="str"/>
      <x:c r="R17" s="11" t="str">
        <x:v>לא</x:v>
      </x:c>
    </x:row>
    <x:row r="18">
      <x:c r="A18" s="14" t="n">
        <x:v>45658</x:v>
      </x:c>
      <x:c r="B18" s="11" t="str">
        <x:v>2025-01</x:v>
      </x:c>
      <x:c r="C18" s="11" t="str">
        <x:v>ינואר 25</x:v>
      </x:c>
      <x:c r="D18" s="15" t="n">
        <x:v>18</x:v>
      </x:c>
      <x:c r="E18" s="11" t="str"/>
      <x:c r="F18" s="11" t="str">
        <x:v>אימונים</x:v>
      </x:c>
      <x:c r="G18" s="17" t="n">
        <x:v>522</x:v>
      </x:c>
      <x:c r="H18" s="18" t="str">
        <x:v>ספורט</x:v>
      </x:c>
      <x:c r="I18" s="19" t="str">
        <x:f>IFERROR(INDEX('מיפוי ומקורות'!$C$7:$C$33,MATCH(H18,'מיפוי ומקורות'!$B$7:$B$33,0)),"לא מסווג")</x:f>
        <x:v>ספורט</x:v>
      </x:c>
      <x:c r="J18" s="19" t="str">
        <x:f>IFERROR(INDEX('מיפוי ומקורות'!$D$7:$D$33,MATCH(H18,'מיפוי ומקורות'!$B$7:$B$33,0)),"שוטף")</x:f>
        <x:v>שוטף</x:v>
      </x:c>
      <x:c r="K18" s="19" t="str">
        <x:f>IF(OR(H18="ריביות",AND(H18="דירה כצנלסון",G18&lt;0,ISNUMBER(SEARCH("הכנסה",F18)))),"הכנסה שסווגה מחדש",J18)</x:f>
        <x:v>שוטף</x:v>
      </x:c>
      <x:c r="L18" s="19" t="str">
        <x:v>מאושר</x:v>
      </x:c>
      <x:c r="M18" s="20" t="n">
        <x:f>IF(L18="מאושר",IF(K18="הכנסה שסווגה מחדש",0,G18),0)</x:f>
        <x:v>522</x:v>
      </x:c>
      <x:c r="N18" s="20" t="n">
        <x:f>IF(K18="שוטף",M18,0)</x:f>
        <x:v>522</x:v>
      </x:c>
      <x:c r="O18" s="20" t="n">
        <x:f>IF(K18="הכנסה שסווגה מחדש",-G18,0)</x:f>
        <x:v>0</x:v>
      </x:c>
      <x:c r="P18" s="11" t="str">
        <x:v>אחר - עינור</x:v>
      </x:c>
      <x:c r="Q18" s="11" t="str"/>
      <x:c r="R18" s="11" t="str">
        <x:v>לא</x:v>
      </x:c>
    </x:row>
    <x:row r="19">
      <x:c r="A19" s="14" t="n">
        <x:v>45658</x:v>
      </x:c>
      <x:c r="B19" s="11" t="str">
        <x:v>2025-01</x:v>
      </x:c>
      <x:c r="C19" s="11" t="str">
        <x:v>ינואר 25</x:v>
      </x:c>
      <x:c r="D19" s="15" t="n">
        <x:v>19</x:v>
      </x:c>
      <x:c r="E19" s="11" t="str">
        <x:v>18</x:v>
      </x:c>
      <x:c r="F19" s="11" t="str">
        <x:v>ארנונה</x:v>
      </x:c>
      <x:c r="G19" s="17" t="n">
        <x:v>950</x:v>
      </x:c>
      <x:c r="H19" s="18" t="str">
        <x:v>מגורים צריכה</x:v>
      </x:c>
      <x:c r="I19" s="19" t="str">
        <x:f>IFERROR(INDEX('מיפוי ומקורות'!$C$7:$C$33,MATCH(H19,'מיפוי ומקורות'!$B$7:$B$33,0)),"לא מסווג")</x:f>
        <x:v>דיור – בית מגורים</x:v>
      </x:c>
      <x:c r="J19" s="19" t="str">
        <x:f>IFERROR(INDEX('מיפוי ומקורות'!$D$7:$D$33,MATCH(H19,'מיפוי ומקורות'!$B$7:$B$33,0)),"שוטף")</x:f>
        <x:v>שוטף</x:v>
      </x:c>
      <x:c r="K19" s="19" t="str">
        <x:f>IF(OR(H19="ריביות",AND(H19="דירה כצנלסון",G19&lt;0,ISNUMBER(SEARCH("הכנסה",F19)))),"הכנסה שסווגה מחדש",J19)</x:f>
        <x:v>שוטף</x:v>
      </x:c>
      <x:c r="L19" s="19" t="str">
        <x:v>מאושר</x:v>
      </x:c>
      <x:c r="M19" s="20" t="n">
        <x:f>IF(L19="מאושר",IF(K19="הכנסה שסווגה מחדש",0,G19),0)</x:f>
        <x:v>950</x:v>
      </x:c>
      <x:c r="N19" s="20" t="n">
        <x:f>IF(K19="שוטף",M19,0)</x:f>
        <x:v>950</x:v>
      </x:c>
      <x:c r="O19" s="20" t="n">
        <x:f>IF(K19="הכנסה שסווגה מחדש",-G19,0)</x:f>
        <x:v>0</x:v>
      </x:c>
      <x:c r="P19" s="11" t="str">
        <x:v>אמקס זיו</x:v>
      </x:c>
      <x:c r="Q19" s="11" t="str"/>
      <x:c r="R19" s="11" t="str">
        <x:v>לא</x:v>
      </x:c>
    </x:row>
    <x:row r="20">
      <x:c r="A20" s="14" t="n">
        <x:v>45658</x:v>
      </x:c>
      <x:c r="B20" s="11" t="str">
        <x:v>2025-01</x:v>
      </x:c>
      <x:c r="C20" s="11" t="str">
        <x:v>ינואר 25</x:v>
      </x:c>
      <x:c r="D20" s="15" t="n">
        <x:v>20</x:v>
      </x:c>
      <x:c r="E20" s="11" t="str">
        <x:v>18</x:v>
      </x:c>
      <x:c r="F20" s="11" t="str">
        <x:v>גז</x:v>
      </x:c>
      <x:c r="G20" s="17" t="n">
        <x:v>39</x:v>
      </x:c>
      <x:c r="H20" s="18" t="str">
        <x:v>מגורים צריכה</x:v>
      </x:c>
      <x:c r="I20" s="19" t="str">
        <x:f>IFERROR(INDEX('מיפוי ומקורות'!$C$7:$C$33,MATCH(H20,'מיפוי ומקורות'!$B$7:$B$33,0)),"לא מסווג")</x:f>
        <x:v>דיור – בית מגורים</x:v>
      </x:c>
      <x:c r="J20" s="19" t="str">
        <x:f>IFERROR(INDEX('מיפוי ומקורות'!$D$7:$D$33,MATCH(H20,'מיפוי ומקורות'!$B$7:$B$33,0)),"שוטף")</x:f>
        <x:v>שוטף</x:v>
      </x:c>
      <x:c r="K20" s="19" t="str">
        <x:f>IF(OR(H20="ריביות",AND(H20="דירה כצנלסון",G20&lt;0,ISNUMBER(SEARCH("הכנסה",F20)))),"הכנסה שסווגה מחדש",J20)</x:f>
        <x:v>שוטף</x:v>
      </x:c>
      <x:c r="L20" s="19" t="str">
        <x:v>מאושר</x:v>
      </x:c>
      <x:c r="M20" s="20" t="n">
        <x:f>IF(L20="מאושר",IF(K20="הכנסה שסווגה מחדש",0,G20),0)</x:f>
        <x:v>39</x:v>
      </x:c>
      <x:c r="N20" s="20" t="n">
        <x:f>IF(K20="שוטף",M20,0)</x:f>
        <x:v>39</x:v>
      </x:c>
      <x:c r="O20" s="20" t="n">
        <x:f>IF(K20="הכנסה שסווגה מחדש",-G20,0)</x:f>
        <x:v>0</x:v>
      </x:c>
      <x:c r="P20" s="11" t="str">
        <x:v>אמקס זיו</x:v>
      </x:c>
      <x:c r="Q20" s="11" t="str"/>
      <x:c r="R20" s="11" t="str">
        <x:v>לא</x:v>
      </x:c>
    </x:row>
    <x:row r="21">
      <x:c r="A21" s="14" t="n">
        <x:v>45658</x:v>
      </x:c>
      <x:c r="B21" s="11" t="str">
        <x:v>2025-01</x:v>
      </x:c>
      <x:c r="C21" s="11" t="str">
        <x:v>ינואר 25</x:v>
      </x:c>
      <x:c r="D21" s="15" t="n">
        <x:v>21</x:v>
      </x:c>
      <x:c r="E21" s="11" t="str">
        <x:v>12</x:v>
      </x:c>
      <x:c r="F21" s="11" t="str">
        <x:v>סלולר + אינטרנט</x:v>
      </x:c>
      <x:c r="G21" s="17" t="n">
        <x:v>169</x:v>
      </x:c>
      <x:c r="H21" s="18" t="str">
        <x:v>מגורים חודשי</x:v>
      </x:c>
      <x:c r="I21" s="19" t="str">
        <x:f>IFERROR(INDEX('מיפוי ומקורות'!$C$7:$C$33,MATCH(H21,'מיפוי ומקורות'!$B$7:$B$33,0)),"לא מסווג")</x:f>
        <x:v>דיור – בית מגורים</x:v>
      </x:c>
      <x:c r="J21" s="19" t="str">
        <x:f>IFERROR(INDEX('מיפוי ומקורות'!$D$7:$D$33,MATCH(H21,'מיפוי ומקורות'!$B$7:$B$33,0)),"שוטף")</x:f>
        <x:v>שוטף</x:v>
      </x:c>
      <x:c r="K21" s="19" t="str">
        <x:f>IF(OR(H21="ריביות",AND(H21="דירה כצנלסון",G21&lt;0,ISNUMBER(SEARCH("הכנסה",F21)))),"הכנסה שסווגה מחדש",J21)</x:f>
        <x:v>שוטף</x:v>
      </x:c>
      <x:c r="L21" s="19" t="str">
        <x:v>מאושר</x:v>
      </x:c>
      <x:c r="M21" s="20" t="n">
        <x:f>IF(L21="מאושר",IF(K21="הכנסה שסווגה מחדש",0,G21),0)</x:f>
        <x:v>169</x:v>
      </x:c>
      <x:c r="N21" s="20" t="n">
        <x:f>IF(K21="שוטף",M21,0)</x:f>
        <x:v>169</x:v>
      </x:c>
      <x:c r="O21" s="20" t="n">
        <x:f>IF(K21="הכנסה שסווגה מחדש",-G21,0)</x:f>
        <x:v>0</x:v>
      </x:c>
      <x:c r="P21" s="11" t="str">
        <x:v>אמקס זיו</x:v>
      </x:c>
      <x:c r="Q21" s="11" t="str"/>
      <x:c r="R21" s="11" t="str">
        <x:v>לא</x:v>
      </x:c>
    </x:row>
    <x:row r="22">
      <x:c r="A22" s="14" t="n">
        <x:v>45658</x:v>
      </x:c>
      <x:c r="B22" s="11" t="str">
        <x:v>2025-01</x:v>
      </x:c>
      <x:c r="C22" s="11" t="str">
        <x:v>ינואר 25</x:v>
      </x:c>
      <x:c r="D22" s="15" t="n">
        <x:v>22</x:v>
      </x:c>
      <x:c r="E22" s="11" t="str">
        <x:v>28</x:v>
      </x:c>
      <x:c r="F22" s="11" t="str">
        <x:v>ביטוח מבנה</x:v>
      </x:c>
      <x:c r="G22" s="17" t="n">
        <x:v>87</x:v>
      </x:c>
      <x:c r="H22" s="18" t="str">
        <x:v>דירה כצנלסון</x:v>
      </x:c>
      <x:c r="I22" s="19" t="str">
        <x:f>IFERROR(INDEX('מיפוי ומקורות'!$C$7:$C$33,MATCH(H22,'מיפוי ומקורות'!$B$7:$B$33,0)),"לא מסווג")</x:f>
        <x:v>נכס להשקעה</x:v>
      </x:c>
      <x:c r="J22" s="19" t="str">
        <x:f>IFERROR(INDEX('מיפוי ומקורות'!$D$7:$D$33,MATCH(H22,'מיפוי ומקורות'!$B$7:$B$33,0)),"שוטף")</x:f>
        <x:v>חריג/נכס</x:v>
      </x:c>
      <x:c r="K22" s="19" t="str">
        <x:f>IF(OR(H22="ריביות",AND(H22="דירה כצנלסון",G22&lt;0,ISNUMBER(SEARCH("הכנסה",F22)))),"הכנסה שסווגה מחדש",J22)</x:f>
        <x:v>חריג/נכס</x:v>
      </x:c>
      <x:c r="L22" s="19" t="str">
        <x:v>מאושר</x:v>
      </x:c>
      <x:c r="M22" s="20" t="n">
        <x:f>IF(L22="מאושר",IF(K22="הכנסה שסווגה מחדש",0,G22),0)</x:f>
        <x:v>87</x:v>
      </x:c>
      <x:c r="N22" s="20" t="n">
        <x:f>IF(K22="שוטף",M22,0)</x:f>
        <x:v>0</x:v>
      </x:c>
      <x:c r="O22" s="20" t="n">
        <x:f>IF(K22="הכנסה שסווגה מחדש",-G22,0)</x:f>
        <x:v>0</x:v>
      </x:c>
      <x:c r="P22" s="11" t="str">
        <x:v>אמקס זיו</x:v>
      </x:c>
      <x:c r="Q22" s="11" t="str"/>
      <x:c r="R22" s="11" t="str">
        <x:v>לא</x:v>
      </x:c>
    </x:row>
    <x:row r="23">
      <x:c r="A23" s="14" t="n">
        <x:v>45658</x:v>
      </x:c>
      <x:c r="B23" s="11" t="str">
        <x:v>2025-01</x:v>
      </x:c>
      <x:c r="C23" s="11" t="str">
        <x:v>ינואר 25</x:v>
      </x:c>
      <x:c r="D23" s="15" t="n">
        <x:v>23</x:v>
      </x:c>
      <x:c r="E23" s="11" t="str">
        <x:v>28</x:v>
      </x:c>
      <x:c r="F23" s="11" t="str">
        <x:v>ביטוח חיים</x:v>
      </x:c>
      <x:c r="G23" s="17" t="n">
        <x:v>29</x:v>
      </x:c>
      <x:c r="H23" s="18" t="str">
        <x:v>דירה כצנלסון</x:v>
      </x:c>
      <x:c r="I23" s="19" t="str">
        <x:f>IFERROR(INDEX('מיפוי ומקורות'!$C$7:$C$33,MATCH(H23,'מיפוי ומקורות'!$B$7:$B$33,0)),"לא מסווג")</x:f>
        <x:v>נכס להשקעה</x:v>
      </x:c>
      <x:c r="J23" s="19" t="str">
        <x:f>IFERROR(INDEX('מיפוי ומקורות'!$D$7:$D$33,MATCH(H23,'מיפוי ומקורות'!$B$7:$B$33,0)),"שוטף")</x:f>
        <x:v>חריג/נכס</x:v>
      </x:c>
      <x:c r="K23" s="19" t="str">
        <x:f>IF(OR(H23="ריביות",AND(H23="דירה כצנלסון",G23&lt;0,ISNUMBER(SEARCH("הכנסה",F23)))),"הכנסה שסווגה מחדש",J23)</x:f>
        <x:v>חריג/נכס</x:v>
      </x:c>
      <x:c r="L23" s="19" t="str">
        <x:v>מאושר</x:v>
      </x:c>
      <x:c r="M23" s="20" t="n">
        <x:f>IF(L23="מאושר",IF(K23="הכנסה שסווגה מחדש",0,G23),0)</x:f>
        <x:v>29</x:v>
      </x:c>
      <x:c r="N23" s="20" t="n">
        <x:f>IF(K23="שוטף",M23,0)</x:f>
        <x:v>0</x:v>
      </x:c>
      <x:c r="O23" s="20" t="n">
        <x:f>IF(K23="הכנסה שסווגה מחדש",-G23,0)</x:f>
        <x:v>0</x:v>
      </x:c>
      <x:c r="P23" s="11" t="str">
        <x:v>אמקס זיו</x:v>
      </x:c>
      <x:c r="Q23" s="11" t="str"/>
      <x:c r="R23" s="11" t="str">
        <x:v>לא</x:v>
      </x:c>
    </x:row>
    <x:row r="24">
      <x:c r="A24" s="14" t="n">
        <x:v>45658</x:v>
      </x:c>
      <x:c r="B24" s="11" t="str">
        <x:v>2025-01</x:v>
      </x:c>
      <x:c r="C24" s="11" t="str">
        <x:v>ינואר 25</x:v>
      </x:c>
      <x:c r="D24" s="15" t="n">
        <x:v>24</x:v>
      </x:c>
      <x:c r="E24" s="11" t="str">
        <x:v>25</x:v>
      </x:c>
      <x:c r="F24" s="11" t="str">
        <x:v>חניון הדסה</x:v>
      </x:c>
      <x:c r="G24" s="17" t="n">
        <x:v>54</x:v>
      </x:c>
      <x:c r="H24" s="18" t="str">
        <x:v>תחבורה</x:v>
      </x:c>
      <x:c r="I24" s="19" t="str">
        <x:f>IFERROR(INDEX('מיפוי ומקורות'!$C$7:$C$33,MATCH(H24,'מיפוי ומקורות'!$B$7:$B$33,0)),"לא מסווג")</x:f>
        <x:v>תחבורה</x:v>
      </x:c>
      <x:c r="J24" s="19" t="str">
        <x:f>IFERROR(INDEX('מיפוי ומקורות'!$D$7:$D$33,MATCH(H24,'מיפוי ומקורות'!$B$7:$B$33,0)),"שוטף")</x:f>
        <x:v>שוטף</x:v>
      </x:c>
      <x:c r="K24" s="19" t="str">
        <x:f>IF(OR(H24="ריביות",AND(H24="דירה כצנלסון",G24&lt;0,ISNUMBER(SEARCH("הכנסה",F24)))),"הכנסה שסווגה מחדש",J24)</x:f>
        <x:v>שוטף</x:v>
      </x:c>
      <x:c r="L24" s="19" t="str">
        <x:v>מאושר</x:v>
      </x:c>
      <x:c r="M24" s="20" t="n">
        <x:f>IF(L24="מאושר",IF(K24="הכנסה שסווגה מחדש",0,G24),0)</x:f>
        <x:v>54</x:v>
      </x:c>
      <x:c r="N24" s="20" t="n">
        <x:f>IF(K24="שוטף",M24,0)</x:f>
        <x:v>54</x:v>
      </x:c>
      <x:c r="O24" s="20" t="n">
        <x:f>IF(K24="הכנסה שסווגה מחדש",-G24,0)</x:f>
        <x:v>0</x:v>
      </x:c>
      <x:c r="P24" s="11" t="str">
        <x:v>אמקס זיו</x:v>
      </x:c>
      <x:c r="Q24" s="11" t="str"/>
      <x:c r="R24" s="11" t="str">
        <x:v>לא</x:v>
      </x:c>
    </x:row>
    <x:row r="25">
      <x:c r="A25" s="14" t="n">
        <x:v>45658</x:v>
      </x:c>
      <x:c r="B25" s="11" t="str">
        <x:v>2025-01</x:v>
      </x:c>
      <x:c r="C25" s="11" t="str">
        <x:v>ינואר 25</x:v>
      </x:c>
      <x:c r="D25" s="15" t="n">
        <x:v>25</x:v>
      </x:c>
      <x:c r="E25" s="11" t="str">
        <x:v>25</x:v>
      </x:c>
      <x:c r="F25" s="11" t="str">
        <x:v>תחבץ</x:v>
      </x:c>
      <x:c r="G25" s="17" t="n">
        <x:v>36</x:v>
      </x:c>
      <x:c r="H25" s="18" t="str">
        <x:v>תחבורה</x:v>
      </x:c>
      <x:c r="I25" s="19" t="str">
        <x:f>IFERROR(INDEX('מיפוי ומקורות'!$C$7:$C$33,MATCH(H25,'מיפוי ומקורות'!$B$7:$B$33,0)),"לא מסווג")</x:f>
        <x:v>תחבורה</x:v>
      </x:c>
      <x:c r="J25" s="19" t="str">
        <x:f>IFERROR(INDEX('מיפוי ומקורות'!$D$7:$D$33,MATCH(H25,'מיפוי ומקורות'!$B$7:$B$33,0)),"שוטף")</x:f>
        <x:v>שוטף</x:v>
      </x:c>
      <x:c r="K25" s="19" t="str">
        <x:f>IF(OR(H25="ריביות",AND(H25="דירה כצנלסון",G25&lt;0,ISNUMBER(SEARCH("הכנסה",F25)))),"הכנסה שסווגה מחדש",J25)</x:f>
        <x:v>שוטף</x:v>
      </x:c>
      <x:c r="L25" s="19" t="str">
        <x:v>מאושר</x:v>
      </x:c>
      <x:c r="M25" s="20" t="n">
        <x:f>IF(L25="מאושר",IF(K25="הכנסה שסווגה מחדש",0,G25),0)</x:f>
        <x:v>36</x:v>
      </x:c>
      <x:c r="N25" s="20" t="n">
        <x:f>IF(K25="שוטף",M25,0)</x:f>
        <x:v>36</x:v>
      </x:c>
      <x:c r="O25" s="20" t="n">
        <x:f>IF(K25="הכנסה שסווגה מחדש",-G25,0)</x:f>
        <x:v>0</x:v>
      </x:c>
      <x:c r="P25" s="11" t="str">
        <x:v>אמקס זיו</x:v>
      </x:c>
      <x:c r="Q25" s="11" t="str"/>
      <x:c r="R25" s="11" t="str">
        <x:v>לא</x:v>
      </x:c>
    </x:row>
    <x:row r="26">
      <x:c r="A26" s="14" t="n">
        <x:v>45658</x:v>
      </x:c>
      <x:c r="B26" s="11" t="str">
        <x:v>2025-01</x:v>
      </x:c>
      <x:c r="C26" s="11" t="str">
        <x:v>ינואר 25</x:v>
      </x:c>
      <x:c r="D26" s="15" t="n">
        <x:v>26</x:v>
      </x:c>
      <x:c r="E26" s="11" t="str">
        <x:v>25</x:v>
      </x:c>
      <x:c r="F26" s="11" t="str">
        <x:v>דלק</x:v>
      </x:c>
      <x:c r="G26" s="17" t="n">
        <x:v>208</x:v>
      </x:c>
      <x:c r="H26" s="18" t="str">
        <x:v>תחבורה</x:v>
      </x:c>
      <x:c r="I26" s="19" t="str">
        <x:f>IFERROR(INDEX('מיפוי ומקורות'!$C$7:$C$33,MATCH(H26,'מיפוי ומקורות'!$B$7:$B$33,0)),"לא מסווג")</x:f>
        <x:v>תחבורה</x:v>
      </x:c>
      <x:c r="J26" s="19" t="str">
        <x:f>IFERROR(INDEX('מיפוי ומקורות'!$D$7:$D$33,MATCH(H26,'מיפוי ומקורות'!$B$7:$B$33,0)),"שוטף")</x:f>
        <x:v>שוטף</x:v>
      </x:c>
      <x:c r="K26" s="19" t="str">
        <x:f>IF(OR(H26="ריביות",AND(H26="דירה כצנלסון",G26&lt;0,ISNUMBER(SEARCH("הכנסה",F26)))),"הכנסה שסווגה מחדש",J26)</x:f>
        <x:v>שוטף</x:v>
      </x:c>
      <x:c r="L26" s="19" t="str">
        <x:v>מאושר</x:v>
      </x:c>
      <x:c r="M26" s="20" t="n">
        <x:f>IF(L26="מאושר",IF(K26="הכנסה שסווגה מחדש",0,G26),0)</x:f>
        <x:v>208</x:v>
      </x:c>
      <x:c r="N26" s="20" t="n">
        <x:f>IF(K26="שוטף",M26,0)</x:f>
        <x:v>208</x:v>
      </x:c>
      <x:c r="O26" s="20" t="n">
        <x:f>IF(K26="הכנסה שסווגה מחדש",-G26,0)</x:f>
        <x:v>0</x:v>
      </x:c>
      <x:c r="P26" s="11" t="str">
        <x:v>אמקס זיו</x:v>
      </x:c>
      <x:c r="Q26" s="11" t="str"/>
      <x:c r="R26" s="11" t="str">
        <x:v>לא</x:v>
      </x:c>
    </x:row>
    <x:row r="27">
      <x:c r="A27" s="14" t="n">
        <x:v>45658</x:v>
      </x:c>
      <x:c r="B27" s="11" t="str">
        <x:v>2025-01</x:v>
      </x:c>
      <x:c r="C27" s="11" t="str">
        <x:v>ינואר 25</x:v>
      </x:c>
      <x:c r="D27" s="15" t="n">
        <x:v>27</x:v>
      </x:c>
      <x:c r="E27" s="11" t="str">
        <x:v>23</x:v>
      </x:c>
      <x:c r="F27" s="11" t="str">
        <x:v>סופר פארם</x:v>
      </x:c>
      <x:c r="G27" s="17" t="n">
        <x:v>34</x:v>
      </x:c>
      <x:c r="H27" s="18" t="str">
        <x:v>בריאות</x:v>
      </x:c>
      <x:c r="I27" s="19" t="str">
        <x:f>IFERROR(INDEX('מיפוי ומקורות'!$C$7:$C$33,MATCH(H27,'מיפוי ומקורות'!$B$7:$B$33,0)),"לא מסווג")</x:f>
        <x:v>בריאות וטיפולים</x:v>
      </x:c>
      <x:c r="J27" s="19" t="str">
        <x:f>IFERROR(INDEX('מיפוי ומקורות'!$D$7:$D$33,MATCH(H27,'מיפוי ומקורות'!$B$7:$B$33,0)),"שוטף")</x:f>
        <x:v>שוטף</x:v>
      </x:c>
      <x:c r="K27" s="19" t="str">
        <x:f>IF(OR(H27="ריביות",AND(H27="דירה כצנלסון",G27&lt;0,ISNUMBER(SEARCH("הכנסה",F27)))),"הכנסה שסווגה מחדש",J27)</x:f>
        <x:v>שוטף</x:v>
      </x:c>
      <x:c r="L27" s="19" t="str">
        <x:v>מאושר</x:v>
      </x:c>
      <x:c r="M27" s="20" t="n">
        <x:f>IF(L27="מאושר",IF(K27="הכנסה שסווגה מחדש",0,G27),0)</x:f>
        <x:v>34</x:v>
      </x:c>
      <x:c r="N27" s="20" t="n">
        <x:f>IF(K27="שוטף",M27,0)</x:f>
        <x:v>34</x:v>
      </x:c>
      <x:c r="O27" s="20" t="n">
        <x:f>IF(K27="הכנסה שסווגה מחדש",-G27,0)</x:f>
        <x:v>0</x:v>
      </x:c>
      <x:c r="P27" s="11" t="str">
        <x:v>אמקס זיו</x:v>
      </x:c>
      <x:c r="Q27" s="11" t="str"/>
      <x:c r="R27" s="11" t="str">
        <x:v>לא</x:v>
      </x:c>
    </x:row>
    <x:row r="28">
      <x:c r="A28" s="14" t="n">
        <x:v>45658</x:v>
      </x:c>
      <x:c r="B28" s="11" t="str">
        <x:v>2025-01</x:v>
      </x:c>
      <x:c r="C28" s="11" t="str">
        <x:v>ינואר 25</x:v>
      </x:c>
      <x:c r="D28" s="15" t="n">
        <x:v>28</x:v>
      </x:c>
      <x:c r="E28" s="11" t="str">
        <x:v>21</x:v>
      </x:c>
      <x:c r="F28" s="11" t="str">
        <x:v>סופר פארם</x:v>
      </x:c>
      <x:c r="G28" s="17" t="n">
        <x:v>20</x:v>
      </x:c>
      <x:c r="H28" s="18" t="str">
        <x:v>בריאות</x:v>
      </x:c>
      <x:c r="I28" s="19" t="str">
        <x:f>IFERROR(INDEX('מיפוי ומקורות'!$C$7:$C$33,MATCH(H28,'מיפוי ומקורות'!$B$7:$B$33,0)),"לא מסווג")</x:f>
        <x:v>בריאות וטיפולים</x:v>
      </x:c>
      <x:c r="J28" s="19" t="str">
        <x:f>IFERROR(INDEX('מיפוי ומקורות'!$D$7:$D$33,MATCH(H28,'מיפוי ומקורות'!$B$7:$B$33,0)),"שוטף")</x:f>
        <x:v>שוטף</x:v>
      </x:c>
      <x:c r="K28" s="19" t="str">
        <x:f>IF(OR(H28="ריביות",AND(H28="דירה כצנלסון",G28&lt;0,ISNUMBER(SEARCH("הכנסה",F28)))),"הכנסה שסווגה מחדש",J28)</x:f>
        <x:v>שוטף</x:v>
      </x:c>
      <x:c r="L28" s="19" t="str">
        <x:v>מאושר</x:v>
      </x:c>
      <x:c r="M28" s="20" t="n">
        <x:f>IF(L28="מאושר",IF(K28="הכנסה שסווגה מחדש",0,G28),0)</x:f>
        <x:v>20</x:v>
      </x:c>
      <x:c r="N28" s="20" t="n">
        <x:f>IF(K28="שוטף",M28,0)</x:f>
        <x:v>20</x:v>
      </x:c>
      <x:c r="O28" s="20" t="n">
        <x:f>IF(K28="הכנסה שסווגה מחדש",-G28,0)</x:f>
        <x:v>0</x:v>
      </x:c>
      <x:c r="P28" s="11" t="str">
        <x:v>אמקס זיו</x:v>
      </x:c>
      <x:c r="Q28" s="11" t="str"/>
      <x:c r="R28" s="11" t="str">
        <x:v>לא</x:v>
      </x:c>
    </x:row>
    <x:row r="29">
      <x:c r="A29" s="14" t="n">
        <x:v>45658</x:v>
      </x:c>
      <x:c r="B29" s="11" t="str">
        <x:v>2025-01</x:v>
      </x:c>
      <x:c r="C29" s="11" t="str">
        <x:v>ינואר 25</x:v>
      </x:c>
      <x:c r="D29" s="15" t="n">
        <x:v>29</x:v>
      </x:c>
      <x:c r="E29" s="11" t="str">
        <x:v>21</x:v>
      </x:c>
      <x:c r="F29" s="11" t="str">
        <x:v>שיניים</x:v>
      </x:c>
      <x:c r="G29" s="17" t="n">
        <x:v>110</x:v>
      </x:c>
      <x:c r="H29" s="18" t="str">
        <x:v>בריאות</x:v>
      </x:c>
      <x:c r="I29" s="19" t="str">
        <x:f>IFERROR(INDEX('מיפוי ומקורות'!$C$7:$C$33,MATCH(H29,'מיפוי ומקורות'!$B$7:$B$33,0)),"לא מסווג")</x:f>
        <x:v>בריאות וטיפולים</x:v>
      </x:c>
      <x:c r="J29" s="19" t="str">
        <x:f>IFERROR(INDEX('מיפוי ומקורות'!$D$7:$D$33,MATCH(H29,'מיפוי ומקורות'!$B$7:$B$33,0)),"שוטף")</x:f>
        <x:v>שוטף</x:v>
      </x:c>
      <x:c r="K29" s="19" t="str">
        <x:f>IF(OR(H29="ריביות",AND(H29="דירה כצנלסון",G29&lt;0,ISNUMBER(SEARCH("הכנסה",F29)))),"הכנסה שסווגה מחדש",J29)</x:f>
        <x:v>שוטף</x:v>
      </x:c>
      <x:c r="L29" s="19" t="str">
        <x:v>מאושר</x:v>
      </x:c>
      <x:c r="M29" s="20" t="n">
        <x:f>IF(L29="מאושר",IF(K29="הכנסה שסווגה מחדש",0,G29),0)</x:f>
        <x:v>110</x:v>
      </x:c>
      <x:c r="N29" s="20" t="n">
        <x:f>IF(K29="שוטף",M29,0)</x:f>
        <x:v>110</x:v>
      </x:c>
      <x:c r="O29" s="20" t="n">
        <x:f>IF(K29="הכנסה שסווגה מחדש",-G29,0)</x:f>
        <x:v>0</x:v>
      </x:c>
      <x:c r="P29" s="11" t="str">
        <x:v>אמקס זיו</x:v>
      </x:c>
      <x:c r="Q29" s="11" t="str"/>
      <x:c r="R29" s="11" t="str">
        <x:v>לא</x:v>
      </x:c>
    </x:row>
    <x:row r="30">
      <x:c r="A30" s="14" t="n">
        <x:v>45658</x:v>
      </x:c>
      <x:c r="B30" s="11" t="str">
        <x:v>2025-01</x:v>
      </x:c>
      <x:c r="C30" s="11" t="str">
        <x:v>ינואר 25</x:v>
      </x:c>
      <x:c r="D30" s="15" t="n">
        <x:v>30</x:v>
      </x:c>
      <x:c r="E30" s="11" t="str">
        <x:v>19</x:v>
      </x:c>
      <x:c r="F30" s="11" t="str">
        <x:v>טסט לרכב</x:v>
      </x:c>
      <x:c r="G30" s="17" t="n">
        <x:v>123</x:v>
      </x:c>
      <x:c r="H30" s="18" t="str">
        <x:v>תחבורה</x:v>
      </x:c>
      <x:c r="I30" s="19" t="str">
        <x:f>IFERROR(INDEX('מיפוי ומקורות'!$C$7:$C$33,MATCH(H30,'מיפוי ומקורות'!$B$7:$B$33,0)),"לא מסווג")</x:f>
        <x:v>תחבורה</x:v>
      </x:c>
      <x:c r="J30" s="19" t="str">
        <x:f>IFERROR(INDEX('מיפוי ומקורות'!$D$7:$D$33,MATCH(H30,'מיפוי ומקורות'!$B$7:$B$33,0)),"שוטף")</x:f>
        <x:v>שוטף</x:v>
      </x:c>
      <x:c r="K30" s="19" t="str">
        <x:f>IF(OR(H30="ריביות",AND(H30="דירה כצנלסון",G30&lt;0,ISNUMBER(SEARCH("הכנסה",F30)))),"הכנסה שסווגה מחדש",J30)</x:f>
        <x:v>שוטף</x:v>
      </x:c>
      <x:c r="L30" s="19" t="str">
        <x:v>מאושר</x:v>
      </x:c>
      <x:c r="M30" s="20" t="n">
        <x:f>IF(L30="מאושר",IF(K30="הכנסה שסווגה מחדש",0,G30),0)</x:f>
        <x:v>123</x:v>
      </x:c>
      <x:c r="N30" s="20" t="n">
        <x:f>IF(K30="שוטף",M30,0)</x:f>
        <x:v>123</x:v>
      </x:c>
      <x:c r="O30" s="20" t="n">
        <x:f>IF(K30="הכנסה שסווגה מחדש",-G30,0)</x:f>
        <x:v>0</x:v>
      </x:c>
      <x:c r="P30" s="11" t="str">
        <x:v>אמקס זיו</x:v>
      </x:c>
      <x:c r="Q30" s="11" t="str"/>
      <x:c r="R30" s="11" t="str">
        <x:v>לא</x:v>
      </x:c>
    </x:row>
    <x:row r="31">
      <x:c r="A31" s="14" t="n">
        <x:v>45658</x:v>
      </x:c>
      <x:c r="B31" s="11" t="str">
        <x:v>2025-01</x:v>
      </x:c>
      <x:c r="C31" s="11" t="str">
        <x:v>ינואר 25</x:v>
      </x:c>
      <x:c r="D31" s="15" t="n">
        <x:v>31</x:v>
      </x:c>
      <x:c r="E31" s="11" t="str">
        <x:v>12</x:v>
      </x:c>
      <x:c r="F31" s="11" t="str">
        <x:v>חול</x:v>
      </x:c>
      <x:c r="G31" s="17" t="n">
        <x:v>8332</x:v>
      </x:c>
      <x:c r="H31" s="18" t="str">
        <x:v>חול</x:v>
      </x:c>
      <x:c r="I31" s="19" t="str">
        <x:f>IFERROR(INDEX('מיפוי ומקורות'!$C$7:$C$33,MATCH(H31,'מיפוי ומקורות'!$B$7:$B$33,0)),"לא מסווג")</x:f>
        <x:v>נסיעות וחופשות</x:v>
      </x:c>
      <x:c r="J31" s="19" t="str">
        <x:f>IFERROR(INDEX('מיפוי ומקורות'!$D$7:$D$33,MATCH(H31,'מיפוי ומקורות'!$B$7:$B$33,0)),"שוטף")</x:f>
        <x:v>חריג</x:v>
      </x:c>
      <x:c r="K31" s="19" t="str">
        <x:f>IF(OR(H31="ריביות",AND(H31="דירה כצנלסון",G31&lt;0,ISNUMBER(SEARCH("הכנסה",F31)))),"הכנסה שסווגה מחדש",J31)</x:f>
        <x:v>חריג</x:v>
      </x:c>
      <x:c r="L31" s="19" t="str">
        <x:v>מאושר</x:v>
      </x:c>
      <x:c r="M31" s="20" t="n">
        <x:f>IF(L31="מאושר",IF(K31="הכנסה שסווגה מחדש",0,G31),0)</x:f>
        <x:v>8332</x:v>
      </x:c>
      <x:c r="N31" s="20" t="n">
        <x:f>IF(K31="שוטף",M31,0)</x:f>
        <x:v>0</x:v>
      </x:c>
      <x:c r="O31" s="20" t="n">
        <x:f>IF(K31="הכנסה שסווגה מחדש",-G31,0)</x:f>
        <x:v>0</x:v>
      </x:c>
      <x:c r="P31" s="11" t="str">
        <x:v>אמקס זיו</x:v>
      </x:c>
      <x:c r="Q31" s="11" t="str"/>
      <x:c r="R31" s="11" t="str">
        <x:v>לא</x:v>
      </x:c>
    </x:row>
    <x:row r="32">
      <x:c r="A32" s="14" t="n">
        <x:v>45658</x:v>
      </x:c>
      <x:c r="B32" s="11" t="str">
        <x:v>2025-01</x:v>
      </x:c>
      <x:c r="C32" s="11" t="str">
        <x:v>ינואר 25</x:v>
      </x:c>
      <x:c r="D32" s="15" t="n">
        <x:v>32</x:v>
      </x:c>
      <x:c r="E32" s="11" t="str">
        <x:v>6</x:v>
      </x:c>
      <x:c r="F32" s="11" t="str">
        <x:v>מכבי</x:v>
      </x:c>
      <x:c r="G32" s="17" t="n">
        <x:v>53</x:v>
      </x:c>
      <x:c r="H32" s="18" t="str">
        <x:v>בריאות</x:v>
      </x:c>
      <x:c r="I32" s="19" t="str">
        <x:f>IFERROR(INDEX('מיפוי ומקורות'!$C$7:$C$33,MATCH(H32,'מיפוי ומקורות'!$B$7:$B$33,0)),"לא מסווג")</x:f>
        <x:v>בריאות וטיפולים</x:v>
      </x:c>
      <x:c r="J32" s="19" t="str">
        <x:f>IFERROR(INDEX('מיפוי ומקורות'!$D$7:$D$33,MATCH(H32,'מיפוי ומקורות'!$B$7:$B$33,0)),"שוטף")</x:f>
        <x:v>שוטף</x:v>
      </x:c>
      <x:c r="K32" s="19" t="str">
        <x:f>IF(OR(H32="ריביות",AND(H32="דירה כצנלסון",G32&lt;0,ISNUMBER(SEARCH("הכנסה",F32)))),"הכנסה שסווגה מחדש",J32)</x:f>
        <x:v>שוטף</x:v>
      </x:c>
      <x:c r="L32" s="19" t="str">
        <x:v>מאושר</x:v>
      </x:c>
      <x:c r="M32" s="20" t="n">
        <x:f>IF(L32="מאושר",IF(K32="הכנסה שסווגה מחדש",0,G32),0)</x:f>
        <x:v>53</x:v>
      </x:c>
      <x:c r="N32" s="20" t="n">
        <x:f>IF(K32="שוטף",M32,0)</x:f>
        <x:v>53</x:v>
      </x:c>
      <x:c r="O32" s="20" t="n">
        <x:f>IF(K32="הכנסה שסווגה מחדש",-G32,0)</x:f>
        <x:v>0</x:v>
      </x:c>
      <x:c r="P32" s="11" t="str">
        <x:v>אמקס זיו</x:v>
      </x:c>
      <x:c r="Q32" s="11" t="str"/>
      <x:c r="R32" s="11" t="str">
        <x:v>לא</x:v>
      </x:c>
    </x:row>
    <x:row r="33">
      <x:c r="A33" s="14" t="n">
        <x:v>45658</x:v>
      </x:c>
      <x:c r="B33" s="11" t="str">
        <x:v>2025-01</x:v>
      </x:c>
      <x:c r="C33" s="11" t="str">
        <x:v>ינואר 25</x:v>
      </x:c>
      <x:c r="D33" s="15" t="n">
        <x:v>33</x:v>
      </x:c>
      <x:c r="E33" s="11" t="str">
        <x:v>5</x:v>
      </x:c>
      <x:c r="F33" s="11" t="str">
        <x:v>ביט (אינסטלטור)</x:v>
      </x:c>
      <x:c r="G33" s="17" t="n">
        <x:v>600</x:v>
      </x:c>
      <x:c r="H33" s="18" t="str">
        <x:v>דירה כצנלסון</x:v>
      </x:c>
      <x:c r="I33" s="19" t="str">
        <x:f>IFERROR(INDEX('מיפוי ומקורות'!$C$7:$C$33,MATCH(H33,'מיפוי ומקורות'!$B$7:$B$33,0)),"לא מסווג")</x:f>
        <x:v>נכס להשקעה</x:v>
      </x:c>
      <x:c r="J33" s="19" t="str">
        <x:f>IFERROR(INDEX('מיפוי ומקורות'!$D$7:$D$33,MATCH(H33,'מיפוי ומקורות'!$B$7:$B$33,0)),"שוטף")</x:f>
        <x:v>חריג/נכס</x:v>
      </x:c>
      <x:c r="K33" s="19" t="str">
        <x:f>IF(OR(H33="ריביות",AND(H33="דירה כצנלסון",G33&lt;0,ISNUMBER(SEARCH("הכנסה",F33)))),"הכנסה שסווגה מחדש",J33)</x:f>
        <x:v>חריג/נכס</x:v>
      </x:c>
      <x:c r="L33" s="19" t="str">
        <x:v>מאושר</x:v>
      </x:c>
      <x:c r="M33" s="20" t="n">
        <x:f>IF(L33="מאושר",IF(K33="הכנסה שסווגה מחדש",0,G33),0)</x:f>
        <x:v>600</x:v>
      </x:c>
      <x:c r="N33" s="20" t="n">
        <x:f>IF(K33="שוטף",M33,0)</x:f>
        <x:v>0</x:v>
      </x:c>
      <x:c r="O33" s="20" t="n">
        <x:f>IF(K33="הכנסה שסווגה מחדש",-G33,0)</x:f>
        <x:v>0</x:v>
      </x:c>
      <x:c r="P33" s="11" t="str">
        <x:v>אמקס זיו</x:v>
      </x:c>
      <x:c r="Q33" s="11" t="str"/>
      <x:c r="R33" s="11" t="str">
        <x:v>לא</x:v>
      </x:c>
    </x:row>
    <x:row r="34">
      <x:c r="A34" s="14" t="n">
        <x:v>45658</x:v>
      </x:c>
      <x:c r="B34" s="11" t="str">
        <x:v>2025-01</x:v>
      </x:c>
      <x:c r="C34" s="11" t="str">
        <x:v>ינואר 25</x:v>
      </x:c>
      <x:c r="D34" s="15" t="n">
        <x:v>34</x:v>
      </x:c>
      <x:c r="E34" s="11" t="str">
        <x:v>5</x:v>
      </x:c>
      <x:c r="F34" s="11" t="str">
        <x:v>ביט (מתנה)</x:v>
      </x:c>
      <x:c r="G34" s="17" t="n">
        <x:v>20</x:v>
      </x:c>
      <x:c r="H34" s="18" t="str">
        <x:v>מתנה</x:v>
      </x:c>
      <x:c r="I34" s="19" t="str">
        <x:f>IFERROR(INDEX('מיפוי ומקורות'!$C$7:$C$33,MATCH(H34,'מיפוי ומקורות'!$B$7:$B$33,0)),"לא מסווג")</x:f>
        <x:v>מתנה</x:v>
      </x:c>
      <x:c r="J34" s="19" t="str">
        <x:f>IFERROR(INDEX('מיפוי ומקורות'!$D$7:$D$33,MATCH(H34,'מיפוי ומקורות'!$B$7:$B$33,0)),"שוטף")</x:f>
        <x:v>שוטף</x:v>
      </x:c>
      <x:c r="K34" s="19" t="str">
        <x:f>IF(OR(H34="ריביות",AND(H34="דירה כצנלסון",G34&lt;0,ISNUMBER(SEARCH("הכנסה",F34)))),"הכנסה שסווגה מחדש",J34)</x:f>
        <x:v>שוטף</x:v>
      </x:c>
      <x:c r="L34" s="19" t="str">
        <x:v>מאושר</x:v>
      </x:c>
      <x:c r="M34" s="20" t="n">
        <x:f>IF(L34="מאושר",IF(K34="הכנסה שסווגה מחדש",0,G34),0)</x:f>
        <x:v>20</x:v>
      </x:c>
      <x:c r="N34" s="20" t="n">
        <x:f>IF(K34="שוטף",M34,0)</x:f>
        <x:v>20</x:v>
      </x:c>
      <x:c r="O34" s="20" t="n">
        <x:f>IF(K34="הכנסה שסווגה מחדש",-G34,0)</x:f>
        <x:v>0</x:v>
      </x:c>
      <x:c r="P34" s="11" t="str">
        <x:v>אמקס זיו</x:v>
      </x:c>
      <x:c r="Q34" s="11" t="str"/>
      <x:c r="R34" s="11" t="str">
        <x:v>לא</x:v>
      </x:c>
    </x:row>
    <x:row r="35">
      <x:c r="A35" s="14" t="n">
        <x:v>45658</x:v>
      </x:c>
      <x:c r="B35" s="11" t="str">
        <x:v>2025-01</x:v>
      </x:c>
      <x:c r="C35" s="11" t="str">
        <x:v>ינואר 25</x:v>
      </x:c>
      <x:c r="D35" s="15" t="n">
        <x:v>35</x:v>
      </x:c>
      <x:c r="E35" s="11" t="str">
        <x:v>5</x:v>
      </x:c>
      <x:c r="F35" s="11" t="str">
        <x:v>ליים</x:v>
      </x:c>
      <x:c r="G35" s="17" t="n">
        <x:v>35</x:v>
      </x:c>
      <x:c r="H35" s="18" t="str">
        <x:v>תחבורה</x:v>
      </x:c>
      <x:c r="I35" s="19" t="str">
        <x:f>IFERROR(INDEX('מיפוי ומקורות'!$C$7:$C$33,MATCH(H35,'מיפוי ומקורות'!$B$7:$B$33,0)),"לא מסווג")</x:f>
        <x:v>תחבורה</x:v>
      </x:c>
      <x:c r="J35" s="19" t="str">
        <x:f>IFERROR(INDEX('מיפוי ומקורות'!$D$7:$D$33,MATCH(H35,'מיפוי ומקורות'!$B$7:$B$33,0)),"שוטף")</x:f>
        <x:v>שוטף</x:v>
      </x:c>
      <x:c r="K35" s="19" t="str">
        <x:f>IF(OR(H35="ריביות",AND(H35="דירה כצנלסון",G35&lt;0,ISNUMBER(SEARCH("הכנסה",F35)))),"הכנסה שסווגה מחדש",J35)</x:f>
        <x:v>שוטף</x:v>
      </x:c>
      <x:c r="L35" s="19" t="str">
        <x:v>מאושר</x:v>
      </x:c>
      <x:c r="M35" s="20" t="n">
        <x:f>IF(L35="מאושר",IF(K35="הכנסה שסווגה מחדש",0,G35),0)</x:f>
        <x:v>35</x:v>
      </x:c>
      <x:c r="N35" s="20" t="n">
        <x:f>IF(K35="שוטף",M35,0)</x:f>
        <x:v>35</x:v>
      </x:c>
      <x:c r="O35" s="20" t="n">
        <x:f>IF(K35="הכנסה שסווגה מחדש",-G35,0)</x:f>
        <x:v>0</x:v>
      </x:c>
      <x:c r="P35" s="11" t="str">
        <x:v>אמקס זיו</x:v>
      </x:c>
      <x:c r="Q35" s="11" t="str"/>
      <x:c r="R35" s="11" t="str">
        <x:v>לא</x:v>
      </x:c>
    </x:row>
    <x:row r="36">
      <x:c r="A36" s="14" t="n">
        <x:v>45658</x:v>
      </x:c>
      <x:c r="B36" s="11" t="str">
        <x:v>2025-01</x:v>
      </x:c>
      <x:c r="C36" s="11" t="str">
        <x:v>ינואר 25</x:v>
      </x:c>
      <x:c r="D36" s="15" t="n">
        <x:v>36</x:v>
      </x:c>
      <x:c r="E36" s="11" t="str">
        <x:v>1</x:v>
      </x:c>
      <x:c r="F36" s="11" t="str">
        <x:v>לייזר</x:v>
      </x:c>
      <x:c r="G36" s="17" t="n">
        <x:v>174</x:v>
      </x:c>
      <x:c r="H36" s="18" t="str">
        <x:v>קוסמטיקה</x:v>
      </x:c>
      <x:c r="I36" s="19" t="str">
        <x:f>IFERROR(INDEX('מיפוי ומקורות'!$C$7:$C$33,MATCH(H36,'מיפוי ומקורות'!$B$7:$B$33,0)),"לא מסווג")</x:f>
        <x:v>קוסמטיקה</x:v>
      </x:c>
      <x:c r="J36" s="19" t="str">
        <x:f>IFERROR(INDEX('מיפוי ומקורות'!$D$7:$D$33,MATCH(H36,'מיפוי ומקורות'!$B$7:$B$33,0)),"שוטף")</x:f>
        <x:v>שוטף</x:v>
      </x:c>
      <x:c r="K36" s="19" t="str">
        <x:f>IF(OR(H36="ריביות",AND(H36="דירה כצנלסון",G36&lt;0,ISNUMBER(SEARCH("הכנסה",F36)))),"הכנסה שסווגה מחדש",J36)</x:f>
        <x:v>שוטף</x:v>
      </x:c>
      <x:c r="L36" s="19" t="str">
        <x:v>מאושר</x:v>
      </x:c>
      <x:c r="M36" s="20" t="n">
        <x:f>IF(L36="מאושר",IF(K36="הכנסה שסווגה מחדש",0,G36),0)</x:f>
        <x:v>174</x:v>
      </x:c>
      <x:c r="N36" s="20" t="n">
        <x:f>IF(K36="שוטף",M36,0)</x:f>
        <x:v>174</x:v>
      </x:c>
      <x:c r="O36" s="20" t="n">
        <x:f>IF(K36="הכנסה שסווגה מחדש",-G36,0)</x:f>
        <x:v>0</x:v>
      </x:c>
      <x:c r="P36" s="11" t="str">
        <x:v>אמקס עינור</x:v>
      </x:c>
      <x:c r="Q36" s="11" t="str"/>
      <x:c r="R36" s="11" t="str">
        <x:v>לא</x:v>
      </x:c>
    </x:row>
    <x:row r="37">
      <x:c r="A37" s="14" t="n">
        <x:v>45658</x:v>
      </x:c>
      <x:c r="B37" s="11" t="str">
        <x:v>2025-01</x:v>
      </x:c>
      <x:c r="C37" s="11" t="str">
        <x:v>ינואר 25</x:v>
      </x:c>
      <x:c r="D37" s="15" t="n">
        <x:v>37</x:v>
      </x:c>
      <x:c r="E37" s="11" t="str">
        <x:v>6</x:v>
      </x:c>
      <x:c r="F37" s="11" t="str">
        <x:v>מכבי</x:v>
      </x:c>
      <x:c r="G37" s="17" t="n">
        <x:v>92</x:v>
      </x:c>
      <x:c r="H37" s="18" t="str">
        <x:v>בריאות</x:v>
      </x:c>
      <x:c r="I37" s="19" t="str">
        <x:f>IFERROR(INDEX('מיפוי ומקורות'!$C$7:$C$33,MATCH(H37,'מיפוי ומקורות'!$B$7:$B$33,0)),"לא מסווג")</x:f>
        <x:v>בריאות וטיפולים</x:v>
      </x:c>
      <x:c r="J37" s="19" t="str">
        <x:f>IFERROR(INDEX('מיפוי ומקורות'!$D$7:$D$33,MATCH(H37,'מיפוי ומקורות'!$B$7:$B$33,0)),"שוטף")</x:f>
        <x:v>שוטף</x:v>
      </x:c>
      <x:c r="K37" s="19" t="str">
        <x:f>IF(OR(H37="ריביות",AND(H37="דירה כצנלסון",G37&lt;0,ISNUMBER(SEARCH("הכנסה",F37)))),"הכנסה שסווגה מחדש",J37)</x:f>
        <x:v>שוטף</x:v>
      </x:c>
      <x:c r="L37" s="19" t="str">
        <x:v>מאושר</x:v>
      </x:c>
      <x:c r="M37" s="20" t="n">
        <x:f>IF(L37="מאושר",IF(K37="הכנסה שסווגה מחדש",0,G37),0)</x:f>
        <x:v>92</x:v>
      </x:c>
      <x:c r="N37" s="20" t="n">
        <x:f>IF(K37="שוטף",M37,0)</x:f>
        <x:v>92</x:v>
      </x:c>
      <x:c r="O37" s="20" t="n">
        <x:f>IF(K37="הכנסה שסווגה מחדש",-G37,0)</x:f>
        <x:v>0</x:v>
      </x:c>
      <x:c r="P37" s="11" t="str">
        <x:v>אמקס עינור</x:v>
      </x:c>
      <x:c r="Q37" s="11" t="str"/>
      <x:c r="R37" s="11" t="str">
        <x:v>לא</x:v>
      </x:c>
    </x:row>
    <x:row r="38">
      <x:c r="A38" s="14" t="n">
        <x:v>45658</x:v>
      </x:c>
      <x:c r="B38" s="11" t="str">
        <x:v>2025-01</x:v>
      </x:c>
      <x:c r="C38" s="11" t="str">
        <x:v>ינואר 25</x:v>
      </x:c>
      <x:c r="D38" s="15" t="n">
        <x:v>38</x:v>
      </x:c>
      <x:c r="E38" s="11" t="str">
        <x:v>13</x:v>
      </x:c>
      <x:c r="F38" s="11" t="str">
        <x:v>סרט</x:v>
      </x:c>
      <x:c r="G38" s="17" t="n">
        <x:v>207</x:v>
      </x:c>
      <x:c r="H38" s="18" t="str">
        <x:v>פנאי</x:v>
      </x:c>
      <x:c r="I38" s="19" t="str">
        <x:f>IFERROR(INDEX('מיפוי ומקורות'!$C$7:$C$33,MATCH(H38,'מיפוי ומקורות'!$B$7:$B$33,0)),"לא מסווג")</x:f>
        <x:v>פנאי</x:v>
      </x:c>
      <x:c r="J38" s="19" t="str">
        <x:f>IFERROR(INDEX('מיפוי ומקורות'!$D$7:$D$33,MATCH(H38,'מיפוי ומקורות'!$B$7:$B$33,0)),"שוטף")</x:f>
        <x:v>שוטף</x:v>
      </x:c>
      <x:c r="K38" s="19" t="str">
        <x:f>IF(OR(H38="ריביות",AND(H38="דירה כצנלסון",G38&lt;0,ISNUMBER(SEARCH("הכנסה",F38)))),"הכנסה שסווגה מחדש",J38)</x:f>
        <x:v>שוטף</x:v>
      </x:c>
      <x:c r="L38" s="19" t="str">
        <x:v>מאושר</x:v>
      </x:c>
      <x:c r="M38" s="20" t="n">
        <x:f>IF(L38="מאושר",IF(K38="הכנסה שסווגה מחדש",0,G38),0)</x:f>
        <x:v>207</x:v>
      </x:c>
      <x:c r="N38" s="20" t="n">
        <x:f>IF(K38="שוטף",M38,0)</x:f>
        <x:v>207</x:v>
      </x:c>
      <x:c r="O38" s="20" t="n">
        <x:f>IF(K38="הכנסה שסווגה מחדש",-G38,0)</x:f>
        <x:v>0</x:v>
      </x:c>
      <x:c r="P38" s="11" t="str">
        <x:v>אמקס עינור</x:v>
      </x:c>
      <x:c r="Q38" s="11" t="str"/>
      <x:c r="R38" s="11" t="str">
        <x:v>לא</x:v>
      </x:c>
    </x:row>
    <x:row r="39">
      <x:c r="A39" s="14" t="n">
        <x:v>45658</x:v>
      </x:c>
      <x:c r="B39" s="11" t="str">
        <x:v>2025-01</x:v>
      </x:c>
      <x:c r="C39" s="11" t="str">
        <x:v>ינואר 25</x:v>
      </x:c>
      <x:c r="D39" s="15" t="n">
        <x:v>39</x:v>
      </x:c>
      <x:c r="E39" s="11" t="str">
        <x:v>14</x:v>
      </x:c>
      <x:c r="F39" s="11" t="str">
        <x:v>רשיון רכב</x:v>
      </x:c>
      <x:c r="G39" s="17" t="n">
        <x:v>1058</x:v>
      </x:c>
      <x:c r="H39" s="18" t="str">
        <x:v>תחבורה</x:v>
      </x:c>
      <x:c r="I39" s="19" t="str">
        <x:f>IFERROR(INDEX('מיפוי ומקורות'!$C$7:$C$33,MATCH(H39,'מיפוי ומקורות'!$B$7:$B$33,0)),"לא מסווג")</x:f>
        <x:v>תחבורה</x:v>
      </x:c>
      <x:c r="J39" s="19" t="str">
        <x:f>IFERROR(INDEX('מיפוי ומקורות'!$D$7:$D$33,MATCH(H39,'מיפוי ומקורות'!$B$7:$B$33,0)),"שוטף")</x:f>
        <x:v>שוטף</x:v>
      </x:c>
      <x:c r="K39" s="19" t="str">
        <x:f>IF(OR(H39="ריביות",AND(H39="דירה כצנלסון",G39&lt;0,ISNUMBER(SEARCH("הכנסה",F39)))),"הכנסה שסווגה מחדש",J39)</x:f>
        <x:v>שוטף</x:v>
      </x:c>
      <x:c r="L39" s="19" t="str">
        <x:v>מאושר</x:v>
      </x:c>
      <x:c r="M39" s="20" t="n">
        <x:f>IF(L39="מאושר",IF(K39="הכנסה שסווגה מחדש",0,G39),0)</x:f>
        <x:v>1058</x:v>
      </x:c>
      <x:c r="N39" s="20" t="n">
        <x:f>IF(K39="שוטף",M39,0)</x:f>
        <x:v>1058</x:v>
      </x:c>
      <x:c r="O39" s="20" t="n">
        <x:f>IF(K39="הכנסה שסווגה מחדש",-G39,0)</x:f>
        <x:v>0</x:v>
      </x:c>
      <x:c r="P39" s="11" t="str">
        <x:v>אמקס עינור</x:v>
      </x:c>
      <x:c r="Q39" s="11" t="str"/>
      <x:c r="R39" s="11" t="str">
        <x:v>לא</x:v>
      </x:c>
    </x:row>
    <x:row r="40">
      <x:c r="A40" s="14" t="n">
        <x:v>45658</x:v>
      </x:c>
      <x:c r="B40" s="11" t="str">
        <x:v>2025-01</x:v>
      </x:c>
      <x:c r="C40" s="11" t="str">
        <x:v>ינואר 25</x:v>
      </x:c>
      <x:c r="D40" s="15" t="n">
        <x:v>40</x:v>
      </x:c>
      <x:c r="E40" s="11" t="str">
        <x:v>14</x:v>
      </x:c>
      <x:c r="F40" s="11" t="str">
        <x:v>מכולת</x:v>
      </x:c>
      <x:c r="G40" s="17" t="n">
        <x:v>9</x:v>
      </x:c>
      <x:c r="H40" s="18" t="str">
        <x:v>מזון לבית</x:v>
      </x:c>
      <x:c r="I40" s="19" t="str">
        <x:f>IFERROR(INDEX('מיפוי ומקורות'!$C$7:$C$33,MATCH(H40,'מיפוי ומקורות'!$B$7:$B$33,0)),"לא מסווג")</x:f>
        <x:v>מזון לבית</x:v>
      </x:c>
      <x:c r="J40" s="19" t="str">
        <x:f>IFERROR(INDEX('מיפוי ומקורות'!$D$7:$D$33,MATCH(H40,'מיפוי ומקורות'!$B$7:$B$33,0)),"שוטף")</x:f>
        <x:v>שוטף</x:v>
      </x:c>
      <x:c r="K40" s="19" t="str">
        <x:f>IF(OR(H40="ריביות",AND(H40="דירה כצנלסון",G40&lt;0,ISNUMBER(SEARCH("הכנסה",F40)))),"הכנסה שסווגה מחדש",J40)</x:f>
        <x:v>שוטף</x:v>
      </x:c>
      <x:c r="L40" s="19" t="str">
        <x:v>מאושר</x:v>
      </x:c>
      <x:c r="M40" s="20" t="n">
        <x:f>IF(L40="מאושר",IF(K40="הכנסה שסווגה מחדש",0,G40),0)</x:f>
        <x:v>9</x:v>
      </x:c>
      <x:c r="N40" s="20" t="n">
        <x:f>IF(K40="שוטף",M40,0)</x:f>
        <x:v>9</x:v>
      </x:c>
      <x:c r="O40" s="20" t="n">
        <x:f>IF(K40="הכנסה שסווגה מחדש",-G40,0)</x:f>
        <x:v>0</x:v>
      </x:c>
      <x:c r="P40" s="11" t="str">
        <x:v>אמקס עינור</x:v>
      </x:c>
      <x:c r="Q40" s="11" t="str"/>
      <x:c r="R40" s="11" t="str">
        <x:v>לא</x:v>
      </x:c>
    </x:row>
    <x:row r="41">
      <x:c r="A41" s="14" t="n">
        <x:v>45658</x:v>
      </x:c>
      <x:c r="B41" s="11" t="str">
        <x:v>2025-01</x:v>
      </x:c>
      <x:c r="C41" s="11" t="str">
        <x:v>ינואר 25</x:v>
      </x:c>
      <x:c r="D41" s="15" t="n">
        <x:v>41</x:v>
      </x:c>
      <x:c r="E41" s="11" t="str">
        <x:v>15</x:v>
      </x:c>
      <x:c r="F41" s="11" t="str">
        <x:v>סופר</x:v>
      </x:c>
      <x:c r="G41" s="17" t="n">
        <x:v>652</x:v>
      </x:c>
      <x:c r="H41" s="18" t="str">
        <x:v>מזון לבית</x:v>
      </x:c>
      <x:c r="I41" s="19" t="str">
        <x:f>IFERROR(INDEX('מיפוי ומקורות'!$C$7:$C$33,MATCH(H41,'מיפוי ומקורות'!$B$7:$B$33,0)),"לא מסווג")</x:f>
        <x:v>מזון לבית</x:v>
      </x:c>
      <x:c r="J41" s="19" t="str">
        <x:f>IFERROR(INDEX('מיפוי ומקורות'!$D$7:$D$33,MATCH(H41,'מיפוי ומקורות'!$B$7:$B$33,0)),"שוטף")</x:f>
        <x:v>שוטף</x:v>
      </x:c>
      <x:c r="K41" s="19" t="str">
        <x:f>IF(OR(H41="ריביות",AND(H41="דירה כצנלסון",G41&lt;0,ISNUMBER(SEARCH("הכנסה",F41)))),"הכנסה שסווגה מחדש",J41)</x:f>
        <x:v>שוטף</x:v>
      </x:c>
      <x:c r="L41" s="19" t="str">
        <x:v>מאושר</x:v>
      </x:c>
      <x:c r="M41" s="20" t="n">
        <x:f>IF(L41="מאושר",IF(K41="הכנסה שסווגה מחדש",0,G41),0)</x:f>
        <x:v>652</x:v>
      </x:c>
      <x:c r="N41" s="20" t="n">
        <x:f>IF(K41="שוטף",M41,0)</x:f>
        <x:v>652</x:v>
      </x:c>
      <x:c r="O41" s="20" t="n">
        <x:f>IF(K41="הכנסה שסווגה מחדש",-G41,0)</x:f>
        <x:v>0</x:v>
      </x:c>
      <x:c r="P41" s="11" t="str">
        <x:v>אמקס עינור</x:v>
      </x:c>
      <x:c r="Q41" s="11" t="str"/>
      <x:c r="R41" s="11" t="str">
        <x:v>לא</x:v>
      </x:c>
    </x:row>
    <x:row r="42">
      <x:c r="A42" s="14" t="n">
        <x:v>45658</x:v>
      </x:c>
      <x:c r="B42" s="11" t="str">
        <x:v>2025-01</x:v>
      </x:c>
      <x:c r="C42" s="11" t="str">
        <x:v>ינואר 25</x:v>
      </x:c>
      <x:c r="D42" s="15" t="n">
        <x:v>42</x:v>
      </x:c>
      <x:c r="E42" s="11" t="str">
        <x:v>20</x:v>
      </x:c>
      <x:c r="F42" s="11" t="str">
        <x:v>כביש 6 (דרך ארץ - עלה 50)</x:v>
      </x:c>
      <x:c r="G42" s="17" t="n">
        <x:v>-50</x:v>
      </x:c>
      <x:c r="H42" s="18" t="str">
        <x:v>תחבורה</x:v>
      </x:c>
      <x:c r="I42" s="19" t="str">
        <x:f>IFERROR(INDEX('מיפוי ומקורות'!$C$7:$C$33,MATCH(H42,'מיפוי ומקורות'!$B$7:$B$33,0)),"לא מסווג")</x:f>
        <x:v>תחבורה</x:v>
      </x:c>
      <x:c r="J42" s="19" t="str">
        <x:f>IFERROR(INDEX('מיפוי ומקורות'!$D$7:$D$33,MATCH(H42,'מיפוי ומקורות'!$B$7:$B$33,0)),"שוטף")</x:f>
        <x:v>שוטף</x:v>
      </x:c>
      <x:c r="K42" s="19" t="str">
        <x:f>IF(OR(H42="ריביות",AND(H42="דירה כצנלסון",G42&lt;0,ISNUMBER(SEARCH("הכנסה",F42)))),"הכנסה שסווגה מחדש",J42)</x:f>
        <x:v>שוטף</x:v>
      </x:c>
      <x:c r="L42" s="19" t="str">
        <x:v>מאושר</x:v>
      </x:c>
      <x:c r="M42" s="20" t="n">
        <x:f>IF(L42="מאושר",IF(K42="הכנסה שסווגה מחדש",0,G42),0)</x:f>
        <x:v>-50</x:v>
      </x:c>
      <x:c r="N42" s="20" t="n">
        <x:f>IF(K42="שוטף",M42,0)</x:f>
        <x:v>-50</x:v>
      </x:c>
      <x:c r="O42" s="20" t="n">
        <x:f>IF(K42="הכנסה שסווגה מחדש",-G42,0)</x:f>
        <x:v>0</x:v>
      </x:c>
      <x:c r="P42" s="11" t="str">
        <x:v>אמקס עינור</x:v>
      </x:c>
      <x:c r="Q42" s="11" t="str"/>
      <x:c r="R42" s="11" t="str">
        <x:v>לא</x:v>
      </x:c>
    </x:row>
    <x:row r="43">
      <x:c r="A43" s="14" t="n">
        <x:v>45658</x:v>
      </x:c>
      <x:c r="B43" s="11" t="str">
        <x:v>2025-01</x:v>
      </x:c>
      <x:c r="C43" s="11" t="str">
        <x:v>ינואר 25</x:v>
      </x:c>
      <x:c r="D43" s="15" t="n">
        <x:v>43</x:v>
      </x:c>
      <x:c r="E43" s="11" t="str">
        <x:v>27</x:v>
      </x:c>
      <x:c r="F43" s="11" t="str">
        <x:v>מכולת</x:v>
      </x:c>
      <x:c r="G43" s="17" t="n">
        <x:v>50</x:v>
      </x:c>
      <x:c r="H43" s="18" t="str">
        <x:v>מזון לבית</x:v>
      </x:c>
      <x:c r="I43" s="19" t="str">
        <x:f>IFERROR(INDEX('מיפוי ומקורות'!$C$7:$C$33,MATCH(H43,'מיפוי ומקורות'!$B$7:$B$33,0)),"לא מסווג")</x:f>
        <x:v>מזון לבית</x:v>
      </x:c>
      <x:c r="J43" s="19" t="str">
        <x:f>IFERROR(INDEX('מיפוי ומקורות'!$D$7:$D$33,MATCH(H43,'מיפוי ומקורות'!$B$7:$B$33,0)),"שוטף")</x:f>
        <x:v>שוטף</x:v>
      </x:c>
      <x:c r="K43" s="19" t="str">
        <x:f>IF(OR(H43="ריביות",AND(H43="דירה כצנלסון",G43&lt;0,ISNUMBER(SEARCH("הכנסה",F43)))),"הכנסה שסווגה מחדש",J43)</x:f>
        <x:v>שוטף</x:v>
      </x:c>
      <x:c r="L43" s="19" t="str">
        <x:v>מאושר</x:v>
      </x:c>
      <x:c r="M43" s="20" t="n">
        <x:f>IF(L43="מאושר",IF(K43="הכנסה שסווגה מחדש",0,G43),0)</x:f>
        <x:v>50</x:v>
      </x:c>
      <x:c r="N43" s="20" t="n">
        <x:f>IF(K43="שוטף",M43,0)</x:f>
        <x:v>50</x:v>
      </x:c>
      <x:c r="O43" s="20" t="n">
        <x:f>IF(K43="הכנסה שסווגה מחדש",-G43,0)</x:f>
        <x:v>0</x:v>
      </x:c>
      <x:c r="P43" s="11" t="str">
        <x:v>אמקס עינור</x:v>
      </x:c>
      <x:c r="Q43" s="11" t="str"/>
      <x:c r="R43" s="11" t="str">
        <x:v>לא</x:v>
      </x:c>
    </x:row>
    <x:row r="44">
      <x:c r="A44" s="14" t="n">
        <x:v>45658</x:v>
      </x:c>
      <x:c r="B44" s="11" t="str">
        <x:v>2025-01</x:v>
      </x:c>
      <x:c r="C44" s="11" t="str">
        <x:v>ינואר 25</x:v>
      </x:c>
      <x:c r="D44" s="15" t="n">
        <x:v>44</x:v>
      </x:c>
      <x:c r="E44" s="11" t="str">
        <x:v>27</x:v>
      </x:c>
      <x:c r="F44" s="11" t="str">
        <x:v>בושם</x:v>
      </x:c>
      <x:c r="G44" s="17" t="n">
        <x:v>72</x:v>
      </x:c>
      <x:c r="H44" s="18" t="str">
        <x:v>קוסמטיקה</x:v>
      </x:c>
      <x:c r="I44" s="19" t="str">
        <x:f>IFERROR(INDEX('מיפוי ומקורות'!$C$7:$C$33,MATCH(H44,'מיפוי ומקורות'!$B$7:$B$33,0)),"לא מסווג")</x:f>
        <x:v>קוסמטיקה</x:v>
      </x:c>
      <x:c r="J44" s="19" t="str">
        <x:f>IFERROR(INDEX('מיפוי ומקורות'!$D$7:$D$33,MATCH(H44,'מיפוי ומקורות'!$B$7:$B$33,0)),"שוטף")</x:f>
        <x:v>שוטף</x:v>
      </x:c>
      <x:c r="K44" s="19" t="str">
        <x:f>IF(OR(H44="ריביות",AND(H44="דירה כצנלסון",G44&lt;0,ISNUMBER(SEARCH("הכנסה",F44)))),"הכנסה שסווגה מחדש",J44)</x:f>
        <x:v>שוטף</x:v>
      </x:c>
      <x:c r="L44" s="19" t="str">
        <x:v>מאושר</x:v>
      </x:c>
      <x:c r="M44" s="20" t="n">
        <x:f>IF(L44="מאושר",IF(K44="הכנסה שסווגה מחדש",0,G44),0)</x:f>
        <x:v>72</x:v>
      </x:c>
      <x:c r="N44" s="20" t="n">
        <x:f>IF(K44="שוטף",M44,0)</x:f>
        <x:v>72</x:v>
      </x:c>
      <x:c r="O44" s="20" t="n">
        <x:f>IF(K44="הכנסה שסווגה מחדש",-G44,0)</x:f>
        <x:v>0</x:v>
      </x:c>
      <x:c r="P44" s="11" t="str">
        <x:v>אמקס עינור</x:v>
      </x:c>
      <x:c r="Q44" s="11" t="str"/>
      <x:c r="R44" s="11" t="str">
        <x:v>לא</x:v>
      </x:c>
    </x:row>
    <x:row r="45">
      <x:c r="A45" s="14" t="n">
        <x:v>45658</x:v>
      </x:c>
      <x:c r="B45" s="11" t="str">
        <x:v>2025-01</x:v>
      </x:c>
      <x:c r="C45" s="11" t="str">
        <x:v>ינואר 25</x:v>
      </x:c>
      <x:c r="D45" s="15" t="n">
        <x:v>45</x:v>
      </x:c>
      <x:c r="E45" s="11" t="str">
        <x:v>30</x:v>
      </x:c>
      <x:c r="F45" s="11" t="str">
        <x:v>מכולת</x:v>
      </x:c>
      <x:c r="G45" s="17" t="n">
        <x:v>50</x:v>
      </x:c>
      <x:c r="H45" s="18" t="str">
        <x:v>מזון לבית</x:v>
      </x:c>
      <x:c r="I45" s="19" t="str">
        <x:f>IFERROR(INDEX('מיפוי ומקורות'!$C$7:$C$33,MATCH(H45,'מיפוי ומקורות'!$B$7:$B$33,0)),"לא מסווג")</x:f>
        <x:v>מזון לבית</x:v>
      </x:c>
      <x:c r="J45" s="19" t="str">
        <x:f>IFERROR(INDEX('מיפוי ומקורות'!$D$7:$D$33,MATCH(H45,'מיפוי ומקורות'!$B$7:$B$33,0)),"שוטף")</x:f>
        <x:v>שוטף</x:v>
      </x:c>
      <x:c r="K45" s="19" t="str">
        <x:f>IF(OR(H45="ריביות",AND(H45="דירה כצנלסון",G45&lt;0,ISNUMBER(SEARCH("הכנסה",F45)))),"הכנסה שסווגה מחדש",J45)</x:f>
        <x:v>שוטף</x:v>
      </x:c>
      <x:c r="L45" s="19" t="str">
        <x:v>מאושר</x:v>
      </x:c>
      <x:c r="M45" s="20" t="n">
        <x:f>IF(L45="מאושר",IF(K45="הכנסה שסווגה מחדש",0,G45),0)</x:f>
        <x:v>50</x:v>
      </x:c>
      <x:c r="N45" s="20" t="n">
        <x:f>IF(K45="שוטף",M45,0)</x:f>
        <x:v>50</x:v>
      </x:c>
      <x:c r="O45" s="20" t="n">
        <x:f>IF(K45="הכנסה שסווגה מחדש",-G45,0)</x:f>
        <x:v>0</x:v>
      </x:c>
      <x:c r="P45" s="11" t="str">
        <x:v>אמקס עינור</x:v>
      </x:c>
      <x:c r="Q45" s="11" t="str"/>
      <x:c r="R45" s="11" t="str">
        <x:v>לא</x:v>
      </x:c>
    </x:row>
    <x:row r="46">
      <x:c r="A46" s="14" t="n">
        <x:v>45658</x:v>
      </x:c>
      <x:c r="B46" s="11" t="str">
        <x:v>2025-01</x:v>
      </x:c>
      <x:c r="C46" s="11" t="str">
        <x:v>ינואר 25</x:v>
      </x:c>
      <x:c r="D46" s="15" t="n">
        <x:v>46</x:v>
      </x:c>
      <x:c r="E46" s="11" t="str">
        <x:v>30</x:v>
      </x:c>
      <x:c r="F46" s="11" t="str">
        <x:v>מקס סטוק</x:v>
      </x:c>
      <x:c r="G46" s="17" t="n">
        <x:v>17</x:v>
      </x:c>
      <x:c r="H46" s="18" t="str">
        <x:v>קניות לבית</x:v>
      </x:c>
      <x:c r="I46" s="19" t="str">
        <x:f>IFERROR(INDEX('מיפוי ומקורות'!$C$7:$C$33,MATCH(H46,'מיפוי ומקורות'!$B$7:$B$33,0)),"לא מסווג")</x:f>
        <x:v>קניות לבית</x:v>
      </x:c>
      <x:c r="J46" s="19" t="str">
        <x:f>IFERROR(INDEX('מיפוי ומקורות'!$D$7:$D$33,MATCH(H46,'מיפוי ומקורות'!$B$7:$B$33,0)),"שוטף")</x:f>
        <x:v>שוטף</x:v>
      </x:c>
      <x:c r="K46" s="19" t="str">
        <x:f>IF(OR(H46="ריביות",AND(H46="דירה כצנלסון",G46&lt;0,ISNUMBER(SEARCH("הכנסה",F46)))),"הכנסה שסווגה מחדש",J46)</x:f>
        <x:v>שוטף</x:v>
      </x:c>
      <x:c r="L46" s="19" t="str">
        <x:v>מאושר</x:v>
      </x:c>
      <x:c r="M46" s="20" t="n">
        <x:f>IF(L46="מאושר",IF(K46="הכנסה שסווגה מחדש",0,G46),0)</x:f>
        <x:v>17</x:v>
      </x:c>
      <x:c r="N46" s="20" t="n">
        <x:f>IF(K46="שוטף",M46,0)</x:f>
        <x:v>17</x:v>
      </x:c>
      <x:c r="O46" s="20" t="n">
        <x:f>IF(K46="הכנסה שסווגה מחדש",-G46,0)</x:f>
        <x:v>0</x:v>
      </x:c>
      <x:c r="P46" s="11" t="str">
        <x:v>אמקס עינור</x:v>
      </x:c>
      <x:c r="Q46" s="11" t="str"/>
      <x:c r="R46" s="11" t="str">
        <x:v>לא</x:v>
      </x:c>
    </x:row>
    <x:row r="47">
      <x:c r="A47" s="14" t="n">
        <x:v>45658</x:v>
      </x:c>
      <x:c r="B47" s="11" t="str">
        <x:v>2025-01</x:v>
      </x:c>
      <x:c r="C47" s="11" t="str">
        <x:v>ינואר 25</x:v>
      </x:c>
      <x:c r="D47" s="15" t="n">
        <x:v>47</x:v>
      </x:c>
      <x:c r="E47" s="11" t="str">
        <x:v>30</x:v>
      </x:c>
      <x:c r="F47" s="11" t="str">
        <x:v>טיפול זוגי</x:v>
      </x:c>
      <x:c r="G47" s="17" t="n">
        <x:v>840</x:v>
      </x:c>
      <x:c r="H47" s="18" t="str">
        <x:v>בריאות</x:v>
      </x:c>
      <x:c r="I47" s="19" t="str">
        <x:f>IFERROR(INDEX('מיפוי ומקורות'!$C$7:$C$33,MATCH(H47,'מיפוי ומקורות'!$B$7:$B$33,0)),"לא מסווג")</x:f>
        <x:v>בריאות וטיפולים</x:v>
      </x:c>
      <x:c r="J47" s="19" t="str">
        <x:f>IFERROR(INDEX('מיפוי ומקורות'!$D$7:$D$33,MATCH(H47,'מיפוי ומקורות'!$B$7:$B$33,0)),"שוטף")</x:f>
        <x:v>שוטף</x:v>
      </x:c>
      <x:c r="K47" s="19" t="str">
        <x:f>IF(OR(H47="ריביות",AND(H47="דירה כצנלסון",G47&lt;0,ISNUMBER(SEARCH("הכנסה",F47)))),"הכנסה שסווגה מחדש",J47)</x:f>
        <x:v>שוטף</x:v>
      </x:c>
      <x:c r="L47" s="19" t="str">
        <x:v>מאושר</x:v>
      </x:c>
      <x:c r="M47" s="20" t="n">
        <x:f>IF(L47="מאושר",IF(K47="הכנסה שסווגה מחדש",0,G47),0)</x:f>
        <x:v>840</x:v>
      </x:c>
      <x:c r="N47" s="20" t="n">
        <x:f>IF(K47="שוטף",M47,0)</x:f>
        <x:v>840</x:v>
      </x:c>
      <x:c r="O47" s="20" t="n">
        <x:f>IF(K47="הכנסה שסווגה מחדש",-G47,0)</x:f>
        <x:v>0</x:v>
      </x:c>
      <x:c r="P47" s="11" t="str">
        <x:v>אמקס עינור</x:v>
      </x:c>
      <x:c r="Q47" s="11" t="str"/>
      <x:c r="R47" s="11" t="str">
        <x:v>לא</x:v>
      </x:c>
    </x:row>
    <x:row r="48">
      <x:c r="A48" s="14" t="n">
        <x:v>45658</x:v>
      </x:c>
      <x:c r="B48" s="11" t="str">
        <x:v>2025-01</x:v>
      </x:c>
      <x:c r="C48" s="11" t="str">
        <x:v>ינואר 25</x:v>
      </x:c>
      <x:c r="D48" s="15" t="n">
        <x:v>48</x:v>
      </x:c>
      <x:c r="E48" s="11" t="str">
        <x:v>31</x:v>
      </x:c>
      <x:c r="F48" s="11" t="str">
        <x:v>גבות</x:v>
      </x:c>
      <x:c r="G48" s="17" t="n">
        <x:v>70</x:v>
      </x:c>
      <x:c r="H48" s="18" t="str">
        <x:v>קוסמטיקה</x:v>
      </x:c>
      <x:c r="I48" s="19" t="str">
        <x:f>IFERROR(INDEX('מיפוי ומקורות'!$C$7:$C$33,MATCH(H48,'מיפוי ומקורות'!$B$7:$B$33,0)),"לא מסווג")</x:f>
        <x:v>קוסמטיקה</x:v>
      </x:c>
      <x:c r="J48" s="19" t="str">
        <x:f>IFERROR(INDEX('מיפוי ומקורות'!$D$7:$D$33,MATCH(H48,'מיפוי ומקורות'!$B$7:$B$33,0)),"שוטף")</x:f>
        <x:v>שוטף</x:v>
      </x:c>
      <x:c r="K48" s="19" t="str">
        <x:f>IF(OR(H48="ריביות",AND(H48="דירה כצנלסון",G48&lt;0,ISNUMBER(SEARCH("הכנסה",F48)))),"הכנסה שסווגה מחדש",J48)</x:f>
        <x:v>שוטף</x:v>
      </x:c>
      <x:c r="L48" s="19" t="str">
        <x:v>מאושר</x:v>
      </x:c>
      <x:c r="M48" s="20" t="n">
        <x:f>IF(L48="מאושר",IF(K48="הכנסה שסווגה מחדש",0,G48),0)</x:f>
        <x:v>70</x:v>
      </x:c>
      <x:c r="N48" s="20" t="n">
        <x:f>IF(K48="שוטף",M48,0)</x:f>
        <x:v>70</x:v>
      </x:c>
      <x:c r="O48" s="20" t="n">
        <x:f>IF(K48="הכנסה שסווגה מחדש",-G48,0)</x:f>
        <x:v>0</x:v>
      </x:c>
      <x:c r="P48" s="11" t="str">
        <x:v>אמקס עינור</x:v>
      </x:c>
      <x:c r="Q48" s="11" t="str"/>
      <x:c r="R48" s="11" t="str">
        <x:v>לא</x:v>
      </x:c>
    </x:row>
    <x:row r="49">
      <x:c r="A49" s="14" t="n">
        <x:v>45658</x:v>
      </x:c>
      <x:c r="B49" s="11" t="str">
        <x:v>2025-01</x:v>
      </x:c>
      <x:c r="C49" s="11" t="str">
        <x:v>ינואר 25</x:v>
      </x:c>
      <x:c r="D49" s="15" t="n">
        <x:v>49</x:v>
      </x:c>
      <x:c r="E49" s="11" t="str">
        <x:v>14</x:v>
      </x:c>
      <x:c r="F49" s="11" t="str">
        <x:v>שכר דירה</x:v>
      </x:c>
      <x:c r="G49" s="17" t="n">
        <x:v>7500</x:v>
      </x:c>
      <x:c r="H49" s="18" t="str">
        <x:v>מגורים חודשי</x:v>
      </x:c>
      <x:c r="I49" s="19" t="str">
        <x:f>IFERROR(INDEX('מיפוי ומקורות'!$C$7:$C$33,MATCH(H49,'מיפוי ומקורות'!$B$7:$B$33,0)),"לא מסווג")</x:f>
        <x:v>דיור – בית מגורים</x:v>
      </x:c>
      <x:c r="J49" s="19" t="str">
        <x:f>IFERROR(INDEX('מיפוי ומקורות'!$D$7:$D$33,MATCH(H49,'מיפוי ומקורות'!$B$7:$B$33,0)),"שוטף")</x:f>
        <x:v>שוטף</x:v>
      </x:c>
      <x:c r="K49" s="19" t="str">
        <x:f>IF(OR(H49="ריביות",AND(H49="דירה כצנלסון",G49&lt;0,ISNUMBER(SEARCH("הכנסה",F49)))),"הכנסה שסווגה מחדש",J49)</x:f>
        <x:v>שוטף</x:v>
      </x:c>
      <x:c r="L49" s="19" t="str">
        <x:v>מאושר</x:v>
      </x:c>
      <x:c r="M49" s="20" t="n">
        <x:f>IF(L49="מאושר",IF(K49="הכנסה שסווגה מחדש",0,G49),0)</x:f>
        <x:v>7500</x:v>
      </x:c>
      <x:c r="N49" s="20" t="n">
        <x:f>IF(K49="שוטף",M49,0)</x:f>
        <x:v>7500</x:v>
      </x:c>
      <x:c r="O49" s="20" t="n">
        <x:f>IF(K49="הכנסה שסווגה מחדש",-G49,0)</x:f>
        <x:v>0</x:v>
      </x:c>
      <x:c r="P49" s="11" t="str">
        <x:v>דיסקונט עינור</x:v>
      </x:c>
      <x:c r="Q49" s="11" t="str"/>
      <x:c r="R49" s="11" t="str">
        <x:v>לא</x:v>
      </x:c>
    </x:row>
    <x:row r="50">
      <x:c r="A50" s="14" t="n">
        <x:v>45658</x:v>
      </x:c>
      <x:c r="B50" s="11" t="str">
        <x:v>2025-01</x:v>
      </x:c>
      <x:c r="C50" s="11" t="str">
        <x:v>ינואר 25</x:v>
      </x:c>
      <x:c r="D50" s="15" t="n">
        <x:v>50</x:v>
      </x:c>
      <x:c r="E50" s="11" t="str">
        <x:v>10</x:v>
      </x:c>
      <x:c r="F50" s="11" t="str">
        <x:v>משכנתא</x:v>
      </x:c>
      <x:c r="G50" s="17" t="n">
        <x:v>6123</x:v>
      </x:c>
      <x:c r="H50" s="18" t="str">
        <x:v>דירה כצנלסון</x:v>
      </x:c>
      <x:c r="I50" s="19" t="str">
        <x:f>IFERROR(INDEX('מיפוי ומקורות'!$C$7:$C$33,MATCH(H50,'מיפוי ומקורות'!$B$7:$B$33,0)),"לא מסווג")</x:f>
        <x:v>נכס להשקעה</x:v>
      </x:c>
      <x:c r="J50" s="19" t="str">
        <x:f>IFERROR(INDEX('מיפוי ומקורות'!$D$7:$D$33,MATCH(H50,'מיפוי ומקורות'!$B$7:$B$33,0)),"שוטף")</x:f>
        <x:v>חריג/נכס</x:v>
      </x:c>
      <x:c r="K50" s="19" t="str">
        <x:f>IF(OR(H50="ריביות",AND(H50="דירה כצנלסון",G50&lt;0,ISNUMBER(SEARCH("הכנסה",F50)))),"הכנסה שסווגה מחדש",J50)</x:f>
        <x:v>חריג/נכס</x:v>
      </x:c>
      <x:c r="L50" s="19" t="str">
        <x:v>מאושר</x:v>
      </x:c>
      <x:c r="M50" s="20" t="n">
        <x:f>IF(L50="מאושר",IF(K50="הכנסה שסווגה מחדש",0,G50),0)</x:f>
        <x:v>6123</x:v>
      </x:c>
      <x:c r="N50" s="20" t="n">
        <x:f>IF(K50="שוטף",M50,0)</x:f>
        <x:v>0</x:v>
      </x:c>
      <x:c r="O50" s="20" t="n">
        <x:f>IF(K50="הכנסה שסווגה מחדש",-G50,0)</x:f>
        <x:v>0</x:v>
      </x:c>
      <x:c r="P50" s="11" t="str">
        <x:v>דיסקונט עינור</x:v>
      </x:c>
      <x:c r="Q50" s="11" t="str"/>
      <x:c r="R50" s="11" t="str">
        <x:v>לא</x:v>
      </x:c>
    </x:row>
    <x:row r="51">
      <x:c r="A51" s="14" t="n">
        <x:v>45658</x:v>
      </x:c>
      <x:c r="B51" s="11" t="str">
        <x:v>2025-01</x:v>
      </x:c>
      <x:c r="C51" s="11" t="str">
        <x:v>ינואר 25</x:v>
      </x:c>
      <x:c r="D51" s="15" t="n">
        <x:v>51</x:v>
      </x:c>
      <x:c r="E51" s="11" t="str">
        <x:v>7</x:v>
      </x:c>
      <x:c r="F51" s="11" t="str">
        <x:v>עמלות ני"ע</x:v>
      </x:c>
      <x:c r="G51" s="17" t="n">
        <x:v>28</x:v>
      </x:c>
      <x:c r="H51" s="18" t="str">
        <x:v>עמלות</x:v>
      </x:c>
      <x:c r="I51" s="19" t="str">
        <x:f>IFERROR(INDEX('מיפוי ומקורות'!$C$7:$C$33,MATCH(H51,'מיפוי ומקורות'!$B$7:$B$33,0)),"לא מסווג")</x:f>
        <x:v>עמלות</x:v>
      </x:c>
      <x:c r="J51" s="19" t="str">
        <x:f>IFERROR(INDEX('מיפוי ומקורות'!$D$7:$D$33,MATCH(H51,'מיפוי ומקורות'!$B$7:$B$33,0)),"שוטף")</x:f>
        <x:v>שוטף</x:v>
      </x:c>
      <x:c r="K51" s="19" t="str">
        <x:f>IF(OR(H51="ריביות",AND(H51="דירה כצנלסון",G51&lt;0,ISNUMBER(SEARCH("הכנסה",F51)))),"הכנסה שסווגה מחדש",J51)</x:f>
        <x:v>שוטף</x:v>
      </x:c>
      <x:c r="L51" s="19" t="str">
        <x:v>מאושר</x:v>
      </x:c>
      <x:c r="M51" s="20" t="n">
        <x:f>IF(L51="מאושר",IF(K51="הכנסה שסווגה מחדש",0,G51),0)</x:f>
        <x:v>28</x:v>
      </x:c>
      <x:c r="N51" s="20" t="n">
        <x:f>IF(K51="שוטף",M51,0)</x:f>
        <x:v>28</x:v>
      </x:c>
      <x:c r="O51" s="20" t="n">
        <x:f>IF(K51="הכנסה שסווגה מחדש",-G51,0)</x:f>
        <x:v>0</x:v>
      </x:c>
      <x:c r="P51" s="11" t="str">
        <x:v>דיסקונט עינור</x:v>
      </x:c>
      <x:c r="Q51" s="11" t="str"/>
      <x:c r="R51" s="11" t="str">
        <x:v>לא</x:v>
      </x:c>
    </x:row>
    <x:row r="52">
      <x:c r="A52" s="14" t="n">
        <x:v>45658</x:v>
      </x:c>
      <x:c r="B52" s="11" t="str">
        <x:v>2025-01</x:v>
      </x:c>
      <x:c r="C52" s="11" t="str">
        <x:v>ינואר 25</x:v>
      </x:c>
      <x:c r="D52" s="15" t="n">
        <x:v>52</x:v>
      </x:c>
      <x:c r="E52" s="11" t="str">
        <x:v>5</x:v>
      </x:c>
      <x:c r="F52" s="11" t="str">
        <x:v>פסיכולוגית</x:v>
      </x:c>
      <x:c r="G52" s="17" t="n">
        <x:v>400</x:v>
      </x:c>
      <x:c r="H52" s="18" t="str">
        <x:v>בריאות</x:v>
      </x:c>
      <x:c r="I52" s="19" t="str">
        <x:f>IFERROR(INDEX('מיפוי ומקורות'!$C$7:$C$33,MATCH(H52,'מיפוי ומקורות'!$B$7:$B$33,0)),"לא מסווג")</x:f>
        <x:v>בריאות וטיפולים</x:v>
      </x:c>
      <x:c r="J52" s="19" t="str">
        <x:f>IFERROR(INDEX('מיפוי ומקורות'!$D$7:$D$33,MATCH(H52,'מיפוי ומקורות'!$B$7:$B$33,0)),"שוטף")</x:f>
        <x:v>שוטף</x:v>
      </x:c>
      <x:c r="K52" s="19" t="str">
        <x:f>IF(OR(H52="ריביות",AND(H52="דירה כצנלסון",G52&lt;0,ISNUMBER(SEARCH("הכנסה",F52)))),"הכנסה שסווגה מחדש",J52)</x:f>
        <x:v>שוטף</x:v>
      </x:c>
      <x:c r="L52" s="19" t="str">
        <x:v>מאושר</x:v>
      </x:c>
      <x:c r="M52" s="20" t="n">
        <x:f>IF(L52="מאושר",IF(K52="הכנסה שסווגה מחדש",0,G52),0)</x:f>
        <x:v>400</x:v>
      </x:c>
      <x:c r="N52" s="20" t="n">
        <x:f>IF(K52="שוטף",M52,0)</x:f>
        <x:v>400</x:v>
      </x:c>
      <x:c r="O52" s="20" t="n">
        <x:f>IF(K52="הכנסה שסווגה מחדש",-G52,0)</x:f>
        <x:v>0</x:v>
      </x:c>
      <x:c r="P52" s="11" t="str">
        <x:v>הבינלאומי זיו</x:v>
      </x:c>
      <x:c r="Q52" s="11" t="str"/>
      <x:c r="R52" s="11" t="str">
        <x:v>לא</x:v>
      </x:c>
    </x:row>
    <x:row r="53">
      <x:c r="A53" s="14" t="n">
        <x:v>45658</x:v>
      </x:c>
      <x:c r="B53" s="11" t="str">
        <x:v>2025-01</x:v>
      </x:c>
      <x:c r="C53" s="11" t="str">
        <x:v>ינואר 25</x:v>
      </x:c>
      <x:c r="D53" s="15" t="n">
        <x:v>53</x:v>
      </x:c>
      <x:c r="E53" s="11" t="str">
        <x:v>24</x:v>
      </x:c>
      <x:c r="F53" s="11" t="str">
        <x:v>סופר</x:v>
      </x:c>
      <x:c r="G53" s="17" t="n">
        <x:v>327</x:v>
      </x:c>
      <x:c r="H53" s="18" t="str">
        <x:v>מזון לבית</x:v>
      </x:c>
      <x:c r="I53" s="19" t="str">
        <x:f>IFERROR(INDEX('מיפוי ומקורות'!$C$7:$C$33,MATCH(H53,'מיפוי ומקורות'!$B$7:$B$33,0)),"לא מסווג")</x:f>
        <x:v>מזון לבית</x:v>
      </x:c>
      <x:c r="J53" s="19" t="str">
        <x:f>IFERROR(INDEX('מיפוי ומקורות'!$D$7:$D$33,MATCH(H53,'מיפוי ומקורות'!$B$7:$B$33,0)),"שוטף")</x:f>
        <x:v>שוטף</x:v>
      </x:c>
      <x:c r="K53" s="19" t="str">
        <x:f>IF(OR(H53="ריביות",AND(H53="דירה כצנלסון",G53&lt;0,ISNUMBER(SEARCH("הכנסה",F53)))),"הכנסה שסווגה מחדש",J53)</x:f>
        <x:v>שוטף</x:v>
      </x:c>
      <x:c r="L53" s="19" t="str">
        <x:v>מאושר</x:v>
      </x:c>
      <x:c r="M53" s="20" t="n">
        <x:f>IF(L53="מאושר",IF(K53="הכנסה שסווגה מחדש",0,G53),0)</x:f>
        <x:v>327</x:v>
      </x:c>
      <x:c r="N53" s="20" t="n">
        <x:f>IF(K53="שוטף",M53,0)</x:f>
        <x:v>327</x:v>
      </x:c>
      <x:c r="O53" s="20" t="n">
        <x:f>IF(K53="הכנסה שסווגה מחדש",-G53,0)</x:f>
        <x:v>0</x:v>
      </x:c>
      <x:c r="P53" s="11" t="str">
        <x:v>הוט זיו</x:v>
      </x:c>
      <x:c r="Q53" s="11" t="str"/>
      <x:c r="R53" s="11" t="str">
        <x:v>לא</x:v>
      </x:c>
    </x:row>
    <x:row r="54">
      <x:c r="A54" s="14" t="n">
        <x:v>45658</x:v>
      </x:c>
      <x:c r="B54" s="11" t="str">
        <x:v>2025-01</x:v>
      </x:c>
      <x:c r="C54" s="11" t="str">
        <x:v>ינואר 25</x:v>
      </x:c>
      <x:c r="D54" s="15" t="n">
        <x:v>54</x:v>
      </x:c>
      <x:c r="E54" s="11" t="str"/>
      <x:c r="F54" s="11" t="str">
        <x:v>מנקה</x:v>
      </x:c>
      <x:c r="G54" s="17" t="n">
        <x:v>400</x:v>
      </x:c>
      <x:c r="H54" s="18" t="str">
        <x:v>מגורים צריכה</x:v>
      </x:c>
      <x:c r="I54" s="19" t="str">
        <x:f>IFERROR(INDEX('מיפוי ומקורות'!$C$7:$C$33,MATCH(H54,'מיפוי ומקורות'!$B$7:$B$33,0)),"לא מסווג")</x:f>
        <x:v>דיור – בית מגורים</x:v>
      </x:c>
      <x:c r="J54" s="19" t="str">
        <x:f>IFERROR(INDEX('מיפוי ומקורות'!$D$7:$D$33,MATCH(H54,'מיפוי ומקורות'!$B$7:$B$33,0)),"שוטף")</x:f>
        <x:v>שוטף</x:v>
      </x:c>
      <x:c r="K54" s="19" t="str">
        <x:f>IF(OR(H54="ריביות",AND(H54="דירה כצנלסון",G54&lt;0,ISNUMBER(SEARCH("הכנסה",F54)))),"הכנסה שסווגה מחדש",J54)</x:f>
        <x:v>שוטף</x:v>
      </x:c>
      <x:c r="L54" s="19" t="str">
        <x:v>מאושר</x:v>
      </x:c>
      <x:c r="M54" s="20" t="n">
        <x:f>IF(L54="מאושר",IF(K54="הכנסה שסווגה מחדש",0,G54),0)</x:f>
        <x:v>400</x:v>
      </x:c>
      <x:c r="N54" s="20" t="n">
        <x:f>IF(K54="שוטף",M54,0)</x:f>
        <x:v>400</x:v>
      </x:c>
      <x:c r="O54" s="20" t="n">
        <x:f>IF(K54="הכנסה שסווגה מחדש",-G54,0)</x:f>
        <x:v>0</x:v>
      </x:c>
      <x:c r="P54" s="11" t="str">
        <x:v>מזומן</x:v>
      </x:c>
      <x:c r="Q54" s="11" t="str"/>
      <x:c r="R54" s="11" t="str">
        <x:v>לא</x:v>
      </x:c>
    </x:row>
    <x:row r="55">
      <x:c r="A55" s="14" t="n">
        <x:v>45658</x:v>
      </x:c>
      <x:c r="B55" s="11" t="str">
        <x:v>2025-01</x:v>
      </x:c>
      <x:c r="C55" s="11" t="str">
        <x:v>ינואר 25</x:v>
      </x:c>
      <x:c r="D55" s="15" t="n">
        <x:v>55</x:v>
      </x:c>
      <x:c r="E55" s="11" t="str">
        <x:v>28</x:v>
      </x:c>
      <x:c r="F55" s="11" t="str">
        <x:v>קרפור</x:v>
      </x:c>
      <x:c r="G55" s="17" t="n">
        <x:v>13</x:v>
      </x:c>
      <x:c r="H55" s="18" t="str">
        <x:v>מזון לבית</x:v>
      </x:c>
      <x:c r="I55" s="19" t="str">
        <x:f>IFERROR(INDEX('מיפוי ומקורות'!$C$7:$C$33,MATCH(H55,'מיפוי ומקורות'!$B$7:$B$33,0)),"לא מסווג")</x:f>
        <x:v>מזון לבית</x:v>
      </x:c>
      <x:c r="J55" s="19" t="str">
        <x:f>IFERROR(INDEX('מיפוי ומקורות'!$D$7:$D$33,MATCH(H55,'מיפוי ומקורות'!$B$7:$B$33,0)),"שוטף")</x:f>
        <x:v>שוטף</x:v>
      </x:c>
      <x:c r="K55" s="19" t="str">
        <x:f>IF(OR(H55="ריביות",AND(H55="דירה כצנלסון",G55&lt;0,ISNUMBER(SEARCH("הכנסה",F55)))),"הכנסה שסווגה מחדש",J55)</x:f>
        <x:v>שוטף</x:v>
      </x:c>
      <x:c r="L55" s="19" t="str">
        <x:v>מאושר</x:v>
      </x:c>
      <x:c r="M55" s="20" t="n">
        <x:f>IF(L55="מאושר",IF(K55="הכנסה שסווגה מחדש",0,G55),0)</x:f>
        <x:v>13</x:v>
      </x:c>
      <x:c r="N55" s="20" t="n">
        <x:f>IF(K55="שוטף",M55,0)</x:f>
        <x:v>13</x:v>
      </x:c>
      <x:c r="O55" s="20" t="n">
        <x:f>IF(K55="הכנסה שסווגה מחדש",-G55,0)</x:f>
        <x:v>0</x:v>
      </x:c>
      <x:c r="P55" s="11" t="str">
        <x:v>מקס זיו</x:v>
      </x:c>
      <x:c r="Q55" s="11" t="str"/>
      <x:c r="R55" s="11" t="str">
        <x:v>לא</x:v>
      </x:c>
    </x:row>
    <x:row r="56">
      <x:c r="A56" s="14" t="n">
        <x:v>45658</x:v>
      </x:c>
      <x:c r="B56" s="11" t="str">
        <x:v>2025-01</x:v>
      </x:c>
      <x:c r="C56" s="11" t="str">
        <x:v>ינואר 25</x:v>
      </x:c>
      <x:c r="D56" s="15" t="n">
        <x:v>56</x:v>
      </x:c>
      <x:c r="E56" s="11" t="str">
        <x:v>15</x:v>
      </x:c>
      <x:c r="F56" s="11" t="str">
        <x:v>טיפול רכב</x:v>
      </x:c>
      <x:c r="G56" s="17" t="n">
        <x:v>1221</x:v>
      </x:c>
      <x:c r="H56" s="18" t="str">
        <x:v>תחבורה</x:v>
      </x:c>
      <x:c r="I56" s="19" t="str">
        <x:f>IFERROR(INDEX('מיפוי ומקורות'!$C$7:$C$33,MATCH(H56,'מיפוי ומקורות'!$B$7:$B$33,0)),"לא מסווג")</x:f>
        <x:v>תחבורה</x:v>
      </x:c>
      <x:c r="J56" s="19" t="str">
        <x:f>IFERROR(INDEX('מיפוי ומקורות'!$D$7:$D$33,MATCH(H56,'מיפוי ומקורות'!$B$7:$B$33,0)),"שוטף")</x:f>
        <x:v>שוטף</x:v>
      </x:c>
      <x:c r="K56" s="19" t="str">
        <x:f>IF(OR(H56="ריביות",AND(H56="דירה כצנלסון",G56&lt;0,ISNUMBER(SEARCH("הכנסה",F56)))),"הכנסה שסווגה מחדש",J56)</x:f>
        <x:v>שוטף</x:v>
      </x:c>
      <x:c r="L56" s="19" t="str">
        <x:v>מאושר</x:v>
      </x:c>
      <x:c r="M56" s="20" t="n">
        <x:f>IF(L56="מאושר",IF(K56="הכנסה שסווגה מחדש",0,G56),0)</x:f>
        <x:v>1221</x:v>
      </x:c>
      <x:c r="N56" s="20" t="n">
        <x:f>IF(K56="שוטף",M56,0)</x:f>
        <x:v>1221</x:v>
      </x:c>
      <x:c r="O56" s="20" t="n">
        <x:f>IF(K56="הכנסה שסווגה מחדש",-G56,0)</x:f>
        <x:v>0</x:v>
      </x:c>
      <x:c r="P56" s="11" t="str">
        <x:v>מקס עינור</x:v>
      </x:c>
      <x:c r="Q56" s="11" t="str"/>
      <x:c r="R56" s="11" t="str">
        <x:v>לא</x:v>
      </x:c>
    </x:row>
    <x:row r="57">
      <x:c r="A57" s="14" t="n">
        <x:v>45658</x:v>
      </x:c>
      <x:c r="B57" s="11" t="str">
        <x:v>2025-01</x:v>
      </x:c>
      <x:c r="C57" s="11" t="str">
        <x:v>ינואר 25</x:v>
      </x:c>
      <x:c r="D57" s="15" t="n">
        <x:v>57</x:v>
      </x:c>
      <x:c r="E57" s="11" t="str">
        <x:v>19</x:v>
      </x:c>
      <x:c r="F57" s="11" t="str">
        <x:v>מאפיה</x:v>
      </x:c>
      <x:c r="G57" s="17" t="n">
        <x:v>59</x:v>
      </x:c>
      <x:c r="H57" s="18" t="str">
        <x:v>אוכל בחוץ</x:v>
      </x:c>
      <x:c r="I57" s="19" t="str">
        <x:f>IFERROR(INDEX('מיפוי ומקורות'!$C$7:$C$33,MATCH(H57,'מיפוי ומקורות'!$B$7:$B$33,0)),"לא מסווג")</x:f>
        <x:v>אוכל בחוץ</x:v>
      </x:c>
      <x:c r="J57" s="19" t="str">
        <x:f>IFERROR(INDEX('מיפוי ומקורות'!$D$7:$D$33,MATCH(H57,'מיפוי ומקורות'!$B$7:$B$33,0)),"שוטף")</x:f>
        <x:v>שוטף</x:v>
      </x:c>
      <x:c r="K57" s="19" t="str">
        <x:f>IF(OR(H57="ריביות",AND(H57="דירה כצנלסון",G57&lt;0,ISNUMBER(SEARCH("הכנסה",F57)))),"הכנסה שסווגה מחדש",J57)</x:f>
        <x:v>שוטף</x:v>
      </x:c>
      <x:c r="L57" s="19" t="str">
        <x:v>מאושר</x:v>
      </x:c>
      <x:c r="M57" s="20" t="n">
        <x:f>IF(L57="מאושר",IF(K57="הכנסה שסווגה מחדש",0,G57),0)</x:f>
        <x:v>59</x:v>
      </x:c>
      <x:c r="N57" s="20" t="n">
        <x:f>IF(K57="שוטף",M57,0)</x:f>
        <x:v>59</x:v>
      </x:c>
      <x:c r="O57" s="20" t="n">
        <x:f>IF(K57="הכנסה שסווגה מחדש",-G57,0)</x:f>
        <x:v>0</x:v>
      </x:c>
      <x:c r="P57" s="11" t="str">
        <x:v>מקס עינור</x:v>
      </x:c>
      <x:c r="Q57" s="11" t="str"/>
      <x:c r="R57" s="11" t="str">
        <x:v>לא</x:v>
      </x:c>
    </x:row>
    <x:row r="58">
      <x:c r="A58" s="14" t="n">
        <x:v>45658</x:v>
      </x:c>
      <x:c r="B58" s="11" t="str">
        <x:v>2025-01</x:v>
      </x:c>
      <x:c r="C58" s="11" t="str">
        <x:v>ינואר 25</x:v>
      </x:c>
      <x:c r="D58" s="15" t="n">
        <x:v>58</x:v>
      </x:c>
      <x:c r="E58" s="11" t="str">
        <x:v>25</x:v>
      </x:c>
      <x:c r="F58" s="11" t="str">
        <x:v>חומוס</x:v>
      </x:c>
      <x:c r="G58" s="17" t="n">
        <x:v>33</x:v>
      </x:c>
      <x:c r="H58" s="18" t="str">
        <x:v>אוכל בחוץ</x:v>
      </x:c>
      <x:c r="I58" s="19" t="str">
        <x:f>IFERROR(INDEX('מיפוי ומקורות'!$C$7:$C$33,MATCH(H58,'מיפוי ומקורות'!$B$7:$B$33,0)),"לא מסווג")</x:f>
        <x:v>אוכל בחוץ</x:v>
      </x:c>
      <x:c r="J58" s="19" t="str">
        <x:f>IFERROR(INDEX('מיפוי ומקורות'!$D$7:$D$33,MATCH(H58,'מיפוי ומקורות'!$B$7:$B$33,0)),"שוטף")</x:f>
        <x:v>שוטף</x:v>
      </x:c>
      <x:c r="K58" s="19" t="str">
        <x:f>IF(OR(H58="ריביות",AND(H58="דירה כצנלסון",G58&lt;0,ISNUMBER(SEARCH("הכנסה",F58)))),"הכנסה שסווגה מחדש",J58)</x:f>
        <x:v>שוטף</x:v>
      </x:c>
      <x:c r="L58" s="19" t="str">
        <x:v>מאושר</x:v>
      </x:c>
      <x:c r="M58" s="20" t="n">
        <x:f>IF(L58="מאושר",IF(K58="הכנסה שסווגה מחדש",0,G58),0)</x:f>
        <x:v>33</x:v>
      </x:c>
      <x:c r="N58" s="20" t="n">
        <x:f>IF(K58="שוטף",M58,0)</x:f>
        <x:v>33</x:v>
      </x:c>
      <x:c r="O58" s="20" t="n">
        <x:f>IF(K58="הכנסה שסווגה מחדש",-G58,0)</x:f>
        <x:v>0</x:v>
      </x:c>
      <x:c r="P58" s="11" t="str">
        <x:v>מקס עינור</x:v>
      </x:c>
      <x:c r="Q58" s="11" t="str"/>
      <x:c r="R58" s="11" t="str">
        <x:v>לא</x:v>
      </x:c>
    </x:row>
    <x:row r="59">
      <x:c r="A59" s="14" t="n">
        <x:v>45658</x:v>
      </x:c>
      <x:c r="B59" s="11" t="str">
        <x:v>2025-01</x:v>
      </x:c>
      <x:c r="C59" s="11" t="str">
        <x:v>ינואר 25</x:v>
      </x:c>
      <x:c r="D59" s="15" t="n">
        <x:v>59</x:v>
      </x:c>
      <x:c r="E59" s="11" t="str">
        <x:v>26</x:v>
      </x:c>
      <x:c r="F59" s="11" t="str">
        <x:v>ביט (אוכל)</x:v>
      </x:c>
      <x:c r="G59" s="17" t="n">
        <x:v>25</x:v>
      </x:c>
      <x:c r="H59" s="18" t="str">
        <x:v>אוכל בחוץ</x:v>
      </x:c>
      <x:c r="I59" s="19" t="str">
        <x:f>IFERROR(INDEX('מיפוי ומקורות'!$C$7:$C$33,MATCH(H59,'מיפוי ומקורות'!$B$7:$B$33,0)),"לא מסווג")</x:f>
        <x:v>אוכל בחוץ</x:v>
      </x:c>
      <x:c r="J59" s="19" t="str">
        <x:f>IFERROR(INDEX('מיפוי ומקורות'!$D$7:$D$33,MATCH(H59,'מיפוי ומקורות'!$B$7:$B$33,0)),"שוטף")</x:f>
        <x:v>שוטף</x:v>
      </x:c>
      <x:c r="K59" s="19" t="str">
        <x:f>IF(OR(H59="ריביות",AND(H59="דירה כצנלסון",G59&lt;0,ISNUMBER(SEARCH("הכנסה",F59)))),"הכנסה שסווגה מחדש",J59)</x:f>
        <x:v>שוטף</x:v>
      </x:c>
      <x:c r="L59" s="19" t="str">
        <x:v>מאושר</x:v>
      </x:c>
      <x:c r="M59" s="20" t="n">
        <x:f>IF(L59="מאושר",IF(K59="הכנסה שסווגה מחדש",0,G59),0)</x:f>
        <x:v>25</x:v>
      </x:c>
      <x:c r="N59" s="20" t="n">
        <x:f>IF(K59="שוטף",M59,0)</x:f>
        <x:v>25</x:v>
      </x:c>
      <x:c r="O59" s="20" t="n">
        <x:f>IF(K59="הכנסה שסווגה מחדש",-G59,0)</x:f>
        <x:v>0</x:v>
      </x:c>
      <x:c r="P59" s="11" t="str">
        <x:v>מקס עינור</x:v>
      </x:c>
      <x:c r="Q59" s="11" t="str"/>
      <x:c r="R59" s="11" t="str">
        <x:v>לא</x:v>
      </x:c>
    </x:row>
    <x:row r="60">
      <x:c r="A60" s="14" t="n">
        <x:v>45658</x:v>
      </x:c>
      <x:c r="B60" s="11" t="str">
        <x:v>2025-01</x:v>
      </x:c>
      <x:c r="C60" s="11" t="str">
        <x:v>ינואר 25</x:v>
      </x:c>
      <x:c r="D60" s="15" t="n">
        <x:v>60</x:v>
      </x:c>
      <x:c r="E60" s="11" t="str">
        <x:v>26</x:v>
      </x:c>
      <x:c r="F60" s="11" t="str">
        <x:v>שמלת כלה (ביט)</x:v>
      </x:c>
      <x:c r="G60" s="17" t="n">
        <x:v>2500</x:v>
      </x:c>
      <x:c r="H60" s="18" t="str">
        <x:v>חתונה</x:v>
      </x:c>
      <x:c r="I60" s="19" t="str">
        <x:f>IFERROR(INDEX('מיפוי ומקורות'!$C$7:$C$33,MATCH(H60,'מיפוי ומקורות'!$B$7:$B$33,0)),"לא מסווג")</x:f>
        <x:v>חתונה</x:v>
      </x:c>
      <x:c r="J60" s="19" t="str">
        <x:f>IFERROR(INDEX('מיפוי ומקורות'!$D$7:$D$33,MATCH(H60,'מיפוי ומקורות'!$B$7:$B$33,0)),"שוטף")</x:f>
        <x:v>חריג</x:v>
      </x:c>
      <x:c r="K60" s="19" t="str">
        <x:f>IF(OR(H60="ריביות",AND(H60="דירה כצנלסון",G60&lt;0,ISNUMBER(SEARCH("הכנסה",F60)))),"הכנסה שסווגה מחדש",J60)</x:f>
        <x:v>חריג</x:v>
      </x:c>
      <x:c r="L60" s="19" t="str">
        <x:v>מאושר</x:v>
      </x:c>
      <x:c r="M60" s="20" t="n">
        <x:f>IF(L60="מאושר",IF(K60="הכנסה שסווגה מחדש",0,G60),0)</x:f>
        <x:v>2500</x:v>
      </x:c>
      <x:c r="N60" s="20" t="n">
        <x:f>IF(K60="שוטף",M60,0)</x:f>
        <x:v>0</x:v>
      </x:c>
      <x:c r="O60" s="20" t="n">
        <x:f>IF(K60="הכנסה שסווגה מחדש",-G60,0)</x:f>
        <x:v>0</x:v>
      </x:c>
      <x:c r="P60" s="11" t="str">
        <x:v>מקס עינור</x:v>
      </x:c>
      <x:c r="Q60" s="11" t="str"/>
      <x:c r="R60" s="11" t="str">
        <x:v>לא</x:v>
      </x:c>
    </x:row>
    <x:row r="61">
      <x:c r="A61" s="14" t="n">
        <x:v>45658</x:v>
      </x:c>
      <x:c r="B61" s="11" t="str">
        <x:v>2025-01</x:v>
      </x:c>
      <x:c r="C61" s="11" t="str">
        <x:v>ינואר 25</x:v>
      </x:c>
      <x:c r="D61" s="15" t="n">
        <x:v>61</x:v>
      </x:c>
      <x:c r="E61" s="11" t="str">
        <x:v>27</x:v>
      </x:c>
      <x:c r="F61" s="11" t="str">
        <x:v>ביטוח חובה</x:v>
      </x:c>
      <x:c r="G61" s="17" t="n">
        <x:v>1797</x:v>
      </x:c>
      <x:c r="H61" s="18" t="str">
        <x:v>תחבורה</x:v>
      </x:c>
      <x:c r="I61" s="19" t="str">
        <x:f>IFERROR(INDEX('מיפוי ומקורות'!$C$7:$C$33,MATCH(H61,'מיפוי ומקורות'!$B$7:$B$33,0)),"לא מסווג")</x:f>
        <x:v>תחבורה</x:v>
      </x:c>
      <x:c r="J61" s="19" t="str">
        <x:f>IFERROR(INDEX('מיפוי ומקורות'!$D$7:$D$33,MATCH(H61,'מיפוי ומקורות'!$B$7:$B$33,0)),"שוטף")</x:f>
        <x:v>שוטף</x:v>
      </x:c>
      <x:c r="K61" s="19" t="str">
        <x:f>IF(OR(H61="ריביות",AND(H61="דירה כצנלסון",G61&lt;0,ISNUMBER(SEARCH("הכנסה",F61)))),"הכנסה שסווגה מחדש",J61)</x:f>
        <x:v>שוטף</x:v>
      </x:c>
      <x:c r="L61" s="19" t="str">
        <x:v>מאושר</x:v>
      </x:c>
      <x:c r="M61" s="20" t="n">
        <x:f>IF(L61="מאושר",IF(K61="הכנסה שסווגה מחדש",0,G61),0)</x:f>
        <x:v>1797</x:v>
      </x:c>
      <x:c r="N61" s="20" t="n">
        <x:f>IF(K61="שוטף",M61,0)</x:f>
        <x:v>1797</x:v>
      </x:c>
      <x:c r="O61" s="20" t="n">
        <x:f>IF(K61="הכנסה שסווגה מחדש",-G61,0)</x:f>
        <x:v>0</x:v>
      </x:c>
      <x:c r="P61" s="11" t="str">
        <x:v>מקס עינור</x:v>
      </x:c>
      <x:c r="Q61" s="11" t="str"/>
      <x:c r="R61" s="11" t="str">
        <x:v>לא</x:v>
      </x:c>
    </x:row>
    <x:row r="62">
      <x:c r="A62" s="14" t="n">
        <x:v>45658</x:v>
      </x:c>
      <x:c r="B62" s="11" t="str">
        <x:v>2025-01</x:v>
      </x:c>
      <x:c r="C62" s="11" t="str">
        <x:v>ינואר 25</x:v>
      </x:c>
      <x:c r="D62" s="15" t="n">
        <x:v>62</x:v>
      </x:c>
      <x:c r="E62" s="11" t="str">
        <x:v>28</x:v>
      </x:c>
      <x:c r="F62" s="11" t="str">
        <x:v>ביטוח מקיף</x:v>
      </x:c>
      <x:c r="G62" s="17" t="n">
        <x:v>2683</x:v>
      </x:c>
      <x:c r="H62" s="18" t="str">
        <x:v>תחבורה</x:v>
      </x:c>
      <x:c r="I62" s="19" t="str">
        <x:f>IFERROR(INDEX('מיפוי ומקורות'!$C$7:$C$33,MATCH(H62,'מיפוי ומקורות'!$B$7:$B$33,0)),"לא מסווג")</x:f>
        <x:v>תחבורה</x:v>
      </x:c>
      <x:c r="J62" s="19" t="str">
        <x:f>IFERROR(INDEX('מיפוי ומקורות'!$D$7:$D$33,MATCH(H62,'מיפוי ומקורות'!$B$7:$B$33,0)),"שוטף")</x:f>
        <x:v>שוטף</x:v>
      </x:c>
      <x:c r="K62" s="19" t="str">
        <x:f>IF(OR(H62="ריביות",AND(H62="דירה כצנלסון",G62&lt;0,ISNUMBER(SEARCH("הכנסה",F62)))),"הכנסה שסווגה מחדש",J62)</x:f>
        <x:v>שוטף</x:v>
      </x:c>
      <x:c r="L62" s="19" t="str">
        <x:v>מאושר</x:v>
      </x:c>
      <x:c r="M62" s="20" t="n">
        <x:f>IF(L62="מאושר",IF(K62="הכנסה שסווגה מחדש",0,G62),0)</x:f>
        <x:v>2683</x:v>
      </x:c>
      <x:c r="N62" s="20" t="n">
        <x:f>IF(K62="שוטף",M62,0)</x:f>
        <x:v>2683</x:v>
      </x:c>
      <x:c r="O62" s="20" t="n">
        <x:f>IF(K62="הכנסה שסווגה מחדש",-G62,0)</x:f>
        <x:v>0</x:v>
      </x:c>
      <x:c r="P62" s="11" t="str">
        <x:v>מקס עינור</x:v>
      </x:c>
      <x:c r="Q62" s="11" t="str"/>
      <x:c r="R62" s="11" t="str">
        <x:v>לא</x:v>
      </x:c>
    </x:row>
    <x:row r="63">
      <x:c r="A63" s="14" t="n">
        <x:v>45658</x:v>
      </x:c>
      <x:c r="B63" s="11" t="str">
        <x:v>2025-01</x:v>
      </x:c>
      <x:c r="C63" s="11" t="str">
        <x:v>ינואר 25</x:v>
      </x:c>
      <x:c r="D63" s="15" t="n">
        <x:v>63</x:v>
      </x:c>
      <x:c r="E63" s="11" t="str">
        <x:v>31</x:v>
      </x:c>
      <x:c r="F63" s="11" t="str">
        <x:v>פרחים (ביט)</x:v>
      </x:c>
      <x:c r="G63" s="17" t="n">
        <x:v>35</x:v>
      </x:c>
      <x:c r="H63" s="18" t="str">
        <x:v>קניות לבית</x:v>
      </x:c>
      <x:c r="I63" s="19" t="str">
        <x:f>IFERROR(INDEX('מיפוי ומקורות'!$C$7:$C$33,MATCH(H63,'מיפוי ומקורות'!$B$7:$B$33,0)),"לא מסווג")</x:f>
        <x:v>קניות לבית</x:v>
      </x:c>
      <x:c r="J63" s="19" t="str">
        <x:f>IFERROR(INDEX('מיפוי ומקורות'!$D$7:$D$33,MATCH(H63,'מיפוי ומקורות'!$B$7:$B$33,0)),"שוטף")</x:f>
        <x:v>שוטף</x:v>
      </x:c>
      <x:c r="K63" s="19" t="str">
        <x:f>IF(OR(H63="ריביות",AND(H63="דירה כצנלסון",G63&lt;0,ISNUMBER(SEARCH("הכנסה",F63)))),"הכנסה שסווגה מחדש",J63)</x:f>
        <x:v>שוטף</x:v>
      </x:c>
      <x:c r="L63" s="19" t="str">
        <x:v>מאושר</x:v>
      </x:c>
      <x:c r="M63" s="20" t="n">
        <x:f>IF(L63="מאושר",IF(K63="הכנסה שסווגה מחדש",0,G63),0)</x:f>
        <x:v>35</x:v>
      </x:c>
      <x:c r="N63" s="20" t="n">
        <x:f>IF(K63="שוטף",M63,0)</x:f>
        <x:v>35</x:v>
      </x:c>
      <x:c r="O63" s="20" t="n">
        <x:f>IF(K63="הכנסה שסווגה מחדש",-G63,0)</x:f>
        <x:v>0</x:v>
      </x:c>
      <x:c r="P63" s="11" t="str">
        <x:v>מקס עינור</x:v>
      </x:c>
      <x:c r="Q63" s="11" t="str"/>
      <x:c r="R63" s="11" t="str">
        <x:v>לא</x:v>
      </x:c>
    </x:row>
    <x:row r="64">
      <x:c r="A64" s="14" t="n">
        <x:v>45658</x:v>
      </x:c>
      <x:c r="B64" s="11" t="str">
        <x:v>2025-01</x:v>
      </x:c>
      <x:c r="C64" s="11" t="str">
        <x:v>ינואר 25</x:v>
      </x:c>
      <x:c r="D64" s="15" t="n">
        <x:v>64</x:v>
      </x:c>
      <x:c r="E64" s="11" t="str">
        <x:v>12</x:v>
      </x:c>
      <x:c r="F64" s="11" t="str">
        <x:v>סופר</x:v>
      </x:c>
      <x:c r="G64" s="17" t="n">
        <x:v>205</x:v>
      </x:c>
      <x:c r="H64" s="18" t="str">
        <x:v>מזון לבית</x:v>
      </x:c>
      <x:c r="I64" s="19" t="str">
        <x:f>IFERROR(INDEX('מיפוי ומקורות'!$C$7:$C$33,MATCH(H64,'מיפוי ומקורות'!$B$7:$B$33,0)),"לא מסווג")</x:f>
        <x:v>מזון לבית</x:v>
      </x:c>
      <x:c r="J64" s="19" t="str">
        <x:f>IFERROR(INDEX('מיפוי ומקורות'!$D$7:$D$33,MATCH(H64,'מיפוי ומקורות'!$B$7:$B$33,0)),"שוטף")</x:f>
        <x:v>שוטף</x:v>
      </x:c>
      <x:c r="K64" s="19" t="str">
        <x:f>IF(OR(H64="ריביות",AND(H64="דירה כצנלסון",G64&lt;0,ISNUMBER(SEARCH("הכנסה",F64)))),"הכנסה שסווגה מחדש",J64)</x:f>
        <x:v>שוטף</x:v>
      </x:c>
      <x:c r="L64" s="19" t="str">
        <x:v>מאושר</x:v>
      </x:c>
      <x:c r="M64" s="20" t="n">
        <x:f>IF(L64="מאושר",IF(K64="הכנסה שסווגה מחדש",0,G64),0)</x:f>
        <x:v>205</x:v>
      </x:c>
      <x:c r="N64" s="20" t="n">
        <x:f>IF(K64="שוטף",M64,0)</x:f>
        <x:v>205</x:v>
      </x:c>
      <x:c r="O64" s="20" t="n">
        <x:f>IF(K64="הכנסה שסווגה מחדש",-G64,0)</x:f>
        <x:v>0</x:v>
      </x:c>
      <x:c r="P64" s="11" t="str">
        <x:v>סיבוס עינור</x:v>
      </x:c>
      <x:c r="Q64" s="11" t="str"/>
      <x:c r="R64" s="11" t="str">
        <x:v>לא</x:v>
      </x:c>
    </x:row>
    <x:row r="65">
      <x:c r="A65" s="14" t="n">
        <x:v>45658</x:v>
      </x:c>
      <x:c r="B65" s="11" t="str">
        <x:v>2025-01</x:v>
      </x:c>
      <x:c r="C65" s="11" t="str">
        <x:v>ינואר 25</x:v>
      </x:c>
      <x:c r="D65" s="15" t="n">
        <x:v>65</x:v>
      </x:c>
      <x:c r="E65" s="11" t="str">
        <x:v>20</x:v>
      </x:c>
      <x:c r="F65" s="11" t="str">
        <x:v>סופר</x:v>
      </x:c>
      <x:c r="G65" s="17" t="n">
        <x:v>104</x:v>
      </x:c>
      <x:c r="H65" s="18" t="str">
        <x:v>מזון לבית</x:v>
      </x:c>
      <x:c r="I65" s="19" t="str">
        <x:f>IFERROR(INDEX('מיפוי ומקורות'!$C$7:$C$33,MATCH(H65,'מיפוי ומקורות'!$B$7:$B$33,0)),"לא מסווג")</x:f>
        <x:v>מזון לבית</x:v>
      </x:c>
      <x:c r="J65" s="19" t="str">
        <x:f>IFERROR(INDEX('מיפוי ומקורות'!$D$7:$D$33,MATCH(H65,'מיפוי ומקורות'!$B$7:$B$33,0)),"שוטף")</x:f>
        <x:v>שוטף</x:v>
      </x:c>
      <x:c r="K65" s="19" t="str">
        <x:f>IF(OR(H65="ריביות",AND(H65="דירה כצנלסון",G65&lt;0,ISNUMBER(SEARCH("הכנסה",F65)))),"הכנסה שסווגה מחדש",J65)</x:f>
        <x:v>שוטף</x:v>
      </x:c>
      <x:c r="L65" s="19" t="str">
        <x:v>מאושר</x:v>
      </x:c>
      <x:c r="M65" s="20" t="n">
        <x:f>IF(L65="מאושר",IF(K65="הכנסה שסווגה מחדש",0,G65),0)</x:f>
        <x:v>104</x:v>
      </x:c>
      <x:c r="N65" s="20" t="n">
        <x:f>IF(K65="שוטף",M65,0)</x:f>
        <x:v>104</x:v>
      </x:c>
      <x:c r="O65" s="20" t="n">
        <x:f>IF(K65="הכנסה שסווגה מחדש",-G65,0)</x:f>
        <x:v>0</x:v>
      </x:c>
      <x:c r="P65" s="11" t="str">
        <x:v>סיבוס עינור</x:v>
      </x:c>
      <x:c r="Q65" s="11" t="str"/>
      <x:c r="R65" s="11" t="str">
        <x:v>לא</x:v>
      </x:c>
    </x:row>
    <x:row r="66">
      <x:c r="A66" s="14" t="n">
        <x:v>45658</x:v>
      </x:c>
      <x:c r="B66" s="11" t="str">
        <x:v>2025-01</x:v>
      </x:c>
      <x:c r="C66" s="11" t="str">
        <x:v>ינואר 25</x:v>
      </x:c>
      <x:c r="D66" s="15" t="n">
        <x:v>66</x:v>
      </x:c>
      <x:c r="E66" s="11" t="str">
        <x:v>21</x:v>
      </x:c>
      <x:c r="F66" s="11" t="str">
        <x:v>סופר</x:v>
      </x:c>
      <x:c r="G66" s="17" t="n">
        <x:v>8</x:v>
      </x:c>
      <x:c r="H66" s="18" t="str">
        <x:v>מזון לבית</x:v>
      </x:c>
      <x:c r="I66" s="19" t="str">
        <x:f>IFERROR(INDEX('מיפוי ומקורות'!$C$7:$C$33,MATCH(H66,'מיפוי ומקורות'!$B$7:$B$33,0)),"לא מסווג")</x:f>
        <x:v>מזון לבית</x:v>
      </x:c>
      <x:c r="J66" s="19" t="str">
        <x:f>IFERROR(INDEX('מיפוי ומקורות'!$D$7:$D$33,MATCH(H66,'מיפוי ומקורות'!$B$7:$B$33,0)),"שוטף")</x:f>
        <x:v>שוטף</x:v>
      </x:c>
      <x:c r="K66" s="19" t="str">
        <x:f>IF(OR(H66="ריביות",AND(H66="דירה כצנלסון",G66&lt;0,ISNUMBER(SEARCH("הכנסה",F66)))),"הכנסה שסווגה מחדש",J66)</x:f>
        <x:v>שוטף</x:v>
      </x:c>
      <x:c r="L66" s="19" t="str">
        <x:v>מאושר</x:v>
      </x:c>
      <x:c r="M66" s="20" t="n">
        <x:f>IF(L66="מאושר",IF(K66="הכנסה שסווגה מחדש",0,G66),0)</x:f>
        <x:v>8</x:v>
      </x:c>
      <x:c r="N66" s="20" t="n">
        <x:f>IF(K66="שוטף",M66,0)</x:f>
        <x:v>8</x:v>
      </x:c>
      <x:c r="O66" s="20" t="n">
        <x:f>IF(K66="הכנסה שסווגה מחדש",-G66,0)</x:f>
        <x:v>0</x:v>
      </x:c>
      <x:c r="P66" s="11" t="str">
        <x:v>סיבוס עינור</x:v>
      </x:c>
      <x:c r="Q66" s="11" t="str"/>
      <x:c r="R66" s="11" t="str">
        <x:v>לא</x:v>
      </x:c>
    </x:row>
    <x:row r="67">
      <x:c r="A67" s="14" t="n">
        <x:v>45658</x:v>
      </x:c>
      <x:c r="B67" s="11" t="str">
        <x:v>2025-01</x:v>
      </x:c>
      <x:c r="C67" s="11" t="str">
        <x:v>ינואר 25</x:v>
      </x:c>
      <x:c r="D67" s="15" t="n">
        <x:v>67</x:v>
      </x:c>
      <x:c r="E67" s="11" t="str">
        <x:v>23</x:v>
      </x:c>
      <x:c r="F67" s="11" t="str">
        <x:v>סופר</x:v>
      </x:c>
      <x:c r="G67" s="17" t="n">
        <x:v>47</x:v>
      </x:c>
      <x:c r="H67" s="18" t="str">
        <x:v>מזון לבית</x:v>
      </x:c>
      <x:c r="I67" s="19" t="str">
        <x:f>IFERROR(INDEX('מיפוי ומקורות'!$C$7:$C$33,MATCH(H67,'מיפוי ומקורות'!$B$7:$B$33,0)),"לא מסווג")</x:f>
        <x:v>מזון לבית</x:v>
      </x:c>
      <x:c r="J67" s="19" t="str">
        <x:f>IFERROR(INDEX('מיפוי ומקורות'!$D$7:$D$33,MATCH(H67,'מיפוי ומקורות'!$B$7:$B$33,0)),"שוטף")</x:f>
        <x:v>שוטף</x:v>
      </x:c>
      <x:c r="K67" s="19" t="str">
        <x:f>IF(OR(H67="ריביות",AND(H67="דירה כצנלסון",G67&lt;0,ISNUMBER(SEARCH("הכנסה",F67)))),"הכנסה שסווגה מחדש",J67)</x:f>
        <x:v>שוטף</x:v>
      </x:c>
      <x:c r="L67" s="19" t="str">
        <x:v>מאושר</x:v>
      </x:c>
      <x:c r="M67" s="20" t="n">
        <x:f>IF(L67="מאושר",IF(K67="הכנסה שסווגה מחדש",0,G67),0)</x:f>
        <x:v>47</x:v>
      </x:c>
      <x:c r="N67" s="20" t="n">
        <x:f>IF(K67="שוטף",M67,0)</x:f>
        <x:v>47</x:v>
      </x:c>
      <x:c r="O67" s="20" t="n">
        <x:f>IF(K67="הכנסה שסווגה מחדש",-G67,0)</x:f>
        <x:v>0</x:v>
      </x:c>
      <x:c r="P67" s="11" t="str">
        <x:v>סיבוס עינור</x:v>
      </x:c>
      <x:c r="Q67" s="11" t="str"/>
      <x:c r="R67" s="11" t="str">
        <x:v>לא</x:v>
      </x:c>
    </x:row>
    <x:row r="68">
      <x:c r="A68" s="14" t="n">
        <x:v>45658</x:v>
      </x:c>
      <x:c r="B68" s="11" t="str">
        <x:v>2025-01</x:v>
      </x:c>
      <x:c r="C68" s="11" t="str">
        <x:v>ינואר 25</x:v>
      </x:c>
      <x:c r="D68" s="15" t="n">
        <x:v>68</x:v>
      </x:c>
      <x:c r="E68" s="11" t="str">
        <x:v>26</x:v>
      </x:c>
      <x:c r="F68" s="11" t="str">
        <x:v>וולט</x:v>
      </x:c>
      <x:c r="G68" s="17" t="n">
        <x:v>635</x:v>
      </x:c>
      <x:c r="H68" s="18" t="str">
        <x:v>אוכל בחוץ</x:v>
      </x:c>
      <x:c r="I68" s="19" t="str">
        <x:f>IFERROR(INDEX('מיפוי ומקורות'!$C$7:$C$33,MATCH(H68,'מיפוי ומקורות'!$B$7:$B$33,0)),"לא מסווג")</x:f>
        <x:v>אוכל בחוץ</x:v>
      </x:c>
      <x:c r="J68" s="19" t="str">
        <x:f>IFERROR(INDEX('מיפוי ומקורות'!$D$7:$D$33,MATCH(H68,'מיפוי ומקורות'!$B$7:$B$33,0)),"שוטף")</x:f>
        <x:v>שוטף</x:v>
      </x:c>
      <x:c r="K68" s="19" t="str">
        <x:f>IF(OR(H68="ריביות",AND(H68="דירה כצנלסון",G68&lt;0,ISNUMBER(SEARCH("הכנסה",F68)))),"הכנסה שסווגה מחדש",J68)</x:f>
        <x:v>שוטף</x:v>
      </x:c>
      <x:c r="L68" s="19" t="str">
        <x:v>מאושר</x:v>
      </x:c>
      <x:c r="M68" s="20" t="n">
        <x:f>IF(L68="מאושר",IF(K68="הכנסה שסווגה מחדש",0,G68),0)</x:f>
        <x:v>635</x:v>
      </x:c>
      <x:c r="N68" s="20" t="n">
        <x:f>IF(K68="שוטף",M68,0)</x:f>
        <x:v>635</x:v>
      </x:c>
      <x:c r="O68" s="20" t="n">
        <x:f>IF(K68="הכנסה שסווגה מחדש",-G68,0)</x:f>
        <x:v>0</x:v>
      </x:c>
      <x:c r="P68" s="11" t="str">
        <x:v>סיבוס עינור</x:v>
      </x:c>
      <x:c r="Q68" s="11" t="str"/>
      <x:c r="R68" s="11" t="str">
        <x:v>לא</x:v>
      </x:c>
    </x:row>
    <x:row r="69">
      <x:c r="A69" s="14" t="n">
        <x:v>45658</x:v>
      </x:c>
      <x:c r="B69" s="11" t="str">
        <x:v>2025-01</x:v>
      </x:c>
      <x:c r="C69" s="11" t="str">
        <x:v>ינואר 25</x:v>
      </x:c>
      <x:c r="D69" s="15" t="n">
        <x:v>69</x:v>
      </x:c>
      <x:c r="E69" s="11" t="str">
        <x:v>27</x:v>
      </x:c>
      <x:c r="F69" s="11" t="str">
        <x:v>סופר</x:v>
      </x:c>
      <x:c r="G69" s="17" t="n">
        <x:v>62</x:v>
      </x:c>
      <x:c r="H69" s="18" t="str">
        <x:v>מזון לבית</x:v>
      </x:c>
      <x:c r="I69" s="19" t="str">
        <x:f>IFERROR(INDEX('מיפוי ומקורות'!$C$7:$C$33,MATCH(H69,'מיפוי ומקורות'!$B$7:$B$33,0)),"לא מסווג")</x:f>
        <x:v>מזון לבית</x:v>
      </x:c>
      <x:c r="J69" s="19" t="str">
        <x:f>IFERROR(INDEX('מיפוי ומקורות'!$D$7:$D$33,MATCH(H69,'מיפוי ומקורות'!$B$7:$B$33,0)),"שוטף")</x:f>
        <x:v>שוטף</x:v>
      </x:c>
      <x:c r="K69" s="19" t="str">
        <x:f>IF(OR(H69="ריביות",AND(H69="דירה כצנלסון",G69&lt;0,ISNUMBER(SEARCH("הכנסה",F69)))),"הכנסה שסווגה מחדש",J69)</x:f>
        <x:v>שוטף</x:v>
      </x:c>
      <x:c r="L69" s="19" t="str">
        <x:v>מאושר</x:v>
      </x:c>
      <x:c r="M69" s="20" t="n">
        <x:f>IF(L69="מאושר",IF(K69="הכנסה שסווגה מחדש",0,G69),0)</x:f>
        <x:v>62</x:v>
      </x:c>
      <x:c r="N69" s="20" t="n">
        <x:f>IF(K69="שוטף",M69,0)</x:f>
        <x:v>62</x:v>
      </x:c>
      <x:c r="O69" s="20" t="n">
        <x:f>IF(K69="הכנסה שסווגה מחדש",-G69,0)</x:f>
        <x:v>0</x:v>
      </x:c>
      <x:c r="P69" s="11" t="str">
        <x:v>סיבוס עינור</x:v>
      </x:c>
      <x:c r="Q69" s="11" t="str"/>
      <x:c r="R69" s="11" t="str">
        <x:v>לא</x:v>
      </x:c>
    </x:row>
    <x:row r="70">
      <x:c r="A70" s="14" t="n">
        <x:v>45658</x:v>
      </x:c>
      <x:c r="B70" s="11" t="str">
        <x:v>2025-01</x:v>
      </x:c>
      <x:c r="C70" s="11" t="str">
        <x:v>ינואר 25</x:v>
      </x:c>
      <x:c r="D70" s="15" t="n">
        <x:v>70</x:v>
      </x:c>
      <x:c r="E70" s="11" t="str">
        <x:v>28</x:v>
      </x:c>
      <x:c r="F70" s="11" t="str">
        <x:v>סופר</x:v>
      </x:c>
      <x:c r="G70" s="17" t="n">
        <x:v>151</x:v>
      </x:c>
      <x:c r="H70" s="18" t="str">
        <x:v>מזון לבית</x:v>
      </x:c>
      <x:c r="I70" s="19" t="str">
        <x:f>IFERROR(INDEX('מיפוי ומקורות'!$C$7:$C$33,MATCH(H70,'מיפוי ומקורות'!$B$7:$B$33,0)),"לא מסווג")</x:f>
        <x:v>מזון לבית</x:v>
      </x:c>
      <x:c r="J70" s="19" t="str">
        <x:f>IFERROR(INDEX('מיפוי ומקורות'!$D$7:$D$33,MATCH(H70,'מיפוי ומקורות'!$B$7:$B$33,0)),"שוטף")</x:f>
        <x:v>שוטף</x:v>
      </x:c>
      <x:c r="K70" s="19" t="str">
        <x:f>IF(OR(H70="ריביות",AND(H70="דירה כצנלסון",G70&lt;0,ISNUMBER(SEARCH("הכנסה",F70)))),"הכנסה שסווגה מחדש",J70)</x:f>
        <x:v>שוטף</x:v>
      </x:c>
      <x:c r="L70" s="19" t="str">
        <x:v>מאושר</x:v>
      </x:c>
      <x:c r="M70" s="20" t="n">
        <x:f>IF(L70="מאושר",IF(K70="הכנסה שסווגה מחדש",0,G70),0)</x:f>
        <x:v>151</x:v>
      </x:c>
      <x:c r="N70" s="20" t="n">
        <x:f>IF(K70="שוטף",M70,0)</x:f>
        <x:v>151</x:v>
      </x:c>
      <x:c r="O70" s="20" t="n">
        <x:f>IF(K70="הכנסה שסווגה מחדש",-G70,0)</x:f>
        <x:v>0</x:v>
      </x:c>
      <x:c r="P70" s="11" t="str">
        <x:v>סיבוס עינור</x:v>
      </x:c>
      <x:c r="Q70" s="11" t="str"/>
      <x:c r="R70" s="11" t="str">
        <x:v>לא</x:v>
      </x:c>
    </x:row>
    <x:row r="71">
      <x:c r="A71" s="14" t="n">
        <x:v>45658</x:v>
      </x:c>
      <x:c r="B71" s="11" t="str">
        <x:v>2025-01</x:v>
      </x:c>
      <x:c r="C71" s="11" t="str">
        <x:v>ינואר 25</x:v>
      </x:c>
      <x:c r="D71" s="15" t="n">
        <x:v>71</x:v>
      </x:c>
      <x:c r="E71" s="11" t="str">
        <x:v>31</x:v>
      </x:c>
      <x:c r="F71" s="11" t="str">
        <x:v>סופר</x:v>
      </x:c>
      <x:c r="G71" s="17" t="n">
        <x:v>59</x:v>
      </x:c>
      <x:c r="H71" s="18" t="str">
        <x:v>מזון לבית</x:v>
      </x:c>
      <x:c r="I71" s="19" t="str">
        <x:f>IFERROR(INDEX('מיפוי ומקורות'!$C$7:$C$33,MATCH(H71,'מיפוי ומקורות'!$B$7:$B$33,0)),"לא מסווג")</x:f>
        <x:v>מזון לבית</x:v>
      </x:c>
      <x:c r="J71" s="19" t="str">
        <x:f>IFERROR(INDEX('מיפוי ומקורות'!$D$7:$D$33,MATCH(H71,'מיפוי ומקורות'!$B$7:$B$33,0)),"שוטף")</x:f>
        <x:v>שוטף</x:v>
      </x:c>
      <x:c r="K71" s="19" t="str">
        <x:f>IF(OR(H71="ריביות",AND(H71="דירה כצנלסון",G71&lt;0,ISNUMBER(SEARCH("הכנסה",F71)))),"הכנסה שסווגה מחדש",J71)</x:f>
        <x:v>שוטף</x:v>
      </x:c>
      <x:c r="L71" s="19" t="str">
        <x:v>מאושר</x:v>
      </x:c>
      <x:c r="M71" s="20" t="n">
        <x:f>IF(L71="מאושר",IF(K71="הכנסה שסווגה מחדש",0,G71),0)</x:f>
        <x:v>59</x:v>
      </x:c>
      <x:c r="N71" s="20" t="n">
        <x:f>IF(K71="שוטף",M71,0)</x:f>
        <x:v>59</x:v>
      </x:c>
      <x:c r="O71" s="20" t="n">
        <x:f>IF(K71="הכנסה שסווגה מחדש",-G71,0)</x:f>
        <x:v>0</x:v>
      </x:c>
      <x:c r="P71" s="11" t="str">
        <x:v>סיבוס עינור</x:v>
      </x:c>
      <x:c r="Q71" s="11" t="str"/>
      <x:c r="R71" s="11" t="str">
        <x:v>לא</x:v>
      </x:c>
    </x:row>
    <x:row r="72">
      <x:c r="A72" s="14" t="n">
        <x:v>45658</x:v>
      </x:c>
      <x:c r="B72" s="11" t="str">
        <x:v>2025-01</x:v>
      </x:c>
      <x:c r="C72" s="11" t="str">
        <x:v>ינואר 25</x:v>
      </x:c>
      <x:c r="D72" s="15" t="n">
        <x:v>72</x:v>
      </x:c>
      <x:c r="E72" s="11" t="str"/>
      <x:c r="F72" s="11" t="str">
        <x:v>חשמל</x:v>
      </x:c>
      <x:c r="G72" s="17" t="n">
        <x:v>0</x:v>
      </x:c>
      <x:c r="H72" s="18" t="str">
        <x:v>מגורים צריכה</x:v>
      </x:c>
      <x:c r="I72" s="19" t="str">
        <x:f>IFERROR(INDEX('מיפוי ומקורות'!$C$7:$C$33,MATCH(H72,'מיפוי ומקורות'!$B$7:$B$33,0)),"לא מסווג")</x:f>
        <x:v>דיור – בית מגורים</x:v>
      </x:c>
      <x:c r="J72" s="19" t="str">
        <x:f>IFERROR(INDEX('מיפוי ומקורות'!$D$7:$D$33,MATCH(H72,'מיפוי ומקורות'!$B$7:$B$33,0)),"שוטף")</x:f>
        <x:v>שוטף</x:v>
      </x:c>
      <x:c r="K72" s="19" t="str">
        <x:f>IF(OR(H72="ריביות",AND(H72="דירה כצנלסון",G72&lt;0,ISNUMBER(SEARCH("הכנסה",F72)))),"הכנסה שסווגה מחדש",J72)</x:f>
        <x:v>שוטף</x:v>
      </x:c>
      <x:c r="L72" s="19" t="str">
        <x:v>מאושר</x:v>
      </x:c>
      <x:c r="M72" s="20" t="n">
        <x:f>IF(L72="מאושר",IF(K72="הכנסה שסווגה מחדש",0,G72),0)</x:f>
        <x:v>0</x:v>
      </x:c>
      <x:c r="N72" s="20" t="n">
        <x:f>IF(K72="שוטף",M72,0)</x:f>
        <x:v>0</x:v>
      </x:c>
      <x:c r="O72" s="20" t="n">
        <x:f>IF(K72="הכנסה שסווגה מחדש",-G72,0)</x:f>
        <x:v>0</x:v>
      </x:c>
      <x:c r="P72" s="11" t="str"/>
      <x:c r="Q72" s="11" t="str"/>
      <x:c r="R72" s="11" t="str">
        <x:v>לא</x:v>
      </x:c>
    </x:row>
    <x:row r="73">
      <x:c r="A73" s="14" t="n">
        <x:v>45658</x:v>
      </x:c>
      <x:c r="B73" s="11" t="str">
        <x:v>2025-01</x:v>
      </x:c>
      <x:c r="C73" s="11" t="str">
        <x:v>ינואר 25</x:v>
      </x:c>
      <x:c r="D73" s="15" t="n">
        <x:v>73</x:v>
      </x:c>
      <x:c r="E73" s="11" t="str"/>
      <x:c r="F73" s="11" t="str">
        <x:v>ועד בית</x:v>
      </x:c>
      <x:c r="G73" s="17" t="n">
        <x:v>0</x:v>
      </x:c>
      <x:c r="H73" s="18" t="str">
        <x:v>מגורים צריכה</x:v>
      </x:c>
      <x:c r="I73" s="19" t="str">
        <x:f>IFERROR(INDEX('מיפוי ומקורות'!$C$7:$C$33,MATCH(H73,'מיפוי ומקורות'!$B$7:$B$33,0)),"לא מסווג")</x:f>
        <x:v>דיור – בית מגורים</x:v>
      </x:c>
      <x:c r="J73" s="19" t="str">
        <x:f>IFERROR(INDEX('מיפוי ומקורות'!$D$7:$D$33,MATCH(H73,'מיפוי ומקורות'!$B$7:$B$33,0)),"שוטף")</x:f>
        <x:v>שוטף</x:v>
      </x:c>
      <x:c r="K73" s="19" t="str">
        <x:f>IF(OR(H73="ריביות",AND(H73="דירה כצנלסון",G73&lt;0,ISNUMBER(SEARCH("הכנסה",F73)))),"הכנסה שסווגה מחדש",J73)</x:f>
        <x:v>שוטף</x:v>
      </x:c>
      <x:c r="L73" s="19" t="str">
        <x:v>מאושר</x:v>
      </x:c>
      <x:c r="M73" s="20" t="n">
        <x:f>IF(L73="מאושר",IF(K73="הכנסה שסווגה מחדש",0,G73),0)</x:f>
        <x:v>0</x:v>
      </x:c>
      <x:c r="N73" s="20" t="n">
        <x:f>IF(K73="שוטף",M73,0)</x:f>
        <x:v>0</x:v>
      </x:c>
      <x:c r="O73" s="20" t="n">
        <x:f>IF(K73="הכנסה שסווגה מחדש",-G73,0)</x:f>
        <x:v>0</x:v>
      </x:c>
      <x:c r="P73" s="11" t="str"/>
      <x:c r="Q73" s="11" t="str"/>
      <x:c r="R73" s="11" t="str">
        <x:v>לא</x:v>
      </x:c>
    </x:row>
    <x:row r="74">
      <x:c r="A74" s="14" t="n">
        <x:v>45689</x:v>
      </x:c>
      <x:c r="B74" s="11" t="str">
        <x:v>2025-02</x:v>
      </x:c>
      <x:c r="C74" s="11" t="str">
        <x:v>פברואר 25</x:v>
      </x:c>
      <x:c r="D74" s="15" t="n">
        <x:v>2</x:v>
      </x:c>
      <x:c r="E74" s="11" t="str">
        <x:v>14</x:v>
      </x:c>
      <x:c r="F74" s="11" t="str">
        <x:v>שכר דירה</x:v>
      </x:c>
      <x:c r="G74" s="17" t="n">
        <x:v>7500</x:v>
      </x:c>
      <x:c r="H74" s="18" t="str">
        <x:v>מגורים חודשי</x:v>
      </x:c>
      <x:c r="I74" s="19" t="str">
        <x:f>IFERROR(INDEX('מיפוי ומקורות'!$C$7:$C$33,MATCH(H74,'מיפוי ומקורות'!$B$7:$B$33,0)),"לא מסווג")</x:f>
        <x:v>דיור – בית מגורים</x:v>
      </x:c>
      <x:c r="J74" s="19" t="str">
        <x:f>IFERROR(INDEX('מיפוי ומקורות'!$D$7:$D$33,MATCH(H74,'מיפוי ומקורות'!$B$7:$B$33,0)),"שוטף")</x:f>
        <x:v>שוטף</x:v>
      </x:c>
      <x:c r="K74" s="19" t="str">
        <x:f>IF(OR(H74="ריביות",AND(H74="דירה כצנלסון",G74&lt;0,ISNUMBER(SEARCH("הכנסה",F74)))),"הכנסה שסווגה מחדש",J74)</x:f>
        <x:v>שוטף</x:v>
      </x:c>
      <x:c r="L74" s="19" t="str">
        <x:v>מאושר</x:v>
      </x:c>
      <x:c r="M74" s="20" t="n">
        <x:f>IF(L74="מאושר",IF(K74="הכנסה שסווגה מחדש",0,G74),0)</x:f>
        <x:v>7500</x:v>
      </x:c>
      <x:c r="N74" s="20" t="n">
        <x:f>IF(K74="שוטף",M74,0)</x:f>
        <x:v>7500</x:v>
      </x:c>
      <x:c r="O74" s="20" t="n">
        <x:f>IF(K74="הכנסה שסווגה מחדש",-G74,0)</x:f>
        <x:v>0</x:v>
      </x:c>
      <x:c r="P74" s="11" t="str">
        <x:v>דיסקונט</x:v>
      </x:c>
      <x:c r="Q74" s="11" t="str"/>
      <x:c r="R74" s="11" t="str">
        <x:v>לא</x:v>
      </x:c>
    </x:row>
    <x:row r="75">
      <x:c r="A75" s="14" t="n">
        <x:v>45689</x:v>
      </x:c>
      <x:c r="B75" s="11" t="str">
        <x:v>2025-02</x:v>
      </x:c>
      <x:c r="C75" s="11" t="str">
        <x:v>פברואר 25</x:v>
      </x:c>
      <x:c r="D75" s="15" t="n">
        <x:v>3</x:v>
      </x:c>
      <x:c r="E75" s="11" t="str">
        <x:v>10</x:v>
      </x:c>
      <x:c r="F75" s="11" t="str">
        <x:v>משכנתא</x:v>
      </x:c>
      <x:c r="G75" s="17" t="n">
        <x:v>6121</x:v>
      </x:c>
      <x:c r="H75" s="18" t="str">
        <x:v>דירה כצנלסון</x:v>
      </x:c>
      <x:c r="I75" s="19" t="str">
        <x:f>IFERROR(INDEX('מיפוי ומקורות'!$C$7:$C$33,MATCH(H75,'מיפוי ומקורות'!$B$7:$B$33,0)),"לא מסווג")</x:f>
        <x:v>נכס להשקעה</x:v>
      </x:c>
      <x:c r="J75" s="19" t="str">
        <x:f>IFERROR(INDEX('מיפוי ומקורות'!$D$7:$D$33,MATCH(H75,'מיפוי ומקורות'!$B$7:$B$33,0)),"שוטף")</x:f>
        <x:v>חריג/נכס</x:v>
      </x:c>
      <x:c r="K75" s="19" t="str">
        <x:f>IF(OR(H75="ריביות",AND(H75="דירה כצנלסון",G75&lt;0,ISNUMBER(SEARCH("הכנסה",F75)))),"הכנסה שסווגה מחדש",J75)</x:f>
        <x:v>חריג/נכס</x:v>
      </x:c>
      <x:c r="L75" s="19" t="str">
        <x:v>מאושר</x:v>
      </x:c>
      <x:c r="M75" s="20" t="n">
        <x:f>IF(L75="מאושר",IF(K75="הכנסה שסווגה מחדש",0,G75),0)</x:f>
        <x:v>6121</x:v>
      </x:c>
      <x:c r="N75" s="20" t="n">
        <x:f>IF(K75="שוטף",M75,0)</x:f>
        <x:v>0</x:v>
      </x:c>
      <x:c r="O75" s="20" t="n">
        <x:f>IF(K75="הכנסה שסווגה מחדש",-G75,0)</x:f>
        <x:v>0</x:v>
      </x:c>
      <x:c r="P75" s="11" t="str">
        <x:v>דיסקונט</x:v>
      </x:c>
      <x:c r="Q75" s="11" t="str"/>
      <x:c r="R75" s="11" t="str">
        <x:v>לא</x:v>
      </x:c>
    </x:row>
    <x:row r="76">
      <x:c r="A76" s="14" t="n">
        <x:v>45689</x:v>
      </x:c>
      <x:c r="B76" s="11" t="str">
        <x:v>2025-02</x:v>
      </x:c>
      <x:c r="C76" s="11" t="str">
        <x:v>פברואר 25</x:v>
      </x:c>
      <x:c r="D76" s="15" t="n">
        <x:v>4</x:v>
      </x:c>
      <x:c r="E76" s="11" t="str"/>
      <x:c r="F76" s="11" t="str">
        <x:v>הכנסה משכר דירה</x:v>
      </x:c>
      <x:c r="G76" s="17" t="n">
        <x:v>-6500</x:v>
      </x:c>
      <x:c r="H76" s="18" t="str">
        <x:v>דירה כצנלסון</x:v>
      </x:c>
      <x:c r="I76" s="19" t="str">
        <x:f>IFERROR(INDEX('מיפוי ומקורות'!$C$7:$C$33,MATCH(H76,'מיפוי ומקורות'!$B$7:$B$33,0)),"לא מסווג")</x:f>
        <x:v>נכס להשקעה</x:v>
      </x:c>
      <x:c r="J76" s="19" t="str">
        <x:f>IFERROR(INDEX('מיפוי ומקורות'!$D$7:$D$33,MATCH(H76,'מיפוי ומקורות'!$B$7:$B$33,0)),"שוטף")</x:f>
        <x:v>חריג/נכס</x:v>
      </x:c>
      <x:c r="K76" s="19" t="str">
        <x:f>IF(OR(H76="ריביות",AND(H76="דירה כצנלסון",G76&lt;0,ISNUMBER(SEARCH("הכנסה",F76)))),"הכנסה שסווגה מחדש",J76)</x:f>
        <x:v>הכנסה שסווגה מחדש</x:v>
      </x:c>
      <x:c r="L76" s="19" t="str">
        <x:v>מאושר</x:v>
      </x:c>
      <x:c r="M76" s="20" t="n">
        <x:f>IF(L76="מאושר",IF(K76="הכנסה שסווגה מחדש",0,G76),0)</x:f>
        <x:v>0</x:v>
      </x:c>
      <x:c r="N76" s="20" t="n">
        <x:f>IF(K76="שוטף",M76,0)</x:f>
        <x:v>0</x:v>
      </x:c>
      <x:c r="O76" s="20" t="n">
        <x:f>IF(K76="הכנסה שסווגה מחדש",-G76,0)</x:f>
        <x:v>6500</x:v>
      </x:c>
      <x:c r="P76" s="11" t="str">
        <x:v>דיסקונט</x:v>
      </x:c>
      <x:c r="Q76" s="11" t="str"/>
      <x:c r="R76" s="11" t="str">
        <x:v>לא</x:v>
      </x:c>
    </x:row>
    <x:row r="77">
      <x:c r="A77" s="14" t="n">
        <x:v>45689</x:v>
      </x:c>
      <x:c r="B77" s="11" t="str">
        <x:v>2025-02</x:v>
      </x:c>
      <x:c r="C77" s="11" t="str">
        <x:v>פברואר 25</x:v>
      </x:c>
      <x:c r="D77" s="15" t="n">
        <x:v>5</x:v>
      </x:c>
      <x:c r="E77" s="11" t="str"/>
      <x:c r="F77" s="11" t="str">
        <x:v>ארנונה</x:v>
      </x:c>
      <x:c r="G77" s="17" t="n">
        <x:v>976</x:v>
      </x:c>
      <x:c r="H77" s="18" t="str">
        <x:v>מגורים צריכה</x:v>
      </x:c>
      <x:c r="I77" s="19" t="str">
        <x:f>IFERROR(INDEX('מיפוי ומקורות'!$C$7:$C$33,MATCH(H77,'מיפוי ומקורות'!$B$7:$B$33,0)),"לא מסווג")</x:f>
        <x:v>דיור – בית מגורים</x:v>
      </x:c>
      <x:c r="J77" s="19" t="str">
        <x:f>IFERROR(INDEX('מיפוי ומקורות'!$D$7:$D$33,MATCH(H77,'מיפוי ומקורות'!$B$7:$B$33,0)),"שוטף")</x:f>
        <x:v>שוטף</x:v>
      </x:c>
      <x:c r="K77" s="19" t="str">
        <x:f>IF(OR(H77="ריביות",AND(H77="דירה כצנלסון",G77&lt;0,ISNUMBER(SEARCH("הכנסה",F77)))),"הכנסה שסווגה מחדש",J77)</x:f>
        <x:v>שוטף</x:v>
      </x:c>
      <x:c r="L77" s="19" t="str">
        <x:v>מאושר</x:v>
      </x:c>
      <x:c r="M77" s="20" t="n">
        <x:f>IF(L77="מאושר",IF(K77="הכנסה שסווגה מחדש",0,G77),0)</x:f>
        <x:v>976</x:v>
      </x:c>
      <x:c r="N77" s="20" t="n">
        <x:f>IF(K77="שוטף",M77,0)</x:f>
        <x:v>976</x:v>
      </x:c>
      <x:c r="O77" s="20" t="n">
        <x:f>IF(K77="הכנסה שסווגה מחדש",-G77,0)</x:f>
        <x:v>0</x:v>
      </x:c>
      <x:c r="P77" s="11" t="str"/>
      <x:c r="Q77" s="11" t="str"/>
      <x:c r="R77" s="11" t="str">
        <x:v>לא</x:v>
      </x:c>
    </x:row>
    <x:row r="78">
      <x:c r="A78" s="14" t="n">
        <x:v>45689</x:v>
      </x:c>
      <x:c r="B78" s="11" t="str">
        <x:v>2025-02</x:v>
      </x:c>
      <x:c r="C78" s="11" t="str">
        <x:v>פברואר 25</x:v>
      </x:c>
      <x:c r="D78" s="15" t="n">
        <x:v>6</x:v>
      </x:c>
      <x:c r="E78" s="11" t="str">
        <x:v>2</x:v>
      </x:c>
      <x:c r="F78" s="11" t="str">
        <x:v>חשמל</x:v>
      </x:c>
      <x:c r="G78" s="17" t="n">
        <x:v>106</x:v>
      </x:c>
      <x:c r="H78" s="18" t="str">
        <x:v>מגורים צריכה</x:v>
      </x:c>
      <x:c r="I78" s="19" t="str">
        <x:f>IFERROR(INDEX('מיפוי ומקורות'!$C$7:$C$33,MATCH(H78,'מיפוי ומקורות'!$B$7:$B$33,0)),"לא מסווג")</x:f>
        <x:v>דיור – בית מגורים</x:v>
      </x:c>
      <x:c r="J78" s="19" t="str">
        <x:f>IFERROR(INDEX('מיפוי ומקורות'!$D$7:$D$33,MATCH(H78,'מיפוי ומקורות'!$B$7:$B$33,0)),"שוטף")</x:f>
        <x:v>שוטף</x:v>
      </x:c>
      <x:c r="K78" s="19" t="str">
        <x:f>IF(OR(H78="ריביות",AND(H78="דירה כצנלסון",G78&lt;0,ISNUMBER(SEARCH("הכנסה",F78)))),"הכנסה שסווגה מחדש",J78)</x:f>
        <x:v>שוטף</x:v>
      </x:c>
      <x:c r="L78" s="19" t="str">
        <x:v>מאושר</x:v>
      </x:c>
      <x:c r="M78" s="20" t="n">
        <x:f>IF(L78="מאושר",IF(K78="הכנסה שסווגה מחדש",0,G78),0)</x:f>
        <x:v>106</x:v>
      </x:c>
      <x:c r="N78" s="20" t="n">
        <x:f>IF(K78="שוטף",M78,0)</x:f>
        <x:v>106</x:v>
      </x:c>
      <x:c r="O78" s="20" t="n">
        <x:f>IF(K78="הכנסה שסווגה מחדש",-G78,0)</x:f>
        <x:v>0</x:v>
      </x:c>
      <x:c r="P78" s="11" t="str">
        <x:v>מקס זיו</x:v>
      </x:c>
      <x:c r="Q78" s="11" t="str"/>
      <x:c r="R78" s="11" t="str">
        <x:v>לא</x:v>
      </x:c>
    </x:row>
    <x:row r="79">
      <x:c r="A79" s="14" t="n">
        <x:v>45689</x:v>
      </x:c>
      <x:c r="B79" s="11" t="str">
        <x:v>2025-02</x:v>
      </x:c>
      <x:c r="C79" s="11" t="str">
        <x:v>פברואר 25</x:v>
      </x:c>
      <x:c r="D79" s="15" t="n">
        <x:v>7</x:v>
      </x:c>
      <x:c r="E79" s="11" t="str"/>
      <x:c r="F79" s="11" t="str">
        <x:v>מים</x:v>
      </x:c>
      <x:c r="G79" s="17" t="n">
        <x:v>0</x:v>
      </x:c>
      <x:c r="H79" s="18" t="str">
        <x:v>מגורים צריכה</x:v>
      </x:c>
      <x:c r="I79" s="19" t="str">
        <x:f>IFERROR(INDEX('מיפוי ומקורות'!$C$7:$C$33,MATCH(H79,'מיפוי ומקורות'!$B$7:$B$33,0)),"לא מסווג")</x:f>
        <x:v>דיור – בית מגורים</x:v>
      </x:c>
      <x:c r="J79" s="19" t="str">
        <x:f>IFERROR(INDEX('מיפוי ומקורות'!$D$7:$D$33,MATCH(H79,'מיפוי ומקורות'!$B$7:$B$33,0)),"שוטף")</x:f>
        <x:v>שוטף</x:v>
      </x:c>
      <x:c r="K79" s="19" t="str">
        <x:f>IF(OR(H79="ריביות",AND(H79="דירה כצנלסון",G79&lt;0,ISNUMBER(SEARCH("הכנסה",F79)))),"הכנסה שסווגה מחדש",J79)</x:f>
        <x:v>שוטף</x:v>
      </x:c>
      <x:c r="L79" s="19" t="str">
        <x:v>מאושר</x:v>
      </x:c>
      <x:c r="M79" s="20" t="n">
        <x:f>IF(L79="מאושר",IF(K79="הכנסה שסווגה מחדש",0,G79),0)</x:f>
        <x:v>0</x:v>
      </x:c>
      <x:c r="N79" s="20" t="n">
        <x:f>IF(K79="שוטף",M79,0)</x:f>
        <x:v>0</x:v>
      </x:c>
      <x:c r="O79" s="20" t="n">
        <x:f>IF(K79="הכנסה שסווגה מחדש",-G79,0)</x:f>
        <x:v>0</x:v>
      </x:c>
      <x:c r="P79" s="11" t="str"/>
      <x:c r="Q79" s="11" t="str"/>
      <x:c r="R79" s="11" t="str">
        <x:v>לא</x:v>
      </x:c>
    </x:row>
    <x:row r="80">
      <x:c r="A80" s="14" t="n">
        <x:v>45689</x:v>
      </x:c>
      <x:c r="B80" s="11" t="str">
        <x:v>2025-02</x:v>
      </x:c>
      <x:c r="C80" s="11" t="str">
        <x:v>פברואר 25</x:v>
      </x:c>
      <x:c r="D80" s="15" t="n">
        <x:v>8</x:v>
      </x:c>
      <x:c r="E80" s="11" t="str"/>
      <x:c r="F80" s="11" t="str">
        <x:v>ועד בית</x:v>
      </x:c>
      <x:c r="G80" s="17" t="n">
        <x:v>0</x:v>
      </x:c>
      <x:c r="H80" s="18" t="str">
        <x:v>מגורים צריכה</x:v>
      </x:c>
      <x:c r="I80" s="19" t="str">
        <x:f>IFERROR(INDEX('מיפוי ומקורות'!$C$7:$C$33,MATCH(H80,'מיפוי ומקורות'!$B$7:$B$33,0)),"לא מסווג")</x:f>
        <x:v>דיור – בית מגורים</x:v>
      </x:c>
      <x:c r="J80" s="19" t="str">
        <x:f>IFERROR(INDEX('מיפוי ומקורות'!$D$7:$D$33,MATCH(H80,'מיפוי ומקורות'!$B$7:$B$33,0)),"שוטף")</x:f>
        <x:v>שוטף</x:v>
      </x:c>
      <x:c r="K80" s="19" t="str">
        <x:f>IF(OR(H80="ריביות",AND(H80="דירה כצנלסון",G80&lt;0,ISNUMBER(SEARCH("הכנסה",F80)))),"הכנסה שסווגה מחדש",J80)</x:f>
        <x:v>שוטף</x:v>
      </x:c>
      <x:c r="L80" s="19" t="str">
        <x:v>מאושר</x:v>
      </x:c>
      <x:c r="M80" s="20" t="n">
        <x:f>IF(L80="מאושר",IF(K80="הכנסה שסווגה מחדש",0,G80),0)</x:f>
        <x:v>0</x:v>
      </x:c>
      <x:c r="N80" s="20" t="n">
        <x:f>IF(K80="שוטף",M80,0)</x:f>
        <x:v>0</x:v>
      </x:c>
      <x:c r="O80" s="20" t="n">
        <x:f>IF(K80="הכנסה שסווגה מחדש",-G80,0)</x:f>
        <x:v>0</x:v>
      </x:c>
      <x:c r="P80" s="11" t="str"/>
      <x:c r="Q80" s="11" t="str"/>
      <x:c r="R80" s="11" t="str">
        <x:v>לא</x:v>
      </x:c>
    </x:row>
    <x:row r="81">
      <x:c r="A81" s="14" t="n">
        <x:v>45689</x:v>
      </x:c>
      <x:c r="B81" s="11" t="str">
        <x:v>2025-02</x:v>
      </x:c>
      <x:c r="C81" s="11" t="str">
        <x:v>פברואר 25</x:v>
      </x:c>
      <x:c r="D81" s="15" t="n">
        <x:v>9</x:v>
      </x:c>
      <x:c r="E81" s="11" t="str"/>
      <x:c r="F81" s="11" t="str">
        <x:v>גז</x:v>
      </x:c>
      <x:c r="G81" s="17" t="n">
        <x:v>0</x:v>
      </x:c>
      <x:c r="H81" s="18" t="str">
        <x:v>מגורים צריכה</x:v>
      </x:c>
      <x:c r="I81" s="19" t="str">
        <x:f>IFERROR(INDEX('מיפוי ומקורות'!$C$7:$C$33,MATCH(H81,'מיפוי ומקורות'!$B$7:$B$33,0)),"לא מסווג")</x:f>
        <x:v>דיור – בית מגורים</x:v>
      </x:c>
      <x:c r="J81" s="19" t="str">
        <x:f>IFERROR(INDEX('מיפוי ומקורות'!$D$7:$D$33,MATCH(H81,'מיפוי ומקורות'!$B$7:$B$33,0)),"שוטף")</x:f>
        <x:v>שוטף</x:v>
      </x:c>
      <x:c r="K81" s="19" t="str">
        <x:f>IF(OR(H81="ריביות",AND(H81="דירה כצנלסון",G81&lt;0,ISNUMBER(SEARCH("הכנסה",F81)))),"הכנסה שסווגה מחדש",J81)</x:f>
        <x:v>שוטף</x:v>
      </x:c>
      <x:c r="L81" s="19" t="str">
        <x:v>מאושר</x:v>
      </x:c>
      <x:c r="M81" s="20" t="n">
        <x:f>IF(L81="מאושר",IF(K81="הכנסה שסווגה מחדש",0,G81),0)</x:f>
        <x:v>0</x:v>
      </x:c>
      <x:c r="N81" s="20" t="n">
        <x:f>IF(K81="שוטף",M81,0)</x:f>
        <x:v>0</x:v>
      </x:c>
      <x:c r="O81" s="20" t="n">
        <x:f>IF(K81="הכנסה שסווגה מחדש",-G81,0)</x:f>
        <x:v>0</x:v>
      </x:c>
      <x:c r="P81" s="11" t="str"/>
      <x:c r="Q81" s="11" t="str"/>
      <x:c r="R81" s="11" t="str">
        <x:v>לא</x:v>
      </x:c>
    </x:row>
    <x:row r="82">
      <x:c r="A82" s="14" t="n">
        <x:v>45689</x:v>
      </x:c>
      <x:c r="B82" s="11" t="str">
        <x:v>2025-02</x:v>
      </x:c>
      <x:c r="C82" s="11" t="str">
        <x:v>פברואר 25</x:v>
      </x:c>
      <x:c r="D82" s="15" t="n">
        <x:v>10</x:v>
      </x:c>
      <x:c r="E82" s="11" t="str">
        <x:v>11</x:v>
      </x:c>
      <x:c r="F82" s="11" t="str">
        <x:v>סלולר + אינטרנט</x:v>
      </x:c>
      <x:c r="G82" s="17" t="n">
        <x:v>169</x:v>
      </x:c>
      <x:c r="H82" s="18" t="str">
        <x:v>מגורים חודשי</x:v>
      </x:c>
      <x:c r="I82" s="19" t="str">
        <x:f>IFERROR(INDEX('מיפוי ומקורות'!$C$7:$C$33,MATCH(H82,'מיפוי ומקורות'!$B$7:$B$33,0)),"לא מסווג")</x:f>
        <x:v>דיור – בית מגורים</x:v>
      </x:c>
      <x:c r="J82" s="19" t="str">
        <x:f>IFERROR(INDEX('מיפוי ומקורות'!$D$7:$D$33,MATCH(H82,'מיפוי ומקורות'!$B$7:$B$33,0)),"שוטף")</x:f>
        <x:v>שוטף</x:v>
      </x:c>
      <x:c r="K82" s="19" t="str">
        <x:f>IF(OR(H82="ריביות",AND(H82="דירה כצנלסון",G82&lt;0,ISNUMBER(SEARCH("הכנסה",F82)))),"הכנסה שסווגה מחדש",J82)</x:f>
        <x:v>שוטף</x:v>
      </x:c>
      <x:c r="L82" s="19" t="str">
        <x:v>מאושר</x:v>
      </x:c>
      <x:c r="M82" s="20" t="n">
        <x:f>IF(L82="מאושר",IF(K82="הכנסה שסווגה מחדש",0,G82),0)</x:f>
        <x:v>169</x:v>
      </x:c>
      <x:c r="N82" s="20" t="n">
        <x:f>IF(K82="שוטף",M82,0)</x:f>
        <x:v>169</x:v>
      </x:c>
      <x:c r="O82" s="20" t="n">
        <x:f>IF(K82="הכנסה שסווגה מחדש",-G82,0)</x:f>
        <x:v>0</x:v>
      </x:c>
      <x:c r="P82" s="11" t="str">
        <x:v>אמקס זיו</x:v>
      </x:c>
      <x:c r="Q82" s="11" t="str"/>
      <x:c r="R82" s="11" t="str">
        <x:v>לא</x:v>
      </x:c>
    </x:row>
    <x:row r="83">
      <x:c r="A83" s="14" t="n">
        <x:v>45689</x:v>
      </x:c>
      <x:c r="B83" s="11" t="str">
        <x:v>2025-02</x:v>
      </x:c>
      <x:c r="C83" s="11" t="str">
        <x:v>פברואר 25</x:v>
      </x:c>
      <x:c r="D83" s="15" t="n">
        <x:v>11</x:v>
      </x:c>
      <x:c r="E83" s="11" t="str">
        <x:v>25</x:v>
      </x:c>
      <x:c r="F83" s="11" t="str">
        <x:v>ביטוח מבנה</x:v>
      </x:c>
      <x:c r="G83" s="17" t="n">
        <x:v>87</x:v>
      </x:c>
      <x:c r="H83" s="18" t="str">
        <x:v>דירה כצנלסון</x:v>
      </x:c>
      <x:c r="I83" s="19" t="str">
        <x:f>IFERROR(INDEX('מיפוי ומקורות'!$C$7:$C$33,MATCH(H83,'מיפוי ומקורות'!$B$7:$B$33,0)),"לא מסווג")</x:f>
        <x:v>נכס להשקעה</x:v>
      </x:c>
      <x:c r="J83" s="19" t="str">
        <x:f>IFERROR(INDEX('מיפוי ומקורות'!$D$7:$D$33,MATCH(H83,'מיפוי ומקורות'!$B$7:$B$33,0)),"שוטף")</x:f>
        <x:v>חריג/נכס</x:v>
      </x:c>
      <x:c r="K83" s="19" t="str">
        <x:f>IF(OR(H83="ריביות",AND(H83="דירה כצנלסון",G83&lt;0,ISNUMBER(SEARCH("הכנסה",F83)))),"הכנסה שסווגה מחדש",J83)</x:f>
        <x:v>חריג/נכס</x:v>
      </x:c>
      <x:c r="L83" s="19" t="str">
        <x:v>מאושר</x:v>
      </x:c>
      <x:c r="M83" s="20" t="n">
        <x:f>IF(L83="מאושר",IF(K83="הכנסה שסווגה מחדש",0,G83),0)</x:f>
        <x:v>87</x:v>
      </x:c>
      <x:c r="N83" s="20" t="n">
        <x:f>IF(K83="שוטף",M83,0)</x:f>
        <x:v>0</x:v>
      </x:c>
      <x:c r="O83" s="20" t="n">
        <x:f>IF(K83="הכנסה שסווגה מחדש",-G83,0)</x:f>
        <x:v>0</x:v>
      </x:c>
      <x:c r="P83" s="11" t="str">
        <x:v>אמקס זיו</x:v>
      </x:c>
      <x:c r="Q83" s="11" t="str"/>
      <x:c r="R83" s="11" t="str">
        <x:v>לא</x:v>
      </x:c>
    </x:row>
    <x:row r="84">
      <x:c r="A84" s="14" t="n">
        <x:v>45689</x:v>
      </x:c>
      <x:c r="B84" s="11" t="str">
        <x:v>2025-02</x:v>
      </x:c>
      <x:c r="C84" s="11" t="str">
        <x:v>פברואר 25</x:v>
      </x:c>
      <x:c r="D84" s="15" t="n">
        <x:v>12</x:v>
      </x:c>
      <x:c r="E84" s="11" t="str">
        <x:v>25</x:v>
      </x:c>
      <x:c r="F84" s="11" t="str">
        <x:v>ביטוח חיים</x:v>
      </x:c>
      <x:c r="G84" s="17" t="n">
        <x:v>29</x:v>
      </x:c>
      <x:c r="H84" s="18" t="str">
        <x:v>דירה כצנלסון</x:v>
      </x:c>
      <x:c r="I84" s="19" t="str">
        <x:f>IFERROR(INDEX('מיפוי ומקורות'!$C$7:$C$33,MATCH(H84,'מיפוי ומקורות'!$B$7:$B$33,0)),"לא מסווג")</x:f>
        <x:v>נכס להשקעה</x:v>
      </x:c>
      <x:c r="J84" s="19" t="str">
        <x:f>IFERROR(INDEX('מיפוי ומקורות'!$D$7:$D$33,MATCH(H84,'מיפוי ומקורות'!$B$7:$B$33,0)),"שוטף")</x:f>
        <x:v>חריג/נכס</x:v>
      </x:c>
      <x:c r="K84" s="19" t="str">
        <x:f>IF(OR(H84="ריביות",AND(H84="דירה כצנלסון",G84&lt;0,ISNUMBER(SEARCH("הכנסה",F84)))),"הכנסה שסווגה מחדש",J84)</x:f>
        <x:v>חריג/נכס</x:v>
      </x:c>
      <x:c r="L84" s="19" t="str">
        <x:v>מאושר</x:v>
      </x:c>
      <x:c r="M84" s="20" t="n">
        <x:f>IF(L84="מאושר",IF(K84="הכנסה שסווגה מחדש",0,G84),0)</x:f>
        <x:v>29</x:v>
      </x:c>
      <x:c r="N84" s="20" t="n">
        <x:f>IF(K84="שוטף",M84,0)</x:f>
        <x:v>0</x:v>
      </x:c>
      <x:c r="O84" s="20" t="n">
        <x:f>IF(K84="הכנסה שסווגה מחדש",-G84,0)</x:f>
        <x:v>0</x:v>
      </x:c>
      <x:c r="P84" s="11" t="str">
        <x:v>אמקס זיו</x:v>
      </x:c>
      <x:c r="Q84" s="11" t="str"/>
      <x:c r="R84" s="11" t="str">
        <x:v>לא</x:v>
      </x:c>
    </x:row>
    <x:row r="85">
      <x:c r="A85" s="14" t="n">
        <x:v>45689</x:v>
      </x:c>
      <x:c r="B85" s="11" t="str">
        <x:v>2025-02</x:v>
      </x:c>
      <x:c r="C85" s="11" t="str">
        <x:v>פברואר 25</x:v>
      </x:c>
      <x:c r="D85" s="15" t="n">
        <x:v>13</x:v>
      </x:c>
      <x:c r="E85" s="11" t="str"/>
      <x:c r="F85" s="11" t="str">
        <x:v>מנקה</x:v>
      </x:c>
      <x:c r="G85" s="17" t="n">
        <x:v>400</x:v>
      </x:c>
      <x:c r="H85" s="18" t="str">
        <x:v>מגורים צריכה</x:v>
      </x:c>
      <x:c r="I85" s="19" t="str">
        <x:f>IFERROR(INDEX('מיפוי ומקורות'!$C$7:$C$33,MATCH(H85,'מיפוי ומקורות'!$B$7:$B$33,0)),"לא מסווג")</x:f>
        <x:v>דיור – בית מגורים</x:v>
      </x:c>
      <x:c r="J85" s="19" t="str">
        <x:f>IFERROR(INDEX('מיפוי ומקורות'!$D$7:$D$33,MATCH(H85,'מיפוי ומקורות'!$B$7:$B$33,0)),"שוטף")</x:f>
        <x:v>שוטף</x:v>
      </x:c>
      <x:c r="K85" s="19" t="str">
        <x:f>IF(OR(H85="ריביות",AND(H85="דירה כצנלסון",G85&lt;0,ISNUMBER(SEARCH("הכנסה",F85)))),"הכנסה שסווגה מחדש",J85)</x:f>
        <x:v>שוטף</x:v>
      </x:c>
      <x:c r="L85" s="19" t="str">
        <x:v>מאושר</x:v>
      </x:c>
      <x:c r="M85" s="20" t="n">
        <x:f>IF(L85="מאושר",IF(K85="הכנסה שסווגה מחדש",0,G85),0)</x:f>
        <x:v>400</x:v>
      </x:c>
      <x:c r="N85" s="20" t="n">
        <x:f>IF(K85="שוטף",M85,0)</x:f>
        <x:v>400</x:v>
      </x:c>
      <x:c r="O85" s="20" t="n">
        <x:f>IF(K85="הכנסה שסווגה מחדש",-G85,0)</x:f>
        <x:v>0</x:v>
      </x:c>
      <x:c r="P85" s="11" t="str">
        <x:v>מזומן</x:v>
      </x:c>
      <x:c r="Q85" s="11" t="str"/>
      <x:c r="R85" s="11" t="str">
        <x:v>לא</x:v>
      </x:c>
    </x:row>
    <x:row r="86">
      <x:c r="A86" s="14" t="n">
        <x:v>45689</x:v>
      </x:c>
      <x:c r="B86" s="11" t="str">
        <x:v>2025-02</x:v>
      </x:c>
      <x:c r="C86" s="11" t="str">
        <x:v>פברואר 25</x:v>
      </x:c>
      <x:c r="D86" s="15" t="n">
        <x:v>14</x:v>
      </x:c>
      <x:c r="E86" s="11" t="str">
        <x:v>31.1</x:v>
      </x:c>
      <x:c r="F86" s="11" t="str">
        <x:v>יש לנו פיל (פאיי פאל)</x:v>
      </x:c>
      <x:c r="G86" s="17" t="n">
        <x:v>203</x:v>
      </x:c>
      <x:c r="H86" s="18" t="str">
        <x:v>אחר</x:v>
      </x:c>
      <x:c r="I86" s="19" t="str">
        <x:f>IFERROR(INDEX('מיפוי ומקורות'!$C$7:$C$33,MATCH(H86,'מיפוי ומקורות'!$B$7:$B$33,0)),"לא מסווג")</x:f>
        <x:v>אחר</x:v>
      </x:c>
      <x:c r="J86" s="19" t="str">
        <x:f>IFERROR(INDEX('מיפוי ומקורות'!$D$7:$D$33,MATCH(H86,'מיפוי ומקורות'!$B$7:$B$33,0)),"שוטף")</x:f>
        <x:v>שוטף</x:v>
      </x:c>
      <x:c r="K86" s="19" t="str">
        <x:f>IF(OR(H86="ריביות",AND(H86="דירה כצנלסון",G86&lt;0,ISNUMBER(SEARCH("הכנסה",F86)))),"הכנסה שסווגה מחדש",J86)</x:f>
        <x:v>שוטף</x:v>
      </x:c>
      <x:c r="L86" s="19" t="str">
        <x:v>מאושר</x:v>
      </x:c>
      <x:c r="M86" s="20" t="n">
        <x:f>IF(L86="מאושר",IF(K86="הכנסה שסווגה מחדש",0,G86),0)</x:f>
        <x:v>203</x:v>
      </x:c>
      <x:c r="N86" s="20" t="n">
        <x:f>IF(K86="שוטף",M86,0)</x:f>
        <x:v>203</x:v>
      </x:c>
      <x:c r="O86" s="20" t="n">
        <x:f>IF(K86="הכנסה שסווגה מחדש",-G86,0)</x:f>
        <x:v>0</x:v>
      </x:c>
      <x:c r="P86" s="11" t="str">
        <x:v>one zero עינור</x:v>
      </x:c>
      <x:c r="Q86" s="11" t="str"/>
      <x:c r="R86" s="11" t="str">
        <x:v>לא</x:v>
      </x:c>
    </x:row>
    <x:row r="87">
      <x:c r="A87" s="14" t="n">
        <x:v>45689</x:v>
      </x:c>
      <x:c r="B87" s="11" t="str">
        <x:v>2025-02</x:v>
      </x:c>
      <x:c r="C87" s="11" t="str">
        <x:v>פברואר 25</x:v>
      </x:c>
      <x:c r="D87" s="15" t="n">
        <x:v>15</x:v>
      </x:c>
      <x:c r="E87" s="11" t="str">
        <x:v>1</x:v>
      </x:c>
      <x:c r="F87" s="11" t="str">
        <x:v>צלחות</x:v>
      </x:c>
      <x:c r="G87" s="17" t="n">
        <x:v>349</x:v>
      </x:c>
      <x:c r="H87" s="18" t="str">
        <x:v>קניות לבית</x:v>
      </x:c>
      <x:c r="I87" s="19" t="str">
        <x:f>IFERROR(INDEX('מיפוי ומקורות'!$C$7:$C$33,MATCH(H87,'מיפוי ומקורות'!$B$7:$B$33,0)),"לא מסווג")</x:f>
        <x:v>קניות לבית</x:v>
      </x:c>
      <x:c r="J87" s="19" t="str">
        <x:f>IFERROR(INDEX('מיפוי ומקורות'!$D$7:$D$33,MATCH(H87,'מיפוי ומקורות'!$B$7:$B$33,0)),"שוטף")</x:f>
        <x:v>שוטף</x:v>
      </x:c>
      <x:c r="K87" s="19" t="str">
        <x:f>IF(OR(H87="ריביות",AND(H87="דירה כצנלסון",G87&lt;0,ISNUMBER(SEARCH("הכנסה",F87)))),"הכנסה שסווגה מחדש",J87)</x:f>
        <x:v>שוטף</x:v>
      </x:c>
      <x:c r="L87" s="19" t="str">
        <x:v>מאושר</x:v>
      </x:c>
      <x:c r="M87" s="20" t="n">
        <x:f>IF(L87="מאושר",IF(K87="הכנסה שסווגה מחדש",0,G87),0)</x:f>
        <x:v>349</x:v>
      </x:c>
      <x:c r="N87" s="20" t="n">
        <x:f>IF(K87="שוטף",M87,0)</x:f>
        <x:v>349</x:v>
      </x:c>
      <x:c r="O87" s="20" t="n">
        <x:f>IF(K87="הכנסה שסווגה מחדש",-G87,0)</x:f>
        <x:v>0</x:v>
      </x:c>
      <x:c r="P87" s="11" t="str">
        <x:v>one zero עינור</x:v>
      </x:c>
      <x:c r="Q87" s="11" t="str"/>
      <x:c r="R87" s="11" t="str">
        <x:v>לא</x:v>
      </x:c>
    </x:row>
    <x:row r="88">
      <x:c r="A88" s="14" t="n">
        <x:v>45689</x:v>
      </x:c>
      <x:c r="B88" s="11" t="str">
        <x:v>2025-02</x:v>
      </x:c>
      <x:c r="C88" s="11" t="str">
        <x:v>פברואר 25</x:v>
      </x:c>
      <x:c r="D88" s="15" t="n">
        <x:v>16</x:v>
      </x:c>
      <x:c r="E88" s="11" t="str">
        <x:v>9</x:v>
      </x:c>
      <x:c r="F88" s="11" t="str">
        <x:v>צלחות</x:v>
      </x:c>
      <x:c r="G88" s="17" t="n">
        <x:v>349</x:v>
      </x:c>
      <x:c r="H88" s="18" t="str">
        <x:v>קניות לבית</x:v>
      </x:c>
      <x:c r="I88" s="19" t="str">
        <x:f>IFERROR(INDEX('מיפוי ומקורות'!$C$7:$C$33,MATCH(H88,'מיפוי ומקורות'!$B$7:$B$33,0)),"לא מסווג")</x:f>
        <x:v>קניות לבית</x:v>
      </x:c>
      <x:c r="J88" s="19" t="str">
        <x:f>IFERROR(INDEX('מיפוי ומקורות'!$D$7:$D$33,MATCH(H88,'מיפוי ומקורות'!$B$7:$B$33,0)),"שוטף")</x:f>
        <x:v>שוטף</x:v>
      </x:c>
      <x:c r="K88" s="19" t="str">
        <x:f>IF(OR(H88="ריביות",AND(H88="דירה כצנלסון",G88&lt;0,ISNUMBER(SEARCH("הכנסה",F88)))),"הכנסה שסווגה מחדש",J88)</x:f>
        <x:v>שוטף</x:v>
      </x:c>
      <x:c r="L88" s="19" t="str">
        <x:v>מאושר</x:v>
      </x:c>
      <x:c r="M88" s="20" t="n">
        <x:f>IF(L88="מאושר",IF(K88="הכנסה שסווגה מחדש",0,G88),0)</x:f>
        <x:v>349</x:v>
      </x:c>
      <x:c r="N88" s="20" t="n">
        <x:f>IF(K88="שוטף",M88,0)</x:f>
        <x:v>349</x:v>
      </x:c>
      <x:c r="O88" s="20" t="n">
        <x:f>IF(K88="הכנסה שסווגה מחדש",-G88,0)</x:f>
        <x:v>0</x:v>
      </x:c>
      <x:c r="P88" s="11" t="str">
        <x:v>one zero עינור</x:v>
      </x:c>
      <x:c r="Q88" s="11" t="str"/>
      <x:c r="R88" s="11" t="str">
        <x:v>לא</x:v>
      </x:c>
    </x:row>
    <x:row r="89">
      <x:c r="A89" s="14" t="n">
        <x:v>45689</x:v>
      </x:c>
      <x:c r="B89" s="11" t="str">
        <x:v>2025-02</x:v>
      </x:c>
      <x:c r="C89" s="11" t="str">
        <x:v>פברואר 25</x:v>
      </x:c>
      <x:c r="D89" s="15" t="n">
        <x:v>17</x:v>
      </x:c>
      <x:c r="E89" s="11" t="str">
        <x:v>14</x:v>
      </x:c>
      <x:c r="F89" s="11" t="str">
        <x:v>מקדמה חלי</x:v>
      </x:c>
      <x:c r="G89" s="17" t="n">
        <x:v>7000</x:v>
      </x:c>
      <x:c r="H89" s="18" t="str">
        <x:v>חתונה</x:v>
      </x:c>
      <x:c r="I89" s="19" t="str">
        <x:f>IFERROR(INDEX('מיפוי ומקורות'!$C$7:$C$33,MATCH(H89,'מיפוי ומקורות'!$B$7:$B$33,0)),"לא מסווג")</x:f>
        <x:v>חתונה</x:v>
      </x:c>
      <x:c r="J89" s="19" t="str">
        <x:f>IFERROR(INDEX('מיפוי ומקורות'!$D$7:$D$33,MATCH(H89,'מיפוי ומקורות'!$B$7:$B$33,0)),"שוטף")</x:f>
        <x:v>חריג</x:v>
      </x:c>
      <x:c r="K89" s="19" t="str">
        <x:f>IF(OR(H89="ריביות",AND(H89="דירה כצנלסון",G89&lt;0,ISNUMBER(SEARCH("הכנסה",F89)))),"הכנסה שסווגה מחדש",J89)</x:f>
        <x:v>חריג</x:v>
      </x:c>
      <x:c r="L89" s="19" t="str">
        <x:v>מאושר</x:v>
      </x:c>
      <x:c r="M89" s="20" t="n">
        <x:f>IF(L89="מאושר",IF(K89="הכנסה שסווגה מחדש",0,G89),0)</x:f>
        <x:v>7000</x:v>
      </x:c>
      <x:c r="N89" s="20" t="n">
        <x:f>IF(K89="שוטף",M89,0)</x:f>
        <x:v>0</x:v>
      </x:c>
      <x:c r="O89" s="20" t="n">
        <x:f>IF(K89="הכנסה שסווגה מחדש",-G89,0)</x:f>
        <x:v>0</x:v>
      </x:c>
      <x:c r="P89" s="11" t="str">
        <x:v>one zero</x:v>
      </x:c>
      <x:c r="Q89" s="11" t="str"/>
      <x:c r="R89" s="11" t="str">
        <x:v>לא</x:v>
      </x:c>
    </x:row>
    <x:row r="90">
      <x:c r="A90" s="14" t="n">
        <x:v>45689</x:v>
      </x:c>
      <x:c r="B90" s="11" t="str">
        <x:v>2025-02</x:v>
      </x:c>
      <x:c r="C90" s="11" t="str">
        <x:v>פברואר 25</x:v>
      </x:c>
      <x:c r="D90" s="15" t="n">
        <x:v>18</x:v>
      </x:c>
      <x:c r="E90" s="11" t="str">
        <x:v>24</x:v>
      </x:c>
      <x:c r="F90" s="11" t="str">
        <x:v>הסכם ממון בית משפט</x:v>
      </x:c>
      <x:c r="G90" s="17" t="n">
        <x:v>803</x:v>
      </x:c>
      <x:c r="H90" s="18" t="str">
        <x:v>אחר</x:v>
      </x:c>
      <x:c r="I90" s="19" t="str">
        <x:f>IFERROR(INDEX('מיפוי ומקורות'!$C$7:$C$33,MATCH(H90,'מיפוי ומקורות'!$B$7:$B$33,0)),"לא מסווג")</x:f>
        <x:v>אחר</x:v>
      </x:c>
      <x:c r="J90" s="19" t="str">
        <x:f>IFERROR(INDEX('מיפוי ומקורות'!$D$7:$D$33,MATCH(H90,'מיפוי ומקורות'!$B$7:$B$33,0)),"שוטף")</x:f>
        <x:v>שוטף</x:v>
      </x:c>
      <x:c r="K90" s="19" t="str">
        <x:f>IF(OR(H90="ריביות",AND(H90="דירה כצנלסון",G90&lt;0,ISNUMBER(SEARCH("הכנסה",F90)))),"הכנסה שסווגה מחדש",J90)</x:f>
        <x:v>שוטף</x:v>
      </x:c>
      <x:c r="L90" s="19" t="str">
        <x:v>מאושר</x:v>
      </x:c>
      <x:c r="M90" s="20" t="n">
        <x:f>IF(L90="מאושר",IF(K90="הכנסה שסווגה מחדש",0,G90),0)</x:f>
        <x:v>803</x:v>
      </x:c>
      <x:c r="N90" s="20" t="n">
        <x:f>IF(K90="שוטף",M90,0)</x:f>
        <x:v>803</x:v>
      </x:c>
      <x:c r="O90" s="20" t="n">
        <x:f>IF(K90="הכנסה שסווגה מחדש",-G90,0)</x:f>
        <x:v>0</x:v>
      </x:c>
      <x:c r="P90" s="11" t="str">
        <x:v>one zero</x:v>
      </x:c>
      <x:c r="Q90" s="11" t="str"/>
      <x:c r="R90" s="11" t="str">
        <x:v>לא</x:v>
      </x:c>
    </x:row>
    <x:row r="91">
      <x:c r="A91" s="14" t="n">
        <x:v>45689</x:v>
      </x:c>
      <x:c r="B91" s="11" t="str">
        <x:v>2025-02</x:v>
      </x:c>
      <x:c r="C91" s="11" t="str">
        <x:v>פברואר 25</x:v>
      </x:c>
      <x:c r="D91" s="15" t="n">
        <x:v>19</x:v>
      </x:c>
      <x:c r="E91" s="11" t="str">
        <x:v>24</x:v>
      </x:c>
      <x:c r="F91" s="11" t="str">
        <x:v>שיער - נעמה</x:v>
      </x:c>
      <x:c r="G91" s="17" t="n">
        <x:v>400</x:v>
      </x:c>
      <x:c r="H91" s="18" t="str">
        <x:v>חתונה</x:v>
      </x:c>
      <x:c r="I91" s="19" t="str">
        <x:f>IFERROR(INDEX('מיפוי ומקורות'!$C$7:$C$33,MATCH(H91,'מיפוי ומקורות'!$B$7:$B$33,0)),"לא מסווג")</x:f>
        <x:v>חתונה</x:v>
      </x:c>
      <x:c r="J91" s="19" t="str">
        <x:f>IFERROR(INDEX('מיפוי ומקורות'!$D$7:$D$33,MATCH(H91,'מיפוי ומקורות'!$B$7:$B$33,0)),"שוטף")</x:f>
        <x:v>חריג</x:v>
      </x:c>
      <x:c r="K91" s="19" t="str">
        <x:f>IF(OR(H91="ריביות",AND(H91="דירה כצנלסון",G91&lt;0,ISNUMBER(SEARCH("הכנסה",F91)))),"הכנסה שסווגה מחדש",J91)</x:f>
        <x:v>חריג</x:v>
      </x:c>
      <x:c r="L91" s="19" t="str">
        <x:v>מאושר</x:v>
      </x:c>
      <x:c r="M91" s="20" t="n">
        <x:f>IF(L91="מאושר",IF(K91="הכנסה שסווגה מחדש",0,G91),0)</x:f>
        <x:v>400</x:v>
      </x:c>
      <x:c r="N91" s="20" t="n">
        <x:f>IF(K91="שוטף",M91,0)</x:f>
        <x:v>0</x:v>
      </x:c>
      <x:c r="O91" s="20" t="n">
        <x:f>IF(K91="הכנסה שסווגה מחדש",-G91,0)</x:f>
        <x:v>0</x:v>
      </x:c>
      <x:c r="P91" s="11" t="str">
        <x:v>one zero</x:v>
      </x:c>
      <x:c r="Q91" s="11" t="str"/>
      <x:c r="R91" s="11" t="str">
        <x:v>לא</x:v>
      </x:c>
    </x:row>
    <x:row r="92">
      <x:c r="A92" s="14" t="n">
        <x:v>45689</x:v>
      </x:c>
      <x:c r="B92" s="11" t="str">
        <x:v>2025-02</x:v>
      </x:c>
      <x:c r="C92" s="11" t="str">
        <x:v>פברואר 25</x:v>
      </x:c>
      <x:c r="D92" s="15" t="n">
        <x:v>20</x:v>
      </x:c>
      <x:c r="E92" s="11" t="str">
        <x:v>25</x:v>
      </x:c>
      <x:c r="F92" s="11" t="str">
        <x:v>אימונים זיו</x:v>
      </x:c>
      <x:c r="G92" s="17" t="n">
        <x:v>2050</x:v>
      </x:c>
      <x:c r="H92" s="18" t="str">
        <x:v>ספורט</x:v>
      </x:c>
      <x:c r="I92" s="19" t="str">
        <x:f>IFERROR(INDEX('מיפוי ומקורות'!$C$7:$C$33,MATCH(H92,'מיפוי ומקורות'!$B$7:$B$33,0)),"לא מסווג")</x:f>
        <x:v>ספורט</x:v>
      </x:c>
      <x:c r="J92" s="19" t="str">
        <x:f>IFERROR(INDEX('מיפוי ומקורות'!$D$7:$D$33,MATCH(H92,'מיפוי ומקורות'!$B$7:$B$33,0)),"שוטף")</x:f>
        <x:v>שוטף</x:v>
      </x:c>
      <x:c r="K92" s="19" t="str">
        <x:f>IF(OR(H92="ריביות",AND(H92="דירה כצנלסון",G92&lt;0,ISNUMBER(SEARCH("הכנסה",F92)))),"הכנסה שסווגה מחדש",J92)</x:f>
        <x:v>שוטף</x:v>
      </x:c>
      <x:c r="L92" s="19" t="str">
        <x:v>מאושר</x:v>
      </x:c>
      <x:c r="M92" s="20" t="n">
        <x:f>IF(L92="מאושר",IF(K92="הכנסה שסווגה מחדש",0,G92),0)</x:f>
        <x:v>2050</x:v>
      </x:c>
      <x:c r="N92" s="20" t="n">
        <x:f>IF(K92="שוטף",M92,0)</x:f>
        <x:v>2050</x:v>
      </x:c>
      <x:c r="O92" s="20" t="n">
        <x:f>IF(K92="הכנסה שסווגה מחדש",-G92,0)</x:f>
        <x:v>0</x:v>
      </x:c>
      <x:c r="P92" s="11" t="str">
        <x:v>one zero</x:v>
      </x:c>
      <x:c r="Q92" s="11" t="str"/>
      <x:c r="R92" s="11" t="str">
        <x:v>לא</x:v>
      </x:c>
    </x:row>
    <x:row r="93">
      <x:c r="A93" s="14" t="n">
        <x:v>45689</x:v>
      </x:c>
      <x:c r="B93" s="11" t="str">
        <x:v>2025-02</x:v>
      </x:c>
      <x:c r="C93" s="11" t="str">
        <x:v>פברואר 25</x:v>
      </x:c>
      <x:c r="D93" s="15" t="n">
        <x:v>21</x:v>
      </x:c>
      <x:c r="E93" s="11" t="str">
        <x:v>13</x:v>
      </x:c>
      <x:c r="F93" s="11" t="str">
        <x:v>חתונה עמית</x:v>
      </x:c>
      <x:c r="G93" s="17" t="n">
        <x:v>600</x:v>
      </x:c>
      <x:c r="H93" s="18" t="str">
        <x:v>מתנה</x:v>
      </x:c>
      <x:c r="I93" s="19" t="str">
        <x:f>IFERROR(INDEX('מיפוי ומקורות'!$C$7:$C$33,MATCH(H93,'מיפוי ומקורות'!$B$7:$B$33,0)),"לא מסווג")</x:f>
        <x:v>מתנה</x:v>
      </x:c>
      <x:c r="J93" s="19" t="str">
        <x:f>IFERROR(INDEX('מיפוי ומקורות'!$D$7:$D$33,MATCH(H93,'מיפוי ומקורות'!$B$7:$B$33,0)),"שוטף")</x:f>
        <x:v>שוטף</x:v>
      </x:c>
      <x:c r="K93" s="19" t="str">
        <x:f>IF(OR(H93="ריביות",AND(H93="דירה כצנלסון",G93&lt;0,ISNUMBER(SEARCH("הכנסה",F93)))),"הכנסה שסווגה מחדש",J93)</x:f>
        <x:v>שוטף</x:v>
      </x:c>
      <x:c r="L93" s="19" t="str">
        <x:v>מאושר</x:v>
      </x:c>
      <x:c r="M93" s="20" t="n">
        <x:f>IF(L93="מאושר",IF(K93="הכנסה שסווגה מחדש",0,G93),0)</x:f>
        <x:v>600</x:v>
      </x:c>
      <x:c r="N93" s="20" t="n">
        <x:f>IF(K93="שוטף",M93,0)</x:f>
        <x:v>600</x:v>
      </x:c>
      <x:c r="O93" s="20" t="n">
        <x:f>IF(K93="הכנסה שסווגה מחדש",-G93,0)</x:f>
        <x:v>0</x:v>
      </x:c>
      <x:c r="P93" s="11" t="str">
        <x:v>דיסקונט</x:v>
      </x:c>
      <x:c r="Q93" s="11" t="str"/>
      <x:c r="R93" s="11" t="str">
        <x:v>לא</x:v>
      </x:c>
    </x:row>
    <x:row r="94">
      <x:c r="A94" s="14" t="n">
        <x:v>45689</x:v>
      </x:c>
      <x:c r="B94" s="11" t="str">
        <x:v>2025-02</x:v>
      </x:c>
      <x:c r="C94" s="11" t="str">
        <x:v>פברואר 25</x:v>
      </x:c>
      <x:c r="D94" s="15" t="n">
        <x:v>22</x:v>
      </x:c>
      <x:c r="E94" s="11" t="str">
        <x:v>2</x:v>
      </x:c>
      <x:c r="F94" s="11" t="str">
        <x:v>טיסה בחגים</x:v>
      </x:c>
      <x:c r="G94" s="17" t="n">
        <x:v>11470</x:v>
      </x:c>
      <x:c r="H94" s="18" t="str">
        <x:v>חול</x:v>
      </x:c>
      <x:c r="I94" s="19" t="str">
        <x:f>IFERROR(INDEX('מיפוי ומקורות'!$C$7:$C$33,MATCH(H94,'מיפוי ומקורות'!$B$7:$B$33,0)),"לא מסווג")</x:f>
        <x:v>נסיעות וחופשות</x:v>
      </x:c>
      <x:c r="J94" s="19" t="str">
        <x:f>IFERROR(INDEX('מיפוי ומקורות'!$D$7:$D$33,MATCH(H94,'מיפוי ומקורות'!$B$7:$B$33,0)),"שוטף")</x:f>
        <x:v>חריג</x:v>
      </x:c>
      <x:c r="K94" s="19" t="str">
        <x:f>IF(OR(H94="ריביות",AND(H94="דירה כצנלסון",G94&lt;0,ISNUMBER(SEARCH("הכנסה",F94)))),"הכנסה שסווגה מחדש",J94)</x:f>
        <x:v>חריג</x:v>
      </x:c>
      <x:c r="L94" s="19" t="str">
        <x:v>מאושר</x:v>
      </x:c>
      <x:c r="M94" s="20" t="n">
        <x:f>IF(L94="מאושר",IF(K94="הכנסה שסווגה מחדש",0,G94),0)</x:f>
        <x:v>11470</x:v>
      </x:c>
      <x:c r="N94" s="20" t="n">
        <x:f>IF(K94="שוטף",M94,0)</x:f>
        <x:v>0</x:v>
      </x:c>
      <x:c r="O94" s="20" t="n">
        <x:f>IF(K94="הכנסה שסווגה מחדש",-G94,0)</x:f>
        <x:v>0</x:v>
      </x:c>
      <x:c r="P94" s="11" t="str">
        <x:v>one zero עינור</x:v>
      </x:c>
      <x:c r="Q94" s="11" t="str"/>
      <x:c r="R94" s="11" t="str">
        <x:v>לא</x:v>
      </x:c>
    </x:row>
    <x:row r="95">
      <x:c r="A95" s="14" t="n">
        <x:v>45689</x:v>
      </x:c>
      <x:c r="B95" s="11" t="str">
        <x:v>2025-02</x:v>
      </x:c>
      <x:c r="C95" s="11" t="str">
        <x:v>פברואר 25</x:v>
      </x:c>
      <x:c r="D95" s="15" t="n">
        <x:v>23</x:v>
      </x:c>
      <x:c r="E95" s="11" t="str">
        <x:v>6</x:v>
      </x:c>
      <x:c r="F95" s="11" t="str">
        <x:v>בר</x:v>
      </x:c>
      <x:c r="G95" s="17" t="n">
        <x:v>90</x:v>
      </x:c>
      <x:c r="H95" s="18" t="str">
        <x:v>אוכל בחוץ</x:v>
      </x:c>
      <x:c r="I95" s="19" t="str">
        <x:f>IFERROR(INDEX('מיפוי ומקורות'!$C$7:$C$33,MATCH(H95,'מיפוי ומקורות'!$B$7:$B$33,0)),"לא מסווג")</x:f>
        <x:v>אוכל בחוץ</x:v>
      </x:c>
      <x:c r="J95" s="19" t="str">
        <x:f>IFERROR(INDEX('מיפוי ומקורות'!$D$7:$D$33,MATCH(H95,'מיפוי ומקורות'!$B$7:$B$33,0)),"שוטף")</x:f>
        <x:v>שוטף</x:v>
      </x:c>
      <x:c r="K95" s="19" t="str">
        <x:f>IF(OR(H95="ריביות",AND(H95="דירה כצנלסון",G95&lt;0,ISNUMBER(SEARCH("הכנסה",F95)))),"הכנסה שסווגה מחדש",J95)</x:f>
        <x:v>שוטף</x:v>
      </x:c>
      <x:c r="L95" s="19" t="str">
        <x:v>מאושר</x:v>
      </x:c>
      <x:c r="M95" s="20" t="n">
        <x:f>IF(L95="מאושר",IF(K95="הכנסה שסווגה מחדש",0,G95),0)</x:f>
        <x:v>90</x:v>
      </x:c>
      <x:c r="N95" s="20" t="n">
        <x:f>IF(K95="שוטף",M95,0)</x:f>
        <x:v>90</x:v>
      </x:c>
      <x:c r="O95" s="20" t="n">
        <x:f>IF(K95="הכנסה שסווגה מחדש",-G95,0)</x:f>
        <x:v>0</x:v>
      </x:c>
      <x:c r="P95" s="11" t="str">
        <x:v>one zero עינור</x:v>
      </x:c>
      <x:c r="Q95" s="11" t="str"/>
      <x:c r="R95" s="11" t="str">
        <x:v>לא</x:v>
      </x:c>
    </x:row>
    <x:row r="96">
      <x:c r="A96" s="14" t="n">
        <x:v>45689</x:v>
      </x:c>
      <x:c r="B96" s="11" t="str">
        <x:v>2025-02</x:v>
      </x:c>
      <x:c r="C96" s="11" t="str">
        <x:v>פברואר 25</x:v>
      </x:c>
      <x:c r="D96" s="15" t="n">
        <x:v>24</x:v>
      </x:c>
      <x:c r="E96" s="11" t="str">
        <x:v>14</x:v>
      </x:c>
      <x:c r="F96" s="11" t="str">
        <x:v>שיין</x:v>
      </x:c>
      <x:c r="G96" s="17" t="n">
        <x:v>347</x:v>
      </x:c>
      <x:c r="H96" s="18" t="str">
        <x:v>אופנה</x:v>
      </x:c>
      <x:c r="I96" s="19" t="str">
        <x:f>IFERROR(INDEX('מיפוי ומקורות'!$C$7:$C$33,MATCH(H96,'מיפוי ומקורות'!$B$7:$B$33,0)),"לא מסווג")</x:f>
        <x:v>אופנה</x:v>
      </x:c>
      <x:c r="J96" s="19" t="str">
        <x:f>IFERROR(INDEX('מיפוי ומקורות'!$D$7:$D$33,MATCH(H96,'מיפוי ומקורות'!$B$7:$B$33,0)),"שוטף")</x:f>
        <x:v>שוטף</x:v>
      </x:c>
      <x:c r="K96" s="19" t="str">
        <x:f>IF(OR(H96="ריביות",AND(H96="דירה כצנלסון",G96&lt;0,ISNUMBER(SEARCH("הכנסה",F96)))),"הכנסה שסווגה מחדש",J96)</x:f>
        <x:v>שוטף</x:v>
      </x:c>
      <x:c r="L96" s="19" t="str">
        <x:v>מאושר</x:v>
      </x:c>
      <x:c r="M96" s="20" t="n">
        <x:f>IF(L96="מאושר",IF(K96="הכנסה שסווגה מחדש",0,G96),0)</x:f>
        <x:v>347</x:v>
      </x:c>
      <x:c r="N96" s="20" t="n">
        <x:f>IF(K96="שוטף",M96,0)</x:f>
        <x:v>347</x:v>
      </x:c>
      <x:c r="O96" s="20" t="n">
        <x:f>IF(K96="הכנסה שסווגה מחדש",-G96,0)</x:f>
        <x:v>0</x:v>
      </x:c>
      <x:c r="P96" s="11" t="str">
        <x:v>one zero עינור</x:v>
      </x:c>
      <x:c r="Q96" s="11" t="str"/>
      <x:c r="R96" s="11" t="str">
        <x:v>לא</x:v>
      </x:c>
    </x:row>
    <x:row r="97">
      <x:c r="A97" s="14" t="n">
        <x:v>45689</x:v>
      </x:c>
      <x:c r="B97" s="11" t="str">
        <x:v>2025-02</x:v>
      </x:c>
      <x:c r="C97" s="11" t="str">
        <x:v>פברואר 25</x:v>
      </x:c>
      <x:c r="D97" s="15" t="n">
        <x:v>25</x:v>
      </x:c>
      <x:c r="E97" s="11" t="str">
        <x:v>19</x:v>
      </x:c>
      <x:c r="F97" s="11" t="str">
        <x:v>אלי אקספרס חתונה</x:v>
      </x:c>
      <x:c r="G97" s="17" t="n">
        <x:v>127</x:v>
      </x:c>
      <x:c r="H97" s="18" t="str">
        <x:v>חתונה</x:v>
      </x:c>
      <x:c r="I97" s="19" t="str">
        <x:f>IFERROR(INDEX('מיפוי ומקורות'!$C$7:$C$33,MATCH(H97,'מיפוי ומקורות'!$B$7:$B$33,0)),"לא מסווג")</x:f>
        <x:v>חתונה</x:v>
      </x:c>
      <x:c r="J97" s="19" t="str">
        <x:f>IFERROR(INDEX('מיפוי ומקורות'!$D$7:$D$33,MATCH(H97,'מיפוי ומקורות'!$B$7:$B$33,0)),"שוטף")</x:f>
        <x:v>חריג</x:v>
      </x:c>
      <x:c r="K97" s="19" t="str">
        <x:f>IF(OR(H97="ריביות",AND(H97="דירה כצנלסון",G97&lt;0,ISNUMBER(SEARCH("הכנסה",F97)))),"הכנסה שסווגה מחדש",J97)</x:f>
        <x:v>חריג</x:v>
      </x:c>
      <x:c r="L97" s="19" t="str">
        <x:v>מאושר</x:v>
      </x:c>
      <x:c r="M97" s="20" t="n">
        <x:f>IF(L97="מאושר",IF(K97="הכנסה שסווגה מחדש",0,G97),0)</x:f>
        <x:v>127</x:v>
      </x:c>
      <x:c r="N97" s="20" t="n">
        <x:f>IF(K97="שוטף",M97,0)</x:f>
        <x:v>0</x:v>
      </x:c>
      <x:c r="O97" s="20" t="n">
        <x:f>IF(K97="הכנסה שסווגה מחדש",-G97,0)</x:f>
        <x:v>0</x:v>
      </x:c>
      <x:c r="P97" s="11" t="str">
        <x:v>one zero עינור</x:v>
      </x:c>
      <x:c r="Q97" s="11" t="str"/>
      <x:c r="R97" s="11" t="str">
        <x:v>לא</x:v>
      </x:c>
    </x:row>
    <x:row r="98">
      <x:c r="A98" s="14" t="n">
        <x:v>45689</x:v>
      </x:c>
      <x:c r="B98" s="11" t="str">
        <x:v>2025-02</x:v>
      </x:c>
      <x:c r="C98" s="11" t="str">
        <x:v>פברואר 25</x:v>
      </x:c>
      <x:c r="D98" s="15" t="n">
        <x:v>26</x:v>
      </x:c>
      <x:c r="E98" s="11" t="str">
        <x:v>23</x:v>
      </x:c>
      <x:c r="F98" s="11" t="str">
        <x:v>החזר משיין</x:v>
      </x:c>
      <x:c r="G98" s="17" t="n">
        <x:v>-261</x:v>
      </x:c>
      <x:c r="H98" s="18" t="str">
        <x:v>אופנה</x:v>
      </x:c>
      <x:c r="I98" s="19" t="str">
        <x:f>IFERROR(INDEX('מיפוי ומקורות'!$C$7:$C$33,MATCH(H98,'מיפוי ומקורות'!$B$7:$B$33,0)),"לא מסווג")</x:f>
        <x:v>אופנה</x:v>
      </x:c>
      <x:c r="J98" s="19" t="str">
        <x:f>IFERROR(INDEX('מיפוי ומקורות'!$D$7:$D$33,MATCH(H98,'מיפוי ומקורות'!$B$7:$B$33,0)),"שוטף")</x:f>
        <x:v>שוטף</x:v>
      </x:c>
      <x:c r="K98" s="19" t="str">
        <x:f>IF(OR(H98="ריביות",AND(H98="דירה כצנלסון",G98&lt;0,ISNUMBER(SEARCH("הכנסה",F98)))),"הכנסה שסווגה מחדש",J98)</x:f>
        <x:v>שוטף</x:v>
      </x:c>
      <x:c r="L98" s="19" t="str">
        <x:v>מאושר</x:v>
      </x:c>
      <x:c r="M98" s="20" t="n">
        <x:f>IF(L98="מאושר",IF(K98="הכנסה שסווגה מחדש",0,G98),0)</x:f>
        <x:v>-261</x:v>
      </x:c>
      <x:c r="N98" s="20" t="n">
        <x:f>IF(K98="שוטף",M98,0)</x:f>
        <x:v>-261</x:v>
      </x:c>
      <x:c r="O98" s="20" t="n">
        <x:f>IF(K98="הכנסה שסווגה מחדש",-G98,0)</x:f>
        <x:v>0</x:v>
      </x:c>
      <x:c r="P98" s="11" t="str">
        <x:v>one zero עינור</x:v>
      </x:c>
      <x:c r="Q98" s="11" t="str"/>
      <x:c r="R98" s="11" t="str">
        <x:v>לא</x:v>
      </x:c>
    </x:row>
    <x:row r="99">
      <x:c r="A99" s="14" t="n">
        <x:v>45689</x:v>
      </x:c>
      <x:c r="B99" s="11" t="str">
        <x:v>2025-02</x:v>
      </x:c>
      <x:c r="C99" s="11" t="str">
        <x:v>פברואר 25</x:v>
      </x:c>
      <x:c r="D99" s="15" t="n">
        <x:v>27</x:v>
      </x:c>
      <x:c r="E99" s="11" t="str">
        <x:v>11</x:v>
      </x:c>
      <x:c r="F99" s="11" t="str">
        <x:v>חלבון</x:v>
      </x:c>
      <x:c r="G99" s="17" t="n">
        <x:v>321</x:v>
      </x:c>
      <x:c r="H99" s="18" t="str">
        <x:v>מזון לבית</x:v>
      </x:c>
      <x:c r="I99" s="19" t="str">
        <x:f>IFERROR(INDEX('מיפוי ומקורות'!$C$7:$C$33,MATCH(H99,'מיפוי ומקורות'!$B$7:$B$33,0)),"לא מסווג")</x:f>
        <x:v>מזון לבית</x:v>
      </x:c>
      <x:c r="J99" s="19" t="str">
        <x:f>IFERROR(INDEX('מיפוי ומקורות'!$D$7:$D$33,MATCH(H99,'מיפוי ומקורות'!$B$7:$B$33,0)),"שוטף")</x:f>
        <x:v>שוטף</x:v>
      </x:c>
      <x:c r="K99" s="19" t="str">
        <x:f>IF(OR(H99="ריביות",AND(H99="דירה כצנלסון",G99&lt;0,ISNUMBER(SEARCH("הכנסה",F99)))),"הכנסה שסווגה מחדש",J99)</x:f>
        <x:v>שוטף</x:v>
      </x:c>
      <x:c r="L99" s="19" t="str">
        <x:v>מאושר</x:v>
      </x:c>
      <x:c r="M99" s="20" t="n">
        <x:f>IF(L99="מאושר",IF(K99="הכנסה שסווגה מחדש",0,G99),0)</x:f>
        <x:v>321</x:v>
      </x:c>
      <x:c r="N99" s="20" t="n">
        <x:f>IF(K99="שוטף",M99,0)</x:f>
        <x:v>321</x:v>
      </x:c>
      <x:c r="O99" s="20" t="n">
        <x:f>IF(K99="הכנסה שסווגה מחדש",-G99,0)</x:f>
        <x:v>0</x:v>
      </x:c>
      <x:c r="P99" s="11" t="str">
        <x:v>one zero זיו</x:v>
      </x:c>
      <x:c r="Q99" s="11" t="str"/>
      <x:c r="R99" s="11" t="str">
        <x:v>לא</x:v>
      </x:c>
    </x:row>
    <x:row r="100">
      <x:c r="A100" s="14" t="n">
        <x:v>45689</x:v>
      </x:c>
      <x:c r="B100" s="11" t="str">
        <x:v>2025-02</x:v>
      </x:c>
      <x:c r="C100" s="11" t="str">
        <x:v>פברואר 25</x:v>
      </x:c>
      <x:c r="D100" s="15" t="n">
        <x:v>28</x:v>
      </x:c>
      <x:c r="E100" s="11" t="str">
        <x:v>13</x:v>
      </x:c>
      <x:c r="F100" s="11" t="str">
        <x:v>ליים</x:v>
      </x:c>
      <x:c r="G100" s="17" t="n">
        <x:v>40</x:v>
      </x:c>
      <x:c r="H100" s="18" t="str">
        <x:v>תחבורה</x:v>
      </x:c>
      <x:c r="I100" s="19" t="str">
        <x:f>IFERROR(INDEX('מיפוי ומקורות'!$C$7:$C$33,MATCH(H100,'מיפוי ומקורות'!$B$7:$B$33,0)),"לא מסווג")</x:f>
        <x:v>תחבורה</x:v>
      </x:c>
      <x:c r="J100" s="19" t="str">
        <x:f>IFERROR(INDEX('מיפוי ומקורות'!$D$7:$D$33,MATCH(H100,'מיפוי ומקורות'!$B$7:$B$33,0)),"שוטף")</x:f>
        <x:v>שוטף</x:v>
      </x:c>
      <x:c r="K100" s="19" t="str">
        <x:f>IF(OR(H100="ריביות",AND(H100="דירה כצנלסון",G100&lt;0,ISNUMBER(SEARCH("הכנסה",F100)))),"הכנסה שסווגה מחדש",J100)</x:f>
        <x:v>שוטף</x:v>
      </x:c>
      <x:c r="L100" s="19" t="str">
        <x:v>מאושר</x:v>
      </x:c>
      <x:c r="M100" s="20" t="n">
        <x:f>IF(L100="מאושר",IF(K100="הכנסה שסווגה מחדש",0,G100),0)</x:f>
        <x:v>40</x:v>
      </x:c>
      <x:c r="N100" s="20" t="n">
        <x:f>IF(K100="שוטף",M100,0)</x:f>
        <x:v>40</x:v>
      </x:c>
      <x:c r="O100" s="20" t="n">
        <x:f>IF(K100="הכנסה שסווגה מחדש",-G100,0)</x:f>
        <x:v>0</x:v>
      </x:c>
      <x:c r="P100" s="11" t="str">
        <x:v>one zero זיו</x:v>
      </x:c>
      <x:c r="Q100" s="11" t="str"/>
      <x:c r="R100" s="11" t="str">
        <x:v>לא</x:v>
      </x:c>
    </x:row>
    <x:row r="101">
      <x:c r="A101" s="14" t="n">
        <x:v>45689</x:v>
      </x:c>
      <x:c r="B101" s="11" t="str">
        <x:v>2025-02</x:v>
      </x:c>
      <x:c r="C101" s="11" t="str">
        <x:v>פברואר 25</x:v>
      </x:c>
      <x:c r="D101" s="15" t="n">
        <x:v>29</x:v>
      </x:c>
      <x:c r="E101" s="11" t="str"/>
      <x:c r="F101" s="11" t="str">
        <x:v>לייזר</x:v>
      </x:c>
      <x:c r="G101" s="17" t="n">
        <x:v>173</x:v>
      </x:c>
      <x:c r="H101" s="18" t="str">
        <x:v>קוסמטיקה</x:v>
      </x:c>
      <x:c r="I101" s="19" t="str">
        <x:f>IFERROR(INDEX('מיפוי ומקורות'!$C$7:$C$33,MATCH(H101,'מיפוי ומקורות'!$B$7:$B$33,0)),"לא מסווג")</x:f>
        <x:v>קוסמטיקה</x:v>
      </x:c>
      <x:c r="J101" s="19" t="str">
        <x:f>IFERROR(INDEX('מיפוי ומקורות'!$D$7:$D$33,MATCH(H101,'מיפוי ומקורות'!$B$7:$B$33,0)),"שוטף")</x:f>
        <x:v>שוטף</x:v>
      </x:c>
      <x:c r="K101" s="19" t="str">
        <x:f>IF(OR(H101="ריביות",AND(H101="דירה כצנלסון",G101&lt;0,ISNUMBER(SEARCH("הכנסה",F101)))),"הכנסה שסווגה מחדש",J101)</x:f>
        <x:v>שוטף</x:v>
      </x:c>
      <x:c r="L101" s="19" t="str">
        <x:v>מאושר</x:v>
      </x:c>
      <x:c r="M101" s="20" t="n">
        <x:f>IF(L101="מאושר",IF(K101="הכנסה שסווגה מחדש",0,G101),0)</x:f>
        <x:v>173</x:v>
      </x:c>
      <x:c r="N101" s="20" t="n">
        <x:f>IF(K101="שוטף",M101,0)</x:f>
        <x:v>173</x:v>
      </x:c>
      <x:c r="O101" s="20" t="n">
        <x:f>IF(K101="הכנסה שסווגה מחדש",-G101,0)</x:f>
        <x:v>0</x:v>
      </x:c>
      <x:c r="P101" s="11" t="str">
        <x:v>אמקס עינור</x:v>
      </x:c>
      <x:c r="Q101" s="11" t="str"/>
      <x:c r="R101" s="11" t="str">
        <x:v>לא</x:v>
      </x:c>
    </x:row>
    <x:row r="102">
      <x:c r="A102" s="14" t="n">
        <x:v>45689</x:v>
      </x:c>
      <x:c r="B102" s="11" t="str">
        <x:v>2025-02</x:v>
      </x:c>
      <x:c r="C102" s="11" t="str">
        <x:v>פברואר 25</x:v>
      </x:c>
      <x:c r="D102" s="15" t="n">
        <x:v>30</x:v>
      </x:c>
      <x:c r="E102" s="11" t="str">
        <x:v>3</x:v>
      </x:c>
      <x:c r="F102" s="11" t="str">
        <x:v>מכבי</x:v>
      </x:c>
      <x:c r="G102" s="17" t="n">
        <x:v>92</x:v>
      </x:c>
      <x:c r="H102" s="18" t="str">
        <x:v>בריאות</x:v>
      </x:c>
      <x:c r="I102" s="19" t="str">
        <x:f>IFERROR(INDEX('מיפוי ומקורות'!$C$7:$C$33,MATCH(H102,'מיפוי ומקורות'!$B$7:$B$33,0)),"לא מסווג")</x:f>
        <x:v>בריאות וטיפולים</x:v>
      </x:c>
      <x:c r="J102" s="19" t="str">
        <x:f>IFERROR(INDEX('מיפוי ומקורות'!$D$7:$D$33,MATCH(H102,'מיפוי ומקורות'!$B$7:$B$33,0)),"שוטף")</x:f>
        <x:v>שוטף</x:v>
      </x:c>
      <x:c r="K102" s="19" t="str">
        <x:f>IF(OR(H102="ריביות",AND(H102="דירה כצנלסון",G102&lt;0,ISNUMBER(SEARCH("הכנסה",F102)))),"הכנסה שסווגה מחדש",J102)</x:f>
        <x:v>שוטף</x:v>
      </x:c>
      <x:c r="L102" s="19" t="str">
        <x:v>מאושר</x:v>
      </x:c>
      <x:c r="M102" s="20" t="n">
        <x:f>IF(L102="מאושר",IF(K102="הכנסה שסווגה מחדש",0,G102),0)</x:f>
        <x:v>92</x:v>
      </x:c>
      <x:c r="N102" s="20" t="n">
        <x:f>IF(K102="שוטף",M102,0)</x:f>
        <x:v>92</x:v>
      </x:c>
      <x:c r="O102" s="20" t="n">
        <x:f>IF(K102="הכנסה שסווגה מחדש",-G102,0)</x:f>
        <x:v>0</x:v>
      </x:c>
      <x:c r="P102" s="11" t="str">
        <x:v>אמקס עינור</x:v>
      </x:c>
      <x:c r="Q102" s="11" t="str"/>
      <x:c r="R102" s="11" t="str">
        <x:v>לא</x:v>
      </x:c>
    </x:row>
    <x:row r="103">
      <x:c r="A103" s="14" t="n">
        <x:v>45689</x:v>
      </x:c>
      <x:c r="B103" s="11" t="str">
        <x:v>2025-02</x:v>
      </x:c>
      <x:c r="C103" s="11" t="str">
        <x:v>פברואר 25</x:v>
      </x:c>
      <x:c r="D103" s="15" t="n">
        <x:v>31</x:v>
      </x:c>
      <x:c r="E103" s="11" t="str">
        <x:v>4</x:v>
      </x:c>
      <x:c r="F103" s="11" t="str">
        <x:v>משקפים</x:v>
      </x:c>
      <x:c r="G103" s="17" t="n">
        <x:v>40</x:v>
      </x:c>
      <x:c r="H103" s="18" t="str">
        <x:v>בריאות</x:v>
      </x:c>
      <x:c r="I103" s="19" t="str">
        <x:f>IFERROR(INDEX('מיפוי ומקורות'!$C$7:$C$33,MATCH(H103,'מיפוי ומקורות'!$B$7:$B$33,0)),"לא מסווג")</x:f>
        <x:v>בריאות וטיפולים</x:v>
      </x:c>
      <x:c r="J103" s="19" t="str">
        <x:f>IFERROR(INDEX('מיפוי ומקורות'!$D$7:$D$33,MATCH(H103,'מיפוי ומקורות'!$B$7:$B$33,0)),"שוטף")</x:f>
        <x:v>שוטף</x:v>
      </x:c>
      <x:c r="K103" s="19" t="str">
        <x:f>IF(OR(H103="ריביות",AND(H103="דירה כצנלסון",G103&lt;0,ISNUMBER(SEARCH("הכנסה",F103)))),"הכנסה שסווגה מחדש",J103)</x:f>
        <x:v>שוטף</x:v>
      </x:c>
      <x:c r="L103" s="19" t="str">
        <x:v>מאושר</x:v>
      </x:c>
      <x:c r="M103" s="20" t="n">
        <x:f>IF(L103="מאושר",IF(K103="הכנסה שסווגה מחדש",0,G103),0)</x:f>
        <x:v>40</x:v>
      </x:c>
      <x:c r="N103" s="20" t="n">
        <x:f>IF(K103="שוטף",M103,0)</x:f>
        <x:v>40</x:v>
      </x:c>
      <x:c r="O103" s="20" t="n">
        <x:f>IF(K103="הכנסה שסווגה מחדש",-G103,0)</x:f>
        <x:v>0</x:v>
      </x:c>
      <x:c r="P103" s="11" t="str">
        <x:v>אמקס עינור</x:v>
      </x:c>
      <x:c r="Q103" s="11" t="str"/>
      <x:c r="R103" s="11" t="str">
        <x:v>לא</x:v>
      </x:c>
    </x:row>
    <x:row r="104">
      <x:c r="A104" s="14" t="n">
        <x:v>45689</x:v>
      </x:c>
      <x:c r="B104" s="11" t="str">
        <x:v>2025-02</x:v>
      </x:c>
      <x:c r="C104" s="11" t="str">
        <x:v>פברואר 25</x:v>
      </x:c>
      <x:c r="D104" s="15" t="n">
        <x:v>32</x:v>
      </x:c>
      <x:c r="E104" s="11" t="str">
        <x:v>4</x:v>
      </x:c>
      <x:c r="F104" s="11" t="str">
        <x:v>מכבי דנט</x:v>
      </x:c>
      <x:c r="G104" s="17" t="n">
        <x:v>42</x:v>
      </x:c>
      <x:c r="H104" s="18" t="str">
        <x:v>בריאות</x:v>
      </x:c>
      <x:c r="I104" s="19" t="str">
        <x:f>IFERROR(INDEX('מיפוי ומקורות'!$C$7:$C$33,MATCH(H104,'מיפוי ומקורות'!$B$7:$B$33,0)),"לא מסווג")</x:f>
        <x:v>בריאות וטיפולים</x:v>
      </x:c>
      <x:c r="J104" s="19" t="str">
        <x:f>IFERROR(INDEX('מיפוי ומקורות'!$D$7:$D$33,MATCH(H104,'מיפוי ומקורות'!$B$7:$B$33,0)),"שוטף")</x:f>
        <x:v>שוטף</x:v>
      </x:c>
      <x:c r="K104" s="19" t="str">
        <x:f>IF(OR(H104="ריביות",AND(H104="דירה כצנלסון",G104&lt;0,ISNUMBER(SEARCH("הכנסה",F104)))),"הכנסה שסווגה מחדש",J104)</x:f>
        <x:v>שוטף</x:v>
      </x:c>
      <x:c r="L104" s="19" t="str">
        <x:v>מאושר</x:v>
      </x:c>
      <x:c r="M104" s="20" t="n">
        <x:f>IF(L104="מאושר",IF(K104="הכנסה שסווגה מחדש",0,G104),0)</x:f>
        <x:v>42</x:v>
      </x:c>
      <x:c r="N104" s="20" t="n">
        <x:f>IF(K104="שוטף",M104,0)</x:f>
        <x:v>42</x:v>
      </x:c>
      <x:c r="O104" s="20" t="n">
        <x:f>IF(K104="הכנסה שסווגה מחדש",-G104,0)</x:f>
        <x:v>0</x:v>
      </x:c>
      <x:c r="P104" s="11" t="str">
        <x:v>אמקס עינור</x:v>
      </x:c>
      <x:c r="Q104" s="11" t="str"/>
      <x:c r="R104" s="11" t="str">
        <x:v>לא</x:v>
      </x:c>
    </x:row>
    <x:row r="105">
      <x:c r="A105" s="14" t="n">
        <x:v>45689</x:v>
      </x:c>
      <x:c r="B105" s="11" t="str">
        <x:v>2025-02</x:v>
      </x:c>
      <x:c r="C105" s="11" t="str">
        <x:v>פברואר 25</x:v>
      </x:c>
      <x:c r="D105" s="15" t="n">
        <x:v>33</x:v>
      </x:c>
      <x:c r="E105" s="11" t="str">
        <x:v>6</x:v>
      </x:c>
      <x:c r="F105" s="11" t="str">
        <x:v>גלידה</x:v>
      </x:c>
      <x:c r="G105" s="17" t="n">
        <x:v>22</x:v>
      </x:c>
      <x:c r="H105" s="18" t="str">
        <x:v>אוכל בחוץ</x:v>
      </x:c>
      <x:c r="I105" s="19" t="str">
        <x:f>IFERROR(INDEX('מיפוי ומקורות'!$C$7:$C$33,MATCH(H105,'מיפוי ומקורות'!$B$7:$B$33,0)),"לא מסווג")</x:f>
        <x:v>אוכל בחוץ</x:v>
      </x:c>
      <x:c r="J105" s="19" t="str">
        <x:f>IFERROR(INDEX('מיפוי ומקורות'!$D$7:$D$33,MATCH(H105,'מיפוי ומקורות'!$B$7:$B$33,0)),"שוטף")</x:f>
        <x:v>שוטף</x:v>
      </x:c>
      <x:c r="K105" s="19" t="str">
        <x:f>IF(OR(H105="ריביות",AND(H105="דירה כצנלסון",G105&lt;0,ISNUMBER(SEARCH("הכנסה",F105)))),"הכנסה שסווגה מחדש",J105)</x:f>
        <x:v>שוטף</x:v>
      </x:c>
      <x:c r="L105" s="19" t="str">
        <x:v>מאושר</x:v>
      </x:c>
      <x:c r="M105" s="20" t="n">
        <x:f>IF(L105="מאושר",IF(K105="הכנסה שסווגה מחדש",0,G105),0)</x:f>
        <x:v>22</x:v>
      </x:c>
      <x:c r="N105" s="20" t="n">
        <x:f>IF(K105="שוטף",M105,0)</x:f>
        <x:v>22</x:v>
      </x:c>
      <x:c r="O105" s="20" t="n">
        <x:f>IF(K105="הכנסה שסווגה מחדש",-G105,0)</x:f>
        <x:v>0</x:v>
      </x:c>
      <x:c r="P105" s="11" t="str">
        <x:v>אמקס עינור</x:v>
      </x:c>
      <x:c r="Q105" s="11" t="str"/>
      <x:c r="R105" s="11" t="str">
        <x:v>לא</x:v>
      </x:c>
    </x:row>
    <x:row r="106">
      <x:c r="A106" s="14" t="n">
        <x:v>45689</x:v>
      </x:c>
      <x:c r="B106" s="11" t="str">
        <x:v>2025-02</x:v>
      </x:c>
      <x:c r="C106" s="11" t="str">
        <x:v>פברואר 25</x:v>
      </x:c>
      <x:c r="D106" s="15" t="n">
        <x:v>34</x:v>
      </x:c>
      <x:c r="E106" s="11" t="str">
        <x:v>8</x:v>
      </x:c>
      <x:c r="F106" s="11" t="str">
        <x:v>תחתוני מחזור</x:v>
      </x:c>
      <x:c r="G106" s="17" t="n">
        <x:v>257</x:v>
      </x:c>
      <x:c r="H106" s="18" t="str">
        <x:v>אופנה</x:v>
      </x:c>
      <x:c r="I106" s="19" t="str">
        <x:f>IFERROR(INDEX('מיפוי ומקורות'!$C$7:$C$33,MATCH(H106,'מיפוי ומקורות'!$B$7:$B$33,0)),"לא מסווג")</x:f>
        <x:v>אופנה</x:v>
      </x:c>
      <x:c r="J106" s="19" t="str">
        <x:f>IFERROR(INDEX('מיפוי ומקורות'!$D$7:$D$33,MATCH(H106,'מיפוי ומקורות'!$B$7:$B$33,0)),"שוטף")</x:f>
        <x:v>שוטף</x:v>
      </x:c>
      <x:c r="K106" s="19" t="str">
        <x:f>IF(OR(H106="ריביות",AND(H106="דירה כצנלסון",G106&lt;0,ISNUMBER(SEARCH("הכנסה",F106)))),"הכנסה שסווגה מחדש",J106)</x:f>
        <x:v>שוטף</x:v>
      </x:c>
      <x:c r="L106" s="19" t="str">
        <x:v>מאושר</x:v>
      </x:c>
      <x:c r="M106" s="20" t="n">
        <x:f>IF(L106="מאושר",IF(K106="הכנסה שסווגה מחדש",0,G106),0)</x:f>
        <x:v>257</x:v>
      </x:c>
      <x:c r="N106" s="20" t="n">
        <x:f>IF(K106="שוטף",M106,0)</x:f>
        <x:v>257</x:v>
      </x:c>
      <x:c r="O106" s="20" t="n">
        <x:f>IF(K106="הכנסה שסווגה מחדש",-G106,0)</x:f>
        <x:v>0</x:v>
      </x:c>
      <x:c r="P106" s="11" t="str">
        <x:v>אמקס עינור</x:v>
      </x:c>
      <x:c r="Q106" s="11" t="str"/>
      <x:c r="R106" s="11" t="str">
        <x:v>לא</x:v>
      </x:c>
    </x:row>
    <x:row r="107">
      <x:c r="A107" s="14" t="n">
        <x:v>45689</x:v>
      </x:c>
      <x:c r="B107" s="11" t="str">
        <x:v>2025-02</x:v>
      </x:c>
      <x:c r="C107" s="11" t="str">
        <x:v>פברואר 25</x:v>
      </x:c>
      <x:c r="D107" s="15" t="n">
        <x:v>35</x:v>
      </x:c>
      <x:c r="E107" s="11" t="str">
        <x:v>8</x:v>
      </x:c>
      <x:c r="F107" s="11" t="str">
        <x:v>זומבה</x:v>
      </x:c>
      <x:c r="G107" s="17" t="n">
        <x:v>25</x:v>
      </x:c>
      <x:c r="H107" s="18" t="str">
        <x:v>ספורט</x:v>
      </x:c>
      <x:c r="I107" s="19" t="str">
        <x:f>IFERROR(INDEX('מיפוי ומקורות'!$C$7:$C$33,MATCH(H107,'מיפוי ומקורות'!$B$7:$B$33,0)),"לא מסווג")</x:f>
        <x:v>ספורט</x:v>
      </x:c>
      <x:c r="J107" s="19" t="str">
        <x:f>IFERROR(INDEX('מיפוי ומקורות'!$D$7:$D$33,MATCH(H107,'מיפוי ומקורות'!$B$7:$B$33,0)),"שוטף")</x:f>
        <x:v>שוטף</x:v>
      </x:c>
      <x:c r="K107" s="19" t="str">
        <x:f>IF(OR(H107="ריביות",AND(H107="דירה כצנלסון",G107&lt;0,ISNUMBER(SEARCH("הכנסה",F107)))),"הכנסה שסווגה מחדש",J107)</x:f>
        <x:v>שוטף</x:v>
      </x:c>
      <x:c r="L107" s="19" t="str">
        <x:v>מאושר</x:v>
      </x:c>
      <x:c r="M107" s="20" t="n">
        <x:f>IF(L107="מאושר",IF(K107="הכנסה שסווגה מחדש",0,G107),0)</x:f>
        <x:v>25</x:v>
      </x:c>
      <x:c r="N107" s="20" t="n">
        <x:f>IF(K107="שוטף",M107,0)</x:f>
        <x:v>25</x:v>
      </x:c>
      <x:c r="O107" s="20" t="n">
        <x:f>IF(K107="הכנסה שסווגה מחדש",-G107,0)</x:f>
        <x:v>0</x:v>
      </x:c>
      <x:c r="P107" s="11" t="str">
        <x:v>אמקס עינור</x:v>
      </x:c>
      <x:c r="Q107" s="11" t="str"/>
      <x:c r="R107" s="11" t="str">
        <x:v>לא</x:v>
      </x:c>
    </x:row>
    <x:row r="108">
      <x:c r="A108" s="14" t="n">
        <x:v>45689</x:v>
      </x:c>
      <x:c r="B108" s="11" t="str">
        <x:v>2025-02</x:v>
      </x:c>
      <x:c r="C108" s="11" t="str">
        <x:v>פברואר 25</x:v>
      </x:c>
      <x:c r="D108" s="15" t="n">
        <x:v>36</x:v>
      </x:c>
      <x:c r="E108" s="11" t="str">
        <x:v>9</x:v>
      </x:c>
      <x:c r="F108" s="11" t="str">
        <x:v>מגן לטלפון</x:v>
      </x:c>
      <x:c r="G108" s="17" t="n">
        <x:v>80</x:v>
      </x:c>
      <x:c r="H108" s="18" t="str">
        <x:v>אלקטרוניקה</x:v>
      </x:c>
      <x:c r="I108" s="19" t="str">
        <x:f>IFERROR(INDEX('מיפוי ומקורות'!$C$7:$C$33,MATCH(H108,'מיפוי ומקורות'!$B$7:$B$33,0)),"לא מסווג")</x:f>
        <x:v>אלקטרוניקה</x:v>
      </x:c>
      <x:c r="J108" s="19" t="str">
        <x:f>IFERROR(INDEX('מיפוי ומקורות'!$D$7:$D$33,MATCH(H108,'מיפוי ומקורות'!$B$7:$B$33,0)),"שוטף")</x:f>
        <x:v>שוטף</x:v>
      </x:c>
      <x:c r="K108" s="19" t="str">
        <x:f>IF(OR(H108="ריביות",AND(H108="דירה כצנלסון",G108&lt;0,ISNUMBER(SEARCH("הכנסה",F108)))),"הכנסה שסווגה מחדש",J108)</x:f>
        <x:v>שוטף</x:v>
      </x:c>
      <x:c r="L108" s="19" t="str">
        <x:v>מאושר</x:v>
      </x:c>
      <x:c r="M108" s="20" t="n">
        <x:f>IF(L108="מאושר",IF(K108="הכנסה שסווגה מחדש",0,G108),0)</x:f>
        <x:v>80</x:v>
      </x:c>
      <x:c r="N108" s="20" t="n">
        <x:f>IF(K108="שוטף",M108,0)</x:f>
        <x:v>80</x:v>
      </x:c>
      <x:c r="O108" s="20" t="n">
        <x:f>IF(K108="הכנסה שסווגה מחדש",-G108,0)</x:f>
        <x:v>0</x:v>
      </x:c>
      <x:c r="P108" s="11" t="str">
        <x:v>אמקס עינור</x:v>
      </x:c>
      <x:c r="Q108" s="11" t="str"/>
      <x:c r="R108" s="11" t="str">
        <x:v>לא</x:v>
      </x:c>
    </x:row>
    <x:row r="109">
      <x:c r="A109" s="14" t="n">
        <x:v>45689</x:v>
      </x:c>
      <x:c r="B109" s="11" t="str">
        <x:v>2025-02</x:v>
      </x:c>
      <x:c r="C109" s="11" t="str">
        <x:v>פברואר 25</x:v>
      </x:c>
      <x:c r="D109" s="15" t="n">
        <x:v>37</x:v>
      </x:c>
      <x:c r="E109" s="11" t="str">
        <x:v>13</x:v>
      </x:c>
      <x:c r="F109" s="11" t="str">
        <x:v>סופר פארם</x:v>
      </x:c>
      <x:c r="G109" s="17" t="n">
        <x:v>156</x:v>
      </x:c>
      <x:c r="H109" s="18" t="str">
        <x:v>בריאות</x:v>
      </x:c>
      <x:c r="I109" s="19" t="str">
        <x:f>IFERROR(INDEX('מיפוי ומקורות'!$C$7:$C$33,MATCH(H109,'מיפוי ומקורות'!$B$7:$B$33,0)),"לא מסווג")</x:f>
        <x:v>בריאות וטיפולים</x:v>
      </x:c>
      <x:c r="J109" s="19" t="str">
        <x:f>IFERROR(INDEX('מיפוי ומקורות'!$D$7:$D$33,MATCH(H109,'מיפוי ומקורות'!$B$7:$B$33,0)),"שוטף")</x:f>
        <x:v>שוטף</x:v>
      </x:c>
      <x:c r="K109" s="19" t="str">
        <x:f>IF(OR(H109="ריביות",AND(H109="דירה כצנלסון",G109&lt;0,ISNUMBER(SEARCH("הכנסה",F109)))),"הכנסה שסווגה מחדש",J109)</x:f>
        <x:v>שוטף</x:v>
      </x:c>
      <x:c r="L109" s="19" t="str">
        <x:v>מאושר</x:v>
      </x:c>
      <x:c r="M109" s="20" t="n">
        <x:f>IF(L109="מאושר",IF(K109="הכנסה שסווגה מחדש",0,G109),0)</x:f>
        <x:v>156</x:v>
      </x:c>
      <x:c r="N109" s="20" t="n">
        <x:f>IF(K109="שוטף",M109,0)</x:f>
        <x:v>156</x:v>
      </x:c>
      <x:c r="O109" s="20" t="n">
        <x:f>IF(K109="הכנסה שסווגה מחדש",-G109,0)</x:f>
        <x:v>0</x:v>
      </x:c>
      <x:c r="P109" s="11" t="str">
        <x:v>אמקס עינור</x:v>
      </x:c>
      <x:c r="Q109" s="11" t="str"/>
      <x:c r="R109" s="11" t="str">
        <x:v>לא</x:v>
      </x:c>
    </x:row>
    <x:row r="110">
      <x:c r="A110" s="14" t="n">
        <x:v>45689</x:v>
      </x:c>
      <x:c r="B110" s="11" t="str">
        <x:v>2025-02</x:v>
      </x:c>
      <x:c r="C110" s="11" t="str">
        <x:v>פברואר 25</x:v>
      </x:c>
      <x:c r="D110" s="15" t="n">
        <x:v>38</x:v>
      </x:c>
      <x:c r="E110" s="11" t="str">
        <x:v>13</x:v>
      </x:c>
      <x:c r="F110" s="11" t="str">
        <x:v>סופר פארם</x:v>
      </x:c>
      <x:c r="G110" s="17" t="n">
        <x:v>15</x:v>
      </x:c>
      <x:c r="H110" s="18" t="str">
        <x:v>בריאות</x:v>
      </x:c>
      <x:c r="I110" s="19" t="str">
        <x:f>IFERROR(INDEX('מיפוי ומקורות'!$C$7:$C$33,MATCH(H110,'מיפוי ומקורות'!$B$7:$B$33,0)),"לא מסווג")</x:f>
        <x:v>בריאות וטיפולים</x:v>
      </x:c>
      <x:c r="J110" s="19" t="str">
        <x:f>IFERROR(INDEX('מיפוי ומקורות'!$D$7:$D$33,MATCH(H110,'מיפוי ומקורות'!$B$7:$B$33,0)),"שוטף")</x:f>
        <x:v>שוטף</x:v>
      </x:c>
      <x:c r="K110" s="19" t="str">
        <x:f>IF(OR(H110="ריביות",AND(H110="דירה כצנלסון",G110&lt;0,ISNUMBER(SEARCH("הכנסה",F110)))),"הכנסה שסווגה מחדש",J110)</x:f>
        <x:v>שוטף</x:v>
      </x:c>
      <x:c r="L110" s="19" t="str">
        <x:v>מאושר</x:v>
      </x:c>
      <x:c r="M110" s="20" t="n">
        <x:f>IF(L110="מאושר",IF(K110="הכנסה שסווגה מחדש",0,G110),0)</x:f>
        <x:v>15</x:v>
      </x:c>
      <x:c r="N110" s="20" t="n">
        <x:f>IF(K110="שוטף",M110,0)</x:f>
        <x:v>15</x:v>
      </x:c>
      <x:c r="O110" s="20" t="n">
        <x:f>IF(K110="הכנסה שסווגה מחדש",-G110,0)</x:f>
        <x:v>0</x:v>
      </x:c>
      <x:c r="P110" s="11" t="str">
        <x:v>אמקס עינור</x:v>
      </x:c>
      <x:c r="Q110" s="11" t="str"/>
      <x:c r="R110" s="11" t="str">
        <x:v>לא</x:v>
      </x:c>
    </x:row>
    <x:row r="111">
      <x:c r="A111" s="14" t="n">
        <x:v>45689</x:v>
      </x:c>
      <x:c r="B111" s="11" t="str">
        <x:v>2025-02</x:v>
      </x:c>
      <x:c r="C111" s="11" t="str">
        <x:v>פברואר 25</x:v>
      </x:c>
      <x:c r="D111" s="15" t="n">
        <x:v>39</x:v>
      </x:c>
      <x:c r="E111" s="11" t="str">
        <x:v>16</x:v>
      </x:c>
      <x:c r="F111" s="11" t="str">
        <x:v>סופר</x:v>
      </x:c>
      <x:c r="G111" s="17" t="n">
        <x:v>729</x:v>
      </x:c>
      <x:c r="H111" s="18" t="str">
        <x:v>מזון לבית</x:v>
      </x:c>
      <x:c r="I111" s="19" t="str">
        <x:f>IFERROR(INDEX('מיפוי ומקורות'!$C$7:$C$33,MATCH(H111,'מיפוי ומקורות'!$B$7:$B$33,0)),"לא מסווג")</x:f>
        <x:v>מזון לבית</x:v>
      </x:c>
      <x:c r="J111" s="19" t="str">
        <x:f>IFERROR(INDEX('מיפוי ומקורות'!$D$7:$D$33,MATCH(H111,'מיפוי ומקורות'!$B$7:$B$33,0)),"שוטף")</x:f>
        <x:v>שוטף</x:v>
      </x:c>
      <x:c r="K111" s="19" t="str">
        <x:f>IF(OR(H111="ריביות",AND(H111="דירה כצנלסון",G111&lt;0,ISNUMBER(SEARCH("הכנסה",F111)))),"הכנסה שסווגה מחדש",J111)</x:f>
        <x:v>שוטף</x:v>
      </x:c>
      <x:c r="L111" s="19" t="str">
        <x:v>מאושר</x:v>
      </x:c>
      <x:c r="M111" s="20" t="n">
        <x:f>IF(L111="מאושר",IF(K111="הכנסה שסווגה מחדש",0,G111),0)</x:f>
        <x:v>729</x:v>
      </x:c>
      <x:c r="N111" s="20" t="n">
        <x:f>IF(K111="שוטף",M111,0)</x:f>
        <x:v>729</x:v>
      </x:c>
      <x:c r="O111" s="20" t="n">
        <x:f>IF(K111="הכנסה שסווגה מחדש",-G111,0)</x:f>
        <x:v>0</x:v>
      </x:c>
      <x:c r="P111" s="11" t="str">
        <x:v>אמקס עינור</x:v>
      </x:c>
      <x:c r="Q111" s="11" t="str"/>
      <x:c r="R111" s="11" t="str">
        <x:v>לא</x:v>
      </x:c>
    </x:row>
    <x:row r="112">
      <x:c r="A112" s="14" t="n">
        <x:v>45689</x:v>
      </x:c>
      <x:c r="B112" s="11" t="str">
        <x:v>2025-02</x:v>
      </x:c>
      <x:c r="C112" s="11" t="str">
        <x:v>פברואר 25</x:v>
      </x:c>
      <x:c r="D112" s="15" t="n">
        <x:v>40</x:v>
      </x:c>
      <x:c r="E112" s="11" t="str">
        <x:v>17</x:v>
      </x:c>
      <x:c r="F112" s="11" t="str">
        <x:v>מכולת</x:v>
      </x:c>
      <x:c r="G112" s="17" t="n">
        <x:v>25</x:v>
      </x:c>
      <x:c r="H112" s="18" t="str">
        <x:v>אוכל בחוץ</x:v>
      </x:c>
      <x:c r="I112" s="19" t="str">
        <x:f>IFERROR(INDEX('מיפוי ומקורות'!$C$7:$C$33,MATCH(H112,'מיפוי ומקורות'!$B$7:$B$33,0)),"לא מסווג")</x:f>
        <x:v>אוכל בחוץ</x:v>
      </x:c>
      <x:c r="J112" s="19" t="str">
        <x:f>IFERROR(INDEX('מיפוי ומקורות'!$D$7:$D$33,MATCH(H112,'מיפוי ומקורות'!$B$7:$B$33,0)),"שוטף")</x:f>
        <x:v>שוטף</x:v>
      </x:c>
      <x:c r="K112" s="19" t="str">
        <x:f>IF(OR(H112="ריביות",AND(H112="דירה כצנלסון",G112&lt;0,ISNUMBER(SEARCH("הכנסה",F112)))),"הכנסה שסווגה מחדש",J112)</x:f>
        <x:v>שוטף</x:v>
      </x:c>
      <x:c r="L112" s="19" t="str">
        <x:v>מאושר</x:v>
      </x:c>
      <x:c r="M112" s="20" t="n">
        <x:f>IF(L112="מאושר",IF(K112="הכנסה שסווגה מחדש",0,G112),0)</x:f>
        <x:v>25</x:v>
      </x:c>
      <x:c r="N112" s="20" t="n">
        <x:f>IF(K112="שוטף",M112,0)</x:f>
        <x:v>25</x:v>
      </x:c>
      <x:c r="O112" s="20" t="n">
        <x:f>IF(K112="הכנסה שסווגה מחדש",-G112,0)</x:f>
        <x:v>0</x:v>
      </x:c>
      <x:c r="P112" s="11" t="str">
        <x:v>אמקס עינור</x:v>
      </x:c>
      <x:c r="Q112" s="11" t="str"/>
      <x:c r="R112" s="11" t="str">
        <x:v>לא</x:v>
      </x:c>
    </x:row>
    <x:row r="113">
      <x:c r="A113" s="14" t="n">
        <x:v>45689</x:v>
      </x:c>
      <x:c r="B113" s="11" t="str">
        <x:v>2025-02</x:v>
      </x:c>
      <x:c r="C113" s="11" t="str">
        <x:v>פברואר 25</x:v>
      </x:c>
      <x:c r="D113" s="15" t="n">
        <x:v>41</x:v>
      </x:c>
      <x:c r="E113" s="11" t="str">
        <x:v>19</x:v>
      </x:c>
      <x:c r="F113" s="11" t="str">
        <x:v>סושי</x:v>
      </x:c>
      <x:c r="G113" s="17" t="n">
        <x:v>150</x:v>
      </x:c>
      <x:c r="H113" s="18" t="str">
        <x:v>אוכל בחוץ</x:v>
      </x:c>
      <x:c r="I113" s="19" t="str">
        <x:f>IFERROR(INDEX('מיפוי ומקורות'!$C$7:$C$33,MATCH(H113,'מיפוי ומקורות'!$B$7:$B$33,0)),"לא מסווג")</x:f>
        <x:v>אוכל בחוץ</x:v>
      </x:c>
      <x:c r="J113" s="19" t="str">
        <x:f>IFERROR(INDEX('מיפוי ומקורות'!$D$7:$D$33,MATCH(H113,'מיפוי ומקורות'!$B$7:$B$33,0)),"שוטף")</x:f>
        <x:v>שוטף</x:v>
      </x:c>
      <x:c r="K113" s="19" t="str">
        <x:f>IF(OR(H113="ריביות",AND(H113="דירה כצנלסון",G113&lt;0,ISNUMBER(SEARCH("הכנסה",F113)))),"הכנסה שסווגה מחדש",J113)</x:f>
        <x:v>שוטף</x:v>
      </x:c>
      <x:c r="L113" s="19" t="str">
        <x:v>מאושר</x:v>
      </x:c>
      <x:c r="M113" s="20" t="n">
        <x:f>IF(L113="מאושר",IF(K113="הכנסה שסווגה מחדש",0,G113),0)</x:f>
        <x:v>150</x:v>
      </x:c>
      <x:c r="N113" s="20" t="n">
        <x:f>IF(K113="שוטף",M113,0)</x:f>
        <x:v>150</x:v>
      </x:c>
      <x:c r="O113" s="20" t="n">
        <x:f>IF(K113="הכנסה שסווגה מחדש",-G113,0)</x:f>
        <x:v>0</x:v>
      </x:c>
      <x:c r="P113" s="11" t="str">
        <x:v>אמקס עינור</x:v>
      </x:c>
      <x:c r="Q113" s="11" t="str"/>
      <x:c r="R113" s="11" t="str">
        <x:v>לא</x:v>
      </x:c>
    </x:row>
    <x:row r="114">
      <x:c r="A114" s="14" t="n">
        <x:v>45689</x:v>
      </x:c>
      <x:c r="B114" s="11" t="str">
        <x:v>2025-02</x:v>
      </x:c>
      <x:c r="C114" s="11" t="str">
        <x:v>פברואר 25</x:v>
      </x:c>
      <x:c r="D114" s="15" t="n">
        <x:v>42</x:v>
      </x:c>
      <x:c r="E114" s="11" t="str">
        <x:v>22</x:v>
      </x:c>
      <x:c r="F114" s="11" t="str">
        <x:v>מכולת</x:v>
      </x:c>
      <x:c r="G114" s="17" t="n">
        <x:v>56</x:v>
      </x:c>
      <x:c r="H114" s="18" t="str">
        <x:v>מזון לבית</x:v>
      </x:c>
      <x:c r="I114" s="19" t="str">
        <x:f>IFERROR(INDEX('מיפוי ומקורות'!$C$7:$C$33,MATCH(H114,'מיפוי ומקורות'!$B$7:$B$33,0)),"לא מסווג")</x:f>
        <x:v>מזון לבית</x:v>
      </x:c>
      <x:c r="J114" s="19" t="str">
        <x:f>IFERROR(INDEX('מיפוי ומקורות'!$D$7:$D$33,MATCH(H114,'מיפוי ומקורות'!$B$7:$B$33,0)),"שוטף")</x:f>
        <x:v>שוטף</x:v>
      </x:c>
      <x:c r="K114" s="19" t="str">
        <x:f>IF(OR(H114="ריביות",AND(H114="דירה כצנלסון",G114&lt;0,ISNUMBER(SEARCH("הכנסה",F114)))),"הכנסה שסווגה מחדש",J114)</x:f>
        <x:v>שוטף</x:v>
      </x:c>
      <x:c r="L114" s="19" t="str">
        <x:v>מאושר</x:v>
      </x:c>
      <x:c r="M114" s="20" t="n">
        <x:f>IF(L114="מאושר",IF(K114="הכנסה שסווגה מחדש",0,G114),0)</x:f>
        <x:v>56</x:v>
      </x:c>
      <x:c r="N114" s="20" t="n">
        <x:f>IF(K114="שוטף",M114,0)</x:f>
        <x:v>56</x:v>
      </x:c>
      <x:c r="O114" s="20" t="n">
        <x:f>IF(K114="הכנסה שסווגה מחדש",-G114,0)</x:f>
        <x:v>0</x:v>
      </x:c>
      <x:c r="P114" s="11" t="str">
        <x:v>אמקס עינור</x:v>
      </x:c>
      <x:c r="Q114" s="11" t="str"/>
      <x:c r="R114" s="11" t="str">
        <x:v>לא</x:v>
      </x:c>
    </x:row>
    <x:row r="115">
      <x:c r="A115" s="14" t="n">
        <x:v>45689</x:v>
      </x:c>
      <x:c r="B115" s="11" t="str">
        <x:v>2025-02</x:v>
      </x:c>
      <x:c r="C115" s="11" t="str">
        <x:v>פברואר 25</x:v>
      </x:c>
      <x:c r="D115" s="15" t="n">
        <x:v>43</x:v>
      </x:c>
      <x:c r="E115" s="11" t="str">
        <x:v>22</x:v>
      </x:c>
      <x:c r="F115" s="11" t="str">
        <x:v>זומבה</x:v>
      </x:c>
      <x:c r="G115" s="17" t="n">
        <x:v>25</x:v>
      </x:c>
      <x:c r="H115" s="18" t="str">
        <x:v>ספורט</x:v>
      </x:c>
      <x:c r="I115" s="19" t="str">
        <x:f>IFERROR(INDEX('מיפוי ומקורות'!$C$7:$C$33,MATCH(H115,'מיפוי ומקורות'!$B$7:$B$33,0)),"לא מסווג")</x:f>
        <x:v>ספורט</x:v>
      </x:c>
      <x:c r="J115" s="19" t="str">
        <x:f>IFERROR(INDEX('מיפוי ומקורות'!$D$7:$D$33,MATCH(H115,'מיפוי ומקורות'!$B$7:$B$33,0)),"שוטף")</x:f>
        <x:v>שוטף</x:v>
      </x:c>
      <x:c r="K115" s="19" t="str">
        <x:f>IF(OR(H115="ריביות",AND(H115="דירה כצנלסון",G115&lt;0,ISNUMBER(SEARCH("הכנסה",F115)))),"הכנסה שסווגה מחדש",J115)</x:f>
        <x:v>שוטף</x:v>
      </x:c>
      <x:c r="L115" s="19" t="str">
        <x:v>מאושר</x:v>
      </x:c>
      <x:c r="M115" s="20" t="n">
        <x:f>IF(L115="מאושר",IF(K115="הכנסה שסווגה מחדש",0,G115),0)</x:f>
        <x:v>25</x:v>
      </x:c>
      <x:c r="N115" s="20" t="n">
        <x:f>IF(K115="שוטף",M115,0)</x:f>
        <x:v>25</x:v>
      </x:c>
      <x:c r="O115" s="20" t="n">
        <x:f>IF(K115="הכנסה שסווגה מחדש",-G115,0)</x:f>
        <x:v>0</x:v>
      </x:c>
      <x:c r="P115" s="11" t="str">
        <x:v>אמקס עינור</x:v>
      </x:c>
      <x:c r="Q115" s="11" t="str"/>
      <x:c r="R115" s="11" t="str">
        <x:v>לא</x:v>
      </x:c>
    </x:row>
    <x:row r="116">
      <x:c r="A116" s="14" t="n">
        <x:v>45689</x:v>
      </x:c>
      <x:c r="B116" s="11" t="str">
        <x:v>2025-02</x:v>
      </x:c>
      <x:c r="C116" s="11" t="str">
        <x:v>פברואר 25</x:v>
      </x:c>
      <x:c r="D116" s="15" t="n">
        <x:v>44</x:v>
      </x:c>
      <x:c r="E116" s="11" t="str">
        <x:v>24</x:v>
      </x:c>
      <x:c r="F116" s="11" t="str">
        <x:v>אוכל</x:v>
      </x:c>
      <x:c r="G116" s="17" t="n">
        <x:v>75</x:v>
      </x:c>
      <x:c r="H116" s="18" t="str">
        <x:v>מזון לבית</x:v>
      </x:c>
      <x:c r="I116" s="19" t="str">
        <x:f>IFERROR(INDEX('מיפוי ומקורות'!$C$7:$C$33,MATCH(H116,'מיפוי ומקורות'!$B$7:$B$33,0)),"לא מסווג")</x:f>
        <x:v>מזון לבית</x:v>
      </x:c>
      <x:c r="J116" s="19" t="str">
        <x:f>IFERROR(INDEX('מיפוי ומקורות'!$D$7:$D$33,MATCH(H116,'מיפוי ומקורות'!$B$7:$B$33,0)),"שוטף")</x:f>
        <x:v>שוטף</x:v>
      </x:c>
      <x:c r="K116" s="19" t="str">
        <x:f>IF(OR(H116="ריביות",AND(H116="דירה כצנלסון",G116&lt;0,ISNUMBER(SEARCH("הכנסה",F116)))),"הכנסה שסווגה מחדש",J116)</x:f>
        <x:v>שוטף</x:v>
      </x:c>
      <x:c r="L116" s="19" t="str">
        <x:v>מאושר</x:v>
      </x:c>
      <x:c r="M116" s="20" t="n">
        <x:f>IF(L116="מאושר",IF(K116="הכנסה שסווגה מחדש",0,G116),0)</x:f>
        <x:v>75</x:v>
      </x:c>
      <x:c r="N116" s="20" t="n">
        <x:f>IF(K116="שוטף",M116,0)</x:f>
        <x:v>75</x:v>
      </x:c>
      <x:c r="O116" s="20" t="n">
        <x:f>IF(K116="הכנסה שסווגה מחדש",-G116,0)</x:f>
        <x:v>0</x:v>
      </x:c>
      <x:c r="P116" s="11" t="str">
        <x:v>אמקס עינור</x:v>
      </x:c>
      <x:c r="Q116" s="11" t="str"/>
      <x:c r="R116" s="11" t="str">
        <x:v>לא</x:v>
      </x:c>
    </x:row>
    <x:row r="117">
      <x:c r="A117" s="14" t="n">
        <x:v>45689</x:v>
      </x:c>
      <x:c r="B117" s="11" t="str">
        <x:v>2025-02</x:v>
      </x:c>
      <x:c r="C117" s="11" t="str">
        <x:v>פברואר 25</x:v>
      </x:c>
      <x:c r="D117" s="15" t="n">
        <x:v>45</x:v>
      </x:c>
      <x:c r="E117" s="11" t="str">
        <x:v>24</x:v>
      </x:c>
      <x:c r="F117" s="11" t="str">
        <x:v>מכולת</x:v>
      </x:c>
      <x:c r="G117" s="17" t="n">
        <x:v>74</x:v>
      </x:c>
      <x:c r="H117" s="18" t="str">
        <x:v>מזון לבית</x:v>
      </x:c>
      <x:c r="I117" s="19" t="str">
        <x:f>IFERROR(INDEX('מיפוי ומקורות'!$C$7:$C$33,MATCH(H117,'מיפוי ומקורות'!$B$7:$B$33,0)),"לא מסווג")</x:f>
        <x:v>מזון לבית</x:v>
      </x:c>
      <x:c r="J117" s="19" t="str">
        <x:f>IFERROR(INDEX('מיפוי ומקורות'!$D$7:$D$33,MATCH(H117,'מיפוי ומקורות'!$B$7:$B$33,0)),"שוטף")</x:f>
        <x:v>שוטף</x:v>
      </x:c>
      <x:c r="K117" s="19" t="str">
        <x:f>IF(OR(H117="ריביות",AND(H117="דירה כצנלסון",G117&lt;0,ISNUMBER(SEARCH("הכנסה",F117)))),"הכנסה שסווגה מחדש",J117)</x:f>
        <x:v>שוטף</x:v>
      </x:c>
      <x:c r="L117" s="19" t="str">
        <x:v>מאושר</x:v>
      </x:c>
      <x:c r="M117" s="20" t="n">
        <x:f>IF(L117="מאושר",IF(K117="הכנסה שסווגה מחדש",0,G117),0)</x:f>
        <x:v>74</x:v>
      </x:c>
      <x:c r="N117" s="20" t="n">
        <x:f>IF(K117="שוטף",M117,0)</x:f>
        <x:v>74</x:v>
      </x:c>
      <x:c r="O117" s="20" t="n">
        <x:f>IF(K117="הכנסה שסווגה מחדש",-G117,0)</x:f>
        <x:v>0</x:v>
      </x:c>
      <x:c r="P117" s="11" t="str">
        <x:v>אמקס עינור</x:v>
      </x:c>
      <x:c r="Q117" s="11" t="str"/>
      <x:c r="R117" s="11" t="str">
        <x:v>לא</x:v>
      </x:c>
    </x:row>
    <x:row r="118">
      <x:c r="A118" s="14" t="n">
        <x:v>45689</x:v>
      </x:c>
      <x:c r="B118" s="11" t="str">
        <x:v>2025-02</x:v>
      </x:c>
      <x:c r="C118" s="11" t="str">
        <x:v>פברואר 25</x:v>
      </x:c>
      <x:c r="D118" s="15" t="n">
        <x:v>46</x:v>
      </x:c>
      <x:c r="E118" s="11" t="str">
        <x:v>24</x:v>
      </x:c>
      <x:c r="F118" s="11" t="str">
        <x:v>מכבי טבעי</x:v>
      </x:c>
      <x:c r="G118" s="17" t="n">
        <x:v>438</x:v>
      </x:c>
      <x:c r="H118" s="18" t="str">
        <x:v>בריאות</x:v>
      </x:c>
      <x:c r="I118" s="19" t="str">
        <x:f>IFERROR(INDEX('מיפוי ומקורות'!$C$7:$C$33,MATCH(H118,'מיפוי ומקורות'!$B$7:$B$33,0)),"לא מסווג")</x:f>
        <x:v>בריאות וטיפולים</x:v>
      </x:c>
      <x:c r="J118" s="19" t="str">
        <x:f>IFERROR(INDEX('מיפוי ומקורות'!$D$7:$D$33,MATCH(H118,'מיפוי ומקורות'!$B$7:$B$33,0)),"שוטף")</x:f>
        <x:v>שוטף</x:v>
      </x:c>
      <x:c r="K118" s="19" t="str">
        <x:f>IF(OR(H118="ריביות",AND(H118="דירה כצנלסון",G118&lt;0,ISNUMBER(SEARCH("הכנסה",F118)))),"הכנסה שסווגה מחדש",J118)</x:f>
        <x:v>שוטף</x:v>
      </x:c>
      <x:c r="L118" s="19" t="str">
        <x:v>מאושר</x:v>
      </x:c>
      <x:c r="M118" s="20" t="n">
        <x:f>IF(L118="מאושר",IF(K118="הכנסה שסווגה מחדש",0,G118),0)</x:f>
        <x:v>438</x:v>
      </x:c>
      <x:c r="N118" s="20" t="n">
        <x:f>IF(K118="שוטף",M118,0)</x:f>
        <x:v>438</x:v>
      </x:c>
      <x:c r="O118" s="20" t="n">
        <x:f>IF(K118="הכנסה שסווגה מחדש",-G118,0)</x:f>
        <x:v>0</x:v>
      </x:c>
      <x:c r="P118" s="11" t="str">
        <x:v>אמקס עינור</x:v>
      </x:c>
      <x:c r="Q118" s="11" t="str"/>
      <x:c r="R118" s="11" t="str">
        <x:v>לא</x:v>
      </x:c>
    </x:row>
    <x:row r="119">
      <x:c r="A119" s="14" t="n">
        <x:v>45689</x:v>
      </x:c>
      <x:c r="B119" s="11" t="str">
        <x:v>2025-02</x:v>
      </x:c>
      <x:c r="C119" s="11" t="str">
        <x:v>פברואר 25</x:v>
      </x:c>
      <x:c r="D119" s="15" t="n">
        <x:v>47</x:v>
      </x:c>
      <x:c r="E119" s="11" t="str">
        <x:v>26</x:v>
      </x:c>
      <x:c r="F119" s="11" t="str">
        <x:v>שירה טיפול זוגי</x:v>
      </x:c>
      <x:c r="G119" s="17" t="n">
        <x:v>1680</x:v>
      </x:c>
      <x:c r="H119" s="18" t="str">
        <x:v>בריאות</x:v>
      </x:c>
      <x:c r="I119" s="19" t="str">
        <x:f>IFERROR(INDEX('מיפוי ומקורות'!$C$7:$C$33,MATCH(H119,'מיפוי ומקורות'!$B$7:$B$33,0)),"לא מסווג")</x:f>
        <x:v>בריאות וטיפולים</x:v>
      </x:c>
      <x:c r="J119" s="19" t="str">
        <x:f>IFERROR(INDEX('מיפוי ומקורות'!$D$7:$D$33,MATCH(H119,'מיפוי ומקורות'!$B$7:$B$33,0)),"שוטף")</x:f>
        <x:v>שוטף</x:v>
      </x:c>
      <x:c r="K119" s="19" t="str">
        <x:f>IF(OR(H119="ריביות",AND(H119="דירה כצנלסון",G119&lt;0,ISNUMBER(SEARCH("הכנסה",F119)))),"הכנסה שסווגה מחדש",J119)</x:f>
        <x:v>שוטף</x:v>
      </x:c>
      <x:c r="L119" s="19" t="str">
        <x:v>מאושר</x:v>
      </x:c>
      <x:c r="M119" s="20" t="n">
        <x:f>IF(L119="מאושר",IF(K119="הכנסה שסווגה מחדש",0,G119),0)</x:f>
        <x:v>1680</x:v>
      </x:c>
      <x:c r="N119" s="20" t="n">
        <x:f>IF(K119="שוטף",M119,0)</x:f>
        <x:v>1680</x:v>
      </x:c>
      <x:c r="O119" s="20" t="n">
        <x:f>IF(K119="הכנסה שסווגה מחדש",-G119,0)</x:f>
        <x:v>0</x:v>
      </x:c>
      <x:c r="P119" s="11" t="str">
        <x:v>אמקס עינור</x:v>
      </x:c>
      <x:c r="Q119" s="11" t="str"/>
      <x:c r="R119" s="11" t="str">
        <x:v>לא</x:v>
      </x:c>
    </x:row>
    <x:row r="120">
      <x:c r="A120" s="14" t="n">
        <x:v>45689</x:v>
      </x:c>
      <x:c r="B120" s="11" t="str">
        <x:v>2025-02</x:v>
      </x:c>
      <x:c r="C120" s="11" t="str">
        <x:v>פברואר 25</x:v>
      </x:c>
      <x:c r="D120" s="15" t="n">
        <x:v>48</x:v>
      </x:c>
      <x:c r="E120" s="11" t="str">
        <x:v>31.1</x:v>
      </x:c>
      <x:c r="F120" s="11" t="str">
        <x:v>פרחים - ביט</x:v>
      </x:c>
      <x:c r="G120" s="17" t="n">
        <x:v>35</x:v>
      </x:c>
      <x:c r="H120" s="18" t="str">
        <x:v>קניות לבית</x:v>
      </x:c>
      <x:c r="I120" s="19" t="str">
        <x:f>IFERROR(INDEX('מיפוי ומקורות'!$C$7:$C$33,MATCH(H120,'מיפוי ומקורות'!$B$7:$B$33,0)),"לא מסווג")</x:f>
        <x:v>קניות לבית</x:v>
      </x:c>
      <x:c r="J120" s="19" t="str">
        <x:f>IFERROR(INDEX('מיפוי ומקורות'!$D$7:$D$33,MATCH(H120,'מיפוי ומקורות'!$B$7:$B$33,0)),"שוטף")</x:f>
        <x:v>שוטף</x:v>
      </x:c>
      <x:c r="K120" s="19" t="str">
        <x:f>IF(OR(H120="ריביות",AND(H120="דירה כצנלסון",G120&lt;0,ISNUMBER(SEARCH("הכנסה",F120)))),"הכנסה שסווגה מחדש",J120)</x:f>
        <x:v>שוטף</x:v>
      </x:c>
      <x:c r="L120" s="19" t="str">
        <x:v>מאושר</x:v>
      </x:c>
      <x:c r="M120" s="20" t="n">
        <x:f>IF(L120="מאושר",IF(K120="הכנסה שסווגה מחדש",0,G120),0)</x:f>
        <x:v>35</x:v>
      </x:c>
      <x:c r="N120" s="20" t="n">
        <x:f>IF(K120="שוטף",M120,0)</x:f>
        <x:v>35</x:v>
      </x:c>
      <x:c r="O120" s="20" t="n">
        <x:f>IF(K120="הכנסה שסווגה מחדש",-G120,0)</x:f>
        <x:v>0</x:v>
      </x:c>
      <x:c r="P120" s="11" t="str">
        <x:v>מקס עינור</x:v>
      </x:c>
      <x:c r="Q120" s="11" t="str"/>
      <x:c r="R120" s="11" t="str">
        <x:v>לא</x:v>
      </x:c>
    </x:row>
    <x:row r="121">
      <x:c r="A121" s="14" t="n">
        <x:v>45689</x:v>
      </x:c>
      <x:c r="B121" s="11" t="str">
        <x:v>2025-02</x:v>
      </x:c>
      <x:c r="C121" s="11" t="str">
        <x:v>פברואר 25</x:v>
      </x:c>
      <x:c r="D121" s="15" t="n">
        <x:v>49</x:v>
      </x:c>
      <x:c r="E121" s="11" t="str">
        <x:v>2</x:v>
      </x:c>
      <x:c r="F121" s="11" t="str">
        <x:v>טיפול פנים - ביט</x:v>
      </x:c>
      <x:c r="G121" s="17" t="n">
        <x:v>470</x:v>
      </x:c>
      <x:c r="H121" s="18" t="str">
        <x:v>קוסמטיקה</x:v>
      </x:c>
      <x:c r="I121" s="19" t="str">
        <x:f>IFERROR(INDEX('מיפוי ומקורות'!$C$7:$C$33,MATCH(H121,'מיפוי ומקורות'!$B$7:$B$33,0)),"לא מסווג")</x:f>
        <x:v>קוסמטיקה</x:v>
      </x:c>
      <x:c r="J121" s="19" t="str">
        <x:f>IFERROR(INDEX('מיפוי ומקורות'!$D$7:$D$33,MATCH(H121,'מיפוי ומקורות'!$B$7:$B$33,0)),"שוטף")</x:f>
        <x:v>שוטף</x:v>
      </x:c>
      <x:c r="K121" s="19" t="str">
        <x:f>IF(OR(H121="ריביות",AND(H121="דירה כצנלסון",G121&lt;0,ISNUMBER(SEARCH("הכנסה",F121)))),"הכנסה שסווגה מחדש",J121)</x:f>
        <x:v>שוטף</x:v>
      </x:c>
      <x:c r="L121" s="19" t="str">
        <x:v>מאושר</x:v>
      </x:c>
      <x:c r="M121" s="20" t="n">
        <x:f>IF(L121="מאושר",IF(K121="הכנסה שסווגה מחדש",0,G121),0)</x:f>
        <x:v>470</x:v>
      </x:c>
      <x:c r="N121" s="20" t="n">
        <x:f>IF(K121="שוטף",M121,0)</x:f>
        <x:v>470</x:v>
      </x:c>
      <x:c r="O121" s="20" t="n">
        <x:f>IF(K121="הכנסה שסווגה מחדש",-G121,0)</x:f>
        <x:v>0</x:v>
      </x:c>
      <x:c r="P121" s="11" t="str">
        <x:v>מקס עינור</x:v>
      </x:c>
      <x:c r="Q121" s="11" t="str"/>
      <x:c r="R121" s="11" t="str">
        <x:v>לא</x:v>
      </x:c>
    </x:row>
    <x:row r="122">
      <x:c r="A122" s="14" t="n">
        <x:v>45689</x:v>
      </x:c>
      <x:c r="B122" s="11" t="str">
        <x:v>2025-02</x:v>
      </x:c>
      <x:c r="C122" s="11" t="str">
        <x:v>פברואר 25</x:v>
      </x:c>
      <x:c r="D122" s="15" t="n">
        <x:v>50</x:v>
      </x:c>
      <x:c r="E122" s="11" t="str">
        <x:v>9</x:v>
      </x:c>
      <x:c r="F122" s="11" t="str">
        <x:v>לק</x:v>
      </x:c>
      <x:c r="G122" s="17" t="n">
        <x:v>110</x:v>
      </x:c>
      <x:c r="H122" s="18" t="str">
        <x:v>קוסמטיקה</x:v>
      </x:c>
      <x:c r="I122" s="19" t="str">
        <x:f>IFERROR(INDEX('מיפוי ומקורות'!$C$7:$C$33,MATCH(H122,'מיפוי ומקורות'!$B$7:$B$33,0)),"לא מסווג")</x:f>
        <x:v>קוסמטיקה</x:v>
      </x:c>
      <x:c r="J122" s="19" t="str">
        <x:f>IFERROR(INDEX('מיפוי ומקורות'!$D$7:$D$33,MATCH(H122,'מיפוי ומקורות'!$B$7:$B$33,0)),"שוטף")</x:f>
        <x:v>שוטף</x:v>
      </x:c>
      <x:c r="K122" s="19" t="str">
        <x:f>IF(OR(H122="ריביות",AND(H122="דירה כצנלסון",G122&lt;0,ISNUMBER(SEARCH("הכנסה",F122)))),"הכנסה שסווגה מחדש",J122)</x:f>
        <x:v>שוטף</x:v>
      </x:c>
      <x:c r="L122" s="19" t="str">
        <x:v>מאושר</x:v>
      </x:c>
      <x:c r="M122" s="20" t="n">
        <x:f>IF(L122="מאושר",IF(K122="הכנסה שסווגה מחדש",0,G122),0)</x:f>
        <x:v>110</x:v>
      </x:c>
      <x:c r="N122" s="20" t="n">
        <x:f>IF(K122="שוטף",M122,0)</x:f>
        <x:v>110</x:v>
      </x:c>
      <x:c r="O122" s="20" t="n">
        <x:f>IF(K122="הכנסה שסווגה מחדש",-G122,0)</x:f>
        <x:v>0</x:v>
      </x:c>
      <x:c r="P122" s="11" t="str">
        <x:v>מקס עינור</x:v>
      </x:c>
      <x:c r="Q122" s="11" t="str"/>
      <x:c r="R122" s="11" t="str">
        <x:v>לא</x:v>
      </x:c>
    </x:row>
    <x:row r="123">
      <x:c r="A123" s="14" t="n">
        <x:v>45689</x:v>
      </x:c>
      <x:c r="B123" s="11" t="str">
        <x:v>2025-02</x:v>
      </x:c>
      <x:c r="C123" s="11" t="str">
        <x:v>פברואר 25</x:v>
      </x:c>
      <x:c r="D123" s="15" t="n">
        <x:v>51</x:v>
      </x:c>
      <x:c r="E123" s="11" t="str">
        <x:v>18</x:v>
      </x:c>
      <x:c r="F123" s="11" t="str">
        <x:v>מתנה ללורן</x:v>
      </x:c>
      <x:c r="G123" s="17" t="n">
        <x:v>20</x:v>
      </x:c>
      <x:c r="H123" s="18" t="str">
        <x:v>מתנה</x:v>
      </x:c>
      <x:c r="I123" s="19" t="str">
        <x:f>IFERROR(INDEX('מיפוי ומקורות'!$C$7:$C$33,MATCH(H123,'מיפוי ומקורות'!$B$7:$B$33,0)),"לא מסווג")</x:f>
        <x:v>מתנה</x:v>
      </x:c>
      <x:c r="J123" s="19" t="str">
        <x:f>IFERROR(INDEX('מיפוי ומקורות'!$D$7:$D$33,MATCH(H123,'מיפוי ומקורות'!$B$7:$B$33,0)),"שוטף")</x:f>
        <x:v>שוטף</x:v>
      </x:c>
      <x:c r="K123" s="19" t="str">
        <x:f>IF(OR(H123="ריביות",AND(H123="דירה כצנלסון",G123&lt;0,ISNUMBER(SEARCH("הכנסה",F123)))),"הכנסה שסווגה מחדש",J123)</x:f>
        <x:v>שוטף</x:v>
      </x:c>
      <x:c r="L123" s="19" t="str">
        <x:v>מאושר</x:v>
      </x:c>
      <x:c r="M123" s="20" t="n">
        <x:f>IF(L123="מאושר",IF(K123="הכנסה שסווגה מחדש",0,G123),0)</x:f>
        <x:v>20</x:v>
      </x:c>
      <x:c r="N123" s="20" t="n">
        <x:f>IF(K123="שוטף",M123,0)</x:f>
        <x:v>20</x:v>
      </x:c>
      <x:c r="O123" s="20" t="n">
        <x:f>IF(K123="הכנסה שסווגה מחדש",-G123,0)</x:f>
        <x:v>0</x:v>
      </x:c>
      <x:c r="P123" s="11" t="str">
        <x:v>מקס עינור</x:v>
      </x:c>
      <x:c r="Q123" s="11" t="str"/>
      <x:c r="R123" s="11" t="str">
        <x:v>לא</x:v>
      </x:c>
    </x:row>
    <x:row r="124">
      <x:c r="A124" s="14" t="n">
        <x:v>45689</x:v>
      </x:c>
      <x:c r="B124" s="11" t="str">
        <x:v>2025-02</x:v>
      </x:c>
      <x:c r="C124" s="11" t="str">
        <x:v>פברואר 25</x:v>
      </x:c>
      <x:c r="D124" s="15" t="n">
        <x:v>52</x:v>
      </x:c>
      <x:c r="E124" s="11" t="str">
        <x:v>25</x:v>
      </x:c>
      <x:c r="F124" s="11" t="str">
        <x:v>אוטובוס</x:v>
      </x:c>
      <x:c r="G124" s="17" t="n">
        <x:v>6</x:v>
      </x:c>
      <x:c r="H124" s="18" t="str">
        <x:v>תחבורה</x:v>
      </x:c>
      <x:c r="I124" s="19" t="str">
        <x:f>IFERROR(INDEX('מיפוי ומקורות'!$C$7:$C$33,MATCH(H124,'מיפוי ומקורות'!$B$7:$B$33,0)),"לא מסווג")</x:f>
        <x:v>תחבורה</x:v>
      </x:c>
      <x:c r="J124" s="19" t="str">
        <x:f>IFERROR(INDEX('מיפוי ומקורות'!$D$7:$D$33,MATCH(H124,'מיפוי ומקורות'!$B$7:$B$33,0)),"שוטף")</x:f>
        <x:v>שוטף</x:v>
      </x:c>
      <x:c r="K124" s="19" t="str">
        <x:f>IF(OR(H124="ריביות",AND(H124="דירה כצנלסון",G124&lt;0,ISNUMBER(SEARCH("הכנסה",F124)))),"הכנסה שסווגה מחדש",J124)</x:f>
        <x:v>שוטף</x:v>
      </x:c>
      <x:c r="L124" s="19" t="str">
        <x:v>מאושר</x:v>
      </x:c>
      <x:c r="M124" s="20" t="n">
        <x:f>IF(L124="מאושר",IF(K124="הכנסה שסווגה מחדש",0,G124),0)</x:f>
        <x:v>6</x:v>
      </x:c>
      <x:c r="N124" s="20" t="n">
        <x:f>IF(K124="שוטף",M124,0)</x:f>
        <x:v>6</x:v>
      </x:c>
      <x:c r="O124" s="20" t="n">
        <x:f>IF(K124="הכנסה שסווגה מחדש",-G124,0)</x:f>
        <x:v>0</x:v>
      </x:c>
      <x:c r="P124" s="11" t="str">
        <x:v>מקס עינור</x:v>
      </x:c>
      <x:c r="Q124" s="11" t="str"/>
      <x:c r="R124" s="11" t="str">
        <x:v>לא</x:v>
      </x:c>
    </x:row>
    <x:row r="125">
      <x:c r="A125" s="14" t="n">
        <x:v>45689</x:v>
      </x:c>
      <x:c r="B125" s="11" t="str">
        <x:v>2025-02</x:v>
      </x:c>
      <x:c r="C125" s="11" t="str">
        <x:v>פברואר 25</x:v>
      </x:c>
      <x:c r="D125" s="15" t="n">
        <x:v>53</x:v>
      </x:c>
      <x:c r="E125" s="11" t="str">
        <x:v>2</x:v>
      </x:c>
      <x:c r="F125" s="11" t="str">
        <x:v>מכולת</x:v>
      </x:c>
      <x:c r="G125" s="17" t="n">
        <x:v>29</x:v>
      </x:c>
      <x:c r="H125" s="18" t="str">
        <x:v>מזון לבית</x:v>
      </x:c>
      <x:c r="I125" s="19" t="str">
        <x:f>IFERROR(INDEX('מיפוי ומקורות'!$C$7:$C$33,MATCH(H125,'מיפוי ומקורות'!$B$7:$B$33,0)),"לא מסווג")</x:f>
        <x:v>מזון לבית</x:v>
      </x:c>
      <x:c r="J125" s="19" t="str">
        <x:f>IFERROR(INDEX('מיפוי ומקורות'!$D$7:$D$33,MATCH(H125,'מיפוי ומקורות'!$B$7:$B$33,0)),"שוטף")</x:f>
        <x:v>שוטף</x:v>
      </x:c>
      <x:c r="K125" s="19" t="str">
        <x:f>IF(OR(H125="ריביות",AND(H125="דירה כצנלסון",G125&lt;0,ISNUMBER(SEARCH("הכנסה",F125)))),"הכנסה שסווגה מחדש",J125)</x:f>
        <x:v>שוטף</x:v>
      </x:c>
      <x:c r="L125" s="19" t="str">
        <x:v>מאושר</x:v>
      </x:c>
      <x:c r="M125" s="20" t="n">
        <x:f>IF(L125="מאושר",IF(K125="הכנסה שסווגה מחדש",0,G125),0)</x:f>
        <x:v>29</x:v>
      </x:c>
      <x:c r="N125" s="20" t="n">
        <x:f>IF(K125="שוטף",M125,0)</x:f>
        <x:v>29</x:v>
      </x:c>
      <x:c r="O125" s="20" t="n">
        <x:f>IF(K125="הכנסה שסווגה מחדש",-G125,0)</x:f>
        <x:v>0</x:v>
      </x:c>
      <x:c r="P125" s="11" t="str">
        <x:v>סיבוס עינור</x:v>
      </x:c>
      <x:c r="Q125" s="11" t="str"/>
      <x:c r="R125" s="11" t="str">
        <x:v>לא</x:v>
      </x:c>
    </x:row>
    <x:row r="126">
      <x:c r="A126" s="14" t="n">
        <x:v>45689</x:v>
      </x:c>
      <x:c r="B126" s="11" t="str">
        <x:v>2025-02</x:v>
      </x:c>
      <x:c r="C126" s="11" t="str">
        <x:v>פברואר 25</x:v>
      </x:c>
      <x:c r="D126" s="15" t="n">
        <x:v>54</x:v>
      </x:c>
      <x:c r="E126" s="11" t="str">
        <x:v>4</x:v>
      </x:c>
      <x:c r="F126" s="11" t="str">
        <x:v>מכולת</x:v>
      </x:c>
      <x:c r="G126" s="17" t="n">
        <x:v>54</x:v>
      </x:c>
      <x:c r="H126" s="18" t="str">
        <x:v>מזון לבית</x:v>
      </x:c>
      <x:c r="I126" s="19" t="str">
        <x:f>IFERROR(INDEX('מיפוי ומקורות'!$C$7:$C$33,MATCH(H126,'מיפוי ומקורות'!$B$7:$B$33,0)),"לא מסווג")</x:f>
        <x:v>מזון לבית</x:v>
      </x:c>
      <x:c r="J126" s="19" t="str">
        <x:f>IFERROR(INDEX('מיפוי ומקורות'!$D$7:$D$33,MATCH(H126,'מיפוי ומקורות'!$B$7:$B$33,0)),"שוטף")</x:f>
        <x:v>שוטף</x:v>
      </x:c>
      <x:c r="K126" s="19" t="str">
        <x:f>IF(OR(H126="ריביות",AND(H126="דירה כצנלסון",G126&lt;0,ISNUMBER(SEARCH("הכנסה",F126)))),"הכנסה שסווגה מחדש",J126)</x:f>
        <x:v>שוטף</x:v>
      </x:c>
      <x:c r="L126" s="19" t="str">
        <x:v>מאושר</x:v>
      </x:c>
      <x:c r="M126" s="20" t="n">
        <x:f>IF(L126="מאושר",IF(K126="הכנסה שסווגה מחדש",0,G126),0)</x:f>
        <x:v>54</x:v>
      </x:c>
      <x:c r="N126" s="20" t="n">
        <x:f>IF(K126="שוטף",M126,0)</x:f>
        <x:v>54</x:v>
      </x:c>
      <x:c r="O126" s="20" t="n">
        <x:f>IF(K126="הכנסה שסווגה מחדש",-G126,0)</x:f>
        <x:v>0</x:v>
      </x:c>
      <x:c r="P126" s="11" t="str">
        <x:v>סיבוס עינור</x:v>
      </x:c>
      <x:c r="Q126" s="11" t="str"/>
      <x:c r="R126" s="11" t="str">
        <x:v>לא</x:v>
      </x:c>
    </x:row>
    <x:row r="127">
      <x:c r="A127" s="14" t="n">
        <x:v>45689</x:v>
      </x:c>
      <x:c r="B127" s="11" t="str">
        <x:v>2025-02</x:v>
      </x:c>
      <x:c r="C127" s="11" t="str">
        <x:v>פברואר 25</x:v>
      </x:c>
      <x:c r="D127" s="15" t="n">
        <x:v>55</x:v>
      </x:c>
      <x:c r="E127" s="11" t="str">
        <x:v>6</x:v>
      </x:c>
      <x:c r="F127" s="11" t="str">
        <x:v>אוכל</x:v>
      </x:c>
      <x:c r="G127" s="17" t="n">
        <x:v>90</x:v>
      </x:c>
      <x:c r="H127" s="18" t="str">
        <x:v>אוכל בחוץ</x:v>
      </x:c>
      <x:c r="I127" s="19" t="str">
        <x:f>IFERROR(INDEX('מיפוי ומקורות'!$C$7:$C$33,MATCH(H127,'מיפוי ומקורות'!$B$7:$B$33,0)),"לא מסווג")</x:f>
        <x:v>אוכל בחוץ</x:v>
      </x:c>
      <x:c r="J127" s="19" t="str">
        <x:f>IFERROR(INDEX('מיפוי ומקורות'!$D$7:$D$33,MATCH(H127,'מיפוי ומקורות'!$B$7:$B$33,0)),"שוטף")</x:f>
        <x:v>שוטף</x:v>
      </x:c>
      <x:c r="K127" s="19" t="str">
        <x:f>IF(OR(H127="ריביות",AND(H127="דירה כצנלסון",G127&lt;0,ISNUMBER(SEARCH("הכנסה",F127)))),"הכנסה שסווגה מחדש",J127)</x:f>
        <x:v>שוטף</x:v>
      </x:c>
      <x:c r="L127" s="19" t="str">
        <x:v>מאושר</x:v>
      </x:c>
      <x:c r="M127" s="20" t="n">
        <x:f>IF(L127="מאושר",IF(K127="הכנסה שסווגה מחדש",0,G127),0)</x:f>
        <x:v>90</x:v>
      </x:c>
      <x:c r="N127" s="20" t="n">
        <x:f>IF(K127="שוטף",M127,0)</x:f>
        <x:v>90</x:v>
      </x:c>
      <x:c r="O127" s="20" t="n">
        <x:f>IF(K127="הכנסה שסווגה מחדש",-G127,0)</x:f>
        <x:v>0</x:v>
      </x:c>
      <x:c r="P127" s="11" t="str">
        <x:v>סיבוס עינור</x:v>
      </x:c>
      <x:c r="Q127" s="11" t="str"/>
      <x:c r="R127" s="11" t="str">
        <x:v>לא</x:v>
      </x:c>
    </x:row>
    <x:row r="128">
      <x:c r="A128" s="14" t="n">
        <x:v>45689</x:v>
      </x:c>
      <x:c r="B128" s="11" t="str">
        <x:v>2025-02</x:v>
      </x:c>
      <x:c r="C128" s="11" t="str">
        <x:v>פברואר 25</x:v>
      </x:c>
      <x:c r="D128" s="15" t="n">
        <x:v>56</x:v>
      </x:c>
      <x:c r="E128" s="11" t="str">
        <x:v>6</x:v>
      </x:c>
      <x:c r="F128" s="11" t="str">
        <x:v>מכולת</x:v>
      </x:c>
      <x:c r="G128" s="17" t="n">
        <x:v>73</x:v>
      </x:c>
      <x:c r="H128" s="18" t="str">
        <x:v>מזון לבית</x:v>
      </x:c>
      <x:c r="I128" s="19" t="str">
        <x:f>IFERROR(INDEX('מיפוי ומקורות'!$C$7:$C$33,MATCH(H128,'מיפוי ומקורות'!$B$7:$B$33,0)),"לא מסווג")</x:f>
        <x:v>מזון לבית</x:v>
      </x:c>
      <x:c r="J128" s="19" t="str">
        <x:f>IFERROR(INDEX('מיפוי ומקורות'!$D$7:$D$33,MATCH(H128,'מיפוי ומקורות'!$B$7:$B$33,0)),"שוטף")</x:f>
        <x:v>שוטף</x:v>
      </x:c>
      <x:c r="K128" s="19" t="str">
        <x:f>IF(OR(H128="ריביות",AND(H128="דירה כצנלסון",G128&lt;0,ISNUMBER(SEARCH("הכנסה",F128)))),"הכנסה שסווגה מחדש",J128)</x:f>
        <x:v>שוטף</x:v>
      </x:c>
      <x:c r="L128" s="19" t="str">
        <x:v>מאושר</x:v>
      </x:c>
      <x:c r="M128" s="20" t="n">
        <x:f>IF(L128="מאושר",IF(K128="הכנסה שסווגה מחדש",0,G128),0)</x:f>
        <x:v>73</x:v>
      </x:c>
      <x:c r="N128" s="20" t="n">
        <x:f>IF(K128="שוטף",M128,0)</x:f>
        <x:v>73</x:v>
      </x:c>
      <x:c r="O128" s="20" t="n">
        <x:f>IF(K128="הכנסה שסווגה מחדש",-G128,0)</x:f>
        <x:v>0</x:v>
      </x:c>
      <x:c r="P128" s="11" t="str">
        <x:v>סיבוס עינור</x:v>
      </x:c>
      <x:c r="Q128" s="11" t="str"/>
      <x:c r="R128" s="11" t="str">
        <x:v>לא</x:v>
      </x:c>
    </x:row>
    <x:row r="129">
      <x:c r="A129" s="14" t="n">
        <x:v>45689</x:v>
      </x:c>
      <x:c r="B129" s="11" t="str">
        <x:v>2025-02</x:v>
      </x:c>
      <x:c r="C129" s="11" t="str">
        <x:v>פברואר 25</x:v>
      </x:c>
      <x:c r="D129" s="15" t="n">
        <x:v>57</x:v>
      </x:c>
      <x:c r="E129" s="11" t="str">
        <x:v>10</x:v>
      </x:c>
      <x:c r="F129" s="11" t="str">
        <x:v>מכולת</x:v>
      </x:c>
      <x:c r="G129" s="17" t="n">
        <x:v>76</x:v>
      </x:c>
      <x:c r="H129" s="18" t="str">
        <x:v>מזון לבית</x:v>
      </x:c>
      <x:c r="I129" s="19" t="str">
        <x:f>IFERROR(INDEX('מיפוי ומקורות'!$C$7:$C$33,MATCH(H129,'מיפוי ומקורות'!$B$7:$B$33,0)),"לא מסווג")</x:f>
        <x:v>מזון לבית</x:v>
      </x:c>
      <x:c r="J129" s="19" t="str">
        <x:f>IFERROR(INDEX('מיפוי ומקורות'!$D$7:$D$33,MATCH(H129,'מיפוי ומקורות'!$B$7:$B$33,0)),"שוטף")</x:f>
        <x:v>שוטף</x:v>
      </x:c>
      <x:c r="K129" s="19" t="str">
        <x:f>IF(OR(H129="ריביות",AND(H129="דירה כצנלסון",G129&lt;0,ISNUMBER(SEARCH("הכנסה",F129)))),"הכנסה שסווגה מחדש",J129)</x:f>
        <x:v>שוטף</x:v>
      </x:c>
      <x:c r="L129" s="19" t="str">
        <x:v>מאושר</x:v>
      </x:c>
      <x:c r="M129" s="20" t="n">
        <x:f>IF(L129="מאושר",IF(K129="הכנסה שסווגה מחדש",0,G129),0)</x:f>
        <x:v>76</x:v>
      </x:c>
      <x:c r="N129" s="20" t="n">
        <x:f>IF(K129="שוטף",M129,0)</x:f>
        <x:v>76</x:v>
      </x:c>
      <x:c r="O129" s="20" t="n">
        <x:f>IF(K129="הכנסה שסווגה מחדש",-G129,0)</x:f>
        <x:v>0</x:v>
      </x:c>
      <x:c r="P129" s="11" t="str">
        <x:v>סיבוס עינור</x:v>
      </x:c>
      <x:c r="Q129" s="11" t="str"/>
      <x:c r="R129" s="11" t="str">
        <x:v>לא</x:v>
      </x:c>
    </x:row>
    <x:row r="130">
      <x:c r="A130" s="14" t="n">
        <x:v>45689</x:v>
      </x:c>
      <x:c r="B130" s="11" t="str">
        <x:v>2025-02</x:v>
      </x:c>
      <x:c r="C130" s="11" t="str">
        <x:v>פברואר 25</x:v>
      </x:c>
      <x:c r="D130" s="15" t="n">
        <x:v>58</x:v>
      </x:c>
      <x:c r="E130" s="11" t="str">
        <x:v>10</x:v>
      </x:c>
      <x:c r="F130" s="11" t="str">
        <x:v>מכולת</x:v>
      </x:c>
      <x:c r="G130" s="17" t="n">
        <x:v>96</x:v>
      </x:c>
      <x:c r="H130" s="18" t="str">
        <x:v>מזון לבית</x:v>
      </x:c>
      <x:c r="I130" s="19" t="str">
        <x:f>IFERROR(INDEX('מיפוי ומקורות'!$C$7:$C$33,MATCH(H130,'מיפוי ומקורות'!$B$7:$B$33,0)),"לא מסווג")</x:f>
        <x:v>מזון לבית</x:v>
      </x:c>
      <x:c r="J130" s="19" t="str">
        <x:f>IFERROR(INDEX('מיפוי ומקורות'!$D$7:$D$33,MATCH(H130,'מיפוי ומקורות'!$B$7:$B$33,0)),"שוטף")</x:f>
        <x:v>שוטף</x:v>
      </x:c>
      <x:c r="K130" s="19" t="str">
        <x:f>IF(OR(H130="ריביות",AND(H130="דירה כצנלסון",G130&lt;0,ISNUMBER(SEARCH("הכנסה",F130)))),"הכנסה שסווגה מחדש",J130)</x:f>
        <x:v>שוטף</x:v>
      </x:c>
      <x:c r="L130" s="19" t="str">
        <x:v>מאושר</x:v>
      </x:c>
      <x:c r="M130" s="20" t="n">
        <x:f>IF(L130="מאושר",IF(K130="הכנסה שסווגה מחדש",0,G130),0)</x:f>
        <x:v>96</x:v>
      </x:c>
      <x:c r="N130" s="20" t="n">
        <x:f>IF(K130="שוטף",M130,0)</x:f>
        <x:v>96</x:v>
      </x:c>
      <x:c r="O130" s="20" t="n">
        <x:f>IF(K130="הכנסה שסווגה מחדש",-G130,0)</x:f>
        <x:v>0</x:v>
      </x:c>
      <x:c r="P130" s="11" t="str">
        <x:v>סיבוס עינור</x:v>
      </x:c>
      <x:c r="Q130" s="11" t="str"/>
      <x:c r="R130" s="11" t="str">
        <x:v>לא</x:v>
      </x:c>
    </x:row>
    <x:row r="131">
      <x:c r="A131" s="14" t="n">
        <x:v>45689</x:v>
      </x:c>
      <x:c r="B131" s="11" t="str">
        <x:v>2025-02</x:v>
      </x:c>
      <x:c r="C131" s="11" t="str">
        <x:v>פברואר 25</x:v>
      </x:c>
      <x:c r="D131" s="15" t="n">
        <x:v>59</x:v>
      </x:c>
      <x:c r="E131" s="11" t="str">
        <x:v>11</x:v>
      </x:c>
      <x:c r="F131" s="11" t="str">
        <x:v>מכולת</x:v>
      </x:c>
      <x:c r="G131" s="17" t="n">
        <x:v>13</x:v>
      </x:c>
      <x:c r="H131" s="18" t="str">
        <x:v>מזון לבית</x:v>
      </x:c>
      <x:c r="I131" s="19" t="str">
        <x:f>IFERROR(INDEX('מיפוי ומקורות'!$C$7:$C$33,MATCH(H131,'מיפוי ומקורות'!$B$7:$B$33,0)),"לא מסווג")</x:f>
        <x:v>מזון לבית</x:v>
      </x:c>
      <x:c r="J131" s="19" t="str">
        <x:f>IFERROR(INDEX('מיפוי ומקורות'!$D$7:$D$33,MATCH(H131,'מיפוי ומקורות'!$B$7:$B$33,0)),"שוטף")</x:f>
        <x:v>שוטף</x:v>
      </x:c>
      <x:c r="K131" s="19" t="str">
        <x:f>IF(OR(H131="ריביות",AND(H131="דירה כצנלסון",G131&lt;0,ISNUMBER(SEARCH("הכנסה",F131)))),"הכנסה שסווגה מחדש",J131)</x:f>
        <x:v>שוטף</x:v>
      </x:c>
      <x:c r="L131" s="19" t="str">
        <x:v>מאושר</x:v>
      </x:c>
      <x:c r="M131" s="20" t="n">
        <x:f>IF(L131="מאושר",IF(K131="הכנסה שסווגה מחדש",0,G131),0)</x:f>
        <x:v>13</x:v>
      </x:c>
      <x:c r="N131" s="20" t="n">
        <x:f>IF(K131="שוטף",M131,0)</x:f>
        <x:v>13</x:v>
      </x:c>
      <x:c r="O131" s="20" t="n">
        <x:f>IF(K131="הכנסה שסווגה מחדש",-G131,0)</x:f>
        <x:v>0</x:v>
      </x:c>
      <x:c r="P131" s="11" t="str">
        <x:v>סיבוס עינור</x:v>
      </x:c>
      <x:c r="Q131" s="11" t="str"/>
      <x:c r="R131" s="11" t="str">
        <x:v>לא</x:v>
      </x:c>
    </x:row>
    <x:row r="132">
      <x:c r="A132" s="14" t="n">
        <x:v>45689</x:v>
      </x:c>
      <x:c r="B132" s="11" t="str">
        <x:v>2025-02</x:v>
      </x:c>
      <x:c r="C132" s="11" t="str">
        <x:v>פברואר 25</x:v>
      </x:c>
      <x:c r="D132" s="15" t="n">
        <x:v>60</x:v>
      </x:c>
      <x:c r="E132" s="11" t="str">
        <x:v>12</x:v>
      </x:c>
      <x:c r="F132" s="11" t="str">
        <x:v>אוכל</x:v>
      </x:c>
      <x:c r="G132" s="17" t="n">
        <x:v>80</x:v>
      </x:c>
      <x:c r="H132" s="18" t="str">
        <x:v>אוכל בחוץ</x:v>
      </x:c>
      <x:c r="I132" s="19" t="str">
        <x:f>IFERROR(INDEX('מיפוי ומקורות'!$C$7:$C$33,MATCH(H132,'מיפוי ומקורות'!$B$7:$B$33,0)),"לא מסווג")</x:f>
        <x:v>אוכל בחוץ</x:v>
      </x:c>
      <x:c r="J132" s="19" t="str">
        <x:f>IFERROR(INDEX('מיפוי ומקורות'!$D$7:$D$33,MATCH(H132,'מיפוי ומקורות'!$B$7:$B$33,0)),"שוטף")</x:f>
        <x:v>שוטף</x:v>
      </x:c>
      <x:c r="K132" s="19" t="str">
        <x:f>IF(OR(H132="ריביות",AND(H132="דירה כצנלסון",G132&lt;0,ISNUMBER(SEARCH("הכנסה",F132)))),"הכנסה שסווגה מחדש",J132)</x:f>
        <x:v>שוטף</x:v>
      </x:c>
      <x:c r="L132" s="19" t="str">
        <x:v>מאושר</x:v>
      </x:c>
      <x:c r="M132" s="20" t="n">
        <x:f>IF(L132="מאושר",IF(K132="הכנסה שסווגה מחדש",0,G132),0)</x:f>
        <x:v>80</x:v>
      </x:c>
      <x:c r="N132" s="20" t="n">
        <x:f>IF(K132="שוטף",M132,0)</x:f>
        <x:v>80</x:v>
      </x:c>
      <x:c r="O132" s="20" t="n">
        <x:f>IF(K132="הכנסה שסווגה מחדש",-G132,0)</x:f>
        <x:v>0</x:v>
      </x:c>
      <x:c r="P132" s="11" t="str">
        <x:v>סיבוס עינור</x:v>
      </x:c>
      <x:c r="Q132" s="11" t="str"/>
      <x:c r="R132" s="11" t="str">
        <x:v>לא</x:v>
      </x:c>
    </x:row>
    <x:row r="133">
      <x:c r="A133" s="14" t="n">
        <x:v>45689</x:v>
      </x:c>
      <x:c r="B133" s="11" t="str">
        <x:v>2025-02</x:v>
      </x:c>
      <x:c r="C133" s="11" t="str">
        <x:v>פברואר 25</x:v>
      </x:c>
      <x:c r="D133" s="15" t="n">
        <x:v>61</x:v>
      </x:c>
      <x:c r="E133" s="11" t="str">
        <x:v>13</x:v>
      </x:c>
      <x:c r="F133" s="11" t="str">
        <x:v>אוכל</x:v>
      </x:c>
      <x:c r="G133" s="17" t="n">
        <x:v>88</x:v>
      </x:c>
      <x:c r="H133" s="18" t="str">
        <x:v>אוכל בחוץ</x:v>
      </x:c>
      <x:c r="I133" s="19" t="str">
        <x:f>IFERROR(INDEX('מיפוי ומקורות'!$C$7:$C$33,MATCH(H133,'מיפוי ומקורות'!$B$7:$B$33,0)),"לא מסווג")</x:f>
        <x:v>אוכל בחוץ</x:v>
      </x:c>
      <x:c r="J133" s="19" t="str">
        <x:f>IFERROR(INDEX('מיפוי ומקורות'!$D$7:$D$33,MATCH(H133,'מיפוי ומקורות'!$B$7:$B$33,0)),"שוטף")</x:f>
        <x:v>שוטף</x:v>
      </x:c>
      <x:c r="K133" s="19" t="str">
        <x:f>IF(OR(H133="ריביות",AND(H133="דירה כצנלסון",G133&lt;0,ISNUMBER(SEARCH("הכנסה",F133)))),"הכנסה שסווגה מחדש",J133)</x:f>
        <x:v>שוטף</x:v>
      </x:c>
      <x:c r="L133" s="19" t="str">
        <x:v>מאושר</x:v>
      </x:c>
      <x:c r="M133" s="20" t="n">
        <x:f>IF(L133="מאושר",IF(K133="הכנסה שסווגה מחדש",0,G133),0)</x:f>
        <x:v>88</x:v>
      </x:c>
      <x:c r="N133" s="20" t="n">
        <x:f>IF(K133="שוטף",M133,0)</x:f>
        <x:v>88</x:v>
      </x:c>
      <x:c r="O133" s="20" t="n">
        <x:f>IF(K133="הכנסה שסווגה מחדש",-G133,0)</x:f>
        <x:v>0</x:v>
      </x:c>
      <x:c r="P133" s="11" t="str">
        <x:v>סיבוס עינור</x:v>
      </x:c>
      <x:c r="Q133" s="11" t="str"/>
      <x:c r="R133" s="11" t="str">
        <x:v>לא</x:v>
      </x:c>
    </x:row>
    <x:row r="134">
      <x:c r="A134" s="14" t="n">
        <x:v>45689</x:v>
      </x:c>
      <x:c r="B134" s="11" t="str">
        <x:v>2025-02</x:v>
      </x:c>
      <x:c r="C134" s="11" t="str">
        <x:v>פברואר 25</x:v>
      </x:c>
      <x:c r="D134" s="15" t="n">
        <x:v>62</x:v>
      </x:c>
      <x:c r="E134" s="11" t="str">
        <x:v>14</x:v>
      </x:c>
      <x:c r="F134" s="11" t="str">
        <x:v>מכולת</x:v>
      </x:c>
      <x:c r="G134" s="17" t="n">
        <x:v>17</x:v>
      </x:c>
      <x:c r="H134" s="18" t="str">
        <x:v>מזון לבית</x:v>
      </x:c>
      <x:c r="I134" s="19" t="str">
        <x:f>IFERROR(INDEX('מיפוי ומקורות'!$C$7:$C$33,MATCH(H134,'מיפוי ומקורות'!$B$7:$B$33,0)),"לא מסווג")</x:f>
        <x:v>מזון לבית</x:v>
      </x:c>
      <x:c r="J134" s="19" t="str">
        <x:f>IFERROR(INDEX('מיפוי ומקורות'!$D$7:$D$33,MATCH(H134,'מיפוי ומקורות'!$B$7:$B$33,0)),"שוטף")</x:f>
        <x:v>שוטף</x:v>
      </x:c>
      <x:c r="K134" s="19" t="str">
        <x:f>IF(OR(H134="ריביות",AND(H134="דירה כצנלסון",G134&lt;0,ISNUMBER(SEARCH("הכנסה",F134)))),"הכנסה שסווגה מחדש",J134)</x:f>
        <x:v>שוטף</x:v>
      </x:c>
      <x:c r="L134" s="19" t="str">
        <x:v>מאושר</x:v>
      </x:c>
      <x:c r="M134" s="20" t="n">
        <x:f>IF(L134="מאושר",IF(K134="הכנסה שסווגה מחדש",0,G134),0)</x:f>
        <x:v>17</x:v>
      </x:c>
      <x:c r="N134" s="20" t="n">
        <x:f>IF(K134="שוטף",M134,0)</x:f>
        <x:v>17</x:v>
      </x:c>
      <x:c r="O134" s="20" t="n">
        <x:f>IF(K134="הכנסה שסווגה מחדש",-G134,0)</x:f>
        <x:v>0</x:v>
      </x:c>
      <x:c r="P134" s="11" t="str">
        <x:v>סיבוס עינור</x:v>
      </x:c>
      <x:c r="Q134" s="11" t="str"/>
      <x:c r="R134" s="11" t="str">
        <x:v>לא</x:v>
      </x:c>
    </x:row>
    <x:row r="135">
      <x:c r="A135" s="14" t="n">
        <x:v>45689</x:v>
      </x:c>
      <x:c r="B135" s="11" t="str">
        <x:v>2025-02</x:v>
      </x:c>
      <x:c r="C135" s="11" t="str">
        <x:v>פברואר 25</x:v>
      </x:c>
      <x:c r="D135" s="15" t="n">
        <x:v>63</x:v>
      </x:c>
      <x:c r="E135" s="11" t="str">
        <x:v>17</x:v>
      </x:c>
      <x:c r="F135" s="11" t="str">
        <x:v>מכולת</x:v>
      </x:c>
      <x:c r="G135" s="17" t="n">
        <x:v>107</x:v>
      </x:c>
      <x:c r="H135" s="18" t="str">
        <x:v>מזון לבית</x:v>
      </x:c>
      <x:c r="I135" s="19" t="str">
        <x:f>IFERROR(INDEX('מיפוי ומקורות'!$C$7:$C$33,MATCH(H135,'מיפוי ומקורות'!$B$7:$B$33,0)),"לא מסווג")</x:f>
        <x:v>מזון לבית</x:v>
      </x:c>
      <x:c r="J135" s="19" t="str">
        <x:f>IFERROR(INDEX('מיפוי ומקורות'!$D$7:$D$33,MATCH(H135,'מיפוי ומקורות'!$B$7:$B$33,0)),"שוטף")</x:f>
        <x:v>שוטף</x:v>
      </x:c>
      <x:c r="K135" s="19" t="str">
        <x:f>IF(OR(H135="ריביות",AND(H135="דירה כצנלסון",G135&lt;0,ISNUMBER(SEARCH("הכנסה",F135)))),"הכנסה שסווגה מחדש",J135)</x:f>
        <x:v>שוטף</x:v>
      </x:c>
      <x:c r="L135" s="19" t="str">
        <x:v>מאושר</x:v>
      </x:c>
      <x:c r="M135" s="20" t="n">
        <x:f>IF(L135="מאושר",IF(K135="הכנסה שסווגה מחדש",0,G135),0)</x:f>
        <x:v>107</x:v>
      </x:c>
      <x:c r="N135" s="20" t="n">
        <x:f>IF(K135="שוטף",M135,0)</x:f>
        <x:v>107</x:v>
      </x:c>
      <x:c r="O135" s="20" t="n">
        <x:f>IF(K135="הכנסה שסווגה מחדש",-G135,0)</x:f>
        <x:v>0</x:v>
      </x:c>
      <x:c r="P135" s="11" t="str">
        <x:v>סיבוס עינור</x:v>
      </x:c>
      <x:c r="Q135" s="11" t="str"/>
      <x:c r="R135" s="11" t="str">
        <x:v>לא</x:v>
      </x:c>
    </x:row>
    <x:row r="136">
      <x:c r="A136" s="14" t="n">
        <x:v>45689</x:v>
      </x:c>
      <x:c r="B136" s="11" t="str">
        <x:v>2025-02</x:v>
      </x:c>
      <x:c r="C136" s="11" t="str">
        <x:v>פברואר 25</x:v>
      </x:c>
      <x:c r="D136" s="15" t="n">
        <x:v>64</x:v>
      </x:c>
      <x:c r="E136" s="11" t="str">
        <x:v>20</x:v>
      </x:c>
      <x:c r="F136" s="11" t="str">
        <x:v>אוכל</x:v>
      </x:c>
      <x:c r="G136" s="17" t="n">
        <x:v>61</x:v>
      </x:c>
      <x:c r="H136" s="18" t="str">
        <x:v>אוכל בחוץ</x:v>
      </x:c>
      <x:c r="I136" s="19" t="str">
        <x:f>IFERROR(INDEX('מיפוי ומקורות'!$C$7:$C$33,MATCH(H136,'מיפוי ומקורות'!$B$7:$B$33,0)),"לא מסווג")</x:f>
        <x:v>אוכל בחוץ</x:v>
      </x:c>
      <x:c r="J136" s="19" t="str">
        <x:f>IFERROR(INDEX('מיפוי ומקורות'!$D$7:$D$33,MATCH(H136,'מיפוי ומקורות'!$B$7:$B$33,0)),"שוטף")</x:f>
        <x:v>שוטף</x:v>
      </x:c>
      <x:c r="K136" s="19" t="str">
        <x:f>IF(OR(H136="ריביות",AND(H136="דירה כצנלסון",G136&lt;0,ISNUMBER(SEARCH("הכנסה",F136)))),"הכנסה שסווגה מחדש",J136)</x:f>
        <x:v>שוטף</x:v>
      </x:c>
      <x:c r="L136" s="19" t="str">
        <x:v>מאושר</x:v>
      </x:c>
      <x:c r="M136" s="20" t="n">
        <x:f>IF(L136="מאושר",IF(K136="הכנסה שסווגה מחדש",0,G136),0)</x:f>
        <x:v>61</x:v>
      </x:c>
      <x:c r="N136" s="20" t="n">
        <x:f>IF(K136="שוטף",M136,0)</x:f>
        <x:v>61</x:v>
      </x:c>
      <x:c r="O136" s="20" t="n">
        <x:f>IF(K136="הכנסה שסווגה מחדש",-G136,0)</x:f>
        <x:v>0</x:v>
      </x:c>
      <x:c r="P136" s="11" t="str">
        <x:v>סיבוס עינור</x:v>
      </x:c>
      <x:c r="Q136" s="11" t="str"/>
      <x:c r="R136" s="11" t="str">
        <x:v>לא</x:v>
      </x:c>
    </x:row>
    <x:row r="137">
      <x:c r="A137" s="14" t="n">
        <x:v>45689</x:v>
      </x:c>
      <x:c r="B137" s="11" t="str">
        <x:v>2025-02</x:v>
      </x:c>
      <x:c r="C137" s="11" t="str">
        <x:v>פברואר 25</x:v>
      </x:c>
      <x:c r="D137" s="15" t="n">
        <x:v>65</x:v>
      </x:c>
      <x:c r="E137" s="11" t="str">
        <x:v>28</x:v>
      </x:c>
      <x:c r="F137" s="11" t="str">
        <x:v>מכולת</x:v>
      </x:c>
      <x:c r="G137" s="17" t="n">
        <x:v>70</x:v>
      </x:c>
      <x:c r="H137" s="18" t="str">
        <x:v>מזון לבית</x:v>
      </x:c>
      <x:c r="I137" s="19" t="str">
        <x:f>IFERROR(INDEX('מיפוי ומקורות'!$C$7:$C$33,MATCH(H137,'מיפוי ומקורות'!$B$7:$B$33,0)),"לא מסווג")</x:f>
        <x:v>מזון לבית</x:v>
      </x:c>
      <x:c r="J137" s="19" t="str">
        <x:f>IFERROR(INDEX('מיפוי ומקורות'!$D$7:$D$33,MATCH(H137,'מיפוי ומקורות'!$B$7:$B$33,0)),"שוטף")</x:f>
        <x:v>שוטף</x:v>
      </x:c>
      <x:c r="K137" s="19" t="str">
        <x:f>IF(OR(H137="ריביות",AND(H137="דירה כצנלסון",G137&lt;0,ISNUMBER(SEARCH("הכנסה",F137)))),"הכנסה שסווגה מחדש",J137)</x:f>
        <x:v>שוטף</x:v>
      </x:c>
      <x:c r="L137" s="19" t="str">
        <x:v>מאושר</x:v>
      </x:c>
      <x:c r="M137" s="20" t="n">
        <x:f>IF(L137="מאושר",IF(K137="הכנסה שסווגה מחדש",0,G137),0)</x:f>
        <x:v>70</x:v>
      </x:c>
      <x:c r="N137" s="20" t="n">
        <x:f>IF(K137="שוטף",M137,0)</x:f>
        <x:v>70</x:v>
      </x:c>
      <x:c r="O137" s="20" t="n">
        <x:f>IF(K137="הכנסה שסווגה מחדש",-G137,0)</x:f>
        <x:v>0</x:v>
      </x:c>
      <x:c r="P137" s="11" t="str">
        <x:v>סיבוס עינור</x:v>
      </x:c>
      <x:c r="Q137" s="11" t="str"/>
      <x:c r="R137" s="11" t="str">
        <x:v>לא</x:v>
      </x:c>
    </x:row>
    <x:row r="138">
      <x:c r="A138" s="14" t="n">
        <x:v>45689</x:v>
      </x:c>
      <x:c r="B138" s="11" t="str">
        <x:v>2025-02</x:v>
      </x:c>
      <x:c r="C138" s="11" t="str">
        <x:v>פברואר 25</x:v>
      </x:c>
      <x:c r="D138" s="15" t="n">
        <x:v>66</x:v>
      </x:c>
      <x:c r="E138" s="11" t="str">
        <x:v>13</x:v>
      </x:c>
      <x:c r="F138" s="11" t="str">
        <x:v>ליים</x:v>
      </x:c>
      <x:c r="G138" s="17" t="n">
        <x:v>40</x:v>
      </x:c>
      <x:c r="H138" s="18" t="str">
        <x:v>תחבורה</x:v>
      </x:c>
      <x:c r="I138" s="19" t="str">
        <x:f>IFERROR(INDEX('מיפוי ומקורות'!$C$7:$C$33,MATCH(H138,'מיפוי ומקורות'!$B$7:$B$33,0)),"לא מסווג")</x:f>
        <x:v>תחבורה</x:v>
      </x:c>
      <x:c r="J138" s="19" t="str">
        <x:f>IFERROR(INDEX('מיפוי ומקורות'!$D$7:$D$33,MATCH(H138,'מיפוי ומקורות'!$B$7:$B$33,0)),"שוטף")</x:f>
        <x:v>שוטף</x:v>
      </x:c>
      <x:c r="K138" s="19" t="str">
        <x:f>IF(OR(H138="ריביות",AND(H138="דירה כצנלסון",G138&lt;0,ISNUMBER(SEARCH("הכנסה",F138)))),"הכנסה שסווגה מחדש",J138)</x:f>
        <x:v>שוטף</x:v>
      </x:c>
      <x:c r="L138" s="19" t="str">
        <x:v>מאושר</x:v>
      </x:c>
      <x:c r="M138" s="20" t="n">
        <x:f>IF(L138="מאושר",IF(K138="הכנסה שסווגה מחדש",0,G138),0)</x:f>
        <x:v>40</x:v>
      </x:c>
      <x:c r="N138" s="20" t="n">
        <x:f>IF(K138="שוטף",M138,0)</x:f>
        <x:v>40</x:v>
      </x:c>
      <x:c r="O138" s="20" t="n">
        <x:f>IF(K138="הכנסה שסווגה מחדש",-G138,0)</x:f>
        <x:v>0</x:v>
      </x:c>
      <x:c r="P138" s="11" t="str">
        <x:v>אמקס זיו</x:v>
      </x:c>
      <x:c r="Q138" s="11" t="str"/>
      <x:c r="R138" s="11" t="str">
        <x:v>לא</x:v>
      </x:c>
    </x:row>
    <x:row r="139">
      <x:c r="A139" s="14" t="n">
        <x:v>45689</x:v>
      </x:c>
      <x:c r="B139" s="11" t="str">
        <x:v>2025-02</x:v>
      </x:c>
      <x:c r="C139" s="11" t="str">
        <x:v>פברואר 25</x:v>
      </x:c>
      <x:c r="D139" s="15" t="n">
        <x:v>67</x:v>
      </x:c>
      <x:c r="E139" s="11" t="str">
        <x:v>13</x:v>
      </x:c>
      <x:c r="F139" s="11" t="str">
        <x:v>ליים</x:v>
      </x:c>
      <x:c r="G139" s="17" t="n">
        <x:v>35</x:v>
      </x:c>
      <x:c r="H139" s="18" t="str">
        <x:v>תחבורה</x:v>
      </x:c>
      <x:c r="I139" s="19" t="str">
        <x:f>IFERROR(INDEX('מיפוי ומקורות'!$C$7:$C$33,MATCH(H139,'מיפוי ומקורות'!$B$7:$B$33,0)),"לא מסווג")</x:f>
        <x:v>תחבורה</x:v>
      </x:c>
      <x:c r="J139" s="19" t="str">
        <x:f>IFERROR(INDEX('מיפוי ומקורות'!$D$7:$D$33,MATCH(H139,'מיפוי ומקורות'!$B$7:$B$33,0)),"שוטף")</x:f>
        <x:v>שוטף</x:v>
      </x:c>
      <x:c r="K139" s="19" t="str">
        <x:f>IF(OR(H139="ריביות",AND(H139="דירה כצנלסון",G139&lt;0,ISNUMBER(SEARCH("הכנסה",F139)))),"הכנסה שסווגה מחדש",J139)</x:f>
        <x:v>שוטף</x:v>
      </x:c>
      <x:c r="L139" s="19" t="str">
        <x:v>מאושר</x:v>
      </x:c>
      <x:c r="M139" s="20" t="n">
        <x:f>IF(L139="מאושר",IF(K139="הכנסה שסווגה מחדש",0,G139),0)</x:f>
        <x:v>35</x:v>
      </x:c>
      <x:c r="N139" s="20" t="n">
        <x:f>IF(K139="שוטף",M139,0)</x:f>
        <x:v>35</x:v>
      </x:c>
      <x:c r="O139" s="20" t="n">
        <x:f>IF(K139="הכנסה שסווגה מחדש",-G139,0)</x:f>
        <x:v>0</x:v>
      </x:c>
      <x:c r="P139" s="11" t="str">
        <x:v>אמקס זיו</x:v>
      </x:c>
      <x:c r="Q139" s="11" t="str"/>
      <x:c r="R139" s="11" t="str">
        <x:v>לא</x:v>
      </x:c>
    </x:row>
    <x:row r="140">
      <x:c r="A140" s="14" t="n">
        <x:v>45689</x:v>
      </x:c>
      <x:c r="B140" s="11" t="str">
        <x:v>2025-02</x:v>
      </x:c>
      <x:c r="C140" s="11" t="str">
        <x:v>פברואר 25</x:v>
      </x:c>
      <x:c r="D140" s="15" t="n">
        <x:v>68</x:v>
      </x:c>
      <x:c r="E140" s="11" t="str">
        <x:v>21</x:v>
      </x:c>
      <x:c r="F140" s="11" t="str">
        <x:v>אלי</x:v>
      </x:c>
      <x:c r="G140" s="17" t="n">
        <x:v>112</x:v>
      </x:c>
      <x:c r="H140" s="18" t="str">
        <x:v>קניות לבית</x:v>
      </x:c>
      <x:c r="I140" s="19" t="str">
        <x:f>IFERROR(INDEX('מיפוי ומקורות'!$C$7:$C$33,MATCH(H140,'מיפוי ומקורות'!$B$7:$B$33,0)),"לא מסווג")</x:f>
        <x:v>קניות לבית</x:v>
      </x:c>
      <x:c r="J140" s="19" t="str">
        <x:f>IFERROR(INDEX('מיפוי ומקורות'!$D$7:$D$33,MATCH(H140,'מיפוי ומקורות'!$B$7:$B$33,0)),"שוטף")</x:f>
        <x:v>שוטף</x:v>
      </x:c>
      <x:c r="K140" s="19" t="str">
        <x:f>IF(OR(H140="ריביות",AND(H140="דירה כצנלסון",G140&lt;0,ISNUMBER(SEARCH("הכנסה",F140)))),"הכנסה שסווגה מחדש",J140)</x:f>
        <x:v>שוטף</x:v>
      </x:c>
      <x:c r="L140" s="19" t="str">
        <x:v>מאושר</x:v>
      </x:c>
      <x:c r="M140" s="20" t="n">
        <x:f>IF(L140="מאושר",IF(K140="הכנסה שסווגה מחדש",0,G140),0)</x:f>
        <x:v>112</x:v>
      </x:c>
      <x:c r="N140" s="20" t="n">
        <x:f>IF(K140="שוטף",M140,0)</x:f>
        <x:v>112</x:v>
      </x:c>
      <x:c r="O140" s="20" t="n">
        <x:f>IF(K140="הכנסה שסווגה מחדש",-G140,0)</x:f>
        <x:v>0</x:v>
      </x:c>
      <x:c r="P140" s="11" t="str">
        <x:v>אמקס זיו</x:v>
      </x:c>
      <x:c r="Q140" s="11" t="str"/>
      <x:c r="R140" s="11" t="str">
        <x:v>לא</x:v>
      </x:c>
    </x:row>
    <x:row r="141">
      <x:c r="A141" s="14" t="n">
        <x:v>45689</x:v>
      </x:c>
      <x:c r="B141" s="11" t="str">
        <x:v>2025-02</x:v>
      </x:c>
      <x:c r="C141" s="11" t="str">
        <x:v>פברואר 25</x:v>
      </x:c>
      <x:c r="D141" s="15" t="n">
        <x:v>69</x:v>
      </x:c>
      <x:c r="E141" s="11" t="str">
        <x:v>1</x:v>
      </x:c>
      <x:c r="F141" s="11" t="str">
        <x:v>זומבה</x:v>
      </x:c>
      <x:c r="G141" s="17" t="n">
        <x:v>25</x:v>
      </x:c>
      <x:c r="H141" s="18" t="str">
        <x:v>ספורט</x:v>
      </x:c>
      <x:c r="I141" s="19" t="str">
        <x:f>IFERROR(INDEX('מיפוי ומקורות'!$C$7:$C$33,MATCH(H141,'מיפוי ומקורות'!$B$7:$B$33,0)),"לא מסווג")</x:f>
        <x:v>ספורט</x:v>
      </x:c>
      <x:c r="J141" s="19" t="str">
        <x:f>IFERROR(INDEX('מיפוי ומקורות'!$D$7:$D$33,MATCH(H141,'מיפוי ומקורות'!$B$7:$B$33,0)),"שוטף")</x:f>
        <x:v>שוטף</x:v>
      </x:c>
      <x:c r="K141" s="19" t="str">
        <x:f>IF(OR(H141="ריביות",AND(H141="דירה כצנלסון",G141&lt;0,ISNUMBER(SEARCH("הכנסה",F141)))),"הכנסה שסווגה מחדש",J141)</x:f>
        <x:v>שוטף</x:v>
      </x:c>
      <x:c r="L141" s="19" t="str">
        <x:v>מאושר</x:v>
      </x:c>
      <x:c r="M141" s="20" t="n">
        <x:f>IF(L141="מאושר",IF(K141="הכנסה שסווגה מחדש",0,G141),0)</x:f>
        <x:v>25</x:v>
      </x:c>
      <x:c r="N141" s="20" t="n">
        <x:f>IF(K141="שוטף",M141,0)</x:f>
        <x:v>25</x:v>
      </x:c>
      <x:c r="O141" s="20" t="n">
        <x:f>IF(K141="הכנסה שסווגה מחדש",-G141,0)</x:f>
        <x:v>0</x:v>
      </x:c>
      <x:c r="P141" s="11" t="str">
        <x:v>אמקס זיו</x:v>
      </x:c>
      <x:c r="Q141" s="11" t="str"/>
      <x:c r="R141" s="11" t="str">
        <x:v>לא</x:v>
      </x:c>
    </x:row>
    <x:row r="142">
      <x:c r="A142" s="14" t="n">
        <x:v>45689</x:v>
      </x:c>
      <x:c r="B142" s="11" t="str">
        <x:v>2025-02</x:v>
      </x:c>
      <x:c r="C142" s="11" t="str">
        <x:v>פברואר 25</x:v>
      </x:c>
      <x:c r="D142" s="15" t="n">
        <x:v>70</x:v>
      </x:c>
      <x:c r="E142" s="11" t="str">
        <x:v>3</x:v>
      </x:c>
      <x:c r="F142" s="11" t="str">
        <x:v>קפה</x:v>
      </x:c>
      <x:c r="G142" s="17" t="n">
        <x:v>8</x:v>
      </x:c>
      <x:c r="H142" s="18" t="str">
        <x:v>אוכל בחוץ</x:v>
      </x:c>
      <x:c r="I142" s="19" t="str">
        <x:f>IFERROR(INDEX('מיפוי ומקורות'!$C$7:$C$33,MATCH(H142,'מיפוי ומקורות'!$B$7:$B$33,0)),"לא מסווג")</x:f>
        <x:v>אוכל בחוץ</x:v>
      </x:c>
      <x:c r="J142" s="19" t="str">
        <x:f>IFERROR(INDEX('מיפוי ומקורות'!$D$7:$D$33,MATCH(H142,'מיפוי ומקורות'!$B$7:$B$33,0)),"שוטף")</x:f>
        <x:v>שוטף</x:v>
      </x:c>
      <x:c r="K142" s="19" t="str">
        <x:f>IF(OR(H142="ריביות",AND(H142="דירה כצנלסון",G142&lt;0,ISNUMBER(SEARCH("הכנסה",F142)))),"הכנסה שסווגה מחדש",J142)</x:f>
        <x:v>שוטף</x:v>
      </x:c>
      <x:c r="L142" s="19" t="str">
        <x:v>מאושר</x:v>
      </x:c>
      <x:c r="M142" s="20" t="n">
        <x:f>IF(L142="מאושר",IF(K142="הכנסה שסווגה מחדש",0,G142),0)</x:f>
        <x:v>8</x:v>
      </x:c>
      <x:c r="N142" s="20" t="n">
        <x:f>IF(K142="שוטף",M142,0)</x:f>
        <x:v>8</x:v>
      </x:c>
      <x:c r="O142" s="20" t="n">
        <x:f>IF(K142="הכנסה שסווגה מחדש",-G142,0)</x:f>
        <x:v>0</x:v>
      </x:c>
      <x:c r="P142" s="11" t="str">
        <x:v>אמקס זיו</x:v>
      </x:c>
      <x:c r="Q142" s="11" t="str"/>
      <x:c r="R142" s="11" t="str">
        <x:v>לא</x:v>
      </x:c>
    </x:row>
    <x:row r="143">
      <x:c r="A143" s="14" t="n">
        <x:v>45689</x:v>
      </x:c>
      <x:c r="B143" s="11" t="str">
        <x:v>2025-02</x:v>
      </x:c>
      <x:c r="C143" s="11" t="str">
        <x:v>פברואר 25</x:v>
      </x:c>
      <x:c r="D143" s="15" t="n">
        <x:v>71</x:v>
      </x:c>
      <x:c r="E143" s="11" t="str">
        <x:v>3</x:v>
      </x:c>
      <x:c r="F143" s="11" t="str">
        <x:v>שיננית</x:v>
      </x:c>
      <x:c r="G143" s="17" t="n">
        <x:v>66</x:v>
      </x:c>
      <x:c r="H143" s="18" t="str">
        <x:v>בריאות</x:v>
      </x:c>
      <x:c r="I143" s="19" t="str">
        <x:f>IFERROR(INDEX('מיפוי ומקורות'!$C$7:$C$33,MATCH(H143,'מיפוי ומקורות'!$B$7:$B$33,0)),"לא מסווג")</x:f>
        <x:v>בריאות וטיפולים</x:v>
      </x:c>
      <x:c r="J143" s="19" t="str">
        <x:f>IFERROR(INDEX('מיפוי ומקורות'!$D$7:$D$33,MATCH(H143,'מיפוי ומקורות'!$B$7:$B$33,0)),"שוטף")</x:f>
        <x:v>שוטף</x:v>
      </x:c>
      <x:c r="K143" s="19" t="str">
        <x:f>IF(OR(H143="ריביות",AND(H143="דירה כצנלסון",G143&lt;0,ISNUMBER(SEARCH("הכנסה",F143)))),"הכנסה שסווגה מחדש",J143)</x:f>
        <x:v>שוטף</x:v>
      </x:c>
      <x:c r="L143" s="19" t="str">
        <x:v>מאושר</x:v>
      </x:c>
      <x:c r="M143" s="20" t="n">
        <x:f>IF(L143="מאושר",IF(K143="הכנסה שסווגה מחדש",0,G143),0)</x:f>
        <x:v>66</x:v>
      </x:c>
      <x:c r="N143" s="20" t="n">
        <x:f>IF(K143="שוטף",M143,0)</x:f>
        <x:v>66</x:v>
      </x:c>
      <x:c r="O143" s="20" t="n">
        <x:f>IF(K143="הכנסה שסווגה מחדש",-G143,0)</x:f>
        <x:v>0</x:v>
      </x:c>
      <x:c r="P143" s="11" t="str">
        <x:v>אמקס זיו</x:v>
      </x:c>
      <x:c r="Q143" s="11" t="str"/>
      <x:c r="R143" s="11" t="str">
        <x:v>לא</x:v>
      </x:c>
    </x:row>
    <x:row r="144">
      <x:c r="A144" s="14" t="n">
        <x:v>45689</x:v>
      </x:c>
      <x:c r="B144" s="11" t="str">
        <x:v>2025-02</x:v>
      </x:c>
      <x:c r="C144" s="11" t="str">
        <x:v>פברואר 25</x:v>
      </x:c>
      <x:c r="D144" s="15" t="n">
        <x:v>72</x:v>
      </x:c>
      <x:c r="E144" s="11" t="str">
        <x:v>3</x:v>
      </x:c>
      <x:c r="F144" s="11" t="str">
        <x:v>מכבי</x:v>
      </x:c>
      <x:c r="G144" s="17" t="n">
        <x:v>53</x:v>
      </x:c>
      <x:c r="H144" s="18" t="str">
        <x:v>בריאות</x:v>
      </x:c>
      <x:c r="I144" s="19" t="str">
        <x:f>IFERROR(INDEX('מיפוי ומקורות'!$C$7:$C$33,MATCH(H144,'מיפוי ומקורות'!$B$7:$B$33,0)),"לא מסווג")</x:f>
        <x:v>בריאות וטיפולים</x:v>
      </x:c>
      <x:c r="J144" s="19" t="str">
        <x:f>IFERROR(INDEX('מיפוי ומקורות'!$D$7:$D$33,MATCH(H144,'מיפוי ומקורות'!$B$7:$B$33,0)),"שוטף")</x:f>
        <x:v>שוטף</x:v>
      </x:c>
      <x:c r="K144" s="19" t="str">
        <x:f>IF(OR(H144="ריביות",AND(H144="דירה כצנלסון",G144&lt;0,ISNUMBER(SEARCH("הכנסה",F144)))),"הכנסה שסווגה מחדש",J144)</x:f>
        <x:v>שוטף</x:v>
      </x:c>
      <x:c r="L144" s="19" t="str">
        <x:v>מאושר</x:v>
      </x:c>
      <x:c r="M144" s="20" t="n">
        <x:f>IF(L144="מאושר",IF(K144="הכנסה שסווגה מחדש",0,G144),0)</x:f>
        <x:v>53</x:v>
      </x:c>
      <x:c r="N144" s="20" t="n">
        <x:f>IF(K144="שוטף",M144,0)</x:f>
        <x:v>53</x:v>
      </x:c>
      <x:c r="O144" s="20" t="n">
        <x:f>IF(K144="הכנסה שסווגה מחדש",-G144,0)</x:f>
        <x:v>0</x:v>
      </x:c>
      <x:c r="P144" s="11" t="str">
        <x:v>אמקס זיו</x:v>
      </x:c>
      <x:c r="Q144" s="11" t="str"/>
      <x:c r="R144" s="11" t="str">
        <x:v>לא</x:v>
      </x:c>
    </x:row>
    <x:row r="145">
      <x:c r="A145" s="14" t="n">
        <x:v>45689</x:v>
      </x:c>
      <x:c r="B145" s="11" t="str">
        <x:v>2025-02</x:v>
      </x:c>
      <x:c r="C145" s="11" t="str">
        <x:v>פברואר 25</x:v>
      </x:c>
      <x:c r="D145" s="15" t="n">
        <x:v>73</x:v>
      </x:c>
      <x:c r="E145" s="11" t="str">
        <x:v>3</x:v>
      </x:c>
      <x:c r="F145" s="11" t="str">
        <x:v>מכולת</x:v>
      </x:c>
      <x:c r="G145" s="17" t="n">
        <x:v>49</x:v>
      </x:c>
      <x:c r="H145" s="18" t="str">
        <x:v>מזון לבית</x:v>
      </x:c>
      <x:c r="I145" s="19" t="str">
        <x:f>IFERROR(INDEX('מיפוי ומקורות'!$C$7:$C$33,MATCH(H145,'מיפוי ומקורות'!$B$7:$B$33,0)),"לא מסווג")</x:f>
        <x:v>מזון לבית</x:v>
      </x:c>
      <x:c r="J145" s="19" t="str">
        <x:f>IFERROR(INDEX('מיפוי ומקורות'!$D$7:$D$33,MATCH(H145,'מיפוי ומקורות'!$B$7:$B$33,0)),"שוטף")</x:f>
        <x:v>שוטף</x:v>
      </x:c>
      <x:c r="K145" s="19" t="str">
        <x:f>IF(OR(H145="ריביות",AND(H145="דירה כצנלסון",G145&lt;0,ISNUMBER(SEARCH("הכנסה",F145)))),"הכנסה שסווגה מחדש",J145)</x:f>
        <x:v>שוטף</x:v>
      </x:c>
      <x:c r="L145" s="19" t="str">
        <x:v>מאושר</x:v>
      </x:c>
      <x:c r="M145" s="20" t="n">
        <x:f>IF(L145="מאושר",IF(K145="הכנסה שסווגה מחדש",0,G145),0)</x:f>
        <x:v>49</x:v>
      </x:c>
      <x:c r="N145" s="20" t="n">
        <x:f>IF(K145="שוטף",M145,0)</x:f>
        <x:v>49</x:v>
      </x:c>
      <x:c r="O145" s="20" t="n">
        <x:f>IF(K145="הכנסה שסווגה מחדש",-G145,0)</x:f>
        <x:v>0</x:v>
      </x:c>
      <x:c r="P145" s="11" t="str">
        <x:v>אמקס זיו</x:v>
      </x:c>
      <x:c r="Q145" s="11" t="str"/>
      <x:c r="R145" s="11" t="str">
        <x:v>לא</x:v>
      </x:c>
    </x:row>
    <x:row r="146">
      <x:c r="A146" s="14" t="n">
        <x:v>45689</x:v>
      </x:c>
      <x:c r="B146" s="11" t="str">
        <x:v>2025-02</x:v>
      </x:c>
      <x:c r="C146" s="11" t="str">
        <x:v>פברואר 25</x:v>
      </x:c>
      <x:c r="D146" s="15" t="n">
        <x:v>74</x:v>
      </x:c>
      <x:c r="E146" s="11" t="str">
        <x:v>5</x:v>
      </x:c>
      <x:c r="F146" s="11" t="str">
        <x:v>מפגש בסטייק</x:v>
      </x:c>
      <x:c r="G146" s="17" t="n">
        <x:v>84</x:v>
      </x:c>
      <x:c r="H146" s="18" t="str">
        <x:v>אוכל בחוץ</x:v>
      </x:c>
      <x:c r="I146" s="19" t="str">
        <x:f>IFERROR(INDEX('מיפוי ומקורות'!$C$7:$C$33,MATCH(H146,'מיפוי ומקורות'!$B$7:$B$33,0)),"לא מסווג")</x:f>
        <x:v>אוכל בחוץ</x:v>
      </x:c>
      <x:c r="J146" s="19" t="str">
        <x:f>IFERROR(INDEX('מיפוי ומקורות'!$D$7:$D$33,MATCH(H146,'מיפוי ומקורות'!$B$7:$B$33,0)),"שוטף")</x:f>
        <x:v>שוטף</x:v>
      </x:c>
      <x:c r="K146" s="19" t="str">
        <x:f>IF(OR(H146="ריביות",AND(H146="דירה כצנלסון",G146&lt;0,ISNUMBER(SEARCH("הכנסה",F146)))),"הכנסה שסווגה מחדש",J146)</x:f>
        <x:v>שוטף</x:v>
      </x:c>
      <x:c r="L146" s="19" t="str">
        <x:v>מאושר</x:v>
      </x:c>
      <x:c r="M146" s="20" t="n">
        <x:f>IF(L146="מאושר",IF(K146="הכנסה שסווגה מחדש",0,G146),0)</x:f>
        <x:v>84</x:v>
      </x:c>
      <x:c r="N146" s="20" t="n">
        <x:f>IF(K146="שוטף",M146,0)</x:f>
        <x:v>84</x:v>
      </x:c>
      <x:c r="O146" s="20" t="n">
        <x:f>IF(K146="הכנסה שסווגה מחדש",-G146,0)</x:f>
        <x:v>0</x:v>
      </x:c>
      <x:c r="P146" s="11" t="str">
        <x:v>אמקס זיו</x:v>
      </x:c>
      <x:c r="Q146" s="11" t="str"/>
      <x:c r="R146" s="11" t="str">
        <x:v>לא</x:v>
      </x:c>
    </x:row>
    <x:row r="147">
      <x:c r="A147" s="14" t="n">
        <x:v>45689</x:v>
      </x:c>
      <x:c r="B147" s="11" t="str">
        <x:v>2025-02</x:v>
      </x:c>
      <x:c r="C147" s="11" t="str">
        <x:v>פברואר 25</x:v>
      </x:c>
      <x:c r="D147" s="15" t="n">
        <x:v>75</x:v>
      </x:c>
      <x:c r="E147" s="11" t="str">
        <x:v>5</x:v>
      </x:c>
      <x:c r="F147" s="11" t="str">
        <x:v>בילוארד</x:v>
      </x:c>
      <x:c r="G147" s="17" t="n">
        <x:v>59</x:v>
      </x:c>
      <x:c r="H147" s="18" t="str">
        <x:v>פנאי</x:v>
      </x:c>
      <x:c r="I147" s="19" t="str">
        <x:f>IFERROR(INDEX('מיפוי ומקורות'!$C$7:$C$33,MATCH(H147,'מיפוי ומקורות'!$B$7:$B$33,0)),"לא מסווג")</x:f>
        <x:v>פנאי</x:v>
      </x:c>
      <x:c r="J147" s="19" t="str">
        <x:f>IFERROR(INDEX('מיפוי ומקורות'!$D$7:$D$33,MATCH(H147,'מיפוי ומקורות'!$B$7:$B$33,0)),"שוטף")</x:f>
        <x:v>שוטף</x:v>
      </x:c>
      <x:c r="K147" s="19" t="str">
        <x:f>IF(OR(H147="ריביות",AND(H147="דירה כצנלסון",G147&lt;0,ISNUMBER(SEARCH("הכנסה",F147)))),"הכנסה שסווגה מחדש",J147)</x:f>
        <x:v>שוטף</x:v>
      </x:c>
      <x:c r="L147" s="19" t="str">
        <x:v>מאושר</x:v>
      </x:c>
      <x:c r="M147" s="20" t="n">
        <x:f>IF(L147="מאושר",IF(K147="הכנסה שסווגה מחדש",0,G147),0)</x:f>
        <x:v>59</x:v>
      </x:c>
      <x:c r="N147" s="20" t="n">
        <x:f>IF(K147="שוטף",M147,0)</x:f>
        <x:v>59</x:v>
      </x:c>
      <x:c r="O147" s="20" t="n">
        <x:f>IF(K147="הכנסה שסווגה מחדש",-G147,0)</x:f>
        <x:v>0</x:v>
      </x:c>
      <x:c r="P147" s="11" t="str">
        <x:v>אמקס זיו</x:v>
      </x:c>
      <x:c r="Q147" s="11" t="str"/>
      <x:c r="R147" s="11" t="str">
        <x:v>לא</x:v>
      </x:c>
    </x:row>
    <x:row r="148">
      <x:c r="A148" s="14" t="n">
        <x:v>45689</x:v>
      </x:c>
      <x:c r="B148" s="11" t="str">
        <x:v>2025-02</x:v>
      </x:c>
      <x:c r="C148" s="11" t="str">
        <x:v>פברואר 25</x:v>
      </x:c>
      <x:c r="D148" s="15" t="n">
        <x:v>76</x:v>
      </x:c>
      <x:c r="E148" s="11" t="str">
        <x:v>6</x:v>
      </x:c>
      <x:c r="F148" s="11" t="str">
        <x:v>מכולת</x:v>
      </x:c>
      <x:c r="G148" s="17" t="n">
        <x:v>13</x:v>
      </x:c>
      <x:c r="H148" s="18" t="str">
        <x:v>מזון לבית</x:v>
      </x:c>
      <x:c r="I148" s="19" t="str">
        <x:f>IFERROR(INDEX('מיפוי ומקורות'!$C$7:$C$33,MATCH(H148,'מיפוי ומקורות'!$B$7:$B$33,0)),"לא מסווג")</x:f>
        <x:v>מזון לבית</x:v>
      </x:c>
      <x:c r="J148" s="19" t="str">
        <x:f>IFERROR(INDEX('מיפוי ומקורות'!$D$7:$D$33,MATCH(H148,'מיפוי ומקורות'!$B$7:$B$33,0)),"שוטף")</x:f>
        <x:v>שוטף</x:v>
      </x:c>
      <x:c r="K148" s="19" t="str">
        <x:f>IF(OR(H148="ריביות",AND(H148="דירה כצנלסון",G148&lt;0,ISNUMBER(SEARCH("הכנסה",F148)))),"הכנסה שסווגה מחדש",J148)</x:f>
        <x:v>שוטף</x:v>
      </x:c>
      <x:c r="L148" s="19" t="str">
        <x:v>מאושר</x:v>
      </x:c>
      <x:c r="M148" s="20" t="n">
        <x:f>IF(L148="מאושר",IF(K148="הכנסה שסווגה מחדש",0,G148),0)</x:f>
        <x:v>13</x:v>
      </x:c>
      <x:c r="N148" s="20" t="n">
        <x:f>IF(K148="שוטף",M148,0)</x:f>
        <x:v>13</x:v>
      </x:c>
      <x:c r="O148" s="20" t="n">
        <x:f>IF(K148="הכנסה שסווגה מחדש",-G148,0)</x:f>
        <x:v>0</x:v>
      </x:c>
      <x:c r="P148" s="11" t="str">
        <x:v>אמקס זיו</x:v>
      </x:c>
      <x:c r="Q148" s="11" t="str"/>
      <x:c r="R148" s="11" t="str">
        <x:v>לא</x:v>
      </x:c>
    </x:row>
    <x:row r="149">
      <x:c r="A149" s="14" t="n">
        <x:v>45689</x:v>
      </x:c>
      <x:c r="B149" s="11" t="str">
        <x:v>2025-02</x:v>
      </x:c>
      <x:c r="C149" s="11" t="str">
        <x:v>פברואר 25</x:v>
      </x:c>
      <x:c r="D149" s="15" t="n">
        <x:v>77</x:v>
      </x:c>
      <x:c r="E149" s="11" t="str">
        <x:v>6</x:v>
      </x:c>
      <x:c r="F149" s="11" t="str">
        <x:v>ירקן</x:v>
      </x:c>
      <x:c r="G149" s="17" t="n">
        <x:v>28</x:v>
      </x:c>
      <x:c r="H149" s="18" t="str">
        <x:v>מזון לבית</x:v>
      </x:c>
      <x:c r="I149" s="19" t="str">
        <x:f>IFERROR(INDEX('מיפוי ומקורות'!$C$7:$C$33,MATCH(H149,'מיפוי ומקורות'!$B$7:$B$33,0)),"לא מסווג")</x:f>
        <x:v>מזון לבית</x:v>
      </x:c>
      <x:c r="J149" s="19" t="str">
        <x:f>IFERROR(INDEX('מיפוי ומקורות'!$D$7:$D$33,MATCH(H149,'מיפוי ומקורות'!$B$7:$B$33,0)),"שוטף")</x:f>
        <x:v>שוטף</x:v>
      </x:c>
      <x:c r="K149" s="19" t="str">
        <x:f>IF(OR(H149="ריביות",AND(H149="דירה כצנלסון",G149&lt;0,ISNUMBER(SEARCH("הכנסה",F149)))),"הכנסה שסווגה מחדש",J149)</x:f>
        <x:v>שוטף</x:v>
      </x:c>
      <x:c r="L149" s="19" t="str">
        <x:v>מאושר</x:v>
      </x:c>
      <x:c r="M149" s="20" t="n">
        <x:f>IF(L149="מאושר",IF(K149="הכנסה שסווגה מחדש",0,G149),0)</x:f>
        <x:v>28</x:v>
      </x:c>
      <x:c r="N149" s="20" t="n">
        <x:f>IF(K149="שוטף",M149,0)</x:f>
        <x:v>28</x:v>
      </x:c>
      <x:c r="O149" s="20" t="n">
        <x:f>IF(K149="הכנסה שסווגה מחדש",-G149,0)</x:f>
        <x:v>0</x:v>
      </x:c>
      <x:c r="P149" s="11" t="str">
        <x:v>אמקס זיו</x:v>
      </x:c>
      <x:c r="Q149" s="11" t="str"/>
      <x:c r="R149" s="11" t="str">
        <x:v>לא</x:v>
      </x:c>
    </x:row>
    <x:row r="150">
      <x:c r="A150" s="14" t="n">
        <x:v>45689</x:v>
      </x:c>
      <x:c r="B150" s="11" t="str">
        <x:v>2025-02</x:v>
      </x:c>
      <x:c r="C150" s="11" t="str">
        <x:v>פברואר 25</x:v>
      </x:c>
      <x:c r="D150" s="15" t="n">
        <x:v>78</x:v>
      </x:c>
      <x:c r="E150" s="11" t="str">
        <x:v>6</x:v>
      </x:c>
      <x:c r="F150" s="11" t="str">
        <x:v>גלידה</x:v>
      </x:c>
      <x:c r="G150" s="17" t="n">
        <x:v>5</x:v>
      </x:c>
      <x:c r="H150" s="18" t="str">
        <x:v>אוכל בחוץ</x:v>
      </x:c>
      <x:c r="I150" s="19" t="str">
        <x:f>IFERROR(INDEX('מיפוי ומקורות'!$C$7:$C$33,MATCH(H150,'מיפוי ומקורות'!$B$7:$B$33,0)),"לא מסווג")</x:f>
        <x:v>אוכל בחוץ</x:v>
      </x:c>
      <x:c r="J150" s="19" t="str">
        <x:f>IFERROR(INDEX('מיפוי ומקורות'!$D$7:$D$33,MATCH(H150,'מיפוי ומקורות'!$B$7:$B$33,0)),"שוטף")</x:f>
        <x:v>שוטף</x:v>
      </x:c>
      <x:c r="K150" s="19" t="str">
        <x:f>IF(OR(H150="ריביות",AND(H150="דירה כצנלסון",G150&lt;0,ISNUMBER(SEARCH("הכנסה",F150)))),"הכנסה שסווגה מחדש",J150)</x:f>
        <x:v>שוטף</x:v>
      </x:c>
      <x:c r="L150" s="19" t="str">
        <x:v>מאושר</x:v>
      </x:c>
      <x:c r="M150" s="20" t="n">
        <x:f>IF(L150="מאושר",IF(K150="הכנסה שסווגה מחדש",0,G150),0)</x:f>
        <x:v>5</x:v>
      </x:c>
      <x:c r="N150" s="20" t="n">
        <x:f>IF(K150="שוטף",M150,0)</x:f>
        <x:v>5</x:v>
      </x:c>
      <x:c r="O150" s="20" t="n">
        <x:f>IF(K150="הכנסה שסווגה מחדש",-G150,0)</x:f>
        <x:v>0</x:v>
      </x:c>
      <x:c r="P150" s="11" t="str">
        <x:v>אמקס זיו</x:v>
      </x:c>
      <x:c r="Q150" s="11" t="str"/>
      <x:c r="R150" s="11" t="str">
        <x:v>לא</x:v>
      </x:c>
    </x:row>
    <x:row r="151">
      <x:c r="A151" s="14" t="n">
        <x:v>45689</x:v>
      </x:c>
      <x:c r="B151" s="11" t="str">
        <x:v>2025-02</x:v>
      </x:c>
      <x:c r="C151" s="11" t="str">
        <x:v>פברואר 25</x:v>
      </x:c>
      <x:c r="D151" s="15" t="n">
        <x:v>79</x:v>
      </x:c>
      <x:c r="E151" s="11" t="str">
        <x:v>7</x:v>
      </x:c>
      <x:c r="F151" s="11" t="str">
        <x:v>דלק</x:v>
      </x:c>
      <x:c r="G151" s="17" t="n">
        <x:v>233</x:v>
      </x:c>
      <x:c r="H151" s="18" t="str">
        <x:v>תחבורה</x:v>
      </x:c>
      <x:c r="I151" s="19" t="str">
        <x:f>IFERROR(INDEX('מיפוי ומקורות'!$C$7:$C$33,MATCH(H151,'מיפוי ומקורות'!$B$7:$B$33,0)),"לא מסווג")</x:f>
        <x:v>תחבורה</x:v>
      </x:c>
      <x:c r="J151" s="19" t="str">
        <x:f>IFERROR(INDEX('מיפוי ומקורות'!$D$7:$D$33,MATCH(H151,'מיפוי ומקורות'!$B$7:$B$33,0)),"שוטף")</x:f>
        <x:v>שוטף</x:v>
      </x:c>
      <x:c r="K151" s="19" t="str">
        <x:f>IF(OR(H151="ריביות",AND(H151="דירה כצנלסון",G151&lt;0,ISNUMBER(SEARCH("הכנסה",F151)))),"הכנסה שסווגה מחדש",J151)</x:f>
        <x:v>שוטף</x:v>
      </x:c>
      <x:c r="L151" s="19" t="str">
        <x:v>מאושר</x:v>
      </x:c>
      <x:c r="M151" s="20" t="n">
        <x:f>IF(L151="מאושר",IF(K151="הכנסה שסווגה מחדש",0,G151),0)</x:f>
        <x:v>233</x:v>
      </x:c>
      <x:c r="N151" s="20" t="n">
        <x:f>IF(K151="שוטף",M151,0)</x:f>
        <x:v>233</x:v>
      </x:c>
      <x:c r="O151" s="20" t="n">
        <x:f>IF(K151="הכנסה שסווגה מחדש",-G151,0)</x:f>
        <x:v>0</x:v>
      </x:c>
      <x:c r="P151" s="11" t="str">
        <x:v>אמקס זיו</x:v>
      </x:c>
      <x:c r="Q151" s="11" t="str"/>
      <x:c r="R151" s="11" t="str">
        <x:v>לא</x:v>
      </x:c>
    </x:row>
    <x:row r="152">
      <x:c r="A152" s="14" t="n">
        <x:v>45689</x:v>
      </x:c>
      <x:c r="B152" s="11" t="str">
        <x:v>2025-02</x:v>
      </x:c>
      <x:c r="C152" s="11" t="str">
        <x:v>פברואר 25</x:v>
      </x:c>
      <x:c r="D152" s="15" t="n">
        <x:v>80</x:v>
      </x:c>
      <x:c r="E152" s="11" t="str">
        <x:v>8</x:v>
      </x:c>
      <x:c r="F152" s="11" t="str">
        <x:v>זומבה</x:v>
      </x:c>
      <x:c r="G152" s="17" t="n">
        <x:v>25</x:v>
      </x:c>
      <x:c r="H152" s="18" t="str">
        <x:v>ספורט</x:v>
      </x:c>
      <x:c r="I152" s="19" t="str">
        <x:f>IFERROR(INDEX('מיפוי ומקורות'!$C$7:$C$33,MATCH(H152,'מיפוי ומקורות'!$B$7:$B$33,0)),"לא מסווג")</x:f>
        <x:v>ספורט</x:v>
      </x:c>
      <x:c r="J152" s="19" t="str">
        <x:f>IFERROR(INDEX('מיפוי ומקורות'!$D$7:$D$33,MATCH(H152,'מיפוי ומקורות'!$B$7:$B$33,0)),"שוטף")</x:f>
        <x:v>שוטף</x:v>
      </x:c>
      <x:c r="K152" s="19" t="str">
        <x:f>IF(OR(H152="ריביות",AND(H152="דירה כצנלסון",G152&lt;0,ISNUMBER(SEARCH("הכנסה",F152)))),"הכנסה שסווגה מחדש",J152)</x:f>
        <x:v>שוטף</x:v>
      </x:c>
      <x:c r="L152" s="19" t="str">
        <x:v>מאושר</x:v>
      </x:c>
      <x:c r="M152" s="20" t="n">
        <x:f>IF(L152="מאושר",IF(K152="הכנסה שסווגה מחדש",0,G152),0)</x:f>
        <x:v>25</x:v>
      </x:c>
      <x:c r="N152" s="20" t="n">
        <x:f>IF(K152="שוטף",M152,0)</x:f>
        <x:v>25</x:v>
      </x:c>
      <x:c r="O152" s="20" t="n">
        <x:f>IF(K152="הכנסה שסווגה מחדש",-G152,0)</x:f>
        <x:v>0</x:v>
      </x:c>
      <x:c r="P152" s="11" t="str">
        <x:v>אמקס זיו</x:v>
      </x:c>
      <x:c r="Q152" s="11" t="str"/>
      <x:c r="R152" s="11" t="str">
        <x:v>לא</x:v>
      </x:c>
    </x:row>
    <x:row r="153">
      <x:c r="A153" s="14" t="n">
        <x:v>45689</x:v>
      </x:c>
      <x:c r="B153" s="11" t="str">
        <x:v>2025-02</x:v>
      </x:c>
      <x:c r="C153" s="11" t="str">
        <x:v>פברואר 25</x:v>
      </x:c>
      <x:c r="D153" s="15" t="n">
        <x:v>81</x:v>
      </x:c>
      <x:c r="E153" s="11" t="str">
        <x:v>13</x:v>
      </x:c>
      <x:c r="F153" s="11" t="str">
        <x:v>אמפמ</x:v>
      </x:c>
      <x:c r="G153" s="17" t="n">
        <x:v>70</x:v>
      </x:c>
      <x:c r="H153" s="18" t="str">
        <x:v>מזון לבית</x:v>
      </x:c>
      <x:c r="I153" s="19" t="str">
        <x:f>IFERROR(INDEX('מיפוי ומקורות'!$C$7:$C$33,MATCH(H153,'מיפוי ומקורות'!$B$7:$B$33,0)),"לא מסווג")</x:f>
        <x:v>מזון לבית</x:v>
      </x:c>
      <x:c r="J153" s="19" t="str">
        <x:f>IFERROR(INDEX('מיפוי ומקורות'!$D$7:$D$33,MATCH(H153,'מיפוי ומקורות'!$B$7:$B$33,0)),"שוטף")</x:f>
        <x:v>שוטף</x:v>
      </x:c>
      <x:c r="K153" s="19" t="str">
        <x:f>IF(OR(H153="ריביות",AND(H153="דירה כצנלסון",G153&lt;0,ISNUMBER(SEARCH("הכנסה",F153)))),"הכנסה שסווגה מחדש",J153)</x:f>
        <x:v>שוטף</x:v>
      </x:c>
      <x:c r="L153" s="19" t="str">
        <x:v>מאושר</x:v>
      </x:c>
      <x:c r="M153" s="20" t="n">
        <x:f>IF(L153="מאושר",IF(K153="הכנסה שסווגה מחדש",0,G153),0)</x:f>
        <x:v>70</x:v>
      </x:c>
      <x:c r="N153" s="20" t="n">
        <x:f>IF(K153="שוטף",M153,0)</x:f>
        <x:v>70</x:v>
      </x:c>
      <x:c r="O153" s="20" t="n">
        <x:f>IF(K153="הכנסה שסווגה מחדש",-G153,0)</x:f>
        <x:v>0</x:v>
      </x:c>
      <x:c r="P153" s="11" t="str">
        <x:v>אמקס זיו</x:v>
      </x:c>
      <x:c r="Q153" s="11" t="str"/>
      <x:c r="R153" s="11" t="str">
        <x:v>לא</x:v>
      </x:c>
    </x:row>
    <x:row r="154">
      <x:c r="A154" s="14" t="n">
        <x:v>45689</x:v>
      </x:c>
      <x:c r="B154" s="11" t="str">
        <x:v>2025-02</x:v>
      </x:c>
      <x:c r="C154" s="11" t="str">
        <x:v>פברואר 25</x:v>
      </x:c>
      <x:c r="D154" s="15" t="n">
        <x:v>82</x:v>
      </x:c>
      <x:c r="E154" s="11" t="str">
        <x:v>16</x:v>
      </x:c>
      <x:c r="F154" s="11" t="str">
        <x:v>אמפמ</x:v>
      </x:c>
      <x:c r="G154" s="17" t="n">
        <x:v>38</x:v>
      </x:c>
      <x:c r="H154" s="18" t="str">
        <x:v>מזון לבית</x:v>
      </x:c>
      <x:c r="I154" s="19" t="str">
        <x:f>IFERROR(INDEX('מיפוי ומקורות'!$C$7:$C$33,MATCH(H154,'מיפוי ומקורות'!$B$7:$B$33,0)),"לא מסווג")</x:f>
        <x:v>מזון לבית</x:v>
      </x:c>
      <x:c r="J154" s="19" t="str">
        <x:f>IFERROR(INDEX('מיפוי ומקורות'!$D$7:$D$33,MATCH(H154,'מיפוי ומקורות'!$B$7:$B$33,0)),"שוטף")</x:f>
        <x:v>שוטף</x:v>
      </x:c>
      <x:c r="K154" s="19" t="str">
        <x:f>IF(OR(H154="ריביות",AND(H154="דירה כצנלסון",G154&lt;0,ISNUMBER(SEARCH("הכנסה",F154)))),"הכנסה שסווגה מחדש",J154)</x:f>
        <x:v>שוטף</x:v>
      </x:c>
      <x:c r="L154" s="19" t="str">
        <x:v>מאושר</x:v>
      </x:c>
      <x:c r="M154" s="20" t="n">
        <x:f>IF(L154="מאושר",IF(K154="הכנסה שסווגה מחדש",0,G154),0)</x:f>
        <x:v>38</x:v>
      </x:c>
      <x:c r="N154" s="20" t="n">
        <x:f>IF(K154="שוטף",M154,0)</x:f>
        <x:v>38</x:v>
      </x:c>
      <x:c r="O154" s="20" t="n">
        <x:f>IF(K154="הכנסה שסווגה מחדש",-G154,0)</x:f>
        <x:v>0</x:v>
      </x:c>
      <x:c r="P154" s="11" t="str">
        <x:v>אמקס זיו</x:v>
      </x:c>
      <x:c r="Q154" s="11" t="str"/>
      <x:c r="R154" s="11" t="str">
        <x:v>לא</x:v>
      </x:c>
    </x:row>
    <x:row r="155">
      <x:c r="A155" s="14" t="n">
        <x:v>45689</x:v>
      </x:c>
      <x:c r="B155" s="11" t="str">
        <x:v>2025-02</x:v>
      </x:c>
      <x:c r="C155" s="11" t="str">
        <x:v>פברואר 25</x:v>
      </x:c>
      <x:c r="D155" s="15" t="n">
        <x:v>83</x:v>
      </x:c>
      <x:c r="E155" s="11" t="str">
        <x:v>18</x:v>
      </x:c>
      <x:c r="F155" s="11" t="str">
        <x:v>מכולת</x:v>
      </x:c>
      <x:c r="G155" s="17" t="n">
        <x:v>6</x:v>
      </x:c>
      <x:c r="H155" s="18" t="str">
        <x:v>מזון לבית</x:v>
      </x:c>
      <x:c r="I155" s="19" t="str">
        <x:f>IFERROR(INDEX('מיפוי ומקורות'!$C$7:$C$33,MATCH(H155,'מיפוי ומקורות'!$B$7:$B$33,0)),"לא מסווג")</x:f>
        <x:v>מזון לבית</x:v>
      </x:c>
      <x:c r="J155" s="19" t="str">
        <x:f>IFERROR(INDEX('מיפוי ומקורות'!$D$7:$D$33,MATCH(H155,'מיפוי ומקורות'!$B$7:$B$33,0)),"שוטף")</x:f>
        <x:v>שוטף</x:v>
      </x:c>
      <x:c r="K155" s="19" t="str">
        <x:f>IF(OR(H155="ריביות",AND(H155="דירה כצנלסון",G155&lt;0,ISNUMBER(SEARCH("הכנסה",F155)))),"הכנסה שסווגה מחדש",J155)</x:f>
        <x:v>שוטף</x:v>
      </x:c>
      <x:c r="L155" s="19" t="str">
        <x:v>מאושר</x:v>
      </x:c>
      <x:c r="M155" s="20" t="n">
        <x:f>IF(L155="מאושר",IF(K155="הכנסה שסווגה מחדש",0,G155),0)</x:f>
        <x:v>6</x:v>
      </x:c>
      <x:c r="N155" s="20" t="n">
        <x:f>IF(K155="שוטף",M155,0)</x:f>
        <x:v>6</x:v>
      </x:c>
      <x:c r="O155" s="20" t="n">
        <x:f>IF(K155="הכנסה שסווגה מחדש",-G155,0)</x:f>
        <x:v>0</x:v>
      </x:c>
      <x:c r="P155" s="11" t="str">
        <x:v>אמקס זיו</x:v>
      </x:c>
      <x:c r="Q155" s="11" t="str"/>
      <x:c r="R155" s="11" t="str">
        <x:v>לא</x:v>
      </x:c>
    </x:row>
    <x:row r="156">
      <x:c r="A156" s="14" t="n">
        <x:v>45689</x:v>
      </x:c>
      <x:c r="B156" s="11" t="str">
        <x:v>2025-02</x:v>
      </x:c>
      <x:c r="C156" s="11" t="str">
        <x:v>פברואר 25</x:v>
      </x:c>
      <x:c r="D156" s="15" t="n">
        <x:v>84</x:v>
      </x:c>
      <x:c r="E156" s="11" t="str">
        <x:v>18</x:v>
      </x:c>
      <x:c r="F156" s="11" t="str">
        <x:v>סופר</x:v>
      </x:c>
      <x:c r="G156" s="17" t="n">
        <x:v>130</x:v>
      </x:c>
      <x:c r="H156" s="18" t="str">
        <x:v>מזון לבית</x:v>
      </x:c>
      <x:c r="I156" s="19" t="str">
        <x:f>IFERROR(INDEX('מיפוי ומקורות'!$C$7:$C$33,MATCH(H156,'מיפוי ומקורות'!$B$7:$B$33,0)),"לא מסווג")</x:f>
        <x:v>מזון לבית</x:v>
      </x:c>
      <x:c r="J156" s="19" t="str">
        <x:f>IFERROR(INDEX('מיפוי ומקורות'!$D$7:$D$33,MATCH(H156,'מיפוי ומקורות'!$B$7:$B$33,0)),"שוטף")</x:f>
        <x:v>שוטף</x:v>
      </x:c>
      <x:c r="K156" s="19" t="str">
        <x:f>IF(OR(H156="ריביות",AND(H156="דירה כצנלסון",G156&lt;0,ISNUMBER(SEARCH("הכנסה",F156)))),"הכנסה שסווגה מחדש",J156)</x:f>
        <x:v>שוטף</x:v>
      </x:c>
      <x:c r="L156" s="19" t="str">
        <x:v>מאושר</x:v>
      </x:c>
      <x:c r="M156" s="20" t="n">
        <x:f>IF(L156="מאושר",IF(K156="הכנסה שסווגה מחדש",0,G156),0)</x:f>
        <x:v>130</x:v>
      </x:c>
      <x:c r="N156" s="20" t="n">
        <x:f>IF(K156="שוטף",M156,0)</x:f>
        <x:v>130</x:v>
      </x:c>
      <x:c r="O156" s="20" t="n">
        <x:f>IF(K156="הכנסה שסווגה מחדש",-G156,0)</x:f>
        <x:v>0</x:v>
      </x:c>
      <x:c r="P156" s="11" t="str">
        <x:v>אמקס זיו</x:v>
      </x:c>
      <x:c r="Q156" s="11" t="str"/>
      <x:c r="R156" s="11" t="str">
        <x:v>לא</x:v>
      </x:c>
    </x:row>
    <x:row r="157">
      <x:c r="A157" s="14" t="n">
        <x:v>45689</x:v>
      </x:c>
      <x:c r="B157" s="11" t="str">
        <x:v>2025-02</x:v>
      </x:c>
      <x:c r="C157" s="11" t="str">
        <x:v>פברואר 25</x:v>
      </x:c>
      <x:c r="D157" s="15" t="n">
        <x:v>85</x:v>
      </x:c>
      <x:c r="E157" s="11" t="str">
        <x:v>20</x:v>
      </x:c>
      <x:c r="F157" s="11" t="str">
        <x:v>סומסום</x:v>
      </x:c>
      <x:c r="G157" s="17" t="n">
        <x:v>55</x:v>
      </x:c>
      <x:c r="H157" s="18" t="str">
        <x:v>אוכל בחוץ</x:v>
      </x:c>
      <x:c r="I157" s="19" t="str">
        <x:f>IFERROR(INDEX('מיפוי ומקורות'!$C$7:$C$33,MATCH(H157,'מיפוי ומקורות'!$B$7:$B$33,0)),"לא מסווג")</x:f>
        <x:v>אוכל בחוץ</x:v>
      </x:c>
      <x:c r="J157" s="19" t="str">
        <x:f>IFERROR(INDEX('מיפוי ומקורות'!$D$7:$D$33,MATCH(H157,'מיפוי ומקורות'!$B$7:$B$33,0)),"שוטף")</x:f>
        <x:v>שוטף</x:v>
      </x:c>
      <x:c r="K157" s="19" t="str">
        <x:f>IF(OR(H157="ריביות",AND(H157="דירה כצנלסון",G157&lt;0,ISNUMBER(SEARCH("הכנסה",F157)))),"הכנסה שסווגה מחדש",J157)</x:f>
        <x:v>שוטף</x:v>
      </x:c>
      <x:c r="L157" s="19" t="str">
        <x:v>מאושר</x:v>
      </x:c>
      <x:c r="M157" s="20" t="n">
        <x:f>IF(L157="מאושר",IF(K157="הכנסה שסווגה מחדש",0,G157),0)</x:f>
        <x:v>55</x:v>
      </x:c>
      <x:c r="N157" s="20" t="n">
        <x:f>IF(K157="שוטף",M157,0)</x:f>
        <x:v>55</x:v>
      </x:c>
      <x:c r="O157" s="20" t="n">
        <x:f>IF(K157="הכנסה שסווגה מחדש",-G157,0)</x:f>
        <x:v>0</x:v>
      </x:c>
      <x:c r="P157" s="11" t="str">
        <x:v>אמקס זיו</x:v>
      </x:c>
      <x:c r="Q157" s="11" t="str"/>
      <x:c r="R157" s="11" t="str">
        <x:v>לא</x:v>
      </x:c>
    </x:row>
    <x:row r="158">
      <x:c r="A158" s="14" t="n">
        <x:v>45689</x:v>
      </x:c>
      <x:c r="B158" s="11" t="str">
        <x:v>2025-02</x:v>
      </x:c>
      <x:c r="C158" s="11" t="str">
        <x:v>פברואר 25</x:v>
      </x:c>
      <x:c r="D158" s="15" t="n">
        <x:v>86</x:v>
      </x:c>
      <x:c r="E158" s="11" t="str">
        <x:v>22</x:v>
      </x:c>
      <x:c r="F158" s="11" t="str">
        <x:v>זומבה</x:v>
      </x:c>
      <x:c r="G158" s="17" t="n">
        <x:v>25</x:v>
      </x:c>
      <x:c r="H158" s="18" t="str">
        <x:v>ספורט</x:v>
      </x:c>
      <x:c r="I158" s="19" t="str">
        <x:f>IFERROR(INDEX('מיפוי ומקורות'!$C$7:$C$33,MATCH(H158,'מיפוי ומקורות'!$B$7:$B$33,0)),"לא מסווג")</x:f>
        <x:v>ספורט</x:v>
      </x:c>
      <x:c r="J158" s="19" t="str">
        <x:f>IFERROR(INDEX('מיפוי ומקורות'!$D$7:$D$33,MATCH(H158,'מיפוי ומקורות'!$B$7:$B$33,0)),"שוטף")</x:f>
        <x:v>שוטף</x:v>
      </x:c>
      <x:c r="K158" s="19" t="str">
        <x:f>IF(OR(H158="ריביות",AND(H158="דירה כצנלסון",G158&lt;0,ISNUMBER(SEARCH("הכנסה",F158)))),"הכנסה שסווגה מחדש",J158)</x:f>
        <x:v>שוטף</x:v>
      </x:c>
      <x:c r="L158" s="19" t="str">
        <x:v>מאושר</x:v>
      </x:c>
      <x:c r="M158" s="20" t="n">
        <x:f>IF(L158="מאושר",IF(K158="הכנסה שסווגה מחדש",0,G158),0)</x:f>
        <x:v>25</x:v>
      </x:c>
      <x:c r="N158" s="20" t="n">
        <x:f>IF(K158="שוטף",M158,0)</x:f>
        <x:v>25</x:v>
      </x:c>
      <x:c r="O158" s="20" t="n">
        <x:f>IF(K158="הכנסה שסווגה מחדש",-G158,0)</x:f>
        <x:v>0</x:v>
      </x:c>
      <x:c r="P158" s="11" t="str">
        <x:v>אמקס זיו</x:v>
      </x:c>
      <x:c r="Q158" s="11" t="str"/>
      <x:c r="R158" s="11" t="str">
        <x:v>לא</x:v>
      </x:c>
    </x:row>
    <x:row r="159">
      <x:c r="A159" s="14" t="n">
        <x:v>45689</x:v>
      </x:c>
      <x:c r="B159" s="11" t="str">
        <x:v>2025-02</x:v>
      </x:c>
      <x:c r="C159" s="11" t="str">
        <x:v>פברואר 25</x:v>
      </x:c>
      <x:c r="D159" s="15" t="n">
        <x:v>87</x:v>
      </x:c>
      <x:c r="E159" s="11" t="str">
        <x:v>22</x:v>
      </x:c>
      <x:c r="F159" s="11" t="str">
        <x:v>דלק</x:v>
      </x:c>
      <x:c r="G159" s="17" t="n">
        <x:v>220</x:v>
      </x:c>
      <x:c r="H159" s="18" t="str">
        <x:v>תחבורה</x:v>
      </x:c>
      <x:c r="I159" s="19" t="str">
        <x:f>IFERROR(INDEX('מיפוי ומקורות'!$C$7:$C$33,MATCH(H159,'מיפוי ומקורות'!$B$7:$B$33,0)),"לא מסווג")</x:f>
        <x:v>תחבורה</x:v>
      </x:c>
      <x:c r="J159" s="19" t="str">
        <x:f>IFERROR(INDEX('מיפוי ומקורות'!$D$7:$D$33,MATCH(H159,'מיפוי ומקורות'!$B$7:$B$33,0)),"שוטף")</x:f>
        <x:v>שוטף</x:v>
      </x:c>
      <x:c r="K159" s="19" t="str">
        <x:f>IF(OR(H159="ריביות",AND(H159="דירה כצנלסון",G159&lt;0,ISNUMBER(SEARCH("הכנסה",F159)))),"הכנסה שסווגה מחדש",J159)</x:f>
        <x:v>שוטף</x:v>
      </x:c>
      <x:c r="L159" s="19" t="str">
        <x:v>מאושר</x:v>
      </x:c>
      <x:c r="M159" s="20" t="n">
        <x:f>IF(L159="מאושר",IF(K159="הכנסה שסווגה מחדש",0,G159),0)</x:f>
        <x:v>220</x:v>
      </x:c>
      <x:c r="N159" s="20" t="n">
        <x:f>IF(K159="שוטף",M159,0)</x:f>
        <x:v>220</x:v>
      </x:c>
      <x:c r="O159" s="20" t="n">
        <x:f>IF(K159="הכנסה שסווגה מחדש",-G159,0)</x:f>
        <x:v>0</x:v>
      </x:c>
      <x:c r="P159" s="11" t="str">
        <x:v>אמקס זיו</x:v>
      </x:c>
      <x:c r="Q159" s="11" t="str"/>
      <x:c r="R159" s="11" t="str">
        <x:v>לא</x:v>
      </x:c>
    </x:row>
    <x:row r="160">
      <x:c r="A160" s="14" t="n">
        <x:v>45689</x:v>
      </x:c>
      <x:c r="B160" s="11" t="str">
        <x:v>2025-02</x:v>
      </x:c>
      <x:c r="C160" s="11" t="str">
        <x:v>פברואר 25</x:v>
      </x:c>
      <x:c r="D160" s="15" t="n">
        <x:v>88</x:v>
      </x:c>
      <x:c r="E160" s="11" t="str">
        <x:v>23</x:v>
      </x:c>
      <x:c r="F160" s="11" t="str">
        <x:v>סופר</x:v>
      </x:c>
      <x:c r="G160" s="17" t="n">
        <x:v>56</x:v>
      </x:c>
      <x:c r="H160" s="18" t="str">
        <x:v>מזון לבית</x:v>
      </x:c>
      <x:c r="I160" s="19" t="str">
        <x:f>IFERROR(INDEX('מיפוי ומקורות'!$C$7:$C$33,MATCH(H160,'מיפוי ומקורות'!$B$7:$B$33,0)),"לא מסווג")</x:f>
        <x:v>מזון לבית</x:v>
      </x:c>
      <x:c r="J160" s="19" t="str">
        <x:f>IFERROR(INDEX('מיפוי ומקורות'!$D$7:$D$33,MATCH(H160,'מיפוי ומקורות'!$B$7:$B$33,0)),"שוטף")</x:f>
        <x:v>שוטף</x:v>
      </x:c>
      <x:c r="K160" s="19" t="str">
        <x:f>IF(OR(H160="ריביות",AND(H160="דירה כצנלסון",G160&lt;0,ISNUMBER(SEARCH("הכנסה",F160)))),"הכנסה שסווגה מחדש",J160)</x:f>
        <x:v>שוטף</x:v>
      </x:c>
      <x:c r="L160" s="19" t="str">
        <x:v>מאושר</x:v>
      </x:c>
      <x:c r="M160" s="20" t="n">
        <x:f>IF(L160="מאושר",IF(K160="הכנסה שסווגה מחדש",0,G160),0)</x:f>
        <x:v>56</x:v>
      </x:c>
      <x:c r="N160" s="20" t="n">
        <x:f>IF(K160="שוטף",M160,0)</x:f>
        <x:v>56</x:v>
      </x:c>
      <x:c r="O160" s="20" t="n">
        <x:f>IF(K160="הכנסה שסווגה מחדש",-G160,0)</x:f>
        <x:v>0</x:v>
      </x:c>
      <x:c r="P160" s="11" t="str">
        <x:v>אמקס זיו</x:v>
      </x:c>
      <x:c r="Q160" s="11" t="str"/>
      <x:c r="R160" s="11" t="str">
        <x:v>לא</x:v>
      </x:c>
    </x:row>
    <x:row r="161">
      <x:c r="A161" s="14" t="n">
        <x:v>45689</x:v>
      </x:c>
      <x:c r="B161" s="11" t="str">
        <x:v>2025-02</x:v>
      </x:c>
      <x:c r="C161" s="11" t="str">
        <x:v>פברואר 25</x:v>
      </x:c>
      <x:c r="D161" s="15" t="n">
        <x:v>89</x:v>
      </x:c>
      <x:c r="E161" s="11" t="str">
        <x:v>25</x:v>
      </x:c>
      <x:c r="F161" s="11" t="str">
        <x:v>תחבץ</x:v>
      </x:c>
      <x:c r="G161" s="17" t="n">
        <x:v>116</x:v>
      </x:c>
      <x:c r="H161" s="18" t="str">
        <x:v>תחבורה</x:v>
      </x:c>
      <x:c r="I161" s="19" t="str">
        <x:f>IFERROR(INDEX('מיפוי ומקורות'!$C$7:$C$33,MATCH(H161,'מיפוי ומקורות'!$B$7:$B$33,0)),"לא מסווג")</x:f>
        <x:v>תחבורה</x:v>
      </x:c>
      <x:c r="J161" s="19" t="str">
        <x:f>IFERROR(INDEX('מיפוי ומקורות'!$D$7:$D$33,MATCH(H161,'מיפוי ומקורות'!$B$7:$B$33,0)),"שוטף")</x:f>
        <x:v>שוטף</x:v>
      </x:c>
      <x:c r="K161" s="19" t="str">
        <x:f>IF(OR(H161="ריביות",AND(H161="דירה כצנלסון",G161&lt;0,ISNUMBER(SEARCH("הכנסה",F161)))),"הכנסה שסווגה מחדש",J161)</x:f>
        <x:v>שוטף</x:v>
      </x:c>
      <x:c r="L161" s="19" t="str">
        <x:v>מאושר</x:v>
      </x:c>
      <x:c r="M161" s="20" t="n">
        <x:f>IF(L161="מאושר",IF(K161="הכנסה שסווגה מחדש",0,G161),0)</x:f>
        <x:v>116</x:v>
      </x:c>
      <x:c r="N161" s="20" t="n">
        <x:f>IF(K161="שוטף",M161,0)</x:f>
        <x:v>116</x:v>
      </x:c>
      <x:c r="O161" s="20" t="n">
        <x:f>IF(K161="הכנסה שסווגה מחדש",-G161,0)</x:f>
        <x:v>0</x:v>
      </x:c>
      <x:c r="P161" s="11" t="str">
        <x:v>אמקס זיו</x:v>
      </x:c>
      <x:c r="Q161" s="11" t="str"/>
      <x:c r="R161" s="11" t="str">
        <x:v>לא</x:v>
      </x:c>
    </x:row>
    <x:row r="162">
      <x:c r="A162" s="14" t="n">
        <x:v>45689</x:v>
      </x:c>
      <x:c r="B162" s="11" t="str">
        <x:v>2025-02</x:v>
      </x:c>
      <x:c r="C162" s="11" t="str">
        <x:v>פברואר 25</x:v>
      </x:c>
      <x:c r="D162" s="15" t="n">
        <x:v>90</x:v>
      </x:c>
      <x:c r="E162" s="11" t="str">
        <x:v>27</x:v>
      </x:c>
      <x:c r="F162" s="11" t="str">
        <x:v>סופר</x:v>
      </x:c>
      <x:c r="G162" s="17" t="n">
        <x:v>53</x:v>
      </x:c>
      <x:c r="H162" s="18" t="str">
        <x:v>מזון לבית</x:v>
      </x:c>
      <x:c r="I162" s="19" t="str">
        <x:f>IFERROR(INDEX('מיפוי ומקורות'!$C$7:$C$33,MATCH(H162,'מיפוי ומקורות'!$B$7:$B$33,0)),"לא מסווג")</x:f>
        <x:v>מזון לבית</x:v>
      </x:c>
      <x:c r="J162" s="19" t="str">
        <x:f>IFERROR(INDEX('מיפוי ומקורות'!$D$7:$D$33,MATCH(H162,'מיפוי ומקורות'!$B$7:$B$33,0)),"שוטף")</x:f>
        <x:v>שוטף</x:v>
      </x:c>
      <x:c r="K162" s="19" t="str">
        <x:f>IF(OR(H162="ריביות",AND(H162="דירה כצנלסון",G162&lt;0,ISNUMBER(SEARCH("הכנסה",F162)))),"הכנסה שסווגה מחדש",J162)</x:f>
        <x:v>שוטף</x:v>
      </x:c>
      <x:c r="L162" s="19" t="str">
        <x:v>מאושר</x:v>
      </x:c>
      <x:c r="M162" s="20" t="n">
        <x:f>IF(L162="מאושר",IF(K162="הכנסה שסווגה מחדש",0,G162),0)</x:f>
        <x:v>53</x:v>
      </x:c>
      <x:c r="N162" s="20" t="n">
        <x:f>IF(K162="שוטף",M162,0)</x:f>
        <x:v>53</x:v>
      </x:c>
      <x:c r="O162" s="20" t="n">
        <x:f>IF(K162="הכנסה שסווגה מחדש",-G162,0)</x:f>
        <x:v>0</x:v>
      </x:c>
      <x:c r="P162" s="11" t="str">
        <x:v>אמקס זיו</x:v>
      </x:c>
      <x:c r="Q162" s="11" t="str"/>
      <x:c r="R162" s="11" t="str">
        <x:v>לא</x:v>
      </x:c>
    </x:row>
    <x:row r="163">
      <x:c r="A163" s="14" t="n">
        <x:v>45689</x:v>
      </x:c>
      <x:c r="B163" s="11" t="str">
        <x:v>2025-02</x:v>
      </x:c>
      <x:c r="C163" s="11" t="str">
        <x:v>פברואר 25</x:v>
      </x:c>
      <x:c r="D163" s="15" t="n">
        <x:v>91</x:v>
      </x:c>
      <x:c r="E163" s="11" t="str">
        <x:v>28</x:v>
      </x:c>
      <x:c r="F163" s="11" t="str">
        <x:v>קפה</x:v>
      </x:c>
      <x:c r="G163" s="17" t="n">
        <x:v>38</x:v>
      </x:c>
      <x:c r="H163" s="18" t="str">
        <x:v>אוכל בחוץ</x:v>
      </x:c>
      <x:c r="I163" s="19" t="str">
        <x:f>IFERROR(INDEX('מיפוי ומקורות'!$C$7:$C$33,MATCH(H163,'מיפוי ומקורות'!$B$7:$B$33,0)),"לא מסווג")</x:f>
        <x:v>אוכל בחוץ</x:v>
      </x:c>
      <x:c r="J163" s="19" t="str">
        <x:f>IFERROR(INDEX('מיפוי ומקורות'!$D$7:$D$33,MATCH(H163,'מיפוי ומקורות'!$B$7:$B$33,0)),"שוטף")</x:f>
        <x:v>שוטף</x:v>
      </x:c>
      <x:c r="K163" s="19" t="str">
        <x:f>IF(OR(H163="ריביות",AND(H163="דירה כצנלסון",G163&lt;0,ISNUMBER(SEARCH("הכנסה",F163)))),"הכנסה שסווגה מחדש",J163)</x:f>
        <x:v>שוטף</x:v>
      </x:c>
      <x:c r="L163" s="19" t="str">
        <x:v>מאושר</x:v>
      </x:c>
      <x:c r="M163" s="20" t="n">
        <x:f>IF(L163="מאושר",IF(K163="הכנסה שסווגה מחדש",0,G163),0)</x:f>
        <x:v>38</x:v>
      </x:c>
      <x:c r="N163" s="20" t="n">
        <x:f>IF(K163="שוטף",M163,0)</x:f>
        <x:v>38</x:v>
      </x:c>
      <x:c r="O163" s="20" t="n">
        <x:f>IF(K163="הכנסה שסווגה מחדש",-G163,0)</x:f>
        <x:v>0</x:v>
      </x:c>
      <x:c r="P163" s="11" t="str">
        <x:v>אמקס זיו</x:v>
      </x:c>
      <x:c r="Q163" s="11" t="str"/>
      <x:c r="R163" s="11" t="str">
        <x:v>לא</x:v>
      </x:c>
    </x:row>
    <x:row r="164">
      <x:c r="A164" s="14" t="n">
        <x:v>45689</x:v>
      </x:c>
      <x:c r="B164" s="11" t="str">
        <x:v>2025-02</x:v>
      </x:c>
      <x:c r="C164" s="11" t="str">
        <x:v>פברואר 25</x:v>
      </x:c>
      <x:c r="D164" s="15" t="n">
        <x:v>92</x:v>
      </x:c>
      <x:c r="E164" s="11" t="str">
        <x:v>28</x:v>
      </x:c>
      <x:c r="F164" s="11" t="str">
        <x:v>גלידה</x:v>
      </x:c>
      <x:c r="G164" s="17" t="n">
        <x:v>22</x:v>
      </x:c>
      <x:c r="H164" s="18" t="str">
        <x:v>אוכל בחוץ</x:v>
      </x:c>
      <x:c r="I164" s="19" t="str">
        <x:f>IFERROR(INDEX('מיפוי ומקורות'!$C$7:$C$33,MATCH(H164,'מיפוי ומקורות'!$B$7:$B$33,0)),"לא מסווג")</x:f>
        <x:v>אוכל בחוץ</x:v>
      </x:c>
      <x:c r="J164" s="19" t="str">
        <x:f>IFERROR(INDEX('מיפוי ומקורות'!$D$7:$D$33,MATCH(H164,'מיפוי ומקורות'!$B$7:$B$33,0)),"שוטף")</x:f>
        <x:v>שוטף</x:v>
      </x:c>
      <x:c r="K164" s="19" t="str">
        <x:f>IF(OR(H164="ריביות",AND(H164="דירה כצנלסון",G164&lt;0,ISNUMBER(SEARCH("הכנסה",F164)))),"הכנסה שסווגה מחדש",J164)</x:f>
        <x:v>שוטף</x:v>
      </x:c>
      <x:c r="L164" s="19" t="str">
        <x:v>מאושר</x:v>
      </x:c>
      <x:c r="M164" s="20" t="n">
        <x:f>IF(L164="מאושר",IF(K164="הכנסה שסווגה מחדש",0,G164),0)</x:f>
        <x:v>22</x:v>
      </x:c>
      <x:c r="N164" s="20" t="n">
        <x:f>IF(K164="שוטף",M164,0)</x:f>
        <x:v>22</x:v>
      </x:c>
      <x:c r="O164" s="20" t="n">
        <x:f>IF(K164="הכנסה שסווגה מחדש",-G164,0)</x:f>
        <x:v>0</x:v>
      </x:c>
      <x:c r="P164" s="11" t="str">
        <x:v>אמקס זיו</x:v>
      </x:c>
      <x:c r="Q164" s="11" t="str"/>
      <x:c r="R164" s="11" t="str">
        <x:v>לא</x:v>
      </x:c>
    </x:row>
    <x:row r="165">
      <x:c r="A165" s="14" t="n">
        <x:v>45689</x:v>
      </x:c>
      <x:c r="B165" s="11" t="str">
        <x:v>2025-02</x:v>
      </x:c>
      <x:c r="C165" s="11" t="str">
        <x:v>פברואר 25</x:v>
      </x:c>
      <x:c r="D165" s="15" t="n">
        <x:v>93</x:v>
      </x:c>
      <x:c r="E165" s="11" t="str">
        <x:v>28</x:v>
      </x:c>
      <x:c r="F165" s="11" t="str">
        <x:v>טיסה לסישל</x:v>
      </x:c>
      <x:c r="G165" s="17" t="n">
        <x:v>5404</x:v>
      </x:c>
      <x:c r="H165" s="18" t="str">
        <x:v>חתונה</x:v>
      </x:c>
      <x:c r="I165" s="19" t="str">
        <x:f>IFERROR(INDEX('מיפוי ומקורות'!$C$7:$C$33,MATCH(H165,'מיפוי ומקורות'!$B$7:$B$33,0)),"לא מסווג")</x:f>
        <x:v>חתונה</x:v>
      </x:c>
      <x:c r="J165" s="19" t="str">
        <x:f>IFERROR(INDEX('מיפוי ומקורות'!$D$7:$D$33,MATCH(H165,'מיפוי ומקורות'!$B$7:$B$33,0)),"שוטף")</x:f>
        <x:v>חריג</x:v>
      </x:c>
      <x:c r="K165" s="19" t="str">
        <x:f>IF(OR(H165="ריביות",AND(H165="דירה כצנלסון",G165&lt;0,ISNUMBER(SEARCH("הכנסה",F165)))),"הכנסה שסווגה מחדש",J165)</x:f>
        <x:v>חריג</x:v>
      </x:c>
      <x:c r="L165" s="19" t="str">
        <x:v>מאושר</x:v>
      </x:c>
      <x:c r="M165" s="20" t="n">
        <x:f>IF(L165="מאושר",IF(K165="הכנסה שסווגה מחדש",0,G165),0)</x:f>
        <x:v>5404</x:v>
      </x:c>
      <x:c r="N165" s="20" t="n">
        <x:f>IF(K165="שוטף",M165,0)</x:f>
        <x:v>0</x:v>
      </x:c>
      <x:c r="O165" s="20" t="n">
        <x:f>IF(K165="הכנסה שסווגה מחדש",-G165,0)</x:f>
        <x:v>0</x:v>
      </x:c>
      <x:c r="P165" s="11" t="str">
        <x:v>one zero זיו</x:v>
      </x:c>
      <x:c r="Q165" s="11" t="str"/>
      <x:c r="R165" s="11" t="str">
        <x:v>לא</x:v>
      </x:c>
    </x:row>
    <x:row r="166">
      <x:c r="A166" s="14" t="n">
        <x:v>45689</x:v>
      </x:c>
      <x:c r="B166" s="11" t="str">
        <x:v>2025-02</x:v>
      </x:c>
      <x:c r="C166" s="11" t="str">
        <x:v>פברואר 25</x:v>
      </x:c>
      <x:c r="D166" s="15" t="n">
        <x:v>94</x:v>
      </x:c>
      <x:c r="E166" s="11" t="str">
        <x:v>28</x:v>
      </x:c>
      <x:c r="F166" s="11" t="str">
        <x:v>טיסה לסיישל</x:v>
      </x:c>
      <x:c r="G166" s="17" t="n">
        <x:v>1601</x:v>
      </x:c>
      <x:c r="H166" s="18" t="str">
        <x:v>חתונה</x:v>
      </x:c>
      <x:c r="I166" s="19" t="str">
        <x:f>IFERROR(INDEX('מיפוי ומקורות'!$C$7:$C$33,MATCH(H166,'מיפוי ומקורות'!$B$7:$B$33,0)),"לא מסווג")</x:f>
        <x:v>חתונה</x:v>
      </x:c>
      <x:c r="J166" s="19" t="str">
        <x:f>IFERROR(INDEX('מיפוי ומקורות'!$D$7:$D$33,MATCH(H166,'מיפוי ומקורות'!$B$7:$B$33,0)),"שוטף")</x:f>
        <x:v>חריג</x:v>
      </x:c>
      <x:c r="K166" s="19" t="str">
        <x:f>IF(OR(H166="ריביות",AND(H166="דירה כצנלסון",G166&lt;0,ISNUMBER(SEARCH("הכנסה",F166)))),"הכנסה שסווגה מחדש",J166)</x:f>
        <x:v>חריג</x:v>
      </x:c>
      <x:c r="L166" s="19" t="str">
        <x:v>מאושר</x:v>
      </x:c>
      <x:c r="M166" s="20" t="n">
        <x:f>IF(L166="מאושר",IF(K166="הכנסה שסווגה מחדש",0,G166),0)</x:f>
        <x:v>1601</x:v>
      </x:c>
      <x:c r="N166" s="20" t="n">
        <x:f>IF(K166="שוטף",M166,0)</x:f>
        <x:v>0</x:v>
      </x:c>
      <x:c r="O166" s="20" t="n">
        <x:f>IF(K166="הכנסה שסווגה מחדש",-G166,0)</x:f>
        <x:v>0</x:v>
      </x:c>
      <x:c r="P166" s="11" t="str">
        <x:v>one zero זיו</x:v>
      </x:c>
      <x:c r="Q166" s="11" t="str"/>
      <x:c r="R166" s="11" t="str">
        <x:v>לא</x:v>
      </x:c>
    </x:row>
    <x:row r="167">
      <x:c r="A167" s="14" t="n">
        <x:v>45689</x:v>
      </x:c>
      <x:c r="B167" s="11" t="str">
        <x:v>2025-02</x:v>
      </x:c>
      <x:c r="C167" s="11" t="str">
        <x:v>פברואר 25</x:v>
      </x:c>
      <x:c r="D167" s="15" t="n">
        <x:v>95</x:v>
      </x:c>
      <x:c r="E167" s="11" t="str"/>
      <x:c r="F167" s="11" t="str">
        <x:v>אימונים עינור</x:v>
      </x:c>
      <x:c r="G167" s="17" t="n">
        <x:v>736</x:v>
      </x:c>
      <x:c r="H167" s="18" t="str">
        <x:v>ספורט</x:v>
      </x:c>
      <x:c r="I167" s="19" t="str">
        <x:f>IFERROR(INDEX('מיפוי ומקורות'!$C$7:$C$33,MATCH(H167,'מיפוי ומקורות'!$B$7:$B$33,0)),"לא מסווג")</x:f>
        <x:v>ספורט</x:v>
      </x:c>
      <x:c r="J167" s="19" t="str">
        <x:f>IFERROR(INDEX('מיפוי ומקורות'!$D$7:$D$33,MATCH(H167,'מיפוי ומקורות'!$B$7:$B$33,0)),"שוטף")</x:f>
        <x:v>שוטף</x:v>
      </x:c>
      <x:c r="K167" s="19" t="str">
        <x:f>IF(OR(H167="ריביות",AND(H167="דירה כצנלסון",G167&lt;0,ISNUMBER(SEARCH("הכנסה",F167)))),"הכנסה שסווגה מחדש",J167)</x:f>
        <x:v>שוטף</x:v>
      </x:c>
      <x:c r="L167" s="19" t="str">
        <x:v>מאושר</x:v>
      </x:c>
      <x:c r="M167" s="20" t="n">
        <x:f>IF(L167="מאושר",IF(K167="הכנסה שסווגה מחדש",0,G167),0)</x:f>
        <x:v>736</x:v>
      </x:c>
      <x:c r="N167" s="20" t="n">
        <x:f>IF(K167="שוטף",M167,0)</x:f>
        <x:v>736</x:v>
      </x:c>
      <x:c r="O167" s="20" t="n">
        <x:f>IF(K167="הכנסה שסווגה מחדש",-G167,0)</x:f>
        <x:v>0</x:v>
      </x:c>
      <x:c r="P167" s="11" t="str">
        <x:v>אחר - עינור</x:v>
      </x:c>
      <x:c r="Q167" s="11" t="str"/>
      <x:c r="R167" s="11" t="str">
        <x:v>לא</x:v>
      </x:c>
    </x:row>
    <x:row r="168">
      <x:c r="A168" s="14" t="n">
        <x:v>45689</x:v>
      </x:c>
      <x:c r="B168" s="11" t="str">
        <x:v>2025-02</x:v>
      </x:c>
      <x:c r="C168" s="11" t="str">
        <x:v>פברואר 25</x:v>
      </x:c>
      <x:c r="D168" s="15" t="n">
        <x:v>96</x:v>
      </x:c>
      <x:c r="E168" s="11" t="str"/>
      <x:c r="F168" s="11" t="str">
        <x:v>ליאת</x:v>
      </x:c>
      <x:c r="G168" s="17" t="n">
        <x:v>1350</x:v>
      </x:c>
      <x:c r="H168" s="18" t="str">
        <x:v>בריאות</x:v>
      </x:c>
      <x:c r="I168" s="19" t="str">
        <x:f>IFERROR(INDEX('מיפוי ומקורות'!$C$7:$C$33,MATCH(H168,'מיפוי ומקורות'!$B$7:$B$33,0)),"לא מסווג")</x:f>
        <x:v>בריאות וטיפולים</x:v>
      </x:c>
      <x:c r="J168" s="19" t="str">
        <x:f>IFERROR(INDEX('מיפוי ומקורות'!$D$7:$D$33,MATCH(H168,'מיפוי ומקורות'!$B$7:$B$33,0)),"שוטף")</x:f>
        <x:v>שוטף</x:v>
      </x:c>
      <x:c r="K168" s="19" t="str">
        <x:f>IF(OR(H168="ריביות",AND(H168="דירה כצנלסון",G168&lt;0,ISNUMBER(SEARCH("הכנסה",F168)))),"הכנסה שסווגה מחדש",J168)</x:f>
        <x:v>שוטף</x:v>
      </x:c>
      <x:c r="L168" s="19" t="str">
        <x:v>מאושר</x:v>
      </x:c>
      <x:c r="M168" s="20" t="n">
        <x:f>IF(L168="מאושר",IF(K168="הכנסה שסווגה מחדש",0,G168),0)</x:f>
        <x:v>1350</x:v>
      </x:c>
      <x:c r="N168" s="20" t="n">
        <x:f>IF(K168="שוטף",M168,0)</x:f>
        <x:v>1350</x:v>
      </x:c>
      <x:c r="O168" s="20" t="n">
        <x:f>IF(K168="הכנסה שסווגה מחדש",-G168,0)</x:f>
        <x:v>0</x:v>
      </x:c>
      <x:c r="P168" s="11" t="str">
        <x:v>הבינלאומי</x:v>
      </x:c>
      <x:c r="Q168" s="11" t="str"/>
      <x:c r="R168" s="11" t="str">
        <x:v>לא</x:v>
      </x:c>
    </x:row>
    <x:row r="169">
      <x:c r="A169" s="14" t="n">
        <x:v>45689</x:v>
      </x:c>
      <x:c r="B169" s="11" t="str">
        <x:v>2025-02</x:v>
      </x:c>
      <x:c r="C169" s="11" t="str">
        <x:v>פברואר 25</x:v>
      </x:c>
      <x:c r="D169" s="15" t="n">
        <x:v>97</x:v>
      </x:c>
      <x:c r="E169" s="11" t="str"/>
      <x:c r="F169" s="11" t="str">
        <x:v>ריבית מחיסון</x:v>
      </x:c>
      <x:c r="G169" s="17" t="n">
        <x:v>-163</x:v>
      </x:c>
      <x:c r="H169" s="18" t="str">
        <x:v>ריביות</x:v>
      </x:c>
      <x:c r="I169" s="19" t="str">
        <x:f>IFERROR(INDEX('מיפוי ומקורות'!$C$7:$C$33,MATCH(H169,'מיפוי ומקורות'!$B$7:$B$33,0)),"לא מסווג")</x:f>
        <x:v>זרם פיננסי</x:v>
      </x:c>
      <x:c r="J169" s="19" t="str">
        <x:f>IFERROR(INDEX('מיפוי ומקורות'!$D$7:$D$33,MATCH(H169,'מיפוי ומקורות'!$B$7:$B$33,0)),"שוטף")</x:f>
        <x:v>הכנסה שסווגה מחדש</x:v>
      </x:c>
      <x:c r="K169" s="19" t="str">
        <x:f>IF(OR(H169="ריביות",AND(H169="דירה כצנלסון",G169&lt;0,ISNUMBER(SEARCH("הכנסה",F169)))),"הכנסה שסווגה מחדש",J169)</x:f>
        <x:v>הכנסה שסווגה מחדש</x:v>
      </x:c>
      <x:c r="L169" s="19" t="str">
        <x:v>מאושר</x:v>
      </x:c>
      <x:c r="M169" s="20" t="n">
        <x:f>IF(L169="מאושר",IF(K169="הכנסה שסווגה מחדש",0,G169),0)</x:f>
        <x:v>0</x:v>
      </x:c>
      <x:c r="N169" s="20" t="n">
        <x:f>IF(K169="שוטף",M169,0)</x:f>
        <x:v>0</x:v>
      </x:c>
      <x:c r="O169" s="20" t="n">
        <x:f>IF(K169="הכנסה שסווגה מחדש",-G169,0)</x:f>
        <x:v>163</x:v>
      </x:c>
      <x:c r="P169" s="11" t="str">
        <x:v>one zero</x:v>
      </x:c>
      <x:c r="Q169" s="11" t="str"/>
      <x:c r="R169" s="11" t="str">
        <x:v>לא</x:v>
      </x:c>
    </x:row>
    <x:row r="170">
      <x:c r="A170" s="14" t="n">
        <x:v>45717</x:v>
      </x:c>
      <x:c r="B170" s="11" t="str">
        <x:v>2025-03</x:v>
      </x:c>
      <x:c r="C170" s="11" t="str">
        <x:v>מרץ 25</x:v>
      </x:c>
      <x:c r="D170" s="15" t="n">
        <x:v>2</x:v>
      </x:c>
      <x:c r="E170" s="11" t="str">
        <x:v>14</x:v>
      </x:c>
      <x:c r="F170" s="11" t="str">
        <x:v>שכר דירה</x:v>
      </x:c>
      <x:c r="G170" s="17" t="n">
        <x:v>7500</x:v>
      </x:c>
      <x:c r="H170" s="18" t="str">
        <x:v>מגורים חודשי</x:v>
      </x:c>
      <x:c r="I170" s="19" t="str">
        <x:f>IFERROR(INDEX('מיפוי ומקורות'!$C$7:$C$33,MATCH(H170,'מיפוי ומקורות'!$B$7:$B$33,0)),"לא מסווג")</x:f>
        <x:v>דיור – בית מגורים</x:v>
      </x:c>
      <x:c r="J170" s="19" t="str">
        <x:f>IFERROR(INDEX('מיפוי ומקורות'!$D$7:$D$33,MATCH(H170,'מיפוי ומקורות'!$B$7:$B$33,0)),"שוטף")</x:f>
        <x:v>שוטף</x:v>
      </x:c>
      <x:c r="K170" s="19" t="str">
        <x:f>IF(OR(H170="ריביות",AND(H170="דירה כצנלסון",G170&lt;0,ISNUMBER(SEARCH("הכנסה",F170)))),"הכנסה שסווגה מחדש",J170)</x:f>
        <x:v>שוטף</x:v>
      </x:c>
      <x:c r="L170" s="19" t="str">
        <x:v>מאושר</x:v>
      </x:c>
      <x:c r="M170" s="20" t="n">
        <x:f>IF(L170="מאושר",IF(K170="הכנסה שסווגה מחדש",0,G170),0)</x:f>
        <x:v>7500</x:v>
      </x:c>
      <x:c r="N170" s="20" t="n">
        <x:f>IF(K170="שוטף",M170,0)</x:f>
        <x:v>7500</x:v>
      </x:c>
      <x:c r="O170" s="20" t="n">
        <x:f>IF(K170="הכנסה שסווגה מחדש",-G170,0)</x:f>
        <x:v>0</x:v>
      </x:c>
      <x:c r="P170" s="11" t="str">
        <x:v>one zero</x:v>
      </x:c>
      <x:c r="Q170" s="11" t="str"/>
      <x:c r="R170" s="11" t="str">
        <x:v>לא</x:v>
      </x:c>
    </x:row>
    <x:row r="171">
      <x:c r="A171" s="14" t="n">
        <x:v>45717</x:v>
      </x:c>
      <x:c r="B171" s="11" t="str">
        <x:v>2025-03</x:v>
      </x:c>
      <x:c r="C171" s="11" t="str">
        <x:v>מרץ 25</x:v>
      </x:c>
      <x:c r="D171" s="15" t="n">
        <x:v>3</x:v>
      </x:c>
      <x:c r="E171" s="11" t="str">
        <x:v>10</x:v>
      </x:c>
      <x:c r="F171" s="11" t="str">
        <x:v>משכנתא</x:v>
      </x:c>
      <x:c r="G171" s="17" t="n">
        <x:v>6126</x:v>
      </x:c>
      <x:c r="H171" s="18" t="str">
        <x:v>דירה כצנלסון</x:v>
      </x:c>
      <x:c r="I171" s="19" t="str">
        <x:f>IFERROR(INDEX('מיפוי ומקורות'!$C$7:$C$33,MATCH(H171,'מיפוי ומקורות'!$B$7:$B$33,0)),"לא מסווג")</x:f>
        <x:v>נכס להשקעה</x:v>
      </x:c>
      <x:c r="J171" s="19" t="str">
        <x:f>IFERROR(INDEX('מיפוי ומקורות'!$D$7:$D$33,MATCH(H171,'מיפוי ומקורות'!$B$7:$B$33,0)),"שוטף")</x:f>
        <x:v>חריג/נכס</x:v>
      </x:c>
      <x:c r="K171" s="19" t="str">
        <x:f>IF(OR(H171="ריביות",AND(H171="דירה כצנלסון",G171&lt;0,ISNUMBER(SEARCH("הכנסה",F171)))),"הכנסה שסווגה מחדש",J171)</x:f>
        <x:v>חריג/נכס</x:v>
      </x:c>
      <x:c r="L171" s="19" t="str">
        <x:v>מאושר</x:v>
      </x:c>
      <x:c r="M171" s="20" t="n">
        <x:f>IF(L171="מאושר",IF(K171="הכנסה שסווגה מחדש",0,G171),0)</x:f>
        <x:v>6126</x:v>
      </x:c>
      <x:c r="N171" s="20" t="n">
        <x:f>IF(K171="שוטף",M171,0)</x:f>
        <x:v>0</x:v>
      </x:c>
      <x:c r="O171" s="20" t="n">
        <x:f>IF(K171="הכנסה שסווגה מחדש",-G171,0)</x:f>
        <x:v>0</x:v>
      </x:c>
      <x:c r="P171" s="11" t="str">
        <x:v>דיסקונט</x:v>
      </x:c>
      <x:c r="Q171" s="11" t="str"/>
      <x:c r="R171" s="11" t="str">
        <x:v>לא</x:v>
      </x:c>
    </x:row>
    <x:row r="172">
      <x:c r="A172" s="14" t="n">
        <x:v>45717</x:v>
      </x:c>
      <x:c r="B172" s="11" t="str">
        <x:v>2025-03</x:v>
      </x:c>
      <x:c r="C172" s="11" t="str">
        <x:v>מרץ 25</x:v>
      </x:c>
      <x:c r="D172" s="15" t="n">
        <x:v>4</x:v>
      </x:c>
      <x:c r="E172" s="11" t="str"/>
      <x:c r="F172" s="11" t="str">
        <x:v>הכנסה משכר דירה</x:v>
      </x:c>
      <x:c r="G172" s="17" t="n">
        <x:v>-6500</x:v>
      </x:c>
      <x:c r="H172" s="18" t="str">
        <x:v>דירה כצנלסון</x:v>
      </x:c>
      <x:c r="I172" s="19" t="str">
        <x:f>IFERROR(INDEX('מיפוי ומקורות'!$C$7:$C$33,MATCH(H172,'מיפוי ומקורות'!$B$7:$B$33,0)),"לא מסווג")</x:f>
        <x:v>נכס להשקעה</x:v>
      </x:c>
      <x:c r="J172" s="19" t="str">
        <x:f>IFERROR(INDEX('מיפוי ומקורות'!$D$7:$D$33,MATCH(H172,'מיפוי ומקורות'!$B$7:$B$33,0)),"שוטף")</x:f>
        <x:v>חריג/נכס</x:v>
      </x:c>
      <x:c r="K172" s="19" t="str">
        <x:f>IF(OR(H172="ריביות",AND(H172="דירה כצנלסון",G172&lt;0,ISNUMBER(SEARCH("הכנסה",F172)))),"הכנסה שסווגה מחדש",J172)</x:f>
        <x:v>הכנסה שסווגה מחדש</x:v>
      </x:c>
      <x:c r="L172" s="19" t="str">
        <x:v>מאושר</x:v>
      </x:c>
      <x:c r="M172" s="20" t="n">
        <x:f>IF(L172="מאושר",IF(K172="הכנסה שסווגה מחדש",0,G172),0)</x:f>
        <x:v>0</x:v>
      </x:c>
      <x:c r="N172" s="20" t="n">
        <x:f>IF(K172="שוטף",M172,0)</x:f>
        <x:v>0</x:v>
      </x:c>
      <x:c r="O172" s="20" t="n">
        <x:f>IF(K172="הכנסה שסווגה מחדש",-G172,0)</x:f>
        <x:v>6500</x:v>
      </x:c>
      <x:c r="P172" s="11" t="str">
        <x:v>one zero</x:v>
      </x:c>
      <x:c r="Q172" s="11" t="str"/>
      <x:c r="R172" s="11" t="str">
        <x:v>לא</x:v>
      </x:c>
    </x:row>
    <x:row r="173">
      <x:c r="A173" s="14" t="n">
        <x:v>45717</x:v>
      </x:c>
      <x:c r="B173" s="11" t="str">
        <x:v>2025-03</x:v>
      </x:c>
      <x:c r="C173" s="11" t="str">
        <x:v>מרץ 25</x:v>
      </x:c>
      <x:c r="D173" s="15" t="n">
        <x:v>5</x:v>
      </x:c>
      <x:c r="E173" s="11" t="str">
        <x:v>11</x:v>
      </x:c>
      <x:c r="F173" s="11" t="str">
        <x:v>ארנונה</x:v>
      </x:c>
      <x:c r="G173" s="17" t="n">
        <x:v>293</x:v>
      </x:c>
      <x:c r="H173" s="18" t="str">
        <x:v>מגורים צריכה</x:v>
      </x:c>
      <x:c r="I173" s="19" t="str">
        <x:f>IFERROR(INDEX('מיפוי ומקורות'!$C$7:$C$33,MATCH(H173,'מיפוי ומקורות'!$B$7:$B$33,0)),"לא מסווג")</x:f>
        <x:v>דיור – בית מגורים</x:v>
      </x:c>
      <x:c r="J173" s="19" t="str">
        <x:f>IFERROR(INDEX('מיפוי ומקורות'!$D$7:$D$33,MATCH(H173,'מיפוי ומקורות'!$B$7:$B$33,0)),"שוטף")</x:f>
        <x:v>שוטף</x:v>
      </x:c>
      <x:c r="K173" s="19" t="str">
        <x:f>IF(OR(H173="ריביות",AND(H173="דירה כצנלסון",G173&lt;0,ISNUMBER(SEARCH("הכנסה",F173)))),"הכנסה שסווגה מחדש",J173)</x:f>
        <x:v>שוטף</x:v>
      </x:c>
      <x:c r="L173" s="19" t="str">
        <x:v>מאושר</x:v>
      </x:c>
      <x:c r="M173" s="20" t="n">
        <x:f>IF(L173="מאושר",IF(K173="הכנסה שסווגה מחדש",0,G173),0)</x:f>
        <x:v>293</x:v>
      </x:c>
      <x:c r="N173" s="20" t="n">
        <x:f>IF(K173="שוטף",M173,0)</x:f>
        <x:v>293</x:v>
      </x:c>
      <x:c r="O173" s="20" t="n">
        <x:f>IF(K173="הכנסה שסווגה מחדש",-G173,0)</x:f>
        <x:v>0</x:v>
      </x:c>
      <x:c r="P173" s="11" t="str">
        <x:v>אמקס זיו</x:v>
      </x:c>
      <x:c r="Q173" s="11" t="str"/>
      <x:c r="R173" s="11" t="str">
        <x:v>לא</x:v>
      </x:c>
    </x:row>
    <x:row r="174">
      <x:c r="A174" s="14" t="n">
        <x:v>45717</x:v>
      </x:c>
      <x:c r="B174" s="11" t="str">
        <x:v>2025-03</x:v>
      </x:c>
      <x:c r="C174" s="11" t="str">
        <x:v>מרץ 25</x:v>
      </x:c>
      <x:c r="D174" s="15" t="n">
        <x:v>6</x:v>
      </x:c>
      <x:c r="E174" s="11" t="str">
        <x:v>28</x:v>
      </x:c>
      <x:c r="F174" s="11" t="str">
        <x:v>חשמל</x:v>
      </x:c>
      <x:c r="G174" s="17" t="n">
        <x:v>271</x:v>
      </x:c>
      <x:c r="H174" s="18" t="str">
        <x:v>מגורים צריכה</x:v>
      </x:c>
      <x:c r="I174" s="19" t="str">
        <x:f>IFERROR(INDEX('מיפוי ומקורות'!$C$7:$C$33,MATCH(H174,'מיפוי ומקורות'!$B$7:$B$33,0)),"לא מסווג")</x:f>
        <x:v>דיור – בית מגורים</x:v>
      </x:c>
      <x:c r="J174" s="19" t="str">
        <x:f>IFERROR(INDEX('מיפוי ומקורות'!$D$7:$D$33,MATCH(H174,'מיפוי ומקורות'!$B$7:$B$33,0)),"שוטף")</x:f>
        <x:v>שוטף</x:v>
      </x:c>
      <x:c r="K174" s="19" t="str">
        <x:f>IF(OR(H174="ריביות",AND(H174="דירה כצנלסון",G174&lt;0,ISNUMBER(SEARCH("הכנסה",F174)))),"הכנסה שסווגה מחדש",J174)</x:f>
        <x:v>שוטף</x:v>
      </x:c>
      <x:c r="L174" s="19" t="str">
        <x:v>מאושר</x:v>
      </x:c>
      <x:c r="M174" s="20" t="n">
        <x:f>IF(L174="מאושר",IF(K174="הכנסה שסווגה מחדש",0,G174),0)</x:f>
        <x:v>271</x:v>
      </x:c>
      <x:c r="N174" s="20" t="n">
        <x:f>IF(K174="שוטף",M174,0)</x:f>
        <x:v>271</x:v>
      </x:c>
      <x:c r="O174" s="20" t="n">
        <x:f>IF(K174="הכנסה שסווגה מחדש",-G174,0)</x:f>
        <x:v>0</x:v>
      </x:c>
      <x:c r="P174" s="11" t="str">
        <x:v>אמקס זיו</x:v>
      </x:c>
      <x:c r="Q174" s="11" t="str">
        <x:v>הועבר הורעת קבע מ מקס לאמקס</x:v>
      </x:c>
      <x:c r="R174" s="11" t="str">
        <x:v>לא</x:v>
      </x:c>
    </x:row>
    <x:row r="175">
      <x:c r="A175" s="14" t="n">
        <x:v>45717</x:v>
      </x:c>
      <x:c r="B175" s="11" t="str">
        <x:v>2025-03</x:v>
      </x:c>
      <x:c r="C175" s="11" t="str">
        <x:v>מרץ 25</x:v>
      </x:c>
      <x:c r="D175" s="15" t="n">
        <x:v>7</x:v>
      </x:c>
      <x:c r="E175" s="11" t="str">
        <x:v>1</x:v>
      </x:c>
      <x:c r="F175" s="11" t="str">
        <x:v>מים</x:v>
      </x:c>
      <x:c r="G175" s="17" t="n">
        <x:v>65</x:v>
      </x:c>
      <x:c r="H175" s="18" t="str">
        <x:v>מגורים צריכה</x:v>
      </x:c>
      <x:c r="I175" s="19" t="str">
        <x:f>IFERROR(INDEX('מיפוי ומקורות'!$C$7:$C$33,MATCH(H175,'מיפוי ומקורות'!$B$7:$B$33,0)),"לא מסווג")</x:f>
        <x:v>דיור – בית מגורים</x:v>
      </x:c>
      <x:c r="J175" s="19" t="str">
        <x:f>IFERROR(INDEX('מיפוי ומקורות'!$D$7:$D$33,MATCH(H175,'מיפוי ומקורות'!$B$7:$B$33,0)),"שוטף")</x:f>
        <x:v>שוטף</x:v>
      </x:c>
      <x:c r="K175" s="19" t="str">
        <x:f>IF(OR(H175="ריביות",AND(H175="דירה כצנלסון",G175&lt;0,ISNUMBER(SEARCH("הכנסה",F175)))),"הכנסה שסווגה מחדש",J175)</x:f>
        <x:v>שוטף</x:v>
      </x:c>
      <x:c r="L175" s="19" t="str">
        <x:v>מאושר</x:v>
      </x:c>
      <x:c r="M175" s="20" t="n">
        <x:f>IF(L175="מאושר",IF(K175="הכנסה שסווגה מחדש",0,G175),0)</x:f>
        <x:v>65</x:v>
      </x:c>
      <x:c r="N175" s="20" t="n">
        <x:f>IF(K175="שוטף",M175,0)</x:f>
        <x:v>65</x:v>
      </x:c>
      <x:c r="O175" s="20" t="n">
        <x:f>IF(K175="הכנסה שסווגה מחדש",-G175,0)</x:f>
        <x:v>0</x:v>
      </x:c>
      <x:c r="P175" s="11" t="str">
        <x:v>one zero עינור</x:v>
      </x:c>
      <x:c r="Q175" s="11" t="str"/>
      <x:c r="R175" s="11" t="str">
        <x:v>לא</x:v>
      </x:c>
    </x:row>
    <x:row r="176">
      <x:c r="A176" s="14" t="n">
        <x:v>45717</x:v>
      </x:c>
      <x:c r="B176" s="11" t="str">
        <x:v>2025-03</x:v>
      </x:c>
      <x:c r="C176" s="11" t="str">
        <x:v>מרץ 25</x:v>
      </x:c>
      <x:c r="D176" s="15" t="n">
        <x:v>8</x:v>
      </x:c>
      <x:c r="E176" s="11" t="str"/>
      <x:c r="F176" s="11" t="str">
        <x:v>ועד בית</x:v>
      </x:c>
      <x:c r="G176" s="17" t="n">
        <x:v>0</x:v>
      </x:c>
      <x:c r="H176" s="18" t="str">
        <x:v>מגורים צריכה</x:v>
      </x:c>
      <x:c r="I176" s="19" t="str">
        <x:f>IFERROR(INDEX('מיפוי ומקורות'!$C$7:$C$33,MATCH(H176,'מיפוי ומקורות'!$B$7:$B$33,0)),"לא מסווג")</x:f>
        <x:v>דיור – בית מגורים</x:v>
      </x:c>
      <x:c r="J176" s="19" t="str">
        <x:f>IFERROR(INDEX('מיפוי ומקורות'!$D$7:$D$33,MATCH(H176,'מיפוי ומקורות'!$B$7:$B$33,0)),"שוטף")</x:f>
        <x:v>שוטף</x:v>
      </x:c>
      <x:c r="K176" s="19" t="str">
        <x:f>IF(OR(H176="ריביות",AND(H176="דירה כצנלסון",G176&lt;0,ISNUMBER(SEARCH("הכנסה",F176)))),"הכנסה שסווגה מחדש",J176)</x:f>
        <x:v>שוטף</x:v>
      </x:c>
      <x:c r="L176" s="19" t="str">
        <x:v>מאושר</x:v>
      </x:c>
      <x:c r="M176" s="20" t="n">
        <x:f>IF(L176="מאושר",IF(K176="הכנסה שסווגה מחדש",0,G176),0)</x:f>
        <x:v>0</x:v>
      </x:c>
      <x:c r="N176" s="20" t="n">
        <x:f>IF(K176="שוטף",M176,0)</x:f>
        <x:v>0</x:v>
      </x:c>
      <x:c r="O176" s="20" t="n">
        <x:f>IF(K176="הכנסה שסווגה מחדש",-G176,0)</x:f>
        <x:v>0</x:v>
      </x:c>
      <x:c r="P176" s="11" t="str"/>
      <x:c r="Q176" s="11" t="str"/>
      <x:c r="R176" s="11" t="str">
        <x:v>לא</x:v>
      </x:c>
    </x:row>
    <x:row r="177">
      <x:c r="A177" s="14" t="n">
        <x:v>45717</x:v>
      </x:c>
      <x:c r="B177" s="11" t="str">
        <x:v>2025-03</x:v>
      </x:c>
      <x:c r="C177" s="11" t="str">
        <x:v>מרץ 25</x:v>
      </x:c>
      <x:c r="D177" s="15" t="n">
        <x:v>9</x:v>
      </x:c>
      <x:c r="E177" s="11" t="str">
        <x:v>10</x:v>
      </x:c>
      <x:c r="F177" s="11" t="str">
        <x:v>גז</x:v>
      </x:c>
      <x:c r="G177" s="17" t="n">
        <x:v>33</x:v>
      </x:c>
      <x:c r="H177" s="18" t="str">
        <x:v>מגורים צריכה</x:v>
      </x:c>
      <x:c r="I177" s="19" t="str">
        <x:f>IFERROR(INDEX('מיפוי ומקורות'!$C$7:$C$33,MATCH(H177,'מיפוי ומקורות'!$B$7:$B$33,0)),"לא מסווג")</x:f>
        <x:v>דיור – בית מגורים</x:v>
      </x:c>
      <x:c r="J177" s="19" t="str">
        <x:f>IFERROR(INDEX('מיפוי ומקורות'!$D$7:$D$33,MATCH(H177,'מיפוי ומקורות'!$B$7:$B$33,0)),"שוטף")</x:f>
        <x:v>שוטף</x:v>
      </x:c>
      <x:c r="K177" s="19" t="str">
        <x:f>IF(OR(H177="ריביות",AND(H177="דירה כצנלסון",G177&lt;0,ISNUMBER(SEARCH("הכנסה",F177)))),"הכנסה שסווגה מחדש",J177)</x:f>
        <x:v>שוטף</x:v>
      </x:c>
      <x:c r="L177" s="19" t="str">
        <x:v>מאושר</x:v>
      </x:c>
      <x:c r="M177" s="20" t="n">
        <x:f>IF(L177="מאושר",IF(K177="הכנסה שסווגה מחדש",0,G177),0)</x:f>
        <x:v>33</x:v>
      </x:c>
      <x:c r="N177" s="20" t="n">
        <x:f>IF(K177="שוטף",M177,0)</x:f>
        <x:v>33</x:v>
      </x:c>
      <x:c r="O177" s="20" t="n">
        <x:f>IF(K177="הכנסה שסווגה מחדש",-G177,0)</x:f>
        <x:v>0</x:v>
      </x:c>
      <x:c r="P177" s="11" t="str">
        <x:v>אמקס זיו</x:v>
      </x:c>
      <x:c r="Q177" s="11" t="str"/>
      <x:c r="R177" s="11" t="str">
        <x:v>לא</x:v>
      </x:c>
    </x:row>
    <x:row r="178">
      <x:c r="A178" s="14" t="n">
        <x:v>45717</x:v>
      </x:c>
      <x:c r="B178" s="11" t="str">
        <x:v>2025-03</x:v>
      </x:c>
      <x:c r="C178" s="11" t="str">
        <x:v>מרץ 25</x:v>
      </x:c>
      <x:c r="D178" s="15" t="n">
        <x:v>10</x:v>
      </x:c>
      <x:c r="E178" s="11" t="str"/>
      <x:c r="F178" s="11" t="str">
        <x:v>סלולר + אינטרנט</x:v>
      </x:c>
      <x:c r="G178" s="17" t="n">
        <x:v>168</x:v>
      </x:c>
      <x:c r="H178" s="18" t="str">
        <x:v>מגורים חודשי</x:v>
      </x:c>
      <x:c r="I178" s="19" t="str">
        <x:f>IFERROR(INDEX('מיפוי ומקורות'!$C$7:$C$33,MATCH(H178,'מיפוי ומקורות'!$B$7:$B$33,0)),"לא מסווג")</x:f>
        <x:v>דיור – בית מגורים</x:v>
      </x:c>
      <x:c r="J178" s="19" t="str">
        <x:f>IFERROR(INDEX('מיפוי ומקורות'!$D$7:$D$33,MATCH(H178,'מיפוי ומקורות'!$B$7:$B$33,0)),"שוטף")</x:f>
        <x:v>שוטף</x:v>
      </x:c>
      <x:c r="K178" s="19" t="str">
        <x:f>IF(OR(H178="ריביות",AND(H178="דירה כצנלסון",G178&lt;0,ISNUMBER(SEARCH("הכנסה",F178)))),"הכנסה שסווגה מחדש",J178)</x:f>
        <x:v>שוטף</x:v>
      </x:c>
      <x:c r="L178" s="19" t="str">
        <x:v>מאושר</x:v>
      </x:c>
      <x:c r="M178" s="20" t="n">
        <x:f>IF(L178="מאושר",IF(K178="הכנסה שסווגה מחדש",0,G178),0)</x:f>
        <x:v>168</x:v>
      </x:c>
      <x:c r="N178" s="20" t="n">
        <x:f>IF(K178="שוטף",M178,0)</x:f>
        <x:v>168</x:v>
      </x:c>
      <x:c r="O178" s="20" t="n">
        <x:f>IF(K178="הכנסה שסווגה מחדש",-G178,0)</x:f>
        <x:v>0</x:v>
      </x:c>
      <x:c r="P178" s="11" t="str">
        <x:v>אמקס זיו</x:v>
      </x:c>
      <x:c r="Q178" s="11" t="str"/>
      <x:c r="R178" s="11" t="str">
        <x:v>לא</x:v>
      </x:c>
    </x:row>
    <x:row r="179">
      <x:c r="A179" s="14" t="n">
        <x:v>45717</x:v>
      </x:c>
      <x:c r="B179" s="11" t="str">
        <x:v>2025-03</x:v>
      </x:c>
      <x:c r="C179" s="11" t="str">
        <x:v>מרץ 25</x:v>
      </x:c>
      <x:c r="D179" s="15" t="n">
        <x:v>11</x:v>
      </x:c>
      <x:c r="E179" s="11" t="str"/>
      <x:c r="F179" s="11" t="str">
        <x:v>ביטוח מבנה</x:v>
      </x:c>
      <x:c r="G179" s="17" t="n">
        <x:v>87</x:v>
      </x:c>
      <x:c r="H179" s="18" t="str">
        <x:v>דירה כצנלסון</x:v>
      </x:c>
      <x:c r="I179" s="19" t="str">
        <x:f>IFERROR(INDEX('מיפוי ומקורות'!$C$7:$C$33,MATCH(H179,'מיפוי ומקורות'!$B$7:$B$33,0)),"לא מסווג")</x:f>
        <x:v>נכס להשקעה</x:v>
      </x:c>
      <x:c r="J179" s="19" t="str">
        <x:f>IFERROR(INDEX('מיפוי ומקורות'!$D$7:$D$33,MATCH(H179,'מיפוי ומקורות'!$B$7:$B$33,0)),"שוטף")</x:f>
        <x:v>חריג/נכס</x:v>
      </x:c>
      <x:c r="K179" s="19" t="str">
        <x:f>IF(OR(H179="ריביות",AND(H179="דירה כצנלסון",G179&lt;0,ISNUMBER(SEARCH("הכנסה",F179)))),"הכנסה שסווגה מחדש",J179)</x:f>
        <x:v>חריג/נכס</x:v>
      </x:c>
      <x:c r="L179" s="19" t="str">
        <x:v>מאושר</x:v>
      </x:c>
      <x:c r="M179" s="20" t="n">
        <x:f>IF(L179="מאושר",IF(K179="הכנסה שסווגה מחדש",0,G179),0)</x:f>
        <x:v>87</x:v>
      </x:c>
      <x:c r="N179" s="20" t="n">
        <x:f>IF(K179="שוטף",M179,0)</x:f>
        <x:v>0</x:v>
      </x:c>
      <x:c r="O179" s="20" t="n">
        <x:f>IF(K179="הכנסה שסווגה מחדש",-G179,0)</x:f>
        <x:v>0</x:v>
      </x:c>
      <x:c r="P179" s="11" t="str">
        <x:v>אמקס זיו</x:v>
      </x:c>
      <x:c r="Q179" s="11" t="str"/>
      <x:c r="R179" s="11" t="str">
        <x:v>לא</x:v>
      </x:c>
    </x:row>
    <x:row r="180">
      <x:c r="A180" s="14" t="n">
        <x:v>45717</x:v>
      </x:c>
      <x:c r="B180" s="11" t="str">
        <x:v>2025-03</x:v>
      </x:c>
      <x:c r="C180" s="11" t="str">
        <x:v>מרץ 25</x:v>
      </x:c>
      <x:c r="D180" s="15" t="n">
        <x:v>12</x:v>
      </x:c>
      <x:c r="E180" s="11" t="str"/>
      <x:c r="F180" s="11" t="str">
        <x:v>ביטוח חיים</x:v>
      </x:c>
      <x:c r="G180" s="17" t="n">
        <x:v>29</x:v>
      </x:c>
      <x:c r="H180" s="18" t="str">
        <x:v>דירה כצנלסון</x:v>
      </x:c>
      <x:c r="I180" s="19" t="str">
        <x:f>IFERROR(INDEX('מיפוי ומקורות'!$C$7:$C$33,MATCH(H180,'מיפוי ומקורות'!$B$7:$B$33,0)),"לא מסווג")</x:f>
        <x:v>נכס להשקעה</x:v>
      </x:c>
      <x:c r="J180" s="19" t="str">
        <x:f>IFERROR(INDEX('מיפוי ומקורות'!$D$7:$D$33,MATCH(H180,'מיפוי ומקורות'!$B$7:$B$33,0)),"שוטף")</x:f>
        <x:v>חריג/נכס</x:v>
      </x:c>
      <x:c r="K180" s="19" t="str">
        <x:f>IF(OR(H180="ריביות",AND(H180="דירה כצנלסון",G180&lt;0,ISNUMBER(SEARCH("הכנסה",F180)))),"הכנסה שסווגה מחדש",J180)</x:f>
        <x:v>חריג/נכס</x:v>
      </x:c>
      <x:c r="L180" s="19" t="str">
        <x:v>מאושר</x:v>
      </x:c>
      <x:c r="M180" s="20" t="n">
        <x:f>IF(L180="מאושר",IF(K180="הכנסה שסווגה מחדש",0,G180),0)</x:f>
        <x:v>29</x:v>
      </x:c>
      <x:c r="N180" s="20" t="n">
        <x:f>IF(K180="שוטף",M180,0)</x:f>
        <x:v>0</x:v>
      </x:c>
      <x:c r="O180" s="20" t="n">
        <x:f>IF(K180="הכנסה שסווגה מחדש",-G180,0)</x:f>
        <x:v>0</x:v>
      </x:c>
      <x:c r="P180" s="11" t="str">
        <x:v>אמקס זיו</x:v>
      </x:c>
      <x:c r="Q180" s="11" t="str"/>
      <x:c r="R180" s="11" t="str">
        <x:v>לא</x:v>
      </x:c>
    </x:row>
    <x:row r="181">
      <x:c r="A181" s="14" t="n">
        <x:v>45717</x:v>
      </x:c>
      <x:c r="B181" s="11" t="str">
        <x:v>2025-03</x:v>
      </x:c>
      <x:c r="C181" s="11" t="str">
        <x:v>מרץ 25</x:v>
      </x:c>
      <x:c r="D181" s="15" t="n">
        <x:v>13</x:v>
      </x:c>
      <x:c r="E181" s="11" t="str"/>
      <x:c r="F181" s="11" t="str">
        <x:v>מנקה</x:v>
      </x:c>
      <x:c r="G181" s="17" t="n">
        <x:v>400</x:v>
      </x:c>
      <x:c r="H181" s="18" t="str">
        <x:v>מגורים צריכה</x:v>
      </x:c>
      <x:c r="I181" s="19" t="str">
        <x:f>IFERROR(INDEX('מיפוי ומקורות'!$C$7:$C$33,MATCH(H181,'מיפוי ומקורות'!$B$7:$B$33,0)),"לא מסווג")</x:f>
        <x:v>דיור – בית מגורים</x:v>
      </x:c>
      <x:c r="J181" s="19" t="str">
        <x:f>IFERROR(INDEX('מיפוי ומקורות'!$D$7:$D$33,MATCH(H181,'מיפוי ומקורות'!$B$7:$B$33,0)),"שוטף")</x:f>
        <x:v>שוטף</x:v>
      </x:c>
      <x:c r="K181" s="19" t="str">
        <x:f>IF(OR(H181="ריביות",AND(H181="דירה כצנלסון",G181&lt;0,ISNUMBER(SEARCH("הכנסה",F181)))),"הכנסה שסווגה מחדש",J181)</x:f>
        <x:v>שוטף</x:v>
      </x:c>
      <x:c r="L181" s="19" t="str">
        <x:v>מאושר</x:v>
      </x:c>
      <x:c r="M181" s="20" t="n">
        <x:f>IF(L181="מאושר",IF(K181="הכנסה שסווגה מחדש",0,G181),0)</x:f>
        <x:v>400</x:v>
      </x:c>
      <x:c r="N181" s="20" t="n">
        <x:f>IF(K181="שוטף",M181,0)</x:f>
        <x:v>400</x:v>
      </x:c>
      <x:c r="O181" s="20" t="n">
        <x:f>IF(K181="הכנסה שסווגה מחדש",-G181,0)</x:f>
        <x:v>0</x:v>
      </x:c>
      <x:c r="P181" s="11" t="str">
        <x:v>מזומן</x:v>
      </x:c>
      <x:c r="Q181" s="11" t="str"/>
      <x:c r="R181" s="11" t="str">
        <x:v>לא</x:v>
      </x:c>
    </x:row>
    <x:row r="182">
      <x:c r="A182" s="14" t="n">
        <x:v>45717</x:v>
      </x:c>
      <x:c r="B182" s="11" t="str">
        <x:v>2025-03</x:v>
      </x:c>
      <x:c r="C182" s="11" t="str">
        <x:v>מרץ 25</x:v>
      </x:c>
      <x:c r="D182" s="15" t="n">
        <x:v>14</x:v>
      </x:c>
      <x:c r="E182" s="11" t="str">
        <x:v>6</x:v>
      </x:c>
      <x:c r="F182" s="11" t="str">
        <x:v>אגרת בית משפט הסכם ממון</x:v>
      </x:c>
      <x:c r="G182" s="17" t="n">
        <x:v>615</x:v>
      </x:c>
      <x:c r="H182" s="18" t="str">
        <x:v>אחר</x:v>
      </x:c>
      <x:c r="I182" s="19" t="str">
        <x:f>IFERROR(INDEX('מיפוי ומקורות'!$C$7:$C$33,MATCH(H182,'מיפוי ומקורות'!$B$7:$B$33,0)),"לא מסווג")</x:f>
        <x:v>אחר</x:v>
      </x:c>
      <x:c r="J182" s="19" t="str">
        <x:f>IFERROR(INDEX('מיפוי ומקורות'!$D$7:$D$33,MATCH(H182,'מיפוי ומקורות'!$B$7:$B$33,0)),"שוטף")</x:f>
        <x:v>שוטף</x:v>
      </x:c>
      <x:c r="K182" s="19" t="str">
        <x:f>IF(OR(H182="ריביות",AND(H182="דירה כצנלסון",G182&lt;0,ISNUMBER(SEARCH("הכנסה",F182)))),"הכנסה שסווגה מחדש",J182)</x:f>
        <x:v>שוטף</x:v>
      </x:c>
      <x:c r="L182" s="19" t="str">
        <x:v>מאושר</x:v>
      </x:c>
      <x:c r="M182" s="20" t="n">
        <x:f>IF(L182="מאושר",IF(K182="הכנסה שסווגה מחדש",0,G182),0)</x:f>
        <x:v>615</x:v>
      </x:c>
      <x:c r="N182" s="20" t="n">
        <x:f>IF(K182="שוטף",M182,0)</x:f>
        <x:v>615</x:v>
      </x:c>
      <x:c r="O182" s="20" t="n">
        <x:f>IF(K182="הכנסה שסווגה מחדש",-G182,0)</x:f>
        <x:v>0</x:v>
      </x:c>
      <x:c r="P182" s="11" t="str">
        <x:v>one zero</x:v>
      </x:c>
      <x:c r="Q182" s="11" t="str"/>
      <x:c r="R182" s="11" t="str">
        <x:v>לא</x:v>
      </x:c>
    </x:row>
    <x:row r="183">
      <x:c r="A183" s="14" t="n">
        <x:v>45717</x:v>
      </x:c>
      <x:c r="B183" s="11" t="str">
        <x:v>2025-03</x:v>
      </x:c>
      <x:c r="C183" s="11" t="str">
        <x:v>מרץ 25</x:v>
      </x:c>
      <x:c r="D183" s="15" t="n">
        <x:v>15</x:v>
      </x:c>
      <x:c r="E183" s="11" t="str">
        <x:v>10</x:v>
      </x:c>
      <x:c r="F183" s="11" t="str">
        <x:v>החזר שיין</x:v>
      </x:c>
      <x:c r="G183" s="17" t="n">
        <x:v>-329</x:v>
      </x:c>
      <x:c r="H183" s="18" t="str">
        <x:v>אופנה</x:v>
      </x:c>
      <x:c r="I183" s="19" t="str">
        <x:f>IFERROR(INDEX('מיפוי ומקורות'!$C$7:$C$33,MATCH(H183,'מיפוי ומקורות'!$B$7:$B$33,0)),"לא מסווג")</x:f>
        <x:v>אופנה</x:v>
      </x:c>
      <x:c r="J183" s="19" t="str">
        <x:f>IFERROR(INDEX('מיפוי ומקורות'!$D$7:$D$33,MATCH(H183,'מיפוי ומקורות'!$B$7:$B$33,0)),"שוטף")</x:f>
        <x:v>שוטף</x:v>
      </x:c>
      <x:c r="K183" s="19" t="str">
        <x:f>IF(OR(H183="ריביות",AND(H183="דירה כצנלסון",G183&lt;0,ISNUMBER(SEARCH("הכנסה",F183)))),"הכנסה שסווגה מחדש",J183)</x:f>
        <x:v>שוטף</x:v>
      </x:c>
      <x:c r="L183" s="19" t="str">
        <x:v>מאושר</x:v>
      </x:c>
      <x:c r="M183" s="20" t="n">
        <x:f>IF(L183="מאושר",IF(K183="הכנסה שסווגה מחדש",0,G183),0)</x:f>
        <x:v>-329</x:v>
      </x:c>
      <x:c r="N183" s="20" t="n">
        <x:f>IF(K183="שוטף",M183,0)</x:f>
        <x:v>-329</x:v>
      </x:c>
      <x:c r="O183" s="20" t="n">
        <x:f>IF(K183="הכנסה שסווגה מחדש",-G183,0)</x:f>
        <x:v>0</x:v>
      </x:c>
      <x:c r="P183" s="11" t="str">
        <x:v>one zero</x:v>
      </x:c>
      <x:c r="Q183" s="11" t="str"/>
      <x:c r="R183" s="11" t="str">
        <x:v>לא</x:v>
      </x:c>
    </x:row>
    <x:row r="184">
      <x:c r="A184" s="14" t="n">
        <x:v>45717</x:v>
      </x:c>
      <x:c r="B184" s="11" t="str">
        <x:v>2025-03</x:v>
      </x:c>
      <x:c r="C184" s="11" t="str">
        <x:v>מרץ 25</x:v>
      </x:c>
      <x:c r="D184" s="15" t="n">
        <x:v>16</x:v>
      </x:c>
      <x:c r="E184" s="11" t="str">
        <x:v>25</x:v>
      </x:c>
      <x:c r="F184" s="11" t="str">
        <x:v>תשלום הסכם ממון</x:v>
      </x:c>
      <x:c r="G184" s="17" t="n">
        <x:v>5900</x:v>
      </x:c>
      <x:c r="H184" s="18" t="str">
        <x:v>אחר</x:v>
      </x:c>
      <x:c r="I184" s="19" t="str">
        <x:f>IFERROR(INDEX('מיפוי ומקורות'!$C$7:$C$33,MATCH(H184,'מיפוי ומקורות'!$B$7:$B$33,0)),"לא מסווג")</x:f>
        <x:v>אחר</x:v>
      </x:c>
      <x:c r="J184" s="19" t="str">
        <x:f>IFERROR(INDEX('מיפוי ומקורות'!$D$7:$D$33,MATCH(H184,'מיפוי ומקורות'!$B$7:$B$33,0)),"שוטף")</x:f>
        <x:v>שוטף</x:v>
      </x:c>
      <x:c r="K184" s="19" t="str">
        <x:f>IF(OR(H184="ריביות",AND(H184="דירה כצנלסון",G184&lt;0,ISNUMBER(SEARCH("הכנסה",F184)))),"הכנסה שסווגה מחדש",J184)</x:f>
        <x:v>שוטף</x:v>
      </x:c>
      <x:c r="L184" s="19" t="str">
        <x:v>מאושר</x:v>
      </x:c>
      <x:c r="M184" s="20" t="n">
        <x:f>IF(L184="מאושר",IF(K184="הכנסה שסווגה מחדש",0,G184),0)</x:f>
        <x:v>5900</x:v>
      </x:c>
      <x:c r="N184" s="20" t="n">
        <x:f>IF(K184="שוטף",M184,0)</x:f>
        <x:v>5900</x:v>
      </x:c>
      <x:c r="O184" s="20" t="n">
        <x:f>IF(K184="הכנסה שסווגה מחדש",-G184,0)</x:f>
        <x:v>0</x:v>
      </x:c>
      <x:c r="P184" s="11" t="str">
        <x:v>one zero</x:v>
      </x:c>
      <x:c r="Q184" s="11" t="str"/>
      <x:c r="R184" s="11" t="str">
        <x:v>לא</x:v>
      </x:c>
    </x:row>
    <x:row r="185">
      <x:c r="A185" s="14" t="n">
        <x:v>45717</x:v>
      </x:c>
      <x:c r="B185" s="11" t="str">
        <x:v>2025-03</x:v>
      </x:c>
      <x:c r="C185" s="11" t="str">
        <x:v>מרץ 25</x:v>
      </x:c>
      <x:c r="D185" s="15" t="n">
        <x:v>17</x:v>
      </x:c>
      <x:c r="E185" s="11" t="str">
        <x:v>30</x:v>
      </x:c>
      <x:c r="F185" s="11" t="str">
        <x:v>צימר</x:v>
      </x:c>
      <x:c r="G185" s="17" t="n">
        <x:v>2000</x:v>
      </x:c>
      <x:c r="H185" s="18" t="str">
        <x:v>פנאי</x:v>
      </x:c>
      <x:c r="I185" s="19" t="str">
        <x:f>IFERROR(INDEX('מיפוי ומקורות'!$C$7:$C$33,MATCH(H185,'מיפוי ומקורות'!$B$7:$B$33,0)),"לא מסווג")</x:f>
        <x:v>פנאי</x:v>
      </x:c>
      <x:c r="J185" s="19" t="str">
        <x:f>IFERROR(INDEX('מיפוי ומקורות'!$D$7:$D$33,MATCH(H185,'מיפוי ומקורות'!$B$7:$B$33,0)),"שוטף")</x:f>
        <x:v>שוטף</x:v>
      </x:c>
      <x:c r="K185" s="19" t="str">
        <x:f>IF(OR(H185="ריביות",AND(H185="דירה כצנלסון",G185&lt;0,ISNUMBER(SEARCH("הכנסה",F185)))),"הכנסה שסווגה מחדש",J185)</x:f>
        <x:v>שוטף</x:v>
      </x:c>
      <x:c r="L185" s="19" t="str">
        <x:v>מאושר</x:v>
      </x:c>
      <x:c r="M185" s="20" t="n">
        <x:f>IF(L185="מאושר",IF(K185="הכנסה שסווגה מחדש",0,G185),0)</x:f>
        <x:v>2000</x:v>
      </x:c>
      <x:c r="N185" s="20" t="n">
        <x:f>IF(K185="שוטף",M185,0)</x:f>
        <x:v>2000</x:v>
      </x:c>
      <x:c r="O185" s="20" t="n">
        <x:f>IF(K185="הכנסה שסווגה מחדש",-G185,0)</x:f>
        <x:v>0</x:v>
      </x:c>
      <x:c r="P185" s="11" t="str">
        <x:v>one zero</x:v>
      </x:c>
      <x:c r="Q185" s="11" t="str"/>
      <x:c r="R185" s="11" t="str">
        <x:v>לא</x:v>
      </x:c>
    </x:row>
    <x:row r="186">
      <x:c r="A186" s="14" t="n">
        <x:v>45717</x:v>
      </x:c>
      <x:c r="B186" s="11" t="str">
        <x:v>2025-03</x:v>
      </x:c>
      <x:c r="C186" s="11" t="str">
        <x:v>מרץ 25</x:v>
      </x:c>
      <x:c r="D186" s="15" t="n">
        <x:v>18</x:v>
      </x:c>
      <x:c r="E186" s="11" t="str">
        <x:v>1</x:v>
      </x:c>
      <x:c r="F186" s="11" t="str">
        <x:v>עלי אקספרס</x:v>
      </x:c>
      <x:c r="G186" s="17" t="n">
        <x:v>52</x:v>
      </x:c>
      <x:c r="H186" s="18" t="str">
        <x:v>חתונה</x:v>
      </x:c>
      <x:c r="I186" s="19" t="str">
        <x:f>IFERROR(INDEX('מיפוי ומקורות'!$C$7:$C$33,MATCH(H186,'מיפוי ומקורות'!$B$7:$B$33,0)),"לא מסווג")</x:f>
        <x:v>חתונה</x:v>
      </x:c>
      <x:c r="J186" s="19" t="str">
        <x:f>IFERROR(INDEX('מיפוי ומקורות'!$D$7:$D$33,MATCH(H186,'מיפוי ומקורות'!$B$7:$B$33,0)),"שוטף")</x:f>
        <x:v>חריג</x:v>
      </x:c>
      <x:c r="K186" s="19" t="str">
        <x:f>IF(OR(H186="ריביות",AND(H186="דירה כצנלסון",G186&lt;0,ISNUMBER(SEARCH("הכנסה",F186)))),"הכנסה שסווגה מחדש",J186)</x:f>
        <x:v>חריג</x:v>
      </x:c>
      <x:c r="L186" s="19" t="str">
        <x:v>מאושר</x:v>
      </x:c>
      <x:c r="M186" s="20" t="n">
        <x:f>IF(L186="מאושר",IF(K186="הכנסה שסווגה מחדש",0,G186),0)</x:f>
        <x:v>52</x:v>
      </x:c>
      <x:c r="N186" s="20" t="n">
        <x:f>IF(K186="שוטף",M186,0)</x:f>
        <x:v>0</x:v>
      </x:c>
      <x:c r="O186" s="20" t="n">
        <x:f>IF(K186="הכנסה שסווגה מחדש",-G186,0)</x:f>
        <x:v>0</x:v>
      </x:c>
      <x:c r="P186" s="11" t="str">
        <x:v>one zero עינור</x:v>
      </x:c>
      <x:c r="Q186" s="11" t="str"/>
      <x:c r="R186" s="11" t="str">
        <x:v>לא</x:v>
      </x:c>
    </x:row>
    <x:row r="187">
      <x:c r="A187" s="14" t="n">
        <x:v>45717</x:v>
      </x:c>
      <x:c r="B187" s="11" t="str">
        <x:v>2025-03</x:v>
      </x:c>
      <x:c r="C187" s="11" t="str">
        <x:v>מרץ 25</x:v>
      </x:c>
      <x:c r="D187" s="15" t="n">
        <x:v>19</x:v>
      </x:c>
      <x:c r="E187" s="11" t="str">
        <x:v>3</x:v>
      </x:c>
      <x:c r="F187" s="11" t="str">
        <x:v>עלי אקספרס</x:v>
      </x:c>
      <x:c r="G187" s="17" t="n">
        <x:v>188</x:v>
      </x:c>
      <x:c r="H187" s="18" t="str">
        <x:v>חתונה</x:v>
      </x:c>
      <x:c r="I187" s="19" t="str">
        <x:f>IFERROR(INDEX('מיפוי ומקורות'!$C$7:$C$33,MATCH(H187,'מיפוי ומקורות'!$B$7:$B$33,0)),"לא מסווג")</x:f>
        <x:v>חתונה</x:v>
      </x:c>
      <x:c r="J187" s="19" t="str">
        <x:f>IFERROR(INDEX('מיפוי ומקורות'!$D$7:$D$33,MATCH(H187,'מיפוי ומקורות'!$B$7:$B$33,0)),"שוטף")</x:f>
        <x:v>חריג</x:v>
      </x:c>
      <x:c r="K187" s="19" t="str">
        <x:f>IF(OR(H187="ריביות",AND(H187="דירה כצנלסון",G187&lt;0,ISNUMBER(SEARCH("הכנסה",F187)))),"הכנסה שסווגה מחדש",J187)</x:f>
        <x:v>חריג</x:v>
      </x:c>
      <x:c r="L187" s="19" t="str">
        <x:v>מאושר</x:v>
      </x:c>
      <x:c r="M187" s="20" t="n">
        <x:f>IF(L187="מאושר",IF(K187="הכנסה שסווגה מחדש",0,G187),0)</x:f>
        <x:v>188</x:v>
      </x:c>
      <x:c r="N187" s="20" t="n">
        <x:f>IF(K187="שוטף",M187,0)</x:f>
        <x:v>0</x:v>
      </x:c>
      <x:c r="O187" s="20" t="n">
        <x:f>IF(K187="הכנסה שסווגה מחדש",-G187,0)</x:f>
        <x:v>0</x:v>
      </x:c>
      <x:c r="P187" s="11" t="str">
        <x:v>one zero עינור</x:v>
      </x:c>
      <x:c r="Q187" s="11" t="str"/>
      <x:c r="R187" s="11" t="str">
        <x:v>לא</x:v>
      </x:c>
    </x:row>
    <x:row r="188">
      <x:c r="A188" s="14" t="n">
        <x:v>45717</x:v>
      </x:c>
      <x:c r="B188" s="11" t="str">
        <x:v>2025-03</x:v>
      </x:c>
      <x:c r="C188" s="11" t="str">
        <x:v>מרץ 25</x:v>
      </x:c>
      <x:c r="D188" s="15" t="n">
        <x:v>20</x:v>
      </x:c>
      <x:c r="E188" s="11" t="str">
        <x:v>6</x:v>
      </x:c>
      <x:c r="F188" s="11" t="str">
        <x:v>עלי אקספרס</x:v>
      </x:c>
      <x:c r="G188" s="17" t="n">
        <x:v>35</x:v>
      </x:c>
      <x:c r="H188" s="18" t="str">
        <x:v>חתונה</x:v>
      </x:c>
      <x:c r="I188" s="19" t="str">
        <x:f>IFERROR(INDEX('מיפוי ומקורות'!$C$7:$C$33,MATCH(H188,'מיפוי ומקורות'!$B$7:$B$33,0)),"לא מסווג")</x:f>
        <x:v>חתונה</x:v>
      </x:c>
      <x:c r="J188" s="19" t="str">
        <x:f>IFERROR(INDEX('מיפוי ומקורות'!$D$7:$D$33,MATCH(H188,'מיפוי ומקורות'!$B$7:$B$33,0)),"שוטף")</x:f>
        <x:v>חריג</x:v>
      </x:c>
      <x:c r="K188" s="19" t="str">
        <x:f>IF(OR(H188="ריביות",AND(H188="דירה כצנלסון",G188&lt;0,ISNUMBER(SEARCH("הכנסה",F188)))),"הכנסה שסווגה מחדש",J188)</x:f>
        <x:v>חריג</x:v>
      </x:c>
      <x:c r="L188" s="19" t="str">
        <x:v>מאושר</x:v>
      </x:c>
      <x:c r="M188" s="20" t="n">
        <x:f>IF(L188="מאושר",IF(K188="הכנסה שסווגה מחדש",0,G188),0)</x:f>
        <x:v>35</x:v>
      </x:c>
      <x:c r="N188" s="20" t="n">
        <x:f>IF(K188="שוטף",M188,0)</x:f>
        <x:v>0</x:v>
      </x:c>
      <x:c r="O188" s="20" t="n">
        <x:f>IF(K188="הכנסה שסווגה מחדש",-G188,0)</x:f>
        <x:v>0</x:v>
      </x:c>
      <x:c r="P188" s="11" t="str">
        <x:v>one zero עינור</x:v>
      </x:c>
      <x:c r="Q188" s="11" t="str"/>
      <x:c r="R188" s="11" t="str">
        <x:v>לא</x:v>
      </x:c>
    </x:row>
    <x:row r="189">
      <x:c r="A189" s="14" t="n">
        <x:v>45717</x:v>
      </x:c>
      <x:c r="B189" s="11" t="str">
        <x:v>2025-03</x:v>
      </x:c>
      <x:c r="C189" s="11" t="str">
        <x:v>מרץ 25</x:v>
      </x:c>
      <x:c r="D189" s="15" t="n">
        <x:v>21</x:v>
      </x:c>
      <x:c r="E189" s="11" t="str">
        <x:v>7</x:v>
      </x:c>
      <x:c r="F189" s="11" t="str">
        <x:v>עלי אקספרס</x:v>
      </x:c>
      <x:c r="G189" s="17" t="n">
        <x:v>92</x:v>
      </x:c>
      <x:c r="H189" s="18" t="str">
        <x:v>חתונה</x:v>
      </x:c>
      <x:c r="I189" s="19" t="str">
        <x:f>IFERROR(INDEX('מיפוי ומקורות'!$C$7:$C$33,MATCH(H189,'מיפוי ומקורות'!$B$7:$B$33,0)),"לא מסווג")</x:f>
        <x:v>חתונה</x:v>
      </x:c>
      <x:c r="J189" s="19" t="str">
        <x:f>IFERROR(INDEX('מיפוי ומקורות'!$D$7:$D$33,MATCH(H189,'מיפוי ומקורות'!$B$7:$B$33,0)),"שוטף")</x:f>
        <x:v>חריג</x:v>
      </x:c>
      <x:c r="K189" s="19" t="str">
        <x:f>IF(OR(H189="ריביות",AND(H189="דירה כצנלסון",G189&lt;0,ISNUMBER(SEARCH("הכנסה",F189)))),"הכנסה שסווגה מחדש",J189)</x:f>
        <x:v>חריג</x:v>
      </x:c>
      <x:c r="L189" s="19" t="str">
        <x:v>מאושר</x:v>
      </x:c>
      <x:c r="M189" s="20" t="n">
        <x:f>IF(L189="מאושר",IF(K189="הכנסה שסווגה מחדש",0,G189),0)</x:f>
        <x:v>92</x:v>
      </x:c>
      <x:c r="N189" s="20" t="n">
        <x:f>IF(K189="שוטף",M189,0)</x:f>
        <x:v>0</x:v>
      </x:c>
      <x:c r="O189" s="20" t="n">
        <x:f>IF(K189="הכנסה שסווגה מחדש",-G189,0)</x:f>
        <x:v>0</x:v>
      </x:c>
      <x:c r="P189" s="11" t="str">
        <x:v>one zero עינור</x:v>
      </x:c>
      <x:c r="Q189" s="11" t="str"/>
      <x:c r="R189" s="11" t="str">
        <x:v>לא</x:v>
      </x:c>
    </x:row>
    <x:row r="190">
      <x:c r="A190" s="14" t="n">
        <x:v>45717</x:v>
      </x:c>
      <x:c r="B190" s="11" t="str">
        <x:v>2025-03</x:v>
      </x:c>
      <x:c r="C190" s="11" t="str">
        <x:v>מרץ 25</x:v>
      </x:c>
      <x:c r="D190" s="15" t="n">
        <x:v>22</x:v>
      </x:c>
      <x:c r="E190" s="11" t="str">
        <x:v>10</x:v>
      </x:c>
      <x:c r="F190" s="11" t="str">
        <x:v>רכב סיישל מקדמה</x:v>
      </x:c>
      <x:c r="G190" s="17" t="n">
        <x:v>199</x:v>
      </x:c>
      <x:c r="H190" s="18" t="str">
        <x:v>חתונה</x:v>
      </x:c>
      <x:c r="I190" s="19" t="str">
        <x:f>IFERROR(INDEX('מיפוי ומקורות'!$C$7:$C$33,MATCH(H190,'מיפוי ומקורות'!$B$7:$B$33,0)),"לא מסווג")</x:f>
        <x:v>חתונה</x:v>
      </x:c>
      <x:c r="J190" s="19" t="str">
        <x:f>IFERROR(INDEX('מיפוי ומקורות'!$D$7:$D$33,MATCH(H190,'מיפוי ומקורות'!$B$7:$B$33,0)),"שוטף")</x:f>
        <x:v>חריג</x:v>
      </x:c>
      <x:c r="K190" s="19" t="str">
        <x:f>IF(OR(H190="ריביות",AND(H190="דירה כצנלסון",G190&lt;0,ISNUMBER(SEARCH("הכנסה",F190)))),"הכנסה שסווגה מחדש",J190)</x:f>
        <x:v>חריג</x:v>
      </x:c>
      <x:c r="L190" s="19" t="str">
        <x:v>מאושר</x:v>
      </x:c>
      <x:c r="M190" s="20" t="n">
        <x:f>IF(L190="מאושר",IF(K190="הכנסה שסווגה מחדש",0,G190),0)</x:f>
        <x:v>199</x:v>
      </x:c>
      <x:c r="N190" s="20" t="n">
        <x:f>IF(K190="שוטף",M190,0)</x:f>
        <x:v>0</x:v>
      </x:c>
      <x:c r="O190" s="20" t="n">
        <x:f>IF(K190="הכנסה שסווגה מחדש",-G190,0)</x:f>
        <x:v>0</x:v>
      </x:c>
      <x:c r="P190" s="11" t="str">
        <x:v>one zero עינור</x:v>
      </x:c>
      <x:c r="Q190" s="11" t="str"/>
      <x:c r="R190" s="11" t="str">
        <x:v>לא</x:v>
      </x:c>
    </x:row>
    <x:row r="191">
      <x:c r="A191" s="14" t="n">
        <x:v>45717</x:v>
      </x:c>
      <x:c r="B191" s="11" t="str">
        <x:v>2025-03</x:v>
      </x:c>
      <x:c r="C191" s="11" t="str">
        <x:v>מרץ 25</x:v>
      </x:c>
      <x:c r="D191" s="15" t="n">
        <x:v>23</x:v>
      </x:c>
      <x:c r="E191" s="11" t="str">
        <x:v>10</x:v>
      </x:c>
      <x:c r="F191" s="11" t="str">
        <x:v>טיסה לאוסקה</x:v>
      </x:c>
      <x:c r="G191" s="17" t="n">
        <x:v>2994</x:v>
      </x:c>
      <x:c r="H191" s="18" t="str">
        <x:v>חול</x:v>
      </x:c>
      <x:c r="I191" s="19" t="str">
        <x:f>IFERROR(INDEX('מיפוי ומקורות'!$C$7:$C$33,MATCH(H191,'מיפוי ומקורות'!$B$7:$B$33,0)),"לא מסווג")</x:f>
        <x:v>נסיעות וחופשות</x:v>
      </x:c>
      <x:c r="J191" s="19" t="str">
        <x:f>IFERROR(INDEX('מיפוי ומקורות'!$D$7:$D$33,MATCH(H191,'מיפוי ומקורות'!$B$7:$B$33,0)),"שוטף")</x:f>
        <x:v>חריג</x:v>
      </x:c>
      <x:c r="K191" s="19" t="str">
        <x:f>IF(OR(H191="ריביות",AND(H191="דירה כצנלסון",G191&lt;0,ISNUMBER(SEARCH("הכנסה",F191)))),"הכנסה שסווגה מחדש",J191)</x:f>
        <x:v>חריג</x:v>
      </x:c>
      <x:c r="L191" s="19" t="str">
        <x:v>מאושר</x:v>
      </x:c>
      <x:c r="M191" s="20" t="n">
        <x:f>IF(L191="מאושר",IF(K191="הכנסה שסווגה מחדש",0,G191),0)</x:f>
        <x:v>2994</x:v>
      </x:c>
      <x:c r="N191" s="20" t="n">
        <x:f>IF(K191="שוטף",M191,0)</x:f>
        <x:v>0</x:v>
      </x:c>
      <x:c r="O191" s="20" t="n">
        <x:f>IF(K191="הכנסה שסווגה מחדש",-G191,0)</x:f>
        <x:v>0</x:v>
      </x:c>
      <x:c r="P191" s="11" t="str">
        <x:v>one zero עינור</x:v>
      </x:c>
      <x:c r="Q191" s="11" t="str"/>
      <x:c r="R191" s="11" t="str">
        <x:v>לא</x:v>
      </x:c>
    </x:row>
    <x:row r="192">
      <x:c r="A192" s="14" t="n">
        <x:v>45717</x:v>
      </x:c>
      <x:c r="B192" s="11" t="str">
        <x:v>2025-03</x:v>
      </x:c>
      <x:c r="C192" s="11" t="str">
        <x:v>מרץ 25</x:v>
      </x:c>
      <x:c r="D192" s="15" t="n">
        <x:v>24</x:v>
      </x:c>
      <x:c r="E192" s="11" t="str">
        <x:v>12</x:v>
      </x:c>
      <x:c r="F192" s="11" t="str">
        <x:v>עיצוב הזמנה</x:v>
      </x:c>
      <x:c r="G192" s="17" t="n">
        <x:v>107</x:v>
      </x:c>
      <x:c r="H192" s="18" t="str">
        <x:v>חתונה</x:v>
      </x:c>
      <x:c r="I192" s="19" t="str">
        <x:f>IFERROR(INDEX('מיפוי ומקורות'!$C$7:$C$33,MATCH(H192,'מיפוי ומקורות'!$B$7:$B$33,0)),"לא מסווג")</x:f>
        <x:v>חתונה</x:v>
      </x:c>
      <x:c r="J192" s="19" t="str">
        <x:f>IFERROR(INDEX('מיפוי ומקורות'!$D$7:$D$33,MATCH(H192,'מיפוי ומקורות'!$B$7:$B$33,0)),"שוטף")</x:f>
        <x:v>חריג</x:v>
      </x:c>
      <x:c r="K192" s="19" t="str">
        <x:f>IF(OR(H192="ריביות",AND(H192="דירה כצנלסון",G192&lt;0,ISNUMBER(SEARCH("הכנסה",F192)))),"הכנסה שסווגה מחדש",J192)</x:f>
        <x:v>חריג</x:v>
      </x:c>
      <x:c r="L192" s="19" t="str">
        <x:v>מאושר</x:v>
      </x:c>
      <x:c r="M192" s="20" t="n">
        <x:f>IF(L192="מאושר",IF(K192="הכנסה שסווגה מחדש",0,G192),0)</x:f>
        <x:v>107</x:v>
      </x:c>
      <x:c r="N192" s="20" t="n">
        <x:f>IF(K192="שוטף",M192,0)</x:f>
        <x:v>0</x:v>
      </x:c>
      <x:c r="O192" s="20" t="n">
        <x:f>IF(K192="הכנסה שסווגה מחדש",-G192,0)</x:f>
        <x:v>0</x:v>
      </x:c>
      <x:c r="P192" s="11" t="str">
        <x:v>one zero עינור</x:v>
      </x:c>
      <x:c r="Q192" s="11" t="str"/>
      <x:c r="R192" s="11" t="str">
        <x:v>לא</x:v>
      </x:c>
    </x:row>
    <x:row r="193">
      <x:c r="A193" s="14" t="n">
        <x:v>45717</x:v>
      </x:c>
      <x:c r="B193" s="11" t="str">
        <x:v>2025-03</x:v>
      </x:c>
      <x:c r="C193" s="11" t="str">
        <x:v>מרץ 25</x:v>
      </x:c>
      <x:c r="D193" s="15" t="n">
        <x:v>25</x:v>
      </x:c>
      <x:c r="E193" s="11" t="str">
        <x:v>23</x:v>
      </x:c>
      <x:c r="F193" s="11" t="str">
        <x:v>עלי אקספרס</x:v>
      </x:c>
      <x:c r="G193" s="17" t="n">
        <x:v>125</x:v>
      </x:c>
      <x:c r="H193" s="18" t="str">
        <x:v>חתונה</x:v>
      </x:c>
      <x:c r="I193" s="19" t="str">
        <x:f>IFERROR(INDEX('מיפוי ומקורות'!$C$7:$C$33,MATCH(H193,'מיפוי ומקורות'!$B$7:$B$33,0)),"לא מסווג")</x:f>
        <x:v>חתונה</x:v>
      </x:c>
      <x:c r="J193" s="19" t="str">
        <x:f>IFERROR(INDEX('מיפוי ומקורות'!$D$7:$D$33,MATCH(H193,'מיפוי ומקורות'!$B$7:$B$33,0)),"שוטף")</x:f>
        <x:v>חריג</x:v>
      </x:c>
      <x:c r="K193" s="19" t="str">
        <x:f>IF(OR(H193="ריביות",AND(H193="דירה כצנלסון",G193&lt;0,ISNUMBER(SEARCH("הכנסה",F193)))),"הכנסה שסווגה מחדש",J193)</x:f>
        <x:v>חריג</x:v>
      </x:c>
      <x:c r="L193" s="19" t="str">
        <x:v>מאושר</x:v>
      </x:c>
      <x:c r="M193" s="20" t="n">
        <x:f>IF(L193="מאושר",IF(K193="הכנסה שסווגה מחדש",0,G193),0)</x:f>
        <x:v>125</x:v>
      </x:c>
      <x:c r="N193" s="20" t="n">
        <x:f>IF(K193="שוטף",M193,0)</x:f>
        <x:v>0</x:v>
      </x:c>
      <x:c r="O193" s="20" t="n">
        <x:f>IF(K193="הכנסה שסווגה מחדש",-G193,0)</x:f>
        <x:v>0</x:v>
      </x:c>
      <x:c r="P193" s="11" t="str">
        <x:v>one zero עינור</x:v>
      </x:c>
      <x:c r="Q193" s="11" t="str"/>
      <x:c r="R193" s="11" t="str">
        <x:v>לא</x:v>
      </x:c>
    </x:row>
    <x:row r="194">
      <x:c r="A194" s="14" t="n">
        <x:v>45717</x:v>
      </x:c>
      <x:c r="B194" s="11" t="str">
        <x:v>2025-03</x:v>
      </x:c>
      <x:c r="C194" s="11" t="str">
        <x:v>מרץ 25</x:v>
      </x:c>
      <x:c r="D194" s="15" t="n">
        <x:v>26</x:v>
      </x:c>
      <x:c r="E194" s="11" t="str">
        <x:v>25</x:v>
      </x:c>
      <x:c r="F194" s="11" t="str">
        <x:v>עלי אקספרס</x:v>
      </x:c>
      <x:c r="G194" s="17" t="n">
        <x:v>180</x:v>
      </x:c>
      <x:c r="H194" s="18" t="str">
        <x:v>חתונה</x:v>
      </x:c>
      <x:c r="I194" s="19" t="str">
        <x:f>IFERROR(INDEX('מיפוי ומקורות'!$C$7:$C$33,MATCH(H194,'מיפוי ומקורות'!$B$7:$B$33,0)),"לא מסווג")</x:f>
        <x:v>חתונה</x:v>
      </x:c>
      <x:c r="J194" s="19" t="str">
        <x:f>IFERROR(INDEX('מיפוי ומקורות'!$D$7:$D$33,MATCH(H194,'מיפוי ומקורות'!$B$7:$B$33,0)),"שוטף")</x:f>
        <x:v>חריג</x:v>
      </x:c>
      <x:c r="K194" s="19" t="str">
        <x:f>IF(OR(H194="ריביות",AND(H194="דירה כצנלסון",G194&lt;0,ISNUMBER(SEARCH("הכנסה",F194)))),"הכנסה שסווגה מחדש",J194)</x:f>
        <x:v>חריג</x:v>
      </x:c>
      <x:c r="L194" s="19" t="str">
        <x:v>מאושר</x:v>
      </x:c>
      <x:c r="M194" s="20" t="n">
        <x:f>IF(L194="מאושר",IF(K194="הכנסה שסווגה מחדש",0,G194),0)</x:f>
        <x:v>180</x:v>
      </x:c>
      <x:c r="N194" s="20" t="n">
        <x:f>IF(K194="שוטף",M194,0)</x:f>
        <x:v>0</x:v>
      </x:c>
      <x:c r="O194" s="20" t="n">
        <x:f>IF(K194="הכנסה שסווגה מחדש",-G194,0)</x:f>
        <x:v>0</x:v>
      </x:c>
      <x:c r="P194" s="11" t="str">
        <x:v>one zero עינור</x:v>
      </x:c>
      <x:c r="Q194" s="11" t="str"/>
      <x:c r="R194" s="11" t="str">
        <x:v>לא</x:v>
      </x:c>
    </x:row>
    <x:row r="195">
      <x:c r="A195" s="14" t="n">
        <x:v>45717</x:v>
      </x:c>
      <x:c r="B195" s="11" t="str">
        <x:v>2025-03</x:v>
      </x:c>
      <x:c r="C195" s="11" t="str">
        <x:v>מרץ 25</x:v>
      </x:c>
      <x:c r="D195" s="15" t="n">
        <x:v>27</x:v>
      </x:c>
      <x:c r="E195" s="11" t="str">
        <x:v>28</x:v>
      </x:c>
      <x:c r="F195" s="11" t="str">
        <x:v>מסעדה מצפה</x:v>
      </x:c>
      <x:c r="G195" s="17" t="n">
        <x:v>176</x:v>
      </x:c>
      <x:c r="H195" s="18" t="str">
        <x:v>אוכל בחוץ</x:v>
      </x:c>
      <x:c r="I195" s="19" t="str">
        <x:f>IFERROR(INDEX('מיפוי ומקורות'!$C$7:$C$33,MATCH(H195,'מיפוי ומקורות'!$B$7:$B$33,0)),"לא מסווג")</x:f>
        <x:v>אוכל בחוץ</x:v>
      </x:c>
      <x:c r="J195" s="19" t="str">
        <x:f>IFERROR(INDEX('מיפוי ומקורות'!$D$7:$D$33,MATCH(H195,'מיפוי ומקורות'!$B$7:$B$33,0)),"שוטף")</x:f>
        <x:v>שוטף</x:v>
      </x:c>
      <x:c r="K195" s="19" t="str">
        <x:f>IF(OR(H195="ריביות",AND(H195="דירה כצנלסון",G195&lt;0,ISNUMBER(SEARCH("הכנסה",F195)))),"הכנסה שסווגה מחדש",J195)</x:f>
        <x:v>שוטף</x:v>
      </x:c>
      <x:c r="L195" s="19" t="str">
        <x:v>מאושר</x:v>
      </x:c>
      <x:c r="M195" s="20" t="n">
        <x:f>IF(L195="מאושר",IF(K195="הכנסה שסווגה מחדש",0,G195),0)</x:f>
        <x:v>176</x:v>
      </x:c>
      <x:c r="N195" s="20" t="n">
        <x:f>IF(K195="שוטף",M195,0)</x:f>
        <x:v>176</x:v>
      </x:c>
      <x:c r="O195" s="20" t="n">
        <x:f>IF(K195="הכנסה שסווגה מחדש",-G195,0)</x:f>
        <x:v>0</x:v>
      </x:c>
      <x:c r="P195" s="11" t="str">
        <x:v>one zero עינור</x:v>
      </x:c>
      <x:c r="Q195" s="11" t="str"/>
      <x:c r="R195" s="11" t="str">
        <x:v>לא</x:v>
      </x:c>
    </x:row>
    <x:row r="196">
      <x:c r="A196" s="14" t="n">
        <x:v>45717</x:v>
      </x:c>
      <x:c r="B196" s="11" t="str">
        <x:v>2025-03</x:v>
      </x:c>
      <x:c r="C196" s="11" t="str">
        <x:v>מרץ 25</x:v>
      </x:c>
      <x:c r="D196" s="15" t="n">
        <x:v>28</x:v>
      </x:c>
      <x:c r="E196" s="11" t="str"/>
      <x:c r="F196" s="11" t="str">
        <x:v>לייזר</x:v>
      </x:c>
      <x:c r="G196" s="17" t="n">
        <x:v>173</x:v>
      </x:c>
      <x:c r="H196" s="18" t="str">
        <x:v>קוסמטיקה</x:v>
      </x:c>
      <x:c r="I196" s="19" t="str">
        <x:f>IFERROR(INDEX('מיפוי ומקורות'!$C$7:$C$33,MATCH(H196,'מיפוי ומקורות'!$B$7:$B$33,0)),"לא מסווג")</x:f>
        <x:v>קוסמטיקה</x:v>
      </x:c>
      <x:c r="J196" s="19" t="str">
        <x:f>IFERROR(INDEX('מיפוי ומקורות'!$D$7:$D$33,MATCH(H196,'מיפוי ומקורות'!$B$7:$B$33,0)),"שוטף")</x:f>
        <x:v>שוטף</x:v>
      </x:c>
      <x:c r="K196" s="19" t="str">
        <x:f>IF(OR(H196="ריביות",AND(H196="דירה כצנלסון",G196&lt;0,ISNUMBER(SEARCH("הכנסה",F196)))),"הכנסה שסווגה מחדש",J196)</x:f>
        <x:v>שוטף</x:v>
      </x:c>
      <x:c r="L196" s="19" t="str">
        <x:v>מאושר</x:v>
      </x:c>
      <x:c r="M196" s="20" t="n">
        <x:f>IF(L196="מאושר",IF(K196="הכנסה שסווגה מחדש",0,G196),0)</x:f>
        <x:v>173</x:v>
      </x:c>
      <x:c r="N196" s="20" t="n">
        <x:f>IF(K196="שוטף",M196,0)</x:f>
        <x:v>173</x:v>
      </x:c>
      <x:c r="O196" s="20" t="n">
        <x:f>IF(K196="הכנסה שסווגה מחדש",-G196,0)</x:f>
        <x:v>0</x:v>
      </x:c>
      <x:c r="P196" s="11" t="str">
        <x:v>אמקס עינור</x:v>
      </x:c>
      <x:c r="Q196" s="11" t="str"/>
      <x:c r="R196" s="11" t="str">
        <x:v>לא</x:v>
      </x:c>
    </x:row>
    <x:row r="197">
      <x:c r="A197" s="14" t="n">
        <x:v>45717</x:v>
      </x:c>
      <x:c r="B197" s="11" t="str">
        <x:v>2025-03</x:v>
      </x:c>
      <x:c r="C197" s="11" t="str">
        <x:v>מרץ 25</x:v>
      </x:c>
      <x:c r="D197" s="15" t="n">
        <x:v>29</x:v>
      </x:c>
      <x:c r="E197" s="11" t="str">
        <x:v>3</x:v>
      </x:c>
      <x:c r="F197" s="11" t="str">
        <x:v>מכבי</x:v>
      </x:c>
      <x:c r="G197" s="17" t="n">
        <x:v>337</x:v>
      </x:c>
      <x:c r="H197" s="18" t="str">
        <x:v>בריאות</x:v>
      </x:c>
      <x:c r="I197" s="19" t="str">
        <x:f>IFERROR(INDEX('מיפוי ומקורות'!$C$7:$C$33,MATCH(H197,'מיפוי ומקורות'!$B$7:$B$33,0)),"לא מסווג")</x:f>
        <x:v>בריאות וטיפולים</x:v>
      </x:c>
      <x:c r="J197" s="19" t="str">
        <x:f>IFERROR(INDEX('מיפוי ומקורות'!$D$7:$D$33,MATCH(H197,'מיפוי ומקורות'!$B$7:$B$33,0)),"שוטף")</x:f>
        <x:v>שוטף</x:v>
      </x:c>
      <x:c r="K197" s="19" t="str">
        <x:f>IF(OR(H197="ריביות",AND(H197="דירה כצנלסון",G197&lt;0,ISNUMBER(SEARCH("הכנסה",F197)))),"הכנסה שסווגה מחדש",J197)</x:f>
        <x:v>שוטף</x:v>
      </x:c>
      <x:c r="L197" s="19" t="str">
        <x:v>מאושר</x:v>
      </x:c>
      <x:c r="M197" s="20" t="n">
        <x:f>IF(L197="מאושר",IF(K197="הכנסה שסווגה מחדש",0,G197),0)</x:f>
        <x:v>337</x:v>
      </x:c>
      <x:c r="N197" s="20" t="n">
        <x:f>IF(K197="שוטף",M197,0)</x:f>
        <x:v>337</x:v>
      </x:c>
      <x:c r="O197" s="20" t="n">
        <x:f>IF(K197="הכנסה שסווגה מחדש",-G197,0)</x:f>
        <x:v>0</x:v>
      </x:c>
      <x:c r="P197" s="11" t="str">
        <x:v>אמקס עינור</x:v>
      </x:c>
      <x:c r="Q197" s="11" t="str"/>
      <x:c r="R197" s="11" t="str">
        <x:v>לא</x:v>
      </x:c>
    </x:row>
    <x:row r="198">
      <x:c r="A198" s="14" t="n">
        <x:v>45717</x:v>
      </x:c>
      <x:c r="B198" s="11" t="str">
        <x:v>2025-03</x:v>
      </x:c>
      <x:c r="C198" s="11" t="str">
        <x:v>מרץ 25</x:v>
      </x:c>
      <x:c r="D198" s="15" t="n">
        <x:v>30</x:v>
      </x:c>
      <x:c r="E198" s="11" t="str">
        <x:v>4</x:v>
      </x:c>
      <x:c r="F198" s="11" t="str">
        <x:v>אוטלו</x:v>
      </x:c>
      <x:c r="G198" s="17" t="n">
        <x:v>23</x:v>
      </x:c>
      <x:c r="H198" s="18" t="str">
        <x:v>אוכל בחוץ</x:v>
      </x:c>
      <x:c r="I198" s="19" t="str">
        <x:f>IFERROR(INDEX('מיפוי ומקורות'!$C$7:$C$33,MATCH(H198,'מיפוי ומקורות'!$B$7:$B$33,0)),"לא מסווג")</x:f>
        <x:v>אוכל בחוץ</x:v>
      </x:c>
      <x:c r="J198" s="19" t="str">
        <x:f>IFERROR(INDEX('מיפוי ומקורות'!$D$7:$D$33,MATCH(H198,'מיפוי ומקורות'!$B$7:$B$33,0)),"שוטף")</x:f>
        <x:v>שוטף</x:v>
      </x:c>
      <x:c r="K198" s="19" t="str">
        <x:f>IF(OR(H198="ריביות",AND(H198="דירה כצנלסון",G198&lt;0,ISNUMBER(SEARCH("הכנסה",F198)))),"הכנסה שסווגה מחדש",J198)</x:f>
        <x:v>שוטף</x:v>
      </x:c>
      <x:c r="L198" s="19" t="str">
        <x:v>מאושר</x:v>
      </x:c>
      <x:c r="M198" s="20" t="n">
        <x:f>IF(L198="מאושר",IF(K198="הכנסה שסווגה מחדש",0,G198),0)</x:f>
        <x:v>23</x:v>
      </x:c>
      <x:c r="N198" s="20" t="n">
        <x:f>IF(K198="שוטף",M198,0)</x:f>
        <x:v>23</x:v>
      </x:c>
      <x:c r="O198" s="20" t="n">
        <x:f>IF(K198="הכנסה שסווגה מחדש",-G198,0)</x:f>
        <x:v>0</x:v>
      </x:c>
      <x:c r="P198" s="11" t="str">
        <x:v>אמקס עינור</x:v>
      </x:c>
      <x:c r="Q198" s="11" t="str"/>
      <x:c r="R198" s="11" t="str">
        <x:v>לא</x:v>
      </x:c>
    </x:row>
    <x:row r="199">
      <x:c r="A199" s="14" t="n">
        <x:v>45717</x:v>
      </x:c>
      <x:c r="B199" s="11" t="str">
        <x:v>2025-03</x:v>
      </x:c>
      <x:c r="C199" s="11" t="str">
        <x:v>מרץ 25</x:v>
      </x:c>
      <x:c r="D199" s="15" t="n">
        <x:v>31</x:v>
      </x:c>
      <x:c r="E199" s="11" t="str">
        <x:v>6</x:v>
      </x:c>
      <x:c r="F199" s="11" t="str">
        <x:v>שרשרת</x:v>
      </x:c>
      <x:c r="G199" s="17" t="n">
        <x:v>103</x:v>
      </x:c>
      <x:c r="H199" s="18" t="str">
        <x:v>חתונה</x:v>
      </x:c>
      <x:c r="I199" s="19" t="str">
        <x:f>IFERROR(INDEX('מיפוי ומקורות'!$C$7:$C$33,MATCH(H199,'מיפוי ומקורות'!$B$7:$B$33,0)),"לא מסווג")</x:f>
        <x:v>חתונה</x:v>
      </x:c>
      <x:c r="J199" s="19" t="str">
        <x:f>IFERROR(INDEX('מיפוי ומקורות'!$D$7:$D$33,MATCH(H199,'מיפוי ומקורות'!$B$7:$B$33,0)),"שוטף")</x:f>
        <x:v>חריג</x:v>
      </x:c>
      <x:c r="K199" s="19" t="str">
        <x:f>IF(OR(H199="ריביות",AND(H199="דירה כצנלסון",G199&lt;0,ISNUMBER(SEARCH("הכנסה",F199)))),"הכנסה שסווגה מחדש",J199)</x:f>
        <x:v>חריג</x:v>
      </x:c>
      <x:c r="L199" s="19" t="str">
        <x:v>מאושר</x:v>
      </x:c>
      <x:c r="M199" s="20" t="n">
        <x:f>IF(L199="מאושר",IF(K199="הכנסה שסווגה מחדש",0,G199),0)</x:f>
        <x:v>103</x:v>
      </x:c>
      <x:c r="N199" s="20" t="n">
        <x:f>IF(K199="שוטף",M199,0)</x:f>
        <x:v>0</x:v>
      </x:c>
      <x:c r="O199" s="20" t="n">
        <x:f>IF(K199="הכנסה שסווגה מחדש",-G199,0)</x:f>
        <x:v>0</x:v>
      </x:c>
      <x:c r="P199" s="11" t="str">
        <x:v>אמקס עינור</x:v>
      </x:c>
      <x:c r="Q199" s="11" t="str"/>
      <x:c r="R199" s="11" t="str">
        <x:v>לא</x:v>
      </x:c>
    </x:row>
    <x:row r="200">
      <x:c r="A200" s="14" t="n">
        <x:v>45717</x:v>
      </x:c>
      <x:c r="B200" s="11" t="str">
        <x:v>2025-03</x:v>
      </x:c>
      <x:c r="C200" s="11" t="str">
        <x:v>מרץ 25</x:v>
      </x:c>
      <x:c r="D200" s="15" t="n">
        <x:v>32</x:v>
      </x:c>
      <x:c r="E200" s="11" t="str">
        <x:v>6</x:v>
      </x:c>
      <x:c r="F200" s="11" t="str">
        <x:v>סופר</x:v>
      </x:c>
      <x:c r="G200" s="17" t="n">
        <x:v>815</x:v>
      </x:c>
      <x:c r="H200" s="18" t="str">
        <x:v>מזון לבית</x:v>
      </x:c>
      <x:c r="I200" s="19" t="str">
        <x:f>IFERROR(INDEX('מיפוי ומקורות'!$C$7:$C$33,MATCH(H200,'מיפוי ומקורות'!$B$7:$B$33,0)),"לא מסווג")</x:f>
        <x:v>מזון לבית</x:v>
      </x:c>
      <x:c r="J200" s="19" t="str">
        <x:f>IFERROR(INDEX('מיפוי ומקורות'!$D$7:$D$33,MATCH(H200,'מיפוי ומקורות'!$B$7:$B$33,0)),"שוטף")</x:f>
        <x:v>שוטף</x:v>
      </x:c>
      <x:c r="K200" s="19" t="str">
        <x:f>IF(OR(H200="ריביות",AND(H200="דירה כצנלסון",G200&lt;0,ISNUMBER(SEARCH("הכנסה",F200)))),"הכנסה שסווגה מחדש",J200)</x:f>
        <x:v>שוטף</x:v>
      </x:c>
      <x:c r="L200" s="19" t="str">
        <x:v>מאושר</x:v>
      </x:c>
      <x:c r="M200" s="20" t="n">
        <x:f>IF(L200="מאושר",IF(K200="הכנסה שסווגה מחדש",0,G200),0)</x:f>
        <x:v>815</x:v>
      </x:c>
      <x:c r="N200" s="20" t="n">
        <x:f>IF(K200="שוטף",M200,0)</x:f>
        <x:v>815</x:v>
      </x:c>
      <x:c r="O200" s="20" t="n">
        <x:f>IF(K200="הכנסה שסווגה מחדש",-G200,0)</x:f>
        <x:v>0</x:v>
      </x:c>
      <x:c r="P200" s="11" t="str">
        <x:v>אמקס עינור</x:v>
      </x:c>
      <x:c r="Q200" s="11" t="str"/>
      <x:c r="R200" s="11" t="str">
        <x:v>לא</x:v>
      </x:c>
    </x:row>
    <x:row r="201">
      <x:c r="A201" s="14" t="n">
        <x:v>45717</x:v>
      </x:c>
      <x:c r="B201" s="11" t="str">
        <x:v>2025-03</x:v>
      </x:c>
      <x:c r="C201" s="11" t="str">
        <x:v>מרץ 25</x:v>
      </x:c>
      <x:c r="D201" s="15" t="n">
        <x:v>33</x:v>
      </x:c>
      <x:c r="E201" s="11" t="str">
        <x:v>9</x:v>
      </x:c>
      <x:c r="F201" s="11" t="str">
        <x:v>גבות</x:v>
      </x:c>
      <x:c r="G201" s="17" t="n">
        <x:v>70</x:v>
      </x:c>
      <x:c r="H201" s="18" t="str">
        <x:v>קוסמטיקה</x:v>
      </x:c>
      <x:c r="I201" s="19" t="str">
        <x:f>IFERROR(INDEX('מיפוי ומקורות'!$C$7:$C$33,MATCH(H201,'מיפוי ומקורות'!$B$7:$B$33,0)),"לא מסווג")</x:f>
        <x:v>קוסמטיקה</x:v>
      </x:c>
      <x:c r="J201" s="19" t="str">
        <x:f>IFERROR(INDEX('מיפוי ומקורות'!$D$7:$D$33,MATCH(H201,'מיפוי ומקורות'!$B$7:$B$33,0)),"שוטף")</x:f>
        <x:v>שוטף</x:v>
      </x:c>
      <x:c r="K201" s="19" t="str">
        <x:f>IF(OR(H201="ריביות",AND(H201="דירה כצנלסון",G201&lt;0,ISNUMBER(SEARCH("הכנסה",F201)))),"הכנסה שסווגה מחדש",J201)</x:f>
        <x:v>שוטף</x:v>
      </x:c>
      <x:c r="L201" s="19" t="str">
        <x:v>מאושר</x:v>
      </x:c>
      <x:c r="M201" s="20" t="n">
        <x:f>IF(L201="מאושר",IF(K201="הכנסה שסווגה מחדש",0,G201),0)</x:f>
        <x:v>70</x:v>
      </x:c>
      <x:c r="N201" s="20" t="n">
        <x:f>IF(K201="שוטף",M201,0)</x:f>
        <x:v>70</x:v>
      </x:c>
      <x:c r="O201" s="20" t="n">
        <x:f>IF(K201="הכנסה שסווגה מחדש",-G201,0)</x:f>
        <x:v>0</x:v>
      </x:c>
      <x:c r="P201" s="11" t="str">
        <x:v>אמקס עינור</x:v>
      </x:c>
      <x:c r="Q201" s="11" t="str"/>
      <x:c r="R201" s="11" t="str">
        <x:v>לא</x:v>
      </x:c>
    </x:row>
    <x:row r="202">
      <x:c r="A202" s="14" t="n">
        <x:v>45717</x:v>
      </x:c>
      <x:c r="B202" s="11" t="str">
        <x:v>2025-03</x:v>
      </x:c>
      <x:c r="C202" s="11" t="str">
        <x:v>מרץ 25</x:v>
      </x:c>
      <x:c r="D202" s="15" t="n">
        <x:v>34</x:v>
      </x:c>
      <x:c r="E202" s="11" t="str">
        <x:v>10</x:v>
      </x:c>
      <x:c r="F202" s="11" t="str">
        <x:v>סיבוס</x:v>
      </x:c>
      <x:c r="G202" s="17" t="n">
        <x:v>56</x:v>
      </x:c>
      <x:c r="H202" s="18" t="str">
        <x:v>אוכל בחוץ</x:v>
      </x:c>
      <x:c r="I202" s="19" t="str">
        <x:f>IFERROR(INDEX('מיפוי ומקורות'!$C$7:$C$33,MATCH(H202,'מיפוי ומקורות'!$B$7:$B$33,0)),"לא מסווג")</x:f>
        <x:v>אוכל בחוץ</x:v>
      </x:c>
      <x:c r="J202" s="19" t="str">
        <x:f>IFERROR(INDEX('מיפוי ומקורות'!$D$7:$D$33,MATCH(H202,'מיפוי ומקורות'!$B$7:$B$33,0)),"שוטף")</x:f>
        <x:v>שוטף</x:v>
      </x:c>
      <x:c r="K202" s="19" t="str">
        <x:f>IF(OR(H202="ריביות",AND(H202="דירה כצנלסון",G202&lt;0,ISNUMBER(SEARCH("הכנסה",F202)))),"הכנסה שסווגה מחדש",J202)</x:f>
        <x:v>שוטף</x:v>
      </x:c>
      <x:c r="L202" s="19" t="str">
        <x:v>מאושר</x:v>
      </x:c>
      <x:c r="M202" s="20" t="n">
        <x:f>IF(L202="מאושר",IF(K202="הכנסה שסווגה מחדש",0,G202),0)</x:f>
        <x:v>56</x:v>
      </x:c>
      <x:c r="N202" s="20" t="n">
        <x:f>IF(K202="שוטף",M202,0)</x:f>
        <x:v>56</x:v>
      </x:c>
      <x:c r="O202" s="20" t="n">
        <x:f>IF(K202="הכנסה שסווגה מחדש",-G202,0)</x:f>
        <x:v>0</x:v>
      </x:c>
      <x:c r="P202" s="11" t="str">
        <x:v>אמקס עינור</x:v>
      </x:c>
      <x:c r="Q202" s="11" t="str"/>
      <x:c r="R202" s="11" t="str">
        <x:v>לא</x:v>
      </x:c>
    </x:row>
    <x:row r="203">
      <x:c r="A203" s="14" t="n">
        <x:v>45717</x:v>
      </x:c>
      <x:c r="B203" s="11" t="str">
        <x:v>2025-03</x:v>
      </x:c>
      <x:c r="C203" s="11" t="str">
        <x:v>מרץ 25</x:v>
      </x:c>
      <x:c r="D203" s="15" t="n">
        <x:v>35</x:v>
      </x:c>
      <x:c r="E203" s="11" t="str">
        <x:v>11</x:v>
      </x:c>
      <x:c r="F203" s="11" t="str">
        <x:v>חלבון</x:v>
      </x:c>
      <x:c r="G203" s="17" t="n">
        <x:v>500</x:v>
      </x:c>
      <x:c r="H203" s="18" t="str">
        <x:v>מזון לבית</x:v>
      </x:c>
      <x:c r="I203" s="19" t="str">
        <x:f>IFERROR(INDEX('מיפוי ומקורות'!$C$7:$C$33,MATCH(H203,'מיפוי ומקורות'!$B$7:$B$33,0)),"לא מסווג")</x:f>
        <x:v>מזון לבית</x:v>
      </x:c>
      <x:c r="J203" s="19" t="str">
        <x:f>IFERROR(INDEX('מיפוי ומקורות'!$D$7:$D$33,MATCH(H203,'מיפוי ומקורות'!$B$7:$B$33,0)),"שוטף")</x:f>
        <x:v>שוטף</x:v>
      </x:c>
      <x:c r="K203" s="19" t="str">
        <x:f>IF(OR(H203="ריביות",AND(H203="דירה כצנלסון",G203&lt;0,ISNUMBER(SEARCH("הכנסה",F203)))),"הכנסה שסווגה מחדש",J203)</x:f>
        <x:v>שוטף</x:v>
      </x:c>
      <x:c r="L203" s="19" t="str">
        <x:v>מאושר</x:v>
      </x:c>
      <x:c r="M203" s="20" t="n">
        <x:f>IF(L203="מאושר",IF(K203="הכנסה שסווגה מחדש",0,G203),0)</x:f>
        <x:v>500</x:v>
      </x:c>
      <x:c r="N203" s="20" t="n">
        <x:f>IF(K203="שוטף",M203,0)</x:f>
        <x:v>500</x:v>
      </x:c>
      <x:c r="O203" s="20" t="n">
        <x:f>IF(K203="הכנסה שסווגה מחדש",-G203,0)</x:f>
        <x:v>0</x:v>
      </x:c>
      <x:c r="P203" s="11" t="str">
        <x:v>אמקס עינור</x:v>
      </x:c>
      <x:c r="Q203" s="11" t="str"/>
      <x:c r="R203" s="11" t="str">
        <x:v>לא</x:v>
      </x:c>
    </x:row>
    <x:row r="204">
      <x:c r="A204" s="14" t="n">
        <x:v>45717</x:v>
      </x:c>
      <x:c r="B204" s="11" t="str">
        <x:v>2025-03</x:v>
      </x:c>
      <x:c r="C204" s="11" t="str">
        <x:v>מרץ 25</x:v>
      </x:c>
      <x:c r="D204" s="15" t="n">
        <x:v>36</x:v>
      </x:c>
      <x:c r="E204" s="11" t="str">
        <x:v>12</x:v>
      </x:c>
      <x:c r="F204" s="11" t="str">
        <x:v>החזר חצי חינם</x:v>
      </x:c>
      <x:c r="G204" s="17" t="n">
        <x:v>-130</x:v>
      </x:c>
      <x:c r="H204" s="18" t="str">
        <x:v>מזון לבית</x:v>
      </x:c>
      <x:c r="I204" s="19" t="str">
        <x:f>IFERROR(INDEX('מיפוי ומקורות'!$C$7:$C$33,MATCH(H204,'מיפוי ומקורות'!$B$7:$B$33,0)),"לא מסווג")</x:f>
        <x:v>מזון לבית</x:v>
      </x:c>
      <x:c r="J204" s="19" t="str">
        <x:f>IFERROR(INDEX('מיפוי ומקורות'!$D$7:$D$33,MATCH(H204,'מיפוי ומקורות'!$B$7:$B$33,0)),"שוטף")</x:f>
        <x:v>שוטף</x:v>
      </x:c>
      <x:c r="K204" s="19" t="str">
        <x:f>IF(OR(H204="ריביות",AND(H204="דירה כצנלסון",G204&lt;0,ISNUMBER(SEARCH("הכנסה",F204)))),"הכנסה שסווגה מחדש",J204)</x:f>
        <x:v>שוטף</x:v>
      </x:c>
      <x:c r="L204" s="19" t="str">
        <x:v>מאושר</x:v>
      </x:c>
      <x:c r="M204" s="20" t="n">
        <x:f>IF(L204="מאושר",IF(K204="הכנסה שסווגה מחדש",0,G204),0)</x:f>
        <x:v>-130</x:v>
      </x:c>
      <x:c r="N204" s="20" t="n">
        <x:f>IF(K204="שוטף",M204,0)</x:f>
        <x:v>-130</x:v>
      </x:c>
      <x:c r="O204" s="20" t="n">
        <x:f>IF(K204="הכנסה שסווגה מחדש",-G204,0)</x:f>
        <x:v>0</x:v>
      </x:c>
      <x:c r="P204" s="11" t="str">
        <x:v>אמקס עינור</x:v>
      </x:c>
      <x:c r="Q204" s="11" t="str"/>
      <x:c r="R204" s="11" t="str">
        <x:v>לא</x:v>
      </x:c>
    </x:row>
    <x:row r="205">
      <x:c r="A205" s="14" t="n">
        <x:v>45717</x:v>
      </x:c>
      <x:c r="B205" s="11" t="str">
        <x:v>2025-03</x:v>
      </x:c>
      <x:c r="C205" s="11" t="str">
        <x:v>מרץ 25</x:v>
      </x:c>
      <x:c r="D205" s="15" t="n">
        <x:v>37</x:v>
      </x:c>
      <x:c r="E205" s="11" t="str">
        <x:v>15</x:v>
      </x:c>
      <x:c r="F205" s="11" t="str">
        <x:v>מכולת</x:v>
      </x:c>
      <x:c r="G205" s="17" t="n">
        <x:v>47</x:v>
      </x:c>
      <x:c r="H205" s="18" t="str">
        <x:v>מזון לבית</x:v>
      </x:c>
      <x:c r="I205" s="19" t="str">
        <x:f>IFERROR(INDEX('מיפוי ומקורות'!$C$7:$C$33,MATCH(H205,'מיפוי ומקורות'!$B$7:$B$33,0)),"לא מסווג")</x:f>
        <x:v>מזון לבית</x:v>
      </x:c>
      <x:c r="J205" s="19" t="str">
        <x:f>IFERROR(INDEX('מיפוי ומקורות'!$D$7:$D$33,MATCH(H205,'מיפוי ומקורות'!$B$7:$B$33,0)),"שוטף")</x:f>
        <x:v>שוטף</x:v>
      </x:c>
      <x:c r="K205" s="19" t="str">
        <x:f>IF(OR(H205="ריביות",AND(H205="דירה כצנלסון",G205&lt;0,ISNUMBER(SEARCH("הכנסה",F205)))),"הכנסה שסווגה מחדש",J205)</x:f>
        <x:v>שוטף</x:v>
      </x:c>
      <x:c r="L205" s="19" t="str">
        <x:v>מאושר</x:v>
      </x:c>
      <x:c r="M205" s="20" t="n">
        <x:f>IF(L205="מאושר",IF(K205="הכנסה שסווגה מחדש",0,G205),0)</x:f>
        <x:v>47</x:v>
      </x:c>
      <x:c r="N205" s="20" t="n">
        <x:f>IF(K205="שוטף",M205,0)</x:f>
        <x:v>47</x:v>
      </x:c>
      <x:c r="O205" s="20" t="n">
        <x:f>IF(K205="הכנסה שסווגה מחדש",-G205,0)</x:f>
        <x:v>0</x:v>
      </x:c>
      <x:c r="P205" s="11" t="str">
        <x:v>אמקס עינור</x:v>
      </x:c>
      <x:c r="Q205" s="11" t="str"/>
      <x:c r="R205" s="11" t="str">
        <x:v>לא</x:v>
      </x:c>
    </x:row>
    <x:row r="206">
      <x:c r="A206" s="14" t="n">
        <x:v>45717</x:v>
      </x:c>
      <x:c r="B206" s="11" t="str">
        <x:v>2025-03</x:v>
      </x:c>
      <x:c r="C206" s="11" t="str">
        <x:v>מרץ 25</x:v>
      </x:c>
      <x:c r="D206" s="15" t="n">
        <x:v>38</x:v>
      </x:c>
      <x:c r="E206" s="11" t="str">
        <x:v>16</x:v>
      </x:c>
      <x:c r="F206" s="11" t="str">
        <x:v>מקס</x:v>
      </x:c>
      <x:c r="G206" s="17" t="n">
        <x:v>32</x:v>
      </x:c>
      <x:c r="H206" s="18" t="str">
        <x:v>חתונה</x:v>
      </x:c>
      <x:c r="I206" s="19" t="str">
        <x:f>IFERROR(INDEX('מיפוי ומקורות'!$C$7:$C$33,MATCH(H206,'מיפוי ומקורות'!$B$7:$B$33,0)),"לא מסווג")</x:f>
        <x:v>חתונה</x:v>
      </x:c>
      <x:c r="J206" s="19" t="str">
        <x:f>IFERROR(INDEX('מיפוי ומקורות'!$D$7:$D$33,MATCH(H206,'מיפוי ומקורות'!$B$7:$B$33,0)),"שוטף")</x:f>
        <x:v>חריג</x:v>
      </x:c>
      <x:c r="K206" s="19" t="str">
        <x:f>IF(OR(H206="ריביות",AND(H206="דירה כצנלסון",G206&lt;0,ISNUMBER(SEARCH("הכנסה",F206)))),"הכנסה שסווגה מחדש",J206)</x:f>
        <x:v>חריג</x:v>
      </x:c>
      <x:c r="L206" s="19" t="str">
        <x:v>מאושר</x:v>
      </x:c>
      <x:c r="M206" s="20" t="n">
        <x:f>IF(L206="מאושר",IF(K206="הכנסה שסווגה מחדש",0,G206),0)</x:f>
        <x:v>32</x:v>
      </x:c>
      <x:c r="N206" s="20" t="n">
        <x:f>IF(K206="שוטף",M206,0)</x:f>
        <x:v>0</x:v>
      </x:c>
      <x:c r="O206" s="20" t="n">
        <x:f>IF(K206="הכנסה שסווגה מחדש",-G206,0)</x:f>
        <x:v>0</x:v>
      </x:c>
      <x:c r="P206" s="11" t="str">
        <x:v>אמקס עינור</x:v>
      </x:c>
      <x:c r="Q206" s="11" t="str"/>
      <x:c r="R206" s="11" t="str">
        <x:v>לא</x:v>
      </x:c>
    </x:row>
    <x:row r="207">
      <x:c r="A207" s="14" t="n">
        <x:v>45717</x:v>
      </x:c>
      <x:c r="B207" s="11" t="str">
        <x:v>2025-03</x:v>
      </x:c>
      <x:c r="C207" s="11" t="str">
        <x:v>מרץ 25</x:v>
      </x:c>
      <x:c r="D207" s="15" t="n">
        <x:v>39</x:v>
      </x:c>
      <x:c r="E207" s="11" t="str">
        <x:v>20</x:v>
      </x:c>
      <x:c r="F207" s="11" t="str">
        <x:v>חניון ירושלים</x:v>
      </x:c>
      <x:c r="G207" s="17" t="n">
        <x:v>60</x:v>
      </x:c>
      <x:c r="H207" s="18" t="str">
        <x:v>תחבורה</x:v>
      </x:c>
      <x:c r="I207" s="19" t="str">
        <x:f>IFERROR(INDEX('מיפוי ומקורות'!$C$7:$C$33,MATCH(H207,'מיפוי ומקורות'!$B$7:$B$33,0)),"לא מסווג")</x:f>
        <x:v>תחבורה</x:v>
      </x:c>
      <x:c r="J207" s="19" t="str">
        <x:f>IFERROR(INDEX('מיפוי ומקורות'!$D$7:$D$33,MATCH(H207,'מיפוי ומקורות'!$B$7:$B$33,0)),"שוטף")</x:f>
        <x:v>שוטף</x:v>
      </x:c>
      <x:c r="K207" s="19" t="str">
        <x:f>IF(OR(H207="ריביות",AND(H207="דירה כצנלסון",G207&lt;0,ISNUMBER(SEARCH("הכנסה",F207)))),"הכנסה שסווגה מחדש",J207)</x:f>
        <x:v>שוטף</x:v>
      </x:c>
      <x:c r="L207" s="19" t="str">
        <x:v>מאושר</x:v>
      </x:c>
      <x:c r="M207" s="20" t="n">
        <x:f>IF(L207="מאושר",IF(K207="הכנסה שסווגה מחדש",0,G207),0)</x:f>
        <x:v>60</x:v>
      </x:c>
      <x:c r="N207" s="20" t="n">
        <x:f>IF(K207="שוטף",M207,0)</x:f>
        <x:v>60</x:v>
      </x:c>
      <x:c r="O207" s="20" t="n">
        <x:f>IF(K207="הכנסה שסווגה מחדש",-G207,0)</x:f>
        <x:v>0</x:v>
      </x:c>
      <x:c r="P207" s="11" t="str">
        <x:v>אמקס עינור</x:v>
      </x:c>
      <x:c r="Q207" s="11" t="str"/>
      <x:c r="R207" s="11" t="str">
        <x:v>לא</x:v>
      </x:c>
    </x:row>
    <x:row r="208">
      <x:c r="A208" s="14" t="n">
        <x:v>45717</x:v>
      </x:c>
      <x:c r="B208" s="11" t="str">
        <x:v>2025-03</x:v>
      </x:c>
      <x:c r="C208" s="11" t="str">
        <x:v>מרץ 25</x:v>
      </x:c>
      <x:c r="D208" s="15" t="n">
        <x:v>40</x:v>
      </x:c>
      <x:c r="E208" s="11" t="str">
        <x:v>23</x:v>
      </x:c>
      <x:c r="F208" s="11" t="str">
        <x:v>רלדין</x:v>
      </x:c>
      <x:c r="G208" s="17" t="n">
        <x:v>16</x:v>
      </x:c>
      <x:c r="H208" s="18" t="str">
        <x:v>אוכל בחוץ</x:v>
      </x:c>
      <x:c r="I208" s="19" t="str">
        <x:f>IFERROR(INDEX('מיפוי ומקורות'!$C$7:$C$33,MATCH(H208,'מיפוי ומקורות'!$B$7:$B$33,0)),"לא מסווג")</x:f>
        <x:v>אוכל בחוץ</x:v>
      </x:c>
      <x:c r="J208" s="19" t="str">
        <x:f>IFERROR(INDEX('מיפוי ומקורות'!$D$7:$D$33,MATCH(H208,'מיפוי ומקורות'!$B$7:$B$33,0)),"שוטף")</x:f>
        <x:v>שוטף</x:v>
      </x:c>
      <x:c r="K208" s="19" t="str">
        <x:f>IF(OR(H208="ריביות",AND(H208="דירה כצנלסון",G208&lt;0,ISNUMBER(SEARCH("הכנסה",F208)))),"הכנסה שסווגה מחדש",J208)</x:f>
        <x:v>שוטף</x:v>
      </x:c>
      <x:c r="L208" s="19" t="str">
        <x:v>מאושר</x:v>
      </x:c>
      <x:c r="M208" s="20" t="n">
        <x:f>IF(L208="מאושר",IF(K208="הכנסה שסווגה מחדש",0,G208),0)</x:f>
        <x:v>16</x:v>
      </x:c>
      <x:c r="N208" s="20" t="n">
        <x:f>IF(K208="שוטף",M208,0)</x:f>
        <x:v>16</x:v>
      </x:c>
      <x:c r="O208" s="20" t="n">
        <x:f>IF(K208="הכנסה שסווגה מחדש",-G208,0)</x:f>
        <x:v>0</x:v>
      </x:c>
      <x:c r="P208" s="11" t="str">
        <x:v>אמקס עינור</x:v>
      </x:c>
      <x:c r="Q208" s="11" t="str"/>
      <x:c r="R208" s="11" t="str">
        <x:v>לא</x:v>
      </x:c>
    </x:row>
    <x:row r="209">
      <x:c r="A209" s="14" t="n">
        <x:v>45717</x:v>
      </x:c>
      <x:c r="B209" s="11" t="str">
        <x:v>2025-03</x:v>
      </x:c>
      <x:c r="C209" s="11" t="str">
        <x:v>מרץ 25</x:v>
      </x:c>
      <x:c r="D209" s="15" t="n">
        <x:v>41</x:v>
      </x:c>
      <x:c r="E209" s="11" t="str">
        <x:v>23</x:v>
      </x:c>
      <x:c r="F209" s="11" t="str">
        <x:v>ירקן</x:v>
      </x:c>
      <x:c r="G209" s="17" t="n">
        <x:v>80</x:v>
      </x:c>
      <x:c r="H209" s="18" t="str">
        <x:v>מזון לבית</x:v>
      </x:c>
      <x:c r="I209" s="19" t="str">
        <x:f>IFERROR(INDEX('מיפוי ומקורות'!$C$7:$C$33,MATCH(H209,'מיפוי ומקורות'!$B$7:$B$33,0)),"לא מסווג")</x:f>
        <x:v>מזון לבית</x:v>
      </x:c>
      <x:c r="J209" s="19" t="str">
        <x:f>IFERROR(INDEX('מיפוי ומקורות'!$D$7:$D$33,MATCH(H209,'מיפוי ומקורות'!$B$7:$B$33,0)),"שוטף")</x:f>
        <x:v>שוטף</x:v>
      </x:c>
      <x:c r="K209" s="19" t="str">
        <x:f>IF(OR(H209="ריביות",AND(H209="דירה כצנלסון",G209&lt;0,ISNUMBER(SEARCH("הכנסה",F209)))),"הכנסה שסווגה מחדש",J209)</x:f>
        <x:v>שוטף</x:v>
      </x:c>
      <x:c r="L209" s="19" t="str">
        <x:v>מאושר</x:v>
      </x:c>
      <x:c r="M209" s="20" t="n">
        <x:f>IF(L209="מאושר",IF(K209="הכנסה שסווגה מחדש",0,G209),0)</x:f>
        <x:v>80</x:v>
      </x:c>
      <x:c r="N209" s="20" t="n">
        <x:f>IF(K209="שוטף",M209,0)</x:f>
        <x:v>80</x:v>
      </x:c>
      <x:c r="O209" s="20" t="n">
        <x:f>IF(K209="הכנסה שסווגה מחדש",-G209,0)</x:f>
        <x:v>0</x:v>
      </x:c>
      <x:c r="P209" s="11" t="str">
        <x:v>אמקס עינור</x:v>
      </x:c>
      <x:c r="Q209" s="11" t="str"/>
      <x:c r="R209" s="11" t="str">
        <x:v>לא</x:v>
      </x:c>
    </x:row>
    <x:row r="210">
      <x:c r="A210" s="14" t="n">
        <x:v>45717</x:v>
      </x:c>
      <x:c r="B210" s="11" t="str">
        <x:v>2025-03</x:v>
      </x:c>
      <x:c r="C210" s="11" t="str">
        <x:v>מרץ 25</x:v>
      </x:c>
      <x:c r="D210" s="15" t="n">
        <x:v>42</x:v>
      </x:c>
      <x:c r="E210" s="11" t="str">
        <x:v>25</x:v>
      </x:c>
      <x:c r="F210" s="11" t="str">
        <x:v>מכולת</x:v>
      </x:c>
      <x:c r="G210" s="17" t="n">
        <x:v>8</x:v>
      </x:c>
      <x:c r="H210" s="18" t="str">
        <x:v>מזון לבית</x:v>
      </x:c>
      <x:c r="I210" s="19" t="str">
        <x:f>IFERROR(INDEX('מיפוי ומקורות'!$C$7:$C$33,MATCH(H210,'מיפוי ומקורות'!$B$7:$B$33,0)),"לא מסווג")</x:f>
        <x:v>מזון לבית</x:v>
      </x:c>
      <x:c r="J210" s="19" t="str">
        <x:f>IFERROR(INDEX('מיפוי ומקורות'!$D$7:$D$33,MATCH(H210,'מיפוי ומקורות'!$B$7:$B$33,0)),"שוטף")</x:f>
        <x:v>שוטף</x:v>
      </x:c>
      <x:c r="K210" s="19" t="str">
        <x:f>IF(OR(H210="ריביות",AND(H210="דירה כצנלסון",G210&lt;0,ISNUMBER(SEARCH("הכנסה",F210)))),"הכנסה שסווגה מחדש",J210)</x:f>
        <x:v>שוטף</x:v>
      </x:c>
      <x:c r="L210" s="19" t="str">
        <x:v>מאושר</x:v>
      </x:c>
      <x:c r="M210" s="20" t="n">
        <x:f>IF(L210="מאושר",IF(K210="הכנסה שסווגה מחדש",0,G210),0)</x:f>
        <x:v>8</x:v>
      </x:c>
      <x:c r="N210" s="20" t="n">
        <x:f>IF(K210="שוטף",M210,0)</x:f>
        <x:v>8</x:v>
      </x:c>
      <x:c r="O210" s="20" t="n">
        <x:f>IF(K210="הכנסה שסווגה מחדש",-G210,0)</x:f>
        <x:v>0</x:v>
      </x:c>
      <x:c r="P210" s="11" t="str">
        <x:v>אמקס עינור</x:v>
      </x:c>
      <x:c r="Q210" s="11" t="str"/>
      <x:c r="R210" s="11" t="str">
        <x:v>לא</x:v>
      </x:c>
    </x:row>
    <x:row r="211">
      <x:c r="A211" s="14" t="n">
        <x:v>45717</x:v>
      </x:c>
      <x:c r="B211" s="11" t="str">
        <x:v>2025-03</x:v>
      </x:c>
      <x:c r="C211" s="11" t="str">
        <x:v>מרץ 25</x:v>
      </x:c>
      <x:c r="D211" s="15" t="n">
        <x:v>43</x:v>
      </x:c>
      <x:c r="E211" s="11" t="str">
        <x:v>26</x:v>
      </x:c>
      <x:c r="F211" s="11" t="str">
        <x:v>הנתיב המהיר</x:v>
      </x:c>
      <x:c r="G211" s="17" t="n">
        <x:v>8</x:v>
      </x:c>
      <x:c r="H211" s="18" t="str">
        <x:v>תחבורה</x:v>
      </x:c>
      <x:c r="I211" s="19" t="str">
        <x:f>IFERROR(INDEX('מיפוי ומקורות'!$C$7:$C$33,MATCH(H211,'מיפוי ומקורות'!$B$7:$B$33,0)),"לא מסווג")</x:f>
        <x:v>תחבורה</x:v>
      </x:c>
      <x:c r="J211" s="19" t="str">
        <x:f>IFERROR(INDEX('מיפוי ומקורות'!$D$7:$D$33,MATCH(H211,'מיפוי ומקורות'!$B$7:$B$33,0)),"שוטף")</x:f>
        <x:v>שוטף</x:v>
      </x:c>
      <x:c r="K211" s="19" t="str">
        <x:f>IF(OR(H211="ריביות",AND(H211="דירה כצנלסון",G211&lt;0,ISNUMBER(SEARCH("הכנסה",F211)))),"הכנסה שסווגה מחדש",J211)</x:f>
        <x:v>שוטף</x:v>
      </x:c>
      <x:c r="L211" s="19" t="str">
        <x:v>מאושר</x:v>
      </x:c>
      <x:c r="M211" s="20" t="n">
        <x:f>IF(L211="מאושר",IF(K211="הכנסה שסווגה מחדש",0,G211),0)</x:f>
        <x:v>8</x:v>
      </x:c>
      <x:c r="N211" s="20" t="n">
        <x:f>IF(K211="שוטף",M211,0)</x:f>
        <x:v>8</x:v>
      </x:c>
      <x:c r="O211" s="20" t="n">
        <x:f>IF(K211="הכנסה שסווגה מחדש",-G211,0)</x:f>
        <x:v>0</x:v>
      </x:c>
      <x:c r="P211" s="11" t="str">
        <x:v>אמקס עינור</x:v>
      </x:c>
      <x:c r="Q211" s="11" t="str"/>
      <x:c r="R211" s="11" t="str">
        <x:v>לא</x:v>
      </x:c>
    </x:row>
    <x:row r="212">
      <x:c r="A212" s="14" t="n">
        <x:v>45717</x:v>
      </x:c>
      <x:c r="B212" s="11" t="str">
        <x:v>2025-03</x:v>
      </x:c>
      <x:c r="C212" s="11" t="str">
        <x:v>מרץ 25</x:v>
      </x:c>
      <x:c r="D212" s="15" t="n">
        <x:v>44</x:v>
      </x:c>
      <x:c r="E212" s="11" t="str">
        <x:v>26</x:v>
      </x:c>
      <x:c r="F212" s="11" t="str">
        <x:v>מכולת</x:v>
      </x:c>
      <x:c r="G212" s="17" t="n">
        <x:v>165</x:v>
      </x:c>
      <x:c r="H212" s="18" t="str">
        <x:v>מזון לבית</x:v>
      </x:c>
      <x:c r="I212" s="19" t="str">
        <x:f>IFERROR(INDEX('מיפוי ומקורות'!$C$7:$C$33,MATCH(H212,'מיפוי ומקורות'!$B$7:$B$33,0)),"לא מסווג")</x:f>
        <x:v>מזון לבית</x:v>
      </x:c>
      <x:c r="J212" s="19" t="str">
        <x:f>IFERROR(INDEX('מיפוי ומקורות'!$D$7:$D$33,MATCH(H212,'מיפוי ומקורות'!$B$7:$B$33,0)),"שוטף")</x:f>
        <x:v>שוטף</x:v>
      </x:c>
      <x:c r="K212" s="19" t="str">
        <x:f>IF(OR(H212="ריביות",AND(H212="דירה כצנלסון",G212&lt;0,ISNUMBER(SEARCH("הכנסה",F212)))),"הכנסה שסווגה מחדש",J212)</x:f>
        <x:v>שוטף</x:v>
      </x:c>
      <x:c r="L212" s="19" t="str">
        <x:v>מאושר</x:v>
      </x:c>
      <x:c r="M212" s="20" t="n">
        <x:f>IF(L212="מאושר",IF(K212="הכנסה שסווגה מחדש",0,G212),0)</x:f>
        <x:v>165</x:v>
      </x:c>
      <x:c r="N212" s="20" t="n">
        <x:f>IF(K212="שוטף",M212,0)</x:f>
        <x:v>165</x:v>
      </x:c>
      <x:c r="O212" s="20" t="n">
        <x:f>IF(K212="הכנסה שסווגה מחדש",-G212,0)</x:f>
        <x:v>0</x:v>
      </x:c>
      <x:c r="P212" s="11" t="str">
        <x:v>אמקס עינור</x:v>
      </x:c>
      <x:c r="Q212" s="11" t="str"/>
      <x:c r="R212" s="11" t="str">
        <x:v>לא</x:v>
      </x:c>
    </x:row>
    <x:row r="213">
      <x:c r="A213" s="14" t="n">
        <x:v>45717</x:v>
      </x:c>
      <x:c r="B213" s="11" t="str">
        <x:v>2025-03</x:v>
      </x:c>
      <x:c r="C213" s="11" t="str">
        <x:v>מרץ 25</x:v>
      </x:c>
      <x:c r="D213" s="15" t="n">
        <x:v>45</x:v>
      </x:c>
      <x:c r="E213" s="11" t="str">
        <x:v>27</x:v>
      </x:c>
      <x:c r="F213" s="11" t="str">
        <x:v>סופרפארם</x:v>
      </x:c>
      <x:c r="G213" s="17" t="n">
        <x:v>120</x:v>
      </x:c>
      <x:c r="H213" s="18" t="str">
        <x:v>בריאות</x:v>
      </x:c>
      <x:c r="I213" s="19" t="str">
        <x:f>IFERROR(INDEX('מיפוי ומקורות'!$C$7:$C$33,MATCH(H213,'מיפוי ומקורות'!$B$7:$B$33,0)),"לא מסווג")</x:f>
        <x:v>בריאות וטיפולים</x:v>
      </x:c>
      <x:c r="J213" s="19" t="str">
        <x:f>IFERROR(INDEX('מיפוי ומקורות'!$D$7:$D$33,MATCH(H213,'מיפוי ומקורות'!$B$7:$B$33,0)),"שוטף")</x:f>
        <x:v>שוטף</x:v>
      </x:c>
      <x:c r="K213" s="19" t="str">
        <x:f>IF(OR(H213="ריביות",AND(H213="דירה כצנלסון",G213&lt;0,ISNUMBER(SEARCH("הכנסה",F213)))),"הכנסה שסווגה מחדש",J213)</x:f>
        <x:v>שוטף</x:v>
      </x:c>
      <x:c r="L213" s="19" t="str">
        <x:v>מאושר</x:v>
      </x:c>
      <x:c r="M213" s="20" t="n">
        <x:f>IF(L213="מאושר",IF(K213="הכנסה שסווגה מחדש",0,G213),0)</x:f>
        <x:v>120</x:v>
      </x:c>
      <x:c r="N213" s="20" t="n">
        <x:f>IF(K213="שוטף",M213,0)</x:f>
        <x:v>120</x:v>
      </x:c>
      <x:c r="O213" s="20" t="n">
        <x:f>IF(K213="הכנסה שסווגה מחדש",-G213,0)</x:f>
        <x:v>0</x:v>
      </x:c>
      <x:c r="P213" s="11" t="str">
        <x:v>אמקס עינור</x:v>
      </x:c>
      <x:c r="Q213" s="11" t="str"/>
      <x:c r="R213" s="11" t="str">
        <x:v>לא</x:v>
      </x:c>
    </x:row>
    <x:row r="214">
      <x:c r="A214" s="14" t="n">
        <x:v>45717</x:v>
      </x:c>
      <x:c r="B214" s="11" t="str">
        <x:v>2025-03</x:v>
      </x:c>
      <x:c r="C214" s="11" t="str">
        <x:v>מרץ 25</x:v>
      </x:c>
      <x:c r="D214" s="15" t="n">
        <x:v>46</x:v>
      </x:c>
      <x:c r="E214" s="11" t="str">
        <x:v>27</x:v>
      </x:c>
      <x:c r="F214" s="11" t="str">
        <x:v>סושי באר שבע</x:v>
      </x:c>
      <x:c r="G214" s="17" t="n">
        <x:v>199</x:v>
      </x:c>
      <x:c r="H214" s="18" t="str">
        <x:v>אוכל בחוץ</x:v>
      </x:c>
      <x:c r="I214" s="19" t="str">
        <x:f>IFERROR(INDEX('מיפוי ומקורות'!$C$7:$C$33,MATCH(H214,'מיפוי ומקורות'!$B$7:$B$33,0)),"לא מסווג")</x:f>
        <x:v>אוכל בחוץ</x:v>
      </x:c>
      <x:c r="J214" s="19" t="str">
        <x:f>IFERROR(INDEX('מיפוי ומקורות'!$D$7:$D$33,MATCH(H214,'מיפוי ומקורות'!$B$7:$B$33,0)),"שוטף")</x:f>
        <x:v>שוטף</x:v>
      </x:c>
      <x:c r="K214" s="19" t="str">
        <x:f>IF(OR(H214="ריביות",AND(H214="דירה כצנלסון",G214&lt;0,ISNUMBER(SEARCH("הכנסה",F214)))),"הכנסה שסווגה מחדש",J214)</x:f>
        <x:v>שוטף</x:v>
      </x:c>
      <x:c r="L214" s="19" t="str">
        <x:v>מאושר</x:v>
      </x:c>
      <x:c r="M214" s="20" t="n">
        <x:f>IF(L214="מאושר",IF(K214="הכנסה שסווגה מחדש",0,G214),0)</x:f>
        <x:v>199</x:v>
      </x:c>
      <x:c r="N214" s="20" t="n">
        <x:f>IF(K214="שוטף",M214,0)</x:f>
        <x:v>199</x:v>
      </x:c>
      <x:c r="O214" s="20" t="n">
        <x:f>IF(K214="הכנסה שסווגה מחדש",-G214,0)</x:f>
        <x:v>0</x:v>
      </x:c>
      <x:c r="P214" s="11" t="str">
        <x:v>אמקס עינור</x:v>
      </x:c>
      <x:c r="Q214" s="11" t="str"/>
      <x:c r="R214" s="11" t="str">
        <x:v>לא</x:v>
      </x:c>
    </x:row>
    <x:row r="215">
      <x:c r="A215" s="14" t="n">
        <x:v>45717</x:v>
      </x:c>
      <x:c r="B215" s="11" t="str">
        <x:v>2025-03</x:v>
      </x:c>
      <x:c r="C215" s="11" t="str">
        <x:v>מרץ 25</x:v>
      </x:c>
      <x:c r="D215" s="15" t="n">
        <x:v>47</x:v>
      </x:c>
      <x:c r="E215" s="11" t="str">
        <x:v>27</x:v>
      </x:c>
      <x:c r="F215" s="11" t="str">
        <x:v>קרח</x:v>
      </x:c>
      <x:c r="G215" s="17" t="n">
        <x:v>13</x:v>
      </x:c>
      <x:c r="H215" s="18" t="str">
        <x:v>אוכל בחוץ</x:v>
      </x:c>
      <x:c r="I215" s="19" t="str">
        <x:f>IFERROR(INDEX('מיפוי ומקורות'!$C$7:$C$33,MATCH(H215,'מיפוי ומקורות'!$B$7:$B$33,0)),"לא מסווג")</x:f>
        <x:v>אוכל בחוץ</x:v>
      </x:c>
      <x:c r="J215" s="19" t="str">
        <x:f>IFERROR(INDEX('מיפוי ומקורות'!$D$7:$D$33,MATCH(H215,'מיפוי ומקורות'!$B$7:$B$33,0)),"שוטף")</x:f>
        <x:v>שוטף</x:v>
      </x:c>
      <x:c r="K215" s="19" t="str">
        <x:f>IF(OR(H215="ריביות",AND(H215="דירה כצנלסון",G215&lt;0,ISNUMBER(SEARCH("הכנסה",F215)))),"הכנסה שסווגה מחדש",J215)</x:f>
        <x:v>שוטף</x:v>
      </x:c>
      <x:c r="L215" s="19" t="str">
        <x:v>מאושר</x:v>
      </x:c>
      <x:c r="M215" s="20" t="n">
        <x:f>IF(L215="מאושר",IF(K215="הכנסה שסווגה מחדש",0,G215),0)</x:f>
        <x:v>13</x:v>
      </x:c>
      <x:c r="N215" s="20" t="n">
        <x:f>IF(K215="שוטף",M215,0)</x:f>
        <x:v>13</x:v>
      </x:c>
      <x:c r="O215" s="20" t="n">
        <x:f>IF(K215="הכנסה שסווגה מחדש",-G215,0)</x:f>
        <x:v>0</x:v>
      </x:c>
      <x:c r="P215" s="11" t="str">
        <x:v>אמקס עינור</x:v>
      </x:c>
      <x:c r="Q215" s="11" t="str"/>
      <x:c r="R215" s="11" t="str">
        <x:v>לא</x:v>
      </x:c>
    </x:row>
    <x:row r="216">
      <x:c r="A216" s="14" t="n">
        <x:v>45717</x:v>
      </x:c>
      <x:c r="B216" s="11" t="str">
        <x:v>2025-03</x:v>
      </x:c>
      <x:c r="C216" s="11" t="str">
        <x:v>מרץ 25</x:v>
      </x:c>
      <x:c r="D216" s="15" t="n">
        <x:v>48</x:v>
      </x:c>
      <x:c r="E216" s="11" t="str">
        <x:v>28</x:v>
      </x:c>
      <x:c r="F216" s="11" t="str">
        <x:v>שוקולד</x:v>
      </x:c>
      <x:c r="G216" s="17" t="n">
        <x:v>14</x:v>
      </x:c>
      <x:c r="H216" s="18" t="str">
        <x:v>אוכל בחוץ</x:v>
      </x:c>
      <x:c r="I216" s="19" t="str">
        <x:f>IFERROR(INDEX('מיפוי ומקורות'!$C$7:$C$33,MATCH(H216,'מיפוי ומקורות'!$B$7:$B$33,0)),"לא מסווג")</x:f>
        <x:v>אוכל בחוץ</x:v>
      </x:c>
      <x:c r="J216" s="19" t="str">
        <x:f>IFERROR(INDEX('מיפוי ומקורות'!$D$7:$D$33,MATCH(H216,'מיפוי ומקורות'!$B$7:$B$33,0)),"שוטף")</x:f>
        <x:v>שוטף</x:v>
      </x:c>
      <x:c r="K216" s="19" t="str">
        <x:f>IF(OR(H216="ריביות",AND(H216="דירה כצנלסון",G216&lt;0,ISNUMBER(SEARCH("הכנסה",F216)))),"הכנסה שסווגה מחדש",J216)</x:f>
        <x:v>שוטף</x:v>
      </x:c>
      <x:c r="L216" s="19" t="str">
        <x:v>מאושר</x:v>
      </x:c>
      <x:c r="M216" s="20" t="n">
        <x:f>IF(L216="מאושר",IF(K216="הכנסה שסווגה מחדש",0,G216),0)</x:f>
        <x:v>14</x:v>
      </x:c>
      <x:c r="N216" s="20" t="n">
        <x:f>IF(K216="שוטף",M216,0)</x:f>
        <x:v>14</x:v>
      </x:c>
      <x:c r="O216" s="20" t="n">
        <x:f>IF(K216="הכנסה שסווגה מחדש",-G216,0)</x:f>
        <x:v>0</x:v>
      </x:c>
      <x:c r="P216" s="11" t="str">
        <x:v>אמקס עינור</x:v>
      </x:c>
      <x:c r="Q216" s="11" t="str"/>
      <x:c r="R216" s="11" t="str">
        <x:v>לא</x:v>
      </x:c>
    </x:row>
    <x:row r="217">
      <x:c r="A217" s="14" t="n">
        <x:v>45717</x:v>
      </x:c>
      <x:c r="B217" s="11" t="str">
        <x:v>2025-03</x:v>
      </x:c>
      <x:c r="C217" s="11" t="str">
        <x:v>מרץ 25</x:v>
      </x:c>
      <x:c r="D217" s="15" t="n">
        <x:v>49</x:v>
      </x:c>
      <x:c r="E217" s="11" t="str">
        <x:v>31</x:v>
      </x:c>
      <x:c r="F217" s="11" t="str">
        <x:v>אמפמ</x:v>
      </x:c>
      <x:c r="G217" s="17" t="n">
        <x:v>51</x:v>
      </x:c>
      <x:c r="H217" s="18" t="str">
        <x:v>מזון לבית</x:v>
      </x:c>
      <x:c r="I217" s="19" t="str">
        <x:f>IFERROR(INDEX('מיפוי ומקורות'!$C$7:$C$33,MATCH(H217,'מיפוי ומקורות'!$B$7:$B$33,0)),"לא מסווג")</x:f>
        <x:v>מזון לבית</x:v>
      </x:c>
      <x:c r="J217" s="19" t="str">
        <x:f>IFERROR(INDEX('מיפוי ומקורות'!$D$7:$D$33,MATCH(H217,'מיפוי ומקורות'!$B$7:$B$33,0)),"שוטף")</x:f>
        <x:v>שוטף</x:v>
      </x:c>
      <x:c r="K217" s="19" t="str">
        <x:f>IF(OR(H217="ריביות",AND(H217="דירה כצנלסון",G217&lt;0,ISNUMBER(SEARCH("הכנסה",F217)))),"הכנסה שסווגה מחדש",J217)</x:f>
        <x:v>שוטף</x:v>
      </x:c>
      <x:c r="L217" s="19" t="str">
        <x:v>מאושר</x:v>
      </x:c>
      <x:c r="M217" s="20" t="n">
        <x:f>IF(L217="מאושר",IF(K217="הכנסה שסווגה מחדש",0,G217),0)</x:f>
        <x:v>51</x:v>
      </x:c>
      <x:c r="N217" s="20" t="n">
        <x:f>IF(K217="שוטף",M217,0)</x:f>
        <x:v>51</x:v>
      </x:c>
      <x:c r="O217" s="20" t="n">
        <x:f>IF(K217="הכנסה שסווגה מחדש",-G217,0)</x:f>
        <x:v>0</x:v>
      </x:c>
      <x:c r="P217" s="11" t="str">
        <x:v>אמקס עינור</x:v>
      </x:c>
      <x:c r="Q217" s="11" t="str"/>
      <x:c r="R217" s="11" t="str">
        <x:v>לא</x:v>
      </x:c>
    </x:row>
    <x:row r="218">
      <x:c r="A218" s="14" t="n">
        <x:v>45717</x:v>
      </x:c>
      <x:c r="B218" s="11" t="str">
        <x:v>2025-03</x:v>
      </x:c>
      <x:c r="C218" s="11" t="str">
        <x:v>מרץ 25</x:v>
      </x:c>
      <x:c r="D218" s="15" t="n">
        <x:v>50</x:v>
      </x:c>
      <x:c r="E218" s="11" t="str">
        <x:v>7</x:v>
      </x:c>
      <x:c r="F218" s="11" t="str">
        <x:v>ציפורניים</x:v>
      </x:c>
      <x:c r="G218" s="17" t="n">
        <x:v>120</x:v>
      </x:c>
      <x:c r="H218" s="18" t="str">
        <x:v>קוסמטיקה</x:v>
      </x:c>
      <x:c r="I218" s="19" t="str">
        <x:f>IFERROR(INDEX('מיפוי ומקורות'!$C$7:$C$33,MATCH(H218,'מיפוי ומקורות'!$B$7:$B$33,0)),"לא מסווג")</x:f>
        <x:v>קוסמטיקה</x:v>
      </x:c>
      <x:c r="J218" s="19" t="str">
        <x:f>IFERROR(INDEX('מיפוי ומקורות'!$D$7:$D$33,MATCH(H218,'מיפוי ומקורות'!$B$7:$B$33,0)),"שוטף")</x:f>
        <x:v>שוטף</x:v>
      </x:c>
      <x:c r="K218" s="19" t="str">
        <x:f>IF(OR(H218="ריביות",AND(H218="דירה כצנלסון",G218&lt;0,ISNUMBER(SEARCH("הכנסה",F218)))),"הכנסה שסווגה מחדש",J218)</x:f>
        <x:v>שוטף</x:v>
      </x:c>
      <x:c r="L218" s="19" t="str">
        <x:v>מאושר</x:v>
      </x:c>
      <x:c r="M218" s="20" t="n">
        <x:f>IF(L218="מאושר",IF(K218="הכנסה שסווגה מחדש",0,G218),0)</x:f>
        <x:v>120</x:v>
      </x:c>
      <x:c r="N218" s="20" t="n">
        <x:f>IF(K218="שוטף",M218,0)</x:f>
        <x:v>120</x:v>
      </x:c>
      <x:c r="O218" s="20" t="n">
        <x:f>IF(K218="הכנסה שסווגה מחדש",-G218,0)</x:f>
        <x:v>0</x:v>
      </x:c>
      <x:c r="P218" s="11" t="str">
        <x:v>מקס עינור</x:v>
      </x:c>
      <x:c r="Q218" s="11" t="str"/>
      <x:c r="R218" s="11" t="str">
        <x:v>לא</x:v>
      </x:c>
    </x:row>
    <x:row r="219">
      <x:c r="A219" s="14" t="n">
        <x:v>45717</x:v>
      </x:c>
      <x:c r="B219" s="11" t="str">
        <x:v>2025-03</x:v>
      </x:c>
      <x:c r="C219" s="11" t="str">
        <x:v>מרץ 25</x:v>
      </x:c>
      <x:c r="D219" s="15" t="n">
        <x:v>51</x:v>
      </x:c>
      <x:c r="E219" s="11" t="str">
        <x:v>7</x:v>
      </x:c>
      <x:c r="F219" s="11" t="str">
        <x:v>חנייה בורסה</x:v>
      </x:c>
      <x:c r="G219" s="17" t="n">
        <x:v>8</x:v>
      </x:c>
      <x:c r="H219" s="18" t="str">
        <x:v>תחבורה</x:v>
      </x:c>
      <x:c r="I219" s="19" t="str">
        <x:f>IFERROR(INDEX('מיפוי ומקורות'!$C$7:$C$33,MATCH(H219,'מיפוי ומקורות'!$B$7:$B$33,0)),"לא מסווג")</x:f>
        <x:v>תחבורה</x:v>
      </x:c>
      <x:c r="J219" s="19" t="str">
        <x:f>IFERROR(INDEX('מיפוי ומקורות'!$D$7:$D$33,MATCH(H219,'מיפוי ומקורות'!$B$7:$B$33,0)),"שוטף")</x:f>
        <x:v>שוטף</x:v>
      </x:c>
      <x:c r="K219" s="19" t="str">
        <x:f>IF(OR(H219="ריביות",AND(H219="דירה כצנלסון",G219&lt;0,ISNUMBER(SEARCH("הכנסה",F219)))),"הכנסה שסווגה מחדש",J219)</x:f>
        <x:v>שוטף</x:v>
      </x:c>
      <x:c r="L219" s="19" t="str">
        <x:v>מאושר</x:v>
      </x:c>
      <x:c r="M219" s="20" t="n">
        <x:f>IF(L219="מאושר",IF(K219="הכנסה שסווגה מחדש",0,G219),0)</x:f>
        <x:v>8</x:v>
      </x:c>
      <x:c r="N219" s="20" t="n">
        <x:f>IF(K219="שוטף",M219,0)</x:f>
        <x:v>8</x:v>
      </x:c>
      <x:c r="O219" s="20" t="n">
        <x:f>IF(K219="הכנסה שסווגה מחדש",-G219,0)</x:f>
        <x:v>0</x:v>
      </x:c>
      <x:c r="P219" s="11" t="str">
        <x:v>מקס עינור</x:v>
      </x:c>
      <x:c r="Q219" s="11" t="str"/>
      <x:c r="R219" s="11" t="str">
        <x:v>לא</x:v>
      </x:c>
    </x:row>
    <x:row r="220">
      <x:c r="A220" s="14" t="n">
        <x:v>45717</x:v>
      </x:c>
      <x:c r="B220" s="11" t="str">
        <x:v>2025-03</x:v>
      </x:c>
      <x:c r="C220" s="11" t="str">
        <x:v>מרץ 25</x:v>
      </x:c>
      <x:c r="D220" s="15" t="n">
        <x:v>52</x:v>
      </x:c>
      <x:c r="E220" s="11" t="str">
        <x:v>10</x:v>
      </x:c>
      <x:c r="F220" s="11" t="str">
        <x:v>נעלי כלה</x:v>
      </x:c>
      <x:c r="G220" s="17" t="n">
        <x:v>600</x:v>
      </x:c>
      <x:c r="H220" s="18" t="str">
        <x:v>חתונה</x:v>
      </x:c>
      <x:c r="I220" s="19" t="str">
        <x:f>IFERROR(INDEX('מיפוי ומקורות'!$C$7:$C$33,MATCH(H220,'מיפוי ומקורות'!$B$7:$B$33,0)),"לא מסווג")</x:f>
        <x:v>חתונה</x:v>
      </x:c>
      <x:c r="J220" s="19" t="str">
        <x:f>IFERROR(INDEX('מיפוי ומקורות'!$D$7:$D$33,MATCH(H220,'מיפוי ומקורות'!$B$7:$B$33,0)),"שוטף")</x:f>
        <x:v>חריג</x:v>
      </x:c>
      <x:c r="K220" s="19" t="str">
        <x:f>IF(OR(H220="ריביות",AND(H220="דירה כצנלסון",G220&lt;0,ISNUMBER(SEARCH("הכנסה",F220)))),"הכנסה שסווגה מחדש",J220)</x:f>
        <x:v>חריג</x:v>
      </x:c>
      <x:c r="L220" s="19" t="str">
        <x:v>מאושר</x:v>
      </x:c>
      <x:c r="M220" s="20" t="n">
        <x:f>IF(L220="מאושר",IF(K220="הכנסה שסווגה מחדש",0,G220),0)</x:f>
        <x:v>600</x:v>
      </x:c>
      <x:c r="N220" s="20" t="n">
        <x:f>IF(K220="שוטף",M220,0)</x:f>
        <x:v>0</x:v>
      </x:c>
      <x:c r="O220" s="20" t="n">
        <x:f>IF(K220="הכנסה שסווגה מחדש",-G220,0)</x:f>
        <x:v>0</x:v>
      </x:c>
      <x:c r="P220" s="11" t="str">
        <x:v>מקס עינור</x:v>
      </x:c>
      <x:c r="Q220" s="11" t="str"/>
      <x:c r="R220" s="11" t="str">
        <x:v>לא</x:v>
      </x:c>
    </x:row>
    <x:row r="221">
      <x:c r="A221" s="14" t="n">
        <x:v>45717</x:v>
      </x:c>
      <x:c r="B221" s="11" t="str">
        <x:v>2025-03</x:v>
      </x:c>
      <x:c r="C221" s="11" t="str">
        <x:v>מרץ 25</x:v>
      </x:c>
      <x:c r="D221" s="15" t="n">
        <x:v>53</x:v>
      </x:c>
      <x:c r="E221" s="11" t="str">
        <x:v>25</x:v>
      </x:c>
      <x:c r="F221" s="11" t="str">
        <x:v>אוטובוסים</x:v>
      </x:c>
      <x:c r="G221" s="17" t="n">
        <x:v>25</x:v>
      </x:c>
      <x:c r="H221" s="18" t="str">
        <x:v>תחבורה</x:v>
      </x:c>
      <x:c r="I221" s="19" t="str">
        <x:f>IFERROR(INDEX('מיפוי ומקורות'!$C$7:$C$33,MATCH(H221,'מיפוי ומקורות'!$B$7:$B$33,0)),"לא מסווג")</x:f>
        <x:v>תחבורה</x:v>
      </x:c>
      <x:c r="J221" s="19" t="str">
        <x:f>IFERROR(INDEX('מיפוי ומקורות'!$D$7:$D$33,MATCH(H221,'מיפוי ומקורות'!$B$7:$B$33,0)),"שוטף")</x:f>
        <x:v>שוטף</x:v>
      </x:c>
      <x:c r="K221" s="19" t="str">
        <x:f>IF(OR(H221="ריביות",AND(H221="דירה כצנלסון",G221&lt;0,ISNUMBER(SEARCH("הכנסה",F221)))),"הכנסה שסווגה מחדש",J221)</x:f>
        <x:v>שוטף</x:v>
      </x:c>
      <x:c r="L221" s="19" t="str">
        <x:v>מאושר</x:v>
      </x:c>
      <x:c r="M221" s="20" t="n">
        <x:f>IF(L221="מאושר",IF(K221="הכנסה שסווגה מחדש",0,G221),0)</x:f>
        <x:v>25</x:v>
      </x:c>
      <x:c r="N221" s="20" t="n">
        <x:f>IF(K221="שוטף",M221,0)</x:f>
        <x:v>25</x:v>
      </x:c>
      <x:c r="O221" s="20" t="n">
        <x:f>IF(K221="הכנסה שסווגה מחדש",-G221,0)</x:f>
        <x:v>0</x:v>
      </x:c>
      <x:c r="P221" s="11" t="str">
        <x:v>מקס עינור</x:v>
      </x:c>
      <x:c r="Q221" s="11" t="str"/>
      <x:c r="R221" s="11" t="str">
        <x:v>לא</x:v>
      </x:c>
    </x:row>
    <x:row r="222">
      <x:c r="A222" s="14" t="n">
        <x:v>45717</x:v>
      </x:c>
      <x:c r="B222" s="11" t="str">
        <x:v>2025-03</x:v>
      </x:c>
      <x:c r="C222" s="11" t="str">
        <x:v>מרץ 25</x:v>
      </x:c>
      <x:c r="D222" s="15" t="n">
        <x:v>54</x:v>
      </x:c>
      <x:c r="E222" s="11" t="str">
        <x:v>27</x:v>
      </x:c>
      <x:c r="F222" s="11" t="str">
        <x:v>חנייה בורסה</x:v>
      </x:c>
      <x:c r="G222" s="17" t="n">
        <x:v>14</x:v>
      </x:c>
      <x:c r="H222" s="18" t="str">
        <x:v>תחבורה</x:v>
      </x:c>
      <x:c r="I222" s="19" t="str">
        <x:f>IFERROR(INDEX('מיפוי ומקורות'!$C$7:$C$33,MATCH(H222,'מיפוי ומקורות'!$B$7:$B$33,0)),"לא מסווג")</x:f>
        <x:v>תחבורה</x:v>
      </x:c>
      <x:c r="J222" s="19" t="str">
        <x:f>IFERROR(INDEX('מיפוי ומקורות'!$D$7:$D$33,MATCH(H222,'מיפוי ומקורות'!$B$7:$B$33,0)),"שוטף")</x:f>
        <x:v>שוטף</x:v>
      </x:c>
      <x:c r="K222" s="19" t="str">
        <x:f>IF(OR(H222="ריביות",AND(H222="דירה כצנלסון",G222&lt;0,ISNUMBER(SEARCH("הכנסה",F222)))),"הכנסה שסווגה מחדש",J222)</x:f>
        <x:v>שוטף</x:v>
      </x:c>
      <x:c r="L222" s="19" t="str">
        <x:v>מאושר</x:v>
      </x:c>
      <x:c r="M222" s="20" t="n">
        <x:f>IF(L222="מאושר",IF(K222="הכנסה שסווגה מחדש",0,G222),0)</x:f>
        <x:v>14</x:v>
      </x:c>
      <x:c r="N222" s="20" t="n">
        <x:f>IF(K222="שוטף",M222,0)</x:f>
        <x:v>14</x:v>
      </x:c>
      <x:c r="O222" s="20" t="n">
        <x:f>IF(K222="הכנסה שסווגה מחדש",-G222,0)</x:f>
        <x:v>0</x:v>
      </x:c>
      <x:c r="P222" s="11" t="str">
        <x:v>מקס עינור</x:v>
      </x:c>
      <x:c r="Q222" s="11" t="str"/>
      <x:c r="R222" s="11" t="str">
        <x:v>לא</x:v>
      </x:c>
    </x:row>
    <x:row r="223">
      <x:c r="A223" s="14" t="n">
        <x:v>45717</x:v>
      </x:c>
      <x:c r="B223" s="11" t="str">
        <x:v>2025-03</x:v>
      </x:c>
      <x:c r="C223" s="11" t="str">
        <x:v>מרץ 25</x:v>
      </x:c>
      <x:c r="D223" s="15" t="n">
        <x:v>55</x:v>
      </x:c>
      <x:c r="E223" s="11" t="str">
        <x:v>2</x:v>
      </x:c>
      <x:c r="F223" s="11" t="str">
        <x:v>ינגו דאלי</x:v>
      </x:c>
      <x:c r="G223" s="17" t="n">
        <x:v>70</x:v>
      </x:c>
      <x:c r="H223" s="18" t="str">
        <x:v>מזון לבית</x:v>
      </x:c>
      <x:c r="I223" s="19" t="str">
        <x:f>IFERROR(INDEX('מיפוי ומקורות'!$C$7:$C$33,MATCH(H223,'מיפוי ומקורות'!$B$7:$B$33,0)),"לא מסווג")</x:f>
        <x:v>מזון לבית</x:v>
      </x:c>
      <x:c r="J223" s="19" t="str">
        <x:f>IFERROR(INDEX('מיפוי ומקורות'!$D$7:$D$33,MATCH(H223,'מיפוי ומקורות'!$B$7:$B$33,0)),"שוטף")</x:f>
        <x:v>שוטף</x:v>
      </x:c>
      <x:c r="K223" s="19" t="str">
        <x:f>IF(OR(H223="ריביות",AND(H223="דירה כצנלסון",G223&lt;0,ISNUMBER(SEARCH("הכנסה",F223)))),"הכנסה שסווגה מחדש",J223)</x:f>
        <x:v>שוטף</x:v>
      </x:c>
      <x:c r="L223" s="19" t="str">
        <x:v>מאושר</x:v>
      </x:c>
      <x:c r="M223" s="20" t="n">
        <x:f>IF(L223="מאושר",IF(K223="הכנסה שסווגה מחדש",0,G223),0)</x:f>
        <x:v>70</x:v>
      </x:c>
      <x:c r="N223" s="20" t="n">
        <x:f>IF(K223="שוטף",M223,0)</x:f>
        <x:v>70</x:v>
      </x:c>
      <x:c r="O223" s="20" t="n">
        <x:f>IF(K223="הכנסה שסווגה מחדש",-G223,0)</x:f>
        <x:v>0</x:v>
      </x:c>
      <x:c r="P223" s="11" t="str">
        <x:v>one zero זיו</x:v>
      </x:c>
      <x:c r="Q223" s="11" t="str"/>
      <x:c r="R223" s="11" t="str">
        <x:v>לא</x:v>
      </x:c>
    </x:row>
    <x:row r="224">
      <x:c r="A224" s="14" t="n">
        <x:v>45717</x:v>
      </x:c>
      <x:c r="B224" s="11" t="str">
        <x:v>2025-03</x:v>
      </x:c>
      <x:c r="C224" s="11" t="str">
        <x:v>מרץ 25</x:v>
      </x:c>
      <x:c r="D224" s="15" t="n">
        <x:v>56</x:v>
      </x:c>
      <x:c r="E224" s="11" t="str">
        <x:v>6</x:v>
      </x:c>
      <x:c r="F224" s="11" t="str">
        <x:v>ליים</x:v>
      </x:c>
      <x:c r="G224" s="17" t="n">
        <x:v>7</x:v>
      </x:c>
      <x:c r="H224" s="18" t="str">
        <x:v>תחבורה</x:v>
      </x:c>
      <x:c r="I224" s="19" t="str">
        <x:f>IFERROR(INDEX('מיפוי ומקורות'!$C$7:$C$33,MATCH(H224,'מיפוי ומקורות'!$B$7:$B$33,0)),"לא מסווג")</x:f>
        <x:v>תחבורה</x:v>
      </x:c>
      <x:c r="J224" s="19" t="str">
        <x:f>IFERROR(INDEX('מיפוי ומקורות'!$D$7:$D$33,MATCH(H224,'מיפוי ומקורות'!$B$7:$B$33,0)),"שוטף")</x:f>
        <x:v>שוטף</x:v>
      </x:c>
      <x:c r="K224" s="19" t="str">
        <x:f>IF(OR(H224="ריביות",AND(H224="דירה כצנלסון",G224&lt;0,ISNUMBER(SEARCH("הכנסה",F224)))),"הכנסה שסווגה מחדש",J224)</x:f>
        <x:v>שוטף</x:v>
      </x:c>
      <x:c r="L224" s="19" t="str">
        <x:v>מאושר</x:v>
      </x:c>
      <x:c r="M224" s="20" t="n">
        <x:f>IF(L224="מאושר",IF(K224="הכנסה שסווגה מחדש",0,G224),0)</x:f>
        <x:v>7</x:v>
      </x:c>
      <x:c r="N224" s="20" t="n">
        <x:f>IF(K224="שוטף",M224,0)</x:f>
        <x:v>7</x:v>
      </x:c>
      <x:c r="O224" s="20" t="n">
        <x:f>IF(K224="הכנסה שסווגה מחדש",-G224,0)</x:f>
        <x:v>0</x:v>
      </x:c>
      <x:c r="P224" s="11" t="str">
        <x:v>one zero זיו</x:v>
      </x:c>
      <x:c r="Q224" s="11" t="str"/>
      <x:c r="R224" s="11" t="str">
        <x:v>לא</x:v>
      </x:c>
    </x:row>
    <x:row r="225">
      <x:c r="A225" s="14" t="n">
        <x:v>45717</x:v>
      </x:c>
      <x:c r="B225" s="11" t="str">
        <x:v>2025-03</x:v>
      </x:c>
      <x:c r="C225" s="11" t="str">
        <x:v>מרץ 25</x:v>
      </x:c>
      <x:c r="D225" s="15" t="n">
        <x:v>57</x:v>
      </x:c>
      <x:c r="E225" s="11" t="str">
        <x:v>6</x:v>
      </x:c>
      <x:c r="F225" s="11" t="str">
        <x:v>מלון סיישל</x:v>
      </x:c>
      <x:c r="G225" s="17" t="n">
        <x:v>3652</x:v>
      </x:c>
      <x:c r="H225" s="18" t="str">
        <x:v>חתונה</x:v>
      </x:c>
      <x:c r="I225" s="19" t="str">
        <x:f>IFERROR(INDEX('מיפוי ומקורות'!$C$7:$C$33,MATCH(H225,'מיפוי ומקורות'!$B$7:$B$33,0)),"לא מסווג")</x:f>
        <x:v>חתונה</x:v>
      </x:c>
      <x:c r="J225" s="19" t="str">
        <x:f>IFERROR(INDEX('מיפוי ומקורות'!$D$7:$D$33,MATCH(H225,'מיפוי ומקורות'!$B$7:$B$33,0)),"שוטף")</x:f>
        <x:v>חריג</x:v>
      </x:c>
      <x:c r="K225" s="19" t="str">
        <x:f>IF(OR(H225="ריביות",AND(H225="דירה כצנלסון",G225&lt;0,ISNUMBER(SEARCH("הכנסה",F225)))),"הכנסה שסווגה מחדש",J225)</x:f>
        <x:v>חריג</x:v>
      </x:c>
      <x:c r="L225" s="19" t="str">
        <x:v>מאושר</x:v>
      </x:c>
      <x:c r="M225" s="20" t="n">
        <x:f>IF(L225="מאושר",IF(K225="הכנסה שסווגה מחדש",0,G225),0)</x:f>
        <x:v>3652</x:v>
      </x:c>
      <x:c r="N225" s="20" t="n">
        <x:f>IF(K225="שוטף",M225,0)</x:f>
        <x:v>0</x:v>
      </x:c>
      <x:c r="O225" s="20" t="n">
        <x:f>IF(K225="הכנסה שסווגה מחדש",-G225,0)</x:f>
        <x:v>0</x:v>
      </x:c>
      <x:c r="P225" s="11" t="str">
        <x:v>one zero זיו</x:v>
      </x:c>
      <x:c r="Q225" s="11" t="str"/>
      <x:c r="R225" s="11" t="str">
        <x:v>לא</x:v>
      </x:c>
    </x:row>
    <x:row r="226">
      <x:c r="A226" s="14" t="n">
        <x:v>45717</x:v>
      </x:c>
      <x:c r="B226" s="11" t="str">
        <x:v>2025-03</x:v>
      </x:c>
      <x:c r="C226" s="11" t="str">
        <x:v>מרץ 25</x:v>
      </x:c>
      <x:c r="D226" s="15" t="n">
        <x:v>58</x:v>
      </x:c>
      <x:c r="E226" s="11" t="str">
        <x:v>7</x:v>
      </x:c>
      <x:c r="F226" s="11" t="str">
        <x:v>מאפיה</x:v>
      </x:c>
      <x:c r="G226" s="17" t="n">
        <x:v>115</x:v>
      </x:c>
      <x:c r="H226" s="18" t="str">
        <x:v>מזון לבית</x:v>
      </x:c>
      <x:c r="I226" s="19" t="str">
        <x:f>IFERROR(INDEX('מיפוי ומקורות'!$C$7:$C$33,MATCH(H226,'מיפוי ומקורות'!$B$7:$B$33,0)),"לא מסווג")</x:f>
        <x:v>מזון לבית</x:v>
      </x:c>
      <x:c r="J226" s="19" t="str">
        <x:f>IFERROR(INDEX('מיפוי ומקורות'!$D$7:$D$33,MATCH(H226,'מיפוי ומקורות'!$B$7:$B$33,0)),"שוטף")</x:f>
        <x:v>שוטף</x:v>
      </x:c>
      <x:c r="K226" s="19" t="str">
        <x:f>IF(OR(H226="ריביות",AND(H226="דירה כצנלסון",G226&lt;0,ISNUMBER(SEARCH("הכנסה",F226)))),"הכנסה שסווגה מחדש",J226)</x:f>
        <x:v>שוטף</x:v>
      </x:c>
      <x:c r="L226" s="19" t="str">
        <x:v>מאושר</x:v>
      </x:c>
      <x:c r="M226" s="20" t="n">
        <x:f>IF(L226="מאושר",IF(K226="הכנסה שסווגה מחדש",0,G226),0)</x:f>
        <x:v>115</x:v>
      </x:c>
      <x:c r="N226" s="20" t="n">
        <x:f>IF(K226="שוטף",M226,0)</x:f>
        <x:v>115</x:v>
      </x:c>
      <x:c r="O226" s="20" t="n">
        <x:f>IF(K226="הכנסה שסווגה מחדש",-G226,0)</x:f>
        <x:v>0</x:v>
      </x:c>
      <x:c r="P226" s="11" t="str">
        <x:v>one zero זיו</x:v>
      </x:c>
      <x:c r="Q226" s="11" t="str"/>
      <x:c r="R226" s="11" t="str">
        <x:v>לא</x:v>
      </x:c>
    </x:row>
    <x:row r="227">
      <x:c r="A227" s="14" t="n">
        <x:v>45717</x:v>
      </x:c>
      <x:c r="B227" s="11" t="str">
        <x:v>2025-03</x:v>
      </x:c>
      <x:c r="C227" s="11" t="str">
        <x:v>מרץ 25</x:v>
      </x:c>
      <x:c r="D227" s="15" t="n">
        <x:v>59</x:v>
      </x:c>
      <x:c r="E227" s="11" t="str">
        <x:v>9</x:v>
      </x:c>
      <x:c r="F227" s="11" t="str">
        <x:v>אלי</x:v>
      </x:c>
      <x:c r="G227" s="17" t="n">
        <x:v>60</x:v>
      </x:c>
      <x:c r="H227" s="18" t="str">
        <x:v>קניות לבית</x:v>
      </x:c>
      <x:c r="I227" s="19" t="str">
        <x:f>IFERROR(INDEX('מיפוי ומקורות'!$C$7:$C$33,MATCH(H227,'מיפוי ומקורות'!$B$7:$B$33,0)),"לא מסווג")</x:f>
        <x:v>קניות לבית</x:v>
      </x:c>
      <x:c r="J227" s="19" t="str">
        <x:f>IFERROR(INDEX('מיפוי ומקורות'!$D$7:$D$33,MATCH(H227,'מיפוי ומקורות'!$B$7:$B$33,0)),"שוטף")</x:f>
        <x:v>שוטף</x:v>
      </x:c>
      <x:c r="K227" s="19" t="str">
        <x:f>IF(OR(H227="ריביות",AND(H227="דירה כצנלסון",G227&lt;0,ISNUMBER(SEARCH("הכנסה",F227)))),"הכנסה שסווגה מחדש",J227)</x:f>
        <x:v>שוטף</x:v>
      </x:c>
      <x:c r="L227" s="19" t="str">
        <x:v>מאושר</x:v>
      </x:c>
      <x:c r="M227" s="20" t="n">
        <x:f>IF(L227="מאושר",IF(K227="הכנסה שסווגה מחדש",0,G227),0)</x:f>
        <x:v>60</x:v>
      </x:c>
      <x:c r="N227" s="20" t="n">
        <x:f>IF(K227="שוטף",M227,0)</x:f>
        <x:v>60</x:v>
      </x:c>
      <x:c r="O227" s="20" t="n">
        <x:f>IF(K227="הכנסה שסווגה מחדש",-G227,0)</x:f>
        <x:v>0</x:v>
      </x:c>
      <x:c r="P227" s="11" t="str">
        <x:v>one zero זיו</x:v>
      </x:c>
      <x:c r="Q227" s="11" t="str"/>
      <x:c r="R227" s="11" t="str">
        <x:v>לא</x:v>
      </x:c>
    </x:row>
    <x:row r="228">
      <x:c r="A228" s="14" t="n">
        <x:v>45717</x:v>
      </x:c>
      <x:c r="B228" s="11" t="str">
        <x:v>2025-03</x:v>
      </x:c>
      <x:c r="C228" s="11" t="str">
        <x:v>מרץ 25</x:v>
      </x:c>
      <x:c r="D228" s="15" t="n">
        <x:v>60</x:v>
      </x:c>
      <x:c r="E228" s="11" t="str">
        <x:v>9</x:v>
      </x:c>
      <x:c r="F228" s="11" t="str">
        <x:v>אייר סיישל</x:v>
      </x:c>
      <x:c r="G228" s="17" t="n">
        <x:v>1835</x:v>
      </x:c>
      <x:c r="H228" s="18" t="str">
        <x:v>חתונה</x:v>
      </x:c>
      <x:c r="I228" s="19" t="str">
        <x:f>IFERROR(INDEX('מיפוי ומקורות'!$C$7:$C$33,MATCH(H228,'מיפוי ומקורות'!$B$7:$B$33,0)),"לא מסווג")</x:f>
        <x:v>חתונה</x:v>
      </x:c>
      <x:c r="J228" s="19" t="str">
        <x:f>IFERROR(INDEX('מיפוי ומקורות'!$D$7:$D$33,MATCH(H228,'מיפוי ומקורות'!$B$7:$B$33,0)),"שוטף")</x:f>
        <x:v>חריג</x:v>
      </x:c>
      <x:c r="K228" s="19" t="str">
        <x:f>IF(OR(H228="ריביות",AND(H228="דירה כצנלסון",G228&lt;0,ISNUMBER(SEARCH("הכנסה",F228)))),"הכנסה שסווגה מחדש",J228)</x:f>
        <x:v>חריג</x:v>
      </x:c>
      <x:c r="L228" s="19" t="str">
        <x:v>מאושר</x:v>
      </x:c>
      <x:c r="M228" s="20" t="n">
        <x:f>IF(L228="מאושר",IF(K228="הכנסה שסווגה מחדש",0,G228),0)</x:f>
        <x:v>1835</x:v>
      </x:c>
      <x:c r="N228" s="20" t="n">
        <x:f>IF(K228="שוטף",M228,0)</x:f>
        <x:v>0</x:v>
      </x:c>
      <x:c r="O228" s="20" t="n">
        <x:f>IF(K228="הכנסה שסווגה מחדש",-G228,0)</x:f>
        <x:v>0</x:v>
      </x:c>
      <x:c r="P228" s="11" t="str">
        <x:v>one zero זיו</x:v>
      </x:c>
      <x:c r="Q228" s="11" t="str"/>
      <x:c r="R228" s="11" t="str">
        <x:v>לא</x:v>
      </x:c>
    </x:row>
    <x:row r="229">
      <x:c r="A229" s="14" t="n">
        <x:v>45717</x:v>
      </x:c>
      <x:c r="B229" s="11" t="str">
        <x:v>2025-03</x:v>
      </x:c>
      <x:c r="C229" s="11" t="str">
        <x:v>מרץ 25</x:v>
      </x:c>
      <x:c r="D229" s="15" t="n">
        <x:v>61</x:v>
      </x:c>
      <x:c r="E229" s="11" t="str">
        <x:v>10</x:v>
      </x:c>
      <x:c r="F229" s="11" t="str">
        <x:v>אלי</x:v>
      </x:c>
      <x:c r="G229" s="17" t="n">
        <x:v>78</x:v>
      </x:c>
      <x:c r="H229" s="18" t="str">
        <x:v>קניות לבית</x:v>
      </x:c>
      <x:c r="I229" s="19" t="str">
        <x:f>IFERROR(INDEX('מיפוי ומקורות'!$C$7:$C$33,MATCH(H229,'מיפוי ומקורות'!$B$7:$B$33,0)),"לא מסווג")</x:f>
        <x:v>קניות לבית</x:v>
      </x:c>
      <x:c r="J229" s="19" t="str">
        <x:f>IFERROR(INDEX('מיפוי ומקורות'!$D$7:$D$33,MATCH(H229,'מיפוי ומקורות'!$B$7:$B$33,0)),"שוטף")</x:f>
        <x:v>שוטף</x:v>
      </x:c>
      <x:c r="K229" s="19" t="str">
        <x:f>IF(OR(H229="ריביות",AND(H229="דירה כצנלסון",G229&lt;0,ISNUMBER(SEARCH("הכנסה",F229)))),"הכנסה שסווגה מחדש",J229)</x:f>
        <x:v>שוטף</x:v>
      </x:c>
      <x:c r="L229" s="19" t="str">
        <x:v>מאושר</x:v>
      </x:c>
      <x:c r="M229" s="20" t="n">
        <x:f>IF(L229="מאושר",IF(K229="הכנסה שסווגה מחדש",0,G229),0)</x:f>
        <x:v>78</x:v>
      </x:c>
      <x:c r="N229" s="20" t="n">
        <x:f>IF(K229="שוטף",M229,0)</x:f>
        <x:v>78</x:v>
      </x:c>
      <x:c r="O229" s="20" t="n">
        <x:f>IF(K229="הכנסה שסווגה מחדש",-G229,0)</x:f>
        <x:v>0</x:v>
      </x:c>
      <x:c r="P229" s="11" t="str">
        <x:v>one zero זיו</x:v>
      </x:c>
      <x:c r="Q229" s="11" t="str"/>
      <x:c r="R229" s="11" t="str">
        <x:v>לא</x:v>
      </x:c>
    </x:row>
    <x:row r="230">
      <x:c r="A230" s="14" t="n">
        <x:v>45717</x:v>
      </x:c>
      <x:c r="B230" s="11" t="str">
        <x:v>2025-03</x:v>
      </x:c>
      <x:c r="C230" s="11" t="str">
        <x:v>מרץ 25</x:v>
      </x:c>
      <x:c r="D230" s="15" t="n">
        <x:v>62</x:v>
      </x:c>
      <x:c r="E230" s="11" t="str">
        <x:v>11</x:v>
      </x:c>
      <x:c r="F230" s="11" t="str">
        <x:v>רכב סיישל</x:v>
      </x:c>
      <x:c r="G230" s="17" t="n">
        <x:v>119</x:v>
      </x:c>
      <x:c r="H230" s="18" t="str">
        <x:v>חתונה</x:v>
      </x:c>
      <x:c r="I230" s="19" t="str">
        <x:f>IFERROR(INDEX('מיפוי ומקורות'!$C$7:$C$33,MATCH(H230,'מיפוי ומקורות'!$B$7:$B$33,0)),"לא מסווג")</x:f>
        <x:v>חתונה</x:v>
      </x:c>
      <x:c r="J230" s="19" t="str">
        <x:f>IFERROR(INDEX('מיפוי ומקורות'!$D$7:$D$33,MATCH(H230,'מיפוי ומקורות'!$B$7:$B$33,0)),"שוטף")</x:f>
        <x:v>חריג</x:v>
      </x:c>
      <x:c r="K230" s="19" t="str">
        <x:f>IF(OR(H230="ריביות",AND(H230="דירה כצנלסון",G230&lt;0,ISNUMBER(SEARCH("הכנסה",F230)))),"הכנסה שסווגה מחדש",J230)</x:f>
        <x:v>חריג</x:v>
      </x:c>
      <x:c r="L230" s="19" t="str">
        <x:v>מאושר</x:v>
      </x:c>
      <x:c r="M230" s="20" t="n">
        <x:f>IF(L230="מאושר",IF(K230="הכנסה שסווגה מחדש",0,G230),0)</x:f>
        <x:v>119</x:v>
      </x:c>
      <x:c r="N230" s="20" t="n">
        <x:f>IF(K230="שוטף",M230,0)</x:f>
        <x:v>0</x:v>
      </x:c>
      <x:c r="O230" s="20" t="n">
        <x:f>IF(K230="הכנסה שסווגה מחדש",-G230,0)</x:f>
        <x:v>0</x:v>
      </x:c>
      <x:c r="P230" s="11" t="str">
        <x:v>one zero זיו</x:v>
      </x:c>
      <x:c r="Q230" s="11" t="str"/>
      <x:c r="R230" s="11" t="str">
        <x:v>לא</x:v>
      </x:c>
    </x:row>
    <x:row r="231">
      <x:c r="A231" s="14" t="n">
        <x:v>45717</x:v>
      </x:c>
      <x:c r="B231" s="11" t="str">
        <x:v>2025-03</x:v>
      </x:c>
      <x:c r="C231" s="11" t="str">
        <x:v>מרץ 25</x:v>
      </x:c>
      <x:c r="D231" s="15" t="n">
        <x:v>63</x:v>
      </x:c>
      <x:c r="E231" s="11" t="str">
        <x:v>14</x:v>
      </x:c>
      <x:c r="F231" s="11" t="str">
        <x:v>ליים</x:v>
      </x:c>
      <x:c r="G231" s="17" t="n">
        <x:v>40</x:v>
      </x:c>
      <x:c r="H231" s="18" t="str">
        <x:v>תחבורה</x:v>
      </x:c>
      <x:c r="I231" s="19" t="str">
        <x:f>IFERROR(INDEX('מיפוי ומקורות'!$C$7:$C$33,MATCH(H231,'מיפוי ומקורות'!$B$7:$B$33,0)),"לא מסווג")</x:f>
        <x:v>תחבורה</x:v>
      </x:c>
      <x:c r="J231" s="19" t="str">
        <x:f>IFERROR(INDEX('מיפוי ומקורות'!$D$7:$D$33,MATCH(H231,'מיפוי ומקורות'!$B$7:$B$33,0)),"שוטף")</x:f>
        <x:v>שוטף</x:v>
      </x:c>
      <x:c r="K231" s="19" t="str">
        <x:f>IF(OR(H231="ריביות",AND(H231="דירה כצנלסון",G231&lt;0,ISNUMBER(SEARCH("הכנסה",F231)))),"הכנסה שסווגה מחדש",J231)</x:f>
        <x:v>שוטף</x:v>
      </x:c>
      <x:c r="L231" s="19" t="str">
        <x:v>מאושר</x:v>
      </x:c>
      <x:c r="M231" s="20" t="n">
        <x:f>IF(L231="מאושר",IF(K231="הכנסה שסווגה מחדש",0,G231),0)</x:f>
        <x:v>40</x:v>
      </x:c>
      <x:c r="N231" s="20" t="n">
        <x:f>IF(K231="שוטף",M231,0)</x:f>
        <x:v>40</x:v>
      </x:c>
      <x:c r="O231" s="20" t="n">
        <x:f>IF(K231="הכנסה שסווגה מחדש",-G231,0)</x:f>
        <x:v>0</x:v>
      </x:c>
      <x:c r="P231" s="11" t="str">
        <x:v>one zero זיו</x:v>
      </x:c>
      <x:c r="Q231" s="11" t="str"/>
      <x:c r="R231" s="11" t="str">
        <x:v>לא</x:v>
      </x:c>
    </x:row>
    <x:row r="232">
      <x:c r="A232" s="14" t="n">
        <x:v>45717</x:v>
      </x:c>
      <x:c r="B232" s="11" t="str">
        <x:v>2025-03</x:v>
      </x:c>
      <x:c r="C232" s="11" t="str">
        <x:v>מרץ 25</x:v>
      </x:c>
      <x:c r="D232" s="15" t="n">
        <x:v>64</x:v>
      </x:c>
      <x:c r="E232" s="11" t="str">
        <x:v>14</x:v>
      </x:c>
      <x:c r="F232" s="11" t="str">
        <x:v>הוטלס יפן</x:v>
      </x:c>
      <x:c r="G232" s="17" t="n">
        <x:v>372</x:v>
      </x:c>
      <x:c r="H232" s="18" t="str">
        <x:v>חול</x:v>
      </x:c>
      <x:c r="I232" s="19" t="str">
        <x:f>IFERROR(INDEX('מיפוי ומקורות'!$C$7:$C$33,MATCH(H232,'מיפוי ומקורות'!$B$7:$B$33,0)),"לא מסווג")</x:f>
        <x:v>נסיעות וחופשות</x:v>
      </x:c>
      <x:c r="J232" s="19" t="str">
        <x:f>IFERROR(INDEX('מיפוי ומקורות'!$D$7:$D$33,MATCH(H232,'מיפוי ומקורות'!$B$7:$B$33,0)),"שוטף")</x:f>
        <x:v>חריג</x:v>
      </x:c>
      <x:c r="K232" s="19" t="str">
        <x:f>IF(OR(H232="ריביות",AND(H232="דירה כצנלסון",G232&lt;0,ISNUMBER(SEARCH("הכנסה",F232)))),"הכנסה שסווגה מחדש",J232)</x:f>
        <x:v>חריג</x:v>
      </x:c>
      <x:c r="L232" s="19" t="str">
        <x:v>מאושר</x:v>
      </x:c>
      <x:c r="M232" s="20" t="n">
        <x:f>IF(L232="מאושר",IF(K232="הכנסה שסווגה מחדש",0,G232),0)</x:f>
        <x:v>372</x:v>
      </x:c>
      <x:c r="N232" s="20" t="n">
        <x:f>IF(K232="שוטף",M232,0)</x:f>
        <x:v>0</x:v>
      </x:c>
      <x:c r="O232" s="20" t="n">
        <x:f>IF(K232="הכנסה שסווגה מחדש",-G232,0)</x:f>
        <x:v>0</x:v>
      </x:c>
      <x:c r="P232" s="11" t="str">
        <x:v>one zero זיו</x:v>
      </x:c>
      <x:c r="Q232" s="11" t="str"/>
      <x:c r="R232" s="11" t="str">
        <x:v>לא</x:v>
      </x:c>
    </x:row>
    <x:row r="233">
      <x:c r="A233" s="14" t="n">
        <x:v>45717</x:v>
      </x:c>
      <x:c r="B233" s="11" t="str">
        <x:v>2025-03</x:v>
      </x:c>
      <x:c r="C233" s="11" t="str">
        <x:v>מרץ 25</x:v>
      </x:c>
      <x:c r="D233" s="15" t="n">
        <x:v>65</x:v>
      </x:c>
      <x:c r="E233" s="11" t="str">
        <x:v>14</x:v>
      </x:c>
      <x:c r="F233" s="11" t="str">
        <x:v>הוטלס יפן</x:v>
      </x:c>
      <x:c r="G233" s="17" t="n">
        <x:v>320</x:v>
      </x:c>
      <x:c r="H233" s="18" t="str">
        <x:v>חול</x:v>
      </x:c>
      <x:c r="I233" s="19" t="str">
        <x:f>IFERROR(INDEX('מיפוי ומקורות'!$C$7:$C$33,MATCH(H233,'מיפוי ומקורות'!$B$7:$B$33,0)),"לא מסווג")</x:f>
        <x:v>נסיעות וחופשות</x:v>
      </x:c>
      <x:c r="J233" s="19" t="str">
        <x:f>IFERROR(INDEX('מיפוי ומקורות'!$D$7:$D$33,MATCH(H233,'מיפוי ומקורות'!$B$7:$B$33,0)),"שוטף")</x:f>
        <x:v>חריג</x:v>
      </x:c>
      <x:c r="K233" s="19" t="str">
        <x:f>IF(OR(H233="ריביות",AND(H233="דירה כצנלסון",G233&lt;0,ISNUMBER(SEARCH("הכנסה",F233)))),"הכנסה שסווגה מחדש",J233)</x:f>
        <x:v>חריג</x:v>
      </x:c>
      <x:c r="L233" s="19" t="str">
        <x:v>מאושר</x:v>
      </x:c>
      <x:c r="M233" s="20" t="n">
        <x:f>IF(L233="מאושר",IF(K233="הכנסה שסווגה מחדש",0,G233),0)</x:f>
        <x:v>320</x:v>
      </x:c>
      <x:c r="N233" s="20" t="n">
        <x:f>IF(K233="שוטף",M233,0)</x:f>
        <x:v>0</x:v>
      </x:c>
      <x:c r="O233" s="20" t="n">
        <x:f>IF(K233="הכנסה שסווגה מחדש",-G233,0)</x:f>
        <x:v>0</x:v>
      </x:c>
      <x:c r="P233" s="11" t="str">
        <x:v>one zero זיו</x:v>
      </x:c>
      <x:c r="Q233" s="11" t="str"/>
      <x:c r="R233" s="11" t="str">
        <x:v>לא</x:v>
      </x:c>
    </x:row>
    <x:row r="234">
      <x:c r="A234" s="14" t="n">
        <x:v>45717</x:v>
      </x:c>
      <x:c r="B234" s="11" t="str">
        <x:v>2025-03</x:v>
      </x:c>
      <x:c r="C234" s="11" t="str">
        <x:v>מרץ 25</x:v>
      </x:c>
      <x:c r="D234" s="15" t="n">
        <x:v>66</x:v>
      </x:c>
      <x:c r="E234" s="11" t="str">
        <x:v>14</x:v>
      </x:c>
      <x:c r="F234" s="11" t="str">
        <x:v>הוטלס יפן</x:v>
      </x:c>
      <x:c r="G234" s="17" t="n">
        <x:v>3549</x:v>
      </x:c>
      <x:c r="H234" s="18" t="str">
        <x:v>חול</x:v>
      </x:c>
      <x:c r="I234" s="19" t="str">
        <x:f>IFERROR(INDEX('מיפוי ומקורות'!$C$7:$C$33,MATCH(H234,'מיפוי ומקורות'!$B$7:$B$33,0)),"לא מסווג")</x:f>
        <x:v>נסיעות וחופשות</x:v>
      </x:c>
      <x:c r="J234" s="19" t="str">
        <x:f>IFERROR(INDEX('מיפוי ומקורות'!$D$7:$D$33,MATCH(H234,'מיפוי ומקורות'!$B$7:$B$33,0)),"שוטף")</x:f>
        <x:v>חריג</x:v>
      </x:c>
      <x:c r="K234" s="19" t="str">
        <x:f>IF(OR(H234="ריביות",AND(H234="דירה כצנלסון",G234&lt;0,ISNUMBER(SEARCH("הכנסה",F234)))),"הכנסה שסווגה מחדש",J234)</x:f>
        <x:v>חריג</x:v>
      </x:c>
      <x:c r="L234" s="19" t="str">
        <x:v>מאושר</x:v>
      </x:c>
      <x:c r="M234" s="20" t="n">
        <x:f>IF(L234="מאושר",IF(K234="הכנסה שסווגה מחדש",0,G234),0)</x:f>
        <x:v>3549</x:v>
      </x:c>
      <x:c r="N234" s="20" t="n">
        <x:f>IF(K234="שוטף",M234,0)</x:f>
        <x:v>0</x:v>
      </x:c>
      <x:c r="O234" s="20" t="n">
        <x:f>IF(K234="הכנסה שסווגה מחדש",-G234,0)</x:f>
        <x:v>0</x:v>
      </x:c>
      <x:c r="P234" s="11" t="str">
        <x:v>one zero זיו</x:v>
      </x:c>
      <x:c r="Q234" s="11" t="str"/>
      <x:c r="R234" s="11" t="str">
        <x:v>לא</x:v>
      </x:c>
    </x:row>
    <x:row r="235">
      <x:c r="A235" s="14" t="n">
        <x:v>45717</x:v>
      </x:c>
      <x:c r="B235" s="11" t="str">
        <x:v>2025-03</x:v>
      </x:c>
      <x:c r="C235" s="11" t="str">
        <x:v>מרץ 25</x:v>
      </x:c>
      <x:c r="D235" s="15" t="n">
        <x:v>67</x:v>
      </x:c>
      <x:c r="E235" s="11" t="str">
        <x:v>21</x:v>
      </x:c>
      <x:c r="F235" s="11" t="str">
        <x:v>יין נווה ירק</x:v>
      </x:c>
      <x:c r="G235" s="17" t="n">
        <x:v>437</x:v>
      </x:c>
      <x:c r="H235" s="18" t="str">
        <x:v>מזון לבית</x:v>
      </x:c>
      <x:c r="I235" s="19" t="str">
        <x:f>IFERROR(INDEX('מיפוי ומקורות'!$C$7:$C$33,MATCH(H235,'מיפוי ומקורות'!$B$7:$B$33,0)),"לא מסווג")</x:f>
        <x:v>מזון לבית</x:v>
      </x:c>
      <x:c r="J235" s="19" t="str">
        <x:f>IFERROR(INDEX('מיפוי ומקורות'!$D$7:$D$33,MATCH(H235,'מיפוי ומקורות'!$B$7:$B$33,0)),"שוטף")</x:f>
        <x:v>שוטף</x:v>
      </x:c>
      <x:c r="K235" s="19" t="str">
        <x:f>IF(OR(H235="ריביות",AND(H235="דירה כצנלסון",G235&lt;0,ISNUMBER(SEARCH("הכנסה",F235)))),"הכנסה שסווגה מחדש",J235)</x:f>
        <x:v>שוטף</x:v>
      </x:c>
      <x:c r="L235" s="19" t="str">
        <x:v>מאושר</x:v>
      </x:c>
      <x:c r="M235" s="20" t="n">
        <x:f>IF(L235="מאושר",IF(K235="הכנסה שסווגה מחדש",0,G235),0)</x:f>
        <x:v>437</x:v>
      </x:c>
      <x:c r="N235" s="20" t="n">
        <x:f>IF(K235="שוטף",M235,0)</x:f>
        <x:v>437</x:v>
      </x:c>
      <x:c r="O235" s="20" t="n">
        <x:f>IF(K235="הכנסה שסווגה מחדש",-G235,0)</x:f>
        <x:v>0</x:v>
      </x:c>
      <x:c r="P235" s="11" t="str">
        <x:v>one zero זיו</x:v>
      </x:c>
      <x:c r="Q235" s="11" t="str"/>
      <x:c r="R235" s="11" t="str">
        <x:v>לא</x:v>
      </x:c>
    </x:row>
    <x:row r="236">
      <x:c r="A236" s="14" t="n">
        <x:v>45717</x:v>
      </x:c>
      <x:c r="B236" s="11" t="str">
        <x:v>2025-03</x:v>
      </x:c>
      <x:c r="C236" s="11" t="str">
        <x:v>מרץ 25</x:v>
      </x:c>
      <x:c r="D236" s="15" t="n">
        <x:v>68</x:v>
      </x:c>
      <x:c r="E236" s="11" t="str">
        <x:v>23</x:v>
      </x:c>
      <x:c r="F236" s="11" t="str">
        <x:v>סיכת חתופים</x:v>
      </x:c>
      <x:c r="G236" s="17" t="n">
        <x:v>15</x:v>
      </x:c>
      <x:c r="H236" s="18" t="str">
        <x:v>אחר</x:v>
      </x:c>
      <x:c r="I236" s="19" t="str">
        <x:f>IFERROR(INDEX('מיפוי ומקורות'!$C$7:$C$33,MATCH(H236,'מיפוי ומקורות'!$B$7:$B$33,0)),"לא מסווג")</x:f>
        <x:v>אחר</x:v>
      </x:c>
      <x:c r="J236" s="19" t="str">
        <x:f>IFERROR(INDEX('מיפוי ומקורות'!$D$7:$D$33,MATCH(H236,'מיפוי ומקורות'!$B$7:$B$33,0)),"שוטף")</x:f>
        <x:v>שוטף</x:v>
      </x:c>
      <x:c r="K236" s="19" t="str">
        <x:f>IF(OR(H236="ריביות",AND(H236="דירה כצנלסון",G236&lt;0,ISNUMBER(SEARCH("הכנסה",F236)))),"הכנסה שסווגה מחדש",J236)</x:f>
        <x:v>שוטף</x:v>
      </x:c>
      <x:c r="L236" s="19" t="str">
        <x:v>מאושר</x:v>
      </x:c>
      <x:c r="M236" s="20" t="n">
        <x:f>IF(L236="מאושר",IF(K236="הכנסה שסווגה מחדש",0,G236),0)</x:f>
        <x:v>15</x:v>
      </x:c>
      <x:c r="N236" s="20" t="n">
        <x:f>IF(K236="שוטף",M236,0)</x:f>
        <x:v>15</x:v>
      </x:c>
      <x:c r="O236" s="20" t="n">
        <x:f>IF(K236="הכנסה שסווגה מחדש",-G236,0)</x:f>
        <x:v>0</x:v>
      </x:c>
      <x:c r="P236" s="11" t="str">
        <x:v>one zero זיו</x:v>
      </x:c>
      <x:c r="Q236" s="11" t="str"/>
      <x:c r="R236" s="11" t="str">
        <x:v>לא</x:v>
      </x:c>
    </x:row>
    <x:row r="237">
      <x:c r="A237" s="14" t="n">
        <x:v>45717</x:v>
      </x:c>
      <x:c r="B237" s="11" t="str">
        <x:v>2025-03</x:v>
      </x:c>
      <x:c r="C237" s="11" t="str">
        <x:v>מרץ 25</x:v>
      </x:c>
      <x:c r="D237" s="15" t="n">
        <x:v>69</x:v>
      </x:c>
      <x:c r="E237" s="11" t="str">
        <x:v>24</x:v>
      </x:c>
      <x:c r="F237" s="11" t="str">
        <x:v>ליים</x:v>
      </x:c>
      <x:c r="G237" s="17" t="n">
        <x:v>7</x:v>
      </x:c>
      <x:c r="H237" s="18" t="str">
        <x:v>תחבורה</x:v>
      </x:c>
      <x:c r="I237" s="19" t="str">
        <x:f>IFERROR(INDEX('מיפוי ומקורות'!$C$7:$C$33,MATCH(H237,'מיפוי ומקורות'!$B$7:$B$33,0)),"לא מסווג")</x:f>
        <x:v>תחבורה</x:v>
      </x:c>
      <x:c r="J237" s="19" t="str">
        <x:f>IFERROR(INDEX('מיפוי ומקורות'!$D$7:$D$33,MATCH(H237,'מיפוי ומקורות'!$B$7:$B$33,0)),"שוטף")</x:f>
        <x:v>שוטף</x:v>
      </x:c>
      <x:c r="K237" s="19" t="str">
        <x:f>IF(OR(H237="ריביות",AND(H237="דירה כצנלסון",G237&lt;0,ISNUMBER(SEARCH("הכנסה",F237)))),"הכנסה שסווגה מחדש",J237)</x:f>
        <x:v>שוטף</x:v>
      </x:c>
      <x:c r="L237" s="19" t="str">
        <x:v>מאושר</x:v>
      </x:c>
      <x:c r="M237" s="20" t="n">
        <x:f>IF(L237="מאושר",IF(K237="הכנסה שסווגה מחדש",0,G237),0)</x:f>
        <x:v>7</x:v>
      </x:c>
      <x:c r="N237" s="20" t="n">
        <x:f>IF(K237="שוטף",M237,0)</x:f>
        <x:v>7</x:v>
      </x:c>
      <x:c r="O237" s="20" t="n">
        <x:f>IF(K237="הכנסה שסווגה מחדש",-G237,0)</x:f>
        <x:v>0</x:v>
      </x:c>
      <x:c r="P237" s="11" t="str">
        <x:v>one zero זיו</x:v>
      </x:c>
      <x:c r="Q237" s="11" t="str"/>
      <x:c r="R237" s="11" t="str">
        <x:v>לא</x:v>
      </x:c>
    </x:row>
    <x:row r="238">
      <x:c r="A238" s="14" t="n">
        <x:v>45717</x:v>
      </x:c>
      <x:c r="B238" s="11" t="str">
        <x:v>2025-03</x:v>
      </x:c>
      <x:c r="C238" s="11" t="str">
        <x:v>מרץ 25</x:v>
      </x:c>
      <x:c r="D238" s="15" t="n">
        <x:v>70</x:v>
      </x:c>
      <x:c r="E238" s="11" t="str">
        <x:v>24</x:v>
      </x:c>
      <x:c r="F238" s="11" t="str">
        <x:v>ליים</x:v>
      </x:c>
      <x:c r="G238" s="17" t="n">
        <x:v>6</x:v>
      </x:c>
      <x:c r="H238" s="18" t="str">
        <x:v>תחבורה</x:v>
      </x:c>
      <x:c r="I238" s="19" t="str">
        <x:f>IFERROR(INDEX('מיפוי ומקורות'!$C$7:$C$33,MATCH(H238,'מיפוי ומקורות'!$B$7:$B$33,0)),"לא מסווג")</x:f>
        <x:v>תחבורה</x:v>
      </x:c>
      <x:c r="J238" s="19" t="str">
        <x:f>IFERROR(INDEX('מיפוי ומקורות'!$D$7:$D$33,MATCH(H238,'מיפוי ומקורות'!$B$7:$B$33,0)),"שוטף")</x:f>
        <x:v>שוטף</x:v>
      </x:c>
      <x:c r="K238" s="19" t="str">
        <x:f>IF(OR(H238="ריביות",AND(H238="דירה כצנלסון",G238&lt;0,ISNUMBER(SEARCH("הכנסה",F238)))),"הכנסה שסווגה מחדש",J238)</x:f>
        <x:v>שוטף</x:v>
      </x:c>
      <x:c r="L238" s="19" t="str">
        <x:v>מאושר</x:v>
      </x:c>
      <x:c r="M238" s="20" t="n">
        <x:f>IF(L238="מאושר",IF(K238="הכנסה שסווגה מחדש",0,G238),0)</x:f>
        <x:v>6</x:v>
      </x:c>
      <x:c r="N238" s="20" t="n">
        <x:f>IF(K238="שוטף",M238,0)</x:f>
        <x:v>6</x:v>
      </x:c>
      <x:c r="O238" s="20" t="n">
        <x:f>IF(K238="הכנסה שסווגה מחדש",-G238,0)</x:f>
        <x:v>0</x:v>
      </x:c>
      <x:c r="P238" s="11" t="str">
        <x:v>one zero זיו</x:v>
      </x:c>
      <x:c r="Q238" s="11" t="str"/>
      <x:c r="R238" s="11" t="str">
        <x:v>לא</x:v>
      </x:c>
    </x:row>
    <x:row r="239">
      <x:c r="A239" s="14" t="n">
        <x:v>45717</x:v>
      </x:c>
      <x:c r="B239" s="11" t="str">
        <x:v>2025-03</x:v>
      </x:c>
      <x:c r="C239" s="11" t="str">
        <x:v>מרץ 25</x:v>
      </x:c>
      <x:c r="D239" s="15" t="n">
        <x:v>71</x:v>
      </x:c>
      <x:c r="E239" s="11" t="str">
        <x:v>26</x:v>
      </x:c>
      <x:c r="F239" s="11" t="str">
        <x:v>ליים</x:v>
      </x:c>
      <x:c r="G239" s="17" t="n">
        <x:v>13</x:v>
      </x:c>
      <x:c r="H239" s="18" t="str">
        <x:v>תחבורה</x:v>
      </x:c>
      <x:c r="I239" s="19" t="str">
        <x:f>IFERROR(INDEX('מיפוי ומקורות'!$C$7:$C$33,MATCH(H239,'מיפוי ומקורות'!$B$7:$B$33,0)),"לא מסווג")</x:f>
        <x:v>תחבורה</x:v>
      </x:c>
      <x:c r="J239" s="19" t="str">
        <x:f>IFERROR(INDEX('מיפוי ומקורות'!$D$7:$D$33,MATCH(H239,'מיפוי ומקורות'!$B$7:$B$33,0)),"שוטף")</x:f>
        <x:v>שוטף</x:v>
      </x:c>
      <x:c r="K239" s="19" t="str">
        <x:f>IF(OR(H239="ריביות",AND(H239="דירה כצנלסון",G239&lt;0,ISNUMBER(SEARCH("הכנסה",F239)))),"הכנסה שסווגה מחדש",J239)</x:f>
        <x:v>שוטף</x:v>
      </x:c>
      <x:c r="L239" s="19" t="str">
        <x:v>מאושר</x:v>
      </x:c>
      <x:c r="M239" s="20" t="n">
        <x:f>IF(L239="מאושר",IF(K239="הכנסה שסווגה מחדש",0,G239),0)</x:f>
        <x:v>13</x:v>
      </x:c>
      <x:c r="N239" s="20" t="n">
        <x:f>IF(K239="שוטף",M239,0)</x:f>
        <x:v>13</x:v>
      </x:c>
      <x:c r="O239" s="20" t="n">
        <x:f>IF(K239="הכנסה שסווגה מחדש",-G239,0)</x:f>
        <x:v>0</x:v>
      </x:c>
      <x:c r="P239" s="11" t="str">
        <x:v>one zero זיו</x:v>
      </x:c>
      <x:c r="Q239" s="11" t="str"/>
      <x:c r="R239" s="11" t="str">
        <x:v>לא</x:v>
      </x:c>
    </x:row>
    <x:row r="240">
      <x:c r="A240" s="14" t="n">
        <x:v>45717</x:v>
      </x:c>
      <x:c r="B240" s="11" t="str">
        <x:v>2025-03</x:v>
      </x:c>
      <x:c r="C240" s="11" t="str">
        <x:v>מרץ 25</x:v>
      </x:c>
      <x:c r="D240" s="15" t="n">
        <x:v>72</x:v>
      </x:c>
      <x:c r="E240" s="11" t="str">
        <x:v>29</x:v>
      </x:c>
      <x:c r="F240" s="11" t="str">
        <x:v>אלי</x:v>
      </x:c>
      <x:c r="G240" s="17" t="n">
        <x:v>65</x:v>
      </x:c>
      <x:c r="H240" s="18" t="str">
        <x:v>קניות לבית</x:v>
      </x:c>
      <x:c r="I240" s="19" t="str">
        <x:f>IFERROR(INDEX('מיפוי ומקורות'!$C$7:$C$33,MATCH(H240,'מיפוי ומקורות'!$B$7:$B$33,0)),"לא מסווג")</x:f>
        <x:v>קניות לבית</x:v>
      </x:c>
      <x:c r="J240" s="19" t="str">
        <x:f>IFERROR(INDEX('מיפוי ומקורות'!$D$7:$D$33,MATCH(H240,'מיפוי ומקורות'!$B$7:$B$33,0)),"שוטף")</x:f>
        <x:v>שוטף</x:v>
      </x:c>
      <x:c r="K240" s="19" t="str">
        <x:f>IF(OR(H240="ריביות",AND(H240="דירה כצנלסון",G240&lt;0,ISNUMBER(SEARCH("הכנסה",F240)))),"הכנסה שסווגה מחדש",J240)</x:f>
        <x:v>שוטף</x:v>
      </x:c>
      <x:c r="L240" s="19" t="str">
        <x:v>מאושר</x:v>
      </x:c>
      <x:c r="M240" s="20" t="n">
        <x:f>IF(L240="מאושר",IF(K240="הכנסה שסווגה מחדש",0,G240),0)</x:f>
        <x:v>65</x:v>
      </x:c>
      <x:c r="N240" s="20" t="n">
        <x:f>IF(K240="שוטף",M240,0)</x:f>
        <x:v>65</x:v>
      </x:c>
      <x:c r="O240" s="20" t="n">
        <x:f>IF(K240="הכנסה שסווגה מחדש",-G240,0)</x:f>
        <x:v>0</x:v>
      </x:c>
      <x:c r="P240" s="11" t="str">
        <x:v>one zero זיו</x:v>
      </x:c>
      <x:c r="Q240" s="11" t="str"/>
      <x:c r="R240" s="11" t="str">
        <x:v>לא</x:v>
      </x:c>
    </x:row>
    <x:row r="241">
      <x:c r="A241" s="14" t="n">
        <x:v>45717</x:v>
      </x:c>
      <x:c r="B241" s="11" t="str">
        <x:v>2025-03</x:v>
      </x:c>
      <x:c r="C241" s="11" t="str">
        <x:v>מרץ 25</x:v>
      </x:c>
      <x:c r="D241" s="15" t="n">
        <x:v>73</x:v>
      </x:c>
      <x:c r="E241" s="11" t="str">
        <x:v>29</x:v>
      </x:c>
      <x:c r="F241" s="11" t="str">
        <x:v>פיטה דרוזית</x:v>
      </x:c>
      <x:c r="G241" s="17" t="n">
        <x:v>44</x:v>
      </x:c>
      <x:c r="H241" s="18" t="str">
        <x:v>אוכל בחוץ</x:v>
      </x:c>
      <x:c r="I241" s="19" t="str">
        <x:f>IFERROR(INDEX('מיפוי ומקורות'!$C$7:$C$33,MATCH(H241,'מיפוי ומקורות'!$B$7:$B$33,0)),"לא מסווג")</x:f>
        <x:v>אוכל בחוץ</x:v>
      </x:c>
      <x:c r="J241" s="19" t="str">
        <x:f>IFERROR(INDEX('מיפוי ומקורות'!$D$7:$D$33,MATCH(H241,'מיפוי ומקורות'!$B$7:$B$33,0)),"שוטף")</x:f>
        <x:v>שוטף</x:v>
      </x:c>
      <x:c r="K241" s="19" t="str">
        <x:f>IF(OR(H241="ריביות",AND(H241="דירה כצנלסון",G241&lt;0,ISNUMBER(SEARCH("הכנסה",F241)))),"הכנסה שסווגה מחדש",J241)</x:f>
        <x:v>שוטף</x:v>
      </x:c>
      <x:c r="L241" s="19" t="str">
        <x:v>מאושר</x:v>
      </x:c>
      <x:c r="M241" s="20" t="n">
        <x:f>IF(L241="מאושר",IF(K241="הכנסה שסווגה מחדש",0,G241),0)</x:f>
        <x:v>44</x:v>
      </x:c>
      <x:c r="N241" s="20" t="n">
        <x:f>IF(K241="שוטף",M241,0)</x:f>
        <x:v>44</x:v>
      </x:c>
      <x:c r="O241" s="20" t="n">
        <x:f>IF(K241="הכנסה שסווגה מחדש",-G241,0)</x:f>
        <x:v>0</x:v>
      </x:c>
      <x:c r="P241" s="11" t="str">
        <x:v>one zero זיו</x:v>
      </x:c>
      <x:c r="Q241" s="11" t="str"/>
      <x:c r="R241" s="11" t="str">
        <x:v>לא</x:v>
      </x:c>
    </x:row>
    <x:row r="242">
      <x:c r="A242" s="14" t="n">
        <x:v>45717</x:v>
      </x:c>
      <x:c r="B242" s="11" t="str">
        <x:v>2025-03</x:v>
      </x:c>
      <x:c r="C242" s="11" t="str">
        <x:v>מרץ 25</x:v>
      </x:c>
      <x:c r="D242" s="15" t="n">
        <x:v>74</x:v>
      </x:c>
      <x:c r="E242" s="11" t="str">
        <x:v>29</x:v>
      </x:c>
      <x:c r="F242" s="11" t="str">
        <x:v>חוות אלפקות</x:v>
      </x:c>
      <x:c r="G242" s="17" t="n">
        <x:v>90</x:v>
      </x:c>
      <x:c r="H242" s="18" t="str">
        <x:v>פנאי</x:v>
      </x:c>
      <x:c r="I242" s="19" t="str">
        <x:f>IFERROR(INDEX('מיפוי ומקורות'!$C$7:$C$33,MATCH(H242,'מיפוי ומקורות'!$B$7:$B$33,0)),"לא מסווג")</x:f>
        <x:v>פנאי</x:v>
      </x:c>
      <x:c r="J242" s="19" t="str">
        <x:f>IFERROR(INDEX('מיפוי ומקורות'!$D$7:$D$33,MATCH(H242,'מיפוי ומקורות'!$B$7:$B$33,0)),"שוטף")</x:f>
        <x:v>שוטף</x:v>
      </x:c>
      <x:c r="K242" s="19" t="str">
        <x:f>IF(OR(H242="ריביות",AND(H242="דירה כצנלסון",G242&lt;0,ISNUMBER(SEARCH("הכנסה",F242)))),"הכנסה שסווגה מחדש",J242)</x:f>
        <x:v>שוטף</x:v>
      </x:c>
      <x:c r="L242" s="19" t="str">
        <x:v>מאושר</x:v>
      </x:c>
      <x:c r="M242" s="20" t="n">
        <x:f>IF(L242="מאושר",IF(K242="הכנסה שסווגה מחדש",0,G242),0)</x:f>
        <x:v>90</x:v>
      </x:c>
      <x:c r="N242" s="20" t="n">
        <x:f>IF(K242="שוטף",M242,0)</x:f>
        <x:v>90</x:v>
      </x:c>
      <x:c r="O242" s="20" t="n">
        <x:f>IF(K242="הכנסה שסווגה מחדש",-G242,0)</x:f>
        <x:v>0</x:v>
      </x:c>
      <x:c r="P242" s="11" t="str">
        <x:v>one zero זיו</x:v>
      </x:c>
      <x:c r="Q242" s="11" t="str"/>
      <x:c r="R242" s="11" t="str">
        <x:v>לא</x:v>
      </x:c>
    </x:row>
    <x:row r="243">
      <x:c r="A243" s="14" t="n">
        <x:v>45717</x:v>
      </x:c>
      <x:c r="B243" s="11" t="str">
        <x:v>2025-03</x:v>
      </x:c>
      <x:c r="C243" s="11" t="str">
        <x:v>מרץ 25</x:v>
      </x:c>
      <x:c r="D243" s="15" t="n">
        <x:v>75</x:v>
      </x:c>
      <x:c r="E243" s="11" t="str">
        <x:v>24.2</x:v>
      </x:c>
      <x:c r="F243" s="11" t="str">
        <x:v>אלי</x:v>
      </x:c>
      <x:c r="G243" s="17" t="n">
        <x:v>234</x:v>
      </x:c>
      <x:c r="H243" s="18" t="str">
        <x:v>קניות לבית</x:v>
      </x:c>
      <x:c r="I243" s="19" t="str">
        <x:f>IFERROR(INDEX('מיפוי ומקורות'!$C$7:$C$33,MATCH(H243,'מיפוי ומקורות'!$B$7:$B$33,0)),"לא מסווג")</x:f>
        <x:v>קניות לבית</x:v>
      </x:c>
      <x:c r="J243" s="19" t="str">
        <x:f>IFERROR(INDEX('מיפוי ומקורות'!$D$7:$D$33,MATCH(H243,'מיפוי ומקורות'!$B$7:$B$33,0)),"שוטף")</x:f>
        <x:v>שוטף</x:v>
      </x:c>
      <x:c r="K243" s="19" t="str">
        <x:f>IF(OR(H243="ריביות",AND(H243="דירה כצנלסון",G243&lt;0,ISNUMBER(SEARCH("הכנסה",F243)))),"הכנסה שסווגה מחדש",J243)</x:f>
        <x:v>שוטף</x:v>
      </x:c>
      <x:c r="L243" s="19" t="str">
        <x:v>מאושר</x:v>
      </x:c>
      <x:c r="M243" s="20" t="n">
        <x:f>IF(L243="מאושר",IF(K243="הכנסה שסווגה מחדש",0,G243),0)</x:f>
        <x:v>234</x:v>
      </x:c>
      <x:c r="N243" s="20" t="n">
        <x:f>IF(K243="שוטף",M243,0)</x:f>
        <x:v>234</x:v>
      </x:c>
      <x:c r="O243" s="20" t="n">
        <x:f>IF(K243="הכנסה שסווגה מחדש",-G243,0)</x:f>
        <x:v>0</x:v>
      </x:c>
      <x:c r="P243" s="11" t="str">
        <x:v>אמקס זיו</x:v>
      </x:c>
      <x:c r="Q243" s="11" t="str"/>
      <x:c r="R243" s="11" t="str">
        <x:v>לא</x:v>
      </x:c>
    </x:row>
    <x:row r="244">
      <x:c r="A244" s="14" t="n">
        <x:v>45717</x:v>
      </x:c>
      <x:c r="B244" s="11" t="str">
        <x:v>2025-03</x:v>
      </x:c>
      <x:c r="C244" s="11" t="str">
        <x:v>מרץ 25</x:v>
      </x:c>
      <x:c r="D244" s="15" t="n">
        <x:v>76</x:v>
      </x:c>
      <x:c r="E244" s="11" t="str">
        <x:v>2</x:v>
      </x:c>
      <x:c r="F244" s="11" t="str">
        <x:v>ליאת</x:v>
      </x:c>
      <x:c r="G244" s="17" t="n">
        <x:v>1800</x:v>
      </x:c>
      <x:c r="H244" s="18" t="str">
        <x:v>בריאות</x:v>
      </x:c>
      <x:c r="I244" s="19" t="str">
        <x:f>IFERROR(INDEX('מיפוי ומקורות'!$C$7:$C$33,MATCH(H244,'מיפוי ומקורות'!$B$7:$B$33,0)),"לא מסווג")</x:f>
        <x:v>בריאות וטיפולים</x:v>
      </x:c>
      <x:c r="J244" s="19" t="str">
        <x:f>IFERROR(INDEX('מיפוי ומקורות'!$D$7:$D$33,MATCH(H244,'מיפוי ומקורות'!$B$7:$B$33,0)),"שוטף")</x:f>
        <x:v>שוטף</x:v>
      </x:c>
      <x:c r="K244" s="19" t="str">
        <x:f>IF(OR(H244="ריביות",AND(H244="דירה כצנלסון",G244&lt;0,ISNUMBER(SEARCH("הכנסה",F244)))),"הכנסה שסווגה מחדש",J244)</x:f>
        <x:v>שוטף</x:v>
      </x:c>
      <x:c r="L244" s="19" t="str">
        <x:v>מאושר</x:v>
      </x:c>
      <x:c r="M244" s="20" t="n">
        <x:f>IF(L244="מאושר",IF(K244="הכנסה שסווגה מחדש",0,G244),0)</x:f>
        <x:v>1800</x:v>
      </x:c>
      <x:c r="N244" s="20" t="n">
        <x:f>IF(K244="שוטף",M244,0)</x:f>
        <x:v>1800</x:v>
      </x:c>
      <x:c r="O244" s="20" t="n">
        <x:f>IF(K244="הכנסה שסווגה מחדש",-G244,0)</x:f>
        <x:v>0</x:v>
      </x:c>
      <x:c r="P244" s="11" t="str">
        <x:v>אמקס זיו</x:v>
      </x:c>
      <x:c r="Q244" s="11" t="str"/>
      <x:c r="R244" s="11" t="str">
        <x:v>לא</x:v>
      </x:c>
    </x:row>
    <x:row r="245">
      <x:c r="A245" s="14" t="n">
        <x:v>45717</x:v>
      </x:c>
      <x:c r="B245" s="11" t="str">
        <x:v>2025-03</x:v>
      </x:c>
      <x:c r="C245" s="11" t="str">
        <x:v>מרץ 25</x:v>
      </x:c>
      <x:c r="D245" s="15" t="n">
        <x:v>77</x:v>
      </x:c>
      <x:c r="E245" s="11" t="str">
        <x:v>2</x:v>
      </x:c>
      <x:c r="F245" s="11" t="str">
        <x:v>מצלמה</x:v>
      </x:c>
      <x:c r="G245" s="17" t="n">
        <x:v>517</x:v>
      </x:c>
      <x:c r="H245" s="18" t="str">
        <x:v>חתונה</x:v>
      </x:c>
      <x:c r="I245" s="19" t="str">
        <x:f>IFERROR(INDEX('מיפוי ומקורות'!$C$7:$C$33,MATCH(H245,'מיפוי ומקורות'!$B$7:$B$33,0)),"לא מסווג")</x:f>
        <x:v>חתונה</x:v>
      </x:c>
      <x:c r="J245" s="19" t="str">
        <x:f>IFERROR(INDEX('מיפוי ומקורות'!$D$7:$D$33,MATCH(H245,'מיפוי ומקורות'!$B$7:$B$33,0)),"שוטף")</x:f>
        <x:v>חריג</x:v>
      </x:c>
      <x:c r="K245" s="19" t="str">
        <x:f>IF(OR(H245="ריביות",AND(H245="דירה כצנלסון",G245&lt;0,ISNUMBER(SEARCH("הכנסה",F245)))),"הכנסה שסווגה מחדש",J245)</x:f>
        <x:v>חריג</x:v>
      </x:c>
      <x:c r="L245" s="19" t="str">
        <x:v>מאושר</x:v>
      </x:c>
      <x:c r="M245" s="20" t="n">
        <x:f>IF(L245="מאושר",IF(K245="הכנסה שסווגה מחדש",0,G245),0)</x:f>
        <x:v>517</x:v>
      </x:c>
      <x:c r="N245" s="20" t="n">
        <x:f>IF(K245="שוטף",M245,0)</x:f>
        <x:v>0</x:v>
      </x:c>
      <x:c r="O245" s="20" t="n">
        <x:f>IF(K245="הכנסה שסווגה מחדש",-G245,0)</x:f>
        <x:v>0</x:v>
      </x:c>
      <x:c r="P245" s="11" t="str">
        <x:v>אמקס זיו</x:v>
      </x:c>
      <x:c r="Q245" s="11" t="str"/>
      <x:c r="R245" s="11" t="str">
        <x:v>לא</x:v>
      </x:c>
    </x:row>
    <x:row r="246">
      <x:c r="A246" s="14" t="n">
        <x:v>45717</x:v>
      </x:c>
      <x:c r="B246" s="11" t="str">
        <x:v>2025-03</x:v>
      </x:c>
      <x:c r="C246" s="11" t="str">
        <x:v>מרץ 25</x:v>
      </x:c>
      <x:c r="D246" s="15" t="n">
        <x:v>78</x:v>
      </x:c>
      <x:c r="E246" s="11" t="str">
        <x:v>2</x:v>
      </x:c>
      <x:c r="F246" s="11" t="str">
        <x:v>מקדמה צלם</x:v>
      </x:c>
      <x:c r="G246" s="17" t="n">
        <x:v>1000</x:v>
      </x:c>
      <x:c r="H246" s="18" t="str">
        <x:v>חתונה</x:v>
      </x:c>
      <x:c r="I246" s="19" t="str">
        <x:f>IFERROR(INDEX('מיפוי ומקורות'!$C$7:$C$33,MATCH(H246,'מיפוי ומקורות'!$B$7:$B$33,0)),"לא מסווג")</x:f>
        <x:v>חתונה</x:v>
      </x:c>
      <x:c r="J246" s="19" t="str">
        <x:f>IFERROR(INDEX('מיפוי ומקורות'!$D$7:$D$33,MATCH(H246,'מיפוי ומקורות'!$B$7:$B$33,0)),"שוטף")</x:f>
        <x:v>חריג</x:v>
      </x:c>
      <x:c r="K246" s="19" t="str">
        <x:f>IF(OR(H246="ריביות",AND(H246="דירה כצנלסון",G246&lt;0,ISNUMBER(SEARCH("הכנסה",F246)))),"הכנסה שסווגה מחדש",J246)</x:f>
        <x:v>חריג</x:v>
      </x:c>
      <x:c r="L246" s="19" t="str">
        <x:v>מאושר</x:v>
      </x:c>
      <x:c r="M246" s="20" t="n">
        <x:f>IF(L246="מאושר",IF(K246="הכנסה שסווגה מחדש",0,G246),0)</x:f>
        <x:v>1000</x:v>
      </x:c>
      <x:c r="N246" s="20" t="n">
        <x:f>IF(K246="שוטף",M246,0)</x:f>
        <x:v>0</x:v>
      </x:c>
      <x:c r="O246" s="20" t="n">
        <x:f>IF(K246="הכנסה שסווגה מחדש",-G246,0)</x:f>
        <x:v>0</x:v>
      </x:c>
      <x:c r="P246" s="11" t="str">
        <x:v>אמקס זיו</x:v>
      </x:c>
      <x:c r="Q246" s="11" t="str"/>
      <x:c r="R246" s="11" t="str">
        <x:v>לא</x:v>
      </x:c>
    </x:row>
    <x:row r="247">
      <x:c r="A247" s="14" t="n">
        <x:v>45717</x:v>
      </x:c>
      <x:c r="B247" s="11" t="str">
        <x:v>2025-03</x:v>
      </x:c>
      <x:c r="C247" s="11" t="str">
        <x:v>מרץ 25</x:v>
      </x:c>
      <x:c r="D247" s="15" t="n">
        <x:v>79</x:v>
      </x:c>
      <x:c r="E247" s="11" t="str">
        <x:v>2</x:v>
      </x:c>
      <x:c r="F247" s="11" t="str">
        <x:v>ריסספשין</x:v>
      </x:c>
      <x:c r="G247" s="17" t="n">
        <x:v>105</x:v>
      </x:c>
      <x:c r="H247" s="18" t="str">
        <x:v>אוכל בחוץ</x:v>
      </x:c>
      <x:c r="I247" s="19" t="str">
        <x:f>IFERROR(INDEX('מיפוי ומקורות'!$C$7:$C$33,MATCH(H247,'מיפוי ומקורות'!$B$7:$B$33,0)),"לא מסווג")</x:f>
        <x:v>אוכל בחוץ</x:v>
      </x:c>
      <x:c r="J247" s="19" t="str">
        <x:f>IFERROR(INDEX('מיפוי ומקורות'!$D$7:$D$33,MATCH(H247,'מיפוי ומקורות'!$B$7:$B$33,0)),"שוטף")</x:f>
        <x:v>שוטף</x:v>
      </x:c>
      <x:c r="K247" s="19" t="str">
        <x:f>IF(OR(H247="ריביות",AND(H247="דירה כצנלסון",G247&lt;0,ISNUMBER(SEARCH("הכנסה",F247)))),"הכנסה שסווגה מחדש",J247)</x:f>
        <x:v>שוטף</x:v>
      </x:c>
      <x:c r="L247" s="19" t="str">
        <x:v>מאושר</x:v>
      </x:c>
      <x:c r="M247" s="20" t="n">
        <x:f>IF(L247="מאושר",IF(K247="הכנסה שסווגה מחדש",0,G247),0)</x:f>
        <x:v>105</x:v>
      </x:c>
      <x:c r="N247" s="20" t="n">
        <x:f>IF(K247="שוטף",M247,0)</x:f>
        <x:v>105</x:v>
      </x:c>
      <x:c r="O247" s="20" t="n">
        <x:f>IF(K247="הכנסה שסווגה מחדש",-G247,0)</x:f>
        <x:v>0</x:v>
      </x:c>
      <x:c r="P247" s="11" t="str">
        <x:v>אמקס זיו</x:v>
      </x:c>
      <x:c r="Q247" s="11" t="str"/>
      <x:c r="R247" s="11" t="str">
        <x:v>לא</x:v>
      </x:c>
    </x:row>
    <x:row r="248">
      <x:c r="A248" s="14" t="n">
        <x:v>45717</x:v>
      </x:c>
      <x:c r="B248" s="11" t="str">
        <x:v>2025-03</x:v>
      </x:c>
      <x:c r="C248" s="11" t="str">
        <x:v>מרץ 25</x:v>
      </x:c>
      <x:c r="D248" s="15" t="n">
        <x:v>80</x:v>
      </x:c>
      <x:c r="E248" s="11" t="str">
        <x:v>3</x:v>
      </x:c>
      <x:c r="F248" s="11" t="str">
        <x:v>מכבי</x:v>
      </x:c>
      <x:c r="G248" s="17" t="n">
        <x:v>92</x:v>
      </x:c>
      <x:c r="H248" s="18" t="str">
        <x:v>בריאות</x:v>
      </x:c>
      <x:c r="I248" s="19" t="str">
        <x:f>IFERROR(INDEX('מיפוי ומקורות'!$C$7:$C$33,MATCH(H248,'מיפוי ומקורות'!$B$7:$B$33,0)),"לא מסווג")</x:f>
        <x:v>בריאות וטיפולים</x:v>
      </x:c>
      <x:c r="J248" s="19" t="str">
        <x:f>IFERROR(INDEX('מיפוי ומקורות'!$D$7:$D$33,MATCH(H248,'מיפוי ומקורות'!$B$7:$B$33,0)),"שוטף")</x:f>
        <x:v>שוטף</x:v>
      </x:c>
      <x:c r="K248" s="19" t="str">
        <x:f>IF(OR(H248="ריביות",AND(H248="דירה כצנלסון",G248&lt;0,ISNUMBER(SEARCH("הכנסה",F248)))),"הכנסה שסווגה מחדש",J248)</x:f>
        <x:v>שוטף</x:v>
      </x:c>
      <x:c r="L248" s="19" t="str">
        <x:v>מאושר</x:v>
      </x:c>
      <x:c r="M248" s="20" t="n">
        <x:f>IF(L248="מאושר",IF(K248="הכנסה שסווגה מחדש",0,G248),0)</x:f>
        <x:v>92</x:v>
      </x:c>
      <x:c r="N248" s="20" t="n">
        <x:f>IF(K248="שוטף",M248,0)</x:f>
        <x:v>92</x:v>
      </x:c>
      <x:c r="O248" s="20" t="n">
        <x:f>IF(K248="הכנסה שסווגה מחדש",-G248,0)</x:f>
        <x:v>0</x:v>
      </x:c>
      <x:c r="P248" s="11" t="str">
        <x:v>אמקס זיו</x:v>
      </x:c>
      <x:c r="Q248" s="11" t="str"/>
      <x:c r="R248" s="11" t="str">
        <x:v>לא</x:v>
      </x:c>
    </x:row>
    <x:row r="249">
      <x:c r="A249" s="14" t="n">
        <x:v>45717</x:v>
      </x:c>
      <x:c r="B249" s="11" t="str">
        <x:v>2025-03</x:v>
      </x:c>
      <x:c r="C249" s="11" t="str">
        <x:v>מרץ 25</x:v>
      </x:c>
      <x:c r="D249" s="15" t="n">
        <x:v>81</x:v>
      </x:c>
      <x:c r="E249" s="11" t="str">
        <x:v>3</x:v>
      </x:c>
      <x:c r="F249" s="11" t="str">
        <x:v>ויטרינה</x:v>
      </x:c>
      <x:c r="G249" s="17" t="n">
        <x:v>119</x:v>
      </x:c>
      <x:c r="H249" s="18" t="str">
        <x:v>אוכל בחוץ</x:v>
      </x:c>
      <x:c r="I249" s="19" t="str">
        <x:f>IFERROR(INDEX('מיפוי ומקורות'!$C$7:$C$33,MATCH(H249,'מיפוי ומקורות'!$B$7:$B$33,0)),"לא מסווג")</x:f>
        <x:v>אוכל בחוץ</x:v>
      </x:c>
      <x:c r="J249" s="19" t="str">
        <x:f>IFERROR(INDEX('מיפוי ומקורות'!$D$7:$D$33,MATCH(H249,'מיפוי ומקורות'!$B$7:$B$33,0)),"שוטף")</x:f>
        <x:v>שוטף</x:v>
      </x:c>
      <x:c r="K249" s="19" t="str">
        <x:f>IF(OR(H249="ריביות",AND(H249="דירה כצנלסון",G249&lt;0,ISNUMBER(SEARCH("הכנסה",F249)))),"הכנסה שסווגה מחדש",J249)</x:f>
        <x:v>שוטף</x:v>
      </x:c>
      <x:c r="L249" s="19" t="str">
        <x:v>מאושר</x:v>
      </x:c>
      <x:c r="M249" s="20" t="n">
        <x:f>IF(L249="מאושר",IF(K249="הכנסה שסווגה מחדש",0,G249),0)</x:f>
        <x:v>119</x:v>
      </x:c>
      <x:c r="N249" s="20" t="n">
        <x:f>IF(K249="שוטף",M249,0)</x:f>
        <x:v>119</x:v>
      </x:c>
      <x:c r="O249" s="20" t="n">
        <x:f>IF(K249="הכנסה שסווגה מחדש",-G249,0)</x:f>
        <x:v>0</x:v>
      </x:c>
      <x:c r="P249" s="11" t="str">
        <x:v>אמקס זיו</x:v>
      </x:c>
      <x:c r="Q249" s="11" t="str"/>
      <x:c r="R249" s="11" t="str">
        <x:v>לא</x:v>
      </x:c>
    </x:row>
    <x:row r="250">
      <x:c r="A250" s="14" t="n">
        <x:v>45717</x:v>
      </x:c>
      <x:c r="B250" s="11" t="str">
        <x:v>2025-03</x:v>
      </x:c>
      <x:c r="C250" s="11" t="str">
        <x:v>מרץ 25</x:v>
      </x:c>
      <x:c r="D250" s="15" t="n">
        <x:v>82</x:v>
      </x:c>
      <x:c r="E250" s="11" t="str">
        <x:v>6</x:v>
      </x:c>
      <x:c r="F250" s="11" t="str">
        <x:v>קפה</x:v>
      </x:c>
      <x:c r="G250" s="17" t="n">
        <x:v>20</x:v>
      </x:c>
      <x:c r="H250" s="18" t="str">
        <x:v>אוכל בחוץ</x:v>
      </x:c>
      <x:c r="I250" s="19" t="str">
        <x:f>IFERROR(INDEX('מיפוי ומקורות'!$C$7:$C$33,MATCH(H250,'מיפוי ומקורות'!$B$7:$B$33,0)),"לא מסווג")</x:f>
        <x:v>אוכל בחוץ</x:v>
      </x:c>
      <x:c r="J250" s="19" t="str">
        <x:f>IFERROR(INDEX('מיפוי ומקורות'!$D$7:$D$33,MATCH(H250,'מיפוי ומקורות'!$B$7:$B$33,0)),"שוטף")</x:f>
        <x:v>שוטף</x:v>
      </x:c>
      <x:c r="K250" s="19" t="str">
        <x:f>IF(OR(H250="ריביות",AND(H250="דירה כצנלסון",G250&lt;0,ISNUMBER(SEARCH("הכנסה",F250)))),"הכנסה שסווגה מחדש",J250)</x:f>
        <x:v>שוטף</x:v>
      </x:c>
      <x:c r="L250" s="19" t="str">
        <x:v>מאושר</x:v>
      </x:c>
      <x:c r="M250" s="20" t="n">
        <x:f>IF(L250="מאושר",IF(K250="הכנסה שסווגה מחדש",0,G250),0)</x:f>
        <x:v>20</x:v>
      </x:c>
      <x:c r="N250" s="20" t="n">
        <x:f>IF(K250="שוטף",M250,0)</x:f>
        <x:v>20</x:v>
      </x:c>
      <x:c r="O250" s="20" t="n">
        <x:f>IF(K250="הכנסה שסווגה מחדש",-G250,0)</x:f>
        <x:v>0</x:v>
      </x:c>
      <x:c r="P250" s="11" t="str">
        <x:v>אמקס זיו</x:v>
      </x:c>
      <x:c r="Q250" s="11" t="str"/>
      <x:c r="R250" s="11" t="str">
        <x:v>לא</x:v>
      </x:c>
    </x:row>
    <x:row r="251">
      <x:c r="A251" s="14" t="n">
        <x:v>45717</x:v>
      </x:c>
      <x:c r="B251" s="11" t="str">
        <x:v>2025-03</x:v>
      </x:c>
      <x:c r="C251" s="11" t="str">
        <x:v>מרץ 25</x:v>
      </x:c>
      <x:c r="D251" s="15" t="n">
        <x:v>83</x:v>
      </x:c>
      <x:c r="E251" s="11" t="str">
        <x:v>6</x:v>
      </x:c>
      <x:c r="F251" s="11" t="str">
        <x:v>פיצוציה</x:v>
      </x:c>
      <x:c r="G251" s="17" t="n">
        <x:v>7</x:v>
      </x:c>
      <x:c r="H251" s="18" t="str">
        <x:v>מזון לבית</x:v>
      </x:c>
      <x:c r="I251" s="19" t="str">
        <x:f>IFERROR(INDEX('מיפוי ומקורות'!$C$7:$C$33,MATCH(H251,'מיפוי ומקורות'!$B$7:$B$33,0)),"לא מסווג")</x:f>
        <x:v>מזון לבית</x:v>
      </x:c>
      <x:c r="J251" s="19" t="str">
        <x:f>IFERROR(INDEX('מיפוי ומקורות'!$D$7:$D$33,MATCH(H251,'מיפוי ומקורות'!$B$7:$B$33,0)),"שוטף")</x:f>
        <x:v>שוטף</x:v>
      </x:c>
      <x:c r="K251" s="19" t="str">
        <x:f>IF(OR(H251="ריביות",AND(H251="דירה כצנלסון",G251&lt;0,ISNUMBER(SEARCH("הכנסה",F251)))),"הכנסה שסווגה מחדש",J251)</x:f>
        <x:v>שוטף</x:v>
      </x:c>
      <x:c r="L251" s="19" t="str">
        <x:v>מאושר</x:v>
      </x:c>
      <x:c r="M251" s="20" t="n">
        <x:f>IF(L251="מאושר",IF(K251="הכנסה שסווגה מחדש",0,G251),0)</x:f>
        <x:v>7</x:v>
      </x:c>
      <x:c r="N251" s="20" t="n">
        <x:f>IF(K251="שוטף",M251,0)</x:f>
        <x:v>7</x:v>
      </x:c>
      <x:c r="O251" s="20" t="n">
        <x:f>IF(K251="הכנסה שסווגה מחדש",-G251,0)</x:f>
        <x:v>0</x:v>
      </x:c>
      <x:c r="P251" s="11" t="str">
        <x:v>אמקס זיו</x:v>
      </x:c>
      <x:c r="Q251" s="11" t="str"/>
      <x:c r="R251" s="11" t="str">
        <x:v>לא</x:v>
      </x:c>
    </x:row>
    <x:row r="252">
      <x:c r="A252" s="14" t="n">
        <x:v>45717</x:v>
      </x:c>
      <x:c r="B252" s="11" t="str">
        <x:v>2025-03</x:v>
      </x:c>
      <x:c r="C252" s="11" t="str">
        <x:v>מרץ 25</x:v>
      </x:c>
      <x:c r="D252" s="15" t="n">
        <x:v>84</x:v>
      </x:c>
      <x:c r="E252" s="11" t="str">
        <x:v>7</x:v>
      </x:c>
      <x:c r="F252" s="11" t="str">
        <x:v>טבעות</x:v>
      </x:c>
      <x:c r="G252" s="17" t="n">
        <x:v>1750</x:v>
      </x:c>
      <x:c r="H252" s="18" t="str">
        <x:v>חתונה</x:v>
      </x:c>
      <x:c r="I252" s="19" t="str">
        <x:f>IFERROR(INDEX('מיפוי ומקורות'!$C$7:$C$33,MATCH(H252,'מיפוי ומקורות'!$B$7:$B$33,0)),"לא מסווג")</x:f>
        <x:v>חתונה</x:v>
      </x:c>
      <x:c r="J252" s="19" t="str">
        <x:f>IFERROR(INDEX('מיפוי ומקורות'!$D$7:$D$33,MATCH(H252,'מיפוי ומקורות'!$B$7:$B$33,0)),"שוטף")</x:f>
        <x:v>חריג</x:v>
      </x:c>
      <x:c r="K252" s="19" t="str">
        <x:f>IF(OR(H252="ריביות",AND(H252="דירה כצנלסון",G252&lt;0,ISNUMBER(SEARCH("הכנסה",F252)))),"הכנסה שסווגה מחדש",J252)</x:f>
        <x:v>חריג</x:v>
      </x:c>
      <x:c r="L252" s="19" t="str">
        <x:v>מאושר</x:v>
      </x:c>
      <x:c r="M252" s="20" t="n">
        <x:f>IF(L252="מאושר",IF(K252="הכנסה שסווגה מחדש",0,G252),0)</x:f>
        <x:v>1750</x:v>
      </x:c>
      <x:c r="N252" s="20" t="n">
        <x:f>IF(K252="שוטף",M252,0)</x:f>
        <x:v>0</x:v>
      </x:c>
      <x:c r="O252" s="20" t="n">
        <x:f>IF(K252="הכנסה שסווגה מחדש",-G252,0)</x:f>
        <x:v>0</x:v>
      </x:c>
      <x:c r="P252" s="11" t="str">
        <x:v>אמקס זיו</x:v>
      </x:c>
      <x:c r="Q252" s="11" t="str"/>
      <x:c r="R252" s="11" t="str">
        <x:v>לא</x:v>
      </x:c>
    </x:row>
    <x:row r="253">
      <x:c r="A253" s="14" t="n">
        <x:v>45717</x:v>
      </x:c>
      <x:c r="B253" s="11" t="str">
        <x:v>2025-03</x:v>
      </x:c>
      <x:c r="C253" s="11" t="str">
        <x:v>מרץ 25</x:v>
      </x:c>
      <x:c r="D253" s="15" t="n">
        <x:v>85</x:v>
      </x:c>
      <x:c r="E253" s="11" t="str">
        <x:v>11</x:v>
      </x:c>
      <x:c r="F253" s="11" t="str">
        <x:v>חליפה</x:v>
      </x:c>
      <x:c r="G253" s="17" t="n">
        <x:v>1715</x:v>
      </x:c>
      <x:c r="H253" s="18" t="str">
        <x:v>חתונה</x:v>
      </x:c>
      <x:c r="I253" s="19" t="str">
        <x:f>IFERROR(INDEX('מיפוי ומקורות'!$C$7:$C$33,MATCH(H253,'מיפוי ומקורות'!$B$7:$B$33,0)),"לא מסווג")</x:f>
        <x:v>חתונה</x:v>
      </x:c>
      <x:c r="J253" s="19" t="str">
        <x:f>IFERROR(INDEX('מיפוי ומקורות'!$D$7:$D$33,MATCH(H253,'מיפוי ומקורות'!$B$7:$B$33,0)),"שוטף")</x:f>
        <x:v>חריג</x:v>
      </x:c>
      <x:c r="K253" s="19" t="str">
        <x:f>IF(OR(H253="ריביות",AND(H253="דירה כצנלסון",G253&lt;0,ISNUMBER(SEARCH("הכנסה",F253)))),"הכנסה שסווגה מחדש",J253)</x:f>
        <x:v>חריג</x:v>
      </x:c>
      <x:c r="L253" s="19" t="str">
        <x:v>מאושר</x:v>
      </x:c>
      <x:c r="M253" s="20" t="n">
        <x:f>IF(L253="מאושר",IF(K253="הכנסה שסווגה מחדש",0,G253),0)</x:f>
        <x:v>1715</x:v>
      </x:c>
      <x:c r="N253" s="20" t="n">
        <x:f>IF(K253="שוטף",M253,0)</x:f>
        <x:v>0</x:v>
      </x:c>
      <x:c r="O253" s="20" t="n">
        <x:f>IF(K253="הכנסה שסווגה מחדש",-G253,0)</x:f>
        <x:v>0</x:v>
      </x:c>
      <x:c r="P253" s="11" t="str">
        <x:v>אמקס זיו</x:v>
      </x:c>
      <x:c r="Q253" s="11" t="str"/>
      <x:c r="R253" s="11" t="str">
        <x:v>לא</x:v>
      </x:c>
    </x:row>
    <x:row r="254">
      <x:c r="A254" s="14" t="n">
        <x:v>45717</x:v>
      </x:c>
      <x:c r="B254" s="11" t="str">
        <x:v>2025-03</x:v>
      </x:c>
      <x:c r="C254" s="11" t="str">
        <x:v>מרץ 25</x:v>
      </x:c>
      <x:c r="D254" s="15" t="n">
        <x:v>86</x:v>
      </x:c>
      <x:c r="E254" s="11" t="str">
        <x:v>12</x:v>
      </x:c>
      <x:c r="F254" s="11" t="str">
        <x:v>אוכל בחוץ</x:v>
      </x:c>
      <x:c r="G254" s="17" t="n">
        <x:v>89</x:v>
      </x:c>
      <x:c r="H254" s="18" t="str">
        <x:v>אוכל בחוץ</x:v>
      </x:c>
      <x:c r="I254" s="19" t="str">
        <x:f>IFERROR(INDEX('מיפוי ומקורות'!$C$7:$C$33,MATCH(H254,'מיפוי ומקורות'!$B$7:$B$33,0)),"לא מסווג")</x:f>
        <x:v>אוכל בחוץ</x:v>
      </x:c>
      <x:c r="J254" s="19" t="str">
        <x:f>IFERROR(INDEX('מיפוי ומקורות'!$D$7:$D$33,MATCH(H254,'מיפוי ומקורות'!$B$7:$B$33,0)),"שוטף")</x:f>
        <x:v>שוטף</x:v>
      </x:c>
      <x:c r="K254" s="19" t="str">
        <x:f>IF(OR(H254="ריביות",AND(H254="דירה כצנלסון",G254&lt;0,ISNUMBER(SEARCH("הכנסה",F254)))),"הכנסה שסווגה מחדש",J254)</x:f>
        <x:v>שוטף</x:v>
      </x:c>
      <x:c r="L254" s="19" t="str">
        <x:v>מאושר</x:v>
      </x:c>
      <x:c r="M254" s="20" t="n">
        <x:f>IF(L254="מאושר",IF(K254="הכנסה שסווגה מחדש",0,G254),0)</x:f>
        <x:v>89</x:v>
      </x:c>
      <x:c r="N254" s="20" t="n">
        <x:f>IF(K254="שוטף",M254,0)</x:f>
        <x:v>89</x:v>
      </x:c>
      <x:c r="O254" s="20" t="n">
        <x:f>IF(K254="הכנסה שסווגה מחדש",-G254,0)</x:f>
        <x:v>0</x:v>
      </x:c>
      <x:c r="P254" s="11" t="str">
        <x:v>אמקס זיו</x:v>
      </x:c>
      <x:c r="Q254" s="11" t="str"/>
      <x:c r="R254" s="11" t="str">
        <x:v>לא</x:v>
      </x:c>
    </x:row>
    <x:row r="255">
      <x:c r="A255" s="14" t="n">
        <x:v>45717</x:v>
      </x:c>
      <x:c r="B255" s="11" t="str">
        <x:v>2025-03</x:v>
      </x:c>
      <x:c r="C255" s="11" t="str">
        <x:v>מרץ 25</x:v>
      </x:c>
      <x:c r="D255" s="15" t="n">
        <x:v>87</x:v>
      </x:c>
      <x:c r="E255" s="11" t="str">
        <x:v>12</x:v>
      </x:c>
      <x:c r="F255" s="11" t="str">
        <x:v>גלידה</x:v>
      </x:c>
      <x:c r="G255" s="17" t="n">
        <x:v>12</x:v>
      </x:c>
      <x:c r="H255" s="18" t="str">
        <x:v>אוכל בחוץ</x:v>
      </x:c>
      <x:c r="I255" s="19" t="str">
        <x:f>IFERROR(INDEX('מיפוי ומקורות'!$C$7:$C$33,MATCH(H255,'מיפוי ומקורות'!$B$7:$B$33,0)),"לא מסווג")</x:f>
        <x:v>אוכל בחוץ</x:v>
      </x:c>
      <x:c r="J255" s="19" t="str">
        <x:f>IFERROR(INDEX('מיפוי ומקורות'!$D$7:$D$33,MATCH(H255,'מיפוי ומקורות'!$B$7:$B$33,0)),"שוטף")</x:f>
        <x:v>שוטף</x:v>
      </x:c>
      <x:c r="K255" s="19" t="str">
        <x:f>IF(OR(H255="ריביות",AND(H255="דירה כצנלסון",G255&lt;0,ISNUMBER(SEARCH("הכנסה",F255)))),"הכנסה שסווגה מחדש",J255)</x:f>
        <x:v>שוטף</x:v>
      </x:c>
      <x:c r="L255" s="19" t="str">
        <x:v>מאושר</x:v>
      </x:c>
      <x:c r="M255" s="20" t="n">
        <x:f>IF(L255="מאושר",IF(K255="הכנסה שסווגה מחדש",0,G255),0)</x:f>
        <x:v>12</x:v>
      </x:c>
      <x:c r="N255" s="20" t="n">
        <x:f>IF(K255="שוטף",M255,0)</x:f>
        <x:v>12</x:v>
      </x:c>
      <x:c r="O255" s="20" t="n">
        <x:f>IF(K255="הכנסה שסווגה מחדש",-G255,0)</x:f>
        <x:v>0</x:v>
      </x:c>
      <x:c r="P255" s="11" t="str">
        <x:v>אמקס זיו</x:v>
      </x:c>
      <x:c r="Q255" s="11" t="str"/>
      <x:c r="R255" s="11" t="str">
        <x:v>לא</x:v>
      </x:c>
    </x:row>
    <x:row r="256">
      <x:c r="A256" s="14" t="n">
        <x:v>45717</x:v>
      </x:c>
      <x:c r="B256" s="11" t="str">
        <x:v>2025-03</x:v>
      </x:c>
      <x:c r="C256" s="11" t="str">
        <x:v>מרץ 25</x:v>
      </x:c>
      <x:c r="D256" s="15" t="n">
        <x:v>88</x:v>
      </x:c>
      <x:c r="E256" s="11" t="str">
        <x:v>13</x:v>
      </x:c>
      <x:c r="F256" s="11" t="str">
        <x:v>תחנת לחם</x:v>
      </x:c>
      <x:c r="G256" s="17" t="n">
        <x:v>31</x:v>
      </x:c>
      <x:c r="H256" s="18" t="str">
        <x:v>אוכל בחוץ</x:v>
      </x:c>
      <x:c r="I256" s="19" t="str">
        <x:f>IFERROR(INDEX('מיפוי ומקורות'!$C$7:$C$33,MATCH(H256,'מיפוי ומקורות'!$B$7:$B$33,0)),"לא מסווג")</x:f>
        <x:v>אוכל בחוץ</x:v>
      </x:c>
      <x:c r="J256" s="19" t="str">
        <x:f>IFERROR(INDEX('מיפוי ומקורות'!$D$7:$D$33,MATCH(H256,'מיפוי ומקורות'!$B$7:$B$33,0)),"שוטף")</x:f>
        <x:v>שוטף</x:v>
      </x:c>
      <x:c r="K256" s="19" t="str">
        <x:f>IF(OR(H256="ריביות",AND(H256="דירה כצנלסון",G256&lt;0,ISNUMBER(SEARCH("הכנסה",F256)))),"הכנסה שסווגה מחדש",J256)</x:f>
        <x:v>שוטף</x:v>
      </x:c>
      <x:c r="L256" s="19" t="str">
        <x:v>מאושר</x:v>
      </x:c>
      <x:c r="M256" s="20" t="n">
        <x:f>IF(L256="מאושר",IF(K256="הכנסה שסווגה מחדש",0,G256),0)</x:f>
        <x:v>31</x:v>
      </x:c>
      <x:c r="N256" s="20" t="n">
        <x:f>IF(K256="שוטף",M256,0)</x:f>
        <x:v>31</x:v>
      </x:c>
      <x:c r="O256" s="20" t="n">
        <x:f>IF(K256="הכנסה שסווגה מחדש",-G256,0)</x:f>
        <x:v>0</x:v>
      </x:c>
      <x:c r="P256" s="11" t="str">
        <x:v>אמקס זיו</x:v>
      </x:c>
      <x:c r="Q256" s="11" t="str"/>
      <x:c r="R256" s="11" t="str">
        <x:v>לא</x:v>
      </x:c>
    </x:row>
    <x:row r="257">
      <x:c r="A257" s="14" t="n">
        <x:v>45717</x:v>
      </x:c>
      <x:c r="B257" s="11" t="str">
        <x:v>2025-03</x:v>
      </x:c>
      <x:c r="C257" s="11" t="str">
        <x:v>מרץ 25</x:v>
      </x:c>
      <x:c r="D257" s="15" t="n">
        <x:v>89</x:v>
      </x:c>
      <x:c r="E257" s="11" t="str">
        <x:v>15</x:v>
      </x:c>
      <x:c r="F257" s="11" t="str">
        <x:v>קפה גן סיפור</x:v>
      </x:c>
      <x:c r="G257" s="17" t="n">
        <x:v>160</x:v>
      </x:c>
      <x:c r="H257" s="18" t="str">
        <x:v>אוכל בחוץ</x:v>
      </x:c>
      <x:c r="I257" s="19" t="str">
        <x:f>IFERROR(INDEX('מיפוי ומקורות'!$C$7:$C$33,MATCH(H257,'מיפוי ומקורות'!$B$7:$B$33,0)),"לא מסווג")</x:f>
        <x:v>אוכל בחוץ</x:v>
      </x:c>
      <x:c r="J257" s="19" t="str">
        <x:f>IFERROR(INDEX('מיפוי ומקורות'!$D$7:$D$33,MATCH(H257,'מיפוי ומקורות'!$B$7:$B$33,0)),"שוטף")</x:f>
        <x:v>שוטף</x:v>
      </x:c>
      <x:c r="K257" s="19" t="str">
        <x:f>IF(OR(H257="ריביות",AND(H257="דירה כצנלסון",G257&lt;0,ISNUMBER(SEARCH("הכנסה",F257)))),"הכנסה שסווגה מחדש",J257)</x:f>
        <x:v>שוטף</x:v>
      </x:c>
      <x:c r="L257" s="19" t="str">
        <x:v>מאושר</x:v>
      </x:c>
      <x:c r="M257" s="20" t="n">
        <x:f>IF(L257="מאושר",IF(K257="הכנסה שסווגה מחדש",0,G257),0)</x:f>
        <x:v>160</x:v>
      </x:c>
      <x:c r="N257" s="20" t="n">
        <x:f>IF(K257="שוטף",M257,0)</x:f>
        <x:v>160</x:v>
      </x:c>
      <x:c r="O257" s="20" t="n">
        <x:f>IF(K257="הכנסה שסווגה מחדש",-G257,0)</x:f>
        <x:v>0</x:v>
      </x:c>
      <x:c r="P257" s="11" t="str">
        <x:v>אמקס זיו</x:v>
      </x:c>
      <x:c r="Q257" s="11" t="str"/>
      <x:c r="R257" s="11" t="str">
        <x:v>לא</x:v>
      </x:c>
    </x:row>
    <x:row r="258">
      <x:c r="A258" s="14" t="n">
        <x:v>45717</x:v>
      </x:c>
      <x:c r="B258" s="11" t="str">
        <x:v>2025-03</x:v>
      </x:c>
      <x:c r="C258" s="11" t="str">
        <x:v>מרץ 25</x:v>
      </x:c>
      <x:c r="D258" s="15" t="n">
        <x:v>90</x:v>
      </x:c>
      <x:c r="E258" s="11" t="str">
        <x:v>15</x:v>
      </x:c>
      <x:c r="F258" s="11" t="str">
        <x:v>דלק</x:v>
      </x:c>
      <x:c r="G258" s="17" t="n">
        <x:v>171</x:v>
      </x:c>
      <x:c r="H258" s="18" t="str">
        <x:v>תחבורה</x:v>
      </x:c>
      <x:c r="I258" s="19" t="str">
        <x:f>IFERROR(INDEX('מיפוי ומקורות'!$C$7:$C$33,MATCH(H258,'מיפוי ומקורות'!$B$7:$B$33,0)),"לא מסווג")</x:f>
        <x:v>תחבורה</x:v>
      </x:c>
      <x:c r="J258" s="19" t="str">
        <x:f>IFERROR(INDEX('מיפוי ומקורות'!$D$7:$D$33,MATCH(H258,'מיפוי ומקורות'!$B$7:$B$33,0)),"שוטף")</x:f>
        <x:v>שוטף</x:v>
      </x:c>
      <x:c r="K258" s="19" t="str">
        <x:f>IF(OR(H258="ריביות",AND(H258="דירה כצנלסון",G258&lt;0,ISNUMBER(SEARCH("הכנסה",F258)))),"הכנסה שסווגה מחדש",J258)</x:f>
        <x:v>שוטף</x:v>
      </x:c>
      <x:c r="L258" s="19" t="str">
        <x:v>מאושר</x:v>
      </x:c>
      <x:c r="M258" s="20" t="n">
        <x:f>IF(L258="מאושר",IF(K258="הכנסה שסווגה מחדש",0,G258),0)</x:f>
        <x:v>171</x:v>
      </x:c>
      <x:c r="N258" s="20" t="n">
        <x:f>IF(K258="שוטף",M258,0)</x:f>
        <x:v>171</x:v>
      </x:c>
      <x:c r="O258" s="20" t="n">
        <x:f>IF(K258="הכנסה שסווגה מחדש",-G258,0)</x:f>
        <x:v>0</x:v>
      </x:c>
      <x:c r="P258" s="11" t="str">
        <x:v>אמקס זיו</x:v>
      </x:c>
      <x:c r="Q258" s="11" t="str"/>
      <x:c r="R258" s="11" t="str">
        <x:v>לא</x:v>
      </x:c>
    </x:row>
    <x:row r="259">
      <x:c r="A259" s="14" t="n">
        <x:v>45717</x:v>
      </x:c>
      <x:c r="B259" s="11" t="str">
        <x:v>2025-03</x:v>
      </x:c>
      <x:c r="C259" s="11" t="str">
        <x:v>מרץ 25</x:v>
      </x:c>
      <x:c r="D259" s="15" t="n">
        <x:v>91</x:v>
      </x:c>
      <x:c r="E259" s="11" t="str">
        <x:v>17</x:v>
      </x:c>
      <x:c r="F259" s="11" t="str">
        <x:v>סופר</x:v>
      </x:c>
      <x:c r="G259" s="17" t="n">
        <x:v>70</x:v>
      </x:c>
      <x:c r="H259" s="18" t="str">
        <x:v>מזון לבית</x:v>
      </x:c>
      <x:c r="I259" s="19" t="str">
        <x:f>IFERROR(INDEX('מיפוי ומקורות'!$C$7:$C$33,MATCH(H259,'מיפוי ומקורות'!$B$7:$B$33,0)),"לא מסווג")</x:f>
        <x:v>מזון לבית</x:v>
      </x:c>
      <x:c r="J259" s="19" t="str">
        <x:f>IFERROR(INDEX('מיפוי ומקורות'!$D$7:$D$33,MATCH(H259,'מיפוי ומקורות'!$B$7:$B$33,0)),"שוטף")</x:f>
        <x:v>שוטף</x:v>
      </x:c>
      <x:c r="K259" s="19" t="str">
        <x:f>IF(OR(H259="ריביות",AND(H259="דירה כצנלסון",G259&lt;0,ISNUMBER(SEARCH("הכנסה",F259)))),"הכנסה שסווגה מחדש",J259)</x:f>
        <x:v>שוטף</x:v>
      </x:c>
      <x:c r="L259" s="19" t="str">
        <x:v>מאושר</x:v>
      </x:c>
      <x:c r="M259" s="20" t="n">
        <x:f>IF(L259="מאושר",IF(K259="הכנסה שסווגה מחדש",0,G259),0)</x:f>
        <x:v>70</x:v>
      </x:c>
      <x:c r="N259" s="20" t="n">
        <x:f>IF(K259="שוטף",M259,0)</x:f>
        <x:v>70</x:v>
      </x:c>
      <x:c r="O259" s="20" t="n">
        <x:f>IF(K259="הכנסה שסווגה מחדש",-G259,0)</x:f>
        <x:v>0</x:v>
      </x:c>
      <x:c r="P259" s="11" t="str">
        <x:v>אמקס זיו</x:v>
      </x:c>
      <x:c r="Q259" s="11" t="str"/>
      <x:c r="R259" s="11" t="str">
        <x:v>לא</x:v>
      </x:c>
    </x:row>
    <x:row r="260">
      <x:c r="A260" s="14" t="n">
        <x:v>45717</x:v>
      </x:c>
      <x:c r="B260" s="11" t="str">
        <x:v>2025-03</x:v>
      </x:c>
      <x:c r="C260" s="11" t="str">
        <x:v>מרץ 25</x:v>
      </x:c>
      <x:c r="D260" s="15" t="n">
        <x:v>92</x:v>
      </x:c>
      <x:c r="E260" s="11" t="str">
        <x:v>18</x:v>
      </x:c>
      <x:c r="F260" s="11" t="str">
        <x:v>DJ</x:v>
      </x:c>
      <x:c r="G260" s="17" t="n">
        <x:v>100</x:v>
      </x:c>
      <x:c r="H260" s="18" t="str">
        <x:v>חתונה</x:v>
      </x:c>
      <x:c r="I260" s="19" t="str">
        <x:f>IFERROR(INDEX('מיפוי ומקורות'!$C$7:$C$33,MATCH(H260,'מיפוי ומקורות'!$B$7:$B$33,0)),"לא מסווג")</x:f>
        <x:v>חתונה</x:v>
      </x:c>
      <x:c r="J260" s="19" t="str">
        <x:f>IFERROR(INDEX('מיפוי ומקורות'!$D$7:$D$33,MATCH(H260,'מיפוי ומקורות'!$B$7:$B$33,0)),"שוטף")</x:f>
        <x:v>חריג</x:v>
      </x:c>
      <x:c r="K260" s="19" t="str">
        <x:f>IF(OR(H260="ריביות",AND(H260="דירה כצנלסון",G260&lt;0,ISNUMBER(SEARCH("הכנסה",F260)))),"הכנסה שסווגה מחדש",J260)</x:f>
        <x:v>חריג</x:v>
      </x:c>
      <x:c r="L260" s="19" t="str">
        <x:v>מאושר</x:v>
      </x:c>
      <x:c r="M260" s="20" t="n">
        <x:f>IF(L260="מאושר",IF(K260="הכנסה שסווגה מחדש",0,G260),0)</x:f>
        <x:v>100</x:v>
      </x:c>
      <x:c r="N260" s="20" t="n">
        <x:f>IF(K260="שוטף",M260,0)</x:f>
        <x:v>0</x:v>
      </x:c>
      <x:c r="O260" s="20" t="n">
        <x:f>IF(K260="הכנסה שסווגה מחדש",-G260,0)</x:f>
        <x:v>0</x:v>
      </x:c>
      <x:c r="P260" s="11" t="str">
        <x:v>אמקס זיו</x:v>
      </x:c>
      <x:c r="Q260" s="11" t="str"/>
      <x:c r="R260" s="11" t="str">
        <x:v>לא</x:v>
      </x:c>
    </x:row>
    <x:row r="261">
      <x:c r="A261" s="14" t="n">
        <x:v>45717</x:v>
      </x:c>
      <x:c r="B261" s="11" t="str">
        <x:v>2025-03</x:v>
      </x:c>
      <x:c r="C261" s="11" t="str">
        <x:v>מרץ 25</x:v>
      </x:c>
      <x:c r="D261" s="15" t="n">
        <x:v>93</x:v>
      </x:c>
      <x:c r="E261" s="11" t="str">
        <x:v>19</x:v>
      </x:c>
      <x:c r="F261" s="11" t="str">
        <x:v>גלידה</x:v>
      </x:c>
      <x:c r="G261" s="17" t="n">
        <x:v>6</x:v>
      </x:c>
      <x:c r="H261" s="18" t="str">
        <x:v>אוכל בחוץ</x:v>
      </x:c>
      <x:c r="I261" s="19" t="str">
        <x:f>IFERROR(INDEX('מיפוי ומקורות'!$C$7:$C$33,MATCH(H261,'מיפוי ומקורות'!$B$7:$B$33,0)),"לא מסווג")</x:f>
        <x:v>אוכל בחוץ</x:v>
      </x:c>
      <x:c r="J261" s="19" t="str">
        <x:f>IFERROR(INDEX('מיפוי ומקורות'!$D$7:$D$33,MATCH(H261,'מיפוי ומקורות'!$B$7:$B$33,0)),"שוטף")</x:f>
        <x:v>שוטף</x:v>
      </x:c>
      <x:c r="K261" s="19" t="str">
        <x:f>IF(OR(H261="ריביות",AND(H261="דירה כצנלסון",G261&lt;0,ISNUMBER(SEARCH("הכנסה",F261)))),"הכנסה שסווגה מחדש",J261)</x:f>
        <x:v>שוטף</x:v>
      </x:c>
      <x:c r="L261" s="19" t="str">
        <x:v>מאושר</x:v>
      </x:c>
      <x:c r="M261" s="20" t="n">
        <x:f>IF(L261="מאושר",IF(K261="הכנסה שסווגה מחדש",0,G261),0)</x:f>
        <x:v>6</x:v>
      </x:c>
      <x:c r="N261" s="20" t="n">
        <x:f>IF(K261="שוטף",M261,0)</x:f>
        <x:v>6</x:v>
      </x:c>
      <x:c r="O261" s="20" t="n">
        <x:f>IF(K261="הכנסה שסווגה מחדש",-G261,0)</x:f>
        <x:v>0</x:v>
      </x:c>
      <x:c r="P261" s="11" t="str">
        <x:v>אמקס זיו</x:v>
      </x:c>
      <x:c r="Q261" s="11" t="str"/>
      <x:c r="R261" s="11" t="str">
        <x:v>לא</x:v>
      </x:c>
    </x:row>
    <x:row r="262">
      <x:c r="A262" s="14" t="n">
        <x:v>45717</x:v>
      </x:c>
      <x:c r="B262" s="11" t="str">
        <x:v>2025-03</x:v>
      </x:c>
      <x:c r="C262" s="11" t="str">
        <x:v>מרץ 25</x:v>
      </x:c>
      <x:c r="D262" s="15" t="n">
        <x:v>94</x:v>
      </x:c>
      <x:c r="E262" s="11" t="str">
        <x:v>19</x:v>
      </x:c>
      <x:c r="F262" s="11" t="str">
        <x:v>אלי</x:v>
      </x:c>
      <x:c r="G262" s="17" t="n">
        <x:v>-89</x:v>
      </x:c>
      <x:c r="H262" s="18" t="str">
        <x:v>קניות לבית</x:v>
      </x:c>
      <x:c r="I262" s="19" t="str">
        <x:f>IFERROR(INDEX('מיפוי ומקורות'!$C$7:$C$33,MATCH(H262,'מיפוי ומקורות'!$B$7:$B$33,0)),"לא מסווג")</x:f>
        <x:v>קניות לבית</x:v>
      </x:c>
      <x:c r="J262" s="19" t="str">
        <x:f>IFERROR(INDEX('מיפוי ומקורות'!$D$7:$D$33,MATCH(H262,'מיפוי ומקורות'!$B$7:$B$33,0)),"שוטף")</x:f>
        <x:v>שוטף</x:v>
      </x:c>
      <x:c r="K262" s="19" t="str">
        <x:f>IF(OR(H262="ריביות",AND(H262="דירה כצנלסון",G262&lt;0,ISNUMBER(SEARCH("הכנסה",F262)))),"הכנסה שסווגה מחדש",J262)</x:f>
        <x:v>שוטף</x:v>
      </x:c>
      <x:c r="L262" s="19" t="str">
        <x:v>מאושר</x:v>
      </x:c>
      <x:c r="M262" s="20" t="n">
        <x:f>IF(L262="מאושר",IF(K262="הכנסה שסווגה מחדש",0,G262),0)</x:f>
        <x:v>-89</x:v>
      </x:c>
      <x:c r="N262" s="20" t="n">
        <x:f>IF(K262="שוטף",M262,0)</x:f>
        <x:v>-89</x:v>
      </x:c>
      <x:c r="O262" s="20" t="n">
        <x:f>IF(K262="הכנסה שסווגה מחדש",-G262,0)</x:f>
        <x:v>0</x:v>
      </x:c>
      <x:c r="P262" s="11" t="str">
        <x:v>אמקס זיו</x:v>
      </x:c>
      <x:c r="Q262" s="11" t="str"/>
      <x:c r="R262" s="11" t="str">
        <x:v>לא</x:v>
      </x:c>
    </x:row>
    <x:row r="263">
      <x:c r="A263" s="14" t="n">
        <x:v>45717</x:v>
      </x:c>
      <x:c r="B263" s="11" t="str">
        <x:v>2025-03</x:v>
      </x:c>
      <x:c r="C263" s="11" t="str">
        <x:v>מרץ 25</x:v>
      </x:c>
      <x:c r="D263" s="15" t="n">
        <x:v>95</x:v>
      </x:c>
      <x:c r="E263" s="11" t="str">
        <x:v>22</x:v>
      </x:c>
      <x:c r="F263" s="11" t="str">
        <x:v>עוגה</x:v>
      </x:c>
      <x:c r="G263" s="17" t="n">
        <x:v>23</x:v>
      </x:c>
      <x:c r="H263" s="18" t="str">
        <x:v>אוכל בחוץ</x:v>
      </x:c>
      <x:c r="I263" s="19" t="str">
        <x:f>IFERROR(INDEX('מיפוי ומקורות'!$C$7:$C$33,MATCH(H263,'מיפוי ומקורות'!$B$7:$B$33,0)),"לא מסווג")</x:f>
        <x:v>אוכל בחוץ</x:v>
      </x:c>
      <x:c r="J263" s="19" t="str">
        <x:f>IFERROR(INDEX('מיפוי ומקורות'!$D$7:$D$33,MATCH(H263,'מיפוי ומקורות'!$B$7:$B$33,0)),"שוטף")</x:f>
        <x:v>שוטף</x:v>
      </x:c>
      <x:c r="K263" s="19" t="str">
        <x:f>IF(OR(H263="ריביות",AND(H263="דירה כצנלסון",G263&lt;0,ISNUMBER(SEARCH("הכנסה",F263)))),"הכנסה שסווגה מחדש",J263)</x:f>
        <x:v>שוטף</x:v>
      </x:c>
      <x:c r="L263" s="19" t="str">
        <x:v>מאושר</x:v>
      </x:c>
      <x:c r="M263" s="20" t="n">
        <x:f>IF(L263="מאושר",IF(K263="הכנסה שסווגה מחדש",0,G263),0)</x:f>
        <x:v>23</x:v>
      </x:c>
      <x:c r="N263" s="20" t="n">
        <x:f>IF(K263="שוטף",M263,0)</x:f>
        <x:v>23</x:v>
      </x:c>
      <x:c r="O263" s="20" t="n">
        <x:f>IF(K263="הכנסה שסווגה מחדש",-G263,0)</x:f>
        <x:v>0</x:v>
      </x:c>
      <x:c r="P263" s="11" t="str">
        <x:v>אמקס זיו</x:v>
      </x:c>
      <x:c r="Q263" s="11" t="str"/>
      <x:c r="R263" s="11" t="str">
        <x:v>לא</x:v>
      </x:c>
    </x:row>
    <x:row r="264">
      <x:c r="A264" s="14" t="n">
        <x:v>45717</x:v>
      </x:c>
      <x:c r="B264" s="11" t="str">
        <x:v>2025-03</x:v>
      </x:c>
      <x:c r="C264" s="11" t="str">
        <x:v>מרץ 25</x:v>
      </x:c>
      <x:c r="D264" s="15" t="n">
        <x:v>96</x:v>
      </x:c>
      <x:c r="E264" s="11" t="str">
        <x:v>23</x:v>
      </x:c>
      <x:c r="F264" s="11" t="str">
        <x:v>מקס סטוק</x:v>
      </x:c>
      <x:c r="G264" s="17" t="n">
        <x:v>98</x:v>
      </x:c>
      <x:c r="H264" s="18" t="str">
        <x:v>קניות לבית</x:v>
      </x:c>
      <x:c r="I264" s="19" t="str">
        <x:f>IFERROR(INDEX('מיפוי ומקורות'!$C$7:$C$33,MATCH(H264,'מיפוי ומקורות'!$B$7:$B$33,0)),"לא מסווג")</x:f>
        <x:v>קניות לבית</x:v>
      </x:c>
      <x:c r="J264" s="19" t="str">
        <x:f>IFERROR(INDEX('מיפוי ומקורות'!$D$7:$D$33,MATCH(H264,'מיפוי ומקורות'!$B$7:$B$33,0)),"שוטף")</x:f>
        <x:v>שוטף</x:v>
      </x:c>
      <x:c r="K264" s="19" t="str">
        <x:f>IF(OR(H264="ריביות",AND(H264="דירה כצנלסון",G264&lt;0,ISNUMBER(SEARCH("הכנסה",F264)))),"הכנסה שסווגה מחדש",J264)</x:f>
        <x:v>שוטף</x:v>
      </x:c>
      <x:c r="L264" s="19" t="str">
        <x:v>מאושר</x:v>
      </x:c>
      <x:c r="M264" s="20" t="n">
        <x:f>IF(L264="מאושר",IF(K264="הכנסה שסווגה מחדש",0,G264),0)</x:f>
        <x:v>98</x:v>
      </x:c>
      <x:c r="N264" s="20" t="n">
        <x:f>IF(K264="שוטף",M264,0)</x:f>
        <x:v>98</x:v>
      </x:c>
      <x:c r="O264" s="20" t="n">
        <x:f>IF(K264="הכנסה שסווגה מחדש",-G264,0)</x:f>
        <x:v>0</x:v>
      </x:c>
      <x:c r="P264" s="11" t="str">
        <x:v>אמקס זיו</x:v>
      </x:c>
      <x:c r="Q264" s="11" t="str"/>
      <x:c r="R264" s="11" t="str">
        <x:v>לא</x:v>
      </x:c>
    </x:row>
    <x:row r="265">
      <x:c r="A265" s="14" t="n">
        <x:v>45717</x:v>
      </x:c>
      <x:c r="B265" s="11" t="str">
        <x:v>2025-03</x:v>
      </x:c>
      <x:c r="C265" s="11" t="str">
        <x:v>מרץ 25</x:v>
      </x:c>
      <x:c r="D265" s="15" t="n">
        <x:v>97</x:v>
      </x:c>
      <x:c r="E265" s="11" t="str">
        <x:v>26</x:v>
      </x:c>
      <x:c r="F265" s="11" t="str">
        <x:v>אוטובוס</x:v>
      </x:c>
      <x:c r="G265" s="17" t="n">
        <x:v>55</x:v>
      </x:c>
      <x:c r="H265" s="18" t="str">
        <x:v>תחבורה</x:v>
      </x:c>
      <x:c r="I265" s="19" t="str">
        <x:f>IFERROR(INDEX('מיפוי ומקורות'!$C$7:$C$33,MATCH(H265,'מיפוי ומקורות'!$B$7:$B$33,0)),"לא מסווג")</x:f>
        <x:v>תחבורה</x:v>
      </x:c>
      <x:c r="J265" s="19" t="str">
        <x:f>IFERROR(INDEX('מיפוי ומקורות'!$D$7:$D$33,MATCH(H265,'מיפוי ומקורות'!$B$7:$B$33,0)),"שוטף")</x:f>
        <x:v>שוטף</x:v>
      </x:c>
      <x:c r="K265" s="19" t="str">
        <x:f>IF(OR(H265="ריביות",AND(H265="דירה כצנלסון",G265&lt;0,ISNUMBER(SEARCH("הכנסה",F265)))),"הכנסה שסווגה מחדש",J265)</x:f>
        <x:v>שוטף</x:v>
      </x:c>
      <x:c r="L265" s="19" t="str">
        <x:v>מאושר</x:v>
      </x:c>
      <x:c r="M265" s="20" t="n">
        <x:f>IF(L265="מאושר",IF(K265="הכנסה שסווגה מחדש",0,G265),0)</x:f>
        <x:v>55</x:v>
      </x:c>
      <x:c r="N265" s="20" t="n">
        <x:f>IF(K265="שוטף",M265,0)</x:f>
        <x:v>55</x:v>
      </x:c>
      <x:c r="O265" s="20" t="n">
        <x:f>IF(K265="הכנסה שסווגה מחדש",-G265,0)</x:f>
        <x:v>0</x:v>
      </x:c>
      <x:c r="P265" s="11" t="str">
        <x:v>אמקס זיו</x:v>
      </x:c>
      <x:c r="Q265" s="11" t="str"/>
      <x:c r="R265" s="11" t="str">
        <x:v>לא</x:v>
      </x:c>
    </x:row>
    <x:row r="266">
      <x:c r="A266" s="14" t="n">
        <x:v>45717</x:v>
      </x:c>
      <x:c r="B266" s="11" t="str">
        <x:v>2025-03</x:v>
      </x:c>
      <x:c r="C266" s="11" t="str">
        <x:v>מרץ 25</x:v>
      </x:c>
      <x:c r="D266" s="15" t="n">
        <x:v>98</x:v>
      </x:c>
      <x:c r="E266" s="11" t="str">
        <x:v>26</x:v>
      </x:c>
      <x:c r="F266" s="11" t="str">
        <x:v>חוות נעמי</x:v>
      </x:c>
      <x:c r="G266" s="17" t="n">
        <x:v>79</x:v>
      </x:c>
      <x:c r="H266" s="18" t="str">
        <x:v>מזון לבית</x:v>
      </x:c>
      <x:c r="I266" s="19" t="str">
        <x:f>IFERROR(INDEX('מיפוי ומקורות'!$C$7:$C$33,MATCH(H266,'מיפוי ומקורות'!$B$7:$B$33,0)),"לא מסווג")</x:f>
        <x:v>מזון לבית</x:v>
      </x:c>
      <x:c r="J266" s="19" t="str">
        <x:f>IFERROR(INDEX('מיפוי ומקורות'!$D$7:$D$33,MATCH(H266,'מיפוי ומקורות'!$B$7:$B$33,0)),"שוטף")</x:f>
        <x:v>שוטף</x:v>
      </x:c>
      <x:c r="K266" s="19" t="str">
        <x:f>IF(OR(H266="ריביות",AND(H266="דירה כצנלסון",G266&lt;0,ISNUMBER(SEARCH("הכנסה",F266)))),"הכנסה שסווגה מחדש",J266)</x:f>
        <x:v>שוטף</x:v>
      </x:c>
      <x:c r="L266" s="19" t="str">
        <x:v>מאושר</x:v>
      </x:c>
      <x:c r="M266" s="20" t="n">
        <x:f>IF(L266="מאושר",IF(K266="הכנסה שסווגה מחדש",0,G266),0)</x:f>
        <x:v>79</x:v>
      </x:c>
      <x:c r="N266" s="20" t="n">
        <x:f>IF(K266="שוטף",M266,0)</x:f>
        <x:v>79</x:v>
      </x:c>
      <x:c r="O266" s="20" t="n">
        <x:f>IF(K266="הכנסה שסווגה מחדש",-G266,0)</x:f>
        <x:v>0</x:v>
      </x:c>
      <x:c r="P266" s="11" t="str">
        <x:v>אמקס זיו</x:v>
      </x:c>
      <x:c r="Q266" s="11" t="str"/>
      <x:c r="R266" s="11" t="str">
        <x:v>לא</x:v>
      </x:c>
    </x:row>
    <x:row r="267">
      <x:c r="A267" s="14" t="n">
        <x:v>45717</x:v>
      </x:c>
      <x:c r="B267" s="11" t="str">
        <x:v>2025-03</x:v>
      </x:c>
      <x:c r="C267" s="11" t="str">
        <x:v>מרץ 25</x:v>
      </x:c>
      <x:c r="D267" s="15" t="n">
        <x:v>99</x:v>
      </x:c>
      <x:c r="E267" s="11" t="str">
        <x:v>26</x:v>
      </x:c>
      <x:c r="F267" s="11" t="str">
        <x:v>עוגה</x:v>
      </x:c>
      <x:c r="G267" s="17" t="n">
        <x:v>95</x:v>
      </x:c>
      <x:c r="H267" s="18" t="str">
        <x:v>אוכל בחוץ</x:v>
      </x:c>
      <x:c r="I267" s="19" t="str">
        <x:f>IFERROR(INDEX('מיפוי ומקורות'!$C$7:$C$33,MATCH(H267,'מיפוי ומקורות'!$B$7:$B$33,0)),"לא מסווג")</x:f>
        <x:v>אוכל בחוץ</x:v>
      </x:c>
      <x:c r="J267" s="19" t="str">
        <x:f>IFERROR(INDEX('מיפוי ומקורות'!$D$7:$D$33,MATCH(H267,'מיפוי ומקורות'!$B$7:$B$33,0)),"שוטף")</x:f>
        <x:v>שוטף</x:v>
      </x:c>
      <x:c r="K267" s="19" t="str">
        <x:f>IF(OR(H267="ריביות",AND(H267="דירה כצנלסון",G267&lt;0,ISNUMBER(SEARCH("הכנסה",F267)))),"הכנסה שסווגה מחדש",J267)</x:f>
        <x:v>שוטף</x:v>
      </x:c>
      <x:c r="L267" s="19" t="str">
        <x:v>מאושר</x:v>
      </x:c>
      <x:c r="M267" s="20" t="n">
        <x:f>IF(L267="מאושר",IF(K267="הכנסה שסווגה מחדש",0,G267),0)</x:f>
        <x:v>95</x:v>
      </x:c>
      <x:c r="N267" s="20" t="n">
        <x:f>IF(K267="שוטף",M267,0)</x:f>
        <x:v>95</x:v>
      </x:c>
      <x:c r="O267" s="20" t="n">
        <x:f>IF(K267="הכנסה שסווגה מחדש",-G267,0)</x:f>
        <x:v>0</x:v>
      </x:c>
      <x:c r="P267" s="11" t="str">
        <x:v>אמקס זיו</x:v>
      </x:c>
      <x:c r="Q267" s="11" t="str"/>
      <x:c r="R267" s="11" t="str">
        <x:v>לא</x:v>
      </x:c>
    </x:row>
    <x:row r="268">
      <x:c r="A268" s="14" t="n">
        <x:v>45717</x:v>
      </x:c>
      <x:c r="B268" s="11" t="str">
        <x:v>2025-03</x:v>
      </x:c>
      <x:c r="C268" s="11" t="str">
        <x:v>מרץ 25</x:v>
      </x:c>
      <x:c r="D268" s="15" t="n">
        <x:v>100</x:v>
      </x:c>
      <x:c r="E268" s="11" t="str">
        <x:v>26</x:v>
      </x:c>
      <x:c r="F268" s="11" t="str">
        <x:v>שיניים</x:v>
      </x:c>
      <x:c r="G268" s="17" t="n">
        <x:v>1585</x:v>
      </x:c>
      <x:c r="H268" s="18" t="str">
        <x:v>חתונה</x:v>
      </x:c>
      <x:c r="I268" s="19" t="str">
        <x:f>IFERROR(INDEX('מיפוי ומקורות'!$C$7:$C$33,MATCH(H268,'מיפוי ומקורות'!$B$7:$B$33,0)),"לא מסווג")</x:f>
        <x:v>חתונה</x:v>
      </x:c>
      <x:c r="J268" s="19" t="str">
        <x:f>IFERROR(INDEX('מיפוי ומקורות'!$D$7:$D$33,MATCH(H268,'מיפוי ומקורות'!$B$7:$B$33,0)),"שוטף")</x:f>
        <x:v>חריג</x:v>
      </x:c>
      <x:c r="K268" s="19" t="str">
        <x:f>IF(OR(H268="ריביות",AND(H268="דירה כצנלסון",G268&lt;0,ISNUMBER(SEARCH("הכנסה",F268)))),"הכנסה שסווגה מחדש",J268)</x:f>
        <x:v>חריג</x:v>
      </x:c>
      <x:c r="L268" s="19" t="str">
        <x:v>מאושר</x:v>
      </x:c>
      <x:c r="M268" s="20" t="n">
        <x:f>IF(L268="מאושר",IF(K268="הכנסה שסווגה מחדש",0,G268),0)</x:f>
        <x:v>1585</x:v>
      </x:c>
      <x:c r="N268" s="20" t="n">
        <x:f>IF(K268="שוטף",M268,0)</x:f>
        <x:v>0</x:v>
      </x:c>
      <x:c r="O268" s="20" t="n">
        <x:f>IF(K268="הכנסה שסווגה מחדש",-G268,0)</x:f>
        <x:v>0</x:v>
      </x:c>
      <x:c r="P268" s="11" t="str">
        <x:v>אמקס זיו</x:v>
      </x:c>
      <x:c r="Q268" s="11" t="str"/>
      <x:c r="R268" s="11" t="str">
        <x:v>לא</x:v>
      </x:c>
    </x:row>
    <x:row r="269">
      <x:c r="A269" s="14" t="n">
        <x:v>45717</x:v>
      </x:c>
      <x:c r="B269" s="11" t="str">
        <x:v>2025-03</x:v>
      </x:c>
      <x:c r="C269" s="11" t="str">
        <x:v>מרץ 25</x:v>
      </x:c>
      <x:c r="D269" s="15" t="n">
        <x:v>101</x:v>
      </x:c>
      <x:c r="E269" s="11" t="str">
        <x:v>26</x:v>
      </x:c>
      <x:c r="F269" s="11" t="str">
        <x:v>סופר פארם</x:v>
      </x:c>
      <x:c r="G269" s="17" t="n">
        <x:v>17</x:v>
      </x:c>
      <x:c r="H269" s="18" t="str">
        <x:v>בריאות</x:v>
      </x:c>
      <x:c r="I269" s="19" t="str">
        <x:f>IFERROR(INDEX('מיפוי ומקורות'!$C$7:$C$33,MATCH(H269,'מיפוי ומקורות'!$B$7:$B$33,0)),"לא מסווג")</x:f>
        <x:v>בריאות וטיפולים</x:v>
      </x:c>
      <x:c r="J269" s="19" t="str">
        <x:f>IFERROR(INDEX('מיפוי ומקורות'!$D$7:$D$33,MATCH(H269,'מיפוי ומקורות'!$B$7:$B$33,0)),"שוטף")</x:f>
        <x:v>שוטף</x:v>
      </x:c>
      <x:c r="K269" s="19" t="str">
        <x:f>IF(OR(H269="ריביות",AND(H269="דירה כצנלסון",G269&lt;0,ISNUMBER(SEARCH("הכנסה",F269)))),"הכנסה שסווגה מחדש",J269)</x:f>
        <x:v>שוטף</x:v>
      </x:c>
      <x:c r="L269" s="19" t="str">
        <x:v>מאושר</x:v>
      </x:c>
      <x:c r="M269" s="20" t="n">
        <x:f>IF(L269="מאושר",IF(K269="הכנסה שסווגה מחדש",0,G269),0)</x:f>
        <x:v>17</x:v>
      </x:c>
      <x:c r="N269" s="20" t="n">
        <x:f>IF(K269="שוטף",M269,0)</x:f>
        <x:v>17</x:v>
      </x:c>
      <x:c r="O269" s="20" t="n">
        <x:f>IF(K269="הכנסה שסווגה מחדש",-G269,0)</x:f>
        <x:v>0</x:v>
      </x:c>
      <x:c r="P269" s="11" t="str">
        <x:v>אמקס זיו</x:v>
      </x:c>
      <x:c r="Q269" s="11" t="str"/>
      <x:c r="R269" s="11" t="str">
        <x:v>לא</x:v>
      </x:c>
    </x:row>
    <x:row r="270">
      <x:c r="A270" s="14" t="n">
        <x:v>45717</x:v>
      </x:c>
      <x:c r="B270" s="11" t="str">
        <x:v>2025-03</x:v>
      </x:c>
      <x:c r="C270" s="11" t="str">
        <x:v>מרץ 25</x:v>
      </x:c>
      <x:c r="D270" s="15" t="n">
        <x:v>102</x:v>
      </x:c>
      <x:c r="E270" s="11" t="str">
        <x:v>27</x:v>
      </x:c>
      <x:c r="F270" s="11" t="str">
        <x:v>מאפיה לשה</x:v>
      </x:c>
      <x:c r="G270" s="17" t="n">
        <x:v>83</x:v>
      </x:c>
      <x:c r="H270" s="18" t="str">
        <x:v>אוכל בחוץ</x:v>
      </x:c>
      <x:c r="I270" s="19" t="str">
        <x:f>IFERROR(INDEX('מיפוי ומקורות'!$C$7:$C$33,MATCH(H270,'מיפוי ומקורות'!$B$7:$B$33,0)),"לא מסווג")</x:f>
        <x:v>אוכל בחוץ</x:v>
      </x:c>
      <x:c r="J270" s="19" t="str">
        <x:f>IFERROR(INDEX('מיפוי ומקורות'!$D$7:$D$33,MATCH(H270,'מיפוי ומקורות'!$B$7:$B$33,0)),"שוטף")</x:f>
        <x:v>שוטף</x:v>
      </x:c>
      <x:c r="K270" s="19" t="str">
        <x:f>IF(OR(H270="ריביות",AND(H270="דירה כצנלסון",G270&lt;0,ISNUMBER(SEARCH("הכנסה",F270)))),"הכנסה שסווגה מחדש",J270)</x:f>
        <x:v>שוטף</x:v>
      </x:c>
      <x:c r="L270" s="19" t="str">
        <x:v>מאושר</x:v>
      </x:c>
      <x:c r="M270" s="20" t="n">
        <x:f>IF(L270="מאושר",IF(K270="הכנסה שסווגה מחדש",0,G270),0)</x:f>
        <x:v>83</x:v>
      </x:c>
      <x:c r="N270" s="20" t="n">
        <x:f>IF(K270="שוטף",M270,0)</x:f>
        <x:v>83</x:v>
      </x:c>
      <x:c r="O270" s="20" t="n">
        <x:f>IF(K270="הכנסה שסווגה מחדש",-G270,0)</x:f>
        <x:v>0</x:v>
      </x:c>
      <x:c r="P270" s="11" t="str">
        <x:v>אמקס זיו</x:v>
      </x:c>
      <x:c r="Q270" s="11" t="str"/>
      <x:c r="R270" s="11" t="str">
        <x:v>לא</x:v>
      </x:c>
    </x:row>
    <x:row r="271">
      <x:c r="A271" s="14" t="n">
        <x:v>45717</x:v>
      </x:c>
      <x:c r="B271" s="11" t="str">
        <x:v>2025-03</x:v>
      </x:c>
      <x:c r="C271" s="11" t="str">
        <x:v>מרץ 25</x:v>
      </x:c>
      <x:c r="D271" s="15" t="n">
        <x:v>103</x:v>
      </x:c>
      <x:c r="E271" s="11" t="str">
        <x:v>27</x:v>
      </x:c>
      <x:c r="F271" s="11" t="str">
        <x:v>טבעות</x:v>
      </x:c>
      <x:c r="G271" s="17" t="n">
        <x:v>740</x:v>
      </x:c>
      <x:c r="H271" s="18" t="str">
        <x:v>חתונה</x:v>
      </x:c>
      <x:c r="I271" s="19" t="str">
        <x:f>IFERROR(INDEX('מיפוי ומקורות'!$C$7:$C$33,MATCH(H271,'מיפוי ומקורות'!$B$7:$B$33,0)),"לא מסווג")</x:f>
        <x:v>חתונה</x:v>
      </x:c>
      <x:c r="J271" s="19" t="str">
        <x:f>IFERROR(INDEX('מיפוי ומקורות'!$D$7:$D$33,MATCH(H271,'מיפוי ומקורות'!$B$7:$B$33,0)),"שוטף")</x:f>
        <x:v>חריג</x:v>
      </x:c>
      <x:c r="K271" s="19" t="str">
        <x:f>IF(OR(H271="ריביות",AND(H271="דירה כצנלסון",G271&lt;0,ISNUMBER(SEARCH("הכנסה",F271)))),"הכנסה שסווגה מחדש",J271)</x:f>
        <x:v>חריג</x:v>
      </x:c>
      <x:c r="L271" s="19" t="str">
        <x:v>מאושר</x:v>
      </x:c>
      <x:c r="M271" s="20" t="n">
        <x:f>IF(L271="מאושר",IF(K271="הכנסה שסווגה מחדש",0,G271),0)</x:f>
        <x:v>740</x:v>
      </x:c>
      <x:c r="N271" s="20" t="n">
        <x:f>IF(K271="שוטף",M271,0)</x:f>
        <x:v>0</x:v>
      </x:c>
      <x:c r="O271" s="20" t="n">
        <x:f>IF(K271="הכנסה שסווגה מחדש",-G271,0)</x:f>
        <x:v>0</x:v>
      </x:c>
      <x:c r="P271" s="11" t="str">
        <x:v>אמקס זיו</x:v>
      </x:c>
      <x:c r="Q271" s="11" t="str"/>
      <x:c r="R271" s="11" t="str">
        <x:v>לא</x:v>
      </x:c>
    </x:row>
    <x:row r="272">
      <x:c r="A272" s="14" t="n">
        <x:v>45717</x:v>
      </x:c>
      <x:c r="B272" s="11" t="str">
        <x:v>2025-03</x:v>
      </x:c>
      <x:c r="C272" s="11" t="str">
        <x:v>מרץ 25</x:v>
      </x:c>
      <x:c r="D272" s="15" t="n">
        <x:v>104</x:v>
      </x:c>
      <x:c r="E272" s="11" t="str">
        <x:v>27</x:v>
      </x:c>
      <x:c r="F272" s="11" t="str">
        <x:v>דלק</x:v>
      </x:c>
      <x:c r="G272" s="17" t="n">
        <x:v>237</x:v>
      </x:c>
      <x:c r="H272" s="18" t="str">
        <x:v>תחבורה</x:v>
      </x:c>
      <x:c r="I272" s="19" t="str">
        <x:f>IFERROR(INDEX('מיפוי ומקורות'!$C$7:$C$33,MATCH(H272,'מיפוי ומקורות'!$B$7:$B$33,0)),"לא מסווג")</x:f>
        <x:v>תחבורה</x:v>
      </x:c>
      <x:c r="J272" s="19" t="str">
        <x:f>IFERROR(INDEX('מיפוי ומקורות'!$D$7:$D$33,MATCH(H272,'מיפוי ומקורות'!$B$7:$B$33,0)),"שוטף")</x:f>
        <x:v>שוטף</x:v>
      </x:c>
      <x:c r="K272" s="19" t="str">
        <x:f>IF(OR(H272="ריביות",AND(H272="דירה כצנלסון",G272&lt;0,ISNUMBER(SEARCH("הכנסה",F272)))),"הכנסה שסווגה מחדש",J272)</x:f>
        <x:v>שוטף</x:v>
      </x:c>
      <x:c r="L272" s="19" t="str">
        <x:v>מאושר</x:v>
      </x:c>
      <x:c r="M272" s="20" t="n">
        <x:f>IF(L272="מאושר",IF(K272="הכנסה שסווגה מחדש",0,G272),0)</x:f>
        <x:v>237</x:v>
      </x:c>
      <x:c r="N272" s="20" t="n">
        <x:f>IF(K272="שוטף",M272,0)</x:f>
        <x:v>237</x:v>
      </x:c>
      <x:c r="O272" s="20" t="n">
        <x:f>IF(K272="הכנסה שסווגה מחדש",-G272,0)</x:f>
        <x:v>0</x:v>
      </x:c>
      <x:c r="P272" s="11" t="str">
        <x:v>אמקס זיו</x:v>
      </x:c>
      <x:c r="Q272" s="11" t="str"/>
      <x:c r="R272" s="11" t="str">
        <x:v>לא</x:v>
      </x:c>
    </x:row>
    <x:row r="273">
      <x:c r="A273" s="14" t="n">
        <x:v>45717</x:v>
      </x:c>
      <x:c r="B273" s="11" t="str">
        <x:v>2025-03</x:v>
      </x:c>
      <x:c r="C273" s="11" t="str">
        <x:v>מרץ 25</x:v>
      </x:c>
      <x:c r="D273" s="15" t="n">
        <x:v>105</x:v>
      </x:c>
      <x:c r="E273" s="11" t="str">
        <x:v>29</x:v>
      </x:c>
      <x:c r="F273" s="11" t="str">
        <x:v>בוקסר</x:v>
      </x:c>
      <x:c r="G273" s="17" t="n">
        <x:v>70</x:v>
      </x:c>
      <x:c r="H273" s="18" t="str">
        <x:v>חתונה</x:v>
      </x:c>
      <x:c r="I273" s="19" t="str">
        <x:f>IFERROR(INDEX('מיפוי ומקורות'!$C$7:$C$33,MATCH(H273,'מיפוי ומקורות'!$B$7:$B$33,0)),"לא מסווג")</x:f>
        <x:v>חתונה</x:v>
      </x:c>
      <x:c r="J273" s="19" t="str">
        <x:f>IFERROR(INDEX('מיפוי ומקורות'!$D$7:$D$33,MATCH(H273,'מיפוי ומקורות'!$B$7:$B$33,0)),"שוטף")</x:f>
        <x:v>חריג</x:v>
      </x:c>
      <x:c r="K273" s="19" t="str">
        <x:f>IF(OR(H273="ריביות",AND(H273="דירה כצנלסון",G273&lt;0,ISNUMBER(SEARCH("הכנסה",F273)))),"הכנסה שסווגה מחדש",J273)</x:f>
        <x:v>חריג</x:v>
      </x:c>
      <x:c r="L273" s="19" t="str">
        <x:v>מאושר</x:v>
      </x:c>
      <x:c r="M273" s="20" t="n">
        <x:f>IF(L273="מאושר",IF(K273="הכנסה שסווגה מחדש",0,G273),0)</x:f>
        <x:v>70</x:v>
      </x:c>
      <x:c r="N273" s="20" t="n">
        <x:f>IF(K273="שוטף",M273,0)</x:f>
        <x:v>0</x:v>
      </x:c>
      <x:c r="O273" s="20" t="n">
        <x:f>IF(K273="הכנסה שסווגה מחדש",-G273,0)</x:f>
        <x:v>0</x:v>
      </x:c>
      <x:c r="P273" s="11" t="str">
        <x:v>אמקס זיו</x:v>
      </x:c>
      <x:c r="Q273" s="11" t="str"/>
      <x:c r="R273" s="11" t="str">
        <x:v>לא</x:v>
      </x:c>
    </x:row>
    <x:row r="274">
      <x:c r="A274" s="14" t="n">
        <x:v>45717</x:v>
      </x:c>
      <x:c r="B274" s="11" t="str">
        <x:v>2025-03</x:v>
      </x:c>
      <x:c r="C274" s="11" t="str">
        <x:v>מרץ 25</x:v>
      </x:c>
      <x:c r="D274" s="15" t="n">
        <x:v>106</x:v>
      </x:c>
      <x:c r="E274" s="11" t="str">
        <x:v>29</x:v>
      </x:c>
      <x:c r="F274" s="11" t="str">
        <x:v>דלק</x:v>
      </x:c>
      <x:c r="G274" s="17" t="n">
        <x:v>173</x:v>
      </x:c>
      <x:c r="H274" s="18" t="str">
        <x:v>תחבורה</x:v>
      </x:c>
      <x:c r="I274" s="19" t="str">
        <x:f>IFERROR(INDEX('מיפוי ומקורות'!$C$7:$C$33,MATCH(H274,'מיפוי ומקורות'!$B$7:$B$33,0)),"לא מסווג")</x:f>
        <x:v>תחבורה</x:v>
      </x:c>
      <x:c r="J274" s="19" t="str">
        <x:f>IFERROR(INDEX('מיפוי ומקורות'!$D$7:$D$33,MATCH(H274,'מיפוי ומקורות'!$B$7:$B$33,0)),"שוטף")</x:f>
        <x:v>שוטף</x:v>
      </x:c>
      <x:c r="K274" s="19" t="str">
        <x:f>IF(OR(H274="ריביות",AND(H274="דירה כצנלסון",G274&lt;0,ISNUMBER(SEARCH("הכנסה",F274)))),"הכנסה שסווגה מחדש",J274)</x:f>
        <x:v>שוטף</x:v>
      </x:c>
      <x:c r="L274" s="19" t="str">
        <x:v>מאושר</x:v>
      </x:c>
      <x:c r="M274" s="20" t="n">
        <x:f>IF(L274="מאושר",IF(K274="הכנסה שסווגה מחדש",0,G274),0)</x:f>
        <x:v>173</x:v>
      </x:c>
      <x:c r="N274" s="20" t="n">
        <x:f>IF(K274="שוטף",M274,0)</x:f>
        <x:v>173</x:v>
      </x:c>
      <x:c r="O274" s="20" t="n">
        <x:f>IF(K274="הכנסה שסווגה מחדש",-G274,0)</x:f>
        <x:v>0</x:v>
      </x:c>
      <x:c r="P274" s="11" t="str">
        <x:v>אמקס זיו</x:v>
      </x:c>
      <x:c r="Q274" s="11" t="str"/>
      <x:c r="R274" s="11" t="str">
        <x:v>לא</x:v>
      </x:c>
    </x:row>
    <x:row r="275">
      <x:c r="A275" s="14" t="n">
        <x:v>45717</x:v>
      </x:c>
      <x:c r="B275" s="11" t="str">
        <x:v>2025-03</x:v>
      </x:c>
      <x:c r="C275" s="11" t="str">
        <x:v>מרץ 25</x:v>
      </x:c>
      <x:c r="D275" s="15" t="n">
        <x:v>107</x:v>
      </x:c>
      <x:c r="E275" s="11" t="str">
        <x:v>31</x:v>
      </x:c>
      <x:c r="F275" s="11" t="str">
        <x:v>שירה</x:v>
      </x:c>
      <x:c r="G275" s="17" t="n">
        <x:v>2100</x:v>
      </x:c>
      <x:c r="H275" s="18" t="str">
        <x:v>בריאות</x:v>
      </x:c>
      <x:c r="I275" s="19" t="str">
        <x:f>IFERROR(INDEX('מיפוי ומקורות'!$C$7:$C$33,MATCH(H275,'מיפוי ומקורות'!$B$7:$B$33,0)),"לא מסווג")</x:f>
        <x:v>בריאות וטיפולים</x:v>
      </x:c>
      <x:c r="J275" s="19" t="str">
        <x:f>IFERROR(INDEX('מיפוי ומקורות'!$D$7:$D$33,MATCH(H275,'מיפוי ומקורות'!$B$7:$B$33,0)),"שוטף")</x:f>
        <x:v>שוטף</x:v>
      </x:c>
      <x:c r="K275" s="19" t="str">
        <x:f>IF(OR(H275="ריביות",AND(H275="דירה כצנלסון",G275&lt;0,ISNUMBER(SEARCH("הכנסה",F275)))),"הכנסה שסווגה מחדש",J275)</x:f>
        <x:v>שוטף</x:v>
      </x:c>
      <x:c r="L275" s="19" t="str">
        <x:v>מאושר</x:v>
      </x:c>
      <x:c r="M275" s="20" t="n">
        <x:f>IF(L275="מאושר",IF(K275="הכנסה שסווגה מחדש",0,G275),0)</x:f>
        <x:v>2100</x:v>
      </x:c>
      <x:c r="N275" s="20" t="n">
        <x:f>IF(K275="שוטף",M275,0)</x:f>
        <x:v>2100</x:v>
      </x:c>
      <x:c r="O275" s="20" t="n">
        <x:f>IF(K275="הכנסה שסווגה מחדש",-G275,0)</x:f>
        <x:v>0</x:v>
      </x:c>
      <x:c r="P275" s="11" t="str">
        <x:v>אמקס זיו</x:v>
      </x:c>
      <x:c r="Q275" s="11" t="str"/>
      <x:c r="R275" s="11" t="str">
        <x:v>לא</x:v>
      </x:c>
    </x:row>
    <x:row r="276">
      <x:c r="A276" s="14" t="n">
        <x:v>45717</x:v>
      </x:c>
      <x:c r="B276" s="11" t="str">
        <x:v>2025-03</x:v>
      </x:c>
      <x:c r="C276" s="11" t="str">
        <x:v>מרץ 25</x:v>
      </x:c>
      <x:c r="D276" s="15" t="n">
        <x:v>108</x:v>
      </x:c>
      <x:c r="E276" s="11" t="str">
        <x:v>31</x:v>
      </x:c>
      <x:c r="F276" s="11" t="str">
        <x:v>החזר TOP CACH</x:v>
      </x:c>
      <x:c r="G276" s="17" t="n">
        <x:v>-76</x:v>
      </x:c>
      <x:c r="H276" s="18" t="str">
        <x:v>חול</x:v>
      </x:c>
      <x:c r="I276" s="19" t="str">
        <x:f>IFERROR(INDEX('מיפוי ומקורות'!$C$7:$C$33,MATCH(H276,'מיפוי ומקורות'!$B$7:$B$33,0)),"לא מסווג")</x:f>
        <x:v>נסיעות וחופשות</x:v>
      </x:c>
      <x:c r="J276" s="19" t="str">
        <x:f>IFERROR(INDEX('מיפוי ומקורות'!$D$7:$D$33,MATCH(H276,'מיפוי ומקורות'!$B$7:$B$33,0)),"שוטף")</x:f>
        <x:v>חריג</x:v>
      </x:c>
      <x:c r="K276" s="19" t="str">
        <x:f>IF(OR(H276="ריביות",AND(H276="דירה כצנלסון",G276&lt;0,ISNUMBER(SEARCH("הכנסה",F276)))),"הכנסה שסווגה מחדש",J276)</x:f>
        <x:v>חריג</x:v>
      </x:c>
      <x:c r="L276" s="19" t="str">
        <x:v>מאושר</x:v>
      </x:c>
      <x:c r="M276" s="20" t="n">
        <x:f>IF(L276="מאושר",IF(K276="הכנסה שסווגה מחדש",0,G276),0)</x:f>
        <x:v>-76</x:v>
      </x:c>
      <x:c r="N276" s="20" t="n">
        <x:f>IF(K276="שוטף",M276,0)</x:f>
        <x:v>0</x:v>
      </x:c>
      <x:c r="O276" s="20" t="n">
        <x:f>IF(K276="הכנסה שסווגה מחדש",-G276,0)</x:f>
        <x:v>0</x:v>
      </x:c>
      <x:c r="P276" s="11" t="str">
        <x:v>הוט זיו</x:v>
      </x:c>
      <x:c r="Q276" s="11" t="str"/>
      <x:c r="R276" s="11" t="str">
        <x:v>לא</x:v>
      </x:c>
    </x:row>
    <x:row r="277">
      <x:c r="A277" s="14" t="n">
        <x:v>45717</x:v>
      </x:c>
      <x:c r="B277" s="11" t="str">
        <x:v>2025-03</x:v>
      </x:c>
      <x:c r="C277" s="11" t="str">
        <x:v>מרץ 25</x:v>
      </x:c>
      <x:c r="D277" s="15" t="n">
        <x:v>109</x:v>
      </x:c>
      <x:c r="E277" s="11" t="str">
        <x:v>2</x:v>
      </x:c>
      <x:c r="F277" s="11" t="str">
        <x:v>סופר</x:v>
      </x:c>
      <x:c r="G277" s="17" t="n">
        <x:v>67</x:v>
      </x:c>
      <x:c r="H277" s="18" t="str">
        <x:v>מזון לבית</x:v>
      </x:c>
      <x:c r="I277" s="19" t="str">
        <x:f>IFERROR(INDEX('מיפוי ומקורות'!$C$7:$C$33,MATCH(H277,'מיפוי ומקורות'!$B$7:$B$33,0)),"לא מסווג")</x:f>
        <x:v>מזון לבית</x:v>
      </x:c>
      <x:c r="J277" s="19" t="str">
        <x:f>IFERROR(INDEX('מיפוי ומקורות'!$D$7:$D$33,MATCH(H277,'מיפוי ומקורות'!$B$7:$B$33,0)),"שוטף")</x:f>
        <x:v>שוטף</x:v>
      </x:c>
      <x:c r="K277" s="19" t="str">
        <x:f>IF(OR(H277="ריביות",AND(H277="דירה כצנלסון",G277&lt;0,ISNUMBER(SEARCH("הכנסה",F277)))),"הכנסה שסווגה מחדש",J277)</x:f>
        <x:v>שוטף</x:v>
      </x:c>
      <x:c r="L277" s="19" t="str">
        <x:v>מאושר</x:v>
      </x:c>
      <x:c r="M277" s="20" t="n">
        <x:f>IF(L277="מאושר",IF(K277="הכנסה שסווגה מחדש",0,G277),0)</x:f>
        <x:v>67</x:v>
      </x:c>
      <x:c r="N277" s="20" t="n">
        <x:f>IF(K277="שוטף",M277,0)</x:f>
        <x:v>67</x:v>
      </x:c>
      <x:c r="O277" s="20" t="n">
        <x:f>IF(K277="הכנסה שסווגה מחדש",-G277,0)</x:f>
        <x:v>0</x:v>
      </x:c>
      <x:c r="P277" s="11" t="str">
        <x:v>סיבוס עינור</x:v>
      </x:c>
      <x:c r="Q277" s="11" t="str"/>
      <x:c r="R277" s="11" t="str">
        <x:v>לא</x:v>
      </x:c>
    </x:row>
    <x:row r="278">
      <x:c r="A278" s="14" t="n">
        <x:v>45717</x:v>
      </x:c>
      <x:c r="B278" s="11" t="str">
        <x:v>2025-03</x:v>
      </x:c>
      <x:c r="C278" s="11" t="str">
        <x:v>מרץ 25</x:v>
      </x:c>
      <x:c r="D278" s="15" t="n">
        <x:v>110</x:v>
      </x:c>
      <x:c r="E278" s="11" t="str">
        <x:v>4</x:v>
      </x:c>
      <x:c r="F278" s="11" t="str">
        <x:v>אוכל בחוץ</x:v>
      </x:c>
      <x:c r="G278" s="17" t="n">
        <x:v>75</x:v>
      </x:c>
      <x:c r="H278" s="18" t="str">
        <x:v>אוכל בחוץ</x:v>
      </x:c>
      <x:c r="I278" s="19" t="str">
        <x:f>IFERROR(INDEX('מיפוי ומקורות'!$C$7:$C$33,MATCH(H278,'מיפוי ומקורות'!$B$7:$B$33,0)),"לא מסווג")</x:f>
        <x:v>אוכל בחוץ</x:v>
      </x:c>
      <x:c r="J278" s="19" t="str">
        <x:f>IFERROR(INDEX('מיפוי ומקורות'!$D$7:$D$33,MATCH(H278,'מיפוי ומקורות'!$B$7:$B$33,0)),"שוטף")</x:f>
        <x:v>שוטף</x:v>
      </x:c>
      <x:c r="K278" s="19" t="str">
        <x:f>IF(OR(H278="ריביות",AND(H278="דירה כצנלסון",G278&lt;0,ISNUMBER(SEARCH("הכנסה",F278)))),"הכנסה שסווגה מחדש",J278)</x:f>
        <x:v>שוטף</x:v>
      </x:c>
      <x:c r="L278" s="19" t="str">
        <x:v>מאושר</x:v>
      </x:c>
      <x:c r="M278" s="20" t="n">
        <x:f>IF(L278="מאושר",IF(K278="הכנסה שסווגה מחדש",0,G278),0)</x:f>
        <x:v>75</x:v>
      </x:c>
      <x:c r="N278" s="20" t="n">
        <x:f>IF(K278="שוטף",M278,0)</x:f>
        <x:v>75</x:v>
      </x:c>
      <x:c r="O278" s="20" t="n">
        <x:f>IF(K278="הכנסה שסווגה מחדש",-G278,0)</x:f>
        <x:v>0</x:v>
      </x:c>
      <x:c r="P278" s="11" t="str">
        <x:v>סיבוס עינור</x:v>
      </x:c>
      <x:c r="Q278" s="11" t="str"/>
      <x:c r="R278" s="11" t="str">
        <x:v>לא</x:v>
      </x:c>
    </x:row>
    <x:row r="279">
      <x:c r="A279" s="14" t="n">
        <x:v>45717</x:v>
      </x:c>
      <x:c r="B279" s="11" t="str">
        <x:v>2025-03</x:v>
      </x:c>
      <x:c r="C279" s="11" t="str">
        <x:v>מרץ 25</x:v>
      </x:c>
      <x:c r="D279" s="15" t="n">
        <x:v>111</x:v>
      </x:c>
      <x:c r="E279" s="11" t="str">
        <x:v>6</x:v>
      </x:c>
      <x:c r="F279" s="11" t="str">
        <x:v>אוכל בחוץ</x:v>
      </x:c>
      <x:c r="G279" s="17" t="n">
        <x:v>21</x:v>
      </x:c>
      <x:c r="H279" s="18" t="str">
        <x:v>אוכל בחוץ</x:v>
      </x:c>
      <x:c r="I279" s="19" t="str">
        <x:f>IFERROR(INDEX('מיפוי ומקורות'!$C$7:$C$33,MATCH(H279,'מיפוי ומקורות'!$B$7:$B$33,0)),"לא מסווג")</x:f>
        <x:v>אוכל בחוץ</x:v>
      </x:c>
      <x:c r="J279" s="19" t="str">
        <x:f>IFERROR(INDEX('מיפוי ומקורות'!$D$7:$D$33,MATCH(H279,'מיפוי ומקורות'!$B$7:$B$33,0)),"שוטף")</x:f>
        <x:v>שוטף</x:v>
      </x:c>
      <x:c r="K279" s="19" t="str">
        <x:f>IF(OR(H279="ריביות",AND(H279="דירה כצנלסון",G279&lt;0,ISNUMBER(SEARCH("הכנסה",F279)))),"הכנסה שסווגה מחדש",J279)</x:f>
        <x:v>שוטף</x:v>
      </x:c>
      <x:c r="L279" s="19" t="str">
        <x:v>מאושר</x:v>
      </x:c>
      <x:c r="M279" s="20" t="n">
        <x:f>IF(L279="מאושר",IF(K279="הכנסה שסווגה מחדש",0,G279),0)</x:f>
        <x:v>21</x:v>
      </x:c>
      <x:c r="N279" s="20" t="n">
        <x:f>IF(K279="שוטף",M279,0)</x:f>
        <x:v>21</x:v>
      </x:c>
      <x:c r="O279" s="20" t="n">
        <x:f>IF(K279="הכנסה שסווגה מחדש",-G279,0)</x:f>
        <x:v>0</x:v>
      </x:c>
      <x:c r="P279" s="11" t="str">
        <x:v>סיבוס עינור</x:v>
      </x:c>
      <x:c r="Q279" s="11" t="str"/>
      <x:c r="R279" s="11" t="str">
        <x:v>לא</x:v>
      </x:c>
    </x:row>
    <x:row r="280">
      <x:c r="A280" s="14" t="n">
        <x:v>45717</x:v>
      </x:c>
      <x:c r="B280" s="11" t="str">
        <x:v>2025-03</x:v>
      </x:c>
      <x:c r="C280" s="11" t="str">
        <x:v>מרץ 25</x:v>
      </x:c>
      <x:c r="D280" s="15" t="n">
        <x:v>112</x:v>
      </x:c>
      <x:c r="E280" s="11" t="str">
        <x:v>10</x:v>
      </x:c>
      <x:c r="F280" s="11" t="str">
        <x:v>אוכל בחוץ</x:v>
      </x:c>
      <x:c r="G280" s="17" t="n">
        <x:v>21</x:v>
      </x:c>
      <x:c r="H280" s="18" t="str">
        <x:v>אוכל בחוץ</x:v>
      </x:c>
      <x:c r="I280" s="19" t="str">
        <x:f>IFERROR(INDEX('מיפוי ומקורות'!$C$7:$C$33,MATCH(H280,'מיפוי ומקורות'!$B$7:$B$33,0)),"לא מסווג")</x:f>
        <x:v>אוכל בחוץ</x:v>
      </x:c>
      <x:c r="J280" s="19" t="str">
        <x:f>IFERROR(INDEX('מיפוי ומקורות'!$D$7:$D$33,MATCH(H280,'מיפוי ומקורות'!$B$7:$B$33,0)),"שוטף")</x:f>
        <x:v>שוטף</x:v>
      </x:c>
      <x:c r="K280" s="19" t="str">
        <x:f>IF(OR(H280="ריביות",AND(H280="דירה כצנלסון",G280&lt;0,ISNUMBER(SEARCH("הכנסה",F280)))),"הכנסה שסווגה מחדש",J280)</x:f>
        <x:v>שוטף</x:v>
      </x:c>
      <x:c r="L280" s="19" t="str">
        <x:v>מאושר</x:v>
      </x:c>
      <x:c r="M280" s="20" t="n">
        <x:f>IF(L280="מאושר",IF(K280="הכנסה שסווגה מחדש",0,G280),0)</x:f>
        <x:v>21</x:v>
      </x:c>
      <x:c r="N280" s="20" t="n">
        <x:f>IF(K280="שוטף",M280,0)</x:f>
        <x:v>21</x:v>
      </x:c>
      <x:c r="O280" s="20" t="n">
        <x:f>IF(K280="הכנסה שסווגה מחדש",-G280,0)</x:f>
        <x:v>0</x:v>
      </x:c>
      <x:c r="P280" s="11" t="str">
        <x:v>סיבוס עינור</x:v>
      </x:c>
      <x:c r="Q280" s="11" t="str"/>
      <x:c r="R280" s="11" t="str">
        <x:v>לא</x:v>
      </x:c>
    </x:row>
    <x:row r="281">
      <x:c r="A281" s="14" t="n">
        <x:v>45717</x:v>
      </x:c>
      <x:c r="B281" s="11" t="str">
        <x:v>2025-03</x:v>
      </x:c>
      <x:c r="C281" s="11" t="str">
        <x:v>מרץ 25</x:v>
      </x:c>
      <x:c r="D281" s="15" t="n">
        <x:v>113</x:v>
      </x:c>
      <x:c r="E281" s="11" t="str">
        <x:v>11</x:v>
      </x:c>
      <x:c r="F281" s="11" t="str">
        <x:v>סופר</x:v>
      </x:c>
      <x:c r="G281" s="17" t="n">
        <x:v>182</x:v>
      </x:c>
      <x:c r="H281" s="18" t="str">
        <x:v>מזון לבית</x:v>
      </x:c>
      <x:c r="I281" s="19" t="str">
        <x:f>IFERROR(INDEX('מיפוי ומקורות'!$C$7:$C$33,MATCH(H281,'מיפוי ומקורות'!$B$7:$B$33,0)),"לא מסווג")</x:f>
        <x:v>מזון לבית</x:v>
      </x:c>
      <x:c r="J281" s="19" t="str">
        <x:f>IFERROR(INDEX('מיפוי ומקורות'!$D$7:$D$33,MATCH(H281,'מיפוי ומקורות'!$B$7:$B$33,0)),"שוטף")</x:f>
        <x:v>שוטף</x:v>
      </x:c>
      <x:c r="K281" s="19" t="str">
        <x:f>IF(OR(H281="ריביות",AND(H281="דירה כצנלסון",G281&lt;0,ISNUMBER(SEARCH("הכנסה",F281)))),"הכנסה שסווגה מחדש",J281)</x:f>
        <x:v>שוטף</x:v>
      </x:c>
      <x:c r="L281" s="19" t="str">
        <x:v>מאושר</x:v>
      </x:c>
      <x:c r="M281" s="20" t="n">
        <x:f>IF(L281="מאושר",IF(K281="הכנסה שסווגה מחדש",0,G281),0)</x:f>
        <x:v>182</x:v>
      </x:c>
      <x:c r="N281" s="20" t="n">
        <x:f>IF(K281="שוטף",M281,0)</x:f>
        <x:v>182</x:v>
      </x:c>
      <x:c r="O281" s="20" t="n">
        <x:f>IF(K281="הכנסה שסווגה מחדש",-G281,0)</x:f>
        <x:v>0</x:v>
      </x:c>
      <x:c r="P281" s="11" t="str">
        <x:v>סיבוס עינור</x:v>
      </x:c>
      <x:c r="Q281" s="11" t="str"/>
      <x:c r="R281" s="11" t="str">
        <x:v>לא</x:v>
      </x:c>
    </x:row>
    <x:row r="282">
      <x:c r="A282" s="14" t="n">
        <x:v>45717</x:v>
      </x:c>
      <x:c r="B282" s="11" t="str">
        <x:v>2025-03</x:v>
      </x:c>
      <x:c r="C282" s="11" t="str">
        <x:v>מרץ 25</x:v>
      </x:c>
      <x:c r="D282" s="15" t="n">
        <x:v>114</x:v>
      </x:c>
      <x:c r="E282" s="11" t="str">
        <x:v>13</x:v>
      </x:c>
      <x:c r="F282" s="11" t="str">
        <x:v>סופר</x:v>
      </x:c>
      <x:c r="G282" s="17" t="n">
        <x:v>43</x:v>
      </x:c>
      <x:c r="H282" s="18" t="str">
        <x:v>מזון לבית</x:v>
      </x:c>
      <x:c r="I282" s="19" t="str">
        <x:f>IFERROR(INDEX('מיפוי ומקורות'!$C$7:$C$33,MATCH(H282,'מיפוי ומקורות'!$B$7:$B$33,0)),"לא מסווג")</x:f>
        <x:v>מזון לבית</x:v>
      </x:c>
      <x:c r="J282" s="19" t="str">
        <x:f>IFERROR(INDEX('מיפוי ומקורות'!$D$7:$D$33,MATCH(H282,'מיפוי ומקורות'!$B$7:$B$33,0)),"שוטף")</x:f>
        <x:v>שוטף</x:v>
      </x:c>
      <x:c r="K282" s="19" t="str">
        <x:f>IF(OR(H282="ריביות",AND(H282="דירה כצנלסון",G282&lt;0,ISNUMBER(SEARCH("הכנסה",F282)))),"הכנסה שסווגה מחדש",J282)</x:f>
        <x:v>שוטף</x:v>
      </x:c>
      <x:c r="L282" s="19" t="str">
        <x:v>מאושר</x:v>
      </x:c>
      <x:c r="M282" s="20" t="n">
        <x:f>IF(L282="מאושר",IF(K282="הכנסה שסווגה מחדש",0,G282),0)</x:f>
        <x:v>43</x:v>
      </x:c>
      <x:c r="N282" s="20" t="n">
        <x:f>IF(K282="שוטף",M282,0)</x:f>
        <x:v>43</x:v>
      </x:c>
      <x:c r="O282" s="20" t="n">
        <x:f>IF(K282="הכנסה שסווגה מחדש",-G282,0)</x:f>
        <x:v>0</x:v>
      </x:c>
      <x:c r="P282" s="11" t="str">
        <x:v>סיבוס עינור</x:v>
      </x:c>
      <x:c r="Q282" s="11" t="str"/>
      <x:c r="R282" s="11" t="str">
        <x:v>לא</x:v>
      </x:c>
    </x:row>
    <x:row r="283">
      <x:c r="A283" s="14" t="n">
        <x:v>45717</x:v>
      </x:c>
      <x:c r="B283" s="11" t="str">
        <x:v>2025-03</x:v>
      </x:c>
      <x:c r="C283" s="11" t="str">
        <x:v>מרץ 25</x:v>
      </x:c>
      <x:c r="D283" s="15" t="n">
        <x:v>115</x:v>
      </x:c>
      <x:c r="E283" s="11" t="str">
        <x:v>16</x:v>
      </x:c>
      <x:c r="F283" s="11" t="str">
        <x:v>סופר</x:v>
      </x:c>
      <x:c r="G283" s="17" t="n">
        <x:v>19</x:v>
      </x:c>
      <x:c r="H283" s="18" t="str">
        <x:v>מזון לבית</x:v>
      </x:c>
      <x:c r="I283" s="19" t="str">
        <x:f>IFERROR(INDEX('מיפוי ומקורות'!$C$7:$C$33,MATCH(H283,'מיפוי ומקורות'!$B$7:$B$33,0)),"לא מסווג")</x:f>
        <x:v>מזון לבית</x:v>
      </x:c>
      <x:c r="J283" s="19" t="str">
        <x:f>IFERROR(INDEX('מיפוי ומקורות'!$D$7:$D$33,MATCH(H283,'מיפוי ומקורות'!$B$7:$B$33,0)),"שוטף")</x:f>
        <x:v>שוטף</x:v>
      </x:c>
      <x:c r="K283" s="19" t="str">
        <x:f>IF(OR(H283="ריביות",AND(H283="דירה כצנלסון",G283&lt;0,ISNUMBER(SEARCH("הכנסה",F283)))),"הכנסה שסווגה מחדש",J283)</x:f>
        <x:v>שוטף</x:v>
      </x:c>
      <x:c r="L283" s="19" t="str">
        <x:v>מאושר</x:v>
      </x:c>
      <x:c r="M283" s="20" t="n">
        <x:f>IF(L283="מאושר",IF(K283="הכנסה שסווגה מחדש",0,G283),0)</x:f>
        <x:v>19</x:v>
      </x:c>
      <x:c r="N283" s="20" t="n">
        <x:f>IF(K283="שוטף",M283,0)</x:f>
        <x:v>19</x:v>
      </x:c>
      <x:c r="O283" s="20" t="n">
        <x:f>IF(K283="הכנסה שסווגה מחדש",-G283,0)</x:f>
        <x:v>0</x:v>
      </x:c>
      <x:c r="P283" s="11" t="str">
        <x:v>סיבוס עינור</x:v>
      </x:c>
      <x:c r="Q283" s="11" t="str"/>
      <x:c r="R283" s="11" t="str">
        <x:v>לא</x:v>
      </x:c>
    </x:row>
    <x:row r="284">
      <x:c r="A284" s="14" t="n">
        <x:v>45717</x:v>
      </x:c>
      <x:c r="B284" s="11" t="str">
        <x:v>2025-03</x:v>
      </x:c>
      <x:c r="C284" s="11" t="str">
        <x:v>מרץ 25</x:v>
      </x:c>
      <x:c r="D284" s="15" t="n">
        <x:v>116</x:v>
      </x:c>
      <x:c r="E284" s="11" t="str">
        <x:v>23</x:v>
      </x:c>
      <x:c r="F284" s="11" t="str">
        <x:v>סופר</x:v>
      </x:c>
      <x:c r="G284" s="17" t="n">
        <x:v>71</x:v>
      </x:c>
      <x:c r="H284" s="18" t="str">
        <x:v>מזון לבית</x:v>
      </x:c>
      <x:c r="I284" s="19" t="str">
        <x:f>IFERROR(INDEX('מיפוי ומקורות'!$C$7:$C$33,MATCH(H284,'מיפוי ומקורות'!$B$7:$B$33,0)),"לא מסווג")</x:f>
        <x:v>מזון לבית</x:v>
      </x:c>
      <x:c r="J284" s="19" t="str">
        <x:f>IFERROR(INDEX('מיפוי ומקורות'!$D$7:$D$33,MATCH(H284,'מיפוי ומקורות'!$B$7:$B$33,0)),"שוטף")</x:f>
        <x:v>שוטף</x:v>
      </x:c>
      <x:c r="K284" s="19" t="str">
        <x:f>IF(OR(H284="ריביות",AND(H284="דירה כצנלסון",G284&lt;0,ISNUMBER(SEARCH("הכנסה",F284)))),"הכנסה שסווגה מחדש",J284)</x:f>
        <x:v>שוטף</x:v>
      </x:c>
      <x:c r="L284" s="19" t="str">
        <x:v>מאושר</x:v>
      </x:c>
      <x:c r="M284" s="20" t="n">
        <x:f>IF(L284="מאושר",IF(K284="הכנסה שסווגה מחדש",0,G284),0)</x:f>
        <x:v>71</x:v>
      </x:c>
      <x:c r="N284" s="20" t="n">
        <x:f>IF(K284="שוטף",M284,0)</x:f>
        <x:v>71</x:v>
      </x:c>
      <x:c r="O284" s="20" t="n">
        <x:f>IF(K284="הכנסה שסווגה מחדש",-G284,0)</x:f>
        <x:v>0</x:v>
      </x:c>
      <x:c r="P284" s="11" t="str">
        <x:v>סיבוס עינור</x:v>
      </x:c>
      <x:c r="Q284" s="11" t="str"/>
      <x:c r="R284" s="11" t="str">
        <x:v>לא</x:v>
      </x:c>
    </x:row>
    <x:row r="285">
      <x:c r="A285" s="14" t="n">
        <x:v>45717</x:v>
      </x:c>
      <x:c r="B285" s="11" t="str">
        <x:v>2025-03</x:v>
      </x:c>
      <x:c r="C285" s="11" t="str">
        <x:v>מרץ 25</x:v>
      </x:c>
      <x:c r="D285" s="15" t="n">
        <x:v>117</x:v>
      </x:c>
      <x:c r="E285" s="11" t="str">
        <x:v>23</x:v>
      </x:c>
      <x:c r="F285" s="11" t="str">
        <x:v>אוכל בחוץ</x:v>
      </x:c>
      <x:c r="G285" s="17" t="n">
        <x:v>19</x:v>
      </x:c>
      <x:c r="H285" s="18" t="str">
        <x:v>אוכל בחוץ</x:v>
      </x:c>
      <x:c r="I285" s="19" t="str">
        <x:f>IFERROR(INDEX('מיפוי ומקורות'!$C$7:$C$33,MATCH(H285,'מיפוי ומקורות'!$B$7:$B$33,0)),"לא מסווג")</x:f>
        <x:v>אוכל בחוץ</x:v>
      </x:c>
      <x:c r="J285" s="19" t="str">
        <x:f>IFERROR(INDEX('מיפוי ומקורות'!$D$7:$D$33,MATCH(H285,'מיפוי ומקורות'!$B$7:$B$33,0)),"שוטף")</x:f>
        <x:v>שוטף</x:v>
      </x:c>
      <x:c r="K285" s="19" t="str">
        <x:f>IF(OR(H285="ריביות",AND(H285="דירה כצנלסון",G285&lt;0,ISNUMBER(SEARCH("הכנסה",F285)))),"הכנסה שסווגה מחדש",J285)</x:f>
        <x:v>שוטף</x:v>
      </x:c>
      <x:c r="L285" s="19" t="str">
        <x:v>מאושר</x:v>
      </x:c>
      <x:c r="M285" s="20" t="n">
        <x:f>IF(L285="מאושר",IF(K285="הכנסה שסווגה מחדש",0,G285),0)</x:f>
        <x:v>19</x:v>
      </x:c>
      <x:c r="N285" s="20" t="n">
        <x:f>IF(K285="שוטף",M285,0)</x:f>
        <x:v>19</x:v>
      </x:c>
      <x:c r="O285" s="20" t="n">
        <x:f>IF(K285="הכנסה שסווגה מחדש",-G285,0)</x:f>
        <x:v>0</x:v>
      </x:c>
      <x:c r="P285" s="11" t="str">
        <x:v>סיבוס עינור</x:v>
      </x:c>
      <x:c r="Q285" s="11" t="str"/>
      <x:c r="R285" s="11" t="str">
        <x:v>לא</x:v>
      </x:c>
    </x:row>
    <x:row r="286">
      <x:c r="A286" s="14" t="n">
        <x:v>45717</x:v>
      </x:c>
      <x:c r="B286" s="11" t="str">
        <x:v>2025-03</x:v>
      </x:c>
      <x:c r="C286" s="11" t="str">
        <x:v>מרץ 25</x:v>
      </x:c>
      <x:c r="D286" s="15" t="n">
        <x:v>118</x:v>
      </x:c>
      <x:c r="E286" s="11" t="str">
        <x:v>23</x:v>
      </x:c>
      <x:c r="F286" s="11" t="str">
        <x:v>אוכל בחוץ</x:v>
      </x:c>
      <x:c r="G286" s="17" t="n">
        <x:v>41</x:v>
      </x:c>
      <x:c r="H286" s="18" t="str">
        <x:v>אוכל בחוץ</x:v>
      </x:c>
      <x:c r="I286" s="19" t="str">
        <x:f>IFERROR(INDEX('מיפוי ומקורות'!$C$7:$C$33,MATCH(H286,'מיפוי ומקורות'!$B$7:$B$33,0)),"לא מסווג")</x:f>
        <x:v>אוכל בחוץ</x:v>
      </x:c>
      <x:c r="J286" s="19" t="str">
        <x:f>IFERROR(INDEX('מיפוי ומקורות'!$D$7:$D$33,MATCH(H286,'מיפוי ומקורות'!$B$7:$B$33,0)),"שוטף")</x:f>
        <x:v>שוטף</x:v>
      </x:c>
      <x:c r="K286" s="19" t="str">
        <x:f>IF(OR(H286="ריביות",AND(H286="דירה כצנלסון",G286&lt;0,ISNUMBER(SEARCH("הכנסה",F286)))),"הכנסה שסווגה מחדש",J286)</x:f>
        <x:v>שוטף</x:v>
      </x:c>
      <x:c r="L286" s="19" t="str">
        <x:v>מאושר</x:v>
      </x:c>
      <x:c r="M286" s="20" t="n">
        <x:f>IF(L286="מאושר",IF(K286="הכנסה שסווגה מחדש",0,G286),0)</x:f>
        <x:v>41</x:v>
      </x:c>
      <x:c r="N286" s="20" t="n">
        <x:f>IF(K286="שוטף",M286,0)</x:f>
        <x:v>41</x:v>
      </x:c>
      <x:c r="O286" s="20" t="n">
        <x:f>IF(K286="הכנסה שסווגה מחדש",-G286,0)</x:f>
        <x:v>0</x:v>
      </x:c>
      <x:c r="P286" s="11" t="str">
        <x:v>סיבוס עינור</x:v>
      </x:c>
      <x:c r="Q286" s="11" t="str"/>
      <x:c r="R286" s="11" t="str">
        <x:v>לא</x:v>
      </x:c>
    </x:row>
    <x:row r="287">
      <x:c r="A287" s="14" t="n">
        <x:v>45717</x:v>
      </x:c>
      <x:c r="B287" s="11" t="str">
        <x:v>2025-03</x:v>
      </x:c>
      <x:c r="C287" s="11" t="str">
        <x:v>מרץ 25</x:v>
      </x:c>
      <x:c r="D287" s="15" t="n">
        <x:v>119</x:v>
      </x:c>
      <x:c r="E287" s="11" t="str">
        <x:v>26</x:v>
      </x:c>
      <x:c r="F287" s="11" t="str">
        <x:v>חוות נעמי</x:v>
      </x:c>
      <x:c r="G287" s="17" t="n">
        <x:v>175</x:v>
      </x:c>
      <x:c r="H287" s="18" t="str">
        <x:v>אוכל בחוץ</x:v>
      </x:c>
      <x:c r="I287" s="19" t="str">
        <x:f>IFERROR(INDEX('מיפוי ומקורות'!$C$7:$C$33,MATCH(H287,'מיפוי ומקורות'!$B$7:$B$33,0)),"לא מסווג")</x:f>
        <x:v>אוכל בחוץ</x:v>
      </x:c>
      <x:c r="J287" s="19" t="str">
        <x:f>IFERROR(INDEX('מיפוי ומקורות'!$D$7:$D$33,MATCH(H287,'מיפוי ומקורות'!$B$7:$B$33,0)),"שוטף")</x:f>
        <x:v>שוטף</x:v>
      </x:c>
      <x:c r="K287" s="19" t="str">
        <x:f>IF(OR(H287="ריביות",AND(H287="דירה כצנלסון",G287&lt;0,ISNUMBER(SEARCH("הכנסה",F287)))),"הכנסה שסווגה מחדש",J287)</x:f>
        <x:v>שוטף</x:v>
      </x:c>
      <x:c r="L287" s="19" t="str">
        <x:v>מאושר</x:v>
      </x:c>
      <x:c r="M287" s="20" t="n">
        <x:f>IF(L287="מאושר",IF(K287="הכנסה שסווגה מחדש",0,G287),0)</x:f>
        <x:v>175</x:v>
      </x:c>
      <x:c r="N287" s="20" t="n">
        <x:f>IF(K287="שוטף",M287,0)</x:f>
        <x:v>175</x:v>
      </x:c>
      <x:c r="O287" s="20" t="n">
        <x:f>IF(K287="הכנסה שסווגה מחדש",-G287,0)</x:f>
        <x:v>0</x:v>
      </x:c>
      <x:c r="P287" s="11" t="str">
        <x:v>סיבוס עינור</x:v>
      </x:c>
      <x:c r="Q287" s="11" t="str"/>
      <x:c r="R287" s="11" t="str">
        <x:v>לא</x:v>
      </x:c>
    </x:row>
    <x:row r="288">
      <x:c r="A288" s="14" t="n">
        <x:v>45717</x:v>
      </x:c>
      <x:c r="B288" s="11" t="str">
        <x:v>2025-03</x:v>
      </x:c>
      <x:c r="C288" s="11" t="str">
        <x:v>מרץ 25</x:v>
      </x:c>
      <x:c r="D288" s="15" t="n">
        <x:v>120</x:v>
      </x:c>
      <x:c r="E288" s="11" t="str">
        <x:v>29</x:v>
      </x:c>
      <x:c r="F288" s="11" t="str">
        <x:v>אוכל בחוץ</x:v>
      </x:c>
      <x:c r="G288" s="17" t="n">
        <x:v>89</x:v>
      </x:c>
      <x:c r="H288" s="18" t="str">
        <x:v>אוכל בחוץ</x:v>
      </x:c>
      <x:c r="I288" s="19" t="str">
        <x:f>IFERROR(INDEX('מיפוי ומקורות'!$C$7:$C$33,MATCH(H288,'מיפוי ומקורות'!$B$7:$B$33,0)),"לא מסווג")</x:f>
        <x:v>אוכל בחוץ</x:v>
      </x:c>
      <x:c r="J288" s="19" t="str">
        <x:f>IFERROR(INDEX('מיפוי ומקורות'!$D$7:$D$33,MATCH(H288,'מיפוי ומקורות'!$B$7:$B$33,0)),"שוטף")</x:f>
        <x:v>שוטף</x:v>
      </x:c>
      <x:c r="K288" s="19" t="str">
        <x:f>IF(OR(H288="ריביות",AND(H288="דירה כצנלסון",G288&lt;0,ISNUMBER(SEARCH("הכנסה",F288)))),"הכנסה שסווגה מחדש",J288)</x:f>
        <x:v>שוטף</x:v>
      </x:c>
      <x:c r="L288" s="19" t="str">
        <x:v>מאושר</x:v>
      </x:c>
      <x:c r="M288" s="20" t="n">
        <x:f>IF(L288="מאושר",IF(K288="הכנסה שסווגה מחדש",0,G288),0)</x:f>
        <x:v>89</x:v>
      </x:c>
      <x:c r="N288" s="20" t="n">
        <x:f>IF(K288="שוטף",M288,0)</x:f>
        <x:v>89</x:v>
      </x:c>
      <x:c r="O288" s="20" t="n">
        <x:f>IF(K288="הכנסה שסווגה מחדש",-G288,0)</x:f>
        <x:v>0</x:v>
      </x:c>
      <x:c r="P288" s="11" t="str">
        <x:v>סיבוס עינור</x:v>
      </x:c>
      <x:c r="Q288" s="11" t="str"/>
      <x:c r="R288" s="11" t="str">
        <x:v>לא</x:v>
      </x:c>
    </x:row>
    <x:row r="289">
      <x:c r="A289" s="14" t="n">
        <x:v>45717</x:v>
      </x:c>
      <x:c r="B289" s="11" t="str">
        <x:v>2025-03</x:v>
      </x:c>
      <x:c r="C289" s="11" t="str">
        <x:v>מרץ 25</x:v>
      </x:c>
      <x:c r="D289" s="15" t="n">
        <x:v>121</x:v>
      </x:c>
      <x:c r="E289" s="11" t="str">
        <x:v>29</x:v>
      </x:c>
      <x:c r="F289" s="11" t="str">
        <x:v>סופר</x:v>
      </x:c>
      <x:c r="G289" s="17" t="n">
        <x:v>242</x:v>
      </x:c>
      <x:c r="H289" s="18" t="str">
        <x:v>מזון לבית</x:v>
      </x:c>
      <x:c r="I289" s="19" t="str">
        <x:f>IFERROR(INDEX('מיפוי ומקורות'!$C$7:$C$33,MATCH(H289,'מיפוי ומקורות'!$B$7:$B$33,0)),"לא מסווג")</x:f>
        <x:v>מזון לבית</x:v>
      </x:c>
      <x:c r="J289" s="19" t="str">
        <x:f>IFERROR(INDEX('מיפוי ומקורות'!$D$7:$D$33,MATCH(H289,'מיפוי ומקורות'!$B$7:$B$33,0)),"שוטף")</x:f>
        <x:v>שוטף</x:v>
      </x:c>
      <x:c r="K289" s="19" t="str">
        <x:f>IF(OR(H289="ריביות",AND(H289="דירה כצנלסון",G289&lt;0,ISNUMBER(SEARCH("הכנסה",F289)))),"הכנסה שסווגה מחדש",J289)</x:f>
        <x:v>שוטף</x:v>
      </x:c>
      <x:c r="L289" s="19" t="str">
        <x:v>מאושר</x:v>
      </x:c>
      <x:c r="M289" s="20" t="n">
        <x:f>IF(L289="מאושר",IF(K289="הכנסה שסווגה מחדש",0,G289),0)</x:f>
        <x:v>242</x:v>
      </x:c>
      <x:c r="N289" s="20" t="n">
        <x:f>IF(K289="שוטף",M289,0)</x:f>
        <x:v>242</x:v>
      </x:c>
      <x:c r="O289" s="20" t="n">
        <x:f>IF(K289="הכנסה שסווגה מחדש",-G289,0)</x:f>
        <x:v>0</x:v>
      </x:c>
      <x:c r="P289" s="11" t="str">
        <x:v>סיבוס עינור</x:v>
      </x:c>
      <x:c r="Q289" s="11" t="str"/>
      <x:c r="R289" s="11" t="str">
        <x:v>לא</x:v>
      </x:c>
    </x:row>
    <x:row r="290">
      <x:c r="A290" s="14" t="n">
        <x:v>45717</x:v>
      </x:c>
      <x:c r="B290" s="11" t="str">
        <x:v>2025-03</x:v>
      </x:c>
      <x:c r="C290" s="11" t="str">
        <x:v>מרץ 25</x:v>
      </x:c>
      <x:c r="D290" s="15" t="n">
        <x:v>122</x:v>
      </x:c>
      <x:c r="E290" s="11" t="str">
        <x:v>1</x:v>
      </x:c>
      <x:c r="F290" s="11" t="str">
        <x:v>אימונים</x:v>
      </x:c>
      <x:c r="G290" s="17" t="n">
        <x:v>819</x:v>
      </x:c>
      <x:c r="H290" s="18" t="str">
        <x:v>ספורט</x:v>
      </x:c>
      <x:c r="I290" s="19" t="str">
        <x:f>IFERROR(INDEX('מיפוי ומקורות'!$C$7:$C$33,MATCH(H290,'מיפוי ומקורות'!$B$7:$B$33,0)),"לא מסווג")</x:f>
        <x:v>ספורט</x:v>
      </x:c>
      <x:c r="J290" s="19" t="str">
        <x:f>IFERROR(INDEX('מיפוי ומקורות'!$D$7:$D$33,MATCH(H290,'מיפוי ומקורות'!$B$7:$B$33,0)),"שוטף")</x:f>
        <x:v>שוטף</x:v>
      </x:c>
      <x:c r="K290" s="19" t="str">
        <x:f>IF(OR(H290="ריביות",AND(H290="דירה כצנלסון",G290&lt;0,ISNUMBER(SEARCH("הכנסה",F290)))),"הכנסה שסווגה מחדש",J290)</x:f>
        <x:v>שוטף</x:v>
      </x:c>
      <x:c r="L290" s="19" t="str">
        <x:v>מאושר</x:v>
      </x:c>
      <x:c r="M290" s="20" t="n">
        <x:f>IF(L290="מאושר",IF(K290="הכנסה שסווגה מחדש",0,G290),0)</x:f>
        <x:v>819</x:v>
      </x:c>
      <x:c r="N290" s="20" t="n">
        <x:f>IF(K290="שוטף",M290,0)</x:f>
        <x:v>819</x:v>
      </x:c>
      <x:c r="O290" s="20" t="n">
        <x:f>IF(K290="הכנסה שסווגה מחדש",-G290,0)</x:f>
        <x:v>0</x:v>
      </x:c>
      <x:c r="P290" s="11" t="str">
        <x:v>אחר - עינור</x:v>
      </x:c>
      <x:c r="Q290" s="11" t="str"/>
      <x:c r="R290" s="11" t="str">
        <x:v>לא</x:v>
      </x:c>
    </x:row>
    <x:row r="291">
      <x:c r="A291" s="14" t="n">
        <x:v>45717</x:v>
      </x:c>
      <x:c r="B291" s="11" t="str">
        <x:v>2025-03</x:v>
      </x:c>
      <x:c r="C291" s="11" t="str">
        <x:v>מרץ 25</x:v>
      </x:c>
      <x:c r="D291" s="15" t="n">
        <x:v>123</x:v>
      </x:c>
      <x:c r="E291" s="11" t="str"/>
      <x:c r="F291" s="11" t="str">
        <x:v>ריבית מחיסון</x:v>
      </x:c>
      <x:c r="G291" s="17" t="n">
        <x:v>-31</x:v>
      </x:c>
      <x:c r="H291" s="18" t="str">
        <x:v>ריביות</x:v>
      </x:c>
      <x:c r="I291" s="19" t="str">
        <x:f>IFERROR(INDEX('מיפוי ומקורות'!$C$7:$C$33,MATCH(H291,'מיפוי ומקורות'!$B$7:$B$33,0)),"לא מסווג")</x:f>
        <x:v>זרם פיננסי</x:v>
      </x:c>
      <x:c r="J291" s="19" t="str">
        <x:f>IFERROR(INDEX('מיפוי ומקורות'!$D$7:$D$33,MATCH(H291,'מיפוי ומקורות'!$B$7:$B$33,0)),"שוטף")</x:f>
        <x:v>הכנסה שסווגה מחדש</x:v>
      </x:c>
      <x:c r="K291" s="19" t="str">
        <x:f>IF(OR(H291="ריביות",AND(H291="דירה כצנלסון",G291&lt;0,ISNUMBER(SEARCH("הכנסה",F291)))),"הכנסה שסווגה מחדש",J291)</x:f>
        <x:v>הכנסה שסווגה מחדש</x:v>
      </x:c>
      <x:c r="L291" s="19" t="str">
        <x:v>מאושר</x:v>
      </x:c>
      <x:c r="M291" s="20" t="n">
        <x:f>IF(L291="מאושר",IF(K291="הכנסה שסווגה מחדש",0,G291),0)</x:f>
        <x:v>0</x:v>
      </x:c>
      <x:c r="N291" s="20" t="n">
        <x:f>IF(K291="שוטף",M291,0)</x:f>
        <x:v>0</x:v>
      </x:c>
      <x:c r="O291" s="20" t="n">
        <x:f>IF(K291="הכנסה שסווגה מחדש",-G291,0)</x:f>
        <x:v>31</x:v>
      </x:c>
      <x:c r="P291" s="11" t="str">
        <x:v>one zero</x:v>
      </x:c>
      <x:c r="Q291" s="11" t="str"/>
      <x:c r="R291" s="11" t="str">
        <x:v>לא</x:v>
      </x:c>
    </x:row>
    <x:row r="292">
      <x:c r="A292" s="14" t="n">
        <x:v>45717</x:v>
      </x:c>
      <x:c r="B292" s="11" t="str">
        <x:v>2025-03</x:v>
      </x:c>
      <x:c r="C292" s="11" t="str">
        <x:v>מרץ 25</x:v>
      </x:c>
      <x:c r="D292" s="15" t="n">
        <x:v>124</x:v>
      </x:c>
      <x:c r="E292" s="11" t="str"/>
      <x:c r="F292" s="11" t="str">
        <x:v>ריבית מחיסון</x:v>
      </x:c>
      <x:c r="G292" s="17" t="n">
        <x:v>-40</x:v>
      </x:c>
      <x:c r="H292" s="18" t="str">
        <x:v>ריביות</x:v>
      </x:c>
      <x:c r="I292" s="19" t="str">
        <x:f>IFERROR(INDEX('מיפוי ומקורות'!$C$7:$C$33,MATCH(H292,'מיפוי ומקורות'!$B$7:$B$33,0)),"לא מסווג")</x:f>
        <x:v>זרם פיננסי</x:v>
      </x:c>
      <x:c r="J292" s="19" t="str">
        <x:f>IFERROR(INDEX('מיפוי ומקורות'!$D$7:$D$33,MATCH(H292,'מיפוי ומקורות'!$B$7:$B$33,0)),"שוטף")</x:f>
        <x:v>הכנסה שסווגה מחדש</x:v>
      </x:c>
      <x:c r="K292" s="19" t="str">
        <x:f>IF(OR(H292="ריביות",AND(H292="דירה כצנלסון",G292&lt;0,ISNUMBER(SEARCH("הכנסה",F292)))),"הכנסה שסווגה מחדש",J292)</x:f>
        <x:v>הכנסה שסווגה מחדש</x:v>
      </x:c>
      <x:c r="L292" s="19" t="str">
        <x:v>מאושר</x:v>
      </x:c>
      <x:c r="M292" s="20" t="n">
        <x:f>IF(L292="מאושר",IF(K292="הכנסה שסווגה מחדש",0,G292),0)</x:f>
        <x:v>0</x:v>
      </x:c>
      <x:c r="N292" s="20" t="n">
        <x:f>IF(K292="שוטף",M292,0)</x:f>
        <x:v>0</x:v>
      </x:c>
      <x:c r="O292" s="20" t="n">
        <x:f>IF(K292="הכנסה שסווגה מחדש",-G292,0)</x:f>
        <x:v>40</x:v>
      </x:c>
      <x:c r="P292" s="11" t="str">
        <x:v>one zero</x:v>
      </x:c>
      <x:c r="Q292" s="11" t="str"/>
      <x:c r="R292" s="11" t="str">
        <x:v>לא</x:v>
      </x:c>
    </x:row>
    <x:row r="293">
      <x:c r="A293" s="14" t="n">
        <x:v>45717</x:v>
      </x:c>
      <x:c r="B293" s="11" t="str">
        <x:v>2025-03</x:v>
      </x:c>
      <x:c r="C293" s="11" t="str">
        <x:v>מרץ 25</x:v>
      </x:c>
      <x:c r="D293" s="15" t="n">
        <x:v>125</x:v>
      </x:c>
      <x:c r="E293" s="11" t="str"/>
      <x:c r="F293" s="11" t="str">
        <x:v>ריבית מחיסון</x:v>
      </x:c>
      <x:c r="G293" s="17" t="n">
        <x:v>-418</x:v>
      </x:c>
      <x:c r="H293" s="18" t="str">
        <x:v>ריביות</x:v>
      </x:c>
      <x:c r="I293" s="19" t="str">
        <x:f>IFERROR(INDEX('מיפוי ומקורות'!$C$7:$C$33,MATCH(H293,'מיפוי ומקורות'!$B$7:$B$33,0)),"לא מסווג")</x:f>
        <x:v>זרם פיננסי</x:v>
      </x:c>
      <x:c r="J293" s="19" t="str">
        <x:f>IFERROR(INDEX('מיפוי ומקורות'!$D$7:$D$33,MATCH(H293,'מיפוי ומקורות'!$B$7:$B$33,0)),"שוטף")</x:f>
        <x:v>הכנסה שסווגה מחדש</x:v>
      </x:c>
      <x:c r="K293" s="19" t="str">
        <x:f>IF(OR(H293="ריביות",AND(H293="דירה כצנלסון",G293&lt;0,ISNUMBER(SEARCH("הכנסה",F293)))),"הכנסה שסווגה מחדש",J293)</x:f>
        <x:v>הכנסה שסווגה מחדש</x:v>
      </x:c>
      <x:c r="L293" s="19" t="str">
        <x:v>מאושר</x:v>
      </x:c>
      <x:c r="M293" s="20" t="n">
        <x:f>IF(L293="מאושר",IF(K293="הכנסה שסווגה מחדש",0,G293),0)</x:f>
        <x:v>0</x:v>
      </x:c>
      <x:c r="N293" s="20" t="n">
        <x:f>IF(K293="שוטף",M293,0)</x:f>
        <x:v>0</x:v>
      </x:c>
      <x:c r="O293" s="20" t="n">
        <x:f>IF(K293="הכנסה שסווגה מחדש",-G293,0)</x:f>
        <x:v>418</x:v>
      </x:c>
      <x:c r="P293" s="11" t="str">
        <x:v>one zero</x:v>
      </x:c>
      <x:c r="Q293" s="11" t="str"/>
      <x:c r="R293" s="11" t="str">
        <x:v>לא</x:v>
      </x:c>
    </x:row>
    <x:row r="294">
      <x:c r="A294" s="14" t="n">
        <x:v>45748</x:v>
      </x:c>
      <x:c r="B294" s="11" t="str">
        <x:v>2025-04</x:v>
      </x:c>
      <x:c r="C294" s="11" t="str">
        <x:v>אפריל 25</x:v>
      </x:c>
      <x:c r="D294" s="15" t="n">
        <x:v>2</x:v>
      </x:c>
      <x:c r="E294" s="11" t="str">
        <x:v>14</x:v>
      </x:c>
      <x:c r="F294" s="11" t="str">
        <x:v>שכר דירה</x:v>
      </x:c>
      <x:c r="G294" s="17" t="n">
        <x:v>7500</x:v>
      </x:c>
      <x:c r="H294" s="18" t="str">
        <x:v>מגורים חודשי</x:v>
      </x:c>
      <x:c r="I294" s="19" t="str">
        <x:f>IFERROR(INDEX('מיפוי ומקורות'!$C$7:$C$33,MATCH(H294,'מיפוי ומקורות'!$B$7:$B$33,0)),"לא מסווג")</x:f>
        <x:v>דיור – בית מגורים</x:v>
      </x:c>
      <x:c r="J294" s="19" t="str">
        <x:f>IFERROR(INDEX('מיפוי ומקורות'!$D$7:$D$33,MATCH(H294,'מיפוי ומקורות'!$B$7:$B$33,0)),"שוטף")</x:f>
        <x:v>שוטף</x:v>
      </x:c>
      <x:c r="K294" s="19" t="str">
        <x:f>IF(OR(H294="ריביות",AND(H294="דירה כצנלסון",G294&lt;0,ISNUMBER(SEARCH("הכנסה",F294)))),"הכנסה שסווגה מחדש",J294)</x:f>
        <x:v>שוטף</x:v>
      </x:c>
      <x:c r="L294" s="19" t="str">
        <x:v>מאושר</x:v>
      </x:c>
      <x:c r="M294" s="20" t="n">
        <x:f>IF(L294="מאושר",IF(K294="הכנסה שסווגה מחדש",0,G294),0)</x:f>
        <x:v>7500</x:v>
      </x:c>
      <x:c r="N294" s="20" t="n">
        <x:f>IF(K294="שוטף",M294,0)</x:f>
        <x:v>7500</x:v>
      </x:c>
      <x:c r="O294" s="20" t="n">
        <x:f>IF(K294="הכנסה שסווגה מחדש",-G294,0)</x:f>
        <x:v>0</x:v>
      </x:c>
      <x:c r="P294" s="11" t="str">
        <x:v>one zero</x:v>
      </x:c>
      <x:c r="Q294" s="11" t="str"/>
      <x:c r="R294" s="11" t="str">
        <x:v>לא</x:v>
      </x:c>
    </x:row>
    <x:row r="295">
      <x:c r="A295" s="14" t="n">
        <x:v>45748</x:v>
      </x:c>
      <x:c r="B295" s="11" t="str">
        <x:v>2025-04</x:v>
      </x:c>
      <x:c r="C295" s="11" t="str">
        <x:v>אפריל 25</x:v>
      </x:c>
      <x:c r="D295" s="15" t="n">
        <x:v>3</x:v>
      </x:c>
      <x:c r="E295" s="11" t="str">
        <x:v>10</x:v>
      </x:c>
      <x:c r="F295" s="11" t="str">
        <x:v>משכנתא</x:v>
      </x:c>
      <x:c r="G295" s="17" t="n">
        <x:v>6126</x:v>
      </x:c>
      <x:c r="H295" s="18" t="str">
        <x:v>דירה כצנלסון</x:v>
      </x:c>
      <x:c r="I295" s="19" t="str">
        <x:f>IFERROR(INDEX('מיפוי ומקורות'!$C$7:$C$33,MATCH(H295,'מיפוי ומקורות'!$B$7:$B$33,0)),"לא מסווג")</x:f>
        <x:v>נכס להשקעה</x:v>
      </x:c>
      <x:c r="J295" s="19" t="str">
        <x:f>IFERROR(INDEX('מיפוי ומקורות'!$D$7:$D$33,MATCH(H295,'מיפוי ומקורות'!$B$7:$B$33,0)),"שוטף")</x:f>
        <x:v>חריג/נכס</x:v>
      </x:c>
      <x:c r="K295" s="19" t="str">
        <x:f>IF(OR(H295="ריביות",AND(H295="דירה כצנלסון",G295&lt;0,ISNUMBER(SEARCH("הכנסה",F295)))),"הכנסה שסווגה מחדש",J295)</x:f>
        <x:v>חריג/נכס</x:v>
      </x:c>
      <x:c r="L295" s="19" t="str">
        <x:v>מאושר</x:v>
      </x:c>
      <x:c r="M295" s="20" t="n">
        <x:f>IF(L295="מאושר",IF(K295="הכנסה שסווגה מחדש",0,G295),0)</x:f>
        <x:v>6126</x:v>
      </x:c>
      <x:c r="N295" s="20" t="n">
        <x:f>IF(K295="שוטף",M295,0)</x:f>
        <x:v>0</x:v>
      </x:c>
      <x:c r="O295" s="20" t="n">
        <x:f>IF(K295="הכנסה שסווגה מחדש",-G295,0)</x:f>
        <x:v>0</x:v>
      </x:c>
      <x:c r="P295" s="11" t="str">
        <x:v>דיסקונט</x:v>
      </x:c>
      <x:c r="Q295" s="11" t="str"/>
      <x:c r="R295" s="11" t="str">
        <x:v>לא</x:v>
      </x:c>
    </x:row>
    <x:row r="296">
      <x:c r="A296" s="14" t="n">
        <x:v>45748</x:v>
      </x:c>
      <x:c r="B296" s="11" t="str">
        <x:v>2025-04</x:v>
      </x:c>
      <x:c r="C296" s="11" t="str">
        <x:v>אפריל 25</x:v>
      </x:c>
      <x:c r="D296" s="15" t="n">
        <x:v>4</x:v>
      </x:c>
      <x:c r="E296" s="11" t="str">
        <x:v>9</x:v>
      </x:c>
      <x:c r="F296" s="11" t="str">
        <x:v>הכנסה משכר דירה</x:v>
      </x:c>
      <x:c r="G296" s="17" t="n">
        <x:v>-6500</x:v>
      </x:c>
      <x:c r="H296" s="18" t="str">
        <x:v>דירה כצנלסון</x:v>
      </x:c>
      <x:c r="I296" s="19" t="str">
        <x:f>IFERROR(INDEX('מיפוי ומקורות'!$C$7:$C$33,MATCH(H296,'מיפוי ומקורות'!$B$7:$B$33,0)),"לא מסווג")</x:f>
        <x:v>נכס להשקעה</x:v>
      </x:c>
      <x:c r="J296" s="19" t="str">
        <x:f>IFERROR(INDEX('מיפוי ומקורות'!$D$7:$D$33,MATCH(H296,'מיפוי ומקורות'!$B$7:$B$33,0)),"שוטף")</x:f>
        <x:v>חריג/נכס</x:v>
      </x:c>
      <x:c r="K296" s="19" t="str">
        <x:f>IF(OR(H296="ריביות",AND(H296="דירה כצנלסון",G296&lt;0,ISNUMBER(SEARCH("הכנסה",F296)))),"הכנסה שסווגה מחדש",J296)</x:f>
        <x:v>הכנסה שסווגה מחדש</x:v>
      </x:c>
      <x:c r="L296" s="19" t="str">
        <x:v>מאושר</x:v>
      </x:c>
      <x:c r="M296" s="20" t="n">
        <x:f>IF(L296="מאושר",IF(K296="הכנסה שסווגה מחדש",0,G296),0)</x:f>
        <x:v>0</x:v>
      </x:c>
      <x:c r="N296" s="20" t="n">
        <x:f>IF(K296="שוטף",M296,0)</x:f>
        <x:v>0</x:v>
      </x:c>
      <x:c r="O296" s="20" t="n">
        <x:f>IF(K296="הכנסה שסווגה מחדש",-G296,0)</x:f>
        <x:v>6500</x:v>
      </x:c>
      <x:c r="P296" s="11" t="str">
        <x:v>one zero</x:v>
      </x:c>
      <x:c r="Q296" s="11" t="str"/>
      <x:c r="R296" s="11" t="str">
        <x:v>לא</x:v>
      </x:c>
    </x:row>
    <x:row r="297">
      <x:c r="A297" s="14" t="n">
        <x:v>45748</x:v>
      </x:c>
      <x:c r="B297" s="11" t="str">
        <x:v>2025-04</x:v>
      </x:c>
      <x:c r="C297" s="11" t="str">
        <x:v>אפריל 25</x:v>
      </x:c>
      <x:c r="D297" s="15" t="n">
        <x:v>5</x:v>
      </x:c>
      <x:c r="E297" s="11" t="str">
        <x:v>22</x:v>
      </x:c>
      <x:c r="F297" s="11" t="str">
        <x:v>ארנונה</x:v>
      </x:c>
      <x:c r="G297" s="17" t="n">
        <x:v>981</x:v>
      </x:c>
      <x:c r="H297" s="18" t="str">
        <x:v>מגורים צריכה</x:v>
      </x:c>
      <x:c r="I297" s="19" t="str">
        <x:f>IFERROR(INDEX('מיפוי ומקורות'!$C$7:$C$33,MATCH(H297,'מיפוי ומקורות'!$B$7:$B$33,0)),"לא מסווג")</x:f>
        <x:v>דיור – בית מגורים</x:v>
      </x:c>
      <x:c r="J297" s="19" t="str">
        <x:f>IFERROR(INDEX('מיפוי ומקורות'!$D$7:$D$33,MATCH(H297,'מיפוי ומקורות'!$B$7:$B$33,0)),"שוטף")</x:f>
        <x:v>שוטף</x:v>
      </x:c>
      <x:c r="K297" s="19" t="str">
        <x:f>IF(OR(H297="ריביות",AND(H297="דירה כצנלסון",G297&lt;0,ISNUMBER(SEARCH("הכנסה",F297)))),"הכנסה שסווגה מחדש",J297)</x:f>
        <x:v>שוטף</x:v>
      </x:c>
      <x:c r="L297" s="19" t="str">
        <x:v>מאושר</x:v>
      </x:c>
      <x:c r="M297" s="20" t="n">
        <x:f>IF(L297="מאושר",IF(K297="הכנסה שסווגה מחדש",0,G297),0)</x:f>
        <x:v>981</x:v>
      </x:c>
      <x:c r="N297" s="20" t="n">
        <x:f>IF(K297="שוטף",M297,0)</x:f>
        <x:v>981</x:v>
      </x:c>
      <x:c r="O297" s="20" t="n">
        <x:f>IF(K297="הכנסה שסווגה מחדש",-G297,0)</x:f>
        <x:v>0</x:v>
      </x:c>
      <x:c r="P297" s="11" t="str"/>
      <x:c r="Q297" s="11" t="str"/>
      <x:c r="R297" s="11" t="str">
        <x:v>לא</x:v>
      </x:c>
    </x:row>
    <x:row r="298">
      <x:c r="A298" s="14" t="n">
        <x:v>45748</x:v>
      </x:c>
      <x:c r="B298" s="11" t="str">
        <x:v>2025-04</x:v>
      </x:c>
      <x:c r="C298" s="11" t="str">
        <x:v>אפריל 25</x:v>
      </x:c>
      <x:c r="D298" s="15" t="n">
        <x:v>6</x:v>
      </x:c>
      <x:c r="E298" s="11" t="str"/>
      <x:c r="F298" s="11" t="str">
        <x:v>חשמל</x:v>
      </x:c>
      <x:c r="G298" s="17" t="n">
        <x:v>0</x:v>
      </x:c>
      <x:c r="H298" s="18" t="str">
        <x:v>מגורים צריכה</x:v>
      </x:c>
      <x:c r="I298" s="19" t="str">
        <x:f>IFERROR(INDEX('מיפוי ומקורות'!$C$7:$C$33,MATCH(H298,'מיפוי ומקורות'!$B$7:$B$33,0)),"לא מסווג")</x:f>
        <x:v>דיור – בית מגורים</x:v>
      </x:c>
      <x:c r="J298" s="19" t="str">
        <x:f>IFERROR(INDEX('מיפוי ומקורות'!$D$7:$D$33,MATCH(H298,'מיפוי ומקורות'!$B$7:$B$33,0)),"שוטף")</x:f>
        <x:v>שוטף</x:v>
      </x:c>
      <x:c r="K298" s="19" t="str">
        <x:f>IF(OR(H298="ריביות",AND(H298="דירה כצנלסון",G298&lt;0,ISNUMBER(SEARCH("הכנסה",F298)))),"הכנסה שסווגה מחדש",J298)</x:f>
        <x:v>שוטף</x:v>
      </x:c>
      <x:c r="L298" s="19" t="str">
        <x:v>מאושר</x:v>
      </x:c>
      <x:c r="M298" s="20" t="n">
        <x:f>IF(L298="מאושר",IF(K298="הכנסה שסווגה מחדש",0,G298),0)</x:f>
        <x:v>0</x:v>
      </x:c>
      <x:c r="N298" s="20" t="n">
        <x:f>IF(K298="שוטף",M298,0)</x:f>
        <x:v>0</x:v>
      </x:c>
      <x:c r="O298" s="20" t="n">
        <x:f>IF(K298="הכנסה שסווגה מחדש",-G298,0)</x:f>
        <x:v>0</x:v>
      </x:c>
      <x:c r="P298" s="11" t="str"/>
      <x:c r="Q298" s="11" t="str"/>
      <x:c r="R298" s="11" t="str">
        <x:v>לא</x:v>
      </x:c>
    </x:row>
    <x:row r="299">
      <x:c r="A299" s="14" t="n">
        <x:v>45748</x:v>
      </x:c>
      <x:c r="B299" s="11" t="str">
        <x:v>2025-04</x:v>
      </x:c>
      <x:c r="C299" s="11" t="str">
        <x:v>אפריל 25</x:v>
      </x:c>
      <x:c r="D299" s="15" t="n">
        <x:v>7</x:v>
      </x:c>
      <x:c r="E299" s="11" t="str"/>
      <x:c r="F299" s="11" t="str">
        <x:v>מים</x:v>
      </x:c>
      <x:c r="G299" s="17" t="n">
        <x:v>0</x:v>
      </x:c>
      <x:c r="H299" s="18" t="str">
        <x:v>מגורים צריכה</x:v>
      </x:c>
      <x:c r="I299" s="19" t="str">
        <x:f>IFERROR(INDEX('מיפוי ומקורות'!$C$7:$C$33,MATCH(H299,'מיפוי ומקורות'!$B$7:$B$33,0)),"לא מסווג")</x:f>
        <x:v>דיור – בית מגורים</x:v>
      </x:c>
      <x:c r="J299" s="19" t="str">
        <x:f>IFERROR(INDEX('מיפוי ומקורות'!$D$7:$D$33,MATCH(H299,'מיפוי ומקורות'!$B$7:$B$33,0)),"שוטף")</x:f>
        <x:v>שוטף</x:v>
      </x:c>
      <x:c r="K299" s="19" t="str">
        <x:f>IF(OR(H299="ריביות",AND(H299="דירה כצנלסון",G299&lt;0,ISNUMBER(SEARCH("הכנסה",F299)))),"הכנסה שסווגה מחדש",J299)</x:f>
        <x:v>שוטף</x:v>
      </x:c>
      <x:c r="L299" s="19" t="str">
        <x:v>מאושר</x:v>
      </x:c>
      <x:c r="M299" s="20" t="n">
        <x:f>IF(L299="מאושר",IF(K299="הכנסה שסווגה מחדש",0,G299),0)</x:f>
        <x:v>0</x:v>
      </x:c>
      <x:c r="N299" s="20" t="n">
        <x:f>IF(K299="שוטף",M299,0)</x:f>
        <x:v>0</x:v>
      </x:c>
      <x:c r="O299" s="20" t="n">
        <x:f>IF(K299="הכנסה שסווגה מחדש",-G299,0)</x:f>
        <x:v>0</x:v>
      </x:c>
      <x:c r="P299" s="11" t="str"/>
      <x:c r="Q299" s="11" t="str"/>
      <x:c r="R299" s="11" t="str">
        <x:v>לא</x:v>
      </x:c>
    </x:row>
    <x:row r="300">
      <x:c r="A300" s="14" t="n">
        <x:v>45748</x:v>
      </x:c>
      <x:c r="B300" s="11" t="str">
        <x:v>2025-04</x:v>
      </x:c>
      <x:c r="C300" s="11" t="str">
        <x:v>אפריל 25</x:v>
      </x:c>
      <x:c r="D300" s="15" t="n">
        <x:v>8</x:v>
      </x:c>
      <x:c r="E300" s="11" t="str"/>
      <x:c r="F300" s="11" t="str">
        <x:v>ועד בית</x:v>
      </x:c>
      <x:c r="G300" s="17" t="n">
        <x:v>600</x:v>
      </x:c>
      <x:c r="H300" s="18" t="str">
        <x:v>מגורים צריכה</x:v>
      </x:c>
      <x:c r="I300" s="19" t="str">
        <x:f>IFERROR(INDEX('מיפוי ומקורות'!$C$7:$C$33,MATCH(H300,'מיפוי ומקורות'!$B$7:$B$33,0)),"לא מסווג")</x:f>
        <x:v>דיור – בית מגורים</x:v>
      </x:c>
      <x:c r="J300" s="19" t="str">
        <x:f>IFERROR(INDEX('מיפוי ומקורות'!$D$7:$D$33,MATCH(H300,'מיפוי ומקורות'!$B$7:$B$33,0)),"שוטף")</x:f>
        <x:v>שוטף</x:v>
      </x:c>
      <x:c r="K300" s="19" t="str">
        <x:f>IF(OR(H300="ריביות",AND(H300="דירה כצנלסון",G300&lt;0,ISNUMBER(SEARCH("הכנסה",F300)))),"הכנסה שסווגה מחדש",J300)</x:f>
        <x:v>שוטף</x:v>
      </x:c>
      <x:c r="L300" s="19" t="str">
        <x:v>מאושר</x:v>
      </x:c>
      <x:c r="M300" s="20" t="n">
        <x:f>IF(L300="מאושר",IF(K300="הכנסה שסווגה מחדש",0,G300),0)</x:f>
        <x:v>600</x:v>
      </x:c>
      <x:c r="N300" s="20" t="n">
        <x:f>IF(K300="שוטף",M300,0)</x:f>
        <x:v>600</x:v>
      </x:c>
      <x:c r="O300" s="20" t="n">
        <x:f>IF(K300="הכנסה שסווגה מחדש",-G300,0)</x:f>
        <x:v>0</x:v>
      </x:c>
      <x:c r="P300" s="11" t="str">
        <x:v>מזומן</x:v>
      </x:c>
      <x:c r="Q300" s="11" t="str"/>
      <x:c r="R300" s="11" t="str">
        <x:v>לא</x:v>
      </x:c>
    </x:row>
    <x:row r="301">
      <x:c r="A301" s="14" t="n">
        <x:v>45748</x:v>
      </x:c>
      <x:c r="B301" s="11" t="str">
        <x:v>2025-04</x:v>
      </x:c>
      <x:c r="C301" s="11" t="str">
        <x:v>אפריל 25</x:v>
      </x:c>
      <x:c r="D301" s="15" t="n">
        <x:v>9</x:v>
      </x:c>
      <x:c r="E301" s="11" t="str"/>
      <x:c r="F301" s="11" t="str">
        <x:v>גז</x:v>
      </x:c>
      <x:c r="G301" s="17" t="n">
        <x:v>0</x:v>
      </x:c>
      <x:c r="H301" s="18" t="str">
        <x:v>מגורים צריכה</x:v>
      </x:c>
      <x:c r="I301" s="19" t="str">
        <x:f>IFERROR(INDEX('מיפוי ומקורות'!$C$7:$C$33,MATCH(H301,'מיפוי ומקורות'!$B$7:$B$33,0)),"לא מסווג")</x:f>
        <x:v>דיור – בית מגורים</x:v>
      </x:c>
      <x:c r="J301" s="19" t="str">
        <x:f>IFERROR(INDEX('מיפוי ומקורות'!$D$7:$D$33,MATCH(H301,'מיפוי ומקורות'!$B$7:$B$33,0)),"שוטף")</x:f>
        <x:v>שוטף</x:v>
      </x:c>
      <x:c r="K301" s="19" t="str">
        <x:f>IF(OR(H301="ריביות",AND(H301="דירה כצנלסון",G301&lt;0,ISNUMBER(SEARCH("הכנסה",F301)))),"הכנסה שסווגה מחדש",J301)</x:f>
        <x:v>שוטף</x:v>
      </x:c>
      <x:c r="L301" s="19" t="str">
        <x:v>מאושר</x:v>
      </x:c>
      <x:c r="M301" s="20" t="n">
        <x:f>IF(L301="מאושר",IF(K301="הכנסה שסווגה מחדש",0,G301),0)</x:f>
        <x:v>0</x:v>
      </x:c>
      <x:c r="N301" s="20" t="n">
        <x:f>IF(K301="שוטף",M301,0)</x:f>
        <x:v>0</x:v>
      </x:c>
      <x:c r="O301" s="20" t="n">
        <x:f>IF(K301="הכנסה שסווגה מחדש",-G301,0)</x:f>
        <x:v>0</x:v>
      </x:c>
      <x:c r="P301" s="11" t="str"/>
      <x:c r="Q301" s="11" t="str"/>
      <x:c r="R301" s="11" t="str">
        <x:v>לא</x:v>
      </x:c>
    </x:row>
    <x:row r="302">
      <x:c r="A302" s="14" t="n">
        <x:v>45748</x:v>
      </x:c>
      <x:c r="B302" s="11" t="str">
        <x:v>2025-04</x:v>
      </x:c>
      <x:c r="C302" s="11" t="str">
        <x:v>אפריל 25</x:v>
      </x:c>
      <x:c r="D302" s="15" t="n">
        <x:v>10</x:v>
      </x:c>
      <x:c r="E302" s="11" t="str">
        <x:v>15</x:v>
      </x:c>
      <x:c r="F302" s="11" t="str">
        <x:v>סלולר + אינטרנט</x:v>
      </x:c>
      <x:c r="G302" s="17" t="n">
        <x:v>170</x:v>
      </x:c>
      <x:c r="H302" s="18" t="str">
        <x:v>מגורים חודשי</x:v>
      </x:c>
      <x:c r="I302" s="19" t="str">
        <x:f>IFERROR(INDEX('מיפוי ומקורות'!$C$7:$C$33,MATCH(H302,'מיפוי ומקורות'!$B$7:$B$33,0)),"לא מסווג")</x:f>
        <x:v>דיור – בית מגורים</x:v>
      </x:c>
      <x:c r="J302" s="19" t="str">
        <x:f>IFERROR(INDEX('מיפוי ומקורות'!$D$7:$D$33,MATCH(H302,'מיפוי ומקורות'!$B$7:$B$33,0)),"שוטף")</x:f>
        <x:v>שוטף</x:v>
      </x:c>
      <x:c r="K302" s="19" t="str">
        <x:f>IF(OR(H302="ריביות",AND(H302="דירה כצנלסון",G302&lt;0,ISNUMBER(SEARCH("הכנסה",F302)))),"הכנסה שסווגה מחדש",J302)</x:f>
        <x:v>שוטף</x:v>
      </x:c>
      <x:c r="L302" s="19" t="str">
        <x:v>מאושר</x:v>
      </x:c>
      <x:c r="M302" s="20" t="n">
        <x:f>IF(L302="מאושר",IF(K302="הכנסה שסווגה מחדש",0,G302),0)</x:f>
        <x:v>170</x:v>
      </x:c>
      <x:c r="N302" s="20" t="n">
        <x:f>IF(K302="שוטף",M302,0)</x:f>
        <x:v>170</x:v>
      </x:c>
      <x:c r="O302" s="20" t="n">
        <x:f>IF(K302="הכנסה שסווגה מחדש",-G302,0)</x:f>
        <x:v>0</x:v>
      </x:c>
      <x:c r="P302" s="11" t="str">
        <x:v>אמקס זיו</x:v>
      </x:c>
      <x:c r="Q302" s="11" t="str"/>
      <x:c r="R302" s="11" t="str">
        <x:v>לא</x:v>
      </x:c>
    </x:row>
    <x:row r="303">
      <x:c r="A303" s="14" t="n">
        <x:v>45748</x:v>
      </x:c>
      <x:c r="B303" s="11" t="str">
        <x:v>2025-04</x:v>
      </x:c>
      <x:c r="C303" s="11" t="str">
        <x:v>אפריל 25</x:v>
      </x:c>
      <x:c r="D303" s="15" t="n">
        <x:v>11</x:v>
      </x:c>
      <x:c r="E303" s="11" t="str">
        <x:v>28</x:v>
      </x:c>
      <x:c r="F303" s="11" t="str">
        <x:v>ביטוח מבנה</x:v>
      </x:c>
      <x:c r="G303" s="17" t="n">
        <x:v>87</x:v>
      </x:c>
      <x:c r="H303" s="18" t="str">
        <x:v>דירה כצנלסון</x:v>
      </x:c>
      <x:c r="I303" s="19" t="str">
        <x:f>IFERROR(INDEX('מיפוי ומקורות'!$C$7:$C$33,MATCH(H303,'מיפוי ומקורות'!$B$7:$B$33,0)),"לא מסווג")</x:f>
        <x:v>נכס להשקעה</x:v>
      </x:c>
      <x:c r="J303" s="19" t="str">
        <x:f>IFERROR(INDEX('מיפוי ומקורות'!$D$7:$D$33,MATCH(H303,'מיפוי ומקורות'!$B$7:$B$33,0)),"שוטף")</x:f>
        <x:v>חריג/נכס</x:v>
      </x:c>
      <x:c r="K303" s="19" t="str">
        <x:f>IF(OR(H303="ריביות",AND(H303="דירה כצנלסון",G303&lt;0,ISNUMBER(SEARCH("הכנסה",F303)))),"הכנסה שסווגה מחדש",J303)</x:f>
        <x:v>חריג/נכס</x:v>
      </x:c>
      <x:c r="L303" s="19" t="str">
        <x:v>מאושר</x:v>
      </x:c>
      <x:c r="M303" s="20" t="n">
        <x:f>IF(L303="מאושר",IF(K303="הכנסה שסווגה מחדש",0,G303),0)</x:f>
        <x:v>87</x:v>
      </x:c>
      <x:c r="N303" s="20" t="n">
        <x:f>IF(K303="שוטף",M303,0)</x:f>
        <x:v>0</x:v>
      </x:c>
      <x:c r="O303" s="20" t="n">
        <x:f>IF(K303="הכנסה שסווגה מחדש",-G303,0)</x:f>
        <x:v>0</x:v>
      </x:c>
      <x:c r="P303" s="11" t="str">
        <x:v>אמקס זיו</x:v>
      </x:c>
      <x:c r="Q303" s="11" t="str"/>
      <x:c r="R303" s="11" t="str">
        <x:v>לא</x:v>
      </x:c>
    </x:row>
    <x:row r="304">
      <x:c r="A304" s="14" t="n">
        <x:v>45748</x:v>
      </x:c>
      <x:c r="B304" s="11" t="str">
        <x:v>2025-04</x:v>
      </x:c>
      <x:c r="C304" s="11" t="str">
        <x:v>אפריל 25</x:v>
      </x:c>
      <x:c r="D304" s="15" t="n">
        <x:v>12</x:v>
      </x:c>
      <x:c r="E304" s="11" t="str">
        <x:v>28</x:v>
      </x:c>
      <x:c r="F304" s="11" t="str">
        <x:v>ביטוח חיים</x:v>
      </x:c>
      <x:c r="G304" s="17" t="n">
        <x:v>29</x:v>
      </x:c>
      <x:c r="H304" s="18" t="str">
        <x:v>דירה כצנלסון</x:v>
      </x:c>
      <x:c r="I304" s="19" t="str">
        <x:f>IFERROR(INDEX('מיפוי ומקורות'!$C$7:$C$33,MATCH(H304,'מיפוי ומקורות'!$B$7:$B$33,0)),"לא מסווג")</x:f>
        <x:v>נכס להשקעה</x:v>
      </x:c>
      <x:c r="J304" s="19" t="str">
        <x:f>IFERROR(INDEX('מיפוי ומקורות'!$D$7:$D$33,MATCH(H304,'מיפוי ומקורות'!$B$7:$B$33,0)),"שוטף")</x:f>
        <x:v>חריג/נכס</x:v>
      </x:c>
      <x:c r="K304" s="19" t="str">
        <x:f>IF(OR(H304="ריביות",AND(H304="דירה כצנלסון",G304&lt;0,ISNUMBER(SEARCH("הכנסה",F304)))),"הכנסה שסווגה מחדש",J304)</x:f>
        <x:v>חריג/נכס</x:v>
      </x:c>
      <x:c r="L304" s="19" t="str">
        <x:v>מאושר</x:v>
      </x:c>
      <x:c r="M304" s="20" t="n">
        <x:f>IF(L304="מאושר",IF(K304="הכנסה שסווגה מחדש",0,G304),0)</x:f>
        <x:v>29</x:v>
      </x:c>
      <x:c r="N304" s="20" t="n">
        <x:f>IF(K304="שוטף",M304,0)</x:f>
        <x:v>0</x:v>
      </x:c>
      <x:c r="O304" s="20" t="n">
        <x:f>IF(K304="הכנסה שסווגה מחדש",-G304,0)</x:f>
        <x:v>0</x:v>
      </x:c>
      <x:c r="P304" s="11" t="str">
        <x:v>אמקס זיו</x:v>
      </x:c>
      <x:c r="Q304" s="11" t="str"/>
      <x:c r="R304" s="11" t="str">
        <x:v>לא</x:v>
      </x:c>
    </x:row>
    <x:row r="305">
      <x:c r="A305" s="14" t="n">
        <x:v>45748</x:v>
      </x:c>
      <x:c r="B305" s="11" t="str">
        <x:v>2025-04</x:v>
      </x:c>
      <x:c r="C305" s="11" t="str">
        <x:v>אפריל 25</x:v>
      </x:c>
      <x:c r="D305" s="15" t="n">
        <x:v>13</x:v>
      </x:c>
      <x:c r="E305" s="11" t="str"/>
      <x:c r="F305" s="11" t="str">
        <x:v>מנקה</x:v>
      </x:c>
      <x:c r="G305" s="17" t="n">
        <x:v>400</x:v>
      </x:c>
      <x:c r="H305" s="18" t="str">
        <x:v>מגורים צריכה</x:v>
      </x:c>
      <x:c r="I305" s="19" t="str">
        <x:f>IFERROR(INDEX('מיפוי ומקורות'!$C$7:$C$33,MATCH(H305,'מיפוי ומקורות'!$B$7:$B$33,0)),"לא מסווג")</x:f>
        <x:v>דיור – בית מגורים</x:v>
      </x:c>
      <x:c r="J305" s="19" t="str">
        <x:f>IFERROR(INDEX('מיפוי ומקורות'!$D$7:$D$33,MATCH(H305,'מיפוי ומקורות'!$B$7:$B$33,0)),"שוטף")</x:f>
        <x:v>שוטף</x:v>
      </x:c>
      <x:c r="K305" s="19" t="str">
        <x:f>IF(OR(H305="ריביות",AND(H305="דירה כצנלסון",G305&lt;0,ISNUMBER(SEARCH("הכנסה",F305)))),"הכנסה שסווגה מחדש",J305)</x:f>
        <x:v>שוטף</x:v>
      </x:c>
      <x:c r="L305" s="19" t="str">
        <x:v>מאושר</x:v>
      </x:c>
      <x:c r="M305" s="20" t="n">
        <x:f>IF(L305="מאושר",IF(K305="הכנסה שסווגה מחדש",0,G305),0)</x:f>
        <x:v>400</x:v>
      </x:c>
      <x:c r="N305" s="20" t="n">
        <x:f>IF(K305="שוטף",M305,0)</x:f>
        <x:v>400</x:v>
      </x:c>
      <x:c r="O305" s="20" t="n">
        <x:f>IF(K305="הכנסה שסווגה מחדש",-G305,0)</x:f>
        <x:v>0</x:v>
      </x:c>
      <x:c r="P305" s="11" t="str">
        <x:v>מזומן</x:v>
      </x:c>
      <x:c r="Q305" s="11" t="str"/>
      <x:c r="R305" s="11" t="str">
        <x:v>לא</x:v>
      </x:c>
    </x:row>
    <x:row r="306">
      <x:c r="A306" s="14" t="n">
        <x:v>45748</x:v>
      </x:c>
      <x:c r="B306" s="11" t="str">
        <x:v>2025-04</x:v>
      </x:c>
      <x:c r="C306" s="11" t="str">
        <x:v>אפריל 25</x:v>
      </x:c>
      <x:c r="D306" s="15" t="n">
        <x:v>14</x:v>
      </x:c>
      <x:c r="E306" s="11" t="str">
        <x:v>9</x:v>
      </x:c>
      <x:c r="F306" s="11" t="str">
        <x:v>אימונים - יעל</x:v>
      </x:c>
      <x:c r="G306" s="17" t="n">
        <x:v>4600</x:v>
      </x:c>
      <x:c r="H306" s="18" t="str">
        <x:v>ספורט</x:v>
      </x:c>
      <x:c r="I306" s="19" t="str">
        <x:f>IFERROR(INDEX('מיפוי ומקורות'!$C$7:$C$33,MATCH(H306,'מיפוי ומקורות'!$B$7:$B$33,0)),"לא מסווג")</x:f>
        <x:v>ספורט</x:v>
      </x:c>
      <x:c r="J306" s="19" t="str">
        <x:f>IFERROR(INDEX('מיפוי ומקורות'!$D$7:$D$33,MATCH(H306,'מיפוי ומקורות'!$B$7:$B$33,0)),"שוטף")</x:f>
        <x:v>שוטף</x:v>
      </x:c>
      <x:c r="K306" s="19" t="str">
        <x:f>IF(OR(H306="ריביות",AND(H306="דירה כצנלסון",G306&lt;0,ISNUMBER(SEARCH("הכנסה",F306)))),"הכנסה שסווגה מחדש",J306)</x:f>
        <x:v>שוטף</x:v>
      </x:c>
      <x:c r="L306" s="19" t="str">
        <x:v>מאושר</x:v>
      </x:c>
      <x:c r="M306" s="20" t="n">
        <x:f>IF(L306="מאושר",IF(K306="הכנסה שסווגה מחדש",0,G306),0)</x:f>
        <x:v>4600</x:v>
      </x:c>
      <x:c r="N306" s="20" t="n">
        <x:f>IF(K306="שוטף",M306,0)</x:f>
        <x:v>4600</x:v>
      </x:c>
      <x:c r="O306" s="20" t="n">
        <x:f>IF(K306="הכנסה שסווגה מחדש",-G306,0)</x:f>
        <x:v>0</x:v>
      </x:c>
      <x:c r="P306" s="11" t="str">
        <x:v>one zero</x:v>
      </x:c>
      <x:c r="Q306" s="11" t="str"/>
      <x:c r="R306" s="11" t="str">
        <x:v>לא</x:v>
      </x:c>
    </x:row>
    <x:row r="307">
      <x:c r="A307" s="14" t="n">
        <x:v>45748</x:v>
      </x:c>
      <x:c r="B307" s="11" t="str">
        <x:v>2025-04</x:v>
      </x:c>
      <x:c r="C307" s="11" t="str">
        <x:v>אפריל 25</x:v>
      </x:c>
      <x:c r="D307" s="15" t="n">
        <x:v>15</x:v>
      </x:c>
      <x:c r="E307" s="11" t="str">
        <x:v>10</x:v>
      </x:c>
      <x:c r="F307" s="11" t="str">
        <x:v>נעליים</x:v>
      </x:c>
      <x:c r="G307" s="17" t="n">
        <x:v>792</x:v>
      </x:c>
      <x:c r="H307" s="18" t="str">
        <x:v>אופנה</x:v>
      </x:c>
      <x:c r="I307" s="19" t="str">
        <x:f>IFERROR(INDEX('מיפוי ומקורות'!$C$7:$C$33,MATCH(H307,'מיפוי ומקורות'!$B$7:$B$33,0)),"לא מסווג")</x:f>
        <x:v>אופנה</x:v>
      </x:c>
      <x:c r="J307" s="19" t="str">
        <x:f>IFERROR(INDEX('מיפוי ומקורות'!$D$7:$D$33,MATCH(H307,'מיפוי ומקורות'!$B$7:$B$33,0)),"שוטף")</x:f>
        <x:v>שוטף</x:v>
      </x:c>
      <x:c r="K307" s="19" t="str">
        <x:f>IF(OR(H307="ריביות",AND(H307="דירה כצנלסון",G307&lt;0,ISNUMBER(SEARCH("הכנסה",F307)))),"הכנסה שסווגה מחדש",J307)</x:f>
        <x:v>שוטף</x:v>
      </x:c>
      <x:c r="L307" s="19" t="str">
        <x:v>מאושר</x:v>
      </x:c>
      <x:c r="M307" s="20" t="n">
        <x:f>IF(L307="מאושר",IF(K307="הכנסה שסווגה מחדש",0,G307),0)</x:f>
        <x:v>792</x:v>
      </x:c>
      <x:c r="N307" s="20" t="n">
        <x:f>IF(K307="שוטף",M307,0)</x:f>
        <x:v>792</x:v>
      </x:c>
      <x:c r="O307" s="20" t="n">
        <x:f>IF(K307="הכנסה שסווגה מחדש",-G307,0)</x:f>
        <x:v>0</x:v>
      </x:c>
      <x:c r="P307" s="11" t="str">
        <x:v>one zero עינור</x:v>
      </x:c>
      <x:c r="Q307" s="11" t="str"/>
      <x:c r="R307" s="11" t="str">
        <x:v>לא</x:v>
      </x:c>
    </x:row>
    <x:row r="308">
      <x:c r="A308" s="14" t="n">
        <x:v>45748</x:v>
      </x:c>
      <x:c r="B308" s="11" t="str">
        <x:v>2025-04</x:v>
      </x:c>
      <x:c r="C308" s="11" t="str">
        <x:v>אפריל 25</x:v>
      </x:c>
      <x:c r="D308" s="15" t="n">
        <x:v>16</x:v>
      </x:c>
      <x:c r="E308" s="11" t="str">
        <x:v>12</x:v>
      </x:c>
      <x:c r="F308" s="11" t="str">
        <x:v>איי הרב</x:v>
      </x:c>
      <x:c r="G308" s="17" t="n">
        <x:v>265</x:v>
      </x:c>
      <x:c r="H308" s="18" t="str">
        <x:v>קוסמטיקה</x:v>
      </x:c>
      <x:c r="I308" s="19" t="str">
        <x:f>IFERROR(INDEX('מיפוי ומקורות'!$C$7:$C$33,MATCH(H308,'מיפוי ומקורות'!$B$7:$B$33,0)),"לא מסווג")</x:f>
        <x:v>קוסמטיקה</x:v>
      </x:c>
      <x:c r="J308" s="19" t="str">
        <x:f>IFERROR(INDEX('מיפוי ומקורות'!$D$7:$D$33,MATCH(H308,'מיפוי ומקורות'!$B$7:$B$33,0)),"שוטף")</x:f>
        <x:v>שוטף</x:v>
      </x:c>
      <x:c r="K308" s="19" t="str">
        <x:f>IF(OR(H308="ריביות",AND(H308="דירה כצנלסון",G308&lt;0,ISNUMBER(SEARCH("הכנסה",F308)))),"הכנסה שסווגה מחדש",J308)</x:f>
        <x:v>שוטף</x:v>
      </x:c>
      <x:c r="L308" s="19" t="str">
        <x:v>מאושר</x:v>
      </x:c>
      <x:c r="M308" s="20" t="n">
        <x:f>IF(L308="מאושר",IF(K308="הכנסה שסווגה מחדש",0,G308),0)</x:f>
        <x:v>265</x:v>
      </x:c>
      <x:c r="N308" s="20" t="n">
        <x:f>IF(K308="שוטף",M308,0)</x:f>
        <x:v>265</x:v>
      </x:c>
      <x:c r="O308" s="20" t="n">
        <x:f>IF(K308="הכנסה שסווגה מחדש",-G308,0)</x:f>
        <x:v>0</x:v>
      </x:c>
      <x:c r="P308" s="11" t="str">
        <x:v>one zero עינור</x:v>
      </x:c>
      <x:c r="Q308" s="11" t="str"/>
      <x:c r="R308" s="11" t="str">
        <x:v>לא</x:v>
      </x:c>
    </x:row>
    <x:row r="309">
      <x:c r="A309" s="14" t="n">
        <x:v>45748</x:v>
      </x:c>
      <x:c r="B309" s="11" t="str">
        <x:v>2025-04</x:v>
      </x:c>
      <x:c r="C309" s="11" t="str">
        <x:v>אפריל 25</x:v>
      </x:c>
      <x:c r="D309" s="15" t="n">
        <x:v>17</x:v>
      </x:c>
      <x:c r="E309" s="11" t="str">
        <x:v>18</x:v>
      </x:c>
      <x:c r="F309" s="11" t="str">
        <x:v>איי הרב</x:v>
      </x:c>
      <x:c r="G309" s="17" t="n">
        <x:v>233</x:v>
      </x:c>
      <x:c r="H309" s="18" t="str">
        <x:v>חתונה</x:v>
      </x:c>
      <x:c r="I309" s="19" t="str">
        <x:f>IFERROR(INDEX('מיפוי ומקורות'!$C$7:$C$33,MATCH(H309,'מיפוי ומקורות'!$B$7:$B$33,0)),"לא מסווג")</x:f>
        <x:v>חתונה</x:v>
      </x:c>
      <x:c r="J309" s="19" t="str">
        <x:f>IFERROR(INDEX('מיפוי ומקורות'!$D$7:$D$33,MATCH(H309,'מיפוי ומקורות'!$B$7:$B$33,0)),"שוטף")</x:f>
        <x:v>חריג</x:v>
      </x:c>
      <x:c r="K309" s="19" t="str">
        <x:f>IF(OR(H309="ריביות",AND(H309="דירה כצנלסון",G309&lt;0,ISNUMBER(SEARCH("הכנסה",F309)))),"הכנסה שסווגה מחדש",J309)</x:f>
        <x:v>חריג</x:v>
      </x:c>
      <x:c r="L309" s="19" t="str">
        <x:v>מאושר</x:v>
      </x:c>
      <x:c r="M309" s="20" t="n">
        <x:f>IF(L309="מאושר",IF(K309="הכנסה שסווגה מחדש",0,G309),0)</x:f>
        <x:v>233</x:v>
      </x:c>
      <x:c r="N309" s="20" t="n">
        <x:f>IF(K309="שוטף",M309,0)</x:f>
        <x:v>0</x:v>
      </x:c>
      <x:c r="O309" s="20" t="n">
        <x:f>IF(K309="הכנסה שסווגה מחדש",-G309,0)</x:f>
        <x:v>0</x:v>
      </x:c>
      <x:c r="P309" s="11" t="str">
        <x:v>one zero עינור</x:v>
      </x:c>
      <x:c r="Q309" s="11" t="str"/>
      <x:c r="R309" s="11" t="str">
        <x:v>לא</x:v>
      </x:c>
    </x:row>
    <x:row r="310">
      <x:c r="A310" s="14" t="n">
        <x:v>45748</x:v>
      </x:c>
      <x:c r="B310" s="11" t="str">
        <x:v>2025-04</x:v>
      </x:c>
      <x:c r="C310" s="11" t="str">
        <x:v>אפריל 25</x:v>
      </x:c>
      <x:c r="D310" s="15" t="n">
        <x:v>18</x:v>
      </x:c>
      <x:c r="E310" s="11" t="str">
        <x:v>18</x:v>
      </x:c>
      <x:c r="F310" s="11" t="str">
        <x:v>שיין</x:v>
      </x:c>
      <x:c r="G310" s="17" t="n">
        <x:v>458</x:v>
      </x:c>
      <x:c r="H310" s="18" t="str">
        <x:v>אופנה</x:v>
      </x:c>
      <x:c r="I310" s="19" t="str">
        <x:f>IFERROR(INDEX('מיפוי ומקורות'!$C$7:$C$33,MATCH(H310,'מיפוי ומקורות'!$B$7:$B$33,0)),"לא מסווג")</x:f>
        <x:v>אופנה</x:v>
      </x:c>
      <x:c r="J310" s="19" t="str">
        <x:f>IFERROR(INDEX('מיפוי ומקורות'!$D$7:$D$33,MATCH(H310,'מיפוי ומקורות'!$B$7:$B$33,0)),"שוטף")</x:f>
        <x:v>שוטף</x:v>
      </x:c>
      <x:c r="K310" s="19" t="str">
        <x:f>IF(OR(H310="ריביות",AND(H310="דירה כצנלסון",G310&lt;0,ISNUMBER(SEARCH("הכנסה",F310)))),"הכנסה שסווגה מחדש",J310)</x:f>
        <x:v>שוטף</x:v>
      </x:c>
      <x:c r="L310" s="19" t="str">
        <x:v>מאושר</x:v>
      </x:c>
      <x:c r="M310" s="20" t="n">
        <x:f>IF(L310="מאושר",IF(K310="הכנסה שסווגה מחדש",0,G310),0)</x:f>
        <x:v>458</x:v>
      </x:c>
      <x:c r="N310" s="20" t="n">
        <x:f>IF(K310="שוטף",M310,0)</x:f>
        <x:v>458</x:v>
      </x:c>
      <x:c r="O310" s="20" t="n">
        <x:f>IF(K310="הכנסה שסווגה מחדש",-G310,0)</x:f>
        <x:v>0</x:v>
      </x:c>
      <x:c r="P310" s="11" t="str">
        <x:v>one zero עינור</x:v>
      </x:c>
      <x:c r="Q310" s="11" t="str"/>
      <x:c r="R310" s="11" t="str">
        <x:v>לא</x:v>
      </x:c>
    </x:row>
    <x:row r="311">
      <x:c r="A311" s="14" t="n">
        <x:v>45748</x:v>
      </x:c>
      <x:c r="B311" s="11" t="str">
        <x:v>2025-04</x:v>
      </x:c>
      <x:c r="C311" s="11" t="str">
        <x:v>אפריל 25</x:v>
      </x:c>
      <x:c r="D311" s="15" t="n">
        <x:v>19</x:v>
      </x:c>
      <x:c r="E311" s="11" t="str">
        <x:v>24</x:v>
      </x:c>
      <x:c r="F311" s="11" t="str">
        <x:v>אלי אקספרס</x:v>
      </x:c>
      <x:c r="G311" s="17" t="n">
        <x:v>37</x:v>
      </x:c>
      <x:c r="H311" s="18" t="str">
        <x:v>חתונה</x:v>
      </x:c>
      <x:c r="I311" s="19" t="str">
        <x:f>IFERROR(INDEX('מיפוי ומקורות'!$C$7:$C$33,MATCH(H311,'מיפוי ומקורות'!$B$7:$B$33,0)),"לא מסווג")</x:f>
        <x:v>חתונה</x:v>
      </x:c>
      <x:c r="J311" s="19" t="str">
        <x:f>IFERROR(INDEX('מיפוי ומקורות'!$D$7:$D$33,MATCH(H311,'מיפוי ומקורות'!$B$7:$B$33,0)),"שוטף")</x:f>
        <x:v>חריג</x:v>
      </x:c>
      <x:c r="K311" s="19" t="str">
        <x:f>IF(OR(H311="ריביות",AND(H311="דירה כצנלסון",G311&lt;0,ISNUMBER(SEARCH("הכנסה",F311)))),"הכנסה שסווגה מחדש",J311)</x:f>
        <x:v>חריג</x:v>
      </x:c>
      <x:c r="L311" s="19" t="str">
        <x:v>מאושר</x:v>
      </x:c>
      <x:c r="M311" s="20" t="n">
        <x:f>IF(L311="מאושר",IF(K311="הכנסה שסווגה מחדש",0,G311),0)</x:f>
        <x:v>37</x:v>
      </x:c>
      <x:c r="N311" s="20" t="n">
        <x:f>IF(K311="שוטף",M311,0)</x:f>
        <x:v>0</x:v>
      </x:c>
      <x:c r="O311" s="20" t="n">
        <x:f>IF(K311="הכנסה שסווגה מחדש",-G311,0)</x:f>
        <x:v>0</x:v>
      </x:c>
      <x:c r="P311" s="11" t="str">
        <x:v>one zero זיו</x:v>
      </x:c>
      <x:c r="Q311" s="11" t="str"/>
      <x:c r="R311" s="11" t="str">
        <x:v>לא</x:v>
      </x:c>
    </x:row>
    <x:row r="312">
      <x:c r="A312" s="14" t="n">
        <x:v>45748</x:v>
      </x:c>
      <x:c r="B312" s="11" t="str">
        <x:v>2025-04</x:v>
      </x:c>
      <x:c r="C312" s="11" t="str">
        <x:v>אפריל 25</x:v>
      </x:c>
      <x:c r="D312" s="15" t="n">
        <x:v>20</x:v>
      </x:c>
      <x:c r="E312" s="11" t="str">
        <x:v>7</x:v>
      </x:c>
      <x:c r="F312" s="11" t="str">
        <x:v>עמלות נירות ערך</x:v>
      </x:c>
      <x:c r="G312" s="17" t="n">
        <x:v>37</x:v>
      </x:c>
      <x:c r="H312" s="18" t="str">
        <x:v>עמלות</x:v>
      </x:c>
      <x:c r="I312" s="19" t="str">
        <x:f>IFERROR(INDEX('מיפוי ומקורות'!$C$7:$C$33,MATCH(H312,'מיפוי ומקורות'!$B$7:$B$33,0)),"לא מסווג")</x:f>
        <x:v>עמלות</x:v>
      </x:c>
      <x:c r="J312" s="19" t="str">
        <x:f>IFERROR(INDEX('מיפוי ומקורות'!$D$7:$D$33,MATCH(H312,'מיפוי ומקורות'!$B$7:$B$33,0)),"שוטף")</x:f>
        <x:v>שוטף</x:v>
      </x:c>
      <x:c r="K312" s="19" t="str">
        <x:f>IF(OR(H312="ריביות",AND(H312="דירה כצנלסון",G312&lt;0,ISNUMBER(SEARCH("הכנסה",F312)))),"הכנסה שסווגה מחדש",J312)</x:f>
        <x:v>שוטף</x:v>
      </x:c>
      <x:c r="L312" s="19" t="str">
        <x:v>מאושר</x:v>
      </x:c>
      <x:c r="M312" s="20" t="n">
        <x:f>IF(L312="מאושר",IF(K312="הכנסה שסווגה מחדש",0,G312),0)</x:f>
        <x:v>37</x:v>
      </x:c>
      <x:c r="N312" s="20" t="n">
        <x:f>IF(K312="שוטף",M312,0)</x:f>
        <x:v>37</x:v>
      </x:c>
      <x:c r="O312" s="20" t="n">
        <x:f>IF(K312="הכנסה שסווגה מחדש",-G312,0)</x:f>
        <x:v>0</x:v>
      </x:c>
      <x:c r="P312" s="11" t="str">
        <x:v>דיסקונט</x:v>
      </x:c>
      <x:c r="Q312" s="11" t="str"/>
      <x:c r="R312" s="11" t="str">
        <x:v>לא</x:v>
      </x:c>
    </x:row>
    <x:row r="313">
      <x:c r="A313" s="14" t="n">
        <x:v>45748</x:v>
      </x:c>
      <x:c r="B313" s="11" t="str">
        <x:v>2025-04</x:v>
      </x:c>
      <x:c r="C313" s="11" t="str">
        <x:v>אפריל 25</x:v>
      </x:c>
      <x:c r="D313" s="15" t="n">
        <x:v>21</x:v>
      </x:c>
      <x:c r="E313" s="11" t="str">
        <x:v>4</x:v>
      </x:c>
      <x:c r="F313" s="11" t="str">
        <x:v>לק</x:v>
      </x:c>
      <x:c r="G313" s="17" t="n">
        <x:v>120</x:v>
      </x:c>
      <x:c r="H313" s="18" t="str">
        <x:v>קוסמטיקה</x:v>
      </x:c>
      <x:c r="I313" s="19" t="str">
        <x:f>IFERROR(INDEX('מיפוי ומקורות'!$C$7:$C$33,MATCH(H313,'מיפוי ומקורות'!$B$7:$B$33,0)),"לא מסווג")</x:f>
        <x:v>קוסמטיקה</x:v>
      </x:c>
      <x:c r="J313" s="19" t="str">
        <x:f>IFERROR(INDEX('מיפוי ומקורות'!$D$7:$D$33,MATCH(H313,'מיפוי ומקורות'!$B$7:$B$33,0)),"שוטף")</x:f>
        <x:v>שוטף</x:v>
      </x:c>
      <x:c r="K313" s="19" t="str">
        <x:f>IF(OR(H313="ריביות",AND(H313="דירה כצנלסון",G313&lt;0,ISNUMBER(SEARCH("הכנסה",F313)))),"הכנסה שסווגה מחדש",J313)</x:f>
        <x:v>שוטף</x:v>
      </x:c>
      <x:c r="L313" s="19" t="str">
        <x:v>מאושר</x:v>
      </x:c>
      <x:c r="M313" s="20" t="n">
        <x:f>IF(L313="מאושר",IF(K313="הכנסה שסווגה מחדש",0,G313),0)</x:f>
        <x:v>120</x:v>
      </x:c>
      <x:c r="N313" s="20" t="n">
        <x:f>IF(K313="שוטף",M313,0)</x:f>
        <x:v>120</x:v>
      </x:c>
      <x:c r="O313" s="20" t="n">
        <x:f>IF(K313="הכנסה שסווגה מחדש",-G313,0)</x:f>
        <x:v>0</x:v>
      </x:c>
      <x:c r="P313" s="11" t="str">
        <x:v>מקס עינור</x:v>
      </x:c>
      <x:c r="Q313" s="11" t="str"/>
      <x:c r="R313" s="11" t="str">
        <x:v>לא</x:v>
      </x:c>
    </x:row>
    <x:row r="314">
      <x:c r="A314" s="14" t="n">
        <x:v>45748</x:v>
      </x:c>
      <x:c r="B314" s="11" t="str">
        <x:v>2025-04</x:v>
      </x:c>
      <x:c r="C314" s="11" t="str">
        <x:v>אפריל 25</x:v>
      </x:c>
      <x:c r="D314" s="15" t="n">
        <x:v>22</x:v>
      </x:c>
      <x:c r="E314" s="11" t="str">
        <x:v>9</x:v>
      </x:c>
      <x:c r="F314" s="11" t="str">
        <x:v>טיפול פנים</x:v>
      </x:c>
      <x:c r="G314" s="17" t="n">
        <x:v>350</x:v>
      </x:c>
      <x:c r="H314" s="18" t="str">
        <x:v>חתונה</x:v>
      </x:c>
      <x:c r="I314" s="19" t="str">
        <x:f>IFERROR(INDEX('מיפוי ומקורות'!$C$7:$C$33,MATCH(H314,'מיפוי ומקורות'!$B$7:$B$33,0)),"לא מסווג")</x:f>
        <x:v>חתונה</x:v>
      </x:c>
      <x:c r="J314" s="19" t="str">
        <x:f>IFERROR(INDEX('מיפוי ומקורות'!$D$7:$D$33,MATCH(H314,'מיפוי ומקורות'!$B$7:$B$33,0)),"שוטף")</x:f>
        <x:v>חריג</x:v>
      </x:c>
      <x:c r="K314" s="19" t="str">
        <x:f>IF(OR(H314="ריביות",AND(H314="דירה כצנלסון",G314&lt;0,ISNUMBER(SEARCH("הכנסה",F314)))),"הכנסה שסווגה מחדש",J314)</x:f>
        <x:v>חריג</x:v>
      </x:c>
      <x:c r="L314" s="19" t="str">
        <x:v>מאושר</x:v>
      </x:c>
      <x:c r="M314" s="20" t="n">
        <x:f>IF(L314="מאושר",IF(K314="הכנסה שסווגה מחדש",0,G314),0)</x:f>
        <x:v>350</x:v>
      </x:c>
      <x:c r="N314" s="20" t="n">
        <x:f>IF(K314="שוטף",M314,0)</x:f>
        <x:v>0</x:v>
      </x:c>
      <x:c r="O314" s="20" t="n">
        <x:f>IF(K314="הכנסה שסווגה מחדש",-G314,0)</x:f>
        <x:v>0</x:v>
      </x:c>
      <x:c r="P314" s="11" t="str">
        <x:v>מקס עינור</x:v>
      </x:c>
      <x:c r="Q314" s="11" t="str"/>
      <x:c r="R314" s="11" t="str">
        <x:v>לא</x:v>
      </x:c>
    </x:row>
    <x:row r="315">
      <x:c r="A315" s="14" t="n">
        <x:v>45748</x:v>
      </x:c>
      <x:c r="B315" s="11" t="str">
        <x:v>2025-04</x:v>
      </x:c>
      <x:c r="C315" s="11" t="str">
        <x:v>אפריל 25</x:v>
      </x:c>
      <x:c r="D315" s="15" t="n">
        <x:v>23</x:v>
      </x:c>
      <x:c r="E315" s="11" t="str">
        <x:v>20</x:v>
      </x:c>
      <x:c r="F315" s="11" t="str">
        <x:v>ביטוח חול סיישל</x:v>
      </x:c>
      <x:c r="G315" s="17" t="n">
        <x:v>251</x:v>
      </x:c>
      <x:c r="H315" s="18" t="str">
        <x:v>חתונה</x:v>
      </x:c>
      <x:c r="I315" s="19" t="str">
        <x:f>IFERROR(INDEX('מיפוי ומקורות'!$C$7:$C$33,MATCH(H315,'מיפוי ומקורות'!$B$7:$B$33,0)),"לא מסווג")</x:f>
        <x:v>חתונה</x:v>
      </x:c>
      <x:c r="J315" s="19" t="str">
        <x:f>IFERROR(INDEX('מיפוי ומקורות'!$D$7:$D$33,MATCH(H315,'מיפוי ומקורות'!$B$7:$B$33,0)),"שוטף")</x:f>
        <x:v>חריג</x:v>
      </x:c>
      <x:c r="K315" s="19" t="str">
        <x:f>IF(OR(H315="ריביות",AND(H315="דירה כצנלסון",G315&lt;0,ISNUMBER(SEARCH("הכנסה",F315)))),"הכנסה שסווגה מחדש",J315)</x:f>
        <x:v>חריג</x:v>
      </x:c>
      <x:c r="L315" s="19" t="str">
        <x:v>מאושר</x:v>
      </x:c>
      <x:c r="M315" s="20" t="n">
        <x:f>IF(L315="מאושר",IF(K315="הכנסה שסווגה מחדש",0,G315),0)</x:f>
        <x:v>251</x:v>
      </x:c>
      <x:c r="N315" s="20" t="n">
        <x:f>IF(K315="שוטף",M315,0)</x:f>
        <x:v>0</x:v>
      </x:c>
      <x:c r="O315" s="20" t="n">
        <x:f>IF(K315="הכנסה שסווגה מחדש",-G315,0)</x:f>
        <x:v>0</x:v>
      </x:c>
      <x:c r="P315" s="11" t="str">
        <x:v>מקס עינור</x:v>
      </x:c>
      <x:c r="Q315" s="11" t="str"/>
      <x:c r="R315" s="11" t="str">
        <x:v>לא</x:v>
      </x:c>
    </x:row>
    <x:row r="316">
      <x:c r="A316" s="14" t="n">
        <x:v>45748</x:v>
      </x:c>
      <x:c r="B316" s="11" t="str">
        <x:v>2025-04</x:v>
      </x:c>
      <x:c r="C316" s="11" t="str">
        <x:v>אפריל 25</x:v>
      </x:c>
      <x:c r="D316" s="15" t="n">
        <x:v>24</x:v>
      </x:c>
      <x:c r="E316" s="11" t="str"/>
      <x:c r="F316" s="11" t="str">
        <x:v>לייזר</x:v>
      </x:c>
      <x:c r="G316" s="17" t="n">
        <x:v>173</x:v>
      </x:c>
      <x:c r="H316" s="18" t="str">
        <x:v>קוסמטיקה</x:v>
      </x:c>
      <x:c r="I316" s="19" t="str">
        <x:f>IFERROR(INDEX('מיפוי ומקורות'!$C$7:$C$33,MATCH(H316,'מיפוי ומקורות'!$B$7:$B$33,0)),"לא מסווג")</x:f>
        <x:v>קוסמטיקה</x:v>
      </x:c>
      <x:c r="J316" s="19" t="str">
        <x:f>IFERROR(INDEX('מיפוי ומקורות'!$D$7:$D$33,MATCH(H316,'מיפוי ומקורות'!$B$7:$B$33,0)),"שוטף")</x:f>
        <x:v>שוטף</x:v>
      </x:c>
      <x:c r="K316" s="19" t="str">
        <x:f>IF(OR(H316="ריביות",AND(H316="דירה כצנלסון",G316&lt;0,ISNUMBER(SEARCH("הכנסה",F316)))),"הכנסה שסווגה מחדש",J316)</x:f>
        <x:v>שוטף</x:v>
      </x:c>
      <x:c r="L316" s="19" t="str">
        <x:v>מאושר</x:v>
      </x:c>
      <x:c r="M316" s="20" t="n">
        <x:f>IF(L316="מאושר",IF(K316="הכנסה שסווגה מחדש",0,G316),0)</x:f>
        <x:v>173</x:v>
      </x:c>
      <x:c r="N316" s="20" t="n">
        <x:f>IF(K316="שוטף",M316,0)</x:f>
        <x:v>173</x:v>
      </x:c>
      <x:c r="O316" s="20" t="n">
        <x:f>IF(K316="הכנסה שסווגה מחדש",-G316,0)</x:f>
        <x:v>0</x:v>
      </x:c>
      <x:c r="P316" s="11" t="str">
        <x:v>אמקס עינור</x:v>
      </x:c>
      <x:c r="Q316" s="11" t="str"/>
      <x:c r="R316" s="11" t="str">
        <x:v>לא</x:v>
      </x:c>
    </x:row>
    <x:row r="317">
      <x:c r="A317" s="14" t="n">
        <x:v>45748</x:v>
      </x:c>
      <x:c r="B317" s="11" t="str">
        <x:v>2025-04</x:v>
      </x:c>
      <x:c r="C317" s="11" t="str">
        <x:v>אפריל 25</x:v>
      </x:c>
      <x:c r="D317" s="15" t="n">
        <x:v>25</x:v>
      </x:c>
      <x:c r="E317" s="11" t="str">
        <x:v>1</x:v>
      </x:c>
      <x:c r="F317" s="11" t="str">
        <x:v>סופר פארם</x:v>
      </x:c>
      <x:c r="G317" s="17" t="n">
        <x:v>234</x:v>
      </x:c>
      <x:c r="H317" s="18" t="str">
        <x:v>בריאות</x:v>
      </x:c>
      <x:c r="I317" s="19" t="str">
        <x:f>IFERROR(INDEX('מיפוי ומקורות'!$C$7:$C$33,MATCH(H317,'מיפוי ומקורות'!$B$7:$B$33,0)),"לא מסווג")</x:f>
        <x:v>בריאות וטיפולים</x:v>
      </x:c>
      <x:c r="J317" s="19" t="str">
        <x:f>IFERROR(INDEX('מיפוי ומקורות'!$D$7:$D$33,MATCH(H317,'מיפוי ומקורות'!$B$7:$B$33,0)),"שוטף")</x:f>
        <x:v>שוטף</x:v>
      </x:c>
      <x:c r="K317" s="19" t="str">
        <x:f>IF(OR(H317="ריביות",AND(H317="דירה כצנלסון",G317&lt;0,ISNUMBER(SEARCH("הכנסה",F317)))),"הכנסה שסווגה מחדש",J317)</x:f>
        <x:v>שוטף</x:v>
      </x:c>
      <x:c r="L317" s="19" t="str">
        <x:v>מאושר</x:v>
      </x:c>
      <x:c r="M317" s="20" t="n">
        <x:f>IF(L317="מאושר",IF(K317="הכנסה שסווגה מחדש",0,G317),0)</x:f>
        <x:v>234</x:v>
      </x:c>
      <x:c r="N317" s="20" t="n">
        <x:f>IF(K317="שוטף",M317,0)</x:f>
        <x:v>234</x:v>
      </x:c>
      <x:c r="O317" s="20" t="n">
        <x:f>IF(K317="הכנסה שסווגה מחדש",-G317,0)</x:f>
        <x:v>0</x:v>
      </x:c>
      <x:c r="P317" s="11" t="str">
        <x:v>אמקס עינור</x:v>
      </x:c>
      <x:c r="Q317" s="11" t="str"/>
      <x:c r="R317" s="11" t="str">
        <x:v>לא</x:v>
      </x:c>
    </x:row>
    <x:row r="318">
      <x:c r="A318" s="14" t="n">
        <x:v>45748</x:v>
      </x:c>
      <x:c r="B318" s="11" t="str">
        <x:v>2025-04</x:v>
      </x:c>
      <x:c r="C318" s="11" t="str">
        <x:v>אפריל 25</x:v>
      </x:c>
      <x:c r="D318" s="15" t="n">
        <x:v>26</x:v>
      </x:c>
      <x:c r="E318" s="11" t="str">
        <x:v>1</x:v>
      </x:c>
      <x:c r="F318" s="11" t="str">
        <x:v>שיניים</x:v>
      </x:c>
      <x:c r="G318" s="17" t="n">
        <x:v>110</x:v>
      </x:c>
      <x:c r="H318" s="18" t="str">
        <x:v>בריאות</x:v>
      </x:c>
      <x:c r="I318" s="19" t="str">
        <x:f>IFERROR(INDEX('מיפוי ומקורות'!$C$7:$C$33,MATCH(H318,'מיפוי ומקורות'!$B$7:$B$33,0)),"לא מסווג")</x:f>
        <x:v>בריאות וטיפולים</x:v>
      </x:c>
      <x:c r="J318" s="19" t="str">
        <x:f>IFERROR(INDEX('מיפוי ומקורות'!$D$7:$D$33,MATCH(H318,'מיפוי ומקורות'!$B$7:$B$33,0)),"שוטף")</x:f>
        <x:v>שוטף</x:v>
      </x:c>
      <x:c r="K318" s="19" t="str">
        <x:f>IF(OR(H318="ריביות",AND(H318="דירה כצנלסון",G318&lt;0,ISNUMBER(SEARCH("הכנסה",F318)))),"הכנסה שסווגה מחדש",J318)</x:f>
        <x:v>שוטף</x:v>
      </x:c>
      <x:c r="L318" s="19" t="str">
        <x:v>מאושר</x:v>
      </x:c>
      <x:c r="M318" s="20" t="n">
        <x:f>IF(L318="מאושר",IF(K318="הכנסה שסווגה מחדש",0,G318),0)</x:f>
        <x:v>110</x:v>
      </x:c>
      <x:c r="N318" s="20" t="n">
        <x:f>IF(K318="שוטף",M318,0)</x:f>
        <x:v>110</x:v>
      </x:c>
      <x:c r="O318" s="20" t="n">
        <x:f>IF(K318="הכנסה שסווגה מחדש",-G318,0)</x:f>
        <x:v>0</x:v>
      </x:c>
      <x:c r="P318" s="11" t="str">
        <x:v>אמקס עינור</x:v>
      </x:c>
      <x:c r="Q318" s="11" t="str"/>
      <x:c r="R318" s="11" t="str">
        <x:v>לא</x:v>
      </x:c>
    </x:row>
    <x:row r="319">
      <x:c r="A319" s="14" t="n">
        <x:v>45748</x:v>
      </x:c>
      <x:c r="B319" s="11" t="str">
        <x:v>2025-04</x:v>
      </x:c>
      <x:c r="C319" s="11" t="str">
        <x:v>אפריל 25</x:v>
      </x:c>
      <x:c r="D319" s="15" t="n">
        <x:v>27</x:v>
      </x:c>
      <x:c r="E319" s="11" t="str">
        <x:v>1</x:v>
      </x:c>
      <x:c r="F319" s="11" t="str">
        <x:v>חניון קניון</x:v>
      </x:c>
      <x:c r="G319" s="17" t="n">
        <x:v>5</x:v>
      </x:c>
      <x:c r="H319" s="18" t="str">
        <x:v>תחבורה</x:v>
      </x:c>
      <x:c r="I319" s="19" t="str">
        <x:f>IFERROR(INDEX('מיפוי ומקורות'!$C$7:$C$33,MATCH(H319,'מיפוי ומקורות'!$B$7:$B$33,0)),"לא מסווג")</x:f>
        <x:v>תחבורה</x:v>
      </x:c>
      <x:c r="J319" s="19" t="str">
        <x:f>IFERROR(INDEX('מיפוי ומקורות'!$D$7:$D$33,MATCH(H319,'מיפוי ומקורות'!$B$7:$B$33,0)),"שוטף")</x:f>
        <x:v>שוטף</x:v>
      </x:c>
      <x:c r="K319" s="19" t="str">
        <x:f>IF(OR(H319="ריביות",AND(H319="דירה כצנלסון",G319&lt;0,ISNUMBER(SEARCH("הכנסה",F319)))),"הכנסה שסווגה מחדש",J319)</x:f>
        <x:v>שוטף</x:v>
      </x:c>
      <x:c r="L319" s="19" t="str">
        <x:v>מאושר</x:v>
      </x:c>
      <x:c r="M319" s="20" t="n">
        <x:f>IF(L319="מאושר",IF(K319="הכנסה שסווגה מחדש",0,G319),0)</x:f>
        <x:v>5</x:v>
      </x:c>
      <x:c r="N319" s="20" t="n">
        <x:f>IF(K319="שוטף",M319,0)</x:f>
        <x:v>5</x:v>
      </x:c>
      <x:c r="O319" s="20" t="n">
        <x:f>IF(K319="הכנסה שסווגה מחדש",-G319,0)</x:f>
        <x:v>0</x:v>
      </x:c>
      <x:c r="P319" s="11" t="str">
        <x:v>אמקס עינור</x:v>
      </x:c>
      <x:c r="Q319" s="11" t="str"/>
      <x:c r="R319" s="11" t="str">
        <x:v>לא</x:v>
      </x:c>
    </x:row>
    <x:row r="320">
      <x:c r="A320" s="14" t="n">
        <x:v>45748</x:v>
      </x:c>
      <x:c r="B320" s="11" t="str">
        <x:v>2025-04</x:v>
      </x:c>
      <x:c r="C320" s="11" t="str">
        <x:v>אפריל 25</x:v>
      </x:c>
      <x:c r="D320" s="15" t="n">
        <x:v>28</x:v>
      </x:c>
      <x:c r="E320" s="11" t="str">
        <x:v>1</x:v>
      </x:c>
      <x:c r="F320" s="11" t="str">
        <x:v>מכבי טבעי</x:v>
      </x:c>
      <x:c r="G320" s="17" t="n">
        <x:v>304</x:v>
      </x:c>
      <x:c r="H320" s="18" t="str">
        <x:v>בריאות</x:v>
      </x:c>
      <x:c r="I320" s="19" t="str">
        <x:f>IFERROR(INDEX('מיפוי ומקורות'!$C$7:$C$33,MATCH(H320,'מיפוי ומקורות'!$B$7:$B$33,0)),"לא מסווג")</x:f>
        <x:v>בריאות וטיפולים</x:v>
      </x:c>
      <x:c r="J320" s="19" t="str">
        <x:f>IFERROR(INDEX('מיפוי ומקורות'!$D$7:$D$33,MATCH(H320,'מיפוי ומקורות'!$B$7:$B$33,0)),"שוטף")</x:f>
        <x:v>שוטף</x:v>
      </x:c>
      <x:c r="K320" s="19" t="str">
        <x:f>IF(OR(H320="ריביות",AND(H320="דירה כצנלסון",G320&lt;0,ISNUMBER(SEARCH("הכנסה",F320)))),"הכנסה שסווגה מחדש",J320)</x:f>
        <x:v>שוטף</x:v>
      </x:c>
      <x:c r="L320" s="19" t="str">
        <x:v>מאושר</x:v>
      </x:c>
      <x:c r="M320" s="20" t="n">
        <x:f>IF(L320="מאושר",IF(K320="הכנסה שסווגה מחדש",0,G320),0)</x:f>
        <x:v>304</x:v>
      </x:c>
      <x:c r="N320" s="20" t="n">
        <x:f>IF(K320="שוטף",M320,0)</x:f>
        <x:v>304</x:v>
      </x:c>
      <x:c r="O320" s="20" t="n">
        <x:f>IF(K320="הכנסה שסווגה מחדש",-G320,0)</x:f>
        <x:v>0</x:v>
      </x:c>
      <x:c r="P320" s="11" t="str">
        <x:v>אמקס עינור</x:v>
      </x:c>
      <x:c r="Q320" s="11" t="str"/>
      <x:c r="R320" s="11" t="str">
        <x:v>לא</x:v>
      </x:c>
    </x:row>
    <x:row r="321">
      <x:c r="A321" s="14" t="n">
        <x:v>45748</x:v>
      </x:c>
      <x:c r="B321" s="11" t="str">
        <x:v>2025-04</x:v>
      </x:c>
      <x:c r="C321" s="11" t="str">
        <x:v>אפריל 25</x:v>
      </x:c>
      <x:c r="D321" s="15" t="n">
        <x:v>29</x:v>
      </x:c>
      <x:c r="E321" s="11" t="str">
        <x:v>2</x:v>
      </x:c>
      <x:c r="F321" s="11" t="str">
        <x:v>מכבי</x:v>
      </x:c>
      <x:c r="G321" s="17" t="n">
        <x:v>93</x:v>
      </x:c>
      <x:c r="H321" s="18" t="str">
        <x:v>בריאות</x:v>
      </x:c>
      <x:c r="I321" s="19" t="str">
        <x:f>IFERROR(INDEX('מיפוי ומקורות'!$C$7:$C$33,MATCH(H321,'מיפוי ומקורות'!$B$7:$B$33,0)),"לא מסווג")</x:f>
        <x:v>בריאות וטיפולים</x:v>
      </x:c>
      <x:c r="J321" s="19" t="str">
        <x:f>IFERROR(INDEX('מיפוי ומקורות'!$D$7:$D$33,MATCH(H321,'מיפוי ומקורות'!$B$7:$B$33,0)),"שוטף")</x:f>
        <x:v>שוטף</x:v>
      </x:c>
      <x:c r="K321" s="19" t="str">
        <x:f>IF(OR(H321="ריביות",AND(H321="דירה כצנלסון",G321&lt;0,ISNUMBER(SEARCH("הכנסה",F321)))),"הכנסה שסווגה מחדש",J321)</x:f>
        <x:v>שוטף</x:v>
      </x:c>
      <x:c r="L321" s="19" t="str">
        <x:v>מאושר</x:v>
      </x:c>
      <x:c r="M321" s="20" t="n">
        <x:f>IF(L321="מאושר",IF(K321="הכנסה שסווגה מחדש",0,G321),0)</x:f>
        <x:v>93</x:v>
      </x:c>
      <x:c r="N321" s="20" t="n">
        <x:f>IF(K321="שוטף",M321,0)</x:f>
        <x:v>93</x:v>
      </x:c>
      <x:c r="O321" s="20" t="n">
        <x:f>IF(K321="הכנסה שסווגה מחדש",-G321,0)</x:f>
        <x:v>0</x:v>
      </x:c>
      <x:c r="P321" s="11" t="str">
        <x:v>אמקס עינור</x:v>
      </x:c>
      <x:c r="Q321" s="11" t="str"/>
      <x:c r="R321" s="11" t="str">
        <x:v>לא</x:v>
      </x:c>
    </x:row>
    <x:row r="322">
      <x:c r="A322" s="14" t="n">
        <x:v>45748</x:v>
      </x:c>
      <x:c r="B322" s="11" t="str">
        <x:v>2025-04</x:v>
      </x:c>
      <x:c r="C322" s="11" t="str">
        <x:v>אפריל 25</x:v>
      </x:c>
      <x:c r="D322" s="15" t="n">
        <x:v>30</x:v>
      </x:c>
      <x:c r="E322" s="11" t="str">
        <x:v>3</x:v>
      </x:c>
      <x:c r="F322" s="11" t="str">
        <x:v>הזמנות</x:v>
      </x:c>
      <x:c r="G322" s="17" t="n">
        <x:v>60</x:v>
      </x:c>
      <x:c r="H322" s="18" t="str">
        <x:v>חתונה</x:v>
      </x:c>
      <x:c r="I322" s="19" t="str">
        <x:f>IFERROR(INDEX('מיפוי ומקורות'!$C$7:$C$33,MATCH(H322,'מיפוי ומקורות'!$B$7:$B$33,0)),"לא מסווג")</x:f>
        <x:v>חתונה</x:v>
      </x:c>
      <x:c r="J322" s="19" t="str">
        <x:f>IFERROR(INDEX('מיפוי ומקורות'!$D$7:$D$33,MATCH(H322,'מיפוי ומקורות'!$B$7:$B$33,0)),"שוטף")</x:f>
        <x:v>חריג</x:v>
      </x:c>
      <x:c r="K322" s="19" t="str">
        <x:f>IF(OR(H322="ריביות",AND(H322="דירה כצנלסון",G322&lt;0,ISNUMBER(SEARCH("הכנסה",F322)))),"הכנסה שסווגה מחדש",J322)</x:f>
        <x:v>חריג</x:v>
      </x:c>
      <x:c r="L322" s="19" t="str">
        <x:v>מאושר</x:v>
      </x:c>
      <x:c r="M322" s="20" t="n">
        <x:f>IF(L322="מאושר",IF(K322="הכנסה שסווגה מחדש",0,G322),0)</x:f>
        <x:v>60</x:v>
      </x:c>
      <x:c r="N322" s="20" t="n">
        <x:f>IF(K322="שוטף",M322,0)</x:f>
        <x:v>0</x:v>
      </x:c>
      <x:c r="O322" s="20" t="n">
        <x:f>IF(K322="הכנסה שסווגה מחדש",-G322,0)</x:f>
        <x:v>0</x:v>
      </x:c>
      <x:c r="P322" s="11" t="str">
        <x:v>אמקס עינור</x:v>
      </x:c>
      <x:c r="Q322" s="11" t="str"/>
      <x:c r="R322" s="11" t="str">
        <x:v>לא</x:v>
      </x:c>
    </x:row>
    <x:row r="323">
      <x:c r="A323" s="14" t="n">
        <x:v>45748</x:v>
      </x:c>
      <x:c r="B323" s="11" t="str">
        <x:v>2025-04</x:v>
      </x:c>
      <x:c r="C323" s="11" t="str">
        <x:v>אפריל 25</x:v>
      </x:c>
      <x:c r="D323" s="15" t="n">
        <x:v>31</x:v>
      </x:c>
      <x:c r="E323" s="11" t="str">
        <x:v>6</x:v>
      </x:c>
      <x:c r="F323" s="11" t="str">
        <x:v>מקס</x:v>
      </x:c>
      <x:c r="G323" s="17" t="n">
        <x:v>18</x:v>
      </x:c>
      <x:c r="H323" s="18" t="str">
        <x:v>חתונה</x:v>
      </x:c>
      <x:c r="I323" s="19" t="str">
        <x:f>IFERROR(INDEX('מיפוי ומקורות'!$C$7:$C$33,MATCH(H323,'מיפוי ומקורות'!$B$7:$B$33,0)),"לא מסווג")</x:f>
        <x:v>חתונה</x:v>
      </x:c>
      <x:c r="J323" s="19" t="str">
        <x:f>IFERROR(INDEX('מיפוי ומקורות'!$D$7:$D$33,MATCH(H323,'מיפוי ומקורות'!$B$7:$B$33,0)),"שוטף")</x:f>
        <x:v>חריג</x:v>
      </x:c>
      <x:c r="K323" s="19" t="str">
        <x:f>IF(OR(H323="ריביות",AND(H323="דירה כצנלסון",G323&lt;0,ISNUMBER(SEARCH("הכנסה",F323)))),"הכנסה שסווגה מחדש",J323)</x:f>
        <x:v>חריג</x:v>
      </x:c>
      <x:c r="L323" s="19" t="str">
        <x:v>מאושר</x:v>
      </x:c>
      <x:c r="M323" s="20" t="n">
        <x:f>IF(L323="מאושר",IF(K323="הכנסה שסווגה מחדש",0,G323),0)</x:f>
        <x:v>18</x:v>
      </x:c>
      <x:c r="N323" s="20" t="n">
        <x:f>IF(K323="שוטף",M323,0)</x:f>
        <x:v>0</x:v>
      </x:c>
      <x:c r="O323" s="20" t="n">
        <x:f>IF(K323="הכנסה שסווגה מחדש",-G323,0)</x:f>
        <x:v>0</x:v>
      </x:c>
      <x:c r="P323" s="11" t="str">
        <x:v>אמקס עינור</x:v>
      </x:c>
      <x:c r="Q323" s="11" t="str"/>
      <x:c r="R323" s="11" t="str">
        <x:v>לא</x:v>
      </x:c>
    </x:row>
    <x:row r="324">
      <x:c r="A324" s="14" t="n">
        <x:v>45748</x:v>
      </x:c>
      <x:c r="B324" s="11" t="str">
        <x:v>2025-04</x:v>
      </x:c>
      <x:c r="C324" s="11" t="str">
        <x:v>אפריל 25</x:v>
      </x:c>
      <x:c r="D324" s="15" t="n">
        <x:v>32</x:v>
      </x:c>
      <x:c r="E324" s="11" t="str">
        <x:v>6</x:v>
      </x:c>
      <x:c r="F324" s="11" t="str">
        <x:v>גבות</x:v>
      </x:c>
      <x:c r="G324" s="17" t="n">
        <x:v>70</x:v>
      </x:c>
      <x:c r="H324" s="18" t="str">
        <x:v>קוסמטיקה</x:v>
      </x:c>
      <x:c r="I324" s="19" t="str">
        <x:f>IFERROR(INDEX('מיפוי ומקורות'!$C$7:$C$33,MATCH(H324,'מיפוי ומקורות'!$B$7:$B$33,0)),"לא מסווג")</x:f>
        <x:v>קוסמטיקה</x:v>
      </x:c>
      <x:c r="J324" s="19" t="str">
        <x:f>IFERROR(INDEX('מיפוי ומקורות'!$D$7:$D$33,MATCH(H324,'מיפוי ומקורות'!$B$7:$B$33,0)),"שוטף")</x:f>
        <x:v>שוטף</x:v>
      </x:c>
      <x:c r="K324" s="19" t="str">
        <x:f>IF(OR(H324="ריביות",AND(H324="דירה כצנלסון",G324&lt;0,ISNUMBER(SEARCH("הכנסה",F324)))),"הכנסה שסווגה מחדש",J324)</x:f>
        <x:v>שוטף</x:v>
      </x:c>
      <x:c r="L324" s="19" t="str">
        <x:v>מאושר</x:v>
      </x:c>
      <x:c r="M324" s="20" t="n">
        <x:f>IF(L324="מאושר",IF(K324="הכנסה שסווגה מחדש",0,G324),0)</x:f>
        <x:v>70</x:v>
      </x:c>
      <x:c r="N324" s="20" t="n">
        <x:f>IF(K324="שוטף",M324,0)</x:f>
        <x:v>70</x:v>
      </x:c>
      <x:c r="O324" s="20" t="n">
        <x:f>IF(K324="הכנסה שסווגה מחדש",-G324,0)</x:f>
        <x:v>0</x:v>
      </x:c>
      <x:c r="P324" s="11" t="str">
        <x:v>אמקס עינור</x:v>
      </x:c>
      <x:c r="Q324" s="11" t="str"/>
      <x:c r="R324" s="11" t="str">
        <x:v>לא</x:v>
      </x:c>
    </x:row>
    <x:row r="325">
      <x:c r="A325" s="14" t="n">
        <x:v>45748</x:v>
      </x:c>
      <x:c r="B325" s="11" t="str">
        <x:v>2025-04</x:v>
      </x:c>
      <x:c r="C325" s="11" t="str">
        <x:v>אפריל 25</x:v>
      </x:c>
      <x:c r="D325" s="15" t="n">
        <x:v>33</x:v>
      </x:c>
      <x:c r="E325" s="11" t="str">
        <x:v>8</x:v>
      </x:c>
      <x:c r="F325" s="11" t="str">
        <x:v>שיניים</x:v>
      </x:c>
      <x:c r="G325" s="17" t="n">
        <x:v>68</x:v>
      </x:c>
      <x:c r="H325" s="18" t="str">
        <x:v>בריאות</x:v>
      </x:c>
      <x:c r="I325" s="19" t="str">
        <x:f>IFERROR(INDEX('מיפוי ומקורות'!$C$7:$C$33,MATCH(H325,'מיפוי ומקורות'!$B$7:$B$33,0)),"לא מסווג")</x:f>
        <x:v>בריאות וטיפולים</x:v>
      </x:c>
      <x:c r="J325" s="19" t="str">
        <x:f>IFERROR(INDEX('מיפוי ומקורות'!$D$7:$D$33,MATCH(H325,'מיפוי ומקורות'!$B$7:$B$33,0)),"שוטף")</x:f>
        <x:v>שוטף</x:v>
      </x:c>
      <x:c r="K325" s="19" t="str">
        <x:f>IF(OR(H325="ריביות",AND(H325="דירה כצנלסון",G325&lt;0,ISNUMBER(SEARCH("הכנסה",F325)))),"הכנסה שסווגה מחדש",J325)</x:f>
        <x:v>שוטף</x:v>
      </x:c>
      <x:c r="L325" s="19" t="str">
        <x:v>מאושר</x:v>
      </x:c>
      <x:c r="M325" s="20" t="n">
        <x:f>IF(L325="מאושר",IF(K325="הכנסה שסווגה מחדש",0,G325),0)</x:f>
        <x:v>68</x:v>
      </x:c>
      <x:c r="N325" s="20" t="n">
        <x:f>IF(K325="שוטף",M325,0)</x:f>
        <x:v>68</x:v>
      </x:c>
      <x:c r="O325" s="20" t="n">
        <x:f>IF(K325="הכנסה שסווגה מחדש",-G325,0)</x:f>
        <x:v>0</x:v>
      </x:c>
      <x:c r="P325" s="11" t="str">
        <x:v>אמקס עינור</x:v>
      </x:c>
      <x:c r="Q325" s="11" t="str"/>
      <x:c r="R325" s="11" t="str">
        <x:v>לא</x:v>
      </x:c>
    </x:row>
    <x:row r="326">
      <x:c r="A326" s="14" t="n">
        <x:v>45748</x:v>
      </x:c>
      <x:c r="B326" s="11" t="str">
        <x:v>2025-04</x:v>
      </x:c>
      <x:c r="C326" s="11" t="str">
        <x:v>אפריל 25</x:v>
      </x:c>
      <x:c r="D326" s="15" t="n">
        <x:v>34</x:v>
      </x:c>
      <x:c r="E326" s="11" t="str">
        <x:v>8</x:v>
      </x:c>
      <x:c r="F326" s="11" t="str">
        <x:v>סופר</x:v>
      </x:c>
      <x:c r="G326" s="17" t="n">
        <x:v>62</x:v>
      </x:c>
      <x:c r="H326" s="18" t="str">
        <x:v>מזון לבית</x:v>
      </x:c>
      <x:c r="I326" s="19" t="str">
        <x:f>IFERROR(INDEX('מיפוי ומקורות'!$C$7:$C$33,MATCH(H326,'מיפוי ומקורות'!$B$7:$B$33,0)),"לא מסווג")</x:f>
        <x:v>מזון לבית</x:v>
      </x:c>
      <x:c r="J326" s="19" t="str">
        <x:f>IFERROR(INDEX('מיפוי ומקורות'!$D$7:$D$33,MATCH(H326,'מיפוי ומקורות'!$B$7:$B$33,0)),"שוטף")</x:f>
        <x:v>שוטף</x:v>
      </x:c>
      <x:c r="K326" s="19" t="str">
        <x:f>IF(OR(H326="ריביות",AND(H326="דירה כצנלסון",G326&lt;0,ISNUMBER(SEARCH("הכנסה",F326)))),"הכנסה שסווגה מחדש",J326)</x:f>
        <x:v>שוטף</x:v>
      </x:c>
      <x:c r="L326" s="19" t="str">
        <x:v>מאושר</x:v>
      </x:c>
      <x:c r="M326" s="20" t="n">
        <x:f>IF(L326="מאושר",IF(K326="הכנסה שסווגה מחדש",0,G326),0)</x:f>
        <x:v>62</x:v>
      </x:c>
      <x:c r="N326" s="20" t="n">
        <x:f>IF(K326="שוטף",M326,0)</x:f>
        <x:v>62</x:v>
      </x:c>
      <x:c r="O326" s="20" t="n">
        <x:f>IF(K326="הכנסה שסווגה מחדש",-G326,0)</x:f>
        <x:v>0</x:v>
      </x:c>
      <x:c r="P326" s="11" t="str">
        <x:v>אמקס עינור</x:v>
      </x:c>
      <x:c r="Q326" s="11" t="str"/>
      <x:c r="R326" s="11" t="str">
        <x:v>לא</x:v>
      </x:c>
    </x:row>
    <x:row r="327">
      <x:c r="A327" s="14" t="n">
        <x:v>45748</x:v>
      </x:c>
      <x:c r="B327" s="11" t="str">
        <x:v>2025-04</x:v>
      </x:c>
      <x:c r="C327" s="11" t="str">
        <x:v>אפריל 25</x:v>
      </x:c>
      <x:c r="D327" s="15" t="n">
        <x:v>35</x:v>
      </x:c>
      <x:c r="E327" s="11" t="str">
        <x:v>10</x:v>
      </x:c>
      <x:c r="F327" s="11" t="str">
        <x:v>פסטה</x:v>
      </x:c>
      <x:c r="G327" s="17" t="n">
        <x:v>122</x:v>
      </x:c>
      <x:c r="H327" s="18" t="str">
        <x:v>אוכל בחוץ</x:v>
      </x:c>
      <x:c r="I327" s="19" t="str">
        <x:f>IFERROR(INDEX('מיפוי ומקורות'!$C$7:$C$33,MATCH(H327,'מיפוי ומקורות'!$B$7:$B$33,0)),"לא מסווג")</x:f>
        <x:v>אוכל בחוץ</x:v>
      </x:c>
      <x:c r="J327" s="19" t="str">
        <x:f>IFERROR(INDEX('מיפוי ומקורות'!$D$7:$D$33,MATCH(H327,'מיפוי ומקורות'!$B$7:$B$33,0)),"שוטף")</x:f>
        <x:v>שוטף</x:v>
      </x:c>
      <x:c r="K327" s="19" t="str">
        <x:f>IF(OR(H327="ריביות",AND(H327="דירה כצנלסון",G327&lt;0,ISNUMBER(SEARCH("הכנסה",F327)))),"הכנסה שסווגה מחדש",J327)</x:f>
        <x:v>שוטף</x:v>
      </x:c>
      <x:c r="L327" s="19" t="str">
        <x:v>מאושר</x:v>
      </x:c>
      <x:c r="M327" s="20" t="n">
        <x:f>IF(L327="מאושר",IF(K327="הכנסה שסווגה מחדש",0,G327),0)</x:f>
        <x:v>122</x:v>
      </x:c>
      <x:c r="N327" s="20" t="n">
        <x:f>IF(K327="שוטף",M327,0)</x:f>
        <x:v>122</x:v>
      </x:c>
      <x:c r="O327" s="20" t="n">
        <x:f>IF(K327="הכנסה שסווגה מחדש",-G327,0)</x:f>
        <x:v>0</x:v>
      </x:c>
      <x:c r="P327" s="11" t="str">
        <x:v>אמקס עינור</x:v>
      </x:c>
      <x:c r="Q327" s="11" t="str"/>
      <x:c r="R327" s="11" t="str">
        <x:v>לא</x:v>
      </x:c>
    </x:row>
    <x:row r="328">
      <x:c r="A328" s="14" t="n">
        <x:v>45748</x:v>
      </x:c>
      <x:c r="B328" s="11" t="str">
        <x:v>2025-04</x:v>
      </x:c>
      <x:c r="C328" s="11" t="str">
        <x:v>אפריל 25</x:v>
      </x:c>
      <x:c r="D328" s="15" t="n">
        <x:v>36</x:v>
      </x:c>
      <x:c r="E328" s="11" t="str">
        <x:v>11</x:v>
      </x:c>
      <x:c r="F328" s="11" t="str">
        <x:v>שיניים</x:v>
      </x:c>
      <x:c r="G328" s="17" t="n">
        <x:v>34</x:v>
      </x:c>
      <x:c r="H328" s="18" t="str">
        <x:v>בריאות</x:v>
      </x:c>
      <x:c r="I328" s="19" t="str">
        <x:f>IFERROR(INDEX('מיפוי ומקורות'!$C$7:$C$33,MATCH(H328,'מיפוי ומקורות'!$B$7:$B$33,0)),"לא מסווג")</x:f>
        <x:v>בריאות וטיפולים</x:v>
      </x:c>
      <x:c r="J328" s="19" t="str">
        <x:f>IFERROR(INDEX('מיפוי ומקורות'!$D$7:$D$33,MATCH(H328,'מיפוי ומקורות'!$B$7:$B$33,0)),"שוטף")</x:f>
        <x:v>שוטף</x:v>
      </x:c>
      <x:c r="K328" s="19" t="str">
        <x:f>IF(OR(H328="ריביות",AND(H328="דירה כצנלסון",G328&lt;0,ISNUMBER(SEARCH("הכנסה",F328)))),"הכנסה שסווגה מחדש",J328)</x:f>
        <x:v>שוטף</x:v>
      </x:c>
      <x:c r="L328" s="19" t="str">
        <x:v>מאושר</x:v>
      </x:c>
      <x:c r="M328" s="20" t="n">
        <x:f>IF(L328="מאושר",IF(K328="הכנסה שסווגה מחדש",0,G328),0)</x:f>
        <x:v>34</x:v>
      </x:c>
      <x:c r="N328" s="20" t="n">
        <x:f>IF(K328="שוטף",M328,0)</x:f>
        <x:v>34</x:v>
      </x:c>
      <x:c r="O328" s="20" t="n">
        <x:f>IF(K328="הכנסה שסווגה מחדש",-G328,0)</x:f>
        <x:v>0</x:v>
      </x:c>
      <x:c r="P328" s="11" t="str">
        <x:v>אמקס עינור</x:v>
      </x:c>
      <x:c r="Q328" s="11" t="str"/>
      <x:c r="R328" s="11" t="str">
        <x:v>לא</x:v>
      </x:c>
    </x:row>
    <x:row r="329">
      <x:c r="A329" s="14" t="n">
        <x:v>45748</x:v>
      </x:c>
      <x:c r="B329" s="11" t="str">
        <x:v>2025-04</x:v>
      </x:c>
      <x:c r="C329" s="11" t="str">
        <x:v>אפריל 25</x:v>
      </x:c>
      <x:c r="D329" s="15" t="n">
        <x:v>37</x:v>
      </x:c>
      <x:c r="E329" s="11" t="str">
        <x:v>17</x:v>
      </x:c>
      <x:c r="F329" s="11" t="str">
        <x:v>דלתא</x:v>
      </x:c>
      <x:c r="G329" s="17" t="n">
        <x:v>20</x:v>
      </x:c>
      <x:c r="H329" s="18" t="str">
        <x:v>אופנה</x:v>
      </x:c>
      <x:c r="I329" s="19" t="str">
        <x:f>IFERROR(INDEX('מיפוי ומקורות'!$C$7:$C$33,MATCH(H329,'מיפוי ומקורות'!$B$7:$B$33,0)),"לא מסווג")</x:f>
        <x:v>אופנה</x:v>
      </x:c>
      <x:c r="J329" s="19" t="str">
        <x:f>IFERROR(INDEX('מיפוי ומקורות'!$D$7:$D$33,MATCH(H329,'מיפוי ומקורות'!$B$7:$B$33,0)),"שוטף")</x:f>
        <x:v>שוטף</x:v>
      </x:c>
      <x:c r="K329" s="19" t="str">
        <x:f>IF(OR(H329="ריביות",AND(H329="דירה כצנלסון",G329&lt;0,ISNUMBER(SEARCH("הכנסה",F329)))),"הכנסה שסווגה מחדש",J329)</x:f>
        <x:v>שוטף</x:v>
      </x:c>
      <x:c r="L329" s="19" t="str">
        <x:v>מאושר</x:v>
      </x:c>
      <x:c r="M329" s="20" t="n">
        <x:f>IF(L329="מאושר",IF(K329="הכנסה שסווגה מחדש",0,G329),0)</x:f>
        <x:v>20</x:v>
      </x:c>
      <x:c r="N329" s="20" t="n">
        <x:f>IF(K329="שוטף",M329,0)</x:f>
        <x:v>20</x:v>
      </x:c>
      <x:c r="O329" s="20" t="n">
        <x:f>IF(K329="הכנסה שסווגה מחדש",-G329,0)</x:f>
        <x:v>0</x:v>
      </x:c>
      <x:c r="P329" s="11" t="str">
        <x:v>אמקס עינור</x:v>
      </x:c>
      <x:c r="Q329" s="11" t="str"/>
      <x:c r="R329" s="11" t="str">
        <x:v>לא</x:v>
      </x:c>
    </x:row>
    <x:row r="330">
      <x:c r="A330" s="14" t="n">
        <x:v>45748</x:v>
      </x:c>
      <x:c r="B330" s="11" t="str">
        <x:v>2025-04</x:v>
      </x:c>
      <x:c r="C330" s="11" t="str">
        <x:v>אפריל 25</x:v>
      </x:c>
      <x:c r="D330" s="15" t="n">
        <x:v>38</x:v>
      </x:c>
      <x:c r="E330" s="11" t="str">
        <x:v>18</x:v>
      </x:c>
      <x:c r="F330" s="11" t="str">
        <x:v>אוכל</x:v>
      </x:c>
      <x:c r="G330" s="17" t="n">
        <x:v>16</x:v>
      </x:c>
      <x:c r="H330" s="18" t="str">
        <x:v>אוכל בחוץ</x:v>
      </x:c>
      <x:c r="I330" s="19" t="str">
        <x:f>IFERROR(INDEX('מיפוי ומקורות'!$C$7:$C$33,MATCH(H330,'מיפוי ומקורות'!$B$7:$B$33,0)),"לא מסווג")</x:f>
        <x:v>אוכל בחוץ</x:v>
      </x:c>
      <x:c r="J330" s="19" t="str">
        <x:f>IFERROR(INDEX('מיפוי ומקורות'!$D$7:$D$33,MATCH(H330,'מיפוי ומקורות'!$B$7:$B$33,0)),"שוטף")</x:f>
        <x:v>שוטף</x:v>
      </x:c>
      <x:c r="K330" s="19" t="str">
        <x:f>IF(OR(H330="ריביות",AND(H330="דירה כצנלסון",G330&lt;0,ISNUMBER(SEARCH("הכנסה",F330)))),"הכנסה שסווגה מחדש",J330)</x:f>
        <x:v>שוטף</x:v>
      </x:c>
      <x:c r="L330" s="19" t="str">
        <x:v>מאושר</x:v>
      </x:c>
      <x:c r="M330" s="20" t="n">
        <x:f>IF(L330="מאושר",IF(K330="הכנסה שסווגה מחדש",0,G330),0)</x:f>
        <x:v>16</x:v>
      </x:c>
      <x:c r="N330" s="20" t="n">
        <x:f>IF(K330="שוטף",M330,0)</x:f>
        <x:v>16</x:v>
      </x:c>
      <x:c r="O330" s="20" t="n">
        <x:f>IF(K330="הכנסה שסווגה מחדש",-G330,0)</x:f>
        <x:v>0</x:v>
      </x:c>
      <x:c r="P330" s="11" t="str">
        <x:v>אמקס עינור</x:v>
      </x:c>
      <x:c r="Q330" s="11" t="str"/>
      <x:c r="R330" s="11" t="str">
        <x:v>לא</x:v>
      </x:c>
    </x:row>
    <x:row r="331">
      <x:c r="A331" s="14" t="n">
        <x:v>45748</x:v>
      </x:c>
      <x:c r="B331" s="11" t="str">
        <x:v>2025-04</x:v>
      </x:c>
      <x:c r="C331" s="11" t="str">
        <x:v>אפריל 25</x:v>
      </x:c>
      <x:c r="D331" s="15" t="n">
        <x:v>39</x:v>
      </x:c>
      <x:c r="E331" s="11" t="str">
        <x:v>20</x:v>
      </x:c>
      <x:c r="F331" s="11" t="str">
        <x:v>מראה</x:v>
      </x:c>
      <x:c r="G331" s="17" t="n">
        <x:v>238</x:v>
      </x:c>
      <x:c r="H331" s="18" t="str">
        <x:v>חתונה</x:v>
      </x:c>
      <x:c r="I331" s="19" t="str">
        <x:f>IFERROR(INDEX('מיפוי ומקורות'!$C$7:$C$33,MATCH(H331,'מיפוי ומקורות'!$B$7:$B$33,0)),"לא מסווג")</x:f>
        <x:v>חתונה</x:v>
      </x:c>
      <x:c r="J331" s="19" t="str">
        <x:f>IFERROR(INDEX('מיפוי ומקורות'!$D$7:$D$33,MATCH(H331,'מיפוי ומקורות'!$B$7:$B$33,0)),"שוטף")</x:f>
        <x:v>חריג</x:v>
      </x:c>
      <x:c r="K331" s="19" t="str">
        <x:f>IF(OR(H331="ריביות",AND(H331="דירה כצנלסון",G331&lt;0,ISNUMBER(SEARCH("הכנסה",F331)))),"הכנסה שסווגה מחדש",J331)</x:f>
        <x:v>חריג</x:v>
      </x:c>
      <x:c r="L331" s="19" t="str">
        <x:v>מאושר</x:v>
      </x:c>
      <x:c r="M331" s="20" t="n">
        <x:f>IF(L331="מאושר",IF(K331="הכנסה שסווגה מחדש",0,G331),0)</x:f>
        <x:v>238</x:v>
      </x:c>
      <x:c r="N331" s="20" t="n">
        <x:f>IF(K331="שוטף",M331,0)</x:f>
        <x:v>0</x:v>
      </x:c>
      <x:c r="O331" s="20" t="n">
        <x:f>IF(K331="הכנסה שסווגה מחדש",-G331,0)</x:f>
        <x:v>0</x:v>
      </x:c>
      <x:c r="P331" s="11" t="str">
        <x:v>אמקס עינור</x:v>
      </x:c>
      <x:c r="Q331" s="11" t="str"/>
      <x:c r="R331" s="11" t="str">
        <x:v>לא</x:v>
      </x:c>
    </x:row>
    <x:row r="332">
      <x:c r="A332" s="14" t="n">
        <x:v>45748</x:v>
      </x:c>
      <x:c r="B332" s="11" t="str">
        <x:v>2025-04</x:v>
      </x:c>
      <x:c r="C332" s="11" t="str">
        <x:v>אפריל 25</x:v>
      </x:c>
      <x:c r="D332" s="15" t="n">
        <x:v>40</x:v>
      </x:c>
      <x:c r="E332" s="11" t="str">
        <x:v>22</x:v>
      </x:c>
      <x:c r="F332" s="11" t="str">
        <x:v>מכולת</x:v>
      </x:c>
      <x:c r="G332" s="17" t="n">
        <x:v>34</x:v>
      </x:c>
      <x:c r="H332" s="18" t="str">
        <x:v>מזון לבית</x:v>
      </x:c>
      <x:c r="I332" s="19" t="str">
        <x:f>IFERROR(INDEX('מיפוי ומקורות'!$C$7:$C$33,MATCH(H332,'מיפוי ומקורות'!$B$7:$B$33,0)),"לא מסווג")</x:f>
        <x:v>מזון לבית</x:v>
      </x:c>
      <x:c r="J332" s="19" t="str">
        <x:f>IFERROR(INDEX('מיפוי ומקורות'!$D$7:$D$33,MATCH(H332,'מיפוי ומקורות'!$B$7:$B$33,0)),"שוטף")</x:f>
        <x:v>שוטף</x:v>
      </x:c>
      <x:c r="K332" s="19" t="str">
        <x:f>IF(OR(H332="ריביות",AND(H332="דירה כצנלסון",G332&lt;0,ISNUMBER(SEARCH("הכנסה",F332)))),"הכנסה שסווגה מחדש",J332)</x:f>
        <x:v>שוטף</x:v>
      </x:c>
      <x:c r="L332" s="19" t="str">
        <x:v>מאושר</x:v>
      </x:c>
      <x:c r="M332" s="20" t="n">
        <x:f>IF(L332="מאושר",IF(K332="הכנסה שסווגה מחדש",0,G332),0)</x:f>
        <x:v>34</x:v>
      </x:c>
      <x:c r="N332" s="20" t="n">
        <x:f>IF(K332="שוטף",M332,0)</x:f>
        <x:v>34</x:v>
      </x:c>
      <x:c r="O332" s="20" t="n">
        <x:f>IF(K332="הכנסה שסווגה מחדש",-G332,0)</x:f>
        <x:v>0</x:v>
      </x:c>
      <x:c r="P332" s="11" t="str">
        <x:v>אמקס עינור</x:v>
      </x:c>
      <x:c r="Q332" s="11" t="str"/>
      <x:c r="R332" s="11" t="str">
        <x:v>לא</x:v>
      </x:c>
    </x:row>
    <x:row r="333">
      <x:c r="A333" s="14" t="n">
        <x:v>45748</x:v>
      </x:c>
      <x:c r="B333" s="11" t="str">
        <x:v>2025-04</x:v>
      </x:c>
      <x:c r="C333" s="11" t="str">
        <x:v>אפריל 25</x:v>
      </x:c>
      <x:c r="D333" s="15" t="n">
        <x:v>41</x:v>
      </x:c>
      <x:c r="E333" s="11" t="str">
        <x:v>22</x:v>
      </x:c>
      <x:c r="F333" s="11" t="str">
        <x:v>סופר</x:v>
      </x:c>
      <x:c r="G333" s="17" t="n">
        <x:v>695</x:v>
      </x:c>
      <x:c r="H333" s="18" t="str">
        <x:v>מזון לבית</x:v>
      </x:c>
      <x:c r="I333" s="19" t="str">
        <x:f>IFERROR(INDEX('מיפוי ומקורות'!$C$7:$C$33,MATCH(H333,'מיפוי ומקורות'!$B$7:$B$33,0)),"לא מסווג")</x:f>
        <x:v>מזון לבית</x:v>
      </x:c>
      <x:c r="J333" s="19" t="str">
        <x:f>IFERROR(INDEX('מיפוי ומקורות'!$D$7:$D$33,MATCH(H333,'מיפוי ומקורות'!$B$7:$B$33,0)),"שוטף")</x:f>
        <x:v>שוטף</x:v>
      </x:c>
      <x:c r="K333" s="19" t="str">
        <x:f>IF(OR(H333="ריביות",AND(H333="דירה כצנלסון",G333&lt;0,ISNUMBER(SEARCH("הכנסה",F333)))),"הכנסה שסווגה מחדש",J333)</x:f>
        <x:v>שוטף</x:v>
      </x:c>
      <x:c r="L333" s="19" t="str">
        <x:v>מאושר</x:v>
      </x:c>
      <x:c r="M333" s="20" t="n">
        <x:f>IF(L333="מאושר",IF(K333="הכנסה שסווגה מחדש",0,G333),0)</x:f>
        <x:v>695</x:v>
      </x:c>
      <x:c r="N333" s="20" t="n">
        <x:f>IF(K333="שוטף",M333,0)</x:f>
        <x:v>695</x:v>
      </x:c>
      <x:c r="O333" s="20" t="n">
        <x:f>IF(K333="הכנסה שסווגה מחדש",-G333,0)</x:f>
        <x:v>0</x:v>
      </x:c>
      <x:c r="P333" s="11" t="str">
        <x:v>אמקס עינור</x:v>
      </x:c>
      <x:c r="Q333" s="11" t="str"/>
      <x:c r="R333" s="11" t="str">
        <x:v>לא</x:v>
      </x:c>
    </x:row>
    <x:row r="334">
      <x:c r="A334" s="14" t="n">
        <x:v>45748</x:v>
      </x:c>
      <x:c r="B334" s="11" t="str">
        <x:v>2025-04</x:v>
      </x:c>
      <x:c r="C334" s="11" t="str">
        <x:v>אפריל 25</x:v>
      </x:c>
      <x:c r="D334" s="15" t="n">
        <x:v>42</x:v>
      </x:c>
      <x:c r="E334" s="11" t="str">
        <x:v>22</x:v>
      </x:c>
      <x:c r="F334" s="11" t="str">
        <x:v>פילים</x:v>
      </x:c>
      <x:c r="G334" s="17" t="n">
        <x:v>769</x:v>
      </x:c>
      <x:c r="H334" s="18" t="str">
        <x:v>חתונה</x:v>
      </x:c>
      <x:c r="I334" s="19" t="str">
        <x:f>IFERROR(INDEX('מיפוי ומקורות'!$C$7:$C$33,MATCH(H334,'מיפוי ומקורות'!$B$7:$B$33,0)),"לא מסווג")</x:f>
        <x:v>חתונה</x:v>
      </x:c>
      <x:c r="J334" s="19" t="str">
        <x:f>IFERROR(INDEX('מיפוי ומקורות'!$D$7:$D$33,MATCH(H334,'מיפוי ומקורות'!$B$7:$B$33,0)),"שוטף")</x:f>
        <x:v>חריג</x:v>
      </x:c>
      <x:c r="K334" s="19" t="str">
        <x:f>IF(OR(H334="ריביות",AND(H334="דירה כצנלסון",G334&lt;0,ISNUMBER(SEARCH("הכנסה",F334)))),"הכנסה שסווגה מחדש",J334)</x:f>
        <x:v>חריג</x:v>
      </x:c>
      <x:c r="L334" s="19" t="str">
        <x:v>מאושר</x:v>
      </x:c>
      <x:c r="M334" s="20" t="n">
        <x:f>IF(L334="מאושר",IF(K334="הכנסה שסווגה מחדש",0,G334),0)</x:f>
        <x:v>769</x:v>
      </x:c>
      <x:c r="N334" s="20" t="n">
        <x:f>IF(K334="שוטף",M334,0)</x:f>
        <x:v>0</x:v>
      </x:c>
      <x:c r="O334" s="20" t="n">
        <x:f>IF(K334="הכנסה שסווגה מחדש",-G334,0)</x:f>
        <x:v>0</x:v>
      </x:c>
      <x:c r="P334" s="11" t="str">
        <x:v>אמקס עינור</x:v>
      </x:c>
      <x:c r="Q334" s="11" t="str"/>
      <x:c r="R334" s="11" t="str">
        <x:v>לא</x:v>
      </x:c>
    </x:row>
    <x:row r="335">
      <x:c r="A335" s="14" t="n">
        <x:v>45748</x:v>
      </x:c>
      <x:c r="B335" s="11" t="str">
        <x:v>2025-04</x:v>
      </x:c>
      <x:c r="C335" s="11" t="str">
        <x:v>אפריל 25</x:v>
      </x:c>
      <x:c r="D335" s="15" t="n">
        <x:v>43</x:v>
      </x:c>
      <x:c r="E335" s="11" t="str">
        <x:v>28</x:v>
      </x:c>
      <x:c r="F335" s="11" t="str">
        <x:v>מעטפות</x:v>
      </x:c>
      <x:c r="G335" s="17" t="n">
        <x:v>5</x:v>
      </x:c>
      <x:c r="H335" s="18" t="str">
        <x:v>חתונה</x:v>
      </x:c>
      <x:c r="I335" s="19" t="str">
        <x:f>IFERROR(INDEX('מיפוי ומקורות'!$C$7:$C$33,MATCH(H335,'מיפוי ומקורות'!$B$7:$B$33,0)),"לא מסווג")</x:f>
        <x:v>חתונה</x:v>
      </x:c>
      <x:c r="J335" s="19" t="str">
        <x:f>IFERROR(INDEX('מיפוי ומקורות'!$D$7:$D$33,MATCH(H335,'מיפוי ומקורות'!$B$7:$B$33,0)),"שוטף")</x:f>
        <x:v>חריג</x:v>
      </x:c>
      <x:c r="K335" s="19" t="str">
        <x:f>IF(OR(H335="ריביות",AND(H335="דירה כצנלסון",G335&lt;0,ISNUMBER(SEARCH("הכנסה",F335)))),"הכנסה שסווגה מחדש",J335)</x:f>
        <x:v>חריג</x:v>
      </x:c>
      <x:c r="L335" s="19" t="str">
        <x:v>מאושר</x:v>
      </x:c>
      <x:c r="M335" s="20" t="n">
        <x:f>IF(L335="מאושר",IF(K335="הכנסה שסווגה מחדש",0,G335),0)</x:f>
        <x:v>5</x:v>
      </x:c>
      <x:c r="N335" s="20" t="n">
        <x:f>IF(K335="שוטף",M335,0)</x:f>
        <x:v>0</x:v>
      </x:c>
      <x:c r="O335" s="20" t="n">
        <x:f>IF(K335="הכנסה שסווגה מחדש",-G335,0)</x:f>
        <x:v>0</x:v>
      </x:c>
      <x:c r="P335" s="11" t="str">
        <x:v>אמקס עינור</x:v>
      </x:c>
      <x:c r="Q335" s="11" t="str"/>
      <x:c r="R335" s="11" t="str">
        <x:v>לא</x:v>
      </x:c>
    </x:row>
    <x:row r="336">
      <x:c r="A336" s="14" t="n">
        <x:v>45748</x:v>
      </x:c>
      <x:c r="B336" s="11" t="str">
        <x:v>2025-04</x:v>
      </x:c>
      <x:c r="C336" s="11" t="str">
        <x:v>אפריל 25</x:v>
      </x:c>
      <x:c r="D336" s="15" t="n">
        <x:v>44</x:v>
      </x:c>
      <x:c r="E336" s="11" t="str"/>
      <x:c r="F336" s="11" t="str">
        <x:v>דמי כרטיס</x:v>
      </x:c>
      <x:c r="G336" s="17" t="n">
        <x:v>20</x:v>
      </x:c>
      <x:c r="H336" s="18" t="str">
        <x:v>עמלות</x:v>
      </x:c>
      <x:c r="I336" s="19" t="str">
        <x:f>IFERROR(INDEX('מיפוי ומקורות'!$C$7:$C$33,MATCH(H336,'מיפוי ומקורות'!$B$7:$B$33,0)),"לא מסווג")</x:f>
        <x:v>עמלות</x:v>
      </x:c>
      <x:c r="J336" s="19" t="str">
        <x:f>IFERROR(INDEX('מיפוי ומקורות'!$D$7:$D$33,MATCH(H336,'מיפוי ומקורות'!$B$7:$B$33,0)),"שוטף")</x:f>
        <x:v>שוטף</x:v>
      </x:c>
      <x:c r="K336" s="19" t="str">
        <x:f>IF(OR(H336="ריביות",AND(H336="דירה כצנלסון",G336&lt;0,ISNUMBER(SEARCH("הכנסה",F336)))),"הכנסה שסווגה מחדש",J336)</x:f>
        <x:v>שוטף</x:v>
      </x:c>
      <x:c r="L336" s="19" t="str">
        <x:v>מאושר</x:v>
      </x:c>
      <x:c r="M336" s="20" t="n">
        <x:f>IF(L336="מאושר",IF(K336="הכנסה שסווגה מחדש",0,G336),0)</x:f>
        <x:v>20</x:v>
      </x:c>
      <x:c r="N336" s="20" t="n">
        <x:f>IF(K336="שוטף",M336,0)</x:f>
        <x:v>20</x:v>
      </x:c>
      <x:c r="O336" s="20" t="n">
        <x:f>IF(K336="הכנסה שסווגה מחדש",-G336,0)</x:f>
        <x:v>0</x:v>
      </x:c>
      <x:c r="P336" s="11" t="str">
        <x:v>אמקס עינור</x:v>
      </x:c>
      <x:c r="Q336" s="11" t="str"/>
      <x:c r="R336" s="11" t="str">
        <x:v>לא</x:v>
      </x:c>
    </x:row>
    <x:row r="337">
      <x:c r="A337" s="14" t="n">
        <x:v>45748</x:v>
      </x:c>
      <x:c r="B337" s="11" t="str">
        <x:v>2025-04</x:v>
      </x:c>
      <x:c r="C337" s="11" t="str">
        <x:v>אפריל 25</x:v>
      </x:c>
      <x:c r="D337" s="15" t="n">
        <x:v>45</x:v>
      </x:c>
      <x:c r="E337" s="11" t="str">
        <x:v>2</x:v>
      </x:c>
      <x:c r="F337" s="11" t="str">
        <x:v>אוכל</x:v>
      </x:c>
      <x:c r="G337" s="17" t="n">
        <x:v>151</x:v>
      </x:c>
      <x:c r="H337" s="18" t="str">
        <x:v>אוכל בחוץ</x:v>
      </x:c>
      <x:c r="I337" s="19" t="str">
        <x:f>IFERROR(INDEX('מיפוי ומקורות'!$C$7:$C$33,MATCH(H337,'מיפוי ומקורות'!$B$7:$B$33,0)),"לא מסווג")</x:f>
        <x:v>אוכל בחוץ</x:v>
      </x:c>
      <x:c r="J337" s="19" t="str">
        <x:f>IFERROR(INDEX('מיפוי ומקורות'!$D$7:$D$33,MATCH(H337,'מיפוי ומקורות'!$B$7:$B$33,0)),"שוטף")</x:f>
        <x:v>שוטף</x:v>
      </x:c>
      <x:c r="K337" s="19" t="str">
        <x:f>IF(OR(H337="ריביות",AND(H337="דירה כצנלסון",G337&lt;0,ISNUMBER(SEARCH("הכנסה",F337)))),"הכנסה שסווגה מחדש",J337)</x:f>
        <x:v>שוטף</x:v>
      </x:c>
      <x:c r="L337" s="19" t="str">
        <x:v>מאושר</x:v>
      </x:c>
      <x:c r="M337" s="20" t="n">
        <x:f>IF(L337="מאושר",IF(K337="הכנסה שסווגה מחדש",0,G337),0)</x:f>
        <x:v>151</x:v>
      </x:c>
      <x:c r="N337" s="20" t="n">
        <x:f>IF(K337="שוטף",M337,0)</x:f>
        <x:v>151</x:v>
      </x:c>
      <x:c r="O337" s="20" t="n">
        <x:f>IF(K337="הכנסה שסווגה מחדש",-G337,0)</x:f>
        <x:v>0</x:v>
      </x:c>
      <x:c r="P337" s="11" t="str">
        <x:v>סיבוס עינור</x:v>
      </x:c>
      <x:c r="Q337" s="11" t="str"/>
      <x:c r="R337" s="11" t="str">
        <x:v>לא</x:v>
      </x:c>
    </x:row>
    <x:row r="338">
      <x:c r="A338" s="14" t="n">
        <x:v>45748</x:v>
      </x:c>
      <x:c r="B338" s="11" t="str">
        <x:v>2025-04</x:v>
      </x:c>
      <x:c r="C338" s="11" t="str">
        <x:v>אפריל 25</x:v>
      </x:c>
      <x:c r="D338" s="15" t="n">
        <x:v>46</x:v>
      </x:c>
      <x:c r="E338" s="11" t="str">
        <x:v>4</x:v>
      </x:c>
      <x:c r="F338" s="11" t="str">
        <x:v>סופר</x:v>
      </x:c>
      <x:c r="G338" s="17" t="n">
        <x:v>36</x:v>
      </x:c>
      <x:c r="H338" s="18" t="str">
        <x:v>מזון לבית</x:v>
      </x:c>
      <x:c r="I338" s="19" t="str">
        <x:f>IFERROR(INDEX('מיפוי ומקורות'!$C$7:$C$33,MATCH(H338,'מיפוי ומקורות'!$B$7:$B$33,0)),"לא מסווג")</x:f>
        <x:v>מזון לבית</x:v>
      </x:c>
      <x:c r="J338" s="19" t="str">
        <x:f>IFERROR(INDEX('מיפוי ומקורות'!$D$7:$D$33,MATCH(H338,'מיפוי ומקורות'!$B$7:$B$33,0)),"שוטף")</x:f>
        <x:v>שוטף</x:v>
      </x:c>
      <x:c r="K338" s="19" t="str">
        <x:f>IF(OR(H338="ריביות",AND(H338="דירה כצנלסון",G338&lt;0,ISNUMBER(SEARCH("הכנסה",F338)))),"הכנסה שסווגה מחדש",J338)</x:f>
        <x:v>שוטף</x:v>
      </x:c>
      <x:c r="L338" s="19" t="str">
        <x:v>מאושר</x:v>
      </x:c>
      <x:c r="M338" s="20" t="n">
        <x:f>IF(L338="מאושר",IF(K338="הכנסה שסווגה מחדש",0,G338),0)</x:f>
        <x:v>36</x:v>
      </x:c>
      <x:c r="N338" s="20" t="n">
        <x:f>IF(K338="שוטף",M338,0)</x:f>
        <x:v>36</x:v>
      </x:c>
      <x:c r="O338" s="20" t="n">
        <x:f>IF(K338="הכנסה שסווגה מחדש",-G338,0)</x:f>
        <x:v>0</x:v>
      </x:c>
      <x:c r="P338" s="11" t="str">
        <x:v>סיבוס עינור</x:v>
      </x:c>
      <x:c r="Q338" s="11" t="str"/>
      <x:c r="R338" s="11" t="str">
        <x:v>לא</x:v>
      </x:c>
    </x:row>
    <x:row r="339">
      <x:c r="A339" s="14" t="n">
        <x:v>45748</x:v>
      </x:c>
      <x:c r="B339" s="11" t="str">
        <x:v>2025-04</x:v>
      </x:c>
      <x:c r="C339" s="11" t="str">
        <x:v>אפריל 25</x:v>
      </x:c>
      <x:c r="D339" s="15" t="n">
        <x:v>47</x:v>
      </x:c>
      <x:c r="E339" s="11" t="str">
        <x:v>10</x:v>
      </x:c>
      <x:c r="F339" s="11" t="str">
        <x:v>אוכל</x:v>
      </x:c>
      <x:c r="G339" s="17" t="n">
        <x:v>24</x:v>
      </x:c>
      <x:c r="H339" s="18" t="str">
        <x:v>אוכל בחוץ</x:v>
      </x:c>
      <x:c r="I339" s="19" t="str">
        <x:f>IFERROR(INDEX('מיפוי ומקורות'!$C$7:$C$33,MATCH(H339,'מיפוי ומקורות'!$B$7:$B$33,0)),"לא מסווג")</x:f>
        <x:v>אוכל בחוץ</x:v>
      </x:c>
      <x:c r="J339" s="19" t="str">
        <x:f>IFERROR(INDEX('מיפוי ומקורות'!$D$7:$D$33,MATCH(H339,'מיפוי ומקורות'!$B$7:$B$33,0)),"שוטף")</x:f>
        <x:v>שוטף</x:v>
      </x:c>
      <x:c r="K339" s="19" t="str">
        <x:f>IF(OR(H339="ריביות",AND(H339="דירה כצנלסון",G339&lt;0,ISNUMBER(SEARCH("הכנסה",F339)))),"הכנסה שסווגה מחדש",J339)</x:f>
        <x:v>שוטף</x:v>
      </x:c>
      <x:c r="L339" s="19" t="str">
        <x:v>מאושר</x:v>
      </x:c>
      <x:c r="M339" s="20" t="n">
        <x:f>IF(L339="מאושר",IF(K339="הכנסה שסווגה מחדש",0,G339),0)</x:f>
        <x:v>24</x:v>
      </x:c>
      <x:c r="N339" s="20" t="n">
        <x:f>IF(K339="שוטף",M339,0)</x:f>
        <x:v>24</x:v>
      </x:c>
      <x:c r="O339" s="20" t="n">
        <x:f>IF(K339="הכנסה שסווגה מחדש",-G339,0)</x:f>
        <x:v>0</x:v>
      </x:c>
      <x:c r="P339" s="11" t="str">
        <x:v>סיבוס עינור</x:v>
      </x:c>
      <x:c r="Q339" s="11" t="str"/>
      <x:c r="R339" s="11" t="str">
        <x:v>לא</x:v>
      </x:c>
    </x:row>
    <x:row r="340">
      <x:c r="A340" s="14" t="n">
        <x:v>45748</x:v>
      </x:c>
      <x:c r="B340" s="11" t="str">
        <x:v>2025-04</x:v>
      </x:c>
      <x:c r="C340" s="11" t="str">
        <x:v>אפריל 25</x:v>
      </x:c>
      <x:c r="D340" s="15" t="n">
        <x:v>48</x:v>
      </x:c>
      <x:c r="E340" s="11" t="str">
        <x:v>14</x:v>
      </x:c>
      <x:c r="F340" s="11" t="str">
        <x:v>סופר</x:v>
      </x:c>
      <x:c r="G340" s="17" t="n">
        <x:v>41</x:v>
      </x:c>
      <x:c r="H340" s="18" t="str">
        <x:v>מזון לבית</x:v>
      </x:c>
      <x:c r="I340" s="19" t="str">
        <x:f>IFERROR(INDEX('מיפוי ומקורות'!$C$7:$C$33,MATCH(H340,'מיפוי ומקורות'!$B$7:$B$33,0)),"לא מסווג")</x:f>
        <x:v>מזון לבית</x:v>
      </x:c>
      <x:c r="J340" s="19" t="str">
        <x:f>IFERROR(INDEX('מיפוי ומקורות'!$D$7:$D$33,MATCH(H340,'מיפוי ומקורות'!$B$7:$B$33,0)),"שוטף")</x:f>
        <x:v>שוטף</x:v>
      </x:c>
      <x:c r="K340" s="19" t="str">
        <x:f>IF(OR(H340="ריביות",AND(H340="דירה כצנלסון",G340&lt;0,ISNUMBER(SEARCH("הכנסה",F340)))),"הכנסה שסווגה מחדש",J340)</x:f>
        <x:v>שוטף</x:v>
      </x:c>
      <x:c r="L340" s="19" t="str">
        <x:v>מאושר</x:v>
      </x:c>
      <x:c r="M340" s="20" t="n">
        <x:f>IF(L340="מאושר",IF(K340="הכנסה שסווגה מחדש",0,G340),0)</x:f>
        <x:v>41</x:v>
      </x:c>
      <x:c r="N340" s="20" t="n">
        <x:f>IF(K340="שוטף",M340,0)</x:f>
        <x:v>41</x:v>
      </x:c>
      <x:c r="O340" s="20" t="n">
        <x:f>IF(K340="הכנסה שסווגה מחדש",-G340,0)</x:f>
        <x:v>0</x:v>
      </x:c>
      <x:c r="P340" s="11" t="str">
        <x:v>סיבוס עינור</x:v>
      </x:c>
      <x:c r="Q340" s="11" t="str"/>
      <x:c r="R340" s="11" t="str">
        <x:v>לא</x:v>
      </x:c>
    </x:row>
    <x:row r="341">
      <x:c r="A341" s="14" t="n">
        <x:v>45748</x:v>
      </x:c>
      <x:c r="B341" s="11" t="str">
        <x:v>2025-04</x:v>
      </x:c>
      <x:c r="C341" s="11" t="str">
        <x:v>אפריל 25</x:v>
      </x:c>
      <x:c r="D341" s="15" t="n">
        <x:v>49</x:v>
      </x:c>
      <x:c r="E341" s="11" t="str">
        <x:v>17</x:v>
      </x:c>
      <x:c r="F341" s="11" t="str">
        <x:v>סופר</x:v>
      </x:c>
      <x:c r="G341" s="17" t="n">
        <x:v>28</x:v>
      </x:c>
      <x:c r="H341" s="18" t="str">
        <x:v>מזון לבית</x:v>
      </x:c>
      <x:c r="I341" s="19" t="str">
        <x:f>IFERROR(INDEX('מיפוי ומקורות'!$C$7:$C$33,MATCH(H341,'מיפוי ומקורות'!$B$7:$B$33,0)),"לא מסווג")</x:f>
        <x:v>מזון לבית</x:v>
      </x:c>
      <x:c r="J341" s="19" t="str">
        <x:f>IFERROR(INDEX('מיפוי ומקורות'!$D$7:$D$33,MATCH(H341,'מיפוי ומקורות'!$B$7:$B$33,0)),"שוטף")</x:f>
        <x:v>שוטף</x:v>
      </x:c>
      <x:c r="K341" s="19" t="str">
        <x:f>IF(OR(H341="ריביות",AND(H341="דירה כצנלסון",G341&lt;0,ISNUMBER(SEARCH("הכנסה",F341)))),"הכנסה שסווגה מחדש",J341)</x:f>
        <x:v>שוטף</x:v>
      </x:c>
      <x:c r="L341" s="19" t="str">
        <x:v>מאושר</x:v>
      </x:c>
      <x:c r="M341" s="20" t="n">
        <x:f>IF(L341="מאושר",IF(K341="הכנסה שסווגה מחדש",0,G341),0)</x:f>
        <x:v>28</x:v>
      </x:c>
      <x:c r="N341" s="20" t="n">
        <x:f>IF(K341="שוטף",M341,0)</x:f>
        <x:v>28</x:v>
      </x:c>
      <x:c r="O341" s="20" t="n">
        <x:f>IF(K341="הכנסה שסווגה מחדש",-G341,0)</x:f>
        <x:v>0</x:v>
      </x:c>
      <x:c r="P341" s="11" t="str">
        <x:v>סיבוס עינור</x:v>
      </x:c>
      <x:c r="Q341" s="11" t="str"/>
      <x:c r="R341" s="11" t="str">
        <x:v>לא</x:v>
      </x:c>
    </x:row>
    <x:row r="342">
      <x:c r="A342" s="14" t="n">
        <x:v>45748</x:v>
      </x:c>
      <x:c r="B342" s="11" t="str">
        <x:v>2025-04</x:v>
      </x:c>
      <x:c r="C342" s="11" t="str">
        <x:v>אפריל 25</x:v>
      </x:c>
      <x:c r="D342" s="15" t="n">
        <x:v>50</x:v>
      </x:c>
      <x:c r="E342" s="11" t="str">
        <x:v>18</x:v>
      </x:c>
      <x:c r="F342" s="11" t="str">
        <x:v>סופר</x:v>
      </x:c>
      <x:c r="G342" s="17" t="n">
        <x:v>71</x:v>
      </x:c>
      <x:c r="H342" s="18" t="str">
        <x:v>מזון לבית</x:v>
      </x:c>
      <x:c r="I342" s="19" t="str">
        <x:f>IFERROR(INDEX('מיפוי ומקורות'!$C$7:$C$33,MATCH(H342,'מיפוי ומקורות'!$B$7:$B$33,0)),"לא מסווג")</x:f>
        <x:v>מזון לבית</x:v>
      </x:c>
      <x:c r="J342" s="19" t="str">
        <x:f>IFERROR(INDEX('מיפוי ומקורות'!$D$7:$D$33,MATCH(H342,'מיפוי ומקורות'!$B$7:$B$33,0)),"שוטף")</x:f>
        <x:v>שוטף</x:v>
      </x:c>
      <x:c r="K342" s="19" t="str">
        <x:f>IF(OR(H342="ריביות",AND(H342="דירה כצנלסון",G342&lt;0,ISNUMBER(SEARCH("הכנסה",F342)))),"הכנסה שסווגה מחדש",J342)</x:f>
        <x:v>שוטף</x:v>
      </x:c>
      <x:c r="L342" s="19" t="str">
        <x:v>מאושר</x:v>
      </x:c>
      <x:c r="M342" s="20" t="n">
        <x:f>IF(L342="מאושר",IF(K342="הכנסה שסווגה מחדש",0,G342),0)</x:f>
        <x:v>71</x:v>
      </x:c>
      <x:c r="N342" s="20" t="n">
        <x:f>IF(K342="שוטף",M342,0)</x:f>
        <x:v>71</x:v>
      </x:c>
      <x:c r="O342" s="20" t="n">
        <x:f>IF(K342="הכנסה שסווגה מחדש",-G342,0)</x:f>
        <x:v>0</x:v>
      </x:c>
      <x:c r="P342" s="11" t="str">
        <x:v>סיבוס עינור</x:v>
      </x:c>
      <x:c r="Q342" s="11" t="str"/>
      <x:c r="R342" s="11" t="str">
        <x:v>לא</x:v>
      </x:c>
    </x:row>
    <x:row r="343">
      <x:c r="A343" s="14" t="n">
        <x:v>45748</x:v>
      </x:c>
      <x:c r="B343" s="11" t="str">
        <x:v>2025-04</x:v>
      </x:c>
      <x:c r="C343" s="11" t="str">
        <x:v>אפריל 25</x:v>
      </x:c>
      <x:c r="D343" s="15" t="n">
        <x:v>51</x:v>
      </x:c>
      <x:c r="E343" s="11" t="str">
        <x:v>22</x:v>
      </x:c>
      <x:c r="F343" s="11" t="str">
        <x:v>אוכל</x:v>
      </x:c>
      <x:c r="G343" s="17" t="n">
        <x:v>62</x:v>
      </x:c>
      <x:c r="H343" s="18" t="str">
        <x:v>אוכל בחוץ</x:v>
      </x:c>
      <x:c r="I343" s="19" t="str">
        <x:f>IFERROR(INDEX('מיפוי ומקורות'!$C$7:$C$33,MATCH(H343,'מיפוי ומקורות'!$B$7:$B$33,0)),"לא מסווג")</x:f>
        <x:v>אוכל בחוץ</x:v>
      </x:c>
      <x:c r="J343" s="19" t="str">
        <x:f>IFERROR(INDEX('מיפוי ומקורות'!$D$7:$D$33,MATCH(H343,'מיפוי ומקורות'!$B$7:$B$33,0)),"שוטף")</x:f>
        <x:v>שוטף</x:v>
      </x:c>
      <x:c r="K343" s="19" t="str">
        <x:f>IF(OR(H343="ריביות",AND(H343="דירה כצנלסון",G343&lt;0,ISNUMBER(SEARCH("הכנסה",F343)))),"הכנסה שסווגה מחדש",J343)</x:f>
        <x:v>שוטף</x:v>
      </x:c>
      <x:c r="L343" s="19" t="str">
        <x:v>מאושר</x:v>
      </x:c>
      <x:c r="M343" s="20" t="n">
        <x:f>IF(L343="מאושר",IF(K343="הכנסה שסווגה מחדש",0,G343),0)</x:f>
        <x:v>62</x:v>
      </x:c>
      <x:c r="N343" s="20" t="n">
        <x:f>IF(K343="שוטף",M343,0)</x:f>
        <x:v>62</x:v>
      </x:c>
      <x:c r="O343" s="20" t="n">
        <x:f>IF(K343="הכנסה שסווגה מחדש",-G343,0)</x:f>
        <x:v>0</x:v>
      </x:c>
      <x:c r="P343" s="11" t="str">
        <x:v>סיבוס עינור</x:v>
      </x:c>
      <x:c r="Q343" s="11" t="str"/>
      <x:c r="R343" s="11" t="str">
        <x:v>לא</x:v>
      </x:c>
    </x:row>
    <x:row r="344">
      <x:c r="A344" s="14" t="n">
        <x:v>45748</x:v>
      </x:c>
      <x:c r="B344" s="11" t="str">
        <x:v>2025-04</x:v>
      </x:c>
      <x:c r="C344" s="11" t="str">
        <x:v>אפריל 25</x:v>
      </x:c>
      <x:c r="D344" s="15" t="n">
        <x:v>52</x:v>
      </x:c>
      <x:c r="E344" s="11" t="str">
        <x:v>24</x:v>
      </x:c>
      <x:c r="F344" s="11" t="str">
        <x:v>סופר</x:v>
      </x:c>
      <x:c r="G344" s="17" t="n">
        <x:v>218</x:v>
      </x:c>
      <x:c r="H344" s="18" t="str">
        <x:v>מזון לבית</x:v>
      </x:c>
      <x:c r="I344" s="19" t="str">
        <x:f>IFERROR(INDEX('מיפוי ומקורות'!$C$7:$C$33,MATCH(H344,'מיפוי ומקורות'!$B$7:$B$33,0)),"לא מסווג")</x:f>
        <x:v>מזון לבית</x:v>
      </x:c>
      <x:c r="J344" s="19" t="str">
        <x:f>IFERROR(INDEX('מיפוי ומקורות'!$D$7:$D$33,MATCH(H344,'מיפוי ומקורות'!$B$7:$B$33,0)),"שוטף")</x:f>
        <x:v>שוטף</x:v>
      </x:c>
      <x:c r="K344" s="19" t="str">
        <x:f>IF(OR(H344="ריביות",AND(H344="דירה כצנלסון",G344&lt;0,ISNUMBER(SEARCH("הכנסה",F344)))),"הכנסה שסווגה מחדש",J344)</x:f>
        <x:v>שוטף</x:v>
      </x:c>
      <x:c r="L344" s="19" t="str">
        <x:v>מאושר</x:v>
      </x:c>
      <x:c r="M344" s="20" t="n">
        <x:f>IF(L344="מאושר",IF(K344="הכנסה שסווגה מחדש",0,G344),0)</x:f>
        <x:v>218</x:v>
      </x:c>
      <x:c r="N344" s="20" t="n">
        <x:f>IF(K344="שוטף",M344,0)</x:f>
        <x:v>218</x:v>
      </x:c>
      <x:c r="O344" s="20" t="n">
        <x:f>IF(K344="הכנסה שסווגה מחדש",-G344,0)</x:f>
        <x:v>0</x:v>
      </x:c>
      <x:c r="P344" s="11" t="str">
        <x:v>סיבוס עינור</x:v>
      </x:c>
      <x:c r="Q344" s="11" t="str"/>
      <x:c r="R344" s="11" t="str">
        <x:v>לא</x:v>
      </x:c>
    </x:row>
    <x:row r="345">
      <x:c r="A345" s="14" t="n">
        <x:v>45748</x:v>
      </x:c>
      <x:c r="B345" s="11" t="str">
        <x:v>2025-04</x:v>
      </x:c>
      <x:c r="C345" s="11" t="str">
        <x:v>אפריל 25</x:v>
      </x:c>
      <x:c r="D345" s="15" t="n">
        <x:v>53</x:v>
      </x:c>
      <x:c r="E345" s="11" t="str">
        <x:v>28</x:v>
      </x:c>
      <x:c r="F345" s="11" t="str">
        <x:v>אוכל</x:v>
      </x:c>
      <x:c r="G345" s="17" t="n">
        <x:v>66</x:v>
      </x:c>
      <x:c r="H345" s="18" t="str">
        <x:v>אוכל בחוץ</x:v>
      </x:c>
      <x:c r="I345" s="19" t="str">
        <x:f>IFERROR(INDEX('מיפוי ומקורות'!$C$7:$C$33,MATCH(H345,'מיפוי ומקורות'!$B$7:$B$33,0)),"לא מסווג")</x:f>
        <x:v>אוכל בחוץ</x:v>
      </x:c>
      <x:c r="J345" s="19" t="str">
        <x:f>IFERROR(INDEX('מיפוי ומקורות'!$D$7:$D$33,MATCH(H345,'מיפוי ומקורות'!$B$7:$B$33,0)),"שוטף")</x:f>
        <x:v>שוטף</x:v>
      </x:c>
      <x:c r="K345" s="19" t="str">
        <x:f>IF(OR(H345="ריביות",AND(H345="דירה כצנלסון",G345&lt;0,ISNUMBER(SEARCH("הכנסה",F345)))),"הכנסה שסווגה מחדש",J345)</x:f>
        <x:v>שוטף</x:v>
      </x:c>
      <x:c r="L345" s="19" t="str">
        <x:v>מאושר</x:v>
      </x:c>
      <x:c r="M345" s="20" t="n">
        <x:f>IF(L345="מאושר",IF(K345="הכנסה שסווגה מחדש",0,G345),0)</x:f>
        <x:v>66</x:v>
      </x:c>
      <x:c r="N345" s="20" t="n">
        <x:f>IF(K345="שוטף",M345,0)</x:f>
        <x:v>66</x:v>
      </x:c>
      <x:c r="O345" s="20" t="n">
        <x:f>IF(K345="הכנסה שסווגה מחדש",-G345,0)</x:f>
        <x:v>0</x:v>
      </x:c>
      <x:c r="P345" s="11" t="str">
        <x:v>סיבוס עינור</x:v>
      </x:c>
      <x:c r="Q345" s="11" t="str"/>
      <x:c r="R345" s="11" t="str">
        <x:v>לא</x:v>
      </x:c>
    </x:row>
    <x:row r="346">
      <x:c r="A346" s="14" t="n">
        <x:v>45748</x:v>
      </x:c>
      <x:c r="B346" s="11" t="str">
        <x:v>2025-04</x:v>
      </x:c>
      <x:c r="C346" s="11" t="str">
        <x:v>אפריל 25</x:v>
      </x:c>
      <x:c r="D346" s="15" t="n">
        <x:v>54</x:v>
      </x:c>
      <x:c r="E346" s="11" t="str">
        <x:v>29</x:v>
      </x:c>
      <x:c r="F346" s="11" t="str">
        <x:v>סופר</x:v>
      </x:c>
      <x:c r="G346" s="17" t="n">
        <x:v>80</x:v>
      </x:c>
      <x:c r="H346" s="18" t="str">
        <x:v>מזון לבית</x:v>
      </x:c>
      <x:c r="I346" s="19" t="str">
        <x:f>IFERROR(INDEX('מיפוי ומקורות'!$C$7:$C$33,MATCH(H346,'מיפוי ומקורות'!$B$7:$B$33,0)),"לא מסווג")</x:f>
        <x:v>מזון לבית</x:v>
      </x:c>
      <x:c r="J346" s="19" t="str">
        <x:f>IFERROR(INDEX('מיפוי ומקורות'!$D$7:$D$33,MATCH(H346,'מיפוי ומקורות'!$B$7:$B$33,0)),"שוטף")</x:f>
        <x:v>שוטף</x:v>
      </x:c>
      <x:c r="K346" s="19" t="str">
        <x:f>IF(OR(H346="ריביות",AND(H346="דירה כצנלסון",G346&lt;0,ISNUMBER(SEARCH("הכנסה",F346)))),"הכנסה שסווגה מחדש",J346)</x:f>
        <x:v>שוטף</x:v>
      </x:c>
      <x:c r="L346" s="19" t="str">
        <x:v>מאושר</x:v>
      </x:c>
      <x:c r="M346" s="20" t="n">
        <x:f>IF(L346="מאושר",IF(K346="הכנסה שסווגה מחדש",0,G346),0)</x:f>
        <x:v>80</x:v>
      </x:c>
      <x:c r="N346" s="20" t="n">
        <x:f>IF(K346="שוטף",M346,0)</x:f>
        <x:v>80</x:v>
      </x:c>
      <x:c r="O346" s="20" t="n">
        <x:f>IF(K346="הכנסה שסווגה מחדש",-G346,0)</x:f>
        <x:v>0</x:v>
      </x:c>
      <x:c r="P346" s="11" t="str">
        <x:v>סיבוס עינור</x:v>
      </x:c>
      <x:c r="Q346" s="11" t="str"/>
      <x:c r="R346" s="11" t="str">
        <x:v>לא</x:v>
      </x:c>
    </x:row>
    <x:row r="347">
      <x:c r="A347" s="14" t="n">
        <x:v>45748</x:v>
      </x:c>
      <x:c r="B347" s="11" t="str">
        <x:v>2025-04</x:v>
      </x:c>
      <x:c r="C347" s="11" t="str">
        <x:v>אפריל 25</x:v>
      </x:c>
      <x:c r="D347" s="15" t="n">
        <x:v>55</x:v>
      </x:c>
      <x:c r="E347" s="11" t="str">
        <x:v>8</x:v>
      </x:c>
      <x:c r="F347" s="11" t="str">
        <x:v>הוויה</x:v>
      </x:c>
      <x:c r="G347" s="17" t="n">
        <x:v>2625</x:v>
      </x:c>
      <x:c r="H347" s="18" t="str">
        <x:v>חתונה</x:v>
      </x:c>
      <x:c r="I347" s="19" t="str">
        <x:f>IFERROR(INDEX('מיפוי ומקורות'!$C$7:$C$33,MATCH(H347,'מיפוי ומקורות'!$B$7:$B$33,0)),"לא מסווג")</x:f>
        <x:v>חתונה</x:v>
      </x:c>
      <x:c r="J347" s="19" t="str">
        <x:f>IFERROR(INDEX('מיפוי ומקורות'!$D$7:$D$33,MATCH(H347,'מיפוי ומקורות'!$B$7:$B$33,0)),"שוטף")</x:f>
        <x:v>חריג</x:v>
      </x:c>
      <x:c r="K347" s="19" t="str">
        <x:f>IF(OR(H347="ריביות",AND(H347="דירה כצנלסון",G347&lt;0,ISNUMBER(SEARCH("הכנסה",F347)))),"הכנסה שסווגה מחדש",J347)</x:f>
        <x:v>חריג</x:v>
      </x:c>
      <x:c r="L347" s="19" t="str">
        <x:v>מאושר</x:v>
      </x:c>
      <x:c r="M347" s="20" t="n">
        <x:f>IF(L347="מאושר",IF(K347="הכנסה שסווגה מחדש",0,G347),0)</x:f>
        <x:v>2625</x:v>
      </x:c>
      <x:c r="N347" s="20" t="n">
        <x:f>IF(K347="שוטף",M347,0)</x:f>
        <x:v>0</x:v>
      </x:c>
      <x:c r="O347" s="20" t="n">
        <x:f>IF(K347="הכנסה שסווגה מחדש",-G347,0)</x:f>
        <x:v>0</x:v>
      </x:c>
      <x:c r="P347" s="11" t="str">
        <x:v>one zero זיו</x:v>
      </x:c>
      <x:c r="Q347" s="11" t="str">
        <x:v>מבוטל</x:v>
      </x:c>
      <x:c r="R347" s="11" t="str">
        <x:v>לא</x:v>
      </x:c>
    </x:row>
    <x:row r="348">
      <x:c r="A348" s="14" t="n">
        <x:v>45748</x:v>
      </x:c>
      <x:c r="B348" s="11" t="str">
        <x:v>2025-04</x:v>
      </x:c>
      <x:c r="C348" s="11" t="str">
        <x:v>אפריל 25</x:v>
      </x:c>
      <x:c r="D348" s="15" t="n">
        <x:v>56</x:v>
      </x:c>
      <x:c r="E348" s="11" t="str">
        <x:v>9</x:v>
      </x:c>
      <x:c r="F348" s="11" t="str">
        <x:v>ליים</x:v>
      </x:c>
      <x:c r="G348" s="17" t="n">
        <x:v>18</x:v>
      </x:c>
      <x:c r="H348" s="18" t="str">
        <x:v>תחבורה</x:v>
      </x:c>
      <x:c r="I348" s="19" t="str">
        <x:f>IFERROR(INDEX('מיפוי ומקורות'!$C$7:$C$33,MATCH(H348,'מיפוי ומקורות'!$B$7:$B$33,0)),"לא מסווג")</x:f>
        <x:v>תחבורה</x:v>
      </x:c>
      <x:c r="J348" s="19" t="str">
        <x:f>IFERROR(INDEX('מיפוי ומקורות'!$D$7:$D$33,MATCH(H348,'מיפוי ומקורות'!$B$7:$B$33,0)),"שוטף")</x:f>
        <x:v>שוטף</x:v>
      </x:c>
      <x:c r="K348" s="19" t="str">
        <x:f>IF(OR(H348="ריביות",AND(H348="דירה כצנלסון",G348&lt;0,ISNUMBER(SEARCH("הכנסה",F348)))),"הכנסה שסווגה מחדש",J348)</x:f>
        <x:v>שוטף</x:v>
      </x:c>
      <x:c r="L348" s="19" t="str">
        <x:v>מאושר</x:v>
      </x:c>
      <x:c r="M348" s="20" t="n">
        <x:f>IF(L348="מאושר",IF(K348="הכנסה שסווגה מחדש",0,G348),0)</x:f>
        <x:v>18</x:v>
      </x:c>
      <x:c r="N348" s="20" t="n">
        <x:f>IF(K348="שוטף",M348,0)</x:f>
        <x:v>18</x:v>
      </x:c>
      <x:c r="O348" s="20" t="n">
        <x:f>IF(K348="הכנסה שסווגה מחדש",-G348,0)</x:f>
        <x:v>0</x:v>
      </x:c>
      <x:c r="P348" s="11" t="str">
        <x:v>one zero זיו</x:v>
      </x:c>
      <x:c r="Q348" s="11" t="str">
        <x:v>מבוטל</x:v>
      </x:c>
      <x:c r="R348" s="11" t="str">
        <x:v>לא</x:v>
      </x:c>
    </x:row>
    <x:row r="349">
      <x:c r="A349" s="14" t="n">
        <x:v>45748</x:v>
      </x:c>
      <x:c r="B349" s="11" t="str">
        <x:v>2025-04</x:v>
      </x:c>
      <x:c r="C349" s="11" t="str">
        <x:v>אפריל 25</x:v>
      </x:c>
      <x:c r="D349" s="15" t="n">
        <x:v>57</x:v>
      </x:c>
      <x:c r="E349" s="11" t="str">
        <x:v>10</x:v>
      </x:c>
      <x:c r="F349" s="11" t="str">
        <x:v>אלי אקספרס</x:v>
      </x:c>
      <x:c r="G349" s="17" t="n">
        <x:v>31</x:v>
      </x:c>
      <x:c r="H349" s="18" t="str">
        <x:v>קניות לבית</x:v>
      </x:c>
      <x:c r="I349" s="19" t="str">
        <x:f>IFERROR(INDEX('מיפוי ומקורות'!$C$7:$C$33,MATCH(H349,'מיפוי ומקורות'!$B$7:$B$33,0)),"לא מסווג")</x:f>
        <x:v>קניות לבית</x:v>
      </x:c>
      <x:c r="J349" s="19" t="str">
        <x:f>IFERROR(INDEX('מיפוי ומקורות'!$D$7:$D$33,MATCH(H349,'מיפוי ומקורות'!$B$7:$B$33,0)),"שוטף")</x:f>
        <x:v>שוטף</x:v>
      </x:c>
      <x:c r="K349" s="19" t="str">
        <x:f>IF(OR(H349="ריביות",AND(H349="דירה כצנלסון",G349&lt;0,ISNUMBER(SEARCH("הכנסה",F349)))),"הכנסה שסווגה מחדש",J349)</x:f>
        <x:v>שוטף</x:v>
      </x:c>
      <x:c r="L349" s="19" t="str">
        <x:v>מאושר</x:v>
      </x:c>
      <x:c r="M349" s="20" t="n">
        <x:f>IF(L349="מאושר",IF(K349="הכנסה שסווגה מחדש",0,G349),0)</x:f>
        <x:v>31</x:v>
      </x:c>
      <x:c r="N349" s="20" t="n">
        <x:f>IF(K349="שוטף",M349,0)</x:f>
        <x:v>31</x:v>
      </x:c>
      <x:c r="O349" s="20" t="n">
        <x:f>IF(K349="הכנסה שסווגה מחדש",-G349,0)</x:f>
        <x:v>0</x:v>
      </x:c>
      <x:c r="P349" s="11" t="str">
        <x:v>one zero זיו</x:v>
      </x:c>
      <x:c r="Q349" s="11" t="str">
        <x:v>מבוטל</x:v>
      </x:c>
      <x:c r="R349" s="11" t="str">
        <x:v>לא</x:v>
      </x:c>
    </x:row>
    <x:row r="350">
      <x:c r="A350" s="14" t="n">
        <x:v>45748</x:v>
      </x:c>
      <x:c r="B350" s="11" t="str">
        <x:v>2025-04</x:v>
      </x:c>
      <x:c r="C350" s="11" t="str">
        <x:v>אפריל 25</x:v>
      </x:c>
      <x:c r="D350" s="15" t="n">
        <x:v>58</x:v>
      </x:c>
      <x:c r="E350" s="11" t="str">
        <x:v>13</x:v>
      </x:c>
      <x:c r="F350" s="11" t="str">
        <x:v>ליים</x:v>
      </x:c>
      <x:c r="G350" s="17" t="n">
        <x:v>40</x:v>
      </x:c>
      <x:c r="H350" s="18" t="str">
        <x:v>תחבורה</x:v>
      </x:c>
      <x:c r="I350" s="19" t="str">
        <x:f>IFERROR(INDEX('מיפוי ומקורות'!$C$7:$C$33,MATCH(H350,'מיפוי ומקורות'!$B$7:$B$33,0)),"לא מסווג")</x:f>
        <x:v>תחבורה</x:v>
      </x:c>
      <x:c r="J350" s="19" t="str">
        <x:f>IFERROR(INDEX('מיפוי ומקורות'!$D$7:$D$33,MATCH(H350,'מיפוי ומקורות'!$B$7:$B$33,0)),"שוטף")</x:f>
        <x:v>שוטף</x:v>
      </x:c>
      <x:c r="K350" s="19" t="str">
        <x:f>IF(OR(H350="ריביות",AND(H350="דירה כצנלסון",G350&lt;0,ISNUMBER(SEARCH("הכנסה",F350)))),"הכנסה שסווגה מחדש",J350)</x:f>
        <x:v>שוטף</x:v>
      </x:c>
      <x:c r="L350" s="19" t="str">
        <x:v>מאושר</x:v>
      </x:c>
      <x:c r="M350" s="20" t="n">
        <x:f>IF(L350="מאושר",IF(K350="הכנסה שסווגה מחדש",0,G350),0)</x:f>
        <x:v>40</x:v>
      </x:c>
      <x:c r="N350" s="20" t="n">
        <x:f>IF(K350="שוטף",M350,0)</x:f>
        <x:v>40</x:v>
      </x:c>
      <x:c r="O350" s="20" t="n">
        <x:f>IF(K350="הכנסה שסווגה מחדש",-G350,0)</x:f>
        <x:v>0</x:v>
      </x:c>
      <x:c r="P350" s="11" t="str">
        <x:v>one zero זיו</x:v>
      </x:c>
      <x:c r="Q350" s="11" t="str">
        <x:v>מבוטל</x:v>
      </x:c>
      <x:c r="R350" s="11" t="str">
        <x:v>לא</x:v>
      </x:c>
    </x:row>
    <x:row r="351">
      <x:c r="A351" s="14" t="n">
        <x:v>45748</x:v>
      </x:c>
      <x:c r="B351" s="11" t="str">
        <x:v>2025-04</x:v>
      </x:c>
      <x:c r="C351" s="11" t="str">
        <x:v>אפריל 25</x:v>
      </x:c>
      <x:c r="D351" s="15" t="n">
        <x:v>59</x:v>
      </x:c>
      <x:c r="E351" s="11" t="str">
        <x:v>30</x:v>
      </x:c>
      <x:c r="F351" s="11" t="str">
        <x:v>קש בק</x:v>
      </x:c>
      <x:c r="G351" s="17" t="n">
        <x:v>-187</x:v>
      </x:c>
      <x:c r="H351" s="18" t="str">
        <x:v>חול</x:v>
      </x:c>
      <x:c r="I351" s="19" t="str">
        <x:f>IFERROR(INDEX('מיפוי ומקורות'!$C$7:$C$33,MATCH(H351,'מיפוי ומקורות'!$B$7:$B$33,0)),"לא מסווג")</x:f>
        <x:v>נסיעות וחופשות</x:v>
      </x:c>
      <x:c r="J351" s="19" t="str">
        <x:f>IFERROR(INDEX('מיפוי ומקורות'!$D$7:$D$33,MATCH(H351,'מיפוי ומקורות'!$B$7:$B$33,0)),"שוטף")</x:f>
        <x:v>חריג</x:v>
      </x:c>
      <x:c r="K351" s="19" t="str">
        <x:f>IF(OR(H351="ריביות",AND(H351="דירה כצנלסון",G351&lt;0,ISNUMBER(SEARCH("הכנסה",F351)))),"הכנסה שסווגה מחדש",J351)</x:f>
        <x:v>חריג</x:v>
      </x:c>
      <x:c r="L351" s="19" t="str">
        <x:v>מאושר</x:v>
      </x:c>
      <x:c r="M351" s="20" t="n">
        <x:f>IF(L351="מאושר",IF(K351="הכנסה שסווגה מחדש",0,G351),0)</x:f>
        <x:v>-187</x:v>
      </x:c>
      <x:c r="N351" s="20" t="n">
        <x:f>IF(K351="שוטף",M351,0)</x:f>
        <x:v>0</x:v>
      </x:c>
      <x:c r="O351" s="20" t="n">
        <x:f>IF(K351="הכנסה שסווגה מחדש",-G351,0)</x:f>
        <x:v>0</x:v>
      </x:c>
      <x:c r="P351" s="11" t="str">
        <x:v>הוט זיו</x:v>
      </x:c>
      <x:c r="Q351" s="11" t="str">
        <x:v>מבוטל</x:v>
      </x:c>
      <x:c r="R351" s="11" t="str">
        <x:v>לא</x:v>
      </x:c>
    </x:row>
    <x:row r="352">
      <x:c r="A352" s="14" t="n">
        <x:v>45748</x:v>
      </x:c>
      <x:c r="B352" s="11" t="str">
        <x:v>2025-04</x:v>
      </x:c>
      <x:c r="C352" s="11" t="str">
        <x:v>אפריל 25</x:v>
      </x:c>
      <x:c r="D352" s="15" t="n">
        <x:v>60</x:v>
      </x:c>
      <x:c r="E352" s="11" t="str"/>
      <x:c r="F352" s="11" t="str">
        <x:v>מלון סיישל</x:v>
      </x:c>
      <x:c r="G352" s="17" t="n">
        <x:v>1910</x:v>
      </x:c>
      <x:c r="H352" s="18" t="str">
        <x:v>חתונה</x:v>
      </x:c>
      <x:c r="I352" s="19" t="str">
        <x:f>IFERROR(INDEX('מיפוי ומקורות'!$C$7:$C$33,MATCH(H352,'מיפוי ומקורות'!$B$7:$B$33,0)),"לא מסווג")</x:f>
        <x:v>חתונה</x:v>
      </x:c>
      <x:c r="J352" s="19" t="str">
        <x:f>IFERROR(INDEX('מיפוי ומקורות'!$D$7:$D$33,MATCH(H352,'מיפוי ומקורות'!$B$7:$B$33,0)),"שוטף")</x:f>
        <x:v>חריג</x:v>
      </x:c>
      <x:c r="K352" s="19" t="str">
        <x:f>IF(OR(H352="ריביות",AND(H352="דירה כצנלסון",G352&lt;0,ISNUMBER(SEARCH("הכנסה",F352)))),"הכנסה שסווגה מחדש",J352)</x:f>
        <x:v>חריג</x:v>
      </x:c>
      <x:c r="L352" s="19" t="str">
        <x:v>מאושר</x:v>
      </x:c>
      <x:c r="M352" s="20" t="n">
        <x:f>IF(L352="מאושר",IF(K352="הכנסה שסווגה מחדש",0,G352),0)</x:f>
        <x:v>1910</x:v>
      </x:c>
      <x:c r="N352" s="20" t="n">
        <x:f>IF(K352="שוטף",M352,0)</x:f>
        <x:v>0</x:v>
      </x:c>
      <x:c r="O352" s="20" t="n">
        <x:f>IF(K352="הכנסה שסווגה מחדש",-G352,0)</x:f>
        <x:v>0</x:v>
      </x:c>
      <x:c r="P352" s="11" t="str">
        <x:v>אמקס זיו</x:v>
      </x:c>
      <x:c r="Q352" s="11" t="str"/>
      <x:c r="R352" s="11" t="str">
        <x:v>לא</x:v>
      </x:c>
    </x:row>
    <x:row r="353">
      <x:c r="A353" s="14" t="n">
        <x:v>45748</x:v>
      </x:c>
      <x:c r="B353" s="11" t="str">
        <x:v>2025-04</x:v>
      </x:c>
      <x:c r="C353" s="11" t="str">
        <x:v>אפריל 25</x:v>
      </x:c>
      <x:c r="D353" s="15" t="n">
        <x:v>61</x:v>
      </x:c>
      <x:c r="E353" s="11" t="str">
        <x:v>1</x:v>
      </x:c>
      <x:c r="F353" s="11" t="str">
        <x:v>ליאת</x:v>
      </x:c>
      <x:c r="G353" s="17" t="n">
        <x:v>1800</x:v>
      </x:c>
      <x:c r="H353" s="18" t="str">
        <x:v>בריאות</x:v>
      </x:c>
      <x:c r="I353" s="19" t="str">
        <x:f>IFERROR(INDEX('מיפוי ומקורות'!$C$7:$C$33,MATCH(H353,'מיפוי ומקורות'!$B$7:$B$33,0)),"לא מסווג")</x:f>
        <x:v>בריאות וטיפולים</x:v>
      </x:c>
      <x:c r="J353" s="19" t="str">
        <x:f>IFERROR(INDEX('מיפוי ומקורות'!$D$7:$D$33,MATCH(H353,'מיפוי ומקורות'!$B$7:$B$33,0)),"שוטף")</x:f>
        <x:v>שוטף</x:v>
      </x:c>
      <x:c r="K353" s="19" t="str">
        <x:f>IF(OR(H353="ריביות",AND(H353="דירה כצנלסון",G353&lt;0,ISNUMBER(SEARCH("הכנסה",F353)))),"הכנסה שסווגה מחדש",J353)</x:f>
        <x:v>שוטף</x:v>
      </x:c>
      <x:c r="L353" s="19" t="str">
        <x:v>מאושר</x:v>
      </x:c>
      <x:c r="M353" s="20" t="n">
        <x:f>IF(L353="מאושר",IF(K353="הכנסה שסווגה מחדש",0,G353),0)</x:f>
        <x:v>1800</x:v>
      </x:c>
      <x:c r="N353" s="20" t="n">
        <x:f>IF(K353="שוטף",M353,0)</x:f>
        <x:v>1800</x:v>
      </x:c>
      <x:c r="O353" s="20" t="n">
        <x:f>IF(K353="הכנסה שסווגה מחדש",-G353,0)</x:f>
        <x:v>0</x:v>
      </x:c>
      <x:c r="P353" s="11" t="str">
        <x:v>אמקס זיו</x:v>
      </x:c>
      <x:c r="Q353" s="11" t="str"/>
      <x:c r="R353" s="11" t="str">
        <x:v>לא</x:v>
      </x:c>
    </x:row>
    <x:row r="354">
      <x:c r="A354" s="14" t="n">
        <x:v>45748</x:v>
      </x:c>
      <x:c r="B354" s="11" t="str">
        <x:v>2025-04</x:v>
      </x:c>
      <x:c r="C354" s="11" t="str">
        <x:v>אפריל 25</x:v>
      </x:c>
      <x:c r="D354" s="15" t="n">
        <x:v>62</x:v>
      </x:c>
      <x:c r="E354" s="11" t="str">
        <x:v>2</x:v>
      </x:c>
      <x:c r="F354" s="11" t="str">
        <x:v>גלידה</x:v>
      </x:c>
      <x:c r="G354" s="17" t="n">
        <x:v>6</x:v>
      </x:c>
      <x:c r="H354" s="18" t="str">
        <x:v>אוכל בחוץ</x:v>
      </x:c>
      <x:c r="I354" s="19" t="str">
        <x:f>IFERROR(INDEX('מיפוי ומקורות'!$C$7:$C$33,MATCH(H354,'מיפוי ומקורות'!$B$7:$B$33,0)),"לא מסווג")</x:f>
        <x:v>אוכל בחוץ</x:v>
      </x:c>
      <x:c r="J354" s="19" t="str">
        <x:f>IFERROR(INDEX('מיפוי ומקורות'!$D$7:$D$33,MATCH(H354,'מיפוי ומקורות'!$B$7:$B$33,0)),"שוטף")</x:f>
        <x:v>שוטף</x:v>
      </x:c>
      <x:c r="K354" s="19" t="str">
        <x:f>IF(OR(H354="ריביות",AND(H354="דירה כצנלסון",G354&lt;0,ISNUMBER(SEARCH("הכנסה",F354)))),"הכנסה שסווגה מחדש",J354)</x:f>
        <x:v>שוטף</x:v>
      </x:c>
      <x:c r="L354" s="19" t="str">
        <x:v>מאושר</x:v>
      </x:c>
      <x:c r="M354" s="20" t="n">
        <x:f>IF(L354="מאושר",IF(K354="הכנסה שסווגה מחדש",0,G354),0)</x:f>
        <x:v>6</x:v>
      </x:c>
      <x:c r="N354" s="20" t="n">
        <x:f>IF(K354="שוטף",M354,0)</x:f>
        <x:v>6</x:v>
      </x:c>
      <x:c r="O354" s="20" t="n">
        <x:f>IF(K354="הכנסה שסווגה מחדש",-G354,0)</x:f>
        <x:v>0</x:v>
      </x:c>
      <x:c r="P354" s="11" t="str">
        <x:v>אמקס זיו</x:v>
      </x:c>
      <x:c r="Q354" s="11" t="str"/>
      <x:c r="R354" s="11" t="str">
        <x:v>לא</x:v>
      </x:c>
    </x:row>
    <x:row r="355">
      <x:c r="A355" s="14" t="n">
        <x:v>45748</x:v>
      </x:c>
      <x:c r="B355" s="11" t="str">
        <x:v>2025-04</x:v>
      </x:c>
      <x:c r="C355" s="11" t="str">
        <x:v>אפריל 25</x:v>
      </x:c>
      <x:c r="D355" s="15" t="n">
        <x:v>63</x:v>
      </x:c>
      <x:c r="E355" s="11" t="str">
        <x:v>2</x:v>
      </x:c>
      <x:c r="F355" s="11" t="str">
        <x:v>מכבי</x:v>
      </x:c>
      <x:c r="G355" s="17" t="n">
        <x:v>85</x:v>
      </x:c>
      <x:c r="H355" s="18" t="str">
        <x:v>בריאות</x:v>
      </x:c>
      <x:c r="I355" s="19" t="str">
        <x:f>IFERROR(INDEX('מיפוי ומקורות'!$C$7:$C$33,MATCH(H355,'מיפוי ומקורות'!$B$7:$B$33,0)),"לא מסווג")</x:f>
        <x:v>בריאות וטיפולים</x:v>
      </x:c>
      <x:c r="J355" s="19" t="str">
        <x:f>IFERROR(INDEX('מיפוי ומקורות'!$D$7:$D$33,MATCH(H355,'מיפוי ומקורות'!$B$7:$B$33,0)),"שוטף")</x:f>
        <x:v>שוטף</x:v>
      </x:c>
      <x:c r="K355" s="19" t="str">
        <x:f>IF(OR(H355="ריביות",AND(H355="דירה כצנלסון",G355&lt;0,ISNUMBER(SEARCH("הכנסה",F355)))),"הכנסה שסווגה מחדש",J355)</x:f>
        <x:v>שוטף</x:v>
      </x:c>
      <x:c r="L355" s="19" t="str">
        <x:v>מאושר</x:v>
      </x:c>
      <x:c r="M355" s="20" t="n">
        <x:f>IF(L355="מאושר",IF(K355="הכנסה שסווגה מחדש",0,G355),0)</x:f>
        <x:v>85</x:v>
      </x:c>
      <x:c r="N355" s="20" t="n">
        <x:f>IF(K355="שוטף",M355,0)</x:f>
        <x:v>85</x:v>
      </x:c>
      <x:c r="O355" s="20" t="n">
        <x:f>IF(K355="הכנסה שסווגה מחדש",-G355,0)</x:f>
        <x:v>0</x:v>
      </x:c>
      <x:c r="P355" s="11" t="str">
        <x:v>אמקס זיו</x:v>
      </x:c>
      <x:c r="Q355" s="11" t="str"/>
      <x:c r="R355" s="11" t="str">
        <x:v>לא</x:v>
      </x:c>
    </x:row>
    <x:row r="356">
      <x:c r="A356" s="14" t="n">
        <x:v>45748</x:v>
      </x:c>
      <x:c r="B356" s="11" t="str">
        <x:v>2025-04</x:v>
      </x:c>
      <x:c r="C356" s="11" t="str">
        <x:v>אפריל 25</x:v>
      </x:c>
      <x:c r="D356" s="15" t="n">
        <x:v>64</x:v>
      </x:c>
      <x:c r="E356" s="11" t="str">
        <x:v>3</x:v>
      </x:c>
      <x:c r="F356" s="11" t="str">
        <x:v>הופעה</x:v>
      </x:c>
      <x:c r="G356" s="17" t="n">
        <x:v>198</x:v>
      </x:c>
      <x:c r="H356" s="18" t="str">
        <x:v>פנאי</x:v>
      </x:c>
      <x:c r="I356" s="19" t="str">
        <x:f>IFERROR(INDEX('מיפוי ומקורות'!$C$7:$C$33,MATCH(H356,'מיפוי ומקורות'!$B$7:$B$33,0)),"לא מסווג")</x:f>
        <x:v>פנאי</x:v>
      </x:c>
      <x:c r="J356" s="19" t="str">
        <x:f>IFERROR(INDEX('מיפוי ומקורות'!$D$7:$D$33,MATCH(H356,'מיפוי ומקורות'!$B$7:$B$33,0)),"שוטף")</x:f>
        <x:v>שוטף</x:v>
      </x:c>
      <x:c r="K356" s="19" t="str">
        <x:f>IF(OR(H356="ריביות",AND(H356="דירה כצנלסון",G356&lt;0,ISNUMBER(SEARCH("הכנסה",F356)))),"הכנסה שסווגה מחדש",J356)</x:f>
        <x:v>שוטף</x:v>
      </x:c>
      <x:c r="L356" s="19" t="str">
        <x:v>מאושר</x:v>
      </x:c>
      <x:c r="M356" s="20" t="n">
        <x:f>IF(L356="מאושר",IF(K356="הכנסה שסווגה מחדש",0,G356),0)</x:f>
        <x:v>198</x:v>
      </x:c>
      <x:c r="N356" s="20" t="n">
        <x:f>IF(K356="שוטף",M356,0)</x:f>
        <x:v>198</x:v>
      </x:c>
      <x:c r="O356" s="20" t="n">
        <x:f>IF(K356="הכנסה שסווגה מחדש",-G356,0)</x:f>
        <x:v>0</x:v>
      </x:c>
      <x:c r="P356" s="11" t="str">
        <x:v>אמקס זיו</x:v>
      </x:c>
      <x:c r="Q356" s="11" t="str"/>
      <x:c r="R356" s="11" t="str">
        <x:v>לא</x:v>
      </x:c>
    </x:row>
    <x:row r="357">
      <x:c r="A357" s="14" t="n">
        <x:v>45748</x:v>
      </x:c>
      <x:c r="B357" s="11" t="str">
        <x:v>2025-04</x:v>
      </x:c>
      <x:c r="C357" s="11" t="str">
        <x:v>אפריל 25</x:v>
      </x:c>
      <x:c r="D357" s="15" t="n">
        <x:v>65</x:v>
      </x:c>
      <x:c r="E357" s="11" t="str">
        <x:v>8</x:v>
      </x:c>
      <x:c r="F357" s="11" t="str">
        <x:v>גלידה</x:v>
      </x:c>
      <x:c r="G357" s="17" t="n">
        <x:v>13</x:v>
      </x:c>
      <x:c r="H357" s="18" t="str">
        <x:v>אוכל בחוץ</x:v>
      </x:c>
      <x:c r="I357" s="19" t="str">
        <x:f>IFERROR(INDEX('מיפוי ומקורות'!$C$7:$C$33,MATCH(H357,'מיפוי ומקורות'!$B$7:$B$33,0)),"לא מסווג")</x:f>
        <x:v>אוכל בחוץ</x:v>
      </x:c>
      <x:c r="J357" s="19" t="str">
        <x:f>IFERROR(INDEX('מיפוי ומקורות'!$D$7:$D$33,MATCH(H357,'מיפוי ומקורות'!$B$7:$B$33,0)),"שוטף")</x:f>
        <x:v>שוטף</x:v>
      </x:c>
      <x:c r="K357" s="19" t="str">
        <x:f>IF(OR(H357="ריביות",AND(H357="דירה כצנלסון",G357&lt;0,ISNUMBER(SEARCH("הכנסה",F357)))),"הכנסה שסווגה מחדש",J357)</x:f>
        <x:v>שוטף</x:v>
      </x:c>
      <x:c r="L357" s="19" t="str">
        <x:v>מאושר</x:v>
      </x:c>
      <x:c r="M357" s="20" t="n">
        <x:f>IF(L357="מאושר",IF(K357="הכנסה שסווגה מחדש",0,G357),0)</x:f>
        <x:v>13</x:v>
      </x:c>
      <x:c r="N357" s="20" t="n">
        <x:f>IF(K357="שוטף",M357,0)</x:f>
        <x:v>13</x:v>
      </x:c>
      <x:c r="O357" s="20" t="n">
        <x:f>IF(K357="הכנסה שסווגה מחדש",-G357,0)</x:f>
        <x:v>0</x:v>
      </x:c>
      <x:c r="P357" s="11" t="str">
        <x:v>אמקס זיו</x:v>
      </x:c>
      <x:c r="Q357" s="11" t="str"/>
      <x:c r="R357" s="11" t="str">
        <x:v>לא</x:v>
      </x:c>
    </x:row>
    <x:row r="358">
      <x:c r="A358" s="14" t="n">
        <x:v>45748</x:v>
      </x:c>
      <x:c r="B358" s="11" t="str">
        <x:v>2025-04</x:v>
      </x:c>
      <x:c r="C358" s="11" t="str">
        <x:v>אפריל 25</x:v>
      </x:c>
      <x:c r="D358" s="15" t="n">
        <x:v>66</x:v>
      </x:c>
      <x:c r="E358" s="11" t="str">
        <x:v>9</x:v>
      </x:c>
      <x:c r="F358" s="11" t="str">
        <x:v>חשמלאי</x:v>
      </x:c>
      <x:c r="G358" s="17" t="n">
        <x:v>575</x:v>
      </x:c>
      <x:c r="H358" s="18" t="str">
        <x:v>דירה כצנלסון</x:v>
      </x:c>
      <x:c r="I358" s="19" t="str">
        <x:f>IFERROR(INDEX('מיפוי ומקורות'!$C$7:$C$33,MATCH(H358,'מיפוי ומקורות'!$B$7:$B$33,0)),"לא מסווג")</x:f>
        <x:v>נכס להשקעה</x:v>
      </x:c>
      <x:c r="J358" s="19" t="str">
        <x:f>IFERROR(INDEX('מיפוי ומקורות'!$D$7:$D$33,MATCH(H358,'מיפוי ומקורות'!$B$7:$B$33,0)),"שוטף")</x:f>
        <x:v>חריג/נכס</x:v>
      </x:c>
      <x:c r="K358" s="19" t="str">
        <x:f>IF(OR(H358="ריביות",AND(H358="דירה כצנלסון",G358&lt;0,ISNUMBER(SEARCH("הכנסה",F358)))),"הכנסה שסווגה מחדש",J358)</x:f>
        <x:v>חריג/נכס</x:v>
      </x:c>
      <x:c r="L358" s="19" t="str">
        <x:v>מאושר</x:v>
      </x:c>
      <x:c r="M358" s="20" t="n">
        <x:f>IF(L358="מאושר",IF(K358="הכנסה שסווגה מחדש",0,G358),0)</x:f>
        <x:v>575</x:v>
      </x:c>
      <x:c r="N358" s="20" t="n">
        <x:f>IF(K358="שוטף",M358,0)</x:f>
        <x:v>0</x:v>
      </x:c>
      <x:c r="O358" s="20" t="n">
        <x:f>IF(K358="הכנסה שסווגה מחדש",-G358,0)</x:f>
        <x:v>0</x:v>
      </x:c>
      <x:c r="P358" s="11" t="str">
        <x:v>אמקס זיו</x:v>
      </x:c>
      <x:c r="Q358" s="11" t="str"/>
      <x:c r="R358" s="11" t="str">
        <x:v>לא</x:v>
      </x:c>
    </x:row>
    <x:row r="359">
      <x:c r="A359" s="14" t="n">
        <x:v>45748</x:v>
      </x:c>
      <x:c r="B359" s="11" t="str">
        <x:v>2025-04</x:v>
      </x:c>
      <x:c r="C359" s="11" t="str">
        <x:v>אפריל 25</x:v>
      </x:c>
      <x:c r="D359" s="15" t="n">
        <x:v>67</x:v>
      </x:c>
      <x:c r="E359" s="11" t="str">
        <x:v>13</x:v>
      </x:c>
      <x:c r="F359" s="11" t="str">
        <x:v>דלק</x:v>
      </x:c>
      <x:c r="G359" s="17" t="n">
        <x:v>193</x:v>
      </x:c>
      <x:c r="H359" s="18" t="str">
        <x:v>תחבורה</x:v>
      </x:c>
      <x:c r="I359" s="19" t="str">
        <x:f>IFERROR(INDEX('מיפוי ומקורות'!$C$7:$C$33,MATCH(H359,'מיפוי ומקורות'!$B$7:$B$33,0)),"לא מסווג")</x:f>
        <x:v>תחבורה</x:v>
      </x:c>
      <x:c r="J359" s="19" t="str">
        <x:f>IFERROR(INDEX('מיפוי ומקורות'!$D$7:$D$33,MATCH(H359,'מיפוי ומקורות'!$B$7:$B$33,0)),"שוטף")</x:f>
        <x:v>שוטף</x:v>
      </x:c>
      <x:c r="K359" s="19" t="str">
        <x:f>IF(OR(H359="ריביות",AND(H359="דירה כצנלסון",G359&lt;0,ISNUMBER(SEARCH("הכנסה",F359)))),"הכנסה שסווגה מחדש",J359)</x:f>
        <x:v>שוטף</x:v>
      </x:c>
      <x:c r="L359" s="19" t="str">
        <x:v>מאושר</x:v>
      </x:c>
      <x:c r="M359" s="20" t="n">
        <x:f>IF(L359="מאושר",IF(K359="הכנסה שסווגה מחדש",0,G359),0)</x:f>
        <x:v>193</x:v>
      </x:c>
      <x:c r="N359" s="20" t="n">
        <x:f>IF(K359="שוטף",M359,0)</x:f>
        <x:v>193</x:v>
      </x:c>
      <x:c r="O359" s="20" t="n">
        <x:f>IF(K359="הכנסה שסווגה מחדש",-G359,0)</x:f>
        <x:v>0</x:v>
      </x:c>
      <x:c r="P359" s="11" t="str">
        <x:v>אמקס זיו</x:v>
      </x:c>
      <x:c r="Q359" s="11" t="str"/>
      <x:c r="R359" s="11" t="str">
        <x:v>לא</x:v>
      </x:c>
    </x:row>
    <x:row r="360">
      <x:c r="A360" s="14" t="n">
        <x:v>45748</x:v>
      </x:c>
      <x:c r="B360" s="11" t="str">
        <x:v>2025-04</x:v>
      </x:c>
      <x:c r="C360" s="11" t="str">
        <x:v>אפריל 25</x:v>
      </x:c>
      <x:c r="D360" s="15" t="n">
        <x:v>68</x:v>
      </x:c>
      <x:c r="E360" s="11" t="str">
        <x:v>14</x:v>
      </x:c>
      <x:c r="F360" s="11" t="str">
        <x:v>חליפה</x:v>
      </x:c>
      <x:c r="G360" s="17" t="n">
        <x:v>350</x:v>
      </x:c>
      <x:c r="H360" s="18" t="str">
        <x:v>חתונה</x:v>
      </x:c>
      <x:c r="I360" s="19" t="str">
        <x:f>IFERROR(INDEX('מיפוי ומקורות'!$C$7:$C$33,MATCH(H360,'מיפוי ומקורות'!$B$7:$B$33,0)),"לא מסווג")</x:f>
        <x:v>חתונה</x:v>
      </x:c>
      <x:c r="J360" s="19" t="str">
        <x:f>IFERROR(INDEX('מיפוי ומקורות'!$D$7:$D$33,MATCH(H360,'מיפוי ומקורות'!$B$7:$B$33,0)),"שוטף")</x:f>
        <x:v>חריג</x:v>
      </x:c>
      <x:c r="K360" s="19" t="str">
        <x:f>IF(OR(H360="ריביות",AND(H360="דירה כצנלסון",G360&lt;0,ISNUMBER(SEARCH("הכנסה",F360)))),"הכנסה שסווגה מחדש",J360)</x:f>
        <x:v>חריג</x:v>
      </x:c>
      <x:c r="L360" s="19" t="str">
        <x:v>מאושר</x:v>
      </x:c>
      <x:c r="M360" s="20" t="n">
        <x:f>IF(L360="מאושר",IF(K360="הכנסה שסווגה מחדש",0,G360),0)</x:f>
        <x:v>350</x:v>
      </x:c>
      <x:c r="N360" s="20" t="n">
        <x:f>IF(K360="שוטף",M360,0)</x:f>
        <x:v>0</x:v>
      </x:c>
      <x:c r="O360" s="20" t="n">
        <x:f>IF(K360="הכנסה שסווגה מחדש",-G360,0)</x:f>
        <x:v>0</x:v>
      </x:c>
      <x:c r="P360" s="11" t="str">
        <x:v>אמקס זיו</x:v>
      </x:c>
      <x:c r="Q360" s="11" t="str"/>
      <x:c r="R360" s="11" t="str">
        <x:v>לא</x:v>
      </x:c>
    </x:row>
    <x:row r="361">
      <x:c r="A361" s="14" t="n">
        <x:v>45748</x:v>
      </x:c>
      <x:c r="B361" s="11" t="str">
        <x:v>2025-04</x:v>
      </x:c>
      <x:c r="C361" s="11" t="str">
        <x:v>אפריל 25</x:v>
      </x:c>
      <x:c r="D361" s="15" t="n">
        <x:v>69</x:v>
      </x:c>
      <x:c r="E361" s="11" t="str">
        <x:v>15</x:v>
      </x:c>
      <x:c r="F361" s="11" t="str">
        <x:v>חנן בן ארי</x:v>
      </x:c>
      <x:c r="G361" s="17" t="n">
        <x:v>50</x:v>
      </x:c>
      <x:c r="H361" s="18" t="str">
        <x:v>פנאי</x:v>
      </x:c>
      <x:c r="I361" s="19" t="str">
        <x:f>IFERROR(INDEX('מיפוי ומקורות'!$C$7:$C$33,MATCH(H361,'מיפוי ומקורות'!$B$7:$B$33,0)),"לא מסווג")</x:f>
        <x:v>פנאי</x:v>
      </x:c>
      <x:c r="J361" s="19" t="str">
        <x:f>IFERROR(INDEX('מיפוי ומקורות'!$D$7:$D$33,MATCH(H361,'מיפוי ומקורות'!$B$7:$B$33,0)),"שוטף")</x:f>
        <x:v>שוטף</x:v>
      </x:c>
      <x:c r="K361" s="19" t="str">
        <x:f>IF(OR(H361="ריביות",AND(H361="דירה כצנלסון",G361&lt;0,ISNUMBER(SEARCH("הכנסה",F361)))),"הכנסה שסווגה מחדש",J361)</x:f>
        <x:v>שוטף</x:v>
      </x:c>
      <x:c r="L361" s="19" t="str">
        <x:v>מאושר</x:v>
      </x:c>
      <x:c r="M361" s="20" t="n">
        <x:f>IF(L361="מאושר",IF(K361="הכנסה שסווגה מחדש",0,G361),0)</x:f>
        <x:v>50</x:v>
      </x:c>
      <x:c r="N361" s="20" t="n">
        <x:f>IF(K361="שוטף",M361,0)</x:f>
        <x:v>50</x:v>
      </x:c>
      <x:c r="O361" s="20" t="n">
        <x:f>IF(K361="הכנסה שסווגה מחדש",-G361,0)</x:f>
        <x:v>0</x:v>
      </x:c>
      <x:c r="P361" s="11" t="str">
        <x:v>אמקס זיו</x:v>
      </x:c>
      <x:c r="Q361" s="11" t="str"/>
      <x:c r="R361" s="11" t="str">
        <x:v>לא</x:v>
      </x:c>
    </x:row>
    <x:row r="362">
      <x:c r="A362" s="14" t="n">
        <x:v>45748</x:v>
      </x:c>
      <x:c r="B362" s="11" t="str">
        <x:v>2025-04</x:v>
      </x:c>
      <x:c r="C362" s="11" t="str">
        <x:v>אפריל 25</x:v>
      </x:c>
      <x:c r="D362" s="15" t="n">
        <x:v>70</x:v>
      </x:c>
      <x:c r="E362" s="11" t="str">
        <x:v>15</x:v>
      </x:c>
      <x:c r="F362" s="11" t="str">
        <x:v>מכולת</x:v>
      </x:c>
      <x:c r="G362" s="17" t="n">
        <x:v>7</x:v>
      </x:c>
      <x:c r="H362" s="18" t="str">
        <x:v>מזון לבית</x:v>
      </x:c>
      <x:c r="I362" s="19" t="str">
        <x:f>IFERROR(INDEX('מיפוי ומקורות'!$C$7:$C$33,MATCH(H362,'מיפוי ומקורות'!$B$7:$B$33,0)),"לא מסווג")</x:f>
        <x:v>מזון לבית</x:v>
      </x:c>
      <x:c r="J362" s="19" t="str">
        <x:f>IFERROR(INDEX('מיפוי ומקורות'!$D$7:$D$33,MATCH(H362,'מיפוי ומקורות'!$B$7:$B$33,0)),"שוטף")</x:f>
        <x:v>שוטף</x:v>
      </x:c>
      <x:c r="K362" s="19" t="str">
        <x:f>IF(OR(H362="ריביות",AND(H362="דירה כצנלסון",G362&lt;0,ISNUMBER(SEARCH("הכנסה",F362)))),"הכנסה שסווגה מחדש",J362)</x:f>
        <x:v>שוטף</x:v>
      </x:c>
      <x:c r="L362" s="19" t="str">
        <x:v>מאושר</x:v>
      </x:c>
      <x:c r="M362" s="20" t="n">
        <x:f>IF(L362="מאושר",IF(K362="הכנסה שסווגה מחדש",0,G362),0)</x:f>
        <x:v>7</x:v>
      </x:c>
      <x:c r="N362" s="20" t="n">
        <x:f>IF(K362="שוטף",M362,0)</x:f>
        <x:v>7</x:v>
      </x:c>
      <x:c r="O362" s="20" t="n">
        <x:f>IF(K362="הכנסה שסווגה מחדש",-G362,0)</x:f>
        <x:v>0</x:v>
      </x:c>
      <x:c r="P362" s="11" t="str">
        <x:v>אמקס זיו</x:v>
      </x:c>
      <x:c r="Q362" s="11" t="str"/>
      <x:c r="R362" s="11" t="str">
        <x:v>לא</x:v>
      </x:c>
    </x:row>
    <x:row r="363">
      <x:c r="A363" s="14" t="n">
        <x:v>45748</x:v>
      </x:c>
      <x:c r="B363" s="11" t="str">
        <x:v>2025-04</x:v>
      </x:c>
      <x:c r="C363" s="11" t="str">
        <x:v>אפריל 25</x:v>
      </x:c>
      <x:c r="D363" s="15" t="n">
        <x:v>71</x:v>
      </x:c>
      <x:c r="E363" s="11" t="str">
        <x:v>18</x:v>
      </x:c>
      <x:c r="F363" s="11" t="str">
        <x:v>ירקן</x:v>
      </x:c>
      <x:c r="G363" s="17" t="n">
        <x:v>92</x:v>
      </x:c>
      <x:c r="H363" s="18" t="str">
        <x:v>מזון לבית</x:v>
      </x:c>
      <x:c r="I363" s="19" t="str">
        <x:f>IFERROR(INDEX('מיפוי ומקורות'!$C$7:$C$33,MATCH(H363,'מיפוי ומקורות'!$B$7:$B$33,0)),"לא מסווג")</x:f>
        <x:v>מזון לבית</x:v>
      </x:c>
      <x:c r="J363" s="19" t="str">
        <x:f>IFERROR(INDEX('מיפוי ומקורות'!$D$7:$D$33,MATCH(H363,'מיפוי ומקורות'!$B$7:$B$33,0)),"שוטף")</x:f>
        <x:v>שוטף</x:v>
      </x:c>
      <x:c r="K363" s="19" t="str">
        <x:f>IF(OR(H363="ריביות",AND(H363="דירה כצנלסון",G363&lt;0,ISNUMBER(SEARCH("הכנסה",F363)))),"הכנסה שסווגה מחדש",J363)</x:f>
        <x:v>שוטף</x:v>
      </x:c>
      <x:c r="L363" s="19" t="str">
        <x:v>מאושר</x:v>
      </x:c>
      <x:c r="M363" s="20" t="n">
        <x:f>IF(L363="מאושר",IF(K363="הכנסה שסווגה מחדש",0,G363),0)</x:f>
        <x:v>92</x:v>
      </x:c>
      <x:c r="N363" s="20" t="n">
        <x:f>IF(K363="שוטף",M363,0)</x:f>
        <x:v>92</x:v>
      </x:c>
      <x:c r="O363" s="20" t="n">
        <x:f>IF(K363="הכנסה שסווגה מחדש",-G363,0)</x:f>
        <x:v>0</x:v>
      </x:c>
      <x:c r="P363" s="11" t="str">
        <x:v>אמקס זיו</x:v>
      </x:c>
      <x:c r="Q363" s="11" t="str"/>
      <x:c r="R363" s="11" t="str">
        <x:v>לא</x:v>
      </x:c>
    </x:row>
    <x:row r="364">
      <x:c r="A364" s="14" t="n">
        <x:v>45748</x:v>
      </x:c>
      <x:c r="B364" s="11" t="str">
        <x:v>2025-04</x:v>
      </x:c>
      <x:c r="C364" s="11" t="str">
        <x:v>אפריל 25</x:v>
      </x:c>
      <x:c r="D364" s="15" t="n">
        <x:v>72</x:v>
      </x:c>
      <x:c r="E364" s="11" t="str">
        <x:v>24</x:v>
      </x:c>
      <x:c r="F364" s="11" t="str">
        <x:v>אוכל</x:v>
      </x:c>
      <x:c r="G364" s="17" t="n">
        <x:v>25</x:v>
      </x:c>
      <x:c r="H364" s="18" t="str">
        <x:v>אוכל בחוץ</x:v>
      </x:c>
      <x:c r="I364" s="19" t="str">
        <x:f>IFERROR(INDEX('מיפוי ומקורות'!$C$7:$C$33,MATCH(H364,'מיפוי ומקורות'!$B$7:$B$33,0)),"לא מסווג")</x:f>
        <x:v>אוכל בחוץ</x:v>
      </x:c>
      <x:c r="J364" s="19" t="str">
        <x:f>IFERROR(INDEX('מיפוי ומקורות'!$D$7:$D$33,MATCH(H364,'מיפוי ומקורות'!$B$7:$B$33,0)),"שוטף")</x:f>
        <x:v>שוטף</x:v>
      </x:c>
      <x:c r="K364" s="19" t="str">
        <x:f>IF(OR(H364="ריביות",AND(H364="דירה כצנלסון",G364&lt;0,ISNUMBER(SEARCH("הכנסה",F364)))),"הכנסה שסווגה מחדש",J364)</x:f>
        <x:v>שוטף</x:v>
      </x:c>
      <x:c r="L364" s="19" t="str">
        <x:v>מאושר</x:v>
      </x:c>
      <x:c r="M364" s="20" t="n">
        <x:f>IF(L364="מאושר",IF(K364="הכנסה שסווגה מחדש",0,G364),0)</x:f>
        <x:v>25</x:v>
      </x:c>
      <x:c r="N364" s="20" t="n">
        <x:f>IF(K364="שוטף",M364,0)</x:f>
        <x:v>25</x:v>
      </x:c>
      <x:c r="O364" s="20" t="n">
        <x:f>IF(K364="הכנסה שסווגה מחדש",-G364,0)</x:f>
        <x:v>0</x:v>
      </x:c>
      <x:c r="P364" s="11" t="str">
        <x:v>אמקס זיו</x:v>
      </x:c>
      <x:c r="Q364" s="11" t="str"/>
      <x:c r="R364" s="11" t="str">
        <x:v>לא</x:v>
      </x:c>
    </x:row>
    <x:row r="365">
      <x:c r="A365" s="14" t="n">
        <x:v>45748</x:v>
      </x:c>
      <x:c r="B365" s="11" t="str">
        <x:v>2025-04</x:v>
      </x:c>
      <x:c r="C365" s="11" t="str">
        <x:v>אפריל 25</x:v>
      </x:c>
      <x:c r="D365" s="15" t="n">
        <x:v>73</x:v>
      </x:c>
      <x:c r="E365" s="11" t="str">
        <x:v>25</x:v>
      </x:c>
      <x:c r="F365" s="11" t="str">
        <x:v>פילים</x:v>
      </x:c>
      <x:c r="G365" s="17" t="n">
        <x:v>329</x:v>
      </x:c>
      <x:c r="H365" s="18" t="str">
        <x:v>חתונה</x:v>
      </x:c>
      <x:c r="I365" s="19" t="str">
        <x:f>IFERROR(INDEX('מיפוי ומקורות'!$C$7:$C$33,MATCH(H365,'מיפוי ומקורות'!$B$7:$B$33,0)),"לא מסווג")</x:f>
        <x:v>חתונה</x:v>
      </x:c>
      <x:c r="J365" s="19" t="str">
        <x:f>IFERROR(INDEX('מיפוי ומקורות'!$D$7:$D$33,MATCH(H365,'מיפוי ומקורות'!$B$7:$B$33,0)),"שוטף")</x:f>
        <x:v>חריג</x:v>
      </x:c>
      <x:c r="K365" s="19" t="str">
        <x:f>IF(OR(H365="ריביות",AND(H365="דירה כצנלסון",G365&lt;0,ISNUMBER(SEARCH("הכנסה",F365)))),"הכנסה שסווגה מחדש",J365)</x:f>
        <x:v>חריג</x:v>
      </x:c>
      <x:c r="L365" s="19" t="str">
        <x:v>מאושר</x:v>
      </x:c>
      <x:c r="M365" s="20" t="n">
        <x:f>IF(L365="מאושר",IF(K365="הכנסה שסווגה מחדש",0,G365),0)</x:f>
        <x:v>329</x:v>
      </x:c>
      <x:c r="N365" s="20" t="n">
        <x:f>IF(K365="שוטף",M365,0)</x:f>
        <x:v>0</x:v>
      </x:c>
      <x:c r="O365" s="20" t="n">
        <x:f>IF(K365="הכנסה שסווגה מחדש",-G365,0)</x:f>
        <x:v>0</x:v>
      </x:c>
      <x:c r="P365" s="11" t="str">
        <x:v>אמקס זיו</x:v>
      </x:c>
      <x:c r="Q365" s="11" t="str"/>
      <x:c r="R365" s="11" t="str">
        <x:v>לא</x:v>
      </x:c>
    </x:row>
    <x:row r="366">
      <x:c r="A366" s="14" t="n">
        <x:v>45748</x:v>
      </x:c>
      <x:c r="B366" s="11" t="str">
        <x:v>2025-04</x:v>
      </x:c>
      <x:c r="C366" s="11" t="str">
        <x:v>אפריל 25</x:v>
      </x:c>
      <x:c r="D366" s="15" t="n">
        <x:v>74</x:v>
      </x:c>
      <x:c r="E366" s="11" t="str">
        <x:v>25</x:v>
      </x:c>
      <x:c r="F366" s="11" t="str">
        <x:v>דלק</x:v>
      </x:c>
      <x:c r="G366" s="17" t="n">
        <x:v>223</x:v>
      </x:c>
      <x:c r="H366" s="18" t="str">
        <x:v>תחבורה</x:v>
      </x:c>
      <x:c r="I366" s="19" t="str">
        <x:f>IFERROR(INDEX('מיפוי ומקורות'!$C$7:$C$33,MATCH(H366,'מיפוי ומקורות'!$B$7:$B$33,0)),"לא מסווג")</x:f>
        <x:v>תחבורה</x:v>
      </x:c>
      <x:c r="J366" s="19" t="str">
        <x:f>IFERROR(INDEX('מיפוי ומקורות'!$D$7:$D$33,MATCH(H366,'מיפוי ומקורות'!$B$7:$B$33,0)),"שוטף")</x:f>
        <x:v>שוטף</x:v>
      </x:c>
      <x:c r="K366" s="19" t="str">
        <x:f>IF(OR(H366="ריביות",AND(H366="דירה כצנלסון",G366&lt;0,ISNUMBER(SEARCH("הכנסה",F366)))),"הכנסה שסווגה מחדש",J366)</x:f>
        <x:v>שוטף</x:v>
      </x:c>
      <x:c r="L366" s="19" t="str">
        <x:v>מאושר</x:v>
      </x:c>
      <x:c r="M366" s="20" t="n">
        <x:f>IF(L366="מאושר",IF(K366="הכנסה שסווגה מחדש",0,G366),0)</x:f>
        <x:v>223</x:v>
      </x:c>
      <x:c r="N366" s="20" t="n">
        <x:f>IF(K366="שוטף",M366,0)</x:f>
        <x:v>223</x:v>
      </x:c>
      <x:c r="O366" s="20" t="n">
        <x:f>IF(K366="הכנסה שסווגה מחדש",-G366,0)</x:f>
        <x:v>0</x:v>
      </x:c>
      <x:c r="P366" s="11" t="str">
        <x:v>אמקס זיו</x:v>
      </x:c>
      <x:c r="Q366" s="11" t="str"/>
      <x:c r="R366" s="11" t="str">
        <x:v>לא</x:v>
      </x:c>
    </x:row>
    <x:row r="367">
      <x:c r="A367" s="14" t="n">
        <x:v>45748</x:v>
      </x:c>
      <x:c r="B367" s="11" t="str">
        <x:v>2025-04</x:v>
      </x:c>
      <x:c r="C367" s="11" t="str">
        <x:v>אפריל 25</x:v>
      </x:c>
      <x:c r="D367" s="15" t="n">
        <x:v>75</x:v>
      </x:c>
      <x:c r="E367" s="11" t="str">
        <x:v>25</x:v>
      </x:c>
      <x:c r="F367" s="11" t="str">
        <x:v>תחבץ</x:v>
      </x:c>
      <x:c r="G367" s="17" t="n">
        <x:v>144</x:v>
      </x:c>
      <x:c r="H367" s="18" t="str">
        <x:v>תחבורה</x:v>
      </x:c>
      <x:c r="I367" s="19" t="str">
        <x:f>IFERROR(INDEX('מיפוי ומקורות'!$C$7:$C$33,MATCH(H367,'מיפוי ומקורות'!$B$7:$B$33,0)),"לא מסווג")</x:f>
        <x:v>תחבורה</x:v>
      </x:c>
      <x:c r="J367" s="19" t="str">
        <x:f>IFERROR(INDEX('מיפוי ומקורות'!$D$7:$D$33,MATCH(H367,'מיפוי ומקורות'!$B$7:$B$33,0)),"שוטף")</x:f>
        <x:v>שוטף</x:v>
      </x:c>
      <x:c r="K367" s="19" t="str">
        <x:f>IF(OR(H367="ריביות",AND(H367="דירה כצנלסון",G367&lt;0,ISNUMBER(SEARCH("הכנסה",F367)))),"הכנסה שסווגה מחדש",J367)</x:f>
        <x:v>שוטף</x:v>
      </x:c>
      <x:c r="L367" s="19" t="str">
        <x:v>מאושר</x:v>
      </x:c>
      <x:c r="M367" s="20" t="n">
        <x:f>IF(L367="מאושר",IF(K367="הכנסה שסווגה מחדש",0,G367),0)</x:f>
        <x:v>144</x:v>
      </x:c>
      <x:c r="N367" s="20" t="n">
        <x:f>IF(K367="שוטף",M367,0)</x:f>
        <x:v>144</x:v>
      </x:c>
      <x:c r="O367" s="20" t="n">
        <x:f>IF(K367="הכנסה שסווגה מחדש",-G367,0)</x:f>
        <x:v>0</x:v>
      </x:c>
      <x:c r="P367" s="11" t="str">
        <x:v>אמקס זיו</x:v>
      </x:c>
      <x:c r="Q367" s="11" t="str"/>
      <x:c r="R367" s="11" t="str">
        <x:v>לא</x:v>
      </x:c>
    </x:row>
    <x:row r="368">
      <x:c r="A368" s="14" t="n">
        <x:v>45748</x:v>
      </x:c>
      <x:c r="B368" s="11" t="str">
        <x:v>2025-04</x:v>
      </x:c>
      <x:c r="C368" s="11" t="str">
        <x:v>אפריל 25</x:v>
      </x:c>
      <x:c r="D368" s="15" t="n">
        <x:v>76</x:v>
      </x:c>
      <x:c r="E368" s="11" t="str">
        <x:v>26</x:v>
      </x:c>
      <x:c r="F368" s="11" t="str">
        <x:v>גלידה</x:v>
      </x:c>
      <x:c r="G368" s="17" t="n">
        <x:v>72</x:v>
      </x:c>
      <x:c r="H368" s="18" t="str">
        <x:v>אוכל בחוץ</x:v>
      </x:c>
      <x:c r="I368" s="19" t="str">
        <x:f>IFERROR(INDEX('מיפוי ומקורות'!$C$7:$C$33,MATCH(H368,'מיפוי ומקורות'!$B$7:$B$33,0)),"לא מסווג")</x:f>
        <x:v>אוכל בחוץ</x:v>
      </x:c>
      <x:c r="J368" s="19" t="str">
        <x:f>IFERROR(INDEX('מיפוי ומקורות'!$D$7:$D$33,MATCH(H368,'מיפוי ומקורות'!$B$7:$B$33,0)),"שוטף")</x:f>
        <x:v>שוטף</x:v>
      </x:c>
      <x:c r="K368" s="19" t="str">
        <x:f>IF(OR(H368="ריביות",AND(H368="דירה כצנלסון",G368&lt;0,ISNUMBER(SEARCH("הכנסה",F368)))),"הכנסה שסווגה מחדש",J368)</x:f>
        <x:v>שוטף</x:v>
      </x:c>
      <x:c r="L368" s="19" t="str">
        <x:v>מאושר</x:v>
      </x:c>
      <x:c r="M368" s="20" t="n">
        <x:f>IF(L368="מאושר",IF(K368="הכנסה שסווגה מחדש",0,G368),0)</x:f>
        <x:v>72</x:v>
      </x:c>
      <x:c r="N368" s="20" t="n">
        <x:f>IF(K368="שוטף",M368,0)</x:f>
        <x:v>72</x:v>
      </x:c>
      <x:c r="O368" s="20" t="n">
        <x:f>IF(K368="הכנסה שסווגה מחדש",-G368,0)</x:f>
        <x:v>0</x:v>
      </x:c>
      <x:c r="P368" s="11" t="str">
        <x:v>אמקס זיו</x:v>
      </x:c>
      <x:c r="Q368" s="11" t="str"/>
      <x:c r="R368" s="11" t="str">
        <x:v>לא</x:v>
      </x:c>
    </x:row>
    <x:row r="369">
      <x:c r="A369" s="14" t="n">
        <x:v>45748</x:v>
      </x:c>
      <x:c r="B369" s="11" t="str">
        <x:v>2025-04</x:v>
      </x:c>
      <x:c r="C369" s="11" t="str">
        <x:v>אפריל 25</x:v>
      </x:c>
      <x:c r="D369" s="15" t="n">
        <x:v>77</x:v>
      </x:c>
      <x:c r="E369" s="11" t="str">
        <x:v>27</x:v>
      </x:c>
      <x:c r="F369" s="11" t="str">
        <x:v>סוללות</x:v>
      </x:c>
      <x:c r="G369" s="17" t="n">
        <x:v>15</x:v>
      </x:c>
      <x:c r="H369" s="18" t="str">
        <x:v>חתונה</x:v>
      </x:c>
      <x:c r="I369" s="19" t="str">
        <x:f>IFERROR(INDEX('מיפוי ומקורות'!$C$7:$C$33,MATCH(H369,'מיפוי ומקורות'!$B$7:$B$33,0)),"לא מסווג")</x:f>
        <x:v>חתונה</x:v>
      </x:c>
      <x:c r="J369" s="19" t="str">
        <x:f>IFERROR(INDEX('מיפוי ומקורות'!$D$7:$D$33,MATCH(H369,'מיפוי ומקורות'!$B$7:$B$33,0)),"שוטף")</x:f>
        <x:v>חריג</x:v>
      </x:c>
      <x:c r="K369" s="19" t="str">
        <x:f>IF(OR(H369="ריביות",AND(H369="דירה כצנלסון",G369&lt;0,ISNUMBER(SEARCH("הכנסה",F369)))),"הכנסה שסווגה מחדש",J369)</x:f>
        <x:v>חריג</x:v>
      </x:c>
      <x:c r="L369" s="19" t="str">
        <x:v>מאושר</x:v>
      </x:c>
      <x:c r="M369" s="20" t="n">
        <x:f>IF(L369="מאושר",IF(K369="הכנסה שסווגה מחדש",0,G369),0)</x:f>
        <x:v>15</x:v>
      </x:c>
      <x:c r="N369" s="20" t="n">
        <x:f>IF(K369="שוטף",M369,0)</x:f>
        <x:v>0</x:v>
      </x:c>
      <x:c r="O369" s="20" t="n">
        <x:f>IF(K369="הכנסה שסווגה מחדש",-G369,0)</x:f>
        <x:v>0</x:v>
      </x:c>
      <x:c r="P369" s="11" t="str">
        <x:v>אמקס זיו</x:v>
      </x:c>
      <x:c r="Q369" s="11" t="str"/>
      <x:c r="R369" s="11" t="str">
        <x:v>לא</x:v>
      </x:c>
    </x:row>
    <x:row r="370">
      <x:c r="A370" s="14" t="n">
        <x:v>45748</x:v>
      </x:c>
      <x:c r="B370" s="11" t="str">
        <x:v>2025-04</x:v>
      </x:c>
      <x:c r="C370" s="11" t="str">
        <x:v>אפריל 25</x:v>
      </x:c>
      <x:c r="D370" s="15" t="n">
        <x:v>78</x:v>
      </x:c>
      <x:c r="E370" s="11" t="str">
        <x:v>28</x:v>
      </x:c>
      <x:c r="F370" s="11" t="str">
        <x:v>פדים לזיעה</x:v>
      </x:c>
      <x:c r="G370" s="17" t="n">
        <x:v>50</x:v>
      </x:c>
      <x:c r="H370" s="18" t="str">
        <x:v>חתונה</x:v>
      </x:c>
      <x:c r="I370" s="19" t="str">
        <x:f>IFERROR(INDEX('מיפוי ומקורות'!$C$7:$C$33,MATCH(H370,'מיפוי ומקורות'!$B$7:$B$33,0)),"לא מסווג")</x:f>
        <x:v>חתונה</x:v>
      </x:c>
      <x:c r="J370" s="19" t="str">
        <x:f>IFERROR(INDEX('מיפוי ומקורות'!$D$7:$D$33,MATCH(H370,'מיפוי ומקורות'!$B$7:$B$33,0)),"שוטף")</x:f>
        <x:v>חריג</x:v>
      </x:c>
      <x:c r="K370" s="19" t="str">
        <x:f>IF(OR(H370="ריביות",AND(H370="דירה כצנלסון",G370&lt;0,ISNUMBER(SEARCH("הכנסה",F370)))),"הכנסה שסווגה מחדש",J370)</x:f>
        <x:v>חריג</x:v>
      </x:c>
      <x:c r="L370" s="19" t="str">
        <x:v>מאושר</x:v>
      </x:c>
      <x:c r="M370" s="20" t="n">
        <x:f>IF(L370="מאושר",IF(K370="הכנסה שסווגה מחדש",0,G370),0)</x:f>
        <x:v>50</x:v>
      </x:c>
      <x:c r="N370" s="20" t="n">
        <x:f>IF(K370="שוטף",M370,0)</x:f>
        <x:v>0</x:v>
      </x:c>
      <x:c r="O370" s="20" t="n">
        <x:f>IF(K370="הכנסה שסווגה מחדש",-G370,0)</x:f>
        <x:v>0</x:v>
      </x:c>
      <x:c r="P370" s="11" t="str">
        <x:v>אמקס זיו</x:v>
      </x:c>
      <x:c r="Q370" s="11" t="str"/>
      <x:c r="R370" s="11" t="str">
        <x:v>לא</x:v>
      </x:c>
    </x:row>
    <x:row r="371">
      <x:c r="A371" s="14" t="n">
        <x:v>45748</x:v>
      </x:c>
      <x:c r="B371" s="11" t="str">
        <x:v>2025-04</x:v>
      </x:c>
      <x:c r="C371" s="11" t="str">
        <x:v>אפריל 25</x:v>
      </x:c>
      <x:c r="D371" s="15" t="n">
        <x:v>79</x:v>
      </x:c>
      <x:c r="E371" s="11" t="str">
        <x:v>28</x:v>
      </x:c>
      <x:c r="F371" s="11" t="str">
        <x:v>כוס חתן</x:v>
      </x:c>
      <x:c r="G371" s="17" t="n">
        <x:v>36</x:v>
      </x:c>
      <x:c r="H371" s="18" t="str">
        <x:v>חתונה</x:v>
      </x:c>
      <x:c r="I371" s="19" t="str">
        <x:f>IFERROR(INDEX('מיפוי ומקורות'!$C$7:$C$33,MATCH(H371,'מיפוי ומקורות'!$B$7:$B$33,0)),"לא מסווג")</x:f>
        <x:v>חתונה</x:v>
      </x:c>
      <x:c r="J371" s="19" t="str">
        <x:f>IFERROR(INDEX('מיפוי ומקורות'!$D$7:$D$33,MATCH(H371,'מיפוי ומקורות'!$B$7:$B$33,0)),"שוטף")</x:f>
        <x:v>חריג</x:v>
      </x:c>
      <x:c r="K371" s="19" t="str">
        <x:f>IF(OR(H371="ריביות",AND(H371="דירה כצנלסון",G371&lt;0,ISNUMBER(SEARCH("הכנסה",F371)))),"הכנסה שסווגה מחדש",J371)</x:f>
        <x:v>חריג</x:v>
      </x:c>
      <x:c r="L371" s="19" t="str">
        <x:v>מאושר</x:v>
      </x:c>
      <x:c r="M371" s="20" t="n">
        <x:f>IF(L371="מאושר",IF(K371="הכנסה שסווגה מחדש",0,G371),0)</x:f>
        <x:v>36</x:v>
      </x:c>
      <x:c r="N371" s="20" t="n">
        <x:f>IF(K371="שוטף",M371,0)</x:f>
        <x:v>0</x:v>
      </x:c>
      <x:c r="O371" s="20" t="n">
        <x:f>IF(K371="הכנסה שסווגה מחדש",-G371,0)</x:f>
        <x:v>0</x:v>
      </x:c>
      <x:c r="P371" s="11" t="str">
        <x:v>אמקס זיו</x:v>
      </x:c>
      <x:c r="Q371" s="11" t="str"/>
      <x:c r="R371" s="11" t="str">
        <x:v>לא</x:v>
      </x:c>
    </x:row>
    <x:row r="372">
      <x:c r="A372" s="14" t="n">
        <x:v>45748</x:v>
      </x:c>
      <x:c r="B372" s="11" t="str">
        <x:v>2025-04</x:v>
      </x:c>
      <x:c r="C372" s="11" t="str">
        <x:v>אפריל 25</x:v>
      </x:c>
      <x:c r="D372" s="15" t="n">
        <x:v>80</x:v>
      </x:c>
      <x:c r="E372" s="11" t="str">
        <x:v>30</x:v>
      </x:c>
      <x:c r="F372" s="11" t="str">
        <x:v>צמח</x:v>
      </x:c>
      <x:c r="G372" s="17" t="n">
        <x:v>24</x:v>
      </x:c>
      <x:c r="H372" s="18" t="str">
        <x:v>קניות לבית</x:v>
      </x:c>
      <x:c r="I372" s="19" t="str">
        <x:f>IFERROR(INDEX('מיפוי ומקורות'!$C$7:$C$33,MATCH(H372,'מיפוי ומקורות'!$B$7:$B$33,0)),"לא מסווג")</x:f>
        <x:v>קניות לבית</x:v>
      </x:c>
      <x:c r="J372" s="19" t="str">
        <x:f>IFERROR(INDEX('מיפוי ומקורות'!$D$7:$D$33,MATCH(H372,'מיפוי ומקורות'!$B$7:$B$33,0)),"שוטף")</x:f>
        <x:v>שוטף</x:v>
      </x:c>
      <x:c r="K372" s="19" t="str">
        <x:f>IF(OR(H372="ריביות",AND(H372="דירה כצנלסון",G372&lt;0,ISNUMBER(SEARCH("הכנסה",F372)))),"הכנסה שסווגה מחדש",J372)</x:f>
        <x:v>שוטף</x:v>
      </x:c>
      <x:c r="L372" s="19" t="str">
        <x:v>מאושר</x:v>
      </x:c>
      <x:c r="M372" s="20" t="n">
        <x:f>IF(L372="מאושר",IF(K372="הכנסה שסווגה מחדש",0,G372),0)</x:f>
        <x:v>24</x:v>
      </x:c>
      <x:c r="N372" s="20" t="n">
        <x:f>IF(K372="שוטף",M372,0)</x:f>
        <x:v>24</x:v>
      </x:c>
      <x:c r="O372" s="20" t="n">
        <x:f>IF(K372="הכנסה שסווגה מחדש",-G372,0)</x:f>
        <x:v>0</x:v>
      </x:c>
      <x:c r="P372" s="11" t="str">
        <x:v>אמקס זיו</x:v>
      </x:c>
      <x:c r="Q372" s="11" t="str"/>
      <x:c r="R372" s="11" t="str">
        <x:v>לא</x:v>
      </x:c>
    </x:row>
    <x:row r="373">
      <x:c r="A373" s="14" t="n">
        <x:v>45748</x:v>
      </x:c>
      <x:c r="B373" s="11" t="str">
        <x:v>2025-04</x:v>
      </x:c>
      <x:c r="C373" s="11" t="str">
        <x:v>אפריל 25</x:v>
      </x:c>
      <x:c r="D373" s="15" t="n">
        <x:v>81</x:v>
      </x:c>
      <x:c r="E373" s="11" t="str">
        <x:v>30</x:v>
      </x:c>
      <x:c r="F373" s="11" t="str">
        <x:v>מקס</x:v>
      </x:c>
      <x:c r="G373" s="17" t="n">
        <x:v>74</x:v>
      </x:c>
      <x:c r="H373" s="18" t="str">
        <x:v>קניות לבית</x:v>
      </x:c>
      <x:c r="I373" s="19" t="str">
        <x:f>IFERROR(INDEX('מיפוי ומקורות'!$C$7:$C$33,MATCH(H373,'מיפוי ומקורות'!$B$7:$B$33,0)),"לא מסווג")</x:f>
        <x:v>קניות לבית</x:v>
      </x:c>
      <x:c r="J373" s="19" t="str">
        <x:f>IFERROR(INDEX('מיפוי ומקורות'!$D$7:$D$33,MATCH(H373,'מיפוי ומקורות'!$B$7:$B$33,0)),"שוטף")</x:f>
        <x:v>שוטף</x:v>
      </x:c>
      <x:c r="K373" s="19" t="str">
        <x:f>IF(OR(H373="ריביות",AND(H373="דירה כצנלסון",G373&lt;0,ISNUMBER(SEARCH("הכנסה",F373)))),"הכנסה שסווגה מחדש",J373)</x:f>
        <x:v>שוטף</x:v>
      </x:c>
      <x:c r="L373" s="19" t="str">
        <x:v>מאושר</x:v>
      </x:c>
      <x:c r="M373" s="20" t="n">
        <x:f>IF(L373="מאושר",IF(K373="הכנסה שסווגה מחדש",0,G373),0)</x:f>
        <x:v>74</x:v>
      </x:c>
      <x:c r="N373" s="20" t="n">
        <x:f>IF(K373="שוטף",M373,0)</x:f>
        <x:v>74</x:v>
      </x:c>
      <x:c r="O373" s="20" t="n">
        <x:f>IF(K373="הכנסה שסווגה מחדש",-G373,0)</x:f>
        <x:v>0</x:v>
      </x:c>
      <x:c r="P373" s="11" t="str">
        <x:v>אמקס זיו</x:v>
      </x:c>
      <x:c r="Q373" s="11" t="str"/>
      <x:c r="R373" s="11" t="str">
        <x:v>לא</x:v>
      </x:c>
    </x:row>
    <x:row r="374">
      <x:c r="A374" s="14" t="n">
        <x:v>45748</x:v>
      </x:c>
      <x:c r="B374" s="11" t="str">
        <x:v>2025-04</x:v>
      </x:c>
      <x:c r="C374" s="11" t="str">
        <x:v>אפריל 25</x:v>
      </x:c>
      <x:c r="D374" s="15" t="n">
        <x:v>82</x:v>
      </x:c>
      <x:c r="E374" s="11" t="str">
        <x:v>30</x:v>
      </x:c>
      <x:c r="F374" s="11" t="str">
        <x:v>אייס קפה</x:v>
      </x:c>
      <x:c r="G374" s="17" t="n">
        <x:v>16</x:v>
      </x:c>
      <x:c r="H374" s="18" t="str">
        <x:v>אוכל בחוץ</x:v>
      </x:c>
      <x:c r="I374" s="19" t="str">
        <x:f>IFERROR(INDEX('מיפוי ומקורות'!$C$7:$C$33,MATCH(H374,'מיפוי ומקורות'!$B$7:$B$33,0)),"לא מסווג")</x:f>
        <x:v>אוכל בחוץ</x:v>
      </x:c>
      <x:c r="J374" s="19" t="str">
        <x:f>IFERROR(INDEX('מיפוי ומקורות'!$D$7:$D$33,MATCH(H374,'מיפוי ומקורות'!$B$7:$B$33,0)),"שוטף")</x:f>
        <x:v>שוטף</x:v>
      </x:c>
      <x:c r="K374" s="19" t="str">
        <x:f>IF(OR(H374="ריביות",AND(H374="דירה כצנלסון",G374&lt;0,ISNUMBER(SEARCH("הכנסה",F374)))),"הכנסה שסווגה מחדש",J374)</x:f>
        <x:v>שוטף</x:v>
      </x:c>
      <x:c r="L374" s="19" t="str">
        <x:v>מאושר</x:v>
      </x:c>
      <x:c r="M374" s="20" t="n">
        <x:f>IF(L374="מאושר",IF(K374="הכנסה שסווגה מחדש",0,G374),0)</x:f>
        <x:v>16</x:v>
      </x:c>
      <x:c r="N374" s="20" t="n">
        <x:f>IF(K374="שוטף",M374,0)</x:f>
        <x:v>16</x:v>
      </x:c>
      <x:c r="O374" s="20" t="n">
        <x:f>IF(K374="הכנסה שסווגה מחדש",-G374,0)</x:f>
        <x:v>0</x:v>
      </x:c>
      <x:c r="P374" s="11" t="str">
        <x:v>מזומן</x:v>
      </x:c>
      <x:c r="Q374" s="11" t="str"/>
      <x:c r="R374" s="11" t="str">
        <x:v>לא</x:v>
      </x:c>
    </x:row>
    <x:row r="375">
      <x:c r="A375" s="14" t="n">
        <x:v>45748</x:v>
      </x:c>
      <x:c r="B375" s="11" t="str">
        <x:v>2025-04</x:v>
      </x:c>
      <x:c r="C375" s="11" t="str">
        <x:v>אפריל 25</x:v>
      </x:c>
      <x:c r="D375" s="15" t="n">
        <x:v>83</x:v>
      </x:c>
      <x:c r="E375" s="11" t="str">
        <x:v>1</x:v>
      </x:c>
      <x:c r="F375" s="11" t="str">
        <x:v>שובר סופר</x:v>
      </x:c>
      <x:c r="G375" s="17" t="n">
        <x:v>506</x:v>
      </x:c>
      <x:c r="H375" s="18" t="str">
        <x:v>מזון לבית</x:v>
      </x:c>
      <x:c r="I375" s="19" t="str">
        <x:f>IFERROR(INDEX('מיפוי ומקורות'!$C$7:$C$33,MATCH(H375,'מיפוי ומקורות'!$B$7:$B$33,0)),"לא מסווג")</x:f>
        <x:v>מזון לבית</x:v>
      </x:c>
      <x:c r="J375" s="19" t="str">
        <x:f>IFERROR(INDEX('מיפוי ומקורות'!$D$7:$D$33,MATCH(H375,'מיפוי ומקורות'!$B$7:$B$33,0)),"שוטף")</x:f>
        <x:v>שוטף</x:v>
      </x:c>
      <x:c r="K375" s="19" t="str">
        <x:f>IF(OR(H375="ריביות",AND(H375="דירה כצנלסון",G375&lt;0,ISNUMBER(SEARCH("הכנסה",F375)))),"הכנסה שסווגה מחדש",J375)</x:f>
        <x:v>שוטף</x:v>
      </x:c>
      <x:c r="L375" s="19" t="str">
        <x:v>מאושר</x:v>
      </x:c>
      <x:c r="M375" s="20" t="n">
        <x:f>IF(L375="מאושר",IF(K375="הכנסה שסווגה מחדש",0,G375),0)</x:f>
        <x:v>506</x:v>
      </x:c>
      <x:c r="N375" s="20" t="n">
        <x:f>IF(K375="שוטף",M375,0)</x:f>
        <x:v>506</x:v>
      </x:c>
      <x:c r="O375" s="20" t="n">
        <x:f>IF(K375="הכנסה שסווגה מחדש",-G375,0)</x:f>
        <x:v>0</x:v>
      </x:c>
      <x:c r="P375" s="11" t="str">
        <x:v>הוט זיו</x:v>
      </x:c>
      <x:c r="Q375" s="11" t="str"/>
      <x:c r="R375" s="11" t="str">
        <x:v>לא</x:v>
      </x:c>
    </x:row>
    <x:row r="376">
      <x:c r="A376" s="14" t="n">
        <x:v>45748</x:v>
      </x:c>
      <x:c r="B376" s="11" t="str">
        <x:v>2025-04</x:v>
      </x:c>
      <x:c r="C376" s="11" t="str">
        <x:v>אפריל 25</x:v>
      </x:c>
      <x:c r="D376" s="15" t="n">
        <x:v>84</x:v>
      </x:c>
      <x:c r="E376" s="11" t="str">
        <x:v>4</x:v>
      </x:c>
      <x:c r="F376" s="11" t="str">
        <x:v>שובר סופר</x:v>
      </x:c>
      <x:c r="G376" s="17" t="n">
        <x:v>506</x:v>
      </x:c>
      <x:c r="H376" s="18" t="str">
        <x:v>מזון לבית</x:v>
      </x:c>
      <x:c r="I376" s="19" t="str">
        <x:f>IFERROR(INDEX('מיפוי ומקורות'!$C$7:$C$33,MATCH(H376,'מיפוי ומקורות'!$B$7:$B$33,0)),"לא מסווג")</x:f>
        <x:v>מזון לבית</x:v>
      </x:c>
      <x:c r="J376" s="19" t="str">
        <x:f>IFERROR(INDEX('מיפוי ומקורות'!$D$7:$D$33,MATCH(H376,'מיפוי ומקורות'!$B$7:$B$33,0)),"שוטף")</x:f>
        <x:v>שוטף</x:v>
      </x:c>
      <x:c r="K376" s="19" t="str">
        <x:f>IF(OR(H376="ריביות",AND(H376="דירה כצנלסון",G376&lt;0,ISNUMBER(SEARCH("הכנסה",F376)))),"הכנסה שסווגה מחדש",J376)</x:f>
        <x:v>שוטף</x:v>
      </x:c>
      <x:c r="L376" s="19" t="str">
        <x:v>מאושר</x:v>
      </x:c>
      <x:c r="M376" s="20" t="n">
        <x:f>IF(L376="מאושר",IF(K376="הכנסה שסווגה מחדש",0,G376),0)</x:f>
        <x:v>506</x:v>
      </x:c>
      <x:c r="N376" s="20" t="n">
        <x:f>IF(K376="שוטף",M376,0)</x:f>
        <x:v>506</x:v>
      </x:c>
      <x:c r="O376" s="20" t="n">
        <x:f>IF(K376="הכנסה שסווגה מחדש",-G376,0)</x:f>
        <x:v>0</x:v>
      </x:c>
      <x:c r="P376" s="11" t="str">
        <x:v>הוט זיו</x:v>
      </x:c>
      <x:c r="Q376" s="11" t="str"/>
      <x:c r="R376" s="11" t="str">
        <x:v>לא</x:v>
      </x:c>
    </x:row>
    <x:row r="377">
      <x:c r="A377" s="14" t="n">
        <x:v>45748</x:v>
      </x:c>
      <x:c r="B377" s="11" t="str">
        <x:v>2025-04</x:v>
      </x:c>
      <x:c r="C377" s="11" t="str">
        <x:v>אפריל 25</x:v>
      </x:c>
      <x:c r="D377" s="15" t="n">
        <x:v>85</x:v>
      </x:c>
      <x:c r="E377" s="11" t="str">
        <x:v>30</x:v>
      </x:c>
      <x:c r="F377" s="11" t="str">
        <x:v>על האש</x:v>
      </x:c>
      <x:c r="G377" s="17" t="n">
        <x:v>138</x:v>
      </x:c>
      <x:c r="H377" s="18" t="str">
        <x:v>פנאי</x:v>
      </x:c>
      <x:c r="I377" s="19" t="str">
        <x:f>IFERROR(INDEX('מיפוי ומקורות'!$C$7:$C$33,MATCH(H377,'מיפוי ומקורות'!$B$7:$B$33,0)),"לא מסווג")</x:f>
        <x:v>פנאי</x:v>
      </x:c>
      <x:c r="J377" s="19" t="str">
        <x:f>IFERROR(INDEX('מיפוי ומקורות'!$D$7:$D$33,MATCH(H377,'מיפוי ומקורות'!$B$7:$B$33,0)),"שוטף")</x:f>
        <x:v>שוטף</x:v>
      </x:c>
      <x:c r="K377" s="19" t="str">
        <x:f>IF(OR(H377="ריביות",AND(H377="דירה כצנלסון",G377&lt;0,ISNUMBER(SEARCH("הכנסה",F377)))),"הכנסה שסווגה מחדש",J377)</x:f>
        <x:v>שוטף</x:v>
      </x:c>
      <x:c r="L377" s="19" t="str">
        <x:v>מאושר</x:v>
      </x:c>
      <x:c r="M377" s="20" t="n">
        <x:f>IF(L377="מאושר",IF(K377="הכנסה שסווגה מחדש",0,G377),0)</x:f>
        <x:v>138</x:v>
      </x:c>
      <x:c r="N377" s="20" t="n">
        <x:f>IF(K377="שוטף",M377,0)</x:f>
        <x:v>138</x:v>
      </x:c>
      <x:c r="O377" s="20" t="n">
        <x:f>IF(K377="הכנסה שסווגה מחדש",-G377,0)</x:f>
        <x:v>0</x:v>
      </x:c>
      <x:c r="P377" s="11" t="str">
        <x:v>ביט - זיו</x:v>
      </x:c>
      <x:c r="Q377" s="11" t="str"/>
      <x:c r="R377" s="11" t="str">
        <x:v>לא</x:v>
      </x:c>
    </x:row>
    <x:row r="378">
      <x:c r="A378" s="14" t="n">
        <x:v>45748</x:v>
      </x:c>
      <x:c r="B378" s="11" t="str">
        <x:v>2025-04</x:v>
      </x:c>
      <x:c r="C378" s="11" t="str">
        <x:v>אפריל 25</x:v>
      </x:c>
      <x:c r="D378" s="15" t="n">
        <x:v>86</x:v>
      </x:c>
      <x:c r="E378" s="11" t="str"/>
      <x:c r="F378" s="11" t="str">
        <x:v>אימונים - עינור</x:v>
      </x:c>
      <x:c r="G378" s="17" t="n">
        <x:v>926</x:v>
      </x:c>
      <x:c r="H378" s="18" t="str">
        <x:v>ספורט</x:v>
      </x:c>
      <x:c r="I378" s="19" t="str">
        <x:f>IFERROR(INDEX('מיפוי ומקורות'!$C$7:$C$33,MATCH(H378,'מיפוי ומקורות'!$B$7:$B$33,0)),"לא מסווג")</x:f>
        <x:v>ספורט</x:v>
      </x:c>
      <x:c r="J378" s="19" t="str">
        <x:f>IFERROR(INDEX('מיפוי ומקורות'!$D$7:$D$33,MATCH(H378,'מיפוי ומקורות'!$B$7:$B$33,0)),"שוטף")</x:f>
        <x:v>שוטף</x:v>
      </x:c>
      <x:c r="K378" s="19" t="str">
        <x:f>IF(OR(H378="ריביות",AND(H378="דירה כצנלסון",G378&lt;0,ISNUMBER(SEARCH("הכנסה",F378)))),"הכנסה שסווגה מחדש",J378)</x:f>
        <x:v>שוטף</x:v>
      </x:c>
      <x:c r="L378" s="19" t="str">
        <x:v>מאושר</x:v>
      </x:c>
      <x:c r="M378" s="20" t="n">
        <x:f>IF(L378="מאושר",IF(K378="הכנסה שסווגה מחדש",0,G378),0)</x:f>
        <x:v>926</x:v>
      </x:c>
      <x:c r="N378" s="20" t="n">
        <x:f>IF(K378="שוטף",M378,0)</x:f>
        <x:v>926</x:v>
      </x:c>
      <x:c r="O378" s="20" t="n">
        <x:f>IF(K378="הכנסה שסווגה מחדש",-G378,0)</x:f>
        <x:v>0</x:v>
      </x:c>
      <x:c r="P378" s="11" t="str">
        <x:v>אחר - עינור</x:v>
      </x:c>
      <x:c r="Q378" s="11" t="str"/>
      <x:c r="R378" s="11" t="str">
        <x:v>לא</x:v>
      </x:c>
    </x:row>
    <x:row r="379">
      <x:c r="A379" s="14" t="n">
        <x:v>45748</x:v>
      </x:c>
      <x:c r="B379" s="11" t="str">
        <x:v>2025-04</x:v>
      </x:c>
      <x:c r="C379" s="11" t="str">
        <x:v>אפריל 25</x:v>
      </x:c>
      <x:c r="D379" s="15" t="n">
        <x:v>87</x:v>
      </x:c>
      <x:c r="E379" s="11" t="str"/>
      <x:c r="F379" s="11" t="str">
        <x:v>מדביר</x:v>
      </x:c>
      <x:c r="G379" s="17" t="n">
        <x:v>250</x:v>
      </x:c>
      <x:c r="H379" s="18" t="str">
        <x:v>מגורים צריכה</x:v>
      </x:c>
      <x:c r="I379" s="19" t="str">
        <x:f>IFERROR(INDEX('מיפוי ומקורות'!$C$7:$C$33,MATCH(H379,'מיפוי ומקורות'!$B$7:$B$33,0)),"לא מסווג")</x:f>
        <x:v>דיור – בית מגורים</x:v>
      </x:c>
      <x:c r="J379" s="19" t="str">
        <x:f>IFERROR(INDEX('מיפוי ומקורות'!$D$7:$D$33,MATCH(H379,'מיפוי ומקורות'!$B$7:$B$33,0)),"שוטף")</x:f>
        <x:v>שוטף</x:v>
      </x:c>
      <x:c r="K379" s="19" t="str">
        <x:f>IF(OR(H379="ריביות",AND(H379="דירה כצנלסון",G379&lt;0,ISNUMBER(SEARCH("הכנסה",F379)))),"הכנסה שסווגה מחדש",J379)</x:f>
        <x:v>שוטף</x:v>
      </x:c>
      <x:c r="L379" s="19" t="str">
        <x:v>מאושר</x:v>
      </x:c>
      <x:c r="M379" s="20" t="n">
        <x:f>IF(L379="מאושר",IF(K379="הכנסה שסווגה מחדש",0,G379),0)</x:f>
        <x:v>250</x:v>
      </x:c>
      <x:c r="N379" s="20" t="n">
        <x:f>IF(K379="שוטף",M379,0)</x:f>
        <x:v>250</x:v>
      </x:c>
      <x:c r="O379" s="20" t="n">
        <x:f>IF(K379="הכנסה שסווגה מחדש",-G379,0)</x:f>
        <x:v>0</x:v>
      </x:c>
      <x:c r="P379" s="11" t="str">
        <x:v>מזומן</x:v>
      </x:c>
      <x:c r="Q379" s="11" t="str"/>
      <x:c r="R379" s="11" t="str">
        <x:v>לא</x:v>
      </x:c>
    </x:row>
    <x:row r="380">
      <x:c r="A380" s="14" t="n">
        <x:v>45748</x:v>
      </x:c>
      <x:c r="B380" s="11" t="str">
        <x:v>2025-04</x:v>
      </x:c>
      <x:c r="C380" s="11" t="str">
        <x:v>אפריל 25</x:v>
      </x:c>
      <x:c r="D380" s="15" t="n">
        <x:v>88</x:v>
      </x:c>
      <x:c r="E380" s="11" t="str"/>
      <x:c r="F380" s="11" t="str">
        <x:v>תיקונים לשמלה</x:v>
      </x:c>
      <x:c r="G380" s="17" t="n">
        <x:v>650</x:v>
      </x:c>
      <x:c r="H380" s="18" t="str">
        <x:v>חתונה</x:v>
      </x:c>
      <x:c r="I380" s="19" t="str">
        <x:f>IFERROR(INDEX('מיפוי ומקורות'!$C$7:$C$33,MATCH(H380,'מיפוי ומקורות'!$B$7:$B$33,0)),"לא מסווג")</x:f>
        <x:v>חתונה</x:v>
      </x:c>
      <x:c r="J380" s="19" t="str">
        <x:f>IFERROR(INDEX('מיפוי ומקורות'!$D$7:$D$33,MATCH(H380,'מיפוי ומקורות'!$B$7:$B$33,0)),"שוטף")</x:f>
        <x:v>חריג</x:v>
      </x:c>
      <x:c r="K380" s="19" t="str">
        <x:f>IF(OR(H380="ריביות",AND(H380="דירה כצנלסון",G380&lt;0,ISNUMBER(SEARCH("הכנסה",F380)))),"הכנסה שסווגה מחדש",J380)</x:f>
        <x:v>חריג</x:v>
      </x:c>
      <x:c r="L380" s="19" t="str">
        <x:v>מאושר</x:v>
      </x:c>
      <x:c r="M380" s="20" t="n">
        <x:f>IF(L380="מאושר",IF(K380="הכנסה שסווגה מחדש",0,G380),0)</x:f>
        <x:v>650</x:v>
      </x:c>
      <x:c r="N380" s="20" t="n">
        <x:f>IF(K380="שוטף",M380,0)</x:f>
        <x:v>0</x:v>
      </x:c>
      <x:c r="O380" s="20" t="n">
        <x:f>IF(K380="הכנסה שסווגה מחדש",-G380,0)</x:f>
        <x:v>0</x:v>
      </x:c>
      <x:c r="P380" s="11" t="str">
        <x:v>מזומן</x:v>
      </x:c>
      <x:c r="Q380" s="11" t="str"/>
      <x:c r="R380" s="11" t="str">
        <x:v>לא</x:v>
      </x:c>
    </x:row>
    <x:row r="381">
      <x:c r="A381" s="14" t="n">
        <x:v>45748</x:v>
      </x:c>
      <x:c r="B381" s="11" t="str">
        <x:v>2025-04</x:v>
      </x:c>
      <x:c r="C381" s="11" t="str">
        <x:v>אפריל 25</x:v>
      </x:c>
      <x:c r="D381" s="15" t="n">
        <x:v>89</x:v>
      </x:c>
      <x:c r="E381" s="11" t="str"/>
      <x:c r="F381" s="11" t="str">
        <x:v>ריבית מחיסון</x:v>
      </x:c>
      <x:c r="G381" s="17" t="n">
        <x:v>-70</x:v>
      </x:c>
      <x:c r="H381" s="18" t="str">
        <x:v>ריביות</x:v>
      </x:c>
      <x:c r="I381" s="19" t="str">
        <x:f>IFERROR(INDEX('מיפוי ומקורות'!$C$7:$C$33,MATCH(H381,'מיפוי ומקורות'!$B$7:$B$33,0)),"לא מסווג")</x:f>
        <x:v>זרם פיננסי</x:v>
      </x:c>
      <x:c r="J381" s="19" t="str">
        <x:f>IFERROR(INDEX('מיפוי ומקורות'!$D$7:$D$33,MATCH(H381,'מיפוי ומקורות'!$B$7:$B$33,0)),"שוטף")</x:f>
        <x:v>הכנסה שסווגה מחדש</x:v>
      </x:c>
      <x:c r="K381" s="19" t="str">
        <x:f>IF(OR(H381="ריביות",AND(H381="דירה כצנלסון",G381&lt;0,ISNUMBER(SEARCH("הכנסה",F381)))),"הכנסה שסווגה מחדש",J381)</x:f>
        <x:v>הכנסה שסווגה מחדש</x:v>
      </x:c>
      <x:c r="L381" s="19" t="str">
        <x:v>מאושר</x:v>
      </x:c>
      <x:c r="M381" s="20" t="n">
        <x:f>IF(L381="מאושר",IF(K381="הכנסה שסווגה מחדש",0,G381),0)</x:f>
        <x:v>0</x:v>
      </x:c>
      <x:c r="N381" s="20" t="n">
        <x:f>IF(K381="שוטף",M381,0)</x:f>
        <x:v>0</x:v>
      </x:c>
      <x:c r="O381" s="20" t="n">
        <x:f>IF(K381="הכנסה שסווגה מחדש",-G381,0)</x:f>
        <x:v>70</x:v>
      </x:c>
      <x:c r="P381" s="11" t="str">
        <x:v>one zero</x:v>
      </x:c>
      <x:c r="Q381" s="11" t="str"/>
      <x:c r="R381" s="11" t="str">
        <x:v>לא</x:v>
      </x:c>
    </x:row>
    <x:row r="382">
      <x:c r="A382" s="14" t="n">
        <x:v>45748</x:v>
      </x:c>
      <x:c r="B382" s="11" t="str">
        <x:v>2025-04</x:v>
      </x:c>
      <x:c r="C382" s="11" t="str">
        <x:v>אפריל 25</x:v>
      </x:c>
      <x:c r="D382" s="15" t="n">
        <x:v>90</x:v>
      </x:c>
      <x:c r="E382" s="11" t="str"/>
      <x:c r="F382" s="11" t="str">
        <x:v>ריבית מחיסון</x:v>
      </x:c>
      <x:c r="G382" s="17" t="n">
        <x:v>-1567</x:v>
      </x:c>
      <x:c r="H382" s="18" t="str">
        <x:v>ריביות</x:v>
      </x:c>
      <x:c r="I382" s="19" t="str">
        <x:f>IFERROR(INDEX('מיפוי ומקורות'!$C$7:$C$33,MATCH(H382,'מיפוי ומקורות'!$B$7:$B$33,0)),"לא מסווג")</x:f>
        <x:v>זרם פיננסי</x:v>
      </x:c>
      <x:c r="J382" s="19" t="str">
        <x:f>IFERROR(INDEX('מיפוי ומקורות'!$D$7:$D$33,MATCH(H382,'מיפוי ומקורות'!$B$7:$B$33,0)),"שוטף")</x:f>
        <x:v>הכנסה שסווגה מחדש</x:v>
      </x:c>
      <x:c r="K382" s="19" t="str">
        <x:f>IF(OR(H382="ריביות",AND(H382="דירה כצנלסון",G382&lt;0,ISNUMBER(SEARCH("הכנסה",F382)))),"הכנסה שסווגה מחדש",J382)</x:f>
        <x:v>הכנסה שסווגה מחדש</x:v>
      </x:c>
      <x:c r="L382" s="19" t="str">
        <x:v>מאושר</x:v>
      </x:c>
      <x:c r="M382" s="20" t="n">
        <x:f>IF(L382="מאושר",IF(K382="הכנסה שסווגה מחדש",0,G382),0)</x:f>
        <x:v>0</x:v>
      </x:c>
      <x:c r="N382" s="20" t="n">
        <x:f>IF(K382="שוטף",M382,0)</x:f>
        <x:v>0</x:v>
      </x:c>
      <x:c r="O382" s="20" t="n">
        <x:f>IF(K382="הכנסה שסווגה מחדש",-G382,0)</x:f>
        <x:v>1567</x:v>
      </x:c>
      <x:c r="P382" s="11" t="str">
        <x:v>one zero</x:v>
      </x:c>
      <x:c r="Q382" s="11" t="str"/>
      <x:c r="R382" s="11" t="str">
        <x:v>לא</x:v>
      </x:c>
    </x:row>
    <x:row r="383">
      <x:c r="A383" s="14" t="n">
        <x:v>45778</x:v>
      </x:c>
      <x:c r="B383" s="11" t="str">
        <x:v>2025-05</x:v>
      </x:c>
      <x:c r="C383" s="11" t="str">
        <x:v>מאי 25</x:v>
      </x:c>
      <x:c r="D383" s="15" t="n">
        <x:v>2</x:v>
      </x:c>
      <x:c r="E383" s="11" t="str">
        <x:v>14</x:v>
      </x:c>
      <x:c r="F383" s="11" t="str">
        <x:v>שכר דירה</x:v>
      </x:c>
      <x:c r="G383" s="17" t="n">
        <x:v>7500</x:v>
      </x:c>
      <x:c r="H383" s="18" t="str">
        <x:v>מגורים חודשי</x:v>
      </x:c>
      <x:c r="I383" s="19" t="str">
        <x:f>IFERROR(INDEX('מיפוי ומקורות'!$C$7:$C$33,MATCH(H383,'מיפוי ומקורות'!$B$7:$B$33,0)),"לא מסווג")</x:f>
        <x:v>דיור – בית מגורים</x:v>
      </x:c>
      <x:c r="J383" s="19" t="str">
        <x:f>IFERROR(INDEX('מיפוי ומקורות'!$D$7:$D$33,MATCH(H383,'מיפוי ומקורות'!$B$7:$B$33,0)),"שוטף")</x:f>
        <x:v>שוטף</x:v>
      </x:c>
      <x:c r="K383" s="19" t="str">
        <x:f>IF(OR(H383="ריביות",AND(H383="דירה כצנלסון",G383&lt;0,ISNUMBER(SEARCH("הכנסה",F383)))),"הכנסה שסווגה מחדש",J383)</x:f>
        <x:v>שוטף</x:v>
      </x:c>
      <x:c r="L383" s="19" t="str">
        <x:v>מאושר</x:v>
      </x:c>
      <x:c r="M383" s="20" t="n">
        <x:f>IF(L383="מאושר",IF(K383="הכנסה שסווגה מחדש",0,G383),0)</x:f>
        <x:v>7500</x:v>
      </x:c>
      <x:c r="N383" s="20" t="n">
        <x:f>IF(K383="שוטף",M383,0)</x:f>
        <x:v>7500</x:v>
      </x:c>
      <x:c r="O383" s="20" t="n">
        <x:f>IF(K383="הכנסה שסווגה מחדש",-G383,0)</x:f>
        <x:v>0</x:v>
      </x:c>
      <x:c r="P383" s="11" t="str">
        <x:v>דיסקונט</x:v>
      </x:c>
      <x:c r="Q383" s="11" t="str"/>
      <x:c r="R383" s="11" t="str">
        <x:v>לא</x:v>
      </x:c>
    </x:row>
    <x:row r="384">
      <x:c r="A384" s="14" t="n">
        <x:v>45778</x:v>
      </x:c>
      <x:c r="B384" s="11" t="str">
        <x:v>2025-05</x:v>
      </x:c>
      <x:c r="C384" s="11" t="str">
        <x:v>מאי 25</x:v>
      </x:c>
      <x:c r="D384" s="15" t="n">
        <x:v>3</x:v>
      </x:c>
      <x:c r="E384" s="11" t="str">
        <x:v>10</x:v>
      </x:c>
      <x:c r="F384" s="11" t="str">
        <x:v>משכנתא</x:v>
      </x:c>
      <x:c r="G384" s="17" t="n">
        <x:v>6130</x:v>
      </x:c>
      <x:c r="H384" s="18" t="str">
        <x:v>דירה כצנלסון</x:v>
      </x:c>
      <x:c r="I384" s="19" t="str">
        <x:f>IFERROR(INDEX('מיפוי ומקורות'!$C$7:$C$33,MATCH(H384,'מיפוי ומקורות'!$B$7:$B$33,0)),"לא מסווג")</x:f>
        <x:v>נכס להשקעה</x:v>
      </x:c>
      <x:c r="J384" s="19" t="str">
        <x:f>IFERROR(INDEX('מיפוי ומקורות'!$D$7:$D$33,MATCH(H384,'מיפוי ומקורות'!$B$7:$B$33,0)),"שוטף")</x:f>
        <x:v>חריג/נכס</x:v>
      </x:c>
      <x:c r="K384" s="19" t="str">
        <x:f>IF(OR(H384="ריביות",AND(H384="דירה כצנלסון",G384&lt;0,ISNUMBER(SEARCH("הכנסה",F384)))),"הכנסה שסווגה מחדש",J384)</x:f>
        <x:v>חריג/נכס</x:v>
      </x:c>
      <x:c r="L384" s="19" t="str">
        <x:v>מאושר</x:v>
      </x:c>
      <x:c r="M384" s="20" t="n">
        <x:f>IF(L384="מאושר",IF(K384="הכנסה שסווגה מחדש",0,G384),0)</x:f>
        <x:v>6130</x:v>
      </x:c>
      <x:c r="N384" s="20" t="n">
        <x:f>IF(K384="שוטף",M384,0)</x:f>
        <x:v>0</x:v>
      </x:c>
      <x:c r="O384" s="20" t="n">
        <x:f>IF(K384="הכנסה שסווגה מחדש",-G384,0)</x:f>
        <x:v>0</x:v>
      </x:c>
      <x:c r="P384" s="11" t="str">
        <x:v>דיסקונט</x:v>
      </x:c>
      <x:c r="Q384" s="11" t="str"/>
      <x:c r="R384" s="11" t="str">
        <x:v>לא</x:v>
      </x:c>
    </x:row>
    <x:row r="385">
      <x:c r="A385" s="14" t="n">
        <x:v>45778</x:v>
      </x:c>
      <x:c r="B385" s="11" t="str">
        <x:v>2025-05</x:v>
      </x:c>
      <x:c r="C385" s="11" t="str">
        <x:v>מאי 25</x:v>
      </x:c>
      <x:c r="D385" s="15" t="n">
        <x:v>4</x:v>
      </x:c>
      <x:c r="E385" s="11" t="str">
        <x:v>9</x:v>
      </x:c>
      <x:c r="F385" s="11" t="str">
        <x:v>הכנסה משכר דירה</x:v>
      </x:c>
      <x:c r="G385" s="17" t="n">
        <x:v>-6500</x:v>
      </x:c>
      <x:c r="H385" s="18" t="str">
        <x:v>דירה כצנלסון</x:v>
      </x:c>
      <x:c r="I385" s="19" t="str">
        <x:f>IFERROR(INDEX('מיפוי ומקורות'!$C$7:$C$33,MATCH(H385,'מיפוי ומקורות'!$B$7:$B$33,0)),"לא מסווג")</x:f>
        <x:v>נכס להשקעה</x:v>
      </x:c>
      <x:c r="J385" s="19" t="str">
        <x:f>IFERROR(INDEX('מיפוי ומקורות'!$D$7:$D$33,MATCH(H385,'מיפוי ומקורות'!$B$7:$B$33,0)),"שוטף")</x:f>
        <x:v>חריג/נכס</x:v>
      </x:c>
      <x:c r="K385" s="19" t="str">
        <x:f>IF(OR(H385="ריביות",AND(H385="דירה כצנלסון",G385&lt;0,ISNUMBER(SEARCH("הכנסה",F385)))),"הכנסה שסווגה מחדש",J385)</x:f>
        <x:v>הכנסה שסווגה מחדש</x:v>
      </x:c>
      <x:c r="L385" s="19" t="str">
        <x:v>מאושר</x:v>
      </x:c>
      <x:c r="M385" s="20" t="n">
        <x:f>IF(L385="מאושר",IF(K385="הכנסה שסווגה מחדש",0,G385),0)</x:f>
        <x:v>0</x:v>
      </x:c>
      <x:c r="N385" s="20" t="n">
        <x:f>IF(K385="שוטף",M385,0)</x:f>
        <x:v>0</x:v>
      </x:c>
      <x:c r="O385" s="20" t="n">
        <x:f>IF(K385="הכנסה שסווגה מחדש",-G385,0)</x:f>
        <x:v>6500</x:v>
      </x:c>
      <x:c r="P385" s="11" t="str">
        <x:v>one zero</x:v>
      </x:c>
      <x:c r="Q385" s="11" t="str"/>
      <x:c r="R385" s="11" t="str">
        <x:v>לא</x:v>
      </x:c>
    </x:row>
    <x:row r="386">
      <x:c r="A386" s="14" t="n">
        <x:v>45778</x:v>
      </x:c>
      <x:c r="B386" s="11" t="str">
        <x:v>2025-05</x:v>
      </x:c>
      <x:c r="C386" s="11" t="str">
        <x:v>מאי 25</x:v>
      </x:c>
      <x:c r="D386" s="15" t="n">
        <x:v>5</x:v>
      </x:c>
      <x:c r="E386" s="11" t="str">
        <x:v>22</x:v>
      </x:c>
      <x:c r="F386" s="11" t="str">
        <x:v>ארנונה</x:v>
      </x:c>
      <x:c r="G386" s="17" t="n">
        <x:v>0</x:v>
      </x:c>
      <x:c r="H386" s="18" t="str">
        <x:v>מגורים צריכה</x:v>
      </x:c>
      <x:c r="I386" s="19" t="str">
        <x:f>IFERROR(INDEX('מיפוי ומקורות'!$C$7:$C$33,MATCH(H386,'מיפוי ומקורות'!$B$7:$B$33,0)),"לא מסווג")</x:f>
        <x:v>דיור – בית מגורים</x:v>
      </x:c>
      <x:c r="J386" s="19" t="str">
        <x:f>IFERROR(INDEX('מיפוי ומקורות'!$D$7:$D$33,MATCH(H386,'מיפוי ומקורות'!$B$7:$B$33,0)),"שוטף")</x:f>
        <x:v>שוטף</x:v>
      </x:c>
      <x:c r="K386" s="19" t="str">
        <x:f>IF(OR(H386="ריביות",AND(H386="דירה כצנלסון",G386&lt;0,ISNUMBER(SEARCH("הכנסה",F386)))),"הכנסה שסווגה מחדש",J386)</x:f>
        <x:v>שוטף</x:v>
      </x:c>
      <x:c r="L386" s="19" t="str">
        <x:v>מאושר</x:v>
      </x:c>
      <x:c r="M386" s="20" t="n">
        <x:f>IF(L386="מאושר",IF(K386="הכנסה שסווגה מחדש",0,G386),0)</x:f>
        <x:v>0</x:v>
      </x:c>
      <x:c r="N386" s="20" t="n">
        <x:f>IF(K386="שוטף",M386,0)</x:f>
        <x:v>0</x:v>
      </x:c>
      <x:c r="O386" s="20" t="n">
        <x:f>IF(K386="הכנסה שסווגה מחדש",-G386,0)</x:f>
        <x:v>0</x:v>
      </x:c>
      <x:c r="P386" s="11" t="str"/>
      <x:c r="Q386" s="11" t="str"/>
      <x:c r="R386" s="11" t="str">
        <x:v>לא</x:v>
      </x:c>
    </x:row>
    <x:row r="387">
      <x:c r="A387" s="14" t="n">
        <x:v>45778</x:v>
      </x:c>
      <x:c r="B387" s="11" t="str">
        <x:v>2025-05</x:v>
      </x:c>
      <x:c r="C387" s="11" t="str">
        <x:v>מאי 25</x:v>
      </x:c>
      <x:c r="D387" s="15" t="n">
        <x:v>6</x:v>
      </x:c>
      <x:c r="E387" s="11" t="str">
        <x:v>20</x:v>
      </x:c>
      <x:c r="F387" s="11" t="str">
        <x:v>חשמל</x:v>
      </x:c>
      <x:c r="G387" s="17" t="n">
        <x:v>755</x:v>
      </x:c>
      <x:c r="H387" s="18" t="str">
        <x:v>מגורים צריכה</x:v>
      </x:c>
      <x:c r="I387" s="19" t="str">
        <x:f>IFERROR(INDEX('מיפוי ומקורות'!$C$7:$C$33,MATCH(H387,'מיפוי ומקורות'!$B$7:$B$33,0)),"לא מסווג")</x:f>
        <x:v>דיור – בית מגורים</x:v>
      </x:c>
      <x:c r="J387" s="19" t="str">
        <x:f>IFERROR(INDEX('מיפוי ומקורות'!$D$7:$D$33,MATCH(H387,'מיפוי ומקורות'!$B$7:$B$33,0)),"שוטף")</x:f>
        <x:v>שוטף</x:v>
      </x:c>
      <x:c r="K387" s="19" t="str">
        <x:f>IF(OR(H387="ריביות",AND(H387="דירה כצנלסון",G387&lt;0,ISNUMBER(SEARCH("הכנסה",F387)))),"הכנסה שסווגה מחדש",J387)</x:f>
        <x:v>שוטף</x:v>
      </x:c>
      <x:c r="L387" s="19" t="str">
        <x:v>מאושר</x:v>
      </x:c>
      <x:c r="M387" s="20" t="n">
        <x:f>IF(L387="מאושר",IF(K387="הכנסה שסווגה מחדש",0,G387),0)</x:f>
        <x:v>755</x:v>
      </x:c>
      <x:c r="N387" s="20" t="n">
        <x:f>IF(K387="שוטף",M387,0)</x:f>
        <x:v>755</x:v>
      </x:c>
      <x:c r="O387" s="20" t="n">
        <x:f>IF(K387="הכנסה שסווגה מחדש",-G387,0)</x:f>
        <x:v>0</x:v>
      </x:c>
      <x:c r="P387" s="11" t="str">
        <x:v>אמקס זיו</x:v>
      </x:c>
      <x:c r="Q387" s="11" t="str"/>
      <x:c r="R387" s="11" t="str">
        <x:v>לא</x:v>
      </x:c>
    </x:row>
    <x:row r="388">
      <x:c r="A388" s="14" t="n">
        <x:v>45778</x:v>
      </x:c>
      <x:c r="B388" s="11" t="str">
        <x:v>2025-05</x:v>
      </x:c>
      <x:c r="C388" s="11" t="str">
        <x:v>מאי 25</x:v>
      </x:c>
      <x:c r="D388" s="15" t="n">
        <x:v>7</x:v>
      </x:c>
      <x:c r="E388" s="11" t="str">
        <x:v>6</x:v>
      </x:c>
      <x:c r="F388" s="11" t="str">
        <x:v>מים</x:v>
      </x:c>
      <x:c r="G388" s="17" t="n">
        <x:v>123</x:v>
      </x:c>
      <x:c r="H388" s="18" t="str">
        <x:v>מגורים צריכה</x:v>
      </x:c>
      <x:c r="I388" s="19" t="str">
        <x:f>IFERROR(INDEX('מיפוי ומקורות'!$C$7:$C$33,MATCH(H388,'מיפוי ומקורות'!$B$7:$B$33,0)),"לא מסווג")</x:f>
        <x:v>דיור – בית מגורים</x:v>
      </x:c>
      <x:c r="J388" s="19" t="str">
        <x:f>IFERROR(INDEX('מיפוי ומקורות'!$D$7:$D$33,MATCH(H388,'מיפוי ומקורות'!$B$7:$B$33,0)),"שוטף")</x:f>
        <x:v>שוטף</x:v>
      </x:c>
      <x:c r="K388" s="19" t="str">
        <x:f>IF(OR(H388="ריביות",AND(H388="דירה כצנלסון",G388&lt;0,ISNUMBER(SEARCH("הכנסה",F388)))),"הכנסה שסווגה מחדש",J388)</x:f>
        <x:v>שוטף</x:v>
      </x:c>
      <x:c r="L388" s="19" t="str">
        <x:v>מאושר</x:v>
      </x:c>
      <x:c r="M388" s="20" t="n">
        <x:f>IF(L388="מאושר",IF(K388="הכנסה שסווגה מחדש",0,G388),0)</x:f>
        <x:v>123</x:v>
      </x:c>
      <x:c r="N388" s="20" t="n">
        <x:f>IF(K388="שוטף",M388,0)</x:f>
        <x:v>123</x:v>
      </x:c>
      <x:c r="O388" s="20" t="n">
        <x:f>IF(K388="הכנסה שסווגה מחדש",-G388,0)</x:f>
        <x:v>0</x:v>
      </x:c>
      <x:c r="P388" s="11" t="str">
        <x:v>one zero עינור</x:v>
      </x:c>
      <x:c r="Q388" s="11" t="str"/>
      <x:c r="R388" s="11" t="str">
        <x:v>לא</x:v>
      </x:c>
    </x:row>
    <x:row r="389">
      <x:c r="A389" s="14" t="n">
        <x:v>45778</x:v>
      </x:c>
      <x:c r="B389" s="11" t="str">
        <x:v>2025-05</x:v>
      </x:c>
      <x:c r="C389" s="11" t="str">
        <x:v>מאי 25</x:v>
      </x:c>
      <x:c r="D389" s="15" t="n">
        <x:v>8</x:v>
      </x:c>
      <x:c r="E389" s="11" t="str"/>
      <x:c r="F389" s="11" t="str">
        <x:v>ועד בית</x:v>
      </x:c>
      <x:c r="G389" s="17" t="n">
        <x:v>0</x:v>
      </x:c>
      <x:c r="H389" s="18" t="str">
        <x:v>מגורים צריכה</x:v>
      </x:c>
      <x:c r="I389" s="19" t="str">
        <x:f>IFERROR(INDEX('מיפוי ומקורות'!$C$7:$C$33,MATCH(H389,'מיפוי ומקורות'!$B$7:$B$33,0)),"לא מסווג")</x:f>
        <x:v>דיור – בית מגורים</x:v>
      </x:c>
      <x:c r="J389" s="19" t="str">
        <x:f>IFERROR(INDEX('מיפוי ומקורות'!$D$7:$D$33,MATCH(H389,'מיפוי ומקורות'!$B$7:$B$33,0)),"שוטף")</x:f>
        <x:v>שוטף</x:v>
      </x:c>
      <x:c r="K389" s="19" t="str">
        <x:f>IF(OR(H389="ריביות",AND(H389="דירה כצנלסון",G389&lt;0,ISNUMBER(SEARCH("הכנסה",F389)))),"הכנסה שסווגה מחדש",J389)</x:f>
        <x:v>שוטף</x:v>
      </x:c>
      <x:c r="L389" s="19" t="str">
        <x:v>מאושר</x:v>
      </x:c>
      <x:c r="M389" s="20" t="n">
        <x:f>IF(L389="מאושר",IF(K389="הכנסה שסווגה מחדש",0,G389),0)</x:f>
        <x:v>0</x:v>
      </x:c>
      <x:c r="N389" s="20" t="n">
        <x:f>IF(K389="שוטף",M389,0)</x:f>
        <x:v>0</x:v>
      </x:c>
      <x:c r="O389" s="20" t="n">
        <x:f>IF(K389="הכנסה שסווגה מחדש",-G389,0)</x:f>
        <x:v>0</x:v>
      </x:c>
      <x:c r="P389" s="11" t="str"/>
      <x:c r="Q389" s="11" t="str"/>
      <x:c r="R389" s="11" t="str">
        <x:v>לא</x:v>
      </x:c>
    </x:row>
    <x:row r="390">
      <x:c r="A390" s="14" t="n">
        <x:v>45778</x:v>
      </x:c>
      <x:c r="B390" s="11" t="str">
        <x:v>2025-05</x:v>
      </x:c>
      <x:c r="C390" s="11" t="str">
        <x:v>מאי 25</x:v>
      </x:c>
      <x:c r="D390" s="15" t="n">
        <x:v>9</x:v>
      </x:c>
      <x:c r="E390" s="11" t="str">
        <x:v>8</x:v>
      </x:c>
      <x:c r="F390" s="11" t="str">
        <x:v>גז</x:v>
      </x:c>
      <x:c r="G390" s="17" t="n">
        <x:v>48</x:v>
      </x:c>
      <x:c r="H390" s="18" t="str">
        <x:v>מגורים צריכה</x:v>
      </x:c>
      <x:c r="I390" s="19" t="str">
        <x:f>IFERROR(INDEX('מיפוי ומקורות'!$C$7:$C$33,MATCH(H390,'מיפוי ומקורות'!$B$7:$B$33,0)),"לא מסווג")</x:f>
        <x:v>דיור – בית מגורים</x:v>
      </x:c>
      <x:c r="J390" s="19" t="str">
        <x:f>IFERROR(INDEX('מיפוי ומקורות'!$D$7:$D$33,MATCH(H390,'מיפוי ומקורות'!$B$7:$B$33,0)),"שוטף")</x:f>
        <x:v>שוטף</x:v>
      </x:c>
      <x:c r="K390" s="19" t="str">
        <x:f>IF(OR(H390="ריביות",AND(H390="דירה כצנלסון",G390&lt;0,ISNUMBER(SEARCH("הכנסה",F390)))),"הכנסה שסווגה מחדש",J390)</x:f>
        <x:v>שוטף</x:v>
      </x:c>
      <x:c r="L390" s="19" t="str">
        <x:v>מאושר</x:v>
      </x:c>
      <x:c r="M390" s="20" t="n">
        <x:f>IF(L390="מאושר",IF(K390="הכנסה שסווגה מחדש",0,G390),0)</x:f>
        <x:v>48</x:v>
      </x:c>
      <x:c r="N390" s="20" t="n">
        <x:f>IF(K390="שוטף",M390,0)</x:f>
        <x:v>48</x:v>
      </x:c>
      <x:c r="O390" s="20" t="n">
        <x:f>IF(K390="הכנסה שסווגה מחדש",-G390,0)</x:f>
        <x:v>0</x:v>
      </x:c>
      <x:c r="P390" s="11" t="str">
        <x:v>אמקס זיו</x:v>
      </x:c>
      <x:c r="Q390" s="11" t="str"/>
      <x:c r="R390" s="11" t="str">
        <x:v>לא</x:v>
      </x:c>
    </x:row>
    <x:row r="391">
      <x:c r="A391" s="14" t="n">
        <x:v>45778</x:v>
      </x:c>
      <x:c r="B391" s="11" t="str">
        <x:v>2025-05</x:v>
      </x:c>
      <x:c r="C391" s="11" t="str">
        <x:v>מאי 25</x:v>
      </x:c>
      <x:c r="D391" s="15" t="n">
        <x:v>10</x:v>
      </x:c>
      <x:c r="E391" s="11" t="str">
        <x:v>12</x:v>
      </x:c>
      <x:c r="F391" s="11" t="str">
        <x:v>סלולר + אינטרנט</x:v>
      </x:c>
      <x:c r="G391" s="17" t="n">
        <x:v>170</x:v>
      </x:c>
      <x:c r="H391" s="18" t="str">
        <x:v>מגורים חודשי</x:v>
      </x:c>
      <x:c r="I391" s="19" t="str">
        <x:f>IFERROR(INDEX('מיפוי ומקורות'!$C$7:$C$33,MATCH(H391,'מיפוי ומקורות'!$B$7:$B$33,0)),"לא מסווג")</x:f>
        <x:v>דיור – בית מגורים</x:v>
      </x:c>
      <x:c r="J391" s="19" t="str">
        <x:f>IFERROR(INDEX('מיפוי ומקורות'!$D$7:$D$33,MATCH(H391,'מיפוי ומקורות'!$B$7:$B$33,0)),"שוטף")</x:f>
        <x:v>שוטף</x:v>
      </x:c>
      <x:c r="K391" s="19" t="str">
        <x:f>IF(OR(H391="ריביות",AND(H391="דירה כצנלסון",G391&lt;0,ISNUMBER(SEARCH("הכנסה",F391)))),"הכנסה שסווגה מחדש",J391)</x:f>
        <x:v>שוטף</x:v>
      </x:c>
      <x:c r="L391" s="19" t="str">
        <x:v>מאושר</x:v>
      </x:c>
      <x:c r="M391" s="20" t="n">
        <x:f>IF(L391="מאושר",IF(K391="הכנסה שסווגה מחדש",0,G391),0)</x:f>
        <x:v>170</x:v>
      </x:c>
      <x:c r="N391" s="20" t="n">
        <x:f>IF(K391="שוטף",M391,0)</x:f>
        <x:v>170</x:v>
      </x:c>
      <x:c r="O391" s="20" t="n">
        <x:f>IF(K391="הכנסה שסווגה מחדש",-G391,0)</x:f>
        <x:v>0</x:v>
      </x:c>
      <x:c r="P391" s="11" t="str">
        <x:v>אמקס זיו</x:v>
      </x:c>
      <x:c r="Q391" s="11" t="str"/>
      <x:c r="R391" s="11" t="str">
        <x:v>לא</x:v>
      </x:c>
    </x:row>
    <x:row r="392">
      <x:c r="A392" s="14" t="n">
        <x:v>45778</x:v>
      </x:c>
      <x:c r="B392" s="11" t="str">
        <x:v>2025-05</x:v>
      </x:c>
      <x:c r="C392" s="11" t="str">
        <x:v>מאי 25</x:v>
      </x:c>
      <x:c r="D392" s="15" t="n">
        <x:v>11</x:v>
      </x:c>
      <x:c r="E392" s="11" t="str">
        <x:v>28</x:v>
      </x:c>
      <x:c r="F392" s="11" t="str">
        <x:v>ביטוח מבנה</x:v>
      </x:c>
      <x:c r="G392" s="17" t="n">
        <x:v>87</x:v>
      </x:c>
      <x:c r="H392" s="18" t="str">
        <x:v>דירה כצנלסון</x:v>
      </x:c>
      <x:c r="I392" s="19" t="str">
        <x:f>IFERROR(INDEX('מיפוי ומקורות'!$C$7:$C$33,MATCH(H392,'מיפוי ומקורות'!$B$7:$B$33,0)),"לא מסווג")</x:f>
        <x:v>נכס להשקעה</x:v>
      </x:c>
      <x:c r="J392" s="19" t="str">
        <x:f>IFERROR(INDEX('מיפוי ומקורות'!$D$7:$D$33,MATCH(H392,'מיפוי ומקורות'!$B$7:$B$33,0)),"שוטף")</x:f>
        <x:v>חריג/נכס</x:v>
      </x:c>
      <x:c r="K392" s="19" t="str">
        <x:f>IF(OR(H392="ריביות",AND(H392="דירה כצנלסון",G392&lt;0,ISNUMBER(SEARCH("הכנסה",F392)))),"הכנסה שסווגה מחדש",J392)</x:f>
        <x:v>חריג/נכס</x:v>
      </x:c>
      <x:c r="L392" s="19" t="str">
        <x:v>מאושר</x:v>
      </x:c>
      <x:c r="M392" s="20" t="n">
        <x:f>IF(L392="מאושר",IF(K392="הכנסה שסווגה מחדש",0,G392),0)</x:f>
        <x:v>87</x:v>
      </x:c>
      <x:c r="N392" s="20" t="n">
        <x:f>IF(K392="שוטף",M392,0)</x:f>
        <x:v>0</x:v>
      </x:c>
      <x:c r="O392" s="20" t="n">
        <x:f>IF(K392="הכנסה שסווגה מחדש",-G392,0)</x:f>
        <x:v>0</x:v>
      </x:c>
      <x:c r="P392" s="11" t="str">
        <x:v>אמקס זיו</x:v>
      </x:c>
      <x:c r="Q392" s="11" t="str"/>
      <x:c r="R392" s="11" t="str">
        <x:v>לא</x:v>
      </x:c>
    </x:row>
    <x:row r="393">
      <x:c r="A393" s="14" t="n">
        <x:v>45778</x:v>
      </x:c>
      <x:c r="B393" s="11" t="str">
        <x:v>2025-05</x:v>
      </x:c>
      <x:c r="C393" s="11" t="str">
        <x:v>מאי 25</x:v>
      </x:c>
      <x:c r="D393" s="15" t="n">
        <x:v>12</x:v>
      </x:c>
      <x:c r="E393" s="11" t="str">
        <x:v>28</x:v>
      </x:c>
      <x:c r="F393" s="11" t="str">
        <x:v>ביטוח חיים</x:v>
      </x:c>
      <x:c r="G393" s="17" t="n">
        <x:v>30</x:v>
      </x:c>
      <x:c r="H393" s="18" t="str">
        <x:v>דירה כצנלסון</x:v>
      </x:c>
      <x:c r="I393" s="19" t="str">
        <x:f>IFERROR(INDEX('מיפוי ומקורות'!$C$7:$C$33,MATCH(H393,'מיפוי ומקורות'!$B$7:$B$33,0)),"לא מסווג")</x:f>
        <x:v>נכס להשקעה</x:v>
      </x:c>
      <x:c r="J393" s="19" t="str">
        <x:f>IFERROR(INDEX('מיפוי ומקורות'!$D$7:$D$33,MATCH(H393,'מיפוי ומקורות'!$B$7:$B$33,0)),"שוטף")</x:f>
        <x:v>חריג/נכס</x:v>
      </x:c>
      <x:c r="K393" s="19" t="str">
        <x:f>IF(OR(H393="ריביות",AND(H393="דירה כצנלסון",G393&lt;0,ISNUMBER(SEARCH("הכנסה",F393)))),"הכנסה שסווגה מחדש",J393)</x:f>
        <x:v>חריג/נכס</x:v>
      </x:c>
      <x:c r="L393" s="19" t="str">
        <x:v>מאושר</x:v>
      </x:c>
      <x:c r="M393" s="20" t="n">
        <x:f>IF(L393="מאושר",IF(K393="הכנסה שסווגה מחדש",0,G393),0)</x:f>
        <x:v>30</x:v>
      </x:c>
      <x:c r="N393" s="20" t="n">
        <x:f>IF(K393="שוטף",M393,0)</x:f>
        <x:v>0</x:v>
      </x:c>
      <x:c r="O393" s="20" t="n">
        <x:f>IF(K393="הכנסה שסווגה מחדש",-G393,0)</x:f>
        <x:v>0</x:v>
      </x:c>
      <x:c r="P393" s="11" t="str">
        <x:v>אמקס זיו</x:v>
      </x:c>
      <x:c r="Q393" s="11" t="str"/>
      <x:c r="R393" s="11" t="str">
        <x:v>לא</x:v>
      </x:c>
    </x:row>
    <x:row r="394">
      <x:c r="A394" s="14" t="n">
        <x:v>45778</x:v>
      </x:c>
      <x:c r="B394" s="11" t="str">
        <x:v>2025-05</x:v>
      </x:c>
      <x:c r="C394" s="11" t="str">
        <x:v>מאי 25</x:v>
      </x:c>
      <x:c r="D394" s="15" t="n">
        <x:v>13</x:v>
      </x:c>
      <x:c r="E394" s="11" t="str"/>
      <x:c r="F394" s="11" t="str">
        <x:v>מנקה</x:v>
      </x:c>
      <x:c r="G394" s="17" t="n">
        <x:v>230</x:v>
      </x:c>
      <x:c r="H394" s="18" t="str">
        <x:v>מגורים צריכה</x:v>
      </x:c>
      <x:c r="I394" s="19" t="str">
        <x:f>IFERROR(INDEX('מיפוי ומקורות'!$C$7:$C$33,MATCH(H394,'מיפוי ומקורות'!$B$7:$B$33,0)),"לא מסווג")</x:f>
        <x:v>דיור – בית מגורים</x:v>
      </x:c>
      <x:c r="J394" s="19" t="str">
        <x:f>IFERROR(INDEX('מיפוי ומקורות'!$D$7:$D$33,MATCH(H394,'מיפוי ומקורות'!$B$7:$B$33,0)),"שוטף")</x:f>
        <x:v>שוטף</x:v>
      </x:c>
      <x:c r="K394" s="19" t="str">
        <x:f>IF(OR(H394="ריביות",AND(H394="דירה כצנלסון",G394&lt;0,ISNUMBER(SEARCH("הכנסה",F394)))),"הכנסה שסווגה מחדש",J394)</x:f>
        <x:v>שוטף</x:v>
      </x:c>
      <x:c r="L394" s="19" t="str">
        <x:v>מאושר</x:v>
      </x:c>
      <x:c r="M394" s="20" t="n">
        <x:f>IF(L394="מאושר",IF(K394="הכנסה שסווגה מחדש",0,G394),0)</x:f>
        <x:v>230</x:v>
      </x:c>
      <x:c r="N394" s="20" t="n">
        <x:f>IF(K394="שוטף",M394,0)</x:f>
        <x:v>230</x:v>
      </x:c>
      <x:c r="O394" s="20" t="n">
        <x:f>IF(K394="הכנסה שסווגה מחדש",-G394,0)</x:f>
        <x:v>0</x:v>
      </x:c>
      <x:c r="P394" s="11" t="str">
        <x:v>מזומן</x:v>
      </x:c>
      <x:c r="Q394" s="11" t="str"/>
      <x:c r="R394" s="11" t="str">
        <x:v>לא</x:v>
      </x:c>
    </x:row>
    <x:row r="395">
      <x:c r="A395" s="14" t="n">
        <x:v>45778</x:v>
      </x:c>
      <x:c r="B395" s="11" t="str">
        <x:v>2025-05</x:v>
      </x:c>
      <x:c r="C395" s="11" t="str">
        <x:v>מאי 25</x:v>
      </x:c>
      <x:c r="D395" s="15" t="n">
        <x:v>14</x:v>
      </x:c>
      <x:c r="E395" s="11" t="str">
        <x:v>11</x:v>
      </x:c>
      <x:c r="F395" s="11" t="str">
        <x:v>מאפרת</x:v>
      </x:c>
      <x:c r="G395" s="17" t="n">
        <x:v>2530</x:v>
      </x:c>
      <x:c r="H395" s="18" t="str">
        <x:v>חתונה</x:v>
      </x:c>
      <x:c r="I395" s="19" t="str">
        <x:f>IFERROR(INDEX('מיפוי ומקורות'!$C$7:$C$33,MATCH(H395,'מיפוי ומקורות'!$B$7:$B$33,0)),"לא מסווג")</x:f>
        <x:v>חתונה</x:v>
      </x:c>
      <x:c r="J395" s="19" t="str">
        <x:f>IFERROR(INDEX('מיפוי ומקורות'!$D$7:$D$33,MATCH(H395,'מיפוי ומקורות'!$B$7:$B$33,0)),"שוטף")</x:f>
        <x:v>חריג</x:v>
      </x:c>
      <x:c r="K395" s="19" t="str">
        <x:f>IF(OR(H395="ריביות",AND(H395="דירה כצנלסון",G395&lt;0,ISNUMBER(SEARCH("הכנסה",F395)))),"הכנסה שסווגה מחדש",J395)</x:f>
        <x:v>חריג</x:v>
      </x:c>
      <x:c r="L395" s="19" t="str">
        <x:v>מאושר</x:v>
      </x:c>
      <x:c r="M395" s="20" t="n">
        <x:f>IF(L395="מאושר",IF(K395="הכנסה שסווגה מחדש",0,G395),0)</x:f>
        <x:v>2530</x:v>
      </x:c>
      <x:c r="N395" s="20" t="n">
        <x:f>IF(K395="שוטף",M395,0)</x:f>
        <x:v>0</x:v>
      </x:c>
      <x:c r="O395" s="20" t="n">
        <x:f>IF(K395="הכנסה שסווגה מחדש",-G395,0)</x:f>
        <x:v>0</x:v>
      </x:c>
      <x:c r="P395" s="11" t="str">
        <x:v>דיסקונט</x:v>
      </x:c>
      <x:c r="Q395" s="11" t="str"/>
      <x:c r="R395" s="11" t="str">
        <x:v>לא</x:v>
      </x:c>
    </x:row>
    <x:row r="396">
      <x:c r="A396" s="14" t="n">
        <x:v>45778</x:v>
      </x:c>
      <x:c r="B396" s="11" t="str">
        <x:v>2025-05</x:v>
      </x:c>
      <x:c r="C396" s="11" t="str">
        <x:v>מאי 25</x:v>
      </x:c>
      <x:c r="D396" s="15" t="n">
        <x:v>15</x:v>
      </x:c>
      <x:c r="E396" s="11" t="str">
        <x:v>11</x:v>
      </x:c>
      <x:c r="F396" s="11" t="str">
        <x:v>חלי</x:v>
      </x:c>
      <x:c r="G396" s="17" t="n">
        <x:v>32471</x:v>
      </x:c>
      <x:c r="H396" s="18" t="str">
        <x:v>חתונה</x:v>
      </x:c>
      <x:c r="I396" s="19" t="str">
        <x:f>IFERROR(INDEX('מיפוי ומקורות'!$C$7:$C$33,MATCH(H396,'מיפוי ומקורות'!$B$7:$B$33,0)),"לא מסווג")</x:f>
        <x:v>חתונה</x:v>
      </x:c>
      <x:c r="J396" s="19" t="str">
        <x:f>IFERROR(INDEX('מיפוי ומקורות'!$D$7:$D$33,MATCH(H396,'מיפוי ומקורות'!$B$7:$B$33,0)),"שוטף")</x:f>
        <x:v>חריג</x:v>
      </x:c>
      <x:c r="K396" s="19" t="str">
        <x:f>IF(OR(H396="ריביות",AND(H396="דירה כצנלסון",G396&lt;0,ISNUMBER(SEARCH("הכנסה",F396)))),"הכנסה שסווגה מחדש",J396)</x:f>
        <x:v>חריג</x:v>
      </x:c>
      <x:c r="L396" s="19" t="str">
        <x:v>מאושר</x:v>
      </x:c>
      <x:c r="M396" s="20" t="n">
        <x:f>IF(L396="מאושר",IF(K396="הכנסה שסווגה מחדש",0,G396),0)</x:f>
        <x:v>32471</x:v>
      </x:c>
      <x:c r="N396" s="20" t="n">
        <x:f>IF(K396="שוטף",M396,0)</x:f>
        <x:v>0</x:v>
      </x:c>
      <x:c r="O396" s="20" t="n">
        <x:f>IF(K396="הכנסה שסווגה מחדש",-G396,0)</x:f>
        <x:v>0</x:v>
      </x:c>
      <x:c r="P396" s="11" t="str">
        <x:v>one zero</x:v>
      </x:c>
      <x:c r="Q396" s="11" t="str"/>
      <x:c r="R396" s="11" t="str">
        <x:v>לא</x:v>
      </x:c>
    </x:row>
    <x:row r="397">
      <x:c r="A397" s="14" t="n">
        <x:v>45778</x:v>
      </x:c>
      <x:c r="B397" s="11" t="str">
        <x:v>2025-05</x:v>
      </x:c>
      <x:c r="C397" s="11" t="str">
        <x:v>מאי 25</x:v>
      </x:c>
      <x:c r="D397" s="15" t="n">
        <x:v>16</x:v>
      </x:c>
      <x:c r="E397" s="11" t="str">
        <x:v>11</x:v>
      </x:c>
      <x:c r="F397" s="11" t="str">
        <x:v>צלם</x:v>
      </x:c>
      <x:c r="G397" s="17" t="n">
        <x:v>5000</x:v>
      </x:c>
      <x:c r="H397" s="18" t="str">
        <x:v>חתונה</x:v>
      </x:c>
      <x:c r="I397" s="19" t="str">
        <x:f>IFERROR(INDEX('מיפוי ומקורות'!$C$7:$C$33,MATCH(H397,'מיפוי ומקורות'!$B$7:$B$33,0)),"לא מסווג")</x:f>
        <x:v>חתונה</x:v>
      </x:c>
      <x:c r="J397" s="19" t="str">
        <x:f>IFERROR(INDEX('מיפוי ומקורות'!$D$7:$D$33,MATCH(H397,'מיפוי ומקורות'!$B$7:$B$33,0)),"שוטף")</x:f>
        <x:v>חריג</x:v>
      </x:c>
      <x:c r="K397" s="19" t="str">
        <x:f>IF(OR(H397="ריביות",AND(H397="דירה כצנלסון",G397&lt;0,ISNUMBER(SEARCH("הכנסה",F397)))),"הכנסה שסווגה מחדש",J397)</x:f>
        <x:v>חריג</x:v>
      </x:c>
      <x:c r="L397" s="19" t="str">
        <x:v>מאושר</x:v>
      </x:c>
      <x:c r="M397" s="20" t="n">
        <x:f>IF(L397="מאושר",IF(K397="הכנסה שסווגה מחדש",0,G397),0)</x:f>
        <x:v>5000</x:v>
      </x:c>
      <x:c r="N397" s="20" t="n">
        <x:f>IF(K397="שוטף",M397,0)</x:f>
        <x:v>0</x:v>
      </x:c>
      <x:c r="O397" s="20" t="n">
        <x:f>IF(K397="הכנסה שסווגה מחדש",-G397,0)</x:f>
        <x:v>0</x:v>
      </x:c>
      <x:c r="P397" s="11" t="str">
        <x:v>one zero</x:v>
      </x:c>
      <x:c r="Q397" s="11" t="str"/>
      <x:c r="R397" s="11" t="str">
        <x:v>לא</x:v>
      </x:c>
    </x:row>
    <x:row r="398">
      <x:c r="A398" s="14" t="n">
        <x:v>45778</x:v>
      </x:c>
      <x:c r="B398" s="11" t="str">
        <x:v>2025-05</x:v>
      </x:c>
      <x:c r="C398" s="11" t="str">
        <x:v>מאי 25</x:v>
      </x:c>
      <x:c r="D398" s="15" t="n">
        <x:v>17</x:v>
      </x:c>
      <x:c r="E398" s="11" t="str">
        <x:v>13</x:v>
      </x:c>
      <x:c r="F398" s="11" t="str">
        <x:v>שיין</x:v>
      </x:c>
      <x:c r="G398" s="17" t="n">
        <x:v>-341</x:v>
      </x:c>
      <x:c r="H398" s="18" t="str">
        <x:v>אופנה</x:v>
      </x:c>
      <x:c r="I398" s="19" t="str">
        <x:f>IFERROR(INDEX('מיפוי ומקורות'!$C$7:$C$33,MATCH(H398,'מיפוי ומקורות'!$B$7:$B$33,0)),"לא מסווג")</x:f>
        <x:v>אופנה</x:v>
      </x:c>
      <x:c r="J398" s="19" t="str">
        <x:f>IFERROR(INDEX('מיפוי ומקורות'!$D$7:$D$33,MATCH(H398,'מיפוי ומקורות'!$B$7:$B$33,0)),"שוטף")</x:f>
        <x:v>שוטף</x:v>
      </x:c>
      <x:c r="K398" s="19" t="str">
        <x:f>IF(OR(H398="ריביות",AND(H398="דירה כצנלסון",G398&lt;0,ISNUMBER(SEARCH("הכנסה",F398)))),"הכנסה שסווגה מחדש",J398)</x:f>
        <x:v>שוטף</x:v>
      </x:c>
      <x:c r="L398" s="19" t="str">
        <x:v>מאושר</x:v>
      </x:c>
      <x:c r="M398" s="20" t="n">
        <x:f>IF(L398="מאושר",IF(K398="הכנסה שסווגה מחדש",0,G398),0)</x:f>
        <x:v>-341</x:v>
      </x:c>
      <x:c r="N398" s="20" t="n">
        <x:f>IF(K398="שוטף",M398,0)</x:f>
        <x:v>-341</x:v>
      </x:c>
      <x:c r="O398" s="20" t="n">
        <x:f>IF(K398="הכנסה שסווגה מחדש",-G398,0)</x:f>
        <x:v>0</x:v>
      </x:c>
      <x:c r="P398" s="11" t="str">
        <x:v>one zero</x:v>
      </x:c>
      <x:c r="Q398" s="11" t="str"/>
      <x:c r="R398" s="11" t="str">
        <x:v>לא</x:v>
      </x:c>
    </x:row>
    <x:row r="399">
      <x:c r="A399" s="14" t="n">
        <x:v>45778</x:v>
      </x:c>
      <x:c r="B399" s="11" t="str">
        <x:v>2025-05</x:v>
      </x:c>
      <x:c r="C399" s="11" t="str">
        <x:v>מאי 25</x:v>
      </x:c>
      <x:c r="D399" s="15" t="n">
        <x:v>18</x:v>
      </x:c>
      <x:c r="E399" s="11" t="str">
        <x:v>4</x:v>
      </x:c>
      <x:c r="F399" s="11" t="str">
        <x:v>סושי</x:v>
      </x:c>
      <x:c r="G399" s="17" t="n">
        <x:v>778</x:v>
      </x:c>
      <x:c r="H399" s="18" t="str">
        <x:v>חתונה</x:v>
      </x:c>
      <x:c r="I399" s="19" t="str">
        <x:f>IFERROR(INDEX('מיפוי ומקורות'!$C$7:$C$33,MATCH(H399,'מיפוי ומקורות'!$B$7:$B$33,0)),"לא מסווג")</x:f>
        <x:v>חתונה</x:v>
      </x:c>
      <x:c r="J399" s="19" t="str">
        <x:f>IFERROR(INDEX('מיפוי ומקורות'!$D$7:$D$33,MATCH(H399,'מיפוי ומקורות'!$B$7:$B$33,0)),"שוטף")</x:f>
        <x:v>חריג</x:v>
      </x:c>
      <x:c r="K399" s="19" t="str">
        <x:f>IF(OR(H399="ריביות",AND(H399="דירה כצנלסון",G399&lt;0,ISNUMBER(SEARCH("הכנסה",F399)))),"הכנסה שסווגה מחדש",J399)</x:f>
        <x:v>חריג</x:v>
      </x:c>
      <x:c r="L399" s="19" t="str">
        <x:v>מאושר</x:v>
      </x:c>
      <x:c r="M399" s="20" t="n">
        <x:f>IF(L399="מאושר",IF(K399="הכנסה שסווגה מחדש",0,G399),0)</x:f>
        <x:v>778</x:v>
      </x:c>
      <x:c r="N399" s="20" t="n">
        <x:f>IF(K399="שוטף",M399,0)</x:f>
        <x:v>0</x:v>
      </x:c>
      <x:c r="O399" s="20" t="n">
        <x:f>IF(K399="הכנסה שסווגה מחדש",-G399,0)</x:f>
        <x:v>0</x:v>
      </x:c>
      <x:c r="P399" s="11" t="str">
        <x:v>one zero עינור</x:v>
      </x:c>
      <x:c r="Q399" s="11" t="str"/>
      <x:c r="R399" s="11" t="str">
        <x:v>לא</x:v>
      </x:c>
    </x:row>
    <x:row r="400">
      <x:c r="A400" s="14" t="n">
        <x:v>45778</x:v>
      </x:c>
      <x:c r="B400" s="11" t="str">
        <x:v>2025-05</x:v>
      </x:c>
      <x:c r="C400" s="11" t="str">
        <x:v>מאי 25</x:v>
      </x:c>
      <x:c r="D400" s="15" t="n">
        <x:v>19</x:v>
      </x:c>
      <x:c r="E400" s="11" t="str"/>
      <x:c r="F400" s="11" t="str">
        <x:v>סישל כרטיס עינור</x:v>
      </x:c>
      <x:c r="G400" s="17" t="n">
        <x:v>422</x:v>
      </x:c>
      <x:c r="H400" s="18" t="str">
        <x:v>חתונה</x:v>
      </x:c>
      <x:c r="I400" s="19" t="str">
        <x:f>IFERROR(INDEX('מיפוי ומקורות'!$C$7:$C$33,MATCH(H400,'מיפוי ומקורות'!$B$7:$B$33,0)),"לא מסווג")</x:f>
        <x:v>חתונה</x:v>
      </x:c>
      <x:c r="J400" s="19" t="str">
        <x:f>IFERROR(INDEX('מיפוי ומקורות'!$D$7:$D$33,MATCH(H400,'מיפוי ומקורות'!$B$7:$B$33,0)),"שוטף")</x:f>
        <x:v>חריג</x:v>
      </x:c>
      <x:c r="K400" s="19" t="str">
        <x:f>IF(OR(H400="ריביות",AND(H400="דירה כצנלסון",G400&lt;0,ISNUMBER(SEARCH("הכנסה",F400)))),"הכנסה שסווגה מחדש",J400)</x:f>
        <x:v>חריג</x:v>
      </x:c>
      <x:c r="L400" s="19" t="str">
        <x:v>מאושר</x:v>
      </x:c>
      <x:c r="M400" s="20" t="n">
        <x:f>IF(L400="מאושר",IF(K400="הכנסה שסווגה מחדש",0,G400),0)</x:f>
        <x:v>422</x:v>
      </x:c>
      <x:c r="N400" s="20" t="n">
        <x:f>IF(K400="שוטף",M400,0)</x:f>
        <x:v>0</x:v>
      </x:c>
      <x:c r="O400" s="20" t="n">
        <x:f>IF(K400="הכנסה שסווגה מחדש",-G400,0)</x:f>
        <x:v>0</x:v>
      </x:c>
      <x:c r="P400" s="11" t="str">
        <x:v>one zero עינור</x:v>
      </x:c>
      <x:c r="Q400" s="11" t="str"/>
      <x:c r="R400" s="11" t="str">
        <x:v>לא</x:v>
      </x:c>
    </x:row>
    <x:row r="401">
      <x:c r="A401" s="14" t="n">
        <x:v>45778</x:v>
      </x:c>
      <x:c r="B401" s="11" t="str">
        <x:v>2025-05</x:v>
      </x:c>
      <x:c r="C401" s="11" t="str">
        <x:v>מאי 25</x:v>
      </x:c>
      <x:c r="D401" s="15" t="n">
        <x:v>20</x:v>
      </x:c>
      <x:c r="E401" s="11" t="str">
        <x:v>22</x:v>
      </x:c>
      <x:c r="F401" s="11" t="str">
        <x:v>שיין</x:v>
      </x:c>
      <x:c r="G401" s="17" t="n">
        <x:v>477</x:v>
      </x:c>
      <x:c r="H401" s="18" t="str">
        <x:v>אופנה</x:v>
      </x:c>
      <x:c r="I401" s="19" t="str">
        <x:f>IFERROR(INDEX('מיפוי ומקורות'!$C$7:$C$33,MATCH(H401,'מיפוי ומקורות'!$B$7:$B$33,0)),"לא מסווג")</x:f>
        <x:v>אופנה</x:v>
      </x:c>
      <x:c r="J401" s="19" t="str">
        <x:f>IFERROR(INDEX('מיפוי ומקורות'!$D$7:$D$33,MATCH(H401,'מיפוי ומקורות'!$B$7:$B$33,0)),"שוטף")</x:f>
        <x:v>שוטף</x:v>
      </x:c>
      <x:c r="K401" s="19" t="str">
        <x:f>IF(OR(H401="ריביות",AND(H401="דירה כצנלסון",G401&lt;0,ISNUMBER(SEARCH("הכנסה",F401)))),"הכנסה שסווגה מחדש",J401)</x:f>
        <x:v>שוטף</x:v>
      </x:c>
      <x:c r="L401" s="19" t="str">
        <x:v>מאושר</x:v>
      </x:c>
      <x:c r="M401" s="20" t="n">
        <x:f>IF(L401="מאושר",IF(K401="הכנסה שסווגה מחדש",0,G401),0)</x:f>
        <x:v>477</x:v>
      </x:c>
      <x:c r="N401" s="20" t="n">
        <x:f>IF(K401="שוטף",M401,0)</x:f>
        <x:v>477</x:v>
      </x:c>
      <x:c r="O401" s="20" t="n">
        <x:f>IF(K401="הכנסה שסווגה מחדש",-G401,0)</x:f>
        <x:v>0</x:v>
      </x:c>
      <x:c r="P401" s="11" t="str">
        <x:v>one zero עינור</x:v>
      </x:c>
      <x:c r="Q401" s="11" t="str"/>
      <x:c r="R401" s="11" t="str">
        <x:v>לא</x:v>
      </x:c>
    </x:row>
    <x:row r="402">
      <x:c r="A402" s="14" t="n">
        <x:v>45778</x:v>
      </x:c>
      <x:c r="B402" s="11" t="str">
        <x:v>2025-05</x:v>
      </x:c>
      <x:c r="C402" s="11" t="str">
        <x:v>מאי 25</x:v>
      </x:c>
      <x:c r="D402" s="15" t="n">
        <x:v>21</x:v>
      </x:c>
      <x:c r="E402" s="11" t="str">
        <x:v>11</x:v>
      </x:c>
      <x:c r="F402" s="11" t="str">
        <x:v>נונו מימי</x:v>
      </x:c>
      <x:c r="G402" s="17" t="n">
        <x:v>258</x:v>
      </x:c>
      <x:c r="H402" s="18" t="str">
        <x:v>אוכל בחוץ</x:v>
      </x:c>
      <x:c r="I402" s="19" t="str">
        <x:f>IFERROR(INDEX('מיפוי ומקורות'!$C$7:$C$33,MATCH(H402,'מיפוי ומקורות'!$B$7:$B$33,0)),"לא מסווג")</x:f>
        <x:v>אוכל בחוץ</x:v>
      </x:c>
      <x:c r="J402" s="19" t="str">
        <x:f>IFERROR(INDEX('מיפוי ומקורות'!$D$7:$D$33,MATCH(H402,'מיפוי ומקורות'!$B$7:$B$33,0)),"שוטף")</x:f>
        <x:v>שוטף</x:v>
      </x:c>
      <x:c r="K402" s="19" t="str">
        <x:f>IF(OR(H402="ריביות",AND(H402="דירה כצנלסון",G402&lt;0,ISNUMBER(SEARCH("הכנסה",F402)))),"הכנסה שסווגה מחדש",J402)</x:f>
        <x:v>שוטף</x:v>
      </x:c>
      <x:c r="L402" s="19" t="str">
        <x:v>מאושר</x:v>
      </x:c>
      <x:c r="M402" s="20" t="n">
        <x:f>IF(L402="מאושר",IF(K402="הכנסה שסווגה מחדש",0,G402),0)</x:f>
        <x:v>258</x:v>
      </x:c>
      <x:c r="N402" s="20" t="n">
        <x:f>IF(K402="שוטף",M402,0)</x:f>
        <x:v>258</x:v>
      </x:c>
      <x:c r="O402" s="20" t="n">
        <x:f>IF(K402="הכנסה שסווגה מחדש",-G402,0)</x:f>
        <x:v>0</x:v>
      </x:c>
      <x:c r="P402" s="11" t="str">
        <x:v>one zero זיו</x:v>
      </x:c>
      <x:c r="Q402" s="11" t="str"/>
      <x:c r="R402" s="11" t="str">
        <x:v>לא</x:v>
      </x:c>
    </x:row>
    <x:row r="403">
      <x:c r="A403" s="14" t="n">
        <x:v>45778</x:v>
      </x:c>
      <x:c r="B403" s="11" t="str">
        <x:v>2025-05</x:v>
      </x:c>
      <x:c r="C403" s="11" t="str">
        <x:v>מאי 25</x:v>
      </x:c>
      <x:c r="D403" s="15" t="n">
        <x:v>22</x:v>
      </x:c>
      <x:c r="E403" s="11" t="str">
        <x:v>12</x:v>
      </x:c>
      <x:c r="F403" s="11" t="str">
        <x:v>אוכל</x:v>
      </x:c>
      <x:c r="G403" s="17" t="n">
        <x:v>242</x:v>
      </x:c>
      <x:c r="H403" s="18" t="str">
        <x:v>אוכל בחוץ</x:v>
      </x:c>
      <x:c r="I403" s="19" t="str">
        <x:f>IFERROR(INDEX('מיפוי ומקורות'!$C$7:$C$33,MATCH(H403,'מיפוי ומקורות'!$B$7:$B$33,0)),"לא מסווג")</x:f>
        <x:v>אוכל בחוץ</x:v>
      </x:c>
      <x:c r="J403" s="19" t="str">
        <x:f>IFERROR(INDEX('מיפוי ומקורות'!$D$7:$D$33,MATCH(H403,'מיפוי ומקורות'!$B$7:$B$33,0)),"שוטף")</x:f>
        <x:v>שוטף</x:v>
      </x:c>
      <x:c r="K403" s="19" t="str">
        <x:f>IF(OR(H403="ריביות",AND(H403="דירה כצנלסון",G403&lt;0,ISNUMBER(SEARCH("הכנסה",F403)))),"הכנסה שסווגה מחדש",J403)</x:f>
        <x:v>שוטף</x:v>
      </x:c>
      <x:c r="L403" s="19" t="str">
        <x:v>מאושר</x:v>
      </x:c>
      <x:c r="M403" s="20" t="n">
        <x:f>IF(L403="מאושר",IF(K403="הכנסה שסווגה מחדש",0,G403),0)</x:f>
        <x:v>242</x:v>
      </x:c>
      <x:c r="N403" s="20" t="n">
        <x:f>IF(K403="שוטף",M403,0)</x:f>
        <x:v>242</x:v>
      </x:c>
      <x:c r="O403" s="20" t="n">
        <x:f>IF(K403="הכנסה שסווגה מחדש",-G403,0)</x:f>
        <x:v>0</x:v>
      </x:c>
      <x:c r="P403" s="11" t="str">
        <x:v>one zero זיו</x:v>
      </x:c>
      <x:c r="Q403" s="11" t="str"/>
      <x:c r="R403" s="11" t="str">
        <x:v>לא</x:v>
      </x:c>
    </x:row>
    <x:row r="404">
      <x:c r="A404" s="14" t="n">
        <x:v>45778</x:v>
      </x:c>
      <x:c r="B404" s="11" t="str">
        <x:v>2025-05</x:v>
      </x:c>
      <x:c r="C404" s="11" t="str">
        <x:v>מאי 25</x:v>
      </x:c>
      <x:c r="D404" s="15" t="n">
        <x:v>23</x:v>
      </x:c>
      <x:c r="E404" s="11" t="str"/>
      <x:c r="F404" s="11" t="str">
        <x:v>סיישל כרטיס זיו</x:v>
      </x:c>
      <x:c r="G404" s="17" t="n">
        <x:v>2941</x:v>
      </x:c>
      <x:c r="H404" s="18" t="str">
        <x:v>חתונה</x:v>
      </x:c>
      <x:c r="I404" s="19" t="str">
        <x:f>IFERROR(INDEX('מיפוי ומקורות'!$C$7:$C$33,MATCH(H404,'מיפוי ומקורות'!$B$7:$B$33,0)),"לא מסווג")</x:f>
        <x:v>חתונה</x:v>
      </x:c>
      <x:c r="J404" s="19" t="str">
        <x:f>IFERROR(INDEX('מיפוי ומקורות'!$D$7:$D$33,MATCH(H404,'מיפוי ומקורות'!$B$7:$B$33,0)),"שוטף")</x:f>
        <x:v>חריג</x:v>
      </x:c>
      <x:c r="K404" s="19" t="str">
        <x:f>IF(OR(H404="ריביות",AND(H404="דירה כצנלסון",G404&lt;0,ISNUMBER(SEARCH("הכנסה",F404)))),"הכנסה שסווגה מחדש",J404)</x:f>
        <x:v>חריג</x:v>
      </x:c>
      <x:c r="L404" s="19" t="str">
        <x:v>מאושר</x:v>
      </x:c>
      <x:c r="M404" s="20" t="n">
        <x:f>IF(L404="מאושר",IF(K404="הכנסה שסווגה מחדש",0,G404),0)</x:f>
        <x:v>2941</x:v>
      </x:c>
      <x:c r="N404" s="20" t="n">
        <x:f>IF(K404="שוטף",M404,0)</x:f>
        <x:v>0</x:v>
      </x:c>
      <x:c r="O404" s="20" t="n">
        <x:f>IF(K404="הכנסה שסווגה מחדש",-G404,0)</x:f>
        <x:v>0</x:v>
      </x:c>
      <x:c r="P404" s="11" t="str">
        <x:v>one zero זיו</x:v>
      </x:c>
      <x:c r="Q404" s="11" t="str"/>
      <x:c r="R404" s="11" t="str">
        <x:v>לא</x:v>
      </x:c>
    </x:row>
    <x:row r="405">
      <x:c r="A405" s="14" t="n">
        <x:v>45778</x:v>
      </x:c>
      <x:c r="B405" s="11" t="str">
        <x:v>2025-05</x:v>
      </x:c>
      <x:c r="C405" s="11" t="str">
        <x:v>מאי 25</x:v>
      </x:c>
      <x:c r="D405" s="15" t="n">
        <x:v>24</x:v>
      </x:c>
      <x:c r="E405" s="11" t="str">
        <x:v>22</x:v>
      </x:c>
      <x:c r="F405" s="11" t="str">
        <x:v>אוכל</x:v>
      </x:c>
      <x:c r="G405" s="17" t="n">
        <x:v>138</x:v>
      </x:c>
      <x:c r="H405" s="18" t="str">
        <x:v>אוכל בחוץ</x:v>
      </x:c>
      <x:c r="I405" s="19" t="str">
        <x:f>IFERROR(INDEX('מיפוי ומקורות'!$C$7:$C$33,MATCH(H405,'מיפוי ומקורות'!$B$7:$B$33,0)),"לא מסווג")</x:f>
        <x:v>אוכל בחוץ</x:v>
      </x:c>
      <x:c r="J405" s="19" t="str">
        <x:f>IFERROR(INDEX('מיפוי ומקורות'!$D$7:$D$33,MATCH(H405,'מיפוי ומקורות'!$B$7:$B$33,0)),"שוטף")</x:f>
        <x:v>שוטף</x:v>
      </x:c>
      <x:c r="K405" s="19" t="str">
        <x:f>IF(OR(H405="ריביות",AND(H405="דירה כצנלסון",G405&lt;0,ISNUMBER(SEARCH("הכנסה",F405)))),"הכנסה שסווגה מחדש",J405)</x:f>
        <x:v>שוטף</x:v>
      </x:c>
      <x:c r="L405" s="19" t="str">
        <x:v>מאושר</x:v>
      </x:c>
      <x:c r="M405" s="20" t="n">
        <x:f>IF(L405="מאושר",IF(K405="הכנסה שסווגה מחדש",0,G405),0)</x:f>
        <x:v>138</x:v>
      </x:c>
      <x:c r="N405" s="20" t="n">
        <x:f>IF(K405="שוטף",M405,0)</x:f>
        <x:v>138</x:v>
      </x:c>
      <x:c r="O405" s="20" t="n">
        <x:f>IF(K405="הכנסה שסווגה מחדש",-G405,0)</x:f>
        <x:v>0</x:v>
      </x:c>
      <x:c r="P405" s="11" t="str">
        <x:v>one zero זיו</x:v>
      </x:c>
      <x:c r="Q405" s="11" t="str"/>
      <x:c r="R405" s="11" t="str">
        <x:v>לא</x:v>
      </x:c>
    </x:row>
    <x:row r="406">
      <x:c r="A406" s="14" t="n">
        <x:v>45778</x:v>
      </x:c>
      <x:c r="B406" s="11" t="str">
        <x:v>2025-05</x:v>
      </x:c>
      <x:c r="C406" s="11" t="str">
        <x:v>מאי 25</x:v>
      </x:c>
      <x:c r="D406" s="15" t="n">
        <x:v>25</x:v>
      </x:c>
      <x:c r="E406" s="11" t="str">
        <x:v>22</x:v>
      </x:c>
      <x:c r="F406" s="11" t="str">
        <x:v>אלי אקספקס</x:v>
      </x:c>
      <x:c r="G406" s="17" t="n">
        <x:v>170</x:v>
      </x:c>
      <x:c r="H406" s="18" t="str">
        <x:v>קניות לבית</x:v>
      </x:c>
      <x:c r="I406" s="19" t="str">
        <x:f>IFERROR(INDEX('מיפוי ומקורות'!$C$7:$C$33,MATCH(H406,'מיפוי ומקורות'!$B$7:$B$33,0)),"לא מסווג")</x:f>
        <x:v>קניות לבית</x:v>
      </x:c>
      <x:c r="J406" s="19" t="str">
        <x:f>IFERROR(INDEX('מיפוי ומקורות'!$D$7:$D$33,MATCH(H406,'מיפוי ומקורות'!$B$7:$B$33,0)),"שוטף")</x:f>
        <x:v>שוטף</x:v>
      </x:c>
      <x:c r="K406" s="19" t="str">
        <x:f>IF(OR(H406="ריביות",AND(H406="דירה כצנלסון",G406&lt;0,ISNUMBER(SEARCH("הכנסה",F406)))),"הכנסה שסווגה מחדש",J406)</x:f>
        <x:v>שוטף</x:v>
      </x:c>
      <x:c r="L406" s="19" t="str">
        <x:v>מאושר</x:v>
      </x:c>
      <x:c r="M406" s="20" t="n">
        <x:f>IF(L406="מאושר",IF(K406="הכנסה שסווגה מחדש",0,G406),0)</x:f>
        <x:v>170</x:v>
      </x:c>
      <x:c r="N406" s="20" t="n">
        <x:f>IF(K406="שוטף",M406,0)</x:f>
        <x:v>170</x:v>
      </x:c>
      <x:c r="O406" s="20" t="n">
        <x:f>IF(K406="הכנסה שסווגה מחדש",-G406,0)</x:f>
        <x:v>0</x:v>
      </x:c>
      <x:c r="P406" s="11" t="str">
        <x:v>one zero זיו</x:v>
      </x:c>
      <x:c r="Q406" s="11" t="str"/>
      <x:c r="R406" s="11" t="str">
        <x:v>לא</x:v>
      </x:c>
    </x:row>
    <x:row r="407">
      <x:c r="A407" s="14" t="n">
        <x:v>45778</x:v>
      </x:c>
      <x:c r="B407" s="11" t="str">
        <x:v>2025-05</x:v>
      </x:c>
      <x:c r="C407" s="11" t="str">
        <x:v>מאי 25</x:v>
      </x:c>
      <x:c r="D407" s="15" t="n">
        <x:v>26</x:v>
      </x:c>
      <x:c r="E407" s="11" t="str">
        <x:v>23</x:v>
      </x:c>
      <x:c r="F407" s="11" t="str">
        <x:v>טמבוריה</x:v>
      </x:c>
      <x:c r="G407" s="17" t="n">
        <x:v>5</x:v>
      </x:c>
      <x:c r="H407" s="18" t="str">
        <x:v>קניות לבית</x:v>
      </x:c>
      <x:c r="I407" s="19" t="str">
        <x:f>IFERROR(INDEX('מיפוי ומקורות'!$C$7:$C$33,MATCH(H407,'מיפוי ומקורות'!$B$7:$B$33,0)),"לא מסווג")</x:f>
        <x:v>קניות לבית</x:v>
      </x:c>
      <x:c r="J407" s="19" t="str">
        <x:f>IFERROR(INDEX('מיפוי ומקורות'!$D$7:$D$33,MATCH(H407,'מיפוי ומקורות'!$B$7:$B$33,0)),"שוטף")</x:f>
        <x:v>שוטף</x:v>
      </x:c>
      <x:c r="K407" s="19" t="str">
        <x:f>IF(OR(H407="ריביות",AND(H407="דירה כצנלסון",G407&lt;0,ISNUMBER(SEARCH("הכנסה",F407)))),"הכנסה שסווגה מחדש",J407)</x:f>
        <x:v>שוטף</x:v>
      </x:c>
      <x:c r="L407" s="19" t="str">
        <x:v>מאושר</x:v>
      </x:c>
      <x:c r="M407" s="20" t="n">
        <x:f>IF(L407="מאושר",IF(K407="הכנסה שסווגה מחדש",0,G407),0)</x:f>
        <x:v>5</x:v>
      </x:c>
      <x:c r="N407" s="20" t="n">
        <x:f>IF(K407="שוטף",M407,0)</x:f>
        <x:v>5</x:v>
      </x:c>
      <x:c r="O407" s="20" t="n">
        <x:f>IF(K407="הכנסה שסווגה מחדש",-G407,0)</x:f>
        <x:v>0</x:v>
      </x:c>
      <x:c r="P407" s="11" t="str">
        <x:v>one zero זיו</x:v>
      </x:c>
      <x:c r="Q407" s="11" t="str"/>
      <x:c r="R407" s="11" t="str">
        <x:v>לא</x:v>
      </x:c>
    </x:row>
    <x:row r="408">
      <x:c r="A408" s="14" t="n">
        <x:v>45778</x:v>
      </x:c>
      <x:c r="B408" s="11" t="str">
        <x:v>2025-05</x:v>
      </x:c>
      <x:c r="C408" s="11" t="str">
        <x:v>מאי 25</x:v>
      </x:c>
      <x:c r="D408" s="15" t="n">
        <x:v>27</x:v>
      </x:c>
      <x:c r="E408" s="11" t="str">
        <x:v>23</x:v>
      </x:c>
      <x:c r="F408" s="11" t="str">
        <x:v>טמבוריה</x:v>
      </x:c>
      <x:c r="G408" s="17" t="n">
        <x:v>5</x:v>
      </x:c>
      <x:c r="H408" s="18" t="str">
        <x:v>קניות לבית</x:v>
      </x:c>
      <x:c r="I408" s="19" t="str">
        <x:f>IFERROR(INDEX('מיפוי ומקורות'!$C$7:$C$33,MATCH(H408,'מיפוי ומקורות'!$B$7:$B$33,0)),"לא מסווג")</x:f>
        <x:v>קניות לבית</x:v>
      </x:c>
      <x:c r="J408" s="19" t="str">
        <x:f>IFERROR(INDEX('מיפוי ומקורות'!$D$7:$D$33,MATCH(H408,'מיפוי ומקורות'!$B$7:$B$33,0)),"שוטף")</x:f>
        <x:v>שוטף</x:v>
      </x:c>
      <x:c r="K408" s="19" t="str">
        <x:f>IF(OR(H408="ריביות",AND(H408="דירה כצנלסון",G408&lt;0,ISNUMBER(SEARCH("הכנסה",F408)))),"הכנסה שסווגה מחדש",J408)</x:f>
        <x:v>שוטף</x:v>
      </x:c>
      <x:c r="L408" s="19" t="str">
        <x:v>מאושר</x:v>
      </x:c>
      <x:c r="M408" s="20" t="n">
        <x:f>IF(L408="מאושר",IF(K408="הכנסה שסווגה מחדש",0,G408),0)</x:f>
        <x:v>5</x:v>
      </x:c>
      <x:c r="N408" s="20" t="n">
        <x:f>IF(K408="שוטף",M408,0)</x:f>
        <x:v>5</x:v>
      </x:c>
      <x:c r="O408" s="20" t="n">
        <x:f>IF(K408="הכנסה שסווגה מחדש",-G408,0)</x:f>
        <x:v>0</x:v>
      </x:c>
      <x:c r="P408" s="11" t="str">
        <x:v>one zero זיו</x:v>
      </x:c>
      <x:c r="Q408" s="11" t="str"/>
      <x:c r="R408" s="11" t="str">
        <x:v>לא</x:v>
      </x:c>
    </x:row>
    <x:row r="409">
      <x:c r="A409" s="14" t="n">
        <x:v>45778</x:v>
      </x:c>
      <x:c r="B409" s="11" t="str">
        <x:v>2025-05</x:v>
      </x:c>
      <x:c r="C409" s="11" t="str">
        <x:v>מאי 25</x:v>
      </x:c>
      <x:c r="D409" s="15" t="n">
        <x:v>28</x:v>
      </x:c>
      <x:c r="E409" s="11" t="str">
        <x:v>27</x:v>
      </x:c>
      <x:c r="F409" s="11" t="str">
        <x:v>אלי אקספקס</x:v>
      </x:c>
      <x:c r="G409" s="17" t="n">
        <x:v>72</x:v>
      </x:c>
      <x:c r="H409" s="18" t="str">
        <x:v>קניות לבית</x:v>
      </x:c>
      <x:c r="I409" s="19" t="str">
        <x:f>IFERROR(INDEX('מיפוי ומקורות'!$C$7:$C$33,MATCH(H409,'מיפוי ומקורות'!$B$7:$B$33,0)),"לא מסווג")</x:f>
        <x:v>קניות לבית</x:v>
      </x:c>
      <x:c r="J409" s="19" t="str">
        <x:f>IFERROR(INDEX('מיפוי ומקורות'!$D$7:$D$33,MATCH(H409,'מיפוי ומקורות'!$B$7:$B$33,0)),"שוטף")</x:f>
        <x:v>שוטף</x:v>
      </x:c>
      <x:c r="K409" s="19" t="str">
        <x:f>IF(OR(H409="ריביות",AND(H409="דירה כצנלסון",G409&lt;0,ISNUMBER(SEARCH("הכנסה",F409)))),"הכנסה שסווגה מחדש",J409)</x:f>
        <x:v>שוטף</x:v>
      </x:c>
      <x:c r="L409" s="19" t="str">
        <x:v>מאושר</x:v>
      </x:c>
      <x:c r="M409" s="20" t="n">
        <x:f>IF(L409="מאושר",IF(K409="הכנסה שסווגה מחדש",0,G409),0)</x:f>
        <x:v>72</x:v>
      </x:c>
      <x:c r="N409" s="20" t="n">
        <x:f>IF(K409="שוטף",M409,0)</x:f>
        <x:v>72</x:v>
      </x:c>
      <x:c r="O409" s="20" t="n">
        <x:f>IF(K409="הכנסה שסווגה מחדש",-G409,0)</x:f>
        <x:v>0</x:v>
      </x:c>
      <x:c r="P409" s="11" t="str">
        <x:v>one zero זיו</x:v>
      </x:c>
      <x:c r="Q409" s="11" t="str"/>
      <x:c r="R409" s="11" t="str">
        <x:v>לא</x:v>
      </x:c>
    </x:row>
    <x:row r="410">
      <x:c r="A410" s="14" t="n">
        <x:v>45778</x:v>
      </x:c>
      <x:c r="B410" s="11" t="str">
        <x:v>2025-05</x:v>
      </x:c>
      <x:c r="C410" s="11" t="str">
        <x:v>מאי 25</x:v>
      </x:c>
      <x:c r="D410" s="15" t="n">
        <x:v>29</x:v>
      </x:c>
      <x:c r="E410" s="11" t="str"/>
      <x:c r="F410" s="11" t="str">
        <x:v>לייזר</x:v>
      </x:c>
      <x:c r="G410" s="17" t="n">
        <x:v>173</x:v>
      </x:c>
      <x:c r="H410" s="18" t="str">
        <x:v>קוסמטיקה</x:v>
      </x:c>
      <x:c r="I410" s="19" t="str">
        <x:f>IFERROR(INDEX('מיפוי ומקורות'!$C$7:$C$33,MATCH(H410,'מיפוי ומקורות'!$B$7:$B$33,0)),"לא מסווג")</x:f>
        <x:v>קוסמטיקה</x:v>
      </x:c>
      <x:c r="J410" s="19" t="str">
        <x:f>IFERROR(INDEX('מיפוי ומקורות'!$D$7:$D$33,MATCH(H410,'מיפוי ומקורות'!$B$7:$B$33,0)),"שוטף")</x:f>
        <x:v>שוטף</x:v>
      </x:c>
      <x:c r="K410" s="19" t="str">
        <x:f>IF(OR(H410="ריביות",AND(H410="דירה כצנלסון",G410&lt;0,ISNUMBER(SEARCH("הכנסה",F410)))),"הכנסה שסווגה מחדש",J410)</x:f>
        <x:v>שוטף</x:v>
      </x:c>
      <x:c r="L410" s="19" t="str">
        <x:v>מאושר</x:v>
      </x:c>
      <x:c r="M410" s="20" t="n">
        <x:f>IF(L410="מאושר",IF(K410="הכנסה שסווגה מחדש",0,G410),0)</x:f>
        <x:v>173</x:v>
      </x:c>
      <x:c r="N410" s="20" t="n">
        <x:f>IF(K410="שוטף",M410,0)</x:f>
        <x:v>173</x:v>
      </x:c>
      <x:c r="O410" s="20" t="n">
        <x:f>IF(K410="הכנסה שסווגה מחדש",-G410,0)</x:f>
        <x:v>0</x:v>
      </x:c>
      <x:c r="P410" s="11" t="str">
        <x:v>אמקס עינור</x:v>
      </x:c>
      <x:c r="Q410" s="11" t="str"/>
      <x:c r="R410" s="11" t="str">
        <x:v>לא</x:v>
      </x:c>
    </x:row>
    <x:row r="411">
      <x:c r="A411" s="14" t="n">
        <x:v>45778</x:v>
      </x:c>
      <x:c r="B411" s="11" t="str">
        <x:v>2025-05</x:v>
      </x:c>
      <x:c r="C411" s="11" t="str">
        <x:v>מאי 25</x:v>
      </x:c>
      <x:c r="D411" s="15" t="n">
        <x:v>30</x:v>
      </x:c>
      <x:c r="E411" s="11" t="str">
        <x:v>2</x:v>
      </x:c>
      <x:c r="F411" s="11" t="str">
        <x:v>פירות</x:v>
      </x:c>
      <x:c r="G411" s="17" t="n">
        <x:v>50</x:v>
      </x:c>
      <x:c r="H411" s="18" t="str">
        <x:v>מזון לבית</x:v>
      </x:c>
      <x:c r="I411" s="19" t="str">
        <x:f>IFERROR(INDEX('מיפוי ומקורות'!$C$7:$C$33,MATCH(H411,'מיפוי ומקורות'!$B$7:$B$33,0)),"לא מסווג")</x:f>
        <x:v>מזון לבית</x:v>
      </x:c>
      <x:c r="J411" s="19" t="str">
        <x:f>IFERROR(INDEX('מיפוי ומקורות'!$D$7:$D$33,MATCH(H411,'מיפוי ומקורות'!$B$7:$B$33,0)),"שוטף")</x:f>
        <x:v>שוטף</x:v>
      </x:c>
      <x:c r="K411" s="19" t="str">
        <x:f>IF(OR(H411="ריביות",AND(H411="דירה כצנלסון",G411&lt;0,ISNUMBER(SEARCH("הכנסה",F411)))),"הכנסה שסווגה מחדש",J411)</x:f>
        <x:v>שוטף</x:v>
      </x:c>
      <x:c r="L411" s="19" t="str">
        <x:v>מאושר</x:v>
      </x:c>
      <x:c r="M411" s="20" t="n">
        <x:f>IF(L411="מאושר",IF(K411="הכנסה שסווגה מחדש",0,G411),0)</x:f>
        <x:v>50</x:v>
      </x:c>
      <x:c r="N411" s="20" t="n">
        <x:f>IF(K411="שוטף",M411,0)</x:f>
        <x:v>50</x:v>
      </x:c>
      <x:c r="O411" s="20" t="n">
        <x:f>IF(K411="הכנסה שסווגה מחדש",-G411,0)</x:f>
        <x:v>0</x:v>
      </x:c>
      <x:c r="P411" s="11" t="str">
        <x:v>אמקס עינור</x:v>
      </x:c>
      <x:c r="Q411" s="11" t="str"/>
      <x:c r="R411" s="11" t="str">
        <x:v>לא</x:v>
      </x:c>
    </x:row>
    <x:row r="412">
      <x:c r="A412" s="14" t="n">
        <x:v>45778</x:v>
      </x:c>
      <x:c r="B412" s="11" t="str">
        <x:v>2025-05</x:v>
      </x:c>
      <x:c r="C412" s="11" t="str">
        <x:v>מאי 25</x:v>
      </x:c>
      <x:c r="D412" s="15" t="n">
        <x:v>31</x:v>
      </x:c>
      <x:c r="E412" s="11" t="str">
        <x:v>2</x:v>
      </x:c>
      <x:c r="F412" s="11" t="str">
        <x:v>B</x:v>
      </x:c>
      <x:c r="G412" s="17" t="n">
        <x:v>10</x:v>
      </x:c>
      <x:c r="H412" s="18" t="str">
        <x:v>חתונה</x:v>
      </x:c>
      <x:c r="I412" s="19" t="str">
        <x:f>IFERROR(INDEX('מיפוי ומקורות'!$C$7:$C$33,MATCH(H412,'מיפוי ומקורות'!$B$7:$B$33,0)),"לא מסווג")</x:f>
        <x:v>חתונה</x:v>
      </x:c>
      <x:c r="J412" s="19" t="str">
        <x:f>IFERROR(INDEX('מיפוי ומקורות'!$D$7:$D$33,MATCH(H412,'מיפוי ומקורות'!$B$7:$B$33,0)),"שוטף")</x:f>
        <x:v>חריג</x:v>
      </x:c>
      <x:c r="K412" s="19" t="str">
        <x:f>IF(OR(H412="ריביות",AND(H412="דירה כצנלסון",G412&lt;0,ISNUMBER(SEARCH("הכנסה",F412)))),"הכנסה שסווגה מחדש",J412)</x:f>
        <x:v>חריג</x:v>
      </x:c>
      <x:c r="L412" s="19" t="str">
        <x:v>מאושר</x:v>
      </x:c>
      <x:c r="M412" s="20" t="n">
        <x:f>IF(L412="מאושר",IF(K412="הכנסה שסווגה מחדש",0,G412),0)</x:f>
        <x:v>10</x:v>
      </x:c>
      <x:c r="N412" s="20" t="n">
        <x:f>IF(K412="שוטף",M412,0)</x:f>
        <x:v>0</x:v>
      </x:c>
      <x:c r="O412" s="20" t="n">
        <x:f>IF(K412="הכנסה שסווגה מחדש",-G412,0)</x:f>
        <x:v>0</x:v>
      </x:c>
      <x:c r="P412" s="11" t="str">
        <x:v>אמקס עינור</x:v>
      </x:c>
      <x:c r="Q412" s="11" t="str"/>
      <x:c r="R412" s="11" t="str">
        <x:v>לא</x:v>
      </x:c>
    </x:row>
    <x:row r="413">
      <x:c r="A413" s="14" t="n">
        <x:v>45778</x:v>
      </x:c>
      <x:c r="B413" s="11" t="str">
        <x:v>2025-05</x:v>
      </x:c>
      <x:c r="C413" s="11" t="str">
        <x:v>מאי 25</x:v>
      </x:c>
      <x:c r="D413" s="15" t="n">
        <x:v>32</x:v>
      </x:c>
      <x:c r="E413" s="11" t="str">
        <x:v>4</x:v>
      </x:c>
      <x:c r="F413" s="11" t="str">
        <x:v>אוכל</x:v>
      </x:c>
      <x:c r="G413" s="17" t="n">
        <x:v>250</x:v>
      </x:c>
      <x:c r="H413" s="18" t="str">
        <x:v>אוכל בחוץ</x:v>
      </x:c>
      <x:c r="I413" s="19" t="str">
        <x:f>IFERROR(INDEX('מיפוי ומקורות'!$C$7:$C$33,MATCH(H413,'מיפוי ומקורות'!$B$7:$B$33,0)),"לא מסווג")</x:f>
        <x:v>אוכל בחוץ</x:v>
      </x:c>
      <x:c r="J413" s="19" t="str">
        <x:f>IFERROR(INDEX('מיפוי ומקורות'!$D$7:$D$33,MATCH(H413,'מיפוי ומקורות'!$B$7:$B$33,0)),"שוטף")</x:f>
        <x:v>שוטף</x:v>
      </x:c>
      <x:c r="K413" s="19" t="str">
        <x:f>IF(OR(H413="ריביות",AND(H413="דירה כצנלסון",G413&lt;0,ISNUMBER(SEARCH("הכנסה",F413)))),"הכנסה שסווגה מחדש",J413)</x:f>
        <x:v>שוטף</x:v>
      </x:c>
      <x:c r="L413" s="19" t="str">
        <x:v>מאושר</x:v>
      </x:c>
      <x:c r="M413" s="20" t="n">
        <x:f>IF(L413="מאושר",IF(K413="הכנסה שסווגה מחדש",0,G413),0)</x:f>
        <x:v>250</x:v>
      </x:c>
      <x:c r="N413" s="20" t="n">
        <x:f>IF(K413="שוטף",M413,0)</x:f>
        <x:v>250</x:v>
      </x:c>
      <x:c r="O413" s="20" t="n">
        <x:f>IF(K413="הכנסה שסווגה מחדש",-G413,0)</x:f>
        <x:v>0</x:v>
      </x:c>
      <x:c r="P413" s="11" t="str">
        <x:v>אמקס עינור</x:v>
      </x:c>
      <x:c r="Q413" s="11" t="str"/>
      <x:c r="R413" s="11" t="str">
        <x:v>לא</x:v>
      </x:c>
    </x:row>
    <x:row r="414">
      <x:c r="A414" s="14" t="n">
        <x:v>45778</x:v>
      </x:c>
      <x:c r="B414" s="11" t="str">
        <x:v>2025-05</x:v>
      </x:c>
      <x:c r="C414" s="11" t="str">
        <x:v>מאי 25</x:v>
      </x:c>
      <x:c r="D414" s="15" t="n">
        <x:v>33</x:v>
      </x:c>
      <x:c r="E414" s="11" t="str">
        <x:v>4</x:v>
      </x:c>
      <x:c r="F414" s="11" t="str">
        <x:v>מספרי שוחן</x:v>
      </x:c>
      <x:c r="G414" s="17" t="n">
        <x:v>60</x:v>
      </x:c>
      <x:c r="H414" s="18" t="str">
        <x:v>חתונה</x:v>
      </x:c>
      <x:c r="I414" s="19" t="str">
        <x:f>IFERROR(INDEX('מיפוי ומקורות'!$C$7:$C$33,MATCH(H414,'מיפוי ומקורות'!$B$7:$B$33,0)),"לא מסווג")</x:f>
        <x:v>חתונה</x:v>
      </x:c>
      <x:c r="J414" s="19" t="str">
        <x:f>IFERROR(INDEX('מיפוי ומקורות'!$D$7:$D$33,MATCH(H414,'מיפוי ומקורות'!$B$7:$B$33,0)),"שוטף")</x:f>
        <x:v>חריג</x:v>
      </x:c>
      <x:c r="K414" s="19" t="str">
        <x:f>IF(OR(H414="ריביות",AND(H414="דירה כצנלסון",G414&lt;0,ISNUMBER(SEARCH("הכנסה",F414)))),"הכנסה שסווגה מחדש",J414)</x:f>
        <x:v>חריג</x:v>
      </x:c>
      <x:c r="L414" s="19" t="str">
        <x:v>מאושר</x:v>
      </x:c>
      <x:c r="M414" s="20" t="n">
        <x:f>IF(L414="מאושר",IF(K414="הכנסה שסווגה מחדש",0,G414),0)</x:f>
        <x:v>60</x:v>
      </x:c>
      <x:c r="N414" s="20" t="n">
        <x:f>IF(K414="שוטף",M414,0)</x:f>
        <x:v>0</x:v>
      </x:c>
      <x:c r="O414" s="20" t="n">
        <x:f>IF(K414="הכנסה שסווגה מחדש",-G414,0)</x:f>
        <x:v>0</x:v>
      </x:c>
      <x:c r="P414" s="11" t="str">
        <x:v>אמקס עינור</x:v>
      </x:c>
      <x:c r="Q414" s="11" t="str"/>
      <x:c r="R414" s="11" t="str">
        <x:v>לא</x:v>
      </x:c>
    </x:row>
    <x:row r="415">
      <x:c r="A415" s="14" t="n">
        <x:v>45778</x:v>
      </x:c>
      <x:c r="B415" s="11" t="str">
        <x:v>2025-05</x:v>
      </x:c>
      <x:c r="C415" s="11" t="str">
        <x:v>מאי 25</x:v>
      </x:c>
      <x:c r="D415" s="15" t="n">
        <x:v>34</x:v>
      </x:c>
      <x:c r="E415" s="11" t="str">
        <x:v>5</x:v>
      </x:c>
      <x:c r="F415" s="11" t="str">
        <x:v>מכבי</x:v>
      </x:c>
      <x:c r="G415" s="17" t="n">
        <x:v>95</x:v>
      </x:c>
      <x:c r="H415" s="18" t="str">
        <x:v>בריאות</x:v>
      </x:c>
      <x:c r="I415" s="19" t="str">
        <x:f>IFERROR(INDEX('מיפוי ומקורות'!$C$7:$C$33,MATCH(H415,'מיפוי ומקורות'!$B$7:$B$33,0)),"לא מסווג")</x:f>
        <x:v>בריאות וטיפולים</x:v>
      </x:c>
      <x:c r="J415" s="19" t="str">
        <x:f>IFERROR(INDEX('מיפוי ומקורות'!$D$7:$D$33,MATCH(H415,'מיפוי ומקורות'!$B$7:$B$33,0)),"שוטף")</x:f>
        <x:v>שוטף</x:v>
      </x:c>
      <x:c r="K415" s="19" t="str">
        <x:f>IF(OR(H415="ריביות",AND(H415="דירה כצנלסון",G415&lt;0,ISNUMBER(SEARCH("הכנסה",F415)))),"הכנסה שסווגה מחדש",J415)</x:f>
        <x:v>שוטף</x:v>
      </x:c>
      <x:c r="L415" s="19" t="str">
        <x:v>מאושר</x:v>
      </x:c>
      <x:c r="M415" s="20" t="n">
        <x:f>IF(L415="מאושר",IF(K415="הכנסה שסווגה מחדש",0,G415),0)</x:f>
        <x:v>95</x:v>
      </x:c>
      <x:c r="N415" s="20" t="n">
        <x:f>IF(K415="שוטף",M415,0)</x:f>
        <x:v>95</x:v>
      </x:c>
      <x:c r="O415" s="20" t="n">
        <x:f>IF(K415="הכנסה שסווגה מחדש",-G415,0)</x:f>
        <x:v>0</x:v>
      </x:c>
      <x:c r="P415" s="11" t="str">
        <x:v>אמקס עינור</x:v>
      </x:c>
      <x:c r="Q415" s="11" t="str"/>
      <x:c r="R415" s="11" t="str">
        <x:v>לא</x:v>
      </x:c>
    </x:row>
    <x:row r="416">
      <x:c r="A416" s="14" t="n">
        <x:v>45778</x:v>
      </x:c>
      <x:c r="B416" s="11" t="str">
        <x:v>2025-05</x:v>
      </x:c>
      <x:c r="C416" s="11" t="str">
        <x:v>מאי 25</x:v>
      </x:c>
      <x:c r="D416" s="15" t="n">
        <x:v>35</x:v>
      </x:c>
      <x:c r="E416" s="11" t="str">
        <x:v>5</x:v>
      </x:c>
      <x:c r="F416" s="11" t="str">
        <x:v>דלתא</x:v>
      </x:c>
      <x:c r="G416" s="17" t="n">
        <x:v>1</x:v>
      </x:c>
      <x:c r="H416" s="18" t="str">
        <x:v>חתונה</x:v>
      </x:c>
      <x:c r="I416" s="19" t="str">
        <x:f>IFERROR(INDEX('מיפוי ומקורות'!$C$7:$C$33,MATCH(H416,'מיפוי ומקורות'!$B$7:$B$33,0)),"לא מסווג")</x:f>
        <x:v>חתונה</x:v>
      </x:c>
      <x:c r="J416" s="19" t="str">
        <x:f>IFERROR(INDEX('מיפוי ומקורות'!$D$7:$D$33,MATCH(H416,'מיפוי ומקורות'!$B$7:$B$33,0)),"שוטף")</x:f>
        <x:v>חריג</x:v>
      </x:c>
      <x:c r="K416" s="19" t="str">
        <x:f>IF(OR(H416="ריביות",AND(H416="דירה כצנלסון",G416&lt;0,ISNUMBER(SEARCH("הכנסה",F416)))),"הכנסה שסווגה מחדש",J416)</x:f>
        <x:v>חריג</x:v>
      </x:c>
      <x:c r="L416" s="19" t="str">
        <x:v>מאושר</x:v>
      </x:c>
      <x:c r="M416" s="20" t="n">
        <x:f>IF(L416="מאושר",IF(K416="הכנסה שסווגה מחדש",0,G416),0)</x:f>
        <x:v>1</x:v>
      </x:c>
      <x:c r="N416" s="20" t="n">
        <x:f>IF(K416="שוטף",M416,0)</x:f>
        <x:v>0</x:v>
      </x:c>
      <x:c r="O416" s="20" t="n">
        <x:f>IF(K416="הכנסה שסווגה מחדש",-G416,0)</x:f>
        <x:v>0</x:v>
      </x:c>
      <x:c r="P416" s="11" t="str">
        <x:v>אמקס עינור</x:v>
      </x:c>
      <x:c r="Q416" s="11" t="str"/>
      <x:c r="R416" s="11" t="str">
        <x:v>לא</x:v>
      </x:c>
    </x:row>
    <x:row r="417">
      <x:c r="A417" s="14" t="n">
        <x:v>45778</x:v>
      </x:c>
      <x:c r="B417" s="11" t="str">
        <x:v>2025-05</x:v>
      </x:c>
      <x:c r="C417" s="11" t="str">
        <x:v>מאי 25</x:v>
      </x:c>
      <x:c r="D417" s="15" t="n">
        <x:v>36</x:v>
      </x:c>
      <x:c r="E417" s="11" t="str">
        <x:v>5</x:v>
      </x:c>
      <x:c r="F417" s="11" t="str">
        <x:v>פארם</x:v>
      </x:c>
      <x:c r="G417" s="17" t="n">
        <x:v>57</x:v>
      </x:c>
      <x:c r="H417" s="18" t="str">
        <x:v>בריאות</x:v>
      </x:c>
      <x:c r="I417" s="19" t="str">
        <x:f>IFERROR(INDEX('מיפוי ומקורות'!$C$7:$C$33,MATCH(H417,'מיפוי ומקורות'!$B$7:$B$33,0)),"לא מסווג")</x:f>
        <x:v>בריאות וטיפולים</x:v>
      </x:c>
      <x:c r="J417" s="19" t="str">
        <x:f>IFERROR(INDEX('מיפוי ומקורות'!$D$7:$D$33,MATCH(H417,'מיפוי ומקורות'!$B$7:$B$33,0)),"שוטף")</x:f>
        <x:v>שוטף</x:v>
      </x:c>
      <x:c r="K417" s="19" t="str">
        <x:f>IF(OR(H417="ריביות",AND(H417="דירה כצנלסון",G417&lt;0,ISNUMBER(SEARCH("הכנסה",F417)))),"הכנסה שסווגה מחדש",J417)</x:f>
        <x:v>שוטף</x:v>
      </x:c>
      <x:c r="L417" s="19" t="str">
        <x:v>מאושר</x:v>
      </x:c>
      <x:c r="M417" s="20" t="n">
        <x:f>IF(L417="מאושר",IF(K417="הכנסה שסווגה מחדש",0,G417),0)</x:f>
        <x:v>57</x:v>
      </x:c>
      <x:c r="N417" s="20" t="n">
        <x:f>IF(K417="שוטף",M417,0)</x:f>
        <x:v>57</x:v>
      </x:c>
      <x:c r="O417" s="20" t="n">
        <x:f>IF(K417="הכנסה שסווגה מחדש",-G417,0)</x:f>
        <x:v>0</x:v>
      </x:c>
      <x:c r="P417" s="11" t="str">
        <x:v>אמקס עינור</x:v>
      </x:c>
      <x:c r="Q417" s="11" t="str"/>
      <x:c r="R417" s="11" t="str">
        <x:v>לא</x:v>
      </x:c>
    </x:row>
    <x:row r="418">
      <x:c r="A418" s="14" t="n">
        <x:v>45778</x:v>
      </x:c>
      <x:c r="B418" s="11" t="str">
        <x:v>2025-05</x:v>
      </x:c>
      <x:c r="C418" s="11" t="str">
        <x:v>מאי 25</x:v>
      </x:c>
      <x:c r="D418" s="15" t="n">
        <x:v>37</x:v>
      </x:c>
      <x:c r="E418" s="11" t="str">
        <x:v>6</x:v>
      </x:c>
      <x:c r="F418" s="11" t="str">
        <x:v>סופר</x:v>
      </x:c>
      <x:c r="G418" s="17" t="n">
        <x:v>30</x:v>
      </x:c>
      <x:c r="H418" s="18" t="str">
        <x:v>מזון לבית</x:v>
      </x:c>
      <x:c r="I418" s="19" t="str">
        <x:f>IFERROR(INDEX('מיפוי ומקורות'!$C$7:$C$33,MATCH(H418,'מיפוי ומקורות'!$B$7:$B$33,0)),"לא מסווג")</x:f>
        <x:v>מזון לבית</x:v>
      </x:c>
      <x:c r="J418" s="19" t="str">
        <x:f>IFERROR(INDEX('מיפוי ומקורות'!$D$7:$D$33,MATCH(H418,'מיפוי ומקורות'!$B$7:$B$33,0)),"שוטף")</x:f>
        <x:v>שוטף</x:v>
      </x:c>
      <x:c r="K418" s="19" t="str">
        <x:f>IF(OR(H418="ריביות",AND(H418="דירה כצנלסון",G418&lt;0,ISNUMBER(SEARCH("הכנסה",F418)))),"הכנסה שסווגה מחדש",J418)</x:f>
        <x:v>שוטף</x:v>
      </x:c>
      <x:c r="L418" s="19" t="str">
        <x:v>מאושר</x:v>
      </x:c>
      <x:c r="M418" s="20" t="n">
        <x:f>IF(L418="מאושר",IF(K418="הכנסה שסווגה מחדש",0,G418),0)</x:f>
        <x:v>30</x:v>
      </x:c>
      <x:c r="N418" s="20" t="n">
        <x:f>IF(K418="שוטף",M418,0)</x:f>
        <x:v>30</x:v>
      </x:c>
      <x:c r="O418" s="20" t="n">
        <x:f>IF(K418="הכנסה שסווגה מחדש",-G418,0)</x:f>
        <x:v>0</x:v>
      </x:c>
      <x:c r="P418" s="11" t="str">
        <x:v>אמקס עינור</x:v>
      </x:c>
      <x:c r="Q418" s="11" t="str"/>
      <x:c r="R418" s="11" t="str">
        <x:v>לא</x:v>
      </x:c>
    </x:row>
    <x:row r="419">
      <x:c r="A419" s="14" t="n">
        <x:v>45778</x:v>
      </x:c>
      <x:c r="B419" s="11" t="str">
        <x:v>2025-05</x:v>
      </x:c>
      <x:c r="C419" s="11" t="str">
        <x:v>מאי 25</x:v>
      </x:c>
      <x:c r="D419" s="15" t="n">
        <x:v>38</x:v>
      </x:c>
      <x:c r="E419" s="11" t="str">
        <x:v>6</x:v>
      </x:c>
      <x:c r="F419" s="11" t="str">
        <x:v>אוכל</x:v>
      </x:c>
      <x:c r="G419" s="17" t="n">
        <x:v>75</x:v>
      </x:c>
      <x:c r="H419" s="18" t="str">
        <x:v>אוכל בחוץ</x:v>
      </x:c>
      <x:c r="I419" s="19" t="str">
        <x:f>IFERROR(INDEX('מיפוי ומקורות'!$C$7:$C$33,MATCH(H419,'מיפוי ומקורות'!$B$7:$B$33,0)),"לא מסווג")</x:f>
        <x:v>אוכל בחוץ</x:v>
      </x:c>
      <x:c r="J419" s="19" t="str">
        <x:f>IFERROR(INDEX('מיפוי ומקורות'!$D$7:$D$33,MATCH(H419,'מיפוי ומקורות'!$B$7:$B$33,0)),"שוטף")</x:f>
        <x:v>שוטף</x:v>
      </x:c>
      <x:c r="K419" s="19" t="str">
        <x:f>IF(OR(H419="ריביות",AND(H419="דירה כצנלסון",G419&lt;0,ISNUMBER(SEARCH("הכנסה",F419)))),"הכנסה שסווגה מחדש",J419)</x:f>
        <x:v>שוטף</x:v>
      </x:c>
      <x:c r="L419" s="19" t="str">
        <x:v>מאושר</x:v>
      </x:c>
      <x:c r="M419" s="20" t="n">
        <x:f>IF(L419="מאושר",IF(K419="הכנסה שסווגה מחדש",0,G419),0)</x:f>
        <x:v>75</x:v>
      </x:c>
      <x:c r="N419" s="20" t="n">
        <x:f>IF(K419="שוטף",M419,0)</x:f>
        <x:v>75</x:v>
      </x:c>
      <x:c r="O419" s="20" t="n">
        <x:f>IF(K419="הכנסה שסווגה מחדש",-G419,0)</x:f>
        <x:v>0</x:v>
      </x:c>
      <x:c r="P419" s="11" t="str">
        <x:v>אמקס עינור</x:v>
      </x:c>
      <x:c r="Q419" s="11" t="str"/>
      <x:c r="R419" s="11" t="str">
        <x:v>לא</x:v>
      </x:c>
    </x:row>
    <x:row r="420">
      <x:c r="A420" s="14" t="n">
        <x:v>45778</x:v>
      </x:c>
      <x:c r="B420" s="11" t="str">
        <x:v>2025-05</x:v>
      </x:c>
      <x:c r="C420" s="11" t="str">
        <x:v>מאי 25</x:v>
      </x:c>
      <x:c r="D420" s="15" t="n">
        <x:v>39</x:v>
      </x:c>
      <x:c r="E420" s="11" t="str">
        <x:v>7</x:v>
      </x:c>
      <x:c r="F420" s="11" t="str">
        <x:v>גבות</x:v>
      </x:c>
      <x:c r="G420" s="17" t="n">
        <x:v>70</x:v>
      </x:c>
      <x:c r="H420" s="18" t="str">
        <x:v>חתונה</x:v>
      </x:c>
      <x:c r="I420" s="19" t="str">
        <x:f>IFERROR(INDEX('מיפוי ומקורות'!$C$7:$C$33,MATCH(H420,'מיפוי ומקורות'!$B$7:$B$33,0)),"לא מסווג")</x:f>
        <x:v>חתונה</x:v>
      </x:c>
      <x:c r="J420" s="19" t="str">
        <x:f>IFERROR(INDEX('מיפוי ומקורות'!$D$7:$D$33,MATCH(H420,'מיפוי ומקורות'!$B$7:$B$33,0)),"שוטף")</x:f>
        <x:v>חריג</x:v>
      </x:c>
      <x:c r="K420" s="19" t="str">
        <x:f>IF(OR(H420="ריביות",AND(H420="דירה כצנלסון",G420&lt;0,ISNUMBER(SEARCH("הכנסה",F420)))),"הכנסה שסווגה מחדש",J420)</x:f>
        <x:v>חריג</x:v>
      </x:c>
      <x:c r="L420" s="19" t="str">
        <x:v>מאושר</x:v>
      </x:c>
      <x:c r="M420" s="20" t="n">
        <x:f>IF(L420="מאושר",IF(K420="הכנסה שסווגה מחדש",0,G420),0)</x:f>
        <x:v>70</x:v>
      </x:c>
      <x:c r="N420" s="20" t="n">
        <x:f>IF(K420="שוטף",M420,0)</x:f>
        <x:v>0</x:v>
      </x:c>
      <x:c r="O420" s="20" t="n">
        <x:f>IF(K420="הכנסה שסווגה מחדש",-G420,0)</x:f>
        <x:v>0</x:v>
      </x:c>
      <x:c r="P420" s="11" t="str">
        <x:v>אמקס עינור</x:v>
      </x:c>
      <x:c r="Q420" s="11" t="str"/>
      <x:c r="R420" s="11" t="str">
        <x:v>לא</x:v>
      </x:c>
    </x:row>
    <x:row r="421">
      <x:c r="A421" s="14" t="n">
        <x:v>45778</x:v>
      </x:c>
      <x:c r="B421" s="11" t="str">
        <x:v>2025-05</x:v>
      </x:c>
      <x:c r="C421" s="11" t="str">
        <x:v>מאי 25</x:v>
      </x:c>
      <x:c r="D421" s="15" t="n">
        <x:v>40</x:v>
      </x:c>
      <x:c r="E421" s="11" t="str">
        <x:v>8</x:v>
      </x:c>
      <x:c r="F421" s="11" t="str">
        <x:v>סופר</x:v>
      </x:c>
      <x:c r="G421" s="17" t="n">
        <x:v>79</x:v>
      </x:c>
      <x:c r="H421" s="18" t="str">
        <x:v>מזון לבית</x:v>
      </x:c>
      <x:c r="I421" s="19" t="str">
        <x:f>IFERROR(INDEX('מיפוי ומקורות'!$C$7:$C$33,MATCH(H421,'מיפוי ומקורות'!$B$7:$B$33,0)),"לא מסווג")</x:f>
        <x:v>מזון לבית</x:v>
      </x:c>
      <x:c r="J421" s="19" t="str">
        <x:f>IFERROR(INDEX('מיפוי ומקורות'!$D$7:$D$33,MATCH(H421,'מיפוי ומקורות'!$B$7:$B$33,0)),"שוטף")</x:f>
        <x:v>שוטף</x:v>
      </x:c>
      <x:c r="K421" s="19" t="str">
        <x:f>IF(OR(H421="ריביות",AND(H421="דירה כצנלסון",G421&lt;0,ISNUMBER(SEARCH("הכנסה",F421)))),"הכנסה שסווגה מחדש",J421)</x:f>
        <x:v>שוטף</x:v>
      </x:c>
      <x:c r="L421" s="19" t="str">
        <x:v>מאושר</x:v>
      </x:c>
      <x:c r="M421" s="20" t="n">
        <x:f>IF(L421="מאושר",IF(K421="הכנסה שסווגה מחדש",0,G421),0)</x:f>
        <x:v>79</x:v>
      </x:c>
      <x:c r="N421" s="20" t="n">
        <x:f>IF(K421="שוטף",M421,0)</x:f>
        <x:v>79</x:v>
      </x:c>
      <x:c r="O421" s="20" t="n">
        <x:f>IF(K421="הכנסה שסווגה מחדש",-G421,0)</x:f>
        <x:v>0</x:v>
      </x:c>
      <x:c r="P421" s="11" t="str">
        <x:v>אמקס עינור</x:v>
      </x:c>
      <x:c r="Q421" s="11" t="str"/>
      <x:c r="R421" s="11" t="str">
        <x:v>לא</x:v>
      </x:c>
    </x:row>
    <x:row r="422">
      <x:c r="A422" s="14" t="n">
        <x:v>45778</x:v>
      </x:c>
      <x:c r="B422" s="11" t="str">
        <x:v>2025-05</x:v>
      </x:c>
      <x:c r="C422" s="11" t="str">
        <x:v>מאי 25</x:v>
      </x:c>
      <x:c r="D422" s="15" t="n">
        <x:v>41</x:v>
      </x:c>
      <x:c r="E422" s="11" t="str">
        <x:v>8</x:v>
      </x:c>
      <x:c r="F422" s="11" t="str">
        <x:v>פדיקור</x:v>
      </x:c>
      <x:c r="G422" s="17" t="n">
        <x:v>160</x:v>
      </x:c>
      <x:c r="H422" s="18" t="str">
        <x:v>חתונה</x:v>
      </x:c>
      <x:c r="I422" s="19" t="str">
        <x:f>IFERROR(INDEX('מיפוי ומקורות'!$C$7:$C$33,MATCH(H422,'מיפוי ומקורות'!$B$7:$B$33,0)),"לא מסווג")</x:f>
        <x:v>חתונה</x:v>
      </x:c>
      <x:c r="J422" s="19" t="str">
        <x:f>IFERROR(INDEX('מיפוי ומקורות'!$D$7:$D$33,MATCH(H422,'מיפוי ומקורות'!$B$7:$B$33,0)),"שוטף")</x:f>
        <x:v>חריג</x:v>
      </x:c>
      <x:c r="K422" s="19" t="str">
        <x:f>IF(OR(H422="ריביות",AND(H422="דירה כצנלסון",G422&lt;0,ISNUMBER(SEARCH("הכנסה",F422)))),"הכנסה שסווגה מחדש",J422)</x:f>
        <x:v>חריג</x:v>
      </x:c>
      <x:c r="L422" s="19" t="str">
        <x:v>מאושר</x:v>
      </x:c>
      <x:c r="M422" s="20" t="n">
        <x:f>IF(L422="מאושר",IF(K422="הכנסה שסווגה מחדש",0,G422),0)</x:f>
        <x:v>160</x:v>
      </x:c>
      <x:c r="N422" s="20" t="n">
        <x:f>IF(K422="שוטף",M422,0)</x:f>
        <x:v>0</x:v>
      </x:c>
      <x:c r="O422" s="20" t="n">
        <x:f>IF(K422="הכנסה שסווגה מחדש",-G422,0)</x:f>
        <x:v>0</x:v>
      </x:c>
      <x:c r="P422" s="11" t="str">
        <x:v>אמקס עינור</x:v>
      </x:c>
      <x:c r="Q422" s="11" t="str"/>
      <x:c r="R422" s="11" t="str">
        <x:v>לא</x:v>
      </x:c>
    </x:row>
    <x:row r="423">
      <x:c r="A423" s="14" t="n">
        <x:v>45778</x:v>
      </x:c>
      <x:c r="B423" s="11" t="str">
        <x:v>2025-05</x:v>
      </x:c>
      <x:c r="C423" s="11" t="str">
        <x:v>מאי 25</x:v>
      </x:c>
      <x:c r="D423" s="15" t="n">
        <x:v>42</x:v>
      </x:c>
      <x:c r="E423" s="11" t="str">
        <x:v>8</x:v>
      </x:c>
      <x:c r="F423" s="11" t="str">
        <x:v>פרחים</x:v>
      </x:c>
      <x:c r="G423" s="17" t="n">
        <x:v>62</x:v>
      </x:c>
      <x:c r="H423" s="18" t="str">
        <x:v>חתונה</x:v>
      </x:c>
      <x:c r="I423" s="19" t="str">
        <x:f>IFERROR(INDEX('מיפוי ומקורות'!$C$7:$C$33,MATCH(H423,'מיפוי ומקורות'!$B$7:$B$33,0)),"לא מסווג")</x:f>
        <x:v>חתונה</x:v>
      </x:c>
      <x:c r="J423" s="19" t="str">
        <x:f>IFERROR(INDEX('מיפוי ומקורות'!$D$7:$D$33,MATCH(H423,'מיפוי ומקורות'!$B$7:$B$33,0)),"שוטף")</x:f>
        <x:v>חריג</x:v>
      </x:c>
      <x:c r="K423" s="19" t="str">
        <x:f>IF(OR(H423="ריביות",AND(H423="דירה כצנלסון",G423&lt;0,ISNUMBER(SEARCH("הכנסה",F423)))),"הכנסה שסווגה מחדש",J423)</x:f>
        <x:v>חריג</x:v>
      </x:c>
      <x:c r="L423" s="19" t="str">
        <x:v>מאושר</x:v>
      </x:c>
      <x:c r="M423" s="20" t="n">
        <x:f>IF(L423="מאושר",IF(K423="הכנסה שסווגה מחדש",0,G423),0)</x:f>
        <x:v>62</x:v>
      </x:c>
      <x:c r="N423" s="20" t="n">
        <x:f>IF(K423="שוטף",M423,0)</x:f>
        <x:v>0</x:v>
      </x:c>
      <x:c r="O423" s="20" t="n">
        <x:f>IF(K423="הכנסה שסווגה מחדש",-G423,0)</x:f>
        <x:v>0</x:v>
      </x:c>
      <x:c r="P423" s="11" t="str">
        <x:v>אמקס עינור</x:v>
      </x:c>
      <x:c r="Q423" s="11" t="str"/>
      <x:c r="R423" s="11" t="str">
        <x:v>לא</x:v>
      </x:c>
    </x:row>
    <x:row r="424">
      <x:c r="A424" s="14" t="n">
        <x:v>45778</x:v>
      </x:c>
      <x:c r="B424" s="11" t="str">
        <x:v>2025-05</x:v>
      </x:c>
      <x:c r="C424" s="11" t="str">
        <x:v>מאי 25</x:v>
      </x:c>
      <x:c r="D424" s="15" t="n">
        <x:v>43</x:v>
      </x:c>
      <x:c r="E424" s="11" t="str">
        <x:v>8</x:v>
      </x:c>
      <x:c r="F424" s="11" t="str">
        <x:v>סופר</x:v>
      </x:c>
      <x:c r="G424" s="17" t="n">
        <x:v>17</x:v>
      </x:c>
      <x:c r="H424" s="18" t="str">
        <x:v>מזון לבית</x:v>
      </x:c>
      <x:c r="I424" s="19" t="str">
        <x:f>IFERROR(INDEX('מיפוי ומקורות'!$C$7:$C$33,MATCH(H424,'מיפוי ומקורות'!$B$7:$B$33,0)),"לא מסווג")</x:f>
        <x:v>מזון לבית</x:v>
      </x:c>
      <x:c r="J424" s="19" t="str">
        <x:f>IFERROR(INDEX('מיפוי ומקורות'!$D$7:$D$33,MATCH(H424,'מיפוי ומקורות'!$B$7:$B$33,0)),"שוטף")</x:f>
        <x:v>שוטף</x:v>
      </x:c>
      <x:c r="K424" s="19" t="str">
        <x:f>IF(OR(H424="ריביות",AND(H424="דירה כצנלסון",G424&lt;0,ISNUMBER(SEARCH("הכנסה",F424)))),"הכנסה שסווגה מחדש",J424)</x:f>
        <x:v>שוטף</x:v>
      </x:c>
      <x:c r="L424" s="19" t="str">
        <x:v>מאושר</x:v>
      </x:c>
      <x:c r="M424" s="20" t="n">
        <x:f>IF(L424="מאושר",IF(K424="הכנסה שסווגה מחדש",0,G424),0)</x:f>
        <x:v>17</x:v>
      </x:c>
      <x:c r="N424" s="20" t="n">
        <x:f>IF(K424="שוטף",M424,0)</x:f>
        <x:v>17</x:v>
      </x:c>
      <x:c r="O424" s="20" t="n">
        <x:f>IF(K424="הכנסה שסווגה מחדש",-G424,0)</x:f>
        <x:v>0</x:v>
      </x:c>
      <x:c r="P424" s="11" t="str">
        <x:v>אמקס עינור</x:v>
      </x:c>
      <x:c r="Q424" s="11" t="str"/>
      <x:c r="R424" s="11" t="str">
        <x:v>לא</x:v>
      </x:c>
    </x:row>
    <x:row r="425">
      <x:c r="A425" s="14" t="n">
        <x:v>45778</x:v>
      </x:c>
      <x:c r="B425" s="11" t="str">
        <x:v>2025-05</x:v>
      </x:c>
      <x:c r="C425" s="11" t="str">
        <x:v>מאי 25</x:v>
      </x:c>
      <x:c r="D425" s="15" t="n">
        <x:v>44</x:v>
      </x:c>
      <x:c r="E425" s="11" t="str">
        <x:v>10</x:v>
      </x:c>
      <x:c r="F425" s="11" t="str">
        <x:v>סיבוס</x:v>
      </x:c>
      <x:c r="G425" s="17" t="n">
        <x:v>46</x:v>
      </x:c>
      <x:c r="H425" s="18" t="str">
        <x:v>מזון לבית</x:v>
      </x:c>
      <x:c r="I425" s="19" t="str">
        <x:f>IFERROR(INDEX('מיפוי ומקורות'!$C$7:$C$33,MATCH(H425,'מיפוי ומקורות'!$B$7:$B$33,0)),"לא מסווג")</x:f>
        <x:v>מזון לבית</x:v>
      </x:c>
      <x:c r="J425" s="19" t="str">
        <x:f>IFERROR(INDEX('מיפוי ומקורות'!$D$7:$D$33,MATCH(H425,'מיפוי ומקורות'!$B$7:$B$33,0)),"שוטף")</x:f>
        <x:v>שוטף</x:v>
      </x:c>
      <x:c r="K425" s="19" t="str">
        <x:f>IF(OR(H425="ריביות",AND(H425="דירה כצנלסון",G425&lt;0,ISNUMBER(SEARCH("הכנסה",F425)))),"הכנסה שסווגה מחדש",J425)</x:f>
        <x:v>שוטף</x:v>
      </x:c>
      <x:c r="L425" s="19" t="str">
        <x:v>מאושר</x:v>
      </x:c>
      <x:c r="M425" s="20" t="n">
        <x:f>IF(L425="מאושר",IF(K425="הכנסה שסווגה מחדש",0,G425),0)</x:f>
        <x:v>46</x:v>
      </x:c>
      <x:c r="N425" s="20" t="n">
        <x:f>IF(K425="שוטף",M425,0)</x:f>
        <x:v>46</x:v>
      </x:c>
      <x:c r="O425" s="20" t="n">
        <x:f>IF(K425="הכנסה שסווגה מחדש",-G425,0)</x:f>
        <x:v>0</x:v>
      </x:c>
      <x:c r="P425" s="11" t="str">
        <x:v>אמקס עינור</x:v>
      </x:c>
      <x:c r="Q425" s="11" t="str"/>
      <x:c r="R425" s="11" t="str">
        <x:v>לא</x:v>
      </x:c>
    </x:row>
    <x:row r="426">
      <x:c r="A426" s="14" t="n">
        <x:v>45778</x:v>
      </x:c>
      <x:c r="B426" s="11" t="str">
        <x:v>2025-05</x:v>
      </x:c>
      <x:c r="C426" s="11" t="str">
        <x:v>מאי 25</x:v>
      </x:c>
      <x:c r="D426" s="15" t="n">
        <x:v>45</x:v>
      </x:c>
      <x:c r="E426" s="11" t="str">
        <x:v>14</x:v>
      </x:c>
      <x:c r="F426" s="11" t="str">
        <x:v>אוכל</x:v>
      </x:c>
      <x:c r="G426" s="17" t="n">
        <x:v>24</x:v>
      </x:c>
      <x:c r="H426" s="18" t="str">
        <x:v>אוכל בחוץ</x:v>
      </x:c>
      <x:c r="I426" s="19" t="str">
        <x:f>IFERROR(INDEX('מיפוי ומקורות'!$C$7:$C$33,MATCH(H426,'מיפוי ומקורות'!$B$7:$B$33,0)),"לא מסווג")</x:f>
        <x:v>אוכל בחוץ</x:v>
      </x:c>
      <x:c r="J426" s="19" t="str">
        <x:f>IFERROR(INDEX('מיפוי ומקורות'!$D$7:$D$33,MATCH(H426,'מיפוי ומקורות'!$B$7:$B$33,0)),"שוטף")</x:f>
        <x:v>שוטף</x:v>
      </x:c>
      <x:c r="K426" s="19" t="str">
        <x:f>IF(OR(H426="ריביות",AND(H426="דירה כצנלסון",G426&lt;0,ISNUMBER(SEARCH("הכנסה",F426)))),"הכנסה שסווגה מחדש",J426)</x:f>
        <x:v>שוטף</x:v>
      </x:c>
      <x:c r="L426" s="19" t="str">
        <x:v>מאושר</x:v>
      </x:c>
      <x:c r="M426" s="20" t="n">
        <x:f>IF(L426="מאושר",IF(K426="הכנסה שסווגה מחדש",0,G426),0)</x:f>
        <x:v>24</x:v>
      </x:c>
      <x:c r="N426" s="20" t="n">
        <x:f>IF(K426="שוטף",M426,0)</x:f>
        <x:v>24</x:v>
      </x:c>
      <x:c r="O426" s="20" t="n">
        <x:f>IF(K426="הכנסה שסווגה מחדש",-G426,0)</x:f>
        <x:v>0</x:v>
      </x:c>
      <x:c r="P426" s="11" t="str">
        <x:v>אמקס עינור</x:v>
      </x:c>
      <x:c r="Q426" s="11" t="str"/>
      <x:c r="R426" s="11" t="str">
        <x:v>לא</x:v>
      </x:c>
    </x:row>
    <x:row r="427">
      <x:c r="A427" s="14" t="n">
        <x:v>45778</x:v>
      </x:c>
      <x:c r="B427" s="11" t="str">
        <x:v>2025-05</x:v>
      </x:c>
      <x:c r="C427" s="11" t="str">
        <x:v>מאי 25</x:v>
      </x:c>
      <x:c r="D427" s="15" t="n">
        <x:v>46</x:v>
      </x:c>
      <x:c r="E427" s="11" t="str">
        <x:v>14</x:v>
      </x:c>
      <x:c r="F427" s="11" t="str">
        <x:v>סופר</x:v>
      </x:c>
      <x:c r="G427" s="17" t="n">
        <x:v>49</x:v>
      </x:c>
      <x:c r="H427" s="18" t="str">
        <x:v>מזון לבית</x:v>
      </x:c>
      <x:c r="I427" s="19" t="str">
        <x:f>IFERROR(INDEX('מיפוי ומקורות'!$C$7:$C$33,MATCH(H427,'מיפוי ומקורות'!$B$7:$B$33,0)),"לא מסווג")</x:f>
        <x:v>מזון לבית</x:v>
      </x:c>
      <x:c r="J427" s="19" t="str">
        <x:f>IFERROR(INDEX('מיפוי ומקורות'!$D$7:$D$33,MATCH(H427,'מיפוי ומקורות'!$B$7:$B$33,0)),"שוטף")</x:f>
        <x:v>שוטף</x:v>
      </x:c>
      <x:c r="K427" s="19" t="str">
        <x:f>IF(OR(H427="ריביות",AND(H427="דירה כצנלסון",G427&lt;0,ISNUMBER(SEARCH("הכנסה",F427)))),"הכנסה שסווגה מחדש",J427)</x:f>
        <x:v>שוטף</x:v>
      </x:c>
      <x:c r="L427" s="19" t="str">
        <x:v>מאושר</x:v>
      </x:c>
      <x:c r="M427" s="20" t="n">
        <x:f>IF(L427="מאושר",IF(K427="הכנסה שסווגה מחדש",0,G427),0)</x:f>
        <x:v>49</x:v>
      </x:c>
      <x:c r="N427" s="20" t="n">
        <x:f>IF(K427="שוטף",M427,0)</x:f>
        <x:v>49</x:v>
      </x:c>
      <x:c r="O427" s="20" t="n">
        <x:f>IF(K427="הכנסה שסווגה מחדש",-G427,0)</x:f>
        <x:v>0</x:v>
      </x:c>
      <x:c r="P427" s="11" t="str">
        <x:v>אמקס עינור</x:v>
      </x:c>
      <x:c r="Q427" s="11" t="str"/>
      <x:c r="R427" s="11" t="str">
        <x:v>לא</x:v>
      </x:c>
    </x:row>
    <x:row r="428">
      <x:c r="A428" s="14" t="n">
        <x:v>45778</x:v>
      </x:c>
      <x:c r="B428" s="11" t="str">
        <x:v>2025-05</x:v>
      </x:c>
      <x:c r="C428" s="11" t="str">
        <x:v>מאי 25</x:v>
      </x:c>
      <x:c r="D428" s="15" t="n">
        <x:v>47</x:v>
      </x:c>
      <x:c r="E428" s="11" t="str">
        <x:v>14</x:v>
      </x:c>
      <x:c r="F428" s="11" t="str">
        <x:v>סיישל כרטיס עינור</x:v>
      </x:c>
      <x:c r="G428" s="17" t="n">
        <x:v>502</x:v>
      </x:c>
      <x:c r="H428" s="18" t="str">
        <x:v>חתונה</x:v>
      </x:c>
      <x:c r="I428" s="19" t="str">
        <x:f>IFERROR(INDEX('מיפוי ומקורות'!$C$7:$C$33,MATCH(H428,'מיפוי ומקורות'!$B$7:$B$33,0)),"לא מסווג")</x:f>
        <x:v>חתונה</x:v>
      </x:c>
      <x:c r="J428" s="19" t="str">
        <x:f>IFERROR(INDEX('מיפוי ומקורות'!$D$7:$D$33,MATCH(H428,'מיפוי ומקורות'!$B$7:$B$33,0)),"שוטף")</x:f>
        <x:v>חריג</x:v>
      </x:c>
      <x:c r="K428" s="19" t="str">
        <x:f>IF(OR(H428="ריביות",AND(H428="דירה כצנלסון",G428&lt;0,ISNUMBER(SEARCH("הכנסה",F428)))),"הכנסה שסווגה מחדש",J428)</x:f>
        <x:v>חריג</x:v>
      </x:c>
      <x:c r="L428" s="19" t="str">
        <x:v>מאושר</x:v>
      </x:c>
      <x:c r="M428" s="20" t="n">
        <x:f>IF(L428="מאושר",IF(K428="הכנסה שסווגה מחדש",0,G428),0)</x:f>
        <x:v>502</x:v>
      </x:c>
      <x:c r="N428" s="20" t="n">
        <x:f>IF(K428="שוטף",M428,0)</x:f>
        <x:v>0</x:v>
      </x:c>
      <x:c r="O428" s="20" t="n">
        <x:f>IF(K428="הכנסה שסווגה מחדש",-G428,0)</x:f>
        <x:v>0</x:v>
      </x:c>
      <x:c r="P428" s="11" t="str">
        <x:v>אמקס עינור</x:v>
      </x:c>
      <x:c r="Q428" s="11" t="str"/>
      <x:c r="R428" s="11" t="str">
        <x:v>לא</x:v>
      </x:c>
    </x:row>
    <x:row r="429">
      <x:c r="A429" s="14" t="n">
        <x:v>45778</x:v>
      </x:c>
      <x:c r="B429" s="11" t="str">
        <x:v>2025-05</x:v>
      </x:c>
      <x:c r="C429" s="11" t="str">
        <x:v>מאי 25</x:v>
      </x:c>
      <x:c r="D429" s="15" t="n">
        <x:v>49</x:v>
      </x:c>
      <x:c r="E429" s="11" t="str">
        <x:v>22</x:v>
      </x:c>
      <x:c r="F429" s="11" t="str">
        <x:v>פירות</x:v>
      </x:c>
      <x:c r="G429" s="17" t="n">
        <x:v>12</x:v>
      </x:c>
      <x:c r="H429" s="18" t="str">
        <x:v>מזון לבית</x:v>
      </x:c>
      <x:c r="I429" s="19" t="str">
        <x:f>IFERROR(INDEX('מיפוי ומקורות'!$C$7:$C$33,MATCH(H429,'מיפוי ומקורות'!$B$7:$B$33,0)),"לא מסווג")</x:f>
        <x:v>מזון לבית</x:v>
      </x:c>
      <x:c r="J429" s="19" t="str">
        <x:f>IFERROR(INDEX('מיפוי ומקורות'!$D$7:$D$33,MATCH(H429,'מיפוי ומקורות'!$B$7:$B$33,0)),"שוטף")</x:f>
        <x:v>שוטף</x:v>
      </x:c>
      <x:c r="K429" s="19" t="str">
        <x:f>IF(OR(H429="ריביות",AND(H429="דירה כצנלסון",G429&lt;0,ISNUMBER(SEARCH("הכנסה",F429)))),"הכנסה שסווגה מחדש",J429)</x:f>
        <x:v>שוטף</x:v>
      </x:c>
      <x:c r="L429" s="19" t="str">
        <x:v>מאושר</x:v>
      </x:c>
      <x:c r="M429" s="20" t="n">
        <x:f>IF(L429="מאושר",IF(K429="הכנסה שסווגה מחדש",0,G429),0)</x:f>
        <x:v>12</x:v>
      </x:c>
      <x:c r="N429" s="20" t="n">
        <x:f>IF(K429="שוטף",M429,0)</x:f>
        <x:v>12</x:v>
      </x:c>
      <x:c r="O429" s="20" t="n">
        <x:f>IF(K429="הכנסה שסווגה מחדש",-G429,0)</x:f>
        <x:v>0</x:v>
      </x:c>
      <x:c r="P429" s="11" t="str">
        <x:v>אמקס עינור</x:v>
      </x:c>
      <x:c r="Q429" s="11" t="str"/>
      <x:c r="R429" s="11" t="str">
        <x:v>לא</x:v>
      </x:c>
    </x:row>
    <x:row r="430">
      <x:c r="A430" s="14" t="n">
        <x:v>45778</x:v>
      </x:c>
      <x:c r="B430" s="11" t="str">
        <x:v>2025-05</x:v>
      </x:c>
      <x:c r="C430" s="11" t="str">
        <x:v>מאי 25</x:v>
      </x:c>
      <x:c r="D430" s="15" t="n">
        <x:v>50</x:v>
      </x:c>
      <x:c r="E430" s="11" t="str">
        <x:v>22</x:v>
      </x:c>
      <x:c r="F430" s="11" t="str">
        <x:v>אוכל</x:v>
      </x:c>
      <x:c r="G430" s="17" t="n">
        <x:v>77</x:v>
      </x:c>
      <x:c r="H430" s="18" t="str">
        <x:v>אוכל בחוץ</x:v>
      </x:c>
      <x:c r="I430" s="19" t="str">
        <x:f>IFERROR(INDEX('מיפוי ומקורות'!$C$7:$C$33,MATCH(H430,'מיפוי ומקורות'!$B$7:$B$33,0)),"לא מסווג")</x:f>
        <x:v>אוכל בחוץ</x:v>
      </x:c>
      <x:c r="J430" s="19" t="str">
        <x:f>IFERROR(INDEX('מיפוי ומקורות'!$D$7:$D$33,MATCH(H430,'מיפוי ומקורות'!$B$7:$B$33,0)),"שוטף")</x:f>
        <x:v>שוטף</x:v>
      </x:c>
      <x:c r="K430" s="19" t="str">
        <x:f>IF(OR(H430="ריביות",AND(H430="דירה כצנלסון",G430&lt;0,ISNUMBER(SEARCH("הכנסה",F430)))),"הכנסה שסווגה מחדש",J430)</x:f>
        <x:v>שוטף</x:v>
      </x:c>
      <x:c r="L430" s="19" t="str">
        <x:v>מאושר</x:v>
      </x:c>
      <x:c r="M430" s="20" t="n">
        <x:f>IF(L430="מאושר",IF(K430="הכנסה שסווגה מחדש",0,G430),0)</x:f>
        <x:v>77</x:v>
      </x:c>
      <x:c r="N430" s="20" t="n">
        <x:f>IF(K430="שוטף",M430,0)</x:f>
        <x:v>77</x:v>
      </x:c>
      <x:c r="O430" s="20" t="n">
        <x:f>IF(K430="הכנסה שסווגה מחדש",-G430,0)</x:f>
        <x:v>0</x:v>
      </x:c>
      <x:c r="P430" s="11" t="str">
        <x:v>אמקס עינור</x:v>
      </x:c>
      <x:c r="Q430" s="11" t="str"/>
      <x:c r="R430" s="11" t="str">
        <x:v>לא</x:v>
      </x:c>
    </x:row>
    <x:row r="431">
      <x:c r="A431" s="14" t="n">
        <x:v>45778</x:v>
      </x:c>
      <x:c r="B431" s="11" t="str">
        <x:v>2025-05</x:v>
      </x:c>
      <x:c r="C431" s="11" t="str">
        <x:v>מאי 25</x:v>
      </x:c>
      <x:c r="D431" s="15" t="n">
        <x:v>51</x:v>
      </x:c>
      <x:c r="E431" s="11" t="str">
        <x:v>22</x:v>
      </x:c>
      <x:c r="F431" s="11" t="str">
        <x:v>סופר</x:v>
      </x:c>
      <x:c r="G431" s="17" t="n">
        <x:v>221</x:v>
      </x:c>
      <x:c r="H431" s="18" t="str">
        <x:v>מזון לבית</x:v>
      </x:c>
      <x:c r="I431" s="19" t="str">
        <x:f>IFERROR(INDEX('מיפוי ומקורות'!$C$7:$C$33,MATCH(H431,'מיפוי ומקורות'!$B$7:$B$33,0)),"לא מסווג")</x:f>
        <x:v>מזון לבית</x:v>
      </x:c>
      <x:c r="J431" s="19" t="str">
        <x:f>IFERROR(INDEX('מיפוי ומקורות'!$D$7:$D$33,MATCH(H431,'מיפוי ומקורות'!$B$7:$B$33,0)),"שוטף")</x:f>
        <x:v>שוטף</x:v>
      </x:c>
      <x:c r="K431" s="19" t="str">
        <x:f>IF(OR(H431="ריביות",AND(H431="דירה כצנלסון",G431&lt;0,ISNUMBER(SEARCH("הכנסה",F431)))),"הכנסה שסווגה מחדש",J431)</x:f>
        <x:v>שוטף</x:v>
      </x:c>
      <x:c r="L431" s="19" t="str">
        <x:v>מאושר</x:v>
      </x:c>
      <x:c r="M431" s="20" t="n">
        <x:f>IF(L431="מאושר",IF(K431="הכנסה שסווגה מחדש",0,G431),0)</x:f>
        <x:v>221</x:v>
      </x:c>
      <x:c r="N431" s="20" t="n">
        <x:f>IF(K431="שוטף",M431,0)</x:f>
        <x:v>221</x:v>
      </x:c>
      <x:c r="O431" s="20" t="n">
        <x:f>IF(K431="הכנסה שסווגה מחדש",-G431,0)</x:f>
        <x:v>0</x:v>
      </x:c>
      <x:c r="P431" s="11" t="str">
        <x:v>אמקס עינור</x:v>
      </x:c>
      <x:c r="Q431" s="11" t="str"/>
      <x:c r="R431" s="11" t="str">
        <x:v>לא</x:v>
      </x:c>
    </x:row>
    <x:row r="432">
      <x:c r="A432" s="14" t="n">
        <x:v>45778</x:v>
      </x:c>
      <x:c r="B432" s="11" t="str">
        <x:v>2025-05</x:v>
      </x:c>
      <x:c r="C432" s="11" t="str">
        <x:v>מאי 25</x:v>
      </x:c>
      <x:c r="D432" s="15" t="n">
        <x:v>52</x:v>
      </x:c>
      <x:c r="E432" s="11" t="str">
        <x:v>23</x:v>
      </x:c>
      <x:c r="F432" s="11" t="str">
        <x:v>סופר</x:v>
      </x:c>
      <x:c r="G432" s="17" t="n">
        <x:v>260</x:v>
      </x:c>
      <x:c r="H432" s="18" t="str">
        <x:v>מזון לבית</x:v>
      </x:c>
      <x:c r="I432" s="19" t="str">
        <x:f>IFERROR(INDEX('מיפוי ומקורות'!$C$7:$C$33,MATCH(H432,'מיפוי ומקורות'!$B$7:$B$33,0)),"לא מסווג")</x:f>
        <x:v>מזון לבית</x:v>
      </x:c>
      <x:c r="J432" s="19" t="str">
        <x:f>IFERROR(INDEX('מיפוי ומקורות'!$D$7:$D$33,MATCH(H432,'מיפוי ומקורות'!$B$7:$B$33,0)),"שוטף")</x:f>
        <x:v>שוטף</x:v>
      </x:c>
      <x:c r="K432" s="19" t="str">
        <x:f>IF(OR(H432="ריביות",AND(H432="דירה כצנלסון",G432&lt;0,ISNUMBER(SEARCH("הכנסה",F432)))),"הכנסה שסווגה מחדש",J432)</x:f>
        <x:v>שוטף</x:v>
      </x:c>
      <x:c r="L432" s="19" t="str">
        <x:v>מאושר</x:v>
      </x:c>
      <x:c r="M432" s="20" t="n">
        <x:f>IF(L432="מאושר",IF(K432="הכנסה שסווגה מחדש",0,G432),0)</x:f>
        <x:v>260</x:v>
      </x:c>
      <x:c r="N432" s="20" t="n">
        <x:f>IF(K432="שוטף",M432,0)</x:f>
        <x:v>260</x:v>
      </x:c>
      <x:c r="O432" s="20" t="n">
        <x:f>IF(K432="הכנסה שסווגה מחדש",-G432,0)</x:f>
        <x:v>0</x:v>
      </x:c>
      <x:c r="P432" s="11" t="str">
        <x:v>אמקס עינור</x:v>
      </x:c>
      <x:c r="Q432" s="11" t="str"/>
      <x:c r="R432" s="11" t="str">
        <x:v>לא</x:v>
      </x:c>
    </x:row>
    <x:row r="433">
      <x:c r="A433" s="14" t="n">
        <x:v>45778</x:v>
      </x:c>
      <x:c r="B433" s="11" t="str">
        <x:v>2025-05</x:v>
      </x:c>
      <x:c r="C433" s="11" t="str">
        <x:v>מאי 25</x:v>
      </x:c>
      <x:c r="D433" s="15" t="n">
        <x:v>53</x:v>
      </x:c>
      <x:c r="E433" s="11" t="str">
        <x:v>25</x:v>
      </x:c>
      <x:c r="F433" s="11" t="str">
        <x:v>סופר</x:v>
      </x:c>
      <x:c r="G433" s="17" t="n">
        <x:v>-29</x:v>
      </x:c>
      <x:c r="H433" s="18" t="str">
        <x:v>מזון לבית</x:v>
      </x:c>
      <x:c r="I433" s="19" t="str">
        <x:f>IFERROR(INDEX('מיפוי ומקורות'!$C$7:$C$33,MATCH(H433,'מיפוי ומקורות'!$B$7:$B$33,0)),"לא מסווג")</x:f>
        <x:v>מזון לבית</x:v>
      </x:c>
      <x:c r="J433" s="19" t="str">
        <x:f>IFERROR(INDEX('מיפוי ומקורות'!$D$7:$D$33,MATCH(H433,'מיפוי ומקורות'!$B$7:$B$33,0)),"שוטף")</x:f>
        <x:v>שוטף</x:v>
      </x:c>
      <x:c r="K433" s="19" t="str">
        <x:f>IF(OR(H433="ריביות",AND(H433="דירה כצנלסון",G433&lt;0,ISNUMBER(SEARCH("הכנסה",F433)))),"הכנסה שסווגה מחדש",J433)</x:f>
        <x:v>שוטף</x:v>
      </x:c>
      <x:c r="L433" s="19" t="str">
        <x:v>מאושר</x:v>
      </x:c>
      <x:c r="M433" s="20" t="n">
        <x:f>IF(L433="מאושר",IF(K433="הכנסה שסווגה מחדש",0,G433),0)</x:f>
        <x:v>-29</x:v>
      </x:c>
      <x:c r="N433" s="20" t="n">
        <x:f>IF(K433="שוטף",M433,0)</x:f>
        <x:v>-29</x:v>
      </x:c>
      <x:c r="O433" s="20" t="n">
        <x:f>IF(K433="הכנסה שסווגה מחדש",-G433,0)</x:f>
        <x:v>0</x:v>
      </x:c>
      <x:c r="P433" s="11" t="str">
        <x:v>אמקס עינור</x:v>
      </x:c>
      <x:c r="Q433" s="11" t="str"/>
      <x:c r="R433" s="11" t="str">
        <x:v>לא</x:v>
      </x:c>
    </x:row>
    <x:row r="434">
      <x:c r="A434" s="14" t="n">
        <x:v>45778</x:v>
      </x:c>
      <x:c r="B434" s="11" t="str">
        <x:v>2025-05</x:v>
      </x:c>
      <x:c r="C434" s="11" t="str">
        <x:v>מאי 25</x:v>
      </x:c>
      <x:c r="D434" s="15" t="n">
        <x:v>54</x:v>
      </x:c>
      <x:c r="E434" s="11" t="str">
        <x:v>25</x:v>
      </x:c>
      <x:c r="F434" s="11" t="str">
        <x:v>בראנץ</x:v>
      </x:c>
      <x:c r="G434" s="17" t="n">
        <x:v>90</x:v>
      </x:c>
      <x:c r="H434" s="18" t="str">
        <x:v>אוכל בחוץ</x:v>
      </x:c>
      <x:c r="I434" s="19" t="str">
        <x:f>IFERROR(INDEX('מיפוי ומקורות'!$C$7:$C$33,MATCH(H434,'מיפוי ומקורות'!$B$7:$B$33,0)),"לא מסווג")</x:f>
        <x:v>אוכל בחוץ</x:v>
      </x:c>
      <x:c r="J434" s="19" t="str">
        <x:f>IFERROR(INDEX('מיפוי ומקורות'!$D$7:$D$33,MATCH(H434,'מיפוי ומקורות'!$B$7:$B$33,0)),"שוטף")</x:f>
        <x:v>שוטף</x:v>
      </x:c>
      <x:c r="K434" s="19" t="str">
        <x:f>IF(OR(H434="ריביות",AND(H434="דירה כצנלסון",G434&lt;0,ISNUMBER(SEARCH("הכנסה",F434)))),"הכנסה שסווגה מחדש",J434)</x:f>
        <x:v>שוטף</x:v>
      </x:c>
      <x:c r="L434" s="19" t="str">
        <x:v>מאושר</x:v>
      </x:c>
      <x:c r="M434" s="20" t="n">
        <x:f>IF(L434="מאושר",IF(K434="הכנסה שסווגה מחדש",0,G434),0)</x:f>
        <x:v>90</x:v>
      </x:c>
      <x:c r="N434" s="20" t="n">
        <x:f>IF(K434="שוטף",M434,0)</x:f>
        <x:v>90</x:v>
      </x:c>
      <x:c r="O434" s="20" t="n">
        <x:f>IF(K434="הכנסה שסווגה מחדש",-G434,0)</x:f>
        <x:v>0</x:v>
      </x:c>
      <x:c r="P434" s="11" t="str">
        <x:v>אמקס עינור</x:v>
      </x:c>
      <x:c r="Q434" s="11" t="str"/>
      <x:c r="R434" s="11" t="str">
        <x:v>לא</x:v>
      </x:c>
    </x:row>
    <x:row r="435">
      <x:c r="A435" s="14" t="n">
        <x:v>45778</x:v>
      </x:c>
      <x:c r="B435" s="11" t="str">
        <x:v>2025-05</x:v>
      </x:c>
      <x:c r="C435" s="11" t="str">
        <x:v>מאי 25</x:v>
      </x:c>
      <x:c r="D435" s="15" t="n">
        <x:v>55</x:v>
      </x:c>
      <x:c r="E435" s="11" t="str">
        <x:v>25</x:v>
      </x:c>
      <x:c r="F435" s="11" t="str">
        <x:v>סופר</x:v>
      </x:c>
      <x:c r="G435" s="17" t="n">
        <x:v>118</x:v>
      </x:c>
      <x:c r="H435" s="18" t="str">
        <x:v>מזון לבית</x:v>
      </x:c>
      <x:c r="I435" s="19" t="str">
        <x:f>IFERROR(INDEX('מיפוי ומקורות'!$C$7:$C$33,MATCH(H435,'מיפוי ומקורות'!$B$7:$B$33,0)),"לא מסווג")</x:f>
        <x:v>מזון לבית</x:v>
      </x:c>
      <x:c r="J435" s="19" t="str">
        <x:f>IFERROR(INDEX('מיפוי ומקורות'!$D$7:$D$33,MATCH(H435,'מיפוי ומקורות'!$B$7:$B$33,0)),"שוטף")</x:f>
        <x:v>שוטף</x:v>
      </x:c>
      <x:c r="K435" s="19" t="str">
        <x:f>IF(OR(H435="ריביות",AND(H435="דירה כצנלסון",G435&lt;0,ISNUMBER(SEARCH("הכנסה",F435)))),"הכנסה שסווגה מחדש",J435)</x:f>
        <x:v>שוטף</x:v>
      </x:c>
      <x:c r="L435" s="19" t="str">
        <x:v>מאושר</x:v>
      </x:c>
      <x:c r="M435" s="20" t="n">
        <x:f>IF(L435="מאושר",IF(K435="הכנסה שסווגה מחדש",0,G435),0)</x:f>
        <x:v>118</x:v>
      </x:c>
      <x:c r="N435" s="20" t="n">
        <x:f>IF(K435="שוטף",M435,0)</x:f>
        <x:v>118</x:v>
      </x:c>
      <x:c r="O435" s="20" t="n">
        <x:f>IF(K435="הכנסה שסווגה מחדש",-G435,0)</x:f>
        <x:v>0</x:v>
      </x:c>
      <x:c r="P435" s="11" t="str">
        <x:v>אמקס עינור</x:v>
      </x:c>
      <x:c r="Q435" s="11" t="str"/>
      <x:c r="R435" s="11" t="str">
        <x:v>לא</x:v>
      </x:c>
    </x:row>
    <x:row r="436">
      <x:c r="A436" s="14" t="n">
        <x:v>45778</x:v>
      </x:c>
      <x:c r="B436" s="11" t="str">
        <x:v>2025-05</x:v>
      </x:c>
      <x:c r="C436" s="11" t="str">
        <x:v>מאי 25</x:v>
      </x:c>
      <x:c r="D436" s="15" t="n">
        <x:v>56</x:v>
      </x:c>
      <x:c r="E436" s="11" t="str">
        <x:v>26</x:v>
      </x:c>
      <x:c r="F436" s="11" t="str">
        <x:v>בראנץ</x:v>
      </x:c>
      <x:c r="G436" s="17" t="n">
        <x:v>85</x:v>
      </x:c>
      <x:c r="H436" s="18" t="str">
        <x:v>אוכל בחוץ</x:v>
      </x:c>
      <x:c r="I436" s="19" t="str">
        <x:f>IFERROR(INDEX('מיפוי ומקורות'!$C$7:$C$33,MATCH(H436,'מיפוי ומקורות'!$B$7:$B$33,0)),"לא מסווג")</x:f>
        <x:v>אוכל בחוץ</x:v>
      </x:c>
      <x:c r="J436" s="19" t="str">
        <x:f>IFERROR(INDEX('מיפוי ומקורות'!$D$7:$D$33,MATCH(H436,'מיפוי ומקורות'!$B$7:$B$33,0)),"שוטף")</x:f>
        <x:v>שוטף</x:v>
      </x:c>
      <x:c r="K436" s="19" t="str">
        <x:f>IF(OR(H436="ריביות",AND(H436="דירה כצנלסון",G436&lt;0,ISNUMBER(SEARCH("הכנסה",F436)))),"הכנסה שסווגה מחדש",J436)</x:f>
        <x:v>שוטף</x:v>
      </x:c>
      <x:c r="L436" s="19" t="str">
        <x:v>מאושר</x:v>
      </x:c>
      <x:c r="M436" s="20" t="n">
        <x:f>IF(L436="מאושר",IF(K436="הכנסה שסווגה מחדש",0,G436),0)</x:f>
        <x:v>85</x:v>
      </x:c>
      <x:c r="N436" s="20" t="n">
        <x:f>IF(K436="שוטף",M436,0)</x:f>
        <x:v>85</x:v>
      </x:c>
      <x:c r="O436" s="20" t="n">
        <x:f>IF(K436="הכנסה שסווגה מחדש",-G436,0)</x:f>
        <x:v>0</x:v>
      </x:c>
      <x:c r="P436" s="11" t="str">
        <x:v>אמקס עינור</x:v>
      </x:c>
      <x:c r="Q436" s="11" t="str"/>
      <x:c r="R436" s="11" t="str">
        <x:v>לא</x:v>
      </x:c>
    </x:row>
    <x:row r="437">
      <x:c r="A437" s="14" t="n">
        <x:v>45778</x:v>
      </x:c>
      <x:c r="B437" s="11" t="str">
        <x:v>2025-05</x:v>
      </x:c>
      <x:c r="C437" s="11" t="str">
        <x:v>מאי 25</x:v>
      </x:c>
      <x:c r="D437" s="15" t="n">
        <x:v>57</x:v>
      </x:c>
      <x:c r="E437" s="11" t="str">
        <x:v>27</x:v>
      </x:c>
      <x:c r="F437" s="11" t="str">
        <x:v>אוכל</x:v>
      </x:c>
      <x:c r="G437" s="17" t="n">
        <x:v>50</x:v>
      </x:c>
      <x:c r="H437" s="18" t="str">
        <x:v>אוכל בחוץ</x:v>
      </x:c>
      <x:c r="I437" s="19" t="str">
        <x:f>IFERROR(INDEX('מיפוי ומקורות'!$C$7:$C$33,MATCH(H437,'מיפוי ומקורות'!$B$7:$B$33,0)),"לא מסווג")</x:f>
        <x:v>אוכל בחוץ</x:v>
      </x:c>
      <x:c r="J437" s="19" t="str">
        <x:f>IFERROR(INDEX('מיפוי ומקורות'!$D$7:$D$33,MATCH(H437,'מיפוי ומקורות'!$B$7:$B$33,0)),"שוטף")</x:f>
        <x:v>שוטף</x:v>
      </x:c>
      <x:c r="K437" s="19" t="str">
        <x:f>IF(OR(H437="ריביות",AND(H437="דירה כצנלסון",G437&lt;0,ISNUMBER(SEARCH("הכנסה",F437)))),"הכנסה שסווגה מחדש",J437)</x:f>
        <x:v>שוטף</x:v>
      </x:c>
      <x:c r="L437" s="19" t="str">
        <x:v>מאושר</x:v>
      </x:c>
      <x:c r="M437" s="20" t="n">
        <x:f>IF(L437="מאושר",IF(K437="הכנסה שסווגה מחדש",0,G437),0)</x:f>
        <x:v>50</x:v>
      </x:c>
      <x:c r="N437" s="20" t="n">
        <x:f>IF(K437="שוטף",M437,0)</x:f>
        <x:v>50</x:v>
      </x:c>
      <x:c r="O437" s="20" t="n">
        <x:f>IF(K437="הכנסה שסווגה מחדש",-G437,0)</x:f>
        <x:v>0</x:v>
      </x:c>
      <x:c r="P437" s="11" t="str">
        <x:v>אמקס עינור</x:v>
      </x:c>
      <x:c r="Q437" s="11" t="str"/>
      <x:c r="R437" s="11" t="str">
        <x:v>לא</x:v>
      </x:c>
    </x:row>
    <x:row r="438">
      <x:c r="A438" s="14" t="n">
        <x:v>45778</x:v>
      </x:c>
      <x:c r="B438" s="11" t="str">
        <x:v>2025-05</x:v>
      </x:c>
      <x:c r="C438" s="11" t="str">
        <x:v>מאי 25</x:v>
      </x:c>
      <x:c r="D438" s="15" t="n">
        <x:v>58</x:v>
      </x:c>
      <x:c r="E438" s="11" t="str">
        <x:v>27</x:v>
      </x:c>
      <x:c r="F438" s="11" t="str">
        <x:v>סופר</x:v>
      </x:c>
      <x:c r="G438" s="17" t="n">
        <x:v>660</x:v>
      </x:c>
      <x:c r="H438" s="18" t="str">
        <x:v>מזון לבית</x:v>
      </x:c>
      <x:c r="I438" s="19" t="str">
        <x:f>IFERROR(INDEX('מיפוי ומקורות'!$C$7:$C$33,MATCH(H438,'מיפוי ומקורות'!$B$7:$B$33,0)),"לא מסווג")</x:f>
        <x:v>מזון לבית</x:v>
      </x:c>
      <x:c r="J438" s="19" t="str">
        <x:f>IFERROR(INDEX('מיפוי ומקורות'!$D$7:$D$33,MATCH(H438,'מיפוי ומקורות'!$B$7:$B$33,0)),"שוטף")</x:f>
        <x:v>שוטף</x:v>
      </x:c>
      <x:c r="K438" s="19" t="str">
        <x:f>IF(OR(H438="ריביות",AND(H438="דירה כצנלסון",G438&lt;0,ISNUMBER(SEARCH("הכנסה",F438)))),"הכנסה שסווגה מחדש",J438)</x:f>
        <x:v>שוטף</x:v>
      </x:c>
      <x:c r="L438" s="19" t="str">
        <x:v>מאושר</x:v>
      </x:c>
      <x:c r="M438" s="20" t="n">
        <x:f>IF(L438="מאושר",IF(K438="הכנסה שסווגה מחדש",0,G438),0)</x:f>
        <x:v>660</x:v>
      </x:c>
      <x:c r="N438" s="20" t="n">
        <x:f>IF(K438="שוטף",M438,0)</x:f>
        <x:v>660</x:v>
      </x:c>
      <x:c r="O438" s="20" t="n">
        <x:f>IF(K438="הכנסה שסווגה מחדש",-G438,0)</x:f>
        <x:v>0</x:v>
      </x:c>
      <x:c r="P438" s="11" t="str">
        <x:v>אמקס עינור</x:v>
      </x:c>
      <x:c r="Q438" s="11" t="str"/>
      <x:c r="R438" s="11" t="str">
        <x:v>לא</x:v>
      </x:c>
    </x:row>
    <x:row r="439">
      <x:c r="A439" s="14" t="n">
        <x:v>45778</x:v>
      </x:c>
      <x:c r="B439" s="11" t="str">
        <x:v>2025-05</x:v>
      </x:c>
      <x:c r="C439" s="11" t="str">
        <x:v>מאי 25</x:v>
      </x:c>
      <x:c r="D439" s="15" t="n">
        <x:v>59</x:v>
      </x:c>
      <x:c r="E439" s="11" t="str">
        <x:v>27</x:v>
      </x:c>
      <x:c r="F439" s="11" t="str">
        <x:v>סופר</x:v>
      </x:c>
      <x:c r="G439" s="17" t="n">
        <x:v>58</x:v>
      </x:c>
      <x:c r="H439" s="18" t="str">
        <x:v>מזון לבית</x:v>
      </x:c>
      <x:c r="I439" s="19" t="str">
        <x:f>IFERROR(INDEX('מיפוי ומקורות'!$C$7:$C$33,MATCH(H439,'מיפוי ומקורות'!$B$7:$B$33,0)),"לא מסווג")</x:f>
        <x:v>מזון לבית</x:v>
      </x:c>
      <x:c r="J439" s="19" t="str">
        <x:f>IFERROR(INDEX('מיפוי ומקורות'!$D$7:$D$33,MATCH(H439,'מיפוי ומקורות'!$B$7:$B$33,0)),"שוטף")</x:f>
        <x:v>שוטף</x:v>
      </x:c>
      <x:c r="K439" s="19" t="str">
        <x:f>IF(OR(H439="ריביות",AND(H439="דירה כצנלסון",G439&lt;0,ISNUMBER(SEARCH("הכנסה",F439)))),"הכנסה שסווגה מחדש",J439)</x:f>
        <x:v>שוטף</x:v>
      </x:c>
      <x:c r="L439" s="19" t="str">
        <x:v>מאושר</x:v>
      </x:c>
      <x:c r="M439" s="20" t="n">
        <x:f>IF(L439="מאושר",IF(K439="הכנסה שסווגה מחדש",0,G439),0)</x:f>
        <x:v>58</x:v>
      </x:c>
      <x:c r="N439" s="20" t="n">
        <x:f>IF(K439="שוטף",M439,0)</x:f>
        <x:v>58</x:v>
      </x:c>
      <x:c r="O439" s="20" t="n">
        <x:f>IF(K439="הכנסה שסווגה מחדש",-G439,0)</x:f>
        <x:v>0</x:v>
      </x:c>
      <x:c r="P439" s="11" t="str">
        <x:v>אמקס עינור</x:v>
      </x:c>
      <x:c r="Q439" s="11" t="str"/>
      <x:c r="R439" s="11" t="str">
        <x:v>לא</x:v>
      </x:c>
    </x:row>
    <x:row r="440">
      <x:c r="A440" s="14" t="n">
        <x:v>45778</x:v>
      </x:c>
      <x:c r="B440" s="11" t="str">
        <x:v>2025-05</x:v>
      </x:c>
      <x:c r="C440" s="11" t="str">
        <x:v>מאי 25</x:v>
      </x:c>
      <x:c r="D440" s="15" t="n">
        <x:v>60</x:v>
      </x:c>
      <x:c r="E440" s="11" t="str">
        <x:v>28</x:v>
      </x:c>
      <x:c r="F440" s="11" t="str">
        <x:v>אוכל</x:v>
      </x:c>
      <x:c r="G440" s="17" t="n">
        <x:v>73</x:v>
      </x:c>
      <x:c r="H440" s="18" t="str">
        <x:v>אוכל בחוץ</x:v>
      </x:c>
      <x:c r="I440" s="19" t="str">
        <x:f>IFERROR(INDEX('מיפוי ומקורות'!$C$7:$C$33,MATCH(H440,'מיפוי ומקורות'!$B$7:$B$33,0)),"לא מסווג")</x:f>
        <x:v>אוכל בחוץ</x:v>
      </x:c>
      <x:c r="J440" s="19" t="str">
        <x:f>IFERROR(INDEX('מיפוי ומקורות'!$D$7:$D$33,MATCH(H440,'מיפוי ומקורות'!$B$7:$B$33,0)),"שוטף")</x:f>
        <x:v>שוטף</x:v>
      </x:c>
      <x:c r="K440" s="19" t="str">
        <x:f>IF(OR(H440="ריביות",AND(H440="דירה כצנלסון",G440&lt;0,ISNUMBER(SEARCH("הכנסה",F440)))),"הכנסה שסווגה מחדש",J440)</x:f>
        <x:v>שוטף</x:v>
      </x:c>
      <x:c r="L440" s="19" t="str">
        <x:v>מאושר</x:v>
      </x:c>
      <x:c r="M440" s="20" t="n">
        <x:f>IF(L440="מאושר",IF(K440="הכנסה שסווגה מחדש",0,G440),0)</x:f>
        <x:v>73</x:v>
      </x:c>
      <x:c r="N440" s="20" t="n">
        <x:f>IF(K440="שוטף",M440,0)</x:f>
        <x:v>73</x:v>
      </x:c>
      <x:c r="O440" s="20" t="n">
        <x:f>IF(K440="הכנסה שסווגה מחדש",-G440,0)</x:f>
        <x:v>0</x:v>
      </x:c>
      <x:c r="P440" s="11" t="str">
        <x:v>אמקס עינור</x:v>
      </x:c>
      <x:c r="Q440" s="11" t="str"/>
      <x:c r="R440" s="11" t="str">
        <x:v>לא</x:v>
      </x:c>
    </x:row>
    <x:row r="441">
      <x:c r="A441" s="14" t="n">
        <x:v>45778</x:v>
      </x:c>
      <x:c r="B441" s="11" t="str">
        <x:v>2025-05</x:v>
      </x:c>
      <x:c r="C441" s="11" t="str">
        <x:v>מאי 25</x:v>
      </x:c>
      <x:c r="D441" s="15" t="n">
        <x:v>61</x:v>
      </x:c>
      <x:c r="E441" s="11" t="str">
        <x:v>29</x:v>
      </x:c>
      <x:c r="F441" s="11" t="str">
        <x:v>חתונה אנבל</x:v>
      </x:c>
      <x:c r="G441" s="17" t="n">
        <x:v>700</x:v>
      </x:c>
      <x:c r="H441" s="18" t="str">
        <x:v>מתנה</x:v>
      </x:c>
      <x:c r="I441" s="19" t="str">
        <x:f>IFERROR(INDEX('מיפוי ומקורות'!$C$7:$C$33,MATCH(H441,'מיפוי ומקורות'!$B$7:$B$33,0)),"לא מסווג")</x:f>
        <x:v>מתנה</x:v>
      </x:c>
      <x:c r="J441" s="19" t="str">
        <x:f>IFERROR(INDEX('מיפוי ומקורות'!$D$7:$D$33,MATCH(H441,'מיפוי ומקורות'!$B$7:$B$33,0)),"שוטף")</x:f>
        <x:v>שוטף</x:v>
      </x:c>
      <x:c r="K441" s="19" t="str">
        <x:f>IF(OR(H441="ריביות",AND(H441="דירה כצנלסון",G441&lt;0,ISNUMBER(SEARCH("הכנסה",F441)))),"הכנסה שסווגה מחדש",J441)</x:f>
        <x:v>שוטף</x:v>
      </x:c>
      <x:c r="L441" s="19" t="str">
        <x:v>מאושר</x:v>
      </x:c>
      <x:c r="M441" s="20" t="n">
        <x:f>IF(L441="מאושר",IF(K441="הכנסה שסווגה מחדש",0,G441),0)</x:f>
        <x:v>700</x:v>
      </x:c>
      <x:c r="N441" s="20" t="n">
        <x:f>IF(K441="שוטף",M441,0)</x:f>
        <x:v>700</x:v>
      </x:c>
      <x:c r="O441" s="20" t="n">
        <x:f>IF(K441="הכנסה שסווגה מחדש",-G441,0)</x:f>
        <x:v>0</x:v>
      </x:c>
      <x:c r="P441" s="11" t="str">
        <x:v>אמקס עינור</x:v>
      </x:c>
      <x:c r="Q441" s="11" t="str"/>
      <x:c r="R441" s="11" t="str">
        <x:v>לא</x:v>
      </x:c>
    </x:row>
    <x:row r="442">
      <x:c r="A442" s="14" t="n">
        <x:v>45778</x:v>
      </x:c>
      <x:c r="B442" s="11" t="str">
        <x:v>2025-05</x:v>
      </x:c>
      <x:c r="C442" s="11" t="str">
        <x:v>מאי 25</x:v>
      </x:c>
      <x:c r="D442" s="15" t="n">
        <x:v>62</x:v>
      </x:c>
      <x:c r="E442" s="11" t="str">
        <x:v>29</x:v>
      </x:c>
      <x:c r="F442" s="11" t="str">
        <x:v>בראנץ</x:v>
      </x:c>
      <x:c r="G442" s="17" t="n">
        <x:v>90</x:v>
      </x:c>
      <x:c r="H442" s="18" t="str">
        <x:v>אוכל בחוץ</x:v>
      </x:c>
      <x:c r="I442" s="19" t="str">
        <x:f>IFERROR(INDEX('מיפוי ומקורות'!$C$7:$C$33,MATCH(H442,'מיפוי ומקורות'!$B$7:$B$33,0)),"לא מסווג")</x:f>
        <x:v>אוכל בחוץ</x:v>
      </x:c>
      <x:c r="J442" s="19" t="str">
        <x:f>IFERROR(INDEX('מיפוי ומקורות'!$D$7:$D$33,MATCH(H442,'מיפוי ומקורות'!$B$7:$B$33,0)),"שוטף")</x:f>
        <x:v>שוטף</x:v>
      </x:c>
      <x:c r="K442" s="19" t="str">
        <x:f>IF(OR(H442="ריביות",AND(H442="דירה כצנלסון",G442&lt;0,ISNUMBER(SEARCH("הכנסה",F442)))),"הכנסה שסווגה מחדש",J442)</x:f>
        <x:v>שוטף</x:v>
      </x:c>
      <x:c r="L442" s="19" t="str">
        <x:v>מאושר</x:v>
      </x:c>
      <x:c r="M442" s="20" t="n">
        <x:f>IF(L442="מאושר",IF(K442="הכנסה שסווגה מחדש",0,G442),0)</x:f>
        <x:v>90</x:v>
      </x:c>
      <x:c r="N442" s="20" t="n">
        <x:f>IF(K442="שוטף",M442,0)</x:f>
        <x:v>90</x:v>
      </x:c>
      <x:c r="O442" s="20" t="n">
        <x:f>IF(K442="הכנסה שסווגה מחדש",-G442,0)</x:f>
        <x:v>0</x:v>
      </x:c>
      <x:c r="P442" s="11" t="str">
        <x:v>אמקס עינור</x:v>
      </x:c>
      <x:c r="Q442" s="11" t="str"/>
      <x:c r="R442" s="11" t="str">
        <x:v>לא</x:v>
      </x:c>
    </x:row>
    <x:row r="443">
      <x:c r="A443" s="14" t="n">
        <x:v>45778</x:v>
      </x:c>
      <x:c r="B443" s="11" t="str">
        <x:v>2025-05</x:v>
      </x:c>
      <x:c r="C443" s="11" t="str">
        <x:v>מאי 25</x:v>
      </x:c>
      <x:c r="D443" s="15" t="n">
        <x:v>63</x:v>
      </x:c>
      <x:c r="E443" s="11" t="str">
        <x:v>30</x:v>
      </x:c>
      <x:c r="F443" s="11" t="str">
        <x:v>אוכל</x:v>
      </x:c>
      <x:c r="G443" s="17" t="n">
        <x:v>21</x:v>
      </x:c>
      <x:c r="H443" s="18" t="str">
        <x:v>אוכל בחוץ</x:v>
      </x:c>
      <x:c r="I443" s="19" t="str">
        <x:f>IFERROR(INDEX('מיפוי ומקורות'!$C$7:$C$33,MATCH(H443,'מיפוי ומקורות'!$B$7:$B$33,0)),"לא מסווג")</x:f>
        <x:v>אוכל בחוץ</x:v>
      </x:c>
      <x:c r="J443" s="19" t="str">
        <x:f>IFERROR(INDEX('מיפוי ומקורות'!$D$7:$D$33,MATCH(H443,'מיפוי ומקורות'!$B$7:$B$33,0)),"שוטף")</x:f>
        <x:v>שוטף</x:v>
      </x:c>
      <x:c r="K443" s="19" t="str">
        <x:f>IF(OR(H443="ריביות",AND(H443="דירה כצנלסון",G443&lt;0,ISNUMBER(SEARCH("הכנסה",F443)))),"הכנסה שסווגה מחדש",J443)</x:f>
        <x:v>שוטף</x:v>
      </x:c>
      <x:c r="L443" s="19" t="str">
        <x:v>מאושר</x:v>
      </x:c>
      <x:c r="M443" s="20" t="n">
        <x:f>IF(L443="מאושר",IF(K443="הכנסה שסווגה מחדש",0,G443),0)</x:f>
        <x:v>21</x:v>
      </x:c>
      <x:c r="N443" s="20" t="n">
        <x:f>IF(K443="שוטף",M443,0)</x:f>
        <x:v>21</x:v>
      </x:c>
      <x:c r="O443" s="20" t="n">
        <x:f>IF(K443="הכנסה שסווגה מחדש",-G443,0)</x:f>
        <x:v>0</x:v>
      </x:c>
      <x:c r="P443" s="11" t="str">
        <x:v>אמקס עינור</x:v>
      </x:c>
      <x:c r="Q443" s="11" t="str"/>
      <x:c r="R443" s="11" t="str">
        <x:v>לא</x:v>
      </x:c>
    </x:row>
    <x:row r="444">
      <x:c r="A444" s="14" t="n">
        <x:v>45778</x:v>
      </x:c>
      <x:c r="B444" s="11" t="str">
        <x:v>2025-05</x:v>
      </x:c>
      <x:c r="C444" s="11" t="str">
        <x:v>מאי 25</x:v>
      </x:c>
      <x:c r="D444" s="15" t="n">
        <x:v>64</x:v>
      </x:c>
      <x:c r="E444" s="11" t="str">
        <x:v>30</x:v>
      </x:c>
      <x:c r="F444" s="11" t="str">
        <x:v>סופר</x:v>
      </x:c>
      <x:c r="G444" s="17" t="n">
        <x:v>66</x:v>
      </x:c>
      <x:c r="H444" s="18" t="str">
        <x:v>מזון לבית</x:v>
      </x:c>
      <x:c r="I444" s="19" t="str">
        <x:f>IFERROR(INDEX('מיפוי ומקורות'!$C$7:$C$33,MATCH(H444,'מיפוי ומקורות'!$B$7:$B$33,0)),"לא מסווג")</x:f>
        <x:v>מזון לבית</x:v>
      </x:c>
      <x:c r="J444" s="19" t="str">
        <x:f>IFERROR(INDEX('מיפוי ומקורות'!$D$7:$D$33,MATCH(H444,'מיפוי ומקורות'!$B$7:$B$33,0)),"שוטף")</x:f>
        <x:v>שוטף</x:v>
      </x:c>
      <x:c r="K444" s="19" t="str">
        <x:f>IF(OR(H444="ריביות",AND(H444="דירה כצנלסון",G444&lt;0,ISNUMBER(SEARCH("הכנסה",F444)))),"הכנסה שסווגה מחדש",J444)</x:f>
        <x:v>שוטף</x:v>
      </x:c>
      <x:c r="L444" s="19" t="str">
        <x:v>מאושר</x:v>
      </x:c>
      <x:c r="M444" s="20" t="n">
        <x:f>IF(L444="מאושר",IF(K444="הכנסה שסווגה מחדש",0,G444),0)</x:f>
        <x:v>66</x:v>
      </x:c>
      <x:c r="N444" s="20" t="n">
        <x:f>IF(K444="שוטף",M444,0)</x:f>
        <x:v>66</x:v>
      </x:c>
      <x:c r="O444" s="20" t="n">
        <x:f>IF(K444="הכנסה שסווגה מחדש",-G444,0)</x:f>
        <x:v>0</x:v>
      </x:c>
      <x:c r="P444" s="11" t="str">
        <x:v>אמקס עינור</x:v>
      </x:c>
      <x:c r="Q444" s="11" t="str"/>
      <x:c r="R444" s="11" t="str">
        <x:v>לא</x:v>
      </x:c>
    </x:row>
    <x:row r="445">
      <x:c r="A445" s="14" t="n">
        <x:v>45778</x:v>
      </x:c>
      <x:c r="B445" s="11" t="str">
        <x:v>2025-05</x:v>
      </x:c>
      <x:c r="C445" s="11" t="str">
        <x:v>מאי 25</x:v>
      </x:c>
      <x:c r="D445" s="15" t="n">
        <x:v>65</x:v>
      </x:c>
      <x:c r="E445" s="11" t="str">
        <x:v>7</x:v>
      </x:c>
      <x:c r="F445" s="11" t="str">
        <x:v>ציפורניים</x:v>
      </x:c>
      <x:c r="G445" s="17" t="n">
        <x:v>120</x:v>
      </x:c>
      <x:c r="H445" s="18" t="str">
        <x:v>חתונה</x:v>
      </x:c>
      <x:c r="I445" s="19" t="str">
        <x:f>IFERROR(INDEX('מיפוי ומקורות'!$C$7:$C$33,MATCH(H445,'מיפוי ומקורות'!$B$7:$B$33,0)),"לא מסווג")</x:f>
        <x:v>חתונה</x:v>
      </x:c>
      <x:c r="J445" s="19" t="str">
        <x:f>IFERROR(INDEX('מיפוי ומקורות'!$D$7:$D$33,MATCH(H445,'מיפוי ומקורות'!$B$7:$B$33,0)),"שוטף")</x:f>
        <x:v>חריג</x:v>
      </x:c>
      <x:c r="K445" s="19" t="str">
        <x:f>IF(OR(H445="ריביות",AND(H445="דירה כצנלסון",G445&lt;0,ISNUMBER(SEARCH("הכנסה",F445)))),"הכנסה שסווגה מחדש",J445)</x:f>
        <x:v>חריג</x:v>
      </x:c>
      <x:c r="L445" s="19" t="str">
        <x:v>מאושר</x:v>
      </x:c>
      <x:c r="M445" s="20" t="n">
        <x:f>IF(L445="מאושר",IF(K445="הכנסה שסווגה מחדש",0,G445),0)</x:f>
        <x:v>120</x:v>
      </x:c>
      <x:c r="N445" s="20" t="n">
        <x:f>IF(K445="שוטף",M445,0)</x:f>
        <x:v>0</x:v>
      </x:c>
      <x:c r="O445" s="20" t="n">
        <x:f>IF(K445="הכנסה שסווגה מחדש",-G445,0)</x:f>
        <x:v>0</x:v>
      </x:c>
      <x:c r="P445" s="11" t="str">
        <x:v>מקס עינור</x:v>
      </x:c>
      <x:c r="Q445" s="11" t="str"/>
      <x:c r="R445" s="11" t="str">
        <x:v>לא</x:v>
      </x:c>
    </x:row>
    <x:row r="446">
      <x:c r="A446" s="14" t="n">
        <x:v>45778</x:v>
      </x:c>
      <x:c r="B446" s="11" t="str">
        <x:v>2025-05</x:v>
      </x:c>
      <x:c r="C446" s="11" t="str">
        <x:v>מאי 25</x:v>
      </x:c>
      <x:c r="D446" s="15" t="n">
        <x:v>66</x:v>
      </x:c>
      <x:c r="E446" s="11" t="str">
        <x:v>14</x:v>
      </x:c>
      <x:c r="F446" s="11" t="str">
        <x:v>תוספת ביטוח סיישל</x:v>
      </x:c>
      <x:c r="G446" s="17" t="n">
        <x:v>45</x:v>
      </x:c>
      <x:c r="H446" s="18" t="str">
        <x:v>חתונה</x:v>
      </x:c>
      <x:c r="I446" s="19" t="str">
        <x:f>IFERROR(INDEX('מיפוי ומקורות'!$C$7:$C$33,MATCH(H446,'מיפוי ומקורות'!$B$7:$B$33,0)),"לא מסווג")</x:f>
        <x:v>חתונה</x:v>
      </x:c>
      <x:c r="J446" s="19" t="str">
        <x:f>IFERROR(INDEX('מיפוי ומקורות'!$D$7:$D$33,MATCH(H446,'מיפוי ומקורות'!$B$7:$B$33,0)),"שוטף")</x:f>
        <x:v>חריג</x:v>
      </x:c>
      <x:c r="K446" s="19" t="str">
        <x:f>IF(OR(H446="ריביות",AND(H446="דירה כצנלסון",G446&lt;0,ISNUMBER(SEARCH("הכנסה",F446)))),"הכנסה שסווגה מחדש",J446)</x:f>
        <x:v>חריג</x:v>
      </x:c>
      <x:c r="L446" s="19" t="str">
        <x:v>מאושר</x:v>
      </x:c>
      <x:c r="M446" s="20" t="n">
        <x:f>IF(L446="מאושר",IF(K446="הכנסה שסווגה מחדש",0,G446),0)</x:f>
        <x:v>45</x:v>
      </x:c>
      <x:c r="N446" s="20" t="n">
        <x:f>IF(K446="שוטף",M446,0)</x:f>
        <x:v>0</x:v>
      </x:c>
      <x:c r="O446" s="20" t="n">
        <x:f>IF(K446="הכנסה שסווגה מחדש",-G446,0)</x:f>
        <x:v>0</x:v>
      </x:c>
      <x:c r="P446" s="11" t="str">
        <x:v>מקס עינור</x:v>
      </x:c>
      <x:c r="Q446" s="11" t="str"/>
      <x:c r="R446" s="11" t="str">
        <x:v>לא</x:v>
      </x:c>
    </x:row>
    <x:row r="447">
      <x:c r="A447" s="14" t="n">
        <x:v>45778</x:v>
      </x:c>
      <x:c r="B447" s="11" t="str">
        <x:v>2025-05</x:v>
      </x:c>
      <x:c r="C447" s="11" t="str">
        <x:v>מאי 25</x:v>
      </x:c>
      <x:c r="D447" s="15" t="n">
        <x:v>67</x:v>
      </x:c>
      <x:c r="E447" s="11" t="str">
        <x:v>25</x:v>
      </x:c>
      <x:c r="F447" s="11" t="str">
        <x:v>אוטובוסים</x:v>
      </x:c>
      <x:c r="G447" s="17" t="n">
        <x:v>42</x:v>
      </x:c>
      <x:c r="H447" s="18" t="str">
        <x:v>תחבורה</x:v>
      </x:c>
      <x:c r="I447" s="19" t="str">
        <x:f>IFERROR(INDEX('מיפוי ומקורות'!$C$7:$C$33,MATCH(H447,'מיפוי ומקורות'!$B$7:$B$33,0)),"לא מסווג")</x:f>
        <x:v>תחבורה</x:v>
      </x:c>
      <x:c r="J447" s="19" t="str">
        <x:f>IFERROR(INDEX('מיפוי ומקורות'!$D$7:$D$33,MATCH(H447,'מיפוי ומקורות'!$B$7:$B$33,0)),"שוטף")</x:f>
        <x:v>שוטף</x:v>
      </x:c>
      <x:c r="K447" s="19" t="str">
        <x:f>IF(OR(H447="ריביות",AND(H447="דירה כצנלסון",G447&lt;0,ISNUMBER(SEARCH("הכנסה",F447)))),"הכנסה שסווגה מחדש",J447)</x:f>
        <x:v>שוטף</x:v>
      </x:c>
      <x:c r="L447" s="19" t="str">
        <x:v>מאושר</x:v>
      </x:c>
      <x:c r="M447" s="20" t="n">
        <x:f>IF(L447="מאושר",IF(K447="הכנסה שסווגה מחדש",0,G447),0)</x:f>
        <x:v>42</x:v>
      </x:c>
      <x:c r="N447" s="20" t="n">
        <x:f>IF(K447="שוטף",M447,0)</x:f>
        <x:v>42</x:v>
      </x:c>
      <x:c r="O447" s="20" t="n">
        <x:f>IF(K447="הכנסה שסווגה מחדש",-G447,0)</x:f>
        <x:v>0</x:v>
      </x:c>
      <x:c r="P447" s="11" t="str">
        <x:v>מקס עינור</x:v>
      </x:c>
      <x:c r="Q447" s="11" t="str"/>
      <x:c r="R447" s="11" t="str">
        <x:v>לא</x:v>
      </x:c>
    </x:row>
    <x:row r="448">
      <x:c r="A448" s="14" t="n">
        <x:v>45778</x:v>
      </x:c>
      <x:c r="B448" s="11" t="str">
        <x:v>2025-05</x:v>
      </x:c>
      <x:c r="C448" s="11" t="str">
        <x:v>מאי 25</x:v>
      </x:c>
      <x:c r="D448" s="15" t="n">
        <x:v>68</x:v>
      </x:c>
      <x:c r="E448" s="11" t="str">
        <x:v>27</x:v>
      </x:c>
      <x:c r="F448" s="11" t="str">
        <x:v>ביטוח רכב לדיבו</x:v>
      </x:c>
      <x:c r="G448" s="17" t="n">
        <x:v>60</x:v>
      </x:c>
      <x:c r="H448" s="18" t="str">
        <x:v>חתונה</x:v>
      </x:c>
      <x:c r="I448" s="19" t="str">
        <x:f>IFERROR(INDEX('מיפוי ומקורות'!$C$7:$C$33,MATCH(H448,'מיפוי ומקורות'!$B$7:$B$33,0)),"לא מסווג")</x:f>
        <x:v>חתונה</x:v>
      </x:c>
      <x:c r="J448" s="19" t="str">
        <x:f>IFERROR(INDEX('מיפוי ומקורות'!$D$7:$D$33,MATCH(H448,'מיפוי ומקורות'!$B$7:$B$33,0)),"שוטף")</x:f>
        <x:v>חריג</x:v>
      </x:c>
      <x:c r="K448" s="19" t="str">
        <x:f>IF(OR(H448="ריביות",AND(H448="דירה כצנלסון",G448&lt;0,ISNUMBER(SEARCH("הכנסה",F448)))),"הכנסה שסווגה מחדש",J448)</x:f>
        <x:v>חריג</x:v>
      </x:c>
      <x:c r="L448" s="19" t="str">
        <x:v>מאושר</x:v>
      </x:c>
      <x:c r="M448" s="20" t="n">
        <x:f>IF(L448="מאושר",IF(K448="הכנסה שסווגה מחדש",0,G448),0)</x:f>
        <x:v>60</x:v>
      </x:c>
      <x:c r="N448" s="20" t="n">
        <x:f>IF(K448="שוטף",M448,0)</x:f>
        <x:v>0</x:v>
      </x:c>
      <x:c r="O448" s="20" t="n">
        <x:f>IF(K448="הכנסה שסווגה מחדש",-G448,0)</x:f>
        <x:v>0</x:v>
      </x:c>
      <x:c r="P448" s="11" t="str">
        <x:v>מקס עינור</x:v>
      </x:c>
      <x:c r="Q448" s="11" t="str"/>
      <x:c r="R448" s="11" t="str">
        <x:v>לא</x:v>
      </x:c>
    </x:row>
    <x:row r="449">
      <x:c r="A449" s="14" t="n">
        <x:v>45778</x:v>
      </x:c>
      <x:c r="B449" s="11" t="str">
        <x:v>2025-05</x:v>
      </x:c>
      <x:c r="C449" s="11" t="str">
        <x:v>מאי 25</x:v>
      </x:c>
      <x:c r="D449" s="15" t="n">
        <x:v>69</x:v>
      </x:c>
      <x:c r="E449" s="11" t="str">
        <x:v>28</x:v>
      </x:c>
      <x:c r="F449" s="11" t="str">
        <x:v>טיסה לבוקרסט</x:v>
      </x:c>
      <x:c r="G449" s="17" t="n">
        <x:v>2120</x:v>
      </x:c>
      <x:c r="H449" s="18" t="str">
        <x:v>חול</x:v>
      </x:c>
      <x:c r="I449" s="19" t="str">
        <x:f>IFERROR(INDEX('מיפוי ומקורות'!$C$7:$C$33,MATCH(H449,'מיפוי ומקורות'!$B$7:$B$33,0)),"לא מסווג")</x:f>
        <x:v>נסיעות וחופשות</x:v>
      </x:c>
      <x:c r="J449" s="19" t="str">
        <x:f>IFERROR(INDEX('מיפוי ומקורות'!$D$7:$D$33,MATCH(H449,'מיפוי ומקורות'!$B$7:$B$33,0)),"שוטף")</x:f>
        <x:v>חריג</x:v>
      </x:c>
      <x:c r="K449" s="19" t="str">
        <x:f>IF(OR(H449="ריביות",AND(H449="דירה כצנלסון",G449&lt;0,ISNUMBER(SEARCH("הכנסה",F449)))),"הכנסה שסווגה מחדש",J449)</x:f>
        <x:v>חריג</x:v>
      </x:c>
      <x:c r="L449" s="19" t="str">
        <x:v>מאושר</x:v>
      </x:c>
      <x:c r="M449" s="20" t="n">
        <x:f>IF(L449="מאושר",IF(K449="הכנסה שסווגה מחדש",0,G449),0)</x:f>
        <x:v>2120</x:v>
      </x:c>
      <x:c r="N449" s="20" t="n">
        <x:f>IF(K449="שוטף",M449,0)</x:f>
        <x:v>0</x:v>
      </x:c>
      <x:c r="O449" s="20" t="n">
        <x:f>IF(K449="הכנסה שסווגה מחדש",-G449,0)</x:f>
        <x:v>0</x:v>
      </x:c>
      <x:c r="P449" s="11" t="str">
        <x:v>מקס זיו</x:v>
      </x:c>
      <x:c r="Q449" s="11" t="str"/>
      <x:c r="R449" s="11" t="str">
        <x:v>לא</x:v>
      </x:c>
    </x:row>
    <x:row r="450">
      <x:c r="A450" s="14" t="n">
        <x:v>45778</x:v>
      </x:c>
      <x:c r="B450" s="11" t="str">
        <x:v>2025-05</x:v>
      </x:c>
      <x:c r="C450" s="11" t="str">
        <x:v>מאי 25</x:v>
      </x:c>
      <x:c r="D450" s="15" t="n">
        <x:v>70</x:v>
      </x:c>
      <x:c r="E450" s="11" t="str">
        <x:v>4</x:v>
      </x:c>
      <x:c r="F450" s="11" t="str">
        <x:v>גלידה</x:v>
      </x:c>
      <x:c r="G450" s="17" t="n">
        <x:v>22</x:v>
      </x:c>
      <x:c r="H450" s="18" t="str">
        <x:v>אוכל בחוץ</x:v>
      </x:c>
      <x:c r="I450" s="19" t="str">
        <x:f>IFERROR(INDEX('מיפוי ומקורות'!$C$7:$C$33,MATCH(H450,'מיפוי ומקורות'!$B$7:$B$33,0)),"לא מסווג")</x:f>
        <x:v>אוכל בחוץ</x:v>
      </x:c>
      <x:c r="J450" s="19" t="str">
        <x:f>IFERROR(INDEX('מיפוי ומקורות'!$D$7:$D$33,MATCH(H450,'מיפוי ומקורות'!$B$7:$B$33,0)),"שוטף")</x:f>
        <x:v>שוטף</x:v>
      </x:c>
      <x:c r="K450" s="19" t="str">
        <x:f>IF(OR(H450="ריביות",AND(H450="דירה כצנלסון",G450&lt;0,ISNUMBER(SEARCH("הכנסה",F450)))),"הכנסה שסווגה מחדש",J450)</x:f>
        <x:v>שוטף</x:v>
      </x:c>
      <x:c r="L450" s="19" t="str">
        <x:v>מאושר</x:v>
      </x:c>
      <x:c r="M450" s="20" t="n">
        <x:f>IF(L450="מאושר",IF(K450="הכנסה שסווגה מחדש",0,G450),0)</x:f>
        <x:v>22</x:v>
      </x:c>
      <x:c r="N450" s="20" t="n">
        <x:f>IF(K450="שוטף",M450,0)</x:f>
        <x:v>22</x:v>
      </x:c>
      <x:c r="O450" s="20" t="n">
        <x:f>IF(K450="הכנסה שסווגה מחדש",-G450,0)</x:f>
        <x:v>0</x:v>
      </x:c>
      <x:c r="P450" s="11" t="str">
        <x:v>הייטק זון עינור</x:v>
      </x:c>
      <x:c r="Q450" s="11" t="str"/>
      <x:c r="R450" s="11" t="str">
        <x:v>לא</x:v>
      </x:c>
    </x:row>
    <x:row r="451">
      <x:c r="A451" s="14" t="n">
        <x:v>45778</x:v>
      </x:c>
      <x:c r="B451" s="11" t="str">
        <x:v>2025-05</x:v>
      </x:c>
      <x:c r="C451" s="11" t="str">
        <x:v>מאי 25</x:v>
      </x:c>
      <x:c r="D451" s="15" t="n">
        <x:v>71</x:v>
      </x:c>
      <x:c r="E451" s="11" t="str">
        <x:v>18.4</x:v>
      </x:c>
      <x:c r="F451" s="11" t="str">
        <x:v>חלבון</x:v>
      </x:c>
      <x:c r="G451" s="17" t="n">
        <x:v>258</x:v>
      </x:c>
      <x:c r="H451" s="18" t="str">
        <x:v>מזון לבית</x:v>
      </x:c>
      <x:c r="I451" s="19" t="str">
        <x:f>IFERROR(INDEX('מיפוי ומקורות'!$C$7:$C$33,MATCH(H451,'מיפוי ומקורות'!$B$7:$B$33,0)),"לא מסווג")</x:f>
        <x:v>מזון לבית</x:v>
      </x:c>
      <x:c r="J451" s="19" t="str">
        <x:f>IFERROR(INDEX('מיפוי ומקורות'!$D$7:$D$33,MATCH(H451,'מיפוי ומקורות'!$B$7:$B$33,0)),"שוטף")</x:f>
        <x:v>שוטף</x:v>
      </x:c>
      <x:c r="K451" s="19" t="str">
        <x:f>IF(OR(H451="ריביות",AND(H451="דירה כצנלסון",G451&lt;0,ISNUMBER(SEARCH("הכנסה",F451)))),"הכנסה שסווגה מחדש",J451)</x:f>
        <x:v>שוטף</x:v>
      </x:c>
      <x:c r="L451" s="19" t="str">
        <x:v>מאושר</x:v>
      </x:c>
      <x:c r="M451" s="20" t="n">
        <x:f>IF(L451="מאושר",IF(K451="הכנסה שסווגה מחדש",0,G451),0)</x:f>
        <x:v>258</x:v>
      </x:c>
      <x:c r="N451" s="20" t="n">
        <x:f>IF(K451="שוטף",M451,0)</x:f>
        <x:v>258</x:v>
      </x:c>
      <x:c r="O451" s="20" t="n">
        <x:f>IF(K451="הכנסה שסווגה מחדש",-G451,0)</x:f>
        <x:v>0</x:v>
      </x:c>
      <x:c r="P451" s="11" t="str">
        <x:v>אמקס זיו</x:v>
      </x:c>
      <x:c r="Q451" s="11" t="str"/>
      <x:c r="R451" s="11" t="str">
        <x:v>לא</x:v>
      </x:c>
    </x:row>
    <x:row r="452">
      <x:c r="A452" s="14" t="n">
        <x:v>45778</x:v>
      </x:c>
      <x:c r="B452" s="11" t="str">
        <x:v>2025-05</x:v>
      </x:c>
      <x:c r="C452" s="11" t="str">
        <x:v>מאי 25</x:v>
      </x:c>
      <x:c r="D452" s="15" t="n">
        <x:v>72</x:v>
      </x:c>
      <x:c r="E452" s="11" t="str">
        <x:v>22.4</x:v>
      </x:c>
      <x:c r="F452" s="11" t="str">
        <x:v>ליים</x:v>
      </x:c>
      <x:c r="G452" s="17" t="n">
        <x:v>31</x:v>
      </x:c>
      <x:c r="H452" s="18" t="str">
        <x:v>תחבורה</x:v>
      </x:c>
      <x:c r="I452" s="19" t="str">
        <x:f>IFERROR(INDEX('מיפוי ומקורות'!$C$7:$C$33,MATCH(H452,'מיפוי ומקורות'!$B$7:$B$33,0)),"לא מסווג")</x:f>
        <x:v>תחבורה</x:v>
      </x:c>
      <x:c r="J452" s="19" t="str">
        <x:f>IFERROR(INDEX('מיפוי ומקורות'!$D$7:$D$33,MATCH(H452,'מיפוי ומקורות'!$B$7:$B$33,0)),"שוטף")</x:f>
        <x:v>שוטף</x:v>
      </x:c>
      <x:c r="K452" s="19" t="str">
        <x:f>IF(OR(H452="ריביות",AND(H452="דירה כצנלסון",G452&lt;0,ISNUMBER(SEARCH("הכנסה",F452)))),"הכנסה שסווגה מחדש",J452)</x:f>
        <x:v>שוטף</x:v>
      </x:c>
      <x:c r="L452" s="19" t="str">
        <x:v>מאושר</x:v>
      </x:c>
      <x:c r="M452" s="20" t="n">
        <x:f>IF(L452="מאושר",IF(K452="הכנסה שסווגה מחדש",0,G452),0)</x:f>
        <x:v>31</x:v>
      </x:c>
      <x:c r="N452" s="20" t="n">
        <x:f>IF(K452="שוטף",M452,0)</x:f>
        <x:v>31</x:v>
      </x:c>
      <x:c r="O452" s="20" t="n">
        <x:f>IF(K452="הכנסה שסווגה מחדש",-G452,0)</x:f>
        <x:v>0</x:v>
      </x:c>
      <x:c r="P452" s="11" t="str">
        <x:v>אמקס זיו</x:v>
      </x:c>
      <x:c r="Q452" s="11" t="str"/>
      <x:c r="R452" s="11" t="str">
        <x:v>לא</x:v>
      </x:c>
    </x:row>
    <x:row r="453">
      <x:c r="A453" s="14" t="n">
        <x:v>45778</x:v>
      </x:c>
      <x:c r="B453" s="11" t="str">
        <x:v>2025-05</x:v>
      </x:c>
      <x:c r="C453" s="11" t="str">
        <x:v>מאי 25</x:v>
      </x:c>
      <x:c r="D453" s="15" t="n">
        <x:v>73</x:v>
      </x:c>
      <x:c r="E453" s="11" t="str">
        <x:v>28.4</x:v>
      </x:c>
      <x:c r="F453" s="11" t="str">
        <x:v>ליים</x:v>
      </x:c>
      <x:c r="G453" s="17" t="n">
        <x:v>16</x:v>
      </x:c>
      <x:c r="H453" s="18" t="str">
        <x:v>תחבורה</x:v>
      </x:c>
      <x:c r="I453" s="19" t="str">
        <x:f>IFERROR(INDEX('מיפוי ומקורות'!$C$7:$C$33,MATCH(H453,'מיפוי ומקורות'!$B$7:$B$33,0)),"לא מסווג")</x:f>
        <x:v>תחבורה</x:v>
      </x:c>
      <x:c r="J453" s="19" t="str">
        <x:f>IFERROR(INDEX('מיפוי ומקורות'!$D$7:$D$33,MATCH(H453,'מיפוי ומקורות'!$B$7:$B$33,0)),"שוטף")</x:f>
        <x:v>שוטף</x:v>
      </x:c>
      <x:c r="K453" s="19" t="str">
        <x:f>IF(OR(H453="ריביות",AND(H453="דירה כצנלסון",G453&lt;0,ISNUMBER(SEARCH("הכנסה",F453)))),"הכנסה שסווגה מחדש",J453)</x:f>
        <x:v>שוטף</x:v>
      </x:c>
      <x:c r="L453" s="19" t="str">
        <x:v>מאושר</x:v>
      </x:c>
      <x:c r="M453" s="20" t="n">
        <x:f>IF(L453="מאושר",IF(K453="הכנסה שסווגה מחדש",0,G453),0)</x:f>
        <x:v>16</x:v>
      </x:c>
      <x:c r="N453" s="20" t="n">
        <x:f>IF(K453="שוטף",M453,0)</x:f>
        <x:v>16</x:v>
      </x:c>
      <x:c r="O453" s="20" t="n">
        <x:f>IF(K453="הכנסה שסווגה מחדש",-G453,0)</x:f>
        <x:v>0</x:v>
      </x:c>
      <x:c r="P453" s="11" t="str">
        <x:v>אמקס זיו</x:v>
      </x:c>
      <x:c r="Q453" s="11" t="str"/>
      <x:c r="R453" s="11" t="str">
        <x:v>לא</x:v>
      </x:c>
    </x:row>
    <x:row r="454">
      <x:c r="A454" s="14" t="n">
        <x:v>45778</x:v>
      </x:c>
      <x:c r="B454" s="11" t="str">
        <x:v>2025-05</x:v>
      </x:c>
      <x:c r="C454" s="11" t="str">
        <x:v>מאי 25</x:v>
      </x:c>
      <x:c r="D454" s="15" t="n">
        <x:v>74</x:v>
      </x:c>
      <x:c r="E454" s="11" t="str">
        <x:v>30.4</x:v>
      </x:c>
      <x:c r="F454" s="11" t="str">
        <x:v>הופעה</x:v>
      </x:c>
      <x:c r="G454" s="17" t="n">
        <x:v>67</x:v>
      </x:c>
      <x:c r="H454" s="18" t="str">
        <x:v>פנאי</x:v>
      </x:c>
      <x:c r="I454" s="19" t="str">
        <x:f>IFERROR(INDEX('מיפוי ומקורות'!$C$7:$C$33,MATCH(H454,'מיפוי ומקורות'!$B$7:$B$33,0)),"לא מסווג")</x:f>
        <x:v>פנאי</x:v>
      </x:c>
      <x:c r="J454" s="19" t="str">
        <x:f>IFERROR(INDEX('מיפוי ומקורות'!$D$7:$D$33,MATCH(H454,'מיפוי ומקורות'!$B$7:$B$33,0)),"שוטף")</x:f>
        <x:v>שוטף</x:v>
      </x:c>
      <x:c r="K454" s="19" t="str">
        <x:f>IF(OR(H454="ריביות",AND(H454="דירה כצנלסון",G454&lt;0,ISNUMBER(SEARCH("הכנסה",F454)))),"הכנסה שסווגה מחדש",J454)</x:f>
        <x:v>שוטף</x:v>
      </x:c>
      <x:c r="L454" s="19" t="str">
        <x:v>מאושר</x:v>
      </x:c>
      <x:c r="M454" s="20" t="n">
        <x:f>IF(L454="מאושר",IF(K454="הכנסה שסווגה מחדש",0,G454),0)</x:f>
        <x:v>67</x:v>
      </x:c>
      <x:c r="N454" s="20" t="n">
        <x:f>IF(K454="שוטף",M454,0)</x:f>
        <x:v>67</x:v>
      </x:c>
      <x:c r="O454" s="20" t="n">
        <x:f>IF(K454="הכנסה שסווגה מחדש",-G454,0)</x:f>
        <x:v>0</x:v>
      </x:c>
      <x:c r="P454" s="11" t="str">
        <x:v>אמקס זיו</x:v>
      </x:c>
      <x:c r="Q454" s="11" t="str"/>
      <x:c r="R454" s="11" t="str">
        <x:v>לא</x:v>
      </x:c>
    </x:row>
    <x:row r="455">
      <x:c r="A455" s="14" t="n">
        <x:v>45778</x:v>
      </x:c>
      <x:c r="B455" s="11" t="str">
        <x:v>2025-05</x:v>
      </x:c>
      <x:c r="C455" s="11" t="str">
        <x:v>מאי 25</x:v>
      </x:c>
      <x:c r="D455" s="15" t="n">
        <x:v>75</x:v>
      </x:c>
      <x:c r="E455" s="11" t="str">
        <x:v>1</x:v>
      </x:c>
      <x:c r="F455" s="11" t="str">
        <x:v>שירה</x:v>
      </x:c>
      <x:c r="G455" s="17" t="n">
        <x:v>420</x:v>
      </x:c>
      <x:c r="H455" s="18" t="str">
        <x:v>בריאות</x:v>
      </x:c>
      <x:c r="I455" s="19" t="str">
        <x:f>IFERROR(INDEX('מיפוי ומקורות'!$C$7:$C$33,MATCH(H455,'מיפוי ומקורות'!$B$7:$B$33,0)),"לא מסווג")</x:f>
        <x:v>בריאות וטיפולים</x:v>
      </x:c>
      <x:c r="J455" s="19" t="str">
        <x:f>IFERROR(INDEX('מיפוי ומקורות'!$D$7:$D$33,MATCH(H455,'מיפוי ומקורות'!$B$7:$B$33,0)),"שוטף")</x:f>
        <x:v>שוטף</x:v>
      </x:c>
      <x:c r="K455" s="19" t="str">
        <x:f>IF(OR(H455="ריביות",AND(H455="דירה כצנלסון",G455&lt;0,ISNUMBER(SEARCH("הכנסה",F455)))),"הכנסה שסווגה מחדש",J455)</x:f>
        <x:v>שוטף</x:v>
      </x:c>
      <x:c r="L455" s="19" t="str">
        <x:v>מאושר</x:v>
      </x:c>
      <x:c r="M455" s="20" t="n">
        <x:f>IF(L455="מאושר",IF(K455="הכנסה שסווגה מחדש",0,G455),0)</x:f>
        <x:v>420</x:v>
      </x:c>
      <x:c r="N455" s="20" t="n">
        <x:f>IF(K455="שוטף",M455,0)</x:f>
        <x:v>420</x:v>
      </x:c>
      <x:c r="O455" s="20" t="n">
        <x:f>IF(K455="הכנסה שסווגה מחדש",-G455,0)</x:f>
        <x:v>0</x:v>
      </x:c>
      <x:c r="P455" s="11" t="str">
        <x:v>אמקס זיו</x:v>
      </x:c>
      <x:c r="Q455" s="11" t="str"/>
      <x:c r="R455" s="11" t="str">
        <x:v>לא</x:v>
      </x:c>
    </x:row>
    <x:row r="456">
      <x:c r="A456" s="14" t="n">
        <x:v>45778</x:v>
      </x:c>
      <x:c r="B456" s="11" t="str">
        <x:v>2025-05</x:v>
      </x:c>
      <x:c r="C456" s="11" t="str">
        <x:v>מאי 25</x:v>
      </x:c>
      <x:c r="D456" s="15" t="n">
        <x:v>76</x:v>
      </x:c>
      <x:c r="E456" s="11" t="str">
        <x:v>2</x:v>
      </x:c>
      <x:c r="F456" s="11" t="str">
        <x:v>ליאת</x:v>
      </x:c>
      <x:c r="G456" s="17" t="n">
        <x:v>1350</x:v>
      </x:c>
      <x:c r="H456" s="18" t="str">
        <x:v>בריאות</x:v>
      </x:c>
      <x:c r="I456" s="19" t="str">
        <x:f>IFERROR(INDEX('מיפוי ומקורות'!$C$7:$C$33,MATCH(H456,'מיפוי ומקורות'!$B$7:$B$33,0)),"לא מסווג")</x:f>
        <x:v>בריאות וטיפולים</x:v>
      </x:c>
      <x:c r="J456" s="19" t="str">
        <x:f>IFERROR(INDEX('מיפוי ומקורות'!$D$7:$D$33,MATCH(H456,'מיפוי ומקורות'!$B$7:$B$33,0)),"שוטף")</x:f>
        <x:v>שוטף</x:v>
      </x:c>
      <x:c r="K456" s="19" t="str">
        <x:f>IF(OR(H456="ריביות",AND(H456="דירה כצנלסון",G456&lt;0,ISNUMBER(SEARCH("הכנסה",F456)))),"הכנסה שסווגה מחדש",J456)</x:f>
        <x:v>שוטף</x:v>
      </x:c>
      <x:c r="L456" s="19" t="str">
        <x:v>מאושר</x:v>
      </x:c>
      <x:c r="M456" s="20" t="n">
        <x:f>IF(L456="מאושר",IF(K456="הכנסה שסווגה מחדש",0,G456),0)</x:f>
        <x:v>1350</x:v>
      </x:c>
      <x:c r="N456" s="20" t="n">
        <x:f>IF(K456="שוטף",M456,0)</x:f>
        <x:v>1350</x:v>
      </x:c>
      <x:c r="O456" s="20" t="n">
        <x:f>IF(K456="הכנסה שסווגה מחדש",-G456,0)</x:f>
        <x:v>0</x:v>
      </x:c>
      <x:c r="P456" s="11" t="str">
        <x:v>אמקס זיו</x:v>
      </x:c>
      <x:c r="Q456" s="11" t="str"/>
      <x:c r="R456" s="11" t="str">
        <x:v>לא</x:v>
      </x:c>
    </x:row>
    <x:row r="457">
      <x:c r="A457" s="14" t="n">
        <x:v>45778</x:v>
      </x:c>
      <x:c r="B457" s="11" t="str">
        <x:v>2025-05</x:v>
      </x:c>
      <x:c r="C457" s="11" t="str">
        <x:v>מאי 25</x:v>
      </x:c>
      <x:c r="D457" s="15" t="n">
        <x:v>77</x:v>
      </x:c>
      <x:c r="E457" s="11" t="str">
        <x:v>4</x:v>
      </x:c>
      <x:c r="F457" s="11" t="str">
        <x:v>פרחים</x:v>
      </x:c>
      <x:c r="G457" s="17" t="n">
        <x:v>300</x:v>
      </x:c>
      <x:c r="H457" s="18" t="str">
        <x:v>חתונה</x:v>
      </x:c>
      <x:c r="I457" s="19" t="str">
        <x:f>IFERROR(INDEX('מיפוי ומקורות'!$C$7:$C$33,MATCH(H457,'מיפוי ומקורות'!$B$7:$B$33,0)),"לא מסווג")</x:f>
        <x:v>חתונה</x:v>
      </x:c>
      <x:c r="J457" s="19" t="str">
        <x:f>IFERROR(INDEX('מיפוי ומקורות'!$D$7:$D$33,MATCH(H457,'מיפוי ומקורות'!$B$7:$B$33,0)),"שוטף")</x:f>
        <x:v>חריג</x:v>
      </x:c>
      <x:c r="K457" s="19" t="str">
        <x:f>IF(OR(H457="ריביות",AND(H457="דירה כצנלסון",G457&lt;0,ISNUMBER(SEARCH("הכנסה",F457)))),"הכנסה שסווגה מחדש",J457)</x:f>
        <x:v>חריג</x:v>
      </x:c>
      <x:c r="L457" s="19" t="str">
        <x:v>מאושר</x:v>
      </x:c>
      <x:c r="M457" s="20" t="n">
        <x:f>IF(L457="מאושר",IF(K457="הכנסה שסווגה מחדש",0,G457),0)</x:f>
        <x:v>300</x:v>
      </x:c>
      <x:c r="N457" s="20" t="n">
        <x:f>IF(K457="שוטף",M457,0)</x:f>
        <x:v>0</x:v>
      </x:c>
      <x:c r="O457" s="20" t="n">
        <x:f>IF(K457="הכנסה שסווגה מחדש",-G457,0)</x:f>
        <x:v>0</x:v>
      </x:c>
      <x:c r="P457" s="11" t="str">
        <x:v>אמקס זיו</x:v>
      </x:c>
      <x:c r="Q457" s="11" t="str"/>
      <x:c r="R457" s="11" t="str">
        <x:v>לא</x:v>
      </x:c>
    </x:row>
    <x:row r="458">
      <x:c r="A458" s="14" t="n">
        <x:v>45778</x:v>
      </x:c>
      <x:c r="B458" s="11" t="str">
        <x:v>2025-05</x:v>
      </x:c>
      <x:c r="C458" s="11" t="str">
        <x:v>מאי 25</x:v>
      </x:c>
      <x:c r="D458" s="15" t="n">
        <x:v>78</x:v>
      </x:c>
      <x:c r="E458" s="11" t="str">
        <x:v>5</x:v>
      </x:c>
      <x:c r="F458" s="11" t="str">
        <x:v>מכבי</x:v>
      </x:c>
      <x:c r="G458" s="17" t="n">
        <x:v>55</x:v>
      </x:c>
      <x:c r="H458" s="18" t="str">
        <x:v>בריאות</x:v>
      </x:c>
      <x:c r="I458" s="19" t="str">
        <x:f>IFERROR(INDEX('מיפוי ומקורות'!$C$7:$C$33,MATCH(H458,'מיפוי ומקורות'!$B$7:$B$33,0)),"לא מסווג")</x:f>
        <x:v>בריאות וטיפולים</x:v>
      </x:c>
      <x:c r="J458" s="19" t="str">
        <x:f>IFERROR(INDEX('מיפוי ומקורות'!$D$7:$D$33,MATCH(H458,'מיפוי ומקורות'!$B$7:$B$33,0)),"שוטף")</x:f>
        <x:v>שוטף</x:v>
      </x:c>
      <x:c r="K458" s="19" t="str">
        <x:f>IF(OR(H458="ריביות",AND(H458="דירה כצנלסון",G458&lt;0,ISNUMBER(SEARCH("הכנסה",F458)))),"הכנסה שסווגה מחדש",J458)</x:f>
        <x:v>שוטף</x:v>
      </x:c>
      <x:c r="L458" s="19" t="str">
        <x:v>מאושר</x:v>
      </x:c>
      <x:c r="M458" s="20" t="n">
        <x:f>IF(L458="מאושר",IF(K458="הכנסה שסווגה מחדש",0,G458),0)</x:f>
        <x:v>55</x:v>
      </x:c>
      <x:c r="N458" s="20" t="n">
        <x:f>IF(K458="שוטף",M458,0)</x:f>
        <x:v>55</x:v>
      </x:c>
      <x:c r="O458" s="20" t="n">
        <x:f>IF(K458="הכנסה שסווגה מחדש",-G458,0)</x:f>
        <x:v>0</x:v>
      </x:c>
      <x:c r="P458" s="11" t="str">
        <x:v>אמקס זיו</x:v>
      </x:c>
      <x:c r="Q458" s="11" t="str"/>
      <x:c r="R458" s="11" t="str">
        <x:v>לא</x:v>
      </x:c>
    </x:row>
    <x:row r="459">
      <x:c r="A459" s="14" t="n">
        <x:v>45778</x:v>
      </x:c>
      <x:c r="B459" s="11" t="str">
        <x:v>2025-05</x:v>
      </x:c>
      <x:c r="C459" s="11" t="str">
        <x:v>מאי 25</x:v>
      </x:c>
      <x:c r="D459" s="15" t="n">
        <x:v>79</x:v>
      </x:c>
      <x:c r="E459" s="11" t="str">
        <x:v>8</x:v>
      </x:c>
      <x:c r="F459" s="11" t="str">
        <x:v>שטיפת רכב</x:v>
      </x:c>
      <x:c r="G459" s="17" t="n">
        <x:v>100</x:v>
      </x:c>
      <x:c r="H459" s="18" t="str">
        <x:v>חתונה</x:v>
      </x:c>
      <x:c r="I459" s="19" t="str">
        <x:f>IFERROR(INDEX('מיפוי ומקורות'!$C$7:$C$33,MATCH(H459,'מיפוי ומקורות'!$B$7:$B$33,0)),"לא מסווג")</x:f>
        <x:v>חתונה</x:v>
      </x:c>
      <x:c r="J459" s="19" t="str">
        <x:f>IFERROR(INDEX('מיפוי ומקורות'!$D$7:$D$33,MATCH(H459,'מיפוי ומקורות'!$B$7:$B$33,0)),"שוטף")</x:f>
        <x:v>חריג</x:v>
      </x:c>
      <x:c r="K459" s="19" t="str">
        <x:f>IF(OR(H459="ריביות",AND(H459="דירה כצנלסון",G459&lt;0,ISNUMBER(SEARCH("הכנסה",F459)))),"הכנסה שסווגה מחדש",J459)</x:f>
        <x:v>חריג</x:v>
      </x:c>
      <x:c r="L459" s="19" t="str">
        <x:v>מאושר</x:v>
      </x:c>
      <x:c r="M459" s="20" t="n">
        <x:f>IF(L459="מאושר",IF(K459="הכנסה שסווגה מחדש",0,G459),0)</x:f>
        <x:v>100</x:v>
      </x:c>
      <x:c r="N459" s="20" t="n">
        <x:f>IF(K459="שוטף",M459,0)</x:f>
        <x:v>0</x:v>
      </x:c>
      <x:c r="O459" s="20" t="n">
        <x:f>IF(K459="הכנסה שסווגה מחדש",-G459,0)</x:f>
        <x:v>0</x:v>
      </x:c>
      <x:c r="P459" s="11" t="str">
        <x:v>אמקס זיו</x:v>
      </x:c>
      <x:c r="Q459" s="11" t="str"/>
      <x:c r="R459" s="11" t="str">
        <x:v>לא</x:v>
      </x:c>
    </x:row>
    <x:row r="460">
      <x:c r="A460" s="14" t="n">
        <x:v>45778</x:v>
      </x:c>
      <x:c r="B460" s="11" t="str">
        <x:v>2025-05</x:v>
      </x:c>
      <x:c r="C460" s="11" t="str">
        <x:v>מאי 25</x:v>
      </x:c>
      <x:c r="D460" s="15" t="n">
        <x:v>80</x:v>
      </x:c>
      <x:c r="E460" s="11" t="str">
        <x:v>9</x:v>
      </x:c>
      <x:c r="F460" s="11" t="str">
        <x:v>סופר</x:v>
      </x:c>
      <x:c r="G460" s="17" t="n">
        <x:v>37</x:v>
      </x:c>
      <x:c r="H460" s="18" t="str">
        <x:v>מזון לבית</x:v>
      </x:c>
      <x:c r="I460" s="19" t="str">
        <x:f>IFERROR(INDEX('מיפוי ומקורות'!$C$7:$C$33,MATCH(H460,'מיפוי ומקורות'!$B$7:$B$33,0)),"לא מסווג")</x:f>
        <x:v>מזון לבית</x:v>
      </x:c>
      <x:c r="J460" s="19" t="str">
        <x:f>IFERROR(INDEX('מיפוי ומקורות'!$D$7:$D$33,MATCH(H460,'מיפוי ומקורות'!$B$7:$B$33,0)),"שוטף")</x:f>
        <x:v>שוטף</x:v>
      </x:c>
      <x:c r="K460" s="19" t="str">
        <x:f>IF(OR(H460="ריביות",AND(H460="דירה כצנלסון",G460&lt;0,ISNUMBER(SEARCH("הכנסה",F460)))),"הכנסה שסווגה מחדש",J460)</x:f>
        <x:v>שוטף</x:v>
      </x:c>
      <x:c r="L460" s="19" t="str">
        <x:v>מאושר</x:v>
      </x:c>
      <x:c r="M460" s="20" t="n">
        <x:f>IF(L460="מאושר",IF(K460="הכנסה שסווגה מחדש",0,G460),0)</x:f>
        <x:v>37</x:v>
      </x:c>
      <x:c r="N460" s="20" t="n">
        <x:f>IF(K460="שוטף",M460,0)</x:f>
        <x:v>37</x:v>
      </x:c>
      <x:c r="O460" s="20" t="n">
        <x:f>IF(K460="הכנסה שסווגה מחדש",-G460,0)</x:f>
        <x:v>0</x:v>
      </x:c>
      <x:c r="P460" s="11" t="str">
        <x:v>אמקס זיו</x:v>
      </x:c>
      <x:c r="Q460" s="11" t="str"/>
      <x:c r="R460" s="11" t="str">
        <x:v>לא</x:v>
      </x:c>
    </x:row>
    <x:row r="461">
      <x:c r="A461" s="14" t="n">
        <x:v>45778</x:v>
      </x:c>
      <x:c r="B461" s="11" t="str">
        <x:v>2025-05</x:v>
      </x:c>
      <x:c r="C461" s="11" t="str">
        <x:v>מאי 25</x:v>
      </x:c>
      <x:c r="D461" s="15" t="n">
        <x:v>81</x:v>
      </x:c>
      <x:c r="E461" s="11" t="str">
        <x:v>10</x:v>
      </x:c>
      <x:c r="F461" s="11" t="str">
        <x:v>דלק</x:v>
      </x:c>
      <x:c r="G461" s="17" t="n">
        <x:v>238</x:v>
      </x:c>
      <x:c r="H461" s="18" t="str">
        <x:v>תחבורה</x:v>
      </x:c>
      <x:c r="I461" s="19" t="str">
        <x:f>IFERROR(INDEX('מיפוי ומקורות'!$C$7:$C$33,MATCH(H461,'מיפוי ומקורות'!$B$7:$B$33,0)),"לא מסווג")</x:f>
        <x:v>תחבורה</x:v>
      </x:c>
      <x:c r="J461" s="19" t="str">
        <x:f>IFERROR(INDEX('מיפוי ומקורות'!$D$7:$D$33,MATCH(H461,'מיפוי ומקורות'!$B$7:$B$33,0)),"שוטף")</x:f>
        <x:v>שוטף</x:v>
      </x:c>
      <x:c r="K461" s="19" t="str">
        <x:f>IF(OR(H461="ריביות",AND(H461="דירה כצנלסון",G461&lt;0,ISNUMBER(SEARCH("הכנסה",F461)))),"הכנסה שסווגה מחדש",J461)</x:f>
        <x:v>שוטף</x:v>
      </x:c>
      <x:c r="L461" s="19" t="str">
        <x:v>מאושר</x:v>
      </x:c>
      <x:c r="M461" s="20" t="n">
        <x:f>IF(L461="מאושר",IF(K461="הכנסה שסווגה מחדש",0,G461),0)</x:f>
        <x:v>238</x:v>
      </x:c>
      <x:c r="N461" s="20" t="n">
        <x:f>IF(K461="שוטף",M461,0)</x:f>
        <x:v>238</x:v>
      </x:c>
      <x:c r="O461" s="20" t="n">
        <x:f>IF(K461="הכנסה שסווגה מחדש",-G461,0)</x:f>
        <x:v>0</x:v>
      </x:c>
      <x:c r="P461" s="11" t="str">
        <x:v>אמקס זיו</x:v>
      </x:c>
      <x:c r="Q461" s="11" t="str"/>
      <x:c r="R461" s="11" t="str">
        <x:v>לא</x:v>
      </x:c>
    </x:row>
    <x:row r="462">
      <x:c r="A462" s="14" t="n">
        <x:v>45778</x:v>
      </x:c>
      <x:c r="B462" s="11" t="str">
        <x:v>2025-05</x:v>
      </x:c>
      <x:c r="C462" s="11" t="str">
        <x:v>מאי 25</x:v>
      </x:c>
      <x:c r="D462" s="15" t="n">
        <x:v>82</x:v>
      </x:c>
      <x:c r="E462" s="11" t="str">
        <x:v>11</x:v>
      </x:c>
      <x:c r="F462" s="11" t="str">
        <x:v>מכולת</x:v>
      </x:c>
      <x:c r="G462" s="17" t="n">
        <x:v>10</x:v>
      </x:c>
      <x:c r="H462" s="18" t="str">
        <x:v>אוכל בחוץ</x:v>
      </x:c>
      <x:c r="I462" s="19" t="str">
        <x:f>IFERROR(INDEX('מיפוי ומקורות'!$C$7:$C$33,MATCH(H462,'מיפוי ומקורות'!$B$7:$B$33,0)),"לא מסווג")</x:f>
        <x:v>אוכל בחוץ</x:v>
      </x:c>
      <x:c r="J462" s="19" t="str">
        <x:f>IFERROR(INDEX('מיפוי ומקורות'!$D$7:$D$33,MATCH(H462,'מיפוי ומקורות'!$B$7:$B$33,0)),"שוטף")</x:f>
        <x:v>שוטף</x:v>
      </x:c>
      <x:c r="K462" s="19" t="str">
        <x:f>IF(OR(H462="ריביות",AND(H462="דירה כצנלסון",G462&lt;0,ISNUMBER(SEARCH("הכנסה",F462)))),"הכנסה שסווגה מחדש",J462)</x:f>
        <x:v>שוטף</x:v>
      </x:c>
      <x:c r="L462" s="19" t="str">
        <x:v>מאושר</x:v>
      </x:c>
      <x:c r="M462" s="20" t="n">
        <x:f>IF(L462="מאושר",IF(K462="הכנסה שסווגה מחדש",0,G462),0)</x:f>
        <x:v>10</x:v>
      </x:c>
      <x:c r="N462" s="20" t="n">
        <x:f>IF(K462="שוטף",M462,0)</x:f>
        <x:v>10</x:v>
      </x:c>
      <x:c r="O462" s="20" t="n">
        <x:f>IF(K462="הכנסה שסווגה מחדש",-G462,0)</x:f>
        <x:v>0</x:v>
      </x:c>
      <x:c r="P462" s="11" t="str">
        <x:v>אמקס זיו</x:v>
      </x:c>
      <x:c r="Q462" s="11" t="str"/>
      <x:c r="R462" s="11" t="str">
        <x:v>לא</x:v>
      </x:c>
    </x:row>
    <x:row r="463">
      <x:c r="A463" s="14" t="n">
        <x:v>45778</x:v>
      </x:c>
      <x:c r="B463" s="11" t="str">
        <x:v>2025-05</x:v>
      </x:c>
      <x:c r="C463" s="11" t="str">
        <x:v>מאי 25</x:v>
      </x:c>
      <x:c r="D463" s="15" t="n">
        <x:v>83</x:v>
      </x:c>
      <x:c r="E463" s="11" t="str">
        <x:v>12</x:v>
      </x:c>
      <x:c r="F463" s="11" t="str">
        <x:v>אוכל</x:v>
      </x:c>
      <x:c r="G463" s="17" t="n">
        <x:v>25</x:v>
      </x:c>
      <x:c r="H463" s="18" t="str">
        <x:v>אוכל בחוץ</x:v>
      </x:c>
      <x:c r="I463" s="19" t="str">
        <x:f>IFERROR(INDEX('מיפוי ומקורות'!$C$7:$C$33,MATCH(H463,'מיפוי ומקורות'!$B$7:$B$33,0)),"לא מסווג")</x:f>
        <x:v>אוכל בחוץ</x:v>
      </x:c>
      <x:c r="J463" s="19" t="str">
        <x:f>IFERROR(INDEX('מיפוי ומקורות'!$D$7:$D$33,MATCH(H463,'מיפוי ומקורות'!$B$7:$B$33,0)),"שוטף")</x:f>
        <x:v>שוטף</x:v>
      </x:c>
      <x:c r="K463" s="19" t="str">
        <x:f>IF(OR(H463="ריביות",AND(H463="דירה כצנלסון",G463&lt;0,ISNUMBER(SEARCH("הכנסה",F463)))),"הכנסה שסווגה מחדש",J463)</x:f>
        <x:v>שוטף</x:v>
      </x:c>
      <x:c r="L463" s="19" t="str">
        <x:v>מאושר</x:v>
      </x:c>
      <x:c r="M463" s="20" t="n">
        <x:f>IF(L463="מאושר",IF(K463="הכנסה שסווגה מחדש",0,G463),0)</x:f>
        <x:v>25</x:v>
      </x:c>
      <x:c r="N463" s="20" t="n">
        <x:f>IF(K463="שוטף",M463,0)</x:f>
        <x:v>25</x:v>
      </x:c>
      <x:c r="O463" s="20" t="n">
        <x:f>IF(K463="הכנסה שסווגה מחדש",-G463,0)</x:f>
        <x:v>0</x:v>
      </x:c>
      <x:c r="P463" s="11" t="str">
        <x:v>אמקס זיו</x:v>
      </x:c>
      <x:c r="Q463" s="11" t="str"/>
      <x:c r="R463" s="11" t="str">
        <x:v>לא</x:v>
      </x:c>
    </x:row>
    <x:row r="464">
      <x:c r="A464" s="14" t="n">
        <x:v>45778</x:v>
      </x:c>
      <x:c r="B464" s="11" t="str">
        <x:v>2025-05</x:v>
      </x:c>
      <x:c r="C464" s="11" t="str">
        <x:v>מאי 25</x:v>
      </x:c>
      <x:c r="D464" s="15" t="n">
        <x:v>84</x:v>
      </x:c>
      <x:c r="E464" s="11" t="str">
        <x:v>14</x:v>
      </x:c>
      <x:c r="F464" s="11" t="str">
        <x:v>מכולת</x:v>
      </x:c>
      <x:c r="G464" s="17" t="n">
        <x:v>4</x:v>
      </x:c>
      <x:c r="H464" s="18" t="str">
        <x:v>אוכל בחוץ</x:v>
      </x:c>
      <x:c r="I464" s="19" t="str">
        <x:f>IFERROR(INDEX('מיפוי ומקורות'!$C$7:$C$33,MATCH(H464,'מיפוי ומקורות'!$B$7:$B$33,0)),"לא מסווג")</x:f>
        <x:v>אוכל בחוץ</x:v>
      </x:c>
      <x:c r="J464" s="19" t="str">
        <x:f>IFERROR(INDEX('מיפוי ומקורות'!$D$7:$D$33,MATCH(H464,'מיפוי ומקורות'!$B$7:$B$33,0)),"שוטף")</x:f>
        <x:v>שוטף</x:v>
      </x:c>
      <x:c r="K464" s="19" t="str">
        <x:f>IF(OR(H464="ריביות",AND(H464="דירה כצנלסון",G464&lt;0,ISNUMBER(SEARCH("הכנסה",F464)))),"הכנסה שסווגה מחדש",J464)</x:f>
        <x:v>שוטף</x:v>
      </x:c>
      <x:c r="L464" s="19" t="str">
        <x:v>מאושר</x:v>
      </x:c>
      <x:c r="M464" s="20" t="n">
        <x:f>IF(L464="מאושר",IF(K464="הכנסה שסווגה מחדש",0,G464),0)</x:f>
        <x:v>4</x:v>
      </x:c>
      <x:c r="N464" s="20" t="n">
        <x:f>IF(K464="שוטף",M464,0)</x:f>
        <x:v>4</x:v>
      </x:c>
      <x:c r="O464" s="20" t="n">
        <x:f>IF(K464="הכנסה שסווגה מחדש",-G464,0)</x:f>
        <x:v>0</x:v>
      </x:c>
      <x:c r="P464" s="11" t="str">
        <x:v>אמקס זיו</x:v>
      </x:c>
      <x:c r="Q464" s="11" t="str"/>
      <x:c r="R464" s="11" t="str">
        <x:v>לא</x:v>
      </x:c>
    </x:row>
    <x:row r="465">
      <x:c r="A465" s="14" t="n">
        <x:v>45778</x:v>
      </x:c>
      <x:c r="B465" s="11" t="str">
        <x:v>2025-05</x:v>
      </x:c>
      <x:c r="C465" s="11" t="str">
        <x:v>מאי 25</x:v>
      </x:c>
      <x:c r="D465" s="15" t="n">
        <x:v>85</x:v>
      </x:c>
      <x:c r="E465" s="11" t="str">
        <x:v>16</x:v>
      </x:c>
      <x:c r="F465" s="11" t="str">
        <x:v>מתנה לשחף</x:v>
      </x:c>
      <x:c r="G465" s="17" t="n">
        <x:v>47</x:v>
      </x:c>
      <x:c r="H465" s="18" t="str">
        <x:v>מתנה</x:v>
      </x:c>
      <x:c r="I465" s="19" t="str">
        <x:f>IFERROR(INDEX('מיפוי ומקורות'!$C$7:$C$33,MATCH(H465,'מיפוי ומקורות'!$B$7:$B$33,0)),"לא מסווג")</x:f>
        <x:v>מתנה</x:v>
      </x:c>
      <x:c r="J465" s="19" t="str">
        <x:f>IFERROR(INDEX('מיפוי ומקורות'!$D$7:$D$33,MATCH(H465,'מיפוי ומקורות'!$B$7:$B$33,0)),"שוטף")</x:f>
        <x:v>שוטף</x:v>
      </x:c>
      <x:c r="K465" s="19" t="str">
        <x:f>IF(OR(H465="ריביות",AND(H465="דירה כצנלסון",G465&lt;0,ISNUMBER(SEARCH("הכנסה",F465)))),"הכנסה שסווגה מחדש",J465)</x:f>
        <x:v>שוטף</x:v>
      </x:c>
      <x:c r="L465" s="19" t="str">
        <x:v>מאושר</x:v>
      </x:c>
      <x:c r="M465" s="20" t="n">
        <x:f>IF(L465="מאושר",IF(K465="הכנסה שסווגה מחדש",0,G465),0)</x:f>
        <x:v>47</x:v>
      </x:c>
      <x:c r="N465" s="20" t="n">
        <x:f>IF(K465="שוטף",M465,0)</x:f>
        <x:v>47</x:v>
      </x:c>
      <x:c r="O465" s="20" t="n">
        <x:f>IF(K465="הכנסה שסווגה מחדש",-G465,0)</x:f>
        <x:v>0</x:v>
      </x:c>
      <x:c r="P465" s="11" t="str">
        <x:v>אמקס זיו</x:v>
      </x:c>
      <x:c r="Q465" s="11" t="str"/>
      <x:c r="R465" s="11" t="str">
        <x:v>לא</x:v>
      </x:c>
    </x:row>
    <x:row r="466">
      <x:c r="A466" s="14" t="n">
        <x:v>45778</x:v>
      </x:c>
      <x:c r="B466" s="11" t="str">
        <x:v>2025-05</x:v>
      </x:c>
      <x:c r="C466" s="11" t="str">
        <x:v>מאי 25</x:v>
      </x:c>
      <x:c r="D466" s="15" t="n">
        <x:v>86</x:v>
      </x:c>
      <x:c r="E466" s="11" t="str">
        <x:v>24</x:v>
      </x:c>
      <x:c r="F466" s="11" t="str">
        <x:v>מכולת</x:v>
      </x:c>
      <x:c r="G466" s="17" t="n">
        <x:v>37</x:v>
      </x:c>
      <x:c r="H466" s="18" t="str">
        <x:v>מזון לבית</x:v>
      </x:c>
      <x:c r="I466" s="19" t="str">
        <x:f>IFERROR(INDEX('מיפוי ומקורות'!$C$7:$C$33,MATCH(H466,'מיפוי ומקורות'!$B$7:$B$33,0)),"לא מסווג")</x:f>
        <x:v>מזון לבית</x:v>
      </x:c>
      <x:c r="J466" s="19" t="str">
        <x:f>IFERROR(INDEX('מיפוי ומקורות'!$D$7:$D$33,MATCH(H466,'מיפוי ומקורות'!$B$7:$B$33,0)),"שוטף")</x:f>
        <x:v>שוטף</x:v>
      </x:c>
      <x:c r="K466" s="19" t="str">
        <x:f>IF(OR(H466="ריביות",AND(H466="דירה כצנלסון",G466&lt;0,ISNUMBER(SEARCH("הכנסה",F466)))),"הכנסה שסווגה מחדש",J466)</x:f>
        <x:v>שוטף</x:v>
      </x:c>
      <x:c r="L466" s="19" t="str">
        <x:v>מאושר</x:v>
      </x:c>
      <x:c r="M466" s="20" t="n">
        <x:f>IF(L466="מאושר",IF(K466="הכנסה שסווגה מחדש",0,G466),0)</x:f>
        <x:v>37</x:v>
      </x:c>
      <x:c r="N466" s="20" t="n">
        <x:f>IF(K466="שוטף",M466,0)</x:f>
        <x:v>37</x:v>
      </x:c>
      <x:c r="O466" s="20" t="n">
        <x:f>IF(K466="הכנסה שסווגה מחדש",-G466,0)</x:f>
        <x:v>0</x:v>
      </x:c>
      <x:c r="P466" s="11" t="str">
        <x:v>אמקס זיו</x:v>
      </x:c>
      <x:c r="Q466" s="11" t="str"/>
      <x:c r="R466" s="11" t="str">
        <x:v>לא</x:v>
      </x:c>
    </x:row>
    <x:row r="467">
      <x:c r="A467" s="14" t="n">
        <x:v>45778</x:v>
      </x:c>
      <x:c r="B467" s="11" t="str">
        <x:v>2025-05</x:v>
      </x:c>
      <x:c r="C467" s="11" t="str">
        <x:v>מאי 25</x:v>
      </x:c>
      <x:c r="D467" s="15" t="n">
        <x:v>87</x:v>
      </x:c>
      <x:c r="E467" s="11" t="str">
        <x:v>25</x:v>
      </x:c>
      <x:c r="F467" s="11" t="str">
        <x:v>אוטובוסים</x:v>
      </x:c>
      <x:c r="G467" s="17" t="n">
        <x:v>8</x:v>
      </x:c>
      <x:c r="H467" s="18" t="str">
        <x:v>תחבורה</x:v>
      </x:c>
      <x:c r="I467" s="19" t="str">
        <x:f>IFERROR(INDEX('מיפוי ומקורות'!$C$7:$C$33,MATCH(H467,'מיפוי ומקורות'!$B$7:$B$33,0)),"לא מסווג")</x:f>
        <x:v>תחבורה</x:v>
      </x:c>
      <x:c r="J467" s="19" t="str">
        <x:f>IFERROR(INDEX('מיפוי ומקורות'!$D$7:$D$33,MATCH(H467,'מיפוי ומקורות'!$B$7:$B$33,0)),"שוטף")</x:f>
        <x:v>שוטף</x:v>
      </x:c>
      <x:c r="K467" s="19" t="str">
        <x:f>IF(OR(H467="ריביות",AND(H467="דירה כצנלסון",G467&lt;0,ISNUMBER(SEARCH("הכנסה",F467)))),"הכנסה שסווגה מחדש",J467)</x:f>
        <x:v>שוטף</x:v>
      </x:c>
      <x:c r="L467" s="19" t="str">
        <x:v>מאושר</x:v>
      </x:c>
      <x:c r="M467" s="20" t="n">
        <x:f>IF(L467="מאושר",IF(K467="הכנסה שסווגה מחדש",0,G467),0)</x:f>
        <x:v>8</x:v>
      </x:c>
      <x:c r="N467" s="20" t="n">
        <x:f>IF(K467="שוטף",M467,0)</x:f>
        <x:v>8</x:v>
      </x:c>
      <x:c r="O467" s="20" t="n">
        <x:f>IF(K467="הכנסה שסווגה מחדש",-G467,0)</x:f>
        <x:v>0</x:v>
      </x:c>
      <x:c r="P467" s="11" t="str">
        <x:v>אמקס זיו</x:v>
      </x:c>
      <x:c r="Q467" s="11" t="str"/>
      <x:c r="R467" s="11" t="str">
        <x:v>לא</x:v>
      </x:c>
    </x:row>
    <x:row r="468">
      <x:c r="A468" s="14" t="n">
        <x:v>45778</x:v>
      </x:c>
      <x:c r="B468" s="11" t="str">
        <x:v>2025-05</x:v>
      </x:c>
      <x:c r="C468" s="11" t="str">
        <x:v>מאי 25</x:v>
      </x:c>
      <x:c r="D468" s="15" t="n">
        <x:v>88</x:v>
      </x:c>
      <x:c r="E468" s="11" t="str">
        <x:v>25</x:v>
      </x:c>
      <x:c r="F468" s="11" t="str">
        <x:v>השלמת טיסות סישל</x:v>
      </x:c>
      <x:c r="G468" s="17" t="n">
        <x:v>270</x:v>
      </x:c>
      <x:c r="H468" s="18" t="str">
        <x:v>חתונה</x:v>
      </x:c>
      <x:c r="I468" s="19" t="str">
        <x:f>IFERROR(INDEX('מיפוי ומקורות'!$C$7:$C$33,MATCH(H468,'מיפוי ומקורות'!$B$7:$B$33,0)),"לא מסווג")</x:f>
        <x:v>חתונה</x:v>
      </x:c>
      <x:c r="J468" s="19" t="str">
        <x:f>IFERROR(INDEX('מיפוי ומקורות'!$D$7:$D$33,MATCH(H468,'מיפוי ומקורות'!$B$7:$B$33,0)),"שוטף")</x:f>
        <x:v>חריג</x:v>
      </x:c>
      <x:c r="K468" s="19" t="str">
        <x:f>IF(OR(H468="ריביות",AND(H468="דירה כצנלסון",G468&lt;0,ISNUMBER(SEARCH("הכנסה",F468)))),"הכנסה שסווגה מחדש",J468)</x:f>
        <x:v>חריג</x:v>
      </x:c>
      <x:c r="L468" s="19" t="str">
        <x:v>מאושר</x:v>
      </x:c>
      <x:c r="M468" s="20" t="n">
        <x:f>IF(L468="מאושר",IF(K468="הכנסה שסווגה מחדש",0,G468),0)</x:f>
        <x:v>270</x:v>
      </x:c>
      <x:c r="N468" s="20" t="n">
        <x:f>IF(K468="שוטף",M468,0)</x:f>
        <x:v>0</x:v>
      </x:c>
      <x:c r="O468" s="20" t="n">
        <x:f>IF(K468="הכנסה שסווגה מחדש",-G468,0)</x:f>
        <x:v>0</x:v>
      </x:c>
      <x:c r="P468" s="11" t="str">
        <x:v>אמקס זיו</x:v>
      </x:c>
      <x:c r="Q468" s="11" t="str"/>
      <x:c r="R468" s="11" t="str">
        <x:v>לא</x:v>
      </x:c>
    </x:row>
    <x:row r="469">
      <x:c r="A469" s="14" t="n">
        <x:v>45778</x:v>
      </x:c>
      <x:c r="B469" s="11" t="str">
        <x:v>2025-05</x:v>
      </x:c>
      <x:c r="C469" s="11" t="str">
        <x:v>מאי 25</x:v>
      </x:c>
      <x:c r="D469" s="15" t="n">
        <x:v>89</x:v>
      </x:c>
      <x:c r="E469" s="11" t="str">
        <x:v>27</x:v>
      </x:c>
      <x:c r="F469" s="11" t="str">
        <x:v>מקס</x:v>
      </x:c>
      <x:c r="G469" s="17" t="n">
        <x:v>171</x:v>
      </x:c>
      <x:c r="H469" s="18" t="str">
        <x:v>קניות לבית</x:v>
      </x:c>
      <x:c r="I469" s="19" t="str">
        <x:f>IFERROR(INDEX('מיפוי ומקורות'!$C$7:$C$33,MATCH(H469,'מיפוי ומקורות'!$B$7:$B$33,0)),"לא מסווג")</x:f>
        <x:v>קניות לבית</x:v>
      </x:c>
      <x:c r="J469" s="19" t="str">
        <x:f>IFERROR(INDEX('מיפוי ומקורות'!$D$7:$D$33,MATCH(H469,'מיפוי ומקורות'!$B$7:$B$33,0)),"שוטף")</x:f>
        <x:v>שוטף</x:v>
      </x:c>
      <x:c r="K469" s="19" t="str">
        <x:f>IF(OR(H469="ריביות",AND(H469="דירה כצנלסון",G469&lt;0,ISNUMBER(SEARCH("הכנסה",F469)))),"הכנסה שסווגה מחדש",J469)</x:f>
        <x:v>שוטף</x:v>
      </x:c>
      <x:c r="L469" s="19" t="str">
        <x:v>מאושר</x:v>
      </x:c>
      <x:c r="M469" s="20" t="n">
        <x:f>IF(L469="מאושר",IF(K469="הכנסה שסווגה מחדש",0,G469),0)</x:f>
        <x:v>171</x:v>
      </x:c>
      <x:c r="N469" s="20" t="n">
        <x:f>IF(K469="שוטף",M469,0)</x:f>
        <x:v>171</x:v>
      </x:c>
      <x:c r="O469" s="20" t="n">
        <x:f>IF(K469="הכנסה שסווגה מחדש",-G469,0)</x:f>
        <x:v>0</x:v>
      </x:c>
      <x:c r="P469" s="11" t="str">
        <x:v>אמקס זיו</x:v>
      </x:c>
      <x:c r="Q469" s="11" t="str"/>
      <x:c r="R469" s="11" t="str">
        <x:v>לא</x:v>
      </x:c>
    </x:row>
    <x:row r="470">
      <x:c r="A470" s="14" t="n">
        <x:v>45778</x:v>
      </x:c>
      <x:c r="B470" s="11" t="str">
        <x:v>2025-05</x:v>
      </x:c>
      <x:c r="C470" s="11" t="str">
        <x:v>מאי 25</x:v>
      </x:c>
      <x:c r="D470" s="15" t="n">
        <x:v>90</x:v>
      </x:c>
      <x:c r="E470" s="11" t="str">
        <x:v>27</x:v>
      </x:c>
      <x:c r="F470" s="11" t="str">
        <x:v>מתנה לדניאל</x:v>
      </x:c>
      <x:c r="G470" s="17" t="n">
        <x:v>20</x:v>
      </x:c>
      <x:c r="H470" s="18" t="str">
        <x:v>מתנה</x:v>
      </x:c>
      <x:c r="I470" s="19" t="str">
        <x:f>IFERROR(INDEX('מיפוי ומקורות'!$C$7:$C$33,MATCH(H470,'מיפוי ומקורות'!$B$7:$B$33,0)),"לא מסווג")</x:f>
        <x:v>מתנה</x:v>
      </x:c>
      <x:c r="J470" s="19" t="str">
        <x:f>IFERROR(INDEX('מיפוי ומקורות'!$D$7:$D$33,MATCH(H470,'מיפוי ומקורות'!$B$7:$B$33,0)),"שוטף")</x:f>
        <x:v>שוטף</x:v>
      </x:c>
      <x:c r="K470" s="19" t="str">
        <x:f>IF(OR(H470="ריביות",AND(H470="דירה כצנלסון",G470&lt;0,ISNUMBER(SEARCH("הכנסה",F470)))),"הכנסה שסווגה מחדש",J470)</x:f>
        <x:v>שוטף</x:v>
      </x:c>
      <x:c r="L470" s="19" t="str">
        <x:v>מאושר</x:v>
      </x:c>
      <x:c r="M470" s="20" t="n">
        <x:f>IF(L470="מאושר",IF(K470="הכנסה שסווגה מחדש",0,G470),0)</x:f>
        <x:v>20</x:v>
      </x:c>
      <x:c r="N470" s="20" t="n">
        <x:f>IF(K470="שוטף",M470,0)</x:f>
        <x:v>20</x:v>
      </x:c>
      <x:c r="O470" s="20" t="n">
        <x:f>IF(K470="הכנסה שסווגה מחדש",-G470,0)</x:f>
        <x:v>0</x:v>
      </x:c>
      <x:c r="P470" s="11" t="str">
        <x:v>אמקס זיו</x:v>
      </x:c>
      <x:c r="Q470" s="11" t="str"/>
      <x:c r="R470" s="11" t="str">
        <x:v>לא</x:v>
      </x:c>
    </x:row>
    <x:row r="471">
      <x:c r="A471" s="14" t="n">
        <x:v>45778</x:v>
      </x:c>
      <x:c r="B471" s="11" t="str">
        <x:v>2025-05</x:v>
      </x:c>
      <x:c r="C471" s="11" t="str">
        <x:v>מאי 25</x:v>
      </x:c>
      <x:c r="D471" s="15" t="n">
        <x:v>91</x:v>
      </x:c>
      <x:c r="E471" s="11" t="str">
        <x:v>27</x:v>
      </x:c>
      <x:c r="F471" s="11" t="str">
        <x:v>בראנץ</x:v>
      </x:c>
      <x:c r="G471" s="17" t="n">
        <x:v>167</x:v>
      </x:c>
      <x:c r="H471" s="18" t="str">
        <x:v>אוכל בחוץ</x:v>
      </x:c>
      <x:c r="I471" s="19" t="str">
        <x:f>IFERROR(INDEX('מיפוי ומקורות'!$C$7:$C$33,MATCH(H471,'מיפוי ומקורות'!$B$7:$B$33,0)),"לא מסווג")</x:f>
        <x:v>אוכל בחוץ</x:v>
      </x:c>
      <x:c r="J471" s="19" t="str">
        <x:f>IFERROR(INDEX('מיפוי ומקורות'!$D$7:$D$33,MATCH(H471,'מיפוי ומקורות'!$B$7:$B$33,0)),"שוטף")</x:f>
        <x:v>שוטף</x:v>
      </x:c>
      <x:c r="K471" s="19" t="str">
        <x:f>IF(OR(H471="ריביות",AND(H471="דירה כצנלסון",G471&lt;0,ISNUMBER(SEARCH("הכנסה",F471)))),"הכנסה שסווגה מחדש",J471)</x:f>
        <x:v>שוטף</x:v>
      </x:c>
      <x:c r="L471" s="19" t="str">
        <x:v>מאושר</x:v>
      </x:c>
      <x:c r="M471" s="20" t="n">
        <x:f>IF(L471="מאושר",IF(K471="הכנסה שסווגה מחדש",0,G471),0)</x:f>
        <x:v>167</x:v>
      </x:c>
      <x:c r="N471" s="20" t="n">
        <x:f>IF(K471="שוטף",M471,0)</x:f>
        <x:v>167</x:v>
      </x:c>
      <x:c r="O471" s="20" t="n">
        <x:f>IF(K471="הכנסה שסווגה מחדש",-G471,0)</x:f>
        <x:v>0</x:v>
      </x:c>
      <x:c r="P471" s="11" t="str">
        <x:v>אמקס זיו</x:v>
      </x:c>
      <x:c r="Q471" s="11" t="str"/>
      <x:c r="R471" s="11" t="str">
        <x:v>לא</x:v>
      </x:c>
    </x:row>
    <x:row r="472">
      <x:c r="A472" s="14" t="n">
        <x:v>45778</x:v>
      </x:c>
      <x:c r="B472" s="11" t="str">
        <x:v>2025-05</x:v>
      </x:c>
      <x:c r="C472" s="11" t="str">
        <x:v>מאי 25</x:v>
      </x:c>
      <x:c r="D472" s="15" t="n">
        <x:v>92</x:v>
      </x:c>
      <x:c r="E472" s="11" t="str">
        <x:v>27</x:v>
      </x:c>
      <x:c r="F472" s="11" t="str">
        <x:v>דלק</x:v>
      </x:c>
      <x:c r="G472" s="17" t="n">
        <x:v>222</x:v>
      </x:c>
      <x:c r="H472" s="18" t="str">
        <x:v>תחבורה</x:v>
      </x:c>
      <x:c r="I472" s="19" t="str">
        <x:f>IFERROR(INDEX('מיפוי ומקורות'!$C$7:$C$33,MATCH(H472,'מיפוי ומקורות'!$B$7:$B$33,0)),"לא מסווג")</x:f>
        <x:v>תחבורה</x:v>
      </x:c>
      <x:c r="J472" s="19" t="str">
        <x:f>IFERROR(INDEX('מיפוי ומקורות'!$D$7:$D$33,MATCH(H472,'מיפוי ומקורות'!$B$7:$B$33,0)),"שוטף")</x:f>
        <x:v>שוטף</x:v>
      </x:c>
      <x:c r="K472" s="19" t="str">
        <x:f>IF(OR(H472="ריביות",AND(H472="דירה כצנלסון",G472&lt;0,ISNUMBER(SEARCH("הכנסה",F472)))),"הכנסה שסווגה מחדש",J472)</x:f>
        <x:v>שוטף</x:v>
      </x:c>
      <x:c r="L472" s="19" t="str">
        <x:v>מאושר</x:v>
      </x:c>
      <x:c r="M472" s="20" t="n">
        <x:f>IF(L472="מאושר",IF(K472="הכנסה שסווגה מחדש",0,G472),0)</x:f>
        <x:v>222</x:v>
      </x:c>
      <x:c r="N472" s="20" t="n">
        <x:f>IF(K472="שוטף",M472,0)</x:f>
        <x:v>222</x:v>
      </x:c>
      <x:c r="O472" s="20" t="n">
        <x:f>IF(K472="הכנסה שסווגה מחדש",-G472,0)</x:f>
        <x:v>0</x:v>
      </x:c>
      <x:c r="P472" s="11" t="str">
        <x:v>אמקס זיו</x:v>
      </x:c>
      <x:c r="Q472" s="11" t="str"/>
      <x:c r="R472" s="11" t="str">
        <x:v>לא</x:v>
      </x:c>
    </x:row>
    <x:row r="473">
      <x:c r="A473" s="14" t="n">
        <x:v>45778</x:v>
      </x:c>
      <x:c r="B473" s="11" t="str">
        <x:v>2025-05</x:v>
      </x:c>
      <x:c r="C473" s="11" t="str">
        <x:v>מאי 25</x:v>
      </x:c>
      <x:c r="D473" s="15" t="n">
        <x:v>93</x:v>
      </x:c>
      <x:c r="E473" s="11" t="str">
        <x:v>28</x:v>
      </x:c>
      <x:c r="F473" s="11" t="str">
        <x:v>מכולת</x:v>
      </x:c>
      <x:c r="G473" s="17" t="n">
        <x:v>7</x:v>
      </x:c>
      <x:c r="H473" s="18" t="str">
        <x:v>מזון לבית</x:v>
      </x:c>
      <x:c r="I473" s="19" t="str">
        <x:f>IFERROR(INDEX('מיפוי ומקורות'!$C$7:$C$33,MATCH(H473,'מיפוי ומקורות'!$B$7:$B$33,0)),"לא מסווג")</x:f>
        <x:v>מזון לבית</x:v>
      </x:c>
      <x:c r="J473" s="19" t="str">
        <x:f>IFERROR(INDEX('מיפוי ומקורות'!$D$7:$D$33,MATCH(H473,'מיפוי ומקורות'!$B$7:$B$33,0)),"שוטף")</x:f>
        <x:v>שוטף</x:v>
      </x:c>
      <x:c r="K473" s="19" t="str">
        <x:f>IF(OR(H473="ריביות",AND(H473="דירה כצנלסון",G473&lt;0,ISNUMBER(SEARCH("הכנסה",F473)))),"הכנסה שסווגה מחדש",J473)</x:f>
        <x:v>שוטף</x:v>
      </x:c>
      <x:c r="L473" s="19" t="str">
        <x:v>מאושר</x:v>
      </x:c>
      <x:c r="M473" s="20" t="n">
        <x:f>IF(L473="מאושר",IF(K473="הכנסה שסווגה מחדש",0,G473),0)</x:f>
        <x:v>7</x:v>
      </x:c>
      <x:c r="N473" s="20" t="n">
        <x:f>IF(K473="שוטף",M473,0)</x:f>
        <x:v>7</x:v>
      </x:c>
      <x:c r="O473" s="20" t="n">
        <x:f>IF(K473="הכנסה שסווגה מחדש",-G473,0)</x:f>
        <x:v>0</x:v>
      </x:c>
      <x:c r="P473" s="11" t="str">
        <x:v>אמקס זיו</x:v>
      </x:c>
      <x:c r="Q473" s="11" t="str"/>
      <x:c r="R473" s="11" t="str">
        <x:v>לא</x:v>
      </x:c>
    </x:row>
    <x:row r="474">
      <x:c r="A474" s="14" t="n">
        <x:v>45778</x:v>
      </x:c>
      <x:c r="B474" s="11" t="str">
        <x:v>2025-05</x:v>
      </x:c>
      <x:c r="C474" s="11" t="str">
        <x:v>מאי 25</x:v>
      </x:c>
      <x:c r="D474" s="15" t="n">
        <x:v>94</x:v>
      </x:c>
      <x:c r="E474" s="11" t="str">
        <x:v>28</x:v>
      </x:c>
      <x:c r="F474" s="11" t="str">
        <x:v>אוטלו</x:v>
      </x:c>
      <x:c r="G474" s="17" t="n">
        <x:v>48</x:v>
      </x:c>
      <x:c r="H474" s="18" t="str">
        <x:v>אוכל בחוץ</x:v>
      </x:c>
      <x:c r="I474" s="19" t="str">
        <x:f>IFERROR(INDEX('מיפוי ומקורות'!$C$7:$C$33,MATCH(H474,'מיפוי ומקורות'!$B$7:$B$33,0)),"לא מסווג")</x:f>
        <x:v>אוכל בחוץ</x:v>
      </x:c>
      <x:c r="J474" s="19" t="str">
        <x:f>IFERROR(INDEX('מיפוי ומקורות'!$D$7:$D$33,MATCH(H474,'מיפוי ומקורות'!$B$7:$B$33,0)),"שוטף")</x:f>
        <x:v>שוטף</x:v>
      </x:c>
      <x:c r="K474" s="19" t="str">
        <x:f>IF(OR(H474="ריביות",AND(H474="דירה כצנלסון",G474&lt;0,ISNUMBER(SEARCH("הכנסה",F474)))),"הכנסה שסווגה מחדש",J474)</x:f>
        <x:v>שוטף</x:v>
      </x:c>
      <x:c r="L474" s="19" t="str">
        <x:v>מאושר</x:v>
      </x:c>
      <x:c r="M474" s="20" t="n">
        <x:f>IF(L474="מאושר",IF(K474="הכנסה שסווגה מחדש",0,G474),0)</x:f>
        <x:v>48</x:v>
      </x:c>
      <x:c r="N474" s="20" t="n">
        <x:f>IF(K474="שוטף",M474,0)</x:f>
        <x:v>48</x:v>
      </x:c>
      <x:c r="O474" s="20" t="n">
        <x:f>IF(K474="הכנסה שסווגה מחדש",-G474,0)</x:f>
        <x:v>0</x:v>
      </x:c>
      <x:c r="P474" s="11" t="str">
        <x:v>אמקס זיו</x:v>
      </x:c>
      <x:c r="Q474" s="11" t="str"/>
      <x:c r="R474" s="11" t="str">
        <x:v>לא</x:v>
      </x:c>
    </x:row>
    <x:row r="475">
      <x:c r="A475" s="14" t="n">
        <x:v>45778</x:v>
      </x:c>
      <x:c r="B475" s="11" t="str">
        <x:v>2025-05</x:v>
      </x:c>
      <x:c r="C475" s="11" t="str">
        <x:v>מאי 25</x:v>
      </x:c>
      <x:c r="D475" s="15" t="n">
        <x:v>95</x:v>
      </x:c>
      <x:c r="E475" s="11" t="str">
        <x:v>29</x:v>
      </x:c>
      <x:c r="F475" s="11" t="str">
        <x:v>סופר</x:v>
      </x:c>
      <x:c r="G475" s="17" t="n">
        <x:v>47</x:v>
      </x:c>
      <x:c r="H475" s="18" t="str">
        <x:v>מזון לבית</x:v>
      </x:c>
      <x:c r="I475" s="19" t="str">
        <x:f>IFERROR(INDEX('מיפוי ומקורות'!$C$7:$C$33,MATCH(H475,'מיפוי ומקורות'!$B$7:$B$33,0)),"לא מסווג")</x:f>
        <x:v>מזון לבית</x:v>
      </x:c>
      <x:c r="J475" s="19" t="str">
        <x:f>IFERROR(INDEX('מיפוי ומקורות'!$D$7:$D$33,MATCH(H475,'מיפוי ומקורות'!$B$7:$B$33,0)),"שוטף")</x:f>
        <x:v>שוטף</x:v>
      </x:c>
      <x:c r="K475" s="19" t="str">
        <x:f>IF(OR(H475="ריביות",AND(H475="דירה כצנלסון",G475&lt;0,ISNUMBER(SEARCH("הכנסה",F475)))),"הכנסה שסווגה מחדש",J475)</x:f>
        <x:v>שוטף</x:v>
      </x:c>
      <x:c r="L475" s="19" t="str">
        <x:v>מאושר</x:v>
      </x:c>
      <x:c r="M475" s="20" t="n">
        <x:f>IF(L475="מאושר",IF(K475="הכנסה שסווגה מחדש",0,G475),0)</x:f>
        <x:v>47</x:v>
      </x:c>
      <x:c r="N475" s="20" t="n">
        <x:f>IF(K475="שוטף",M475,0)</x:f>
        <x:v>47</x:v>
      </x:c>
      <x:c r="O475" s="20" t="n">
        <x:f>IF(K475="הכנסה שסווגה מחדש",-G475,0)</x:f>
        <x:v>0</x:v>
      </x:c>
      <x:c r="P475" s="11" t="str">
        <x:v>אמקס זיו</x:v>
      </x:c>
      <x:c r="Q475" s="11" t="str"/>
      <x:c r="R475" s="11" t="str">
        <x:v>לא</x:v>
      </x:c>
    </x:row>
    <x:row r="476">
      <x:c r="A476" s="14" t="n">
        <x:v>45778</x:v>
      </x:c>
      <x:c r="B476" s="11" t="str">
        <x:v>2025-05</x:v>
      </x:c>
      <x:c r="C476" s="11" t="str">
        <x:v>מאי 25</x:v>
      </x:c>
      <x:c r="D476" s="15" t="n">
        <x:v>96</x:v>
      </x:c>
      <x:c r="E476" s="11" t="str">
        <x:v>30</x:v>
      </x:c>
      <x:c r="F476" s="11" t="str">
        <x:v>פירות</x:v>
      </x:c>
      <x:c r="G476" s="17" t="n">
        <x:v>48</x:v>
      </x:c>
      <x:c r="H476" s="18" t="str">
        <x:v>אוכל בחוץ</x:v>
      </x:c>
      <x:c r="I476" s="19" t="str">
        <x:f>IFERROR(INDEX('מיפוי ומקורות'!$C$7:$C$33,MATCH(H476,'מיפוי ומקורות'!$B$7:$B$33,0)),"לא מסווג")</x:f>
        <x:v>אוכל בחוץ</x:v>
      </x:c>
      <x:c r="J476" s="19" t="str">
        <x:f>IFERROR(INDEX('מיפוי ומקורות'!$D$7:$D$33,MATCH(H476,'מיפוי ומקורות'!$B$7:$B$33,0)),"שוטף")</x:f>
        <x:v>שוטף</x:v>
      </x:c>
      <x:c r="K476" s="19" t="str">
        <x:f>IF(OR(H476="ריביות",AND(H476="דירה כצנלסון",G476&lt;0,ISNUMBER(SEARCH("הכנסה",F476)))),"הכנסה שסווגה מחדש",J476)</x:f>
        <x:v>שוטף</x:v>
      </x:c>
      <x:c r="L476" s="19" t="str">
        <x:v>מאושר</x:v>
      </x:c>
      <x:c r="M476" s="20" t="n">
        <x:f>IF(L476="מאושר",IF(K476="הכנסה שסווגה מחדש",0,G476),0)</x:f>
        <x:v>48</x:v>
      </x:c>
      <x:c r="N476" s="20" t="n">
        <x:f>IF(K476="שוטף",M476,0)</x:f>
        <x:v>48</x:v>
      </x:c>
      <x:c r="O476" s="20" t="n">
        <x:f>IF(K476="הכנסה שסווגה מחדש",-G476,0)</x:f>
        <x:v>0</x:v>
      </x:c>
      <x:c r="P476" s="11" t="str">
        <x:v>אמקס זיו</x:v>
      </x:c>
      <x:c r="Q476" s="11" t="str"/>
      <x:c r="R476" s="11" t="str">
        <x:v>לא</x:v>
      </x:c>
    </x:row>
    <x:row r="477">
      <x:c r="A477" s="14" t="n">
        <x:v>45778</x:v>
      </x:c>
      <x:c r="B477" s="11" t="str">
        <x:v>2025-05</x:v>
      </x:c>
      <x:c r="C477" s="11" t="str">
        <x:v>מאי 25</x:v>
      </x:c>
      <x:c r="D477" s="15" t="n">
        <x:v>97</x:v>
      </x:c>
      <x:c r="E477" s="11" t="str">
        <x:v>24</x:v>
      </x:c>
      <x:c r="F477" s="11" t="str">
        <x:v>אוכל</x:v>
      </x:c>
      <x:c r="G477" s="17" t="n">
        <x:v>30</x:v>
      </x:c>
      <x:c r="H477" s="18" t="str">
        <x:v>אוכל בחוץ</x:v>
      </x:c>
      <x:c r="I477" s="19" t="str">
        <x:f>IFERROR(INDEX('מיפוי ומקורות'!$C$7:$C$33,MATCH(H477,'מיפוי ומקורות'!$B$7:$B$33,0)),"לא מסווג")</x:f>
        <x:v>אוכל בחוץ</x:v>
      </x:c>
      <x:c r="J477" s="19" t="str">
        <x:f>IFERROR(INDEX('מיפוי ומקורות'!$D$7:$D$33,MATCH(H477,'מיפוי ומקורות'!$B$7:$B$33,0)),"שוטף")</x:f>
        <x:v>שוטף</x:v>
      </x:c>
      <x:c r="K477" s="19" t="str">
        <x:f>IF(OR(H477="ריביות",AND(H477="דירה כצנלסון",G477&lt;0,ISNUMBER(SEARCH("הכנסה",F477)))),"הכנסה שסווגה מחדש",J477)</x:f>
        <x:v>שוטף</x:v>
      </x:c>
      <x:c r="L477" s="19" t="str">
        <x:v>מאושר</x:v>
      </x:c>
      <x:c r="M477" s="20" t="n">
        <x:f>IF(L477="מאושר",IF(K477="הכנסה שסווגה מחדש",0,G477),0)</x:f>
        <x:v>30</x:v>
      </x:c>
      <x:c r="N477" s="20" t="n">
        <x:f>IF(K477="שוטף",M477,0)</x:f>
        <x:v>30</x:v>
      </x:c>
      <x:c r="O477" s="20" t="n">
        <x:f>IF(K477="הכנסה שסווגה מחדש",-G477,0)</x:f>
        <x:v>0</x:v>
      </x:c>
      <x:c r="P477" s="11" t="str">
        <x:v>ביט - זיו</x:v>
      </x:c>
      <x:c r="Q477" s="11" t="str"/>
      <x:c r="R477" s="11" t="str">
        <x:v>לא</x:v>
      </x:c>
    </x:row>
    <x:row r="478">
      <x:c r="A478" s="14" t="n">
        <x:v>45778</x:v>
      </x:c>
      <x:c r="B478" s="11" t="str">
        <x:v>2025-05</x:v>
      </x:c>
      <x:c r="C478" s="11" t="str">
        <x:v>מאי 25</x:v>
      </x:c>
      <x:c r="D478" s="15" t="n">
        <x:v>98</x:v>
      </x:c>
      <x:c r="E478" s="11" t="str">
        <x:v>10</x:v>
      </x:c>
      <x:c r="F478" s="11" t="str">
        <x:v>מלצרים</x:v>
      </x:c>
      <x:c r="G478" s="17" t="n">
        <x:v>6000</x:v>
      </x:c>
      <x:c r="H478" s="18" t="str">
        <x:v>חתונה</x:v>
      </x:c>
      <x:c r="I478" s="19" t="str">
        <x:f>IFERROR(INDEX('מיפוי ומקורות'!$C$7:$C$33,MATCH(H478,'מיפוי ומקורות'!$B$7:$B$33,0)),"לא מסווג")</x:f>
        <x:v>חתונה</x:v>
      </x:c>
      <x:c r="J478" s="19" t="str">
        <x:f>IFERROR(INDEX('מיפוי ומקורות'!$D$7:$D$33,MATCH(H478,'מיפוי ומקורות'!$B$7:$B$33,0)),"שוטף")</x:f>
        <x:v>חריג</x:v>
      </x:c>
      <x:c r="K478" s="19" t="str">
        <x:f>IF(OR(H478="ריביות",AND(H478="דירה כצנלסון",G478&lt;0,ISNUMBER(SEARCH("הכנסה",F478)))),"הכנסה שסווגה מחדש",J478)</x:f>
        <x:v>חריג</x:v>
      </x:c>
      <x:c r="L478" s="19" t="str">
        <x:v>מאושר</x:v>
      </x:c>
      <x:c r="M478" s="20" t="n">
        <x:f>IF(L478="מאושר",IF(K478="הכנסה שסווגה מחדש",0,G478),0)</x:f>
        <x:v>6000</x:v>
      </x:c>
      <x:c r="N478" s="20" t="n">
        <x:f>IF(K478="שוטף",M478,0)</x:f>
        <x:v>0</x:v>
      </x:c>
      <x:c r="O478" s="20" t="n">
        <x:f>IF(K478="הכנסה שסווגה מחדש",-G478,0)</x:f>
        <x:v>0</x:v>
      </x:c>
      <x:c r="P478" s="11" t="str">
        <x:v>מזומן</x:v>
      </x:c>
      <x:c r="Q478" s="11" t="str"/>
      <x:c r="R478" s="11" t="str">
        <x:v>לא</x:v>
      </x:c>
    </x:row>
    <x:row r="479">
      <x:c r="A479" s="14" t="n">
        <x:v>45778</x:v>
      </x:c>
      <x:c r="B479" s="11" t="str">
        <x:v>2025-05</x:v>
      </x:c>
      <x:c r="C479" s="11" t="str">
        <x:v>מאי 25</x:v>
      </x:c>
      <x:c r="D479" s="15" t="n">
        <x:v>99</x:v>
      </x:c>
      <x:c r="E479" s="11" t="str">
        <x:v>10</x:v>
      </x:c>
      <x:c r="F479" s="11" t="str">
        <x:v>הסעה</x:v>
      </x:c>
      <x:c r="G479" s="17" t="n">
        <x:v>1400</x:v>
      </x:c>
      <x:c r="H479" s="18" t="str">
        <x:v>חתונה</x:v>
      </x:c>
      <x:c r="I479" s="19" t="str">
        <x:f>IFERROR(INDEX('מיפוי ומקורות'!$C$7:$C$33,MATCH(H479,'מיפוי ומקורות'!$B$7:$B$33,0)),"לא מסווג")</x:f>
        <x:v>חתונה</x:v>
      </x:c>
      <x:c r="J479" s="19" t="str">
        <x:f>IFERROR(INDEX('מיפוי ומקורות'!$D$7:$D$33,MATCH(H479,'מיפוי ומקורות'!$B$7:$B$33,0)),"שוטף")</x:f>
        <x:v>חריג</x:v>
      </x:c>
      <x:c r="K479" s="19" t="str">
        <x:f>IF(OR(H479="ריביות",AND(H479="דירה כצנלסון",G479&lt;0,ISNUMBER(SEARCH("הכנסה",F479)))),"הכנסה שסווגה מחדש",J479)</x:f>
        <x:v>חריג</x:v>
      </x:c>
      <x:c r="L479" s="19" t="str">
        <x:v>מאושר</x:v>
      </x:c>
      <x:c r="M479" s="20" t="n">
        <x:f>IF(L479="מאושר",IF(K479="הכנסה שסווגה מחדש",0,G479),0)</x:f>
        <x:v>1400</x:v>
      </x:c>
      <x:c r="N479" s="20" t="n">
        <x:f>IF(K479="שוטף",M479,0)</x:f>
        <x:v>0</x:v>
      </x:c>
      <x:c r="O479" s="20" t="n">
        <x:f>IF(K479="הכנסה שסווגה מחדש",-G479,0)</x:f>
        <x:v>0</x:v>
      </x:c>
      <x:c r="P479" s="11" t="str">
        <x:v>מזומן</x:v>
      </x:c>
      <x:c r="Q479" s="11" t="str"/>
      <x:c r="R479" s="11" t="str">
        <x:v>לא</x:v>
      </x:c>
    </x:row>
    <x:row r="480">
      <x:c r="A480" s="14" t="n">
        <x:v>45778</x:v>
      </x:c>
      <x:c r="B480" s="11" t="str">
        <x:v>2025-05</x:v>
      </x:c>
      <x:c r="C480" s="11" t="str">
        <x:v>מאי 25</x:v>
      </x:c>
      <x:c r="D480" s="15" t="n">
        <x:v>100</x:v>
      </x:c>
      <x:c r="E480" s="11" t="str"/>
      <x:c r="F480" s="11" t="str">
        <x:v>אימון עינור</x:v>
      </x:c>
      <x:c r="G480" s="17" t="n">
        <x:v>107</x:v>
      </x:c>
      <x:c r="H480" s="18" t="str">
        <x:v>ספורט</x:v>
      </x:c>
      <x:c r="I480" s="19" t="str">
        <x:f>IFERROR(INDEX('מיפוי ומקורות'!$C$7:$C$33,MATCH(H480,'מיפוי ומקורות'!$B$7:$B$33,0)),"לא מסווג")</x:f>
        <x:v>ספורט</x:v>
      </x:c>
      <x:c r="J480" s="19" t="str">
        <x:f>IFERROR(INDEX('מיפוי ומקורות'!$D$7:$D$33,MATCH(H480,'מיפוי ומקורות'!$B$7:$B$33,0)),"שוטף")</x:f>
        <x:v>שוטף</x:v>
      </x:c>
      <x:c r="K480" s="19" t="str">
        <x:f>IF(OR(H480="ריביות",AND(H480="דירה כצנלסון",G480&lt;0,ISNUMBER(SEARCH("הכנסה",F480)))),"הכנסה שסווגה מחדש",J480)</x:f>
        <x:v>שוטף</x:v>
      </x:c>
      <x:c r="L480" s="19" t="str">
        <x:v>מאושר</x:v>
      </x:c>
      <x:c r="M480" s="20" t="n">
        <x:f>IF(L480="מאושר",IF(K480="הכנסה שסווגה מחדש",0,G480),0)</x:f>
        <x:v>107</x:v>
      </x:c>
      <x:c r="N480" s="20" t="n">
        <x:f>IF(K480="שוטף",M480,0)</x:f>
        <x:v>107</x:v>
      </x:c>
      <x:c r="O480" s="20" t="n">
        <x:f>IF(K480="הכנסה שסווגה מחדש",-G480,0)</x:f>
        <x:v>0</x:v>
      </x:c>
      <x:c r="P480" s="11" t="str">
        <x:v>אחר - עינור</x:v>
      </x:c>
      <x:c r="Q480" s="11" t="str"/>
      <x:c r="R480" s="11" t="str">
        <x:v>לא</x:v>
      </x:c>
    </x:row>
    <x:row r="481">
      <x:c r="A481" s="14" t="n">
        <x:v>45809</x:v>
      </x:c>
      <x:c r="B481" s="11" t="str">
        <x:v>2025-06</x:v>
      </x:c>
      <x:c r="C481" s="11" t="str">
        <x:v>יוני 25</x:v>
      </x:c>
      <x:c r="D481" s="15" t="n">
        <x:v>2</x:v>
      </x:c>
      <x:c r="E481" s="11" t="str">
        <x:v>14</x:v>
      </x:c>
      <x:c r="F481" s="11" t="str">
        <x:v>שכר דירה</x:v>
      </x:c>
      <x:c r="G481" s="17" t="n">
        <x:v>0</x:v>
      </x:c>
      <x:c r="H481" s="18" t="str">
        <x:v>מגורים חודשי</x:v>
      </x:c>
      <x:c r="I481" s="19" t="str">
        <x:f>IFERROR(INDEX('מיפוי ומקורות'!$C$7:$C$33,MATCH(H481,'מיפוי ומקורות'!$B$7:$B$33,0)),"לא מסווג")</x:f>
        <x:v>דיור – בית מגורים</x:v>
      </x:c>
      <x:c r="J481" s="19" t="str">
        <x:f>IFERROR(INDEX('מיפוי ומקורות'!$D$7:$D$33,MATCH(H481,'מיפוי ומקורות'!$B$7:$B$33,0)),"שוטף")</x:f>
        <x:v>שוטף</x:v>
      </x:c>
      <x:c r="K481" s="19" t="str">
        <x:f>IF(OR(H481="ריביות",AND(H481="דירה כצנלסון",G481&lt;0,ISNUMBER(SEARCH("הכנסה",F481)))),"הכנסה שסווגה מחדש",J481)</x:f>
        <x:v>שוטף</x:v>
      </x:c>
      <x:c r="L481" s="19" t="str">
        <x:v>מאושר</x:v>
      </x:c>
      <x:c r="M481" s="20" t="n">
        <x:f>IF(L481="מאושר",IF(K481="הכנסה שסווגה מחדש",0,G481),0)</x:f>
        <x:v>0</x:v>
      </x:c>
      <x:c r="N481" s="20" t="n">
        <x:f>IF(K481="שוטף",M481,0)</x:f>
        <x:v>0</x:v>
      </x:c>
      <x:c r="O481" s="20" t="n">
        <x:f>IF(K481="הכנסה שסווגה מחדש",-G481,0)</x:f>
        <x:v>0</x:v>
      </x:c>
      <x:c r="P481" s="11" t="str"/>
      <x:c r="Q481" s="11" t="str"/>
      <x:c r="R481" s="11" t="str">
        <x:v>לא</x:v>
      </x:c>
    </x:row>
    <x:row r="482">
      <x:c r="A482" s="14" t="n">
        <x:v>45809</x:v>
      </x:c>
      <x:c r="B482" s="11" t="str">
        <x:v>2025-06</x:v>
      </x:c>
      <x:c r="C482" s="11" t="str">
        <x:v>יוני 25</x:v>
      </x:c>
      <x:c r="D482" s="15" t="n">
        <x:v>3</x:v>
      </x:c>
      <x:c r="E482" s="11" t="str">
        <x:v>10</x:v>
      </x:c>
      <x:c r="F482" s="11" t="str">
        <x:v>משכנתא</x:v>
      </x:c>
      <x:c r="G482" s="17" t="n">
        <x:v>6138</x:v>
      </x:c>
      <x:c r="H482" s="18" t="str">
        <x:v>דירה כצנלסון</x:v>
      </x:c>
      <x:c r="I482" s="19" t="str">
        <x:f>IFERROR(INDEX('מיפוי ומקורות'!$C$7:$C$33,MATCH(H482,'מיפוי ומקורות'!$B$7:$B$33,0)),"לא מסווג")</x:f>
        <x:v>נכס להשקעה</x:v>
      </x:c>
      <x:c r="J482" s="19" t="str">
        <x:f>IFERROR(INDEX('מיפוי ומקורות'!$D$7:$D$33,MATCH(H482,'מיפוי ומקורות'!$B$7:$B$33,0)),"שוטף")</x:f>
        <x:v>חריג/נכס</x:v>
      </x:c>
      <x:c r="K482" s="19" t="str">
        <x:f>IF(OR(H482="ריביות",AND(H482="דירה כצנלסון",G482&lt;0,ISNUMBER(SEARCH("הכנסה",F482)))),"הכנסה שסווגה מחדש",J482)</x:f>
        <x:v>חריג/נכס</x:v>
      </x:c>
      <x:c r="L482" s="19" t="str">
        <x:v>מאושר</x:v>
      </x:c>
      <x:c r="M482" s="20" t="n">
        <x:f>IF(L482="מאושר",IF(K482="הכנסה שסווגה מחדש",0,G482),0)</x:f>
        <x:v>6138</x:v>
      </x:c>
      <x:c r="N482" s="20" t="n">
        <x:f>IF(K482="שוטף",M482,0)</x:f>
        <x:v>0</x:v>
      </x:c>
      <x:c r="O482" s="20" t="n">
        <x:f>IF(K482="הכנסה שסווגה מחדש",-G482,0)</x:f>
        <x:v>0</x:v>
      </x:c>
      <x:c r="P482" s="11" t="str">
        <x:v>דיסקונט</x:v>
      </x:c>
      <x:c r="Q482" s="11" t="str"/>
      <x:c r="R482" s="11" t="str">
        <x:v>לא</x:v>
      </x:c>
    </x:row>
    <x:row r="483">
      <x:c r="A483" s="14" t="n">
        <x:v>45809</x:v>
      </x:c>
      <x:c r="B483" s="11" t="str">
        <x:v>2025-06</x:v>
      </x:c>
      <x:c r="C483" s="11" t="str">
        <x:v>יוני 25</x:v>
      </x:c>
      <x:c r="D483" s="15" t="n">
        <x:v>4</x:v>
      </x:c>
      <x:c r="E483" s="11" t="str"/>
      <x:c r="F483" s="11" t="str">
        <x:v>הכנסה משכר דירה</x:v>
      </x:c>
      <x:c r="G483" s="17" t="n">
        <x:v>-6500</x:v>
      </x:c>
      <x:c r="H483" s="18" t="str">
        <x:v>דירה כצנלסון</x:v>
      </x:c>
      <x:c r="I483" s="19" t="str">
        <x:f>IFERROR(INDEX('מיפוי ומקורות'!$C$7:$C$33,MATCH(H483,'מיפוי ומקורות'!$B$7:$B$33,0)),"לא מסווג")</x:f>
        <x:v>נכס להשקעה</x:v>
      </x:c>
      <x:c r="J483" s="19" t="str">
        <x:f>IFERROR(INDEX('מיפוי ומקורות'!$D$7:$D$33,MATCH(H483,'מיפוי ומקורות'!$B$7:$B$33,0)),"שוטף")</x:f>
        <x:v>חריג/נכס</x:v>
      </x:c>
      <x:c r="K483" s="19" t="str">
        <x:f>IF(OR(H483="ריביות",AND(H483="דירה כצנלסון",G483&lt;0,ISNUMBER(SEARCH("הכנסה",F483)))),"הכנסה שסווגה מחדש",J483)</x:f>
        <x:v>הכנסה שסווגה מחדש</x:v>
      </x:c>
      <x:c r="L483" s="19" t="str">
        <x:v>מאושר</x:v>
      </x:c>
      <x:c r="M483" s="20" t="n">
        <x:f>IF(L483="מאושר",IF(K483="הכנסה שסווגה מחדש",0,G483),0)</x:f>
        <x:v>0</x:v>
      </x:c>
      <x:c r="N483" s="20" t="n">
        <x:f>IF(K483="שוטף",M483,0)</x:f>
        <x:v>0</x:v>
      </x:c>
      <x:c r="O483" s="20" t="n">
        <x:f>IF(K483="הכנסה שסווגה מחדש",-G483,0)</x:f>
        <x:v>6500</x:v>
      </x:c>
      <x:c r="P483" s="11" t="str">
        <x:v>one zero</x:v>
      </x:c>
      <x:c r="Q483" s="11" t="str"/>
      <x:c r="R483" s="11" t="str">
        <x:v>לא</x:v>
      </x:c>
    </x:row>
    <x:row r="484">
      <x:c r="A484" s="14" t="n">
        <x:v>45809</x:v>
      </x:c>
      <x:c r="B484" s="11" t="str">
        <x:v>2025-06</x:v>
      </x:c>
      <x:c r="C484" s="11" t="str">
        <x:v>יוני 25</x:v>
      </x:c>
      <x:c r="D484" s="15" t="n">
        <x:v>5</x:v>
      </x:c>
      <x:c r="E484" s="11" t="str">
        <x:v>22</x:v>
      </x:c>
      <x:c r="F484" s="11" t="str">
        <x:v>ארנונה</x:v>
      </x:c>
      <x:c r="G484" s="17" t="n">
        <x:v>1013</x:v>
      </x:c>
      <x:c r="H484" s="18" t="str">
        <x:v>מגורים צריכה</x:v>
      </x:c>
      <x:c r="I484" s="19" t="str">
        <x:f>IFERROR(INDEX('מיפוי ומקורות'!$C$7:$C$33,MATCH(H484,'מיפוי ומקורות'!$B$7:$B$33,0)),"לא מסווג")</x:f>
        <x:v>דיור – בית מגורים</x:v>
      </x:c>
      <x:c r="J484" s="19" t="str">
        <x:f>IFERROR(INDEX('מיפוי ומקורות'!$D$7:$D$33,MATCH(H484,'מיפוי ומקורות'!$B$7:$B$33,0)),"שוטף")</x:f>
        <x:v>שוטף</x:v>
      </x:c>
      <x:c r="K484" s="19" t="str">
        <x:f>IF(OR(H484="ריביות",AND(H484="דירה כצנלסון",G484&lt;0,ISNUMBER(SEARCH("הכנסה",F484)))),"הכנסה שסווגה מחדש",J484)</x:f>
        <x:v>שוטף</x:v>
      </x:c>
      <x:c r="L484" s="19" t="str">
        <x:v>מאושר</x:v>
      </x:c>
      <x:c r="M484" s="20" t="n">
        <x:f>IF(L484="מאושר",IF(K484="הכנסה שסווגה מחדש",0,G484),0)</x:f>
        <x:v>1013</x:v>
      </x:c>
      <x:c r="N484" s="20" t="n">
        <x:f>IF(K484="שוטף",M484,0)</x:f>
        <x:v>1013</x:v>
      </x:c>
      <x:c r="O484" s="20" t="n">
        <x:f>IF(K484="הכנסה שסווגה מחדש",-G484,0)</x:f>
        <x:v>0</x:v>
      </x:c>
      <x:c r="P484" s="11" t="str">
        <x:v>מקס זיו</x:v>
      </x:c>
      <x:c r="Q484" s="11" t="str"/>
      <x:c r="R484" s="11" t="str">
        <x:v>לא</x:v>
      </x:c>
    </x:row>
    <x:row r="485">
      <x:c r="A485" s="14" t="n">
        <x:v>45809</x:v>
      </x:c>
      <x:c r="B485" s="11" t="str">
        <x:v>2025-06</x:v>
      </x:c>
      <x:c r="C485" s="11" t="str">
        <x:v>יוני 25</x:v>
      </x:c>
      <x:c r="D485" s="15" t="n">
        <x:v>6</x:v>
      </x:c>
      <x:c r="E485" s="11" t="str">
        <x:v>2</x:v>
      </x:c>
      <x:c r="F485" s="11" t="str">
        <x:v>חשמל</x:v>
      </x:c>
      <x:c r="G485" s="17" t="n">
        <x:v>280</x:v>
      </x:c>
      <x:c r="H485" s="18" t="str">
        <x:v>מגורים צריכה</x:v>
      </x:c>
      <x:c r="I485" s="19" t="str">
        <x:f>IFERROR(INDEX('מיפוי ומקורות'!$C$7:$C$33,MATCH(H485,'מיפוי ומקורות'!$B$7:$B$33,0)),"לא מסווג")</x:f>
        <x:v>דיור – בית מגורים</x:v>
      </x:c>
      <x:c r="J485" s="19" t="str">
        <x:f>IFERROR(INDEX('מיפוי ומקורות'!$D$7:$D$33,MATCH(H485,'מיפוי ומקורות'!$B$7:$B$33,0)),"שוטף")</x:f>
        <x:v>שוטף</x:v>
      </x:c>
      <x:c r="K485" s="19" t="str">
        <x:f>IF(OR(H485="ריביות",AND(H485="דירה כצנלסון",G485&lt;0,ISNUMBER(SEARCH("הכנסה",F485)))),"הכנסה שסווגה מחדש",J485)</x:f>
        <x:v>שוטף</x:v>
      </x:c>
      <x:c r="L485" s="19" t="str">
        <x:v>מאושר</x:v>
      </x:c>
      <x:c r="M485" s="20" t="n">
        <x:f>IF(L485="מאושר",IF(K485="הכנסה שסווגה מחדש",0,G485),0)</x:f>
        <x:v>280</x:v>
      </x:c>
      <x:c r="N485" s="20" t="n">
        <x:f>IF(K485="שוטף",M485,0)</x:f>
        <x:v>280</x:v>
      </x:c>
      <x:c r="O485" s="20" t="n">
        <x:f>IF(K485="הכנסה שסווגה מחדש",-G485,0)</x:f>
        <x:v>0</x:v>
      </x:c>
      <x:c r="P485" s="11" t="str">
        <x:v>אמקס זיו</x:v>
      </x:c>
      <x:c r="Q485" s="11" t="str"/>
      <x:c r="R485" s="11" t="str">
        <x:v>לא</x:v>
      </x:c>
    </x:row>
    <x:row r="486">
      <x:c r="A486" s="14" t="n">
        <x:v>45809</x:v>
      </x:c>
      <x:c r="B486" s="11" t="str">
        <x:v>2025-06</x:v>
      </x:c>
      <x:c r="C486" s="11" t="str">
        <x:v>יוני 25</x:v>
      </x:c>
      <x:c r="D486" s="15" t="n">
        <x:v>7</x:v>
      </x:c>
      <x:c r="E486" s="11" t="str">
        <x:v>30</x:v>
      </x:c>
      <x:c r="F486" s="11" t="str">
        <x:v>מים</x:v>
      </x:c>
      <x:c r="G486" s="17" t="n">
        <x:v>136</x:v>
      </x:c>
      <x:c r="H486" s="18" t="str">
        <x:v>מגורים צריכה</x:v>
      </x:c>
      <x:c r="I486" s="19" t="str">
        <x:f>IFERROR(INDEX('מיפוי ומקורות'!$C$7:$C$33,MATCH(H486,'מיפוי ומקורות'!$B$7:$B$33,0)),"לא מסווג")</x:f>
        <x:v>דיור – בית מגורים</x:v>
      </x:c>
      <x:c r="J486" s="19" t="str">
        <x:f>IFERROR(INDEX('מיפוי ומקורות'!$D$7:$D$33,MATCH(H486,'מיפוי ומקורות'!$B$7:$B$33,0)),"שוטף")</x:f>
        <x:v>שוטף</x:v>
      </x:c>
      <x:c r="K486" s="19" t="str">
        <x:f>IF(OR(H486="ריביות",AND(H486="דירה כצנלסון",G486&lt;0,ISNUMBER(SEARCH("הכנסה",F486)))),"הכנסה שסווגה מחדש",J486)</x:f>
        <x:v>שוטף</x:v>
      </x:c>
      <x:c r="L486" s="19" t="str">
        <x:v>מאושר</x:v>
      </x:c>
      <x:c r="M486" s="20" t="n">
        <x:f>IF(L486="מאושר",IF(K486="הכנסה שסווגה מחדש",0,G486),0)</x:f>
        <x:v>136</x:v>
      </x:c>
      <x:c r="N486" s="20" t="n">
        <x:f>IF(K486="שוטף",M486,0)</x:f>
        <x:v>136</x:v>
      </x:c>
      <x:c r="O486" s="20" t="n">
        <x:f>IF(K486="הכנסה שסווגה מחדש",-G486,0)</x:f>
        <x:v>0</x:v>
      </x:c>
      <x:c r="P486" s="11" t="str">
        <x:v>one zero עינור</x:v>
      </x:c>
      <x:c r="Q486" s="11" t="str"/>
      <x:c r="R486" s="11" t="str">
        <x:v>לא</x:v>
      </x:c>
    </x:row>
    <x:row r="487">
      <x:c r="A487" s="14" t="n">
        <x:v>45809</x:v>
      </x:c>
      <x:c r="B487" s="11" t="str">
        <x:v>2025-06</x:v>
      </x:c>
      <x:c r="C487" s="11" t="str">
        <x:v>יוני 25</x:v>
      </x:c>
      <x:c r="D487" s="15" t="n">
        <x:v>8</x:v>
      </x:c>
      <x:c r="E487" s="11" t="str"/>
      <x:c r="F487" s="11" t="str">
        <x:v>ועד בית</x:v>
      </x:c>
      <x:c r="G487" s="17" t="n">
        <x:v>0</x:v>
      </x:c>
      <x:c r="H487" s="18" t="str">
        <x:v>מגורים צריכה</x:v>
      </x:c>
      <x:c r="I487" s="19" t="str">
        <x:f>IFERROR(INDEX('מיפוי ומקורות'!$C$7:$C$33,MATCH(H487,'מיפוי ומקורות'!$B$7:$B$33,0)),"לא מסווג")</x:f>
        <x:v>דיור – בית מגורים</x:v>
      </x:c>
      <x:c r="J487" s="19" t="str">
        <x:f>IFERROR(INDEX('מיפוי ומקורות'!$D$7:$D$33,MATCH(H487,'מיפוי ומקורות'!$B$7:$B$33,0)),"שוטף")</x:f>
        <x:v>שוטף</x:v>
      </x:c>
      <x:c r="K487" s="19" t="str">
        <x:f>IF(OR(H487="ריביות",AND(H487="דירה כצנלסון",G487&lt;0,ISNUMBER(SEARCH("הכנסה",F487)))),"הכנסה שסווגה מחדש",J487)</x:f>
        <x:v>שוטף</x:v>
      </x:c>
      <x:c r="L487" s="19" t="str">
        <x:v>מאושר</x:v>
      </x:c>
      <x:c r="M487" s="20" t="n">
        <x:f>IF(L487="מאושר",IF(K487="הכנסה שסווגה מחדש",0,G487),0)</x:f>
        <x:v>0</x:v>
      </x:c>
      <x:c r="N487" s="20" t="n">
        <x:f>IF(K487="שוטף",M487,0)</x:f>
        <x:v>0</x:v>
      </x:c>
      <x:c r="O487" s="20" t="n">
        <x:f>IF(K487="הכנסה שסווגה מחדש",-G487,0)</x:f>
        <x:v>0</x:v>
      </x:c>
      <x:c r="P487" s="11" t="str"/>
      <x:c r="Q487" s="11" t="str"/>
      <x:c r="R487" s="11" t="str">
        <x:v>לא</x:v>
      </x:c>
    </x:row>
    <x:row r="488">
      <x:c r="A488" s="14" t="n">
        <x:v>45809</x:v>
      </x:c>
      <x:c r="B488" s="11" t="str">
        <x:v>2025-06</x:v>
      </x:c>
      <x:c r="C488" s="11" t="str">
        <x:v>יוני 25</x:v>
      </x:c>
      <x:c r="D488" s="15" t="n">
        <x:v>9</x:v>
      </x:c>
      <x:c r="E488" s="11" t="str"/>
      <x:c r="F488" s="11" t="str">
        <x:v>גז</x:v>
      </x:c>
      <x:c r="G488" s="17" t="n">
        <x:v>0</x:v>
      </x:c>
      <x:c r="H488" s="18" t="str">
        <x:v>מגורים צריכה</x:v>
      </x:c>
      <x:c r="I488" s="19" t="str">
        <x:f>IFERROR(INDEX('מיפוי ומקורות'!$C$7:$C$33,MATCH(H488,'מיפוי ומקורות'!$B$7:$B$33,0)),"לא מסווג")</x:f>
        <x:v>דיור – בית מגורים</x:v>
      </x:c>
      <x:c r="J488" s="19" t="str">
        <x:f>IFERROR(INDEX('מיפוי ומקורות'!$D$7:$D$33,MATCH(H488,'מיפוי ומקורות'!$B$7:$B$33,0)),"שוטף")</x:f>
        <x:v>שוטף</x:v>
      </x:c>
      <x:c r="K488" s="19" t="str">
        <x:f>IF(OR(H488="ריביות",AND(H488="דירה כצנלסון",G488&lt;0,ISNUMBER(SEARCH("הכנסה",F488)))),"הכנסה שסווגה מחדש",J488)</x:f>
        <x:v>שוטף</x:v>
      </x:c>
      <x:c r="L488" s="19" t="str">
        <x:v>מאושר</x:v>
      </x:c>
      <x:c r="M488" s="20" t="n">
        <x:f>IF(L488="מאושר",IF(K488="הכנסה שסווגה מחדש",0,G488),0)</x:f>
        <x:v>0</x:v>
      </x:c>
      <x:c r="N488" s="20" t="n">
        <x:f>IF(K488="שוטף",M488,0)</x:f>
        <x:v>0</x:v>
      </x:c>
      <x:c r="O488" s="20" t="n">
        <x:f>IF(K488="הכנסה שסווגה מחדש",-G488,0)</x:f>
        <x:v>0</x:v>
      </x:c>
      <x:c r="P488" s="11" t="str"/>
      <x:c r="Q488" s="11" t="str"/>
      <x:c r="R488" s="11" t="str">
        <x:v>לא</x:v>
      </x:c>
    </x:row>
    <x:row r="489">
      <x:c r="A489" s="14" t="n">
        <x:v>45809</x:v>
      </x:c>
      <x:c r="B489" s="11" t="str">
        <x:v>2025-06</x:v>
      </x:c>
      <x:c r="C489" s="11" t="str">
        <x:v>יוני 25</x:v>
      </x:c>
      <x:c r="D489" s="15" t="n">
        <x:v>10</x:v>
      </x:c>
      <x:c r="E489" s="11" t="str">
        <x:v>12</x:v>
      </x:c>
      <x:c r="F489" s="11" t="str">
        <x:v>סלולר + אינטרנט</x:v>
      </x:c>
      <x:c r="G489" s="17" t="n">
        <x:v>169</x:v>
      </x:c>
      <x:c r="H489" s="18" t="str">
        <x:v>מגורים חודשי</x:v>
      </x:c>
      <x:c r="I489" s="19" t="str">
        <x:f>IFERROR(INDEX('מיפוי ומקורות'!$C$7:$C$33,MATCH(H489,'מיפוי ומקורות'!$B$7:$B$33,0)),"לא מסווג")</x:f>
        <x:v>דיור – בית מגורים</x:v>
      </x:c>
      <x:c r="J489" s="19" t="str">
        <x:f>IFERROR(INDEX('מיפוי ומקורות'!$D$7:$D$33,MATCH(H489,'מיפוי ומקורות'!$B$7:$B$33,0)),"שוטף")</x:f>
        <x:v>שוטף</x:v>
      </x:c>
      <x:c r="K489" s="19" t="str">
        <x:f>IF(OR(H489="ריביות",AND(H489="דירה כצנלסון",G489&lt;0,ISNUMBER(SEARCH("הכנסה",F489)))),"הכנסה שסווגה מחדש",J489)</x:f>
        <x:v>שוטף</x:v>
      </x:c>
      <x:c r="L489" s="19" t="str">
        <x:v>מאושר</x:v>
      </x:c>
      <x:c r="M489" s="20" t="n">
        <x:f>IF(L489="מאושר",IF(K489="הכנסה שסווגה מחדש",0,G489),0)</x:f>
        <x:v>169</x:v>
      </x:c>
      <x:c r="N489" s="20" t="n">
        <x:f>IF(K489="שוטף",M489,0)</x:f>
        <x:v>169</x:v>
      </x:c>
      <x:c r="O489" s="20" t="n">
        <x:f>IF(K489="הכנסה שסווגה מחדש",-G489,0)</x:f>
        <x:v>0</x:v>
      </x:c>
      <x:c r="P489" s="11" t="str">
        <x:v>אמקס זיו</x:v>
      </x:c>
      <x:c r="Q489" s="11" t="str"/>
      <x:c r="R489" s="11" t="str">
        <x:v>לא</x:v>
      </x:c>
    </x:row>
    <x:row r="490">
      <x:c r="A490" s="14" t="n">
        <x:v>45809</x:v>
      </x:c>
      <x:c r="B490" s="11" t="str">
        <x:v>2025-06</x:v>
      </x:c>
      <x:c r="C490" s="11" t="str">
        <x:v>יוני 25</x:v>
      </x:c>
      <x:c r="D490" s="15" t="n">
        <x:v>11</x:v>
      </x:c>
      <x:c r="E490" s="11" t="str">
        <x:v>28</x:v>
      </x:c>
      <x:c r="F490" s="11" t="str">
        <x:v>ביטוח מבנה</x:v>
      </x:c>
      <x:c r="G490" s="17" t="n">
        <x:v>87</x:v>
      </x:c>
      <x:c r="H490" s="18" t="str">
        <x:v>דירה כצנלסון</x:v>
      </x:c>
      <x:c r="I490" s="19" t="str">
        <x:f>IFERROR(INDEX('מיפוי ומקורות'!$C$7:$C$33,MATCH(H490,'מיפוי ומקורות'!$B$7:$B$33,0)),"לא מסווג")</x:f>
        <x:v>נכס להשקעה</x:v>
      </x:c>
      <x:c r="J490" s="19" t="str">
        <x:f>IFERROR(INDEX('מיפוי ומקורות'!$D$7:$D$33,MATCH(H490,'מיפוי ומקורות'!$B$7:$B$33,0)),"שוטף")</x:f>
        <x:v>חריג/נכס</x:v>
      </x:c>
      <x:c r="K490" s="19" t="str">
        <x:f>IF(OR(H490="ריביות",AND(H490="דירה כצנלסון",G490&lt;0,ISNUMBER(SEARCH("הכנסה",F490)))),"הכנסה שסווגה מחדש",J490)</x:f>
        <x:v>חריג/נכס</x:v>
      </x:c>
      <x:c r="L490" s="19" t="str">
        <x:v>מאושר</x:v>
      </x:c>
      <x:c r="M490" s="20" t="n">
        <x:f>IF(L490="מאושר",IF(K490="הכנסה שסווגה מחדש",0,G490),0)</x:f>
        <x:v>87</x:v>
      </x:c>
      <x:c r="N490" s="20" t="n">
        <x:f>IF(K490="שוטף",M490,0)</x:f>
        <x:v>0</x:v>
      </x:c>
      <x:c r="O490" s="20" t="n">
        <x:f>IF(K490="הכנסה שסווגה מחדש",-G490,0)</x:f>
        <x:v>0</x:v>
      </x:c>
      <x:c r="P490" s="11" t="str">
        <x:v>אמקס זיו</x:v>
      </x:c>
      <x:c r="Q490" s="11" t="str"/>
      <x:c r="R490" s="11" t="str">
        <x:v>לא</x:v>
      </x:c>
    </x:row>
    <x:row r="491">
      <x:c r="A491" s="14" t="n">
        <x:v>45809</x:v>
      </x:c>
      <x:c r="B491" s="11" t="str">
        <x:v>2025-06</x:v>
      </x:c>
      <x:c r="C491" s="11" t="str">
        <x:v>יוני 25</x:v>
      </x:c>
      <x:c r="D491" s="15" t="n">
        <x:v>12</x:v>
      </x:c>
      <x:c r="E491" s="11" t="str">
        <x:v>28</x:v>
      </x:c>
      <x:c r="F491" s="11" t="str">
        <x:v>ביטוח חיים</x:v>
      </x:c>
      <x:c r="G491" s="17" t="n">
        <x:v>29</x:v>
      </x:c>
      <x:c r="H491" s="18" t="str">
        <x:v>דירה כצנלסון</x:v>
      </x:c>
      <x:c r="I491" s="19" t="str">
        <x:f>IFERROR(INDEX('מיפוי ומקורות'!$C$7:$C$33,MATCH(H491,'מיפוי ומקורות'!$B$7:$B$33,0)),"לא מסווג")</x:f>
        <x:v>נכס להשקעה</x:v>
      </x:c>
      <x:c r="J491" s="19" t="str">
        <x:f>IFERROR(INDEX('מיפוי ומקורות'!$D$7:$D$33,MATCH(H491,'מיפוי ומקורות'!$B$7:$B$33,0)),"שוטף")</x:f>
        <x:v>חריג/נכס</x:v>
      </x:c>
      <x:c r="K491" s="19" t="str">
        <x:f>IF(OR(H491="ריביות",AND(H491="דירה כצנלסון",G491&lt;0,ISNUMBER(SEARCH("הכנסה",F491)))),"הכנסה שסווגה מחדש",J491)</x:f>
        <x:v>חריג/נכס</x:v>
      </x:c>
      <x:c r="L491" s="19" t="str">
        <x:v>מאושר</x:v>
      </x:c>
      <x:c r="M491" s="20" t="n">
        <x:f>IF(L491="מאושר",IF(K491="הכנסה שסווגה מחדש",0,G491),0)</x:f>
        <x:v>29</x:v>
      </x:c>
      <x:c r="N491" s="20" t="n">
        <x:f>IF(K491="שוטף",M491,0)</x:f>
        <x:v>0</x:v>
      </x:c>
      <x:c r="O491" s="20" t="n">
        <x:f>IF(K491="הכנסה שסווגה מחדש",-G491,0)</x:f>
        <x:v>0</x:v>
      </x:c>
      <x:c r="P491" s="11" t="str">
        <x:v>אמקס זיו</x:v>
      </x:c>
      <x:c r="Q491" s="11" t="str"/>
      <x:c r="R491" s="11" t="str">
        <x:v>לא</x:v>
      </x:c>
    </x:row>
    <x:row r="492">
      <x:c r="A492" s="14" t="n">
        <x:v>45809</x:v>
      </x:c>
      <x:c r="B492" s="11" t="str">
        <x:v>2025-06</x:v>
      </x:c>
      <x:c r="C492" s="11" t="str">
        <x:v>יוני 25</x:v>
      </x:c>
      <x:c r="D492" s="15" t="n">
        <x:v>13</x:v>
      </x:c>
      <x:c r="E492" s="11" t="str"/>
      <x:c r="F492" s="11" t="str">
        <x:v>ביטוח בריאות</x:v>
      </x:c>
      <x:c r="G492" s="17" t="n">
        <x:v>115</x:v>
      </x:c>
      <x:c r="H492" s="18" t="str">
        <x:v>ביטוח</x:v>
      </x:c>
      <x:c r="I492" s="19" t="str">
        <x:f>IFERROR(INDEX('מיפוי ומקורות'!$C$7:$C$33,MATCH(H492,'מיפוי ומקורות'!$B$7:$B$33,0)),"לא מסווג")</x:f>
        <x:v>ביטוח</x:v>
      </x:c>
      <x:c r="J492" s="19" t="str">
        <x:f>IFERROR(INDEX('מיפוי ומקורות'!$D$7:$D$33,MATCH(H492,'מיפוי ומקורות'!$B$7:$B$33,0)),"שוטף")</x:f>
        <x:v>שוטף</x:v>
      </x:c>
      <x:c r="K492" s="19" t="str">
        <x:f>IF(OR(H492="ריביות",AND(H492="דירה כצנלסון",G492&lt;0,ISNUMBER(SEARCH("הכנסה",F492)))),"הכנסה שסווגה מחדש",J492)</x:f>
        <x:v>שוטף</x:v>
      </x:c>
      <x:c r="L492" s="19" t="str">
        <x:v>מאושר</x:v>
      </x:c>
      <x:c r="M492" s="20" t="n">
        <x:f>IF(L492="מאושר",IF(K492="הכנסה שסווגה מחדש",0,G492),0)</x:f>
        <x:v>115</x:v>
      </x:c>
      <x:c r="N492" s="20" t="n">
        <x:f>IF(K492="שוטף",M492,0)</x:f>
        <x:v>115</x:v>
      </x:c>
      <x:c r="O492" s="20" t="n">
        <x:f>IF(K492="הכנסה שסווגה מחדש",-G492,0)</x:f>
        <x:v>0</x:v>
      </x:c>
      <x:c r="P492" s="11" t="str">
        <x:v>אמקס עינור</x:v>
      </x:c>
      <x:c r="Q492" s="11" t="str"/>
      <x:c r="R492" s="11" t="str">
        <x:v>לא</x:v>
      </x:c>
    </x:row>
    <x:row r="493">
      <x:c r="A493" s="14" t="n">
        <x:v>45809</x:v>
      </x:c>
      <x:c r="B493" s="11" t="str">
        <x:v>2025-06</x:v>
      </x:c>
      <x:c r="C493" s="11" t="str">
        <x:v>יוני 25</x:v>
      </x:c>
      <x:c r="D493" s="15" t="n">
        <x:v>14</x:v>
      </x:c>
      <x:c r="E493" s="11" t="str"/>
      <x:c r="F493" s="11" t="str">
        <x:v>מנקה</x:v>
      </x:c>
      <x:c r="G493" s="17" t="n">
        <x:v>400</x:v>
      </x:c>
      <x:c r="H493" s="18" t="str">
        <x:v>מגורים צריכה</x:v>
      </x:c>
      <x:c r="I493" s="19" t="str">
        <x:f>IFERROR(INDEX('מיפוי ומקורות'!$C$7:$C$33,MATCH(H493,'מיפוי ומקורות'!$B$7:$B$33,0)),"לא מסווג")</x:f>
        <x:v>דיור – בית מגורים</x:v>
      </x:c>
      <x:c r="J493" s="19" t="str">
        <x:f>IFERROR(INDEX('מיפוי ומקורות'!$D$7:$D$33,MATCH(H493,'מיפוי ומקורות'!$B$7:$B$33,0)),"שוטף")</x:f>
        <x:v>שוטף</x:v>
      </x:c>
      <x:c r="K493" s="19" t="str">
        <x:f>IF(OR(H493="ריביות",AND(H493="דירה כצנלסון",G493&lt;0,ISNUMBER(SEARCH("הכנסה",F493)))),"הכנסה שסווגה מחדש",J493)</x:f>
        <x:v>שוטף</x:v>
      </x:c>
      <x:c r="L493" s="19" t="str">
        <x:v>מאושר</x:v>
      </x:c>
      <x:c r="M493" s="20" t="n">
        <x:f>IF(L493="מאושר",IF(K493="הכנסה שסווגה מחדש",0,G493),0)</x:f>
        <x:v>400</x:v>
      </x:c>
      <x:c r="N493" s="20" t="n">
        <x:f>IF(K493="שוטף",M493,0)</x:f>
        <x:v>400</x:v>
      </x:c>
      <x:c r="O493" s="20" t="n">
        <x:f>IF(K493="הכנסה שסווגה מחדש",-G493,0)</x:f>
        <x:v>0</x:v>
      </x:c>
      <x:c r="P493" s="11" t="str">
        <x:v>מזומן</x:v>
      </x:c>
      <x:c r="Q493" s="11" t="str"/>
      <x:c r="R493" s="11" t="str">
        <x:v>לא</x:v>
      </x:c>
    </x:row>
    <x:row r="494">
      <x:c r="A494" s="14" t="n">
        <x:v>45809</x:v>
      </x:c>
      <x:c r="B494" s="11" t="str">
        <x:v>2025-06</x:v>
      </x:c>
      <x:c r="C494" s="11" t="str">
        <x:v>יוני 25</x:v>
      </x:c>
      <x:c r="D494" s="15" t="n">
        <x:v>15</x:v>
      </x:c>
      <x:c r="E494" s="11" t="str"/>
      <x:c r="F494" s="11" t="str">
        <x:v>תספורות זיו</x:v>
      </x:c>
      <x:c r="G494" s="17" t="n">
        <x:v>400</x:v>
      </x:c>
      <x:c r="H494" s="18" t="str">
        <x:v>קוסמטיקה</x:v>
      </x:c>
      <x:c r="I494" s="19" t="str">
        <x:f>IFERROR(INDEX('מיפוי ומקורות'!$C$7:$C$33,MATCH(H494,'מיפוי ומקורות'!$B$7:$B$33,0)),"לא מסווג")</x:f>
        <x:v>קוסמטיקה</x:v>
      </x:c>
      <x:c r="J494" s="19" t="str">
        <x:f>IFERROR(INDEX('מיפוי ומקורות'!$D$7:$D$33,MATCH(H494,'מיפוי ומקורות'!$B$7:$B$33,0)),"שוטף")</x:f>
        <x:v>שוטף</x:v>
      </x:c>
      <x:c r="K494" s="19" t="str">
        <x:f>IF(OR(H494="ריביות",AND(H494="דירה כצנלסון",G494&lt;0,ISNUMBER(SEARCH("הכנסה",F494)))),"הכנסה שסווגה מחדש",J494)</x:f>
        <x:v>שוטף</x:v>
      </x:c>
      <x:c r="L494" s="19" t="str">
        <x:v>מאושר</x:v>
      </x:c>
      <x:c r="M494" s="20" t="n">
        <x:f>IF(L494="מאושר",IF(K494="הכנסה שסווגה מחדש",0,G494),0)</x:f>
        <x:v>400</x:v>
      </x:c>
      <x:c r="N494" s="20" t="n">
        <x:f>IF(K494="שוטף",M494,0)</x:f>
        <x:v>400</x:v>
      </x:c>
      <x:c r="O494" s="20" t="n">
        <x:f>IF(K494="הכנסה שסווגה מחדש",-G494,0)</x:f>
        <x:v>0</x:v>
      </x:c>
      <x:c r="P494" s="11" t="str">
        <x:v>מזומן</x:v>
      </x:c>
      <x:c r="Q494" s="11" t="str"/>
      <x:c r="R494" s="11" t="str">
        <x:v>לא</x:v>
      </x:c>
    </x:row>
    <x:row r="495">
      <x:c r="A495" s="14" t="n">
        <x:v>45809</x:v>
      </x:c>
      <x:c r="B495" s="11" t="str">
        <x:v>2025-06</x:v>
      </x:c>
      <x:c r="C495" s="11" t="str">
        <x:v>יוני 25</x:v>
      </x:c>
      <x:c r="D495" s="15" t="n">
        <x:v>16</x:v>
      </x:c>
      <x:c r="E495" s="11" t="str"/>
      <x:c r="F495" s="11" t="str">
        <x:v>ברצלונה</x:v>
      </x:c>
      <x:c r="G495" s="17" t="n">
        <x:v>2799</x:v>
      </x:c>
      <x:c r="H495" s="18" t="str">
        <x:v>חול</x:v>
      </x:c>
      <x:c r="I495" s="19" t="str">
        <x:f>IFERROR(INDEX('מיפוי ומקורות'!$C$7:$C$33,MATCH(H495,'מיפוי ומקורות'!$B$7:$B$33,0)),"לא מסווג")</x:f>
        <x:v>נסיעות וחופשות</x:v>
      </x:c>
      <x:c r="J495" s="19" t="str">
        <x:f>IFERROR(INDEX('מיפוי ומקורות'!$D$7:$D$33,MATCH(H495,'מיפוי ומקורות'!$B$7:$B$33,0)),"שוטף")</x:f>
        <x:v>חריג</x:v>
      </x:c>
      <x:c r="K495" s="19" t="str">
        <x:f>IF(OR(H495="ריביות",AND(H495="דירה כצנלסון",G495&lt;0,ISNUMBER(SEARCH("הכנסה",F495)))),"הכנסה שסווגה מחדש",J495)</x:f>
        <x:v>חריג</x:v>
      </x:c>
      <x:c r="L495" s="19" t="str">
        <x:v>מאושר</x:v>
      </x:c>
      <x:c r="M495" s="20" t="n">
        <x:f>IF(L495="מאושר",IF(K495="הכנסה שסווגה מחדש",0,G495),0)</x:f>
        <x:v>2799</x:v>
      </x:c>
      <x:c r="N495" s="20" t="n">
        <x:f>IF(K495="שוטף",M495,0)</x:f>
        <x:v>0</x:v>
      </x:c>
      <x:c r="O495" s="20" t="n">
        <x:f>IF(K495="הכנסה שסווגה מחדש",-G495,0)</x:f>
        <x:v>0</x:v>
      </x:c>
      <x:c r="P495" s="11" t="str">
        <x:v>אמקס זיו</x:v>
      </x:c>
      <x:c r="Q495" s="11" t="str"/>
      <x:c r="R495" s="11" t="str">
        <x:v>לא</x:v>
      </x:c>
    </x:row>
    <x:row r="496">
      <x:c r="A496" s="14" t="n">
        <x:v>45809</x:v>
      </x:c>
      <x:c r="B496" s="11" t="str">
        <x:v>2025-06</x:v>
      </x:c>
      <x:c r="C496" s="11" t="str">
        <x:v>יוני 25</x:v>
      </x:c>
      <x:c r="D496" s="15" t="n">
        <x:v>17</x:v>
      </x:c>
      <x:c r="E496" s="11" t="str"/>
      <x:c r="F496" s="11" t="str">
        <x:v>ליים</x:v>
      </x:c>
      <x:c r="G496" s="17" t="n">
        <x:v>71</x:v>
      </x:c>
      <x:c r="H496" s="18" t="str">
        <x:v>תחבורה</x:v>
      </x:c>
      <x:c r="I496" s="19" t="str">
        <x:f>IFERROR(INDEX('מיפוי ומקורות'!$C$7:$C$33,MATCH(H496,'מיפוי ומקורות'!$B$7:$B$33,0)),"לא מסווג")</x:f>
        <x:v>תחבורה</x:v>
      </x:c>
      <x:c r="J496" s="19" t="str">
        <x:f>IFERROR(INDEX('מיפוי ומקורות'!$D$7:$D$33,MATCH(H496,'מיפוי ומקורות'!$B$7:$B$33,0)),"שוטף")</x:f>
        <x:v>שוטף</x:v>
      </x:c>
      <x:c r="K496" s="19" t="str">
        <x:f>IF(OR(H496="ריביות",AND(H496="דירה כצנלסון",G496&lt;0,ISNUMBER(SEARCH("הכנסה",F496)))),"הכנסה שסווגה מחדש",J496)</x:f>
        <x:v>שוטף</x:v>
      </x:c>
      <x:c r="L496" s="19" t="str">
        <x:v>מאושר</x:v>
      </x:c>
      <x:c r="M496" s="20" t="n">
        <x:f>IF(L496="מאושר",IF(K496="הכנסה שסווגה מחדש",0,G496),0)</x:f>
        <x:v>71</x:v>
      </x:c>
      <x:c r="N496" s="20" t="n">
        <x:f>IF(K496="שוטף",M496,0)</x:f>
        <x:v>71</x:v>
      </x:c>
      <x:c r="O496" s="20" t="n">
        <x:f>IF(K496="הכנסה שסווגה מחדש",-G496,0)</x:f>
        <x:v>0</x:v>
      </x:c>
      <x:c r="P496" s="11" t="str">
        <x:v>אמקס זיו</x:v>
      </x:c>
      <x:c r="Q496" s="11" t="str"/>
      <x:c r="R496" s="11" t="str">
        <x:v>לא</x:v>
      </x:c>
    </x:row>
    <x:row r="497">
      <x:c r="A497" s="14" t="n">
        <x:v>45809</x:v>
      </x:c>
      <x:c r="B497" s="11" t="str">
        <x:v>2025-06</x:v>
      </x:c>
      <x:c r="C497" s="11" t="str">
        <x:v>יוני 25</x:v>
      </x:c>
      <x:c r="D497" s="15" t="n">
        <x:v>18</x:v>
      </x:c>
      <x:c r="E497" s="11" t="str">
        <x:v>1</x:v>
      </x:c>
      <x:c r="F497" s="11" t="str">
        <x:v>מכונת תספורת</x:v>
      </x:c>
      <x:c r="G497" s="17" t="n">
        <x:v>95</x:v>
      </x:c>
      <x:c r="H497" s="18" t="str">
        <x:v>קוסמטיקה</x:v>
      </x:c>
      <x:c r="I497" s="19" t="str">
        <x:f>IFERROR(INDEX('מיפוי ומקורות'!$C$7:$C$33,MATCH(H497,'מיפוי ומקורות'!$B$7:$B$33,0)),"לא מסווג")</x:f>
        <x:v>קוסמטיקה</x:v>
      </x:c>
      <x:c r="J497" s="19" t="str">
        <x:f>IFERROR(INDEX('מיפוי ומקורות'!$D$7:$D$33,MATCH(H497,'מיפוי ומקורות'!$B$7:$B$33,0)),"שוטף")</x:f>
        <x:v>שוטף</x:v>
      </x:c>
      <x:c r="K497" s="19" t="str">
        <x:f>IF(OR(H497="ריביות",AND(H497="דירה כצנלסון",G497&lt;0,ISNUMBER(SEARCH("הכנסה",F497)))),"הכנסה שסווגה מחדש",J497)</x:f>
        <x:v>שוטף</x:v>
      </x:c>
      <x:c r="L497" s="19" t="str">
        <x:v>מאושר</x:v>
      </x:c>
      <x:c r="M497" s="20" t="n">
        <x:f>IF(L497="מאושר",IF(K497="הכנסה שסווגה מחדש",0,G497),0)</x:f>
        <x:v>95</x:v>
      </x:c>
      <x:c r="N497" s="20" t="n">
        <x:f>IF(K497="שוטף",M497,0)</x:f>
        <x:v>95</x:v>
      </x:c>
      <x:c r="O497" s="20" t="n">
        <x:f>IF(K497="הכנסה שסווגה מחדש",-G497,0)</x:f>
        <x:v>0</x:v>
      </x:c>
      <x:c r="P497" s="11" t="str">
        <x:v>אמקס זיו</x:v>
      </x:c>
      <x:c r="Q497" s="11" t="str"/>
      <x:c r="R497" s="11" t="str">
        <x:v>לא</x:v>
      </x:c>
    </x:row>
    <x:row r="498">
      <x:c r="A498" s="14" t="n">
        <x:v>45809</x:v>
      </x:c>
      <x:c r="B498" s="11" t="str">
        <x:v>2025-06</x:v>
      </x:c>
      <x:c r="C498" s="11" t="str">
        <x:v>יוני 25</x:v>
      </x:c>
      <x:c r="D498" s="15" t="n">
        <x:v>19</x:v>
      </x:c>
      <x:c r="E498" s="11" t="str">
        <x:v>1</x:v>
      </x:c>
      <x:c r="F498" s="11" t="str">
        <x:v>ליאת</x:v>
      </x:c>
      <x:c r="G498" s="17" t="n">
        <x:v>1800</x:v>
      </x:c>
      <x:c r="H498" s="18" t="str">
        <x:v>בריאות</x:v>
      </x:c>
      <x:c r="I498" s="19" t="str">
        <x:f>IFERROR(INDEX('מיפוי ומקורות'!$C$7:$C$33,MATCH(H498,'מיפוי ומקורות'!$B$7:$B$33,0)),"לא מסווג")</x:f>
        <x:v>בריאות וטיפולים</x:v>
      </x:c>
      <x:c r="J498" s="19" t="str">
        <x:f>IFERROR(INDEX('מיפוי ומקורות'!$D$7:$D$33,MATCH(H498,'מיפוי ומקורות'!$B$7:$B$33,0)),"שוטף")</x:f>
        <x:v>שוטף</x:v>
      </x:c>
      <x:c r="K498" s="19" t="str">
        <x:f>IF(OR(H498="ריביות",AND(H498="דירה כצנלסון",G498&lt;0,ISNUMBER(SEARCH("הכנסה",F498)))),"הכנסה שסווגה מחדש",J498)</x:f>
        <x:v>שוטף</x:v>
      </x:c>
      <x:c r="L498" s="19" t="str">
        <x:v>מאושר</x:v>
      </x:c>
      <x:c r="M498" s="20" t="n">
        <x:f>IF(L498="מאושר",IF(K498="הכנסה שסווגה מחדש",0,G498),0)</x:f>
        <x:v>1800</x:v>
      </x:c>
      <x:c r="N498" s="20" t="n">
        <x:f>IF(K498="שוטף",M498,0)</x:f>
        <x:v>1800</x:v>
      </x:c>
      <x:c r="O498" s="20" t="n">
        <x:f>IF(K498="הכנסה שסווגה מחדש",-G498,0)</x:f>
        <x:v>0</x:v>
      </x:c>
      <x:c r="P498" s="11" t="str">
        <x:v>אמקס זיו</x:v>
      </x:c>
      <x:c r="Q498" s="11" t="str"/>
      <x:c r="R498" s="11" t="str">
        <x:v>לא</x:v>
      </x:c>
    </x:row>
    <x:row r="499">
      <x:c r="A499" s="14" t="n">
        <x:v>45809</x:v>
      </x:c>
      <x:c r="B499" s="11" t="str">
        <x:v>2025-06</x:v>
      </x:c>
      <x:c r="C499" s="11" t="str">
        <x:v>יוני 25</x:v>
      </x:c>
      <x:c r="D499" s="15" t="n">
        <x:v>20</x:v>
      </x:c>
      <x:c r="E499" s="11" t="str">
        <x:v>3</x:v>
      </x:c>
      <x:c r="F499" s="11" t="str">
        <x:v>מכולת</x:v>
      </x:c>
      <x:c r="G499" s="17" t="n">
        <x:v>12</x:v>
      </x:c>
      <x:c r="H499" s="18" t="str">
        <x:v>מזון לבית</x:v>
      </x:c>
      <x:c r="I499" s="19" t="str">
        <x:f>IFERROR(INDEX('מיפוי ומקורות'!$C$7:$C$33,MATCH(H499,'מיפוי ומקורות'!$B$7:$B$33,0)),"לא מסווג")</x:f>
        <x:v>מזון לבית</x:v>
      </x:c>
      <x:c r="J499" s="19" t="str">
        <x:f>IFERROR(INDEX('מיפוי ומקורות'!$D$7:$D$33,MATCH(H499,'מיפוי ומקורות'!$B$7:$B$33,0)),"שוטף")</x:f>
        <x:v>שוטף</x:v>
      </x:c>
      <x:c r="K499" s="19" t="str">
        <x:f>IF(OR(H499="ריביות",AND(H499="דירה כצנלסון",G499&lt;0,ISNUMBER(SEARCH("הכנסה",F499)))),"הכנסה שסווגה מחדש",J499)</x:f>
        <x:v>שוטף</x:v>
      </x:c>
      <x:c r="L499" s="19" t="str">
        <x:v>מאושר</x:v>
      </x:c>
      <x:c r="M499" s="20" t="n">
        <x:f>IF(L499="מאושר",IF(K499="הכנסה שסווגה מחדש",0,G499),0)</x:f>
        <x:v>12</x:v>
      </x:c>
      <x:c r="N499" s="20" t="n">
        <x:f>IF(K499="שוטף",M499,0)</x:f>
        <x:v>12</x:v>
      </x:c>
      <x:c r="O499" s="20" t="n">
        <x:f>IF(K499="הכנסה שסווגה מחדש",-G499,0)</x:f>
        <x:v>0</x:v>
      </x:c>
      <x:c r="P499" s="11" t="str">
        <x:v>אמקס זיו</x:v>
      </x:c>
      <x:c r="Q499" s="11" t="str"/>
      <x:c r="R499" s="11" t="str">
        <x:v>לא</x:v>
      </x:c>
    </x:row>
    <x:row r="500">
      <x:c r="A500" s="14" t="n">
        <x:v>45809</x:v>
      </x:c>
      <x:c r="B500" s="11" t="str">
        <x:v>2025-06</x:v>
      </x:c>
      <x:c r="C500" s="11" t="str">
        <x:v>יוני 25</x:v>
      </x:c>
      <x:c r="D500" s="15" t="n">
        <x:v>21</x:v>
      </x:c>
      <x:c r="E500" s="11" t="str">
        <x:v>4</x:v>
      </x:c>
      <x:c r="F500" s="11" t="str">
        <x:v>מכבי זיו</x:v>
      </x:c>
      <x:c r="G500" s="17" t="n">
        <x:v>55</x:v>
      </x:c>
      <x:c r="H500" s="18" t="str">
        <x:v>בריאות</x:v>
      </x:c>
      <x:c r="I500" s="19" t="str">
        <x:f>IFERROR(INDEX('מיפוי ומקורות'!$C$7:$C$33,MATCH(H500,'מיפוי ומקורות'!$B$7:$B$33,0)),"לא מסווג")</x:f>
        <x:v>בריאות וטיפולים</x:v>
      </x:c>
      <x:c r="J500" s="19" t="str">
        <x:f>IFERROR(INDEX('מיפוי ומקורות'!$D$7:$D$33,MATCH(H500,'מיפוי ומקורות'!$B$7:$B$33,0)),"שוטף")</x:f>
        <x:v>שוטף</x:v>
      </x:c>
      <x:c r="K500" s="19" t="str">
        <x:f>IF(OR(H500="ריביות",AND(H500="דירה כצנלסון",G500&lt;0,ISNUMBER(SEARCH("הכנסה",F500)))),"הכנסה שסווגה מחדש",J500)</x:f>
        <x:v>שוטף</x:v>
      </x:c>
      <x:c r="L500" s="19" t="str">
        <x:v>מאושר</x:v>
      </x:c>
      <x:c r="M500" s="20" t="n">
        <x:f>IF(L500="מאושר",IF(K500="הכנסה שסווגה מחדש",0,G500),0)</x:f>
        <x:v>55</x:v>
      </x:c>
      <x:c r="N500" s="20" t="n">
        <x:f>IF(K500="שוטף",M500,0)</x:f>
        <x:v>55</x:v>
      </x:c>
      <x:c r="O500" s="20" t="n">
        <x:f>IF(K500="הכנסה שסווגה מחדש",-G500,0)</x:f>
        <x:v>0</x:v>
      </x:c>
      <x:c r="P500" s="11" t="str">
        <x:v>אמקס זיו</x:v>
      </x:c>
      <x:c r="Q500" s="11" t="str"/>
      <x:c r="R500" s="11" t="str">
        <x:v>לא</x:v>
      </x:c>
    </x:row>
    <x:row r="501">
      <x:c r="A501" s="14" t="n">
        <x:v>45809</x:v>
      </x:c>
      <x:c r="B501" s="11" t="str">
        <x:v>2025-06</x:v>
      </x:c>
      <x:c r="C501" s="11" t="str">
        <x:v>יוני 25</x:v>
      </x:c>
      <x:c r="D501" s="15" t="n">
        <x:v>22</x:v>
      </x:c>
      <x:c r="E501" s="11" t="str">
        <x:v>6</x:v>
      </x:c>
      <x:c r="F501" s="11" t="str">
        <x:v>ממתק</x:v>
      </x:c>
      <x:c r="G501" s="17" t="n">
        <x:v>28</x:v>
      </x:c>
      <x:c r="H501" s="18" t="str">
        <x:v>אוכל בחוץ</x:v>
      </x:c>
      <x:c r="I501" s="19" t="str">
        <x:f>IFERROR(INDEX('מיפוי ומקורות'!$C$7:$C$33,MATCH(H501,'מיפוי ומקורות'!$B$7:$B$33,0)),"לא מסווג")</x:f>
        <x:v>אוכל בחוץ</x:v>
      </x:c>
      <x:c r="J501" s="19" t="str">
        <x:f>IFERROR(INDEX('מיפוי ומקורות'!$D$7:$D$33,MATCH(H501,'מיפוי ומקורות'!$B$7:$B$33,0)),"שוטף")</x:f>
        <x:v>שוטף</x:v>
      </x:c>
      <x:c r="K501" s="19" t="str">
        <x:f>IF(OR(H501="ריביות",AND(H501="דירה כצנלסון",G501&lt;0,ISNUMBER(SEARCH("הכנסה",F501)))),"הכנסה שסווגה מחדש",J501)</x:f>
        <x:v>שוטף</x:v>
      </x:c>
      <x:c r="L501" s="19" t="str">
        <x:v>מאושר</x:v>
      </x:c>
      <x:c r="M501" s="20" t="n">
        <x:f>IF(L501="מאושר",IF(K501="הכנסה שסווגה מחדש",0,G501),0)</x:f>
        <x:v>28</x:v>
      </x:c>
      <x:c r="N501" s="20" t="n">
        <x:f>IF(K501="שוטף",M501,0)</x:f>
        <x:v>28</x:v>
      </x:c>
      <x:c r="O501" s="20" t="n">
        <x:f>IF(K501="הכנסה שסווגה מחדש",-G501,0)</x:f>
        <x:v>0</x:v>
      </x:c>
      <x:c r="P501" s="11" t="str">
        <x:v>אמקס זיו</x:v>
      </x:c>
      <x:c r="Q501" s="11" t="str"/>
      <x:c r="R501" s="11" t="str">
        <x:v>לא</x:v>
      </x:c>
    </x:row>
    <x:row r="502">
      <x:c r="A502" s="14" t="n">
        <x:v>45809</x:v>
      </x:c>
      <x:c r="B502" s="11" t="str">
        <x:v>2025-06</x:v>
      </x:c>
      <x:c r="C502" s="11" t="str">
        <x:v>יוני 25</x:v>
      </x:c>
      <x:c r="D502" s="15" t="n">
        <x:v>23</x:v>
      </x:c>
      <x:c r="E502" s="11" t="str">
        <x:v>6</x:v>
      </x:c>
      <x:c r="F502" s="11" t="str">
        <x:v>בורקס</x:v>
      </x:c>
      <x:c r="G502" s="17" t="n">
        <x:v>50</x:v>
      </x:c>
      <x:c r="H502" s="18" t="str">
        <x:v>אוכל בחוץ</x:v>
      </x:c>
      <x:c r="I502" s="19" t="str">
        <x:f>IFERROR(INDEX('מיפוי ומקורות'!$C$7:$C$33,MATCH(H502,'מיפוי ומקורות'!$B$7:$B$33,0)),"לא מסווג")</x:f>
        <x:v>אוכל בחוץ</x:v>
      </x:c>
      <x:c r="J502" s="19" t="str">
        <x:f>IFERROR(INDEX('מיפוי ומקורות'!$D$7:$D$33,MATCH(H502,'מיפוי ומקורות'!$B$7:$B$33,0)),"שוטף")</x:f>
        <x:v>שוטף</x:v>
      </x:c>
      <x:c r="K502" s="19" t="str">
        <x:f>IF(OR(H502="ריביות",AND(H502="דירה כצנלסון",G502&lt;0,ISNUMBER(SEARCH("הכנסה",F502)))),"הכנסה שסווגה מחדש",J502)</x:f>
        <x:v>שוטף</x:v>
      </x:c>
      <x:c r="L502" s="19" t="str">
        <x:v>מאושר</x:v>
      </x:c>
      <x:c r="M502" s="20" t="n">
        <x:f>IF(L502="מאושר",IF(K502="הכנסה שסווגה מחדש",0,G502),0)</x:f>
        <x:v>50</x:v>
      </x:c>
      <x:c r="N502" s="20" t="n">
        <x:f>IF(K502="שוטף",M502,0)</x:f>
        <x:v>50</x:v>
      </x:c>
      <x:c r="O502" s="20" t="n">
        <x:f>IF(K502="הכנסה שסווגה מחדש",-G502,0)</x:f>
        <x:v>0</x:v>
      </x:c>
      <x:c r="P502" s="11" t="str">
        <x:v>אמקס זיו</x:v>
      </x:c>
      <x:c r="Q502" s="11" t="str"/>
      <x:c r="R502" s="11" t="str">
        <x:v>לא</x:v>
      </x:c>
    </x:row>
    <x:row r="503">
      <x:c r="A503" s="14" t="n">
        <x:v>45809</x:v>
      </x:c>
      <x:c r="B503" s="11" t="str">
        <x:v>2025-06</x:v>
      </x:c>
      <x:c r="C503" s="11" t="str">
        <x:v>יוני 25</x:v>
      </x:c>
      <x:c r="D503" s="15" t="n">
        <x:v>24</x:v>
      </x:c>
      <x:c r="E503" s="11" t="str">
        <x:v>7</x:v>
      </x:c>
      <x:c r="F503" s="11" t="str">
        <x:v>אוטלו</x:v>
      </x:c>
      <x:c r="G503" s="17" t="n">
        <x:v>40</x:v>
      </x:c>
      <x:c r="H503" s="18" t="str">
        <x:v>אוכל בחוץ</x:v>
      </x:c>
      <x:c r="I503" s="19" t="str">
        <x:f>IFERROR(INDEX('מיפוי ומקורות'!$C$7:$C$33,MATCH(H503,'מיפוי ומקורות'!$B$7:$B$33,0)),"לא מסווג")</x:f>
        <x:v>אוכל בחוץ</x:v>
      </x:c>
      <x:c r="J503" s="19" t="str">
        <x:f>IFERROR(INDEX('מיפוי ומקורות'!$D$7:$D$33,MATCH(H503,'מיפוי ומקורות'!$B$7:$B$33,0)),"שוטף")</x:f>
        <x:v>שוטף</x:v>
      </x:c>
      <x:c r="K503" s="19" t="str">
        <x:f>IF(OR(H503="ריביות",AND(H503="דירה כצנלסון",G503&lt;0,ISNUMBER(SEARCH("הכנסה",F503)))),"הכנסה שסווגה מחדש",J503)</x:f>
        <x:v>שוטף</x:v>
      </x:c>
      <x:c r="L503" s="19" t="str">
        <x:v>מאושר</x:v>
      </x:c>
      <x:c r="M503" s="20" t="n">
        <x:f>IF(L503="מאושר",IF(K503="הכנסה שסווגה מחדש",0,G503),0)</x:f>
        <x:v>40</x:v>
      </x:c>
      <x:c r="N503" s="20" t="n">
        <x:f>IF(K503="שוטף",M503,0)</x:f>
        <x:v>40</x:v>
      </x:c>
      <x:c r="O503" s="20" t="n">
        <x:f>IF(K503="הכנסה שסווגה מחדש",-G503,0)</x:f>
        <x:v>0</x:v>
      </x:c>
      <x:c r="P503" s="11" t="str">
        <x:v>אמקס זיו</x:v>
      </x:c>
      <x:c r="Q503" s="11" t="str"/>
      <x:c r="R503" s="11" t="str">
        <x:v>לא</x:v>
      </x:c>
    </x:row>
    <x:row r="504">
      <x:c r="A504" s="14" t="n">
        <x:v>45809</x:v>
      </x:c>
      <x:c r="B504" s="11" t="str">
        <x:v>2025-06</x:v>
      </x:c>
      <x:c r="C504" s="11" t="str">
        <x:v>יוני 25</x:v>
      </x:c>
      <x:c r="D504" s="15" t="n">
        <x:v>25</x:v>
      </x:c>
      <x:c r="E504" s="11" t="str">
        <x:v>7</x:v>
      </x:c>
      <x:c r="F504" s="11" t="str">
        <x:v>גאורגית</x:v>
      </x:c>
      <x:c r="G504" s="17" t="n">
        <x:v>128</x:v>
      </x:c>
      <x:c r="H504" s="18" t="str">
        <x:v>אוכל בחוץ</x:v>
      </x:c>
      <x:c r="I504" s="19" t="str">
        <x:f>IFERROR(INDEX('מיפוי ומקורות'!$C$7:$C$33,MATCH(H504,'מיפוי ומקורות'!$B$7:$B$33,0)),"לא מסווג")</x:f>
        <x:v>אוכל בחוץ</x:v>
      </x:c>
      <x:c r="J504" s="19" t="str">
        <x:f>IFERROR(INDEX('מיפוי ומקורות'!$D$7:$D$33,MATCH(H504,'מיפוי ומקורות'!$B$7:$B$33,0)),"שוטף")</x:f>
        <x:v>שוטף</x:v>
      </x:c>
      <x:c r="K504" s="19" t="str">
        <x:f>IF(OR(H504="ריביות",AND(H504="דירה כצנלסון",G504&lt;0,ISNUMBER(SEARCH("הכנסה",F504)))),"הכנסה שסווגה מחדש",J504)</x:f>
        <x:v>שוטף</x:v>
      </x:c>
      <x:c r="L504" s="19" t="str">
        <x:v>מאושר</x:v>
      </x:c>
      <x:c r="M504" s="20" t="n">
        <x:f>IF(L504="מאושר",IF(K504="הכנסה שסווגה מחדש",0,G504),0)</x:f>
        <x:v>128</x:v>
      </x:c>
      <x:c r="N504" s="20" t="n">
        <x:f>IF(K504="שוטף",M504,0)</x:f>
        <x:v>128</x:v>
      </x:c>
      <x:c r="O504" s="20" t="n">
        <x:f>IF(K504="הכנסה שסווגה מחדש",-G504,0)</x:f>
        <x:v>0</x:v>
      </x:c>
      <x:c r="P504" s="11" t="str">
        <x:v>אמקס זיו</x:v>
      </x:c>
      <x:c r="Q504" s="11" t="str"/>
      <x:c r="R504" s="11" t="str">
        <x:v>לא</x:v>
      </x:c>
    </x:row>
    <x:row r="505">
      <x:c r="A505" s="14" t="n">
        <x:v>45809</x:v>
      </x:c>
      <x:c r="B505" s="11" t="str">
        <x:v>2025-06</x:v>
      </x:c>
      <x:c r="C505" s="11" t="str">
        <x:v>יוני 25</x:v>
      </x:c>
      <x:c r="D505" s="15" t="n">
        <x:v>26</x:v>
      </x:c>
      <x:c r="E505" s="11" t="str">
        <x:v>8</x:v>
      </x:c>
      <x:c r="F505" s="11" t="str">
        <x:v>סופר</x:v>
      </x:c>
      <x:c r="G505" s="17" t="n">
        <x:v>151</x:v>
      </x:c>
      <x:c r="H505" s="18" t="str">
        <x:v>מזון לבית</x:v>
      </x:c>
      <x:c r="I505" s="19" t="str">
        <x:f>IFERROR(INDEX('מיפוי ומקורות'!$C$7:$C$33,MATCH(H505,'מיפוי ומקורות'!$B$7:$B$33,0)),"לא מסווג")</x:f>
        <x:v>מזון לבית</x:v>
      </x:c>
      <x:c r="J505" s="19" t="str">
        <x:f>IFERROR(INDEX('מיפוי ומקורות'!$D$7:$D$33,MATCH(H505,'מיפוי ומקורות'!$B$7:$B$33,0)),"שוטף")</x:f>
        <x:v>שוטף</x:v>
      </x:c>
      <x:c r="K505" s="19" t="str">
        <x:f>IF(OR(H505="ריביות",AND(H505="דירה כצנלסון",G505&lt;0,ISNUMBER(SEARCH("הכנסה",F505)))),"הכנסה שסווגה מחדש",J505)</x:f>
        <x:v>שוטף</x:v>
      </x:c>
      <x:c r="L505" s="19" t="str">
        <x:v>מאושר</x:v>
      </x:c>
      <x:c r="M505" s="20" t="n">
        <x:f>IF(L505="מאושר",IF(K505="הכנסה שסווגה מחדש",0,G505),0)</x:f>
        <x:v>151</x:v>
      </x:c>
      <x:c r="N505" s="20" t="n">
        <x:f>IF(K505="שוטף",M505,0)</x:f>
        <x:v>151</x:v>
      </x:c>
      <x:c r="O505" s="20" t="n">
        <x:f>IF(K505="הכנסה שסווגה מחדש",-G505,0)</x:f>
        <x:v>0</x:v>
      </x:c>
      <x:c r="P505" s="11" t="str">
        <x:v>אמקס זיו</x:v>
      </x:c>
      <x:c r="Q505" s="11" t="str"/>
      <x:c r="R505" s="11" t="str">
        <x:v>לא</x:v>
      </x:c>
    </x:row>
    <x:row r="506">
      <x:c r="A506" s="14" t="n">
        <x:v>45809</x:v>
      </x:c>
      <x:c r="B506" s="11" t="str">
        <x:v>2025-06</x:v>
      </x:c>
      <x:c r="C506" s="11" t="str">
        <x:v>יוני 25</x:v>
      </x:c>
      <x:c r="D506" s="15" t="n">
        <x:v>27</x:v>
      </x:c>
      <x:c r="E506" s="11" t="str">
        <x:v>10</x:v>
      </x:c>
      <x:c r="F506" s="11" t="str">
        <x:v>זר</x:v>
      </x:c>
      <x:c r="G506" s="17" t="n">
        <x:v>85</x:v>
      </x:c>
      <x:c r="H506" s="18" t="str">
        <x:v>קניות לבית</x:v>
      </x:c>
      <x:c r="I506" s="19" t="str">
        <x:f>IFERROR(INDEX('מיפוי ומקורות'!$C$7:$C$33,MATCH(H506,'מיפוי ומקורות'!$B$7:$B$33,0)),"לא מסווג")</x:f>
        <x:v>קניות לבית</x:v>
      </x:c>
      <x:c r="J506" s="19" t="str">
        <x:f>IFERROR(INDEX('מיפוי ומקורות'!$D$7:$D$33,MATCH(H506,'מיפוי ומקורות'!$B$7:$B$33,0)),"שוטף")</x:f>
        <x:v>שוטף</x:v>
      </x:c>
      <x:c r="K506" s="19" t="str">
        <x:f>IF(OR(H506="ריביות",AND(H506="דירה כצנלסון",G506&lt;0,ISNUMBER(SEARCH("הכנסה",F506)))),"הכנסה שסווגה מחדש",J506)</x:f>
        <x:v>שוטף</x:v>
      </x:c>
      <x:c r="L506" s="19" t="str">
        <x:v>מאושר</x:v>
      </x:c>
      <x:c r="M506" s="20" t="n">
        <x:f>IF(L506="מאושר",IF(K506="הכנסה שסווגה מחדש",0,G506),0)</x:f>
        <x:v>85</x:v>
      </x:c>
      <x:c r="N506" s="20" t="n">
        <x:f>IF(K506="שוטף",M506,0)</x:f>
        <x:v>85</x:v>
      </x:c>
      <x:c r="O506" s="20" t="n">
        <x:f>IF(K506="הכנסה שסווגה מחדש",-G506,0)</x:f>
        <x:v>0</x:v>
      </x:c>
      <x:c r="P506" s="11" t="str">
        <x:v>אמקס זיו</x:v>
      </x:c>
      <x:c r="Q506" s="11" t="str"/>
      <x:c r="R506" s="11" t="str">
        <x:v>לא</x:v>
      </x:c>
    </x:row>
    <x:row r="507">
      <x:c r="A507" s="14" t="n">
        <x:v>45809</x:v>
      </x:c>
      <x:c r="B507" s="11" t="str">
        <x:v>2025-06</x:v>
      </x:c>
      <x:c r="C507" s="11" t="str">
        <x:v>יוני 25</x:v>
      </x:c>
      <x:c r="D507" s="15" t="n">
        <x:v>28</x:v>
      </x:c>
      <x:c r="E507" s="11" t="str">
        <x:v>10</x:v>
      </x:c>
      <x:c r="F507" s="11" t="str">
        <x:v>אוכל בסטאנדאפ</x:v>
      </x:c>
      <x:c r="G507" s="17" t="n">
        <x:v>41</x:v>
      </x:c>
      <x:c r="H507" s="18" t="str">
        <x:v>אוכל בחוץ</x:v>
      </x:c>
      <x:c r="I507" s="19" t="str">
        <x:f>IFERROR(INDEX('מיפוי ומקורות'!$C$7:$C$33,MATCH(H507,'מיפוי ומקורות'!$B$7:$B$33,0)),"לא מסווג")</x:f>
        <x:v>אוכל בחוץ</x:v>
      </x:c>
      <x:c r="J507" s="19" t="str">
        <x:f>IFERROR(INDEX('מיפוי ומקורות'!$D$7:$D$33,MATCH(H507,'מיפוי ומקורות'!$B$7:$B$33,0)),"שוטף")</x:f>
        <x:v>שוטף</x:v>
      </x:c>
      <x:c r="K507" s="19" t="str">
        <x:f>IF(OR(H507="ריביות",AND(H507="דירה כצנלסון",G507&lt;0,ISNUMBER(SEARCH("הכנסה",F507)))),"הכנסה שסווגה מחדש",J507)</x:f>
        <x:v>שוטף</x:v>
      </x:c>
      <x:c r="L507" s="19" t="str">
        <x:v>מאושר</x:v>
      </x:c>
      <x:c r="M507" s="20" t="n">
        <x:f>IF(L507="מאושר",IF(K507="הכנסה שסווגה מחדש",0,G507),0)</x:f>
        <x:v>41</x:v>
      </x:c>
      <x:c r="N507" s="20" t="n">
        <x:f>IF(K507="שוטף",M507,0)</x:f>
        <x:v>41</x:v>
      </x:c>
      <x:c r="O507" s="20" t="n">
        <x:f>IF(K507="הכנסה שסווגה מחדש",-G507,0)</x:f>
        <x:v>0</x:v>
      </x:c>
      <x:c r="P507" s="11" t="str">
        <x:v>אמקס זיו</x:v>
      </x:c>
      <x:c r="Q507" s="11" t="str"/>
      <x:c r="R507" s="11" t="str">
        <x:v>לא</x:v>
      </x:c>
    </x:row>
    <x:row r="508">
      <x:c r="A508" s="14" t="n">
        <x:v>45809</x:v>
      </x:c>
      <x:c r="B508" s="11" t="str">
        <x:v>2025-06</x:v>
      </x:c>
      <x:c r="C508" s="11" t="str">
        <x:v>יוני 25</x:v>
      </x:c>
      <x:c r="D508" s="15" t="n">
        <x:v>29</x:v>
      </x:c>
      <x:c r="E508" s="11" t="str">
        <x:v>10</x:v>
      </x:c>
      <x:c r="F508" s="11" t="str">
        <x:v>גלידה</x:v>
      </x:c>
      <x:c r="G508" s="17" t="n">
        <x:v>35</x:v>
      </x:c>
      <x:c r="H508" s="18" t="str">
        <x:v>אוכל בחוץ</x:v>
      </x:c>
      <x:c r="I508" s="19" t="str">
        <x:f>IFERROR(INDEX('מיפוי ומקורות'!$C$7:$C$33,MATCH(H508,'מיפוי ומקורות'!$B$7:$B$33,0)),"לא מסווג")</x:f>
        <x:v>אוכל בחוץ</x:v>
      </x:c>
      <x:c r="J508" s="19" t="str">
        <x:f>IFERROR(INDEX('מיפוי ומקורות'!$D$7:$D$33,MATCH(H508,'מיפוי ומקורות'!$B$7:$B$33,0)),"שוטף")</x:f>
        <x:v>שוטף</x:v>
      </x:c>
      <x:c r="K508" s="19" t="str">
        <x:f>IF(OR(H508="ריביות",AND(H508="דירה כצנלסון",G508&lt;0,ISNUMBER(SEARCH("הכנסה",F508)))),"הכנסה שסווגה מחדש",J508)</x:f>
        <x:v>שוטף</x:v>
      </x:c>
      <x:c r="L508" s="19" t="str">
        <x:v>מאושר</x:v>
      </x:c>
      <x:c r="M508" s="20" t="n">
        <x:f>IF(L508="מאושר",IF(K508="הכנסה שסווגה מחדש",0,G508),0)</x:f>
        <x:v>35</x:v>
      </x:c>
      <x:c r="N508" s="20" t="n">
        <x:f>IF(K508="שוטף",M508,0)</x:f>
        <x:v>35</x:v>
      </x:c>
      <x:c r="O508" s="20" t="n">
        <x:f>IF(K508="הכנסה שסווגה מחדש",-G508,0)</x:f>
        <x:v>0</x:v>
      </x:c>
      <x:c r="P508" s="11" t="str">
        <x:v>אמקס זיו</x:v>
      </x:c>
      <x:c r="Q508" s="11" t="str"/>
      <x:c r="R508" s="11" t="str">
        <x:v>לא</x:v>
      </x:c>
    </x:row>
    <x:row r="509">
      <x:c r="A509" s="14" t="n">
        <x:v>45809</x:v>
      </x:c>
      <x:c r="B509" s="11" t="str">
        <x:v>2025-06</x:v>
      </x:c>
      <x:c r="C509" s="11" t="str">
        <x:v>יוני 25</x:v>
      </x:c>
      <x:c r="D509" s="15" t="n">
        <x:v>30</x:v>
      </x:c>
      <x:c r="E509" s="11" t="str"/>
      <x:c r="F509" s="11" t="str">
        <x:v>תספורת עינור</x:v>
      </x:c>
      <x:c r="G509" s="17" t="n">
        <x:v>200</x:v>
      </x:c>
      <x:c r="H509" s="18" t="str">
        <x:v>קוסמטיקה</x:v>
      </x:c>
      <x:c r="I509" s="19" t="str">
        <x:f>IFERROR(INDEX('מיפוי ומקורות'!$C$7:$C$33,MATCH(H509,'מיפוי ומקורות'!$B$7:$B$33,0)),"לא מסווג")</x:f>
        <x:v>קוסמטיקה</x:v>
      </x:c>
      <x:c r="J509" s="19" t="str">
        <x:f>IFERROR(INDEX('מיפוי ומקורות'!$D$7:$D$33,MATCH(H509,'מיפוי ומקורות'!$B$7:$B$33,0)),"שוטף")</x:f>
        <x:v>שוטף</x:v>
      </x:c>
      <x:c r="K509" s="19" t="str">
        <x:f>IF(OR(H509="ריביות",AND(H509="דירה כצנלסון",G509&lt;0,ISNUMBER(SEARCH("הכנסה",F509)))),"הכנסה שסווגה מחדש",J509)</x:f>
        <x:v>שוטף</x:v>
      </x:c>
      <x:c r="L509" s="19" t="str">
        <x:v>מאושר</x:v>
      </x:c>
      <x:c r="M509" s="20" t="n">
        <x:f>IF(L509="מאושר",IF(K509="הכנסה שסווגה מחדש",0,G509),0)</x:f>
        <x:v>200</x:v>
      </x:c>
      <x:c r="N509" s="20" t="n">
        <x:f>IF(K509="שוטף",M509,0)</x:f>
        <x:v>200</x:v>
      </x:c>
      <x:c r="O509" s="20" t="n">
        <x:f>IF(K509="הכנסה שסווגה מחדש",-G509,0)</x:f>
        <x:v>0</x:v>
      </x:c>
      <x:c r="P509" s="11" t="str">
        <x:v>מזומן</x:v>
      </x:c>
      <x:c r="Q509" s="11" t="str"/>
      <x:c r="R509" s="11" t="str">
        <x:v>לא</x:v>
      </x:c>
    </x:row>
    <x:row r="510">
      <x:c r="A510" s="14" t="n">
        <x:v>45809</x:v>
      </x:c>
      <x:c r="B510" s="11" t="str">
        <x:v>2025-06</x:v>
      </x:c>
      <x:c r="C510" s="11" t="str">
        <x:v>יוני 25</x:v>
      </x:c>
      <x:c r="D510" s="15" t="n">
        <x:v>31</x:v>
      </x:c>
      <x:c r="E510" s="11" t="str"/>
      <x:c r="F510" s="11" t="str">
        <x:v>הובלה ספה</x:v>
      </x:c>
      <x:c r="G510" s="17" t="n">
        <x:v>500</x:v>
      </x:c>
      <x:c r="H510" s="18" t="str">
        <x:v>קניות לבית</x:v>
      </x:c>
      <x:c r="I510" s="19" t="str">
        <x:f>IFERROR(INDEX('מיפוי ומקורות'!$C$7:$C$33,MATCH(H510,'מיפוי ומקורות'!$B$7:$B$33,0)),"לא מסווג")</x:f>
        <x:v>קניות לבית</x:v>
      </x:c>
      <x:c r="J510" s="19" t="str">
        <x:f>IFERROR(INDEX('מיפוי ומקורות'!$D$7:$D$33,MATCH(H510,'מיפוי ומקורות'!$B$7:$B$33,0)),"שוטף")</x:f>
        <x:v>שוטף</x:v>
      </x:c>
      <x:c r="K510" s="19" t="str">
        <x:f>IF(OR(H510="ריביות",AND(H510="דירה כצנלסון",G510&lt;0,ISNUMBER(SEARCH("הכנסה",F510)))),"הכנסה שסווגה מחדש",J510)</x:f>
        <x:v>שוטף</x:v>
      </x:c>
      <x:c r="L510" s="19" t="str">
        <x:v>מאושר</x:v>
      </x:c>
      <x:c r="M510" s="20" t="n">
        <x:f>IF(L510="מאושר",IF(K510="הכנסה שסווגה מחדש",0,G510),0)</x:f>
        <x:v>500</x:v>
      </x:c>
      <x:c r="N510" s="20" t="n">
        <x:f>IF(K510="שוטף",M510,0)</x:f>
        <x:v>500</x:v>
      </x:c>
      <x:c r="O510" s="20" t="n">
        <x:f>IF(K510="הכנסה שסווגה מחדש",-G510,0)</x:f>
        <x:v>0</x:v>
      </x:c>
      <x:c r="P510" s="11" t="str">
        <x:v>מזומן</x:v>
      </x:c>
      <x:c r="Q510" s="11" t="str"/>
      <x:c r="R510" s="11" t="str">
        <x:v>לא</x:v>
      </x:c>
    </x:row>
    <x:row r="511">
      <x:c r="A511" s="14" t="n">
        <x:v>45809</x:v>
      </x:c>
      <x:c r="B511" s="11" t="str">
        <x:v>2025-06</x:v>
      </x:c>
      <x:c r="C511" s="11" t="str">
        <x:v>יוני 25</x:v>
      </x:c>
      <x:c r="D511" s="15" t="n">
        <x:v>32</x:v>
      </x:c>
      <x:c r="E511" s="11" t="str">
        <x:v>24</x:v>
      </x:c>
      <x:c r="F511" s="11" t="str">
        <x:v>אימונים</x:v>
      </x:c>
      <x:c r="G511" s="17" t="n">
        <x:v>4600</x:v>
      </x:c>
      <x:c r="H511" s="18" t="str">
        <x:v>ספורט</x:v>
      </x:c>
      <x:c r="I511" s="19" t="str">
        <x:f>IFERROR(INDEX('מיפוי ומקורות'!$C$7:$C$33,MATCH(H511,'מיפוי ומקורות'!$B$7:$B$33,0)),"לא מסווג")</x:f>
        <x:v>ספורט</x:v>
      </x:c>
      <x:c r="J511" s="19" t="str">
        <x:f>IFERROR(INDEX('מיפוי ומקורות'!$D$7:$D$33,MATCH(H511,'מיפוי ומקורות'!$B$7:$B$33,0)),"שוטף")</x:f>
        <x:v>שוטף</x:v>
      </x:c>
      <x:c r="K511" s="19" t="str">
        <x:f>IF(OR(H511="ריביות",AND(H511="דירה כצנלסון",G511&lt;0,ISNUMBER(SEARCH("הכנסה",F511)))),"הכנסה שסווגה מחדש",J511)</x:f>
        <x:v>שוטף</x:v>
      </x:c>
      <x:c r="L511" s="19" t="str">
        <x:v>מאושר</x:v>
      </x:c>
      <x:c r="M511" s="20" t="n">
        <x:f>IF(L511="מאושר",IF(K511="הכנסה שסווגה מחדש",0,G511),0)</x:f>
        <x:v>4600</x:v>
      </x:c>
      <x:c r="N511" s="20" t="n">
        <x:f>IF(K511="שוטף",M511,0)</x:f>
        <x:v>4600</x:v>
      </x:c>
      <x:c r="O511" s="20" t="n">
        <x:f>IF(K511="הכנסה שסווגה מחדש",-G511,0)</x:f>
        <x:v>0</x:v>
      </x:c>
      <x:c r="P511" s="11" t="str">
        <x:v>one zero</x:v>
      </x:c>
      <x:c r="Q511" s="11" t="str"/>
      <x:c r="R511" s="11" t="str">
        <x:v>לא</x:v>
      </x:c>
    </x:row>
    <x:row r="512">
      <x:c r="A512" s="14" t="n">
        <x:v>45809</x:v>
      </x:c>
      <x:c r="B512" s="11" t="str">
        <x:v>2025-06</x:v>
      </x:c>
      <x:c r="C512" s="11" t="str">
        <x:v>יוני 25</x:v>
      </x:c>
      <x:c r="D512" s="15" t="n">
        <x:v>33</x:v>
      </x:c>
      <x:c r="E512" s="11" t="str">
        <x:v>22</x:v>
      </x:c>
      <x:c r="F512" s="11" t="str">
        <x:v>קרמים לשיער</x:v>
      </x:c>
      <x:c r="G512" s="17" t="n">
        <x:v>268</x:v>
      </x:c>
      <x:c r="H512" s="18" t="str">
        <x:v>קוסמטיקה</x:v>
      </x:c>
      <x:c r="I512" s="19" t="str">
        <x:f>IFERROR(INDEX('מיפוי ומקורות'!$C$7:$C$33,MATCH(H512,'מיפוי ומקורות'!$B$7:$B$33,0)),"לא מסווג")</x:f>
        <x:v>קוסמטיקה</x:v>
      </x:c>
      <x:c r="J512" s="19" t="str">
        <x:f>IFERROR(INDEX('מיפוי ומקורות'!$D$7:$D$33,MATCH(H512,'מיפוי ומקורות'!$B$7:$B$33,0)),"שוטף")</x:f>
        <x:v>שוטף</x:v>
      </x:c>
      <x:c r="K512" s="19" t="str">
        <x:f>IF(OR(H512="ריביות",AND(H512="דירה כצנלסון",G512&lt;0,ISNUMBER(SEARCH("הכנסה",F512)))),"הכנסה שסווגה מחדש",J512)</x:f>
        <x:v>שוטף</x:v>
      </x:c>
      <x:c r="L512" s="19" t="str">
        <x:v>מאושר</x:v>
      </x:c>
      <x:c r="M512" s="20" t="n">
        <x:f>IF(L512="מאושר",IF(K512="הכנסה שסווגה מחדש",0,G512),0)</x:f>
        <x:v>268</x:v>
      </x:c>
      <x:c r="N512" s="20" t="n">
        <x:f>IF(K512="שוטף",M512,0)</x:f>
        <x:v>268</x:v>
      </x:c>
      <x:c r="O512" s="20" t="n">
        <x:f>IF(K512="הכנסה שסווגה מחדש",-G512,0)</x:f>
        <x:v>0</x:v>
      </x:c>
      <x:c r="P512" s="11" t="str">
        <x:v>one zero עינור</x:v>
      </x:c>
      <x:c r="Q512" s="11" t="str"/>
      <x:c r="R512" s="11" t="str">
        <x:v>לא</x:v>
      </x:c>
    </x:row>
    <x:row r="513">
      <x:c r="A513" s="14" t="n">
        <x:v>45809</x:v>
      </x:c>
      <x:c r="B513" s="11" t="str">
        <x:v>2025-06</x:v>
      </x:c>
      <x:c r="C513" s="11" t="str">
        <x:v>יוני 25</x:v>
      </x:c>
      <x:c r="D513" s="15" t="n">
        <x:v>34</x:v>
      </x:c>
      <x:c r="E513" s="11" t="str">
        <x:v>25</x:v>
      </x:c>
      <x:c r="F513" s="11" t="str">
        <x:v>אוטובוסים</x:v>
      </x:c>
      <x:c r="G513" s="17" t="n">
        <x:v>98</x:v>
      </x:c>
      <x:c r="H513" s="18" t="str">
        <x:v>תחבורה</x:v>
      </x:c>
      <x:c r="I513" s="19" t="str">
        <x:f>IFERROR(INDEX('מיפוי ומקורות'!$C$7:$C$33,MATCH(H513,'מיפוי ומקורות'!$B$7:$B$33,0)),"לא מסווג")</x:f>
        <x:v>תחבורה</x:v>
      </x:c>
      <x:c r="J513" s="19" t="str">
        <x:f>IFERROR(INDEX('מיפוי ומקורות'!$D$7:$D$33,MATCH(H513,'מיפוי ומקורות'!$B$7:$B$33,0)),"שוטף")</x:f>
        <x:v>שוטף</x:v>
      </x:c>
      <x:c r="K513" s="19" t="str">
        <x:f>IF(OR(H513="ריביות",AND(H513="דירה כצנלסון",G513&lt;0,ISNUMBER(SEARCH("הכנסה",F513)))),"הכנסה שסווגה מחדש",J513)</x:f>
        <x:v>שוטף</x:v>
      </x:c>
      <x:c r="L513" s="19" t="str">
        <x:v>מאושר</x:v>
      </x:c>
      <x:c r="M513" s="20" t="n">
        <x:f>IF(L513="מאושר",IF(K513="הכנסה שסווגה מחדש",0,G513),0)</x:f>
        <x:v>98</x:v>
      </x:c>
      <x:c r="N513" s="20" t="n">
        <x:f>IF(K513="שוטף",M513,0)</x:f>
        <x:v>98</x:v>
      </x:c>
      <x:c r="O513" s="20" t="n">
        <x:f>IF(K513="הכנסה שסווגה מחדש",-G513,0)</x:f>
        <x:v>0</x:v>
      </x:c>
      <x:c r="P513" s="11" t="str">
        <x:v>one zero עינור</x:v>
      </x:c>
      <x:c r="Q513" s="11" t="str"/>
      <x:c r="R513" s="11" t="str">
        <x:v>לא</x:v>
      </x:c>
    </x:row>
    <x:row r="514">
      <x:c r="A514" s="14" t="n">
        <x:v>45809</x:v>
      </x:c>
      <x:c r="B514" s="11" t="str">
        <x:v>2025-06</x:v>
      </x:c>
      <x:c r="C514" s="11" t="str">
        <x:v>יוני 25</x:v>
      </x:c>
      <x:c r="D514" s="15" t="n">
        <x:v>35</x:v>
      </x:c>
      <x:c r="E514" s="11" t="str">
        <x:v>2</x:v>
      </x:c>
      <x:c r="F514" s="11" t="str">
        <x:v>אליאקספרס</x:v>
      </x:c>
      <x:c r="G514" s="17" t="n">
        <x:v>78</x:v>
      </x:c>
      <x:c r="H514" s="18" t="str">
        <x:v>קניות לבית</x:v>
      </x:c>
      <x:c r="I514" s="19" t="str">
        <x:f>IFERROR(INDEX('מיפוי ומקורות'!$C$7:$C$33,MATCH(H514,'מיפוי ומקורות'!$B$7:$B$33,0)),"לא מסווג")</x:f>
        <x:v>קניות לבית</x:v>
      </x:c>
      <x:c r="J514" s="19" t="str">
        <x:f>IFERROR(INDEX('מיפוי ומקורות'!$D$7:$D$33,MATCH(H514,'מיפוי ומקורות'!$B$7:$B$33,0)),"שוטף")</x:f>
        <x:v>שוטף</x:v>
      </x:c>
      <x:c r="K514" s="19" t="str">
        <x:f>IF(OR(H514="ריביות",AND(H514="דירה כצנלסון",G514&lt;0,ISNUMBER(SEARCH("הכנסה",F514)))),"הכנסה שסווגה מחדש",J514)</x:f>
        <x:v>שוטף</x:v>
      </x:c>
      <x:c r="L514" s="19" t="str">
        <x:v>מאושר</x:v>
      </x:c>
      <x:c r="M514" s="20" t="n">
        <x:f>IF(L514="מאושר",IF(K514="הכנסה שסווגה מחדש",0,G514),0)</x:f>
        <x:v>78</x:v>
      </x:c>
      <x:c r="N514" s="20" t="n">
        <x:f>IF(K514="שוטף",M514,0)</x:f>
        <x:v>78</x:v>
      </x:c>
      <x:c r="O514" s="20" t="n">
        <x:f>IF(K514="הכנסה שסווגה מחדש",-G514,0)</x:f>
        <x:v>0</x:v>
      </x:c>
      <x:c r="P514" s="11" t="str">
        <x:v>one zero עינור</x:v>
      </x:c>
      <x:c r="Q514" s="11" t="str"/>
      <x:c r="R514" s="11" t="str">
        <x:v>לא</x:v>
      </x:c>
    </x:row>
    <x:row r="515">
      <x:c r="A515" s="14" t="n">
        <x:v>45809</x:v>
      </x:c>
      <x:c r="B515" s="11" t="str">
        <x:v>2025-06</x:v>
      </x:c>
      <x:c r="C515" s="11" t="str">
        <x:v>יוני 25</x:v>
      </x:c>
      <x:c r="D515" s="15" t="n">
        <x:v>36</x:v>
      </x:c>
      <x:c r="E515" s="11" t="str">
        <x:v>19</x:v>
      </x:c>
      <x:c r="F515" s="11" t="str">
        <x:v>החזר שיין</x:v>
      </x:c>
      <x:c r="G515" s="17" t="n">
        <x:v>-388</x:v>
      </x:c>
      <x:c r="H515" s="18" t="str">
        <x:v>אופנה</x:v>
      </x:c>
      <x:c r="I515" s="19" t="str">
        <x:f>IFERROR(INDEX('מיפוי ומקורות'!$C$7:$C$33,MATCH(H515,'מיפוי ומקורות'!$B$7:$B$33,0)),"לא מסווג")</x:f>
        <x:v>אופנה</x:v>
      </x:c>
      <x:c r="J515" s="19" t="str">
        <x:f>IFERROR(INDEX('מיפוי ומקורות'!$D$7:$D$33,MATCH(H515,'מיפוי ומקורות'!$B$7:$B$33,0)),"שוטף")</x:f>
        <x:v>שוטף</x:v>
      </x:c>
      <x:c r="K515" s="19" t="str">
        <x:f>IF(OR(H515="ריביות",AND(H515="דירה כצנלסון",G515&lt;0,ISNUMBER(SEARCH("הכנסה",F515)))),"הכנסה שסווגה מחדש",J515)</x:f>
        <x:v>שוטף</x:v>
      </x:c>
      <x:c r="L515" s="19" t="str">
        <x:v>מאושר</x:v>
      </x:c>
      <x:c r="M515" s="20" t="n">
        <x:f>IF(L515="מאושר",IF(K515="הכנסה שסווגה מחדש",0,G515),0)</x:f>
        <x:v>-388</x:v>
      </x:c>
      <x:c r="N515" s="20" t="n">
        <x:f>IF(K515="שוטף",M515,0)</x:f>
        <x:v>-388</x:v>
      </x:c>
      <x:c r="O515" s="20" t="n">
        <x:f>IF(K515="הכנסה שסווגה מחדש",-G515,0)</x:f>
        <x:v>0</x:v>
      </x:c>
      <x:c r="P515" s="11" t="str">
        <x:v>one zero עינור</x:v>
      </x:c>
      <x:c r="Q515" s="11" t="str"/>
      <x:c r="R515" s="11" t="str">
        <x:v>לא</x:v>
      </x:c>
    </x:row>
    <x:row r="516">
      <x:c r="A516" s="14" t="n">
        <x:v>45809</x:v>
      </x:c>
      <x:c r="B516" s="11" t="str">
        <x:v>2025-06</x:v>
      </x:c>
      <x:c r="C516" s="11" t="str">
        <x:v>יוני 25</x:v>
      </x:c>
      <x:c r="D516" s="15" t="n">
        <x:v>37</x:v>
      </x:c>
      <x:c r="E516" s="11" t="str">
        <x:v>19</x:v>
      </x:c>
      <x:c r="F516" s="11" t="str">
        <x:v>אליאקספרס</x:v>
      </x:c>
      <x:c r="G516" s="17" t="n">
        <x:v>129</x:v>
      </x:c>
      <x:c r="H516" s="18" t="str">
        <x:v>קניות לבית</x:v>
      </x:c>
      <x:c r="I516" s="19" t="str">
        <x:f>IFERROR(INDEX('מיפוי ומקורות'!$C$7:$C$33,MATCH(H516,'מיפוי ומקורות'!$B$7:$B$33,0)),"לא מסווג")</x:f>
        <x:v>קניות לבית</x:v>
      </x:c>
      <x:c r="J516" s="19" t="str">
        <x:f>IFERROR(INDEX('מיפוי ומקורות'!$D$7:$D$33,MATCH(H516,'מיפוי ומקורות'!$B$7:$B$33,0)),"שוטף")</x:f>
        <x:v>שוטף</x:v>
      </x:c>
      <x:c r="K516" s="19" t="str">
        <x:f>IF(OR(H516="ריביות",AND(H516="דירה כצנלסון",G516&lt;0,ISNUMBER(SEARCH("הכנסה",F516)))),"הכנסה שסווגה מחדש",J516)</x:f>
        <x:v>שוטף</x:v>
      </x:c>
      <x:c r="L516" s="19" t="str">
        <x:v>מאושר</x:v>
      </x:c>
      <x:c r="M516" s="20" t="n">
        <x:f>IF(L516="מאושר",IF(K516="הכנסה שסווגה מחדש",0,G516),0)</x:f>
        <x:v>129</x:v>
      </x:c>
      <x:c r="N516" s="20" t="n">
        <x:f>IF(K516="שוטף",M516,0)</x:f>
        <x:v>129</x:v>
      </x:c>
      <x:c r="O516" s="20" t="n">
        <x:f>IF(K516="הכנסה שסווגה מחדש",-G516,0)</x:f>
        <x:v>0</x:v>
      </x:c>
      <x:c r="P516" s="11" t="str">
        <x:v>one zero זיו</x:v>
      </x:c>
      <x:c r="Q516" s="11" t="str"/>
      <x:c r="R516" s="11" t="str">
        <x:v>לא</x:v>
      </x:c>
    </x:row>
    <x:row r="517">
      <x:c r="A517" s="14" t="n">
        <x:v>45809</x:v>
      </x:c>
      <x:c r="B517" s="11" t="str">
        <x:v>2025-06</x:v>
      </x:c>
      <x:c r="C517" s="11" t="str">
        <x:v>יוני 25</x:v>
      </x:c>
      <x:c r="D517" s="15" t="n">
        <x:v>38</x:v>
      </x:c>
      <x:c r="E517" s="11" t="str">
        <x:v>22</x:v>
      </x:c>
      <x:c r="F517" s="11" t="str">
        <x:v>מקולת</x:v>
      </x:c>
      <x:c r="G517" s="17" t="n">
        <x:v>35</x:v>
      </x:c>
      <x:c r="H517" s="18" t="str">
        <x:v>מזון לבית</x:v>
      </x:c>
      <x:c r="I517" s="19" t="str">
        <x:f>IFERROR(INDEX('מיפוי ומקורות'!$C$7:$C$33,MATCH(H517,'מיפוי ומקורות'!$B$7:$B$33,0)),"לא מסווג")</x:f>
        <x:v>מזון לבית</x:v>
      </x:c>
      <x:c r="J517" s="19" t="str">
        <x:f>IFERROR(INDEX('מיפוי ומקורות'!$D$7:$D$33,MATCH(H517,'מיפוי ומקורות'!$B$7:$B$33,0)),"שוטף")</x:f>
        <x:v>שוטף</x:v>
      </x:c>
      <x:c r="K517" s="19" t="str">
        <x:f>IF(OR(H517="ריביות",AND(H517="דירה כצנלסון",G517&lt;0,ISNUMBER(SEARCH("הכנסה",F517)))),"הכנסה שסווגה מחדש",J517)</x:f>
        <x:v>שוטף</x:v>
      </x:c>
      <x:c r="L517" s="19" t="str">
        <x:v>מאושר</x:v>
      </x:c>
      <x:c r="M517" s="20" t="n">
        <x:f>IF(L517="מאושר",IF(K517="הכנסה שסווגה מחדש",0,G517),0)</x:f>
        <x:v>35</x:v>
      </x:c>
      <x:c r="N517" s="20" t="n">
        <x:f>IF(K517="שוטף",M517,0)</x:f>
        <x:v>35</x:v>
      </x:c>
      <x:c r="O517" s="20" t="n">
        <x:f>IF(K517="הכנסה שסווגה מחדש",-G517,0)</x:f>
        <x:v>0</x:v>
      </x:c>
      <x:c r="P517" s="11" t="str">
        <x:v>one zero זיו</x:v>
      </x:c>
      <x:c r="Q517" s="11" t="str"/>
      <x:c r="R517" s="11" t="str">
        <x:v>לא</x:v>
      </x:c>
    </x:row>
    <x:row r="518">
      <x:c r="A518" s="14" t="n">
        <x:v>45809</x:v>
      </x:c>
      <x:c r="B518" s="11" t="str">
        <x:v>2025-06</x:v>
      </x:c>
      <x:c r="C518" s="11" t="str">
        <x:v>יוני 25</x:v>
      </x:c>
      <x:c r="D518" s="15" t="n">
        <x:v>39</x:v>
      </x:c>
      <x:c r="E518" s="11" t="str">
        <x:v>27</x:v>
      </x:c>
      <x:c r="F518" s="11" t="str">
        <x:v>יפן</x:v>
      </x:c>
      <x:c r="G518" s="17" t="n">
        <x:v>922</x:v>
      </x:c>
      <x:c r="H518" s="18" t="str">
        <x:v>חול</x:v>
      </x:c>
      <x:c r="I518" s="19" t="str">
        <x:f>IFERROR(INDEX('מיפוי ומקורות'!$C$7:$C$33,MATCH(H518,'מיפוי ומקורות'!$B$7:$B$33,0)),"לא מסווג")</x:f>
        <x:v>נסיעות וחופשות</x:v>
      </x:c>
      <x:c r="J518" s="19" t="str">
        <x:f>IFERROR(INDEX('מיפוי ומקורות'!$D$7:$D$33,MATCH(H518,'מיפוי ומקורות'!$B$7:$B$33,0)),"שוטף")</x:f>
        <x:v>חריג</x:v>
      </x:c>
      <x:c r="K518" s="19" t="str">
        <x:f>IF(OR(H518="ריביות",AND(H518="דירה כצנלסון",G518&lt;0,ISNUMBER(SEARCH("הכנסה",F518)))),"הכנסה שסווגה מחדש",J518)</x:f>
        <x:v>חריג</x:v>
      </x:c>
      <x:c r="L518" s="19" t="str">
        <x:v>מאושר</x:v>
      </x:c>
      <x:c r="M518" s="20" t="n">
        <x:f>IF(L518="מאושר",IF(K518="הכנסה שסווגה מחדש",0,G518),0)</x:f>
        <x:v>922</x:v>
      </x:c>
      <x:c r="N518" s="20" t="n">
        <x:f>IF(K518="שוטף",M518,0)</x:f>
        <x:v>0</x:v>
      </x:c>
      <x:c r="O518" s="20" t="n">
        <x:f>IF(K518="הכנסה שסווגה מחדש",-G518,0)</x:f>
        <x:v>0</x:v>
      </x:c>
      <x:c r="P518" s="11" t="str">
        <x:v>one zero זיו</x:v>
      </x:c>
      <x:c r="Q518" s="11" t="str"/>
      <x:c r="R518" s="11" t="str">
        <x:v>לא</x:v>
      </x:c>
    </x:row>
    <x:row r="519">
      <x:c r="A519" s="14" t="n">
        <x:v>45809</x:v>
      </x:c>
      <x:c r="B519" s="11" t="str">
        <x:v>2025-06</x:v>
      </x:c>
      <x:c r="C519" s="11" t="str">
        <x:v>יוני 25</x:v>
      </x:c>
      <x:c r="D519" s="15" t="n">
        <x:v>40</x:v>
      </x:c>
      <x:c r="E519" s="11" t="str">
        <x:v>30</x:v>
      </x:c>
      <x:c r="F519" s="11" t="str">
        <x:v>פסטה</x:v>
      </x:c>
      <x:c r="G519" s="17" t="n">
        <x:v>39</x:v>
      </x:c>
      <x:c r="H519" s="18" t="str">
        <x:v>אוכל בחוץ</x:v>
      </x:c>
      <x:c r="I519" s="19" t="str">
        <x:f>IFERROR(INDEX('מיפוי ומקורות'!$C$7:$C$33,MATCH(H519,'מיפוי ומקורות'!$B$7:$B$33,0)),"לא מסווג")</x:f>
        <x:v>אוכל בחוץ</x:v>
      </x:c>
      <x:c r="J519" s="19" t="str">
        <x:f>IFERROR(INDEX('מיפוי ומקורות'!$D$7:$D$33,MATCH(H519,'מיפוי ומקורות'!$B$7:$B$33,0)),"שוטף")</x:f>
        <x:v>שוטף</x:v>
      </x:c>
      <x:c r="K519" s="19" t="str">
        <x:f>IF(OR(H519="ריביות",AND(H519="דירה כצנלסון",G519&lt;0,ISNUMBER(SEARCH("הכנסה",F519)))),"הכנסה שסווגה מחדש",J519)</x:f>
        <x:v>שוטף</x:v>
      </x:c>
      <x:c r="L519" s="19" t="str">
        <x:v>מאושר</x:v>
      </x:c>
      <x:c r="M519" s="20" t="n">
        <x:f>IF(L519="מאושר",IF(K519="הכנסה שסווגה מחדש",0,G519),0)</x:f>
        <x:v>39</x:v>
      </x:c>
      <x:c r="N519" s="20" t="n">
        <x:f>IF(K519="שוטף",M519,0)</x:f>
        <x:v>39</x:v>
      </x:c>
      <x:c r="O519" s="20" t="n">
        <x:f>IF(K519="הכנסה שסווגה מחדש",-G519,0)</x:f>
        <x:v>0</x:v>
      </x:c>
      <x:c r="P519" s="11" t="str">
        <x:v>one zero זיו</x:v>
      </x:c>
      <x:c r="Q519" s="11" t="str"/>
      <x:c r="R519" s="11" t="str">
        <x:v>לא</x:v>
      </x:c>
    </x:row>
    <x:row r="520">
      <x:c r="A520" s="14" t="n">
        <x:v>45809</x:v>
      </x:c>
      <x:c r="B520" s="11" t="str">
        <x:v>2025-06</x:v>
      </x:c>
      <x:c r="C520" s="11" t="str">
        <x:v>יוני 25</x:v>
      </x:c>
      <x:c r="D520" s="15" t="n">
        <x:v>41</x:v>
      </x:c>
      <x:c r="E520" s="11" t="str"/>
      <x:c r="F520" s="11" t="str">
        <x:v>לייזר</x:v>
      </x:c>
      <x:c r="G520" s="17" t="n">
        <x:v>174</x:v>
      </x:c>
      <x:c r="H520" s="18" t="str">
        <x:v>קוסמטיקה</x:v>
      </x:c>
      <x:c r="I520" s="19" t="str">
        <x:f>IFERROR(INDEX('מיפוי ומקורות'!$C$7:$C$33,MATCH(H520,'מיפוי ומקורות'!$B$7:$B$33,0)),"לא מסווג")</x:f>
        <x:v>קוסמטיקה</x:v>
      </x:c>
      <x:c r="J520" s="19" t="str">
        <x:f>IFERROR(INDEX('מיפוי ומקורות'!$D$7:$D$33,MATCH(H520,'מיפוי ומקורות'!$B$7:$B$33,0)),"שוטף")</x:f>
        <x:v>שוטף</x:v>
      </x:c>
      <x:c r="K520" s="19" t="str">
        <x:f>IF(OR(H520="ריביות",AND(H520="דירה כצנלסון",G520&lt;0,ISNUMBER(SEARCH("הכנסה",F520)))),"הכנסה שסווגה מחדש",J520)</x:f>
        <x:v>שוטף</x:v>
      </x:c>
      <x:c r="L520" s="19" t="str">
        <x:v>מאושר</x:v>
      </x:c>
      <x:c r="M520" s="20" t="n">
        <x:f>IF(L520="מאושר",IF(K520="הכנסה שסווגה מחדש",0,G520),0)</x:f>
        <x:v>174</x:v>
      </x:c>
      <x:c r="N520" s="20" t="n">
        <x:f>IF(K520="שוטף",M520,0)</x:f>
        <x:v>174</x:v>
      </x:c>
      <x:c r="O520" s="20" t="n">
        <x:f>IF(K520="הכנסה שסווגה מחדש",-G520,0)</x:f>
        <x:v>0</x:v>
      </x:c>
      <x:c r="P520" s="11" t="str">
        <x:v>אמקס עינור</x:v>
      </x:c>
      <x:c r="Q520" s="11" t="str"/>
      <x:c r="R520" s="11" t="str">
        <x:v>לא</x:v>
      </x:c>
    </x:row>
    <x:row r="521">
      <x:c r="A521" s="14" t="n">
        <x:v>45809</x:v>
      </x:c>
      <x:c r="B521" s="11" t="str">
        <x:v>2025-06</x:v>
      </x:c>
      <x:c r="C521" s="11" t="str">
        <x:v>יוני 25</x:v>
      </x:c>
      <x:c r="D521" s="15" t="n">
        <x:v>42</x:v>
      </x:c>
      <x:c r="E521" s="11" t="str">
        <x:v>3</x:v>
      </x:c>
      <x:c r="F521" s="11" t="str">
        <x:v>מסעדה</x:v>
      </x:c>
      <x:c r="G521" s="17" t="n">
        <x:v>40</x:v>
      </x:c>
      <x:c r="H521" s="18" t="str">
        <x:v>אוכל בחוץ</x:v>
      </x:c>
      <x:c r="I521" s="19" t="str">
        <x:f>IFERROR(INDEX('מיפוי ומקורות'!$C$7:$C$33,MATCH(H521,'מיפוי ומקורות'!$B$7:$B$33,0)),"לא מסווג")</x:f>
        <x:v>אוכל בחוץ</x:v>
      </x:c>
      <x:c r="J521" s="19" t="str">
        <x:f>IFERROR(INDEX('מיפוי ומקורות'!$D$7:$D$33,MATCH(H521,'מיפוי ומקורות'!$B$7:$B$33,0)),"שוטף")</x:f>
        <x:v>שוטף</x:v>
      </x:c>
      <x:c r="K521" s="19" t="str">
        <x:f>IF(OR(H521="ריביות",AND(H521="דירה כצנלסון",G521&lt;0,ISNUMBER(SEARCH("הכנסה",F521)))),"הכנסה שסווגה מחדש",J521)</x:f>
        <x:v>שוטף</x:v>
      </x:c>
      <x:c r="L521" s="19" t="str">
        <x:v>מאושר</x:v>
      </x:c>
      <x:c r="M521" s="20" t="n">
        <x:f>IF(L521="מאושר",IF(K521="הכנסה שסווגה מחדש",0,G521),0)</x:f>
        <x:v>40</x:v>
      </x:c>
      <x:c r="N521" s="20" t="n">
        <x:f>IF(K521="שוטף",M521,0)</x:f>
        <x:v>40</x:v>
      </x:c>
      <x:c r="O521" s="20" t="n">
        <x:f>IF(K521="הכנסה שסווגה מחדש",-G521,0)</x:f>
        <x:v>0</x:v>
      </x:c>
      <x:c r="P521" s="11" t="str">
        <x:v>אמקס עינור</x:v>
      </x:c>
      <x:c r="Q521" s="11" t="str"/>
      <x:c r="R521" s="11" t="str">
        <x:v>לא</x:v>
      </x:c>
    </x:row>
    <x:row r="522">
      <x:c r="A522" s="14" t="n">
        <x:v>45809</x:v>
      </x:c>
      <x:c r="B522" s="11" t="str">
        <x:v>2025-06</x:v>
      </x:c>
      <x:c r="C522" s="11" t="str">
        <x:v>יוני 25</x:v>
      </x:c>
      <x:c r="D522" s="15" t="n">
        <x:v>43</x:v>
      </x:c>
      <x:c r="E522" s="11" t="str">
        <x:v>3</x:v>
      </x:c>
      <x:c r="F522" s="11" t="str">
        <x:v>ירקות</x:v>
      </x:c>
      <x:c r="G522" s="17" t="n">
        <x:v>15</x:v>
      </x:c>
      <x:c r="H522" s="18" t="str">
        <x:v>מזון לבית</x:v>
      </x:c>
      <x:c r="I522" s="19" t="str">
        <x:f>IFERROR(INDEX('מיפוי ומקורות'!$C$7:$C$33,MATCH(H522,'מיפוי ומקורות'!$B$7:$B$33,0)),"לא מסווג")</x:f>
        <x:v>מזון לבית</x:v>
      </x:c>
      <x:c r="J522" s="19" t="str">
        <x:f>IFERROR(INDEX('מיפוי ומקורות'!$D$7:$D$33,MATCH(H522,'מיפוי ומקורות'!$B$7:$B$33,0)),"שוטף")</x:f>
        <x:v>שוטף</x:v>
      </x:c>
      <x:c r="K522" s="19" t="str">
        <x:f>IF(OR(H522="ריביות",AND(H522="דירה כצנלסון",G522&lt;0,ISNUMBER(SEARCH("הכנסה",F522)))),"הכנסה שסווגה מחדש",J522)</x:f>
        <x:v>שוטף</x:v>
      </x:c>
      <x:c r="L522" s="19" t="str">
        <x:v>מאושר</x:v>
      </x:c>
      <x:c r="M522" s="20" t="n">
        <x:f>IF(L522="מאושר",IF(K522="הכנסה שסווגה מחדש",0,G522),0)</x:f>
        <x:v>15</x:v>
      </x:c>
      <x:c r="N522" s="20" t="n">
        <x:f>IF(K522="שוטף",M522,0)</x:f>
        <x:v>15</x:v>
      </x:c>
      <x:c r="O522" s="20" t="n">
        <x:f>IF(K522="הכנסה שסווגה מחדש",-G522,0)</x:f>
        <x:v>0</x:v>
      </x:c>
      <x:c r="P522" s="11" t="str">
        <x:v>אמקס עינור</x:v>
      </x:c>
      <x:c r="Q522" s="11" t="str"/>
      <x:c r="R522" s="11" t="str">
        <x:v>לא</x:v>
      </x:c>
    </x:row>
    <x:row r="523">
      <x:c r="A523" s="14" t="n">
        <x:v>45809</x:v>
      </x:c>
      <x:c r="B523" s="11" t="str">
        <x:v>2025-06</x:v>
      </x:c>
      <x:c r="C523" s="11" t="str">
        <x:v>יוני 25</x:v>
      </x:c>
      <x:c r="D523" s="15" t="n">
        <x:v>44</x:v>
      </x:c>
      <x:c r="E523" s="11" t="str">
        <x:v>3</x:v>
      </x:c>
      <x:c r="F523" s="11" t="str">
        <x:v>סופר</x:v>
      </x:c>
      <x:c r="G523" s="17" t="n">
        <x:v>56</x:v>
      </x:c>
      <x:c r="H523" s="18" t="str">
        <x:v>מזון לבית</x:v>
      </x:c>
      <x:c r="I523" s="19" t="str">
        <x:f>IFERROR(INDEX('מיפוי ומקורות'!$C$7:$C$33,MATCH(H523,'מיפוי ומקורות'!$B$7:$B$33,0)),"לא מסווג")</x:f>
        <x:v>מזון לבית</x:v>
      </x:c>
      <x:c r="J523" s="19" t="str">
        <x:f>IFERROR(INDEX('מיפוי ומקורות'!$D$7:$D$33,MATCH(H523,'מיפוי ומקורות'!$B$7:$B$33,0)),"שוטף")</x:f>
        <x:v>שוטף</x:v>
      </x:c>
      <x:c r="K523" s="19" t="str">
        <x:f>IF(OR(H523="ריביות",AND(H523="דירה כצנלסון",G523&lt;0,ISNUMBER(SEARCH("הכנסה",F523)))),"הכנסה שסווגה מחדש",J523)</x:f>
        <x:v>שוטף</x:v>
      </x:c>
      <x:c r="L523" s="19" t="str">
        <x:v>מאושר</x:v>
      </x:c>
      <x:c r="M523" s="20" t="n">
        <x:f>IF(L523="מאושר",IF(K523="הכנסה שסווגה מחדש",0,G523),0)</x:f>
        <x:v>56</x:v>
      </x:c>
      <x:c r="N523" s="20" t="n">
        <x:f>IF(K523="שוטף",M523,0)</x:f>
        <x:v>56</x:v>
      </x:c>
      <x:c r="O523" s="20" t="n">
        <x:f>IF(K523="הכנסה שסווגה מחדש",-G523,0)</x:f>
        <x:v>0</x:v>
      </x:c>
      <x:c r="P523" s="11" t="str">
        <x:v>אמקס עינור</x:v>
      </x:c>
      <x:c r="Q523" s="11" t="str"/>
      <x:c r="R523" s="11" t="str">
        <x:v>לא</x:v>
      </x:c>
    </x:row>
    <x:row r="524">
      <x:c r="A524" s="14" t="n">
        <x:v>45809</x:v>
      </x:c>
      <x:c r="B524" s="11" t="str">
        <x:v>2025-06</x:v>
      </x:c>
      <x:c r="C524" s="11" t="str">
        <x:v>יוני 25</x:v>
      </x:c>
      <x:c r="D524" s="15" t="n">
        <x:v>45</x:v>
      </x:c>
      <x:c r="E524" s="11" t="str">
        <x:v>4</x:v>
      </x:c>
      <x:c r="F524" s="11" t="str">
        <x:v>מכבי</x:v>
      </x:c>
      <x:c r="G524" s="17" t="n">
        <x:v>96</x:v>
      </x:c>
      <x:c r="H524" s="18" t="str">
        <x:v>בריאות</x:v>
      </x:c>
      <x:c r="I524" s="19" t="str">
        <x:f>IFERROR(INDEX('מיפוי ומקורות'!$C$7:$C$33,MATCH(H524,'מיפוי ומקורות'!$B$7:$B$33,0)),"לא מסווג")</x:f>
        <x:v>בריאות וטיפולים</x:v>
      </x:c>
      <x:c r="J524" s="19" t="str">
        <x:f>IFERROR(INDEX('מיפוי ומקורות'!$D$7:$D$33,MATCH(H524,'מיפוי ומקורות'!$B$7:$B$33,0)),"שוטף")</x:f>
        <x:v>שוטף</x:v>
      </x:c>
      <x:c r="K524" s="19" t="str">
        <x:f>IF(OR(H524="ריביות",AND(H524="דירה כצנלסון",G524&lt;0,ISNUMBER(SEARCH("הכנסה",F524)))),"הכנסה שסווגה מחדש",J524)</x:f>
        <x:v>שוטף</x:v>
      </x:c>
      <x:c r="L524" s="19" t="str">
        <x:v>מאושר</x:v>
      </x:c>
      <x:c r="M524" s="20" t="n">
        <x:f>IF(L524="מאושר",IF(K524="הכנסה שסווגה מחדש",0,G524),0)</x:f>
        <x:v>96</x:v>
      </x:c>
      <x:c r="N524" s="20" t="n">
        <x:f>IF(K524="שוטף",M524,0)</x:f>
        <x:v>96</x:v>
      </x:c>
      <x:c r="O524" s="20" t="n">
        <x:f>IF(K524="הכנסה שסווגה מחדש",-G524,0)</x:f>
        <x:v>0</x:v>
      </x:c>
      <x:c r="P524" s="11" t="str">
        <x:v>אמקס עינור</x:v>
      </x:c>
      <x:c r="Q524" s="11" t="str"/>
      <x:c r="R524" s="11" t="str">
        <x:v>לא</x:v>
      </x:c>
    </x:row>
    <x:row r="525">
      <x:c r="A525" s="14" t="n">
        <x:v>45809</x:v>
      </x:c>
      <x:c r="B525" s="11" t="str">
        <x:v>2025-06</x:v>
      </x:c>
      <x:c r="C525" s="11" t="str">
        <x:v>יוני 25</x:v>
      </x:c>
      <x:c r="D525" s="15" t="n">
        <x:v>46</x:v>
      </x:c>
      <x:c r="E525" s="11" t="str">
        <x:v>4</x:v>
      </x:c>
      <x:c r="F525" s="11" t="str">
        <x:v>קפה</x:v>
      </x:c>
      <x:c r="G525" s="17" t="n">
        <x:v>19</x:v>
      </x:c>
      <x:c r="H525" s="18" t="str">
        <x:v>אוכל בחוץ</x:v>
      </x:c>
      <x:c r="I525" s="19" t="str">
        <x:f>IFERROR(INDEX('מיפוי ומקורות'!$C$7:$C$33,MATCH(H525,'מיפוי ומקורות'!$B$7:$B$33,0)),"לא מסווג")</x:f>
        <x:v>אוכל בחוץ</x:v>
      </x:c>
      <x:c r="J525" s="19" t="str">
        <x:f>IFERROR(INDEX('מיפוי ומקורות'!$D$7:$D$33,MATCH(H525,'מיפוי ומקורות'!$B$7:$B$33,0)),"שוטף")</x:f>
        <x:v>שוטף</x:v>
      </x:c>
      <x:c r="K525" s="19" t="str">
        <x:f>IF(OR(H525="ריביות",AND(H525="דירה כצנלסון",G525&lt;0,ISNUMBER(SEARCH("הכנסה",F525)))),"הכנסה שסווגה מחדש",J525)</x:f>
        <x:v>שוטף</x:v>
      </x:c>
      <x:c r="L525" s="19" t="str">
        <x:v>מאושר</x:v>
      </x:c>
      <x:c r="M525" s="20" t="n">
        <x:f>IF(L525="מאושר",IF(K525="הכנסה שסווגה מחדש",0,G525),0)</x:f>
        <x:v>19</x:v>
      </x:c>
      <x:c r="N525" s="20" t="n">
        <x:f>IF(K525="שוטף",M525,0)</x:f>
        <x:v>19</x:v>
      </x:c>
      <x:c r="O525" s="20" t="n">
        <x:f>IF(K525="הכנסה שסווגה מחדש",-G525,0)</x:f>
        <x:v>0</x:v>
      </x:c>
      <x:c r="P525" s="11" t="str">
        <x:v>אמקס עינור</x:v>
      </x:c>
      <x:c r="Q525" s="11" t="str"/>
      <x:c r="R525" s="11" t="str">
        <x:v>לא</x:v>
      </x:c>
    </x:row>
    <x:row r="526">
      <x:c r="A526" s="14" t="n">
        <x:v>45809</x:v>
      </x:c>
      <x:c r="B526" s="11" t="str">
        <x:v>2025-06</x:v>
      </x:c>
      <x:c r="C526" s="11" t="str">
        <x:v>יוני 25</x:v>
      </x:c>
      <x:c r="D526" s="15" t="n">
        <x:v>47</x:v>
      </x:c>
      <x:c r="E526" s="11" t="str">
        <x:v>5</x:v>
      </x:c>
      <x:c r="F526" s="11" t="str">
        <x:v>קרפור</x:v>
      </x:c>
      <x:c r="G526" s="17" t="n">
        <x:v>323</x:v>
      </x:c>
      <x:c r="H526" s="18" t="str">
        <x:v>מזון לבית</x:v>
      </x:c>
      <x:c r="I526" s="19" t="str">
        <x:f>IFERROR(INDEX('מיפוי ומקורות'!$C$7:$C$33,MATCH(H526,'מיפוי ומקורות'!$B$7:$B$33,0)),"לא מסווג")</x:f>
        <x:v>מזון לבית</x:v>
      </x:c>
      <x:c r="J526" s="19" t="str">
        <x:f>IFERROR(INDEX('מיפוי ומקורות'!$D$7:$D$33,MATCH(H526,'מיפוי ומקורות'!$B$7:$B$33,0)),"שוטף")</x:f>
        <x:v>שוטף</x:v>
      </x:c>
      <x:c r="K526" s="19" t="str">
        <x:f>IF(OR(H526="ריביות",AND(H526="דירה כצנלסון",G526&lt;0,ISNUMBER(SEARCH("הכנסה",F526)))),"הכנסה שסווגה מחדש",J526)</x:f>
        <x:v>שוטף</x:v>
      </x:c>
      <x:c r="L526" s="19" t="str">
        <x:v>מאושר</x:v>
      </x:c>
      <x:c r="M526" s="20" t="n">
        <x:f>IF(L526="מאושר",IF(K526="הכנסה שסווגה מחדש",0,G526),0)</x:f>
        <x:v>323</x:v>
      </x:c>
      <x:c r="N526" s="20" t="n">
        <x:f>IF(K526="שוטף",M526,0)</x:f>
        <x:v>323</x:v>
      </x:c>
      <x:c r="O526" s="20" t="n">
        <x:f>IF(K526="הכנסה שסווגה מחדש",-G526,0)</x:f>
        <x:v>0</x:v>
      </x:c>
      <x:c r="P526" s="11" t="str">
        <x:v>אמקס עינור</x:v>
      </x:c>
      <x:c r="Q526" s="11" t="str"/>
      <x:c r="R526" s="11" t="str">
        <x:v>לא</x:v>
      </x:c>
    </x:row>
    <x:row r="527">
      <x:c r="A527" s="14" t="n">
        <x:v>45809</x:v>
      </x:c>
      <x:c r="B527" s="11" t="str">
        <x:v>2025-06</x:v>
      </x:c>
      <x:c r="C527" s="11" t="str">
        <x:v>יוני 25</x:v>
      </x:c>
      <x:c r="D527" s="15" t="n">
        <x:v>48</x:v>
      </x:c>
      <x:c r="E527" s="11" t="str">
        <x:v>6</x:v>
      </x:c>
      <x:c r="F527" s="11" t="str">
        <x:v>פרחים</x:v>
      </x:c>
      <x:c r="G527" s="17" t="n">
        <x:v>35</x:v>
      </x:c>
      <x:c r="H527" s="18" t="str">
        <x:v>קניות לבית</x:v>
      </x:c>
      <x:c r="I527" s="19" t="str">
        <x:f>IFERROR(INDEX('מיפוי ומקורות'!$C$7:$C$33,MATCH(H527,'מיפוי ומקורות'!$B$7:$B$33,0)),"לא מסווג")</x:f>
        <x:v>קניות לבית</x:v>
      </x:c>
      <x:c r="J527" s="19" t="str">
        <x:f>IFERROR(INDEX('מיפוי ומקורות'!$D$7:$D$33,MATCH(H527,'מיפוי ומקורות'!$B$7:$B$33,0)),"שוטף")</x:f>
        <x:v>שוטף</x:v>
      </x:c>
      <x:c r="K527" s="19" t="str">
        <x:f>IF(OR(H527="ריביות",AND(H527="דירה כצנלסון",G527&lt;0,ISNUMBER(SEARCH("הכנסה",F527)))),"הכנסה שסווגה מחדש",J527)</x:f>
        <x:v>שוטף</x:v>
      </x:c>
      <x:c r="L527" s="19" t="str">
        <x:v>מאושר</x:v>
      </x:c>
      <x:c r="M527" s="20" t="n">
        <x:f>IF(L527="מאושר",IF(K527="הכנסה שסווגה מחדש",0,G527),0)</x:f>
        <x:v>35</x:v>
      </x:c>
      <x:c r="N527" s="20" t="n">
        <x:f>IF(K527="שוטף",M527,0)</x:f>
        <x:v>35</x:v>
      </x:c>
      <x:c r="O527" s="20" t="n">
        <x:f>IF(K527="הכנסה שסווגה מחדש",-G527,0)</x:f>
        <x:v>0</x:v>
      </x:c>
      <x:c r="P527" s="11" t="str">
        <x:v>אמקס עינור</x:v>
      </x:c>
      <x:c r="Q527" s="11" t="str"/>
      <x:c r="R527" s="11" t="str">
        <x:v>לא</x:v>
      </x:c>
    </x:row>
    <x:row r="528">
      <x:c r="A528" s="14" t="n">
        <x:v>45809</x:v>
      </x:c>
      <x:c r="B528" s="11" t="str">
        <x:v>2025-06</x:v>
      </x:c>
      <x:c r="C528" s="11" t="str">
        <x:v>יוני 25</x:v>
      </x:c>
      <x:c r="D528" s="15" t="n">
        <x:v>49</x:v>
      </x:c>
      <x:c r="E528" s="11" t="str">
        <x:v>8</x:v>
      </x:c>
      <x:c r="F528" s="11" t="str">
        <x:v>מקס</x:v>
      </x:c>
      <x:c r="G528" s="17" t="n">
        <x:v>21</x:v>
      </x:c>
      <x:c r="H528" s="18" t="str">
        <x:v>קניות לבית</x:v>
      </x:c>
      <x:c r="I528" s="19" t="str">
        <x:f>IFERROR(INDEX('מיפוי ומקורות'!$C$7:$C$33,MATCH(H528,'מיפוי ומקורות'!$B$7:$B$33,0)),"לא מסווג")</x:f>
        <x:v>קניות לבית</x:v>
      </x:c>
      <x:c r="J528" s="19" t="str">
        <x:f>IFERROR(INDEX('מיפוי ומקורות'!$D$7:$D$33,MATCH(H528,'מיפוי ומקורות'!$B$7:$B$33,0)),"שוטף")</x:f>
        <x:v>שוטף</x:v>
      </x:c>
      <x:c r="K528" s="19" t="str">
        <x:f>IF(OR(H528="ריביות",AND(H528="דירה כצנלסון",G528&lt;0,ISNUMBER(SEARCH("הכנסה",F528)))),"הכנסה שסווגה מחדש",J528)</x:f>
        <x:v>שוטף</x:v>
      </x:c>
      <x:c r="L528" s="19" t="str">
        <x:v>מאושר</x:v>
      </x:c>
      <x:c r="M528" s="20" t="n">
        <x:f>IF(L528="מאושר",IF(K528="הכנסה שסווגה מחדש",0,G528),0)</x:f>
        <x:v>21</x:v>
      </x:c>
      <x:c r="N528" s="20" t="n">
        <x:f>IF(K528="שוטף",M528,0)</x:f>
        <x:v>21</x:v>
      </x:c>
      <x:c r="O528" s="20" t="n">
        <x:f>IF(K528="הכנסה שסווגה מחדש",-G528,0)</x:f>
        <x:v>0</x:v>
      </x:c>
      <x:c r="P528" s="11" t="str">
        <x:v>אמקס עינור</x:v>
      </x:c>
      <x:c r="Q528" s="11" t="str"/>
      <x:c r="R528" s="11" t="str">
        <x:v>לא</x:v>
      </x:c>
    </x:row>
    <x:row r="529">
      <x:c r="A529" s="14" t="n">
        <x:v>45809</x:v>
      </x:c>
      <x:c r="B529" s="11" t="str">
        <x:v>2025-06</x:v>
      </x:c>
      <x:c r="C529" s="11" t="str">
        <x:v>יוני 25</x:v>
      </x:c>
      <x:c r="D529" s="15" t="n">
        <x:v>50</x:v>
      </x:c>
      <x:c r="E529" s="11" t="str">
        <x:v>8</x:v>
      </x:c>
      <x:c r="F529" s="11" t="str">
        <x:v>סטנדאפ</x:v>
      </x:c>
      <x:c r="G529" s="17" t="n">
        <x:v>140</x:v>
      </x:c>
      <x:c r="H529" s="18" t="str">
        <x:v>פנאי</x:v>
      </x:c>
      <x:c r="I529" s="19" t="str">
        <x:f>IFERROR(INDEX('מיפוי ומקורות'!$C$7:$C$33,MATCH(H529,'מיפוי ומקורות'!$B$7:$B$33,0)),"לא מסווג")</x:f>
        <x:v>פנאי</x:v>
      </x:c>
      <x:c r="J529" s="19" t="str">
        <x:f>IFERROR(INDEX('מיפוי ומקורות'!$D$7:$D$33,MATCH(H529,'מיפוי ומקורות'!$B$7:$B$33,0)),"שוטף")</x:f>
        <x:v>שוטף</x:v>
      </x:c>
      <x:c r="K529" s="19" t="str">
        <x:f>IF(OR(H529="ריביות",AND(H529="דירה כצנלסון",G529&lt;0,ISNUMBER(SEARCH("הכנסה",F529)))),"הכנסה שסווגה מחדש",J529)</x:f>
        <x:v>שוטף</x:v>
      </x:c>
      <x:c r="L529" s="19" t="str">
        <x:v>מאושר</x:v>
      </x:c>
      <x:c r="M529" s="20" t="n">
        <x:f>IF(L529="מאושר",IF(K529="הכנסה שסווגה מחדש",0,G529),0)</x:f>
        <x:v>140</x:v>
      </x:c>
      <x:c r="N529" s="20" t="n">
        <x:f>IF(K529="שוטף",M529,0)</x:f>
        <x:v>140</x:v>
      </x:c>
      <x:c r="O529" s="20" t="n">
        <x:f>IF(K529="הכנסה שסווגה מחדש",-G529,0)</x:f>
        <x:v>0</x:v>
      </x:c>
      <x:c r="P529" s="11" t="str">
        <x:v>אמקס עינור</x:v>
      </x:c>
      <x:c r="Q529" s="11" t="str"/>
      <x:c r="R529" s="11" t="str">
        <x:v>לא</x:v>
      </x:c>
    </x:row>
    <x:row r="530">
      <x:c r="A530" s="14" t="n">
        <x:v>45809</x:v>
      </x:c>
      <x:c r="B530" s="11" t="str">
        <x:v>2025-06</x:v>
      </x:c>
      <x:c r="C530" s="11" t="str">
        <x:v>יוני 25</x:v>
      </x:c>
      <x:c r="D530" s="15" t="n">
        <x:v>51</x:v>
      </x:c>
      <x:c r="E530" s="11" t="str">
        <x:v>9</x:v>
      </x:c>
      <x:c r="F530" s="11" t="str">
        <x:v>מקס</x:v>
      </x:c>
      <x:c r="G530" s="17" t="n">
        <x:v>13</x:v>
      </x:c>
      <x:c r="H530" s="18" t="str">
        <x:v>תחביבים</x:v>
      </x:c>
      <x:c r="I530" s="19" t="str">
        <x:f>IFERROR(INDEX('מיפוי ומקורות'!$C$7:$C$33,MATCH(H530,'מיפוי ומקורות'!$B$7:$B$33,0)),"לא מסווג")</x:f>
        <x:v>תחביבים ומיג'י</x:v>
      </x:c>
      <x:c r="J530" s="19" t="str">
        <x:f>IFERROR(INDEX('מיפוי ומקורות'!$D$7:$D$33,MATCH(H530,'מיפוי ומקורות'!$B$7:$B$33,0)),"שוטף")</x:f>
        <x:v>שוטף</x:v>
      </x:c>
      <x:c r="K530" s="19" t="str">
        <x:f>IF(OR(H530="ריביות",AND(H530="דירה כצנלסון",G530&lt;0,ISNUMBER(SEARCH("הכנסה",F530)))),"הכנסה שסווגה מחדש",J530)</x:f>
        <x:v>שוטף</x:v>
      </x:c>
      <x:c r="L530" s="19" t="str">
        <x:v>מאושר</x:v>
      </x:c>
      <x:c r="M530" s="20" t="n">
        <x:f>IF(L530="מאושר",IF(K530="הכנסה שסווגה מחדש",0,G530),0)</x:f>
        <x:v>13</x:v>
      </x:c>
      <x:c r="N530" s="20" t="n">
        <x:f>IF(K530="שוטף",M530,0)</x:f>
        <x:v>13</x:v>
      </x:c>
      <x:c r="O530" s="20" t="n">
        <x:f>IF(K530="הכנסה שסווגה מחדש",-G530,0)</x:f>
        <x:v>0</x:v>
      </x:c>
      <x:c r="P530" s="11" t="str">
        <x:v>אמקס עינור</x:v>
      </x:c>
      <x:c r="Q530" s="11" t="str"/>
      <x:c r="R530" s="11" t="str">
        <x:v>לא</x:v>
      </x:c>
    </x:row>
    <x:row r="531">
      <x:c r="A531" s="14" t="n">
        <x:v>45809</x:v>
      </x:c>
      <x:c r="B531" s="11" t="str">
        <x:v>2025-06</x:v>
      </x:c>
      <x:c r="C531" s="11" t="str">
        <x:v>יוני 25</x:v>
      </x:c>
      <x:c r="D531" s="15" t="n">
        <x:v>52</x:v>
      </x:c>
      <x:c r="E531" s="11" t="str">
        <x:v>9</x:v>
      </x:c>
      <x:c r="F531" s="11" t="str">
        <x:v>ירקות</x:v>
      </x:c>
      <x:c r="G531" s="17" t="n">
        <x:v>18</x:v>
      </x:c>
      <x:c r="H531" s="18" t="str">
        <x:v>מזון לבית</x:v>
      </x:c>
      <x:c r="I531" s="19" t="str">
        <x:f>IFERROR(INDEX('מיפוי ומקורות'!$C$7:$C$33,MATCH(H531,'מיפוי ומקורות'!$B$7:$B$33,0)),"לא מסווג")</x:f>
        <x:v>מזון לבית</x:v>
      </x:c>
      <x:c r="J531" s="19" t="str">
        <x:f>IFERROR(INDEX('מיפוי ומקורות'!$D$7:$D$33,MATCH(H531,'מיפוי ומקורות'!$B$7:$B$33,0)),"שוטף")</x:f>
        <x:v>שוטף</x:v>
      </x:c>
      <x:c r="K531" s="19" t="str">
        <x:f>IF(OR(H531="ריביות",AND(H531="דירה כצנלסון",G531&lt;0,ISNUMBER(SEARCH("הכנסה",F531)))),"הכנסה שסווגה מחדש",J531)</x:f>
        <x:v>שוטף</x:v>
      </x:c>
      <x:c r="L531" s="19" t="str">
        <x:v>מאושר</x:v>
      </x:c>
      <x:c r="M531" s="20" t="n">
        <x:f>IF(L531="מאושר",IF(K531="הכנסה שסווגה מחדש",0,G531),0)</x:f>
        <x:v>18</x:v>
      </x:c>
      <x:c r="N531" s="20" t="n">
        <x:f>IF(K531="שוטף",M531,0)</x:f>
        <x:v>18</x:v>
      </x:c>
      <x:c r="O531" s="20" t="n">
        <x:f>IF(K531="הכנסה שסווגה מחדש",-G531,0)</x:f>
        <x:v>0</x:v>
      </x:c>
      <x:c r="P531" s="11" t="str">
        <x:v>אמקס עינור</x:v>
      </x:c>
      <x:c r="Q531" s="11" t="str"/>
      <x:c r="R531" s="11" t="str">
        <x:v>לא</x:v>
      </x:c>
    </x:row>
    <x:row r="532">
      <x:c r="A532" s="14" t="n">
        <x:v>45809</x:v>
      </x:c>
      <x:c r="B532" s="11" t="str">
        <x:v>2025-06</x:v>
      </x:c>
      <x:c r="C532" s="11" t="str">
        <x:v>יוני 25</x:v>
      </x:c>
      <x:c r="D532" s="15" t="n">
        <x:v>53</x:v>
      </x:c>
      <x:c r="E532" s="11" t="str">
        <x:v>9</x:v>
      </x:c>
      <x:c r="F532" s="11" t="str">
        <x:v>ויטרינה</x:v>
      </x:c>
      <x:c r="G532" s="17" t="n">
        <x:v>69</x:v>
      </x:c>
      <x:c r="H532" s="18" t="str">
        <x:v>אוכל בחוץ</x:v>
      </x:c>
      <x:c r="I532" s="19" t="str">
        <x:f>IFERROR(INDEX('מיפוי ומקורות'!$C$7:$C$33,MATCH(H532,'מיפוי ומקורות'!$B$7:$B$33,0)),"לא מסווג")</x:f>
        <x:v>אוכל בחוץ</x:v>
      </x:c>
      <x:c r="J532" s="19" t="str">
        <x:f>IFERROR(INDEX('מיפוי ומקורות'!$D$7:$D$33,MATCH(H532,'מיפוי ומקורות'!$B$7:$B$33,0)),"שוטף")</x:f>
        <x:v>שוטף</x:v>
      </x:c>
      <x:c r="K532" s="19" t="str">
        <x:f>IF(OR(H532="ריביות",AND(H532="דירה כצנלסון",G532&lt;0,ISNUMBER(SEARCH("הכנסה",F532)))),"הכנסה שסווגה מחדש",J532)</x:f>
        <x:v>שוטף</x:v>
      </x:c>
      <x:c r="L532" s="19" t="str">
        <x:v>מאושר</x:v>
      </x:c>
      <x:c r="M532" s="20" t="n">
        <x:f>IF(L532="מאושר",IF(K532="הכנסה שסווגה מחדש",0,G532),0)</x:f>
        <x:v>69</x:v>
      </x:c>
      <x:c r="N532" s="20" t="n">
        <x:f>IF(K532="שוטף",M532,0)</x:f>
        <x:v>69</x:v>
      </x:c>
      <x:c r="O532" s="20" t="n">
        <x:f>IF(K532="הכנסה שסווגה מחדש",-G532,0)</x:f>
        <x:v>0</x:v>
      </x:c>
      <x:c r="P532" s="11" t="str">
        <x:v>אמקס עינור</x:v>
      </x:c>
      <x:c r="Q532" s="11" t="str"/>
      <x:c r="R532" s="11" t="str">
        <x:v>לא</x:v>
      </x:c>
    </x:row>
    <x:row r="533">
      <x:c r="A533" s="14" t="n">
        <x:v>45809</x:v>
      </x:c>
      <x:c r="B533" s="11" t="str">
        <x:v>2025-06</x:v>
      </x:c>
      <x:c r="C533" s="11" t="str">
        <x:v>יוני 25</x:v>
      </x:c>
      <x:c r="D533" s="15" t="n">
        <x:v>54</x:v>
      </x:c>
      <x:c r="E533" s="11" t="str">
        <x:v>10</x:v>
      </x:c>
      <x:c r="F533" s="11" t="str">
        <x:v>לחם</x:v>
      </x:c>
      <x:c r="G533" s="17" t="n">
        <x:v>29</x:v>
      </x:c>
      <x:c r="H533" s="18" t="str">
        <x:v>מזון לבית</x:v>
      </x:c>
      <x:c r="I533" s="19" t="str">
        <x:f>IFERROR(INDEX('מיפוי ומקורות'!$C$7:$C$33,MATCH(H533,'מיפוי ומקורות'!$B$7:$B$33,0)),"לא מסווג")</x:f>
        <x:v>מזון לבית</x:v>
      </x:c>
      <x:c r="J533" s="19" t="str">
        <x:f>IFERROR(INDEX('מיפוי ומקורות'!$D$7:$D$33,MATCH(H533,'מיפוי ומקורות'!$B$7:$B$33,0)),"שוטף")</x:f>
        <x:v>שוטף</x:v>
      </x:c>
      <x:c r="K533" s="19" t="str">
        <x:f>IF(OR(H533="ריביות",AND(H533="דירה כצנלסון",G533&lt;0,ISNUMBER(SEARCH("הכנסה",F533)))),"הכנסה שסווגה מחדש",J533)</x:f>
        <x:v>שוטף</x:v>
      </x:c>
      <x:c r="L533" s="19" t="str">
        <x:v>מאושר</x:v>
      </x:c>
      <x:c r="M533" s="20" t="n">
        <x:f>IF(L533="מאושר",IF(K533="הכנסה שסווגה מחדש",0,G533),0)</x:f>
        <x:v>29</x:v>
      </x:c>
      <x:c r="N533" s="20" t="n">
        <x:f>IF(K533="שוטף",M533,0)</x:f>
        <x:v>29</x:v>
      </x:c>
      <x:c r="O533" s="20" t="n">
        <x:f>IF(K533="הכנסה שסווגה מחדש",-G533,0)</x:f>
        <x:v>0</x:v>
      </x:c>
      <x:c r="P533" s="11" t="str">
        <x:v>אמקס עינור</x:v>
      </x:c>
      <x:c r="Q533" s="11" t="str"/>
      <x:c r="R533" s="11" t="str">
        <x:v>לא</x:v>
      </x:c>
    </x:row>
    <x:row r="534">
      <x:c r="A534" s="14" t="n">
        <x:v>45809</x:v>
      </x:c>
      <x:c r="B534" s="11" t="str">
        <x:v>2025-06</x:v>
      </x:c>
      <x:c r="C534" s="11" t="str">
        <x:v>יוני 25</x:v>
      </x:c>
      <x:c r="D534" s="15" t="n">
        <x:v>55</x:v>
      </x:c>
      <x:c r="E534" s="11" t="str">
        <x:v>10</x:v>
      </x:c>
      <x:c r="F534" s="11" t="str">
        <x:v>מקס</x:v>
      </x:c>
      <x:c r="G534" s="17" t="n">
        <x:v>10</x:v>
      </x:c>
      <x:c r="H534" s="18" t="str">
        <x:v>תחביבים</x:v>
      </x:c>
      <x:c r="I534" s="19" t="str">
        <x:f>IFERROR(INDEX('מיפוי ומקורות'!$C$7:$C$33,MATCH(H534,'מיפוי ומקורות'!$B$7:$B$33,0)),"לא מסווג")</x:f>
        <x:v>תחביבים ומיג'י</x:v>
      </x:c>
      <x:c r="J534" s="19" t="str">
        <x:f>IFERROR(INDEX('מיפוי ומקורות'!$D$7:$D$33,MATCH(H534,'מיפוי ומקורות'!$B$7:$B$33,0)),"שוטף")</x:f>
        <x:v>שוטף</x:v>
      </x:c>
      <x:c r="K534" s="19" t="str">
        <x:f>IF(OR(H534="ריביות",AND(H534="דירה כצנלסון",G534&lt;0,ISNUMBER(SEARCH("הכנסה",F534)))),"הכנסה שסווגה מחדש",J534)</x:f>
        <x:v>שוטף</x:v>
      </x:c>
      <x:c r="L534" s="19" t="str">
        <x:v>מאושר</x:v>
      </x:c>
      <x:c r="M534" s="20" t="n">
        <x:f>IF(L534="מאושר",IF(K534="הכנסה שסווגה מחדש",0,G534),0)</x:f>
        <x:v>10</x:v>
      </x:c>
      <x:c r="N534" s="20" t="n">
        <x:f>IF(K534="שוטף",M534,0)</x:f>
        <x:v>10</x:v>
      </x:c>
      <x:c r="O534" s="20" t="n">
        <x:f>IF(K534="הכנסה שסווגה מחדש",-G534,0)</x:f>
        <x:v>0</x:v>
      </x:c>
      <x:c r="P534" s="11" t="str">
        <x:v>אמקס עינור</x:v>
      </x:c>
      <x:c r="Q534" s="11" t="str"/>
      <x:c r="R534" s="11" t="str">
        <x:v>לא</x:v>
      </x:c>
    </x:row>
    <x:row r="535">
      <x:c r="A535" s="14" t="n">
        <x:v>45809</x:v>
      </x:c>
      <x:c r="B535" s="11" t="str">
        <x:v>2025-06</x:v>
      </x:c>
      <x:c r="C535" s="11" t="str">
        <x:v>יוני 25</x:v>
      </x:c>
      <x:c r="D535" s="15" t="n">
        <x:v>56</x:v>
      </x:c>
      <x:c r="E535" s="11" t="str">
        <x:v>11</x:v>
      </x:c>
      <x:c r="F535" s="11" t="str">
        <x:v>דלק</x:v>
      </x:c>
      <x:c r="G535" s="17" t="n">
        <x:v>245</x:v>
      </x:c>
      <x:c r="H535" s="18" t="str">
        <x:v>תחבורה</x:v>
      </x:c>
      <x:c r="I535" s="19" t="str">
        <x:f>IFERROR(INDEX('מיפוי ומקורות'!$C$7:$C$33,MATCH(H535,'מיפוי ומקורות'!$B$7:$B$33,0)),"לא מסווג")</x:f>
        <x:v>תחבורה</x:v>
      </x:c>
      <x:c r="J535" s="19" t="str">
        <x:f>IFERROR(INDEX('מיפוי ומקורות'!$D$7:$D$33,MATCH(H535,'מיפוי ומקורות'!$B$7:$B$33,0)),"שוטף")</x:f>
        <x:v>שוטף</x:v>
      </x:c>
      <x:c r="K535" s="19" t="str">
        <x:f>IF(OR(H535="ריביות",AND(H535="דירה כצנלסון",G535&lt;0,ISNUMBER(SEARCH("הכנסה",F535)))),"הכנסה שסווגה מחדש",J535)</x:f>
        <x:v>שוטף</x:v>
      </x:c>
      <x:c r="L535" s="19" t="str">
        <x:v>מאושר</x:v>
      </x:c>
      <x:c r="M535" s="20" t="n">
        <x:f>IF(L535="מאושר",IF(K535="הכנסה שסווגה מחדש",0,G535),0)</x:f>
        <x:v>245</x:v>
      </x:c>
      <x:c r="N535" s="20" t="n">
        <x:f>IF(K535="שוטף",M535,0)</x:f>
        <x:v>245</x:v>
      </x:c>
      <x:c r="O535" s="20" t="n">
        <x:f>IF(K535="הכנסה שסווגה מחדש",-G535,0)</x:f>
        <x:v>0</x:v>
      </x:c>
      <x:c r="P535" s="11" t="str">
        <x:v>אמקס עינור</x:v>
      </x:c>
      <x:c r="Q535" s="11" t="str"/>
      <x:c r="R535" s="11" t="str">
        <x:v>לא</x:v>
      </x:c>
    </x:row>
    <x:row r="536">
      <x:c r="A536" s="14" t="n">
        <x:v>45809</x:v>
      </x:c>
      <x:c r="B536" s="11" t="str">
        <x:v>2025-06</x:v>
      </x:c>
      <x:c r="C536" s="11" t="str">
        <x:v>יוני 25</x:v>
      </x:c>
      <x:c r="D536" s="15" t="n">
        <x:v>57</x:v>
      </x:c>
      <x:c r="E536" s="11" t="str">
        <x:v>11</x:v>
      </x:c>
      <x:c r="F536" s="11" t="str">
        <x:v>קרביץ</x:v>
      </x:c>
      <x:c r="G536" s="17" t="n">
        <x:v>19</x:v>
      </x:c>
      <x:c r="H536" s="18" t="str">
        <x:v>תחביבים</x:v>
      </x:c>
      <x:c r="I536" s="19" t="str">
        <x:f>IFERROR(INDEX('מיפוי ומקורות'!$C$7:$C$33,MATCH(H536,'מיפוי ומקורות'!$B$7:$B$33,0)),"לא מסווג")</x:f>
        <x:v>תחביבים ומיג'י</x:v>
      </x:c>
      <x:c r="J536" s="19" t="str">
        <x:f>IFERROR(INDEX('מיפוי ומקורות'!$D$7:$D$33,MATCH(H536,'מיפוי ומקורות'!$B$7:$B$33,0)),"שוטף")</x:f>
        <x:v>שוטף</x:v>
      </x:c>
      <x:c r="K536" s="19" t="str">
        <x:f>IF(OR(H536="ריביות",AND(H536="דירה כצנלסון",G536&lt;0,ISNUMBER(SEARCH("הכנסה",F536)))),"הכנסה שסווגה מחדש",J536)</x:f>
        <x:v>שוטף</x:v>
      </x:c>
      <x:c r="L536" s="19" t="str">
        <x:v>מאושר</x:v>
      </x:c>
      <x:c r="M536" s="20" t="n">
        <x:f>IF(L536="מאושר",IF(K536="הכנסה שסווגה מחדש",0,G536),0)</x:f>
        <x:v>19</x:v>
      </x:c>
      <x:c r="N536" s="20" t="n">
        <x:f>IF(K536="שוטף",M536,0)</x:f>
        <x:v>19</x:v>
      </x:c>
      <x:c r="O536" s="20" t="n">
        <x:f>IF(K536="הכנסה שסווגה מחדש",-G536,0)</x:f>
        <x:v>0</x:v>
      </x:c>
      <x:c r="P536" s="11" t="str">
        <x:v>אמקס עינור</x:v>
      </x:c>
      <x:c r="Q536" s="11" t="str"/>
      <x:c r="R536" s="11" t="str">
        <x:v>לא</x:v>
      </x:c>
    </x:row>
    <x:row r="537">
      <x:c r="A537" s="14" t="n">
        <x:v>45809</x:v>
      </x:c>
      <x:c r="B537" s="11" t="str">
        <x:v>2025-06</x:v>
      </x:c>
      <x:c r="C537" s="11" t="str">
        <x:v>יוני 25</x:v>
      </x:c>
      <x:c r="D537" s="15" t="n">
        <x:v>58</x:v>
      </x:c>
      <x:c r="E537" s="11" t="str">
        <x:v>11</x:v>
      </x:c>
      <x:c r="F537" s="11" t="str">
        <x:v>בראנץ</x:v>
      </x:c>
      <x:c r="G537" s="17" t="n">
        <x:v>105</x:v>
      </x:c>
      <x:c r="H537" s="18" t="str">
        <x:v>אוכל בחוץ</x:v>
      </x:c>
      <x:c r="I537" s="19" t="str">
        <x:f>IFERROR(INDEX('מיפוי ומקורות'!$C$7:$C$33,MATCH(H537,'מיפוי ומקורות'!$B$7:$B$33,0)),"לא מסווג")</x:f>
        <x:v>אוכל בחוץ</x:v>
      </x:c>
      <x:c r="J537" s="19" t="str">
        <x:f>IFERROR(INDEX('מיפוי ומקורות'!$D$7:$D$33,MATCH(H537,'מיפוי ומקורות'!$B$7:$B$33,0)),"שוטף")</x:f>
        <x:v>שוטף</x:v>
      </x:c>
      <x:c r="K537" s="19" t="str">
        <x:f>IF(OR(H537="ריביות",AND(H537="דירה כצנלסון",G537&lt;0,ISNUMBER(SEARCH("הכנסה",F537)))),"הכנסה שסווגה מחדש",J537)</x:f>
        <x:v>שוטף</x:v>
      </x:c>
      <x:c r="L537" s="19" t="str">
        <x:v>מאושר</x:v>
      </x:c>
      <x:c r="M537" s="20" t="n">
        <x:f>IF(L537="מאושר",IF(K537="הכנסה שסווגה מחדש",0,G537),0)</x:f>
        <x:v>105</x:v>
      </x:c>
      <x:c r="N537" s="20" t="n">
        <x:f>IF(K537="שוטף",M537,0)</x:f>
        <x:v>105</x:v>
      </x:c>
      <x:c r="O537" s="20" t="n">
        <x:f>IF(K537="הכנסה שסווגה מחדש",-G537,0)</x:f>
        <x:v>0</x:v>
      </x:c>
      <x:c r="P537" s="11" t="str">
        <x:v>אמקס עינור</x:v>
      </x:c>
      <x:c r="Q537" s="11" t="str"/>
      <x:c r="R537" s="11" t="str">
        <x:v>לא</x:v>
      </x:c>
    </x:row>
    <x:row r="538">
      <x:c r="A538" s="14" t="n">
        <x:v>45809</x:v>
      </x:c>
      <x:c r="B538" s="11" t="str">
        <x:v>2025-06</x:v>
      </x:c>
      <x:c r="C538" s="11" t="str">
        <x:v>יוני 25</x:v>
      </x:c>
      <x:c r="D538" s="15" t="n">
        <x:v>59</x:v>
      </x:c>
      <x:c r="E538" s="11" t="str">
        <x:v>12</x:v>
      </x:c>
      <x:c r="F538" s="11" t="str">
        <x:v>סופר</x:v>
      </x:c>
      <x:c r="G538" s="17" t="n">
        <x:v>85</x:v>
      </x:c>
      <x:c r="H538" s="18" t="str">
        <x:v>מזון לבית</x:v>
      </x:c>
      <x:c r="I538" s="19" t="str">
        <x:f>IFERROR(INDEX('מיפוי ומקורות'!$C$7:$C$33,MATCH(H538,'מיפוי ומקורות'!$B$7:$B$33,0)),"לא מסווג")</x:f>
        <x:v>מזון לבית</x:v>
      </x:c>
      <x:c r="J538" s="19" t="str">
        <x:f>IFERROR(INDEX('מיפוי ומקורות'!$D$7:$D$33,MATCH(H538,'מיפוי ומקורות'!$B$7:$B$33,0)),"שוטף")</x:f>
        <x:v>שוטף</x:v>
      </x:c>
      <x:c r="K538" s="19" t="str">
        <x:f>IF(OR(H538="ריביות",AND(H538="דירה כצנלסון",G538&lt;0,ISNUMBER(SEARCH("הכנסה",F538)))),"הכנסה שסווגה מחדש",J538)</x:f>
        <x:v>שוטף</x:v>
      </x:c>
      <x:c r="L538" s="19" t="str">
        <x:v>מאושר</x:v>
      </x:c>
      <x:c r="M538" s="20" t="n">
        <x:f>IF(L538="מאושר",IF(K538="הכנסה שסווגה מחדש",0,G538),0)</x:f>
        <x:v>85</x:v>
      </x:c>
      <x:c r="N538" s="20" t="n">
        <x:f>IF(K538="שוטף",M538,0)</x:f>
        <x:v>85</x:v>
      </x:c>
      <x:c r="O538" s="20" t="n">
        <x:f>IF(K538="הכנסה שסווגה מחדש",-G538,0)</x:f>
        <x:v>0</x:v>
      </x:c>
      <x:c r="P538" s="11" t="str">
        <x:v>אמקס עינור</x:v>
      </x:c>
      <x:c r="Q538" s="11" t="str"/>
      <x:c r="R538" s="11" t="str">
        <x:v>לא</x:v>
      </x:c>
    </x:row>
    <x:row r="539">
      <x:c r="A539" s="14" t="n">
        <x:v>45809</x:v>
      </x:c>
      <x:c r="B539" s="11" t="str">
        <x:v>2025-06</x:v>
      </x:c>
      <x:c r="C539" s="11" t="str">
        <x:v>יוני 25</x:v>
      </x:c>
      <x:c r="D539" s="15" t="n">
        <x:v>60</x:v>
      </x:c>
      <x:c r="E539" s="11" t="str">
        <x:v>12</x:v>
      </x:c>
      <x:c r="F539" s="11" t="str">
        <x:v>גלידה</x:v>
      </x:c>
      <x:c r="G539" s="17" t="n">
        <x:v>23</x:v>
      </x:c>
      <x:c r="H539" s="18" t="str">
        <x:v>אוכל בחוץ</x:v>
      </x:c>
      <x:c r="I539" s="19" t="str">
        <x:f>IFERROR(INDEX('מיפוי ומקורות'!$C$7:$C$33,MATCH(H539,'מיפוי ומקורות'!$B$7:$B$33,0)),"לא מסווג")</x:f>
        <x:v>אוכל בחוץ</x:v>
      </x:c>
      <x:c r="J539" s="19" t="str">
        <x:f>IFERROR(INDEX('מיפוי ומקורות'!$D$7:$D$33,MATCH(H539,'מיפוי ומקורות'!$B$7:$B$33,0)),"שוטף")</x:f>
        <x:v>שוטף</x:v>
      </x:c>
      <x:c r="K539" s="19" t="str">
        <x:f>IF(OR(H539="ריביות",AND(H539="דירה כצנלסון",G539&lt;0,ISNUMBER(SEARCH("הכנסה",F539)))),"הכנסה שסווגה מחדש",J539)</x:f>
        <x:v>שוטף</x:v>
      </x:c>
      <x:c r="L539" s="19" t="str">
        <x:v>מאושר</x:v>
      </x:c>
      <x:c r="M539" s="20" t="n">
        <x:f>IF(L539="מאושר",IF(K539="הכנסה שסווגה מחדש",0,G539),0)</x:f>
        <x:v>23</x:v>
      </x:c>
      <x:c r="N539" s="20" t="n">
        <x:f>IF(K539="שוטף",M539,0)</x:f>
        <x:v>23</x:v>
      </x:c>
      <x:c r="O539" s="20" t="n">
        <x:f>IF(K539="הכנסה שסווגה מחדש",-G539,0)</x:f>
        <x:v>0</x:v>
      </x:c>
      <x:c r="P539" s="11" t="str">
        <x:v>אמקס עינור</x:v>
      </x:c>
      <x:c r="Q539" s="11" t="str"/>
      <x:c r="R539" s="11" t="str">
        <x:v>לא</x:v>
      </x:c>
    </x:row>
    <x:row r="540">
      <x:c r="A540" s="14" t="n">
        <x:v>45809</x:v>
      </x:c>
      <x:c r="B540" s="11" t="str">
        <x:v>2025-06</x:v>
      </x:c>
      <x:c r="C540" s="11" t="str">
        <x:v>יוני 25</x:v>
      </x:c>
      <x:c r="D540" s="15" t="n">
        <x:v>61</x:v>
      </x:c>
      <x:c r="E540" s="11" t="str">
        <x:v>12</x:v>
      </x:c>
      <x:c r="F540" s="11" t="str">
        <x:v>בראנץ</x:v>
      </x:c>
      <x:c r="G540" s="17" t="n">
        <x:v>79</x:v>
      </x:c>
      <x:c r="H540" s="18" t="str">
        <x:v>אוכל בחוץ</x:v>
      </x:c>
      <x:c r="I540" s="19" t="str">
        <x:f>IFERROR(INDEX('מיפוי ומקורות'!$C$7:$C$33,MATCH(H540,'מיפוי ומקורות'!$B$7:$B$33,0)),"לא מסווג")</x:f>
        <x:v>אוכל בחוץ</x:v>
      </x:c>
      <x:c r="J540" s="19" t="str">
        <x:f>IFERROR(INDEX('מיפוי ומקורות'!$D$7:$D$33,MATCH(H540,'מיפוי ומקורות'!$B$7:$B$33,0)),"שוטף")</x:f>
        <x:v>שוטף</x:v>
      </x:c>
      <x:c r="K540" s="19" t="str">
        <x:f>IF(OR(H540="ריביות",AND(H540="דירה כצנלסון",G540&lt;0,ISNUMBER(SEARCH("הכנסה",F540)))),"הכנסה שסווגה מחדש",J540)</x:f>
        <x:v>שוטף</x:v>
      </x:c>
      <x:c r="L540" s="19" t="str">
        <x:v>מאושר</x:v>
      </x:c>
      <x:c r="M540" s="20" t="n">
        <x:f>IF(L540="מאושר",IF(K540="הכנסה שסווגה מחדש",0,G540),0)</x:f>
        <x:v>79</x:v>
      </x:c>
      <x:c r="N540" s="20" t="n">
        <x:f>IF(K540="שוטף",M540,0)</x:f>
        <x:v>79</x:v>
      </x:c>
      <x:c r="O540" s="20" t="n">
        <x:f>IF(K540="הכנסה שסווגה מחדש",-G540,0)</x:f>
        <x:v>0</x:v>
      </x:c>
      <x:c r="P540" s="11" t="str">
        <x:v>אמקס עינור</x:v>
      </x:c>
      <x:c r="Q540" s="11" t="str"/>
      <x:c r="R540" s="11" t="str">
        <x:v>לא</x:v>
      </x:c>
    </x:row>
    <x:row r="541">
      <x:c r="A541" s="14" t="n">
        <x:v>45809</x:v>
      </x:c>
      <x:c r="B541" s="11" t="str">
        <x:v>2025-06</x:v>
      </x:c>
      <x:c r="C541" s="11" t="str">
        <x:v>יוני 25</x:v>
      </x:c>
      <x:c r="D541" s="15" t="n">
        <x:v>62</x:v>
      </x:c>
      <x:c r="E541" s="11" t="str">
        <x:v>12</x:v>
      </x:c>
      <x:c r="F541" s="11" t="str">
        <x:v>מכולת</x:v>
      </x:c>
      <x:c r="G541" s="17" t="n">
        <x:v>10</x:v>
      </x:c>
      <x:c r="H541" s="18" t="str">
        <x:v>מזון לבית</x:v>
      </x:c>
      <x:c r="I541" s="19" t="str">
        <x:f>IFERROR(INDEX('מיפוי ומקורות'!$C$7:$C$33,MATCH(H541,'מיפוי ומקורות'!$B$7:$B$33,0)),"לא מסווג")</x:f>
        <x:v>מזון לבית</x:v>
      </x:c>
      <x:c r="J541" s="19" t="str">
        <x:f>IFERROR(INDEX('מיפוי ומקורות'!$D$7:$D$33,MATCH(H541,'מיפוי ומקורות'!$B$7:$B$33,0)),"שוטף")</x:f>
        <x:v>שוטף</x:v>
      </x:c>
      <x:c r="K541" s="19" t="str">
        <x:f>IF(OR(H541="ריביות",AND(H541="דירה כצנלסון",G541&lt;0,ISNUMBER(SEARCH("הכנסה",F541)))),"הכנסה שסווגה מחדש",J541)</x:f>
        <x:v>שוטף</x:v>
      </x:c>
      <x:c r="L541" s="19" t="str">
        <x:v>מאושר</x:v>
      </x:c>
      <x:c r="M541" s="20" t="n">
        <x:f>IF(L541="מאושר",IF(K541="הכנסה שסווגה מחדש",0,G541),0)</x:f>
        <x:v>10</x:v>
      </x:c>
      <x:c r="N541" s="20" t="n">
        <x:f>IF(K541="שוטף",M541,0)</x:f>
        <x:v>10</x:v>
      </x:c>
      <x:c r="O541" s="20" t="n">
        <x:f>IF(K541="הכנסה שסווגה מחדש",-G541,0)</x:f>
        <x:v>0</x:v>
      </x:c>
      <x:c r="P541" s="11" t="str">
        <x:v>אמקס עינור</x:v>
      </x:c>
      <x:c r="Q541" s="11" t="str"/>
      <x:c r="R541" s="11" t="str">
        <x:v>לא</x:v>
      </x:c>
    </x:row>
    <x:row r="542">
      <x:c r="A542" s="14" t="n">
        <x:v>45809</x:v>
      </x:c>
      <x:c r="B542" s="11" t="str">
        <x:v>2025-06</x:v>
      </x:c>
      <x:c r="C542" s="11" t="str">
        <x:v>יוני 25</x:v>
      </x:c>
      <x:c r="D542" s="15" t="n">
        <x:v>63</x:v>
      </x:c>
      <x:c r="E542" s="11" t="str">
        <x:v>17</x:v>
      </x:c>
      <x:c r="F542" s="11" t="str">
        <x:v>סופר</x:v>
      </x:c>
      <x:c r="G542" s="17" t="n">
        <x:v>48</x:v>
      </x:c>
      <x:c r="H542" s="18" t="str">
        <x:v>מזון לבית</x:v>
      </x:c>
      <x:c r="I542" s="19" t="str">
        <x:f>IFERROR(INDEX('מיפוי ומקורות'!$C$7:$C$33,MATCH(H542,'מיפוי ומקורות'!$B$7:$B$33,0)),"לא מסווג")</x:f>
        <x:v>מזון לבית</x:v>
      </x:c>
      <x:c r="J542" s="19" t="str">
        <x:f>IFERROR(INDEX('מיפוי ומקורות'!$D$7:$D$33,MATCH(H542,'מיפוי ומקורות'!$B$7:$B$33,0)),"שוטף")</x:f>
        <x:v>שוטף</x:v>
      </x:c>
      <x:c r="K542" s="19" t="str">
        <x:f>IF(OR(H542="ריביות",AND(H542="דירה כצנלסון",G542&lt;0,ISNUMBER(SEARCH("הכנסה",F542)))),"הכנסה שסווגה מחדש",J542)</x:f>
        <x:v>שוטף</x:v>
      </x:c>
      <x:c r="L542" s="19" t="str">
        <x:v>מאושר</x:v>
      </x:c>
      <x:c r="M542" s="20" t="n">
        <x:f>IF(L542="מאושר",IF(K542="הכנסה שסווגה מחדש",0,G542),0)</x:f>
        <x:v>48</x:v>
      </x:c>
      <x:c r="N542" s="20" t="n">
        <x:f>IF(K542="שוטף",M542,0)</x:f>
        <x:v>48</x:v>
      </x:c>
      <x:c r="O542" s="20" t="n">
        <x:f>IF(K542="הכנסה שסווגה מחדש",-G542,0)</x:f>
        <x:v>0</x:v>
      </x:c>
      <x:c r="P542" s="11" t="str">
        <x:v>אמקס עינור</x:v>
      </x:c>
      <x:c r="Q542" s="11" t="str"/>
      <x:c r="R542" s="11" t="str">
        <x:v>לא</x:v>
      </x:c>
    </x:row>
    <x:row r="543">
      <x:c r="A543" s="14" t="n">
        <x:v>45809</x:v>
      </x:c>
      <x:c r="B543" s="11" t="str">
        <x:v>2025-06</x:v>
      </x:c>
      <x:c r="C543" s="11" t="str">
        <x:v>יוני 25</x:v>
      </x:c>
      <x:c r="D543" s="15" t="n">
        <x:v>64</x:v>
      </x:c>
      <x:c r="E543" s="11" t="str">
        <x:v>18</x:v>
      </x:c>
      <x:c r="F543" s="11" t="str">
        <x:v>אומנות</x:v>
      </x:c>
      <x:c r="G543" s="17" t="n">
        <x:v>310</x:v>
      </x:c>
      <x:c r="H543" s="18" t="str">
        <x:v>תחביבים</x:v>
      </x:c>
      <x:c r="I543" s="19" t="str">
        <x:f>IFERROR(INDEX('מיפוי ומקורות'!$C$7:$C$33,MATCH(H543,'מיפוי ומקורות'!$B$7:$B$33,0)),"לא מסווג")</x:f>
        <x:v>תחביבים ומיג'י</x:v>
      </x:c>
      <x:c r="J543" s="19" t="str">
        <x:f>IFERROR(INDEX('מיפוי ומקורות'!$D$7:$D$33,MATCH(H543,'מיפוי ומקורות'!$B$7:$B$33,0)),"שוטף")</x:f>
        <x:v>שוטף</x:v>
      </x:c>
      <x:c r="K543" s="19" t="str">
        <x:f>IF(OR(H543="ריביות",AND(H543="דירה כצנלסון",G543&lt;0,ISNUMBER(SEARCH("הכנסה",F543)))),"הכנסה שסווגה מחדש",J543)</x:f>
        <x:v>שוטף</x:v>
      </x:c>
      <x:c r="L543" s="19" t="str">
        <x:v>מאושר</x:v>
      </x:c>
      <x:c r="M543" s="20" t="n">
        <x:f>IF(L543="מאושר",IF(K543="הכנסה שסווגה מחדש",0,G543),0)</x:f>
        <x:v>310</x:v>
      </x:c>
      <x:c r="N543" s="20" t="n">
        <x:f>IF(K543="שוטף",M543,0)</x:f>
        <x:v>310</x:v>
      </x:c>
      <x:c r="O543" s="20" t="n">
        <x:f>IF(K543="הכנסה שסווגה מחדש",-G543,0)</x:f>
        <x:v>0</x:v>
      </x:c>
      <x:c r="P543" s="11" t="str">
        <x:v>אמקס עינור</x:v>
      </x:c>
      <x:c r="Q543" s="11" t="str"/>
      <x:c r="R543" s="11" t="str">
        <x:v>לא</x:v>
      </x:c>
    </x:row>
    <x:row r="544">
      <x:c r="A544" s="14" t="n">
        <x:v>45809</x:v>
      </x:c>
      <x:c r="B544" s="11" t="str">
        <x:v>2025-06</x:v>
      </x:c>
      <x:c r="C544" s="11" t="str">
        <x:v>יוני 25</x:v>
      </x:c>
      <x:c r="D544" s="15" t="n">
        <x:v>65</x:v>
      </x:c>
      <x:c r="E544" s="11" t="str">
        <x:v>19</x:v>
      </x:c>
      <x:c r="F544" s="11" t="str">
        <x:v>אומנות</x:v>
      </x:c>
      <x:c r="G544" s="17" t="n">
        <x:v>12</x:v>
      </x:c>
      <x:c r="H544" s="18" t="str">
        <x:v>תחביבים</x:v>
      </x:c>
      <x:c r="I544" s="19" t="str">
        <x:f>IFERROR(INDEX('מיפוי ומקורות'!$C$7:$C$33,MATCH(H544,'מיפוי ומקורות'!$B$7:$B$33,0)),"לא מסווג")</x:f>
        <x:v>תחביבים ומיג'י</x:v>
      </x:c>
      <x:c r="J544" s="19" t="str">
        <x:f>IFERROR(INDEX('מיפוי ומקורות'!$D$7:$D$33,MATCH(H544,'מיפוי ומקורות'!$B$7:$B$33,0)),"שוטף")</x:f>
        <x:v>שוטף</x:v>
      </x:c>
      <x:c r="K544" s="19" t="str">
        <x:f>IF(OR(H544="ריביות",AND(H544="דירה כצנלסון",G544&lt;0,ISNUMBER(SEARCH("הכנסה",F544)))),"הכנסה שסווגה מחדש",J544)</x:f>
        <x:v>שוטף</x:v>
      </x:c>
      <x:c r="L544" s="19" t="str">
        <x:v>מאושר</x:v>
      </x:c>
      <x:c r="M544" s="20" t="n">
        <x:f>IF(L544="מאושר",IF(K544="הכנסה שסווגה מחדש",0,G544),0)</x:f>
        <x:v>12</x:v>
      </x:c>
      <x:c r="N544" s="20" t="n">
        <x:f>IF(K544="שוטף",M544,0)</x:f>
        <x:v>12</x:v>
      </x:c>
      <x:c r="O544" s="20" t="n">
        <x:f>IF(K544="הכנסה שסווגה מחדש",-G544,0)</x:f>
        <x:v>0</x:v>
      </x:c>
      <x:c r="P544" s="11" t="str">
        <x:v>אמקס עינור</x:v>
      </x:c>
      <x:c r="Q544" s="11" t="str"/>
      <x:c r="R544" s="11" t="str">
        <x:v>לא</x:v>
      </x:c>
    </x:row>
    <x:row r="545">
      <x:c r="A545" s="14" t="n">
        <x:v>45809</x:v>
      </x:c>
      <x:c r="B545" s="11" t="str">
        <x:v>2025-06</x:v>
      </x:c>
      <x:c r="C545" s="11" t="str">
        <x:v>יוני 25</x:v>
      </x:c>
      <x:c r="D545" s="15" t="n">
        <x:v>66</x:v>
      </x:c>
      <x:c r="E545" s="11" t="str">
        <x:v>19</x:v>
      </x:c>
      <x:c r="F545" s="11" t="str">
        <x:v>מכולת</x:v>
      </x:c>
      <x:c r="G545" s="17" t="n">
        <x:v>6</x:v>
      </x:c>
      <x:c r="H545" s="18" t="str">
        <x:v>מזון לבית</x:v>
      </x:c>
      <x:c r="I545" s="19" t="str">
        <x:f>IFERROR(INDEX('מיפוי ומקורות'!$C$7:$C$33,MATCH(H545,'מיפוי ומקורות'!$B$7:$B$33,0)),"לא מסווג")</x:f>
        <x:v>מזון לבית</x:v>
      </x:c>
      <x:c r="J545" s="19" t="str">
        <x:f>IFERROR(INDEX('מיפוי ומקורות'!$D$7:$D$33,MATCH(H545,'מיפוי ומקורות'!$B$7:$B$33,0)),"שוטף")</x:f>
        <x:v>שוטף</x:v>
      </x:c>
      <x:c r="K545" s="19" t="str">
        <x:f>IF(OR(H545="ריביות",AND(H545="דירה כצנלסון",G545&lt;0,ISNUMBER(SEARCH("הכנסה",F545)))),"הכנסה שסווגה מחדש",J545)</x:f>
        <x:v>שוטף</x:v>
      </x:c>
      <x:c r="L545" s="19" t="str">
        <x:v>מאושר</x:v>
      </x:c>
      <x:c r="M545" s="20" t="n">
        <x:f>IF(L545="מאושר",IF(K545="הכנסה שסווגה מחדש",0,G545),0)</x:f>
        <x:v>6</x:v>
      </x:c>
      <x:c r="N545" s="20" t="n">
        <x:f>IF(K545="שוטף",M545,0)</x:f>
        <x:v>6</x:v>
      </x:c>
      <x:c r="O545" s="20" t="n">
        <x:f>IF(K545="הכנסה שסווגה מחדש",-G545,0)</x:f>
        <x:v>0</x:v>
      </x:c>
      <x:c r="P545" s="11" t="str">
        <x:v>אמקס עינור</x:v>
      </x:c>
      <x:c r="Q545" s="11" t="str"/>
      <x:c r="R545" s="11" t="str">
        <x:v>לא</x:v>
      </x:c>
    </x:row>
    <x:row r="546">
      <x:c r="A546" s="14" t="n">
        <x:v>45809</x:v>
      </x:c>
      <x:c r="B546" s="11" t="str">
        <x:v>2025-06</x:v>
      </x:c>
      <x:c r="C546" s="11" t="str">
        <x:v>יוני 25</x:v>
      </x:c>
      <x:c r="D546" s="15" t="n">
        <x:v>67</x:v>
      </x:c>
      <x:c r="E546" s="11" t="str">
        <x:v>19</x:v>
      </x:c>
      <x:c r="F546" s="11" t="str">
        <x:v>B</x:v>
      </x:c>
      <x:c r="G546" s="17" t="n">
        <x:v>176</x:v>
      </x:c>
      <x:c r="H546" s="18" t="str">
        <x:v>בריאות</x:v>
      </x:c>
      <x:c r="I546" s="19" t="str">
        <x:f>IFERROR(INDEX('מיפוי ומקורות'!$C$7:$C$33,MATCH(H546,'מיפוי ומקורות'!$B$7:$B$33,0)),"לא מסווג")</x:f>
        <x:v>בריאות וטיפולים</x:v>
      </x:c>
      <x:c r="J546" s="19" t="str">
        <x:f>IFERROR(INDEX('מיפוי ומקורות'!$D$7:$D$33,MATCH(H546,'מיפוי ומקורות'!$B$7:$B$33,0)),"שוטף")</x:f>
        <x:v>שוטף</x:v>
      </x:c>
      <x:c r="K546" s="19" t="str">
        <x:f>IF(OR(H546="ריביות",AND(H546="דירה כצנלסון",G546&lt;0,ISNUMBER(SEARCH("הכנסה",F546)))),"הכנסה שסווגה מחדש",J546)</x:f>
        <x:v>שוטף</x:v>
      </x:c>
      <x:c r="L546" s="19" t="str">
        <x:v>מאושר</x:v>
      </x:c>
      <x:c r="M546" s="20" t="n">
        <x:f>IF(L546="מאושר",IF(K546="הכנסה שסווגה מחדש",0,G546),0)</x:f>
        <x:v>176</x:v>
      </x:c>
      <x:c r="N546" s="20" t="n">
        <x:f>IF(K546="שוטף",M546,0)</x:f>
        <x:v>176</x:v>
      </x:c>
      <x:c r="O546" s="20" t="n">
        <x:f>IF(K546="הכנסה שסווגה מחדש",-G546,0)</x:f>
        <x:v>0</x:v>
      </x:c>
      <x:c r="P546" s="11" t="str">
        <x:v>אמקס עינור</x:v>
      </x:c>
      <x:c r="Q546" s="11" t="str"/>
      <x:c r="R546" s="11" t="str">
        <x:v>לא</x:v>
      </x:c>
    </x:row>
    <x:row r="547">
      <x:c r="A547" s="14" t="n">
        <x:v>45809</x:v>
      </x:c>
      <x:c r="B547" s="11" t="str">
        <x:v>2025-06</x:v>
      </x:c>
      <x:c r="C547" s="11" t="str">
        <x:v>יוני 25</x:v>
      </x:c>
      <x:c r="D547" s="15" t="n">
        <x:v>68</x:v>
      </x:c>
      <x:c r="E547" s="11" t="str">
        <x:v>19</x:v>
      </x:c>
      <x:c r="F547" s="11" t="str">
        <x:v>מכולת</x:v>
      </x:c>
      <x:c r="G547" s="17" t="n">
        <x:v>13</x:v>
      </x:c>
      <x:c r="H547" s="18" t="str">
        <x:v>מזון לבית</x:v>
      </x:c>
      <x:c r="I547" s="19" t="str">
        <x:f>IFERROR(INDEX('מיפוי ומקורות'!$C$7:$C$33,MATCH(H547,'מיפוי ומקורות'!$B$7:$B$33,0)),"לא מסווג")</x:f>
        <x:v>מזון לבית</x:v>
      </x:c>
      <x:c r="J547" s="19" t="str">
        <x:f>IFERROR(INDEX('מיפוי ומקורות'!$D$7:$D$33,MATCH(H547,'מיפוי ומקורות'!$B$7:$B$33,0)),"שוטף")</x:f>
        <x:v>שוטף</x:v>
      </x:c>
      <x:c r="K547" s="19" t="str">
        <x:f>IF(OR(H547="ריביות",AND(H547="דירה כצנלסון",G547&lt;0,ISNUMBER(SEARCH("הכנסה",F547)))),"הכנסה שסווגה מחדש",J547)</x:f>
        <x:v>שוטף</x:v>
      </x:c>
      <x:c r="L547" s="19" t="str">
        <x:v>מאושר</x:v>
      </x:c>
      <x:c r="M547" s="20" t="n">
        <x:f>IF(L547="מאושר",IF(K547="הכנסה שסווגה מחדש",0,G547),0)</x:f>
        <x:v>13</x:v>
      </x:c>
      <x:c r="N547" s="20" t="n">
        <x:f>IF(K547="שוטף",M547,0)</x:f>
        <x:v>13</x:v>
      </x:c>
      <x:c r="O547" s="20" t="n">
        <x:f>IF(K547="הכנסה שסווגה מחדש",-G547,0)</x:f>
        <x:v>0</x:v>
      </x:c>
      <x:c r="P547" s="11" t="str">
        <x:v>אמקס עינור</x:v>
      </x:c>
      <x:c r="Q547" s="11" t="str"/>
      <x:c r="R547" s="11" t="str">
        <x:v>לא</x:v>
      </x:c>
    </x:row>
    <x:row r="548">
      <x:c r="A548" s="14" t="n">
        <x:v>45809</x:v>
      </x:c>
      <x:c r="B548" s="11" t="str">
        <x:v>2025-06</x:v>
      </x:c>
      <x:c r="C548" s="11" t="str">
        <x:v>יוני 25</x:v>
      </x:c>
      <x:c r="D548" s="15" t="n">
        <x:v>69</x:v>
      </x:c>
      <x:c r="E548" s="11" t="str">
        <x:v>20</x:v>
      </x:c>
      <x:c r="F548" s="11" t="str">
        <x:v>מסעדה</x:v>
      </x:c>
      <x:c r="G548" s="17" t="n">
        <x:v>241</x:v>
      </x:c>
      <x:c r="H548" s="18" t="str">
        <x:v>אוכל בחוץ</x:v>
      </x:c>
      <x:c r="I548" s="19" t="str">
        <x:f>IFERROR(INDEX('מיפוי ומקורות'!$C$7:$C$33,MATCH(H548,'מיפוי ומקורות'!$B$7:$B$33,0)),"לא מסווג")</x:f>
        <x:v>אוכל בחוץ</x:v>
      </x:c>
      <x:c r="J548" s="19" t="str">
        <x:f>IFERROR(INDEX('מיפוי ומקורות'!$D$7:$D$33,MATCH(H548,'מיפוי ומקורות'!$B$7:$B$33,0)),"שוטף")</x:f>
        <x:v>שוטף</x:v>
      </x:c>
      <x:c r="K548" s="19" t="str">
        <x:f>IF(OR(H548="ריביות",AND(H548="דירה כצנלסון",G548&lt;0,ISNUMBER(SEARCH("הכנסה",F548)))),"הכנסה שסווגה מחדש",J548)</x:f>
        <x:v>שוטף</x:v>
      </x:c>
      <x:c r="L548" s="19" t="str">
        <x:v>מאושר</x:v>
      </x:c>
      <x:c r="M548" s="20" t="n">
        <x:f>IF(L548="מאושר",IF(K548="הכנסה שסווגה מחדש",0,G548),0)</x:f>
        <x:v>241</x:v>
      </x:c>
      <x:c r="N548" s="20" t="n">
        <x:f>IF(K548="שוטף",M548,0)</x:f>
        <x:v>241</x:v>
      </x:c>
      <x:c r="O548" s="20" t="n">
        <x:f>IF(K548="הכנסה שסווגה מחדש",-G548,0)</x:f>
        <x:v>0</x:v>
      </x:c>
      <x:c r="P548" s="11" t="str">
        <x:v>אמקס עינור</x:v>
      </x:c>
      <x:c r="Q548" s="11" t="str"/>
      <x:c r="R548" s="11" t="str">
        <x:v>לא</x:v>
      </x:c>
    </x:row>
    <x:row r="549">
      <x:c r="A549" s="14" t="n">
        <x:v>45809</x:v>
      </x:c>
      <x:c r="B549" s="11" t="str">
        <x:v>2025-06</x:v>
      </x:c>
      <x:c r="C549" s="11" t="str">
        <x:v>יוני 25</x:v>
      </x:c>
      <x:c r="D549" s="15" t="n">
        <x:v>70</x:v>
      </x:c>
      <x:c r="E549" s="11" t="str">
        <x:v>20</x:v>
      </x:c>
      <x:c r="F549" s="11" t="str">
        <x:v>חנייה</x:v>
      </x:c>
      <x:c r="G549" s="17" t="n">
        <x:v>10</x:v>
      </x:c>
      <x:c r="H549" s="18" t="str">
        <x:v>תחבורה</x:v>
      </x:c>
      <x:c r="I549" s="19" t="str">
        <x:f>IFERROR(INDEX('מיפוי ומקורות'!$C$7:$C$33,MATCH(H549,'מיפוי ומקורות'!$B$7:$B$33,0)),"לא מסווג")</x:f>
        <x:v>תחבורה</x:v>
      </x:c>
      <x:c r="J549" s="19" t="str">
        <x:f>IFERROR(INDEX('מיפוי ומקורות'!$D$7:$D$33,MATCH(H549,'מיפוי ומקורות'!$B$7:$B$33,0)),"שוטף")</x:f>
        <x:v>שוטף</x:v>
      </x:c>
      <x:c r="K549" s="19" t="str">
        <x:f>IF(OR(H549="ריביות",AND(H549="דירה כצנלסון",G549&lt;0,ISNUMBER(SEARCH("הכנסה",F549)))),"הכנסה שסווגה מחדש",J549)</x:f>
        <x:v>שוטף</x:v>
      </x:c>
      <x:c r="L549" s="19" t="str">
        <x:v>מאושר</x:v>
      </x:c>
      <x:c r="M549" s="20" t="n">
        <x:f>IF(L549="מאושר",IF(K549="הכנסה שסווגה מחדש",0,G549),0)</x:f>
        <x:v>10</x:v>
      </x:c>
      <x:c r="N549" s="20" t="n">
        <x:f>IF(K549="שוטף",M549,0)</x:f>
        <x:v>10</x:v>
      </x:c>
      <x:c r="O549" s="20" t="n">
        <x:f>IF(K549="הכנסה שסווגה מחדש",-G549,0)</x:f>
        <x:v>0</x:v>
      </x:c>
      <x:c r="P549" s="11" t="str">
        <x:v>אמקס עינור</x:v>
      </x:c>
      <x:c r="Q549" s="11" t="str"/>
      <x:c r="R549" s="11" t="str">
        <x:v>לא</x:v>
      </x:c>
    </x:row>
    <x:row r="550">
      <x:c r="A550" s="14" t="n">
        <x:v>45809</x:v>
      </x:c>
      <x:c r="B550" s="11" t="str">
        <x:v>2025-06</x:v>
      </x:c>
      <x:c r="C550" s="11" t="str">
        <x:v>יוני 25</x:v>
      </x:c>
      <x:c r="D550" s="15" t="n">
        <x:v>71</x:v>
      </x:c>
      <x:c r="E550" s="11" t="str">
        <x:v>22</x:v>
      </x:c>
      <x:c r="F550" s="11" t="str">
        <x:v>סופר</x:v>
      </x:c>
      <x:c r="G550" s="17" t="n">
        <x:v>75</x:v>
      </x:c>
      <x:c r="H550" s="18" t="str">
        <x:v>מזון לבית</x:v>
      </x:c>
      <x:c r="I550" s="19" t="str">
        <x:f>IFERROR(INDEX('מיפוי ומקורות'!$C$7:$C$33,MATCH(H550,'מיפוי ומקורות'!$B$7:$B$33,0)),"לא מסווג")</x:f>
        <x:v>מזון לבית</x:v>
      </x:c>
      <x:c r="J550" s="19" t="str">
        <x:f>IFERROR(INDEX('מיפוי ומקורות'!$D$7:$D$33,MATCH(H550,'מיפוי ומקורות'!$B$7:$B$33,0)),"שוטף")</x:f>
        <x:v>שוטף</x:v>
      </x:c>
      <x:c r="K550" s="19" t="str">
        <x:f>IF(OR(H550="ריביות",AND(H550="דירה כצנלסון",G550&lt;0,ISNUMBER(SEARCH("הכנסה",F550)))),"הכנסה שסווגה מחדש",J550)</x:f>
        <x:v>שוטף</x:v>
      </x:c>
      <x:c r="L550" s="19" t="str">
        <x:v>מאושר</x:v>
      </x:c>
      <x:c r="M550" s="20" t="n">
        <x:f>IF(L550="מאושר",IF(K550="הכנסה שסווגה מחדש",0,G550),0)</x:f>
        <x:v>75</x:v>
      </x:c>
      <x:c r="N550" s="20" t="n">
        <x:f>IF(K550="שוטף",M550,0)</x:f>
        <x:v>75</x:v>
      </x:c>
      <x:c r="O550" s="20" t="n">
        <x:f>IF(K550="הכנסה שסווגה מחדש",-G550,0)</x:f>
        <x:v>0</x:v>
      </x:c>
      <x:c r="P550" s="11" t="str">
        <x:v>אמקס עינור</x:v>
      </x:c>
      <x:c r="Q550" s="11" t="str"/>
      <x:c r="R550" s="11" t="str">
        <x:v>לא</x:v>
      </x:c>
    </x:row>
    <x:row r="551">
      <x:c r="A551" s="14" t="n">
        <x:v>45809</x:v>
      </x:c>
      <x:c r="B551" s="11" t="str">
        <x:v>2025-06</x:v>
      </x:c>
      <x:c r="C551" s="11" t="str">
        <x:v>יוני 25</x:v>
      </x:c>
      <x:c r="D551" s="15" t="n">
        <x:v>72</x:v>
      </x:c>
      <x:c r="E551" s="11" t="str">
        <x:v>22</x:v>
      </x:c>
      <x:c r="F551" s="11" t="str">
        <x:v>דלק</x:v>
      </x:c>
      <x:c r="G551" s="17" t="n">
        <x:v>197</x:v>
      </x:c>
      <x:c r="H551" s="18" t="str">
        <x:v>תחבורה</x:v>
      </x:c>
      <x:c r="I551" s="19" t="str">
        <x:f>IFERROR(INDEX('מיפוי ומקורות'!$C$7:$C$33,MATCH(H551,'מיפוי ומקורות'!$B$7:$B$33,0)),"לא מסווג")</x:f>
        <x:v>תחבורה</x:v>
      </x:c>
      <x:c r="J551" s="19" t="str">
        <x:f>IFERROR(INDEX('מיפוי ומקורות'!$D$7:$D$33,MATCH(H551,'מיפוי ומקורות'!$B$7:$B$33,0)),"שוטף")</x:f>
        <x:v>שוטף</x:v>
      </x:c>
      <x:c r="K551" s="19" t="str">
        <x:f>IF(OR(H551="ריביות",AND(H551="דירה כצנלסון",G551&lt;0,ISNUMBER(SEARCH("הכנסה",F551)))),"הכנסה שסווגה מחדש",J551)</x:f>
        <x:v>שוטף</x:v>
      </x:c>
      <x:c r="L551" s="19" t="str">
        <x:v>מאושר</x:v>
      </x:c>
      <x:c r="M551" s="20" t="n">
        <x:f>IF(L551="מאושר",IF(K551="הכנסה שסווגה מחדש",0,G551),0)</x:f>
        <x:v>197</x:v>
      </x:c>
      <x:c r="N551" s="20" t="n">
        <x:f>IF(K551="שוטף",M551,0)</x:f>
        <x:v>197</x:v>
      </x:c>
      <x:c r="O551" s="20" t="n">
        <x:f>IF(K551="הכנסה שסווגה מחדש",-G551,0)</x:f>
        <x:v>0</x:v>
      </x:c>
      <x:c r="P551" s="11" t="str">
        <x:v>אמקס עינור</x:v>
      </x:c>
      <x:c r="Q551" s="11" t="str"/>
      <x:c r="R551" s="11" t="str">
        <x:v>לא</x:v>
      </x:c>
    </x:row>
    <x:row r="552">
      <x:c r="A552" s="14" t="n">
        <x:v>45809</x:v>
      </x:c>
      <x:c r="B552" s="11" t="str">
        <x:v>2025-06</x:v>
      </x:c>
      <x:c r="C552" s="11" t="str">
        <x:v>יוני 25</x:v>
      </x:c>
      <x:c r="D552" s="15" t="n">
        <x:v>73</x:v>
      </x:c>
      <x:c r="E552" s="11" t="str">
        <x:v>22</x:v>
      </x:c>
      <x:c r="F552" s="11" t="str">
        <x:v>אוכל</x:v>
      </x:c>
      <x:c r="G552" s="17" t="n">
        <x:v>48</x:v>
      </x:c>
      <x:c r="H552" s="18" t="str">
        <x:v>אוכל בחוץ</x:v>
      </x:c>
      <x:c r="I552" s="19" t="str">
        <x:f>IFERROR(INDEX('מיפוי ומקורות'!$C$7:$C$33,MATCH(H552,'מיפוי ומקורות'!$B$7:$B$33,0)),"לא מסווג")</x:f>
        <x:v>אוכל בחוץ</x:v>
      </x:c>
      <x:c r="J552" s="19" t="str">
        <x:f>IFERROR(INDEX('מיפוי ומקורות'!$D$7:$D$33,MATCH(H552,'מיפוי ומקורות'!$B$7:$B$33,0)),"שוטף")</x:f>
        <x:v>שוטף</x:v>
      </x:c>
      <x:c r="K552" s="19" t="str">
        <x:f>IF(OR(H552="ריביות",AND(H552="דירה כצנלסון",G552&lt;0,ISNUMBER(SEARCH("הכנסה",F552)))),"הכנסה שסווגה מחדש",J552)</x:f>
        <x:v>שוטף</x:v>
      </x:c>
      <x:c r="L552" s="19" t="str">
        <x:v>מאושר</x:v>
      </x:c>
      <x:c r="M552" s="20" t="n">
        <x:f>IF(L552="מאושר",IF(K552="הכנסה שסווגה מחדש",0,G552),0)</x:f>
        <x:v>48</x:v>
      </x:c>
      <x:c r="N552" s="20" t="n">
        <x:f>IF(K552="שוטף",M552,0)</x:f>
        <x:v>48</x:v>
      </x:c>
      <x:c r="O552" s="20" t="n">
        <x:f>IF(K552="הכנסה שסווגה מחדש",-G552,0)</x:f>
        <x:v>0</x:v>
      </x:c>
      <x:c r="P552" s="11" t="str">
        <x:v>אמקס עינור</x:v>
      </x:c>
      <x:c r="Q552" s="11" t="str"/>
      <x:c r="R552" s="11" t="str">
        <x:v>לא</x:v>
      </x:c>
    </x:row>
    <x:row r="553">
      <x:c r="A553" s="14" t="n">
        <x:v>45809</x:v>
      </x:c>
      <x:c r="B553" s="11" t="str">
        <x:v>2025-06</x:v>
      </x:c>
      <x:c r="C553" s="11" t="str">
        <x:v>יוני 25</x:v>
      </x:c>
      <x:c r="D553" s="15" t="n">
        <x:v>74</x:v>
      </x:c>
      <x:c r="E553" s="11" t="str">
        <x:v>24</x:v>
      </x:c>
      <x:c r="F553" s="11" t="str">
        <x:v>מכולת</x:v>
      </x:c>
      <x:c r="G553" s="17" t="n">
        <x:v>26</x:v>
      </x:c>
      <x:c r="H553" s="18" t="str">
        <x:v>מזון לבית</x:v>
      </x:c>
      <x:c r="I553" s="19" t="str">
        <x:f>IFERROR(INDEX('מיפוי ומקורות'!$C$7:$C$33,MATCH(H553,'מיפוי ומקורות'!$B$7:$B$33,0)),"לא מסווג")</x:f>
        <x:v>מזון לבית</x:v>
      </x:c>
      <x:c r="J553" s="19" t="str">
        <x:f>IFERROR(INDEX('מיפוי ומקורות'!$D$7:$D$33,MATCH(H553,'מיפוי ומקורות'!$B$7:$B$33,0)),"שוטף")</x:f>
        <x:v>שוטף</x:v>
      </x:c>
      <x:c r="K553" s="19" t="str">
        <x:f>IF(OR(H553="ריביות",AND(H553="דירה כצנלסון",G553&lt;0,ISNUMBER(SEARCH("הכנסה",F553)))),"הכנסה שסווגה מחדש",J553)</x:f>
        <x:v>שוטף</x:v>
      </x:c>
      <x:c r="L553" s="19" t="str">
        <x:v>מאושר</x:v>
      </x:c>
      <x:c r="M553" s="20" t="n">
        <x:f>IF(L553="מאושר",IF(K553="הכנסה שסווגה מחדש",0,G553),0)</x:f>
        <x:v>26</x:v>
      </x:c>
      <x:c r="N553" s="20" t="n">
        <x:f>IF(K553="שוטף",M553,0)</x:f>
        <x:v>26</x:v>
      </x:c>
      <x:c r="O553" s="20" t="n">
        <x:f>IF(K553="הכנסה שסווגה מחדש",-G553,0)</x:f>
        <x:v>0</x:v>
      </x:c>
      <x:c r="P553" s="11" t="str">
        <x:v>אמקס עינור</x:v>
      </x:c>
      <x:c r="Q553" s="11" t="str"/>
      <x:c r="R553" s="11" t="str">
        <x:v>לא</x:v>
      </x:c>
    </x:row>
    <x:row r="554">
      <x:c r="A554" s="14" t="n">
        <x:v>45809</x:v>
      </x:c>
      <x:c r="B554" s="11" t="str">
        <x:v>2025-06</x:v>
      </x:c>
      <x:c r="C554" s="11" t="str">
        <x:v>יוני 25</x:v>
      </x:c>
      <x:c r="D554" s="15" t="n">
        <x:v>75</x:v>
      </x:c>
      <x:c r="E554" s="11" t="str">
        <x:v>25</x:v>
      </x:c>
      <x:c r="F554" s="11" t="str">
        <x:v>מסעדה</x:v>
      </x:c>
      <x:c r="G554" s="17" t="n">
        <x:v>204</x:v>
      </x:c>
      <x:c r="H554" s="18" t="str">
        <x:v>אוכל בחוץ</x:v>
      </x:c>
      <x:c r="I554" s="19" t="str">
        <x:f>IFERROR(INDEX('מיפוי ומקורות'!$C$7:$C$33,MATCH(H554,'מיפוי ומקורות'!$B$7:$B$33,0)),"לא מסווג")</x:f>
        <x:v>אוכל בחוץ</x:v>
      </x:c>
      <x:c r="J554" s="19" t="str">
        <x:f>IFERROR(INDEX('מיפוי ומקורות'!$D$7:$D$33,MATCH(H554,'מיפוי ומקורות'!$B$7:$B$33,0)),"שוטף")</x:f>
        <x:v>שוטף</x:v>
      </x:c>
      <x:c r="K554" s="19" t="str">
        <x:f>IF(OR(H554="ריביות",AND(H554="דירה כצנלסון",G554&lt;0,ISNUMBER(SEARCH("הכנסה",F554)))),"הכנסה שסווגה מחדש",J554)</x:f>
        <x:v>שוטף</x:v>
      </x:c>
      <x:c r="L554" s="19" t="str">
        <x:v>מאושר</x:v>
      </x:c>
      <x:c r="M554" s="20" t="n">
        <x:f>IF(L554="מאושר",IF(K554="הכנסה שסווגה מחדש",0,G554),0)</x:f>
        <x:v>204</x:v>
      </x:c>
      <x:c r="N554" s="20" t="n">
        <x:f>IF(K554="שוטף",M554,0)</x:f>
        <x:v>204</x:v>
      </x:c>
      <x:c r="O554" s="20" t="n">
        <x:f>IF(K554="הכנסה שסווגה מחדש",-G554,0)</x:f>
        <x:v>0</x:v>
      </x:c>
      <x:c r="P554" s="11" t="str">
        <x:v>אמקס עינור</x:v>
      </x:c>
      <x:c r="Q554" s="11" t="str"/>
      <x:c r="R554" s="11" t="str">
        <x:v>לא</x:v>
      </x:c>
    </x:row>
    <x:row r="555">
      <x:c r="A555" s="14" t="n">
        <x:v>45809</x:v>
      </x:c>
      <x:c r="B555" s="11" t="str">
        <x:v>2025-06</x:v>
      </x:c>
      <x:c r="C555" s="11" t="str">
        <x:v>יוני 25</x:v>
      </x:c>
      <x:c r="D555" s="15" t="n">
        <x:v>76</x:v>
      </x:c>
      <x:c r="E555" s="11" t="str">
        <x:v>26</x:v>
      </x:c>
      <x:c r="F555" s="11" t="str">
        <x:v>גבות</x:v>
      </x:c>
      <x:c r="G555" s="17" t="n">
        <x:v>70</x:v>
      </x:c>
      <x:c r="H555" s="18" t="str">
        <x:v>קוסמטיקה</x:v>
      </x:c>
      <x:c r="I555" s="19" t="str">
        <x:f>IFERROR(INDEX('מיפוי ומקורות'!$C$7:$C$33,MATCH(H555,'מיפוי ומקורות'!$B$7:$B$33,0)),"לא מסווג")</x:f>
        <x:v>קוסמטיקה</x:v>
      </x:c>
      <x:c r="J555" s="19" t="str">
        <x:f>IFERROR(INDEX('מיפוי ומקורות'!$D$7:$D$33,MATCH(H555,'מיפוי ומקורות'!$B$7:$B$33,0)),"שוטף")</x:f>
        <x:v>שוטף</x:v>
      </x:c>
      <x:c r="K555" s="19" t="str">
        <x:f>IF(OR(H555="ריביות",AND(H555="דירה כצנלסון",G555&lt;0,ISNUMBER(SEARCH("הכנסה",F555)))),"הכנסה שסווגה מחדש",J555)</x:f>
        <x:v>שוטף</x:v>
      </x:c>
      <x:c r="L555" s="19" t="str">
        <x:v>מאושר</x:v>
      </x:c>
      <x:c r="M555" s="20" t="n">
        <x:f>IF(L555="מאושר",IF(K555="הכנסה שסווגה מחדש",0,G555),0)</x:f>
        <x:v>70</x:v>
      </x:c>
      <x:c r="N555" s="20" t="n">
        <x:f>IF(K555="שוטף",M555,0)</x:f>
        <x:v>70</x:v>
      </x:c>
      <x:c r="O555" s="20" t="n">
        <x:f>IF(K555="הכנסה שסווגה מחדש",-G555,0)</x:f>
        <x:v>0</x:v>
      </x:c>
      <x:c r="P555" s="11" t="str">
        <x:v>אמקס עינור</x:v>
      </x:c>
      <x:c r="Q555" s="11" t="str"/>
      <x:c r="R555" s="11" t="str">
        <x:v>לא</x:v>
      </x:c>
    </x:row>
    <x:row r="556">
      <x:c r="A556" s="14" t="n">
        <x:v>45809</x:v>
      </x:c>
      <x:c r="B556" s="11" t="str">
        <x:v>2025-06</x:v>
      </x:c>
      <x:c r="C556" s="11" t="str">
        <x:v>יוני 25</x:v>
      </x:c>
      <x:c r="D556" s="15" t="n">
        <x:v>77</x:v>
      </x:c>
      <x:c r="E556" s="11" t="str">
        <x:v>26</x:v>
      </x:c>
      <x:c r="F556" s="11" t="str">
        <x:v>מקס</x:v>
      </x:c>
      <x:c r="G556" s="17" t="n">
        <x:v>11</x:v>
      </x:c>
      <x:c r="H556" s="18" t="str">
        <x:v>קניות לבית</x:v>
      </x:c>
      <x:c r="I556" s="19" t="str">
        <x:f>IFERROR(INDEX('מיפוי ומקורות'!$C$7:$C$33,MATCH(H556,'מיפוי ומקורות'!$B$7:$B$33,0)),"לא מסווג")</x:f>
        <x:v>קניות לבית</x:v>
      </x:c>
      <x:c r="J556" s="19" t="str">
        <x:f>IFERROR(INDEX('מיפוי ומקורות'!$D$7:$D$33,MATCH(H556,'מיפוי ומקורות'!$B$7:$B$33,0)),"שוטף")</x:f>
        <x:v>שוטף</x:v>
      </x:c>
      <x:c r="K556" s="19" t="str">
        <x:f>IF(OR(H556="ריביות",AND(H556="דירה כצנלסון",G556&lt;0,ISNUMBER(SEARCH("הכנסה",F556)))),"הכנסה שסווגה מחדש",J556)</x:f>
        <x:v>שוטף</x:v>
      </x:c>
      <x:c r="L556" s="19" t="str">
        <x:v>מאושר</x:v>
      </x:c>
      <x:c r="M556" s="20" t="n">
        <x:f>IF(L556="מאושר",IF(K556="הכנסה שסווגה מחדש",0,G556),0)</x:f>
        <x:v>11</x:v>
      </x:c>
      <x:c r="N556" s="20" t="n">
        <x:f>IF(K556="שוטף",M556,0)</x:f>
        <x:v>11</x:v>
      </x:c>
      <x:c r="O556" s="20" t="n">
        <x:f>IF(K556="הכנסה שסווגה מחדש",-G556,0)</x:f>
        <x:v>0</x:v>
      </x:c>
      <x:c r="P556" s="11" t="str">
        <x:v>אמקס עינור</x:v>
      </x:c>
      <x:c r="Q556" s="11" t="str"/>
      <x:c r="R556" s="11" t="str">
        <x:v>לא</x:v>
      </x:c>
    </x:row>
    <x:row r="557">
      <x:c r="A557" s="14" t="n">
        <x:v>45809</x:v>
      </x:c>
      <x:c r="B557" s="11" t="str">
        <x:v>2025-06</x:v>
      </x:c>
      <x:c r="C557" s="11" t="str">
        <x:v>יוני 25</x:v>
      </x:c>
      <x:c r="D557" s="15" t="n">
        <x:v>78</x:v>
      </x:c>
      <x:c r="E557" s="11" t="str">
        <x:v>26</x:v>
      </x:c>
      <x:c r="F557" s="11" t="str">
        <x:v>סופר</x:v>
      </x:c>
      <x:c r="G557" s="17" t="n">
        <x:v>10</x:v>
      </x:c>
      <x:c r="H557" s="18" t="str">
        <x:v>מזון לבית</x:v>
      </x:c>
      <x:c r="I557" s="19" t="str">
        <x:f>IFERROR(INDEX('מיפוי ומקורות'!$C$7:$C$33,MATCH(H557,'מיפוי ומקורות'!$B$7:$B$33,0)),"לא מסווג")</x:f>
        <x:v>מזון לבית</x:v>
      </x:c>
      <x:c r="J557" s="19" t="str">
        <x:f>IFERROR(INDEX('מיפוי ומקורות'!$D$7:$D$33,MATCH(H557,'מיפוי ומקורות'!$B$7:$B$33,0)),"שוטף")</x:f>
        <x:v>שוטף</x:v>
      </x:c>
      <x:c r="K557" s="19" t="str">
        <x:f>IF(OR(H557="ריביות",AND(H557="דירה כצנלסון",G557&lt;0,ISNUMBER(SEARCH("הכנסה",F557)))),"הכנסה שסווגה מחדש",J557)</x:f>
        <x:v>שוטף</x:v>
      </x:c>
      <x:c r="L557" s="19" t="str">
        <x:v>מאושר</x:v>
      </x:c>
      <x:c r="M557" s="20" t="n">
        <x:f>IF(L557="מאושר",IF(K557="הכנסה שסווגה מחדש",0,G557),0)</x:f>
        <x:v>10</x:v>
      </x:c>
      <x:c r="N557" s="20" t="n">
        <x:f>IF(K557="שוטף",M557,0)</x:f>
        <x:v>10</x:v>
      </x:c>
      <x:c r="O557" s="20" t="n">
        <x:f>IF(K557="הכנסה שסווגה מחדש",-G557,0)</x:f>
        <x:v>0</x:v>
      </x:c>
      <x:c r="P557" s="11" t="str">
        <x:v>אמקס עינור</x:v>
      </x:c>
      <x:c r="Q557" s="11" t="str"/>
      <x:c r="R557" s="11" t="str">
        <x:v>לא</x:v>
      </x:c>
    </x:row>
    <x:row r="558">
      <x:c r="A558" s="14" t="n">
        <x:v>45809</x:v>
      </x:c>
      <x:c r="B558" s="11" t="str">
        <x:v>2025-06</x:v>
      </x:c>
      <x:c r="C558" s="11" t="str">
        <x:v>יוני 25</x:v>
      </x:c>
      <x:c r="D558" s="15" t="n">
        <x:v>79</x:v>
      </x:c>
      <x:c r="E558" s="11" t="str">
        <x:v>28</x:v>
      </x:c>
      <x:c r="F558" s="11" t="str">
        <x:v>זומבה</x:v>
      </x:c>
      <x:c r="G558" s="17" t="n">
        <x:v>25</x:v>
      </x:c>
      <x:c r="H558" s="18" t="str">
        <x:v>ספורט</x:v>
      </x:c>
      <x:c r="I558" s="19" t="str">
        <x:f>IFERROR(INDEX('מיפוי ומקורות'!$C$7:$C$33,MATCH(H558,'מיפוי ומקורות'!$B$7:$B$33,0)),"לא מסווג")</x:f>
        <x:v>ספורט</x:v>
      </x:c>
      <x:c r="J558" s="19" t="str">
        <x:f>IFERROR(INDEX('מיפוי ומקורות'!$D$7:$D$33,MATCH(H558,'מיפוי ומקורות'!$B$7:$B$33,0)),"שוטף")</x:f>
        <x:v>שוטף</x:v>
      </x:c>
      <x:c r="K558" s="19" t="str">
        <x:f>IF(OR(H558="ריביות",AND(H558="דירה כצנלסון",G558&lt;0,ISNUMBER(SEARCH("הכנסה",F558)))),"הכנסה שסווגה מחדש",J558)</x:f>
        <x:v>שוטף</x:v>
      </x:c>
      <x:c r="L558" s="19" t="str">
        <x:v>מאושר</x:v>
      </x:c>
      <x:c r="M558" s="20" t="n">
        <x:f>IF(L558="מאושר",IF(K558="הכנסה שסווגה מחדש",0,G558),0)</x:f>
        <x:v>25</x:v>
      </x:c>
      <x:c r="N558" s="20" t="n">
        <x:f>IF(K558="שוטף",M558,0)</x:f>
        <x:v>25</x:v>
      </x:c>
      <x:c r="O558" s="20" t="n">
        <x:f>IF(K558="הכנסה שסווגה מחדש",-G558,0)</x:f>
        <x:v>0</x:v>
      </x:c>
      <x:c r="P558" s="11" t="str">
        <x:v>אמקס עינור</x:v>
      </x:c>
      <x:c r="Q558" s="11" t="str"/>
      <x:c r="R558" s="11" t="str">
        <x:v>לא</x:v>
      </x:c>
    </x:row>
    <x:row r="559">
      <x:c r="A559" s="14" t="n">
        <x:v>45809</x:v>
      </x:c>
      <x:c r="B559" s="11" t="str">
        <x:v>2025-06</x:v>
      </x:c>
      <x:c r="C559" s="11" t="str">
        <x:v>יוני 25</x:v>
      </x:c>
      <x:c r="D559" s="15" t="n">
        <x:v>80</x:v>
      </x:c>
      <x:c r="E559" s="11" t="str">
        <x:v>29</x:v>
      </x:c>
      <x:c r="F559" s="11" t="str">
        <x:v>תאתרון</x:v>
      </x:c>
      <x:c r="G559" s="17" t="n">
        <x:v>240</x:v>
      </x:c>
      <x:c r="H559" s="18" t="str">
        <x:v>פנאי</x:v>
      </x:c>
      <x:c r="I559" s="19" t="str">
        <x:f>IFERROR(INDEX('מיפוי ומקורות'!$C$7:$C$33,MATCH(H559,'מיפוי ומקורות'!$B$7:$B$33,0)),"לא מסווג")</x:f>
        <x:v>פנאי</x:v>
      </x:c>
      <x:c r="J559" s="19" t="str">
        <x:f>IFERROR(INDEX('מיפוי ומקורות'!$D$7:$D$33,MATCH(H559,'מיפוי ומקורות'!$B$7:$B$33,0)),"שוטף")</x:f>
        <x:v>שוטף</x:v>
      </x:c>
      <x:c r="K559" s="19" t="str">
        <x:f>IF(OR(H559="ריביות",AND(H559="דירה כצנלסון",G559&lt;0,ISNUMBER(SEARCH("הכנסה",F559)))),"הכנסה שסווגה מחדש",J559)</x:f>
        <x:v>שוטף</x:v>
      </x:c>
      <x:c r="L559" s="19" t="str">
        <x:v>מאושר</x:v>
      </x:c>
      <x:c r="M559" s="20" t="n">
        <x:f>IF(L559="מאושר",IF(K559="הכנסה שסווגה מחדש",0,G559),0)</x:f>
        <x:v>240</x:v>
      </x:c>
      <x:c r="N559" s="20" t="n">
        <x:f>IF(K559="שוטף",M559,0)</x:f>
        <x:v>240</x:v>
      </x:c>
      <x:c r="O559" s="20" t="n">
        <x:f>IF(K559="הכנסה שסווגה מחדש",-G559,0)</x:f>
        <x:v>0</x:v>
      </x:c>
      <x:c r="P559" s="11" t="str">
        <x:v>אמקס עינור</x:v>
      </x:c>
      <x:c r="Q559" s="11" t="str"/>
      <x:c r="R559" s="11" t="str">
        <x:v>לא</x:v>
      </x:c>
    </x:row>
    <x:row r="560">
      <x:c r="A560" s="14" t="n">
        <x:v>45809</x:v>
      </x:c>
      <x:c r="B560" s="11" t="str">
        <x:v>2025-06</x:v>
      </x:c>
      <x:c r="C560" s="11" t="str">
        <x:v>יוני 25</x:v>
      </x:c>
      <x:c r="D560" s="15" t="n">
        <x:v>81</x:v>
      </x:c>
      <x:c r="E560" s="11" t="str">
        <x:v>30</x:v>
      </x:c>
      <x:c r="F560" s="11" t="str">
        <x:v>איקאה</x:v>
      </x:c>
      <x:c r="G560" s="17" t="n">
        <x:v>283</x:v>
      </x:c>
      <x:c r="H560" s="18" t="str">
        <x:v>קניות לבית</x:v>
      </x:c>
      <x:c r="I560" s="19" t="str">
        <x:f>IFERROR(INDEX('מיפוי ומקורות'!$C$7:$C$33,MATCH(H560,'מיפוי ומקורות'!$B$7:$B$33,0)),"לא מסווג")</x:f>
        <x:v>קניות לבית</x:v>
      </x:c>
      <x:c r="J560" s="19" t="str">
        <x:f>IFERROR(INDEX('מיפוי ומקורות'!$D$7:$D$33,MATCH(H560,'מיפוי ומקורות'!$B$7:$B$33,0)),"שוטף")</x:f>
        <x:v>שוטף</x:v>
      </x:c>
      <x:c r="K560" s="19" t="str">
        <x:f>IF(OR(H560="ריביות",AND(H560="דירה כצנלסון",G560&lt;0,ISNUMBER(SEARCH("הכנסה",F560)))),"הכנסה שסווגה מחדש",J560)</x:f>
        <x:v>שוטף</x:v>
      </x:c>
      <x:c r="L560" s="19" t="str">
        <x:v>מאושר</x:v>
      </x:c>
      <x:c r="M560" s="20" t="n">
        <x:f>IF(L560="מאושר",IF(K560="הכנסה שסווגה מחדש",0,G560),0)</x:f>
        <x:v>283</x:v>
      </x:c>
      <x:c r="N560" s="20" t="n">
        <x:f>IF(K560="שוטף",M560,0)</x:f>
        <x:v>283</x:v>
      </x:c>
      <x:c r="O560" s="20" t="n">
        <x:f>IF(K560="הכנסה שסווגה מחדש",-G560,0)</x:f>
        <x:v>0</x:v>
      </x:c>
      <x:c r="P560" s="11" t="str">
        <x:v>אמקס עינור</x:v>
      </x:c>
      <x:c r="Q560" s="11" t="str"/>
      <x:c r="R560" s="11" t="str">
        <x:v>לא</x:v>
      </x:c>
    </x:row>
    <x:row r="561">
      <x:c r="A561" s="14" t="n">
        <x:v>45809</x:v>
      </x:c>
      <x:c r="B561" s="11" t="str">
        <x:v>2025-06</x:v>
      </x:c>
      <x:c r="C561" s="11" t="str">
        <x:v>יוני 25</x:v>
      </x:c>
      <x:c r="D561" s="15" t="n">
        <x:v>82</x:v>
      </x:c>
      <x:c r="E561" s="11" t="str">
        <x:v>30</x:v>
      </x:c>
      <x:c r="F561" s="11" t="str">
        <x:v>חצי חינם</x:v>
      </x:c>
      <x:c r="G561" s="17" t="n">
        <x:v>736</x:v>
      </x:c>
      <x:c r="H561" s="18" t="str">
        <x:v>מזון לבית</x:v>
      </x:c>
      <x:c r="I561" s="19" t="str">
        <x:f>IFERROR(INDEX('מיפוי ומקורות'!$C$7:$C$33,MATCH(H561,'מיפוי ומקורות'!$B$7:$B$33,0)),"לא מסווג")</x:f>
        <x:v>מזון לבית</x:v>
      </x:c>
      <x:c r="J561" s="19" t="str">
        <x:f>IFERROR(INDEX('מיפוי ומקורות'!$D$7:$D$33,MATCH(H561,'מיפוי ומקורות'!$B$7:$B$33,0)),"שוטף")</x:f>
        <x:v>שוטף</x:v>
      </x:c>
      <x:c r="K561" s="19" t="str">
        <x:f>IF(OR(H561="ריביות",AND(H561="דירה כצנלסון",G561&lt;0,ISNUMBER(SEARCH("הכנסה",F561)))),"הכנסה שסווגה מחדש",J561)</x:f>
        <x:v>שוטף</x:v>
      </x:c>
      <x:c r="L561" s="19" t="str">
        <x:v>מאושר</x:v>
      </x:c>
      <x:c r="M561" s="20" t="n">
        <x:f>IF(L561="מאושר",IF(K561="הכנסה שסווגה מחדש",0,G561),0)</x:f>
        <x:v>736</x:v>
      </x:c>
      <x:c r="N561" s="20" t="n">
        <x:f>IF(K561="שוטף",M561,0)</x:f>
        <x:v>736</x:v>
      </x:c>
      <x:c r="O561" s="20" t="n">
        <x:f>IF(K561="הכנסה שסווגה מחדש",-G561,0)</x:f>
        <x:v>0</x:v>
      </x:c>
      <x:c r="P561" s="11" t="str">
        <x:v>אמקס עינור</x:v>
      </x:c>
      <x:c r="Q561" s="11" t="str"/>
      <x:c r="R561" s="11" t="str">
        <x:v>לא</x:v>
      </x:c>
    </x:row>
    <x:row r="562">
      <x:c r="A562" s="14" t="n">
        <x:v>45809</x:v>
      </x:c>
      <x:c r="B562" s="11" t="str">
        <x:v>2025-06</x:v>
      </x:c>
      <x:c r="C562" s="11" t="str">
        <x:v>יוני 25</x:v>
      </x:c>
      <x:c r="D562" s="15" t="n">
        <x:v>83</x:v>
      </x:c>
      <x:c r="E562" s="11" t="str">
        <x:v>30</x:v>
      </x:c>
      <x:c r="F562" s="11" t="str">
        <x:v>קרפור</x:v>
      </x:c>
      <x:c r="G562" s="17" t="n">
        <x:v>18</x:v>
      </x:c>
      <x:c r="H562" s="18" t="str">
        <x:v>מזון לבית</x:v>
      </x:c>
      <x:c r="I562" s="19" t="str">
        <x:f>IFERROR(INDEX('מיפוי ומקורות'!$C$7:$C$33,MATCH(H562,'מיפוי ומקורות'!$B$7:$B$33,0)),"לא מסווג")</x:f>
        <x:v>מזון לבית</x:v>
      </x:c>
      <x:c r="J562" s="19" t="str">
        <x:f>IFERROR(INDEX('מיפוי ומקורות'!$D$7:$D$33,MATCH(H562,'מיפוי ומקורות'!$B$7:$B$33,0)),"שוטף")</x:f>
        <x:v>שוטף</x:v>
      </x:c>
      <x:c r="K562" s="19" t="str">
        <x:f>IF(OR(H562="ריביות",AND(H562="דירה כצנלסון",G562&lt;0,ISNUMBER(SEARCH("הכנסה",F562)))),"הכנסה שסווגה מחדש",J562)</x:f>
        <x:v>שוטף</x:v>
      </x:c>
      <x:c r="L562" s="19" t="str">
        <x:v>מאושר</x:v>
      </x:c>
      <x:c r="M562" s="20" t="n">
        <x:f>IF(L562="מאושר",IF(K562="הכנסה שסווגה מחדש",0,G562),0)</x:f>
        <x:v>18</x:v>
      </x:c>
      <x:c r="N562" s="20" t="n">
        <x:f>IF(K562="שוטף",M562,0)</x:f>
        <x:v>18</x:v>
      </x:c>
      <x:c r="O562" s="20" t="n">
        <x:f>IF(K562="הכנסה שסווגה מחדש",-G562,0)</x:f>
        <x:v>0</x:v>
      </x:c>
      <x:c r="P562" s="11" t="str">
        <x:v>אמקס עינור</x:v>
      </x:c>
      <x:c r="Q562" s="11" t="str"/>
      <x:c r="R562" s="11" t="str">
        <x:v>לא</x:v>
      </x:c>
    </x:row>
    <x:row r="563">
      <x:c r="A563" s="14" t="n">
        <x:v>45809</x:v>
      </x:c>
      <x:c r="B563" s="11" t="str">
        <x:v>2025-06</x:v>
      </x:c>
      <x:c r="C563" s="11" t="str">
        <x:v>יוני 25</x:v>
      </x:c>
      <x:c r="D563" s="15" t="n">
        <x:v>84</x:v>
      </x:c>
      <x:c r="E563" s="11" t="str">
        <x:v>9</x:v>
      </x:c>
      <x:c r="F563" s="11" t="str">
        <x:v>מסעדה</x:v>
      </x:c>
      <x:c r="G563" s="17" t="n">
        <x:v>75</x:v>
      </x:c>
      <x:c r="H563" s="18" t="str">
        <x:v>אוכל בחוץ</x:v>
      </x:c>
      <x:c r="I563" s="19" t="str">
        <x:f>IFERROR(INDEX('מיפוי ומקורות'!$C$7:$C$33,MATCH(H563,'מיפוי ומקורות'!$B$7:$B$33,0)),"לא מסווג")</x:f>
        <x:v>אוכל בחוץ</x:v>
      </x:c>
      <x:c r="J563" s="19" t="str">
        <x:f>IFERROR(INDEX('מיפוי ומקורות'!$D$7:$D$33,MATCH(H563,'מיפוי ומקורות'!$B$7:$B$33,0)),"שוטף")</x:f>
        <x:v>שוטף</x:v>
      </x:c>
      <x:c r="K563" s="19" t="str">
        <x:f>IF(OR(H563="ריביות",AND(H563="דירה כצנלסון",G563&lt;0,ISNUMBER(SEARCH("הכנסה",F563)))),"הכנסה שסווגה מחדש",J563)</x:f>
        <x:v>שוטף</x:v>
      </x:c>
      <x:c r="L563" s="19" t="str">
        <x:v>מאושר</x:v>
      </x:c>
      <x:c r="M563" s="20" t="n">
        <x:f>IF(L563="מאושר",IF(K563="הכנסה שסווגה מחדש",0,G563),0)</x:f>
        <x:v>75</x:v>
      </x:c>
      <x:c r="N563" s="20" t="n">
        <x:f>IF(K563="שוטף",M563,0)</x:f>
        <x:v>75</x:v>
      </x:c>
      <x:c r="O563" s="20" t="n">
        <x:f>IF(K563="הכנסה שסווגה מחדש",-G563,0)</x:f>
        <x:v>0</x:v>
      </x:c>
      <x:c r="P563" s="11" t="str">
        <x:v>מקס עינור</x:v>
      </x:c>
      <x:c r="Q563" s="11" t="str"/>
      <x:c r="R563" s="11" t="str">
        <x:v>לא</x:v>
      </x:c>
    </x:row>
    <x:row r="564">
      <x:c r="A564" s="14" t="n">
        <x:v>45809</x:v>
      </x:c>
      <x:c r="B564" s="11" t="str">
        <x:v>2025-06</x:v>
      </x:c>
      <x:c r="C564" s="11" t="str">
        <x:v>יוני 25</x:v>
      </x:c>
      <x:c r="D564" s="15" t="n">
        <x:v>85</x:v>
      </x:c>
      <x:c r="E564" s="11" t="str">
        <x:v>11</x:v>
      </x:c>
      <x:c r="F564" s="11" t="str">
        <x:v>טלפון זיו</x:v>
      </x:c>
      <x:c r="G564" s="17" t="n">
        <x:v>2178</x:v>
      </x:c>
      <x:c r="H564" s="18" t="str">
        <x:v>אלקטרוניקה</x:v>
      </x:c>
      <x:c r="I564" s="19" t="str">
        <x:f>IFERROR(INDEX('מיפוי ומקורות'!$C$7:$C$33,MATCH(H564,'מיפוי ומקורות'!$B$7:$B$33,0)),"לא מסווג")</x:f>
        <x:v>אלקטרוניקה</x:v>
      </x:c>
      <x:c r="J564" s="19" t="str">
        <x:f>IFERROR(INDEX('מיפוי ומקורות'!$D$7:$D$33,MATCH(H564,'מיפוי ומקורות'!$B$7:$B$33,0)),"שוטף")</x:f>
        <x:v>שוטף</x:v>
      </x:c>
      <x:c r="K564" s="19" t="str">
        <x:f>IF(OR(H564="ריביות",AND(H564="דירה כצנלסון",G564&lt;0,ISNUMBER(SEARCH("הכנסה",F564)))),"הכנסה שסווגה מחדש",J564)</x:f>
        <x:v>שוטף</x:v>
      </x:c>
      <x:c r="L564" s="19" t="str">
        <x:v>מאושר</x:v>
      </x:c>
      <x:c r="M564" s="20" t="n">
        <x:f>IF(L564="מאושר",IF(K564="הכנסה שסווגה מחדש",0,G564),0)</x:f>
        <x:v>2178</x:v>
      </x:c>
      <x:c r="N564" s="20" t="n">
        <x:f>IF(K564="שוטף",M564,0)</x:f>
        <x:v>2178</x:v>
      </x:c>
      <x:c r="O564" s="20" t="n">
        <x:f>IF(K564="הכנסה שסווגה מחדש",-G564,0)</x:f>
        <x:v>0</x:v>
      </x:c>
      <x:c r="P564" s="11" t="str">
        <x:v>מקס עינור</x:v>
      </x:c>
      <x:c r="Q564" s="11" t="str"/>
      <x:c r="R564" s="11" t="str">
        <x:v>לא</x:v>
      </x:c>
    </x:row>
    <x:row r="565">
      <x:c r="A565" s="14" t="n">
        <x:v>45809</x:v>
      </x:c>
      <x:c r="B565" s="11" t="str">
        <x:v>2025-06</x:v>
      </x:c>
      <x:c r="C565" s="11" t="str">
        <x:v>יוני 25</x:v>
      </x:c>
      <x:c r="D565" s="15" t="n">
        <x:v>86</x:v>
      </x:c>
      <x:c r="E565" s="11" t="str">
        <x:v>17</x:v>
      </x:c>
      <x:c r="F565" s="11" t="str">
        <x:v>מאפיה</x:v>
      </x:c>
      <x:c r="G565" s="17" t="n">
        <x:v>27</x:v>
      </x:c>
      <x:c r="H565" s="18" t="str">
        <x:v>מזון לבית</x:v>
      </x:c>
      <x:c r="I565" s="19" t="str">
        <x:f>IFERROR(INDEX('מיפוי ומקורות'!$C$7:$C$33,MATCH(H565,'מיפוי ומקורות'!$B$7:$B$33,0)),"לא מסווג")</x:f>
        <x:v>מזון לבית</x:v>
      </x:c>
      <x:c r="J565" s="19" t="str">
        <x:f>IFERROR(INDEX('מיפוי ומקורות'!$D$7:$D$33,MATCH(H565,'מיפוי ומקורות'!$B$7:$B$33,0)),"שוטף")</x:f>
        <x:v>שוטף</x:v>
      </x:c>
      <x:c r="K565" s="19" t="str">
        <x:f>IF(OR(H565="ריביות",AND(H565="דירה כצנלסון",G565&lt;0,ISNUMBER(SEARCH("הכנסה",F565)))),"הכנסה שסווגה מחדש",J565)</x:f>
        <x:v>שוטף</x:v>
      </x:c>
      <x:c r="L565" s="19" t="str">
        <x:v>מאושר</x:v>
      </x:c>
      <x:c r="M565" s="20" t="n">
        <x:f>IF(L565="מאושר",IF(K565="הכנסה שסווגה מחדש",0,G565),0)</x:f>
        <x:v>27</x:v>
      </x:c>
      <x:c r="N565" s="20" t="n">
        <x:f>IF(K565="שוטף",M565,0)</x:f>
        <x:v>27</x:v>
      </x:c>
      <x:c r="O565" s="20" t="n">
        <x:f>IF(K565="הכנסה שסווגה מחדש",-G565,0)</x:f>
        <x:v>0</x:v>
      </x:c>
      <x:c r="P565" s="11" t="str">
        <x:v>מקס עינור</x:v>
      </x:c>
      <x:c r="Q565" s="11" t="str"/>
      <x:c r="R565" s="11" t="str">
        <x:v>לא</x:v>
      </x:c>
    </x:row>
    <x:row r="566">
      <x:c r="A566" s="14" t="n">
        <x:v>45809</x:v>
      </x:c>
      <x:c r="B566" s="11" t="str">
        <x:v>2025-06</x:v>
      </x:c>
      <x:c r="C566" s="11" t="str">
        <x:v>יוני 25</x:v>
      </x:c>
      <x:c r="D566" s="15" t="n">
        <x:v>87</x:v>
      </x:c>
      <x:c r="E566" s="11" t="str">
        <x:v>20</x:v>
      </x:c>
      <x:c r="F566" s="11" t="str">
        <x:v>סופר (ביט)</x:v>
      </x:c>
      <x:c r="G566" s="17" t="n">
        <x:v>51</x:v>
      </x:c>
      <x:c r="H566" s="18" t="str">
        <x:v>מזון לבית</x:v>
      </x:c>
      <x:c r="I566" s="19" t="str">
        <x:f>IFERROR(INDEX('מיפוי ומקורות'!$C$7:$C$33,MATCH(H566,'מיפוי ומקורות'!$B$7:$B$33,0)),"לא מסווג")</x:f>
        <x:v>מזון לבית</x:v>
      </x:c>
      <x:c r="J566" s="19" t="str">
        <x:f>IFERROR(INDEX('מיפוי ומקורות'!$D$7:$D$33,MATCH(H566,'מיפוי ומקורות'!$B$7:$B$33,0)),"שוטף")</x:f>
        <x:v>שוטף</x:v>
      </x:c>
      <x:c r="K566" s="19" t="str">
        <x:f>IF(OR(H566="ריביות",AND(H566="דירה כצנלסון",G566&lt;0,ISNUMBER(SEARCH("הכנסה",F566)))),"הכנסה שסווגה מחדש",J566)</x:f>
        <x:v>שוטף</x:v>
      </x:c>
      <x:c r="L566" s="19" t="str">
        <x:v>מאושר</x:v>
      </x:c>
      <x:c r="M566" s="20" t="n">
        <x:f>IF(L566="מאושר",IF(K566="הכנסה שסווגה מחדש",0,G566),0)</x:f>
        <x:v>51</x:v>
      </x:c>
      <x:c r="N566" s="20" t="n">
        <x:f>IF(K566="שוטף",M566,0)</x:f>
        <x:v>51</x:v>
      </x:c>
      <x:c r="O566" s="20" t="n">
        <x:f>IF(K566="הכנסה שסווגה מחדש",-G566,0)</x:f>
        <x:v>0</x:v>
      </x:c>
      <x:c r="P566" s="11" t="str">
        <x:v>מקס עינור</x:v>
      </x:c>
      <x:c r="Q566" s="11" t="str"/>
      <x:c r="R566" s="11" t="str">
        <x:v>לא</x:v>
      </x:c>
    </x:row>
    <x:row r="567">
      <x:c r="A567" s="14" t="n">
        <x:v>45809</x:v>
      </x:c>
      <x:c r="B567" s="11" t="str">
        <x:v>2025-06</x:v>
      </x:c>
      <x:c r="C567" s="11" t="str">
        <x:v>יוני 25</x:v>
      </x:c>
      <x:c r="D567" s="15" t="n">
        <x:v>88</x:v>
      </x:c>
      <x:c r="E567" s="11" t="str">
        <x:v>26</x:v>
      </x:c>
      <x:c r="F567" s="11" t="str">
        <x:v>בר משחקי קופסא</x:v>
      </x:c>
      <x:c r="G567" s="17" t="n">
        <x:v>110</x:v>
      </x:c>
      <x:c r="H567" s="18" t="str">
        <x:v>פנאי</x:v>
      </x:c>
      <x:c r="I567" s="19" t="str">
        <x:f>IFERROR(INDEX('מיפוי ומקורות'!$C$7:$C$33,MATCH(H567,'מיפוי ומקורות'!$B$7:$B$33,0)),"לא מסווג")</x:f>
        <x:v>פנאי</x:v>
      </x:c>
      <x:c r="J567" s="19" t="str">
        <x:f>IFERROR(INDEX('מיפוי ומקורות'!$D$7:$D$33,MATCH(H567,'מיפוי ומקורות'!$B$7:$B$33,0)),"שוטף")</x:f>
        <x:v>שוטף</x:v>
      </x:c>
      <x:c r="K567" s="19" t="str">
        <x:f>IF(OR(H567="ריביות",AND(H567="דירה כצנלסון",G567&lt;0,ISNUMBER(SEARCH("הכנסה",F567)))),"הכנסה שסווגה מחדש",J567)</x:f>
        <x:v>שוטף</x:v>
      </x:c>
      <x:c r="L567" s="19" t="str">
        <x:v>מאושר</x:v>
      </x:c>
      <x:c r="M567" s="20" t="n">
        <x:f>IF(L567="מאושר",IF(K567="הכנסה שסווגה מחדש",0,G567),0)</x:f>
        <x:v>110</x:v>
      </x:c>
      <x:c r="N567" s="20" t="n">
        <x:f>IF(K567="שוטף",M567,0)</x:f>
        <x:v>110</x:v>
      </x:c>
      <x:c r="O567" s="20" t="n">
        <x:f>IF(K567="הכנסה שסווגה מחדש",-G567,0)</x:f>
        <x:v>0</x:v>
      </x:c>
      <x:c r="P567" s="11" t="str">
        <x:v>מקס עינור</x:v>
      </x:c>
      <x:c r="Q567" s="11" t="str"/>
      <x:c r="R567" s="11" t="str">
        <x:v>לא</x:v>
      </x:c>
    </x:row>
    <x:row r="568">
      <x:c r="A568" s="14" t="n">
        <x:v>45809</x:v>
      </x:c>
      <x:c r="B568" s="11" t="str">
        <x:v>2025-06</x:v>
      </x:c>
      <x:c r="C568" s="11" t="str">
        <x:v>יוני 25</x:v>
      </x:c>
      <x:c r="D568" s="15" t="n">
        <x:v>89</x:v>
      </x:c>
      <x:c r="E568" s="11" t="str">
        <x:v>27</x:v>
      </x:c>
      <x:c r="F568" s="11" t="str">
        <x:v>לק</x:v>
      </x:c>
      <x:c r="G568" s="17" t="n">
        <x:v>120</x:v>
      </x:c>
      <x:c r="H568" s="18" t="str">
        <x:v>קוסמטיקה</x:v>
      </x:c>
      <x:c r="I568" s="19" t="str">
        <x:f>IFERROR(INDEX('מיפוי ומקורות'!$C$7:$C$33,MATCH(H568,'מיפוי ומקורות'!$B$7:$B$33,0)),"לא מסווג")</x:f>
        <x:v>קוסמטיקה</x:v>
      </x:c>
      <x:c r="J568" s="19" t="str">
        <x:f>IFERROR(INDEX('מיפוי ומקורות'!$D$7:$D$33,MATCH(H568,'מיפוי ומקורות'!$B$7:$B$33,0)),"שוטף")</x:f>
        <x:v>שוטף</x:v>
      </x:c>
      <x:c r="K568" s="19" t="str">
        <x:f>IF(OR(H568="ריביות",AND(H568="דירה כצנלסון",G568&lt;0,ISNUMBER(SEARCH("הכנסה",F568)))),"הכנסה שסווגה מחדש",J568)</x:f>
        <x:v>שוטף</x:v>
      </x:c>
      <x:c r="L568" s="19" t="str">
        <x:v>מאושר</x:v>
      </x:c>
      <x:c r="M568" s="20" t="n">
        <x:f>IF(L568="מאושר",IF(K568="הכנסה שסווגה מחדש",0,G568),0)</x:f>
        <x:v>120</x:v>
      </x:c>
      <x:c r="N568" s="20" t="n">
        <x:f>IF(K568="שוטף",M568,0)</x:f>
        <x:v>120</x:v>
      </x:c>
      <x:c r="O568" s="20" t="n">
        <x:f>IF(K568="הכנסה שסווגה מחדש",-G568,0)</x:f>
        <x:v>0</x:v>
      </x:c>
      <x:c r="P568" s="11" t="str">
        <x:v>מקס עינור</x:v>
      </x:c>
      <x:c r="Q568" s="11" t="str"/>
      <x:c r="R568" s="11" t="str">
        <x:v>לא</x:v>
      </x:c>
    </x:row>
    <x:row r="569">
      <x:c r="A569" s="14" t="n">
        <x:v>45809</x:v>
      </x:c>
      <x:c r="B569" s="11" t="str">
        <x:v>2025-06</x:v>
      </x:c>
      <x:c r="C569" s="11" t="str">
        <x:v>יוני 25</x:v>
      </x:c>
      <x:c r="D569" s="15" t="n">
        <x:v>90</x:v>
      </x:c>
      <x:c r="E569" s="11" t="str">
        <x:v>12</x:v>
      </x:c>
      <x:c r="F569" s="11" t="str">
        <x:v>חומוס</x:v>
      </x:c>
      <x:c r="G569" s="17" t="n">
        <x:v>48</x:v>
      </x:c>
      <x:c r="H569" s="18" t="str">
        <x:v>אוכל בחוץ</x:v>
      </x:c>
      <x:c r="I569" s="19" t="str">
        <x:f>IFERROR(INDEX('מיפוי ומקורות'!$C$7:$C$33,MATCH(H569,'מיפוי ומקורות'!$B$7:$B$33,0)),"לא מסווג")</x:f>
        <x:v>אוכל בחוץ</x:v>
      </x:c>
      <x:c r="J569" s="19" t="str">
        <x:f>IFERROR(INDEX('מיפוי ומקורות'!$D$7:$D$33,MATCH(H569,'מיפוי ומקורות'!$B$7:$B$33,0)),"שוטף")</x:f>
        <x:v>שוטף</x:v>
      </x:c>
      <x:c r="K569" s="19" t="str">
        <x:f>IF(OR(H569="ריביות",AND(H569="דירה כצנלסון",G569&lt;0,ISNUMBER(SEARCH("הכנסה",F569)))),"הכנסה שסווגה מחדש",J569)</x:f>
        <x:v>שוטף</x:v>
      </x:c>
      <x:c r="L569" s="19" t="str">
        <x:v>מאושר</x:v>
      </x:c>
      <x:c r="M569" s="20" t="n">
        <x:f>IF(L569="מאושר",IF(K569="הכנסה שסווגה מחדש",0,G569),0)</x:f>
        <x:v>48</x:v>
      </x:c>
      <x:c r="N569" s="20" t="n">
        <x:f>IF(K569="שוטף",M569,0)</x:f>
        <x:v>48</x:v>
      </x:c>
      <x:c r="O569" s="20" t="n">
        <x:f>IF(K569="הכנסה שסווגה מחדש",-G569,0)</x:f>
        <x:v>0</x:v>
      </x:c>
      <x:c r="P569" s="11" t="str">
        <x:v>מקס זיו</x:v>
      </x:c>
      <x:c r="Q569" s="11" t="str"/>
      <x:c r="R569" s="11" t="str">
        <x:v>לא</x:v>
      </x:c>
    </x:row>
    <x:row r="570">
      <x:c r="A570" s="14" t="n">
        <x:v>45809</x:v>
      </x:c>
      <x:c r="B570" s="11" t="str">
        <x:v>2025-06</x:v>
      </x:c>
      <x:c r="C570" s="11" t="str">
        <x:v>יוני 25</x:v>
      </x:c>
      <x:c r="D570" s="15" t="n">
        <x:v>91</x:v>
      </x:c>
      <x:c r="E570" s="11" t="str">
        <x:v>14</x:v>
      </x:c>
      <x:c r="F570" s="11" t="str">
        <x:v>מכולת</x:v>
      </x:c>
      <x:c r="G570" s="17" t="n">
        <x:v>15</x:v>
      </x:c>
      <x:c r="H570" s="18" t="str">
        <x:v>מזון לבית</x:v>
      </x:c>
      <x:c r="I570" s="19" t="str">
        <x:f>IFERROR(INDEX('מיפוי ומקורות'!$C$7:$C$33,MATCH(H570,'מיפוי ומקורות'!$B$7:$B$33,0)),"לא מסווג")</x:f>
        <x:v>מזון לבית</x:v>
      </x:c>
      <x:c r="J570" s="19" t="str">
        <x:f>IFERROR(INDEX('מיפוי ומקורות'!$D$7:$D$33,MATCH(H570,'מיפוי ומקורות'!$B$7:$B$33,0)),"שוטף")</x:f>
        <x:v>שוטף</x:v>
      </x:c>
      <x:c r="K570" s="19" t="str">
        <x:f>IF(OR(H570="ריביות",AND(H570="דירה כצנלסון",G570&lt;0,ISNUMBER(SEARCH("הכנסה",F570)))),"הכנסה שסווגה מחדש",J570)</x:f>
        <x:v>שוטף</x:v>
      </x:c>
      <x:c r="L570" s="19" t="str">
        <x:v>מאושר</x:v>
      </x:c>
      <x:c r="M570" s="20" t="n">
        <x:f>IF(L570="מאושר",IF(K570="הכנסה שסווגה מחדש",0,G570),0)</x:f>
        <x:v>15</x:v>
      </x:c>
      <x:c r="N570" s="20" t="n">
        <x:f>IF(K570="שוטף",M570,0)</x:f>
        <x:v>15</x:v>
      </x:c>
      <x:c r="O570" s="20" t="n">
        <x:f>IF(K570="הכנסה שסווגה מחדש",-G570,0)</x:f>
        <x:v>0</x:v>
      </x:c>
      <x:c r="P570" s="11" t="str">
        <x:v>מקס זיו</x:v>
      </x:c>
      <x:c r="Q570" s="11" t="str"/>
      <x:c r="R570" s="11" t="str">
        <x:v>לא</x:v>
      </x:c>
    </x:row>
    <x:row r="571">
      <x:c r="A571" s="14" t="n">
        <x:v>45809</x:v>
      </x:c>
      <x:c r="B571" s="11" t="str">
        <x:v>2025-06</x:v>
      </x:c>
      <x:c r="C571" s="11" t="str">
        <x:v>יוני 25</x:v>
      </x:c>
      <x:c r="D571" s="15" t="n">
        <x:v>92</x:v>
      </x:c>
      <x:c r="E571" s="11" t="str">
        <x:v>16</x:v>
      </x:c>
      <x:c r="F571" s="11" t="str">
        <x:v>סופר</x:v>
      </x:c>
      <x:c r="G571" s="17" t="n">
        <x:v>54</x:v>
      </x:c>
      <x:c r="H571" s="18" t="str">
        <x:v>מזון לבית</x:v>
      </x:c>
      <x:c r="I571" s="19" t="str">
        <x:f>IFERROR(INDEX('מיפוי ומקורות'!$C$7:$C$33,MATCH(H571,'מיפוי ומקורות'!$B$7:$B$33,0)),"לא מסווג")</x:f>
        <x:v>מזון לבית</x:v>
      </x:c>
      <x:c r="J571" s="19" t="str">
        <x:f>IFERROR(INDEX('מיפוי ומקורות'!$D$7:$D$33,MATCH(H571,'מיפוי ומקורות'!$B$7:$B$33,0)),"שוטף")</x:f>
        <x:v>שוטף</x:v>
      </x:c>
      <x:c r="K571" s="19" t="str">
        <x:f>IF(OR(H571="ריביות",AND(H571="דירה כצנלסון",G571&lt;0,ISNUMBER(SEARCH("הכנסה",F571)))),"הכנסה שסווגה מחדש",J571)</x:f>
        <x:v>שוטף</x:v>
      </x:c>
      <x:c r="L571" s="19" t="str">
        <x:v>מאושר</x:v>
      </x:c>
      <x:c r="M571" s="20" t="n">
        <x:f>IF(L571="מאושר",IF(K571="הכנסה שסווגה מחדש",0,G571),0)</x:f>
        <x:v>54</x:v>
      </x:c>
      <x:c r="N571" s="20" t="n">
        <x:f>IF(K571="שוטף",M571,0)</x:f>
        <x:v>54</x:v>
      </x:c>
      <x:c r="O571" s="20" t="n">
        <x:f>IF(K571="הכנסה שסווגה מחדש",-G571,0)</x:f>
        <x:v>0</x:v>
      </x:c>
      <x:c r="P571" s="11" t="str">
        <x:v>מקס זיו</x:v>
      </x:c>
      <x:c r="Q571" s="11" t="str"/>
      <x:c r="R571" s="11" t="str">
        <x:v>לא</x:v>
      </x:c>
    </x:row>
    <x:row r="572">
      <x:c r="A572" s="14" t="n">
        <x:v>45809</x:v>
      </x:c>
      <x:c r="B572" s="11" t="str">
        <x:v>2025-06</x:v>
      </x:c>
      <x:c r="C572" s="11" t="str">
        <x:v>יוני 25</x:v>
      </x:c>
      <x:c r="D572" s="15" t="n">
        <x:v>93</x:v>
      </x:c>
      <x:c r="E572" s="11" t="str">
        <x:v>17</x:v>
      </x:c>
      <x:c r="F572" s="11" t="str">
        <x:v>ירקות</x:v>
      </x:c>
      <x:c r="G572" s="17" t="n">
        <x:v>4</x:v>
      </x:c>
      <x:c r="H572" s="18" t="str">
        <x:v>מזון לבית</x:v>
      </x:c>
      <x:c r="I572" s="19" t="str">
        <x:f>IFERROR(INDEX('מיפוי ומקורות'!$C$7:$C$33,MATCH(H572,'מיפוי ומקורות'!$B$7:$B$33,0)),"לא מסווג")</x:f>
        <x:v>מזון לבית</x:v>
      </x:c>
      <x:c r="J572" s="19" t="str">
        <x:f>IFERROR(INDEX('מיפוי ומקורות'!$D$7:$D$33,MATCH(H572,'מיפוי ומקורות'!$B$7:$B$33,0)),"שוטף")</x:f>
        <x:v>שוטף</x:v>
      </x:c>
      <x:c r="K572" s="19" t="str">
        <x:f>IF(OR(H572="ריביות",AND(H572="דירה כצנלסון",G572&lt;0,ISNUMBER(SEARCH("הכנסה",F572)))),"הכנסה שסווגה מחדש",J572)</x:f>
        <x:v>שוטף</x:v>
      </x:c>
      <x:c r="L572" s="19" t="str">
        <x:v>מאושר</x:v>
      </x:c>
      <x:c r="M572" s="20" t="n">
        <x:f>IF(L572="מאושר",IF(K572="הכנסה שסווגה מחדש",0,G572),0)</x:f>
        <x:v>4</x:v>
      </x:c>
      <x:c r="N572" s="20" t="n">
        <x:f>IF(K572="שוטף",M572,0)</x:f>
        <x:v>4</x:v>
      </x:c>
      <x:c r="O572" s="20" t="n">
        <x:f>IF(K572="הכנסה שסווגה מחדש",-G572,0)</x:f>
        <x:v>0</x:v>
      </x:c>
      <x:c r="P572" s="11" t="str">
        <x:v>מקס זיו</x:v>
      </x:c>
      <x:c r="Q572" s="11" t="str"/>
      <x:c r="R572" s="11" t="str">
        <x:v>לא</x:v>
      </x:c>
    </x:row>
    <x:row r="573">
      <x:c r="A573" s="14" t="n">
        <x:v>45809</x:v>
      </x:c>
      <x:c r="B573" s="11" t="str">
        <x:v>2025-06</x:v>
      </x:c>
      <x:c r="C573" s="11" t="str">
        <x:v>יוני 25</x:v>
      </x:c>
      <x:c r="D573" s="15" t="n">
        <x:v>94</x:v>
      </x:c>
      <x:c r="E573" s="11" t="str">
        <x:v>17</x:v>
      </x:c>
      <x:c r="F573" s="11" t="str">
        <x:v>ירקות</x:v>
      </x:c>
      <x:c r="G573" s="17" t="n">
        <x:v>10</x:v>
      </x:c>
      <x:c r="H573" s="18" t="str">
        <x:v>מזון לבית</x:v>
      </x:c>
      <x:c r="I573" s="19" t="str">
        <x:f>IFERROR(INDEX('מיפוי ומקורות'!$C$7:$C$33,MATCH(H573,'מיפוי ומקורות'!$B$7:$B$33,0)),"לא מסווג")</x:f>
        <x:v>מזון לבית</x:v>
      </x:c>
      <x:c r="J573" s="19" t="str">
        <x:f>IFERROR(INDEX('מיפוי ומקורות'!$D$7:$D$33,MATCH(H573,'מיפוי ומקורות'!$B$7:$B$33,0)),"שוטף")</x:f>
        <x:v>שוטף</x:v>
      </x:c>
      <x:c r="K573" s="19" t="str">
        <x:f>IF(OR(H573="ריביות",AND(H573="דירה כצנלסון",G573&lt;0,ISNUMBER(SEARCH("הכנסה",F573)))),"הכנסה שסווגה מחדש",J573)</x:f>
        <x:v>שוטף</x:v>
      </x:c>
      <x:c r="L573" s="19" t="str">
        <x:v>מאושר</x:v>
      </x:c>
      <x:c r="M573" s="20" t="n">
        <x:f>IF(L573="מאושר",IF(K573="הכנסה שסווגה מחדש",0,G573),0)</x:f>
        <x:v>10</x:v>
      </x:c>
      <x:c r="N573" s="20" t="n">
        <x:f>IF(K573="שוטף",M573,0)</x:f>
        <x:v>10</x:v>
      </x:c>
      <x:c r="O573" s="20" t="n">
        <x:f>IF(K573="הכנסה שסווגה מחדש",-G573,0)</x:f>
        <x:v>0</x:v>
      </x:c>
      <x:c r="P573" s="11" t="str">
        <x:v>מקס זיו</x:v>
      </x:c>
      <x:c r="Q573" s="11" t="str"/>
      <x:c r="R573" s="11" t="str">
        <x:v>לא</x:v>
      </x:c>
    </x:row>
    <x:row r="574">
      <x:c r="A574" s="14" t="n">
        <x:v>45809</x:v>
      </x:c>
      <x:c r="B574" s="11" t="str">
        <x:v>2025-06</x:v>
      </x:c>
      <x:c r="C574" s="11" t="str">
        <x:v>יוני 25</x:v>
      </x:c>
      <x:c r="D574" s="15" t="n">
        <x:v>95</x:v>
      </x:c>
      <x:c r="E574" s="11" t="str">
        <x:v>18</x:v>
      </x:c>
      <x:c r="F574" s="11" t="str">
        <x:v>חומוס</x:v>
      </x:c>
      <x:c r="G574" s="17" t="n">
        <x:v>83</x:v>
      </x:c>
      <x:c r="H574" s="18" t="str">
        <x:v>אוכל בחוץ</x:v>
      </x:c>
      <x:c r="I574" s="19" t="str">
        <x:f>IFERROR(INDEX('מיפוי ומקורות'!$C$7:$C$33,MATCH(H574,'מיפוי ומקורות'!$B$7:$B$33,0)),"לא מסווג")</x:f>
        <x:v>אוכל בחוץ</x:v>
      </x:c>
      <x:c r="J574" s="19" t="str">
        <x:f>IFERROR(INDEX('מיפוי ומקורות'!$D$7:$D$33,MATCH(H574,'מיפוי ומקורות'!$B$7:$B$33,0)),"שוטף")</x:f>
        <x:v>שוטף</x:v>
      </x:c>
      <x:c r="K574" s="19" t="str">
        <x:f>IF(OR(H574="ריביות",AND(H574="דירה כצנלסון",G574&lt;0,ISNUMBER(SEARCH("הכנסה",F574)))),"הכנסה שסווגה מחדש",J574)</x:f>
        <x:v>שוטף</x:v>
      </x:c>
      <x:c r="L574" s="19" t="str">
        <x:v>מאושר</x:v>
      </x:c>
      <x:c r="M574" s="20" t="n">
        <x:f>IF(L574="מאושר",IF(K574="הכנסה שסווגה מחדש",0,G574),0)</x:f>
        <x:v>83</x:v>
      </x:c>
      <x:c r="N574" s="20" t="n">
        <x:f>IF(K574="שוטף",M574,0)</x:f>
        <x:v>83</x:v>
      </x:c>
      <x:c r="O574" s="20" t="n">
        <x:f>IF(K574="הכנסה שסווגה מחדש",-G574,0)</x:f>
        <x:v>0</x:v>
      </x:c>
      <x:c r="P574" s="11" t="str">
        <x:v>מקס זיו</x:v>
      </x:c>
      <x:c r="Q574" s="11" t="str"/>
      <x:c r="R574" s="11" t="str">
        <x:v>לא</x:v>
      </x:c>
    </x:row>
    <x:row r="575">
      <x:c r="A575" s="14" t="n">
        <x:v>45809</x:v>
      </x:c>
      <x:c r="B575" s="11" t="str">
        <x:v>2025-06</x:v>
      </x:c>
      <x:c r="C575" s="11" t="str">
        <x:v>יוני 25</x:v>
      </x:c>
      <x:c r="D575" s="15" t="n">
        <x:v>96</x:v>
      </x:c>
      <x:c r="E575" s="11" t="str">
        <x:v>19</x:v>
      </x:c>
      <x:c r="F575" s="11" t="str">
        <x:v>מאפיה</x:v>
      </x:c>
      <x:c r="G575" s="17" t="n">
        <x:v>16</x:v>
      </x:c>
      <x:c r="H575" s="18" t="str">
        <x:v>אוכל בחוץ</x:v>
      </x:c>
      <x:c r="I575" s="19" t="str">
        <x:f>IFERROR(INDEX('מיפוי ומקורות'!$C$7:$C$33,MATCH(H575,'מיפוי ומקורות'!$B$7:$B$33,0)),"לא מסווג")</x:f>
        <x:v>אוכל בחוץ</x:v>
      </x:c>
      <x:c r="J575" s="19" t="str">
        <x:f>IFERROR(INDEX('מיפוי ומקורות'!$D$7:$D$33,MATCH(H575,'מיפוי ומקורות'!$B$7:$B$33,0)),"שוטף")</x:f>
        <x:v>שוטף</x:v>
      </x:c>
      <x:c r="K575" s="19" t="str">
        <x:f>IF(OR(H575="ריביות",AND(H575="דירה כצנלסון",G575&lt;0,ISNUMBER(SEARCH("הכנסה",F575)))),"הכנסה שסווגה מחדש",J575)</x:f>
        <x:v>שוטף</x:v>
      </x:c>
      <x:c r="L575" s="19" t="str">
        <x:v>מאושר</x:v>
      </x:c>
      <x:c r="M575" s="20" t="n">
        <x:f>IF(L575="מאושר",IF(K575="הכנסה שסווגה מחדש",0,G575),0)</x:f>
        <x:v>16</x:v>
      </x:c>
      <x:c r="N575" s="20" t="n">
        <x:f>IF(K575="שוטף",M575,0)</x:f>
        <x:v>16</x:v>
      </x:c>
      <x:c r="O575" s="20" t="n">
        <x:f>IF(K575="הכנסה שסווגה מחדש",-G575,0)</x:f>
        <x:v>0</x:v>
      </x:c>
      <x:c r="P575" s="11" t="str">
        <x:v>מקס זיו</x:v>
      </x:c>
      <x:c r="Q575" s="11" t="str"/>
      <x:c r="R575" s="11" t="str">
        <x:v>לא</x:v>
      </x:c>
    </x:row>
    <x:row r="576">
      <x:c r="A576" s="14" t="n">
        <x:v>45809</x:v>
      </x:c>
      <x:c r="B576" s="11" t="str">
        <x:v>2025-06</x:v>
      </x:c>
      <x:c r="C576" s="11" t="str">
        <x:v>יוני 25</x:v>
      </x:c>
      <x:c r="D576" s="15" t="n">
        <x:v>97</x:v>
      </x:c>
      <x:c r="E576" s="11" t="str">
        <x:v>19</x:v>
      </x:c>
      <x:c r="F576" s="11" t="str">
        <x:v>ירקות</x:v>
      </x:c>
      <x:c r="G576" s="17" t="n">
        <x:v>16</x:v>
      </x:c>
      <x:c r="H576" s="18" t="str">
        <x:v>מזון לבית</x:v>
      </x:c>
      <x:c r="I576" s="19" t="str">
        <x:f>IFERROR(INDEX('מיפוי ומקורות'!$C$7:$C$33,MATCH(H576,'מיפוי ומקורות'!$B$7:$B$33,0)),"לא מסווג")</x:f>
        <x:v>מזון לבית</x:v>
      </x:c>
      <x:c r="J576" s="19" t="str">
        <x:f>IFERROR(INDEX('מיפוי ומקורות'!$D$7:$D$33,MATCH(H576,'מיפוי ומקורות'!$B$7:$B$33,0)),"שוטף")</x:f>
        <x:v>שוטף</x:v>
      </x:c>
      <x:c r="K576" s="19" t="str">
        <x:f>IF(OR(H576="ריביות",AND(H576="דירה כצנלסון",G576&lt;0,ISNUMBER(SEARCH("הכנסה",F576)))),"הכנסה שסווגה מחדש",J576)</x:f>
        <x:v>שוטף</x:v>
      </x:c>
      <x:c r="L576" s="19" t="str">
        <x:v>מאושר</x:v>
      </x:c>
      <x:c r="M576" s="20" t="n">
        <x:f>IF(L576="מאושר",IF(K576="הכנסה שסווגה מחדש",0,G576),0)</x:f>
        <x:v>16</x:v>
      </x:c>
      <x:c r="N576" s="20" t="n">
        <x:f>IF(K576="שוטף",M576,0)</x:f>
        <x:v>16</x:v>
      </x:c>
      <x:c r="O576" s="20" t="n">
        <x:f>IF(K576="הכנסה שסווגה מחדש",-G576,0)</x:f>
        <x:v>0</x:v>
      </x:c>
      <x:c r="P576" s="11" t="str">
        <x:v>מקס זיו</x:v>
      </x:c>
      <x:c r="Q576" s="11" t="str"/>
      <x:c r="R576" s="11" t="str">
        <x:v>לא</x:v>
      </x:c>
    </x:row>
    <x:row r="577">
      <x:c r="A577" s="14" t="n">
        <x:v>45809</x:v>
      </x:c>
      <x:c r="B577" s="11" t="str">
        <x:v>2025-06</x:v>
      </x:c>
      <x:c r="C577" s="11" t="str">
        <x:v>יוני 25</x:v>
      </x:c>
      <x:c r="D577" s="15" t="n">
        <x:v>98</x:v>
      </x:c>
      <x:c r="E577" s="11" t="str">
        <x:v>19</x:v>
      </x:c>
      <x:c r="F577" s="11" t="str">
        <x:v>החזר טיסה</x:v>
      </x:c>
      <x:c r="G577" s="17" t="n">
        <x:v>-2120</x:v>
      </x:c>
      <x:c r="H577" s="18" t="str">
        <x:v>חול</x:v>
      </x:c>
      <x:c r="I577" s="19" t="str">
        <x:f>IFERROR(INDEX('מיפוי ומקורות'!$C$7:$C$33,MATCH(H577,'מיפוי ומקורות'!$B$7:$B$33,0)),"לא מסווג")</x:f>
        <x:v>נסיעות וחופשות</x:v>
      </x:c>
      <x:c r="J577" s="19" t="str">
        <x:f>IFERROR(INDEX('מיפוי ומקורות'!$D$7:$D$33,MATCH(H577,'מיפוי ומקורות'!$B$7:$B$33,0)),"שוטף")</x:f>
        <x:v>חריג</x:v>
      </x:c>
      <x:c r="K577" s="19" t="str">
        <x:f>IF(OR(H577="ריביות",AND(H577="דירה כצנלסון",G577&lt;0,ISNUMBER(SEARCH("הכנסה",F577)))),"הכנסה שסווגה מחדש",J577)</x:f>
        <x:v>חריג</x:v>
      </x:c>
      <x:c r="L577" s="19" t="str">
        <x:v>מאושר</x:v>
      </x:c>
      <x:c r="M577" s="20" t="n">
        <x:f>IF(L577="מאושר",IF(K577="הכנסה שסווגה מחדש",0,G577),0)</x:f>
        <x:v>-2120</x:v>
      </x:c>
      <x:c r="N577" s="20" t="n">
        <x:f>IF(K577="שוטף",M577,0)</x:f>
        <x:v>0</x:v>
      </x:c>
      <x:c r="O577" s="20" t="n">
        <x:f>IF(K577="הכנסה שסווגה מחדש",-G577,0)</x:f>
        <x:v>0</x:v>
      </x:c>
      <x:c r="P577" s="11" t="str">
        <x:v>מקס זיו</x:v>
      </x:c>
      <x:c r="Q577" s="11" t="str"/>
      <x:c r="R577" s="11" t="str">
        <x:v>לא</x:v>
      </x:c>
    </x:row>
    <x:row r="578">
      <x:c r="A578" s="14" t="n">
        <x:v>45809</x:v>
      </x:c>
      <x:c r="B578" s="11" t="str">
        <x:v>2025-06</x:v>
      </x:c>
      <x:c r="C578" s="11" t="str">
        <x:v>יוני 25</x:v>
      </x:c>
      <x:c r="D578" s="15" t="n">
        <x:v>99</x:v>
      </x:c>
      <x:c r="E578" s="11" t="str">
        <x:v>22</x:v>
      </x:c>
      <x:c r="F578" s="11" t="str">
        <x:v>בייקר</x:v>
      </x:c>
      <x:c r="G578" s="17" t="n">
        <x:v>100</x:v>
      </x:c>
      <x:c r="H578" s="18" t="str">
        <x:v>אוכל בחוץ</x:v>
      </x:c>
      <x:c r="I578" s="19" t="str">
        <x:f>IFERROR(INDEX('מיפוי ומקורות'!$C$7:$C$33,MATCH(H578,'מיפוי ומקורות'!$B$7:$B$33,0)),"לא מסווג")</x:f>
        <x:v>אוכל בחוץ</x:v>
      </x:c>
      <x:c r="J578" s="19" t="str">
        <x:f>IFERROR(INDEX('מיפוי ומקורות'!$D$7:$D$33,MATCH(H578,'מיפוי ומקורות'!$B$7:$B$33,0)),"שוטף")</x:f>
        <x:v>שוטף</x:v>
      </x:c>
      <x:c r="K578" s="19" t="str">
        <x:f>IF(OR(H578="ריביות",AND(H578="דירה כצנלסון",G578&lt;0,ISNUMBER(SEARCH("הכנסה",F578)))),"הכנסה שסווגה מחדש",J578)</x:f>
        <x:v>שוטף</x:v>
      </x:c>
      <x:c r="L578" s="19" t="str">
        <x:v>מאושר</x:v>
      </x:c>
      <x:c r="M578" s="20" t="n">
        <x:f>IF(L578="מאושר",IF(K578="הכנסה שסווגה מחדש",0,G578),0)</x:f>
        <x:v>100</x:v>
      </x:c>
      <x:c r="N578" s="20" t="n">
        <x:f>IF(K578="שוטף",M578,0)</x:f>
        <x:v>100</x:v>
      </x:c>
      <x:c r="O578" s="20" t="n">
        <x:f>IF(K578="הכנסה שסווגה מחדש",-G578,0)</x:f>
        <x:v>0</x:v>
      </x:c>
      <x:c r="P578" s="11" t="str">
        <x:v>אמקס זיו</x:v>
      </x:c>
      <x:c r="Q578" s="11" t="str"/>
      <x:c r="R578" s="11" t="str">
        <x:v>לא</x:v>
      </x:c>
    </x:row>
    <x:row r="579">
      <x:c r="A579" s="14" t="n">
        <x:v>45809</x:v>
      </x:c>
      <x:c r="B579" s="11" t="str">
        <x:v>2025-06</x:v>
      </x:c>
      <x:c r="C579" s="11" t="str">
        <x:v>יוני 25</x:v>
      </x:c>
      <x:c r="D579" s="15" t="n">
        <x:v>100</x:v>
      </x:c>
      <x:c r="E579" s="11" t="str">
        <x:v>22</x:v>
      </x:c>
      <x:c r="F579" s="11" t="str">
        <x:v>אוטלו</x:v>
      </x:c>
      <x:c r="G579" s="17" t="n">
        <x:v>83</x:v>
      </x:c>
      <x:c r="H579" s="18" t="str">
        <x:v>אוכל בחוץ</x:v>
      </x:c>
      <x:c r="I579" s="19" t="str">
        <x:f>IFERROR(INDEX('מיפוי ומקורות'!$C$7:$C$33,MATCH(H579,'מיפוי ומקורות'!$B$7:$B$33,0)),"לא מסווג")</x:f>
        <x:v>אוכל בחוץ</x:v>
      </x:c>
      <x:c r="J579" s="19" t="str">
        <x:f>IFERROR(INDEX('מיפוי ומקורות'!$D$7:$D$33,MATCH(H579,'מיפוי ומקורות'!$B$7:$B$33,0)),"שוטף")</x:f>
        <x:v>שוטף</x:v>
      </x:c>
      <x:c r="K579" s="19" t="str">
        <x:f>IF(OR(H579="ריביות",AND(H579="דירה כצנלסון",G579&lt;0,ISNUMBER(SEARCH("הכנסה",F579)))),"הכנסה שסווגה מחדש",J579)</x:f>
        <x:v>שוטף</x:v>
      </x:c>
      <x:c r="L579" s="19" t="str">
        <x:v>מאושר</x:v>
      </x:c>
      <x:c r="M579" s="20" t="n">
        <x:f>IF(L579="מאושר",IF(K579="הכנסה שסווגה מחדש",0,G579),0)</x:f>
        <x:v>83</x:v>
      </x:c>
      <x:c r="N579" s="20" t="n">
        <x:f>IF(K579="שוטף",M579,0)</x:f>
        <x:v>83</x:v>
      </x:c>
      <x:c r="O579" s="20" t="n">
        <x:f>IF(K579="הכנסה שסווגה מחדש",-G579,0)</x:f>
        <x:v>0</x:v>
      </x:c>
      <x:c r="P579" s="11" t="str">
        <x:v>אמקס זיו</x:v>
      </x:c>
      <x:c r="Q579" s="11" t="str"/>
      <x:c r="R579" s="11" t="str">
        <x:v>לא</x:v>
      </x:c>
    </x:row>
    <x:row r="580">
      <x:c r="A580" s="14" t="n">
        <x:v>45809</x:v>
      </x:c>
      <x:c r="B580" s="11" t="str">
        <x:v>2025-06</x:v>
      </x:c>
      <x:c r="C580" s="11" t="str">
        <x:v>יוני 25</x:v>
      </x:c>
      <x:c r="D580" s="15" t="n">
        <x:v>101</x:v>
      </x:c>
      <x:c r="E580" s="11" t="str">
        <x:v>22</x:v>
      </x:c>
      <x:c r="F580" s="11" t="str">
        <x:v>ירקות</x:v>
      </x:c>
      <x:c r="G580" s="17" t="n">
        <x:v>41</x:v>
      </x:c>
      <x:c r="H580" s="18" t="str">
        <x:v>מזון לבית</x:v>
      </x:c>
      <x:c r="I580" s="19" t="str">
        <x:f>IFERROR(INDEX('מיפוי ומקורות'!$C$7:$C$33,MATCH(H580,'מיפוי ומקורות'!$B$7:$B$33,0)),"לא מסווג")</x:f>
        <x:v>מזון לבית</x:v>
      </x:c>
      <x:c r="J580" s="19" t="str">
        <x:f>IFERROR(INDEX('מיפוי ומקורות'!$D$7:$D$33,MATCH(H580,'מיפוי ומקורות'!$B$7:$B$33,0)),"שוטף")</x:f>
        <x:v>שוטף</x:v>
      </x:c>
      <x:c r="K580" s="19" t="str">
        <x:f>IF(OR(H580="ריביות",AND(H580="דירה כצנלסון",G580&lt;0,ISNUMBER(SEARCH("הכנסה",F580)))),"הכנסה שסווגה מחדש",J580)</x:f>
        <x:v>שוטף</x:v>
      </x:c>
      <x:c r="L580" s="19" t="str">
        <x:v>מאושר</x:v>
      </x:c>
      <x:c r="M580" s="20" t="n">
        <x:f>IF(L580="מאושר",IF(K580="הכנסה שסווגה מחדש",0,G580),0)</x:f>
        <x:v>41</x:v>
      </x:c>
      <x:c r="N580" s="20" t="n">
        <x:f>IF(K580="שוטף",M580,0)</x:f>
        <x:v>41</x:v>
      </x:c>
      <x:c r="O580" s="20" t="n">
        <x:f>IF(K580="הכנסה שסווגה מחדש",-G580,0)</x:f>
        <x:v>0</x:v>
      </x:c>
      <x:c r="P580" s="11" t="str">
        <x:v>אמקס זיו</x:v>
      </x:c>
      <x:c r="Q580" s="11" t="str"/>
      <x:c r="R580" s="11" t="str">
        <x:v>לא</x:v>
      </x:c>
    </x:row>
    <x:row r="581">
      <x:c r="A581" s="14" t="n">
        <x:v>45809</x:v>
      </x:c>
      <x:c r="B581" s="11" t="str">
        <x:v>2025-06</x:v>
      </x:c>
      <x:c r="C581" s="11" t="str">
        <x:v>יוני 25</x:v>
      </x:c>
      <x:c r="D581" s="15" t="n">
        <x:v>102</x:v>
      </x:c>
      <x:c r="E581" s="11" t="str">
        <x:v>22</x:v>
      </x:c>
      <x:c r="F581" s="11" t="str">
        <x:v>B</x:v>
      </x:c>
      <x:c r="G581" s="17" t="n">
        <x:v>59</x:v>
      </x:c>
      <x:c r="H581" s="18" t="str">
        <x:v>בריאות</x:v>
      </x:c>
      <x:c r="I581" s="19" t="str">
        <x:f>IFERROR(INDEX('מיפוי ומקורות'!$C$7:$C$33,MATCH(H581,'מיפוי ומקורות'!$B$7:$B$33,0)),"לא מסווג")</x:f>
        <x:v>בריאות וטיפולים</x:v>
      </x:c>
      <x:c r="J581" s="19" t="str">
        <x:f>IFERROR(INDEX('מיפוי ומקורות'!$D$7:$D$33,MATCH(H581,'מיפוי ומקורות'!$B$7:$B$33,0)),"שוטף")</x:f>
        <x:v>שוטף</x:v>
      </x:c>
      <x:c r="K581" s="19" t="str">
        <x:f>IF(OR(H581="ריביות",AND(H581="דירה כצנלסון",G581&lt;0,ISNUMBER(SEARCH("הכנסה",F581)))),"הכנסה שסווגה מחדש",J581)</x:f>
        <x:v>שוטף</x:v>
      </x:c>
      <x:c r="L581" s="19" t="str">
        <x:v>מאושר</x:v>
      </x:c>
      <x:c r="M581" s="20" t="n">
        <x:f>IF(L581="מאושר",IF(K581="הכנסה שסווגה מחדש",0,G581),0)</x:f>
        <x:v>59</x:v>
      </x:c>
      <x:c r="N581" s="20" t="n">
        <x:f>IF(K581="שוטף",M581,0)</x:f>
        <x:v>59</x:v>
      </x:c>
      <x:c r="O581" s="20" t="n">
        <x:f>IF(K581="הכנסה שסווגה מחדש",-G581,0)</x:f>
        <x:v>0</x:v>
      </x:c>
      <x:c r="P581" s="11" t="str">
        <x:v>אמקס זיו</x:v>
      </x:c>
      <x:c r="Q581" s="11" t="str"/>
      <x:c r="R581" s="11" t="str">
        <x:v>לא</x:v>
      </x:c>
    </x:row>
    <x:row r="582">
      <x:c r="A582" s="14" t="n">
        <x:v>45809</x:v>
      </x:c>
      <x:c r="B582" s="11" t="str">
        <x:v>2025-06</x:v>
      </x:c>
      <x:c r="C582" s="11" t="str">
        <x:v>יוני 25</x:v>
      </x:c>
      <x:c r="D582" s="15" t="n">
        <x:v>103</x:v>
      </x:c>
      <x:c r="E582" s="11" t="str">
        <x:v>25</x:v>
      </x:c>
      <x:c r="F582" s="11" t="str">
        <x:v>מסעדה</x:v>
      </x:c>
      <x:c r="G582" s="17" t="n">
        <x:v>58</x:v>
      </x:c>
      <x:c r="H582" s="18" t="str">
        <x:v>אוכל בחוץ</x:v>
      </x:c>
      <x:c r="I582" s="19" t="str">
        <x:f>IFERROR(INDEX('מיפוי ומקורות'!$C$7:$C$33,MATCH(H582,'מיפוי ומקורות'!$B$7:$B$33,0)),"לא מסווג")</x:f>
        <x:v>אוכל בחוץ</x:v>
      </x:c>
      <x:c r="J582" s="19" t="str">
        <x:f>IFERROR(INDEX('מיפוי ומקורות'!$D$7:$D$33,MATCH(H582,'מיפוי ומקורות'!$B$7:$B$33,0)),"שוטף")</x:f>
        <x:v>שוטף</x:v>
      </x:c>
      <x:c r="K582" s="19" t="str">
        <x:f>IF(OR(H582="ריביות",AND(H582="דירה כצנלסון",G582&lt;0,ISNUMBER(SEARCH("הכנסה",F582)))),"הכנסה שסווגה מחדש",J582)</x:f>
        <x:v>שוטף</x:v>
      </x:c>
      <x:c r="L582" s="19" t="str">
        <x:v>מאושר</x:v>
      </x:c>
      <x:c r="M582" s="20" t="n">
        <x:f>IF(L582="מאושר",IF(K582="הכנסה שסווגה מחדש",0,G582),0)</x:f>
        <x:v>58</x:v>
      </x:c>
      <x:c r="N582" s="20" t="n">
        <x:f>IF(K582="שוטף",M582,0)</x:f>
        <x:v>58</x:v>
      </x:c>
      <x:c r="O582" s="20" t="n">
        <x:f>IF(K582="הכנסה שסווגה מחדש",-G582,0)</x:f>
        <x:v>0</x:v>
      </x:c>
      <x:c r="P582" s="11" t="str">
        <x:v>אמקס זיו</x:v>
      </x:c>
      <x:c r="Q582" s="11" t="str"/>
      <x:c r="R582" s="11" t="str">
        <x:v>לא</x:v>
      </x:c>
    </x:row>
    <x:row r="583">
      <x:c r="A583" s="14" t="n">
        <x:v>45809</x:v>
      </x:c>
      <x:c r="B583" s="11" t="str">
        <x:v>2025-06</x:v>
      </x:c>
      <x:c r="C583" s="11" t="str">
        <x:v>יוני 25</x:v>
      </x:c>
      <x:c r="D583" s="15" t="n">
        <x:v>104</x:v>
      </x:c>
      <x:c r="E583" s="11" t="str">
        <x:v>26</x:v>
      </x:c>
      <x:c r="F583" s="11" t="str">
        <x:v>מכולת</x:v>
      </x:c>
      <x:c r="G583" s="17" t="n">
        <x:v>7</x:v>
      </x:c>
      <x:c r="H583" s="18" t="str">
        <x:v>מזון לבית</x:v>
      </x:c>
      <x:c r="I583" s="19" t="str">
        <x:f>IFERROR(INDEX('מיפוי ומקורות'!$C$7:$C$33,MATCH(H583,'מיפוי ומקורות'!$B$7:$B$33,0)),"לא מסווג")</x:f>
        <x:v>מזון לבית</x:v>
      </x:c>
      <x:c r="J583" s="19" t="str">
        <x:f>IFERROR(INDEX('מיפוי ומקורות'!$D$7:$D$33,MATCH(H583,'מיפוי ומקורות'!$B$7:$B$33,0)),"שוטף")</x:f>
        <x:v>שוטף</x:v>
      </x:c>
      <x:c r="K583" s="19" t="str">
        <x:f>IF(OR(H583="ריביות",AND(H583="דירה כצנלסון",G583&lt;0,ISNUMBER(SEARCH("הכנסה",F583)))),"הכנסה שסווגה מחדש",J583)</x:f>
        <x:v>שוטף</x:v>
      </x:c>
      <x:c r="L583" s="19" t="str">
        <x:v>מאושר</x:v>
      </x:c>
      <x:c r="M583" s="20" t="n">
        <x:f>IF(L583="מאושר",IF(K583="הכנסה שסווגה מחדש",0,G583),0)</x:f>
        <x:v>7</x:v>
      </x:c>
      <x:c r="N583" s="20" t="n">
        <x:f>IF(K583="שוטף",M583,0)</x:f>
        <x:v>7</x:v>
      </x:c>
      <x:c r="O583" s="20" t="n">
        <x:f>IF(K583="הכנסה שסווגה מחדש",-G583,0)</x:f>
        <x:v>0</x:v>
      </x:c>
      <x:c r="P583" s="11" t="str">
        <x:v>אמקס זיו</x:v>
      </x:c>
      <x:c r="Q583" s="11" t="str"/>
      <x:c r="R583" s="11" t="str">
        <x:v>לא</x:v>
      </x:c>
    </x:row>
    <x:row r="584">
      <x:c r="A584" s="14" t="n">
        <x:v>45809</x:v>
      </x:c>
      <x:c r="B584" s="11" t="str">
        <x:v>2025-06</x:v>
      </x:c>
      <x:c r="C584" s="11" t="str">
        <x:v>יוני 25</x:v>
      </x:c>
      <x:c r="D584" s="15" t="n">
        <x:v>105</x:v>
      </x:c>
      <x:c r="E584" s="11" t="str">
        <x:v>26</x:v>
      </x:c>
      <x:c r="F584" s="11" t="str">
        <x:v>מסעדה</x:v>
      </x:c>
      <x:c r="G584" s="17" t="n">
        <x:v>173</x:v>
      </x:c>
      <x:c r="H584" s="18" t="str">
        <x:v>אוכל בחוץ</x:v>
      </x:c>
      <x:c r="I584" s="19" t="str">
        <x:f>IFERROR(INDEX('מיפוי ומקורות'!$C$7:$C$33,MATCH(H584,'מיפוי ומקורות'!$B$7:$B$33,0)),"לא מסווג")</x:f>
        <x:v>אוכל בחוץ</x:v>
      </x:c>
      <x:c r="J584" s="19" t="str">
        <x:f>IFERROR(INDEX('מיפוי ומקורות'!$D$7:$D$33,MATCH(H584,'מיפוי ומקורות'!$B$7:$B$33,0)),"שוטף")</x:f>
        <x:v>שוטף</x:v>
      </x:c>
      <x:c r="K584" s="19" t="str">
        <x:f>IF(OR(H584="ריביות",AND(H584="דירה כצנלסון",G584&lt;0,ISNUMBER(SEARCH("הכנסה",F584)))),"הכנסה שסווגה מחדש",J584)</x:f>
        <x:v>שוטף</x:v>
      </x:c>
      <x:c r="L584" s="19" t="str">
        <x:v>מאושר</x:v>
      </x:c>
      <x:c r="M584" s="20" t="n">
        <x:f>IF(L584="מאושר",IF(K584="הכנסה שסווגה מחדש",0,G584),0)</x:f>
        <x:v>173</x:v>
      </x:c>
      <x:c r="N584" s="20" t="n">
        <x:f>IF(K584="שוטף",M584,0)</x:f>
        <x:v>173</x:v>
      </x:c>
      <x:c r="O584" s="20" t="n">
        <x:f>IF(K584="הכנסה שסווגה מחדש",-G584,0)</x:f>
        <x:v>0</x:v>
      </x:c>
      <x:c r="P584" s="11" t="str">
        <x:v>אמקס זיו</x:v>
      </x:c>
      <x:c r="Q584" s="11" t="str"/>
      <x:c r="R584" s="11" t="str">
        <x:v>לא</x:v>
      </x:c>
    </x:row>
    <x:row r="585">
      <x:c r="A585" s="14" t="n">
        <x:v>45809</x:v>
      </x:c>
      <x:c r="B585" s="11" t="str">
        <x:v>2025-06</x:v>
      </x:c>
      <x:c r="C585" s="11" t="str">
        <x:v>יוני 25</x:v>
      </x:c>
      <x:c r="D585" s="15" t="n">
        <x:v>106</x:v>
      </x:c>
      <x:c r="E585" s="11" t="str">
        <x:v>26</x:v>
      </x:c>
      <x:c r="F585" s="11" t="str">
        <x:v>ירקות</x:v>
      </x:c>
      <x:c r="G585" s="17" t="n">
        <x:v>54</x:v>
      </x:c>
      <x:c r="H585" s="18" t="str">
        <x:v>מזון לבית</x:v>
      </x:c>
      <x:c r="I585" s="19" t="str">
        <x:f>IFERROR(INDEX('מיפוי ומקורות'!$C$7:$C$33,MATCH(H585,'מיפוי ומקורות'!$B$7:$B$33,0)),"לא מסווג")</x:f>
        <x:v>מזון לבית</x:v>
      </x:c>
      <x:c r="J585" s="19" t="str">
        <x:f>IFERROR(INDEX('מיפוי ומקורות'!$D$7:$D$33,MATCH(H585,'מיפוי ומקורות'!$B$7:$B$33,0)),"שוטף")</x:f>
        <x:v>שוטף</x:v>
      </x:c>
      <x:c r="K585" s="19" t="str">
        <x:f>IF(OR(H585="ריביות",AND(H585="דירה כצנלסון",G585&lt;0,ISNUMBER(SEARCH("הכנסה",F585)))),"הכנסה שסווגה מחדש",J585)</x:f>
        <x:v>שוטף</x:v>
      </x:c>
      <x:c r="L585" s="19" t="str">
        <x:v>מאושר</x:v>
      </x:c>
      <x:c r="M585" s="20" t="n">
        <x:f>IF(L585="מאושר",IF(K585="הכנסה שסווגה מחדש",0,G585),0)</x:f>
        <x:v>54</x:v>
      </x:c>
      <x:c r="N585" s="20" t="n">
        <x:f>IF(K585="שוטף",M585,0)</x:f>
        <x:v>54</x:v>
      </x:c>
      <x:c r="O585" s="20" t="n">
        <x:f>IF(K585="הכנסה שסווגה מחדש",-G585,0)</x:f>
        <x:v>0</x:v>
      </x:c>
      <x:c r="P585" s="11" t="str">
        <x:v>אמקס זיו</x:v>
      </x:c>
      <x:c r="Q585" s="11" t="str"/>
      <x:c r="R585" s="11" t="str">
        <x:v>לא</x:v>
      </x:c>
    </x:row>
    <x:row r="586">
      <x:c r="A586" s="14" t="n">
        <x:v>45809</x:v>
      </x:c>
      <x:c r="B586" s="11" t="str">
        <x:v>2025-06</x:v>
      </x:c>
      <x:c r="C586" s="11" t="str">
        <x:v>יוני 25</x:v>
      </x:c>
      <x:c r="D586" s="15" t="n">
        <x:v>107</x:v>
      </x:c>
      <x:c r="E586" s="11" t="str">
        <x:v>29</x:v>
      </x:c>
      <x:c r="F586" s="11" t="str">
        <x:v>זומבה</x:v>
      </x:c>
      <x:c r="G586" s="17" t="n">
        <x:v>25</x:v>
      </x:c>
      <x:c r="H586" s="18" t="str">
        <x:v>ספורט</x:v>
      </x:c>
      <x:c r="I586" s="19" t="str">
        <x:f>IFERROR(INDEX('מיפוי ומקורות'!$C$7:$C$33,MATCH(H586,'מיפוי ומקורות'!$B$7:$B$33,0)),"לא מסווג")</x:f>
        <x:v>ספורט</x:v>
      </x:c>
      <x:c r="J586" s="19" t="str">
        <x:f>IFERROR(INDEX('מיפוי ומקורות'!$D$7:$D$33,MATCH(H586,'מיפוי ומקורות'!$B$7:$B$33,0)),"שוטף")</x:f>
        <x:v>שוטף</x:v>
      </x:c>
      <x:c r="K586" s="19" t="str">
        <x:f>IF(OR(H586="ריביות",AND(H586="דירה כצנלסון",G586&lt;0,ISNUMBER(SEARCH("הכנסה",F586)))),"הכנסה שסווגה מחדש",J586)</x:f>
        <x:v>שוטף</x:v>
      </x:c>
      <x:c r="L586" s="19" t="str">
        <x:v>מאושר</x:v>
      </x:c>
      <x:c r="M586" s="20" t="n">
        <x:f>IF(L586="מאושר",IF(K586="הכנסה שסווגה מחדש",0,G586),0)</x:f>
        <x:v>25</x:v>
      </x:c>
      <x:c r="N586" s="20" t="n">
        <x:f>IF(K586="שוטף",M586,0)</x:f>
        <x:v>25</x:v>
      </x:c>
      <x:c r="O586" s="20" t="n">
        <x:f>IF(K586="הכנסה שסווגה מחדש",-G586,0)</x:f>
        <x:v>0</x:v>
      </x:c>
      <x:c r="P586" s="11" t="str">
        <x:v>אמקס זיו</x:v>
      </x:c>
      <x:c r="Q586" s="11" t="str"/>
      <x:c r="R586" s="11" t="str">
        <x:v>לא</x:v>
      </x:c>
    </x:row>
    <x:row r="587">
      <x:c r="A587" s="14" t="n">
        <x:v>45809</x:v>
      </x:c>
      <x:c r="B587" s="11" t="str">
        <x:v>2025-06</x:v>
      </x:c>
      <x:c r="C587" s="11" t="str">
        <x:v>יוני 25</x:v>
      </x:c>
      <x:c r="D587" s="15" t="n">
        <x:v>108</x:v>
      </x:c>
      <x:c r="E587" s="11" t="str">
        <x:v>29</x:v>
      </x:c>
      <x:c r="F587" s="11" t="str">
        <x:v>סופר</x:v>
      </x:c>
      <x:c r="G587" s="17" t="n">
        <x:v>25</x:v>
      </x:c>
      <x:c r="H587" s="18" t="str">
        <x:v>מזון לבית</x:v>
      </x:c>
      <x:c r="I587" s="19" t="str">
        <x:f>IFERROR(INDEX('מיפוי ומקורות'!$C$7:$C$33,MATCH(H587,'מיפוי ומקורות'!$B$7:$B$33,0)),"לא מסווג")</x:f>
        <x:v>מזון לבית</x:v>
      </x:c>
      <x:c r="J587" s="19" t="str">
        <x:f>IFERROR(INDEX('מיפוי ומקורות'!$D$7:$D$33,MATCH(H587,'מיפוי ומקורות'!$B$7:$B$33,0)),"שוטף")</x:f>
        <x:v>שוטף</x:v>
      </x:c>
      <x:c r="K587" s="19" t="str">
        <x:f>IF(OR(H587="ריביות",AND(H587="דירה כצנלסון",G587&lt;0,ISNUMBER(SEARCH("הכנסה",F587)))),"הכנסה שסווגה מחדש",J587)</x:f>
        <x:v>שוטף</x:v>
      </x:c>
      <x:c r="L587" s="19" t="str">
        <x:v>מאושר</x:v>
      </x:c>
      <x:c r="M587" s="20" t="n">
        <x:f>IF(L587="מאושר",IF(K587="הכנסה שסווגה מחדש",0,G587),0)</x:f>
        <x:v>25</x:v>
      </x:c>
      <x:c r="N587" s="20" t="n">
        <x:f>IF(K587="שוטף",M587,0)</x:f>
        <x:v>25</x:v>
      </x:c>
      <x:c r="O587" s="20" t="n">
        <x:f>IF(K587="הכנסה שסווגה מחדש",-G587,0)</x:f>
        <x:v>0</x:v>
      </x:c>
      <x:c r="P587" s="11" t="str">
        <x:v>אמקס זיו</x:v>
      </x:c>
      <x:c r="Q587" s="11" t="str"/>
      <x:c r="R587" s="11" t="str">
        <x:v>לא</x:v>
      </x:c>
    </x:row>
    <x:row r="588">
      <x:c r="A588" s="14" t="n">
        <x:v>45809</x:v>
      </x:c>
      <x:c r="B588" s="11" t="str">
        <x:v>2025-06</x:v>
      </x:c>
      <x:c r="C588" s="11" t="str">
        <x:v>יוני 25</x:v>
      </x:c>
      <x:c r="D588" s="15" t="n">
        <x:v>109</x:v>
      </x:c>
      <x:c r="E588" s="11" t="str">
        <x:v>30</x:v>
      </x:c>
      <x:c r="F588" s="11" t="str">
        <x:v>אומנות</x:v>
      </x:c>
      <x:c r="G588" s="17" t="n">
        <x:v>190</x:v>
      </x:c>
      <x:c r="H588" s="18" t="str">
        <x:v>פנאי</x:v>
      </x:c>
      <x:c r="I588" s="19" t="str">
        <x:f>IFERROR(INDEX('מיפוי ומקורות'!$C$7:$C$33,MATCH(H588,'מיפוי ומקורות'!$B$7:$B$33,0)),"לא מסווג")</x:f>
        <x:v>פנאי</x:v>
      </x:c>
      <x:c r="J588" s="19" t="str">
        <x:f>IFERROR(INDEX('מיפוי ומקורות'!$D$7:$D$33,MATCH(H588,'מיפוי ומקורות'!$B$7:$B$33,0)),"שוטף")</x:f>
        <x:v>שוטף</x:v>
      </x:c>
      <x:c r="K588" s="19" t="str">
        <x:f>IF(OR(H588="ריביות",AND(H588="דירה כצנלסון",G588&lt;0,ISNUMBER(SEARCH("הכנסה",F588)))),"הכנסה שסווגה מחדש",J588)</x:f>
        <x:v>שוטף</x:v>
      </x:c>
      <x:c r="L588" s="19" t="str">
        <x:v>מאושר</x:v>
      </x:c>
      <x:c r="M588" s="20" t="n">
        <x:f>IF(L588="מאושר",IF(K588="הכנסה שסווגה מחדש",0,G588),0)</x:f>
        <x:v>190</x:v>
      </x:c>
      <x:c r="N588" s="20" t="n">
        <x:f>IF(K588="שוטף",M588,0)</x:f>
        <x:v>190</x:v>
      </x:c>
      <x:c r="O588" s="20" t="n">
        <x:f>IF(K588="הכנסה שסווגה מחדש",-G588,0)</x:f>
        <x:v>0</x:v>
      </x:c>
      <x:c r="P588" s="11" t="str">
        <x:v>אמקס זיו</x:v>
      </x:c>
      <x:c r="Q588" s="11" t="str"/>
      <x:c r="R588" s="11" t="str">
        <x:v>לא</x:v>
      </x:c>
    </x:row>
    <x:row r="589">
      <x:c r="A589" s="14" t="n">
        <x:v>45809</x:v>
      </x:c>
      <x:c r="B589" s="11" t="str">
        <x:v>2025-06</x:v>
      </x:c>
      <x:c r="C589" s="11" t="str">
        <x:v>יוני 25</x:v>
      </x:c>
      <x:c r="D589" s="15" t="n">
        <x:v>110</x:v>
      </x:c>
      <x:c r="E589" s="11" t="str">
        <x:v>30</x:v>
      </x:c>
      <x:c r="F589" s="11" t="str">
        <x:v>בראנץ</x:v>
      </x:c>
      <x:c r="G589" s="17" t="n">
        <x:v>195</x:v>
      </x:c>
      <x:c r="H589" s="18" t="str">
        <x:v>אוכל בחוץ</x:v>
      </x:c>
      <x:c r="I589" s="19" t="str">
        <x:f>IFERROR(INDEX('מיפוי ומקורות'!$C$7:$C$33,MATCH(H589,'מיפוי ומקורות'!$B$7:$B$33,0)),"לא מסווג")</x:f>
        <x:v>אוכל בחוץ</x:v>
      </x:c>
      <x:c r="J589" s="19" t="str">
        <x:f>IFERROR(INDEX('מיפוי ומקורות'!$D$7:$D$33,MATCH(H589,'מיפוי ומקורות'!$B$7:$B$33,0)),"שוטף")</x:f>
        <x:v>שוטף</x:v>
      </x:c>
      <x:c r="K589" s="19" t="str">
        <x:f>IF(OR(H589="ריביות",AND(H589="דירה כצנלסון",G589&lt;0,ISNUMBER(SEARCH("הכנסה",F589)))),"הכנסה שסווגה מחדש",J589)</x:f>
        <x:v>שוטף</x:v>
      </x:c>
      <x:c r="L589" s="19" t="str">
        <x:v>מאושר</x:v>
      </x:c>
      <x:c r="M589" s="20" t="n">
        <x:f>IF(L589="מאושר",IF(K589="הכנסה שסווגה מחדש",0,G589),0)</x:f>
        <x:v>195</x:v>
      </x:c>
      <x:c r="N589" s="20" t="n">
        <x:f>IF(K589="שוטף",M589,0)</x:f>
        <x:v>195</x:v>
      </x:c>
      <x:c r="O589" s="20" t="n">
        <x:f>IF(K589="הכנסה שסווגה מחדש",-G589,0)</x:f>
        <x:v>0</x:v>
      </x:c>
      <x:c r="P589" s="11" t="str">
        <x:v>אמקס זיו</x:v>
      </x:c>
      <x:c r="Q589" s="11" t="str"/>
      <x:c r="R589" s="11" t="str">
        <x:v>לא</x:v>
      </x:c>
    </x:row>
    <x:row r="590">
      <x:c r="A590" s="14" t="n">
        <x:v>45809</x:v>
      </x:c>
      <x:c r="B590" s="11" t="str">
        <x:v>2025-06</x:v>
      </x:c>
      <x:c r="C590" s="11" t="str">
        <x:v>יוני 25</x:v>
      </x:c>
      <x:c r="D590" s="15" t="n">
        <x:v>111</x:v>
      </x:c>
      <x:c r="E590" s="11" t="str">
        <x:v>30</x:v>
      </x:c>
      <x:c r="F590" s="11" t="str">
        <x:v>ספייר איט</x:v>
      </x:c>
      <x:c r="G590" s="17" t="n">
        <x:v>30</x:v>
      </x:c>
      <x:c r="H590" s="18" t="str">
        <x:v>אוכל בחוץ</x:v>
      </x:c>
      <x:c r="I590" s="19" t="str">
        <x:f>IFERROR(INDEX('מיפוי ומקורות'!$C$7:$C$33,MATCH(H590,'מיפוי ומקורות'!$B$7:$B$33,0)),"לא מסווג")</x:f>
        <x:v>אוכל בחוץ</x:v>
      </x:c>
      <x:c r="J590" s="19" t="str">
        <x:f>IFERROR(INDEX('מיפוי ומקורות'!$D$7:$D$33,MATCH(H590,'מיפוי ומקורות'!$B$7:$B$33,0)),"שוטף")</x:f>
        <x:v>שוטף</x:v>
      </x:c>
      <x:c r="K590" s="19" t="str">
        <x:f>IF(OR(H590="ריביות",AND(H590="דירה כצנלסון",G590&lt;0,ISNUMBER(SEARCH("הכנסה",F590)))),"הכנסה שסווגה מחדש",J590)</x:f>
        <x:v>שוטף</x:v>
      </x:c>
      <x:c r="L590" s="19" t="str">
        <x:v>מאושר</x:v>
      </x:c>
      <x:c r="M590" s="20" t="n">
        <x:f>IF(L590="מאושר",IF(K590="הכנסה שסווגה מחדש",0,G590),0)</x:f>
        <x:v>30</x:v>
      </x:c>
      <x:c r="N590" s="20" t="n">
        <x:f>IF(K590="שוטף",M590,0)</x:f>
        <x:v>30</x:v>
      </x:c>
      <x:c r="O590" s="20" t="n">
        <x:f>IF(K590="הכנסה שסווגה מחדש",-G590,0)</x:f>
        <x:v>0</x:v>
      </x:c>
      <x:c r="P590" s="11" t="str">
        <x:v>אמקס זיו</x:v>
      </x:c>
      <x:c r="Q590" s="11" t="str"/>
      <x:c r="R590" s="11" t="str">
        <x:v>לא</x:v>
      </x:c>
    </x:row>
    <x:row r="591">
      <x:c r="A591" s="14" t="n">
        <x:v>45809</x:v>
      </x:c>
      <x:c r="B591" s="11" t="str">
        <x:v>2025-06</x:v>
      </x:c>
      <x:c r="C591" s="11" t="str">
        <x:v>יוני 25</x:v>
      </x:c>
      <x:c r="D591" s="15" t="n">
        <x:v>112</x:v>
      </x:c>
      <x:c r="E591" s="11" t="str">
        <x:v>30</x:v>
      </x:c>
      <x:c r="F591" s="11" t="str">
        <x:v>חניה</x:v>
      </x:c>
      <x:c r="G591" s="17" t="n">
        <x:v>50</x:v>
      </x:c>
      <x:c r="H591" s="18" t="str">
        <x:v>תחבורה</x:v>
      </x:c>
      <x:c r="I591" s="19" t="str">
        <x:f>IFERROR(INDEX('מיפוי ומקורות'!$C$7:$C$33,MATCH(H591,'מיפוי ומקורות'!$B$7:$B$33,0)),"לא מסווג")</x:f>
        <x:v>תחבורה</x:v>
      </x:c>
      <x:c r="J591" s="19" t="str">
        <x:f>IFERROR(INDEX('מיפוי ומקורות'!$D$7:$D$33,MATCH(H591,'מיפוי ומקורות'!$B$7:$B$33,0)),"שוטף")</x:f>
        <x:v>שוטף</x:v>
      </x:c>
      <x:c r="K591" s="19" t="str">
        <x:f>IF(OR(H591="ריביות",AND(H591="דירה כצנלסון",G591&lt;0,ISNUMBER(SEARCH("הכנסה",F591)))),"הכנסה שסווגה מחדש",J591)</x:f>
        <x:v>שוטף</x:v>
      </x:c>
      <x:c r="L591" s="19" t="str">
        <x:v>מאושר</x:v>
      </x:c>
      <x:c r="M591" s="20" t="n">
        <x:f>IF(L591="מאושר",IF(K591="הכנסה שסווגה מחדש",0,G591),0)</x:f>
        <x:v>50</x:v>
      </x:c>
      <x:c r="N591" s="20" t="n">
        <x:f>IF(K591="שוטף",M591,0)</x:f>
        <x:v>50</x:v>
      </x:c>
      <x:c r="O591" s="20" t="n">
        <x:f>IF(K591="הכנסה שסווגה מחדש",-G591,0)</x:f>
        <x:v>0</x:v>
      </x:c>
      <x:c r="P591" s="11" t="str">
        <x:v>אמקס זיו</x:v>
      </x:c>
      <x:c r="Q591" s="11" t="str"/>
      <x:c r="R591" s="11" t="str">
        <x:v>לא</x:v>
      </x:c>
    </x:row>
    <x:row r="592">
      <x:c r="A592" s="14" t="n">
        <x:v>45809</x:v>
      </x:c>
      <x:c r="B592" s="11" t="str">
        <x:v>2025-06</x:v>
      </x:c>
      <x:c r="C592" s="11" t="str">
        <x:v>יוני 25</x:v>
      </x:c>
      <x:c r="D592" s="15" t="n">
        <x:v>113</x:v>
      </x:c>
      <x:c r="E592" s="11" t="str">
        <x:v>30</x:v>
      </x:c>
      <x:c r="F592" s="11" t="str">
        <x:v>אורבניקה</x:v>
      </x:c>
      <x:c r="G592" s="17" t="n">
        <x:v>150</x:v>
      </x:c>
      <x:c r="H592" s="18" t="str">
        <x:v>קניות לבית</x:v>
      </x:c>
      <x:c r="I592" s="19" t="str">
        <x:f>IFERROR(INDEX('מיפוי ומקורות'!$C$7:$C$33,MATCH(H592,'מיפוי ומקורות'!$B$7:$B$33,0)),"לא מסווג")</x:f>
        <x:v>קניות לבית</x:v>
      </x:c>
      <x:c r="J592" s="19" t="str">
        <x:f>IFERROR(INDEX('מיפוי ומקורות'!$D$7:$D$33,MATCH(H592,'מיפוי ומקורות'!$B$7:$B$33,0)),"שוטף")</x:f>
        <x:v>שוטף</x:v>
      </x:c>
      <x:c r="K592" s="19" t="str">
        <x:f>IF(OR(H592="ריביות",AND(H592="דירה כצנלסון",G592&lt;0,ISNUMBER(SEARCH("הכנסה",F592)))),"הכנסה שסווגה מחדש",J592)</x:f>
        <x:v>שוטף</x:v>
      </x:c>
      <x:c r="L592" s="19" t="str">
        <x:v>מאושר</x:v>
      </x:c>
      <x:c r="M592" s="20" t="n">
        <x:f>IF(L592="מאושר",IF(K592="הכנסה שסווגה מחדש",0,G592),0)</x:f>
        <x:v>150</x:v>
      </x:c>
      <x:c r="N592" s="20" t="n">
        <x:f>IF(K592="שוטף",M592,0)</x:f>
        <x:v>150</x:v>
      </x:c>
      <x:c r="O592" s="20" t="n">
        <x:f>IF(K592="הכנסה שסווגה מחדש",-G592,0)</x:f>
        <x:v>0</x:v>
      </x:c>
      <x:c r="P592" s="11" t="str">
        <x:v>אמקס זיו</x:v>
      </x:c>
      <x:c r="Q592" s="11" t="str"/>
      <x:c r="R592" s="11" t="str">
        <x:v>לא</x:v>
      </x:c>
    </x:row>
    <x:row r="593">
      <x:c r="A593" s="14" t="n">
        <x:v>45809</x:v>
      </x:c>
      <x:c r="B593" s="11" t="str">
        <x:v>2025-06</x:v>
      </x:c>
      <x:c r="C593" s="11" t="str">
        <x:v>יוני 25</x:v>
      </x:c>
      <x:c r="D593" s="15" t="n">
        <x:v>114</x:v>
      </x:c>
      <x:c r="E593" s="11" t="str">
        <x:v>30</x:v>
      </x:c>
      <x:c r="F593" s="11" t="str">
        <x:v>מסעדה</x:v>
      </x:c>
      <x:c r="G593" s="17" t="n">
        <x:v>39</x:v>
      </x:c>
      <x:c r="H593" s="18" t="str">
        <x:v>אוכל בחוץ</x:v>
      </x:c>
      <x:c r="I593" s="19" t="str">
        <x:f>IFERROR(INDEX('מיפוי ומקורות'!$C$7:$C$33,MATCH(H593,'מיפוי ומקורות'!$B$7:$B$33,0)),"לא מסווג")</x:f>
        <x:v>אוכל בחוץ</x:v>
      </x:c>
      <x:c r="J593" s="19" t="str">
        <x:f>IFERROR(INDEX('מיפוי ומקורות'!$D$7:$D$33,MATCH(H593,'מיפוי ומקורות'!$B$7:$B$33,0)),"שוטף")</x:f>
        <x:v>שוטף</x:v>
      </x:c>
      <x:c r="K593" s="19" t="str">
        <x:f>IF(OR(H593="ריביות",AND(H593="דירה כצנלסון",G593&lt;0,ISNUMBER(SEARCH("הכנסה",F593)))),"הכנסה שסווגה מחדש",J593)</x:f>
        <x:v>שוטף</x:v>
      </x:c>
      <x:c r="L593" s="19" t="str">
        <x:v>מאושר</x:v>
      </x:c>
      <x:c r="M593" s="20" t="n">
        <x:f>IF(L593="מאושר",IF(K593="הכנסה שסווגה מחדש",0,G593),0)</x:f>
        <x:v>39</x:v>
      </x:c>
      <x:c r="N593" s="20" t="n">
        <x:f>IF(K593="שוטף",M593,0)</x:f>
        <x:v>39</x:v>
      </x:c>
      <x:c r="O593" s="20" t="n">
        <x:f>IF(K593="הכנסה שסווגה מחדש",-G593,0)</x:f>
        <x:v>0</x:v>
      </x:c>
      <x:c r="P593" s="11" t="str">
        <x:v>אמקס זיו</x:v>
      </x:c>
      <x:c r="Q593" s="11" t="str"/>
      <x:c r="R593" s="11" t="str">
        <x:v>לא</x:v>
      </x:c>
    </x:row>
    <x:row r="594">
      <x:c r="A594" s="14" t="n">
        <x:v>45809</x:v>
      </x:c>
      <x:c r="B594" s="11" t="str">
        <x:v>2025-06</x:v>
      </x:c>
      <x:c r="C594" s="11" t="str">
        <x:v>יוני 25</x:v>
      </x:c>
      <x:c r="D594" s="15" t="n">
        <x:v>115</x:v>
      </x:c>
      <x:c r="E594" s="11" t="str">
        <x:v>6</x:v>
      </x:c>
      <x:c r="F594" s="11" t="str">
        <x:v>ספה</x:v>
      </x:c>
      <x:c r="G594" s="17" t="n">
        <x:v>3900</x:v>
      </x:c>
      <x:c r="H594" s="18" t="str">
        <x:v>קניות לבית</x:v>
      </x:c>
      <x:c r="I594" s="19" t="str">
        <x:f>IFERROR(INDEX('מיפוי ומקורות'!$C$7:$C$33,MATCH(H594,'מיפוי ומקורות'!$B$7:$B$33,0)),"לא מסווג")</x:f>
        <x:v>קניות לבית</x:v>
      </x:c>
      <x:c r="J594" s="19" t="str">
        <x:f>IFERROR(INDEX('מיפוי ומקורות'!$D$7:$D$33,MATCH(H594,'מיפוי ומקורות'!$B$7:$B$33,0)),"שוטף")</x:f>
        <x:v>שוטף</x:v>
      </x:c>
      <x:c r="K594" s="19" t="str">
        <x:f>IF(OR(H594="ריביות",AND(H594="דירה כצנלסון",G594&lt;0,ISNUMBER(SEARCH("הכנסה",F594)))),"הכנסה שסווגה מחדש",J594)</x:f>
        <x:v>שוטף</x:v>
      </x:c>
      <x:c r="L594" s="19" t="str">
        <x:v>מאושר</x:v>
      </x:c>
      <x:c r="M594" s="20" t="n">
        <x:f>IF(L594="מאושר",IF(K594="הכנסה שסווגה מחדש",0,G594),0)</x:f>
        <x:v>3900</x:v>
      </x:c>
      <x:c r="N594" s="20" t="n">
        <x:f>IF(K594="שוטף",M594,0)</x:f>
        <x:v>3900</x:v>
      </x:c>
      <x:c r="O594" s="20" t="n">
        <x:f>IF(K594="הכנסה שסווגה מחדש",-G594,0)</x:f>
        <x:v>0</x:v>
      </x:c>
      <x:c r="P594" s="11" t="str">
        <x:v>הייטק זון זיו</x:v>
      </x:c>
      <x:c r="Q594" s="11" t="str"/>
      <x:c r="R594" s="11" t="str">
        <x:v>לא</x:v>
      </x:c>
    </x:row>
    <x:row r="595">
      <x:c r="A595" s="14" t="n">
        <x:v>45809</x:v>
      </x:c>
      <x:c r="B595" s="11" t="str">
        <x:v>2025-06</x:v>
      </x:c>
      <x:c r="C595" s="11" t="str">
        <x:v>יוני 25</x:v>
      </x:c>
      <x:c r="D595" s="15" t="n">
        <x:v>116</x:v>
      </x:c>
      <x:c r="E595" s="11" t="str">
        <x:v>6</x:v>
      </x:c>
      <x:c r="F595" s="11" t="str">
        <x:v>מכולת</x:v>
      </x:c>
      <x:c r="G595" s="17" t="n">
        <x:v>28</x:v>
      </x:c>
      <x:c r="H595" s="18" t="str">
        <x:v>מזון לבית</x:v>
      </x:c>
      <x:c r="I595" s="19" t="str">
        <x:f>IFERROR(INDEX('מיפוי ומקורות'!$C$7:$C$33,MATCH(H595,'מיפוי ומקורות'!$B$7:$B$33,0)),"לא מסווג")</x:f>
        <x:v>מזון לבית</x:v>
      </x:c>
      <x:c r="J595" s="19" t="str">
        <x:f>IFERROR(INDEX('מיפוי ומקורות'!$D$7:$D$33,MATCH(H595,'מיפוי ומקורות'!$B$7:$B$33,0)),"שוטף")</x:f>
        <x:v>שוטף</x:v>
      </x:c>
      <x:c r="K595" s="19" t="str">
        <x:f>IF(OR(H595="ריביות",AND(H595="דירה כצנלסון",G595&lt;0,ISNUMBER(SEARCH("הכנסה",F595)))),"הכנסה שסווגה מחדש",J595)</x:f>
        <x:v>שוטף</x:v>
      </x:c>
      <x:c r="L595" s="19" t="str">
        <x:v>מאושר</x:v>
      </x:c>
      <x:c r="M595" s="20" t="n">
        <x:f>IF(L595="מאושר",IF(K595="הכנסה שסווגה מחדש",0,G595),0)</x:f>
        <x:v>28</x:v>
      </x:c>
      <x:c r="N595" s="20" t="n">
        <x:f>IF(K595="שוטף",M595,0)</x:f>
        <x:v>28</x:v>
      </x:c>
      <x:c r="O595" s="20" t="n">
        <x:f>IF(K595="הכנסה שסווגה מחדש",-G595,0)</x:f>
        <x:v>0</x:v>
      </x:c>
      <x:c r="P595" s="11" t="str">
        <x:v>הייטק זון זיו</x:v>
      </x:c>
      <x:c r="Q595" s="11" t="str"/>
      <x:c r="R595" s="11" t="str">
        <x:v>לא</x:v>
      </x:c>
    </x:row>
    <x:row r="596">
      <x:c r="A596" s="14" t="n">
        <x:v>45809</x:v>
      </x:c>
      <x:c r="B596" s="11" t="str">
        <x:v>2025-06</x:v>
      </x:c>
      <x:c r="C596" s="11" t="str">
        <x:v>יוני 25</x:v>
      </x:c>
      <x:c r="D596" s="15" t="n">
        <x:v>117</x:v>
      </x:c>
      <x:c r="E596" s="11" t="str">
        <x:v>11</x:v>
      </x:c>
      <x:c r="F596" s="11" t="str">
        <x:v>רישיון נהיגה</x:v>
      </x:c>
      <x:c r="G596" s="17" t="n">
        <x:v>23</x:v>
      </x:c>
      <x:c r="H596" s="18" t="str">
        <x:v>אחר</x:v>
      </x:c>
      <x:c r="I596" s="19" t="str">
        <x:f>IFERROR(INDEX('מיפוי ומקורות'!$C$7:$C$33,MATCH(H596,'מיפוי ומקורות'!$B$7:$B$33,0)),"לא מסווג")</x:f>
        <x:v>אחר</x:v>
      </x:c>
      <x:c r="J596" s="19" t="str">
        <x:f>IFERROR(INDEX('מיפוי ומקורות'!$D$7:$D$33,MATCH(H596,'מיפוי ומקורות'!$B$7:$B$33,0)),"שוטף")</x:f>
        <x:v>שוטף</x:v>
      </x:c>
      <x:c r="K596" s="19" t="str">
        <x:f>IF(OR(H596="ריביות",AND(H596="דירה כצנלסון",G596&lt;0,ISNUMBER(SEARCH("הכנסה",F596)))),"הכנסה שסווגה מחדש",J596)</x:f>
        <x:v>שוטף</x:v>
      </x:c>
      <x:c r="L596" s="19" t="str">
        <x:v>מאושר</x:v>
      </x:c>
      <x:c r="M596" s="20" t="n">
        <x:f>IF(L596="מאושר",IF(K596="הכנסה שסווגה מחדש",0,G596),0)</x:f>
        <x:v>23</x:v>
      </x:c>
      <x:c r="N596" s="20" t="n">
        <x:f>IF(K596="שוטף",M596,0)</x:f>
        <x:v>23</x:v>
      </x:c>
      <x:c r="O596" s="20" t="n">
        <x:f>IF(K596="הכנסה שסווגה מחדש",-G596,0)</x:f>
        <x:v>0</x:v>
      </x:c>
      <x:c r="P596" s="11" t="str">
        <x:v>הייטק זון זיו</x:v>
      </x:c>
      <x:c r="Q596" s="11" t="str"/>
      <x:c r="R596" s="11" t="str">
        <x:v>לא</x:v>
      </x:c>
    </x:row>
    <x:row r="597">
      <x:c r="A597" s="14" t="n">
        <x:v>45809</x:v>
      </x:c>
      <x:c r="B597" s="11" t="str">
        <x:v>2025-06</x:v>
      </x:c>
      <x:c r="C597" s="11" t="str">
        <x:v>יוני 25</x:v>
      </x:c>
      <x:c r="D597" s="15" t="n">
        <x:v>118</x:v>
      </x:c>
      <x:c r="E597" s="11" t="str">
        <x:v>13</x:v>
      </x:c>
      <x:c r="F597" s="11" t="str">
        <x:v>ליים</x:v>
      </x:c>
      <x:c r="G597" s="17" t="n">
        <x:v>51</x:v>
      </x:c>
      <x:c r="H597" s="18" t="str">
        <x:v>תחבורה</x:v>
      </x:c>
      <x:c r="I597" s="19" t="str">
        <x:f>IFERROR(INDEX('מיפוי ומקורות'!$C$7:$C$33,MATCH(H597,'מיפוי ומקורות'!$B$7:$B$33,0)),"לא מסווג")</x:f>
        <x:v>תחבורה</x:v>
      </x:c>
      <x:c r="J597" s="19" t="str">
        <x:f>IFERROR(INDEX('מיפוי ומקורות'!$D$7:$D$33,MATCH(H597,'מיפוי ומקורות'!$B$7:$B$33,0)),"שוטף")</x:f>
        <x:v>שוטף</x:v>
      </x:c>
      <x:c r="K597" s="19" t="str">
        <x:f>IF(OR(H597="ריביות",AND(H597="דירה כצנלסון",G597&lt;0,ISNUMBER(SEARCH("הכנסה",F597)))),"הכנסה שסווגה מחדש",J597)</x:f>
        <x:v>שוטף</x:v>
      </x:c>
      <x:c r="L597" s="19" t="str">
        <x:v>מאושר</x:v>
      </x:c>
      <x:c r="M597" s="20" t="n">
        <x:f>IF(L597="מאושר",IF(K597="הכנסה שסווגה מחדש",0,G597),0)</x:f>
        <x:v>51</x:v>
      </x:c>
      <x:c r="N597" s="20" t="n">
        <x:f>IF(K597="שוטף",M597,0)</x:f>
        <x:v>51</x:v>
      </x:c>
      <x:c r="O597" s="20" t="n">
        <x:f>IF(K597="הכנסה שסווגה מחדש",-G597,0)</x:f>
        <x:v>0</x:v>
      </x:c>
      <x:c r="P597" s="11" t="str">
        <x:v>הייטק זון זיו</x:v>
      </x:c>
      <x:c r="Q597" s="11" t="str"/>
      <x:c r="R597" s="11" t="str">
        <x:v>לא</x:v>
      </x:c>
    </x:row>
    <x:row r="598">
      <x:c r="A598" s="14" t="n">
        <x:v>45809</x:v>
      </x:c>
      <x:c r="B598" s="11" t="str">
        <x:v>2025-06</x:v>
      </x:c>
      <x:c r="C598" s="11" t="str">
        <x:v>יוני 25</x:v>
      </x:c>
      <x:c r="D598" s="15" t="n">
        <x:v>119</x:v>
      </x:c>
      <x:c r="E598" s="11" t="str">
        <x:v>25</x:v>
      </x:c>
      <x:c r="F598" s="11" t="str">
        <x:v>תחבץ</x:v>
      </x:c>
      <x:c r="G598" s="17" t="n">
        <x:v>16</x:v>
      </x:c>
      <x:c r="H598" s="18" t="str">
        <x:v>תחבורה</x:v>
      </x:c>
      <x:c r="I598" s="19" t="str">
        <x:f>IFERROR(INDEX('מיפוי ומקורות'!$C$7:$C$33,MATCH(H598,'מיפוי ומקורות'!$B$7:$B$33,0)),"לא מסווג")</x:f>
        <x:v>תחבורה</x:v>
      </x:c>
      <x:c r="J598" s="19" t="str">
        <x:f>IFERROR(INDEX('מיפוי ומקורות'!$D$7:$D$33,MATCH(H598,'מיפוי ומקורות'!$B$7:$B$33,0)),"שוטף")</x:f>
        <x:v>שוטף</x:v>
      </x:c>
      <x:c r="K598" s="19" t="str">
        <x:f>IF(OR(H598="ריביות",AND(H598="דירה כצנלסון",G598&lt;0,ISNUMBER(SEARCH("הכנסה",F598)))),"הכנסה שסווגה מחדש",J598)</x:f>
        <x:v>שוטף</x:v>
      </x:c>
      <x:c r="L598" s="19" t="str">
        <x:v>מאושר</x:v>
      </x:c>
      <x:c r="M598" s="20" t="n">
        <x:f>IF(L598="מאושר",IF(K598="הכנסה שסווגה מחדש",0,G598),0)</x:f>
        <x:v>16</x:v>
      </x:c>
      <x:c r="N598" s="20" t="n">
        <x:f>IF(K598="שוטף",M598,0)</x:f>
        <x:v>16</x:v>
      </x:c>
      <x:c r="O598" s="20" t="n">
        <x:f>IF(K598="הכנסה שסווגה מחדש",-G598,0)</x:f>
        <x:v>0</x:v>
      </x:c>
      <x:c r="P598" s="11" t="str">
        <x:v>הייטק זון זיו</x:v>
      </x:c>
      <x:c r="Q598" s="11" t="str"/>
      <x:c r="R598" s="11" t="str">
        <x:v>לא</x:v>
      </x:c>
    </x:row>
    <x:row r="599">
      <x:c r="A599" s="14" t="n">
        <x:v>45839</x:v>
      </x:c>
      <x:c r="B599" s="11" t="str">
        <x:v>2025-07</x:v>
      </x:c>
      <x:c r="C599" s="11" t="str">
        <x:v>יולי 25</x:v>
      </x:c>
      <x:c r="D599" s="15" t="n">
        <x:v>2</x:v>
      </x:c>
      <x:c r="E599" s="11" t="str">
        <x:v>14</x:v>
      </x:c>
      <x:c r="F599" s="11" t="str">
        <x:v>שכר דירה</x:v>
      </x:c>
      <x:c r="G599" s="17" t="n">
        <x:v>0</x:v>
      </x:c>
      <x:c r="H599" s="18" t="str">
        <x:v>מגורים חודשי</x:v>
      </x:c>
      <x:c r="I599" s="19" t="str">
        <x:f>IFERROR(INDEX('מיפוי ומקורות'!$C$7:$C$33,MATCH(H599,'מיפוי ומקורות'!$B$7:$B$33,0)),"לא מסווג")</x:f>
        <x:v>דיור – בית מגורים</x:v>
      </x:c>
      <x:c r="J599" s="19" t="str">
        <x:f>IFERROR(INDEX('מיפוי ומקורות'!$D$7:$D$33,MATCH(H599,'מיפוי ומקורות'!$B$7:$B$33,0)),"שוטף")</x:f>
        <x:v>שוטף</x:v>
      </x:c>
      <x:c r="K599" s="19" t="str">
        <x:f>IF(OR(H599="ריביות",AND(H599="דירה כצנלסון",G599&lt;0,ISNUMBER(SEARCH("הכנסה",F599)))),"הכנסה שסווגה מחדש",J599)</x:f>
        <x:v>שוטף</x:v>
      </x:c>
      <x:c r="L599" s="19" t="str">
        <x:v>מאושר</x:v>
      </x:c>
      <x:c r="M599" s="20" t="n">
        <x:f>IF(L599="מאושר",IF(K599="הכנסה שסווגה מחדש",0,G599),0)</x:f>
        <x:v>0</x:v>
      </x:c>
      <x:c r="N599" s="20" t="n">
        <x:f>IF(K599="שוטף",M599,0)</x:f>
        <x:v>0</x:v>
      </x:c>
      <x:c r="O599" s="20" t="n">
        <x:f>IF(K599="הכנסה שסווגה מחדש",-G599,0)</x:f>
        <x:v>0</x:v>
      </x:c>
      <x:c r="P599" s="11" t="str"/>
      <x:c r="Q599" s="11" t="str"/>
      <x:c r="R599" s="11" t="str">
        <x:v>לא</x:v>
      </x:c>
    </x:row>
    <x:row r="600">
      <x:c r="A600" s="14" t="n">
        <x:v>45839</x:v>
      </x:c>
      <x:c r="B600" s="11" t="str">
        <x:v>2025-07</x:v>
      </x:c>
      <x:c r="C600" s="11" t="str">
        <x:v>יולי 25</x:v>
      </x:c>
      <x:c r="D600" s="15" t="n">
        <x:v>3</x:v>
      </x:c>
      <x:c r="E600" s="11" t="str">
        <x:v>10</x:v>
      </x:c>
      <x:c r="F600" s="11" t="str">
        <x:v>משכנתא</x:v>
      </x:c>
      <x:c r="G600" s="17" t="n">
        <x:v>6136</x:v>
      </x:c>
      <x:c r="H600" s="18" t="str">
        <x:v>דירה כצנלסון</x:v>
      </x:c>
      <x:c r="I600" s="19" t="str">
        <x:f>IFERROR(INDEX('מיפוי ומקורות'!$C$7:$C$33,MATCH(H600,'מיפוי ומקורות'!$B$7:$B$33,0)),"לא מסווג")</x:f>
        <x:v>נכס להשקעה</x:v>
      </x:c>
      <x:c r="J600" s="19" t="str">
        <x:f>IFERROR(INDEX('מיפוי ומקורות'!$D$7:$D$33,MATCH(H600,'מיפוי ומקורות'!$B$7:$B$33,0)),"שוטף")</x:f>
        <x:v>חריג/נכס</x:v>
      </x:c>
      <x:c r="K600" s="19" t="str">
        <x:f>IF(OR(H600="ריביות",AND(H600="דירה כצנלסון",G600&lt;0,ISNUMBER(SEARCH("הכנסה",F600)))),"הכנסה שסווגה מחדש",J600)</x:f>
        <x:v>חריג/נכס</x:v>
      </x:c>
      <x:c r="L600" s="19" t="str">
        <x:v>מאושר</x:v>
      </x:c>
      <x:c r="M600" s="20" t="n">
        <x:f>IF(L600="מאושר",IF(K600="הכנסה שסווגה מחדש",0,G600),0)</x:f>
        <x:v>6136</x:v>
      </x:c>
      <x:c r="N600" s="20" t="n">
        <x:f>IF(K600="שוטף",M600,0)</x:f>
        <x:v>0</x:v>
      </x:c>
      <x:c r="O600" s="20" t="n">
        <x:f>IF(K600="הכנסה שסווגה מחדש",-G600,0)</x:f>
        <x:v>0</x:v>
      </x:c>
      <x:c r="P600" s="11" t="str">
        <x:v>דיסקונט</x:v>
      </x:c>
      <x:c r="Q600" s="11" t="str"/>
      <x:c r="R600" s="11" t="str">
        <x:v>לא</x:v>
      </x:c>
    </x:row>
    <x:row r="601">
      <x:c r="A601" s="14" t="n">
        <x:v>45839</x:v>
      </x:c>
      <x:c r="B601" s="11" t="str">
        <x:v>2025-07</x:v>
      </x:c>
      <x:c r="C601" s="11" t="str">
        <x:v>יולי 25</x:v>
      </x:c>
      <x:c r="D601" s="15" t="n">
        <x:v>4</x:v>
      </x:c>
      <x:c r="E601" s="11" t="str"/>
      <x:c r="F601" s="11" t="str">
        <x:v>הכנסה משכר דירה</x:v>
      </x:c>
      <x:c r="G601" s="17" t="n">
        <x:v>-6500</x:v>
      </x:c>
      <x:c r="H601" s="18" t="str">
        <x:v>דירה כצנלסון</x:v>
      </x:c>
      <x:c r="I601" s="19" t="str">
        <x:f>IFERROR(INDEX('מיפוי ומקורות'!$C$7:$C$33,MATCH(H601,'מיפוי ומקורות'!$B$7:$B$33,0)),"לא מסווג")</x:f>
        <x:v>נכס להשקעה</x:v>
      </x:c>
      <x:c r="J601" s="19" t="str">
        <x:f>IFERROR(INDEX('מיפוי ומקורות'!$D$7:$D$33,MATCH(H601,'מיפוי ומקורות'!$B$7:$B$33,0)),"שוטף")</x:f>
        <x:v>חריג/נכס</x:v>
      </x:c>
      <x:c r="K601" s="19" t="str">
        <x:f>IF(OR(H601="ריביות",AND(H601="דירה כצנלסון",G601&lt;0,ISNUMBER(SEARCH("הכנסה",F601)))),"הכנסה שסווגה מחדש",J601)</x:f>
        <x:v>הכנסה שסווגה מחדש</x:v>
      </x:c>
      <x:c r="L601" s="19" t="str">
        <x:v>מאושר</x:v>
      </x:c>
      <x:c r="M601" s="20" t="n">
        <x:f>IF(L601="מאושר",IF(K601="הכנסה שסווגה מחדש",0,G601),0)</x:f>
        <x:v>0</x:v>
      </x:c>
      <x:c r="N601" s="20" t="n">
        <x:f>IF(K601="שוטף",M601,0)</x:f>
        <x:v>0</x:v>
      </x:c>
      <x:c r="O601" s="20" t="n">
        <x:f>IF(K601="הכנסה שסווגה מחדש",-G601,0)</x:f>
        <x:v>6500</x:v>
      </x:c>
      <x:c r="P601" s="11" t="str">
        <x:v>one zero</x:v>
      </x:c>
      <x:c r="Q601" s="11" t="str"/>
      <x:c r="R601" s="11" t="str">
        <x:v>לא</x:v>
      </x:c>
    </x:row>
    <x:row r="602">
      <x:c r="A602" s="14" t="n">
        <x:v>45839</x:v>
      </x:c>
      <x:c r="B602" s="11" t="str">
        <x:v>2025-07</x:v>
      </x:c>
      <x:c r="C602" s="11" t="str">
        <x:v>יולי 25</x:v>
      </x:c>
      <x:c r="D602" s="15" t="n">
        <x:v>5</x:v>
      </x:c>
      <x:c r="E602" s="11" t="str"/>
      <x:c r="F602" s="11" t="str">
        <x:v>ארנונה</x:v>
      </x:c>
      <x:c r="G602" s="17" t="n">
        <x:v>0</x:v>
      </x:c>
      <x:c r="H602" s="18" t="str">
        <x:v>מגורים צריכה</x:v>
      </x:c>
      <x:c r="I602" s="19" t="str">
        <x:f>IFERROR(INDEX('מיפוי ומקורות'!$C$7:$C$33,MATCH(H602,'מיפוי ומקורות'!$B$7:$B$33,0)),"לא מסווג")</x:f>
        <x:v>דיור – בית מגורים</x:v>
      </x:c>
      <x:c r="J602" s="19" t="str">
        <x:f>IFERROR(INDEX('מיפוי ומקורות'!$D$7:$D$33,MATCH(H602,'מיפוי ומקורות'!$B$7:$B$33,0)),"שוטף")</x:f>
        <x:v>שוטף</x:v>
      </x:c>
      <x:c r="K602" s="19" t="str">
        <x:f>IF(OR(H602="ריביות",AND(H602="דירה כצנלסון",G602&lt;0,ISNUMBER(SEARCH("הכנסה",F602)))),"הכנסה שסווגה מחדש",J602)</x:f>
        <x:v>שוטף</x:v>
      </x:c>
      <x:c r="L602" s="19" t="str">
        <x:v>מאושר</x:v>
      </x:c>
      <x:c r="M602" s="20" t="n">
        <x:f>IF(L602="מאושר",IF(K602="הכנסה שסווגה מחדש",0,G602),0)</x:f>
        <x:v>0</x:v>
      </x:c>
      <x:c r="N602" s="20" t="n">
        <x:f>IF(K602="שוטף",M602,0)</x:f>
        <x:v>0</x:v>
      </x:c>
      <x:c r="O602" s="20" t="n">
        <x:f>IF(K602="הכנסה שסווגה מחדש",-G602,0)</x:f>
        <x:v>0</x:v>
      </x:c>
      <x:c r="P602" s="11" t="str"/>
      <x:c r="Q602" s="11" t="str"/>
      <x:c r="R602" s="11" t="str">
        <x:v>לא</x:v>
      </x:c>
    </x:row>
    <x:row r="603">
      <x:c r="A603" s="14" t="n">
        <x:v>45839</x:v>
      </x:c>
      <x:c r="B603" s="11" t="str">
        <x:v>2025-07</x:v>
      </x:c>
      <x:c r="C603" s="11" t="str">
        <x:v>יולי 25</x:v>
      </x:c>
      <x:c r="D603" s="15" t="n">
        <x:v>6</x:v>
      </x:c>
      <x:c r="E603" s="11" t="str">
        <x:v>11</x:v>
      </x:c>
      <x:c r="F603" s="11" t="str">
        <x:v>חשמל</x:v>
      </x:c>
      <x:c r="G603" s="17" t="n">
        <x:v>-123</x:v>
      </x:c>
      <x:c r="H603" s="18" t="str">
        <x:v>מגורים צריכה</x:v>
      </x:c>
      <x:c r="I603" s="19" t="str">
        <x:f>IFERROR(INDEX('מיפוי ומקורות'!$C$7:$C$33,MATCH(H603,'מיפוי ומקורות'!$B$7:$B$33,0)),"לא מסווג")</x:f>
        <x:v>דיור – בית מגורים</x:v>
      </x:c>
      <x:c r="J603" s="19" t="str">
        <x:f>IFERROR(INDEX('מיפוי ומקורות'!$D$7:$D$33,MATCH(H603,'מיפוי ומקורות'!$B$7:$B$33,0)),"שוטף")</x:f>
        <x:v>שוטף</x:v>
      </x:c>
      <x:c r="K603" s="19" t="str">
        <x:f>IF(OR(H603="ריביות",AND(H603="דירה כצנלסון",G603&lt;0,ISNUMBER(SEARCH("הכנסה",F603)))),"הכנסה שסווגה מחדש",J603)</x:f>
        <x:v>שוטף</x:v>
      </x:c>
      <x:c r="L603" s="19" t="str">
        <x:v>מאושר</x:v>
      </x:c>
      <x:c r="M603" s="20" t="n">
        <x:f>IF(L603="מאושר",IF(K603="הכנסה שסווגה מחדש",0,G603),0)</x:f>
        <x:v>-123</x:v>
      </x:c>
      <x:c r="N603" s="20" t="n">
        <x:f>IF(K603="שוטף",M603,0)</x:f>
        <x:v>-123</x:v>
      </x:c>
      <x:c r="O603" s="20" t="n">
        <x:f>IF(K603="הכנסה שסווגה מחדש",-G603,0)</x:f>
        <x:v>0</x:v>
      </x:c>
      <x:c r="P603" s="11" t="str">
        <x:v>אמקס זיו</x:v>
      </x:c>
      <x:c r="Q603" s="11" t="str"/>
      <x:c r="R603" s="11" t="str">
        <x:v>לא</x:v>
      </x:c>
    </x:row>
    <x:row r="604">
      <x:c r="A604" s="14" t="n">
        <x:v>45839</x:v>
      </x:c>
      <x:c r="B604" s="11" t="str">
        <x:v>2025-07</x:v>
      </x:c>
      <x:c r="C604" s="11" t="str">
        <x:v>יולי 25</x:v>
      </x:c>
      <x:c r="D604" s="15" t="n">
        <x:v>7</x:v>
      </x:c>
      <x:c r="E604" s="11" t="str"/>
      <x:c r="F604" s="11" t="str">
        <x:v>מים</x:v>
      </x:c>
      <x:c r="G604" s="17" t="n">
        <x:v>0</x:v>
      </x:c>
      <x:c r="H604" s="18" t="str">
        <x:v>מגורים צריכה</x:v>
      </x:c>
      <x:c r="I604" s="19" t="str">
        <x:f>IFERROR(INDEX('מיפוי ומקורות'!$C$7:$C$33,MATCH(H604,'מיפוי ומקורות'!$B$7:$B$33,0)),"לא מסווג")</x:f>
        <x:v>דיור – בית מגורים</x:v>
      </x:c>
      <x:c r="J604" s="19" t="str">
        <x:f>IFERROR(INDEX('מיפוי ומקורות'!$D$7:$D$33,MATCH(H604,'מיפוי ומקורות'!$B$7:$B$33,0)),"שוטף")</x:f>
        <x:v>שוטף</x:v>
      </x:c>
      <x:c r="K604" s="19" t="str">
        <x:f>IF(OR(H604="ריביות",AND(H604="דירה כצנלסון",G604&lt;0,ISNUMBER(SEARCH("הכנסה",F604)))),"הכנסה שסווגה מחדש",J604)</x:f>
        <x:v>שוטף</x:v>
      </x:c>
      <x:c r="L604" s="19" t="str">
        <x:v>מאושר</x:v>
      </x:c>
      <x:c r="M604" s="20" t="n">
        <x:f>IF(L604="מאושר",IF(K604="הכנסה שסווגה מחדש",0,G604),0)</x:f>
        <x:v>0</x:v>
      </x:c>
      <x:c r="N604" s="20" t="n">
        <x:f>IF(K604="שוטף",M604,0)</x:f>
        <x:v>0</x:v>
      </x:c>
      <x:c r="O604" s="20" t="n">
        <x:f>IF(K604="הכנסה שסווגה מחדש",-G604,0)</x:f>
        <x:v>0</x:v>
      </x:c>
      <x:c r="P604" s="11" t="str"/>
      <x:c r="Q604" s="11" t="str"/>
      <x:c r="R604" s="11" t="str">
        <x:v>לא</x:v>
      </x:c>
    </x:row>
    <x:row r="605">
      <x:c r="A605" s="14" t="n">
        <x:v>45839</x:v>
      </x:c>
      <x:c r="B605" s="11" t="str">
        <x:v>2025-07</x:v>
      </x:c>
      <x:c r="C605" s="11" t="str">
        <x:v>יולי 25</x:v>
      </x:c>
      <x:c r="D605" s="15" t="n">
        <x:v>8</x:v>
      </x:c>
      <x:c r="E605" s="11" t="str"/>
      <x:c r="F605" s="11" t="str">
        <x:v>ועד בית</x:v>
      </x:c>
      <x:c r="G605" s="17" t="n">
        <x:v>600</x:v>
      </x:c>
      <x:c r="H605" s="18" t="str">
        <x:v>מגורים צריכה</x:v>
      </x:c>
      <x:c r="I605" s="19" t="str">
        <x:f>IFERROR(INDEX('מיפוי ומקורות'!$C$7:$C$33,MATCH(H605,'מיפוי ומקורות'!$B$7:$B$33,0)),"לא מסווג")</x:f>
        <x:v>דיור – בית מגורים</x:v>
      </x:c>
      <x:c r="J605" s="19" t="str">
        <x:f>IFERROR(INDEX('מיפוי ומקורות'!$D$7:$D$33,MATCH(H605,'מיפוי ומקורות'!$B$7:$B$33,0)),"שוטף")</x:f>
        <x:v>שוטף</x:v>
      </x:c>
      <x:c r="K605" s="19" t="str">
        <x:f>IF(OR(H605="ריביות",AND(H605="דירה כצנלסון",G605&lt;0,ISNUMBER(SEARCH("הכנסה",F605)))),"הכנסה שסווגה מחדש",J605)</x:f>
        <x:v>שוטף</x:v>
      </x:c>
      <x:c r="L605" s="19" t="str">
        <x:v>מאושר</x:v>
      </x:c>
      <x:c r="M605" s="20" t="n">
        <x:f>IF(L605="מאושר",IF(K605="הכנסה שסווגה מחדש",0,G605),0)</x:f>
        <x:v>600</x:v>
      </x:c>
      <x:c r="N605" s="20" t="n">
        <x:f>IF(K605="שוטף",M605,0)</x:f>
        <x:v>600</x:v>
      </x:c>
      <x:c r="O605" s="20" t="n">
        <x:f>IF(K605="הכנסה שסווגה מחדש",-G605,0)</x:f>
        <x:v>0</x:v>
      </x:c>
      <x:c r="P605" s="11" t="str">
        <x:v>מזומן</x:v>
      </x:c>
      <x:c r="Q605" s="11" t="str"/>
      <x:c r="R605" s="11" t="str">
        <x:v>לא</x:v>
      </x:c>
    </x:row>
    <x:row r="606">
      <x:c r="A606" s="14" t="n">
        <x:v>45839</x:v>
      </x:c>
      <x:c r="B606" s="11" t="str">
        <x:v>2025-07</x:v>
      </x:c>
      <x:c r="C606" s="11" t="str">
        <x:v>יולי 25</x:v>
      </x:c>
      <x:c r="D606" s="15" t="n">
        <x:v>9</x:v>
      </x:c>
      <x:c r="E606" s="11" t="str">
        <x:v>9</x:v>
      </x:c>
      <x:c r="F606" s="11" t="str">
        <x:v>גז</x:v>
      </x:c>
      <x:c r="G606" s="17" t="n">
        <x:v>38</x:v>
      </x:c>
      <x:c r="H606" s="18" t="str">
        <x:v>מגורים צריכה</x:v>
      </x:c>
      <x:c r="I606" s="19" t="str">
        <x:f>IFERROR(INDEX('מיפוי ומקורות'!$C$7:$C$33,MATCH(H606,'מיפוי ומקורות'!$B$7:$B$33,0)),"לא מסווג")</x:f>
        <x:v>דיור – בית מגורים</x:v>
      </x:c>
      <x:c r="J606" s="19" t="str">
        <x:f>IFERROR(INDEX('מיפוי ומקורות'!$D$7:$D$33,MATCH(H606,'מיפוי ומקורות'!$B$7:$B$33,0)),"שוטף")</x:f>
        <x:v>שוטף</x:v>
      </x:c>
      <x:c r="K606" s="19" t="str">
        <x:f>IF(OR(H606="ריביות",AND(H606="דירה כצנלסון",G606&lt;0,ISNUMBER(SEARCH("הכנסה",F606)))),"הכנסה שסווגה מחדש",J606)</x:f>
        <x:v>שוטף</x:v>
      </x:c>
      <x:c r="L606" s="19" t="str">
        <x:v>מאושר</x:v>
      </x:c>
      <x:c r="M606" s="20" t="n">
        <x:f>IF(L606="מאושר",IF(K606="הכנסה שסווגה מחדש",0,G606),0)</x:f>
        <x:v>38</x:v>
      </x:c>
      <x:c r="N606" s="20" t="n">
        <x:f>IF(K606="שוטף",M606,0)</x:f>
        <x:v>38</x:v>
      </x:c>
      <x:c r="O606" s="20" t="n">
        <x:f>IF(K606="הכנסה שסווגה מחדש",-G606,0)</x:f>
        <x:v>0</x:v>
      </x:c>
      <x:c r="P606" s="11" t="str">
        <x:v>אמקס זיו</x:v>
      </x:c>
      <x:c r="Q606" s="11" t="str"/>
      <x:c r="R606" s="11" t="str">
        <x:v>לא</x:v>
      </x:c>
    </x:row>
    <x:row r="607">
      <x:c r="A607" s="14" t="n">
        <x:v>45839</x:v>
      </x:c>
      <x:c r="B607" s="11" t="str">
        <x:v>2025-07</x:v>
      </x:c>
      <x:c r="C607" s="11" t="str">
        <x:v>יולי 25</x:v>
      </x:c>
      <x:c r="D607" s="15" t="n">
        <x:v>10</x:v>
      </x:c>
      <x:c r="E607" s="11" t="str">
        <x:v>13</x:v>
      </x:c>
      <x:c r="F607" s="11" t="str">
        <x:v>סלולר + אינטרנט</x:v>
      </x:c>
      <x:c r="G607" s="17" t="n">
        <x:v>170</x:v>
      </x:c>
      <x:c r="H607" s="18" t="str">
        <x:v>מגורים חודשי</x:v>
      </x:c>
      <x:c r="I607" s="19" t="str">
        <x:f>IFERROR(INDEX('מיפוי ומקורות'!$C$7:$C$33,MATCH(H607,'מיפוי ומקורות'!$B$7:$B$33,0)),"לא מסווג")</x:f>
        <x:v>דיור – בית מגורים</x:v>
      </x:c>
      <x:c r="J607" s="19" t="str">
        <x:f>IFERROR(INDEX('מיפוי ומקורות'!$D$7:$D$33,MATCH(H607,'מיפוי ומקורות'!$B$7:$B$33,0)),"שוטף")</x:f>
        <x:v>שוטף</x:v>
      </x:c>
      <x:c r="K607" s="19" t="str">
        <x:f>IF(OR(H607="ריביות",AND(H607="דירה כצנלסון",G607&lt;0,ISNUMBER(SEARCH("הכנסה",F607)))),"הכנסה שסווגה מחדש",J607)</x:f>
        <x:v>שוטף</x:v>
      </x:c>
      <x:c r="L607" s="19" t="str">
        <x:v>מאושר</x:v>
      </x:c>
      <x:c r="M607" s="20" t="n">
        <x:f>IF(L607="מאושר",IF(K607="הכנסה שסווגה מחדש",0,G607),0)</x:f>
        <x:v>170</x:v>
      </x:c>
      <x:c r="N607" s="20" t="n">
        <x:f>IF(K607="שוטף",M607,0)</x:f>
        <x:v>170</x:v>
      </x:c>
      <x:c r="O607" s="20" t="n">
        <x:f>IF(K607="הכנסה שסווגה מחדש",-G607,0)</x:f>
        <x:v>0</x:v>
      </x:c>
      <x:c r="P607" s="11" t="str">
        <x:v>אמקס זיו</x:v>
      </x:c>
      <x:c r="Q607" s="11" t="str"/>
      <x:c r="R607" s="11" t="str">
        <x:v>לא</x:v>
      </x:c>
    </x:row>
    <x:row r="608">
      <x:c r="A608" s="14" t="n">
        <x:v>45839</x:v>
      </x:c>
      <x:c r="B608" s="11" t="str">
        <x:v>2025-07</x:v>
      </x:c>
      <x:c r="C608" s="11" t="str">
        <x:v>יולי 25</x:v>
      </x:c>
      <x:c r="D608" s="15" t="n">
        <x:v>11</x:v>
      </x:c>
      <x:c r="E608" s="11" t="str">
        <x:v>28</x:v>
      </x:c>
      <x:c r="F608" s="11" t="str">
        <x:v>ביטוח מבנה</x:v>
      </x:c>
      <x:c r="G608" s="17" t="n">
        <x:v>87</x:v>
      </x:c>
      <x:c r="H608" s="18" t="str">
        <x:v>דירה כצנלסון</x:v>
      </x:c>
      <x:c r="I608" s="19" t="str">
        <x:f>IFERROR(INDEX('מיפוי ומקורות'!$C$7:$C$33,MATCH(H608,'מיפוי ומקורות'!$B$7:$B$33,0)),"לא מסווג")</x:f>
        <x:v>נכס להשקעה</x:v>
      </x:c>
      <x:c r="J608" s="19" t="str">
        <x:f>IFERROR(INDEX('מיפוי ומקורות'!$D$7:$D$33,MATCH(H608,'מיפוי ומקורות'!$B$7:$B$33,0)),"שוטף")</x:f>
        <x:v>חריג/נכס</x:v>
      </x:c>
      <x:c r="K608" s="19" t="str">
        <x:f>IF(OR(H608="ריביות",AND(H608="דירה כצנלסון",G608&lt;0,ISNUMBER(SEARCH("הכנסה",F608)))),"הכנסה שסווגה מחדש",J608)</x:f>
        <x:v>חריג/נכס</x:v>
      </x:c>
      <x:c r="L608" s="19" t="str">
        <x:v>מאושר</x:v>
      </x:c>
      <x:c r="M608" s="20" t="n">
        <x:f>IF(L608="מאושר",IF(K608="הכנסה שסווגה מחדש",0,G608),0)</x:f>
        <x:v>87</x:v>
      </x:c>
      <x:c r="N608" s="20" t="n">
        <x:f>IF(K608="שוטף",M608,0)</x:f>
        <x:v>0</x:v>
      </x:c>
      <x:c r="O608" s="20" t="n">
        <x:f>IF(K608="הכנסה שסווגה מחדש",-G608,0)</x:f>
        <x:v>0</x:v>
      </x:c>
      <x:c r="P608" s="11" t="str">
        <x:v>אמקס זיו</x:v>
      </x:c>
      <x:c r="Q608" s="11" t="str"/>
      <x:c r="R608" s="11" t="str">
        <x:v>לא</x:v>
      </x:c>
    </x:row>
    <x:row r="609">
      <x:c r="A609" s="14" t="n">
        <x:v>45839</x:v>
      </x:c>
      <x:c r="B609" s="11" t="str">
        <x:v>2025-07</x:v>
      </x:c>
      <x:c r="C609" s="11" t="str">
        <x:v>יולי 25</x:v>
      </x:c>
      <x:c r="D609" s="15" t="n">
        <x:v>12</x:v>
      </x:c>
      <x:c r="E609" s="11" t="str">
        <x:v>28</x:v>
      </x:c>
      <x:c r="F609" s="11" t="str">
        <x:v>ביטוח חיים</x:v>
      </x:c>
      <x:c r="G609" s="17" t="n">
        <x:v>30</x:v>
      </x:c>
      <x:c r="H609" s="18" t="str">
        <x:v>דירה כצנלסון</x:v>
      </x:c>
      <x:c r="I609" s="19" t="str">
        <x:f>IFERROR(INDEX('מיפוי ומקורות'!$C$7:$C$33,MATCH(H609,'מיפוי ומקורות'!$B$7:$B$33,0)),"לא מסווג")</x:f>
        <x:v>נכס להשקעה</x:v>
      </x:c>
      <x:c r="J609" s="19" t="str">
        <x:f>IFERROR(INDEX('מיפוי ומקורות'!$D$7:$D$33,MATCH(H609,'מיפוי ומקורות'!$B$7:$B$33,0)),"שוטף")</x:f>
        <x:v>חריג/נכס</x:v>
      </x:c>
      <x:c r="K609" s="19" t="str">
        <x:f>IF(OR(H609="ריביות",AND(H609="דירה כצנלסון",G609&lt;0,ISNUMBER(SEARCH("הכנסה",F609)))),"הכנסה שסווגה מחדש",J609)</x:f>
        <x:v>חריג/נכס</x:v>
      </x:c>
      <x:c r="L609" s="19" t="str">
        <x:v>מאושר</x:v>
      </x:c>
      <x:c r="M609" s="20" t="n">
        <x:f>IF(L609="מאושר",IF(K609="הכנסה שסווגה מחדש",0,G609),0)</x:f>
        <x:v>30</x:v>
      </x:c>
      <x:c r="N609" s="20" t="n">
        <x:f>IF(K609="שוטף",M609,0)</x:f>
        <x:v>0</x:v>
      </x:c>
      <x:c r="O609" s="20" t="n">
        <x:f>IF(K609="הכנסה שסווגה מחדש",-G609,0)</x:f>
        <x:v>0</x:v>
      </x:c>
      <x:c r="P609" s="11" t="str">
        <x:v>אמקס זיו</x:v>
      </x:c>
      <x:c r="Q609" s="11" t="str"/>
      <x:c r="R609" s="11" t="str">
        <x:v>לא</x:v>
      </x:c>
    </x:row>
    <x:row r="610">
      <x:c r="A610" s="14" t="n">
        <x:v>45839</x:v>
      </x:c>
      <x:c r="B610" s="11" t="str">
        <x:v>2025-07</x:v>
      </x:c>
      <x:c r="C610" s="11" t="str">
        <x:v>יולי 25</x:v>
      </x:c>
      <x:c r="D610" s="15" t="n">
        <x:v>13</x:v>
      </x:c>
      <x:c r="E610" s="11" t="str">
        <x:v>27</x:v>
      </x:c>
      <x:c r="F610" s="11" t="str">
        <x:v>ביטוח בריאות</x:v>
      </x:c>
      <x:c r="G610" s="17" t="n">
        <x:v>115</x:v>
      </x:c>
      <x:c r="H610" s="18" t="str">
        <x:v>ביטוח</x:v>
      </x:c>
      <x:c r="I610" s="19" t="str">
        <x:f>IFERROR(INDEX('מיפוי ומקורות'!$C$7:$C$33,MATCH(H610,'מיפוי ומקורות'!$B$7:$B$33,0)),"לא מסווג")</x:f>
        <x:v>ביטוח</x:v>
      </x:c>
      <x:c r="J610" s="19" t="str">
        <x:f>IFERROR(INDEX('מיפוי ומקורות'!$D$7:$D$33,MATCH(H610,'מיפוי ומקורות'!$B$7:$B$33,0)),"שוטף")</x:f>
        <x:v>שוטף</x:v>
      </x:c>
      <x:c r="K610" s="19" t="str">
        <x:f>IF(OR(H610="ריביות",AND(H610="דירה כצנלסון",G610&lt;0,ISNUMBER(SEARCH("הכנסה",F610)))),"הכנסה שסווגה מחדש",J610)</x:f>
        <x:v>שוטף</x:v>
      </x:c>
      <x:c r="L610" s="19" t="str">
        <x:v>מאושר</x:v>
      </x:c>
      <x:c r="M610" s="20" t="n">
        <x:f>IF(L610="מאושר",IF(K610="הכנסה שסווגה מחדש",0,G610),0)</x:f>
        <x:v>115</x:v>
      </x:c>
      <x:c r="N610" s="20" t="n">
        <x:f>IF(K610="שוטף",M610,0)</x:f>
        <x:v>115</x:v>
      </x:c>
      <x:c r="O610" s="20" t="n">
        <x:f>IF(K610="הכנסה שסווגה מחדש",-G610,0)</x:f>
        <x:v>0</x:v>
      </x:c>
      <x:c r="P610" s="11" t="str">
        <x:v>אמקס עינור</x:v>
      </x:c>
      <x:c r="Q610" s="11" t="str"/>
      <x:c r="R610" s="11" t="str">
        <x:v>לא</x:v>
      </x:c>
    </x:row>
    <x:row r="611">
      <x:c r="A611" s="14" t="n">
        <x:v>45839</x:v>
      </x:c>
      <x:c r="B611" s="11" t="str">
        <x:v>2025-07</x:v>
      </x:c>
      <x:c r="C611" s="11" t="str">
        <x:v>יולי 25</x:v>
      </x:c>
      <x:c r="D611" s="15" t="n">
        <x:v>14</x:v>
      </x:c>
      <x:c r="E611" s="11" t="str"/>
      <x:c r="F611" s="11" t="str">
        <x:v>מנקה</x:v>
      </x:c>
      <x:c r="G611" s="17" t="n">
        <x:v>400</x:v>
      </x:c>
      <x:c r="H611" s="18" t="str">
        <x:v>מגורים צריכה</x:v>
      </x:c>
      <x:c r="I611" s="19" t="str">
        <x:f>IFERROR(INDEX('מיפוי ומקורות'!$C$7:$C$33,MATCH(H611,'מיפוי ומקורות'!$B$7:$B$33,0)),"לא מסווג")</x:f>
        <x:v>דיור – בית מגורים</x:v>
      </x:c>
      <x:c r="J611" s="19" t="str">
        <x:f>IFERROR(INDEX('מיפוי ומקורות'!$D$7:$D$33,MATCH(H611,'מיפוי ומקורות'!$B$7:$B$33,0)),"שוטף")</x:f>
        <x:v>שוטף</x:v>
      </x:c>
      <x:c r="K611" s="19" t="str">
        <x:f>IF(OR(H611="ריביות",AND(H611="דירה כצנלסון",G611&lt;0,ISNUMBER(SEARCH("הכנסה",F611)))),"הכנסה שסווגה מחדש",J611)</x:f>
        <x:v>שוטף</x:v>
      </x:c>
      <x:c r="L611" s="19" t="str">
        <x:v>מאושר</x:v>
      </x:c>
      <x:c r="M611" s="20" t="n">
        <x:f>IF(L611="מאושר",IF(K611="הכנסה שסווגה מחדש",0,G611),0)</x:f>
        <x:v>400</x:v>
      </x:c>
      <x:c r="N611" s="20" t="n">
        <x:f>IF(K611="שוטף",M611,0)</x:f>
        <x:v>400</x:v>
      </x:c>
      <x:c r="O611" s="20" t="n">
        <x:f>IF(K611="הכנסה שסווגה מחדש",-G611,0)</x:f>
        <x:v>0</x:v>
      </x:c>
      <x:c r="P611" s="11" t="str">
        <x:v>מזומן</x:v>
      </x:c>
      <x:c r="Q611" s="11" t="str"/>
      <x:c r="R611" s="11" t="str">
        <x:v>לא</x:v>
      </x:c>
    </x:row>
    <x:row r="612">
      <x:c r="A612" s="14" t="n">
        <x:v>45839</x:v>
      </x:c>
      <x:c r="B612" s="11" t="str">
        <x:v>2025-07</x:v>
      </x:c>
      <x:c r="C612" s="11" t="str">
        <x:v>יולי 25</x:v>
      </x:c>
      <x:c r="D612" s="15" t="n">
        <x:v>15</x:v>
      </x:c>
      <x:c r="E612" s="11" t="str">
        <x:v>2</x:v>
      </x:c>
      <x:c r="F612" s="11" t="str">
        <x:v>אלי</x:v>
      </x:c>
      <x:c r="G612" s="17" t="n">
        <x:v>187</x:v>
      </x:c>
      <x:c r="H612" s="18" t="str">
        <x:v>קניות לבית</x:v>
      </x:c>
      <x:c r="I612" s="19" t="str">
        <x:f>IFERROR(INDEX('מיפוי ומקורות'!$C$7:$C$33,MATCH(H612,'מיפוי ומקורות'!$B$7:$B$33,0)),"לא מסווג")</x:f>
        <x:v>קניות לבית</x:v>
      </x:c>
      <x:c r="J612" s="19" t="str">
        <x:f>IFERROR(INDEX('מיפוי ומקורות'!$D$7:$D$33,MATCH(H612,'מיפוי ומקורות'!$B$7:$B$33,0)),"שוטף")</x:f>
        <x:v>שוטף</x:v>
      </x:c>
      <x:c r="K612" s="19" t="str">
        <x:f>IF(OR(H612="ריביות",AND(H612="דירה כצנלסון",G612&lt;0,ISNUMBER(SEARCH("הכנסה",F612)))),"הכנסה שסווגה מחדש",J612)</x:f>
        <x:v>שוטף</x:v>
      </x:c>
      <x:c r="L612" s="19" t="str">
        <x:v>מאושר</x:v>
      </x:c>
      <x:c r="M612" s="20" t="n">
        <x:f>IF(L612="מאושר",IF(K612="הכנסה שסווגה מחדש",0,G612),0)</x:f>
        <x:v>187</x:v>
      </x:c>
      <x:c r="N612" s="20" t="n">
        <x:f>IF(K612="שוטף",M612,0)</x:f>
        <x:v>187</x:v>
      </x:c>
      <x:c r="O612" s="20" t="n">
        <x:f>IF(K612="הכנסה שסווגה מחדש",-G612,0)</x:f>
        <x:v>0</x:v>
      </x:c>
      <x:c r="P612" s="11" t="str">
        <x:v>one zero עינור</x:v>
      </x:c>
      <x:c r="Q612" s="11" t="str"/>
      <x:c r="R612" s="11" t="str">
        <x:v>לא</x:v>
      </x:c>
    </x:row>
    <x:row r="613">
      <x:c r="A613" s="14" t="n">
        <x:v>45839</x:v>
      </x:c>
      <x:c r="B613" s="11" t="str">
        <x:v>2025-07</x:v>
      </x:c>
      <x:c r="C613" s="11" t="str">
        <x:v>יולי 25</x:v>
      </x:c>
      <x:c r="D613" s="15" t="n">
        <x:v>16</x:v>
      </x:c>
      <x:c r="E613" s="11" t="str">
        <x:v>2</x:v>
      </x:c>
      <x:c r="F613" s="11" t="str">
        <x:v>אלי</x:v>
      </x:c>
      <x:c r="G613" s="17" t="n">
        <x:v>-53</x:v>
      </x:c>
      <x:c r="H613" s="18" t="str">
        <x:v>קניות לבית</x:v>
      </x:c>
      <x:c r="I613" s="19" t="str">
        <x:f>IFERROR(INDEX('מיפוי ומקורות'!$C$7:$C$33,MATCH(H613,'מיפוי ומקורות'!$B$7:$B$33,0)),"לא מסווג")</x:f>
        <x:v>קניות לבית</x:v>
      </x:c>
      <x:c r="J613" s="19" t="str">
        <x:f>IFERROR(INDEX('מיפוי ומקורות'!$D$7:$D$33,MATCH(H613,'מיפוי ומקורות'!$B$7:$B$33,0)),"שוטף")</x:f>
        <x:v>שוטף</x:v>
      </x:c>
      <x:c r="K613" s="19" t="str">
        <x:f>IF(OR(H613="ריביות",AND(H613="דירה כצנלסון",G613&lt;0,ISNUMBER(SEARCH("הכנסה",F613)))),"הכנסה שסווגה מחדש",J613)</x:f>
        <x:v>שוטף</x:v>
      </x:c>
      <x:c r="L613" s="19" t="str">
        <x:v>מאושר</x:v>
      </x:c>
      <x:c r="M613" s="20" t="n">
        <x:f>IF(L613="מאושר",IF(K613="הכנסה שסווגה מחדש",0,G613),0)</x:f>
        <x:v>-53</x:v>
      </x:c>
      <x:c r="N613" s="20" t="n">
        <x:f>IF(K613="שוטף",M613,0)</x:f>
        <x:v>-53</x:v>
      </x:c>
      <x:c r="O613" s="20" t="n">
        <x:f>IF(K613="הכנסה שסווגה מחדש",-G613,0)</x:f>
        <x:v>0</x:v>
      </x:c>
      <x:c r="P613" s="11" t="str">
        <x:v>one zero עינור</x:v>
      </x:c>
      <x:c r="Q613" s="11" t="str"/>
      <x:c r="R613" s="11" t="str">
        <x:v>לא</x:v>
      </x:c>
    </x:row>
    <x:row r="614">
      <x:c r="A614" s="14" t="n">
        <x:v>45839</x:v>
      </x:c>
      <x:c r="B614" s="11" t="str">
        <x:v>2025-07</x:v>
      </x:c>
      <x:c r="C614" s="11" t="str">
        <x:v>יולי 25</x:v>
      </x:c>
      <x:c r="D614" s="15" t="n">
        <x:v>17</x:v>
      </x:c>
      <x:c r="E614" s="11" t="str">
        <x:v>5</x:v>
      </x:c>
      <x:c r="F614" s="11" t="str">
        <x:v>שיין</x:v>
      </x:c>
      <x:c r="G614" s="17" t="n">
        <x:v>475</x:v>
      </x:c>
      <x:c r="H614" s="18" t="str">
        <x:v>אופנה</x:v>
      </x:c>
      <x:c r="I614" s="19" t="str">
        <x:f>IFERROR(INDEX('מיפוי ומקורות'!$C$7:$C$33,MATCH(H614,'מיפוי ומקורות'!$B$7:$B$33,0)),"לא מסווג")</x:f>
        <x:v>אופנה</x:v>
      </x:c>
      <x:c r="J614" s="19" t="str">
        <x:f>IFERROR(INDEX('מיפוי ומקורות'!$D$7:$D$33,MATCH(H614,'מיפוי ומקורות'!$B$7:$B$33,0)),"שוטף")</x:f>
        <x:v>שוטף</x:v>
      </x:c>
      <x:c r="K614" s="19" t="str">
        <x:f>IF(OR(H614="ריביות",AND(H614="דירה כצנלסון",G614&lt;0,ISNUMBER(SEARCH("הכנסה",F614)))),"הכנסה שסווגה מחדש",J614)</x:f>
        <x:v>שוטף</x:v>
      </x:c>
      <x:c r="L614" s="19" t="str">
        <x:v>מאושר</x:v>
      </x:c>
      <x:c r="M614" s="20" t="n">
        <x:f>IF(L614="מאושר",IF(K614="הכנסה שסווגה מחדש",0,G614),0)</x:f>
        <x:v>475</x:v>
      </x:c>
      <x:c r="N614" s="20" t="n">
        <x:f>IF(K614="שוטף",M614,0)</x:f>
        <x:v>475</x:v>
      </x:c>
      <x:c r="O614" s="20" t="n">
        <x:f>IF(K614="הכנסה שסווגה מחדש",-G614,0)</x:f>
        <x:v>0</x:v>
      </x:c>
      <x:c r="P614" s="11" t="str">
        <x:v>one zero עינור</x:v>
      </x:c>
      <x:c r="Q614" s="11" t="str"/>
      <x:c r="R614" s="11" t="str">
        <x:v>לא</x:v>
      </x:c>
    </x:row>
    <x:row r="615">
      <x:c r="A615" s="14" t="n">
        <x:v>45839</x:v>
      </x:c>
      <x:c r="B615" s="11" t="str">
        <x:v>2025-07</x:v>
      </x:c>
      <x:c r="C615" s="11" t="str">
        <x:v>יולי 25</x:v>
      </x:c>
      <x:c r="D615" s="15" t="n">
        <x:v>18</x:v>
      </x:c>
      <x:c r="E615" s="11" t="str">
        <x:v>17</x:v>
      </x:c>
      <x:c r="F615" s="11" t="str">
        <x:v>בלוקים</x:v>
      </x:c>
      <x:c r="G615" s="17" t="n">
        <x:v>475</x:v>
      </x:c>
      <x:c r="H615" s="18" t="str">
        <x:v>חתונה</x:v>
      </x:c>
      <x:c r="I615" s="19" t="str">
        <x:f>IFERROR(INDEX('מיפוי ומקורות'!$C$7:$C$33,MATCH(H615,'מיפוי ומקורות'!$B$7:$B$33,0)),"לא מסווג")</x:f>
        <x:v>חתונה</x:v>
      </x:c>
      <x:c r="J615" s="19" t="str">
        <x:f>IFERROR(INDEX('מיפוי ומקורות'!$D$7:$D$33,MATCH(H615,'מיפוי ומקורות'!$B$7:$B$33,0)),"שוטף")</x:f>
        <x:v>חריג</x:v>
      </x:c>
      <x:c r="K615" s="19" t="str">
        <x:f>IF(OR(H615="ריביות",AND(H615="דירה כצנלסון",G615&lt;0,ISNUMBER(SEARCH("הכנסה",F615)))),"הכנסה שסווגה מחדש",J615)</x:f>
        <x:v>חריג</x:v>
      </x:c>
      <x:c r="L615" s="19" t="str">
        <x:v>מאושר</x:v>
      </x:c>
      <x:c r="M615" s="20" t="n">
        <x:f>IF(L615="מאושר",IF(K615="הכנסה שסווגה מחדש",0,G615),0)</x:f>
        <x:v>475</x:v>
      </x:c>
      <x:c r="N615" s="20" t="n">
        <x:f>IF(K615="שוטף",M615,0)</x:f>
        <x:v>0</x:v>
      </x:c>
      <x:c r="O615" s="20" t="n">
        <x:f>IF(K615="הכנסה שסווגה מחדש",-G615,0)</x:f>
        <x:v>0</x:v>
      </x:c>
      <x:c r="P615" s="11" t="str">
        <x:v>one zero עינור</x:v>
      </x:c>
      <x:c r="Q615" s="11" t="str"/>
      <x:c r="R615" s="11" t="str">
        <x:v>לא</x:v>
      </x:c>
    </x:row>
    <x:row r="616">
      <x:c r="A616" s="14" t="n">
        <x:v>45839</x:v>
      </x:c>
      <x:c r="B616" s="11" t="str">
        <x:v>2025-07</x:v>
      </x:c>
      <x:c r="C616" s="11" t="str">
        <x:v>יולי 25</x:v>
      </x:c>
      <x:c r="D616" s="15" t="n">
        <x:v>19</x:v>
      </x:c>
      <x:c r="E616" s="11" t="str">
        <x:v>25</x:v>
      </x:c>
      <x:c r="F616" s="11" t="str">
        <x:v>תחבץ</x:v>
      </x:c>
      <x:c r="G616" s="17" t="n">
        <x:v>56</x:v>
      </x:c>
      <x:c r="H616" s="18" t="str">
        <x:v>תחבורה</x:v>
      </x:c>
      <x:c r="I616" s="19" t="str">
        <x:f>IFERROR(INDEX('מיפוי ומקורות'!$C$7:$C$33,MATCH(H616,'מיפוי ומקורות'!$B$7:$B$33,0)),"לא מסווג")</x:f>
        <x:v>תחבורה</x:v>
      </x:c>
      <x:c r="J616" s="19" t="str">
        <x:f>IFERROR(INDEX('מיפוי ומקורות'!$D$7:$D$33,MATCH(H616,'מיפוי ומקורות'!$B$7:$B$33,0)),"שוטף")</x:f>
        <x:v>שוטף</x:v>
      </x:c>
      <x:c r="K616" s="19" t="str">
        <x:f>IF(OR(H616="ריביות",AND(H616="דירה כצנלסון",G616&lt;0,ISNUMBER(SEARCH("הכנסה",F616)))),"הכנסה שסווגה מחדש",J616)</x:f>
        <x:v>שוטף</x:v>
      </x:c>
      <x:c r="L616" s="19" t="str">
        <x:v>מאושר</x:v>
      </x:c>
      <x:c r="M616" s="20" t="n">
        <x:f>IF(L616="מאושר",IF(K616="הכנסה שסווגה מחדש",0,G616),0)</x:f>
        <x:v>56</x:v>
      </x:c>
      <x:c r="N616" s="20" t="n">
        <x:f>IF(K616="שוטף",M616,0)</x:f>
        <x:v>56</x:v>
      </x:c>
      <x:c r="O616" s="20" t="n">
        <x:f>IF(K616="הכנסה שסווגה מחדש",-G616,0)</x:f>
        <x:v>0</x:v>
      </x:c>
      <x:c r="P616" s="11" t="str">
        <x:v>one zero עינור</x:v>
      </x:c>
      <x:c r="Q616" s="11" t="str"/>
      <x:c r="R616" s="11" t="str">
        <x:v>לא</x:v>
      </x:c>
    </x:row>
    <x:row r="617">
      <x:c r="A617" s="14" t="n">
        <x:v>45839</x:v>
      </x:c>
      <x:c r="B617" s="11" t="str">
        <x:v>2025-07</x:v>
      </x:c>
      <x:c r="C617" s="11" t="str">
        <x:v>יולי 25</x:v>
      </x:c>
      <x:c r="D617" s="15" t="n">
        <x:v>20</x:v>
      </x:c>
      <x:c r="E617" s="11" t="str">
        <x:v>29</x:v>
      </x:c>
      <x:c r="F617" s="11" t="str">
        <x:v>שיין</x:v>
      </x:c>
      <x:c r="G617" s="17" t="n">
        <x:v>-304</x:v>
      </x:c>
      <x:c r="H617" s="18" t="str">
        <x:v>אופנה</x:v>
      </x:c>
      <x:c r="I617" s="19" t="str">
        <x:f>IFERROR(INDEX('מיפוי ומקורות'!$C$7:$C$33,MATCH(H617,'מיפוי ומקורות'!$B$7:$B$33,0)),"לא מסווג")</x:f>
        <x:v>אופנה</x:v>
      </x:c>
      <x:c r="J617" s="19" t="str">
        <x:f>IFERROR(INDEX('מיפוי ומקורות'!$D$7:$D$33,MATCH(H617,'מיפוי ומקורות'!$B$7:$B$33,0)),"שוטף")</x:f>
        <x:v>שוטף</x:v>
      </x:c>
      <x:c r="K617" s="19" t="str">
        <x:f>IF(OR(H617="ריביות",AND(H617="דירה כצנלסון",G617&lt;0,ISNUMBER(SEARCH("הכנסה",F617)))),"הכנסה שסווגה מחדש",J617)</x:f>
        <x:v>שוטף</x:v>
      </x:c>
      <x:c r="L617" s="19" t="str">
        <x:v>מאושר</x:v>
      </x:c>
      <x:c r="M617" s="20" t="n">
        <x:f>IF(L617="מאושר",IF(K617="הכנסה שסווגה מחדש",0,G617),0)</x:f>
        <x:v>-304</x:v>
      </x:c>
      <x:c r="N617" s="20" t="n">
        <x:f>IF(K617="שוטף",M617,0)</x:f>
        <x:v>-304</x:v>
      </x:c>
      <x:c r="O617" s="20" t="n">
        <x:f>IF(K617="הכנסה שסווגה מחדש",-G617,0)</x:f>
        <x:v>0</x:v>
      </x:c>
      <x:c r="P617" s="11" t="str">
        <x:v>one zero עינור</x:v>
      </x:c>
      <x:c r="Q617" s="11" t="str"/>
      <x:c r="R617" s="11" t="str">
        <x:v>לא</x:v>
      </x:c>
    </x:row>
    <x:row r="618">
      <x:c r="A618" s="14" t="n">
        <x:v>45839</x:v>
      </x:c>
      <x:c r="B618" s="11" t="str">
        <x:v>2025-07</x:v>
      </x:c>
      <x:c r="C618" s="11" t="str">
        <x:v>יולי 25</x:v>
      </x:c>
      <x:c r="D618" s="15" t="n">
        <x:v>21</x:v>
      </x:c>
      <x:c r="E618" s="11" t="str">
        <x:v>30</x:v>
      </x:c>
      <x:c r="F618" s="11" t="str">
        <x:v>אלי</x:v>
      </x:c>
      <x:c r="G618" s="17" t="n">
        <x:v>-31</x:v>
      </x:c>
      <x:c r="H618" s="18" t="str">
        <x:v>קניות לבית</x:v>
      </x:c>
      <x:c r="I618" s="19" t="str">
        <x:f>IFERROR(INDEX('מיפוי ומקורות'!$C$7:$C$33,MATCH(H618,'מיפוי ומקורות'!$B$7:$B$33,0)),"לא מסווג")</x:f>
        <x:v>קניות לבית</x:v>
      </x:c>
      <x:c r="J618" s="19" t="str">
        <x:f>IFERROR(INDEX('מיפוי ומקורות'!$D$7:$D$33,MATCH(H618,'מיפוי ומקורות'!$B$7:$B$33,0)),"שוטף")</x:f>
        <x:v>שוטף</x:v>
      </x:c>
      <x:c r="K618" s="19" t="str">
        <x:f>IF(OR(H618="ריביות",AND(H618="דירה כצנלסון",G618&lt;0,ISNUMBER(SEARCH("הכנסה",F618)))),"הכנסה שסווגה מחדש",J618)</x:f>
        <x:v>שוטף</x:v>
      </x:c>
      <x:c r="L618" s="19" t="str">
        <x:v>מאושר</x:v>
      </x:c>
      <x:c r="M618" s="20" t="n">
        <x:f>IF(L618="מאושר",IF(K618="הכנסה שסווגה מחדש",0,G618),0)</x:f>
        <x:v>-31</x:v>
      </x:c>
      <x:c r="N618" s="20" t="n">
        <x:f>IF(K618="שוטף",M618,0)</x:f>
        <x:v>-31</x:v>
      </x:c>
      <x:c r="O618" s="20" t="n">
        <x:f>IF(K618="הכנסה שסווגה מחדש",-G618,0)</x:f>
        <x:v>0</x:v>
      </x:c>
      <x:c r="P618" s="11" t="str">
        <x:v>one zero עינור</x:v>
      </x:c>
      <x:c r="Q618" s="11" t="str"/>
      <x:c r="R618" s="11" t="str">
        <x:v>לא</x:v>
      </x:c>
    </x:row>
    <x:row r="619">
      <x:c r="A619" s="14" t="n">
        <x:v>45839</x:v>
      </x:c>
      <x:c r="B619" s="11" t="str">
        <x:v>2025-07</x:v>
      </x:c>
      <x:c r="C619" s="11" t="str">
        <x:v>יולי 25</x:v>
      </x:c>
      <x:c r="D619" s="15" t="n">
        <x:v>22</x:v>
      </x:c>
      <x:c r="E619" s="11" t="str">
        <x:v>8</x:v>
      </x:c>
      <x:c r="F619" s="11" t="str">
        <x:v>אלי</x:v>
      </x:c>
      <x:c r="G619" s="17" t="n">
        <x:v>58</x:v>
      </x:c>
      <x:c r="H619" s="18" t="str">
        <x:v>קניות לבית</x:v>
      </x:c>
      <x:c r="I619" s="19" t="str">
        <x:f>IFERROR(INDEX('מיפוי ומקורות'!$C$7:$C$33,MATCH(H619,'מיפוי ומקורות'!$B$7:$B$33,0)),"לא מסווג")</x:f>
        <x:v>קניות לבית</x:v>
      </x:c>
      <x:c r="J619" s="19" t="str">
        <x:f>IFERROR(INDEX('מיפוי ומקורות'!$D$7:$D$33,MATCH(H619,'מיפוי ומקורות'!$B$7:$B$33,0)),"שוטף")</x:f>
        <x:v>שוטף</x:v>
      </x:c>
      <x:c r="K619" s="19" t="str">
        <x:f>IF(OR(H619="ריביות",AND(H619="דירה כצנלסון",G619&lt;0,ISNUMBER(SEARCH("הכנסה",F619)))),"הכנסה שסווגה מחדש",J619)</x:f>
        <x:v>שוטף</x:v>
      </x:c>
      <x:c r="L619" s="19" t="str">
        <x:v>מאושר</x:v>
      </x:c>
      <x:c r="M619" s="20" t="n">
        <x:f>IF(L619="מאושר",IF(K619="הכנסה שסווגה מחדש",0,G619),0)</x:f>
        <x:v>58</x:v>
      </x:c>
      <x:c r="N619" s="20" t="n">
        <x:f>IF(K619="שוטף",M619,0)</x:f>
        <x:v>58</x:v>
      </x:c>
      <x:c r="O619" s="20" t="n">
        <x:f>IF(K619="הכנסה שסווגה מחדש",-G619,0)</x:f>
        <x:v>0</x:v>
      </x:c>
      <x:c r="P619" s="11" t="str">
        <x:v>one zero זיו</x:v>
      </x:c>
      <x:c r="Q619" s="11" t="str"/>
      <x:c r="R619" s="11" t="str">
        <x:v>לא</x:v>
      </x:c>
    </x:row>
    <x:row r="620">
      <x:c r="A620" s="14" t="n">
        <x:v>45839</x:v>
      </x:c>
      <x:c r="B620" s="11" t="str">
        <x:v>2025-07</x:v>
      </x:c>
      <x:c r="C620" s="11" t="str">
        <x:v>יולי 25</x:v>
      </x:c>
      <x:c r="D620" s="15" t="n">
        <x:v>23</x:v>
      </x:c>
      <x:c r="E620" s="11" t="str">
        <x:v>6</x:v>
      </x:c>
      <x:c r="F620" s="11" t="str">
        <x:v>קרפור סופר (ישן)</x:v>
      </x:c>
      <x:c r="G620" s="17" t="n">
        <x:v>304</x:v>
      </x:c>
      <x:c r="H620" s="18" t="str">
        <x:v>מזון לבית</x:v>
      </x:c>
      <x:c r="I620" s="19" t="str">
        <x:f>IFERROR(INDEX('מיפוי ומקורות'!$C$7:$C$33,MATCH(H620,'מיפוי ומקורות'!$B$7:$B$33,0)),"לא מסווג")</x:f>
        <x:v>מזון לבית</x:v>
      </x:c>
      <x:c r="J620" s="19" t="str">
        <x:f>IFERROR(INDEX('מיפוי ומקורות'!$D$7:$D$33,MATCH(H620,'מיפוי ומקורות'!$B$7:$B$33,0)),"שוטף")</x:f>
        <x:v>שוטף</x:v>
      </x:c>
      <x:c r="K620" s="19" t="str">
        <x:f>IF(OR(H620="ריביות",AND(H620="דירה כצנלסון",G620&lt;0,ISNUMBER(SEARCH("הכנסה",F620)))),"הכנסה שסווגה מחדש",J620)</x:f>
        <x:v>שוטף</x:v>
      </x:c>
      <x:c r="L620" s="19" t="str">
        <x:v>מאושר</x:v>
      </x:c>
      <x:c r="M620" s="20" t="n">
        <x:f>IF(L620="מאושר",IF(K620="הכנסה שסווגה מחדש",0,G620),0)</x:f>
        <x:v>304</x:v>
      </x:c>
      <x:c r="N620" s="20" t="n">
        <x:f>IF(K620="שוטף",M620,0)</x:f>
        <x:v>304</x:v>
      </x:c>
      <x:c r="O620" s="20" t="n">
        <x:f>IF(K620="הכנסה שסווגה מחדש",-G620,0)</x:f>
        <x:v>0</x:v>
      </x:c>
      <x:c r="P620" s="11" t="str">
        <x:v>one zero זיו</x:v>
      </x:c>
      <x:c r="Q620" s="11" t="str"/>
      <x:c r="R620" s="11" t="str">
        <x:v>לא</x:v>
      </x:c>
    </x:row>
    <x:row r="621">
      <x:c r="A621" s="14" t="n">
        <x:v>45839</x:v>
      </x:c>
      <x:c r="B621" s="11" t="str">
        <x:v>2025-07</x:v>
      </x:c>
      <x:c r="C621" s="11" t="str">
        <x:v>יולי 25</x:v>
      </x:c>
      <x:c r="D621" s="15" t="n">
        <x:v>24</x:v>
      </x:c>
      <x:c r="E621" s="11" t="str">
        <x:v>26</x:v>
      </x:c>
      <x:c r="F621" s="11" t="str">
        <x:v>אקספו</x:v>
      </x:c>
      <x:c r="G621" s="17" t="n">
        <x:v>262</x:v>
      </x:c>
      <x:c r="H621" s="18" t="str">
        <x:v>חול</x:v>
      </x:c>
      <x:c r="I621" s="19" t="str">
        <x:f>IFERROR(INDEX('מיפוי ומקורות'!$C$7:$C$33,MATCH(H621,'מיפוי ומקורות'!$B$7:$B$33,0)),"לא מסווג")</x:f>
        <x:v>נסיעות וחופשות</x:v>
      </x:c>
      <x:c r="J621" s="19" t="str">
        <x:f>IFERROR(INDEX('מיפוי ומקורות'!$D$7:$D$33,MATCH(H621,'מיפוי ומקורות'!$B$7:$B$33,0)),"שוטף")</x:f>
        <x:v>חריג</x:v>
      </x:c>
      <x:c r="K621" s="19" t="str">
        <x:f>IF(OR(H621="ריביות",AND(H621="דירה כצנלסון",G621&lt;0,ISNUMBER(SEARCH("הכנסה",F621)))),"הכנסה שסווגה מחדש",J621)</x:f>
        <x:v>חריג</x:v>
      </x:c>
      <x:c r="L621" s="19" t="str">
        <x:v>מאושר</x:v>
      </x:c>
      <x:c r="M621" s="20" t="n">
        <x:f>IF(L621="מאושר",IF(K621="הכנסה שסווגה מחדש",0,G621),0)</x:f>
        <x:v>262</x:v>
      </x:c>
      <x:c r="N621" s="20" t="n">
        <x:f>IF(K621="שוטף",M621,0)</x:f>
        <x:v>0</x:v>
      </x:c>
      <x:c r="O621" s="20" t="n">
        <x:f>IF(K621="הכנסה שסווגה מחדש",-G621,0)</x:f>
        <x:v>0</x:v>
      </x:c>
      <x:c r="P621" s="11" t="str">
        <x:v>one zero זיו</x:v>
      </x:c>
      <x:c r="Q621" s="11" t="str"/>
      <x:c r="R621" s="11" t="str">
        <x:v>לא</x:v>
      </x:c>
    </x:row>
    <x:row r="622">
      <x:c r="A622" s="14" t="n">
        <x:v>45839</x:v>
      </x:c>
      <x:c r="B622" s="11" t="str">
        <x:v>2025-07</x:v>
      </x:c>
      <x:c r="C622" s="11" t="str">
        <x:v>יולי 25</x:v>
      </x:c>
      <x:c r="D622" s="15" t="n">
        <x:v>25</x:v>
      </x:c>
      <x:c r="E622" s="11" t="str">
        <x:v>26</x:v>
      </x:c>
      <x:c r="F622" s="11" t="str">
        <x:v>רכב ניקו</x:v>
      </x:c>
      <x:c r="G622" s="17" t="n">
        <x:v>280</x:v>
      </x:c>
      <x:c r="H622" s="18" t="str">
        <x:v>חול</x:v>
      </x:c>
      <x:c r="I622" s="19" t="str">
        <x:f>IFERROR(INDEX('מיפוי ומקורות'!$C$7:$C$33,MATCH(H622,'מיפוי ומקורות'!$B$7:$B$33,0)),"לא מסווג")</x:f>
        <x:v>נסיעות וחופשות</x:v>
      </x:c>
      <x:c r="J622" s="19" t="str">
        <x:f>IFERROR(INDEX('מיפוי ומקורות'!$D$7:$D$33,MATCH(H622,'מיפוי ומקורות'!$B$7:$B$33,0)),"שוטף")</x:f>
        <x:v>חריג</x:v>
      </x:c>
      <x:c r="K622" s="19" t="str">
        <x:f>IF(OR(H622="ריביות",AND(H622="דירה כצנלסון",G622&lt;0,ISNUMBER(SEARCH("הכנסה",F622)))),"הכנסה שסווגה מחדש",J622)</x:f>
        <x:v>חריג</x:v>
      </x:c>
      <x:c r="L622" s="19" t="str">
        <x:v>מאושר</x:v>
      </x:c>
      <x:c r="M622" s="20" t="n">
        <x:f>IF(L622="מאושר",IF(K622="הכנסה שסווגה מחדש",0,G622),0)</x:f>
        <x:v>280</x:v>
      </x:c>
      <x:c r="N622" s="20" t="n">
        <x:f>IF(K622="שוטף",M622,0)</x:f>
        <x:v>0</x:v>
      </x:c>
      <x:c r="O622" s="20" t="n">
        <x:f>IF(K622="הכנסה שסווגה מחדש",-G622,0)</x:f>
        <x:v>0</x:v>
      </x:c>
      <x:c r="P622" s="11" t="str">
        <x:v>קופרריט זיו</x:v>
      </x:c>
      <x:c r="Q622" s="11" t="str"/>
      <x:c r="R622" s="11" t="str">
        <x:v>לא</x:v>
      </x:c>
    </x:row>
    <x:row r="623">
      <x:c r="A623" s="14" t="n">
        <x:v>45839</x:v>
      </x:c>
      <x:c r="B623" s="11" t="str">
        <x:v>2025-07</x:v>
      </x:c>
      <x:c r="C623" s="11" t="str">
        <x:v>יולי 25</x:v>
      </x:c>
      <x:c r="D623" s="15" t="n">
        <x:v>26</x:v>
      </x:c>
      <x:c r="E623" s="11" t="str">
        <x:v>26</x:v>
      </x:c>
      <x:c r="F623" s="11" t="str">
        <x:v>רכב ניקו</x:v>
      </x:c>
      <x:c r="G623" s="17" t="n">
        <x:v>280</x:v>
      </x:c>
      <x:c r="H623" s="18" t="str">
        <x:v>חול</x:v>
      </x:c>
      <x:c r="I623" s="19" t="str">
        <x:f>IFERROR(INDEX('מיפוי ומקורות'!$C$7:$C$33,MATCH(H623,'מיפוי ומקורות'!$B$7:$B$33,0)),"לא מסווג")</x:f>
        <x:v>נסיעות וחופשות</x:v>
      </x:c>
      <x:c r="J623" s="19" t="str">
        <x:f>IFERROR(INDEX('מיפוי ומקורות'!$D$7:$D$33,MATCH(H623,'מיפוי ומקורות'!$B$7:$B$33,0)),"שוטף")</x:f>
        <x:v>חריג</x:v>
      </x:c>
      <x:c r="K623" s="19" t="str">
        <x:f>IF(OR(H623="ריביות",AND(H623="דירה כצנלסון",G623&lt;0,ISNUMBER(SEARCH("הכנסה",F623)))),"הכנסה שסווגה מחדש",J623)</x:f>
        <x:v>חריג</x:v>
      </x:c>
      <x:c r="L623" s="19" t="str">
        <x:v>מאושר</x:v>
      </x:c>
      <x:c r="M623" s="20" t="n">
        <x:f>IF(L623="מאושר",IF(K623="הכנסה שסווגה מחדש",0,G623),0)</x:f>
        <x:v>280</x:v>
      </x:c>
      <x:c r="N623" s="20" t="n">
        <x:f>IF(K623="שוטף",M623,0)</x:f>
        <x:v>0</x:v>
      </x:c>
      <x:c r="O623" s="20" t="n">
        <x:f>IF(K623="הכנסה שסווגה מחדש",-G623,0)</x:f>
        <x:v>0</x:v>
      </x:c>
      <x:c r="P623" s="11" t="str">
        <x:v>קופרריט זיו</x:v>
      </x:c>
      <x:c r="Q623" s="11" t="str"/>
      <x:c r="R623" s="11" t="str">
        <x:v>לא</x:v>
      </x:c>
    </x:row>
    <x:row r="624">
      <x:c r="A624" s="14" t="n">
        <x:v>45839</x:v>
      </x:c>
      <x:c r="B624" s="11" t="str">
        <x:v>2025-07</x:v>
      </x:c>
      <x:c r="C624" s="11" t="str">
        <x:v>יולי 25</x:v>
      </x:c>
      <x:c r="D624" s="15" t="n">
        <x:v>27</x:v>
      </x:c>
      <x:c r="E624" s="11" t="str">
        <x:v>30</x:v>
      </x:c>
      <x:c r="F624" s="11" t="str">
        <x:v>סופר</x:v>
      </x:c>
      <x:c r="G624" s="17" t="n">
        <x:v>78</x:v>
      </x:c>
      <x:c r="H624" s="18" t="str">
        <x:v>מזון לבית</x:v>
      </x:c>
      <x:c r="I624" s="19" t="str">
        <x:f>IFERROR(INDEX('מיפוי ומקורות'!$C$7:$C$33,MATCH(H624,'מיפוי ומקורות'!$B$7:$B$33,0)),"לא מסווג")</x:f>
        <x:v>מזון לבית</x:v>
      </x:c>
      <x:c r="J624" s="19" t="str">
        <x:f>IFERROR(INDEX('מיפוי ומקורות'!$D$7:$D$33,MATCH(H624,'מיפוי ומקורות'!$B$7:$B$33,0)),"שוטף")</x:f>
        <x:v>שוטף</x:v>
      </x:c>
      <x:c r="K624" s="19" t="str">
        <x:f>IF(OR(H624="ריביות",AND(H624="דירה כצנלסון",G624&lt;0,ISNUMBER(SEARCH("הכנסה",F624)))),"הכנסה שסווגה מחדש",J624)</x:f>
        <x:v>שוטף</x:v>
      </x:c>
      <x:c r="L624" s="19" t="str">
        <x:v>מאושר</x:v>
      </x:c>
      <x:c r="M624" s="20" t="n">
        <x:f>IF(L624="מאושר",IF(K624="הכנסה שסווגה מחדש",0,G624),0)</x:f>
        <x:v>78</x:v>
      </x:c>
      <x:c r="N624" s="20" t="n">
        <x:f>IF(K624="שוטף",M624,0)</x:f>
        <x:v>78</x:v>
      </x:c>
      <x:c r="O624" s="20" t="n">
        <x:f>IF(K624="הכנסה שסווגה מחדש",-G624,0)</x:f>
        <x:v>0</x:v>
      </x:c>
      <x:c r="P624" s="11" t="str">
        <x:v>קופרריט זיו</x:v>
      </x:c>
      <x:c r="Q624" s="11" t="str"/>
      <x:c r="R624" s="11" t="str">
        <x:v>לא</x:v>
      </x:c>
    </x:row>
    <x:row r="625">
      <x:c r="A625" s="14" t="n">
        <x:v>45839</x:v>
      </x:c>
      <x:c r="B625" s="11" t="str">
        <x:v>2025-07</x:v>
      </x:c>
      <x:c r="C625" s="11" t="str">
        <x:v>יולי 25</x:v>
      </x:c>
      <x:c r="D625" s="15" t="n">
        <x:v>28</x:v>
      </x:c>
      <x:c r="E625" s="11" t="str">
        <x:v>1</x:v>
      </x:c>
      <x:c r="F625" s="11" t="str">
        <x:v>ירקן</x:v>
      </x:c>
      <x:c r="G625" s="17" t="n">
        <x:v>50</x:v>
      </x:c>
      <x:c r="H625" s="18" t="str">
        <x:v>מזון לבית</x:v>
      </x:c>
      <x:c r="I625" s="19" t="str">
        <x:f>IFERROR(INDEX('מיפוי ומקורות'!$C$7:$C$33,MATCH(H625,'מיפוי ומקורות'!$B$7:$B$33,0)),"לא מסווג")</x:f>
        <x:v>מזון לבית</x:v>
      </x:c>
      <x:c r="J625" s="19" t="str">
        <x:f>IFERROR(INDEX('מיפוי ומקורות'!$D$7:$D$33,MATCH(H625,'מיפוי ומקורות'!$B$7:$B$33,0)),"שוטף")</x:f>
        <x:v>שוטף</x:v>
      </x:c>
      <x:c r="K625" s="19" t="str">
        <x:f>IF(OR(H625="ריביות",AND(H625="דירה כצנלסון",G625&lt;0,ISNUMBER(SEARCH("הכנסה",F625)))),"הכנסה שסווגה מחדש",J625)</x:f>
        <x:v>שוטף</x:v>
      </x:c>
      <x:c r="L625" s="19" t="str">
        <x:v>מאושר</x:v>
      </x:c>
      <x:c r="M625" s="20" t="n">
        <x:f>IF(L625="מאושר",IF(K625="הכנסה שסווגה מחדש",0,G625),0)</x:f>
        <x:v>50</x:v>
      </x:c>
      <x:c r="N625" s="20" t="n">
        <x:f>IF(K625="שוטף",M625,0)</x:f>
        <x:v>50</x:v>
      </x:c>
      <x:c r="O625" s="20" t="n">
        <x:f>IF(K625="הכנסה שסווגה מחדש",-G625,0)</x:f>
        <x:v>0</x:v>
      </x:c>
      <x:c r="P625" s="11" t="str">
        <x:v>אמקס זיו</x:v>
      </x:c>
      <x:c r="Q625" s="11" t="str"/>
      <x:c r="R625" s="11" t="str">
        <x:v>לא</x:v>
      </x:c>
    </x:row>
    <x:row r="626">
      <x:c r="A626" s="14" t="n">
        <x:v>45839</x:v>
      </x:c>
      <x:c r="B626" s="11" t="str">
        <x:v>2025-07</x:v>
      </x:c>
      <x:c r="C626" s="11" t="str">
        <x:v>יולי 25</x:v>
      </x:c>
      <x:c r="D626" s="15" t="n">
        <x:v>29</x:v>
      </x:c>
      <x:c r="E626" s="11" t="str">
        <x:v>1</x:v>
      </x:c>
      <x:c r="F626" s="11" t="str">
        <x:v>מכולת</x:v>
      </x:c>
      <x:c r="G626" s="17" t="n">
        <x:v>19</x:v>
      </x:c>
      <x:c r="H626" s="18" t="str">
        <x:v>מזון לבית</x:v>
      </x:c>
      <x:c r="I626" s="19" t="str">
        <x:f>IFERROR(INDEX('מיפוי ומקורות'!$C$7:$C$33,MATCH(H626,'מיפוי ומקורות'!$B$7:$B$33,0)),"לא מסווג")</x:f>
        <x:v>מזון לבית</x:v>
      </x:c>
      <x:c r="J626" s="19" t="str">
        <x:f>IFERROR(INDEX('מיפוי ומקורות'!$D$7:$D$33,MATCH(H626,'מיפוי ומקורות'!$B$7:$B$33,0)),"שוטף")</x:f>
        <x:v>שוטף</x:v>
      </x:c>
      <x:c r="K626" s="19" t="str">
        <x:f>IF(OR(H626="ריביות",AND(H626="דירה כצנלסון",G626&lt;0,ISNUMBER(SEARCH("הכנסה",F626)))),"הכנסה שסווגה מחדש",J626)</x:f>
        <x:v>שוטף</x:v>
      </x:c>
      <x:c r="L626" s="19" t="str">
        <x:v>מאושר</x:v>
      </x:c>
      <x:c r="M626" s="20" t="n">
        <x:f>IF(L626="מאושר",IF(K626="הכנסה שסווגה מחדש",0,G626),0)</x:f>
        <x:v>19</x:v>
      </x:c>
      <x:c r="N626" s="20" t="n">
        <x:f>IF(K626="שוטף",M626,0)</x:f>
        <x:v>19</x:v>
      </x:c>
      <x:c r="O626" s="20" t="n">
        <x:f>IF(K626="הכנסה שסווגה מחדש",-G626,0)</x:f>
        <x:v>0</x:v>
      </x:c>
      <x:c r="P626" s="11" t="str">
        <x:v>אמקס זיו</x:v>
      </x:c>
      <x:c r="Q626" s="11" t="str"/>
      <x:c r="R626" s="11" t="str">
        <x:v>לא</x:v>
      </x:c>
    </x:row>
    <x:row r="627">
      <x:c r="A627" s="14" t="n">
        <x:v>45839</x:v>
      </x:c>
      <x:c r="B627" s="11" t="str">
        <x:v>2025-07</x:v>
      </x:c>
      <x:c r="C627" s="11" t="str">
        <x:v>יולי 25</x:v>
      </x:c>
      <x:c r="D627" s="15" t="n">
        <x:v>30</x:v>
      </x:c>
      <x:c r="E627" s="11" t="str">
        <x:v>1</x:v>
      </x:c>
      <x:c r="F627" s="11" t="str">
        <x:v>ליאת</x:v>
      </x:c>
      <x:c r="G627" s="17" t="n">
        <x:v>1350</x:v>
      </x:c>
      <x:c r="H627" s="18" t="str">
        <x:v>בריאות</x:v>
      </x:c>
      <x:c r="I627" s="19" t="str">
        <x:f>IFERROR(INDEX('מיפוי ומקורות'!$C$7:$C$33,MATCH(H627,'מיפוי ומקורות'!$B$7:$B$33,0)),"לא מסווג")</x:f>
        <x:v>בריאות וטיפולים</x:v>
      </x:c>
      <x:c r="J627" s="19" t="str">
        <x:f>IFERROR(INDEX('מיפוי ומקורות'!$D$7:$D$33,MATCH(H627,'מיפוי ומקורות'!$B$7:$B$33,0)),"שוטף")</x:f>
        <x:v>שוטף</x:v>
      </x:c>
      <x:c r="K627" s="19" t="str">
        <x:f>IF(OR(H627="ריביות",AND(H627="דירה כצנלסון",G627&lt;0,ISNUMBER(SEARCH("הכנסה",F627)))),"הכנסה שסווגה מחדש",J627)</x:f>
        <x:v>שוטף</x:v>
      </x:c>
      <x:c r="L627" s="19" t="str">
        <x:v>מאושר</x:v>
      </x:c>
      <x:c r="M627" s="20" t="n">
        <x:f>IF(L627="מאושר",IF(K627="הכנסה שסווגה מחדש",0,G627),0)</x:f>
        <x:v>1350</x:v>
      </x:c>
      <x:c r="N627" s="20" t="n">
        <x:f>IF(K627="שוטף",M627,0)</x:f>
        <x:v>1350</x:v>
      </x:c>
      <x:c r="O627" s="20" t="n">
        <x:f>IF(K627="הכנסה שסווגה מחדש",-G627,0)</x:f>
        <x:v>0</x:v>
      </x:c>
      <x:c r="P627" s="11" t="str">
        <x:v>אמקס זיו</x:v>
      </x:c>
      <x:c r="Q627" s="11" t="str"/>
      <x:c r="R627" s="11" t="str">
        <x:v>לא</x:v>
      </x:c>
    </x:row>
    <x:row r="628">
      <x:c r="A628" s="14" t="n">
        <x:v>45839</x:v>
      </x:c>
      <x:c r="B628" s="11" t="str">
        <x:v>2025-07</x:v>
      </x:c>
      <x:c r="C628" s="11" t="str">
        <x:v>יולי 25</x:v>
      </x:c>
      <x:c r="D628" s="15" t="n">
        <x:v>31</x:v>
      </x:c>
      <x:c r="E628" s="11" t="str">
        <x:v>2</x:v>
      </x:c>
      <x:c r="F628" s="11" t="str">
        <x:v>מכבי</x:v>
      </x:c>
      <x:c r="G628" s="17" t="n">
        <x:v>55</x:v>
      </x:c>
      <x:c r="H628" s="18" t="str">
        <x:v>בריאות</x:v>
      </x:c>
      <x:c r="I628" s="19" t="str">
        <x:f>IFERROR(INDEX('מיפוי ומקורות'!$C$7:$C$33,MATCH(H628,'מיפוי ומקורות'!$B$7:$B$33,0)),"לא מסווג")</x:f>
        <x:v>בריאות וטיפולים</x:v>
      </x:c>
      <x:c r="J628" s="19" t="str">
        <x:f>IFERROR(INDEX('מיפוי ומקורות'!$D$7:$D$33,MATCH(H628,'מיפוי ומקורות'!$B$7:$B$33,0)),"שוטף")</x:f>
        <x:v>שוטף</x:v>
      </x:c>
      <x:c r="K628" s="19" t="str">
        <x:f>IF(OR(H628="ריביות",AND(H628="דירה כצנלסון",G628&lt;0,ISNUMBER(SEARCH("הכנסה",F628)))),"הכנסה שסווגה מחדש",J628)</x:f>
        <x:v>שוטף</x:v>
      </x:c>
      <x:c r="L628" s="19" t="str">
        <x:v>מאושר</x:v>
      </x:c>
      <x:c r="M628" s="20" t="n">
        <x:f>IF(L628="מאושר",IF(K628="הכנסה שסווגה מחדש",0,G628),0)</x:f>
        <x:v>55</x:v>
      </x:c>
      <x:c r="N628" s="20" t="n">
        <x:f>IF(K628="שוטף",M628,0)</x:f>
        <x:v>55</x:v>
      </x:c>
      <x:c r="O628" s="20" t="n">
        <x:f>IF(K628="הכנסה שסווגה מחדש",-G628,0)</x:f>
        <x:v>0</x:v>
      </x:c>
      <x:c r="P628" s="11" t="str">
        <x:v>אמקס זיו</x:v>
      </x:c>
      <x:c r="Q628" s="11" t="str"/>
      <x:c r="R628" s="11" t="str">
        <x:v>לא</x:v>
      </x:c>
    </x:row>
    <x:row r="629">
      <x:c r="A629" s="14" t="n">
        <x:v>45839</x:v>
      </x:c>
      <x:c r="B629" s="11" t="str">
        <x:v>2025-07</x:v>
      </x:c>
      <x:c r="C629" s="11" t="str">
        <x:v>יולי 25</x:v>
      </x:c>
      <x:c r="D629" s="15" t="n">
        <x:v>32</x:v>
      </x:c>
      <x:c r="E629" s="11" t="str">
        <x:v>5</x:v>
      </x:c>
      <x:c r="F629" s="11" t="str">
        <x:v>דלק</x:v>
      </x:c>
      <x:c r="G629" s="17" t="n">
        <x:v>219</x:v>
      </x:c>
      <x:c r="H629" s="18" t="str">
        <x:v>תחבורה</x:v>
      </x:c>
      <x:c r="I629" s="19" t="str">
        <x:f>IFERROR(INDEX('מיפוי ומקורות'!$C$7:$C$33,MATCH(H629,'מיפוי ומקורות'!$B$7:$B$33,0)),"לא מסווג")</x:f>
        <x:v>תחבורה</x:v>
      </x:c>
      <x:c r="J629" s="19" t="str">
        <x:f>IFERROR(INDEX('מיפוי ומקורות'!$D$7:$D$33,MATCH(H629,'מיפוי ומקורות'!$B$7:$B$33,0)),"שוטף")</x:f>
        <x:v>שוטף</x:v>
      </x:c>
      <x:c r="K629" s="19" t="str">
        <x:f>IF(OR(H629="ריביות",AND(H629="דירה כצנלסון",G629&lt;0,ISNUMBER(SEARCH("הכנסה",F629)))),"הכנסה שסווגה מחדש",J629)</x:f>
        <x:v>שוטף</x:v>
      </x:c>
      <x:c r="L629" s="19" t="str">
        <x:v>מאושר</x:v>
      </x:c>
      <x:c r="M629" s="20" t="n">
        <x:f>IF(L629="מאושר",IF(K629="הכנסה שסווגה מחדש",0,G629),0)</x:f>
        <x:v>219</x:v>
      </x:c>
      <x:c r="N629" s="20" t="n">
        <x:f>IF(K629="שוטף",M629,0)</x:f>
        <x:v>219</x:v>
      </x:c>
      <x:c r="O629" s="20" t="n">
        <x:f>IF(K629="הכנסה שסווגה מחדש",-G629,0)</x:f>
        <x:v>0</x:v>
      </x:c>
      <x:c r="P629" s="11" t="str">
        <x:v>אמקס זיו</x:v>
      </x:c>
      <x:c r="Q629" s="11" t="str"/>
      <x:c r="R629" s="11" t="str">
        <x:v>לא</x:v>
      </x:c>
    </x:row>
    <x:row r="630">
      <x:c r="A630" s="14" t="n">
        <x:v>45839</x:v>
      </x:c>
      <x:c r="B630" s="11" t="str">
        <x:v>2025-07</x:v>
      </x:c>
      <x:c r="C630" s="11" t="str">
        <x:v>יולי 25</x:v>
      </x:c>
      <x:c r="D630" s="15" t="n">
        <x:v>33</x:v>
      </x:c>
      <x:c r="E630" s="11" t="str">
        <x:v>5</x:v>
      </x:c>
      <x:c r="F630" s="11" t="str">
        <x:v>חומוס</x:v>
      </x:c>
      <x:c r="G630" s="17" t="n">
        <x:v>120</x:v>
      </x:c>
      <x:c r="H630" s="18" t="str">
        <x:v>אוכל בחוץ</x:v>
      </x:c>
      <x:c r="I630" s="19" t="str">
        <x:f>IFERROR(INDEX('מיפוי ומקורות'!$C$7:$C$33,MATCH(H630,'מיפוי ומקורות'!$B$7:$B$33,0)),"לא מסווג")</x:f>
        <x:v>אוכל בחוץ</x:v>
      </x:c>
      <x:c r="J630" s="19" t="str">
        <x:f>IFERROR(INDEX('מיפוי ומקורות'!$D$7:$D$33,MATCH(H630,'מיפוי ומקורות'!$B$7:$B$33,0)),"שוטף")</x:f>
        <x:v>שוטף</x:v>
      </x:c>
      <x:c r="K630" s="19" t="str">
        <x:f>IF(OR(H630="ריביות",AND(H630="דירה כצנלסון",G630&lt;0,ISNUMBER(SEARCH("הכנסה",F630)))),"הכנסה שסווגה מחדש",J630)</x:f>
        <x:v>שוטף</x:v>
      </x:c>
      <x:c r="L630" s="19" t="str">
        <x:v>מאושר</x:v>
      </x:c>
      <x:c r="M630" s="20" t="n">
        <x:f>IF(L630="מאושר",IF(K630="הכנסה שסווגה מחדש",0,G630),0)</x:f>
        <x:v>120</x:v>
      </x:c>
      <x:c r="N630" s="20" t="n">
        <x:f>IF(K630="שוטף",M630,0)</x:f>
        <x:v>120</x:v>
      </x:c>
      <x:c r="O630" s="20" t="n">
        <x:f>IF(K630="הכנסה שסווגה מחדש",-G630,0)</x:f>
        <x:v>0</x:v>
      </x:c>
      <x:c r="P630" s="11" t="str">
        <x:v>אמקס זיו</x:v>
      </x:c>
      <x:c r="Q630" s="11" t="str"/>
      <x:c r="R630" s="11" t="str">
        <x:v>לא</x:v>
      </x:c>
    </x:row>
    <x:row r="631">
      <x:c r="A631" s="14" t="n">
        <x:v>45839</x:v>
      </x:c>
      <x:c r="B631" s="11" t="str">
        <x:v>2025-07</x:v>
      </x:c>
      <x:c r="C631" s="11" t="str">
        <x:v>יולי 25</x:v>
      </x:c>
      <x:c r="D631" s="15" t="n">
        <x:v>34</x:v>
      </x:c>
      <x:c r="E631" s="11" t="str">
        <x:v>6</x:v>
      </x:c>
      <x:c r="F631" s="11" t="str">
        <x:v>סופר</x:v>
      </x:c>
      <x:c r="G631" s="17" t="n">
        <x:v>177</x:v>
      </x:c>
      <x:c r="H631" s="18" t="str">
        <x:v>מזון לבית</x:v>
      </x:c>
      <x:c r="I631" s="19" t="str">
        <x:f>IFERROR(INDEX('מיפוי ומקורות'!$C$7:$C$33,MATCH(H631,'מיפוי ומקורות'!$B$7:$B$33,0)),"לא מסווג")</x:f>
        <x:v>מזון לבית</x:v>
      </x:c>
      <x:c r="J631" s="19" t="str">
        <x:f>IFERROR(INDEX('מיפוי ומקורות'!$D$7:$D$33,MATCH(H631,'מיפוי ומקורות'!$B$7:$B$33,0)),"שוטף")</x:f>
        <x:v>שוטף</x:v>
      </x:c>
      <x:c r="K631" s="19" t="str">
        <x:f>IF(OR(H631="ריביות",AND(H631="דירה כצנלסון",G631&lt;0,ISNUMBER(SEARCH("הכנסה",F631)))),"הכנסה שסווגה מחדש",J631)</x:f>
        <x:v>שוטף</x:v>
      </x:c>
      <x:c r="L631" s="19" t="str">
        <x:v>מאושר</x:v>
      </x:c>
      <x:c r="M631" s="20" t="n">
        <x:f>IF(L631="מאושר",IF(K631="הכנסה שסווגה מחדש",0,G631),0)</x:f>
        <x:v>177</x:v>
      </x:c>
      <x:c r="N631" s="20" t="n">
        <x:f>IF(K631="שוטף",M631,0)</x:f>
        <x:v>177</x:v>
      </x:c>
      <x:c r="O631" s="20" t="n">
        <x:f>IF(K631="הכנסה שסווגה מחדש",-G631,0)</x:f>
        <x:v>0</x:v>
      </x:c>
      <x:c r="P631" s="11" t="str">
        <x:v>אמקס זיו</x:v>
      </x:c>
      <x:c r="Q631" s="11" t="str"/>
      <x:c r="R631" s="11" t="str">
        <x:v>לא</x:v>
      </x:c>
    </x:row>
    <x:row r="632">
      <x:c r="A632" s="14" t="n">
        <x:v>45839</x:v>
      </x:c>
      <x:c r="B632" s="11" t="str">
        <x:v>2025-07</x:v>
      </x:c>
      <x:c r="C632" s="11" t="str">
        <x:v>יולי 25</x:v>
      </x:c>
      <x:c r="D632" s="15" t="n">
        <x:v>35</x:v>
      </x:c>
      <x:c r="E632" s="11" t="str">
        <x:v>6</x:v>
      </x:c>
      <x:c r="F632" s="11" t="str">
        <x:v>פרחים</x:v>
      </x:c>
      <x:c r="G632" s="17" t="n">
        <x:v>100</x:v>
      </x:c>
      <x:c r="H632" s="18" t="str">
        <x:v>קניות לבית</x:v>
      </x:c>
      <x:c r="I632" s="19" t="str">
        <x:f>IFERROR(INDEX('מיפוי ומקורות'!$C$7:$C$33,MATCH(H632,'מיפוי ומקורות'!$B$7:$B$33,0)),"לא מסווג")</x:f>
        <x:v>קניות לבית</x:v>
      </x:c>
      <x:c r="J632" s="19" t="str">
        <x:f>IFERROR(INDEX('מיפוי ומקורות'!$D$7:$D$33,MATCH(H632,'מיפוי ומקורות'!$B$7:$B$33,0)),"שוטף")</x:f>
        <x:v>שוטף</x:v>
      </x:c>
      <x:c r="K632" s="19" t="str">
        <x:f>IF(OR(H632="ריביות",AND(H632="דירה כצנלסון",G632&lt;0,ISNUMBER(SEARCH("הכנסה",F632)))),"הכנסה שסווגה מחדש",J632)</x:f>
        <x:v>שוטף</x:v>
      </x:c>
      <x:c r="L632" s="19" t="str">
        <x:v>מאושר</x:v>
      </x:c>
      <x:c r="M632" s="20" t="n">
        <x:f>IF(L632="מאושר",IF(K632="הכנסה שסווגה מחדש",0,G632),0)</x:f>
        <x:v>100</x:v>
      </x:c>
      <x:c r="N632" s="20" t="n">
        <x:f>IF(K632="שוטף",M632,0)</x:f>
        <x:v>100</x:v>
      </x:c>
      <x:c r="O632" s="20" t="n">
        <x:f>IF(K632="הכנסה שסווגה מחדש",-G632,0)</x:f>
        <x:v>0</x:v>
      </x:c>
      <x:c r="P632" s="11" t="str">
        <x:v>אמקס זיו</x:v>
      </x:c>
      <x:c r="Q632" s="11" t="str"/>
      <x:c r="R632" s="11" t="str">
        <x:v>לא</x:v>
      </x:c>
    </x:row>
    <x:row r="633">
      <x:c r="A633" s="14" t="n">
        <x:v>45839</x:v>
      </x:c>
      <x:c r="B633" s="11" t="str">
        <x:v>2025-07</x:v>
      </x:c>
      <x:c r="C633" s="11" t="str">
        <x:v>יולי 25</x:v>
      </x:c>
      <x:c r="D633" s="15" t="n">
        <x:v>36</x:v>
      </x:c>
      <x:c r="E633" s="11" t="str">
        <x:v>7</x:v>
      </x:c>
      <x:c r="F633" s="11" t="str">
        <x:v>מכולת</x:v>
      </x:c>
      <x:c r="G633" s="17" t="n">
        <x:v>123</x:v>
      </x:c>
      <x:c r="H633" s="18" t="str">
        <x:v>מזון לבית</x:v>
      </x:c>
      <x:c r="I633" s="19" t="str">
        <x:f>IFERROR(INDEX('מיפוי ומקורות'!$C$7:$C$33,MATCH(H633,'מיפוי ומקורות'!$B$7:$B$33,0)),"לא מסווג")</x:f>
        <x:v>מזון לבית</x:v>
      </x:c>
      <x:c r="J633" s="19" t="str">
        <x:f>IFERROR(INDEX('מיפוי ומקורות'!$D$7:$D$33,MATCH(H633,'מיפוי ומקורות'!$B$7:$B$33,0)),"שוטף")</x:f>
        <x:v>שוטף</x:v>
      </x:c>
      <x:c r="K633" s="19" t="str">
        <x:f>IF(OR(H633="ריביות",AND(H633="דירה כצנלסון",G633&lt;0,ISNUMBER(SEARCH("הכנסה",F633)))),"הכנסה שסווגה מחדש",J633)</x:f>
        <x:v>שוטף</x:v>
      </x:c>
      <x:c r="L633" s="19" t="str">
        <x:v>מאושר</x:v>
      </x:c>
      <x:c r="M633" s="20" t="n">
        <x:f>IF(L633="מאושר",IF(K633="הכנסה שסווגה מחדש",0,G633),0)</x:f>
        <x:v>123</x:v>
      </x:c>
      <x:c r="N633" s="20" t="n">
        <x:f>IF(K633="שוטף",M633,0)</x:f>
        <x:v>123</x:v>
      </x:c>
      <x:c r="O633" s="20" t="n">
        <x:f>IF(K633="הכנסה שסווגה מחדש",-G633,0)</x:f>
        <x:v>0</x:v>
      </x:c>
      <x:c r="P633" s="11" t="str">
        <x:v>אמקס זיו</x:v>
      </x:c>
      <x:c r="Q633" s="11" t="str"/>
      <x:c r="R633" s="11" t="str">
        <x:v>לא</x:v>
      </x:c>
    </x:row>
    <x:row r="634">
      <x:c r="A634" s="14" t="n">
        <x:v>45839</x:v>
      </x:c>
      <x:c r="B634" s="11" t="str">
        <x:v>2025-07</x:v>
      </x:c>
      <x:c r="C634" s="11" t="str">
        <x:v>יולי 25</x:v>
      </x:c>
      <x:c r="D634" s="15" t="n">
        <x:v>37</x:v>
      </x:c>
      <x:c r="E634" s="11" t="str">
        <x:v>8</x:v>
      </x:c>
      <x:c r="F634" s="11" t="str">
        <x:v>מסעדה</x:v>
      </x:c>
      <x:c r="G634" s="17" t="n">
        <x:v>139</x:v>
      </x:c>
      <x:c r="H634" s="18" t="str">
        <x:v>אוכל בחוץ</x:v>
      </x:c>
      <x:c r="I634" s="19" t="str">
        <x:f>IFERROR(INDEX('מיפוי ומקורות'!$C$7:$C$33,MATCH(H634,'מיפוי ומקורות'!$B$7:$B$33,0)),"לא מסווג")</x:f>
        <x:v>אוכל בחוץ</x:v>
      </x:c>
      <x:c r="J634" s="19" t="str">
        <x:f>IFERROR(INDEX('מיפוי ומקורות'!$D$7:$D$33,MATCH(H634,'מיפוי ומקורות'!$B$7:$B$33,0)),"שוטף")</x:f>
        <x:v>שוטף</x:v>
      </x:c>
      <x:c r="K634" s="19" t="str">
        <x:f>IF(OR(H634="ריביות",AND(H634="דירה כצנלסון",G634&lt;0,ISNUMBER(SEARCH("הכנסה",F634)))),"הכנסה שסווגה מחדש",J634)</x:f>
        <x:v>שוטף</x:v>
      </x:c>
      <x:c r="L634" s="19" t="str">
        <x:v>מאושר</x:v>
      </x:c>
      <x:c r="M634" s="20" t="n">
        <x:f>IF(L634="מאושר",IF(K634="הכנסה שסווגה מחדש",0,G634),0)</x:f>
        <x:v>139</x:v>
      </x:c>
      <x:c r="N634" s="20" t="n">
        <x:f>IF(K634="שוטף",M634,0)</x:f>
        <x:v>139</x:v>
      </x:c>
      <x:c r="O634" s="20" t="n">
        <x:f>IF(K634="הכנסה שסווגה מחדש",-G634,0)</x:f>
        <x:v>0</x:v>
      </x:c>
      <x:c r="P634" s="11" t="str">
        <x:v>אמקס זיו</x:v>
      </x:c>
      <x:c r="Q634" s="11" t="str"/>
      <x:c r="R634" s="11" t="str">
        <x:v>לא</x:v>
      </x:c>
    </x:row>
    <x:row r="635">
      <x:c r="A635" s="14" t="n">
        <x:v>45839</x:v>
      </x:c>
      <x:c r="B635" s="11" t="str">
        <x:v>2025-07</x:v>
      </x:c>
      <x:c r="C635" s="11" t="str">
        <x:v>יולי 25</x:v>
      </x:c>
      <x:c r="D635" s="15" t="n">
        <x:v>38</x:v>
      </x:c>
      <x:c r="E635" s="11" t="str">
        <x:v>9</x:v>
      </x:c>
      <x:c r="F635" s="11" t="str">
        <x:v>גלידה</x:v>
      </x:c>
      <x:c r="G635" s="17" t="n">
        <x:v>11</x:v>
      </x:c>
      <x:c r="H635" s="18" t="str">
        <x:v>אוכל בחוץ</x:v>
      </x:c>
      <x:c r="I635" s="19" t="str">
        <x:f>IFERROR(INDEX('מיפוי ומקורות'!$C$7:$C$33,MATCH(H635,'מיפוי ומקורות'!$B$7:$B$33,0)),"לא מסווג")</x:f>
        <x:v>אוכל בחוץ</x:v>
      </x:c>
      <x:c r="J635" s="19" t="str">
        <x:f>IFERROR(INDEX('מיפוי ומקורות'!$D$7:$D$33,MATCH(H635,'מיפוי ומקורות'!$B$7:$B$33,0)),"שוטף")</x:f>
        <x:v>שוטף</x:v>
      </x:c>
      <x:c r="K635" s="19" t="str">
        <x:f>IF(OR(H635="ריביות",AND(H635="דירה כצנלסון",G635&lt;0,ISNUMBER(SEARCH("הכנסה",F635)))),"הכנסה שסווגה מחדש",J635)</x:f>
        <x:v>שוטף</x:v>
      </x:c>
      <x:c r="L635" s="19" t="str">
        <x:v>מאושר</x:v>
      </x:c>
      <x:c r="M635" s="20" t="n">
        <x:f>IF(L635="מאושר",IF(K635="הכנסה שסווגה מחדש",0,G635),0)</x:f>
        <x:v>11</x:v>
      </x:c>
      <x:c r="N635" s="20" t="n">
        <x:f>IF(K635="שוטף",M635,0)</x:f>
        <x:v>11</x:v>
      </x:c>
      <x:c r="O635" s="20" t="n">
        <x:f>IF(K635="הכנסה שסווגה מחדש",-G635,0)</x:f>
        <x:v>0</x:v>
      </x:c>
      <x:c r="P635" s="11" t="str">
        <x:v>אמקס זיו</x:v>
      </x:c>
      <x:c r="Q635" s="11" t="str"/>
      <x:c r="R635" s="11" t="str">
        <x:v>לא</x:v>
      </x:c>
    </x:row>
    <x:row r="636">
      <x:c r="A636" s="14" t="n">
        <x:v>45839</x:v>
      </x:c>
      <x:c r="B636" s="11" t="str">
        <x:v>2025-07</x:v>
      </x:c>
      <x:c r="C636" s="11" t="str">
        <x:v>יולי 25</x:v>
      </x:c>
      <x:c r="D636" s="15" t="n">
        <x:v>39</x:v>
      </x:c>
      <x:c r="E636" s="11" t="str">
        <x:v>9</x:v>
      </x:c>
      <x:c r="F636" s="11" t="str">
        <x:v>חניה</x:v>
      </x:c>
      <x:c r="G636" s="17" t="n">
        <x:v>5</x:v>
      </x:c>
      <x:c r="H636" s="18" t="str">
        <x:v>תחבורה</x:v>
      </x:c>
      <x:c r="I636" s="19" t="str">
        <x:f>IFERROR(INDEX('מיפוי ומקורות'!$C$7:$C$33,MATCH(H636,'מיפוי ומקורות'!$B$7:$B$33,0)),"לא מסווג")</x:f>
        <x:v>תחבורה</x:v>
      </x:c>
      <x:c r="J636" s="19" t="str">
        <x:f>IFERROR(INDEX('מיפוי ומקורות'!$D$7:$D$33,MATCH(H636,'מיפוי ומקורות'!$B$7:$B$33,0)),"שוטף")</x:f>
        <x:v>שוטף</x:v>
      </x:c>
      <x:c r="K636" s="19" t="str">
        <x:f>IF(OR(H636="ריביות",AND(H636="דירה כצנלסון",G636&lt;0,ISNUMBER(SEARCH("הכנסה",F636)))),"הכנסה שסווגה מחדש",J636)</x:f>
        <x:v>שוטף</x:v>
      </x:c>
      <x:c r="L636" s="19" t="str">
        <x:v>מאושר</x:v>
      </x:c>
      <x:c r="M636" s="20" t="n">
        <x:f>IF(L636="מאושר",IF(K636="הכנסה שסווגה מחדש",0,G636),0)</x:f>
        <x:v>5</x:v>
      </x:c>
      <x:c r="N636" s="20" t="n">
        <x:f>IF(K636="שוטף",M636,0)</x:f>
        <x:v>5</x:v>
      </x:c>
      <x:c r="O636" s="20" t="n">
        <x:f>IF(K636="הכנסה שסווגה מחדש",-G636,0)</x:f>
        <x:v>0</x:v>
      </x:c>
      <x:c r="P636" s="11" t="str">
        <x:v>אמקס זיו</x:v>
      </x:c>
      <x:c r="Q636" s="11" t="str"/>
      <x:c r="R636" s="11" t="str">
        <x:v>לא</x:v>
      </x:c>
    </x:row>
    <x:row r="637">
      <x:c r="A637" s="14" t="n">
        <x:v>45839</x:v>
      </x:c>
      <x:c r="B637" s="11" t="str">
        <x:v>2025-07</x:v>
      </x:c>
      <x:c r="C637" s="11" t="str">
        <x:v>יולי 25</x:v>
      </x:c>
      <x:c r="D637" s="15" t="n">
        <x:v>40</x:v>
      </x:c>
      <x:c r="E637" s="11" t="str">
        <x:v>10</x:v>
      </x:c>
      <x:c r="F637" s="11" t="str">
        <x:v>ירקן</x:v>
      </x:c>
      <x:c r="G637" s="17" t="n">
        <x:v>58</x:v>
      </x:c>
      <x:c r="H637" s="18" t="str">
        <x:v>מזון לבית</x:v>
      </x:c>
      <x:c r="I637" s="19" t="str">
        <x:f>IFERROR(INDEX('מיפוי ומקורות'!$C$7:$C$33,MATCH(H637,'מיפוי ומקורות'!$B$7:$B$33,0)),"לא מסווג")</x:f>
        <x:v>מזון לבית</x:v>
      </x:c>
      <x:c r="J637" s="19" t="str">
        <x:f>IFERROR(INDEX('מיפוי ומקורות'!$D$7:$D$33,MATCH(H637,'מיפוי ומקורות'!$B$7:$B$33,0)),"שוטף")</x:f>
        <x:v>שוטף</x:v>
      </x:c>
      <x:c r="K637" s="19" t="str">
        <x:f>IF(OR(H637="ריביות",AND(H637="דירה כצנלסון",G637&lt;0,ISNUMBER(SEARCH("הכנסה",F637)))),"הכנסה שסווגה מחדש",J637)</x:f>
        <x:v>שוטף</x:v>
      </x:c>
      <x:c r="L637" s="19" t="str">
        <x:v>מאושר</x:v>
      </x:c>
      <x:c r="M637" s="20" t="n">
        <x:f>IF(L637="מאושר",IF(K637="הכנסה שסווגה מחדש",0,G637),0)</x:f>
        <x:v>58</x:v>
      </x:c>
      <x:c r="N637" s="20" t="n">
        <x:f>IF(K637="שוטף",M637,0)</x:f>
        <x:v>58</x:v>
      </x:c>
      <x:c r="O637" s="20" t="n">
        <x:f>IF(K637="הכנסה שסווגה מחדש",-G637,0)</x:f>
        <x:v>0</x:v>
      </x:c>
      <x:c r="P637" s="11" t="str">
        <x:v>אמקס זיו</x:v>
      </x:c>
      <x:c r="Q637" s="11" t="str"/>
      <x:c r="R637" s="11" t="str">
        <x:v>לא</x:v>
      </x:c>
    </x:row>
    <x:row r="638">
      <x:c r="A638" s="14" t="n">
        <x:v>45839</x:v>
      </x:c>
      <x:c r="B638" s="11" t="str">
        <x:v>2025-07</x:v>
      </x:c>
      <x:c r="C638" s="11" t="str">
        <x:v>יולי 25</x:v>
      </x:c>
      <x:c r="D638" s="15" t="n">
        <x:v>41</x:v>
      </x:c>
      <x:c r="E638" s="11" t="str">
        <x:v>10</x:v>
      </x:c>
      <x:c r="F638" s="11" t="str">
        <x:v>סופר</x:v>
      </x:c>
      <x:c r="G638" s="17" t="n">
        <x:v>67</x:v>
      </x:c>
      <x:c r="H638" s="18" t="str">
        <x:v>מזון לבית</x:v>
      </x:c>
      <x:c r="I638" s="19" t="str">
        <x:f>IFERROR(INDEX('מיפוי ומקורות'!$C$7:$C$33,MATCH(H638,'מיפוי ומקורות'!$B$7:$B$33,0)),"לא מסווג")</x:f>
        <x:v>מזון לבית</x:v>
      </x:c>
      <x:c r="J638" s="19" t="str">
        <x:f>IFERROR(INDEX('מיפוי ומקורות'!$D$7:$D$33,MATCH(H638,'מיפוי ומקורות'!$B$7:$B$33,0)),"שוטף")</x:f>
        <x:v>שוטף</x:v>
      </x:c>
      <x:c r="K638" s="19" t="str">
        <x:f>IF(OR(H638="ריביות",AND(H638="דירה כצנלסון",G638&lt;0,ISNUMBER(SEARCH("הכנסה",F638)))),"הכנסה שסווגה מחדש",J638)</x:f>
        <x:v>שוטף</x:v>
      </x:c>
      <x:c r="L638" s="19" t="str">
        <x:v>מאושר</x:v>
      </x:c>
      <x:c r="M638" s="20" t="n">
        <x:f>IF(L638="מאושר",IF(K638="הכנסה שסווגה מחדש",0,G638),0)</x:f>
        <x:v>67</x:v>
      </x:c>
      <x:c r="N638" s="20" t="n">
        <x:f>IF(K638="שוטף",M638,0)</x:f>
        <x:v>67</x:v>
      </x:c>
      <x:c r="O638" s="20" t="n">
        <x:f>IF(K638="הכנסה שסווגה מחדש",-G638,0)</x:f>
        <x:v>0</x:v>
      </x:c>
      <x:c r="P638" s="11" t="str">
        <x:v>אמקס זיו</x:v>
      </x:c>
      <x:c r="Q638" s="11" t="str"/>
      <x:c r="R638" s="11" t="str">
        <x:v>לא</x:v>
      </x:c>
    </x:row>
    <x:row r="639">
      <x:c r="A639" s="14" t="n">
        <x:v>45839</x:v>
      </x:c>
      <x:c r="B639" s="11" t="str">
        <x:v>2025-07</x:v>
      </x:c>
      <x:c r="C639" s="11" t="str">
        <x:v>יולי 25</x:v>
      </x:c>
      <x:c r="D639" s="15" t="n">
        <x:v>42</x:v>
      </x:c>
      <x:c r="E639" s="11" t="str">
        <x:v>11</x:v>
      </x:c>
      <x:c r="F639" s="11" t="str">
        <x:v>חומוס</x:v>
      </x:c>
      <x:c r="G639" s="17" t="n">
        <x:v>43</x:v>
      </x:c>
      <x:c r="H639" s="18" t="str">
        <x:v>אוכל בחוץ</x:v>
      </x:c>
      <x:c r="I639" s="19" t="str">
        <x:f>IFERROR(INDEX('מיפוי ומקורות'!$C$7:$C$33,MATCH(H639,'מיפוי ומקורות'!$B$7:$B$33,0)),"לא מסווג")</x:f>
        <x:v>אוכל בחוץ</x:v>
      </x:c>
      <x:c r="J639" s="19" t="str">
        <x:f>IFERROR(INDEX('מיפוי ומקורות'!$D$7:$D$33,MATCH(H639,'מיפוי ומקורות'!$B$7:$B$33,0)),"שוטף")</x:f>
        <x:v>שוטף</x:v>
      </x:c>
      <x:c r="K639" s="19" t="str">
        <x:f>IF(OR(H639="ריביות",AND(H639="דירה כצנלסון",G639&lt;0,ISNUMBER(SEARCH("הכנסה",F639)))),"הכנסה שסווגה מחדש",J639)</x:f>
        <x:v>שוטף</x:v>
      </x:c>
      <x:c r="L639" s="19" t="str">
        <x:v>מאושר</x:v>
      </x:c>
      <x:c r="M639" s="20" t="n">
        <x:f>IF(L639="מאושר",IF(K639="הכנסה שסווגה מחדש",0,G639),0)</x:f>
        <x:v>43</x:v>
      </x:c>
      <x:c r="N639" s="20" t="n">
        <x:f>IF(K639="שוטף",M639,0)</x:f>
        <x:v>43</x:v>
      </x:c>
      <x:c r="O639" s="20" t="n">
        <x:f>IF(K639="הכנסה שסווגה מחדש",-G639,0)</x:f>
        <x:v>0</x:v>
      </x:c>
      <x:c r="P639" s="11" t="str">
        <x:v>אמקס זיו</x:v>
      </x:c>
      <x:c r="Q639" s="11" t="str"/>
      <x:c r="R639" s="11" t="str">
        <x:v>לא</x:v>
      </x:c>
    </x:row>
    <x:row r="640">
      <x:c r="A640" s="14" t="n">
        <x:v>45839</x:v>
      </x:c>
      <x:c r="B640" s="11" t="str">
        <x:v>2025-07</x:v>
      </x:c>
      <x:c r="C640" s="11" t="str">
        <x:v>יולי 25</x:v>
      </x:c>
      <x:c r="D640" s="15" t="n">
        <x:v>43</x:v>
      </x:c>
      <x:c r="E640" s="11" t="str">
        <x:v>11</x:v>
      </x:c>
      <x:c r="F640" s="11" t="str">
        <x:v>גאורגית</x:v>
      </x:c>
      <x:c r="G640" s="17" t="n">
        <x:v>54</x:v>
      </x:c>
      <x:c r="H640" s="18" t="str">
        <x:v>אוכל בחוץ</x:v>
      </x:c>
      <x:c r="I640" s="19" t="str">
        <x:f>IFERROR(INDEX('מיפוי ומקורות'!$C$7:$C$33,MATCH(H640,'מיפוי ומקורות'!$B$7:$B$33,0)),"לא מסווג")</x:f>
        <x:v>אוכל בחוץ</x:v>
      </x:c>
      <x:c r="J640" s="19" t="str">
        <x:f>IFERROR(INDEX('מיפוי ומקורות'!$D$7:$D$33,MATCH(H640,'מיפוי ומקורות'!$B$7:$B$33,0)),"שוטף")</x:f>
        <x:v>שוטף</x:v>
      </x:c>
      <x:c r="K640" s="19" t="str">
        <x:f>IF(OR(H640="ריביות",AND(H640="דירה כצנלסון",G640&lt;0,ISNUMBER(SEARCH("הכנסה",F640)))),"הכנסה שסווגה מחדש",J640)</x:f>
        <x:v>שוטף</x:v>
      </x:c>
      <x:c r="L640" s="19" t="str">
        <x:v>מאושר</x:v>
      </x:c>
      <x:c r="M640" s="20" t="n">
        <x:f>IF(L640="מאושר",IF(K640="הכנסה שסווגה מחדש",0,G640),0)</x:f>
        <x:v>54</x:v>
      </x:c>
      <x:c r="N640" s="20" t="n">
        <x:f>IF(K640="שוטף",M640,0)</x:f>
        <x:v>54</x:v>
      </x:c>
      <x:c r="O640" s="20" t="n">
        <x:f>IF(K640="הכנסה שסווגה מחדש",-G640,0)</x:f>
        <x:v>0</x:v>
      </x:c>
      <x:c r="P640" s="11" t="str">
        <x:v>אמקס זיו</x:v>
      </x:c>
      <x:c r="Q640" s="11" t="str"/>
      <x:c r="R640" s="11" t="str">
        <x:v>לא</x:v>
      </x:c>
    </x:row>
    <x:row r="641">
      <x:c r="A641" s="14" t="n">
        <x:v>45839</x:v>
      </x:c>
      <x:c r="B641" s="11" t="str">
        <x:v>2025-07</x:v>
      </x:c>
      <x:c r="C641" s="11" t="str">
        <x:v>יולי 25</x:v>
      </x:c>
      <x:c r="D641" s="15" t="n">
        <x:v>44</x:v>
      </x:c>
      <x:c r="E641" s="11" t="str">
        <x:v>11</x:v>
      </x:c>
      <x:c r="F641" s="11" t="str">
        <x:v>פילטרים</x:v>
      </x:c>
      <x:c r="G641" s="17" t="n">
        <x:v>219</x:v>
      </x:c>
      <x:c r="H641" s="18" t="str">
        <x:v>קניות לבית</x:v>
      </x:c>
      <x:c r="I641" s="19" t="str">
        <x:f>IFERROR(INDEX('מיפוי ומקורות'!$C$7:$C$33,MATCH(H641,'מיפוי ומקורות'!$B$7:$B$33,0)),"לא מסווג")</x:f>
        <x:v>קניות לבית</x:v>
      </x:c>
      <x:c r="J641" s="19" t="str">
        <x:f>IFERROR(INDEX('מיפוי ומקורות'!$D$7:$D$33,MATCH(H641,'מיפוי ומקורות'!$B$7:$B$33,0)),"שוטף")</x:f>
        <x:v>שוטף</x:v>
      </x:c>
      <x:c r="K641" s="19" t="str">
        <x:f>IF(OR(H641="ריביות",AND(H641="דירה כצנלסון",G641&lt;0,ISNUMBER(SEARCH("הכנסה",F641)))),"הכנסה שסווגה מחדש",J641)</x:f>
        <x:v>שוטף</x:v>
      </x:c>
      <x:c r="L641" s="19" t="str">
        <x:v>מאושר</x:v>
      </x:c>
      <x:c r="M641" s="20" t="n">
        <x:f>IF(L641="מאושר",IF(K641="הכנסה שסווגה מחדש",0,G641),0)</x:f>
        <x:v>219</x:v>
      </x:c>
      <x:c r="N641" s="20" t="n">
        <x:f>IF(K641="שוטף",M641,0)</x:f>
        <x:v>219</x:v>
      </x:c>
      <x:c r="O641" s="20" t="n">
        <x:f>IF(K641="הכנסה שסווגה מחדש",-G641,0)</x:f>
        <x:v>0</x:v>
      </x:c>
      <x:c r="P641" s="11" t="str">
        <x:v>אמקס זיו</x:v>
      </x:c>
      <x:c r="Q641" s="11" t="str"/>
      <x:c r="R641" s="11" t="str">
        <x:v>לא</x:v>
      </x:c>
    </x:row>
    <x:row r="642">
      <x:c r="A642" s="14" t="n">
        <x:v>45839</x:v>
      </x:c>
      <x:c r="B642" s="11" t="str">
        <x:v>2025-07</x:v>
      </x:c>
      <x:c r="C642" s="11" t="str">
        <x:v>יולי 25</x:v>
      </x:c>
      <x:c r="D642" s="15" t="n">
        <x:v>45</x:v>
      </x:c>
      <x:c r="E642" s="11" t="str">
        <x:v>11</x:v>
      </x:c>
      <x:c r="F642" s="11" t="str">
        <x:v>ארומה</x:v>
      </x:c>
      <x:c r="G642" s="17" t="n">
        <x:v>20</x:v>
      </x:c>
      <x:c r="H642" s="18" t="str">
        <x:v>אוכל בחוץ</x:v>
      </x:c>
      <x:c r="I642" s="19" t="str">
        <x:f>IFERROR(INDEX('מיפוי ומקורות'!$C$7:$C$33,MATCH(H642,'מיפוי ומקורות'!$B$7:$B$33,0)),"לא מסווג")</x:f>
        <x:v>אוכל בחוץ</x:v>
      </x:c>
      <x:c r="J642" s="19" t="str">
        <x:f>IFERROR(INDEX('מיפוי ומקורות'!$D$7:$D$33,MATCH(H642,'מיפוי ומקורות'!$B$7:$B$33,0)),"שוטף")</x:f>
        <x:v>שוטף</x:v>
      </x:c>
      <x:c r="K642" s="19" t="str">
        <x:f>IF(OR(H642="ריביות",AND(H642="דירה כצנלסון",G642&lt;0,ISNUMBER(SEARCH("הכנסה",F642)))),"הכנסה שסווגה מחדש",J642)</x:f>
        <x:v>שוטף</x:v>
      </x:c>
      <x:c r="L642" s="19" t="str">
        <x:v>מאושר</x:v>
      </x:c>
      <x:c r="M642" s="20" t="n">
        <x:f>IF(L642="מאושר",IF(K642="הכנסה שסווגה מחדש",0,G642),0)</x:f>
        <x:v>20</x:v>
      </x:c>
      <x:c r="N642" s="20" t="n">
        <x:f>IF(K642="שוטף",M642,0)</x:f>
        <x:v>20</x:v>
      </x:c>
      <x:c r="O642" s="20" t="n">
        <x:f>IF(K642="הכנסה שסווגה מחדש",-G642,0)</x:f>
        <x:v>0</x:v>
      </x:c>
      <x:c r="P642" s="11" t="str">
        <x:v>אמקס זיו</x:v>
      </x:c>
      <x:c r="Q642" s="11" t="str"/>
      <x:c r="R642" s="11" t="str">
        <x:v>לא</x:v>
      </x:c>
    </x:row>
    <x:row r="643">
      <x:c r="A643" s="14" t="n">
        <x:v>45839</x:v>
      </x:c>
      <x:c r="B643" s="11" t="str">
        <x:v>2025-07</x:v>
      </x:c>
      <x:c r="C643" s="11" t="str">
        <x:v>יולי 25</x:v>
      </x:c>
      <x:c r="D643" s="15" t="n">
        <x:v>46</x:v>
      </x:c>
      <x:c r="E643" s="11" t="str">
        <x:v>12</x:v>
      </x:c>
      <x:c r="F643" s="11" t="str">
        <x:v>פיצוציה</x:v>
      </x:c>
      <x:c r="G643" s="17" t="n">
        <x:v>6</x:v>
      </x:c>
      <x:c r="H643" s="18" t="str">
        <x:v>אוכל בחוץ</x:v>
      </x:c>
      <x:c r="I643" s="19" t="str">
        <x:f>IFERROR(INDEX('מיפוי ומקורות'!$C$7:$C$33,MATCH(H643,'מיפוי ומקורות'!$B$7:$B$33,0)),"לא מסווג")</x:f>
        <x:v>אוכל בחוץ</x:v>
      </x:c>
      <x:c r="J643" s="19" t="str">
        <x:f>IFERROR(INDEX('מיפוי ומקורות'!$D$7:$D$33,MATCH(H643,'מיפוי ומקורות'!$B$7:$B$33,0)),"שוטף")</x:f>
        <x:v>שוטף</x:v>
      </x:c>
      <x:c r="K643" s="19" t="str">
        <x:f>IF(OR(H643="ריביות",AND(H643="דירה כצנלסון",G643&lt;0,ISNUMBER(SEARCH("הכנסה",F643)))),"הכנסה שסווגה מחדש",J643)</x:f>
        <x:v>שוטף</x:v>
      </x:c>
      <x:c r="L643" s="19" t="str">
        <x:v>מאושר</x:v>
      </x:c>
      <x:c r="M643" s="20" t="n">
        <x:f>IF(L643="מאושר",IF(K643="הכנסה שסווגה מחדש",0,G643),0)</x:f>
        <x:v>6</x:v>
      </x:c>
      <x:c r="N643" s="20" t="n">
        <x:f>IF(K643="שוטף",M643,0)</x:f>
        <x:v>6</x:v>
      </x:c>
      <x:c r="O643" s="20" t="n">
        <x:f>IF(K643="הכנסה שסווגה מחדש",-G643,0)</x:f>
        <x:v>0</x:v>
      </x:c>
      <x:c r="P643" s="11" t="str">
        <x:v>אמקס זיו</x:v>
      </x:c>
      <x:c r="Q643" s="11" t="str"/>
      <x:c r="R643" s="11" t="str">
        <x:v>לא</x:v>
      </x:c>
    </x:row>
    <x:row r="644">
      <x:c r="A644" s="14" t="n">
        <x:v>45839</x:v>
      </x:c>
      <x:c r="B644" s="11" t="str">
        <x:v>2025-07</x:v>
      </x:c>
      <x:c r="C644" s="11" t="str">
        <x:v>יולי 25</x:v>
      </x:c>
      <x:c r="D644" s="15" t="n">
        <x:v>47</x:v>
      </x:c>
      <x:c r="E644" s="11" t="str">
        <x:v>12</x:v>
      </x:c>
      <x:c r="F644" s="11" t="str">
        <x:v>זומבה</x:v>
      </x:c>
      <x:c r="G644" s="17" t="n">
        <x:v>25</x:v>
      </x:c>
      <x:c r="H644" s="18" t="str">
        <x:v>ספורט</x:v>
      </x:c>
      <x:c r="I644" s="19" t="str">
        <x:f>IFERROR(INDEX('מיפוי ומקורות'!$C$7:$C$33,MATCH(H644,'מיפוי ומקורות'!$B$7:$B$33,0)),"לא מסווג")</x:f>
        <x:v>ספורט</x:v>
      </x:c>
      <x:c r="J644" s="19" t="str">
        <x:f>IFERROR(INDEX('מיפוי ומקורות'!$D$7:$D$33,MATCH(H644,'מיפוי ומקורות'!$B$7:$B$33,0)),"שוטף")</x:f>
        <x:v>שוטף</x:v>
      </x:c>
      <x:c r="K644" s="19" t="str">
        <x:f>IF(OR(H644="ריביות",AND(H644="דירה כצנלסון",G644&lt;0,ISNUMBER(SEARCH("הכנסה",F644)))),"הכנסה שסווגה מחדש",J644)</x:f>
        <x:v>שוטף</x:v>
      </x:c>
      <x:c r="L644" s="19" t="str">
        <x:v>מאושר</x:v>
      </x:c>
      <x:c r="M644" s="20" t="n">
        <x:f>IF(L644="מאושר",IF(K644="הכנסה שסווגה מחדש",0,G644),0)</x:f>
        <x:v>25</x:v>
      </x:c>
      <x:c r="N644" s="20" t="n">
        <x:f>IF(K644="שוטף",M644,0)</x:f>
        <x:v>25</x:v>
      </x:c>
      <x:c r="O644" s="20" t="n">
        <x:f>IF(K644="הכנסה שסווגה מחדש",-G644,0)</x:f>
        <x:v>0</x:v>
      </x:c>
      <x:c r="P644" s="11" t="str">
        <x:v>אמקס זיו</x:v>
      </x:c>
      <x:c r="Q644" s="11" t="str"/>
      <x:c r="R644" s="11" t="str">
        <x:v>לא</x:v>
      </x:c>
    </x:row>
    <x:row r="645">
      <x:c r="A645" s="14" t="n">
        <x:v>45839</x:v>
      </x:c>
      <x:c r="B645" s="11" t="str">
        <x:v>2025-07</x:v>
      </x:c>
      <x:c r="C645" s="11" t="str">
        <x:v>יולי 25</x:v>
      </x:c>
      <x:c r="D645" s="15" t="n">
        <x:v>48</x:v>
      </x:c>
      <x:c r="E645" s="11" t="str">
        <x:v>13</x:v>
      </x:c>
      <x:c r="F645" s="11" t="str">
        <x:v>סופר</x:v>
      </x:c>
      <x:c r="G645" s="17" t="n">
        <x:v>18</x:v>
      </x:c>
      <x:c r="H645" s="18" t="str">
        <x:v>מזון לבית</x:v>
      </x:c>
      <x:c r="I645" s="19" t="str">
        <x:f>IFERROR(INDEX('מיפוי ומקורות'!$C$7:$C$33,MATCH(H645,'מיפוי ומקורות'!$B$7:$B$33,0)),"לא מסווג")</x:f>
        <x:v>מזון לבית</x:v>
      </x:c>
      <x:c r="J645" s="19" t="str">
        <x:f>IFERROR(INDEX('מיפוי ומקורות'!$D$7:$D$33,MATCH(H645,'מיפוי ומקורות'!$B$7:$B$33,0)),"שוטף")</x:f>
        <x:v>שוטף</x:v>
      </x:c>
      <x:c r="K645" s="19" t="str">
        <x:f>IF(OR(H645="ריביות",AND(H645="דירה כצנלסון",G645&lt;0,ISNUMBER(SEARCH("הכנסה",F645)))),"הכנסה שסווגה מחדש",J645)</x:f>
        <x:v>שוטף</x:v>
      </x:c>
      <x:c r="L645" s="19" t="str">
        <x:v>מאושר</x:v>
      </x:c>
      <x:c r="M645" s="20" t="n">
        <x:f>IF(L645="מאושר",IF(K645="הכנסה שסווגה מחדש",0,G645),0)</x:f>
        <x:v>18</x:v>
      </x:c>
      <x:c r="N645" s="20" t="n">
        <x:f>IF(K645="שוטף",M645,0)</x:f>
        <x:v>18</x:v>
      </x:c>
      <x:c r="O645" s="20" t="n">
        <x:f>IF(K645="הכנסה שסווגה מחדש",-G645,0)</x:f>
        <x:v>0</x:v>
      </x:c>
      <x:c r="P645" s="11" t="str">
        <x:v>אמקס זיו</x:v>
      </x:c>
      <x:c r="Q645" s="11" t="str"/>
      <x:c r="R645" s="11" t="str">
        <x:v>לא</x:v>
      </x:c>
    </x:row>
    <x:row r="646">
      <x:c r="A646" s="14" t="n">
        <x:v>45839</x:v>
      </x:c>
      <x:c r="B646" s="11" t="str">
        <x:v>2025-07</x:v>
      </x:c>
      <x:c r="C646" s="11" t="str">
        <x:v>יולי 25</x:v>
      </x:c>
      <x:c r="D646" s="15" t="n">
        <x:v>49</x:v>
      </x:c>
      <x:c r="E646" s="11" t="str">
        <x:v>13</x:v>
      </x:c>
      <x:c r="F646" s="11" t="str">
        <x:v>ירקן</x:v>
      </x:c>
      <x:c r="G646" s="17" t="n">
        <x:v>7</x:v>
      </x:c>
      <x:c r="H646" s="18" t="str">
        <x:v>מזון לבית</x:v>
      </x:c>
      <x:c r="I646" s="19" t="str">
        <x:f>IFERROR(INDEX('מיפוי ומקורות'!$C$7:$C$33,MATCH(H646,'מיפוי ומקורות'!$B$7:$B$33,0)),"לא מסווג")</x:f>
        <x:v>מזון לבית</x:v>
      </x:c>
      <x:c r="J646" s="19" t="str">
        <x:f>IFERROR(INDEX('מיפוי ומקורות'!$D$7:$D$33,MATCH(H646,'מיפוי ומקורות'!$B$7:$B$33,0)),"שוטף")</x:f>
        <x:v>שוטף</x:v>
      </x:c>
      <x:c r="K646" s="19" t="str">
        <x:f>IF(OR(H646="ריביות",AND(H646="דירה כצנלסון",G646&lt;0,ISNUMBER(SEARCH("הכנסה",F646)))),"הכנסה שסווגה מחדש",J646)</x:f>
        <x:v>שוטף</x:v>
      </x:c>
      <x:c r="L646" s="19" t="str">
        <x:v>מאושר</x:v>
      </x:c>
      <x:c r="M646" s="20" t="n">
        <x:f>IF(L646="מאושר",IF(K646="הכנסה שסווגה מחדש",0,G646),0)</x:f>
        <x:v>7</x:v>
      </x:c>
      <x:c r="N646" s="20" t="n">
        <x:f>IF(K646="שוטף",M646,0)</x:f>
        <x:v>7</x:v>
      </x:c>
      <x:c r="O646" s="20" t="n">
        <x:f>IF(K646="הכנסה שסווגה מחדש",-G646,0)</x:f>
        <x:v>0</x:v>
      </x:c>
      <x:c r="P646" s="11" t="str">
        <x:v>אמקס זיו</x:v>
      </x:c>
      <x:c r="Q646" s="11" t="str"/>
      <x:c r="R646" s="11" t="str">
        <x:v>לא</x:v>
      </x:c>
    </x:row>
    <x:row r="647">
      <x:c r="A647" s="14" t="n">
        <x:v>45839</x:v>
      </x:c>
      <x:c r="B647" s="11" t="str">
        <x:v>2025-07</x:v>
      </x:c>
      <x:c r="C647" s="11" t="str">
        <x:v>יולי 25</x:v>
      </x:c>
      <x:c r="D647" s="15" t="n">
        <x:v>50</x:v>
      </x:c>
      <x:c r="E647" s="11" t="str">
        <x:v>14</x:v>
      </x:c>
      <x:c r="F647" s="11" t="str">
        <x:v>סופר</x:v>
      </x:c>
      <x:c r="G647" s="17" t="n">
        <x:v>127</x:v>
      </x:c>
      <x:c r="H647" s="18" t="str">
        <x:v>מזון לבית</x:v>
      </x:c>
      <x:c r="I647" s="19" t="str">
        <x:f>IFERROR(INDEX('מיפוי ומקורות'!$C$7:$C$33,MATCH(H647,'מיפוי ומקורות'!$B$7:$B$33,0)),"לא מסווג")</x:f>
        <x:v>מזון לבית</x:v>
      </x:c>
      <x:c r="J647" s="19" t="str">
        <x:f>IFERROR(INDEX('מיפוי ומקורות'!$D$7:$D$33,MATCH(H647,'מיפוי ומקורות'!$B$7:$B$33,0)),"שוטף")</x:f>
        <x:v>שוטף</x:v>
      </x:c>
      <x:c r="K647" s="19" t="str">
        <x:f>IF(OR(H647="ריביות",AND(H647="דירה כצנלסון",G647&lt;0,ISNUMBER(SEARCH("הכנסה",F647)))),"הכנסה שסווגה מחדש",J647)</x:f>
        <x:v>שוטף</x:v>
      </x:c>
      <x:c r="L647" s="19" t="str">
        <x:v>מאושר</x:v>
      </x:c>
      <x:c r="M647" s="20" t="n">
        <x:f>IF(L647="מאושר",IF(K647="הכנסה שסווגה מחדש",0,G647),0)</x:f>
        <x:v>127</x:v>
      </x:c>
      <x:c r="N647" s="20" t="n">
        <x:f>IF(K647="שוטף",M647,0)</x:f>
        <x:v>127</x:v>
      </x:c>
      <x:c r="O647" s="20" t="n">
        <x:f>IF(K647="הכנסה שסווגה מחדש",-G647,0)</x:f>
        <x:v>0</x:v>
      </x:c>
      <x:c r="P647" s="11" t="str">
        <x:v>אמקס זיו</x:v>
      </x:c>
      <x:c r="Q647" s="11" t="str"/>
      <x:c r="R647" s="11" t="str">
        <x:v>לא</x:v>
      </x:c>
    </x:row>
    <x:row r="648">
      <x:c r="A648" s="14" t="n">
        <x:v>45839</x:v>
      </x:c>
      <x:c r="B648" s="11" t="str">
        <x:v>2025-07</x:v>
      </x:c>
      <x:c r="C648" s="11" t="str">
        <x:v>יולי 25</x:v>
      </x:c>
      <x:c r="D648" s="15" t="n">
        <x:v>51</x:v>
      </x:c>
      <x:c r="E648" s="11" t="str">
        <x:v>14</x:v>
      </x:c>
      <x:c r="F648" s="11" t="str">
        <x:v>אלבומים(ביט)</x:v>
      </x:c>
      <x:c r="G648" s="17" t="n">
        <x:v>1800</x:v>
      </x:c>
      <x:c r="H648" s="18" t="str">
        <x:v>חתונה</x:v>
      </x:c>
      <x:c r="I648" s="19" t="str">
        <x:f>IFERROR(INDEX('מיפוי ומקורות'!$C$7:$C$33,MATCH(H648,'מיפוי ומקורות'!$B$7:$B$33,0)),"לא מסווג")</x:f>
        <x:v>חתונה</x:v>
      </x:c>
      <x:c r="J648" s="19" t="str">
        <x:f>IFERROR(INDEX('מיפוי ומקורות'!$D$7:$D$33,MATCH(H648,'מיפוי ומקורות'!$B$7:$B$33,0)),"שוטף")</x:f>
        <x:v>חריג</x:v>
      </x:c>
      <x:c r="K648" s="19" t="str">
        <x:f>IF(OR(H648="ריביות",AND(H648="דירה כצנלסון",G648&lt;0,ISNUMBER(SEARCH("הכנסה",F648)))),"הכנסה שסווגה מחדש",J648)</x:f>
        <x:v>חריג</x:v>
      </x:c>
      <x:c r="L648" s="19" t="str">
        <x:v>מאושר</x:v>
      </x:c>
      <x:c r="M648" s="20" t="n">
        <x:f>IF(L648="מאושר",IF(K648="הכנסה שסווגה מחדש",0,G648),0)</x:f>
        <x:v>1800</x:v>
      </x:c>
      <x:c r="N648" s="20" t="n">
        <x:f>IF(K648="שוטף",M648,0)</x:f>
        <x:v>0</x:v>
      </x:c>
      <x:c r="O648" s="20" t="n">
        <x:f>IF(K648="הכנסה שסווגה מחדש",-G648,0)</x:f>
        <x:v>0</x:v>
      </x:c>
      <x:c r="P648" s="11" t="str">
        <x:v>אמקס זיו</x:v>
      </x:c>
      <x:c r="Q648" s="11" t="str"/>
      <x:c r="R648" s="11" t="str">
        <x:v>לא</x:v>
      </x:c>
    </x:row>
    <x:row r="649">
      <x:c r="A649" s="14" t="n">
        <x:v>45839</x:v>
      </x:c>
      <x:c r="B649" s="11" t="str">
        <x:v>2025-07</x:v>
      </x:c>
      <x:c r="C649" s="11" t="str">
        <x:v>יולי 25</x:v>
      </x:c>
      <x:c r="D649" s="15" t="n">
        <x:v>52</x:v>
      </x:c>
      <x:c r="E649" s="11" t="str">
        <x:v>13</x:v>
      </x:c>
      <x:c r="F649" s="11" t="str">
        <x:v>סופר</x:v>
      </x:c>
      <x:c r="G649" s="17" t="n">
        <x:v>299</x:v>
      </x:c>
      <x:c r="H649" s="18" t="str">
        <x:v>מזון לבית</x:v>
      </x:c>
      <x:c r="I649" s="19" t="str">
        <x:f>IFERROR(INDEX('מיפוי ומקורות'!$C$7:$C$33,MATCH(H649,'מיפוי ומקורות'!$B$7:$B$33,0)),"לא מסווג")</x:f>
        <x:v>מזון לבית</x:v>
      </x:c>
      <x:c r="J649" s="19" t="str">
        <x:f>IFERROR(INDEX('מיפוי ומקורות'!$D$7:$D$33,MATCH(H649,'מיפוי ומקורות'!$B$7:$B$33,0)),"שוטף")</x:f>
        <x:v>שוטף</x:v>
      </x:c>
      <x:c r="K649" s="19" t="str">
        <x:f>IF(OR(H649="ריביות",AND(H649="דירה כצנלסון",G649&lt;0,ISNUMBER(SEARCH("הכנסה",F649)))),"הכנסה שסווגה מחדש",J649)</x:f>
        <x:v>שוטף</x:v>
      </x:c>
      <x:c r="L649" s="19" t="str">
        <x:v>מאושר</x:v>
      </x:c>
      <x:c r="M649" s="20" t="n">
        <x:f>IF(L649="מאושר",IF(K649="הכנסה שסווגה מחדש",0,G649),0)</x:f>
        <x:v>299</x:v>
      </x:c>
      <x:c r="N649" s="20" t="n">
        <x:f>IF(K649="שוטף",M649,0)</x:f>
        <x:v>299</x:v>
      </x:c>
      <x:c r="O649" s="20" t="n">
        <x:f>IF(K649="הכנסה שסווגה מחדש",-G649,0)</x:f>
        <x:v>0</x:v>
      </x:c>
      <x:c r="P649" s="11" t="str">
        <x:v>אמקס זיו</x:v>
      </x:c>
      <x:c r="Q649" s="11" t="str"/>
      <x:c r="R649" s="11" t="str">
        <x:v>לא</x:v>
      </x:c>
    </x:row>
    <x:row r="650">
      <x:c r="A650" s="14" t="n">
        <x:v>45839</x:v>
      </x:c>
      <x:c r="B650" s="11" t="str">
        <x:v>2025-07</x:v>
      </x:c>
      <x:c r="C650" s="11" t="str">
        <x:v>יולי 25</x:v>
      </x:c>
      <x:c r="D650" s="15" t="n">
        <x:v>53</x:v>
      </x:c>
      <x:c r="E650" s="11" t="str">
        <x:v>15</x:v>
      </x:c>
      <x:c r="F650" s="11" t="str">
        <x:v>ירקן</x:v>
      </x:c>
      <x:c r="G650" s="17" t="n">
        <x:v>51</x:v>
      </x:c>
      <x:c r="H650" s="18" t="str">
        <x:v>מזון לבית</x:v>
      </x:c>
      <x:c r="I650" s="19" t="str">
        <x:f>IFERROR(INDEX('מיפוי ומקורות'!$C$7:$C$33,MATCH(H650,'מיפוי ומקורות'!$B$7:$B$33,0)),"לא מסווג")</x:f>
        <x:v>מזון לבית</x:v>
      </x:c>
      <x:c r="J650" s="19" t="str">
        <x:f>IFERROR(INDEX('מיפוי ומקורות'!$D$7:$D$33,MATCH(H650,'מיפוי ומקורות'!$B$7:$B$33,0)),"שוטף")</x:f>
        <x:v>שוטף</x:v>
      </x:c>
      <x:c r="K650" s="19" t="str">
        <x:f>IF(OR(H650="ריביות",AND(H650="דירה כצנלסון",G650&lt;0,ISNUMBER(SEARCH("הכנסה",F650)))),"הכנסה שסווגה מחדש",J650)</x:f>
        <x:v>שוטף</x:v>
      </x:c>
      <x:c r="L650" s="19" t="str">
        <x:v>מאושר</x:v>
      </x:c>
      <x:c r="M650" s="20" t="n">
        <x:f>IF(L650="מאושר",IF(K650="הכנסה שסווגה מחדש",0,G650),0)</x:f>
        <x:v>51</x:v>
      </x:c>
      <x:c r="N650" s="20" t="n">
        <x:f>IF(K650="שוטף",M650,0)</x:f>
        <x:v>51</x:v>
      </x:c>
      <x:c r="O650" s="20" t="n">
        <x:f>IF(K650="הכנסה שסווגה מחדש",-G650,0)</x:f>
        <x:v>0</x:v>
      </x:c>
      <x:c r="P650" s="11" t="str">
        <x:v>אמקס זיו</x:v>
      </x:c>
      <x:c r="Q650" s="11" t="str"/>
      <x:c r="R650" s="11" t="str">
        <x:v>לא</x:v>
      </x:c>
    </x:row>
    <x:row r="651">
      <x:c r="A651" s="14" t="n">
        <x:v>45839</x:v>
      </x:c>
      <x:c r="B651" s="11" t="str">
        <x:v>2025-07</x:v>
      </x:c>
      <x:c r="C651" s="11" t="str">
        <x:v>יולי 25</x:v>
      </x:c>
      <x:c r="D651" s="15" t="n">
        <x:v>54</x:v>
      </x:c>
      <x:c r="E651" s="11" t="str">
        <x:v>17</x:v>
      </x:c>
      <x:c r="F651" s="11" t="str">
        <x:v>הדפסת תמונות</x:v>
      </x:c>
      <x:c r="G651" s="17" t="n">
        <x:v>80</x:v>
      </x:c>
      <x:c r="H651" s="18" t="str">
        <x:v>חתונה</x:v>
      </x:c>
      <x:c r="I651" s="19" t="str">
        <x:f>IFERROR(INDEX('מיפוי ומקורות'!$C$7:$C$33,MATCH(H651,'מיפוי ומקורות'!$B$7:$B$33,0)),"לא מסווג")</x:f>
        <x:v>חתונה</x:v>
      </x:c>
      <x:c r="J651" s="19" t="str">
        <x:f>IFERROR(INDEX('מיפוי ומקורות'!$D$7:$D$33,MATCH(H651,'מיפוי ומקורות'!$B$7:$B$33,0)),"שוטף")</x:f>
        <x:v>חריג</x:v>
      </x:c>
      <x:c r="K651" s="19" t="str">
        <x:f>IF(OR(H651="ריביות",AND(H651="דירה כצנלסון",G651&lt;0,ISNUMBER(SEARCH("הכנסה",F651)))),"הכנסה שסווגה מחדש",J651)</x:f>
        <x:v>חריג</x:v>
      </x:c>
      <x:c r="L651" s="19" t="str">
        <x:v>מאושר</x:v>
      </x:c>
      <x:c r="M651" s="20" t="n">
        <x:f>IF(L651="מאושר",IF(K651="הכנסה שסווגה מחדש",0,G651),0)</x:f>
        <x:v>80</x:v>
      </x:c>
      <x:c r="N651" s="20" t="n">
        <x:f>IF(K651="שוטף",M651,0)</x:f>
        <x:v>0</x:v>
      </x:c>
      <x:c r="O651" s="20" t="n">
        <x:f>IF(K651="הכנסה שסווגה מחדש",-G651,0)</x:f>
        <x:v>0</x:v>
      </x:c>
      <x:c r="P651" s="11" t="str">
        <x:v>אמקס זיו</x:v>
      </x:c>
      <x:c r="Q651" s="11" t="str"/>
      <x:c r="R651" s="11" t="str">
        <x:v>לא</x:v>
      </x:c>
    </x:row>
    <x:row r="652">
      <x:c r="A652" s="14" t="n">
        <x:v>45839</x:v>
      </x:c>
      <x:c r="B652" s="11" t="str">
        <x:v>2025-07</x:v>
      </x:c>
      <x:c r="C652" s="11" t="str">
        <x:v>יולי 25</x:v>
      </x:c>
      <x:c r="D652" s="15" t="n">
        <x:v>55</x:v>
      </x:c>
      <x:c r="E652" s="11" t="str">
        <x:v>18</x:v>
      </x:c>
      <x:c r="F652" s="11" t="str">
        <x:v>דלק</x:v>
      </x:c>
      <x:c r="G652" s="17" t="n">
        <x:v>209</x:v>
      </x:c>
      <x:c r="H652" s="18" t="str">
        <x:v>תחבורה</x:v>
      </x:c>
      <x:c r="I652" s="19" t="str">
        <x:f>IFERROR(INDEX('מיפוי ומקורות'!$C$7:$C$33,MATCH(H652,'מיפוי ומקורות'!$B$7:$B$33,0)),"לא מסווג")</x:f>
        <x:v>תחבורה</x:v>
      </x:c>
      <x:c r="J652" s="19" t="str">
        <x:f>IFERROR(INDEX('מיפוי ומקורות'!$D$7:$D$33,MATCH(H652,'מיפוי ומקורות'!$B$7:$B$33,0)),"שוטף")</x:f>
        <x:v>שוטף</x:v>
      </x:c>
      <x:c r="K652" s="19" t="str">
        <x:f>IF(OR(H652="ריביות",AND(H652="דירה כצנלסון",G652&lt;0,ISNUMBER(SEARCH("הכנסה",F652)))),"הכנסה שסווגה מחדש",J652)</x:f>
        <x:v>שוטף</x:v>
      </x:c>
      <x:c r="L652" s="19" t="str">
        <x:v>מאושר</x:v>
      </x:c>
      <x:c r="M652" s="20" t="n">
        <x:f>IF(L652="מאושר",IF(K652="הכנסה שסווגה מחדש",0,G652),0)</x:f>
        <x:v>209</x:v>
      </x:c>
      <x:c r="N652" s="20" t="n">
        <x:f>IF(K652="שוטף",M652,0)</x:f>
        <x:v>209</x:v>
      </x:c>
      <x:c r="O652" s="20" t="n">
        <x:f>IF(K652="הכנסה שסווגה מחדש",-G652,0)</x:f>
        <x:v>0</x:v>
      </x:c>
      <x:c r="P652" s="11" t="str">
        <x:v>אמקס זיו</x:v>
      </x:c>
      <x:c r="Q652" s="11" t="str"/>
      <x:c r="R652" s="11" t="str">
        <x:v>לא</x:v>
      </x:c>
    </x:row>
    <x:row r="653">
      <x:c r="A653" s="14" t="n">
        <x:v>45839</x:v>
      </x:c>
      <x:c r="B653" s="11" t="str">
        <x:v>2025-07</x:v>
      </x:c>
      <x:c r="C653" s="11" t="str">
        <x:v>יולי 25</x:v>
      </x:c>
      <x:c r="D653" s="15" t="n">
        <x:v>56</x:v>
      </x:c>
      <x:c r="E653" s="11" t="str">
        <x:v>24</x:v>
      </x:c>
      <x:c r="F653" s="11" t="str">
        <x:v>פיצוציה</x:v>
      </x:c>
      <x:c r="G653" s="17" t="n">
        <x:v>7</x:v>
      </x:c>
      <x:c r="H653" s="18" t="str">
        <x:v>אוכל בחוץ</x:v>
      </x:c>
      <x:c r="I653" s="19" t="str">
        <x:f>IFERROR(INDEX('מיפוי ומקורות'!$C$7:$C$33,MATCH(H653,'מיפוי ומקורות'!$B$7:$B$33,0)),"לא מסווג")</x:f>
        <x:v>אוכל בחוץ</x:v>
      </x:c>
      <x:c r="J653" s="19" t="str">
        <x:f>IFERROR(INDEX('מיפוי ומקורות'!$D$7:$D$33,MATCH(H653,'מיפוי ומקורות'!$B$7:$B$33,0)),"שוטף")</x:f>
        <x:v>שוטף</x:v>
      </x:c>
      <x:c r="K653" s="19" t="str">
        <x:f>IF(OR(H653="ריביות",AND(H653="דירה כצנלסון",G653&lt;0,ISNUMBER(SEARCH("הכנסה",F653)))),"הכנסה שסווגה מחדש",J653)</x:f>
        <x:v>שוטף</x:v>
      </x:c>
      <x:c r="L653" s="19" t="str">
        <x:v>מאושר</x:v>
      </x:c>
      <x:c r="M653" s="20" t="n">
        <x:f>IF(L653="מאושר",IF(K653="הכנסה שסווגה מחדש",0,G653),0)</x:f>
        <x:v>7</x:v>
      </x:c>
      <x:c r="N653" s="20" t="n">
        <x:f>IF(K653="שוטף",M653,0)</x:f>
        <x:v>7</x:v>
      </x:c>
      <x:c r="O653" s="20" t="n">
        <x:f>IF(K653="הכנסה שסווגה מחדש",-G653,0)</x:f>
        <x:v>0</x:v>
      </x:c>
      <x:c r="P653" s="11" t="str">
        <x:v>אמקס זיו</x:v>
      </x:c>
      <x:c r="Q653" s="11" t="str"/>
      <x:c r="R653" s="11" t="str">
        <x:v>לא</x:v>
      </x:c>
    </x:row>
    <x:row r="654">
      <x:c r="A654" s="14" t="n">
        <x:v>45839</x:v>
      </x:c>
      <x:c r="B654" s="11" t="str">
        <x:v>2025-07</x:v>
      </x:c>
      <x:c r="C654" s="11" t="str">
        <x:v>יולי 25</x:v>
      </x:c>
      <x:c r="D654" s="15" t="n">
        <x:v>57</x:v>
      </x:c>
      <x:c r="E654" s="11" t="str">
        <x:v>24</x:v>
      </x:c>
      <x:c r="F654" s="11" t="str">
        <x:v>סופר</x:v>
      </x:c>
      <x:c r="G654" s="17" t="n">
        <x:v>55</x:v>
      </x:c>
      <x:c r="H654" s="18" t="str">
        <x:v>מזון לבית</x:v>
      </x:c>
      <x:c r="I654" s="19" t="str">
        <x:f>IFERROR(INDEX('מיפוי ומקורות'!$C$7:$C$33,MATCH(H654,'מיפוי ומקורות'!$B$7:$B$33,0)),"לא מסווג")</x:f>
        <x:v>מזון לבית</x:v>
      </x:c>
      <x:c r="J654" s="19" t="str">
        <x:f>IFERROR(INDEX('מיפוי ומקורות'!$D$7:$D$33,MATCH(H654,'מיפוי ומקורות'!$B$7:$B$33,0)),"שוטף")</x:f>
        <x:v>שוטף</x:v>
      </x:c>
      <x:c r="K654" s="19" t="str">
        <x:f>IF(OR(H654="ריביות",AND(H654="דירה כצנלסון",G654&lt;0,ISNUMBER(SEARCH("הכנסה",F654)))),"הכנסה שסווגה מחדש",J654)</x:f>
        <x:v>שוטף</x:v>
      </x:c>
      <x:c r="L654" s="19" t="str">
        <x:v>מאושר</x:v>
      </x:c>
      <x:c r="M654" s="20" t="n">
        <x:f>IF(L654="מאושר",IF(K654="הכנסה שסווגה מחדש",0,G654),0)</x:f>
        <x:v>55</x:v>
      </x:c>
      <x:c r="N654" s="20" t="n">
        <x:f>IF(K654="שוטף",M654,0)</x:f>
        <x:v>55</x:v>
      </x:c>
      <x:c r="O654" s="20" t="n">
        <x:f>IF(K654="הכנסה שסווגה מחדש",-G654,0)</x:f>
        <x:v>0</x:v>
      </x:c>
      <x:c r="P654" s="11" t="str">
        <x:v>אמקס זיו</x:v>
      </x:c>
      <x:c r="Q654" s="11" t="str"/>
      <x:c r="R654" s="11" t="str">
        <x:v>לא</x:v>
      </x:c>
    </x:row>
    <x:row r="655">
      <x:c r="A655" s="14" t="n">
        <x:v>45839</x:v>
      </x:c>
      <x:c r="B655" s="11" t="str">
        <x:v>2025-07</x:v>
      </x:c>
      <x:c r="C655" s="11" t="str">
        <x:v>יולי 25</x:v>
      </x:c>
      <x:c r="D655" s="15" t="n">
        <x:v>58</x:v>
      </x:c>
      <x:c r="E655" s="11" t="str">
        <x:v>24</x:v>
      </x:c>
      <x:c r="F655" s="11" t="str">
        <x:v>מסעדה</x:v>
      </x:c>
      <x:c r="G655" s="17" t="n">
        <x:v>17</x:v>
      </x:c>
      <x:c r="H655" s="18" t="str">
        <x:v>אוכל בחוץ</x:v>
      </x:c>
      <x:c r="I655" s="19" t="str">
        <x:f>IFERROR(INDEX('מיפוי ומקורות'!$C$7:$C$33,MATCH(H655,'מיפוי ומקורות'!$B$7:$B$33,0)),"לא מסווג")</x:f>
        <x:v>אוכל בחוץ</x:v>
      </x:c>
      <x:c r="J655" s="19" t="str">
        <x:f>IFERROR(INDEX('מיפוי ומקורות'!$D$7:$D$33,MATCH(H655,'מיפוי ומקורות'!$B$7:$B$33,0)),"שוטף")</x:f>
        <x:v>שוטף</x:v>
      </x:c>
      <x:c r="K655" s="19" t="str">
        <x:f>IF(OR(H655="ריביות",AND(H655="דירה כצנלסון",G655&lt;0,ISNUMBER(SEARCH("הכנסה",F655)))),"הכנסה שסווגה מחדש",J655)</x:f>
        <x:v>שוטף</x:v>
      </x:c>
      <x:c r="L655" s="19" t="str">
        <x:v>מאושר</x:v>
      </x:c>
      <x:c r="M655" s="20" t="n">
        <x:f>IF(L655="מאושר",IF(K655="הכנסה שסווגה מחדש",0,G655),0)</x:f>
        <x:v>17</x:v>
      </x:c>
      <x:c r="N655" s="20" t="n">
        <x:f>IF(K655="שוטף",M655,0)</x:f>
        <x:v>17</x:v>
      </x:c>
      <x:c r="O655" s="20" t="n">
        <x:f>IF(K655="הכנסה שסווגה מחדש",-G655,0)</x:f>
        <x:v>0</x:v>
      </x:c>
      <x:c r="P655" s="11" t="str">
        <x:v>אמקס זיו</x:v>
      </x:c>
      <x:c r="Q655" s="11" t="str"/>
      <x:c r="R655" s="11" t="str">
        <x:v>לא</x:v>
      </x:c>
    </x:row>
    <x:row r="656">
      <x:c r="A656" s="14" t="n">
        <x:v>45839</x:v>
      </x:c>
      <x:c r="B656" s="11" t="str">
        <x:v>2025-07</x:v>
      </x:c>
      <x:c r="C656" s="11" t="str">
        <x:v>יולי 25</x:v>
      </x:c>
      <x:c r="D656" s="15" t="n">
        <x:v>59</x:v>
      </x:c>
      <x:c r="E656" s="11" t="str">
        <x:v>25</x:v>
      </x:c>
      <x:c r="F656" s="11" t="str">
        <x:v>נעליים</x:v>
      </x:c>
      <x:c r="G656" s="17" t="n">
        <x:v>449</x:v>
      </x:c>
      <x:c r="H656" s="18" t="str">
        <x:v>אופנה</x:v>
      </x:c>
      <x:c r="I656" s="19" t="str">
        <x:f>IFERROR(INDEX('מיפוי ומקורות'!$C$7:$C$33,MATCH(H656,'מיפוי ומקורות'!$B$7:$B$33,0)),"לא מסווג")</x:f>
        <x:v>אופנה</x:v>
      </x:c>
      <x:c r="J656" s="19" t="str">
        <x:f>IFERROR(INDEX('מיפוי ומקורות'!$D$7:$D$33,MATCH(H656,'מיפוי ומקורות'!$B$7:$B$33,0)),"שוטף")</x:f>
        <x:v>שוטף</x:v>
      </x:c>
      <x:c r="K656" s="19" t="str">
        <x:f>IF(OR(H656="ריביות",AND(H656="דירה כצנלסון",G656&lt;0,ISNUMBER(SEARCH("הכנסה",F656)))),"הכנסה שסווגה מחדש",J656)</x:f>
        <x:v>שוטף</x:v>
      </x:c>
      <x:c r="L656" s="19" t="str">
        <x:v>מאושר</x:v>
      </x:c>
      <x:c r="M656" s="20" t="n">
        <x:f>IF(L656="מאושר",IF(K656="הכנסה שסווגה מחדש",0,G656),0)</x:f>
        <x:v>449</x:v>
      </x:c>
      <x:c r="N656" s="20" t="n">
        <x:f>IF(K656="שוטף",M656,0)</x:f>
        <x:v>449</x:v>
      </x:c>
      <x:c r="O656" s="20" t="n">
        <x:f>IF(K656="הכנסה שסווגה מחדש",-G656,0)</x:f>
        <x:v>0</x:v>
      </x:c>
      <x:c r="P656" s="11" t="str">
        <x:v>אמקס זיו</x:v>
      </x:c>
      <x:c r="Q656" s="11" t="str"/>
      <x:c r="R656" s="11" t="str">
        <x:v>לא</x:v>
      </x:c>
    </x:row>
    <x:row r="657">
      <x:c r="A657" s="14" t="n">
        <x:v>45839</x:v>
      </x:c>
      <x:c r="B657" s="11" t="str">
        <x:v>2025-07</x:v>
      </x:c>
      <x:c r="C657" s="11" t="str">
        <x:v>יולי 25</x:v>
      </x:c>
      <x:c r="D657" s="15" t="n">
        <x:v>60</x:v>
      </x:c>
      <x:c r="E657" s="11" t="str">
        <x:v>25</x:v>
      </x:c>
      <x:c r="F657" s="11" t="str">
        <x:v>עגלת קפה</x:v>
      </x:c>
      <x:c r="G657" s="17" t="n">
        <x:v>128</x:v>
      </x:c>
      <x:c r="H657" s="18" t="str">
        <x:v>אוכל בחוץ</x:v>
      </x:c>
      <x:c r="I657" s="19" t="str">
        <x:f>IFERROR(INDEX('מיפוי ומקורות'!$C$7:$C$33,MATCH(H657,'מיפוי ומקורות'!$B$7:$B$33,0)),"לא מסווג")</x:f>
        <x:v>אוכל בחוץ</x:v>
      </x:c>
      <x:c r="J657" s="19" t="str">
        <x:f>IFERROR(INDEX('מיפוי ומקורות'!$D$7:$D$33,MATCH(H657,'מיפוי ומקורות'!$B$7:$B$33,0)),"שוטף")</x:f>
        <x:v>שוטף</x:v>
      </x:c>
      <x:c r="K657" s="19" t="str">
        <x:f>IF(OR(H657="ריביות",AND(H657="דירה כצנלסון",G657&lt;0,ISNUMBER(SEARCH("הכנסה",F657)))),"הכנסה שסווגה מחדש",J657)</x:f>
        <x:v>שוטף</x:v>
      </x:c>
      <x:c r="L657" s="19" t="str">
        <x:v>מאושר</x:v>
      </x:c>
      <x:c r="M657" s="20" t="n">
        <x:f>IF(L657="מאושר",IF(K657="הכנסה שסווגה מחדש",0,G657),0)</x:f>
        <x:v>128</x:v>
      </x:c>
      <x:c r="N657" s="20" t="n">
        <x:f>IF(K657="שוטף",M657,0)</x:f>
        <x:v>128</x:v>
      </x:c>
      <x:c r="O657" s="20" t="n">
        <x:f>IF(K657="הכנסה שסווגה מחדש",-G657,0)</x:f>
        <x:v>0</x:v>
      </x:c>
      <x:c r="P657" s="11" t="str">
        <x:v>אמקס זיו</x:v>
      </x:c>
      <x:c r="Q657" s="11" t="str"/>
      <x:c r="R657" s="11" t="str">
        <x:v>לא</x:v>
      </x:c>
    </x:row>
    <x:row r="658">
      <x:c r="A658" s="14" t="n">
        <x:v>45839</x:v>
      </x:c>
      <x:c r="B658" s="11" t="str">
        <x:v>2025-07</x:v>
      </x:c>
      <x:c r="C658" s="11" t="str">
        <x:v>יולי 25</x:v>
      </x:c>
      <x:c r="D658" s="15" t="n">
        <x:v>61</x:v>
      </x:c>
      <x:c r="E658" s="11" t="str">
        <x:v>29</x:v>
      </x:c>
      <x:c r="F658" s="11" t="str">
        <x:v>בראנץ</x:v>
      </x:c>
      <x:c r="G658" s="17" t="n">
        <x:v>155</x:v>
      </x:c>
      <x:c r="H658" s="18" t="str">
        <x:v>אוכל בחוץ</x:v>
      </x:c>
      <x:c r="I658" s="19" t="str">
        <x:f>IFERROR(INDEX('מיפוי ומקורות'!$C$7:$C$33,MATCH(H658,'מיפוי ומקורות'!$B$7:$B$33,0)),"לא מסווג")</x:f>
        <x:v>אוכל בחוץ</x:v>
      </x:c>
      <x:c r="J658" s="19" t="str">
        <x:f>IFERROR(INDEX('מיפוי ומקורות'!$D$7:$D$33,MATCH(H658,'מיפוי ומקורות'!$B$7:$B$33,0)),"שוטף")</x:f>
        <x:v>שוטף</x:v>
      </x:c>
      <x:c r="K658" s="19" t="str">
        <x:f>IF(OR(H658="ריביות",AND(H658="דירה כצנלסון",G658&lt;0,ISNUMBER(SEARCH("הכנסה",F658)))),"הכנסה שסווגה מחדש",J658)</x:f>
        <x:v>שוטף</x:v>
      </x:c>
      <x:c r="L658" s="19" t="str">
        <x:v>מאושר</x:v>
      </x:c>
      <x:c r="M658" s="20" t="n">
        <x:f>IF(L658="מאושר",IF(K658="הכנסה שסווגה מחדש",0,G658),0)</x:f>
        <x:v>155</x:v>
      </x:c>
      <x:c r="N658" s="20" t="n">
        <x:f>IF(K658="שוטף",M658,0)</x:f>
        <x:v>155</x:v>
      </x:c>
      <x:c r="O658" s="20" t="n">
        <x:f>IF(K658="הכנסה שסווגה מחדש",-G658,0)</x:f>
        <x:v>0</x:v>
      </x:c>
      <x:c r="P658" s="11" t="str">
        <x:v>אמקס זיו</x:v>
      </x:c>
      <x:c r="Q658" s="11" t="str"/>
      <x:c r="R658" s="11" t="str">
        <x:v>לא</x:v>
      </x:c>
    </x:row>
    <x:row r="659">
      <x:c r="A659" s="14" t="n">
        <x:v>45839</x:v>
      </x:c>
      <x:c r="B659" s="11" t="str">
        <x:v>2025-07</x:v>
      </x:c>
      <x:c r="C659" s="11" t="str">
        <x:v>יולי 25</x:v>
      </x:c>
      <x:c r="D659" s="15" t="n">
        <x:v>62</x:v>
      </x:c>
      <x:c r="E659" s="11" t="str">
        <x:v>29</x:v>
      </x:c>
      <x:c r="F659" s="11" t="str">
        <x:v>סופר</x:v>
      </x:c>
      <x:c r="G659" s="17" t="n">
        <x:v>539</x:v>
      </x:c>
      <x:c r="H659" s="18" t="str">
        <x:v>מזון לבית</x:v>
      </x:c>
      <x:c r="I659" s="19" t="str">
        <x:f>IFERROR(INDEX('מיפוי ומקורות'!$C$7:$C$33,MATCH(H659,'מיפוי ומקורות'!$B$7:$B$33,0)),"לא מסווג")</x:f>
        <x:v>מזון לבית</x:v>
      </x:c>
      <x:c r="J659" s="19" t="str">
        <x:f>IFERROR(INDEX('מיפוי ומקורות'!$D$7:$D$33,MATCH(H659,'מיפוי ומקורות'!$B$7:$B$33,0)),"שוטף")</x:f>
        <x:v>שוטף</x:v>
      </x:c>
      <x:c r="K659" s="19" t="str">
        <x:f>IF(OR(H659="ריביות",AND(H659="דירה כצנלסון",G659&lt;0,ISNUMBER(SEARCH("הכנסה",F659)))),"הכנסה שסווגה מחדש",J659)</x:f>
        <x:v>שוטף</x:v>
      </x:c>
      <x:c r="L659" s="19" t="str">
        <x:v>מאושר</x:v>
      </x:c>
      <x:c r="M659" s="20" t="n">
        <x:f>IF(L659="מאושר",IF(K659="הכנסה שסווגה מחדש",0,G659),0)</x:f>
        <x:v>539</x:v>
      </x:c>
      <x:c r="N659" s="20" t="n">
        <x:f>IF(K659="שוטף",M659,0)</x:f>
        <x:v>539</x:v>
      </x:c>
      <x:c r="O659" s="20" t="n">
        <x:f>IF(K659="הכנסה שסווגה מחדש",-G659,0)</x:f>
        <x:v>0</x:v>
      </x:c>
      <x:c r="P659" s="11" t="str">
        <x:v>אמקס זיו</x:v>
      </x:c>
      <x:c r="Q659" s="11" t="str"/>
      <x:c r="R659" s="11" t="str">
        <x:v>לא</x:v>
      </x:c>
    </x:row>
    <x:row r="660">
      <x:c r="A660" s="14" t="n">
        <x:v>45839</x:v>
      </x:c>
      <x:c r="B660" s="11" t="str">
        <x:v>2025-07</x:v>
      </x:c>
      <x:c r="C660" s="11" t="str">
        <x:v>יולי 25</x:v>
      </x:c>
      <x:c r="D660" s="15" t="n">
        <x:v>63</x:v>
      </x:c>
      <x:c r="E660" s="11" t="str">
        <x:v>30</x:v>
      </x:c>
      <x:c r="F660" s="11" t="str">
        <x:v>פריז</x:v>
      </x:c>
      <x:c r="G660" s="17" t="n">
        <x:v>3531</x:v>
      </x:c>
      <x:c r="H660" s="18" t="str">
        <x:v>חול</x:v>
      </x:c>
      <x:c r="I660" s="19" t="str">
        <x:f>IFERROR(INDEX('מיפוי ומקורות'!$C$7:$C$33,MATCH(H660,'מיפוי ומקורות'!$B$7:$B$33,0)),"לא מסווג")</x:f>
        <x:v>נסיעות וחופשות</x:v>
      </x:c>
      <x:c r="J660" s="19" t="str">
        <x:f>IFERROR(INDEX('מיפוי ומקורות'!$D$7:$D$33,MATCH(H660,'מיפוי ומקורות'!$B$7:$B$33,0)),"שוטף")</x:f>
        <x:v>חריג</x:v>
      </x:c>
      <x:c r="K660" s="19" t="str">
        <x:f>IF(OR(H660="ריביות",AND(H660="דירה כצנלסון",G660&lt;0,ISNUMBER(SEARCH("הכנסה",F660)))),"הכנסה שסווגה מחדש",J660)</x:f>
        <x:v>חריג</x:v>
      </x:c>
      <x:c r="L660" s="19" t="str">
        <x:v>מאושר</x:v>
      </x:c>
      <x:c r="M660" s="20" t="n">
        <x:f>IF(L660="מאושר",IF(K660="הכנסה שסווגה מחדש",0,G660),0)</x:f>
        <x:v>3531</x:v>
      </x:c>
      <x:c r="N660" s="20" t="n">
        <x:f>IF(K660="שוטף",M660,0)</x:f>
        <x:v>0</x:v>
      </x:c>
      <x:c r="O660" s="20" t="n">
        <x:f>IF(K660="הכנסה שסווגה מחדש",-G660,0)</x:f>
        <x:v>0</x:v>
      </x:c>
      <x:c r="P660" s="11" t="str">
        <x:v>אמקס זיו</x:v>
      </x:c>
      <x:c r="Q660" s="11" t="str"/>
      <x:c r="R660" s="11" t="str">
        <x:v>לא</x:v>
      </x:c>
    </x:row>
    <x:row r="661">
      <x:c r="A661" s="14" t="n">
        <x:v>45839</x:v>
      </x:c>
      <x:c r="B661" s="11" t="str">
        <x:v>2025-07</x:v>
      </x:c>
      <x:c r="C661" s="11" t="str">
        <x:v>יולי 25</x:v>
      </x:c>
      <x:c r="D661" s="15" t="n">
        <x:v>64</x:v>
      </x:c>
      <x:c r="E661" s="11" t="str">
        <x:v>30</x:v>
      </x:c>
      <x:c r="F661" s="11" t="str">
        <x:v>שירה</x:v>
      </x:c>
      <x:c r="G661" s="17" t="n">
        <x:v>900</x:v>
      </x:c>
      <x:c r="H661" s="18" t="str">
        <x:v>בריאות</x:v>
      </x:c>
      <x:c r="I661" s="19" t="str">
        <x:f>IFERROR(INDEX('מיפוי ומקורות'!$C$7:$C$33,MATCH(H661,'מיפוי ומקורות'!$B$7:$B$33,0)),"לא מסווג")</x:f>
        <x:v>בריאות וטיפולים</x:v>
      </x:c>
      <x:c r="J661" s="19" t="str">
        <x:f>IFERROR(INDEX('מיפוי ומקורות'!$D$7:$D$33,MATCH(H661,'מיפוי ומקורות'!$B$7:$B$33,0)),"שוטף")</x:f>
        <x:v>שוטף</x:v>
      </x:c>
      <x:c r="K661" s="19" t="str">
        <x:f>IF(OR(H661="ריביות",AND(H661="דירה כצנלסון",G661&lt;0,ISNUMBER(SEARCH("הכנסה",F661)))),"הכנסה שסווגה מחדש",J661)</x:f>
        <x:v>שוטף</x:v>
      </x:c>
      <x:c r="L661" s="19" t="str">
        <x:v>מאושר</x:v>
      </x:c>
      <x:c r="M661" s="20" t="n">
        <x:f>IF(L661="מאושר",IF(K661="הכנסה שסווגה מחדש",0,G661),0)</x:f>
        <x:v>900</x:v>
      </x:c>
      <x:c r="N661" s="20" t="n">
        <x:f>IF(K661="שוטף",M661,0)</x:f>
        <x:v>900</x:v>
      </x:c>
      <x:c r="O661" s="20" t="n">
        <x:f>IF(K661="הכנסה שסווגה מחדש",-G661,0)</x:f>
        <x:v>0</x:v>
      </x:c>
      <x:c r="P661" s="11" t="str">
        <x:v>אמקס זיו</x:v>
      </x:c>
      <x:c r="Q661" s="11" t="str"/>
      <x:c r="R661" s="11" t="str">
        <x:v>לא</x:v>
      </x:c>
    </x:row>
    <x:row r="662">
      <x:c r="A662" s="14" t="n">
        <x:v>45839</x:v>
      </x:c>
      <x:c r="B662" s="11" t="str">
        <x:v>2025-07</x:v>
      </x:c>
      <x:c r="C662" s="11" t="str">
        <x:v>יולי 25</x:v>
      </x:c>
      <x:c r="D662" s="15" t="n">
        <x:v>65</x:v>
      </x:c>
      <x:c r="E662" s="11" t="str">
        <x:v>31</x:v>
      </x:c>
      <x:c r="F662" s="11" t="str">
        <x:v>ביליארד</x:v>
      </x:c>
      <x:c r="G662" s="17" t="n">
        <x:v>112</x:v>
      </x:c>
      <x:c r="H662" s="18" t="str">
        <x:v>פנאי</x:v>
      </x:c>
      <x:c r="I662" s="19" t="str">
        <x:f>IFERROR(INDEX('מיפוי ומקורות'!$C$7:$C$33,MATCH(H662,'מיפוי ומקורות'!$B$7:$B$33,0)),"לא מסווג")</x:f>
        <x:v>פנאי</x:v>
      </x:c>
      <x:c r="J662" s="19" t="str">
        <x:f>IFERROR(INDEX('מיפוי ומקורות'!$D$7:$D$33,MATCH(H662,'מיפוי ומקורות'!$B$7:$B$33,0)),"שוטף")</x:f>
        <x:v>שוטף</x:v>
      </x:c>
      <x:c r="K662" s="19" t="str">
        <x:f>IF(OR(H662="ריביות",AND(H662="דירה כצנלסון",G662&lt;0,ISNUMBER(SEARCH("הכנסה",F662)))),"הכנסה שסווגה מחדש",J662)</x:f>
        <x:v>שוטף</x:v>
      </x:c>
      <x:c r="L662" s="19" t="str">
        <x:v>מאושר</x:v>
      </x:c>
      <x:c r="M662" s="20" t="n">
        <x:f>IF(L662="מאושר",IF(K662="הכנסה שסווגה מחדש",0,G662),0)</x:f>
        <x:v>112</x:v>
      </x:c>
      <x:c r="N662" s="20" t="n">
        <x:f>IF(K662="שוטף",M662,0)</x:f>
        <x:v>112</x:v>
      </x:c>
      <x:c r="O662" s="20" t="n">
        <x:f>IF(K662="הכנסה שסווגה מחדש",-G662,0)</x:f>
        <x:v>0</x:v>
      </x:c>
      <x:c r="P662" s="11" t="str">
        <x:v>אמקס זיו</x:v>
      </x:c>
      <x:c r="Q662" s="11" t="str"/>
      <x:c r="R662" s="11" t="str">
        <x:v>לא</x:v>
      </x:c>
    </x:row>
    <x:row r="663">
      <x:c r="A663" s="14" t="n">
        <x:v>45839</x:v>
      </x:c>
      <x:c r="B663" s="11" t="str">
        <x:v>2025-07</x:v>
      </x:c>
      <x:c r="C663" s="11" t="str">
        <x:v>יולי 25</x:v>
      </x:c>
      <x:c r="D663" s="15" t="n">
        <x:v>66</x:v>
      </x:c>
      <x:c r="E663" s="11" t="str">
        <x:v>31</x:v>
      </x:c>
      <x:c r="F663" s="11" t="str">
        <x:v>ירקן</x:v>
      </x:c>
      <x:c r="G663" s="17" t="n">
        <x:v>46</x:v>
      </x:c>
      <x:c r="H663" s="18" t="str">
        <x:v>מזון לבית</x:v>
      </x:c>
      <x:c r="I663" s="19" t="str">
        <x:f>IFERROR(INDEX('מיפוי ומקורות'!$C$7:$C$33,MATCH(H663,'מיפוי ומקורות'!$B$7:$B$33,0)),"לא מסווג")</x:f>
        <x:v>מזון לבית</x:v>
      </x:c>
      <x:c r="J663" s="19" t="str">
        <x:f>IFERROR(INDEX('מיפוי ומקורות'!$D$7:$D$33,MATCH(H663,'מיפוי ומקורות'!$B$7:$B$33,0)),"שוטף")</x:f>
        <x:v>שוטף</x:v>
      </x:c>
      <x:c r="K663" s="19" t="str">
        <x:f>IF(OR(H663="ריביות",AND(H663="דירה כצנלסון",G663&lt;0,ISNUMBER(SEARCH("הכנסה",F663)))),"הכנסה שסווגה מחדש",J663)</x:f>
        <x:v>שוטף</x:v>
      </x:c>
      <x:c r="L663" s="19" t="str">
        <x:v>מאושר</x:v>
      </x:c>
      <x:c r="M663" s="20" t="n">
        <x:f>IF(L663="מאושר",IF(K663="הכנסה שסווגה מחדש",0,G663),0)</x:f>
        <x:v>46</x:v>
      </x:c>
      <x:c r="N663" s="20" t="n">
        <x:f>IF(K663="שוטף",M663,0)</x:f>
        <x:v>46</x:v>
      </x:c>
      <x:c r="O663" s="20" t="n">
        <x:f>IF(K663="הכנסה שסווגה מחדש",-G663,0)</x:f>
        <x:v>0</x:v>
      </x:c>
      <x:c r="P663" s="11" t="str">
        <x:v>אמקס זיו</x:v>
      </x:c>
      <x:c r="Q663" s="11" t="str"/>
      <x:c r="R663" s="11" t="str">
        <x:v>לא</x:v>
      </x:c>
    </x:row>
    <x:row r="664">
      <x:c r="A664" s="14" t="n">
        <x:v>45839</x:v>
      </x:c>
      <x:c r="B664" s="11" t="str">
        <x:v>2025-07</x:v>
      </x:c>
      <x:c r="C664" s="11" t="str">
        <x:v>יולי 25</x:v>
      </x:c>
      <x:c r="D664" s="15" t="n">
        <x:v>67</x:v>
      </x:c>
      <x:c r="E664" s="11" t="str"/>
      <x:c r="F664" s="11" t="str">
        <x:v>ליים</x:v>
      </x:c>
      <x:c r="G664" s="17" t="n">
        <x:v>25</x:v>
      </x:c>
      <x:c r="H664" s="18" t="str">
        <x:v>תחבורה</x:v>
      </x:c>
      <x:c r="I664" s="19" t="str">
        <x:f>IFERROR(INDEX('מיפוי ומקורות'!$C$7:$C$33,MATCH(H664,'מיפוי ומקורות'!$B$7:$B$33,0)),"לא מסווג")</x:f>
        <x:v>תחבורה</x:v>
      </x:c>
      <x:c r="J664" s="19" t="str">
        <x:f>IFERROR(INDEX('מיפוי ומקורות'!$D$7:$D$33,MATCH(H664,'מיפוי ומקורות'!$B$7:$B$33,0)),"שוטף")</x:f>
        <x:v>שוטף</x:v>
      </x:c>
      <x:c r="K664" s="19" t="str">
        <x:f>IF(OR(H664="ריביות",AND(H664="דירה כצנלסון",G664&lt;0,ISNUMBER(SEARCH("הכנסה",F664)))),"הכנסה שסווגה מחדש",J664)</x:f>
        <x:v>שוטף</x:v>
      </x:c>
      <x:c r="L664" s="19" t="str">
        <x:v>מאושר</x:v>
      </x:c>
      <x:c r="M664" s="20" t="n">
        <x:f>IF(L664="מאושר",IF(K664="הכנסה שסווגה מחדש",0,G664),0)</x:f>
        <x:v>25</x:v>
      </x:c>
      <x:c r="N664" s="20" t="n">
        <x:f>IF(K664="שוטף",M664,0)</x:f>
        <x:v>25</x:v>
      </x:c>
      <x:c r="O664" s="20" t="n">
        <x:f>IF(K664="הכנסה שסווגה מחדש",-G664,0)</x:f>
        <x:v>0</x:v>
      </x:c>
      <x:c r="P664" s="11" t="str">
        <x:v>אמקס זיו</x:v>
      </x:c>
      <x:c r="Q664" s="11" t="str">
        <x:v>ישן</x:v>
      </x:c>
      <x:c r="R664" s="11" t="str">
        <x:v>לא</x:v>
      </x:c>
    </x:row>
    <x:row r="665">
      <x:c r="A665" s="14" t="n">
        <x:v>45839</x:v>
      </x:c>
      <x:c r="B665" s="11" t="str">
        <x:v>2025-07</x:v>
      </x:c>
      <x:c r="C665" s="11" t="str">
        <x:v>יולי 25</x:v>
      </x:c>
      <x:c r="D665" s="15" t="n">
        <x:v>68</x:v>
      </x:c>
      <x:c r="E665" s="11" t="str">
        <x:v>15</x:v>
      </x:c>
      <x:c r="F665" s="11" t="str">
        <x:v>סופר</x:v>
      </x:c>
      <x:c r="G665" s="17" t="n">
        <x:v>35</x:v>
      </x:c>
      <x:c r="H665" s="18" t="str">
        <x:v>מזון לבית</x:v>
      </x:c>
      <x:c r="I665" s="19" t="str">
        <x:f>IFERROR(INDEX('מיפוי ומקורות'!$C$7:$C$33,MATCH(H665,'מיפוי ומקורות'!$B$7:$B$33,0)),"לא מסווג")</x:f>
        <x:v>מזון לבית</x:v>
      </x:c>
      <x:c r="J665" s="19" t="str">
        <x:f>IFERROR(INDEX('מיפוי ומקורות'!$D$7:$D$33,MATCH(H665,'מיפוי ומקורות'!$B$7:$B$33,0)),"שוטף")</x:f>
        <x:v>שוטף</x:v>
      </x:c>
      <x:c r="K665" s="19" t="str">
        <x:f>IF(OR(H665="ריביות",AND(H665="דירה כצנלסון",G665&lt;0,ISNUMBER(SEARCH("הכנסה",F665)))),"הכנסה שסווגה מחדש",J665)</x:f>
        <x:v>שוטף</x:v>
      </x:c>
      <x:c r="L665" s="19" t="str">
        <x:v>מאושר</x:v>
      </x:c>
      <x:c r="M665" s="20" t="n">
        <x:f>IF(L665="מאושר",IF(K665="הכנסה שסווגה מחדש",0,G665),0)</x:f>
        <x:v>35</x:v>
      </x:c>
      <x:c r="N665" s="20" t="n">
        <x:f>IF(K665="שוטף",M665,0)</x:f>
        <x:v>35</x:v>
      </x:c>
      <x:c r="O665" s="20" t="n">
        <x:f>IF(K665="הכנסה שסווגה מחדש",-G665,0)</x:f>
        <x:v>0</x:v>
      </x:c>
      <x:c r="P665" s="11" t="str">
        <x:v>חבר עינור</x:v>
      </x:c>
      <x:c r="Q665" s="11" t="str"/>
      <x:c r="R665" s="11" t="str">
        <x:v>לא</x:v>
      </x:c>
    </x:row>
    <x:row r="666">
      <x:c r="A666" s="14" t="n">
        <x:v>45839</x:v>
      </x:c>
      <x:c r="B666" s="11" t="str">
        <x:v>2025-07</x:v>
      </x:c>
      <x:c r="C666" s="11" t="str">
        <x:v>יולי 25</x:v>
      </x:c>
      <x:c r="D666" s="15" t="n">
        <x:v>69</x:v>
      </x:c>
      <x:c r="E666" s="11" t="str"/>
      <x:c r="F666" s="11" t="str">
        <x:v>לייזר</x:v>
      </x:c>
      <x:c r="G666" s="17" t="n">
        <x:v>173</x:v>
      </x:c>
      <x:c r="H666" s="18" t="str">
        <x:v>קוסמטיקה</x:v>
      </x:c>
      <x:c r="I666" s="19" t="str">
        <x:f>IFERROR(INDEX('מיפוי ומקורות'!$C$7:$C$33,MATCH(H666,'מיפוי ומקורות'!$B$7:$B$33,0)),"לא מסווג")</x:f>
        <x:v>קוסמטיקה</x:v>
      </x:c>
      <x:c r="J666" s="19" t="str">
        <x:f>IFERROR(INDEX('מיפוי ומקורות'!$D$7:$D$33,MATCH(H666,'מיפוי ומקורות'!$B$7:$B$33,0)),"שוטף")</x:f>
        <x:v>שוטף</x:v>
      </x:c>
      <x:c r="K666" s="19" t="str">
        <x:f>IF(OR(H666="ריביות",AND(H666="דירה כצנלסון",G666&lt;0,ISNUMBER(SEARCH("הכנסה",F666)))),"הכנסה שסווגה מחדש",J666)</x:f>
        <x:v>שוטף</x:v>
      </x:c>
      <x:c r="L666" s="19" t="str">
        <x:v>מאושר</x:v>
      </x:c>
      <x:c r="M666" s="20" t="n">
        <x:f>IF(L666="מאושר",IF(K666="הכנסה שסווגה מחדש",0,G666),0)</x:f>
        <x:v>173</x:v>
      </x:c>
      <x:c r="N666" s="20" t="n">
        <x:f>IF(K666="שוטף",M666,0)</x:f>
        <x:v>173</x:v>
      </x:c>
      <x:c r="O666" s="20" t="n">
        <x:f>IF(K666="הכנסה שסווגה מחדש",-G666,0)</x:f>
        <x:v>0</x:v>
      </x:c>
      <x:c r="P666" s="11" t="str">
        <x:v>אמקס עינור</x:v>
      </x:c>
      <x:c r="Q666" s="11" t="str">
        <x:v>חבר</x:v>
      </x:c>
      <x:c r="R666" s="11" t="str">
        <x:v>לא</x:v>
      </x:c>
    </x:row>
    <x:row r="667">
      <x:c r="A667" s="14" t="n">
        <x:v>45839</x:v>
      </x:c>
      <x:c r="B667" s="11" t="str">
        <x:v>2025-07</x:v>
      </x:c>
      <x:c r="C667" s="11" t="str">
        <x:v>יולי 25</x:v>
      </x:c>
      <x:c r="D667" s="15" t="n">
        <x:v>70</x:v>
      </x:c>
      <x:c r="E667" s="11" t="str">
        <x:v>2</x:v>
      </x:c>
      <x:c r="F667" s="11" t="str">
        <x:v>מכבי</x:v>
      </x:c>
      <x:c r="G667" s="17" t="n">
        <x:v>95</x:v>
      </x:c>
      <x:c r="H667" s="18" t="str">
        <x:v>בריאות</x:v>
      </x:c>
      <x:c r="I667" s="19" t="str">
        <x:f>IFERROR(INDEX('מיפוי ומקורות'!$C$7:$C$33,MATCH(H667,'מיפוי ומקורות'!$B$7:$B$33,0)),"לא מסווג")</x:f>
        <x:v>בריאות וטיפולים</x:v>
      </x:c>
      <x:c r="J667" s="19" t="str">
        <x:f>IFERROR(INDEX('מיפוי ומקורות'!$D$7:$D$33,MATCH(H667,'מיפוי ומקורות'!$B$7:$B$33,0)),"שוטף")</x:f>
        <x:v>שוטף</x:v>
      </x:c>
      <x:c r="K667" s="19" t="str">
        <x:f>IF(OR(H667="ריביות",AND(H667="דירה כצנלסון",G667&lt;0,ISNUMBER(SEARCH("הכנסה",F667)))),"הכנסה שסווגה מחדש",J667)</x:f>
        <x:v>שוטף</x:v>
      </x:c>
      <x:c r="L667" s="19" t="str">
        <x:v>מאושר</x:v>
      </x:c>
      <x:c r="M667" s="20" t="n">
        <x:f>IF(L667="מאושר",IF(K667="הכנסה שסווגה מחדש",0,G667),0)</x:f>
        <x:v>95</x:v>
      </x:c>
      <x:c r="N667" s="20" t="n">
        <x:f>IF(K667="שוטף",M667,0)</x:f>
        <x:v>95</x:v>
      </x:c>
      <x:c r="O667" s="20" t="n">
        <x:f>IF(K667="הכנסה שסווגה מחדש",-G667,0)</x:f>
        <x:v>0</x:v>
      </x:c>
      <x:c r="P667" s="11" t="str">
        <x:v>אמקס עינור</x:v>
      </x:c>
      <x:c r="Q667" s="11" t="str">
        <x:v>חבר</x:v>
      </x:c>
      <x:c r="R667" s="11" t="str">
        <x:v>לא</x:v>
      </x:c>
    </x:row>
    <x:row r="668">
      <x:c r="A668" s="14" t="n">
        <x:v>45839</x:v>
      </x:c>
      <x:c r="B668" s="11" t="str">
        <x:v>2025-07</x:v>
      </x:c>
      <x:c r="C668" s="11" t="str">
        <x:v>יולי 25</x:v>
      </x:c>
      <x:c r="D668" s="15" t="n">
        <x:v>71</x:v>
      </x:c>
      <x:c r="E668" s="11" t="str">
        <x:v>3</x:v>
      </x:c>
      <x:c r="F668" s="11" t="str">
        <x:v>שירה</x:v>
      </x:c>
      <x:c r="G668" s="17" t="n">
        <x:v>900</x:v>
      </x:c>
      <x:c r="H668" s="18" t="str">
        <x:v>בריאות</x:v>
      </x:c>
      <x:c r="I668" s="19" t="str">
        <x:f>IFERROR(INDEX('מיפוי ומקורות'!$C$7:$C$33,MATCH(H668,'מיפוי ומקורות'!$B$7:$B$33,0)),"לא מסווג")</x:f>
        <x:v>בריאות וטיפולים</x:v>
      </x:c>
      <x:c r="J668" s="19" t="str">
        <x:f>IFERROR(INDEX('מיפוי ומקורות'!$D$7:$D$33,MATCH(H668,'מיפוי ומקורות'!$B$7:$B$33,0)),"שוטף")</x:f>
        <x:v>שוטף</x:v>
      </x:c>
      <x:c r="K668" s="19" t="str">
        <x:f>IF(OR(H668="ריביות",AND(H668="דירה כצנלסון",G668&lt;0,ISNUMBER(SEARCH("הכנסה",F668)))),"הכנסה שסווגה מחדש",J668)</x:f>
        <x:v>שוטף</x:v>
      </x:c>
      <x:c r="L668" s="19" t="str">
        <x:v>מאושר</x:v>
      </x:c>
      <x:c r="M668" s="20" t="n">
        <x:f>IF(L668="מאושר",IF(K668="הכנסה שסווגה מחדש",0,G668),0)</x:f>
        <x:v>900</x:v>
      </x:c>
      <x:c r="N668" s="20" t="n">
        <x:f>IF(K668="שוטף",M668,0)</x:f>
        <x:v>900</x:v>
      </x:c>
      <x:c r="O668" s="20" t="n">
        <x:f>IF(K668="הכנסה שסווגה מחדש",-G668,0)</x:f>
        <x:v>0</x:v>
      </x:c>
      <x:c r="P668" s="11" t="str">
        <x:v>אמקס עינור</x:v>
      </x:c>
      <x:c r="Q668" s="11" t="str">
        <x:v>חבר</x:v>
      </x:c>
      <x:c r="R668" s="11" t="str">
        <x:v>לא</x:v>
      </x:c>
    </x:row>
    <x:row r="669">
      <x:c r="A669" s="14" t="n">
        <x:v>45839</x:v>
      </x:c>
      <x:c r="B669" s="11" t="str">
        <x:v>2025-07</x:v>
      </x:c>
      <x:c r="C669" s="11" t="str">
        <x:v>יולי 25</x:v>
      </x:c>
      <x:c r="D669" s="15" t="n">
        <x:v>72</x:v>
      </x:c>
      <x:c r="E669" s="11" t="str">
        <x:v>4</x:v>
      </x:c>
      <x:c r="F669" s="11" t="str">
        <x:v>מדרגות צמחים</x:v>
      </x:c>
      <x:c r="G669" s="17" t="n">
        <x:v>100</x:v>
      </x:c>
      <x:c r="H669" s="18" t="str">
        <x:v>קניות לבית</x:v>
      </x:c>
      <x:c r="I669" s="19" t="str">
        <x:f>IFERROR(INDEX('מיפוי ומקורות'!$C$7:$C$33,MATCH(H669,'מיפוי ומקורות'!$B$7:$B$33,0)),"לא מסווג")</x:f>
        <x:v>קניות לבית</x:v>
      </x:c>
      <x:c r="J669" s="19" t="str">
        <x:f>IFERROR(INDEX('מיפוי ומקורות'!$D$7:$D$33,MATCH(H669,'מיפוי ומקורות'!$B$7:$B$33,0)),"שוטף")</x:f>
        <x:v>שוטף</x:v>
      </x:c>
      <x:c r="K669" s="19" t="str">
        <x:f>IF(OR(H669="ריביות",AND(H669="דירה כצנלסון",G669&lt;0,ISNUMBER(SEARCH("הכנסה",F669)))),"הכנסה שסווגה מחדש",J669)</x:f>
        <x:v>שוטף</x:v>
      </x:c>
      <x:c r="L669" s="19" t="str">
        <x:v>מאושר</x:v>
      </x:c>
      <x:c r="M669" s="20" t="n">
        <x:f>IF(L669="מאושר",IF(K669="הכנסה שסווגה מחדש",0,G669),0)</x:f>
        <x:v>100</x:v>
      </x:c>
      <x:c r="N669" s="20" t="n">
        <x:f>IF(K669="שוטף",M669,0)</x:f>
        <x:v>100</x:v>
      </x:c>
      <x:c r="O669" s="20" t="n">
        <x:f>IF(K669="הכנסה שסווגה מחדש",-G669,0)</x:f>
        <x:v>0</x:v>
      </x:c>
      <x:c r="P669" s="11" t="str">
        <x:v>אמקס עינור</x:v>
      </x:c>
      <x:c r="Q669" s="11" t="str">
        <x:v>חבר</x:v>
      </x:c>
      <x:c r="R669" s="11" t="str">
        <x:v>לא</x:v>
      </x:c>
    </x:row>
    <x:row r="670">
      <x:c r="A670" s="14" t="n">
        <x:v>45839</x:v>
      </x:c>
      <x:c r="B670" s="11" t="str">
        <x:v>2025-07</x:v>
      </x:c>
      <x:c r="C670" s="11" t="str">
        <x:v>יולי 25</x:v>
      </x:c>
      <x:c r="D670" s="15" t="n">
        <x:v>73</x:v>
      </x:c>
      <x:c r="E670" s="11" t="str">
        <x:v>9</x:v>
      </x:c>
      <x:c r="F670" s="11" t="str">
        <x:v>מחבתות</x:v>
      </x:c>
      <x:c r="G670" s="17" t="n">
        <x:v>278</x:v>
      </x:c>
      <x:c r="H670" s="18" t="str">
        <x:v>קניות לבית</x:v>
      </x:c>
      <x:c r="I670" s="19" t="str">
        <x:f>IFERROR(INDEX('מיפוי ומקורות'!$C$7:$C$33,MATCH(H670,'מיפוי ומקורות'!$B$7:$B$33,0)),"לא מסווג")</x:f>
        <x:v>קניות לבית</x:v>
      </x:c>
      <x:c r="J670" s="19" t="str">
        <x:f>IFERROR(INDEX('מיפוי ומקורות'!$D$7:$D$33,MATCH(H670,'מיפוי ומקורות'!$B$7:$B$33,0)),"שוטף")</x:f>
        <x:v>שוטף</x:v>
      </x:c>
      <x:c r="K670" s="19" t="str">
        <x:f>IF(OR(H670="ריביות",AND(H670="דירה כצנלסון",G670&lt;0,ISNUMBER(SEARCH("הכנסה",F670)))),"הכנסה שסווגה מחדש",J670)</x:f>
        <x:v>שוטף</x:v>
      </x:c>
      <x:c r="L670" s="19" t="str">
        <x:v>מאושר</x:v>
      </x:c>
      <x:c r="M670" s="20" t="n">
        <x:f>IF(L670="מאושר",IF(K670="הכנסה שסווגה מחדש",0,G670),0)</x:f>
        <x:v>278</x:v>
      </x:c>
      <x:c r="N670" s="20" t="n">
        <x:f>IF(K670="שוטף",M670,0)</x:f>
        <x:v>278</x:v>
      </x:c>
      <x:c r="O670" s="20" t="n">
        <x:f>IF(K670="הכנסה שסווגה מחדש",-G670,0)</x:f>
        <x:v>0</x:v>
      </x:c>
      <x:c r="P670" s="11" t="str">
        <x:v>אמקס עינור</x:v>
      </x:c>
      <x:c r="Q670" s="11" t="str">
        <x:v>חבר</x:v>
      </x:c>
      <x:c r="R670" s="11" t="str">
        <x:v>לא</x:v>
      </x:c>
    </x:row>
    <x:row r="671">
      <x:c r="A671" s="14" t="n">
        <x:v>45839</x:v>
      </x:c>
      <x:c r="B671" s="11" t="str">
        <x:v>2025-07</x:v>
      </x:c>
      <x:c r="C671" s="11" t="str">
        <x:v>יולי 25</x:v>
      </x:c>
      <x:c r="D671" s="15" t="n">
        <x:v>74</x:v>
      </x:c>
      <x:c r="E671" s="11" t="str">
        <x:v>10</x:v>
      </x:c>
      <x:c r="F671" s="11" t="str">
        <x:v>מדרגות צמחים</x:v>
      </x:c>
      <x:c r="G671" s="17" t="n">
        <x:v>100</x:v>
      </x:c>
      <x:c r="H671" s="18" t="str">
        <x:v>קניות לבית</x:v>
      </x:c>
      <x:c r="I671" s="19" t="str">
        <x:f>IFERROR(INDEX('מיפוי ומקורות'!$C$7:$C$33,MATCH(H671,'מיפוי ומקורות'!$B$7:$B$33,0)),"לא מסווג")</x:f>
        <x:v>קניות לבית</x:v>
      </x:c>
      <x:c r="J671" s="19" t="str">
        <x:f>IFERROR(INDEX('מיפוי ומקורות'!$D$7:$D$33,MATCH(H671,'מיפוי ומקורות'!$B$7:$B$33,0)),"שוטף")</x:f>
        <x:v>שוטף</x:v>
      </x:c>
      <x:c r="K671" s="19" t="str">
        <x:f>IF(OR(H671="ריביות",AND(H671="דירה כצנלסון",G671&lt;0,ISNUMBER(SEARCH("הכנסה",F671)))),"הכנסה שסווגה מחדש",J671)</x:f>
        <x:v>שוטף</x:v>
      </x:c>
      <x:c r="L671" s="19" t="str">
        <x:v>מאושר</x:v>
      </x:c>
      <x:c r="M671" s="20" t="n">
        <x:f>IF(L671="מאושר",IF(K671="הכנסה שסווגה מחדש",0,G671),0)</x:f>
        <x:v>100</x:v>
      </x:c>
      <x:c r="N671" s="20" t="n">
        <x:f>IF(K671="שוטף",M671,0)</x:f>
        <x:v>100</x:v>
      </x:c>
      <x:c r="O671" s="20" t="n">
        <x:f>IF(K671="הכנסה שסווגה מחדש",-G671,0)</x:f>
        <x:v>0</x:v>
      </x:c>
      <x:c r="P671" s="11" t="str">
        <x:v>אמקס עינור</x:v>
      </x:c>
      <x:c r="Q671" s="11" t="str">
        <x:v>חבר</x:v>
      </x:c>
      <x:c r="R671" s="11" t="str">
        <x:v>לא</x:v>
      </x:c>
    </x:row>
    <x:row r="672">
      <x:c r="A672" s="14" t="n">
        <x:v>45839</x:v>
      </x:c>
      <x:c r="B672" s="11" t="str">
        <x:v>2025-07</x:v>
      </x:c>
      <x:c r="C672" s="11" t="str">
        <x:v>יולי 25</x:v>
      </x:c>
      <x:c r="D672" s="15" t="n">
        <x:v>75</x:v>
      </x:c>
      <x:c r="E672" s="11" t="str">
        <x:v>2</x:v>
      </x:c>
      <x:c r="F672" s="11" t="str">
        <x:v>בראנץ</x:v>
      </x:c>
      <x:c r="G672" s="17" t="n">
        <x:v>82</x:v>
      </x:c>
      <x:c r="H672" s="18" t="str">
        <x:v>אוכל בחוץ</x:v>
      </x:c>
      <x:c r="I672" s="19" t="str">
        <x:f>IFERROR(INDEX('מיפוי ומקורות'!$C$7:$C$33,MATCH(H672,'מיפוי ומקורות'!$B$7:$B$33,0)),"לא מסווג")</x:f>
        <x:v>אוכל בחוץ</x:v>
      </x:c>
      <x:c r="J672" s="19" t="str">
        <x:f>IFERROR(INDEX('מיפוי ומקורות'!$D$7:$D$33,MATCH(H672,'מיפוי ומקורות'!$B$7:$B$33,0)),"שוטף")</x:f>
        <x:v>שוטף</x:v>
      </x:c>
      <x:c r="K672" s="19" t="str">
        <x:f>IF(OR(H672="ריביות",AND(H672="דירה כצנלסון",G672&lt;0,ISNUMBER(SEARCH("הכנסה",F672)))),"הכנסה שסווגה מחדש",J672)</x:f>
        <x:v>שוטף</x:v>
      </x:c>
      <x:c r="L672" s="19" t="str">
        <x:v>מאושר</x:v>
      </x:c>
      <x:c r="M672" s="20" t="n">
        <x:f>IF(L672="מאושר",IF(K672="הכנסה שסווגה מחדש",0,G672),0)</x:f>
        <x:v>82</x:v>
      </x:c>
      <x:c r="N672" s="20" t="n">
        <x:f>IF(K672="שוטף",M672,0)</x:f>
        <x:v>82</x:v>
      </x:c>
      <x:c r="O672" s="20" t="n">
        <x:f>IF(K672="הכנסה שסווגה מחדש",-G672,0)</x:f>
        <x:v>0</x:v>
      </x:c>
      <x:c r="P672" s="11" t="str">
        <x:v>אמקס עינור</x:v>
      </x:c>
      <x:c r="Q672" s="11" t="str"/>
      <x:c r="R672" s="11" t="str">
        <x:v>לא</x:v>
      </x:c>
    </x:row>
    <x:row r="673">
      <x:c r="A673" s="14" t="n">
        <x:v>45839</x:v>
      </x:c>
      <x:c r="B673" s="11" t="str">
        <x:v>2025-07</x:v>
      </x:c>
      <x:c r="C673" s="11" t="str">
        <x:v>יולי 25</x:v>
      </x:c>
      <x:c r="D673" s="15" t="n">
        <x:v>76</x:v>
      </x:c>
      <x:c r="E673" s="11" t="str">
        <x:v>3</x:v>
      </x:c>
      <x:c r="F673" s="11" t="str">
        <x:v>סופר</x:v>
      </x:c>
      <x:c r="G673" s="17" t="n">
        <x:v>35</x:v>
      </x:c>
      <x:c r="H673" s="18" t="str">
        <x:v>מזון לבית</x:v>
      </x:c>
      <x:c r="I673" s="19" t="str">
        <x:f>IFERROR(INDEX('מיפוי ומקורות'!$C$7:$C$33,MATCH(H673,'מיפוי ומקורות'!$B$7:$B$33,0)),"לא מסווג")</x:f>
        <x:v>מזון לבית</x:v>
      </x:c>
      <x:c r="J673" s="19" t="str">
        <x:f>IFERROR(INDEX('מיפוי ומקורות'!$D$7:$D$33,MATCH(H673,'מיפוי ומקורות'!$B$7:$B$33,0)),"שוטף")</x:f>
        <x:v>שוטף</x:v>
      </x:c>
      <x:c r="K673" s="19" t="str">
        <x:f>IF(OR(H673="ריביות",AND(H673="דירה כצנלסון",G673&lt;0,ISNUMBER(SEARCH("הכנסה",F673)))),"הכנסה שסווגה מחדש",J673)</x:f>
        <x:v>שוטף</x:v>
      </x:c>
      <x:c r="L673" s="19" t="str">
        <x:v>מאושר</x:v>
      </x:c>
      <x:c r="M673" s="20" t="n">
        <x:f>IF(L673="מאושר",IF(K673="הכנסה שסווגה מחדש",0,G673),0)</x:f>
        <x:v>35</x:v>
      </x:c>
      <x:c r="N673" s="20" t="n">
        <x:f>IF(K673="שוטף",M673,0)</x:f>
        <x:v>35</x:v>
      </x:c>
      <x:c r="O673" s="20" t="n">
        <x:f>IF(K673="הכנסה שסווגה מחדש",-G673,0)</x:f>
        <x:v>0</x:v>
      </x:c>
      <x:c r="P673" s="11" t="str">
        <x:v>אמקס עינור</x:v>
      </x:c>
      <x:c r="Q673" s="11" t="str"/>
      <x:c r="R673" s="11" t="str">
        <x:v>לא</x:v>
      </x:c>
    </x:row>
    <x:row r="674">
      <x:c r="A674" s="14" t="n">
        <x:v>45839</x:v>
      </x:c>
      <x:c r="B674" s="11" t="str">
        <x:v>2025-07</x:v>
      </x:c>
      <x:c r="C674" s="11" t="str">
        <x:v>יולי 25</x:v>
      </x:c>
      <x:c r="D674" s="15" t="n">
        <x:v>77</x:v>
      </x:c>
      <x:c r="E674" s="11" t="str">
        <x:v>3</x:v>
      </x:c>
      <x:c r="F674" s="11" t="str">
        <x:v>אלי</x:v>
      </x:c>
      <x:c r="G674" s="17" t="n">
        <x:v>46</x:v>
      </x:c>
      <x:c r="H674" s="18" t="str">
        <x:v>קניות לבית</x:v>
      </x:c>
      <x:c r="I674" s="19" t="str">
        <x:f>IFERROR(INDEX('מיפוי ומקורות'!$C$7:$C$33,MATCH(H674,'מיפוי ומקורות'!$B$7:$B$33,0)),"לא מסווג")</x:f>
        <x:v>קניות לבית</x:v>
      </x:c>
      <x:c r="J674" s="19" t="str">
        <x:f>IFERROR(INDEX('מיפוי ומקורות'!$D$7:$D$33,MATCH(H674,'מיפוי ומקורות'!$B$7:$B$33,0)),"שוטף")</x:f>
        <x:v>שוטף</x:v>
      </x:c>
      <x:c r="K674" s="19" t="str">
        <x:f>IF(OR(H674="ריביות",AND(H674="דירה כצנלסון",G674&lt;0,ISNUMBER(SEARCH("הכנסה",F674)))),"הכנסה שסווגה מחדש",J674)</x:f>
        <x:v>שוטף</x:v>
      </x:c>
      <x:c r="L674" s="19" t="str">
        <x:v>מאושר</x:v>
      </x:c>
      <x:c r="M674" s="20" t="n">
        <x:f>IF(L674="מאושר",IF(K674="הכנסה שסווגה מחדש",0,G674),0)</x:f>
        <x:v>46</x:v>
      </x:c>
      <x:c r="N674" s="20" t="n">
        <x:f>IF(K674="שוטף",M674,0)</x:f>
        <x:v>46</x:v>
      </x:c>
      <x:c r="O674" s="20" t="n">
        <x:f>IF(K674="הכנסה שסווגה מחדש",-G674,0)</x:f>
        <x:v>0</x:v>
      </x:c>
      <x:c r="P674" s="11" t="str">
        <x:v>אמקס עינור</x:v>
      </x:c>
      <x:c r="Q674" s="11" t="str"/>
      <x:c r="R674" s="11" t="str">
        <x:v>לא</x:v>
      </x:c>
    </x:row>
    <x:row r="675">
      <x:c r="A675" s="14" t="n">
        <x:v>45839</x:v>
      </x:c>
      <x:c r="B675" s="11" t="str">
        <x:v>2025-07</x:v>
      </x:c>
      <x:c r="C675" s="11" t="str">
        <x:v>יולי 25</x:v>
      </x:c>
      <x:c r="D675" s="15" t="n">
        <x:v>78</x:v>
      </x:c>
      <x:c r="E675" s="11" t="str">
        <x:v>6</x:v>
      </x:c>
      <x:c r="F675" s="11" t="str">
        <x:v>מסעדה</x:v>
      </x:c>
      <x:c r="G675" s="17" t="n">
        <x:v>89</x:v>
      </x:c>
      <x:c r="H675" s="18" t="str">
        <x:v>אוכל בחוץ</x:v>
      </x:c>
      <x:c r="I675" s="19" t="str">
        <x:f>IFERROR(INDEX('מיפוי ומקורות'!$C$7:$C$33,MATCH(H675,'מיפוי ומקורות'!$B$7:$B$33,0)),"לא מסווג")</x:f>
        <x:v>אוכל בחוץ</x:v>
      </x:c>
      <x:c r="J675" s="19" t="str">
        <x:f>IFERROR(INDEX('מיפוי ומקורות'!$D$7:$D$33,MATCH(H675,'מיפוי ומקורות'!$B$7:$B$33,0)),"שוטף")</x:f>
        <x:v>שוטף</x:v>
      </x:c>
      <x:c r="K675" s="19" t="str">
        <x:f>IF(OR(H675="ריביות",AND(H675="דירה כצנלסון",G675&lt;0,ISNUMBER(SEARCH("הכנסה",F675)))),"הכנסה שסווגה מחדש",J675)</x:f>
        <x:v>שוטף</x:v>
      </x:c>
      <x:c r="L675" s="19" t="str">
        <x:v>מאושר</x:v>
      </x:c>
      <x:c r="M675" s="20" t="n">
        <x:f>IF(L675="מאושר",IF(K675="הכנסה שסווגה מחדש",0,G675),0)</x:f>
        <x:v>89</x:v>
      </x:c>
      <x:c r="N675" s="20" t="n">
        <x:f>IF(K675="שוטף",M675,0)</x:f>
        <x:v>89</x:v>
      </x:c>
      <x:c r="O675" s="20" t="n">
        <x:f>IF(K675="הכנסה שסווגה מחדש",-G675,0)</x:f>
        <x:v>0</x:v>
      </x:c>
      <x:c r="P675" s="11" t="str">
        <x:v>אמקס עינור</x:v>
      </x:c>
      <x:c r="Q675" s="11" t="str"/>
      <x:c r="R675" s="11" t="str">
        <x:v>לא</x:v>
      </x:c>
    </x:row>
    <x:row r="676">
      <x:c r="A676" s="14" t="n">
        <x:v>45839</x:v>
      </x:c>
      <x:c r="B676" s="11" t="str">
        <x:v>2025-07</x:v>
      </x:c>
      <x:c r="C676" s="11" t="str">
        <x:v>יולי 25</x:v>
      </x:c>
      <x:c r="D676" s="15" t="n">
        <x:v>79</x:v>
      </x:c>
      <x:c r="E676" s="11" t="str">
        <x:v>7</x:v>
      </x:c>
      <x:c r="F676" s="11" t="str">
        <x:v>בראנץ</x:v>
      </x:c>
      <x:c r="G676" s="17" t="n">
        <x:v>86</x:v>
      </x:c>
      <x:c r="H676" s="18" t="str">
        <x:v>אוכל בחוץ</x:v>
      </x:c>
      <x:c r="I676" s="19" t="str">
        <x:f>IFERROR(INDEX('מיפוי ומקורות'!$C$7:$C$33,MATCH(H676,'מיפוי ומקורות'!$B$7:$B$33,0)),"לא מסווג")</x:f>
        <x:v>אוכל בחוץ</x:v>
      </x:c>
      <x:c r="J676" s="19" t="str">
        <x:f>IFERROR(INDEX('מיפוי ומקורות'!$D$7:$D$33,MATCH(H676,'מיפוי ומקורות'!$B$7:$B$33,0)),"שוטף")</x:f>
        <x:v>שוטף</x:v>
      </x:c>
      <x:c r="K676" s="19" t="str">
        <x:f>IF(OR(H676="ריביות",AND(H676="דירה כצנלסון",G676&lt;0,ISNUMBER(SEARCH("הכנסה",F676)))),"הכנסה שסווגה מחדש",J676)</x:f>
        <x:v>שוטף</x:v>
      </x:c>
      <x:c r="L676" s="19" t="str">
        <x:v>מאושר</x:v>
      </x:c>
      <x:c r="M676" s="20" t="n">
        <x:f>IF(L676="מאושר",IF(K676="הכנסה שסווגה מחדש",0,G676),0)</x:f>
        <x:v>86</x:v>
      </x:c>
      <x:c r="N676" s="20" t="n">
        <x:f>IF(K676="שוטף",M676,0)</x:f>
        <x:v>86</x:v>
      </x:c>
      <x:c r="O676" s="20" t="n">
        <x:f>IF(K676="הכנסה שסווגה מחדש",-G676,0)</x:f>
        <x:v>0</x:v>
      </x:c>
      <x:c r="P676" s="11" t="str">
        <x:v>אמקס עינור</x:v>
      </x:c>
      <x:c r="Q676" s="11" t="str"/>
      <x:c r="R676" s="11" t="str">
        <x:v>לא</x:v>
      </x:c>
    </x:row>
    <x:row r="677">
      <x:c r="A677" s="14" t="n">
        <x:v>45839</x:v>
      </x:c>
      <x:c r="B677" s="11" t="str">
        <x:v>2025-07</x:v>
      </x:c>
      <x:c r="C677" s="11" t="str">
        <x:v>יולי 25</x:v>
      </x:c>
      <x:c r="D677" s="15" t="n">
        <x:v>80</x:v>
      </x:c>
      <x:c r="E677" s="11" t="str">
        <x:v>8</x:v>
      </x:c>
      <x:c r="F677" s="11" t="str">
        <x:v>חניה</x:v>
      </x:c>
      <x:c r="G677" s="17" t="n">
        <x:v>5</x:v>
      </x:c>
      <x:c r="H677" s="18" t="str">
        <x:v>תחבורה</x:v>
      </x:c>
      <x:c r="I677" s="19" t="str">
        <x:f>IFERROR(INDEX('מיפוי ומקורות'!$C$7:$C$33,MATCH(H677,'מיפוי ומקורות'!$B$7:$B$33,0)),"לא מסווג")</x:f>
        <x:v>תחבורה</x:v>
      </x:c>
      <x:c r="J677" s="19" t="str">
        <x:f>IFERROR(INDEX('מיפוי ומקורות'!$D$7:$D$33,MATCH(H677,'מיפוי ומקורות'!$B$7:$B$33,0)),"שוטף")</x:f>
        <x:v>שוטף</x:v>
      </x:c>
      <x:c r="K677" s="19" t="str">
        <x:f>IF(OR(H677="ריביות",AND(H677="דירה כצנלסון",G677&lt;0,ISNUMBER(SEARCH("הכנסה",F677)))),"הכנסה שסווגה מחדש",J677)</x:f>
        <x:v>שוטף</x:v>
      </x:c>
      <x:c r="L677" s="19" t="str">
        <x:v>מאושר</x:v>
      </x:c>
      <x:c r="M677" s="20" t="n">
        <x:f>IF(L677="מאושר",IF(K677="הכנסה שסווגה מחדש",0,G677),0)</x:f>
        <x:v>5</x:v>
      </x:c>
      <x:c r="N677" s="20" t="n">
        <x:f>IF(K677="שוטף",M677,0)</x:f>
        <x:v>5</x:v>
      </x:c>
      <x:c r="O677" s="20" t="n">
        <x:f>IF(K677="הכנסה שסווגה מחדש",-G677,0)</x:f>
        <x:v>0</x:v>
      </x:c>
      <x:c r="P677" s="11" t="str">
        <x:v>אמקס עינור</x:v>
      </x:c>
      <x:c r="Q677" s="11" t="str"/>
      <x:c r="R677" s="11" t="str">
        <x:v>לא</x:v>
      </x:c>
    </x:row>
    <x:row r="678">
      <x:c r="A678" s="14" t="n">
        <x:v>45839</x:v>
      </x:c>
      <x:c r="B678" s="11" t="str">
        <x:v>2025-07</x:v>
      </x:c>
      <x:c r="C678" s="11" t="str">
        <x:v>יולי 25</x:v>
      </x:c>
      <x:c r="D678" s="15" t="n">
        <x:v>81</x:v>
      </x:c>
      <x:c r="E678" s="11" t="str">
        <x:v>9</x:v>
      </x:c>
      <x:c r="F678" s="11" t="str">
        <x:v>הודיס</x:v>
      </x:c>
      <x:c r="G678" s="17" t="n">
        <x:v>135</x:v>
      </x:c>
      <x:c r="H678" s="18" t="str">
        <x:v>אופנה</x:v>
      </x:c>
      <x:c r="I678" s="19" t="str">
        <x:f>IFERROR(INDEX('מיפוי ומקורות'!$C$7:$C$33,MATCH(H678,'מיפוי ומקורות'!$B$7:$B$33,0)),"לא מסווג")</x:f>
        <x:v>אופנה</x:v>
      </x:c>
      <x:c r="J678" s="19" t="str">
        <x:f>IFERROR(INDEX('מיפוי ומקורות'!$D$7:$D$33,MATCH(H678,'מיפוי ומקורות'!$B$7:$B$33,0)),"שוטף")</x:f>
        <x:v>שוטף</x:v>
      </x:c>
      <x:c r="K678" s="19" t="str">
        <x:f>IF(OR(H678="ריביות",AND(H678="דירה כצנלסון",G678&lt;0,ISNUMBER(SEARCH("הכנסה",F678)))),"הכנסה שסווגה מחדש",J678)</x:f>
        <x:v>שוטף</x:v>
      </x:c>
      <x:c r="L678" s="19" t="str">
        <x:v>מאושר</x:v>
      </x:c>
      <x:c r="M678" s="20" t="n">
        <x:f>IF(L678="מאושר",IF(K678="הכנסה שסווגה מחדש",0,G678),0)</x:f>
        <x:v>135</x:v>
      </x:c>
      <x:c r="N678" s="20" t="n">
        <x:f>IF(K678="שוטף",M678,0)</x:f>
        <x:v>135</x:v>
      </x:c>
      <x:c r="O678" s="20" t="n">
        <x:f>IF(K678="הכנסה שסווגה מחדש",-G678,0)</x:f>
        <x:v>0</x:v>
      </x:c>
      <x:c r="P678" s="11" t="str">
        <x:v>אמקס עינור</x:v>
      </x:c>
      <x:c r="Q678" s="11" t="str"/>
      <x:c r="R678" s="11" t="str">
        <x:v>לא</x:v>
      </x:c>
    </x:row>
    <x:row r="679">
      <x:c r="A679" s="14" t="n">
        <x:v>45839</x:v>
      </x:c>
      <x:c r="B679" s="11" t="str">
        <x:v>2025-07</x:v>
      </x:c>
      <x:c r="C679" s="11" t="str">
        <x:v>יולי 25</x:v>
      </x:c>
      <x:c r="D679" s="15" t="n">
        <x:v>82</x:v>
      </x:c>
      <x:c r="E679" s="11" t="str">
        <x:v>9</x:v>
      </x:c>
      <x:c r="F679" s="11" t="str">
        <x:v>מסגרות</x:v>
      </x:c>
      <x:c r="G679" s="17" t="n">
        <x:v>55</x:v>
      </x:c>
      <x:c r="H679" s="18" t="str">
        <x:v>חתונה</x:v>
      </x:c>
      <x:c r="I679" s="19" t="str">
        <x:f>IFERROR(INDEX('מיפוי ומקורות'!$C$7:$C$33,MATCH(H679,'מיפוי ומקורות'!$B$7:$B$33,0)),"לא מסווג")</x:f>
        <x:v>חתונה</x:v>
      </x:c>
      <x:c r="J679" s="19" t="str">
        <x:f>IFERROR(INDEX('מיפוי ומקורות'!$D$7:$D$33,MATCH(H679,'מיפוי ומקורות'!$B$7:$B$33,0)),"שוטף")</x:f>
        <x:v>חריג</x:v>
      </x:c>
      <x:c r="K679" s="19" t="str">
        <x:f>IF(OR(H679="ריביות",AND(H679="דירה כצנלסון",G679&lt;0,ISNUMBER(SEARCH("הכנסה",F679)))),"הכנסה שסווגה מחדש",J679)</x:f>
        <x:v>חריג</x:v>
      </x:c>
      <x:c r="L679" s="19" t="str">
        <x:v>מאושר</x:v>
      </x:c>
      <x:c r="M679" s="20" t="n">
        <x:f>IF(L679="מאושר",IF(K679="הכנסה שסווגה מחדש",0,G679),0)</x:f>
        <x:v>55</x:v>
      </x:c>
      <x:c r="N679" s="20" t="n">
        <x:f>IF(K679="שוטף",M679,0)</x:f>
        <x:v>0</x:v>
      </x:c>
      <x:c r="O679" s="20" t="n">
        <x:f>IF(K679="הכנסה שסווגה מחדש",-G679,0)</x:f>
        <x:v>0</x:v>
      </x:c>
      <x:c r="P679" s="11" t="str">
        <x:v>אמקס עינור</x:v>
      </x:c>
      <x:c r="Q679" s="11" t="str"/>
      <x:c r="R679" s="11" t="str">
        <x:v>לא</x:v>
      </x:c>
    </x:row>
    <x:row r="680">
      <x:c r="A680" s="14" t="n">
        <x:v>45839</x:v>
      </x:c>
      <x:c r="B680" s="11" t="str">
        <x:v>2025-07</x:v>
      </x:c>
      <x:c r="C680" s="11" t="str">
        <x:v>יולי 25</x:v>
      </x:c>
      <x:c r="D680" s="15" t="n">
        <x:v>83</x:v>
      </x:c>
      <x:c r="E680" s="11" t="str">
        <x:v>9</x:v>
      </x:c>
      <x:c r="F680" s="11" t="str">
        <x:v>מסעדה</x:v>
      </x:c>
      <x:c r="G680" s="17" t="n">
        <x:v>59</x:v>
      </x:c>
      <x:c r="H680" s="18" t="str">
        <x:v>אוכל בחוץ</x:v>
      </x:c>
      <x:c r="I680" s="19" t="str">
        <x:f>IFERROR(INDEX('מיפוי ומקורות'!$C$7:$C$33,MATCH(H680,'מיפוי ומקורות'!$B$7:$B$33,0)),"לא מסווג")</x:f>
        <x:v>אוכל בחוץ</x:v>
      </x:c>
      <x:c r="J680" s="19" t="str">
        <x:f>IFERROR(INDEX('מיפוי ומקורות'!$D$7:$D$33,MATCH(H680,'מיפוי ומקורות'!$B$7:$B$33,0)),"שוטף")</x:f>
        <x:v>שוטף</x:v>
      </x:c>
      <x:c r="K680" s="19" t="str">
        <x:f>IF(OR(H680="ריביות",AND(H680="דירה כצנלסון",G680&lt;0,ISNUMBER(SEARCH("הכנסה",F680)))),"הכנסה שסווגה מחדש",J680)</x:f>
        <x:v>שוטף</x:v>
      </x:c>
      <x:c r="L680" s="19" t="str">
        <x:v>מאושר</x:v>
      </x:c>
      <x:c r="M680" s="20" t="n">
        <x:f>IF(L680="מאושר",IF(K680="הכנסה שסווגה מחדש",0,G680),0)</x:f>
        <x:v>59</x:v>
      </x:c>
      <x:c r="N680" s="20" t="n">
        <x:f>IF(K680="שוטף",M680,0)</x:f>
        <x:v>59</x:v>
      </x:c>
      <x:c r="O680" s="20" t="n">
        <x:f>IF(K680="הכנסה שסווגה מחדש",-G680,0)</x:f>
        <x:v>0</x:v>
      </x:c>
      <x:c r="P680" s="11" t="str">
        <x:v>אמקס עינור</x:v>
      </x:c>
      <x:c r="Q680" s="11" t="str"/>
      <x:c r="R680" s="11" t="str">
        <x:v>לא</x:v>
      </x:c>
    </x:row>
    <x:row r="681">
      <x:c r="A681" s="14" t="n">
        <x:v>45839</x:v>
      </x:c>
      <x:c r="B681" s="11" t="str">
        <x:v>2025-07</x:v>
      </x:c>
      <x:c r="C681" s="11" t="str">
        <x:v>יולי 25</x:v>
      </x:c>
      <x:c r="D681" s="15" t="n">
        <x:v>84</x:v>
      </x:c>
      <x:c r="E681" s="11" t="str">
        <x:v>11</x:v>
      </x:c>
      <x:c r="F681" s="11" t="str">
        <x:v>מסעדה</x:v>
      </x:c>
      <x:c r="G681" s="17" t="n">
        <x:v>165</x:v>
      </x:c>
      <x:c r="H681" s="18" t="str">
        <x:v>אוכל בחוץ</x:v>
      </x:c>
      <x:c r="I681" s="19" t="str">
        <x:f>IFERROR(INDEX('מיפוי ומקורות'!$C$7:$C$33,MATCH(H681,'מיפוי ומקורות'!$B$7:$B$33,0)),"לא מסווג")</x:f>
        <x:v>אוכל בחוץ</x:v>
      </x:c>
      <x:c r="J681" s="19" t="str">
        <x:f>IFERROR(INDEX('מיפוי ומקורות'!$D$7:$D$33,MATCH(H681,'מיפוי ומקורות'!$B$7:$B$33,0)),"שוטף")</x:f>
        <x:v>שוטף</x:v>
      </x:c>
      <x:c r="K681" s="19" t="str">
        <x:f>IF(OR(H681="ריביות",AND(H681="דירה כצנלסון",G681&lt;0,ISNUMBER(SEARCH("הכנסה",F681)))),"הכנסה שסווגה מחדש",J681)</x:f>
        <x:v>שוטף</x:v>
      </x:c>
      <x:c r="L681" s="19" t="str">
        <x:v>מאושר</x:v>
      </x:c>
      <x:c r="M681" s="20" t="n">
        <x:f>IF(L681="מאושר",IF(K681="הכנסה שסווגה מחדש",0,G681),0)</x:f>
        <x:v>165</x:v>
      </x:c>
      <x:c r="N681" s="20" t="n">
        <x:f>IF(K681="שוטף",M681,0)</x:f>
        <x:v>165</x:v>
      </x:c>
      <x:c r="O681" s="20" t="n">
        <x:f>IF(K681="הכנסה שסווגה מחדש",-G681,0)</x:f>
        <x:v>0</x:v>
      </x:c>
      <x:c r="P681" s="11" t="str">
        <x:v>אמקס עינור</x:v>
      </x:c>
      <x:c r="Q681" s="11" t="str"/>
      <x:c r="R681" s="11" t="str">
        <x:v>לא</x:v>
      </x:c>
    </x:row>
    <x:row r="682">
      <x:c r="A682" s="14" t="n">
        <x:v>45839</x:v>
      </x:c>
      <x:c r="B682" s="11" t="str">
        <x:v>2025-07</x:v>
      </x:c>
      <x:c r="C682" s="11" t="str">
        <x:v>יולי 25</x:v>
      </x:c>
      <x:c r="D682" s="15" t="n">
        <x:v>85</x:v>
      </x:c>
      <x:c r="E682" s="11" t="str">
        <x:v>12</x:v>
      </x:c>
      <x:c r="F682" s="11" t="str">
        <x:v>זומבה</x:v>
      </x:c>
      <x:c r="G682" s="17" t="n">
        <x:v>25</x:v>
      </x:c>
      <x:c r="H682" s="18" t="str">
        <x:v>ספורט</x:v>
      </x:c>
      <x:c r="I682" s="19" t="str">
        <x:f>IFERROR(INDEX('מיפוי ומקורות'!$C$7:$C$33,MATCH(H682,'מיפוי ומקורות'!$B$7:$B$33,0)),"לא מסווג")</x:f>
        <x:v>ספורט</x:v>
      </x:c>
      <x:c r="J682" s="19" t="str">
        <x:f>IFERROR(INDEX('מיפוי ומקורות'!$D$7:$D$33,MATCH(H682,'מיפוי ומקורות'!$B$7:$B$33,0)),"שוטף")</x:f>
        <x:v>שוטף</x:v>
      </x:c>
      <x:c r="K682" s="19" t="str">
        <x:f>IF(OR(H682="ריביות",AND(H682="דירה כצנלסון",G682&lt;0,ISNUMBER(SEARCH("הכנסה",F682)))),"הכנסה שסווגה מחדש",J682)</x:f>
        <x:v>שוטף</x:v>
      </x:c>
      <x:c r="L682" s="19" t="str">
        <x:v>מאושר</x:v>
      </x:c>
      <x:c r="M682" s="20" t="n">
        <x:f>IF(L682="מאושר",IF(K682="הכנסה שסווגה מחדש",0,G682),0)</x:f>
        <x:v>25</x:v>
      </x:c>
      <x:c r="N682" s="20" t="n">
        <x:f>IF(K682="שוטף",M682,0)</x:f>
        <x:v>25</x:v>
      </x:c>
      <x:c r="O682" s="20" t="n">
        <x:f>IF(K682="הכנסה שסווגה מחדש",-G682,0)</x:f>
        <x:v>0</x:v>
      </x:c>
      <x:c r="P682" s="11" t="str">
        <x:v>אמקס עינור</x:v>
      </x:c>
      <x:c r="Q682" s="11" t="str"/>
      <x:c r="R682" s="11" t="str">
        <x:v>לא</x:v>
      </x:c>
    </x:row>
    <x:row r="683">
      <x:c r="A683" s="14" t="n">
        <x:v>45839</x:v>
      </x:c>
      <x:c r="B683" s="11" t="str">
        <x:v>2025-07</x:v>
      </x:c>
      <x:c r="C683" s="11" t="str">
        <x:v>יולי 25</x:v>
      </x:c>
      <x:c r="D683" s="15" t="n">
        <x:v>86</x:v>
      </x:c>
      <x:c r="E683" s="11" t="str">
        <x:v>14</x:v>
      </x:c>
      <x:c r="F683" s="11" t="str">
        <x:v>פיצוציה</x:v>
      </x:c>
      <x:c r="G683" s="17" t="n">
        <x:v>8</x:v>
      </x:c>
      <x:c r="H683" s="18" t="str">
        <x:v>אוכל בחוץ</x:v>
      </x:c>
      <x:c r="I683" s="19" t="str">
        <x:f>IFERROR(INDEX('מיפוי ומקורות'!$C$7:$C$33,MATCH(H683,'מיפוי ומקורות'!$B$7:$B$33,0)),"לא מסווג")</x:f>
        <x:v>אוכל בחוץ</x:v>
      </x:c>
      <x:c r="J683" s="19" t="str">
        <x:f>IFERROR(INDEX('מיפוי ומקורות'!$D$7:$D$33,MATCH(H683,'מיפוי ומקורות'!$B$7:$B$33,0)),"שוטף")</x:f>
        <x:v>שוטף</x:v>
      </x:c>
      <x:c r="K683" s="19" t="str">
        <x:f>IF(OR(H683="ריביות",AND(H683="דירה כצנלסון",G683&lt;0,ISNUMBER(SEARCH("הכנסה",F683)))),"הכנסה שסווגה מחדש",J683)</x:f>
        <x:v>שוטף</x:v>
      </x:c>
      <x:c r="L683" s="19" t="str">
        <x:v>מאושר</x:v>
      </x:c>
      <x:c r="M683" s="20" t="n">
        <x:f>IF(L683="מאושר",IF(K683="הכנסה שסווגה מחדש",0,G683),0)</x:f>
        <x:v>8</x:v>
      </x:c>
      <x:c r="N683" s="20" t="n">
        <x:f>IF(K683="שוטף",M683,0)</x:f>
        <x:v>8</x:v>
      </x:c>
      <x:c r="O683" s="20" t="n">
        <x:f>IF(K683="הכנסה שסווגה מחדש",-G683,0)</x:f>
        <x:v>0</x:v>
      </x:c>
      <x:c r="P683" s="11" t="str">
        <x:v>אמקס עינור</x:v>
      </x:c>
      <x:c r="Q683" s="11" t="str"/>
      <x:c r="R683" s="11" t="str">
        <x:v>לא</x:v>
      </x:c>
    </x:row>
    <x:row r="684">
      <x:c r="A684" s="14" t="n">
        <x:v>45839</x:v>
      </x:c>
      <x:c r="B684" s="11" t="str">
        <x:v>2025-07</x:v>
      </x:c>
      <x:c r="C684" s="11" t="str">
        <x:v>יולי 25</x:v>
      </x:c>
      <x:c r="D684" s="15" t="n">
        <x:v>87</x:v>
      </x:c>
      <x:c r="E684" s="11" t="str">
        <x:v>14</x:v>
      </x:c>
      <x:c r="F684" s="11" t="str">
        <x:v>פיצוציה</x:v>
      </x:c>
      <x:c r="G684" s="17" t="n">
        <x:v>11</x:v>
      </x:c>
      <x:c r="H684" s="18" t="str">
        <x:v>אוכל בחוץ</x:v>
      </x:c>
      <x:c r="I684" s="19" t="str">
        <x:f>IFERROR(INDEX('מיפוי ומקורות'!$C$7:$C$33,MATCH(H684,'מיפוי ומקורות'!$B$7:$B$33,0)),"לא מסווג")</x:f>
        <x:v>אוכל בחוץ</x:v>
      </x:c>
      <x:c r="J684" s="19" t="str">
        <x:f>IFERROR(INDEX('מיפוי ומקורות'!$D$7:$D$33,MATCH(H684,'מיפוי ומקורות'!$B$7:$B$33,0)),"שוטף")</x:f>
        <x:v>שוטף</x:v>
      </x:c>
      <x:c r="K684" s="19" t="str">
        <x:f>IF(OR(H684="ריביות",AND(H684="דירה כצנלסון",G684&lt;0,ISNUMBER(SEARCH("הכנסה",F684)))),"הכנסה שסווגה מחדש",J684)</x:f>
        <x:v>שוטף</x:v>
      </x:c>
      <x:c r="L684" s="19" t="str">
        <x:v>מאושר</x:v>
      </x:c>
      <x:c r="M684" s="20" t="n">
        <x:f>IF(L684="מאושר",IF(K684="הכנסה שסווגה מחדש",0,G684),0)</x:f>
        <x:v>11</x:v>
      </x:c>
      <x:c r="N684" s="20" t="n">
        <x:f>IF(K684="שוטף",M684,0)</x:f>
        <x:v>11</x:v>
      </x:c>
      <x:c r="O684" s="20" t="n">
        <x:f>IF(K684="הכנסה שסווגה מחדש",-G684,0)</x:f>
        <x:v>0</x:v>
      </x:c>
      <x:c r="P684" s="11" t="str">
        <x:v>אמקס עינור</x:v>
      </x:c>
      <x:c r="Q684" s="11" t="str"/>
      <x:c r="R684" s="11" t="str">
        <x:v>לא</x:v>
      </x:c>
    </x:row>
    <x:row r="685">
      <x:c r="A685" s="14" t="n">
        <x:v>45839</x:v>
      </x:c>
      <x:c r="B685" s="11" t="str">
        <x:v>2025-07</x:v>
      </x:c>
      <x:c r="C685" s="11" t="str">
        <x:v>יולי 25</x:v>
      </x:c>
      <x:c r="D685" s="15" t="n">
        <x:v>88</x:v>
      </x:c>
      <x:c r="E685" s="11" t="str">
        <x:v>15</x:v>
      </x:c>
      <x:c r="F685" s="11" t="str">
        <x:v>פיצוציה</x:v>
      </x:c>
      <x:c r="G685" s="17" t="n">
        <x:v>21</x:v>
      </x:c>
      <x:c r="H685" s="18" t="str">
        <x:v>אוכל בחוץ</x:v>
      </x:c>
      <x:c r="I685" s="19" t="str">
        <x:f>IFERROR(INDEX('מיפוי ומקורות'!$C$7:$C$33,MATCH(H685,'מיפוי ומקורות'!$B$7:$B$33,0)),"לא מסווג")</x:f>
        <x:v>אוכל בחוץ</x:v>
      </x:c>
      <x:c r="J685" s="19" t="str">
        <x:f>IFERROR(INDEX('מיפוי ומקורות'!$D$7:$D$33,MATCH(H685,'מיפוי ומקורות'!$B$7:$B$33,0)),"שוטף")</x:f>
        <x:v>שוטף</x:v>
      </x:c>
      <x:c r="K685" s="19" t="str">
        <x:f>IF(OR(H685="ריביות",AND(H685="דירה כצנלסון",G685&lt;0,ISNUMBER(SEARCH("הכנסה",F685)))),"הכנסה שסווגה מחדש",J685)</x:f>
        <x:v>שוטף</x:v>
      </x:c>
      <x:c r="L685" s="19" t="str">
        <x:v>מאושר</x:v>
      </x:c>
      <x:c r="M685" s="20" t="n">
        <x:f>IF(L685="מאושר",IF(K685="הכנסה שסווגה מחדש",0,G685),0)</x:f>
        <x:v>21</x:v>
      </x:c>
      <x:c r="N685" s="20" t="n">
        <x:f>IF(K685="שוטף",M685,0)</x:f>
        <x:v>21</x:v>
      </x:c>
      <x:c r="O685" s="20" t="n">
        <x:f>IF(K685="הכנסה שסווגה מחדש",-G685,0)</x:f>
        <x:v>0</x:v>
      </x:c>
      <x:c r="P685" s="11" t="str">
        <x:v>אמקס עינור</x:v>
      </x:c>
      <x:c r="Q685" s="11" t="str"/>
      <x:c r="R685" s="11" t="str">
        <x:v>לא</x:v>
      </x:c>
    </x:row>
    <x:row r="686">
      <x:c r="A686" s="14" t="n">
        <x:v>45839</x:v>
      </x:c>
      <x:c r="B686" s="11" t="str">
        <x:v>2025-07</x:v>
      </x:c>
      <x:c r="C686" s="11" t="str">
        <x:v>יולי 25</x:v>
      </x:c>
      <x:c r="D686" s="15" t="n">
        <x:v>89</x:v>
      </x:c>
      <x:c r="E686" s="11" t="str">
        <x:v>16</x:v>
      </x:c>
      <x:c r="F686" s="11" t="str">
        <x:v>חתונה</x:v>
      </x:c>
      <x:c r="G686" s="17" t="n">
        <x:v>600</x:v>
      </x:c>
      <x:c r="H686" s="18" t="str">
        <x:v>מתנה</x:v>
      </x:c>
      <x:c r="I686" s="19" t="str">
        <x:f>IFERROR(INDEX('מיפוי ומקורות'!$C$7:$C$33,MATCH(H686,'מיפוי ומקורות'!$B$7:$B$33,0)),"לא מסווג")</x:f>
        <x:v>מתנה</x:v>
      </x:c>
      <x:c r="J686" s="19" t="str">
        <x:f>IFERROR(INDEX('מיפוי ומקורות'!$D$7:$D$33,MATCH(H686,'מיפוי ומקורות'!$B$7:$B$33,0)),"שוטף")</x:f>
        <x:v>שוטף</x:v>
      </x:c>
      <x:c r="K686" s="19" t="str">
        <x:f>IF(OR(H686="ריביות",AND(H686="דירה כצנלסון",G686&lt;0,ISNUMBER(SEARCH("הכנסה",F686)))),"הכנסה שסווגה מחדש",J686)</x:f>
        <x:v>שוטף</x:v>
      </x:c>
      <x:c r="L686" s="19" t="str">
        <x:v>מאושר</x:v>
      </x:c>
      <x:c r="M686" s="20" t="n">
        <x:f>IF(L686="מאושר",IF(K686="הכנסה שסווגה מחדש",0,G686),0)</x:f>
        <x:v>600</x:v>
      </x:c>
      <x:c r="N686" s="20" t="n">
        <x:f>IF(K686="שוטף",M686,0)</x:f>
        <x:v>600</x:v>
      </x:c>
      <x:c r="O686" s="20" t="n">
        <x:f>IF(K686="הכנסה שסווגה מחדש",-G686,0)</x:f>
        <x:v>0</x:v>
      </x:c>
      <x:c r="P686" s="11" t="str">
        <x:v>אמקס עינור</x:v>
      </x:c>
      <x:c r="Q686" s="11" t="str"/>
      <x:c r="R686" s="11" t="str">
        <x:v>לא</x:v>
      </x:c>
    </x:row>
    <x:row r="687">
      <x:c r="A687" s="14" t="n">
        <x:v>45839</x:v>
      </x:c>
      <x:c r="B687" s="11" t="str">
        <x:v>2025-07</x:v>
      </x:c>
      <x:c r="C687" s="11" t="str">
        <x:v>יולי 25</x:v>
      </x:c>
      <x:c r="D687" s="15" t="n">
        <x:v>90</x:v>
      </x:c>
      <x:c r="E687" s="11" t="str">
        <x:v>17</x:v>
      </x:c>
      <x:c r="F687" s="11" t="str">
        <x:v>שלט לדלת</x:v>
      </x:c>
      <x:c r="G687" s="17" t="n">
        <x:v>150</x:v>
      </x:c>
      <x:c r="H687" s="18" t="str">
        <x:v>קניות לבית</x:v>
      </x:c>
      <x:c r="I687" s="19" t="str">
        <x:f>IFERROR(INDEX('מיפוי ומקורות'!$C$7:$C$33,MATCH(H687,'מיפוי ומקורות'!$B$7:$B$33,0)),"לא מסווג")</x:f>
        <x:v>קניות לבית</x:v>
      </x:c>
      <x:c r="J687" s="19" t="str">
        <x:f>IFERROR(INDEX('מיפוי ומקורות'!$D$7:$D$33,MATCH(H687,'מיפוי ומקורות'!$B$7:$B$33,0)),"שוטף")</x:f>
        <x:v>שוטף</x:v>
      </x:c>
      <x:c r="K687" s="19" t="str">
        <x:f>IF(OR(H687="ריביות",AND(H687="דירה כצנלסון",G687&lt;0,ISNUMBER(SEARCH("הכנסה",F687)))),"הכנסה שסווגה מחדש",J687)</x:f>
        <x:v>שוטף</x:v>
      </x:c>
      <x:c r="L687" s="19" t="str">
        <x:v>מאושר</x:v>
      </x:c>
      <x:c r="M687" s="20" t="n">
        <x:f>IF(L687="מאושר",IF(K687="הכנסה שסווגה מחדש",0,G687),0)</x:f>
        <x:v>150</x:v>
      </x:c>
      <x:c r="N687" s="20" t="n">
        <x:f>IF(K687="שוטף",M687,0)</x:f>
        <x:v>150</x:v>
      </x:c>
      <x:c r="O687" s="20" t="n">
        <x:f>IF(K687="הכנסה שסווגה מחדש",-G687,0)</x:f>
        <x:v>0</x:v>
      </x:c>
      <x:c r="P687" s="11" t="str">
        <x:v>אמקס עינור</x:v>
      </x:c>
      <x:c r="Q687" s="11" t="str"/>
      <x:c r="R687" s="11" t="str">
        <x:v>לא</x:v>
      </x:c>
    </x:row>
    <x:row r="688">
      <x:c r="A688" s="14" t="n">
        <x:v>45839</x:v>
      </x:c>
      <x:c r="B688" s="11" t="str">
        <x:v>2025-07</x:v>
      </x:c>
      <x:c r="C688" s="11" t="str">
        <x:v>יולי 25</x:v>
      </x:c>
      <x:c r="D688" s="15" t="n">
        <x:v>91</x:v>
      </x:c>
      <x:c r="E688" s="11" t="str">
        <x:v>17</x:v>
      </x:c>
      <x:c r="F688" s="11" t="str">
        <x:v>מקס</x:v>
      </x:c>
      <x:c r="G688" s="17" t="n">
        <x:v>64</x:v>
      </x:c>
      <x:c r="H688" s="18" t="str">
        <x:v>קניות לבית</x:v>
      </x:c>
      <x:c r="I688" s="19" t="str">
        <x:f>IFERROR(INDEX('מיפוי ומקורות'!$C$7:$C$33,MATCH(H688,'מיפוי ומקורות'!$B$7:$B$33,0)),"לא מסווג")</x:f>
        <x:v>קניות לבית</x:v>
      </x:c>
      <x:c r="J688" s="19" t="str">
        <x:f>IFERROR(INDEX('מיפוי ומקורות'!$D$7:$D$33,MATCH(H688,'מיפוי ומקורות'!$B$7:$B$33,0)),"שוטף")</x:f>
        <x:v>שוטף</x:v>
      </x:c>
      <x:c r="K688" s="19" t="str">
        <x:f>IF(OR(H688="ריביות",AND(H688="דירה כצנלסון",G688&lt;0,ISNUMBER(SEARCH("הכנסה",F688)))),"הכנסה שסווגה מחדש",J688)</x:f>
        <x:v>שוטף</x:v>
      </x:c>
      <x:c r="L688" s="19" t="str">
        <x:v>מאושר</x:v>
      </x:c>
      <x:c r="M688" s="20" t="n">
        <x:f>IF(L688="מאושר",IF(K688="הכנסה שסווגה מחדש",0,G688),0)</x:f>
        <x:v>64</x:v>
      </x:c>
      <x:c r="N688" s="20" t="n">
        <x:f>IF(K688="שוטף",M688,0)</x:f>
        <x:v>64</x:v>
      </x:c>
      <x:c r="O688" s="20" t="n">
        <x:f>IF(K688="הכנסה שסווגה מחדש",-G688,0)</x:f>
        <x:v>0</x:v>
      </x:c>
      <x:c r="P688" s="11" t="str">
        <x:v>אמקס עינור</x:v>
      </x:c>
      <x:c r="Q688" s="11" t="str"/>
      <x:c r="R688" s="11" t="str">
        <x:v>לא</x:v>
      </x:c>
    </x:row>
    <x:row r="689">
      <x:c r="A689" s="14" t="n">
        <x:v>45839</x:v>
      </x:c>
      <x:c r="B689" s="11" t="str">
        <x:v>2025-07</x:v>
      </x:c>
      <x:c r="C689" s="11" t="str">
        <x:v>יולי 25</x:v>
      </x:c>
      <x:c r="D689" s="15" t="n">
        <x:v>92</x:v>
      </x:c>
      <x:c r="E689" s="11" t="str">
        <x:v>19</x:v>
      </x:c>
      <x:c r="F689" s="11" t="str">
        <x:v>מסעדה</x:v>
      </x:c>
      <x:c r="G689" s="17" t="n">
        <x:v>156</x:v>
      </x:c>
      <x:c r="H689" s="18" t="str">
        <x:v>אוכל בחוץ</x:v>
      </x:c>
      <x:c r="I689" s="19" t="str">
        <x:f>IFERROR(INDEX('מיפוי ומקורות'!$C$7:$C$33,MATCH(H689,'מיפוי ומקורות'!$B$7:$B$33,0)),"לא מסווג")</x:f>
        <x:v>אוכל בחוץ</x:v>
      </x:c>
      <x:c r="J689" s="19" t="str">
        <x:f>IFERROR(INDEX('מיפוי ומקורות'!$D$7:$D$33,MATCH(H689,'מיפוי ומקורות'!$B$7:$B$33,0)),"שוטף")</x:f>
        <x:v>שוטף</x:v>
      </x:c>
      <x:c r="K689" s="19" t="str">
        <x:f>IF(OR(H689="ריביות",AND(H689="דירה כצנלסון",G689&lt;0,ISNUMBER(SEARCH("הכנסה",F689)))),"הכנסה שסווגה מחדש",J689)</x:f>
        <x:v>שוטף</x:v>
      </x:c>
      <x:c r="L689" s="19" t="str">
        <x:v>מאושר</x:v>
      </x:c>
      <x:c r="M689" s="20" t="n">
        <x:f>IF(L689="מאושר",IF(K689="הכנסה שסווגה מחדש",0,G689),0)</x:f>
        <x:v>156</x:v>
      </x:c>
      <x:c r="N689" s="20" t="n">
        <x:f>IF(K689="שוטף",M689,0)</x:f>
        <x:v>156</x:v>
      </x:c>
      <x:c r="O689" s="20" t="n">
        <x:f>IF(K689="הכנסה שסווגה מחדש",-G689,0)</x:f>
        <x:v>0</x:v>
      </x:c>
      <x:c r="P689" s="11" t="str">
        <x:v>אמקס עינור</x:v>
      </x:c>
      <x:c r="Q689" s="11" t="str"/>
      <x:c r="R689" s="11" t="str">
        <x:v>לא</x:v>
      </x:c>
    </x:row>
    <x:row r="690">
      <x:c r="A690" s="14" t="n">
        <x:v>45839</x:v>
      </x:c>
      <x:c r="B690" s="11" t="str">
        <x:v>2025-07</x:v>
      </x:c>
      <x:c r="C690" s="11" t="str">
        <x:v>יולי 25</x:v>
      </x:c>
      <x:c r="D690" s="15" t="n">
        <x:v>93</x:v>
      </x:c>
      <x:c r="E690" s="11" t="str">
        <x:v>19</x:v>
      </x:c>
      <x:c r="F690" s="11" t="str">
        <x:v>מלון</x:v>
      </x:c>
      <x:c r="G690" s="17" t="n">
        <x:v>2930</x:v>
      </x:c>
      <x:c r="H690" s="18" t="str">
        <x:v>חול</x:v>
      </x:c>
      <x:c r="I690" s="19" t="str">
        <x:f>IFERROR(INDEX('מיפוי ומקורות'!$C$7:$C$33,MATCH(H690,'מיפוי ומקורות'!$B$7:$B$33,0)),"לא מסווג")</x:f>
        <x:v>נסיעות וחופשות</x:v>
      </x:c>
      <x:c r="J690" s="19" t="str">
        <x:f>IFERROR(INDEX('מיפוי ומקורות'!$D$7:$D$33,MATCH(H690,'מיפוי ומקורות'!$B$7:$B$33,0)),"שוטף")</x:f>
        <x:v>חריג</x:v>
      </x:c>
      <x:c r="K690" s="19" t="str">
        <x:f>IF(OR(H690="ריביות",AND(H690="דירה כצנלסון",G690&lt;0,ISNUMBER(SEARCH("הכנסה",F690)))),"הכנסה שסווגה מחדש",J690)</x:f>
        <x:v>חריג</x:v>
      </x:c>
      <x:c r="L690" s="19" t="str">
        <x:v>מאושר</x:v>
      </x:c>
      <x:c r="M690" s="20" t="n">
        <x:f>IF(L690="מאושר",IF(K690="הכנסה שסווגה מחדש",0,G690),0)</x:f>
        <x:v>2930</x:v>
      </x:c>
      <x:c r="N690" s="20" t="n">
        <x:f>IF(K690="שוטף",M690,0)</x:f>
        <x:v>0</x:v>
      </x:c>
      <x:c r="O690" s="20" t="n">
        <x:f>IF(K690="הכנסה שסווגה מחדש",-G690,0)</x:f>
        <x:v>0</x:v>
      </x:c>
      <x:c r="P690" s="11" t="str">
        <x:v>אמקס עינור</x:v>
      </x:c>
      <x:c r="Q690" s="11" t="str"/>
      <x:c r="R690" s="11" t="str">
        <x:v>לא</x:v>
      </x:c>
    </x:row>
    <x:row r="691">
      <x:c r="A691" s="14" t="n">
        <x:v>45839</x:v>
      </x:c>
      <x:c r="B691" s="11" t="str">
        <x:v>2025-07</x:v>
      </x:c>
      <x:c r="C691" s="11" t="str">
        <x:v>יולי 25</x:v>
      </x:c>
      <x:c r="D691" s="15" t="n">
        <x:v>94</x:v>
      </x:c>
      <x:c r="E691" s="11" t="str">
        <x:v>19</x:v>
      </x:c>
      <x:c r="F691" s="11" t="str">
        <x:v>מלון</x:v>
      </x:c>
      <x:c r="G691" s="17" t="n">
        <x:v>619</x:v>
      </x:c>
      <x:c r="H691" s="18" t="str">
        <x:v>חול</x:v>
      </x:c>
      <x:c r="I691" s="19" t="str">
        <x:f>IFERROR(INDEX('מיפוי ומקורות'!$C$7:$C$33,MATCH(H691,'מיפוי ומקורות'!$B$7:$B$33,0)),"לא מסווג")</x:f>
        <x:v>נסיעות וחופשות</x:v>
      </x:c>
      <x:c r="J691" s="19" t="str">
        <x:f>IFERROR(INDEX('מיפוי ומקורות'!$D$7:$D$33,MATCH(H691,'מיפוי ומקורות'!$B$7:$B$33,0)),"שוטף")</x:f>
        <x:v>חריג</x:v>
      </x:c>
      <x:c r="K691" s="19" t="str">
        <x:f>IF(OR(H691="ריביות",AND(H691="דירה כצנלסון",G691&lt;0,ISNUMBER(SEARCH("הכנסה",F691)))),"הכנסה שסווגה מחדש",J691)</x:f>
        <x:v>חריג</x:v>
      </x:c>
      <x:c r="L691" s="19" t="str">
        <x:v>מאושר</x:v>
      </x:c>
      <x:c r="M691" s="20" t="n">
        <x:f>IF(L691="מאושר",IF(K691="הכנסה שסווגה מחדש",0,G691),0)</x:f>
        <x:v>619</x:v>
      </x:c>
      <x:c r="N691" s="20" t="n">
        <x:f>IF(K691="שוטף",M691,0)</x:f>
        <x:v>0</x:v>
      </x:c>
      <x:c r="O691" s="20" t="n">
        <x:f>IF(K691="הכנסה שסווגה מחדש",-G691,0)</x:f>
        <x:v>0</x:v>
      </x:c>
      <x:c r="P691" s="11" t="str">
        <x:v>אמקס עינור</x:v>
      </x:c>
      <x:c r="Q691" s="11" t="str"/>
      <x:c r="R691" s="11" t="str">
        <x:v>לא</x:v>
      </x:c>
    </x:row>
    <x:row r="692">
      <x:c r="A692" s="14" t="n">
        <x:v>45839</x:v>
      </x:c>
      <x:c r="B692" s="11" t="str">
        <x:v>2025-07</x:v>
      </x:c>
      <x:c r="C692" s="11" t="str">
        <x:v>יולי 25</x:v>
      </x:c>
      <x:c r="D692" s="15" t="n">
        <x:v>95</x:v>
      </x:c>
      <x:c r="E692" s="11" t="str">
        <x:v>19</x:v>
      </x:c>
      <x:c r="F692" s="11" t="str">
        <x:v>מלון</x:v>
      </x:c>
      <x:c r="G692" s="17" t="n">
        <x:v>496</x:v>
      </x:c>
      <x:c r="H692" s="18" t="str">
        <x:v>חול</x:v>
      </x:c>
      <x:c r="I692" s="19" t="str">
        <x:f>IFERROR(INDEX('מיפוי ומקורות'!$C$7:$C$33,MATCH(H692,'מיפוי ומקורות'!$B$7:$B$33,0)),"לא מסווג")</x:f>
        <x:v>נסיעות וחופשות</x:v>
      </x:c>
      <x:c r="J692" s="19" t="str">
        <x:f>IFERROR(INDEX('מיפוי ומקורות'!$D$7:$D$33,MATCH(H692,'מיפוי ומקורות'!$B$7:$B$33,0)),"שוטף")</x:f>
        <x:v>חריג</x:v>
      </x:c>
      <x:c r="K692" s="19" t="str">
        <x:f>IF(OR(H692="ריביות",AND(H692="דירה כצנלסון",G692&lt;0,ISNUMBER(SEARCH("הכנסה",F692)))),"הכנסה שסווגה מחדש",J692)</x:f>
        <x:v>חריג</x:v>
      </x:c>
      <x:c r="L692" s="19" t="str">
        <x:v>מאושר</x:v>
      </x:c>
      <x:c r="M692" s="20" t="n">
        <x:f>IF(L692="מאושר",IF(K692="הכנסה שסווגה מחדש",0,G692),0)</x:f>
        <x:v>496</x:v>
      </x:c>
      <x:c r="N692" s="20" t="n">
        <x:f>IF(K692="שוטף",M692,0)</x:f>
        <x:v>0</x:v>
      </x:c>
      <x:c r="O692" s="20" t="n">
        <x:f>IF(K692="הכנסה שסווגה מחדש",-G692,0)</x:f>
        <x:v>0</x:v>
      </x:c>
      <x:c r="P692" s="11" t="str">
        <x:v>אמקס עינור</x:v>
      </x:c>
      <x:c r="Q692" s="11" t="str"/>
      <x:c r="R692" s="11" t="str">
        <x:v>לא</x:v>
      </x:c>
    </x:row>
    <x:row r="693">
      <x:c r="A693" s="14" t="n">
        <x:v>45839</x:v>
      </x:c>
      <x:c r="B693" s="11" t="str">
        <x:v>2025-07</x:v>
      </x:c>
      <x:c r="C693" s="11" t="str">
        <x:v>יולי 25</x:v>
      </x:c>
      <x:c r="D693" s="15" t="n">
        <x:v>96</x:v>
      </x:c>
      <x:c r="E693" s="11" t="str">
        <x:v>19</x:v>
      </x:c>
      <x:c r="F693" s="11" t="str">
        <x:v>מלון</x:v>
      </x:c>
      <x:c r="G693" s="17" t="n">
        <x:v>1127</x:v>
      </x:c>
      <x:c r="H693" s="18" t="str">
        <x:v>חול</x:v>
      </x:c>
      <x:c r="I693" s="19" t="str">
        <x:f>IFERROR(INDEX('מיפוי ומקורות'!$C$7:$C$33,MATCH(H693,'מיפוי ומקורות'!$B$7:$B$33,0)),"לא מסווג")</x:f>
        <x:v>נסיעות וחופשות</x:v>
      </x:c>
      <x:c r="J693" s="19" t="str">
        <x:f>IFERROR(INDEX('מיפוי ומקורות'!$D$7:$D$33,MATCH(H693,'מיפוי ומקורות'!$B$7:$B$33,0)),"שוטף")</x:f>
        <x:v>חריג</x:v>
      </x:c>
      <x:c r="K693" s="19" t="str">
        <x:f>IF(OR(H693="ריביות",AND(H693="דירה כצנלסון",G693&lt;0,ISNUMBER(SEARCH("הכנסה",F693)))),"הכנסה שסווגה מחדש",J693)</x:f>
        <x:v>חריג</x:v>
      </x:c>
      <x:c r="L693" s="19" t="str">
        <x:v>מאושר</x:v>
      </x:c>
      <x:c r="M693" s="20" t="n">
        <x:f>IF(L693="מאושר",IF(K693="הכנסה שסווגה מחדש",0,G693),0)</x:f>
        <x:v>1127</x:v>
      </x:c>
      <x:c r="N693" s="20" t="n">
        <x:f>IF(K693="שוטף",M693,0)</x:f>
        <x:v>0</x:v>
      </x:c>
      <x:c r="O693" s="20" t="n">
        <x:f>IF(K693="הכנסה שסווגה מחדש",-G693,0)</x:f>
        <x:v>0</x:v>
      </x:c>
      <x:c r="P693" s="11" t="str">
        <x:v>אמקס עינור</x:v>
      </x:c>
      <x:c r="Q693" s="11" t="str"/>
      <x:c r="R693" s="11" t="str">
        <x:v>לא</x:v>
      </x:c>
    </x:row>
    <x:row r="694">
      <x:c r="A694" s="14" t="n">
        <x:v>45839</x:v>
      </x:c>
      <x:c r="B694" s="11" t="str">
        <x:v>2025-07</x:v>
      </x:c>
      <x:c r="C694" s="11" t="str">
        <x:v>יולי 25</x:v>
      </x:c>
      <x:c r="D694" s="15" t="n">
        <x:v>97</x:v>
      </x:c>
      <x:c r="E694" s="11" t="str">
        <x:v>19</x:v>
      </x:c>
      <x:c r="F694" s="11" t="str">
        <x:v>מלון</x:v>
      </x:c>
      <x:c r="G694" s="17" t="n">
        <x:v>339</x:v>
      </x:c>
      <x:c r="H694" s="18" t="str">
        <x:v>חול</x:v>
      </x:c>
      <x:c r="I694" s="19" t="str">
        <x:f>IFERROR(INDEX('מיפוי ומקורות'!$C$7:$C$33,MATCH(H694,'מיפוי ומקורות'!$B$7:$B$33,0)),"לא מסווג")</x:f>
        <x:v>נסיעות וחופשות</x:v>
      </x:c>
      <x:c r="J694" s="19" t="str">
        <x:f>IFERROR(INDEX('מיפוי ומקורות'!$D$7:$D$33,MATCH(H694,'מיפוי ומקורות'!$B$7:$B$33,0)),"שוטף")</x:f>
        <x:v>חריג</x:v>
      </x:c>
      <x:c r="K694" s="19" t="str">
        <x:f>IF(OR(H694="ריביות",AND(H694="דירה כצנלסון",G694&lt;0,ISNUMBER(SEARCH("הכנסה",F694)))),"הכנסה שסווגה מחדש",J694)</x:f>
        <x:v>חריג</x:v>
      </x:c>
      <x:c r="L694" s="19" t="str">
        <x:v>מאושר</x:v>
      </x:c>
      <x:c r="M694" s="20" t="n">
        <x:f>IF(L694="מאושר",IF(K694="הכנסה שסווגה מחדש",0,G694),0)</x:f>
        <x:v>339</x:v>
      </x:c>
      <x:c r="N694" s="20" t="n">
        <x:f>IF(K694="שוטף",M694,0)</x:f>
        <x:v>0</x:v>
      </x:c>
      <x:c r="O694" s="20" t="n">
        <x:f>IF(K694="הכנסה שסווגה מחדש",-G694,0)</x:f>
        <x:v>0</x:v>
      </x:c>
      <x:c r="P694" s="11" t="str">
        <x:v>אמקס עינור</x:v>
      </x:c>
      <x:c r="Q694" s="11" t="str"/>
      <x:c r="R694" s="11" t="str">
        <x:v>לא</x:v>
      </x:c>
    </x:row>
    <x:row r="695">
      <x:c r="A695" s="14" t="n">
        <x:v>45839</x:v>
      </x:c>
      <x:c r="B695" s="11" t="str">
        <x:v>2025-07</x:v>
      </x:c>
      <x:c r="C695" s="11" t="str">
        <x:v>יולי 25</x:v>
      </x:c>
      <x:c r="D695" s="15" t="n">
        <x:v>98</x:v>
      </x:c>
      <x:c r="E695" s="11" t="str">
        <x:v>20</x:v>
      </x:c>
      <x:c r="F695" s="11" t="str">
        <x:v>פיצוציה</x:v>
      </x:c>
      <x:c r="G695" s="17" t="n">
        <x:v>13</x:v>
      </x:c>
      <x:c r="H695" s="18" t="str">
        <x:v>אוכל בחוץ</x:v>
      </x:c>
      <x:c r="I695" s="19" t="str">
        <x:f>IFERROR(INDEX('מיפוי ומקורות'!$C$7:$C$33,MATCH(H695,'מיפוי ומקורות'!$B$7:$B$33,0)),"לא מסווג")</x:f>
        <x:v>אוכל בחוץ</x:v>
      </x:c>
      <x:c r="J695" s="19" t="str">
        <x:f>IFERROR(INDEX('מיפוי ומקורות'!$D$7:$D$33,MATCH(H695,'מיפוי ומקורות'!$B$7:$B$33,0)),"שוטף")</x:f>
        <x:v>שוטף</x:v>
      </x:c>
      <x:c r="K695" s="19" t="str">
        <x:f>IF(OR(H695="ריביות",AND(H695="דירה כצנלסון",G695&lt;0,ISNUMBER(SEARCH("הכנסה",F695)))),"הכנסה שסווגה מחדש",J695)</x:f>
        <x:v>שוטף</x:v>
      </x:c>
      <x:c r="L695" s="19" t="str">
        <x:v>מאושר</x:v>
      </x:c>
      <x:c r="M695" s="20" t="n">
        <x:f>IF(L695="מאושר",IF(K695="הכנסה שסווגה מחדש",0,G695),0)</x:f>
        <x:v>13</x:v>
      </x:c>
      <x:c r="N695" s="20" t="n">
        <x:f>IF(K695="שוטף",M695,0)</x:f>
        <x:v>13</x:v>
      </x:c>
      <x:c r="O695" s="20" t="n">
        <x:f>IF(K695="הכנסה שסווגה מחדש",-G695,0)</x:f>
        <x:v>0</x:v>
      </x:c>
      <x:c r="P695" s="11" t="str">
        <x:v>אמקס עינור</x:v>
      </x:c>
      <x:c r="Q695" s="11" t="str"/>
      <x:c r="R695" s="11" t="str">
        <x:v>לא</x:v>
      </x:c>
    </x:row>
    <x:row r="696">
      <x:c r="A696" s="14" t="n">
        <x:v>45839</x:v>
      </x:c>
      <x:c r="B696" s="11" t="str">
        <x:v>2025-07</x:v>
      </x:c>
      <x:c r="C696" s="11" t="str">
        <x:v>יולי 25</x:v>
      </x:c>
      <x:c r="D696" s="15" t="n">
        <x:v>99</x:v>
      </x:c>
      <x:c r="E696" s="11" t="str">
        <x:v>21</x:v>
      </x:c>
      <x:c r="F696" s="11" t="str">
        <x:v>בראנץ</x:v>
      </x:c>
      <x:c r="G696" s="17" t="n">
        <x:v>80</x:v>
      </x:c>
      <x:c r="H696" s="18" t="str">
        <x:v>אוכל בחוץ</x:v>
      </x:c>
      <x:c r="I696" s="19" t="str">
        <x:f>IFERROR(INDEX('מיפוי ומקורות'!$C$7:$C$33,MATCH(H696,'מיפוי ומקורות'!$B$7:$B$33,0)),"לא מסווג")</x:f>
        <x:v>אוכל בחוץ</x:v>
      </x:c>
      <x:c r="J696" s="19" t="str">
        <x:f>IFERROR(INDEX('מיפוי ומקורות'!$D$7:$D$33,MATCH(H696,'מיפוי ומקורות'!$B$7:$B$33,0)),"שוטף")</x:f>
        <x:v>שוטף</x:v>
      </x:c>
      <x:c r="K696" s="19" t="str">
        <x:f>IF(OR(H696="ריביות",AND(H696="דירה כצנלסון",G696&lt;0,ISNUMBER(SEARCH("הכנסה",F696)))),"הכנסה שסווגה מחדש",J696)</x:f>
        <x:v>שוטף</x:v>
      </x:c>
      <x:c r="L696" s="19" t="str">
        <x:v>מאושר</x:v>
      </x:c>
      <x:c r="M696" s="20" t="n">
        <x:f>IF(L696="מאושר",IF(K696="הכנסה שסווגה מחדש",0,G696),0)</x:f>
        <x:v>80</x:v>
      </x:c>
      <x:c r="N696" s="20" t="n">
        <x:f>IF(K696="שוטף",M696,0)</x:f>
        <x:v>80</x:v>
      </x:c>
      <x:c r="O696" s="20" t="n">
        <x:f>IF(K696="הכנסה שסווגה מחדש",-G696,0)</x:f>
        <x:v>0</x:v>
      </x:c>
      <x:c r="P696" s="11" t="str">
        <x:v>אמקס עינור</x:v>
      </x:c>
      <x:c r="Q696" s="11" t="str"/>
      <x:c r="R696" s="11" t="str">
        <x:v>לא</x:v>
      </x:c>
    </x:row>
    <x:row r="697">
      <x:c r="A697" s="14" t="n">
        <x:v>45839</x:v>
      </x:c>
      <x:c r="B697" s="11" t="str">
        <x:v>2025-07</x:v>
      </x:c>
      <x:c r="C697" s="11" t="str">
        <x:v>יולי 25</x:v>
      </x:c>
      <x:c r="D697" s="15" t="n">
        <x:v>100</x:v>
      </x:c>
      <x:c r="E697" s="11" t="str">
        <x:v>21</x:v>
      </x:c>
      <x:c r="F697" s="11" t="str">
        <x:v>פיצוציה</x:v>
      </x:c>
      <x:c r="G697" s="17" t="n">
        <x:v>3</x:v>
      </x:c>
      <x:c r="H697" s="18" t="str">
        <x:v>אוכל בחוץ</x:v>
      </x:c>
      <x:c r="I697" s="19" t="str">
        <x:f>IFERROR(INDEX('מיפוי ומקורות'!$C$7:$C$33,MATCH(H697,'מיפוי ומקורות'!$B$7:$B$33,0)),"לא מסווג")</x:f>
        <x:v>אוכל בחוץ</x:v>
      </x:c>
      <x:c r="J697" s="19" t="str">
        <x:f>IFERROR(INDEX('מיפוי ומקורות'!$D$7:$D$33,MATCH(H697,'מיפוי ומקורות'!$B$7:$B$33,0)),"שוטף")</x:f>
        <x:v>שוטף</x:v>
      </x:c>
      <x:c r="K697" s="19" t="str">
        <x:f>IF(OR(H697="ריביות",AND(H697="דירה כצנלסון",G697&lt;0,ISNUMBER(SEARCH("הכנסה",F697)))),"הכנסה שסווגה מחדש",J697)</x:f>
        <x:v>שוטף</x:v>
      </x:c>
      <x:c r="L697" s="19" t="str">
        <x:v>מאושר</x:v>
      </x:c>
      <x:c r="M697" s="20" t="n">
        <x:f>IF(L697="מאושר",IF(K697="הכנסה שסווגה מחדש",0,G697),0)</x:f>
        <x:v>3</x:v>
      </x:c>
      <x:c r="N697" s="20" t="n">
        <x:f>IF(K697="שוטף",M697,0)</x:f>
        <x:v>3</x:v>
      </x:c>
      <x:c r="O697" s="20" t="n">
        <x:f>IF(K697="הכנסה שסווגה מחדש",-G697,0)</x:f>
        <x:v>0</x:v>
      </x:c>
      <x:c r="P697" s="11" t="str">
        <x:v>אמקס עינור</x:v>
      </x:c>
      <x:c r="Q697" s="11" t="str"/>
      <x:c r="R697" s="11" t="str">
        <x:v>לא</x:v>
      </x:c>
    </x:row>
    <x:row r="698">
      <x:c r="A698" s="14" t="n">
        <x:v>45839</x:v>
      </x:c>
      <x:c r="B698" s="11" t="str">
        <x:v>2025-07</x:v>
      </x:c>
      <x:c r="C698" s="11" t="str">
        <x:v>יולי 25</x:v>
      </x:c>
      <x:c r="D698" s="15" t="n">
        <x:v>101</x:v>
      </x:c>
      <x:c r="E698" s="11" t="str">
        <x:v>22</x:v>
      </x:c>
      <x:c r="F698" s="11" t="str">
        <x:v>מסעדה</x:v>
      </x:c>
      <x:c r="G698" s="17" t="n">
        <x:v>173</x:v>
      </x:c>
      <x:c r="H698" s="18" t="str">
        <x:v>אוכל בחוץ</x:v>
      </x:c>
      <x:c r="I698" s="19" t="str">
        <x:f>IFERROR(INDEX('מיפוי ומקורות'!$C$7:$C$33,MATCH(H698,'מיפוי ומקורות'!$B$7:$B$33,0)),"לא מסווג")</x:f>
        <x:v>אוכל בחוץ</x:v>
      </x:c>
      <x:c r="J698" s="19" t="str">
        <x:f>IFERROR(INDEX('מיפוי ומקורות'!$D$7:$D$33,MATCH(H698,'מיפוי ומקורות'!$B$7:$B$33,0)),"שוטף")</x:f>
        <x:v>שוטף</x:v>
      </x:c>
      <x:c r="K698" s="19" t="str">
        <x:f>IF(OR(H698="ריביות",AND(H698="דירה כצנלסון",G698&lt;0,ISNUMBER(SEARCH("הכנסה",F698)))),"הכנסה שסווגה מחדש",J698)</x:f>
        <x:v>שוטף</x:v>
      </x:c>
      <x:c r="L698" s="19" t="str">
        <x:v>מאושר</x:v>
      </x:c>
      <x:c r="M698" s="20" t="n">
        <x:f>IF(L698="מאושר",IF(K698="הכנסה שסווגה מחדש",0,G698),0)</x:f>
        <x:v>173</x:v>
      </x:c>
      <x:c r="N698" s="20" t="n">
        <x:f>IF(K698="שוטף",M698,0)</x:f>
        <x:v>173</x:v>
      </x:c>
      <x:c r="O698" s="20" t="n">
        <x:f>IF(K698="הכנסה שסווגה מחדש",-G698,0)</x:f>
        <x:v>0</x:v>
      </x:c>
      <x:c r="P698" s="11" t="str">
        <x:v>אמקס עינור</x:v>
      </x:c>
      <x:c r="Q698" s="11" t="str"/>
      <x:c r="R698" s="11" t="str">
        <x:v>לא</x:v>
      </x:c>
    </x:row>
    <x:row r="699">
      <x:c r="A699" s="14" t="n">
        <x:v>45839</x:v>
      </x:c>
      <x:c r="B699" s="11" t="str">
        <x:v>2025-07</x:v>
      </x:c>
      <x:c r="C699" s="11" t="str">
        <x:v>יולי 25</x:v>
      </x:c>
      <x:c r="D699" s="15" t="n">
        <x:v>102</x:v>
      </x:c>
      <x:c r="E699" s="11" t="str">
        <x:v>22</x:v>
      </x:c>
      <x:c r="F699" s="11" t="str">
        <x:v>פיצוציה</x:v>
      </x:c>
      <x:c r="G699" s="17" t="n">
        <x:v>8</x:v>
      </x:c>
      <x:c r="H699" s="18" t="str">
        <x:v>אוכל בחוץ</x:v>
      </x:c>
      <x:c r="I699" s="19" t="str">
        <x:f>IFERROR(INDEX('מיפוי ומקורות'!$C$7:$C$33,MATCH(H699,'מיפוי ומקורות'!$B$7:$B$33,0)),"לא מסווג")</x:f>
        <x:v>אוכל בחוץ</x:v>
      </x:c>
      <x:c r="J699" s="19" t="str">
        <x:f>IFERROR(INDEX('מיפוי ומקורות'!$D$7:$D$33,MATCH(H699,'מיפוי ומקורות'!$B$7:$B$33,0)),"שוטף")</x:f>
        <x:v>שוטף</x:v>
      </x:c>
      <x:c r="K699" s="19" t="str">
        <x:f>IF(OR(H699="ריביות",AND(H699="דירה כצנלסון",G699&lt;0,ISNUMBER(SEARCH("הכנסה",F699)))),"הכנסה שסווגה מחדש",J699)</x:f>
        <x:v>שוטף</x:v>
      </x:c>
      <x:c r="L699" s="19" t="str">
        <x:v>מאושר</x:v>
      </x:c>
      <x:c r="M699" s="20" t="n">
        <x:f>IF(L699="מאושר",IF(K699="הכנסה שסווגה מחדש",0,G699),0)</x:f>
        <x:v>8</x:v>
      </x:c>
      <x:c r="N699" s="20" t="n">
        <x:f>IF(K699="שוטף",M699,0)</x:f>
        <x:v>8</x:v>
      </x:c>
      <x:c r="O699" s="20" t="n">
        <x:f>IF(K699="הכנסה שסווגה מחדש",-G699,0)</x:f>
        <x:v>0</x:v>
      </x:c>
      <x:c r="P699" s="11" t="str">
        <x:v>אמקס עינור</x:v>
      </x:c>
      <x:c r="Q699" s="11" t="str"/>
      <x:c r="R699" s="11" t="str">
        <x:v>לא</x:v>
      </x:c>
    </x:row>
    <x:row r="700">
      <x:c r="A700" s="14" t="n">
        <x:v>45839</x:v>
      </x:c>
      <x:c r="B700" s="11" t="str">
        <x:v>2025-07</x:v>
      </x:c>
      <x:c r="C700" s="11" t="str">
        <x:v>יולי 25</x:v>
      </x:c>
      <x:c r="D700" s="15" t="n">
        <x:v>103</x:v>
      </x:c>
      <x:c r="E700" s="11" t="str">
        <x:v>22</x:v>
      </x:c>
      <x:c r="F700" s="11" t="str">
        <x:v>ירקן</x:v>
      </x:c>
      <x:c r="G700" s="17" t="n">
        <x:v>61</x:v>
      </x:c>
      <x:c r="H700" s="18" t="str">
        <x:v>מזון לבית</x:v>
      </x:c>
      <x:c r="I700" s="19" t="str">
        <x:f>IFERROR(INDEX('מיפוי ומקורות'!$C$7:$C$33,MATCH(H700,'מיפוי ומקורות'!$B$7:$B$33,0)),"לא מסווג")</x:f>
        <x:v>מזון לבית</x:v>
      </x:c>
      <x:c r="J700" s="19" t="str">
        <x:f>IFERROR(INDEX('מיפוי ומקורות'!$D$7:$D$33,MATCH(H700,'מיפוי ומקורות'!$B$7:$B$33,0)),"שוטף")</x:f>
        <x:v>שוטף</x:v>
      </x:c>
      <x:c r="K700" s="19" t="str">
        <x:f>IF(OR(H700="ריביות",AND(H700="דירה כצנלסון",G700&lt;0,ISNUMBER(SEARCH("הכנסה",F700)))),"הכנסה שסווגה מחדש",J700)</x:f>
        <x:v>שוטף</x:v>
      </x:c>
      <x:c r="L700" s="19" t="str">
        <x:v>מאושר</x:v>
      </x:c>
      <x:c r="M700" s="20" t="n">
        <x:f>IF(L700="מאושר",IF(K700="הכנסה שסווגה מחדש",0,G700),0)</x:f>
        <x:v>61</x:v>
      </x:c>
      <x:c r="N700" s="20" t="n">
        <x:f>IF(K700="שוטף",M700,0)</x:f>
        <x:v>61</x:v>
      </x:c>
      <x:c r="O700" s="20" t="n">
        <x:f>IF(K700="הכנסה שסווגה מחדש",-G700,0)</x:f>
        <x:v>0</x:v>
      </x:c>
      <x:c r="P700" s="11" t="str">
        <x:v>אמקס עינור</x:v>
      </x:c>
      <x:c r="Q700" s="11" t="str"/>
      <x:c r="R700" s="11" t="str">
        <x:v>לא</x:v>
      </x:c>
    </x:row>
    <x:row r="701">
      <x:c r="A701" s="14" t="n">
        <x:v>45839</x:v>
      </x:c>
      <x:c r="B701" s="11" t="str">
        <x:v>2025-07</x:v>
      </x:c>
      <x:c r="C701" s="11" t="str">
        <x:v>יולי 25</x:v>
      </x:c>
      <x:c r="D701" s="15" t="n">
        <x:v>104</x:v>
      </x:c>
      <x:c r="E701" s="11" t="str">
        <x:v>23</x:v>
      </x:c>
      <x:c r="F701" s="11" t="str">
        <x:v>מסעדה</x:v>
      </x:c>
      <x:c r="G701" s="17" t="n">
        <x:v>71</x:v>
      </x:c>
      <x:c r="H701" s="18" t="str">
        <x:v>אוכל בחוץ</x:v>
      </x:c>
      <x:c r="I701" s="19" t="str">
        <x:f>IFERROR(INDEX('מיפוי ומקורות'!$C$7:$C$33,MATCH(H701,'מיפוי ומקורות'!$B$7:$B$33,0)),"לא מסווג")</x:f>
        <x:v>אוכל בחוץ</x:v>
      </x:c>
      <x:c r="J701" s="19" t="str">
        <x:f>IFERROR(INDEX('מיפוי ומקורות'!$D$7:$D$33,MATCH(H701,'מיפוי ומקורות'!$B$7:$B$33,0)),"שוטף")</x:f>
        <x:v>שוטף</x:v>
      </x:c>
      <x:c r="K701" s="19" t="str">
        <x:f>IF(OR(H701="ריביות",AND(H701="דירה כצנלסון",G701&lt;0,ISNUMBER(SEARCH("הכנסה",F701)))),"הכנסה שסווגה מחדש",J701)</x:f>
        <x:v>שוטף</x:v>
      </x:c>
      <x:c r="L701" s="19" t="str">
        <x:v>מאושר</x:v>
      </x:c>
      <x:c r="M701" s="20" t="n">
        <x:f>IF(L701="מאושר",IF(K701="הכנסה שסווגה מחדש",0,G701),0)</x:f>
        <x:v>71</x:v>
      </x:c>
      <x:c r="N701" s="20" t="n">
        <x:f>IF(K701="שוטף",M701,0)</x:f>
        <x:v>71</x:v>
      </x:c>
      <x:c r="O701" s="20" t="n">
        <x:f>IF(K701="הכנסה שסווגה מחדש",-G701,0)</x:f>
        <x:v>0</x:v>
      </x:c>
      <x:c r="P701" s="11" t="str">
        <x:v>אמקס עינור</x:v>
      </x:c>
      <x:c r="Q701" s="11" t="str"/>
      <x:c r="R701" s="11" t="str">
        <x:v>לא</x:v>
      </x:c>
    </x:row>
    <x:row r="702">
      <x:c r="A702" s="14" t="n">
        <x:v>45839</x:v>
      </x:c>
      <x:c r="B702" s="11" t="str">
        <x:v>2025-07</x:v>
      </x:c>
      <x:c r="C702" s="11" t="str">
        <x:v>יולי 25</x:v>
      </x:c>
      <x:c r="D702" s="15" t="n">
        <x:v>105</x:v>
      </x:c>
      <x:c r="E702" s="11" t="str">
        <x:v>23</x:v>
      </x:c>
      <x:c r="F702" s="11" t="str">
        <x:v>סופר</x:v>
      </x:c>
      <x:c r="G702" s="17" t="n">
        <x:v>55</x:v>
      </x:c>
      <x:c r="H702" s="18" t="str">
        <x:v>מזון לבית</x:v>
      </x:c>
      <x:c r="I702" s="19" t="str">
        <x:f>IFERROR(INDEX('מיפוי ומקורות'!$C$7:$C$33,MATCH(H702,'מיפוי ומקורות'!$B$7:$B$33,0)),"לא מסווג")</x:f>
        <x:v>מזון לבית</x:v>
      </x:c>
      <x:c r="J702" s="19" t="str">
        <x:f>IFERROR(INDEX('מיפוי ומקורות'!$D$7:$D$33,MATCH(H702,'מיפוי ומקורות'!$B$7:$B$33,0)),"שוטף")</x:f>
        <x:v>שוטף</x:v>
      </x:c>
      <x:c r="K702" s="19" t="str">
        <x:f>IF(OR(H702="ריביות",AND(H702="דירה כצנלסון",G702&lt;0,ISNUMBER(SEARCH("הכנסה",F702)))),"הכנסה שסווגה מחדש",J702)</x:f>
        <x:v>שוטף</x:v>
      </x:c>
      <x:c r="L702" s="19" t="str">
        <x:v>מאושר</x:v>
      </x:c>
      <x:c r="M702" s="20" t="n">
        <x:f>IF(L702="מאושר",IF(K702="הכנסה שסווגה מחדש",0,G702),0)</x:f>
        <x:v>55</x:v>
      </x:c>
      <x:c r="N702" s="20" t="n">
        <x:f>IF(K702="שוטף",M702,0)</x:f>
        <x:v>55</x:v>
      </x:c>
      <x:c r="O702" s="20" t="n">
        <x:f>IF(K702="הכנסה שסווגה מחדש",-G702,0)</x:f>
        <x:v>0</x:v>
      </x:c>
      <x:c r="P702" s="11" t="str">
        <x:v>אמקס עינור</x:v>
      </x:c>
      <x:c r="Q702" s="11" t="str"/>
      <x:c r="R702" s="11" t="str">
        <x:v>לא</x:v>
      </x:c>
    </x:row>
    <x:row r="703">
      <x:c r="A703" s="14" t="n">
        <x:v>45839</x:v>
      </x:c>
      <x:c r="B703" s="11" t="str">
        <x:v>2025-07</x:v>
      </x:c>
      <x:c r="C703" s="11" t="str">
        <x:v>יולי 25</x:v>
      </x:c>
      <x:c r="D703" s="15" t="n">
        <x:v>106</x:v>
      </x:c>
      <x:c r="E703" s="11" t="str">
        <x:v>23</x:v>
      </x:c>
      <x:c r="F703" s="11" t="str">
        <x:v>פיצוציה</x:v>
      </x:c>
      <x:c r="G703" s="17" t="n">
        <x:v>13</x:v>
      </x:c>
      <x:c r="H703" s="18" t="str">
        <x:v>אוכל בחוץ</x:v>
      </x:c>
      <x:c r="I703" s="19" t="str">
        <x:f>IFERROR(INDEX('מיפוי ומקורות'!$C$7:$C$33,MATCH(H703,'מיפוי ומקורות'!$B$7:$B$33,0)),"לא מסווג")</x:f>
        <x:v>אוכל בחוץ</x:v>
      </x:c>
      <x:c r="J703" s="19" t="str">
        <x:f>IFERROR(INDEX('מיפוי ומקורות'!$D$7:$D$33,MATCH(H703,'מיפוי ומקורות'!$B$7:$B$33,0)),"שוטף")</x:f>
        <x:v>שוטף</x:v>
      </x:c>
      <x:c r="K703" s="19" t="str">
        <x:f>IF(OR(H703="ריביות",AND(H703="דירה כצנלסון",G703&lt;0,ISNUMBER(SEARCH("הכנסה",F703)))),"הכנסה שסווגה מחדש",J703)</x:f>
        <x:v>שוטף</x:v>
      </x:c>
      <x:c r="L703" s="19" t="str">
        <x:v>מאושר</x:v>
      </x:c>
      <x:c r="M703" s="20" t="n">
        <x:f>IF(L703="מאושר",IF(K703="הכנסה שסווגה מחדש",0,G703),0)</x:f>
        <x:v>13</x:v>
      </x:c>
      <x:c r="N703" s="20" t="n">
        <x:f>IF(K703="שוטף",M703,0)</x:f>
        <x:v>13</x:v>
      </x:c>
      <x:c r="O703" s="20" t="n">
        <x:f>IF(K703="הכנסה שסווגה מחדש",-G703,0)</x:f>
        <x:v>0</x:v>
      </x:c>
      <x:c r="P703" s="11" t="str">
        <x:v>אמקס עינור</x:v>
      </x:c>
      <x:c r="Q703" s="11" t="str"/>
      <x:c r="R703" s="11" t="str">
        <x:v>לא</x:v>
      </x:c>
    </x:row>
    <x:row r="704">
      <x:c r="A704" s="14" t="n">
        <x:v>45839</x:v>
      </x:c>
      <x:c r="B704" s="11" t="str">
        <x:v>2025-07</x:v>
      </x:c>
      <x:c r="C704" s="11" t="str">
        <x:v>יולי 25</x:v>
      </x:c>
      <x:c r="D704" s="15" t="n">
        <x:v>107</x:v>
      </x:c>
      <x:c r="E704" s="11" t="str">
        <x:v>24</x:v>
      </x:c>
      <x:c r="F704" s="11" t="str">
        <x:v>פיצוציה</x:v>
      </x:c>
      <x:c r="G704" s="17" t="n">
        <x:v>11</x:v>
      </x:c>
      <x:c r="H704" s="18" t="str">
        <x:v>אוכל בחוץ</x:v>
      </x:c>
      <x:c r="I704" s="19" t="str">
        <x:f>IFERROR(INDEX('מיפוי ומקורות'!$C$7:$C$33,MATCH(H704,'מיפוי ומקורות'!$B$7:$B$33,0)),"לא מסווג")</x:f>
        <x:v>אוכל בחוץ</x:v>
      </x:c>
      <x:c r="J704" s="19" t="str">
        <x:f>IFERROR(INDEX('מיפוי ומקורות'!$D$7:$D$33,MATCH(H704,'מיפוי ומקורות'!$B$7:$B$33,0)),"שוטף")</x:f>
        <x:v>שוטף</x:v>
      </x:c>
      <x:c r="K704" s="19" t="str">
        <x:f>IF(OR(H704="ריביות",AND(H704="דירה כצנלסון",G704&lt;0,ISNUMBER(SEARCH("הכנסה",F704)))),"הכנסה שסווגה מחדש",J704)</x:f>
        <x:v>שוטף</x:v>
      </x:c>
      <x:c r="L704" s="19" t="str">
        <x:v>מאושר</x:v>
      </x:c>
      <x:c r="M704" s="20" t="n">
        <x:f>IF(L704="מאושר",IF(K704="הכנסה שסווגה מחדש",0,G704),0)</x:f>
        <x:v>11</x:v>
      </x:c>
      <x:c r="N704" s="20" t="n">
        <x:f>IF(K704="שוטף",M704,0)</x:f>
        <x:v>11</x:v>
      </x:c>
      <x:c r="O704" s="20" t="n">
        <x:f>IF(K704="הכנסה שסווגה מחדש",-G704,0)</x:f>
        <x:v>0</x:v>
      </x:c>
      <x:c r="P704" s="11" t="str">
        <x:v>אמקס עינור</x:v>
      </x:c>
      <x:c r="Q704" s="11" t="str"/>
      <x:c r="R704" s="11" t="str">
        <x:v>לא</x:v>
      </x:c>
    </x:row>
    <x:row r="705">
      <x:c r="A705" s="14" t="n">
        <x:v>45839</x:v>
      </x:c>
      <x:c r="B705" s="11" t="str">
        <x:v>2025-07</x:v>
      </x:c>
      <x:c r="C705" s="11" t="str">
        <x:v>יולי 25</x:v>
      </x:c>
      <x:c r="D705" s="15" t="n">
        <x:v>108</x:v>
      </x:c>
      <x:c r="E705" s="11" t="str">
        <x:v>26</x:v>
      </x:c>
      <x:c r="F705" s="11" t="str">
        <x:v>מלון</x:v>
      </x:c>
      <x:c r="G705" s="17" t="n">
        <x:v>4784</x:v>
      </x:c>
      <x:c r="H705" s="18" t="str">
        <x:v>חול</x:v>
      </x:c>
      <x:c r="I705" s="19" t="str">
        <x:f>IFERROR(INDEX('מיפוי ומקורות'!$C$7:$C$33,MATCH(H705,'מיפוי ומקורות'!$B$7:$B$33,0)),"לא מסווג")</x:f>
        <x:v>נסיעות וחופשות</x:v>
      </x:c>
      <x:c r="J705" s="19" t="str">
        <x:f>IFERROR(INDEX('מיפוי ומקורות'!$D$7:$D$33,MATCH(H705,'מיפוי ומקורות'!$B$7:$B$33,0)),"שוטף")</x:f>
        <x:v>חריג</x:v>
      </x:c>
      <x:c r="K705" s="19" t="str">
        <x:f>IF(OR(H705="ריביות",AND(H705="דירה כצנלסון",G705&lt;0,ISNUMBER(SEARCH("הכנסה",F705)))),"הכנסה שסווגה מחדש",J705)</x:f>
        <x:v>חריג</x:v>
      </x:c>
      <x:c r="L705" s="19" t="str">
        <x:v>מאושר</x:v>
      </x:c>
      <x:c r="M705" s="20" t="n">
        <x:f>IF(L705="מאושר",IF(K705="הכנסה שסווגה מחדש",0,G705),0)</x:f>
        <x:v>4784</x:v>
      </x:c>
      <x:c r="N705" s="20" t="n">
        <x:f>IF(K705="שוטף",M705,0)</x:f>
        <x:v>0</x:v>
      </x:c>
      <x:c r="O705" s="20" t="n">
        <x:f>IF(K705="הכנסה שסווגה מחדש",-G705,0)</x:f>
        <x:v>0</x:v>
      </x:c>
      <x:c r="P705" s="11" t="str">
        <x:v>אמקס עינור</x:v>
      </x:c>
      <x:c r="Q705" s="11" t="str"/>
      <x:c r="R705" s="11" t="str">
        <x:v>לא</x:v>
      </x:c>
    </x:row>
    <x:row r="706">
      <x:c r="A706" s="14" t="n">
        <x:v>45839</x:v>
      </x:c>
      <x:c r="B706" s="11" t="str">
        <x:v>2025-07</x:v>
      </x:c>
      <x:c r="C706" s="11" t="str">
        <x:v>יולי 25</x:v>
      </x:c>
      <x:c r="D706" s="15" t="n">
        <x:v>109</x:v>
      </x:c>
      <x:c r="E706" s="11" t="str">
        <x:v>27</x:v>
      </x:c>
      <x:c r="F706" s="11" t="str">
        <x:v>מסעדה</x:v>
      </x:c>
      <x:c r="G706" s="17" t="n">
        <x:v>130</x:v>
      </x:c>
      <x:c r="H706" s="18" t="str">
        <x:v>אוכל בחוץ</x:v>
      </x:c>
      <x:c r="I706" s="19" t="str">
        <x:f>IFERROR(INDEX('מיפוי ומקורות'!$C$7:$C$33,MATCH(H706,'מיפוי ומקורות'!$B$7:$B$33,0)),"לא מסווג")</x:f>
        <x:v>אוכל בחוץ</x:v>
      </x:c>
      <x:c r="J706" s="19" t="str">
        <x:f>IFERROR(INDEX('מיפוי ומקורות'!$D$7:$D$33,MATCH(H706,'מיפוי ומקורות'!$B$7:$B$33,0)),"שוטף")</x:f>
        <x:v>שוטף</x:v>
      </x:c>
      <x:c r="K706" s="19" t="str">
        <x:f>IF(OR(H706="ריביות",AND(H706="דירה כצנלסון",G706&lt;0,ISNUMBER(SEARCH("הכנסה",F706)))),"הכנסה שסווגה מחדש",J706)</x:f>
        <x:v>שוטף</x:v>
      </x:c>
      <x:c r="L706" s="19" t="str">
        <x:v>מאושר</x:v>
      </x:c>
      <x:c r="M706" s="20" t="n">
        <x:f>IF(L706="מאושר",IF(K706="הכנסה שסווגה מחדש",0,G706),0)</x:f>
        <x:v>130</x:v>
      </x:c>
      <x:c r="N706" s="20" t="n">
        <x:f>IF(K706="שוטף",M706,0)</x:f>
        <x:v>130</x:v>
      </x:c>
      <x:c r="O706" s="20" t="n">
        <x:f>IF(K706="הכנסה שסווגה מחדש",-G706,0)</x:f>
        <x:v>0</x:v>
      </x:c>
      <x:c r="P706" s="11" t="str">
        <x:v>אמקס עינור</x:v>
      </x:c>
      <x:c r="Q706" s="11" t="str"/>
      <x:c r="R706" s="11" t="str">
        <x:v>לא</x:v>
      </x:c>
    </x:row>
    <x:row r="707">
      <x:c r="A707" s="14" t="n">
        <x:v>45839</x:v>
      </x:c>
      <x:c r="B707" s="11" t="str">
        <x:v>2025-07</x:v>
      </x:c>
      <x:c r="C707" s="11" t="str">
        <x:v>יולי 25</x:v>
      </x:c>
      <x:c r="D707" s="15" t="n">
        <x:v>110</x:v>
      </x:c>
      <x:c r="E707" s="11" t="str">
        <x:v>27</x:v>
      </x:c>
      <x:c r="F707" s="11" t="str">
        <x:v>מסעדה</x:v>
      </x:c>
      <x:c r="G707" s="17" t="n">
        <x:v>102</x:v>
      </x:c>
      <x:c r="H707" s="18" t="str">
        <x:v>אוכל בחוץ</x:v>
      </x:c>
      <x:c r="I707" s="19" t="str">
        <x:f>IFERROR(INDEX('מיפוי ומקורות'!$C$7:$C$33,MATCH(H707,'מיפוי ומקורות'!$B$7:$B$33,0)),"לא מסווג")</x:f>
        <x:v>אוכל בחוץ</x:v>
      </x:c>
      <x:c r="J707" s="19" t="str">
        <x:f>IFERROR(INDEX('מיפוי ומקורות'!$D$7:$D$33,MATCH(H707,'מיפוי ומקורות'!$B$7:$B$33,0)),"שוטף")</x:f>
        <x:v>שוטף</x:v>
      </x:c>
      <x:c r="K707" s="19" t="str">
        <x:f>IF(OR(H707="ריביות",AND(H707="דירה כצנלסון",G707&lt;0,ISNUMBER(SEARCH("הכנסה",F707)))),"הכנסה שסווגה מחדש",J707)</x:f>
        <x:v>שוטף</x:v>
      </x:c>
      <x:c r="L707" s="19" t="str">
        <x:v>מאושר</x:v>
      </x:c>
      <x:c r="M707" s="20" t="n">
        <x:f>IF(L707="מאושר",IF(K707="הכנסה שסווגה מחדש",0,G707),0)</x:f>
        <x:v>102</x:v>
      </x:c>
      <x:c r="N707" s="20" t="n">
        <x:f>IF(K707="שוטף",M707,0)</x:f>
        <x:v>102</x:v>
      </x:c>
      <x:c r="O707" s="20" t="n">
        <x:f>IF(K707="הכנסה שסווגה מחדש",-G707,0)</x:f>
        <x:v>0</x:v>
      </x:c>
      <x:c r="P707" s="11" t="str">
        <x:v>אמקס עינור</x:v>
      </x:c>
      <x:c r="Q707" s="11" t="str"/>
      <x:c r="R707" s="11" t="str">
        <x:v>לא</x:v>
      </x:c>
    </x:row>
    <x:row r="708">
      <x:c r="A708" s="14" t="n">
        <x:v>45839</x:v>
      </x:c>
      <x:c r="B708" s="11" t="str">
        <x:v>2025-07</x:v>
      </x:c>
      <x:c r="C708" s="11" t="str">
        <x:v>יולי 25</x:v>
      </x:c>
      <x:c r="D708" s="15" t="n">
        <x:v>111</x:v>
      </x:c>
      <x:c r="E708" s="11" t="str">
        <x:v>27</x:v>
      </x:c>
      <x:c r="F708" s="11" t="str">
        <x:v>גלידה</x:v>
      </x:c>
      <x:c r="G708" s="17" t="n">
        <x:v>16</x:v>
      </x:c>
      <x:c r="H708" s="18" t="str">
        <x:v>אוכל בחוץ</x:v>
      </x:c>
      <x:c r="I708" s="19" t="str">
        <x:f>IFERROR(INDEX('מיפוי ומקורות'!$C$7:$C$33,MATCH(H708,'מיפוי ומקורות'!$B$7:$B$33,0)),"לא מסווג")</x:f>
        <x:v>אוכל בחוץ</x:v>
      </x:c>
      <x:c r="J708" s="19" t="str">
        <x:f>IFERROR(INDEX('מיפוי ומקורות'!$D$7:$D$33,MATCH(H708,'מיפוי ומקורות'!$B$7:$B$33,0)),"שוטף")</x:f>
        <x:v>שוטף</x:v>
      </x:c>
      <x:c r="K708" s="19" t="str">
        <x:f>IF(OR(H708="ריביות",AND(H708="דירה כצנלסון",G708&lt;0,ISNUMBER(SEARCH("הכנסה",F708)))),"הכנסה שסווגה מחדש",J708)</x:f>
        <x:v>שוטף</x:v>
      </x:c>
      <x:c r="L708" s="19" t="str">
        <x:v>מאושר</x:v>
      </x:c>
      <x:c r="M708" s="20" t="n">
        <x:f>IF(L708="מאושר",IF(K708="הכנסה שסווגה מחדש",0,G708),0)</x:f>
        <x:v>16</x:v>
      </x:c>
      <x:c r="N708" s="20" t="n">
        <x:f>IF(K708="שוטף",M708,0)</x:f>
        <x:v>16</x:v>
      </x:c>
      <x:c r="O708" s="20" t="n">
        <x:f>IF(K708="הכנסה שסווגה מחדש",-G708,0)</x:f>
        <x:v>0</x:v>
      </x:c>
      <x:c r="P708" s="11" t="str">
        <x:v>אמקס עינור</x:v>
      </x:c>
      <x:c r="Q708" s="11" t="str"/>
      <x:c r="R708" s="11" t="str">
        <x:v>לא</x:v>
      </x:c>
    </x:row>
    <x:row r="709">
      <x:c r="A709" s="14" t="n">
        <x:v>45839</x:v>
      </x:c>
      <x:c r="B709" s="11" t="str">
        <x:v>2025-07</x:v>
      </x:c>
      <x:c r="C709" s="11" t="str">
        <x:v>יולי 25</x:v>
      </x:c>
      <x:c r="D709" s="15" t="n">
        <x:v>112</x:v>
      </x:c>
      <x:c r="E709" s="11" t="str">
        <x:v>28</x:v>
      </x:c>
      <x:c r="F709" s="11" t="str">
        <x:v>בראנץ</x:v>
      </x:c>
      <x:c r="G709" s="17" t="n">
        <x:v>51</x:v>
      </x:c>
      <x:c r="H709" s="18" t="str">
        <x:v>אוכל בחוץ</x:v>
      </x:c>
      <x:c r="I709" s="19" t="str">
        <x:f>IFERROR(INDEX('מיפוי ומקורות'!$C$7:$C$33,MATCH(H709,'מיפוי ומקורות'!$B$7:$B$33,0)),"לא מסווג")</x:f>
        <x:v>אוכל בחוץ</x:v>
      </x:c>
      <x:c r="J709" s="19" t="str">
        <x:f>IFERROR(INDEX('מיפוי ומקורות'!$D$7:$D$33,MATCH(H709,'מיפוי ומקורות'!$B$7:$B$33,0)),"שוטף")</x:f>
        <x:v>שוטף</x:v>
      </x:c>
      <x:c r="K709" s="19" t="str">
        <x:f>IF(OR(H709="ריביות",AND(H709="דירה כצנלסון",G709&lt;0,ISNUMBER(SEARCH("הכנסה",F709)))),"הכנסה שסווגה מחדש",J709)</x:f>
        <x:v>שוטף</x:v>
      </x:c>
      <x:c r="L709" s="19" t="str">
        <x:v>מאושר</x:v>
      </x:c>
      <x:c r="M709" s="20" t="n">
        <x:f>IF(L709="מאושר",IF(K709="הכנסה שסווגה מחדש",0,G709),0)</x:f>
        <x:v>51</x:v>
      </x:c>
      <x:c r="N709" s="20" t="n">
        <x:f>IF(K709="שוטף",M709,0)</x:f>
        <x:v>51</x:v>
      </x:c>
      <x:c r="O709" s="20" t="n">
        <x:f>IF(K709="הכנסה שסווגה מחדש",-G709,0)</x:f>
        <x:v>0</x:v>
      </x:c>
      <x:c r="P709" s="11" t="str">
        <x:v>אמקס עינור</x:v>
      </x:c>
      <x:c r="Q709" s="11" t="str"/>
      <x:c r="R709" s="11" t="str">
        <x:v>לא</x:v>
      </x:c>
    </x:row>
    <x:row r="710">
      <x:c r="A710" s="14" t="n">
        <x:v>45839</x:v>
      </x:c>
      <x:c r="B710" s="11" t="str">
        <x:v>2025-07</x:v>
      </x:c>
      <x:c r="C710" s="11" t="str">
        <x:v>יולי 25</x:v>
      </x:c>
      <x:c r="D710" s="15" t="n">
        <x:v>113</x:v>
      </x:c>
      <x:c r="E710" s="11" t="str">
        <x:v>5</x:v>
      </x:c>
      <x:c r="F710" s="11" t="str">
        <x:v>חניה</x:v>
      </x:c>
      <x:c r="G710" s="17" t="n">
        <x:v>22</x:v>
      </x:c>
      <x:c r="H710" s="18" t="str">
        <x:v>תחבורה</x:v>
      </x:c>
      <x:c r="I710" s="19" t="str">
        <x:f>IFERROR(INDEX('מיפוי ומקורות'!$C$7:$C$33,MATCH(H710,'מיפוי ומקורות'!$B$7:$B$33,0)),"לא מסווג")</x:f>
        <x:v>תחבורה</x:v>
      </x:c>
      <x:c r="J710" s="19" t="str">
        <x:f>IFERROR(INDEX('מיפוי ומקורות'!$D$7:$D$33,MATCH(H710,'מיפוי ומקורות'!$B$7:$B$33,0)),"שוטף")</x:f>
        <x:v>שוטף</x:v>
      </x:c>
      <x:c r="K710" s="19" t="str">
        <x:f>IF(OR(H710="ריביות",AND(H710="דירה כצנלסון",G710&lt;0,ISNUMBER(SEARCH("הכנסה",F710)))),"הכנסה שסווגה מחדש",J710)</x:f>
        <x:v>שוטף</x:v>
      </x:c>
      <x:c r="L710" s="19" t="str">
        <x:v>מאושר</x:v>
      </x:c>
      <x:c r="M710" s="20" t="n">
        <x:f>IF(L710="מאושר",IF(K710="הכנסה שסווגה מחדש",0,G710),0)</x:f>
        <x:v>22</x:v>
      </x:c>
      <x:c r="N710" s="20" t="n">
        <x:f>IF(K710="שוטף",M710,0)</x:f>
        <x:v>22</x:v>
      </x:c>
      <x:c r="O710" s="20" t="n">
        <x:f>IF(K710="הכנסה שסווגה מחדש",-G710,0)</x:f>
        <x:v>0</x:v>
      </x:c>
      <x:c r="P710" s="11" t="str">
        <x:v>מקס עינור</x:v>
      </x:c>
      <x:c r="Q710" s="11" t="str"/>
      <x:c r="R710" s="11" t="str">
        <x:v>לא</x:v>
      </x:c>
    </x:row>
    <x:row r="711">
      <x:c r="A711" s="14" t="n">
        <x:v>45839</x:v>
      </x:c>
      <x:c r="B711" s="11" t="str">
        <x:v>2025-07</x:v>
      </x:c>
      <x:c r="C711" s="11" t="str">
        <x:v>יולי 25</x:v>
      </x:c>
      <x:c r="D711" s="15" t="n">
        <x:v>114</x:v>
      </x:c>
      <x:c r="E711" s="11" t="str">
        <x:v>9</x:v>
      </x:c>
      <x:c r="F711" s="11" t="str">
        <x:v>מסעדה</x:v>
      </x:c>
      <x:c r="G711" s="17" t="n">
        <x:v>53</x:v>
      </x:c>
      <x:c r="H711" s="18" t="str">
        <x:v>אוכל בחוץ</x:v>
      </x:c>
      <x:c r="I711" s="19" t="str">
        <x:f>IFERROR(INDEX('מיפוי ומקורות'!$C$7:$C$33,MATCH(H711,'מיפוי ומקורות'!$B$7:$B$33,0)),"לא מסווג")</x:f>
        <x:v>אוכל בחוץ</x:v>
      </x:c>
      <x:c r="J711" s="19" t="str">
        <x:f>IFERROR(INDEX('מיפוי ומקורות'!$D$7:$D$33,MATCH(H711,'מיפוי ומקורות'!$B$7:$B$33,0)),"שוטף")</x:f>
        <x:v>שוטף</x:v>
      </x:c>
      <x:c r="K711" s="19" t="str">
        <x:f>IF(OR(H711="ריביות",AND(H711="דירה כצנלסון",G711&lt;0,ISNUMBER(SEARCH("הכנסה",F711)))),"הכנסה שסווגה מחדש",J711)</x:f>
        <x:v>שוטף</x:v>
      </x:c>
      <x:c r="L711" s="19" t="str">
        <x:v>מאושר</x:v>
      </x:c>
      <x:c r="M711" s="20" t="n">
        <x:f>IF(L711="מאושר",IF(K711="הכנסה שסווגה מחדש",0,G711),0)</x:f>
        <x:v>53</x:v>
      </x:c>
      <x:c r="N711" s="20" t="n">
        <x:f>IF(K711="שוטף",M711,0)</x:f>
        <x:v>53</x:v>
      </x:c>
      <x:c r="O711" s="20" t="n">
        <x:f>IF(K711="הכנסה שסווגה מחדש",-G711,0)</x:f>
        <x:v>0</x:v>
      </x:c>
      <x:c r="P711" s="11" t="str">
        <x:v>מקס עינור</x:v>
      </x:c>
      <x:c r="Q711" s="11" t="str"/>
      <x:c r="R711" s="11" t="str">
        <x:v>לא</x:v>
      </x:c>
    </x:row>
    <x:row r="712">
      <x:c r="A712" s="14" t="n">
        <x:v>45839</x:v>
      </x:c>
      <x:c r="B712" s="11" t="str">
        <x:v>2025-07</x:v>
      </x:c>
      <x:c r="C712" s="11" t="str">
        <x:v>יולי 25</x:v>
      </x:c>
      <x:c r="D712" s="15" t="n">
        <x:v>115</x:v>
      </x:c>
      <x:c r="E712" s="11" t="str">
        <x:v>12</x:v>
      </x:c>
      <x:c r="F712" s="11" t="str">
        <x:v>מגנטים</x:v>
      </x:c>
      <x:c r="G712" s="17" t="n">
        <x:v>149</x:v>
      </x:c>
      <x:c r="H712" s="18" t="str">
        <x:v>חתונה</x:v>
      </x:c>
      <x:c r="I712" s="19" t="str">
        <x:f>IFERROR(INDEX('מיפוי ומקורות'!$C$7:$C$33,MATCH(H712,'מיפוי ומקורות'!$B$7:$B$33,0)),"לא מסווג")</x:f>
        <x:v>חתונה</x:v>
      </x:c>
      <x:c r="J712" s="19" t="str">
        <x:f>IFERROR(INDEX('מיפוי ומקורות'!$D$7:$D$33,MATCH(H712,'מיפוי ומקורות'!$B$7:$B$33,0)),"שוטף")</x:f>
        <x:v>חריג</x:v>
      </x:c>
      <x:c r="K712" s="19" t="str">
        <x:f>IF(OR(H712="ריביות",AND(H712="דירה כצנלסון",G712&lt;0,ISNUMBER(SEARCH("הכנסה",F712)))),"הכנסה שסווגה מחדש",J712)</x:f>
        <x:v>חריג</x:v>
      </x:c>
      <x:c r="L712" s="19" t="str">
        <x:v>מאושר</x:v>
      </x:c>
      <x:c r="M712" s="20" t="n">
        <x:f>IF(L712="מאושר",IF(K712="הכנסה שסווגה מחדש",0,G712),0)</x:f>
        <x:v>149</x:v>
      </x:c>
      <x:c r="N712" s="20" t="n">
        <x:f>IF(K712="שוטף",M712,0)</x:f>
        <x:v>0</x:v>
      </x:c>
      <x:c r="O712" s="20" t="n">
        <x:f>IF(K712="הכנסה שסווגה מחדש",-G712,0)</x:f>
        <x:v>0</x:v>
      </x:c>
      <x:c r="P712" s="11" t="str">
        <x:v>מקס עינור</x:v>
      </x:c>
      <x:c r="Q712" s="11" t="str"/>
      <x:c r="R712" s="11" t="str">
        <x:v>לא</x:v>
      </x:c>
    </x:row>
    <x:row r="713">
      <x:c r="A713" s="14" t="n">
        <x:v>45839</x:v>
      </x:c>
      <x:c r="B713" s="11" t="str">
        <x:v>2025-07</x:v>
      </x:c>
      <x:c r="C713" s="11" t="str">
        <x:v>יולי 25</x:v>
      </x:c>
      <x:c r="D713" s="15" t="n">
        <x:v>116</x:v>
      </x:c>
      <x:c r="E713" s="11" t="str">
        <x:v>13</x:v>
      </x:c>
      <x:c r="F713" s="11" t="str">
        <x:v>מכולת</x:v>
      </x:c>
      <x:c r="G713" s="17" t="n">
        <x:v>32</x:v>
      </x:c>
      <x:c r="H713" s="18" t="str">
        <x:v>מזון לבית</x:v>
      </x:c>
      <x:c r="I713" s="19" t="str">
        <x:f>IFERROR(INDEX('מיפוי ומקורות'!$C$7:$C$33,MATCH(H713,'מיפוי ומקורות'!$B$7:$B$33,0)),"לא מסווג")</x:f>
        <x:v>מזון לבית</x:v>
      </x:c>
      <x:c r="J713" s="19" t="str">
        <x:f>IFERROR(INDEX('מיפוי ומקורות'!$D$7:$D$33,MATCH(H713,'מיפוי ומקורות'!$B$7:$B$33,0)),"שוטף")</x:f>
        <x:v>שוטף</x:v>
      </x:c>
      <x:c r="K713" s="19" t="str">
        <x:f>IF(OR(H713="ריביות",AND(H713="דירה כצנלסון",G713&lt;0,ISNUMBER(SEARCH("הכנסה",F713)))),"הכנסה שסווגה מחדש",J713)</x:f>
        <x:v>שוטף</x:v>
      </x:c>
      <x:c r="L713" s="19" t="str">
        <x:v>מאושר</x:v>
      </x:c>
      <x:c r="M713" s="20" t="n">
        <x:f>IF(L713="מאושר",IF(K713="הכנסה שסווגה מחדש",0,G713),0)</x:f>
        <x:v>32</x:v>
      </x:c>
      <x:c r="N713" s="20" t="n">
        <x:f>IF(K713="שוטף",M713,0)</x:f>
        <x:v>32</x:v>
      </x:c>
      <x:c r="O713" s="20" t="n">
        <x:f>IF(K713="הכנסה שסווגה מחדש",-G713,0)</x:f>
        <x:v>0</x:v>
      </x:c>
      <x:c r="P713" s="11" t="str">
        <x:v>מקס עינור</x:v>
      </x:c>
      <x:c r="Q713" s="11" t="str"/>
      <x:c r="R713" s="11" t="str">
        <x:v>לא</x:v>
      </x:c>
    </x:row>
    <x:row r="714">
      <x:c r="A714" s="14" t="n">
        <x:v>45839</x:v>
      </x:c>
      <x:c r="B714" s="11" t="str">
        <x:v>2025-07</x:v>
      </x:c>
      <x:c r="C714" s="11" t="str">
        <x:v>יולי 25</x:v>
      </x:c>
      <x:c r="D714" s="15" t="n">
        <x:v>117</x:v>
      </x:c>
      <x:c r="E714" s="11" t="str">
        <x:v>27</x:v>
      </x:c>
      <x:c r="F714" s="11" t="str">
        <x:v>ביטוח תכולה</x:v>
      </x:c>
      <x:c r="G714" s="17" t="n">
        <x:v>273</x:v>
      </x:c>
      <x:c r="H714" s="18" t="str">
        <x:v>ביטוח</x:v>
      </x:c>
      <x:c r="I714" s="19" t="str">
        <x:f>IFERROR(INDEX('מיפוי ומקורות'!$C$7:$C$33,MATCH(H714,'מיפוי ומקורות'!$B$7:$B$33,0)),"לא מסווג")</x:f>
        <x:v>ביטוח</x:v>
      </x:c>
      <x:c r="J714" s="19" t="str">
        <x:f>IFERROR(INDEX('מיפוי ומקורות'!$D$7:$D$33,MATCH(H714,'מיפוי ומקורות'!$B$7:$B$33,0)),"שוטף")</x:f>
        <x:v>שוטף</x:v>
      </x:c>
      <x:c r="K714" s="19" t="str">
        <x:f>IF(OR(H714="ריביות",AND(H714="דירה כצנלסון",G714&lt;0,ISNUMBER(SEARCH("הכנסה",F714)))),"הכנסה שסווגה מחדש",J714)</x:f>
        <x:v>שוטף</x:v>
      </x:c>
      <x:c r="L714" s="19" t="str">
        <x:v>מאושר</x:v>
      </x:c>
      <x:c r="M714" s="20" t="n">
        <x:f>IF(L714="מאושר",IF(K714="הכנסה שסווגה מחדש",0,G714),0)</x:f>
        <x:v>273</x:v>
      </x:c>
      <x:c r="N714" s="20" t="n">
        <x:f>IF(K714="שוטף",M714,0)</x:f>
        <x:v>273</x:v>
      </x:c>
      <x:c r="O714" s="20" t="n">
        <x:f>IF(K714="הכנסה שסווגה מחדש",-G714,0)</x:f>
        <x:v>0</x:v>
      </x:c>
      <x:c r="P714" s="11" t="str">
        <x:v>מקס עינור</x:v>
      </x:c>
      <x:c r="Q714" s="11" t="str"/>
      <x:c r="R714" s="11" t="str">
        <x:v>לא</x:v>
      </x:c>
    </x:row>
    <x:row r="715">
      <x:c r="A715" s="14" t="n">
        <x:v>45839</x:v>
      </x:c>
      <x:c r="B715" s="11" t="str">
        <x:v>2025-07</x:v>
      </x:c>
      <x:c r="C715" s="11" t="str">
        <x:v>יולי 25</x:v>
      </x:c>
      <x:c r="D715" s="15" t="n">
        <x:v>118</x:v>
      </x:c>
      <x:c r="E715" s="11" t="str">
        <x:v>28</x:v>
      </x:c>
      <x:c r="F715" s="11" t="str">
        <x:v>פנצר</x:v>
      </x:c>
      <x:c r="G715" s="17" t="n">
        <x:v>60</x:v>
      </x:c>
      <x:c r="H715" s="18" t="str">
        <x:v>תחבורה</x:v>
      </x:c>
      <x:c r="I715" s="19" t="str">
        <x:f>IFERROR(INDEX('מיפוי ומקורות'!$C$7:$C$33,MATCH(H715,'מיפוי ומקורות'!$B$7:$B$33,0)),"לא מסווג")</x:f>
        <x:v>תחבורה</x:v>
      </x:c>
      <x:c r="J715" s="19" t="str">
        <x:f>IFERROR(INDEX('מיפוי ומקורות'!$D$7:$D$33,MATCH(H715,'מיפוי ומקורות'!$B$7:$B$33,0)),"שוטף")</x:f>
        <x:v>שוטף</x:v>
      </x:c>
      <x:c r="K715" s="19" t="str">
        <x:f>IF(OR(H715="ריביות",AND(H715="דירה כצנלסון",G715&lt;0,ISNUMBER(SEARCH("הכנסה",F715)))),"הכנסה שסווגה מחדש",J715)</x:f>
        <x:v>שוטף</x:v>
      </x:c>
      <x:c r="L715" s="19" t="str">
        <x:v>מאושר</x:v>
      </x:c>
      <x:c r="M715" s="20" t="n">
        <x:f>IF(L715="מאושר",IF(K715="הכנסה שסווגה מחדש",0,G715),0)</x:f>
        <x:v>60</x:v>
      </x:c>
      <x:c r="N715" s="20" t="n">
        <x:f>IF(K715="שוטף",M715,0)</x:f>
        <x:v>60</x:v>
      </x:c>
      <x:c r="O715" s="20" t="n">
        <x:f>IF(K715="הכנסה שסווגה מחדש",-G715,0)</x:f>
        <x:v>0</x:v>
      </x:c>
      <x:c r="P715" s="11" t="str">
        <x:v>מקס עינור</x:v>
      </x:c>
      <x:c r="Q715" s="11" t="str"/>
      <x:c r="R715" s="11" t="str">
        <x:v>לא</x:v>
      </x:c>
    </x:row>
    <x:row r="716">
      <x:c r="A716" s="14" t="n">
        <x:v>45839</x:v>
      </x:c>
      <x:c r="B716" s="11" t="str">
        <x:v>2025-07</x:v>
      </x:c>
      <x:c r="C716" s="11" t="str">
        <x:v>יולי 25</x:v>
      </x:c>
      <x:c r="D716" s="15" t="n">
        <x:v>119</x:v>
      </x:c>
      <x:c r="E716" s="11" t="str">
        <x:v>28</x:v>
      </x:c>
      <x:c r="F716" s="11" t="str">
        <x:v>חניה</x:v>
      </x:c>
      <x:c r="G716" s="17" t="n">
        <x:v>17</x:v>
      </x:c>
      <x:c r="H716" s="18" t="str">
        <x:v>תחבורה</x:v>
      </x:c>
      <x:c r="I716" s="19" t="str">
        <x:f>IFERROR(INDEX('מיפוי ומקורות'!$C$7:$C$33,MATCH(H716,'מיפוי ומקורות'!$B$7:$B$33,0)),"לא מסווג")</x:f>
        <x:v>תחבורה</x:v>
      </x:c>
      <x:c r="J716" s="19" t="str">
        <x:f>IFERROR(INDEX('מיפוי ומקורות'!$D$7:$D$33,MATCH(H716,'מיפוי ומקורות'!$B$7:$B$33,0)),"שוטף")</x:f>
        <x:v>שוטף</x:v>
      </x:c>
      <x:c r="K716" s="19" t="str">
        <x:f>IF(OR(H716="ריביות",AND(H716="דירה כצנלסון",G716&lt;0,ISNUMBER(SEARCH("הכנסה",F716)))),"הכנסה שסווגה מחדש",J716)</x:f>
        <x:v>שוטף</x:v>
      </x:c>
      <x:c r="L716" s="19" t="str">
        <x:v>מאושר</x:v>
      </x:c>
      <x:c r="M716" s="20" t="n">
        <x:f>IF(L716="מאושר",IF(K716="הכנסה שסווגה מחדש",0,G716),0)</x:f>
        <x:v>17</x:v>
      </x:c>
      <x:c r="N716" s="20" t="n">
        <x:f>IF(K716="שוטף",M716,0)</x:f>
        <x:v>17</x:v>
      </x:c>
      <x:c r="O716" s="20" t="n">
        <x:f>IF(K716="הכנסה שסווגה מחדש",-G716,0)</x:f>
        <x:v>0</x:v>
      </x:c>
      <x:c r="P716" s="11" t="str">
        <x:v>מקס עינור</x:v>
      </x:c>
      <x:c r="Q716" s="11" t="str"/>
      <x:c r="R716" s="11" t="str">
        <x:v>לא</x:v>
      </x:c>
    </x:row>
    <x:row r="717">
      <x:c r="A717" s="14" t="n">
        <x:v>45839</x:v>
      </x:c>
      <x:c r="B717" s="11" t="str">
        <x:v>2025-07</x:v>
      </x:c>
      <x:c r="C717" s="11" t="str">
        <x:v>יולי 25</x:v>
      </x:c>
      <x:c r="D717" s="15" t="n">
        <x:v>120</x:v>
      </x:c>
      <x:c r="E717" s="11" t="str">
        <x:v>29</x:v>
      </x:c>
      <x:c r="F717" s="11" t="str">
        <x:v>לק</x:v>
      </x:c>
      <x:c r="G717" s="17" t="n">
        <x:v>120</x:v>
      </x:c>
      <x:c r="H717" s="18" t="str">
        <x:v>קוסמטיקה</x:v>
      </x:c>
      <x:c r="I717" s="19" t="str">
        <x:f>IFERROR(INDEX('מיפוי ומקורות'!$C$7:$C$33,MATCH(H717,'מיפוי ומקורות'!$B$7:$B$33,0)),"לא מסווג")</x:f>
        <x:v>קוסמטיקה</x:v>
      </x:c>
      <x:c r="J717" s="19" t="str">
        <x:f>IFERROR(INDEX('מיפוי ומקורות'!$D$7:$D$33,MATCH(H717,'מיפוי ומקורות'!$B$7:$B$33,0)),"שוטף")</x:f>
        <x:v>שוטף</x:v>
      </x:c>
      <x:c r="K717" s="19" t="str">
        <x:f>IF(OR(H717="ריביות",AND(H717="דירה כצנלסון",G717&lt;0,ISNUMBER(SEARCH("הכנסה",F717)))),"הכנסה שסווגה מחדש",J717)</x:f>
        <x:v>שוטף</x:v>
      </x:c>
      <x:c r="L717" s="19" t="str">
        <x:v>מאושר</x:v>
      </x:c>
      <x:c r="M717" s="20" t="n">
        <x:f>IF(L717="מאושר",IF(K717="הכנסה שסווגה מחדש",0,G717),0)</x:f>
        <x:v>120</x:v>
      </x:c>
      <x:c r="N717" s="20" t="n">
        <x:f>IF(K717="שוטף",M717,0)</x:f>
        <x:v>120</x:v>
      </x:c>
      <x:c r="O717" s="20" t="n">
        <x:f>IF(K717="הכנסה שסווגה מחדש",-G717,0)</x:f>
        <x:v>0</x:v>
      </x:c>
      <x:c r="P717" s="11" t="str">
        <x:v>מקס עינור</x:v>
      </x:c>
      <x:c r="Q717" s="11" t="str"/>
      <x:c r="R717" s="11" t="str">
        <x:v>לא</x:v>
      </x:c>
    </x:row>
    <x:row r="718">
      <x:c r="A718" s="14" t="n">
        <x:v>45839</x:v>
      </x:c>
      <x:c r="B718" s="11" t="str">
        <x:v>2025-07</x:v>
      </x:c>
      <x:c r="C718" s="11" t="str">
        <x:v>יולי 25</x:v>
      </x:c>
      <x:c r="D718" s="15" t="n">
        <x:v>121</x:v>
      </x:c>
      <x:c r="E718" s="11" t="str">
        <x:v>30</x:v>
      </x:c>
      <x:c r="F718" s="11" t="str">
        <x:v>מסעדה</x:v>
      </x:c>
      <x:c r="G718" s="17" t="n">
        <x:v>15</x:v>
      </x:c>
      <x:c r="H718" s="18" t="str">
        <x:v>אוכל בחוץ</x:v>
      </x:c>
      <x:c r="I718" s="19" t="str">
        <x:f>IFERROR(INDEX('מיפוי ומקורות'!$C$7:$C$33,MATCH(H718,'מיפוי ומקורות'!$B$7:$B$33,0)),"לא מסווג")</x:f>
        <x:v>אוכל בחוץ</x:v>
      </x:c>
      <x:c r="J718" s="19" t="str">
        <x:f>IFERROR(INDEX('מיפוי ומקורות'!$D$7:$D$33,MATCH(H718,'מיפוי ומקורות'!$B$7:$B$33,0)),"שוטף")</x:f>
        <x:v>שוטף</x:v>
      </x:c>
      <x:c r="K718" s="19" t="str">
        <x:f>IF(OR(H718="ריביות",AND(H718="דירה כצנלסון",G718&lt;0,ISNUMBER(SEARCH("הכנסה",F718)))),"הכנסה שסווגה מחדש",J718)</x:f>
        <x:v>שוטף</x:v>
      </x:c>
      <x:c r="L718" s="19" t="str">
        <x:v>מאושר</x:v>
      </x:c>
      <x:c r="M718" s="20" t="n">
        <x:f>IF(L718="מאושר",IF(K718="הכנסה שסווגה מחדש",0,G718),0)</x:f>
        <x:v>15</x:v>
      </x:c>
      <x:c r="N718" s="20" t="n">
        <x:f>IF(K718="שוטף",M718,0)</x:f>
        <x:v>15</x:v>
      </x:c>
      <x:c r="O718" s="20" t="n">
        <x:f>IF(K718="הכנסה שסווגה מחדש",-G718,0)</x:f>
        <x:v>0</x:v>
      </x:c>
      <x:c r="P718" s="11" t="str">
        <x:v>מקס עינור</x:v>
      </x:c>
      <x:c r="Q718" s="11" t="str"/>
      <x:c r="R718" s="11" t="str">
        <x:v>לא</x:v>
      </x:c>
    </x:row>
    <x:row r="719">
      <x:c r="A719" s="14" t="n">
        <x:v>45839</x:v>
      </x:c>
      <x:c r="B719" s="11" t="str">
        <x:v>2025-07</x:v>
      </x:c>
      <x:c r="C719" s="11" t="str">
        <x:v>יולי 25</x:v>
      </x:c>
      <x:c r="D719" s="15" t="n">
        <x:v>122</x:v>
      </x:c>
      <x:c r="E719" s="11" t="str">
        <x:v>30</x:v>
      </x:c>
      <x:c r="F719" s="11" t="str">
        <x:v>מסעדה</x:v>
      </x:c>
      <x:c r="G719" s="17" t="n">
        <x:v>54</x:v>
      </x:c>
      <x:c r="H719" s="18" t="str">
        <x:v>אוכל בחוץ</x:v>
      </x:c>
      <x:c r="I719" s="19" t="str">
        <x:f>IFERROR(INDEX('מיפוי ומקורות'!$C$7:$C$33,MATCH(H719,'מיפוי ומקורות'!$B$7:$B$33,0)),"לא מסווג")</x:f>
        <x:v>אוכל בחוץ</x:v>
      </x:c>
      <x:c r="J719" s="19" t="str">
        <x:f>IFERROR(INDEX('מיפוי ומקורות'!$D$7:$D$33,MATCH(H719,'מיפוי ומקורות'!$B$7:$B$33,0)),"שוטף")</x:f>
        <x:v>שוטף</x:v>
      </x:c>
      <x:c r="K719" s="19" t="str">
        <x:f>IF(OR(H719="ריביות",AND(H719="דירה כצנלסון",G719&lt;0,ISNUMBER(SEARCH("הכנסה",F719)))),"הכנסה שסווגה מחדש",J719)</x:f>
        <x:v>שוטף</x:v>
      </x:c>
      <x:c r="L719" s="19" t="str">
        <x:v>מאושר</x:v>
      </x:c>
      <x:c r="M719" s="20" t="n">
        <x:f>IF(L719="מאושר",IF(K719="הכנסה שסווגה מחדש",0,G719),0)</x:f>
        <x:v>54</x:v>
      </x:c>
      <x:c r="N719" s="20" t="n">
        <x:f>IF(K719="שוטף",M719,0)</x:f>
        <x:v>54</x:v>
      </x:c>
      <x:c r="O719" s="20" t="n">
        <x:f>IF(K719="הכנסה שסווגה מחדש",-G719,0)</x:f>
        <x:v>0</x:v>
      </x:c>
      <x:c r="P719" s="11" t="str">
        <x:v>מקס עינור</x:v>
      </x:c>
      <x:c r="Q719" s="11" t="str"/>
      <x:c r="R719" s="11" t="str">
        <x:v>לא</x:v>
      </x:c>
    </x:row>
    <x:row r="720">
      <x:c r="A720" s="14" t="n">
        <x:v>45839</x:v>
      </x:c>
      <x:c r="B720" s="11" t="str">
        <x:v>2025-07</x:v>
      </x:c>
      <x:c r="C720" s="11" t="str">
        <x:v>יולי 25</x:v>
      </x:c>
      <x:c r="D720" s="15" t="n">
        <x:v>123</x:v>
      </x:c>
      <x:c r="E720" s="11" t="str">
        <x:v>18</x:v>
      </x:c>
      <x:c r="F720" s="11" t="str">
        <x:v>ליים</x:v>
      </x:c>
      <x:c r="G720" s="17" t="n">
        <x:v>19</x:v>
      </x:c>
      <x:c r="H720" s="18" t="str">
        <x:v>תחבורה</x:v>
      </x:c>
      <x:c r="I720" s="19" t="str">
        <x:f>IFERROR(INDEX('מיפוי ומקורות'!$C$7:$C$33,MATCH(H720,'מיפוי ומקורות'!$B$7:$B$33,0)),"לא מסווג")</x:f>
        <x:v>תחבורה</x:v>
      </x:c>
      <x:c r="J720" s="19" t="str">
        <x:f>IFERROR(INDEX('מיפוי ומקורות'!$D$7:$D$33,MATCH(H720,'מיפוי ומקורות'!$B$7:$B$33,0)),"שוטף")</x:f>
        <x:v>שוטף</x:v>
      </x:c>
      <x:c r="K720" s="19" t="str">
        <x:f>IF(OR(H720="ריביות",AND(H720="דירה כצנלסון",G720&lt;0,ISNUMBER(SEARCH("הכנסה",F720)))),"הכנסה שסווגה מחדש",J720)</x:f>
        <x:v>שוטף</x:v>
      </x:c>
      <x:c r="L720" s="19" t="str">
        <x:v>מאושר</x:v>
      </x:c>
      <x:c r="M720" s="20" t="n">
        <x:f>IF(L720="מאושר",IF(K720="הכנסה שסווגה מחדש",0,G720),0)</x:f>
        <x:v>19</x:v>
      </x:c>
      <x:c r="N720" s="20" t="n">
        <x:f>IF(K720="שוטף",M720,0)</x:f>
        <x:v>19</x:v>
      </x:c>
      <x:c r="O720" s="20" t="n">
        <x:f>IF(K720="הכנסה שסווגה מחדש",-G720,0)</x:f>
        <x:v>0</x:v>
      </x:c>
      <x:c r="P720" s="11" t="str">
        <x:v>מקס זיו</x:v>
      </x:c>
      <x:c r="Q720" s="11" t="str"/>
      <x:c r="R720" s="11" t="str">
        <x:v>לא</x:v>
      </x:c>
    </x:row>
    <x:row r="721">
      <x:c r="A721" s="14" t="n">
        <x:v>45839</x:v>
      </x:c>
      <x:c r="B721" s="11" t="str">
        <x:v>2025-07</x:v>
      </x:c>
      <x:c r="C721" s="11" t="str">
        <x:v>יולי 25</x:v>
      </x:c>
      <x:c r="D721" s="15" t="n">
        <x:v>124</x:v>
      </x:c>
      <x:c r="E721" s="11" t="str">
        <x:v>26</x:v>
      </x:c>
      <x:c r="F721" s="11" t="str">
        <x:v>ליים</x:v>
      </x:c>
      <x:c r="G721" s="17" t="n">
        <x:v>3</x:v>
      </x:c>
      <x:c r="H721" s="18" t="str">
        <x:v>תחבורה</x:v>
      </x:c>
      <x:c r="I721" s="19" t="str">
        <x:f>IFERROR(INDEX('מיפוי ומקורות'!$C$7:$C$33,MATCH(H721,'מיפוי ומקורות'!$B$7:$B$33,0)),"לא מסווג")</x:f>
        <x:v>תחבורה</x:v>
      </x:c>
      <x:c r="J721" s="19" t="str">
        <x:f>IFERROR(INDEX('מיפוי ומקורות'!$D$7:$D$33,MATCH(H721,'מיפוי ומקורות'!$B$7:$B$33,0)),"שוטף")</x:f>
        <x:v>שוטף</x:v>
      </x:c>
      <x:c r="K721" s="19" t="str">
        <x:f>IF(OR(H721="ריביות",AND(H721="דירה כצנלסון",G721&lt;0,ISNUMBER(SEARCH("הכנסה",F721)))),"הכנסה שסווגה מחדש",J721)</x:f>
        <x:v>שוטף</x:v>
      </x:c>
      <x:c r="L721" s="19" t="str">
        <x:v>מאושר</x:v>
      </x:c>
      <x:c r="M721" s="20" t="n">
        <x:f>IF(L721="מאושר",IF(K721="הכנסה שסווגה מחדש",0,G721),0)</x:f>
        <x:v>3</x:v>
      </x:c>
      <x:c r="N721" s="20" t="n">
        <x:f>IF(K721="שוטף",M721,0)</x:f>
        <x:v>3</x:v>
      </x:c>
      <x:c r="O721" s="20" t="n">
        <x:f>IF(K721="הכנסה שסווגה מחדש",-G721,0)</x:f>
        <x:v>0</x:v>
      </x:c>
      <x:c r="P721" s="11" t="str">
        <x:v>מקס זיו</x:v>
      </x:c>
      <x:c r="Q721" s="11" t="str"/>
      <x:c r="R721" s="11" t="str">
        <x:v>לא</x:v>
      </x:c>
    </x:row>
    <x:row r="722">
      <x:c r="A722" s="14" t="n">
        <x:v>45839</x:v>
      </x:c>
      <x:c r="B722" s="11" t="str">
        <x:v>2025-07</x:v>
      </x:c>
      <x:c r="C722" s="11" t="str">
        <x:v>יולי 25</x:v>
      </x:c>
      <x:c r="D722" s="15" t="n">
        <x:v>125</x:v>
      </x:c>
      <x:c r="E722" s="11" t="str">
        <x:v>5</x:v>
      </x:c>
      <x:c r="F722" s="11" t="str">
        <x:v>ליים</x:v>
      </x:c>
      <x:c r="G722" s="17" t="n">
        <x:v>11</x:v>
      </x:c>
      <x:c r="H722" s="18" t="str">
        <x:v>תחבורה</x:v>
      </x:c>
      <x:c r="I722" s="19" t="str">
        <x:f>IFERROR(INDEX('מיפוי ומקורות'!$C$7:$C$33,MATCH(H722,'מיפוי ומקורות'!$B$7:$B$33,0)),"לא מסווג")</x:f>
        <x:v>תחבורה</x:v>
      </x:c>
      <x:c r="J722" s="19" t="str">
        <x:f>IFERROR(INDEX('מיפוי ומקורות'!$D$7:$D$33,MATCH(H722,'מיפוי ומקורות'!$B$7:$B$33,0)),"שוטף")</x:f>
        <x:v>שוטף</x:v>
      </x:c>
      <x:c r="K722" s="19" t="str">
        <x:f>IF(OR(H722="ריביות",AND(H722="דירה כצנלסון",G722&lt;0,ISNUMBER(SEARCH("הכנסה",F722)))),"הכנסה שסווגה מחדש",J722)</x:f>
        <x:v>שוטף</x:v>
      </x:c>
      <x:c r="L722" s="19" t="str">
        <x:v>מאושר</x:v>
      </x:c>
      <x:c r="M722" s="20" t="n">
        <x:f>IF(L722="מאושר",IF(K722="הכנסה שסווגה מחדש",0,G722),0)</x:f>
        <x:v>11</x:v>
      </x:c>
      <x:c r="N722" s="20" t="n">
        <x:f>IF(K722="שוטף",M722,0)</x:f>
        <x:v>11</x:v>
      </x:c>
      <x:c r="O722" s="20" t="n">
        <x:f>IF(K722="הכנסה שסווגה מחדש",-G722,0)</x:f>
        <x:v>0</x:v>
      </x:c>
      <x:c r="P722" s="11" t="str">
        <x:v>הייטק זון זיו</x:v>
      </x:c>
      <x:c r="Q722" s="11" t="str"/>
      <x:c r="R722" s="11" t="str">
        <x:v>לא</x:v>
      </x:c>
    </x:row>
    <x:row r="723">
      <x:c r="A723" s="14" t="n">
        <x:v>45839</x:v>
      </x:c>
      <x:c r="B723" s="11" t="str">
        <x:v>2025-07</x:v>
      </x:c>
      <x:c r="C723" s="11" t="str">
        <x:v>יולי 25</x:v>
      </x:c>
      <x:c r="D723" s="15" t="n">
        <x:v>126</x:v>
      </x:c>
      <x:c r="E723" s="11" t="str">
        <x:v>7</x:v>
      </x:c>
      <x:c r="F723" s="11" t="str">
        <x:v>ליים</x:v>
      </x:c>
      <x:c r="G723" s="17" t="n">
        <x:v>16</x:v>
      </x:c>
      <x:c r="H723" s="18" t="str">
        <x:v>תחבורה</x:v>
      </x:c>
      <x:c r="I723" s="19" t="str">
        <x:f>IFERROR(INDEX('מיפוי ומקורות'!$C$7:$C$33,MATCH(H723,'מיפוי ומקורות'!$B$7:$B$33,0)),"לא מסווג")</x:f>
        <x:v>תחבורה</x:v>
      </x:c>
      <x:c r="J723" s="19" t="str">
        <x:f>IFERROR(INDEX('מיפוי ומקורות'!$D$7:$D$33,MATCH(H723,'מיפוי ומקורות'!$B$7:$B$33,0)),"שוטף")</x:f>
        <x:v>שוטף</x:v>
      </x:c>
      <x:c r="K723" s="19" t="str">
        <x:f>IF(OR(H723="ריביות",AND(H723="דירה כצנלסון",G723&lt;0,ISNUMBER(SEARCH("הכנסה",F723)))),"הכנסה שסווגה מחדש",J723)</x:f>
        <x:v>שוטף</x:v>
      </x:c>
      <x:c r="L723" s="19" t="str">
        <x:v>מאושר</x:v>
      </x:c>
      <x:c r="M723" s="20" t="n">
        <x:f>IF(L723="מאושר",IF(K723="הכנסה שסווגה מחדש",0,G723),0)</x:f>
        <x:v>16</x:v>
      </x:c>
      <x:c r="N723" s="20" t="n">
        <x:f>IF(K723="שוטף",M723,0)</x:f>
        <x:v>16</x:v>
      </x:c>
      <x:c r="O723" s="20" t="n">
        <x:f>IF(K723="הכנסה שסווגה מחדש",-G723,0)</x:f>
        <x:v>0</x:v>
      </x:c>
      <x:c r="P723" s="11" t="str">
        <x:v>הייטק זון זיו</x:v>
      </x:c>
      <x:c r="Q723" s="11" t="str"/>
      <x:c r="R723" s="11" t="str">
        <x:v>לא</x:v>
      </x:c>
    </x:row>
    <x:row r="724">
      <x:c r="A724" s="14" t="n">
        <x:v>45839</x:v>
      </x:c>
      <x:c r="B724" s="11" t="str">
        <x:v>2025-07</x:v>
      </x:c>
      <x:c r="C724" s="11" t="str">
        <x:v>יולי 25</x:v>
      </x:c>
      <x:c r="D724" s="15" t="n">
        <x:v>127</x:v>
      </x:c>
      <x:c r="E724" s="11" t="str">
        <x:v>11</x:v>
      </x:c>
      <x:c r="F724" s="11" t="str">
        <x:v>ליים</x:v>
      </x:c>
      <x:c r="G724" s="17" t="n">
        <x:v>12</x:v>
      </x:c>
      <x:c r="H724" s="18" t="str">
        <x:v>תחבורה</x:v>
      </x:c>
      <x:c r="I724" s="19" t="str">
        <x:f>IFERROR(INDEX('מיפוי ומקורות'!$C$7:$C$33,MATCH(H724,'מיפוי ומקורות'!$B$7:$B$33,0)),"לא מסווג")</x:f>
        <x:v>תחבורה</x:v>
      </x:c>
      <x:c r="J724" s="19" t="str">
        <x:f>IFERROR(INDEX('מיפוי ומקורות'!$D$7:$D$33,MATCH(H724,'מיפוי ומקורות'!$B$7:$B$33,0)),"שוטף")</x:f>
        <x:v>שוטף</x:v>
      </x:c>
      <x:c r="K724" s="19" t="str">
        <x:f>IF(OR(H724="ריביות",AND(H724="דירה כצנלסון",G724&lt;0,ISNUMBER(SEARCH("הכנסה",F724)))),"הכנסה שסווגה מחדש",J724)</x:f>
        <x:v>שוטף</x:v>
      </x:c>
      <x:c r="L724" s="19" t="str">
        <x:v>מאושר</x:v>
      </x:c>
      <x:c r="M724" s="20" t="n">
        <x:f>IF(L724="מאושר",IF(K724="הכנסה שסווגה מחדש",0,G724),0)</x:f>
        <x:v>12</x:v>
      </x:c>
      <x:c r="N724" s="20" t="n">
        <x:f>IF(K724="שוטף",M724,0)</x:f>
        <x:v>12</x:v>
      </x:c>
      <x:c r="O724" s="20" t="n">
        <x:f>IF(K724="הכנסה שסווגה מחדש",-G724,0)</x:f>
        <x:v>0</x:v>
      </x:c>
      <x:c r="P724" s="11" t="str">
        <x:v>הייטק זון זיו</x:v>
      </x:c>
      <x:c r="Q724" s="11" t="str"/>
      <x:c r="R724" s="11" t="str">
        <x:v>לא</x:v>
      </x:c>
    </x:row>
    <x:row r="725">
      <x:c r="A725" s="14" t="n">
        <x:v>45839</x:v>
      </x:c>
      <x:c r="B725" s="11" t="str">
        <x:v>2025-07</x:v>
      </x:c>
      <x:c r="C725" s="11" t="str">
        <x:v>יולי 25</x:v>
      </x:c>
      <x:c r="D725" s="15" t="n">
        <x:v>128</x:v>
      </x:c>
      <x:c r="E725" s="11" t="str">
        <x:v>16</x:v>
      </x:c>
      <x:c r="F725" s="11" t="str">
        <x:v>ליים</x:v>
      </x:c>
      <x:c r="G725" s="17" t="n">
        <x:v>8</x:v>
      </x:c>
      <x:c r="H725" s="18" t="str">
        <x:v>תחבורה</x:v>
      </x:c>
      <x:c r="I725" s="19" t="str">
        <x:f>IFERROR(INDEX('מיפוי ומקורות'!$C$7:$C$33,MATCH(H725,'מיפוי ומקורות'!$B$7:$B$33,0)),"לא מסווג")</x:f>
        <x:v>תחבורה</x:v>
      </x:c>
      <x:c r="J725" s="19" t="str">
        <x:f>IFERROR(INDEX('מיפוי ומקורות'!$D$7:$D$33,MATCH(H725,'מיפוי ומקורות'!$B$7:$B$33,0)),"שוטף")</x:f>
        <x:v>שוטף</x:v>
      </x:c>
      <x:c r="K725" s="19" t="str">
        <x:f>IF(OR(H725="ריביות",AND(H725="דירה כצנלסון",G725&lt;0,ISNUMBER(SEARCH("הכנסה",F725)))),"הכנסה שסווגה מחדש",J725)</x:f>
        <x:v>שוטף</x:v>
      </x:c>
      <x:c r="L725" s="19" t="str">
        <x:v>מאושר</x:v>
      </x:c>
      <x:c r="M725" s="20" t="n">
        <x:f>IF(L725="מאושר",IF(K725="הכנסה שסווגה מחדש",0,G725),0)</x:f>
        <x:v>8</x:v>
      </x:c>
      <x:c r="N725" s="20" t="n">
        <x:f>IF(K725="שוטף",M725,0)</x:f>
        <x:v>8</x:v>
      </x:c>
      <x:c r="O725" s="20" t="n">
        <x:f>IF(K725="הכנסה שסווגה מחדש",-G725,0)</x:f>
        <x:v>0</x:v>
      </x:c>
      <x:c r="P725" s="11" t="str">
        <x:v>הייטק זון זיו</x:v>
      </x:c>
      <x:c r="Q725" s="11" t="str"/>
      <x:c r="R725" s="11" t="str">
        <x:v>לא</x:v>
      </x:c>
    </x:row>
    <x:row r="726">
      <x:c r="A726" s="14" t="n">
        <x:v>45839</x:v>
      </x:c>
      <x:c r="B726" s="11" t="str">
        <x:v>2025-07</x:v>
      </x:c>
      <x:c r="C726" s="11" t="str">
        <x:v>יולי 25</x:v>
      </x:c>
      <x:c r="D726" s="15" t="n">
        <x:v>129</x:v>
      </x:c>
      <x:c r="E726" s="11" t="str">
        <x:v>25</x:v>
      </x:c>
      <x:c r="F726" s="11" t="str">
        <x:v>תחבץ</x:v>
      </x:c>
      <x:c r="G726" s="17" t="n">
        <x:v>8</x:v>
      </x:c>
      <x:c r="H726" s="18" t="str">
        <x:v>תחבורה</x:v>
      </x:c>
      <x:c r="I726" s="19" t="str">
        <x:f>IFERROR(INDEX('מיפוי ומקורות'!$C$7:$C$33,MATCH(H726,'מיפוי ומקורות'!$B$7:$B$33,0)),"לא מסווג")</x:f>
        <x:v>תחבורה</x:v>
      </x:c>
      <x:c r="J726" s="19" t="str">
        <x:f>IFERROR(INDEX('מיפוי ומקורות'!$D$7:$D$33,MATCH(H726,'מיפוי ומקורות'!$B$7:$B$33,0)),"שוטף")</x:f>
        <x:v>שוטף</x:v>
      </x:c>
      <x:c r="K726" s="19" t="str">
        <x:f>IF(OR(H726="ריביות",AND(H726="דירה כצנלסון",G726&lt;0,ISNUMBER(SEARCH("הכנסה",F726)))),"הכנסה שסווגה מחדש",J726)</x:f>
        <x:v>שוטף</x:v>
      </x:c>
      <x:c r="L726" s="19" t="str">
        <x:v>מאושר</x:v>
      </x:c>
      <x:c r="M726" s="20" t="n">
        <x:f>IF(L726="מאושר",IF(K726="הכנסה שסווגה מחדש",0,G726),0)</x:f>
        <x:v>8</x:v>
      </x:c>
      <x:c r="N726" s="20" t="n">
        <x:f>IF(K726="שוטף",M726,0)</x:f>
        <x:v>8</x:v>
      </x:c>
      <x:c r="O726" s="20" t="n">
        <x:f>IF(K726="הכנסה שסווגה מחדש",-G726,0)</x:f>
        <x:v>0</x:v>
      </x:c>
      <x:c r="P726" s="11" t="str">
        <x:v>הייטק זון זיו</x:v>
      </x:c>
      <x:c r="Q726" s="11" t="str"/>
      <x:c r="R726" s="11" t="str">
        <x:v>לא</x:v>
      </x:c>
    </x:row>
    <x:row r="727">
      <x:c r="A727" s="14" t="n">
        <x:v>45839</x:v>
      </x:c>
      <x:c r="B727" s="11" t="str">
        <x:v>2025-07</x:v>
      </x:c>
      <x:c r="C727" s="11" t="str">
        <x:v>יולי 25</x:v>
      </x:c>
      <x:c r="D727" s="15" t="n">
        <x:v>130</x:v>
      </x:c>
      <x:c r="E727" s="11" t="str"/>
      <x:c r="F727" s="11" t="str">
        <x:v>תמי 4</x:v>
      </x:c>
      <x:c r="G727" s="17" t="n">
        <x:v>500</x:v>
      </x:c>
      <x:c r="H727" s="18" t="str">
        <x:v>קניות לבית</x:v>
      </x:c>
      <x:c r="I727" s="19" t="str">
        <x:f>IFERROR(INDEX('מיפוי ומקורות'!$C$7:$C$33,MATCH(H727,'מיפוי ומקורות'!$B$7:$B$33,0)),"לא מסווג")</x:f>
        <x:v>קניות לבית</x:v>
      </x:c>
      <x:c r="J727" s="19" t="str">
        <x:f>IFERROR(INDEX('מיפוי ומקורות'!$D$7:$D$33,MATCH(H727,'מיפוי ומקורות'!$B$7:$B$33,0)),"שוטף")</x:f>
        <x:v>שוטף</x:v>
      </x:c>
      <x:c r="K727" s="19" t="str">
        <x:f>IF(OR(H727="ריביות",AND(H727="דירה כצנלסון",G727&lt;0,ISNUMBER(SEARCH("הכנסה",F727)))),"הכנסה שסווגה מחדש",J727)</x:f>
        <x:v>שוטף</x:v>
      </x:c>
      <x:c r="L727" s="19" t="str">
        <x:v>מאושר</x:v>
      </x:c>
      <x:c r="M727" s="20" t="n">
        <x:f>IF(L727="מאושר",IF(K727="הכנסה שסווגה מחדש",0,G727),0)</x:f>
        <x:v>500</x:v>
      </x:c>
      <x:c r="N727" s="20" t="n">
        <x:f>IF(K727="שוטף",M727,0)</x:f>
        <x:v>500</x:v>
      </x:c>
      <x:c r="O727" s="20" t="n">
        <x:f>IF(K727="הכנסה שסווגה מחדש",-G727,0)</x:f>
        <x:v>0</x:v>
      </x:c>
      <x:c r="P727" s="11" t="str">
        <x:v>ביט - זיו</x:v>
      </x:c>
      <x:c r="Q727" s="11" t="str"/>
      <x:c r="R727" s="11" t="str">
        <x:v>לא</x:v>
      </x:c>
    </x:row>
    <x:row r="728">
      <x:c r="A728" s="14" t="n">
        <x:v>45839</x:v>
      </x:c>
      <x:c r="B728" s="11" t="str">
        <x:v>2025-07</x:v>
      </x:c>
      <x:c r="C728" s="11" t="str">
        <x:v>יולי 25</x:v>
      </x:c>
      <x:c r="D728" s="15" t="n">
        <x:v>131</x:v>
      </x:c>
      <x:c r="E728" s="11" t="str">
        <x:v>7</x:v>
      </x:c>
      <x:c r="F728" s="11" t="str">
        <x:v>עמלות</x:v>
      </x:c>
      <x:c r="G728" s="17" t="n">
        <x:v>48</x:v>
      </x:c>
      <x:c r="H728" s="18" t="str">
        <x:v>עמלות</x:v>
      </x:c>
      <x:c r="I728" s="19" t="str">
        <x:f>IFERROR(INDEX('מיפוי ומקורות'!$C$7:$C$33,MATCH(H728,'מיפוי ומקורות'!$B$7:$B$33,0)),"לא מסווג")</x:f>
        <x:v>עמלות</x:v>
      </x:c>
      <x:c r="J728" s="19" t="str">
        <x:f>IFERROR(INDEX('מיפוי ומקורות'!$D$7:$D$33,MATCH(H728,'מיפוי ומקורות'!$B$7:$B$33,0)),"שוטף")</x:f>
        <x:v>שוטף</x:v>
      </x:c>
      <x:c r="K728" s="19" t="str">
        <x:f>IF(OR(H728="ריביות",AND(H728="דירה כצנלסון",G728&lt;0,ISNUMBER(SEARCH("הכנסה",F728)))),"הכנסה שסווגה מחדש",J728)</x:f>
        <x:v>שוטף</x:v>
      </x:c>
      <x:c r="L728" s="19" t="str">
        <x:v>מאושר</x:v>
      </x:c>
      <x:c r="M728" s="20" t="n">
        <x:f>IF(L728="מאושר",IF(K728="הכנסה שסווגה מחדש",0,G728),0)</x:f>
        <x:v>48</x:v>
      </x:c>
      <x:c r="N728" s="20" t="n">
        <x:f>IF(K728="שוטף",M728,0)</x:f>
        <x:v>48</x:v>
      </x:c>
      <x:c r="O728" s="20" t="n">
        <x:f>IF(K728="הכנסה שסווגה מחדש",-G728,0)</x:f>
        <x:v>0</x:v>
      </x:c>
      <x:c r="P728" s="11" t="str">
        <x:v>דיסקונט</x:v>
      </x:c>
      <x:c r="Q728" s="11" t="str"/>
      <x:c r="R728" s="11" t="str">
        <x:v>לא</x:v>
      </x:c>
    </x:row>
    <x:row r="729">
      <x:c r="A729" s="14" t="n">
        <x:v>45839</x:v>
      </x:c>
      <x:c r="B729" s="11" t="str">
        <x:v>2025-07</x:v>
      </x:c>
      <x:c r="C729" s="11" t="str">
        <x:v>יולי 25</x:v>
      </x:c>
      <x:c r="D729" s="15" t="n">
        <x:v>132</x:v>
      </x:c>
      <x:c r="E729" s="11" t="str"/>
      <x:c r="F729" s="11" t="str">
        <x:v>ריבית מחיסון</x:v>
      </x:c>
      <x:c r="G729" s="17" t="n">
        <x:v>-340</x:v>
      </x:c>
      <x:c r="H729" s="18" t="str">
        <x:v>ריביות</x:v>
      </x:c>
      <x:c r="I729" s="19" t="str">
        <x:f>IFERROR(INDEX('מיפוי ומקורות'!$C$7:$C$33,MATCH(H729,'מיפוי ומקורות'!$B$7:$B$33,0)),"לא מסווג")</x:f>
        <x:v>זרם פיננסי</x:v>
      </x:c>
      <x:c r="J729" s="19" t="str">
        <x:f>IFERROR(INDEX('מיפוי ומקורות'!$D$7:$D$33,MATCH(H729,'מיפוי ומקורות'!$B$7:$B$33,0)),"שוטף")</x:f>
        <x:v>הכנסה שסווגה מחדש</x:v>
      </x:c>
      <x:c r="K729" s="19" t="str">
        <x:f>IF(OR(H729="ריביות",AND(H729="דירה כצנלסון",G729&lt;0,ISNUMBER(SEARCH("הכנסה",F729)))),"הכנסה שסווגה מחדש",J729)</x:f>
        <x:v>הכנסה שסווגה מחדש</x:v>
      </x:c>
      <x:c r="L729" s="19" t="str">
        <x:v>מאושר</x:v>
      </x:c>
      <x:c r="M729" s="20" t="n">
        <x:f>IF(L729="מאושר",IF(K729="הכנסה שסווגה מחדש",0,G729),0)</x:f>
        <x:v>0</x:v>
      </x:c>
      <x:c r="N729" s="20" t="n">
        <x:f>IF(K729="שוטף",M729,0)</x:f>
        <x:v>0</x:v>
      </x:c>
      <x:c r="O729" s="20" t="n">
        <x:f>IF(K729="הכנסה שסווגה מחדש",-G729,0)</x:f>
        <x:v>340</x:v>
      </x:c>
      <x:c r="P729" s="11" t="str">
        <x:v>one zero</x:v>
      </x:c>
      <x:c r="Q729" s="11" t="str"/>
      <x:c r="R729" s="11" t="str">
        <x:v>לא</x:v>
      </x:c>
    </x:row>
    <x:row r="730">
      <x:c r="A730" s="14" t="n">
        <x:v>45839</x:v>
      </x:c>
      <x:c r="B730" s="11" t="str">
        <x:v>2025-07</x:v>
      </x:c>
      <x:c r="C730" s="11" t="str">
        <x:v>יולי 25</x:v>
      </x:c>
      <x:c r="D730" s="15" t="n">
        <x:v>133</x:v>
      </x:c>
      <x:c r="E730" s="11" t="str"/>
      <x:c r="F730" s="11" t="str">
        <x:v>ריבית מחיסון</x:v>
      </x:c>
      <x:c r="G730" s="17" t="n">
        <x:v>-84</x:v>
      </x:c>
      <x:c r="H730" s="18" t="str">
        <x:v>ריביות</x:v>
      </x:c>
      <x:c r="I730" s="19" t="str">
        <x:f>IFERROR(INDEX('מיפוי ומקורות'!$C$7:$C$33,MATCH(H730,'מיפוי ומקורות'!$B$7:$B$33,0)),"לא מסווג")</x:f>
        <x:v>זרם פיננסי</x:v>
      </x:c>
      <x:c r="J730" s="19" t="str">
        <x:f>IFERROR(INDEX('מיפוי ומקורות'!$D$7:$D$33,MATCH(H730,'מיפוי ומקורות'!$B$7:$B$33,0)),"שוטף")</x:f>
        <x:v>הכנסה שסווגה מחדש</x:v>
      </x:c>
      <x:c r="K730" s="19" t="str">
        <x:f>IF(OR(H730="ריביות",AND(H730="דירה כצנלסון",G730&lt;0,ISNUMBER(SEARCH("הכנסה",F730)))),"הכנסה שסווגה מחדש",J730)</x:f>
        <x:v>הכנסה שסווגה מחדש</x:v>
      </x:c>
      <x:c r="L730" s="19" t="str">
        <x:v>מאושר</x:v>
      </x:c>
      <x:c r="M730" s="20" t="n">
        <x:f>IF(L730="מאושר",IF(K730="הכנסה שסווגה מחדש",0,G730),0)</x:f>
        <x:v>0</x:v>
      </x:c>
      <x:c r="N730" s="20" t="n">
        <x:f>IF(K730="שוטף",M730,0)</x:f>
        <x:v>0</x:v>
      </x:c>
      <x:c r="O730" s="20" t="n">
        <x:f>IF(K730="הכנסה שסווגה מחדש",-G730,0)</x:f>
        <x:v>84</x:v>
      </x:c>
      <x:c r="P730" s="11" t="str">
        <x:v>one zero</x:v>
      </x:c>
      <x:c r="Q730" s="11" t="str"/>
      <x:c r="R730" s="11" t="str">
        <x:v>לא</x:v>
      </x:c>
    </x:row>
    <x:row r="731">
      <x:c r="A731" s="14" t="n">
        <x:v>45870</x:v>
      </x:c>
      <x:c r="B731" s="11" t="str">
        <x:v>2025-08</x:v>
      </x:c>
      <x:c r="C731" s="11" t="str">
        <x:v>אוגוסט 25</x:v>
      </x:c>
      <x:c r="D731" s="15" t="n">
        <x:v>2</x:v>
      </x:c>
      <x:c r="E731" s="11" t="str">
        <x:v>14</x:v>
      </x:c>
      <x:c r="F731" s="11" t="str">
        <x:v>שכר דירה</x:v>
      </x:c>
      <x:c r="G731" s="17" t="n">
        <x:v>8000</x:v>
      </x:c>
      <x:c r="H731" s="18" t="str">
        <x:v>מגורים חודשי</x:v>
      </x:c>
      <x:c r="I731" s="19" t="str">
        <x:f>IFERROR(INDEX('מיפוי ומקורות'!$C$7:$C$33,MATCH(H731,'מיפוי ומקורות'!$B$7:$B$33,0)),"לא מסווג")</x:f>
        <x:v>דיור – בית מגורים</x:v>
      </x:c>
      <x:c r="J731" s="19" t="str">
        <x:f>IFERROR(INDEX('מיפוי ומקורות'!$D$7:$D$33,MATCH(H731,'מיפוי ומקורות'!$B$7:$B$33,0)),"שוטף")</x:f>
        <x:v>שוטף</x:v>
      </x:c>
      <x:c r="K731" s="19" t="str">
        <x:f>IF(OR(H731="ריביות",AND(H731="דירה כצנלסון",G731&lt;0,ISNUMBER(SEARCH("הכנסה",F731)))),"הכנסה שסווגה מחדש",J731)</x:f>
        <x:v>שוטף</x:v>
      </x:c>
      <x:c r="L731" s="19" t="str">
        <x:v>מאושר</x:v>
      </x:c>
      <x:c r="M731" s="20" t="n">
        <x:f>IF(L731="מאושר",IF(K731="הכנסה שסווגה מחדש",0,G731),0)</x:f>
        <x:v>8000</x:v>
      </x:c>
      <x:c r="N731" s="20" t="n">
        <x:f>IF(K731="שוטף",M731,0)</x:f>
        <x:v>8000</x:v>
      </x:c>
      <x:c r="O731" s="20" t="n">
        <x:f>IF(K731="הכנסה שסווגה מחדש",-G731,0)</x:f>
        <x:v>0</x:v>
      </x:c>
      <x:c r="P731" s="11" t="str">
        <x:v>דיסקונט</x:v>
      </x:c>
      <x:c r="Q731" s="11" t="str"/>
      <x:c r="R731" s="11" t="str">
        <x:v>לא</x:v>
      </x:c>
    </x:row>
    <x:row r="732">
      <x:c r="A732" s="14" t="n">
        <x:v>45870</x:v>
      </x:c>
      <x:c r="B732" s="11" t="str">
        <x:v>2025-08</x:v>
      </x:c>
      <x:c r="C732" s="11" t="str">
        <x:v>אוגוסט 25</x:v>
      </x:c>
      <x:c r="D732" s="15" t="n">
        <x:v>3</x:v>
      </x:c>
      <x:c r="E732" s="11" t="str">
        <x:v>10</x:v>
      </x:c>
      <x:c r="F732" s="11" t="str">
        <x:v>משכנתא</x:v>
      </x:c>
      <x:c r="G732" s="17" t="n">
        <x:v>6139</x:v>
      </x:c>
      <x:c r="H732" s="18" t="str">
        <x:v>דירה כצנלסון</x:v>
      </x:c>
      <x:c r="I732" s="19" t="str">
        <x:f>IFERROR(INDEX('מיפוי ומקורות'!$C$7:$C$33,MATCH(H732,'מיפוי ומקורות'!$B$7:$B$33,0)),"לא מסווג")</x:f>
        <x:v>נכס להשקעה</x:v>
      </x:c>
      <x:c r="J732" s="19" t="str">
        <x:f>IFERROR(INDEX('מיפוי ומקורות'!$D$7:$D$33,MATCH(H732,'מיפוי ומקורות'!$B$7:$B$33,0)),"שוטף")</x:f>
        <x:v>חריג/נכס</x:v>
      </x:c>
      <x:c r="K732" s="19" t="str">
        <x:f>IF(OR(H732="ריביות",AND(H732="דירה כצנלסון",G732&lt;0,ISNUMBER(SEARCH("הכנסה",F732)))),"הכנסה שסווגה מחדש",J732)</x:f>
        <x:v>חריג/נכס</x:v>
      </x:c>
      <x:c r="L732" s="19" t="str">
        <x:v>מאושר</x:v>
      </x:c>
      <x:c r="M732" s="20" t="n">
        <x:f>IF(L732="מאושר",IF(K732="הכנסה שסווגה מחדש",0,G732),0)</x:f>
        <x:v>6139</x:v>
      </x:c>
      <x:c r="N732" s="20" t="n">
        <x:f>IF(K732="שוטף",M732,0)</x:f>
        <x:v>0</x:v>
      </x:c>
      <x:c r="O732" s="20" t="n">
        <x:f>IF(K732="הכנסה שסווגה מחדש",-G732,0)</x:f>
        <x:v>0</x:v>
      </x:c>
      <x:c r="P732" s="11" t="str">
        <x:v>דיסקונט</x:v>
      </x:c>
      <x:c r="Q732" s="11" t="str"/>
      <x:c r="R732" s="11" t="str">
        <x:v>לא</x:v>
      </x:c>
    </x:row>
    <x:row r="733">
      <x:c r="A733" s="14" t="n">
        <x:v>45870</x:v>
      </x:c>
      <x:c r="B733" s="11" t="str">
        <x:v>2025-08</x:v>
      </x:c>
      <x:c r="C733" s="11" t="str">
        <x:v>אוגוסט 25</x:v>
      </x:c>
      <x:c r="D733" s="15" t="n">
        <x:v>4</x:v>
      </x:c>
      <x:c r="E733" s="11" t="str"/>
      <x:c r="F733" s="11" t="str">
        <x:v>הכנסה משכר דירה</x:v>
      </x:c>
      <x:c r="G733" s="17" t="n">
        <x:v>-6500</x:v>
      </x:c>
      <x:c r="H733" s="18" t="str">
        <x:v>דירה כצנלסון</x:v>
      </x:c>
      <x:c r="I733" s="19" t="str">
        <x:f>IFERROR(INDEX('מיפוי ומקורות'!$C$7:$C$33,MATCH(H733,'מיפוי ומקורות'!$B$7:$B$33,0)),"לא מסווג")</x:f>
        <x:v>נכס להשקעה</x:v>
      </x:c>
      <x:c r="J733" s="19" t="str">
        <x:f>IFERROR(INDEX('מיפוי ומקורות'!$D$7:$D$33,MATCH(H733,'מיפוי ומקורות'!$B$7:$B$33,0)),"שוטף")</x:f>
        <x:v>חריג/נכס</x:v>
      </x:c>
      <x:c r="K733" s="19" t="str">
        <x:f>IF(OR(H733="ריביות",AND(H733="דירה כצנלסון",G733&lt;0,ISNUMBER(SEARCH("הכנסה",F733)))),"הכנסה שסווגה מחדש",J733)</x:f>
        <x:v>הכנסה שסווגה מחדש</x:v>
      </x:c>
      <x:c r="L733" s="19" t="str">
        <x:v>מאושר</x:v>
      </x:c>
      <x:c r="M733" s="20" t="n">
        <x:f>IF(L733="מאושר",IF(K733="הכנסה שסווגה מחדש",0,G733),0)</x:f>
        <x:v>0</x:v>
      </x:c>
      <x:c r="N733" s="20" t="n">
        <x:f>IF(K733="שוטף",M733,0)</x:f>
        <x:v>0</x:v>
      </x:c>
      <x:c r="O733" s="20" t="n">
        <x:f>IF(K733="הכנסה שסווגה מחדש",-G733,0)</x:f>
        <x:v>6500</x:v>
      </x:c>
      <x:c r="P733" s="11" t="str">
        <x:v>one zero</x:v>
      </x:c>
      <x:c r="Q733" s="11" t="str"/>
      <x:c r="R733" s="11" t="str">
        <x:v>לא</x:v>
      </x:c>
    </x:row>
    <x:row r="734">
      <x:c r="A734" s="14" t="n">
        <x:v>45870</x:v>
      </x:c>
      <x:c r="B734" s="11" t="str">
        <x:v>2025-08</x:v>
      </x:c>
      <x:c r="C734" s="11" t="str">
        <x:v>אוגוסט 25</x:v>
      </x:c>
      <x:c r="D734" s="15" t="n">
        <x:v>5</x:v>
      </x:c>
      <x:c r="E734" s="11" t="str">
        <x:v>26</x:v>
      </x:c>
      <x:c r="F734" s="11" t="str">
        <x:v>ארנונה</x:v>
      </x:c>
      <x:c r="G734" s="17" t="n">
        <x:v>997</x:v>
      </x:c>
      <x:c r="H734" s="18" t="str">
        <x:v>מגורים צריכה</x:v>
      </x:c>
      <x:c r="I734" s="19" t="str">
        <x:f>IFERROR(INDEX('מיפוי ומקורות'!$C$7:$C$33,MATCH(H734,'מיפוי ומקורות'!$B$7:$B$33,0)),"לא מסווג")</x:f>
        <x:v>דיור – בית מגורים</x:v>
      </x:c>
      <x:c r="J734" s="19" t="str">
        <x:f>IFERROR(INDEX('מיפוי ומקורות'!$D$7:$D$33,MATCH(H734,'מיפוי ומקורות'!$B$7:$B$33,0)),"שוטף")</x:f>
        <x:v>שוטף</x:v>
      </x:c>
      <x:c r="K734" s="19" t="str">
        <x:f>IF(OR(H734="ריביות",AND(H734="דירה כצנלסון",G734&lt;0,ISNUMBER(SEARCH("הכנסה",F734)))),"הכנסה שסווגה מחדש",J734)</x:f>
        <x:v>שוטף</x:v>
      </x:c>
      <x:c r="L734" s="19" t="str">
        <x:v>מאושר</x:v>
      </x:c>
      <x:c r="M734" s="20" t="n">
        <x:f>IF(L734="מאושר",IF(K734="הכנסה שסווגה מחדש",0,G734),0)</x:f>
        <x:v>997</x:v>
      </x:c>
      <x:c r="N734" s="20" t="n">
        <x:f>IF(K734="שוטף",M734,0)</x:f>
        <x:v>997</x:v>
      </x:c>
      <x:c r="O734" s="20" t="n">
        <x:f>IF(K734="הכנסה שסווגה מחדש",-G734,0)</x:f>
        <x:v>0</x:v>
      </x:c>
      <x:c r="P734" s="11" t="str">
        <x:v>אמקס עינור</x:v>
      </x:c>
      <x:c r="Q734" s="11" t="str"/>
      <x:c r="R734" s="11" t="str">
        <x:v>לא</x:v>
      </x:c>
    </x:row>
    <x:row r="735">
      <x:c r="A735" s="14" t="n">
        <x:v>45870</x:v>
      </x:c>
      <x:c r="B735" s="11" t="str">
        <x:v>2025-08</x:v>
      </x:c>
      <x:c r="C735" s="11" t="str">
        <x:v>אוגוסט 25</x:v>
      </x:c>
      <x:c r="D735" s="15" t="n">
        <x:v>6</x:v>
      </x:c>
      <x:c r="E735" s="11" t="str">
        <x:v>2</x:v>
      </x:c>
      <x:c r="F735" s="11" t="str">
        <x:v>חשמל</x:v>
      </x:c>
      <x:c r="G735" s="17" t="n">
        <x:v>202</x:v>
      </x:c>
      <x:c r="H735" s="18" t="str">
        <x:v>מגורים צריכה</x:v>
      </x:c>
      <x:c r="I735" s="19" t="str">
        <x:f>IFERROR(INDEX('מיפוי ומקורות'!$C$7:$C$33,MATCH(H735,'מיפוי ומקורות'!$B$7:$B$33,0)),"לא מסווג")</x:f>
        <x:v>דיור – בית מגורים</x:v>
      </x:c>
      <x:c r="J735" s="19" t="str">
        <x:f>IFERROR(INDEX('מיפוי ומקורות'!$D$7:$D$33,MATCH(H735,'מיפוי ומקורות'!$B$7:$B$33,0)),"שוטף")</x:f>
        <x:v>שוטף</x:v>
      </x:c>
      <x:c r="K735" s="19" t="str">
        <x:f>IF(OR(H735="ריביות",AND(H735="דירה כצנלסון",G735&lt;0,ISNUMBER(SEARCH("הכנסה",F735)))),"הכנסה שסווגה מחדש",J735)</x:f>
        <x:v>שוטף</x:v>
      </x:c>
      <x:c r="L735" s="19" t="str">
        <x:v>מאושר</x:v>
      </x:c>
      <x:c r="M735" s="20" t="n">
        <x:f>IF(L735="מאושר",IF(K735="הכנסה שסווגה מחדש",0,G735),0)</x:f>
        <x:v>202</x:v>
      </x:c>
      <x:c r="N735" s="20" t="n">
        <x:f>IF(K735="שוטף",M735,0)</x:f>
        <x:v>202</x:v>
      </x:c>
      <x:c r="O735" s="20" t="n">
        <x:f>IF(K735="הכנסה שסווגה מחדש",-G735,0)</x:f>
        <x:v>0</x:v>
      </x:c>
      <x:c r="P735" s="11" t="str">
        <x:v>אמקס זיו</x:v>
      </x:c>
      <x:c r="Q735" s="11" t="str"/>
      <x:c r="R735" s="11" t="str">
        <x:v>לא</x:v>
      </x:c>
    </x:row>
    <x:row r="736">
      <x:c r="A736" s="14" t="n">
        <x:v>45870</x:v>
      </x:c>
      <x:c r="B736" s="11" t="str">
        <x:v>2025-08</x:v>
      </x:c>
      <x:c r="C736" s="11" t="str">
        <x:v>אוגוסט 25</x:v>
      </x:c>
      <x:c r="D736" s="15" t="n">
        <x:v>7</x:v>
      </x:c>
      <x:c r="E736" s="11" t="str"/>
      <x:c r="F736" s="11" t="str">
        <x:v>מים</x:v>
      </x:c>
      <x:c r="G736" s="17" t="n">
        <x:v>0</x:v>
      </x:c>
      <x:c r="H736" s="18" t="str">
        <x:v>מגורים צריכה</x:v>
      </x:c>
      <x:c r="I736" s="19" t="str">
        <x:f>IFERROR(INDEX('מיפוי ומקורות'!$C$7:$C$33,MATCH(H736,'מיפוי ומקורות'!$B$7:$B$33,0)),"לא מסווג")</x:f>
        <x:v>דיור – בית מגורים</x:v>
      </x:c>
      <x:c r="J736" s="19" t="str">
        <x:f>IFERROR(INDEX('מיפוי ומקורות'!$D$7:$D$33,MATCH(H736,'מיפוי ומקורות'!$B$7:$B$33,0)),"שוטף")</x:f>
        <x:v>שוטף</x:v>
      </x:c>
      <x:c r="K736" s="19" t="str">
        <x:f>IF(OR(H736="ריביות",AND(H736="דירה כצנלסון",G736&lt;0,ISNUMBER(SEARCH("הכנסה",F736)))),"הכנסה שסווגה מחדש",J736)</x:f>
        <x:v>שוטף</x:v>
      </x:c>
      <x:c r="L736" s="19" t="str">
        <x:v>מאושר</x:v>
      </x:c>
      <x:c r="M736" s="20" t="n">
        <x:f>IF(L736="מאושר",IF(K736="הכנסה שסווגה מחדש",0,G736),0)</x:f>
        <x:v>0</x:v>
      </x:c>
      <x:c r="N736" s="20" t="n">
        <x:f>IF(K736="שוטף",M736,0)</x:f>
        <x:v>0</x:v>
      </x:c>
      <x:c r="O736" s="20" t="n">
        <x:f>IF(K736="הכנסה שסווגה מחדש",-G736,0)</x:f>
        <x:v>0</x:v>
      </x:c>
      <x:c r="P736" s="11" t="str"/>
      <x:c r="Q736" s="11" t="str"/>
      <x:c r="R736" s="11" t="str">
        <x:v>לא</x:v>
      </x:c>
    </x:row>
    <x:row r="737">
      <x:c r="A737" s="14" t="n">
        <x:v>45870</x:v>
      </x:c>
      <x:c r="B737" s="11" t="str">
        <x:v>2025-08</x:v>
      </x:c>
      <x:c r="C737" s="11" t="str">
        <x:v>אוגוסט 25</x:v>
      </x:c>
      <x:c r="D737" s="15" t="n">
        <x:v>8</x:v>
      </x:c>
      <x:c r="E737" s="11" t="str"/>
      <x:c r="F737" s="11" t="str">
        <x:v>ועד בית</x:v>
      </x:c>
      <x:c r="G737" s="17" t="n">
        <x:v>0</x:v>
      </x:c>
      <x:c r="H737" s="18" t="str">
        <x:v>מגורים צריכה</x:v>
      </x:c>
      <x:c r="I737" s="19" t="str">
        <x:f>IFERROR(INDEX('מיפוי ומקורות'!$C$7:$C$33,MATCH(H737,'מיפוי ומקורות'!$B$7:$B$33,0)),"לא מסווג")</x:f>
        <x:v>דיור – בית מגורים</x:v>
      </x:c>
      <x:c r="J737" s="19" t="str">
        <x:f>IFERROR(INDEX('מיפוי ומקורות'!$D$7:$D$33,MATCH(H737,'מיפוי ומקורות'!$B$7:$B$33,0)),"שוטף")</x:f>
        <x:v>שוטף</x:v>
      </x:c>
      <x:c r="K737" s="19" t="str">
        <x:f>IF(OR(H737="ריביות",AND(H737="דירה כצנלסון",G737&lt;0,ISNUMBER(SEARCH("הכנסה",F737)))),"הכנסה שסווגה מחדש",J737)</x:f>
        <x:v>שוטף</x:v>
      </x:c>
      <x:c r="L737" s="19" t="str">
        <x:v>מאושר</x:v>
      </x:c>
      <x:c r="M737" s="20" t="n">
        <x:f>IF(L737="מאושר",IF(K737="הכנסה שסווגה מחדש",0,G737),0)</x:f>
        <x:v>0</x:v>
      </x:c>
      <x:c r="N737" s="20" t="n">
        <x:f>IF(K737="שוטף",M737,0)</x:f>
        <x:v>0</x:v>
      </x:c>
      <x:c r="O737" s="20" t="n">
        <x:f>IF(K737="הכנסה שסווגה מחדש",-G737,0)</x:f>
        <x:v>0</x:v>
      </x:c>
      <x:c r="P737" s="11" t="str"/>
      <x:c r="Q737" s="11" t="str"/>
      <x:c r="R737" s="11" t="str">
        <x:v>לא</x:v>
      </x:c>
    </x:row>
    <x:row r="738">
      <x:c r="A738" s="14" t="n">
        <x:v>45870</x:v>
      </x:c>
      <x:c r="B738" s="11" t="str">
        <x:v>2025-08</x:v>
      </x:c>
      <x:c r="C738" s="11" t="str">
        <x:v>אוגוסט 25</x:v>
      </x:c>
      <x:c r="D738" s="15" t="n">
        <x:v>9</x:v>
      </x:c>
      <x:c r="E738" s="11" t="str"/>
      <x:c r="F738" s="11" t="str">
        <x:v>גז</x:v>
      </x:c>
      <x:c r="G738" s="17" t="n">
        <x:v>0</x:v>
      </x:c>
      <x:c r="H738" s="18" t="str">
        <x:v>מגורים צריכה</x:v>
      </x:c>
      <x:c r="I738" s="19" t="str">
        <x:f>IFERROR(INDEX('מיפוי ומקורות'!$C$7:$C$33,MATCH(H738,'מיפוי ומקורות'!$B$7:$B$33,0)),"לא מסווג")</x:f>
        <x:v>דיור – בית מגורים</x:v>
      </x:c>
      <x:c r="J738" s="19" t="str">
        <x:f>IFERROR(INDEX('מיפוי ומקורות'!$D$7:$D$33,MATCH(H738,'מיפוי ומקורות'!$B$7:$B$33,0)),"שוטף")</x:f>
        <x:v>שוטף</x:v>
      </x:c>
      <x:c r="K738" s="19" t="str">
        <x:f>IF(OR(H738="ריביות",AND(H738="דירה כצנלסון",G738&lt;0,ISNUMBER(SEARCH("הכנסה",F738)))),"הכנסה שסווגה מחדש",J738)</x:f>
        <x:v>שוטף</x:v>
      </x:c>
      <x:c r="L738" s="19" t="str">
        <x:v>מאושר</x:v>
      </x:c>
      <x:c r="M738" s="20" t="n">
        <x:f>IF(L738="מאושר",IF(K738="הכנסה שסווגה מחדש",0,G738),0)</x:f>
        <x:v>0</x:v>
      </x:c>
      <x:c r="N738" s="20" t="n">
        <x:f>IF(K738="שוטף",M738,0)</x:f>
        <x:v>0</x:v>
      </x:c>
      <x:c r="O738" s="20" t="n">
        <x:f>IF(K738="הכנסה שסווגה מחדש",-G738,0)</x:f>
        <x:v>0</x:v>
      </x:c>
      <x:c r="P738" s="11" t="str"/>
      <x:c r="Q738" s="11" t="str"/>
      <x:c r="R738" s="11" t="str">
        <x:v>לא</x:v>
      </x:c>
    </x:row>
    <x:row r="739">
      <x:c r="A739" s="14" t="n">
        <x:v>45870</x:v>
      </x:c>
      <x:c r="B739" s="11" t="str">
        <x:v>2025-08</x:v>
      </x:c>
      <x:c r="C739" s="11" t="str">
        <x:v>אוגוסט 25</x:v>
      </x:c>
      <x:c r="D739" s="15" t="n">
        <x:v>10</x:v>
      </x:c>
      <x:c r="E739" s="11" t="str">
        <x:v>12</x:v>
      </x:c>
      <x:c r="F739" s="11" t="str">
        <x:v>סלולר + אינטרנט</x:v>
      </x:c>
      <x:c r="G739" s="17" t="n">
        <x:v>193</x:v>
      </x:c>
      <x:c r="H739" s="18" t="str">
        <x:v>מגורים חודשי</x:v>
      </x:c>
      <x:c r="I739" s="19" t="str">
        <x:f>IFERROR(INDEX('מיפוי ומקורות'!$C$7:$C$33,MATCH(H739,'מיפוי ומקורות'!$B$7:$B$33,0)),"לא מסווג")</x:f>
        <x:v>דיור – בית מגורים</x:v>
      </x:c>
      <x:c r="J739" s="19" t="str">
        <x:f>IFERROR(INDEX('מיפוי ומקורות'!$D$7:$D$33,MATCH(H739,'מיפוי ומקורות'!$B$7:$B$33,0)),"שוטף")</x:f>
        <x:v>שוטף</x:v>
      </x:c>
      <x:c r="K739" s="19" t="str">
        <x:f>IF(OR(H739="ריביות",AND(H739="דירה כצנלסון",G739&lt;0,ISNUMBER(SEARCH("הכנסה",F739)))),"הכנסה שסווגה מחדש",J739)</x:f>
        <x:v>שוטף</x:v>
      </x:c>
      <x:c r="L739" s="19" t="str">
        <x:v>מאושר</x:v>
      </x:c>
      <x:c r="M739" s="20" t="n">
        <x:f>IF(L739="מאושר",IF(K739="הכנסה שסווגה מחדש",0,G739),0)</x:f>
        <x:v>193</x:v>
      </x:c>
      <x:c r="N739" s="20" t="n">
        <x:f>IF(K739="שוטף",M739,0)</x:f>
        <x:v>193</x:v>
      </x:c>
      <x:c r="O739" s="20" t="n">
        <x:f>IF(K739="הכנסה שסווגה מחדש",-G739,0)</x:f>
        <x:v>0</x:v>
      </x:c>
      <x:c r="P739" s="11" t="str">
        <x:v>אמקס זיו</x:v>
      </x:c>
      <x:c r="Q739" s="11" t="str"/>
      <x:c r="R739" s="11" t="str">
        <x:v>לא</x:v>
      </x:c>
    </x:row>
    <x:row r="740">
      <x:c r="A740" s="14" t="n">
        <x:v>45870</x:v>
      </x:c>
      <x:c r="B740" s="11" t="str">
        <x:v>2025-08</x:v>
      </x:c>
      <x:c r="C740" s="11" t="str">
        <x:v>אוגוסט 25</x:v>
      </x:c>
      <x:c r="D740" s="15" t="n">
        <x:v>11</x:v>
      </x:c>
      <x:c r="E740" s="11" t="str">
        <x:v>28</x:v>
      </x:c>
      <x:c r="F740" s="11" t="str">
        <x:v>ביטוח מבנה</x:v>
      </x:c>
      <x:c r="G740" s="17" t="n">
        <x:v>93</x:v>
      </x:c>
      <x:c r="H740" s="18" t="str">
        <x:v>דירה כצנלסון</x:v>
      </x:c>
      <x:c r="I740" s="19" t="str">
        <x:f>IFERROR(INDEX('מיפוי ומקורות'!$C$7:$C$33,MATCH(H740,'מיפוי ומקורות'!$B$7:$B$33,0)),"לא מסווג")</x:f>
        <x:v>נכס להשקעה</x:v>
      </x:c>
      <x:c r="J740" s="19" t="str">
        <x:f>IFERROR(INDEX('מיפוי ומקורות'!$D$7:$D$33,MATCH(H740,'מיפוי ומקורות'!$B$7:$B$33,0)),"שוטף")</x:f>
        <x:v>חריג/נכס</x:v>
      </x:c>
      <x:c r="K740" s="19" t="str">
        <x:f>IF(OR(H740="ריביות",AND(H740="דירה כצנלסון",G740&lt;0,ISNUMBER(SEARCH("הכנסה",F740)))),"הכנסה שסווגה מחדש",J740)</x:f>
        <x:v>חריג/נכס</x:v>
      </x:c>
      <x:c r="L740" s="19" t="str">
        <x:v>מאושר</x:v>
      </x:c>
      <x:c r="M740" s="20" t="n">
        <x:f>IF(L740="מאושר",IF(K740="הכנסה שסווגה מחדש",0,G740),0)</x:f>
        <x:v>93</x:v>
      </x:c>
      <x:c r="N740" s="20" t="n">
        <x:f>IF(K740="שוטף",M740,0)</x:f>
        <x:v>0</x:v>
      </x:c>
      <x:c r="O740" s="20" t="n">
        <x:f>IF(K740="הכנסה שסווגה מחדש",-G740,0)</x:f>
        <x:v>0</x:v>
      </x:c>
      <x:c r="P740" s="11" t="str">
        <x:v>אמקס זיו</x:v>
      </x:c>
      <x:c r="Q740" s="11" t="str"/>
      <x:c r="R740" s="11" t="str">
        <x:v>לא</x:v>
      </x:c>
    </x:row>
    <x:row r="741">
      <x:c r="A741" s="14" t="n">
        <x:v>45870</x:v>
      </x:c>
      <x:c r="B741" s="11" t="str">
        <x:v>2025-08</x:v>
      </x:c>
      <x:c r="C741" s="11" t="str">
        <x:v>אוגוסט 25</x:v>
      </x:c>
      <x:c r="D741" s="15" t="n">
        <x:v>12</x:v>
      </x:c>
      <x:c r="E741" s="11" t="str">
        <x:v>28</x:v>
      </x:c>
      <x:c r="F741" s="11" t="str">
        <x:v>ביטוח חיים</x:v>
      </x:c>
      <x:c r="G741" s="17" t="n">
        <x:v>29</x:v>
      </x:c>
      <x:c r="H741" s="18" t="str">
        <x:v>דירה כצנלסון</x:v>
      </x:c>
      <x:c r="I741" s="19" t="str">
        <x:f>IFERROR(INDEX('מיפוי ומקורות'!$C$7:$C$33,MATCH(H741,'מיפוי ומקורות'!$B$7:$B$33,0)),"לא מסווג")</x:f>
        <x:v>נכס להשקעה</x:v>
      </x:c>
      <x:c r="J741" s="19" t="str">
        <x:f>IFERROR(INDEX('מיפוי ומקורות'!$D$7:$D$33,MATCH(H741,'מיפוי ומקורות'!$B$7:$B$33,0)),"שוטף")</x:f>
        <x:v>חריג/נכס</x:v>
      </x:c>
      <x:c r="K741" s="19" t="str">
        <x:f>IF(OR(H741="ריביות",AND(H741="דירה כצנלסון",G741&lt;0,ISNUMBER(SEARCH("הכנסה",F741)))),"הכנסה שסווגה מחדש",J741)</x:f>
        <x:v>חריג/נכס</x:v>
      </x:c>
      <x:c r="L741" s="19" t="str">
        <x:v>מאושר</x:v>
      </x:c>
      <x:c r="M741" s="20" t="n">
        <x:f>IF(L741="מאושר",IF(K741="הכנסה שסווגה מחדש",0,G741),0)</x:f>
        <x:v>29</x:v>
      </x:c>
      <x:c r="N741" s="20" t="n">
        <x:f>IF(K741="שוטף",M741,0)</x:f>
        <x:v>0</x:v>
      </x:c>
      <x:c r="O741" s="20" t="n">
        <x:f>IF(K741="הכנסה שסווגה מחדש",-G741,0)</x:f>
        <x:v>0</x:v>
      </x:c>
      <x:c r="P741" s="11" t="str">
        <x:v>אמקס זיו</x:v>
      </x:c>
      <x:c r="Q741" s="11" t="str"/>
      <x:c r="R741" s="11" t="str">
        <x:v>לא</x:v>
      </x:c>
    </x:row>
    <x:row r="742">
      <x:c r="A742" s="14" t="n">
        <x:v>45870</x:v>
      </x:c>
      <x:c r="B742" s="11" t="str">
        <x:v>2025-08</x:v>
      </x:c>
      <x:c r="C742" s="11" t="str">
        <x:v>אוגוסט 25</x:v>
      </x:c>
      <x:c r="D742" s="15" t="n">
        <x:v>13</x:v>
      </x:c>
      <x:c r="E742" s="11" t="str">
        <x:v>26</x:v>
      </x:c>
      <x:c r="F742" s="11" t="str">
        <x:v>ביטוח בריאות</x:v>
      </x:c>
      <x:c r="G742" s="17" t="n">
        <x:v>115</x:v>
      </x:c>
      <x:c r="H742" s="18" t="str">
        <x:v>ביטוח</x:v>
      </x:c>
      <x:c r="I742" s="19" t="str">
        <x:f>IFERROR(INDEX('מיפוי ומקורות'!$C$7:$C$33,MATCH(H742,'מיפוי ומקורות'!$B$7:$B$33,0)),"לא מסווג")</x:f>
        <x:v>ביטוח</x:v>
      </x:c>
      <x:c r="J742" s="19" t="str">
        <x:f>IFERROR(INDEX('מיפוי ומקורות'!$D$7:$D$33,MATCH(H742,'מיפוי ומקורות'!$B$7:$B$33,0)),"שוטף")</x:f>
        <x:v>שוטף</x:v>
      </x:c>
      <x:c r="K742" s="19" t="str">
        <x:f>IF(OR(H742="ריביות",AND(H742="דירה כצנלסון",G742&lt;0,ISNUMBER(SEARCH("הכנסה",F742)))),"הכנסה שסווגה מחדש",J742)</x:f>
        <x:v>שוטף</x:v>
      </x:c>
      <x:c r="L742" s="19" t="str">
        <x:v>מאושר</x:v>
      </x:c>
      <x:c r="M742" s="20" t="n">
        <x:f>IF(L742="מאושר",IF(K742="הכנסה שסווגה מחדש",0,G742),0)</x:f>
        <x:v>115</x:v>
      </x:c>
      <x:c r="N742" s="20" t="n">
        <x:f>IF(K742="שוטף",M742,0)</x:f>
        <x:v>115</x:v>
      </x:c>
      <x:c r="O742" s="20" t="n">
        <x:f>IF(K742="הכנסה שסווגה מחדש",-G742,0)</x:f>
        <x:v>0</x:v>
      </x:c>
      <x:c r="P742" s="11" t="str">
        <x:v>אמקס עינור</x:v>
      </x:c>
      <x:c r="Q742" s="11" t="str"/>
      <x:c r="R742" s="11" t="str">
        <x:v>לא</x:v>
      </x:c>
    </x:row>
    <x:row r="743">
      <x:c r="A743" s="14" t="n">
        <x:v>45870</x:v>
      </x:c>
      <x:c r="B743" s="11" t="str">
        <x:v>2025-08</x:v>
      </x:c>
      <x:c r="C743" s="11" t="str">
        <x:v>אוגוסט 25</x:v>
      </x:c>
      <x:c r="D743" s="15" t="n">
        <x:v>14</x:v>
      </x:c>
      <x:c r="E743" s="11" t="str"/>
      <x:c r="F743" s="11" t="str">
        <x:v>מנקה</x:v>
      </x:c>
      <x:c r="G743" s="17" t="n">
        <x:v>400</x:v>
      </x:c>
      <x:c r="H743" s="18" t="str">
        <x:v>מגורים צריכה</x:v>
      </x:c>
      <x:c r="I743" s="19" t="str">
        <x:f>IFERROR(INDEX('מיפוי ומקורות'!$C$7:$C$33,MATCH(H743,'מיפוי ומקורות'!$B$7:$B$33,0)),"לא מסווג")</x:f>
        <x:v>דיור – בית מגורים</x:v>
      </x:c>
      <x:c r="J743" s="19" t="str">
        <x:f>IFERROR(INDEX('מיפוי ומקורות'!$D$7:$D$33,MATCH(H743,'מיפוי ומקורות'!$B$7:$B$33,0)),"שוטף")</x:f>
        <x:v>שוטף</x:v>
      </x:c>
      <x:c r="K743" s="19" t="str">
        <x:f>IF(OR(H743="ריביות",AND(H743="דירה כצנלסון",G743&lt;0,ISNUMBER(SEARCH("הכנסה",F743)))),"הכנסה שסווגה מחדש",J743)</x:f>
        <x:v>שוטף</x:v>
      </x:c>
      <x:c r="L743" s="19" t="str">
        <x:v>מאושר</x:v>
      </x:c>
      <x:c r="M743" s="20" t="n">
        <x:f>IF(L743="מאושר",IF(K743="הכנסה שסווגה מחדש",0,G743),0)</x:f>
        <x:v>400</x:v>
      </x:c>
      <x:c r="N743" s="20" t="n">
        <x:f>IF(K743="שוטף",M743,0)</x:f>
        <x:v>400</x:v>
      </x:c>
      <x:c r="O743" s="20" t="n">
        <x:f>IF(K743="הכנסה שסווגה מחדש",-G743,0)</x:f>
        <x:v>0</x:v>
      </x:c>
      <x:c r="P743" s="11" t="str">
        <x:v>מזומן</x:v>
      </x:c>
      <x:c r="Q743" s="11" t="str"/>
      <x:c r="R743" s="11" t="str">
        <x:v>לא</x:v>
      </x:c>
    </x:row>
    <x:row r="744">
      <x:c r="A744" s="14" t="n">
        <x:v>45870</x:v>
      </x:c>
      <x:c r="B744" s="11" t="str">
        <x:v>2025-08</x:v>
      </x:c>
      <x:c r="C744" s="11" t="str">
        <x:v>אוגוסט 25</x:v>
      </x:c>
      <x:c r="D744" s="15" t="n">
        <x:v>15</x:v>
      </x:c>
      <x:c r="E744" s="11" t="str"/>
      <x:c r="F744" s="11" t="str">
        <x:v>לייזר</x:v>
      </x:c>
      <x:c r="G744" s="17" t="n">
        <x:v>174</x:v>
      </x:c>
      <x:c r="H744" s="18" t="str">
        <x:v>קוסמטיקה</x:v>
      </x:c>
      <x:c r="I744" s="19" t="str">
        <x:f>IFERROR(INDEX('מיפוי ומקורות'!$C$7:$C$33,MATCH(H744,'מיפוי ומקורות'!$B$7:$B$33,0)),"לא מסווג")</x:f>
        <x:v>קוסמטיקה</x:v>
      </x:c>
      <x:c r="J744" s="19" t="str">
        <x:f>IFERROR(INDEX('מיפוי ומקורות'!$D$7:$D$33,MATCH(H744,'מיפוי ומקורות'!$B$7:$B$33,0)),"שוטף")</x:f>
        <x:v>שוטף</x:v>
      </x:c>
      <x:c r="K744" s="19" t="str">
        <x:f>IF(OR(H744="ריביות",AND(H744="דירה כצנלסון",G744&lt;0,ISNUMBER(SEARCH("הכנסה",F744)))),"הכנסה שסווגה מחדש",J744)</x:f>
        <x:v>שוטף</x:v>
      </x:c>
      <x:c r="L744" s="19" t="str">
        <x:v>מאושר</x:v>
      </x:c>
      <x:c r="M744" s="20" t="n">
        <x:f>IF(L744="מאושר",IF(K744="הכנסה שסווגה מחדש",0,G744),0)</x:f>
        <x:v>174</x:v>
      </x:c>
      <x:c r="N744" s="20" t="n">
        <x:f>IF(K744="שוטף",M744,0)</x:f>
        <x:v>174</x:v>
      </x:c>
      <x:c r="O744" s="20" t="n">
        <x:f>IF(K744="הכנסה שסווגה מחדש",-G744,0)</x:f>
        <x:v>0</x:v>
      </x:c>
      <x:c r="P744" s="11" t="str">
        <x:v>אמקס עינור</x:v>
      </x:c>
      <x:c r="Q744" s="11" t="str">
        <x:v>חבר</x:v>
      </x:c>
      <x:c r="R744" s="11" t="str">
        <x:v>לא</x:v>
      </x:c>
    </x:row>
    <x:row r="745">
      <x:c r="A745" s="14" t="n">
        <x:v>45870</x:v>
      </x:c>
      <x:c r="B745" s="11" t="str">
        <x:v>2025-08</x:v>
      </x:c>
      <x:c r="C745" s="11" t="str">
        <x:v>אוגוסט 25</x:v>
      </x:c>
      <x:c r="D745" s="15" t="n">
        <x:v>16</x:v>
      </x:c>
      <x:c r="E745" s="11" t="str">
        <x:v>26</x:v>
      </x:c>
      <x:c r="F745" s="11" t="str">
        <x:v>סופר</x:v>
      </x:c>
      <x:c r="G745" s="17" t="n">
        <x:v>828</x:v>
      </x:c>
      <x:c r="H745" s="18" t="str">
        <x:v>מזון לבית</x:v>
      </x:c>
      <x:c r="I745" s="19" t="str">
        <x:f>IFERROR(INDEX('מיפוי ומקורות'!$C$7:$C$33,MATCH(H745,'מיפוי ומקורות'!$B$7:$B$33,0)),"לא מסווג")</x:f>
        <x:v>מזון לבית</x:v>
      </x:c>
      <x:c r="J745" s="19" t="str">
        <x:f>IFERROR(INDEX('מיפוי ומקורות'!$D$7:$D$33,MATCH(H745,'מיפוי ומקורות'!$B$7:$B$33,0)),"שוטף")</x:f>
        <x:v>שוטף</x:v>
      </x:c>
      <x:c r="K745" s="19" t="str">
        <x:f>IF(OR(H745="ריביות",AND(H745="דירה כצנלסון",G745&lt;0,ISNUMBER(SEARCH("הכנסה",F745)))),"הכנסה שסווגה מחדש",J745)</x:f>
        <x:v>שוטף</x:v>
      </x:c>
      <x:c r="L745" s="19" t="str">
        <x:v>מאושר</x:v>
      </x:c>
      <x:c r="M745" s="20" t="n">
        <x:f>IF(L745="מאושר",IF(K745="הכנסה שסווגה מחדש",0,G745),0)</x:f>
        <x:v>828</x:v>
      </x:c>
      <x:c r="N745" s="20" t="n">
        <x:f>IF(K745="שוטף",M745,0)</x:f>
        <x:v>828</x:v>
      </x:c>
      <x:c r="O745" s="20" t="n">
        <x:f>IF(K745="הכנסה שסווגה מחדש",-G745,0)</x:f>
        <x:v>0</x:v>
      </x:c>
      <x:c r="P745" s="11" t="str">
        <x:v>אמקס עינור</x:v>
      </x:c>
      <x:c r="Q745" s="11" t="str">
        <x:v>חבר</x:v>
      </x:c>
      <x:c r="R745" s="11" t="str">
        <x:v>לא</x:v>
      </x:c>
    </x:row>
    <x:row r="746">
      <x:c r="A746" s="14" t="n">
        <x:v>45870</x:v>
      </x:c>
      <x:c r="B746" s="11" t="str">
        <x:v>2025-08</x:v>
      </x:c>
      <x:c r="C746" s="11" t="str">
        <x:v>אוגוסט 25</x:v>
      </x:c>
      <x:c r="D746" s="15" t="n">
        <x:v>17</x:v>
      </x:c>
      <x:c r="E746" s="11" t="str">
        <x:v>2</x:v>
      </x:c>
      <x:c r="F746" s="11" t="str">
        <x:v>צלם יפן</x:v>
      </x:c>
      <x:c r="G746" s="17" t="n">
        <x:v>1069</x:v>
      </x:c>
      <x:c r="H746" s="18" t="str">
        <x:v>חול</x:v>
      </x:c>
      <x:c r="I746" s="19" t="str">
        <x:f>IFERROR(INDEX('מיפוי ומקורות'!$C$7:$C$33,MATCH(H746,'מיפוי ומקורות'!$B$7:$B$33,0)),"לא מסווג")</x:f>
        <x:v>נסיעות וחופשות</x:v>
      </x:c>
      <x:c r="J746" s="19" t="str">
        <x:f>IFERROR(INDEX('מיפוי ומקורות'!$D$7:$D$33,MATCH(H746,'מיפוי ומקורות'!$B$7:$B$33,0)),"שוטף")</x:f>
        <x:v>חריג</x:v>
      </x:c>
      <x:c r="K746" s="19" t="str">
        <x:f>IF(OR(H746="ריביות",AND(H746="דירה כצנלסון",G746&lt;0,ISNUMBER(SEARCH("הכנסה",F746)))),"הכנסה שסווגה מחדש",J746)</x:f>
        <x:v>חריג</x:v>
      </x:c>
      <x:c r="L746" s="19" t="str">
        <x:v>מאושר</x:v>
      </x:c>
      <x:c r="M746" s="20" t="n">
        <x:f>IF(L746="מאושר",IF(K746="הכנסה שסווגה מחדש",0,G746),0)</x:f>
        <x:v>1069</x:v>
      </x:c>
      <x:c r="N746" s="20" t="n">
        <x:f>IF(K746="שוטף",M746,0)</x:f>
        <x:v>0</x:v>
      </x:c>
      <x:c r="O746" s="20" t="n">
        <x:f>IF(K746="הכנסה שסווגה מחדש",-G746,0)</x:f>
        <x:v>0</x:v>
      </x:c>
      <x:c r="P746" s="11" t="str">
        <x:v>אמקס עינור</x:v>
      </x:c>
      <x:c r="Q746" s="11" t="str"/>
      <x:c r="R746" s="11" t="str">
        <x:v>לא</x:v>
      </x:c>
    </x:row>
    <x:row r="747">
      <x:c r="A747" s="14" t="n">
        <x:v>45870</x:v>
      </x:c>
      <x:c r="B747" s="11" t="str">
        <x:v>2025-08</x:v>
      </x:c>
      <x:c r="C747" s="11" t="str">
        <x:v>אוגוסט 25</x:v>
      </x:c>
      <x:c r="D747" s="15" t="n">
        <x:v>18</x:v>
      </x:c>
      <x:c r="E747" s="11" t="str">
        <x:v>2</x:v>
      </x:c>
      <x:c r="F747" s="11" t="str">
        <x:v>טים לאב</x:v>
      </x:c>
      <x:c r="G747" s="17" t="n">
        <x:v>240</x:v>
      </x:c>
      <x:c r="H747" s="18" t="str">
        <x:v>חול</x:v>
      </x:c>
      <x:c r="I747" s="19" t="str">
        <x:f>IFERROR(INDEX('מיפוי ומקורות'!$C$7:$C$33,MATCH(H747,'מיפוי ומקורות'!$B$7:$B$33,0)),"לא מסווג")</x:f>
        <x:v>נסיעות וחופשות</x:v>
      </x:c>
      <x:c r="J747" s="19" t="str">
        <x:f>IFERROR(INDEX('מיפוי ומקורות'!$D$7:$D$33,MATCH(H747,'מיפוי ומקורות'!$B$7:$B$33,0)),"שוטף")</x:f>
        <x:v>חריג</x:v>
      </x:c>
      <x:c r="K747" s="19" t="str">
        <x:f>IF(OR(H747="ריביות",AND(H747="דירה כצנלסון",G747&lt;0,ISNUMBER(SEARCH("הכנסה",F747)))),"הכנסה שסווגה מחדש",J747)</x:f>
        <x:v>חריג</x:v>
      </x:c>
      <x:c r="L747" s="19" t="str">
        <x:v>מאושר</x:v>
      </x:c>
      <x:c r="M747" s="20" t="n">
        <x:f>IF(L747="מאושר",IF(K747="הכנסה שסווגה מחדש",0,G747),0)</x:f>
        <x:v>240</x:v>
      </x:c>
      <x:c r="N747" s="20" t="n">
        <x:f>IF(K747="שוטף",M747,0)</x:f>
        <x:v>0</x:v>
      </x:c>
      <x:c r="O747" s="20" t="n">
        <x:f>IF(K747="הכנסה שסווגה מחדש",-G747,0)</x:f>
        <x:v>0</x:v>
      </x:c>
      <x:c r="P747" s="11" t="str">
        <x:v>אמקס עינור</x:v>
      </x:c>
      <x:c r="Q747" s="11" t="str"/>
      <x:c r="R747" s="11" t="str">
        <x:v>לא</x:v>
      </x:c>
    </x:row>
    <x:row r="748">
      <x:c r="A748" s="14" t="n">
        <x:v>45870</x:v>
      </x:c>
      <x:c r="B748" s="11" t="str">
        <x:v>2025-08</x:v>
      </x:c>
      <x:c r="C748" s="11" t="str">
        <x:v>אוגוסט 25</x:v>
      </x:c>
      <x:c r="D748" s="15" t="n">
        <x:v>19</x:v>
      </x:c>
      <x:c r="E748" s="11" t="str">
        <x:v>2</x:v>
      </x:c>
      <x:c r="F748" s="11" t="str">
        <x:v>דרך אלפינית</x:v>
      </x:c>
      <x:c r="G748" s="17" t="n">
        <x:v>591</x:v>
      </x:c>
      <x:c r="H748" s="18" t="str">
        <x:v>חול</x:v>
      </x:c>
      <x:c r="I748" s="19" t="str">
        <x:f>IFERROR(INDEX('מיפוי ומקורות'!$C$7:$C$33,MATCH(H748,'מיפוי ומקורות'!$B$7:$B$33,0)),"לא מסווג")</x:f>
        <x:v>נסיעות וחופשות</x:v>
      </x:c>
      <x:c r="J748" s="19" t="str">
        <x:f>IFERROR(INDEX('מיפוי ומקורות'!$D$7:$D$33,MATCH(H748,'מיפוי ומקורות'!$B$7:$B$33,0)),"שוטף")</x:f>
        <x:v>חריג</x:v>
      </x:c>
      <x:c r="K748" s="19" t="str">
        <x:f>IF(OR(H748="ריביות",AND(H748="דירה כצנלסון",G748&lt;0,ISNUMBER(SEARCH("הכנסה",F748)))),"הכנסה שסווגה מחדש",J748)</x:f>
        <x:v>חריג</x:v>
      </x:c>
      <x:c r="L748" s="19" t="str">
        <x:v>מאושר</x:v>
      </x:c>
      <x:c r="M748" s="20" t="n">
        <x:f>IF(L748="מאושר",IF(K748="הכנסה שסווגה מחדש",0,G748),0)</x:f>
        <x:v>591</x:v>
      </x:c>
      <x:c r="N748" s="20" t="n">
        <x:f>IF(K748="שוטף",M748,0)</x:f>
        <x:v>0</x:v>
      </x:c>
      <x:c r="O748" s="20" t="n">
        <x:f>IF(K748="הכנסה שסווגה מחדש",-G748,0)</x:f>
        <x:v>0</x:v>
      </x:c>
      <x:c r="P748" s="11" t="str">
        <x:v>אמקס עינור</x:v>
      </x:c>
      <x:c r="Q748" s="11" t="str"/>
      <x:c r="R748" s="11" t="str">
        <x:v>לא</x:v>
      </x:c>
    </x:row>
    <x:row r="749">
      <x:c r="A749" s="14" t="n">
        <x:v>45870</x:v>
      </x:c>
      <x:c r="B749" s="11" t="str">
        <x:v>2025-08</x:v>
      </x:c>
      <x:c r="C749" s="11" t="str">
        <x:v>אוגוסט 25</x:v>
      </x:c>
      <x:c r="D749" s="15" t="n">
        <x:v>20</x:v>
      </x:c>
      <x:c r="E749" s="11" t="str">
        <x:v>3</x:v>
      </x:c>
      <x:c r="F749" s="11" t="str">
        <x:v>סופר</x:v>
      </x:c>
      <x:c r="G749" s="17" t="n">
        <x:v>119</x:v>
      </x:c>
      <x:c r="H749" s="18" t="str">
        <x:v>מזון לבית</x:v>
      </x:c>
      <x:c r="I749" s="19" t="str">
        <x:f>IFERROR(INDEX('מיפוי ומקורות'!$C$7:$C$33,MATCH(H749,'מיפוי ומקורות'!$B$7:$B$33,0)),"לא מסווג")</x:f>
        <x:v>מזון לבית</x:v>
      </x:c>
      <x:c r="J749" s="19" t="str">
        <x:f>IFERROR(INDEX('מיפוי ומקורות'!$D$7:$D$33,MATCH(H749,'מיפוי ומקורות'!$B$7:$B$33,0)),"שוטף")</x:f>
        <x:v>שוטף</x:v>
      </x:c>
      <x:c r="K749" s="19" t="str">
        <x:f>IF(OR(H749="ריביות",AND(H749="דירה כצנלסון",G749&lt;0,ISNUMBER(SEARCH("הכנסה",F749)))),"הכנסה שסווגה מחדש",J749)</x:f>
        <x:v>שוטף</x:v>
      </x:c>
      <x:c r="L749" s="19" t="str">
        <x:v>מאושר</x:v>
      </x:c>
      <x:c r="M749" s="20" t="n">
        <x:f>IF(L749="מאושר",IF(K749="הכנסה שסווגה מחדש",0,G749),0)</x:f>
        <x:v>119</x:v>
      </x:c>
      <x:c r="N749" s="20" t="n">
        <x:f>IF(K749="שוטף",M749,0)</x:f>
        <x:v>119</x:v>
      </x:c>
      <x:c r="O749" s="20" t="n">
        <x:f>IF(K749="הכנסה שסווגה מחדש",-G749,0)</x:f>
        <x:v>0</x:v>
      </x:c>
      <x:c r="P749" s="11" t="str">
        <x:v>אמקס עינור</x:v>
      </x:c>
      <x:c r="Q749" s="11" t="str"/>
      <x:c r="R749" s="11" t="str">
        <x:v>לא</x:v>
      </x:c>
    </x:row>
    <x:row r="750">
      <x:c r="A750" s="14" t="n">
        <x:v>45870</x:v>
      </x:c>
      <x:c r="B750" s="11" t="str">
        <x:v>2025-08</x:v>
      </x:c>
      <x:c r="C750" s="11" t="str">
        <x:v>אוגוסט 25</x:v>
      </x:c>
      <x:c r="D750" s="15" t="n">
        <x:v>21</x:v>
      </x:c>
      <x:c r="E750" s="11" t="str">
        <x:v>3</x:v>
      </x:c>
      <x:c r="F750" s="11" t="str">
        <x:v>ג'פטה</x:v>
      </x:c>
      <x:c r="G750" s="17" t="n">
        <x:v>68</x:v>
      </x:c>
      <x:c r="H750" s="18" t="str">
        <x:v>אחר</x:v>
      </x:c>
      <x:c r="I750" s="19" t="str">
        <x:f>IFERROR(INDEX('מיפוי ומקורות'!$C$7:$C$33,MATCH(H750,'מיפוי ומקורות'!$B$7:$B$33,0)),"לא מסווג")</x:f>
        <x:v>אחר</x:v>
      </x:c>
      <x:c r="J750" s="19" t="str">
        <x:f>IFERROR(INDEX('מיפוי ומקורות'!$D$7:$D$33,MATCH(H750,'מיפוי ומקורות'!$B$7:$B$33,0)),"שוטף")</x:f>
        <x:v>שוטף</x:v>
      </x:c>
      <x:c r="K750" s="19" t="str">
        <x:f>IF(OR(H750="ריביות",AND(H750="דירה כצנלסון",G750&lt;0,ISNUMBER(SEARCH("הכנסה",F750)))),"הכנסה שסווגה מחדש",J750)</x:f>
        <x:v>שוטף</x:v>
      </x:c>
      <x:c r="L750" s="19" t="str">
        <x:v>מאושר</x:v>
      </x:c>
      <x:c r="M750" s="20" t="n">
        <x:f>IF(L750="מאושר",IF(K750="הכנסה שסווגה מחדש",0,G750),0)</x:f>
        <x:v>68</x:v>
      </x:c>
      <x:c r="N750" s="20" t="n">
        <x:f>IF(K750="שוטף",M750,0)</x:f>
        <x:v>68</x:v>
      </x:c>
      <x:c r="O750" s="20" t="n">
        <x:f>IF(K750="הכנסה שסווגה מחדש",-G750,0)</x:f>
        <x:v>0</x:v>
      </x:c>
      <x:c r="P750" s="11" t="str">
        <x:v>אמקס עינור</x:v>
      </x:c>
      <x:c r="Q750" s="11" t="str"/>
      <x:c r="R750" s="11" t="str">
        <x:v>לא</x:v>
      </x:c>
    </x:row>
    <x:row r="751">
      <x:c r="A751" s="14" t="n">
        <x:v>45870</x:v>
      </x:c>
      <x:c r="B751" s="11" t="str">
        <x:v>2025-08</x:v>
      </x:c>
      <x:c r="C751" s="11" t="str">
        <x:v>אוגוסט 25</x:v>
      </x:c>
      <x:c r="D751" s="15" t="n">
        <x:v>22</x:v>
      </x:c>
      <x:c r="E751" s="11" t="str">
        <x:v>4</x:v>
      </x:c>
      <x:c r="F751" s="11" t="str">
        <x:v>מכבי</x:v>
      </x:c>
      <x:c r="G751" s="17" t="n">
        <x:v>168</x:v>
      </x:c>
      <x:c r="H751" s="18" t="str">
        <x:v>בריאות</x:v>
      </x:c>
      <x:c r="I751" s="19" t="str">
        <x:f>IFERROR(INDEX('מיפוי ומקורות'!$C$7:$C$33,MATCH(H751,'מיפוי ומקורות'!$B$7:$B$33,0)),"לא מסווג")</x:f>
        <x:v>בריאות וטיפולים</x:v>
      </x:c>
      <x:c r="J751" s="19" t="str">
        <x:f>IFERROR(INDEX('מיפוי ומקורות'!$D$7:$D$33,MATCH(H751,'מיפוי ומקורות'!$B$7:$B$33,0)),"שוטף")</x:f>
        <x:v>שוטף</x:v>
      </x:c>
      <x:c r="K751" s="19" t="str">
        <x:f>IF(OR(H751="ריביות",AND(H751="דירה כצנלסון",G751&lt;0,ISNUMBER(SEARCH("הכנסה",F751)))),"הכנסה שסווגה מחדש",J751)</x:f>
        <x:v>שוטף</x:v>
      </x:c>
      <x:c r="L751" s="19" t="str">
        <x:v>מאושר</x:v>
      </x:c>
      <x:c r="M751" s="20" t="n">
        <x:f>IF(L751="מאושר",IF(K751="הכנסה שסווגה מחדש",0,G751),0)</x:f>
        <x:v>168</x:v>
      </x:c>
      <x:c r="N751" s="20" t="n">
        <x:f>IF(K751="שוטף",M751,0)</x:f>
        <x:v>168</x:v>
      </x:c>
      <x:c r="O751" s="20" t="n">
        <x:f>IF(K751="הכנסה שסווגה מחדש",-G751,0)</x:f>
        <x:v>0</x:v>
      </x:c>
      <x:c r="P751" s="11" t="str">
        <x:v>אמקס עינור</x:v>
      </x:c>
      <x:c r="Q751" s="11" t="str"/>
      <x:c r="R751" s="11" t="str">
        <x:v>לא</x:v>
      </x:c>
    </x:row>
    <x:row r="752">
      <x:c r="A752" s="14" t="n">
        <x:v>45870</x:v>
      </x:c>
      <x:c r="B752" s="11" t="str">
        <x:v>2025-08</x:v>
      </x:c>
      <x:c r="C752" s="11" t="str">
        <x:v>אוגוסט 25</x:v>
      </x:c>
      <x:c r="D752" s="15" t="n">
        <x:v>23</x:v>
      </x:c>
      <x:c r="E752" s="11" t="str">
        <x:v>4</x:v>
      </x:c>
      <x:c r="F752" s="11" t="str">
        <x:v>מסעדה</x:v>
      </x:c>
      <x:c r="G752" s="17" t="n">
        <x:v>85</x:v>
      </x:c>
      <x:c r="H752" s="18" t="str">
        <x:v>אוכל בחוץ</x:v>
      </x:c>
      <x:c r="I752" s="19" t="str">
        <x:f>IFERROR(INDEX('מיפוי ומקורות'!$C$7:$C$33,MATCH(H752,'מיפוי ומקורות'!$B$7:$B$33,0)),"לא מסווג")</x:f>
        <x:v>אוכל בחוץ</x:v>
      </x:c>
      <x:c r="J752" s="19" t="str">
        <x:f>IFERROR(INDEX('מיפוי ומקורות'!$D$7:$D$33,MATCH(H752,'מיפוי ומקורות'!$B$7:$B$33,0)),"שוטף")</x:f>
        <x:v>שוטף</x:v>
      </x:c>
      <x:c r="K752" s="19" t="str">
        <x:f>IF(OR(H752="ריביות",AND(H752="דירה כצנלסון",G752&lt;0,ISNUMBER(SEARCH("הכנסה",F752)))),"הכנסה שסווגה מחדש",J752)</x:f>
        <x:v>שוטף</x:v>
      </x:c>
      <x:c r="L752" s="19" t="str">
        <x:v>מאושר</x:v>
      </x:c>
      <x:c r="M752" s="20" t="n">
        <x:f>IF(L752="מאושר",IF(K752="הכנסה שסווגה מחדש",0,G752),0)</x:f>
        <x:v>85</x:v>
      </x:c>
      <x:c r="N752" s="20" t="n">
        <x:f>IF(K752="שוטף",M752,0)</x:f>
        <x:v>85</x:v>
      </x:c>
      <x:c r="O752" s="20" t="n">
        <x:f>IF(K752="הכנסה שסווגה מחדש",-G752,0)</x:f>
        <x:v>0</x:v>
      </x:c>
      <x:c r="P752" s="11" t="str">
        <x:v>אמקס עינור</x:v>
      </x:c>
      <x:c r="Q752" s="11" t="str"/>
      <x:c r="R752" s="11" t="str">
        <x:v>לא</x:v>
      </x:c>
    </x:row>
    <x:row r="753">
      <x:c r="A753" s="14" t="n">
        <x:v>45870</x:v>
      </x:c>
      <x:c r="B753" s="11" t="str">
        <x:v>2025-08</x:v>
      </x:c>
      <x:c r="C753" s="11" t="str">
        <x:v>אוגוסט 25</x:v>
      </x:c>
      <x:c r="D753" s="15" t="n">
        <x:v>24</x:v>
      </x:c>
      <x:c r="E753" s="11" t="str">
        <x:v>12</x:v>
      </x:c>
      <x:c r="F753" s="11" t="str">
        <x:v>גבות (פייבוקס)</x:v>
      </x:c>
      <x:c r="G753" s="17" t="n">
        <x:v>70</x:v>
      </x:c>
      <x:c r="H753" s="18" t="str">
        <x:v>קוסמטיקה</x:v>
      </x:c>
      <x:c r="I753" s="19" t="str">
        <x:f>IFERROR(INDEX('מיפוי ומקורות'!$C$7:$C$33,MATCH(H753,'מיפוי ומקורות'!$B$7:$B$33,0)),"לא מסווג")</x:f>
        <x:v>קוסמטיקה</x:v>
      </x:c>
      <x:c r="J753" s="19" t="str">
        <x:f>IFERROR(INDEX('מיפוי ומקורות'!$D$7:$D$33,MATCH(H753,'מיפוי ומקורות'!$B$7:$B$33,0)),"שוטף")</x:f>
        <x:v>שוטף</x:v>
      </x:c>
      <x:c r="K753" s="19" t="str">
        <x:f>IF(OR(H753="ריביות",AND(H753="דירה כצנלסון",G753&lt;0,ISNUMBER(SEARCH("הכנסה",F753)))),"הכנסה שסווגה מחדש",J753)</x:f>
        <x:v>שוטף</x:v>
      </x:c>
      <x:c r="L753" s="19" t="str">
        <x:v>מאושר</x:v>
      </x:c>
      <x:c r="M753" s="20" t="n">
        <x:f>IF(L753="מאושר",IF(K753="הכנסה שסווגה מחדש",0,G753),0)</x:f>
        <x:v>70</x:v>
      </x:c>
      <x:c r="N753" s="20" t="n">
        <x:f>IF(K753="שוטף",M753,0)</x:f>
        <x:v>70</x:v>
      </x:c>
      <x:c r="O753" s="20" t="n">
        <x:f>IF(K753="הכנסה שסווגה מחדש",-G753,0)</x:f>
        <x:v>0</x:v>
      </x:c>
      <x:c r="P753" s="11" t="str">
        <x:v>אמקס עינור</x:v>
      </x:c>
      <x:c r="Q753" s="11" t="str"/>
      <x:c r="R753" s="11" t="str">
        <x:v>לא</x:v>
      </x:c>
    </x:row>
    <x:row r="754">
      <x:c r="A754" s="14" t="n">
        <x:v>45870</x:v>
      </x:c>
      <x:c r="B754" s="11" t="str">
        <x:v>2025-08</x:v>
      </x:c>
      <x:c r="C754" s="11" t="str">
        <x:v>אוגוסט 25</x:v>
      </x:c>
      <x:c r="D754" s="15" t="n">
        <x:v>25</x:v>
      </x:c>
      <x:c r="E754" s="11" t="str">
        <x:v>12</x:v>
      </x:c>
      <x:c r="F754" s="11" t="str">
        <x:v>סופר</x:v>
      </x:c>
      <x:c r="G754" s="17" t="n">
        <x:v>68</x:v>
      </x:c>
      <x:c r="H754" s="18" t="str">
        <x:v>מזון לבית</x:v>
      </x:c>
      <x:c r="I754" s="19" t="str">
        <x:f>IFERROR(INDEX('מיפוי ומקורות'!$C$7:$C$33,MATCH(H754,'מיפוי ומקורות'!$B$7:$B$33,0)),"לא מסווג")</x:f>
        <x:v>מזון לבית</x:v>
      </x:c>
      <x:c r="J754" s="19" t="str">
        <x:f>IFERROR(INDEX('מיפוי ומקורות'!$D$7:$D$33,MATCH(H754,'מיפוי ומקורות'!$B$7:$B$33,0)),"שוטף")</x:f>
        <x:v>שוטף</x:v>
      </x:c>
      <x:c r="K754" s="19" t="str">
        <x:f>IF(OR(H754="ריביות",AND(H754="דירה כצנלסון",G754&lt;0,ISNUMBER(SEARCH("הכנסה",F754)))),"הכנסה שסווגה מחדש",J754)</x:f>
        <x:v>שוטף</x:v>
      </x:c>
      <x:c r="L754" s="19" t="str">
        <x:v>מאושר</x:v>
      </x:c>
      <x:c r="M754" s="20" t="n">
        <x:f>IF(L754="מאושר",IF(K754="הכנסה שסווגה מחדש",0,G754),0)</x:f>
        <x:v>68</x:v>
      </x:c>
      <x:c r="N754" s="20" t="n">
        <x:f>IF(K754="שוטף",M754,0)</x:f>
        <x:v>68</x:v>
      </x:c>
      <x:c r="O754" s="20" t="n">
        <x:f>IF(K754="הכנסה שסווגה מחדש",-G754,0)</x:f>
        <x:v>0</x:v>
      </x:c>
      <x:c r="P754" s="11" t="str">
        <x:v>אמקס עינור</x:v>
      </x:c>
      <x:c r="Q754" s="11" t="str"/>
      <x:c r="R754" s="11" t="str">
        <x:v>לא</x:v>
      </x:c>
    </x:row>
    <x:row r="755">
      <x:c r="A755" s="14" t="n">
        <x:v>45870</x:v>
      </x:c>
      <x:c r="B755" s="11" t="str">
        <x:v>2025-08</x:v>
      </x:c>
      <x:c r="C755" s="11" t="str">
        <x:v>אוגוסט 25</x:v>
      </x:c>
      <x:c r="D755" s="15" t="n">
        <x:v>26</x:v>
      </x:c>
      <x:c r="E755" s="11" t="str">
        <x:v>12</x:v>
      </x:c>
      <x:c r="F755" s="11" t="str">
        <x:v>טים לאב קיוטו</x:v>
      </x:c>
      <x:c r="G755" s="17" t="n">
        <x:v>175</x:v>
      </x:c>
      <x:c r="H755" s="18" t="str">
        <x:v>חול</x:v>
      </x:c>
      <x:c r="I755" s="19" t="str">
        <x:f>IFERROR(INDEX('מיפוי ומקורות'!$C$7:$C$33,MATCH(H755,'מיפוי ומקורות'!$B$7:$B$33,0)),"לא מסווג")</x:f>
        <x:v>נסיעות וחופשות</x:v>
      </x:c>
      <x:c r="J755" s="19" t="str">
        <x:f>IFERROR(INDEX('מיפוי ומקורות'!$D$7:$D$33,MATCH(H755,'מיפוי ומקורות'!$B$7:$B$33,0)),"שוטף")</x:f>
        <x:v>חריג</x:v>
      </x:c>
      <x:c r="K755" s="19" t="str">
        <x:f>IF(OR(H755="ריביות",AND(H755="דירה כצנלסון",G755&lt;0,ISNUMBER(SEARCH("הכנסה",F755)))),"הכנסה שסווגה מחדש",J755)</x:f>
        <x:v>חריג</x:v>
      </x:c>
      <x:c r="L755" s="19" t="str">
        <x:v>מאושר</x:v>
      </x:c>
      <x:c r="M755" s="20" t="n">
        <x:f>IF(L755="מאושר",IF(K755="הכנסה שסווגה מחדש",0,G755),0)</x:f>
        <x:v>175</x:v>
      </x:c>
      <x:c r="N755" s="20" t="n">
        <x:f>IF(K755="שוטף",M755,0)</x:f>
        <x:v>0</x:v>
      </x:c>
      <x:c r="O755" s="20" t="n">
        <x:f>IF(K755="הכנסה שסווגה מחדש",-G755,0)</x:f>
        <x:v>0</x:v>
      </x:c>
      <x:c r="P755" s="11" t="str">
        <x:v>אמקס עינור</x:v>
      </x:c>
      <x:c r="Q755" s="11" t="str"/>
      <x:c r="R755" s="11" t="str">
        <x:v>לא</x:v>
      </x:c>
    </x:row>
    <x:row r="756">
      <x:c r="A756" s="14" t="n">
        <x:v>45870</x:v>
      </x:c>
      <x:c r="B756" s="11" t="str">
        <x:v>2025-08</x:v>
      </x:c>
      <x:c r="C756" s="11" t="str">
        <x:v>אוגוסט 25</x:v>
      </x:c>
      <x:c r="D756" s="15" t="n">
        <x:v>27</x:v>
      </x:c>
      <x:c r="E756" s="11" t="str">
        <x:v>13</x:v>
      </x:c>
      <x:c r="F756" s="11" t="str">
        <x:v>גלידה</x:v>
      </x:c>
      <x:c r="G756" s="17" t="n">
        <x:v>16</x:v>
      </x:c>
      <x:c r="H756" s="18" t="str">
        <x:v>אוכל בחוץ</x:v>
      </x:c>
      <x:c r="I756" s="19" t="str">
        <x:f>IFERROR(INDEX('מיפוי ומקורות'!$C$7:$C$33,MATCH(H756,'מיפוי ומקורות'!$B$7:$B$33,0)),"לא מסווג")</x:f>
        <x:v>אוכל בחוץ</x:v>
      </x:c>
      <x:c r="J756" s="19" t="str">
        <x:f>IFERROR(INDEX('מיפוי ומקורות'!$D$7:$D$33,MATCH(H756,'מיפוי ומקורות'!$B$7:$B$33,0)),"שוטף")</x:f>
        <x:v>שוטף</x:v>
      </x:c>
      <x:c r="K756" s="19" t="str">
        <x:f>IF(OR(H756="ריביות",AND(H756="דירה כצנלסון",G756&lt;0,ISNUMBER(SEARCH("הכנסה",F756)))),"הכנסה שסווגה מחדש",J756)</x:f>
        <x:v>שוטף</x:v>
      </x:c>
      <x:c r="L756" s="19" t="str">
        <x:v>מאושר</x:v>
      </x:c>
      <x:c r="M756" s="20" t="n">
        <x:f>IF(L756="מאושר",IF(K756="הכנסה שסווגה מחדש",0,G756),0)</x:f>
        <x:v>16</x:v>
      </x:c>
      <x:c r="N756" s="20" t="n">
        <x:f>IF(K756="שוטף",M756,0)</x:f>
        <x:v>16</x:v>
      </x:c>
      <x:c r="O756" s="20" t="n">
        <x:f>IF(K756="הכנסה שסווגה מחדש",-G756,0)</x:f>
        <x:v>0</x:v>
      </x:c>
      <x:c r="P756" s="11" t="str">
        <x:v>אמקס עינור</x:v>
      </x:c>
      <x:c r="Q756" s="11" t="str"/>
      <x:c r="R756" s="11" t="str">
        <x:v>לא</x:v>
      </x:c>
    </x:row>
    <x:row r="757">
      <x:c r="A757" s="14" t="n">
        <x:v>45870</x:v>
      </x:c>
      <x:c r="B757" s="11" t="str">
        <x:v>2025-08</x:v>
      </x:c>
      <x:c r="C757" s="11" t="str">
        <x:v>אוגוסט 25</x:v>
      </x:c>
      <x:c r="D757" s="15" t="n">
        <x:v>28</x:v>
      </x:c>
      <x:c r="E757" s="11" t="str">
        <x:v>14</x:v>
      </x:c>
      <x:c r="F757" s="11" t="str">
        <x:v>מסעדה (ביט)</x:v>
      </x:c>
      <x:c r="G757" s="17" t="n">
        <x:v>80</x:v>
      </x:c>
      <x:c r="H757" s="18" t="str">
        <x:v>אוכל בחוץ</x:v>
      </x:c>
      <x:c r="I757" s="19" t="str">
        <x:f>IFERROR(INDEX('מיפוי ומקורות'!$C$7:$C$33,MATCH(H757,'מיפוי ומקורות'!$B$7:$B$33,0)),"לא מסווג")</x:f>
        <x:v>אוכל בחוץ</x:v>
      </x:c>
      <x:c r="J757" s="19" t="str">
        <x:f>IFERROR(INDEX('מיפוי ומקורות'!$D$7:$D$33,MATCH(H757,'מיפוי ומקורות'!$B$7:$B$33,0)),"שוטף")</x:f>
        <x:v>שוטף</x:v>
      </x:c>
      <x:c r="K757" s="19" t="str">
        <x:f>IF(OR(H757="ריביות",AND(H757="דירה כצנלסון",G757&lt;0,ISNUMBER(SEARCH("הכנסה",F757)))),"הכנסה שסווגה מחדש",J757)</x:f>
        <x:v>שוטף</x:v>
      </x:c>
      <x:c r="L757" s="19" t="str">
        <x:v>מאושר</x:v>
      </x:c>
      <x:c r="M757" s="20" t="n">
        <x:f>IF(L757="מאושר",IF(K757="הכנסה שסווגה מחדש",0,G757),0)</x:f>
        <x:v>80</x:v>
      </x:c>
      <x:c r="N757" s="20" t="n">
        <x:f>IF(K757="שוטף",M757,0)</x:f>
        <x:v>80</x:v>
      </x:c>
      <x:c r="O757" s="20" t="n">
        <x:f>IF(K757="הכנסה שסווגה מחדש",-G757,0)</x:f>
        <x:v>0</x:v>
      </x:c>
      <x:c r="P757" s="11" t="str">
        <x:v>אמקס עינור</x:v>
      </x:c>
      <x:c r="Q757" s="11" t="str"/>
      <x:c r="R757" s="11" t="str">
        <x:v>לא</x:v>
      </x:c>
    </x:row>
    <x:row r="758">
      <x:c r="A758" s="14" t="n">
        <x:v>45870</x:v>
      </x:c>
      <x:c r="B758" s="11" t="str">
        <x:v>2025-08</x:v>
      </x:c>
      <x:c r="C758" s="11" t="str">
        <x:v>אוגוסט 25</x:v>
      </x:c>
      <x:c r="D758" s="15" t="n">
        <x:v>29</x:v>
      </x:c>
      <x:c r="E758" s="11" t="str">
        <x:v>14</x:v>
      </x:c>
      <x:c r="F758" s="11" t="str">
        <x:v>סופר</x:v>
      </x:c>
      <x:c r="G758" s="17" t="n">
        <x:v>127</x:v>
      </x:c>
      <x:c r="H758" s="18" t="str">
        <x:v>מזון לבית</x:v>
      </x:c>
      <x:c r="I758" s="19" t="str">
        <x:f>IFERROR(INDEX('מיפוי ומקורות'!$C$7:$C$33,MATCH(H758,'מיפוי ומקורות'!$B$7:$B$33,0)),"לא מסווג")</x:f>
        <x:v>מזון לבית</x:v>
      </x:c>
      <x:c r="J758" s="19" t="str">
        <x:f>IFERROR(INDEX('מיפוי ומקורות'!$D$7:$D$33,MATCH(H758,'מיפוי ומקורות'!$B$7:$B$33,0)),"שוטף")</x:f>
        <x:v>שוטף</x:v>
      </x:c>
      <x:c r="K758" s="19" t="str">
        <x:f>IF(OR(H758="ריביות",AND(H758="דירה כצנלסון",G758&lt;0,ISNUMBER(SEARCH("הכנסה",F758)))),"הכנסה שסווגה מחדש",J758)</x:f>
        <x:v>שוטף</x:v>
      </x:c>
      <x:c r="L758" s="19" t="str">
        <x:v>מאושר</x:v>
      </x:c>
      <x:c r="M758" s="20" t="n">
        <x:f>IF(L758="מאושר",IF(K758="הכנסה שסווגה מחדש",0,G758),0)</x:f>
        <x:v>127</x:v>
      </x:c>
      <x:c r="N758" s="20" t="n">
        <x:f>IF(K758="שוטף",M758,0)</x:f>
        <x:v>127</x:v>
      </x:c>
      <x:c r="O758" s="20" t="n">
        <x:f>IF(K758="הכנסה שסווגה מחדש",-G758,0)</x:f>
        <x:v>0</x:v>
      </x:c>
      <x:c r="P758" s="11" t="str">
        <x:v>אמקס עינור</x:v>
      </x:c>
      <x:c r="Q758" s="11" t="str"/>
      <x:c r="R758" s="11" t="str">
        <x:v>לא</x:v>
      </x:c>
    </x:row>
    <x:row r="759">
      <x:c r="A759" s="14" t="n">
        <x:v>45870</x:v>
      </x:c>
      <x:c r="B759" s="11" t="str">
        <x:v>2025-08</x:v>
      </x:c>
      <x:c r="C759" s="11" t="str">
        <x:v>אוגוסט 25</x:v>
      </x:c>
      <x:c r="D759" s="15" t="n">
        <x:v>30</x:v>
      </x:c>
      <x:c r="E759" s="11" t="str">
        <x:v>18</x:v>
      </x:c>
      <x:c r="F759" s="11" t="str">
        <x:v>מסעדה</x:v>
      </x:c>
      <x:c r="G759" s="17" t="n">
        <x:v>83</x:v>
      </x:c>
      <x:c r="H759" s="18" t="str">
        <x:v>אוכל בחוץ</x:v>
      </x:c>
      <x:c r="I759" s="19" t="str">
        <x:f>IFERROR(INDEX('מיפוי ומקורות'!$C$7:$C$33,MATCH(H759,'מיפוי ומקורות'!$B$7:$B$33,0)),"לא מסווג")</x:f>
        <x:v>אוכל בחוץ</x:v>
      </x:c>
      <x:c r="J759" s="19" t="str">
        <x:f>IFERROR(INDEX('מיפוי ומקורות'!$D$7:$D$33,MATCH(H759,'מיפוי ומקורות'!$B$7:$B$33,0)),"שוטף")</x:f>
        <x:v>שוטף</x:v>
      </x:c>
      <x:c r="K759" s="19" t="str">
        <x:f>IF(OR(H759="ריביות",AND(H759="דירה כצנלסון",G759&lt;0,ISNUMBER(SEARCH("הכנסה",F759)))),"הכנסה שסווגה מחדש",J759)</x:f>
        <x:v>שוטף</x:v>
      </x:c>
      <x:c r="L759" s="19" t="str">
        <x:v>מאושר</x:v>
      </x:c>
      <x:c r="M759" s="20" t="n">
        <x:f>IF(L759="מאושר",IF(K759="הכנסה שסווגה מחדש",0,G759),0)</x:f>
        <x:v>83</x:v>
      </x:c>
      <x:c r="N759" s="20" t="n">
        <x:f>IF(K759="שוטף",M759,0)</x:f>
        <x:v>83</x:v>
      </x:c>
      <x:c r="O759" s="20" t="n">
        <x:f>IF(K759="הכנסה שסווגה מחדש",-G759,0)</x:f>
        <x:v>0</x:v>
      </x:c>
      <x:c r="P759" s="11" t="str">
        <x:v>אמקס עינור</x:v>
      </x:c>
      <x:c r="Q759" s="11" t="str"/>
      <x:c r="R759" s="11" t="str">
        <x:v>לא</x:v>
      </x:c>
    </x:row>
    <x:row r="760">
      <x:c r="A760" s="14" t="n">
        <x:v>45870</x:v>
      </x:c>
      <x:c r="B760" s="11" t="str">
        <x:v>2025-08</x:v>
      </x:c>
      <x:c r="C760" s="11" t="str">
        <x:v>אוגוסט 25</x:v>
      </x:c>
      <x:c r="D760" s="15" t="n">
        <x:v>31</x:v>
      </x:c>
      <x:c r="E760" s="11" t="str">
        <x:v>19</x:v>
      </x:c>
      <x:c r="F760" s="11" t="str">
        <x:v>אלי</x:v>
      </x:c>
      <x:c r="G760" s="17" t="n">
        <x:v>67</x:v>
      </x:c>
      <x:c r="H760" s="18" t="str">
        <x:v>קניות לבית</x:v>
      </x:c>
      <x:c r="I760" s="19" t="str">
        <x:f>IFERROR(INDEX('מיפוי ומקורות'!$C$7:$C$33,MATCH(H760,'מיפוי ומקורות'!$B$7:$B$33,0)),"לא מסווג")</x:f>
        <x:v>קניות לבית</x:v>
      </x:c>
      <x:c r="J760" s="19" t="str">
        <x:f>IFERROR(INDEX('מיפוי ומקורות'!$D$7:$D$33,MATCH(H760,'מיפוי ומקורות'!$B$7:$B$33,0)),"שוטף")</x:f>
        <x:v>שוטף</x:v>
      </x:c>
      <x:c r="K760" s="19" t="str">
        <x:f>IF(OR(H760="ריביות",AND(H760="דירה כצנלסון",G760&lt;0,ISNUMBER(SEARCH("הכנסה",F760)))),"הכנסה שסווגה מחדש",J760)</x:f>
        <x:v>שוטף</x:v>
      </x:c>
      <x:c r="L760" s="19" t="str">
        <x:v>מאושר</x:v>
      </x:c>
      <x:c r="M760" s="20" t="n">
        <x:f>IF(L760="מאושר",IF(K760="הכנסה שסווגה מחדש",0,G760),0)</x:f>
        <x:v>67</x:v>
      </x:c>
      <x:c r="N760" s="20" t="n">
        <x:f>IF(K760="שוטף",M760,0)</x:f>
        <x:v>67</x:v>
      </x:c>
      <x:c r="O760" s="20" t="n">
        <x:f>IF(K760="הכנסה שסווגה מחדש",-G760,0)</x:f>
        <x:v>0</x:v>
      </x:c>
      <x:c r="P760" s="11" t="str">
        <x:v>אמקס עינור</x:v>
      </x:c>
      <x:c r="Q760" s="11" t="str"/>
      <x:c r="R760" s="11" t="str">
        <x:v>לא</x:v>
      </x:c>
    </x:row>
    <x:row r="761">
      <x:c r="A761" s="14" t="n">
        <x:v>45870</x:v>
      </x:c>
      <x:c r="B761" s="11" t="str">
        <x:v>2025-08</x:v>
      </x:c>
      <x:c r="C761" s="11" t="str">
        <x:v>אוגוסט 25</x:v>
      </x:c>
      <x:c r="D761" s="15" t="n">
        <x:v>32</x:v>
      </x:c>
      <x:c r="E761" s="11" t="str">
        <x:v>21</x:v>
      </x:c>
      <x:c r="F761" s="11" t="str">
        <x:v>סבוקלם</x:v>
      </x:c>
      <x:c r="G761" s="17" t="n">
        <x:v>276</x:v>
      </x:c>
      <x:c r="H761" s="18" t="str">
        <x:v>קוסמטיקה</x:v>
      </x:c>
      <x:c r="I761" s="19" t="str">
        <x:f>IFERROR(INDEX('מיפוי ומקורות'!$C$7:$C$33,MATCH(H761,'מיפוי ומקורות'!$B$7:$B$33,0)),"לא מסווג")</x:f>
        <x:v>קוסמטיקה</x:v>
      </x:c>
      <x:c r="J761" s="19" t="str">
        <x:f>IFERROR(INDEX('מיפוי ומקורות'!$D$7:$D$33,MATCH(H761,'מיפוי ומקורות'!$B$7:$B$33,0)),"שוטף")</x:f>
        <x:v>שוטף</x:v>
      </x:c>
      <x:c r="K761" s="19" t="str">
        <x:f>IF(OR(H761="ריביות",AND(H761="דירה כצנלסון",G761&lt;0,ISNUMBER(SEARCH("הכנסה",F761)))),"הכנסה שסווגה מחדש",J761)</x:f>
        <x:v>שוטף</x:v>
      </x:c>
      <x:c r="L761" s="19" t="str">
        <x:v>מאושר</x:v>
      </x:c>
      <x:c r="M761" s="20" t="n">
        <x:f>IF(L761="מאושר",IF(K761="הכנסה שסווגה מחדש",0,G761),0)</x:f>
        <x:v>276</x:v>
      </x:c>
      <x:c r="N761" s="20" t="n">
        <x:f>IF(K761="שוטף",M761,0)</x:f>
        <x:v>276</x:v>
      </x:c>
      <x:c r="O761" s="20" t="n">
        <x:f>IF(K761="הכנסה שסווגה מחדש",-G761,0)</x:f>
        <x:v>0</x:v>
      </x:c>
      <x:c r="P761" s="11" t="str">
        <x:v>אמקס עינור</x:v>
      </x:c>
      <x:c r="Q761" s="11" t="str"/>
      <x:c r="R761" s="11" t="str">
        <x:v>לא</x:v>
      </x:c>
    </x:row>
    <x:row r="762">
      <x:c r="A762" s="14" t="n">
        <x:v>45870</x:v>
      </x:c>
      <x:c r="B762" s="11" t="str">
        <x:v>2025-08</x:v>
      </x:c>
      <x:c r="C762" s="11" t="str">
        <x:v>אוגוסט 25</x:v>
      </x:c>
      <x:c r="D762" s="15" t="n">
        <x:v>33</x:v>
      </x:c>
      <x:c r="E762" s="11" t="str">
        <x:v>21</x:v>
      </x:c>
      <x:c r="F762" s="11" t="str">
        <x:v>חלבון</x:v>
      </x:c>
      <x:c r="G762" s="17" t="n">
        <x:v>585</x:v>
      </x:c>
      <x:c r="H762" s="18" t="str">
        <x:v>מזון לבית</x:v>
      </x:c>
      <x:c r="I762" s="19" t="str">
        <x:f>IFERROR(INDEX('מיפוי ומקורות'!$C$7:$C$33,MATCH(H762,'מיפוי ומקורות'!$B$7:$B$33,0)),"לא מסווג")</x:f>
        <x:v>מזון לבית</x:v>
      </x:c>
      <x:c r="J762" s="19" t="str">
        <x:f>IFERROR(INDEX('מיפוי ומקורות'!$D$7:$D$33,MATCH(H762,'מיפוי ומקורות'!$B$7:$B$33,0)),"שוטף")</x:f>
        <x:v>שוטף</x:v>
      </x:c>
      <x:c r="K762" s="19" t="str">
        <x:f>IF(OR(H762="ריביות",AND(H762="דירה כצנלסון",G762&lt;0,ISNUMBER(SEARCH("הכנסה",F762)))),"הכנסה שסווגה מחדש",J762)</x:f>
        <x:v>שוטף</x:v>
      </x:c>
      <x:c r="L762" s="19" t="str">
        <x:v>מאושר</x:v>
      </x:c>
      <x:c r="M762" s="20" t="n">
        <x:f>IF(L762="מאושר",IF(K762="הכנסה שסווגה מחדש",0,G762),0)</x:f>
        <x:v>585</x:v>
      </x:c>
      <x:c r="N762" s="20" t="n">
        <x:f>IF(K762="שוטף",M762,0)</x:f>
        <x:v>585</x:v>
      </x:c>
      <x:c r="O762" s="20" t="n">
        <x:f>IF(K762="הכנסה שסווגה מחדש",-G762,0)</x:f>
        <x:v>0</x:v>
      </x:c>
      <x:c r="P762" s="11" t="str">
        <x:v>אמקס עינור</x:v>
      </x:c>
      <x:c r="Q762" s="11" t="str"/>
      <x:c r="R762" s="11" t="str">
        <x:v>לא</x:v>
      </x:c>
    </x:row>
    <x:row r="763">
      <x:c r="A763" s="14" t="n">
        <x:v>45870</x:v>
      </x:c>
      <x:c r="B763" s="11" t="str">
        <x:v>2025-08</x:v>
      </x:c>
      <x:c r="C763" s="11" t="str">
        <x:v>אוגוסט 25</x:v>
      </x:c>
      <x:c r="D763" s="15" t="n">
        <x:v>34</x:v>
      </x:c>
      <x:c r="E763" s="11" t="str">
        <x:v>21</x:v>
      </x:c>
      <x:c r="F763" s="11" t="str">
        <x:v>סוהו</x:v>
      </x:c>
      <x:c r="G763" s="17" t="n">
        <x:v>240</x:v>
      </x:c>
      <x:c r="H763" s="18" t="str">
        <x:v>קניות לבית</x:v>
      </x:c>
      <x:c r="I763" s="19" t="str">
        <x:f>IFERROR(INDEX('מיפוי ומקורות'!$C$7:$C$33,MATCH(H763,'מיפוי ומקורות'!$B$7:$B$33,0)),"לא מסווג")</x:f>
        <x:v>קניות לבית</x:v>
      </x:c>
      <x:c r="J763" s="19" t="str">
        <x:f>IFERROR(INDEX('מיפוי ומקורות'!$D$7:$D$33,MATCH(H763,'מיפוי ומקורות'!$B$7:$B$33,0)),"שוטף")</x:f>
        <x:v>שוטף</x:v>
      </x:c>
      <x:c r="K763" s="19" t="str">
        <x:f>IF(OR(H763="ריביות",AND(H763="דירה כצנלסון",G763&lt;0,ISNUMBER(SEARCH("הכנסה",F763)))),"הכנסה שסווגה מחדש",J763)</x:f>
        <x:v>שוטף</x:v>
      </x:c>
      <x:c r="L763" s="19" t="str">
        <x:v>מאושר</x:v>
      </x:c>
      <x:c r="M763" s="20" t="n">
        <x:f>IF(L763="מאושר",IF(K763="הכנסה שסווגה מחדש",0,G763),0)</x:f>
        <x:v>240</x:v>
      </x:c>
      <x:c r="N763" s="20" t="n">
        <x:f>IF(K763="שוטף",M763,0)</x:f>
        <x:v>240</x:v>
      </x:c>
      <x:c r="O763" s="20" t="n">
        <x:f>IF(K763="הכנסה שסווגה מחדש",-G763,0)</x:f>
        <x:v>0</x:v>
      </x:c>
      <x:c r="P763" s="11" t="str">
        <x:v>אמקס עינור</x:v>
      </x:c>
      <x:c r="Q763" s="11" t="str"/>
      <x:c r="R763" s="11" t="str">
        <x:v>לא</x:v>
      </x:c>
    </x:row>
    <x:row r="764">
      <x:c r="A764" s="14" t="n">
        <x:v>45870</x:v>
      </x:c>
      <x:c r="B764" s="11" t="str">
        <x:v>2025-08</x:v>
      </x:c>
      <x:c r="C764" s="11" t="str">
        <x:v>אוגוסט 25</x:v>
      </x:c>
      <x:c r="D764" s="15" t="n">
        <x:v>35</x:v>
      </x:c>
      <x:c r="E764" s="11" t="str">
        <x:v>21</x:v>
      </x:c>
      <x:c r="F764" s="11" t="str">
        <x:v>אלי</x:v>
      </x:c>
      <x:c r="G764" s="17" t="n">
        <x:v>103</x:v>
      </x:c>
      <x:c r="H764" s="18" t="str">
        <x:v>קניות לבית</x:v>
      </x:c>
      <x:c r="I764" s="19" t="str">
        <x:f>IFERROR(INDEX('מיפוי ומקורות'!$C$7:$C$33,MATCH(H764,'מיפוי ומקורות'!$B$7:$B$33,0)),"לא מסווג")</x:f>
        <x:v>קניות לבית</x:v>
      </x:c>
      <x:c r="J764" s="19" t="str">
        <x:f>IFERROR(INDEX('מיפוי ומקורות'!$D$7:$D$33,MATCH(H764,'מיפוי ומקורות'!$B$7:$B$33,0)),"שוטף")</x:f>
        <x:v>שוטף</x:v>
      </x:c>
      <x:c r="K764" s="19" t="str">
        <x:f>IF(OR(H764="ריביות",AND(H764="דירה כצנלסון",G764&lt;0,ISNUMBER(SEARCH("הכנסה",F764)))),"הכנסה שסווגה מחדש",J764)</x:f>
        <x:v>שוטף</x:v>
      </x:c>
      <x:c r="L764" s="19" t="str">
        <x:v>מאושר</x:v>
      </x:c>
      <x:c r="M764" s="20" t="n">
        <x:f>IF(L764="מאושר",IF(K764="הכנסה שסווגה מחדש",0,G764),0)</x:f>
        <x:v>103</x:v>
      </x:c>
      <x:c r="N764" s="20" t="n">
        <x:f>IF(K764="שוטף",M764,0)</x:f>
        <x:v>103</x:v>
      </x:c>
      <x:c r="O764" s="20" t="n">
        <x:f>IF(K764="הכנסה שסווגה מחדש",-G764,0)</x:f>
        <x:v>0</x:v>
      </x:c>
      <x:c r="P764" s="11" t="str">
        <x:v>אמקס עינור</x:v>
      </x:c>
      <x:c r="Q764" s="11" t="str"/>
      <x:c r="R764" s="11" t="str">
        <x:v>לא</x:v>
      </x:c>
    </x:row>
    <x:row r="765">
      <x:c r="A765" s="14" t="n">
        <x:v>45870</x:v>
      </x:c>
      <x:c r="B765" s="11" t="str">
        <x:v>2025-08</x:v>
      </x:c>
      <x:c r="C765" s="11" t="str">
        <x:v>אוגוסט 25</x:v>
      </x:c>
      <x:c r="D765" s="15" t="n">
        <x:v>36</x:v>
      </x:c>
      <x:c r="E765" s="11" t="str">
        <x:v>22</x:v>
      </x:c>
      <x:c r="F765" s="11" t="str">
        <x:v>וולט</x:v>
      </x:c>
      <x:c r="G765" s="17" t="n">
        <x:v>141</x:v>
      </x:c>
      <x:c r="H765" s="18" t="str">
        <x:v>אוכל בחוץ</x:v>
      </x:c>
      <x:c r="I765" s="19" t="str">
        <x:f>IFERROR(INDEX('מיפוי ומקורות'!$C$7:$C$33,MATCH(H765,'מיפוי ומקורות'!$B$7:$B$33,0)),"לא מסווג")</x:f>
        <x:v>אוכל בחוץ</x:v>
      </x:c>
      <x:c r="J765" s="19" t="str">
        <x:f>IFERROR(INDEX('מיפוי ומקורות'!$D$7:$D$33,MATCH(H765,'מיפוי ומקורות'!$B$7:$B$33,0)),"שוטף")</x:f>
        <x:v>שוטף</x:v>
      </x:c>
      <x:c r="K765" s="19" t="str">
        <x:f>IF(OR(H765="ריביות",AND(H765="דירה כצנלסון",G765&lt;0,ISNUMBER(SEARCH("הכנסה",F765)))),"הכנסה שסווגה מחדש",J765)</x:f>
        <x:v>שוטף</x:v>
      </x:c>
      <x:c r="L765" s="19" t="str">
        <x:v>מאושר</x:v>
      </x:c>
      <x:c r="M765" s="20" t="n">
        <x:f>IF(L765="מאושר",IF(K765="הכנסה שסווגה מחדש",0,G765),0)</x:f>
        <x:v>141</x:v>
      </x:c>
      <x:c r="N765" s="20" t="n">
        <x:f>IF(K765="שוטף",M765,0)</x:f>
        <x:v>141</x:v>
      </x:c>
      <x:c r="O765" s="20" t="n">
        <x:f>IF(K765="הכנסה שסווגה מחדש",-G765,0)</x:f>
        <x:v>0</x:v>
      </x:c>
      <x:c r="P765" s="11" t="str">
        <x:v>אמקס עינור</x:v>
      </x:c>
      <x:c r="Q765" s="11" t="str"/>
      <x:c r="R765" s="11" t="str">
        <x:v>לא</x:v>
      </x:c>
    </x:row>
    <x:row r="766">
      <x:c r="A766" s="14" t="n">
        <x:v>45870</x:v>
      </x:c>
      <x:c r="B766" s="11" t="str">
        <x:v>2025-08</x:v>
      </x:c>
      <x:c r="C766" s="11" t="str">
        <x:v>אוגוסט 25</x:v>
      </x:c>
      <x:c r="D766" s="15" t="n">
        <x:v>37</x:v>
      </x:c>
      <x:c r="E766" s="11" t="str">
        <x:v>23</x:v>
      </x:c>
      <x:c r="F766" s="11" t="str">
        <x:v>אלי</x:v>
      </x:c>
      <x:c r="G766" s="17" t="n">
        <x:v>41</x:v>
      </x:c>
      <x:c r="H766" s="18" t="str">
        <x:v>קניות לבית</x:v>
      </x:c>
      <x:c r="I766" s="19" t="str">
        <x:f>IFERROR(INDEX('מיפוי ומקורות'!$C$7:$C$33,MATCH(H766,'מיפוי ומקורות'!$B$7:$B$33,0)),"לא מסווג")</x:f>
        <x:v>קניות לבית</x:v>
      </x:c>
      <x:c r="J766" s="19" t="str">
        <x:f>IFERROR(INDEX('מיפוי ומקורות'!$D$7:$D$33,MATCH(H766,'מיפוי ומקורות'!$B$7:$B$33,0)),"שוטף")</x:f>
        <x:v>שוטף</x:v>
      </x:c>
      <x:c r="K766" s="19" t="str">
        <x:f>IF(OR(H766="ריביות",AND(H766="דירה כצנלסון",G766&lt;0,ISNUMBER(SEARCH("הכנסה",F766)))),"הכנסה שסווגה מחדש",J766)</x:f>
        <x:v>שוטף</x:v>
      </x:c>
      <x:c r="L766" s="19" t="str">
        <x:v>מאושר</x:v>
      </x:c>
      <x:c r="M766" s="20" t="n">
        <x:f>IF(L766="מאושר",IF(K766="הכנסה שסווגה מחדש",0,G766),0)</x:f>
        <x:v>41</x:v>
      </x:c>
      <x:c r="N766" s="20" t="n">
        <x:f>IF(K766="שוטף",M766,0)</x:f>
        <x:v>41</x:v>
      </x:c>
      <x:c r="O766" s="20" t="n">
        <x:f>IF(K766="הכנסה שסווגה מחדש",-G766,0)</x:f>
        <x:v>0</x:v>
      </x:c>
      <x:c r="P766" s="11" t="str">
        <x:v>אמקס עינור</x:v>
      </x:c>
      <x:c r="Q766" s="11" t="str"/>
      <x:c r="R766" s="11" t="str">
        <x:v>לא</x:v>
      </x:c>
    </x:row>
    <x:row r="767">
      <x:c r="A767" s="14" t="n">
        <x:v>45870</x:v>
      </x:c>
      <x:c r="B767" s="11" t="str">
        <x:v>2025-08</x:v>
      </x:c>
      <x:c r="C767" s="11" t="str">
        <x:v>אוגוסט 25</x:v>
      </x:c>
      <x:c r="D767" s="15" t="n">
        <x:v>38</x:v>
      </x:c>
      <x:c r="E767" s="11" t="str">
        <x:v>24</x:v>
      </x:c>
      <x:c r="F767" s="11" t="str">
        <x:v>אלי</x:v>
      </x:c>
      <x:c r="G767" s="17" t="n">
        <x:v>65</x:v>
      </x:c>
      <x:c r="H767" s="18" t="str">
        <x:v>קניות לבית</x:v>
      </x:c>
      <x:c r="I767" s="19" t="str">
        <x:f>IFERROR(INDEX('מיפוי ומקורות'!$C$7:$C$33,MATCH(H767,'מיפוי ומקורות'!$B$7:$B$33,0)),"לא מסווג")</x:f>
        <x:v>קניות לבית</x:v>
      </x:c>
      <x:c r="J767" s="19" t="str">
        <x:f>IFERROR(INDEX('מיפוי ומקורות'!$D$7:$D$33,MATCH(H767,'מיפוי ומקורות'!$B$7:$B$33,0)),"שוטף")</x:f>
        <x:v>שוטף</x:v>
      </x:c>
      <x:c r="K767" s="19" t="str">
        <x:f>IF(OR(H767="ריביות",AND(H767="דירה כצנלסון",G767&lt;0,ISNUMBER(SEARCH("הכנסה",F767)))),"הכנסה שסווגה מחדש",J767)</x:f>
        <x:v>שוטף</x:v>
      </x:c>
      <x:c r="L767" s="19" t="str">
        <x:v>מאושר</x:v>
      </x:c>
      <x:c r="M767" s="20" t="n">
        <x:f>IF(L767="מאושר",IF(K767="הכנסה שסווגה מחדש",0,G767),0)</x:f>
        <x:v>65</x:v>
      </x:c>
      <x:c r="N767" s="20" t="n">
        <x:f>IF(K767="שוטף",M767,0)</x:f>
        <x:v>65</x:v>
      </x:c>
      <x:c r="O767" s="20" t="n">
        <x:f>IF(K767="הכנסה שסווגה מחדש",-G767,0)</x:f>
        <x:v>0</x:v>
      </x:c>
      <x:c r="P767" s="11" t="str">
        <x:v>אמקס עינור</x:v>
      </x:c>
      <x:c r="Q767" s="11" t="str"/>
      <x:c r="R767" s="11" t="str">
        <x:v>לא</x:v>
      </x:c>
    </x:row>
    <x:row r="768">
      <x:c r="A768" s="14" t="n">
        <x:v>45870</x:v>
      </x:c>
      <x:c r="B768" s="11" t="str">
        <x:v>2025-08</x:v>
      </x:c>
      <x:c r="C768" s="11" t="str">
        <x:v>אוגוסט 25</x:v>
      </x:c>
      <x:c r="D768" s="15" t="n">
        <x:v>39</x:v>
      </x:c>
      <x:c r="E768" s="11" t="str">
        <x:v>26</x:v>
      </x:c>
      <x:c r="F768" s="11" t="str">
        <x:v>שירה</x:v>
      </x:c>
      <x:c r="G768" s="17" t="n">
        <x:v>900</x:v>
      </x:c>
      <x:c r="H768" s="18" t="str">
        <x:v>בריאות</x:v>
      </x:c>
      <x:c r="I768" s="19" t="str">
        <x:f>IFERROR(INDEX('מיפוי ומקורות'!$C$7:$C$33,MATCH(H768,'מיפוי ומקורות'!$B$7:$B$33,0)),"לא מסווג")</x:f>
        <x:v>בריאות וטיפולים</x:v>
      </x:c>
      <x:c r="J768" s="19" t="str">
        <x:f>IFERROR(INDEX('מיפוי ומקורות'!$D$7:$D$33,MATCH(H768,'מיפוי ומקורות'!$B$7:$B$33,0)),"שוטף")</x:f>
        <x:v>שוטף</x:v>
      </x:c>
      <x:c r="K768" s="19" t="str">
        <x:f>IF(OR(H768="ריביות",AND(H768="דירה כצנלסון",G768&lt;0,ISNUMBER(SEARCH("הכנסה",F768)))),"הכנסה שסווגה מחדש",J768)</x:f>
        <x:v>שוטף</x:v>
      </x:c>
      <x:c r="L768" s="19" t="str">
        <x:v>מאושר</x:v>
      </x:c>
      <x:c r="M768" s="20" t="n">
        <x:f>IF(L768="מאושר",IF(K768="הכנסה שסווגה מחדש",0,G768),0)</x:f>
        <x:v>900</x:v>
      </x:c>
      <x:c r="N768" s="20" t="n">
        <x:f>IF(K768="שוטף",M768,0)</x:f>
        <x:v>900</x:v>
      </x:c>
      <x:c r="O768" s="20" t="n">
        <x:f>IF(K768="הכנסה שסווגה מחדש",-G768,0)</x:f>
        <x:v>0</x:v>
      </x:c>
      <x:c r="P768" s="11" t="str">
        <x:v>אמקס עינור</x:v>
      </x:c>
      <x:c r="Q768" s="11" t="str"/>
      <x:c r="R768" s="11" t="str">
        <x:v>לא</x:v>
      </x:c>
    </x:row>
    <x:row r="769">
      <x:c r="A769" s="14" t="n">
        <x:v>45870</x:v>
      </x:c>
      <x:c r="B769" s="11" t="str">
        <x:v>2025-08</x:v>
      </x:c>
      <x:c r="C769" s="11" t="str">
        <x:v>אוגוסט 25</x:v>
      </x:c>
      <x:c r="D769" s="15" t="n">
        <x:v>40</x:v>
      </x:c>
      <x:c r="E769" s="11" t="str">
        <x:v>26</x:v>
      </x:c>
      <x:c r="F769" s="11" t="str">
        <x:v>סופר</x:v>
      </x:c>
      <x:c r="G769" s="17" t="n">
        <x:v>40</x:v>
      </x:c>
      <x:c r="H769" s="18" t="str">
        <x:v>מזון לבית</x:v>
      </x:c>
      <x:c r="I769" s="19" t="str">
        <x:f>IFERROR(INDEX('מיפוי ומקורות'!$C$7:$C$33,MATCH(H769,'מיפוי ומקורות'!$B$7:$B$33,0)),"לא מסווג")</x:f>
        <x:v>מזון לבית</x:v>
      </x:c>
      <x:c r="J769" s="19" t="str">
        <x:f>IFERROR(INDEX('מיפוי ומקורות'!$D$7:$D$33,MATCH(H769,'מיפוי ומקורות'!$B$7:$B$33,0)),"שוטף")</x:f>
        <x:v>שוטף</x:v>
      </x:c>
      <x:c r="K769" s="19" t="str">
        <x:f>IF(OR(H769="ריביות",AND(H769="דירה כצנלסון",G769&lt;0,ISNUMBER(SEARCH("הכנסה",F769)))),"הכנסה שסווגה מחדש",J769)</x:f>
        <x:v>שוטף</x:v>
      </x:c>
      <x:c r="L769" s="19" t="str">
        <x:v>מאושר</x:v>
      </x:c>
      <x:c r="M769" s="20" t="n">
        <x:f>IF(L769="מאושר",IF(K769="הכנסה שסווגה מחדש",0,G769),0)</x:f>
        <x:v>40</x:v>
      </x:c>
      <x:c r="N769" s="20" t="n">
        <x:f>IF(K769="שוטף",M769,0)</x:f>
        <x:v>40</x:v>
      </x:c>
      <x:c r="O769" s="20" t="n">
        <x:f>IF(K769="הכנסה שסווגה מחדש",-G769,0)</x:f>
        <x:v>0</x:v>
      </x:c>
      <x:c r="P769" s="11" t="str">
        <x:v>אמקס עינור</x:v>
      </x:c>
      <x:c r="Q769" s="11" t="str"/>
      <x:c r="R769" s="11" t="str">
        <x:v>לא</x:v>
      </x:c>
    </x:row>
    <x:row r="770">
      <x:c r="A770" s="14" t="n">
        <x:v>45870</x:v>
      </x:c>
      <x:c r="B770" s="11" t="str">
        <x:v>2025-08</x:v>
      </x:c>
      <x:c r="C770" s="11" t="str">
        <x:v>אוגוסט 25</x:v>
      </x:c>
      <x:c r="D770" s="15" t="n">
        <x:v>41</x:v>
      </x:c>
      <x:c r="E770" s="11" t="str">
        <x:v>26</x:v>
      </x:c>
      <x:c r="F770" s="11" t="str">
        <x:v>סופר</x:v>
      </x:c>
      <x:c r="G770" s="17" t="n">
        <x:v>200</x:v>
      </x:c>
      <x:c r="H770" s="18" t="str">
        <x:v>מזון לבית</x:v>
      </x:c>
      <x:c r="I770" s="19" t="str">
        <x:f>IFERROR(INDEX('מיפוי ומקורות'!$C$7:$C$33,MATCH(H770,'מיפוי ומקורות'!$B$7:$B$33,0)),"לא מסווג")</x:f>
        <x:v>מזון לבית</x:v>
      </x:c>
      <x:c r="J770" s="19" t="str">
        <x:f>IFERROR(INDEX('מיפוי ומקורות'!$D$7:$D$33,MATCH(H770,'מיפוי ומקורות'!$B$7:$B$33,0)),"שוטף")</x:f>
        <x:v>שוטף</x:v>
      </x:c>
      <x:c r="K770" s="19" t="str">
        <x:f>IF(OR(H770="ריביות",AND(H770="דירה כצנלסון",G770&lt;0,ISNUMBER(SEARCH("הכנסה",F770)))),"הכנסה שסווגה מחדש",J770)</x:f>
        <x:v>שוטף</x:v>
      </x:c>
      <x:c r="L770" s="19" t="str">
        <x:v>מאושר</x:v>
      </x:c>
      <x:c r="M770" s="20" t="n">
        <x:f>IF(L770="מאושר",IF(K770="הכנסה שסווגה מחדש",0,G770),0)</x:f>
        <x:v>200</x:v>
      </x:c>
      <x:c r="N770" s="20" t="n">
        <x:f>IF(K770="שוטף",M770,0)</x:f>
        <x:v>200</x:v>
      </x:c>
      <x:c r="O770" s="20" t="n">
        <x:f>IF(K770="הכנסה שסווגה מחדש",-G770,0)</x:f>
        <x:v>0</x:v>
      </x:c>
      <x:c r="P770" s="11" t="str">
        <x:v>אמקס עינור</x:v>
      </x:c>
      <x:c r="Q770" s="11" t="str"/>
      <x:c r="R770" s="11" t="str">
        <x:v>לא</x:v>
      </x:c>
    </x:row>
    <x:row r="771">
      <x:c r="A771" s="14" t="n">
        <x:v>45870</x:v>
      </x:c>
      <x:c r="B771" s="11" t="str">
        <x:v>2025-08</x:v>
      </x:c>
      <x:c r="C771" s="11" t="str">
        <x:v>אוגוסט 25</x:v>
      </x:c>
      <x:c r="D771" s="15" t="n">
        <x:v>42</x:v>
      </x:c>
      <x:c r="E771" s="11" t="str">
        <x:v>27</x:v>
      </x:c>
      <x:c r="F771" s="11" t="str">
        <x:v>חניה</x:v>
      </x:c>
      <x:c r="G771" s="17" t="n">
        <x:v>5</x:v>
      </x:c>
      <x:c r="H771" s="18" t="str">
        <x:v>תחבורה</x:v>
      </x:c>
      <x:c r="I771" s="19" t="str">
        <x:f>IFERROR(INDEX('מיפוי ומקורות'!$C$7:$C$33,MATCH(H771,'מיפוי ומקורות'!$B$7:$B$33,0)),"לא מסווג")</x:f>
        <x:v>תחבורה</x:v>
      </x:c>
      <x:c r="J771" s="19" t="str">
        <x:f>IFERROR(INDEX('מיפוי ומקורות'!$D$7:$D$33,MATCH(H771,'מיפוי ומקורות'!$B$7:$B$33,0)),"שוטף")</x:f>
        <x:v>שוטף</x:v>
      </x:c>
      <x:c r="K771" s="19" t="str">
        <x:f>IF(OR(H771="ריביות",AND(H771="דירה כצנלסון",G771&lt;0,ISNUMBER(SEARCH("הכנסה",F771)))),"הכנסה שסווגה מחדש",J771)</x:f>
        <x:v>שוטף</x:v>
      </x:c>
      <x:c r="L771" s="19" t="str">
        <x:v>מאושר</x:v>
      </x:c>
      <x:c r="M771" s="20" t="n">
        <x:f>IF(L771="מאושר",IF(K771="הכנסה שסווגה מחדש",0,G771),0)</x:f>
        <x:v>5</x:v>
      </x:c>
      <x:c r="N771" s="20" t="n">
        <x:f>IF(K771="שוטף",M771,0)</x:f>
        <x:v>5</x:v>
      </x:c>
      <x:c r="O771" s="20" t="n">
        <x:f>IF(K771="הכנסה שסווגה מחדש",-G771,0)</x:f>
        <x:v>0</x:v>
      </x:c>
      <x:c r="P771" s="11" t="str">
        <x:v>אמקס עינור</x:v>
      </x:c>
      <x:c r="Q771" s="11" t="str"/>
      <x:c r="R771" s="11" t="str">
        <x:v>לא</x:v>
      </x:c>
    </x:row>
    <x:row r="772">
      <x:c r="A772" s="14" t="n">
        <x:v>45870</x:v>
      </x:c>
      <x:c r="B772" s="11" t="str">
        <x:v>2025-08</x:v>
      </x:c>
      <x:c r="C772" s="11" t="str">
        <x:v>אוגוסט 25</x:v>
      </x:c>
      <x:c r="D772" s="15" t="n">
        <x:v>43</x:v>
      </x:c>
      <x:c r="E772" s="11" t="str">
        <x:v>28</x:v>
      </x:c>
      <x:c r="F772" s="11" t="str">
        <x:v>ציפורניים (פייבוקס)</x:v>
      </x:c>
      <x:c r="G772" s="17" t="n">
        <x:v>140</x:v>
      </x:c>
      <x:c r="H772" s="18" t="str">
        <x:v>קוסמטיקה</x:v>
      </x:c>
      <x:c r="I772" s="19" t="str">
        <x:f>IFERROR(INDEX('מיפוי ומקורות'!$C$7:$C$33,MATCH(H772,'מיפוי ומקורות'!$B$7:$B$33,0)),"לא מסווג")</x:f>
        <x:v>קוסמטיקה</x:v>
      </x:c>
      <x:c r="J772" s="19" t="str">
        <x:f>IFERROR(INDEX('מיפוי ומקורות'!$D$7:$D$33,MATCH(H772,'מיפוי ומקורות'!$B$7:$B$33,0)),"שוטף")</x:f>
        <x:v>שוטף</x:v>
      </x:c>
      <x:c r="K772" s="19" t="str">
        <x:f>IF(OR(H772="ריביות",AND(H772="דירה כצנלסון",G772&lt;0,ISNUMBER(SEARCH("הכנסה",F772)))),"הכנסה שסווגה מחדש",J772)</x:f>
        <x:v>שוטף</x:v>
      </x:c>
      <x:c r="L772" s="19" t="str">
        <x:v>מאושר</x:v>
      </x:c>
      <x:c r="M772" s="20" t="n">
        <x:f>IF(L772="מאושר",IF(K772="הכנסה שסווגה מחדש",0,G772),0)</x:f>
        <x:v>140</x:v>
      </x:c>
      <x:c r="N772" s="20" t="n">
        <x:f>IF(K772="שוטף",M772,0)</x:f>
        <x:v>140</x:v>
      </x:c>
      <x:c r="O772" s="20" t="n">
        <x:f>IF(K772="הכנסה שסווגה מחדש",-G772,0)</x:f>
        <x:v>0</x:v>
      </x:c>
      <x:c r="P772" s="11" t="str">
        <x:v>אמקס עינור</x:v>
      </x:c>
      <x:c r="Q772" s="11" t="str"/>
      <x:c r="R772" s="11" t="str">
        <x:v>לא</x:v>
      </x:c>
    </x:row>
    <x:row r="773">
      <x:c r="A773" s="14" t="n">
        <x:v>45870</x:v>
      </x:c>
      <x:c r="B773" s="11" t="str">
        <x:v>2025-08</x:v>
      </x:c>
      <x:c r="C773" s="11" t="str">
        <x:v>אוגוסט 25</x:v>
      </x:c>
      <x:c r="D773" s="15" t="n">
        <x:v>44</x:v>
      </x:c>
      <x:c r="E773" s="11" t="str">
        <x:v>30</x:v>
      </x:c>
      <x:c r="F773" s="11" t="str">
        <x:v>החזר אלי</x:v>
      </x:c>
      <x:c r="G773" s="17" t="n">
        <x:v>-7</x:v>
      </x:c>
      <x:c r="H773" s="18" t="str">
        <x:v>קניות לבית</x:v>
      </x:c>
      <x:c r="I773" s="19" t="str">
        <x:f>IFERROR(INDEX('מיפוי ומקורות'!$C$7:$C$33,MATCH(H773,'מיפוי ומקורות'!$B$7:$B$33,0)),"לא מסווג")</x:f>
        <x:v>קניות לבית</x:v>
      </x:c>
      <x:c r="J773" s="19" t="str">
        <x:f>IFERROR(INDEX('מיפוי ומקורות'!$D$7:$D$33,MATCH(H773,'מיפוי ומקורות'!$B$7:$B$33,0)),"שוטף")</x:f>
        <x:v>שוטף</x:v>
      </x:c>
      <x:c r="K773" s="19" t="str">
        <x:f>IF(OR(H773="ריביות",AND(H773="דירה כצנלסון",G773&lt;0,ISNUMBER(SEARCH("הכנסה",F773)))),"הכנסה שסווגה מחדש",J773)</x:f>
        <x:v>שוטף</x:v>
      </x:c>
      <x:c r="L773" s="19" t="str">
        <x:v>מאושר</x:v>
      </x:c>
      <x:c r="M773" s="20" t="n">
        <x:f>IF(L773="מאושר",IF(K773="הכנסה שסווגה מחדש",0,G773),0)</x:f>
        <x:v>-7</x:v>
      </x:c>
      <x:c r="N773" s="20" t="n">
        <x:f>IF(K773="שוטף",M773,0)</x:f>
        <x:v>-7</x:v>
      </x:c>
      <x:c r="O773" s="20" t="n">
        <x:f>IF(K773="הכנסה שסווגה מחדש",-G773,0)</x:f>
        <x:v>0</x:v>
      </x:c>
      <x:c r="P773" s="11" t="str">
        <x:v>אמקס עינור</x:v>
      </x:c>
      <x:c r="Q773" s="11" t="str"/>
      <x:c r="R773" s="11" t="str">
        <x:v>לא</x:v>
      </x:c>
    </x:row>
    <x:row r="774">
      <x:c r="A774" s="14" t="n">
        <x:v>45870</x:v>
      </x:c>
      <x:c r="B774" s="11" t="str">
        <x:v>2025-08</x:v>
      </x:c>
      <x:c r="C774" s="11" t="str">
        <x:v>אוגוסט 25</x:v>
      </x:c>
      <x:c r="D774" s="15" t="n">
        <x:v>45</x:v>
      </x:c>
      <x:c r="E774" s="11" t="str">
        <x:v>9</x:v>
      </x:c>
      <x:c r="F774" s="11" t="str">
        <x:v>שיין</x:v>
      </x:c>
      <x:c r="G774" s="17" t="n">
        <x:v>503</x:v>
      </x:c>
      <x:c r="H774" s="18" t="str">
        <x:v>אופנה</x:v>
      </x:c>
      <x:c r="I774" s="19" t="str">
        <x:f>IFERROR(INDEX('מיפוי ומקורות'!$C$7:$C$33,MATCH(H774,'מיפוי ומקורות'!$B$7:$B$33,0)),"לא מסווג")</x:f>
        <x:v>אופנה</x:v>
      </x:c>
      <x:c r="J774" s="19" t="str">
        <x:f>IFERROR(INDEX('מיפוי ומקורות'!$D$7:$D$33,MATCH(H774,'מיפוי ומקורות'!$B$7:$B$33,0)),"שוטף")</x:f>
        <x:v>שוטף</x:v>
      </x:c>
      <x:c r="K774" s="19" t="str">
        <x:f>IF(OR(H774="ריביות",AND(H774="דירה כצנלסון",G774&lt;0,ISNUMBER(SEARCH("הכנסה",F774)))),"הכנסה שסווגה מחדש",J774)</x:f>
        <x:v>שוטף</x:v>
      </x:c>
      <x:c r="L774" s="19" t="str">
        <x:v>מאושר</x:v>
      </x:c>
      <x:c r="M774" s="20" t="n">
        <x:f>IF(L774="מאושר",IF(K774="הכנסה שסווגה מחדש",0,G774),0)</x:f>
        <x:v>503</x:v>
      </x:c>
      <x:c r="N774" s="20" t="n">
        <x:f>IF(K774="שוטף",M774,0)</x:f>
        <x:v>503</x:v>
      </x:c>
      <x:c r="O774" s="20" t="n">
        <x:f>IF(K774="הכנסה שסווגה מחדש",-G774,0)</x:f>
        <x:v>0</x:v>
      </x:c>
      <x:c r="P774" s="11" t="str">
        <x:v>one zero עינור</x:v>
      </x:c>
      <x:c r="Q774" s="11" t="str">
        <x:v>מבוטל</x:v>
      </x:c>
      <x:c r="R774" s="11" t="str">
        <x:v>לא</x:v>
      </x:c>
    </x:row>
    <x:row r="775">
      <x:c r="A775" s="14" t="n">
        <x:v>45870</x:v>
      </x:c>
      <x:c r="B775" s="11" t="str">
        <x:v>2025-08</x:v>
      </x:c>
      <x:c r="C775" s="11" t="str">
        <x:v>אוגוסט 25</x:v>
      </x:c>
      <x:c r="D775" s="15" t="n">
        <x:v>46</x:v>
      </x:c>
      <x:c r="E775" s="11" t="str">
        <x:v>1</x:v>
      </x:c>
      <x:c r="F775" s="11" t="str">
        <x:v>החזר אלי</x:v>
      </x:c>
      <x:c r="G775" s="17" t="n">
        <x:v>-12</x:v>
      </x:c>
      <x:c r="H775" s="18" t="str">
        <x:v>קניות לבית</x:v>
      </x:c>
      <x:c r="I775" s="19" t="str">
        <x:f>IFERROR(INDEX('מיפוי ומקורות'!$C$7:$C$33,MATCH(H775,'מיפוי ומקורות'!$B$7:$B$33,0)),"לא מסווג")</x:f>
        <x:v>קניות לבית</x:v>
      </x:c>
      <x:c r="J775" s="19" t="str">
        <x:f>IFERROR(INDEX('מיפוי ומקורות'!$D$7:$D$33,MATCH(H775,'מיפוי ומקורות'!$B$7:$B$33,0)),"שוטף")</x:f>
        <x:v>שוטף</x:v>
      </x:c>
      <x:c r="K775" s="19" t="str">
        <x:f>IF(OR(H775="ריביות",AND(H775="דירה כצנלסון",G775&lt;0,ISNUMBER(SEARCH("הכנסה",F775)))),"הכנסה שסווגה מחדש",J775)</x:f>
        <x:v>שוטף</x:v>
      </x:c>
      <x:c r="L775" s="19" t="str">
        <x:v>מאושר</x:v>
      </x:c>
      <x:c r="M775" s="20" t="n">
        <x:f>IF(L775="מאושר",IF(K775="הכנסה שסווגה מחדש",0,G775),0)</x:f>
        <x:v>-12</x:v>
      </x:c>
      <x:c r="N775" s="20" t="n">
        <x:f>IF(K775="שוטף",M775,0)</x:f>
        <x:v>-12</x:v>
      </x:c>
      <x:c r="O775" s="20" t="n">
        <x:f>IF(K775="הכנסה שסווגה מחדש",-G775,0)</x:f>
        <x:v>0</x:v>
      </x:c>
      <x:c r="P775" s="11" t="str">
        <x:v>one zero עינור</x:v>
      </x:c>
      <x:c r="Q775" s="11" t="str">
        <x:v>מבוטל</x:v>
      </x:c>
      <x:c r="R775" s="11" t="str">
        <x:v>לא</x:v>
      </x:c>
    </x:row>
    <x:row r="776">
      <x:c r="A776" s="14" t="n">
        <x:v>45870</x:v>
      </x:c>
      <x:c r="B776" s="11" t="str">
        <x:v>2025-08</x:v>
      </x:c>
      <x:c r="C776" s="11" t="str">
        <x:v>אוגוסט 25</x:v>
      </x:c>
      <x:c r="D776" s="15" t="n">
        <x:v>47</x:v>
      </x:c>
      <x:c r="E776" s="11" t="str">
        <x:v>31.7</x:v>
      </x:c>
      <x:c r="F776" s="11" t="str">
        <x:v>החזר אלי</x:v>
      </x:c>
      <x:c r="G776" s="17" t="n">
        <x:v>-47</x:v>
      </x:c>
      <x:c r="H776" s="18" t="str">
        <x:v>קניות לבית</x:v>
      </x:c>
      <x:c r="I776" s="19" t="str">
        <x:f>IFERROR(INDEX('מיפוי ומקורות'!$C$7:$C$33,MATCH(H776,'מיפוי ומקורות'!$B$7:$B$33,0)),"לא מסווג")</x:f>
        <x:v>קניות לבית</x:v>
      </x:c>
      <x:c r="J776" s="19" t="str">
        <x:f>IFERROR(INDEX('מיפוי ומקורות'!$D$7:$D$33,MATCH(H776,'מיפוי ומקורות'!$B$7:$B$33,0)),"שוטף")</x:f>
        <x:v>שוטף</x:v>
      </x:c>
      <x:c r="K776" s="19" t="str">
        <x:f>IF(OR(H776="ריביות",AND(H776="דירה כצנלסון",G776&lt;0,ISNUMBER(SEARCH("הכנסה",F776)))),"הכנסה שסווגה מחדש",J776)</x:f>
        <x:v>שוטף</x:v>
      </x:c>
      <x:c r="L776" s="19" t="str">
        <x:v>מאושר</x:v>
      </x:c>
      <x:c r="M776" s="20" t="n">
        <x:f>IF(L776="מאושר",IF(K776="הכנסה שסווגה מחדש",0,G776),0)</x:f>
        <x:v>-47</x:v>
      </x:c>
      <x:c r="N776" s="20" t="n">
        <x:f>IF(K776="שוטף",M776,0)</x:f>
        <x:v>-47</x:v>
      </x:c>
      <x:c r="O776" s="20" t="n">
        <x:f>IF(K776="הכנסה שסווגה מחדש",-G776,0)</x:f>
        <x:v>0</x:v>
      </x:c>
      <x:c r="P776" s="11" t="str">
        <x:v>one zero עינור</x:v>
      </x:c>
      <x:c r="Q776" s="11" t="str">
        <x:v>מבוטל</x:v>
      </x:c>
      <x:c r="R776" s="11" t="str">
        <x:v>לא</x:v>
      </x:c>
    </x:row>
    <x:row r="777">
      <x:c r="A777" s="14" t="n">
        <x:v>45870</x:v>
      </x:c>
      <x:c r="B777" s="11" t="str">
        <x:v>2025-08</x:v>
      </x:c>
      <x:c r="C777" s="11" t="str">
        <x:v>אוגוסט 25</x:v>
      </x:c>
      <x:c r="D777" s="15" t="n">
        <x:v>48</x:v>
      </x:c>
      <x:c r="E777" s="11" t="str">
        <x:v>25</x:v>
      </x:c>
      <x:c r="F777" s="11" t="str">
        <x:v>אוטובוסים</x:v>
      </x:c>
      <x:c r="G777" s="17" t="n">
        <x:v>88</x:v>
      </x:c>
      <x:c r="H777" s="18" t="str">
        <x:v>תחבורה</x:v>
      </x:c>
      <x:c r="I777" s="19" t="str">
        <x:f>IFERROR(INDEX('מיפוי ומקורות'!$C$7:$C$33,MATCH(H777,'מיפוי ומקורות'!$B$7:$B$33,0)),"לא מסווג")</x:f>
        <x:v>תחבורה</x:v>
      </x:c>
      <x:c r="J777" s="19" t="str">
        <x:f>IFERROR(INDEX('מיפוי ומקורות'!$D$7:$D$33,MATCH(H777,'מיפוי ומקורות'!$B$7:$B$33,0)),"שוטף")</x:f>
        <x:v>שוטף</x:v>
      </x:c>
      <x:c r="K777" s="19" t="str">
        <x:f>IF(OR(H777="ריביות",AND(H777="דירה כצנלסון",G777&lt;0,ISNUMBER(SEARCH("הכנסה",F777)))),"הכנסה שסווגה מחדש",J777)</x:f>
        <x:v>שוטף</x:v>
      </x:c>
      <x:c r="L777" s="19" t="str">
        <x:v>מאושר</x:v>
      </x:c>
      <x:c r="M777" s="20" t="n">
        <x:f>IF(L777="מאושר",IF(K777="הכנסה שסווגה מחדש",0,G777),0)</x:f>
        <x:v>88</x:v>
      </x:c>
      <x:c r="N777" s="20" t="n">
        <x:f>IF(K777="שוטף",M777,0)</x:f>
        <x:v>88</x:v>
      </x:c>
      <x:c r="O777" s="20" t="n">
        <x:f>IF(K777="הכנסה שסווגה מחדש",-G777,0)</x:f>
        <x:v>0</x:v>
      </x:c>
      <x:c r="P777" s="11" t="str">
        <x:v>one zero עינור</x:v>
      </x:c>
      <x:c r="Q777" s="11" t="str">
        <x:v>מבוטל</x:v>
      </x:c>
      <x:c r="R777" s="11" t="str">
        <x:v>לא</x:v>
      </x:c>
    </x:row>
    <x:row r="778">
      <x:c r="A778" s="14" t="n">
        <x:v>45870</x:v>
      </x:c>
      <x:c r="B778" s="11" t="str">
        <x:v>2025-08</x:v>
      </x:c>
      <x:c r="C778" s="11" t="str">
        <x:v>אוגוסט 25</x:v>
      </x:c>
      <x:c r="D778" s="15" t="n">
        <x:v>49</x:v>
      </x:c>
      <x:c r="E778" s="11" t="str">
        <x:v>27</x:v>
      </x:c>
      <x:c r="F778" s="11" t="str">
        <x:v>החזר שיין</x:v>
      </x:c>
      <x:c r="G778" s="17" t="n">
        <x:v>-334</x:v>
      </x:c>
      <x:c r="H778" s="18" t="str">
        <x:v>אופנה</x:v>
      </x:c>
      <x:c r="I778" s="19" t="str">
        <x:f>IFERROR(INDEX('מיפוי ומקורות'!$C$7:$C$33,MATCH(H778,'מיפוי ומקורות'!$B$7:$B$33,0)),"לא מסווג")</x:f>
        <x:v>אופנה</x:v>
      </x:c>
      <x:c r="J778" s="19" t="str">
        <x:f>IFERROR(INDEX('מיפוי ומקורות'!$D$7:$D$33,MATCH(H778,'מיפוי ומקורות'!$B$7:$B$33,0)),"שוטף")</x:f>
        <x:v>שוטף</x:v>
      </x:c>
      <x:c r="K778" s="19" t="str">
        <x:f>IF(OR(H778="ריביות",AND(H778="דירה כצנלסון",G778&lt;0,ISNUMBER(SEARCH("הכנסה",F778)))),"הכנסה שסווגה מחדש",J778)</x:f>
        <x:v>שוטף</x:v>
      </x:c>
      <x:c r="L778" s="19" t="str">
        <x:v>מאושר</x:v>
      </x:c>
      <x:c r="M778" s="20" t="n">
        <x:f>IF(L778="מאושר",IF(K778="הכנסה שסווגה מחדש",0,G778),0)</x:f>
        <x:v>-334</x:v>
      </x:c>
      <x:c r="N778" s="20" t="n">
        <x:f>IF(K778="שוטף",M778,0)</x:f>
        <x:v>-334</x:v>
      </x:c>
      <x:c r="O778" s="20" t="n">
        <x:f>IF(K778="הכנסה שסווגה מחדש",-G778,0)</x:f>
        <x:v>0</x:v>
      </x:c>
      <x:c r="P778" s="11" t="str">
        <x:v>one zero עינור</x:v>
      </x:c>
      <x:c r="Q778" s="11" t="str">
        <x:v>מבוטל</x:v>
      </x:c>
      <x:c r="R778" s="11" t="str">
        <x:v>לא</x:v>
      </x:c>
    </x:row>
    <x:row r="779">
      <x:c r="A779" s="14" t="n">
        <x:v>45870</x:v>
      </x:c>
      <x:c r="B779" s="11" t="str">
        <x:v>2025-08</x:v>
      </x:c>
      <x:c r="C779" s="11" t="str">
        <x:v>אוגוסט 25</x:v>
      </x:c>
      <x:c r="D779" s="15" t="n">
        <x:v>50</x:v>
      </x:c>
      <x:c r="E779" s="11" t="str">
        <x:v>8</x:v>
      </x:c>
      <x:c r="F779" s="11" t="str">
        <x:v>קורקינט</x:v>
      </x:c>
      <x:c r="G779" s="17" t="n">
        <x:v>22</x:v>
      </x:c>
      <x:c r="H779" s="18" t="str">
        <x:v>תחבורה</x:v>
      </x:c>
      <x:c r="I779" s="19" t="str">
        <x:f>IFERROR(INDEX('מיפוי ומקורות'!$C$7:$C$33,MATCH(H779,'מיפוי ומקורות'!$B$7:$B$33,0)),"לא מסווג")</x:f>
        <x:v>תחבורה</x:v>
      </x:c>
      <x:c r="J779" s="19" t="str">
        <x:f>IFERROR(INDEX('מיפוי ומקורות'!$D$7:$D$33,MATCH(H779,'מיפוי ומקורות'!$B$7:$B$33,0)),"שוטף")</x:f>
        <x:v>שוטף</x:v>
      </x:c>
      <x:c r="K779" s="19" t="str">
        <x:f>IF(OR(H779="ריביות",AND(H779="דירה כצנלסון",G779&lt;0,ISNUMBER(SEARCH("הכנסה",F779)))),"הכנסה שסווגה מחדש",J779)</x:f>
        <x:v>שוטף</x:v>
      </x:c>
      <x:c r="L779" s="19" t="str">
        <x:v>מאושר</x:v>
      </x:c>
      <x:c r="M779" s="20" t="n">
        <x:f>IF(L779="מאושר",IF(K779="הכנסה שסווגה מחדש",0,G779),0)</x:f>
        <x:v>22</x:v>
      </x:c>
      <x:c r="N779" s="20" t="n">
        <x:f>IF(K779="שוטף",M779,0)</x:f>
        <x:v>22</x:v>
      </x:c>
      <x:c r="O779" s="20" t="n">
        <x:f>IF(K779="הכנסה שסווגה מחדש",-G779,0)</x:f>
        <x:v>0</x:v>
      </x:c>
      <x:c r="P779" s="11" t="str">
        <x:v>one zero זיו</x:v>
      </x:c>
      <x:c r="Q779" s="11" t="str"/>
      <x:c r="R779" s="11" t="str">
        <x:v>לא</x:v>
      </x:c>
    </x:row>
    <x:row r="780">
      <x:c r="A780" s="14" t="n">
        <x:v>45870</x:v>
      </x:c>
      <x:c r="B780" s="11" t="str">
        <x:v>2025-08</x:v>
      </x:c>
      <x:c r="C780" s="11" t="str">
        <x:v>אוגוסט 25</x:v>
      </x:c>
      <x:c r="D780" s="15" t="n">
        <x:v>51</x:v>
      </x:c>
      <x:c r="E780" s="11" t="str">
        <x:v>9</x:v>
      </x:c>
      <x:c r="F780" s="11" t="str">
        <x:v>סדנת שוקולד</x:v>
      </x:c>
      <x:c r="G780" s="17" t="n">
        <x:v>361</x:v>
      </x:c>
      <x:c r="H780" s="18" t="str">
        <x:v>פנאי</x:v>
      </x:c>
      <x:c r="I780" s="19" t="str">
        <x:f>IFERROR(INDEX('מיפוי ומקורות'!$C$7:$C$33,MATCH(H780,'מיפוי ומקורות'!$B$7:$B$33,0)),"לא מסווג")</x:f>
        <x:v>פנאי</x:v>
      </x:c>
      <x:c r="J780" s="19" t="str">
        <x:f>IFERROR(INDEX('מיפוי ומקורות'!$D$7:$D$33,MATCH(H780,'מיפוי ומקורות'!$B$7:$B$33,0)),"שוטף")</x:f>
        <x:v>שוטף</x:v>
      </x:c>
      <x:c r="K780" s="19" t="str">
        <x:f>IF(OR(H780="ריביות",AND(H780="דירה כצנלסון",G780&lt;0,ISNUMBER(SEARCH("הכנסה",F780)))),"הכנסה שסווגה מחדש",J780)</x:f>
        <x:v>שוטף</x:v>
      </x:c>
      <x:c r="L780" s="19" t="str">
        <x:v>מאושר</x:v>
      </x:c>
      <x:c r="M780" s="20" t="n">
        <x:f>IF(L780="מאושר",IF(K780="הכנסה שסווגה מחדש",0,G780),0)</x:f>
        <x:v>361</x:v>
      </x:c>
      <x:c r="N780" s="20" t="n">
        <x:f>IF(K780="שוטף",M780,0)</x:f>
        <x:v>361</x:v>
      </x:c>
      <x:c r="O780" s="20" t="n">
        <x:f>IF(K780="הכנסה שסווגה מחדש",-G780,0)</x:f>
        <x:v>0</x:v>
      </x:c>
      <x:c r="P780" s="11" t="str">
        <x:v>one zero זיו</x:v>
      </x:c>
      <x:c r="Q780" s="11" t="str"/>
      <x:c r="R780" s="11" t="str">
        <x:v>לא</x:v>
      </x:c>
    </x:row>
    <x:row r="781">
      <x:c r="A781" s="14" t="n">
        <x:v>45870</x:v>
      </x:c>
      <x:c r="B781" s="11" t="str">
        <x:v>2025-08</x:v>
      </x:c>
      <x:c r="C781" s="11" t="str">
        <x:v>אוגוסט 25</x:v>
      </x:c>
      <x:c r="D781" s="15" t="n">
        <x:v>52</x:v>
      </x:c>
      <x:c r="E781" s="11" t="str">
        <x:v>12</x:v>
      </x:c>
      <x:c r="F781" s="11" t="str">
        <x:v>מנוי קורקינט</x:v>
      </x:c>
      <x:c r="G781" s="17" t="n">
        <x:v>40</x:v>
      </x:c>
      <x:c r="H781" s="18" t="str">
        <x:v>תחבורה</x:v>
      </x:c>
      <x:c r="I781" s="19" t="str">
        <x:f>IFERROR(INDEX('מיפוי ומקורות'!$C$7:$C$33,MATCH(H781,'מיפוי ומקורות'!$B$7:$B$33,0)),"לא מסווג")</x:f>
        <x:v>תחבורה</x:v>
      </x:c>
      <x:c r="J781" s="19" t="str">
        <x:f>IFERROR(INDEX('מיפוי ומקורות'!$D$7:$D$33,MATCH(H781,'מיפוי ומקורות'!$B$7:$B$33,0)),"שוטף")</x:f>
        <x:v>שוטף</x:v>
      </x:c>
      <x:c r="K781" s="19" t="str">
        <x:f>IF(OR(H781="ריביות",AND(H781="דירה כצנלסון",G781&lt;0,ISNUMBER(SEARCH("הכנסה",F781)))),"הכנסה שסווגה מחדש",J781)</x:f>
        <x:v>שוטף</x:v>
      </x:c>
      <x:c r="L781" s="19" t="str">
        <x:v>מאושר</x:v>
      </x:c>
      <x:c r="M781" s="20" t="n">
        <x:f>IF(L781="מאושר",IF(K781="הכנסה שסווגה מחדש",0,G781),0)</x:f>
        <x:v>40</x:v>
      </x:c>
      <x:c r="N781" s="20" t="n">
        <x:f>IF(K781="שוטף",M781,0)</x:f>
        <x:v>40</x:v>
      </x:c>
      <x:c r="O781" s="20" t="n">
        <x:f>IF(K781="הכנסה שסווגה מחדש",-G781,0)</x:f>
        <x:v>0</x:v>
      </x:c>
      <x:c r="P781" s="11" t="str">
        <x:v>one zero זיו</x:v>
      </x:c>
      <x:c r="Q781" s="11" t="str"/>
      <x:c r="R781" s="11" t="str">
        <x:v>לא</x:v>
      </x:c>
    </x:row>
    <x:row r="782">
      <x:c r="A782" s="14" t="n">
        <x:v>45870</x:v>
      </x:c>
      <x:c r="B782" s="11" t="str">
        <x:v>2025-08</x:v>
      </x:c>
      <x:c r="C782" s="11" t="str">
        <x:v>אוגוסט 25</x:v>
      </x:c>
      <x:c r="D782" s="15" t="n">
        <x:v>53</x:v>
      </x:c>
      <x:c r="E782" s="11" t="str">
        <x:v>12</x:v>
      </x:c>
      <x:c r="F782" s="11" t="str">
        <x:v>אוכל</x:v>
      </x:c>
      <x:c r="G782" s="17" t="n">
        <x:v>36</x:v>
      </x:c>
      <x:c r="H782" s="18" t="str">
        <x:v>אוכל בחוץ</x:v>
      </x:c>
      <x:c r="I782" s="19" t="str">
        <x:f>IFERROR(INDEX('מיפוי ומקורות'!$C$7:$C$33,MATCH(H782,'מיפוי ומקורות'!$B$7:$B$33,0)),"לא מסווג")</x:f>
        <x:v>אוכל בחוץ</x:v>
      </x:c>
      <x:c r="J782" s="19" t="str">
        <x:f>IFERROR(INDEX('מיפוי ומקורות'!$D$7:$D$33,MATCH(H782,'מיפוי ומקורות'!$B$7:$B$33,0)),"שוטף")</x:f>
        <x:v>שוטף</x:v>
      </x:c>
      <x:c r="K782" s="19" t="str">
        <x:f>IF(OR(H782="ריביות",AND(H782="דירה כצנלסון",G782&lt;0,ISNUMBER(SEARCH("הכנסה",F782)))),"הכנסה שסווגה מחדש",J782)</x:f>
        <x:v>שוטף</x:v>
      </x:c>
      <x:c r="L782" s="19" t="str">
        <x:v>מאושר</x:v>
      </x:c>
      <x:c r="M782" s="20" t="n">
        <x:f>IF(L782="מאושר",IF(K782="הכנסה שסווגה מחדש",0,G782),0)</x:f>
        <x:v>36</x:v>
      </x:c>
      <x:c r="N782" s="20" t="n">
        <x:f>IF(K782="שוטף",M782,0)</x:f>
        <x:v>36</x:v>
      </x:c>
      <x:c r="O782" s="20" t="n">
        <x:f>IF(K782="הכנסה שסווגה מחדש",-G782,0)</x:f>
        <x:v>0</x:v>
      </x:c>
      <x:c r="P782" s="11" t="str">
        <x:v>one zero זיו</x:v>
      </x:c>
      <x:c r="Q782" s="11" t="str"/>
      <x:c r="R782" s="11" t="str">
        <x:v>לא</x:v>
      </x:c>
    </x:row>
    <x:row r="783">
      <x:c r="A783" s="14" t="n">
        <x:v>45870</x:v>
      </x:c>
      <x:c r="B783" s="11" t="str">
        <x:v>2025-08</x:v>
      </x:c>
      <x:c r="C783" s="11" t="str">
        <x:v>אוגוסט 25</x:v>
      </x:c>
      <x:c r="D783" s="15" t="n">
        <x:v>54</x:v>
      </x:c>
      <x:c r="E783" s="11" t="str">
        <x:v>13</x:v>
      </x:c>
      <x:c r="F783" s="11" t="str">
        <x:v>קורקינט</x:v>
      </x:c>
      <x:c r="G783" s="17" t="n">
        <x:v>8</x:v>
      </x:c>
      <x:c r="H783" s="18" t="str">
        <x:v>תחבורה</x:v>
      </x:c>
      <x:c r="I783" s="19" t="str">
        <x:f>IFERROR(INDEX('מיפוי ומקורות'!$C$7:$C$33,MATCH(H783,'מיפוי ומקורות'!$B$7:$B$33,0)),"לא מסווג")</x:f>
        <x:v>תחבורה</x:v>
      </x:c>
      <x:c r="J783" s="19" t="str">
        <x:f>IFERROR(INDEX('מיפוי ומקורות'!$D$7:$D$33,MATCH(H783,'מיפוי ומקורות'!$B$7:$B$33,0)),"שוטף")</x:f>
        <x:v>שוטף</x:v>
      </x:c>
      <x:c r="K783" s="19" t="str">
        <x:f>IF(OR(H783="ריביות",AND(H783="דירה כצנלסון",G783&lt;0,ISNUMBER(SEARCH("הכנסה",F783)))),"הכנסה שסווגה מחדש",J783)</x:f>
        <x:v>שוטף</x:v>
      </x:c>
      <x:c r="L783" s="19" t="str">
        <x:v>מאושר</x:v>
      </x:c>
      <x:c r="M783" s="20" t="n">
        <x:f>IF(L783="מאושר",IF(K783="הכנסה שסווגה מחדש",0,G783),0)</x:f>
        <x:v>8</x:v>
      </x:c>
      <x:c r="N783" s="20" t="n">
        <x:f>IF(K783="שוטף",M783,0)</x:f>
        <x:v>8</x:v>
      </x:c>
      <x:c r="O783" s="20" t="n">
        <x:f>IF(K783="הכנסה שסווגה מחדש",-G783,0)</x:f>
        <x:v>0</x:v>
      </x:c>
      <x:c r="P783" s="11" t="str">
        <x:v>one zero זיו</x:v>
      </x:c>
      <x:c r="Q783" s="11" t="str"/>
      <x:c r="R783" s="11" t="str">
        <x:v>לא</x:v>
      </x:c>
    </x:row>
    <x:row r="784">
      <x:c r="A784" s="14" t="n">
        <x:v>45870</x:v>
      </x:c>
      <x:c r="B784" s="11" t="str">
        <x:v>2025-08</x:v>
      </x:c>
      <x:c r="C784" s="11" t="str">
        <x:v>אוגוסט 25</x:v>
      </x:c>
      <x:c r="D784" s="15" t="n">
        <x:v>55</x:v>
      </x:c>
      <x:c r="E784" s="11" t="str">
        <x:v>15</x:v>
      </x:c>
      <x:c r="F784" s="11" t="str">
        <x:v>קורקינט</x:v>
      </x:c>
      <x:c r="G784" s="17" t="n">
        <x:v>19</x:v>
      </x:c>
      <x:c r="H784" s="18" t="str">
        <x:v>תחבורה</x:v>
      </x:c>
      <x:c r="I784" s="19" t="str">
        <x:f>IFERROR(INDEX('מיפוי ומקורות'!$C$7:$C$33,MATCH(H784,'מיפוי ומקורות'!$B$7:$B$33,0)),"לא מסווג")</x:f>
        <x:v>תחבורה</x:v>
      </x:c>
      <x:c r="J784" s="19" t="str">
        <x:f>IFERROR(INDEX('מיפוי ומקורות'!$D$7:$D$33,MATCH(H784,'מיפוי ומקורות'!$B$7:$B$33,0)),"שוטף")</x:f>
        <x:v>שוטף</x:v>
      </x:c>
      <x:c r="K784" s="19" t="str">
        <x:f>IF(OR(H784="ריביות",AND(H784="דירה כצנלסון",G784&lt;0,ISNUMBER(SEARCH("הכנסה",F784)))),"הכנסה שסווגה מחדש",J784)</x:f>
        <x:v>שוטף</x:v>
      </x:c>
      <x:c r="L784" s="19" t="str">
        <x:v>מאושר</x:v>
      </x:c>
      <x:c r="M784" s="20" t="n">
        <x:f>IF(L784="מאושר",IF(K784="הכנסה שסווגה מחדש",0,G784),0)</x:f>
        <x:v>19</x:v>
      </x:c>
      <x:c r="N784" s="20" t="n">
        <x:f>IF(K784="שוטף",M784,0)</x:f>
        <x:v>19</x:v>
      </x:c>
      <x:c r="O784" s="20" t="n">
        <x:f>IF(K784="הכנסה שסווגה מחדש",-G784,0)</x:f>
        <x:v>0</x:v>
      </x:c>
      <x:c r="P784" s="11" t="str">
        <x:v>one zero זיו</x:v>
      </x:c>
      <x:c r="Q784" s="11" t="str"/>
      <x:c r="R784" s="11" t="str">
        <x:v>לא</x:v>
      </x:c>
    </x:row>
    <x:row r="785">
      <x:c r="A785" s="14" t="n">
        <x:v>45870</x:v>
      </x:c>
      <x:c r="B785" s="11" t="str">
        <x:v>2025-08</x:v>
      </x:c>
      <x:c r="C785" s="11" t="str">
        <x:v>אוגוסט 25</x:v>
      </x:c>
      <x:c r="D785" s="15" t="n">
        <x:v>56</x:v>
      </x:c>
      <x:c r="E785" s="11" t="str">
        <x:v>22</x:v>
      </x:c>
      <x:c r="F785" s="11" t="str">
        <x:v>קורקינט</x:v>
      </x:c>
      <x:c r="G785" s="17" t="n">
        <x:v>16</x:v>
      </x:c>
      <x:c r="H785" s="18" t="str">
        <x:v>תחבורה</x:v>
      </x:c>
      <x:c r="I785" s="19" t="str">
        <x:f>IFERROR(INDEX('מיפוי ומקורות'!$C$7:$C$33,MATCH(H785,'מיפוי ומקורות'!$B$7:$B$33,0)),"לא מסווג")</x:f>
        <x:v>תחבורה</x:v>
      </x:c>
      <x:c r="J785" s="19" t="str">
        <x:f>IFERROR(INDEX('מיפוי ומקורות'!$D$7:$D$33,MATCH(H785,'מיפוי ומקורות'!$B$7:$B$33,0)),"שוטף")</x:f>
        <x:v>שוטף</x:v>
      </x:c>
      <x:c r="K785" s="19" t="str">
        <x:f>IF(OR(H785="ריביות",AND(H785="דירה כצנלסון",G785&lt;0,ISNUMBER(SEARCH("הכנסה",F785)))),"הכנסה שסווגה מחדש",J785)</x:f>
        <x:v>שוטף</x:v>
      </x:c>
      <x:c r="L785" s="19" t="str">
        <x:v>מאושר</x:v>
      </x:c>
      <x:c r="M785" s="20" t="n">
        <x:f>IF(L785="מאושר",IF(K785="הכנסה שסווגה מחדש",0,G785),0)</x:f>
        <x:v>16</x:v>
      </x:c>
      <x:c r="N785" s="20" t="n">
        <x:f>IF(K785="שוטף",M785,0)</x:f>
        <x:v>16</x:v>
      </x:c>
      <x:c r="O785" s="20" t="n">
        <x:f>IF(K785="הכנסה שסווגה מחדש",-G785,0)</x:f>
        <x:v>0</x:v>
      </x:c>
      <x:c r="P785" s="11" t="str">
        <x:v>one zero זיו</x:v>
      </x:c>
      <x:c r="Q785" s="11" t="str"/>
      <x:c r="R785" s="11" t="str">
        <x:v>לא</x:v>
      </x:c>
    </x:row>
    <x:row r="786">
      <x:c r="A786" s="14" t="n">
        <x:v>45870</x:v>
      </x:c>
      <x:c r="B786" s="11" t="str">
        <x:v>2025-08</x:v>
      </x:c>
      <x:c r="C786" s="11" t="str">
        <x:v>אוגוסט 25</x:v>
      </x:c>
      <x:c r="D786" s="15" t="n">
        <x:v>57</x:v>
      </x:c>
      <x:c r="E786" s="11" t="str">
        <x:v>22</x:v>
      </x:c>
      <x:c r="F786" s="11" t="str">
        <x:v>חלה</x:v>
      </x:c>
      <x:c r="G786" s="17" t="n">
        <x:v>14</x:v>
      </x:c>
      <x:c r="H786" s="18" t="str">
        <x:v>אוכל בחוץ</x:v>
      </x:c>
      <x:c r="I786" s="19" t="str">
        <x:f>IFERROR(INDEX('מיפוי ומקורות'!$C$7:$C$33,MATCH(H786,'מיפוי ומקורות'!$B$7:$B$33,0)),"לא מסווג")</x:f>
        <x:v>אוכל בחוץ</x:v>
      </x:c>
      <x:c r="J786" s="19" t="str">
        <x:f>IFERROR(INDEX('מיפוי ומקורות'!$D$7:$D$33,MATCH(H786,'מיפוי ומקורות'!$B$7:$B$33,0)),"שוטף")</x:f>
        <x:v>שוטף</x:v>
      </x:c>
      <x:c r="K786" s="19" t="str">
        <x:f>IF(OR(H786="ריביות",AND(H786="דירה כצנלסון",G786&lt;0,ISNUMBER(SEARCH("הכנסה",F786)))),"הכנסה שסווגה מחדש",J786)</x:f>
        <x:v>שוטף</x:v>
      </x:c>
      <x:c r="L786" s="19" t="str">
        <x:v>מאושר</x:v>
      </x:c>
      <x:c r="M786" s="20" t="n">
        <x:f>IF(L786="מאושר",IF(K786="הכנסה שסווגה מחדש",0,G786),0)</x:f>
        <x:v>14</x:v>
      </x:c>
      <x:c r="N786" s="20" t="n">
        <x:f>IF(K786="שוטף",M786,0)</x:f>
        <x:v>14</x:v>
      </x:c>
      <x:c r="O786" s="20" t="n">
        <x:f>IF(K786="הכנסה שסווגה מחדש",-G786,0)</x:f>
        <x:v>0</x:v>
      </x:c>
      <x:c r="P786" s="11" t="str">
        <x:v>one zero זיו</x:v>
      </x:c>
      <x:c r="Q786" s="11" t="str"/>
      <x:c r="R786" s="11" t="str">
        <x:v>לא</x:v>
      </x:c>
    </x:row>
    <x:row r="787">
      <x:c r="A787" s="14" t="n">
        <x:v>45870</x:v>
      </x:c>
      <x:c r="B787" s="11" t="str">
        <x:v>2025-08</x:v>
      </x:c>
      <x:c r="C787" s="11" t="str">
        <x:v>אוגוסט 25</x:v>
      </x:c>
      <x:c r="D787" s="15" t="n">
        <x:v>58</x:v>
      </x:c>
      <x:c r="E787" s="11" t="str">
        <x:v>23</x:v>
      </x:c>
      <x:c r="F787" s="11" t="str">
        <x:v>ג'חנון</x:v>
      </x:c>
      <x:c r="G787" s="17" t="n">
        <x:v>96</x:v>
      </x:c>
      <x:c r="H787" s="18" t="str">
        <x:v>אוכל בחוץ</x:v>
      </x:c>
      <x:c r="I787" s="19" t="str">
        <x:f>IFERROR(INDEX('מיפוי ומקורות'!$C$7:$C$33,MATCH(H787,'מיפוי ומקורות'!$B$7:$B$33,0)),"לא מסווג")</x:f>
        <x:v>אוכל בחוץ</x:v>
      </x:c>
      <x:c r="J787" s="19" t="str">
        <x:f>IFERROR(INDEX('מיפוי ומקורות'!$D$7:$D$33,MATCH(H787,'מיפוי ומקורות'!$B$7:$B$33,0)),"שוטף")</x:f>
        <x:v>שוטף</x:v>
      </x:c>
      <x:c r="K787" s="19" t="str">
        <x:f>IF(OR(H787="ריביות",AND(H787="דירה כצנלסון",G787&lt;0,ISNUMBER(SEARCH("הכנסה",F787)))),"הכנסה שסווגה מחדש",J787)</x:f>
        <x:v>שוטף</x:v>
      </x:c>
      <x:c r="L787" s="19" t="str">
        <x:v>מאושר</x:v>
      </x:c>
      <x:c r="M787" s="20" t="n">
        <x:f>IF(L787="מאושר",IF(K787="הכנסה שסווגה מחדש",0,G787),0)</x:f>
        <x:v>96</x:v>
      </x:c>
      <x:c r="N787" s="20" t="n">
        <x:f>IF(K787="שוטף",M787,0)</x:f>
        <x:v>96</x:v>
      </x:c>
      <x:c r="O787" s="20" t="n">
        <x:f>IF(K787="הכנסה שסווגה מחדש",-G787,0)</x:f>
        <x:v>0</x:v>
      </x:c>
      <x:c r="P787" s="11" t="str">
        <x:v>one zero זיו</x:v>
      </x:c>
      <x:c r="Q787" s="11" t="str"/>
      <x:c r="R787" s="11" t="str">
        <x:v>לא</x:v>
      </x:c>
    </x:row>
    <x:row r="788">
      <x:c r="A788" s="14" t="n">
        <x:v>45870</x:v>
      </x:c>
      <x:c r="B788" s="11" t="str">
        <x:v>2025-08</x:v>
      </x:c>
      <x:c r="C788" s="11" t="str">
        <x:v>אוגוסט 25</x:v>
      </x:c>
      <x:c r="D788" s="15" t="n">
        <x:v>59</x:v>
      </x:c>
      <x:c r="E788" s="11" t="str">
        <x:v>25</x:v>
      </x:c>
      <x:c r="F788" s="11" t="str">
        <x:v>אוטובוסים</x:v>
      </x:c>
      <x:c r="G788" s="17" t="n">
        <x:v>8</x:v>
      </x:c>
      <x:c r="H788" s="18" t="str">
        <x:v>תחבורה</x:v>
      </x:c>
      <x:c r="I788" s="19" t="str">
        <x:f>IFERROR(INDEX('מיפוי ומקורות'!$C$7:$C$33,MATCH(H788,'מיפוי ומקורות'!$B$7:$B$33,0)),"לא מסווג")</x:f>
        <x:v>תחבורה</x:v>
      </x:c>
      <x:c r="J788" s="19" t="str">
        <x:f>IFERROR(INDEX('מיפוי ומקורות'!$D$7:$D$33,MATCH(H788,'מיפוי ומקורות'!$B$7:$B$33,0)),"שוטף")</x:f>
        <x:v>שוטף</x:v>
      </x:c>
      <x:c r="K788" s="19" t="str">
        <x:f>IF(OR(H788="ריביות",AND(H788="דירה כצנלסון",G788&lt;0,ISNUMBER(SEARCH("הכנסה",F788)))),"הכנסה שסווגה מחדש",J788)</x:f>
        <x:v>שוטף</x:v>
      </x:c>
      <x:c r="L788" s="19" t="str">
        <x:v>מאושר</x:v>
      </x:c>
      <x:c r="M788" s="20" t="n">
        <x:f>IF(L788="מאושר",IF(K788="הכנסה שסווגה מחדש",0,G788),0)</x:f>
        <x:v>8</x:v>
      </x:c>
      <x:c r="N788" s="20" t="n">
        <x:f>IF(K788="שוטף",M788,0)</x:f>
        <x:v>8</x:v>
      </x:c>
      <x:c r="O788" s="20" t="n">
        <x:f>IF(K788="הכנסה שסווגה מחדש",-G788,0)</x:f>
        <x:v>0</x:v>
      </x:c>
      <x:c r="P788" s="11" t="str">
        <x:v>one zero זיו</x:v>
      </x:c>
      <x:c r="Q788" s="11" t="str"/>
      <x:c r="R788" s="11" t="str">
        <x:v>לא</x:v>
      </x:c>
    </x:row>
    <x:row r="789">
      <x:c r="A789" s="14" t="n">
        <x:v>45870</x:v>
      </x:c>
      <x:c r="B789" s="11" t="str">
        <x:v>2025-08</x:v>
      </x:c>
      <x:c r="C789" s="11" t="str">
        <x:v>אוגוסט 25</x:v>
      </x:c>
      <x:c r="D789" s="15" t="n">
        <x:v>60</x:v>
      </x:c>
      <x:c r="E789" s="11" t="str">
        <x:v>27</x:v>
      </x:c>
      <x:c r="F789" s="11" t="str">
        <x:v>קורקינט</x:v>
      </x:c>
      <x:c r="G789" s="17" t="n">
        <x:v>13</x:v>
      </x:c>
      <x:c r="H789" s="18" t="str">
        <x:v>תחבורה</x:v>
      </x:c>
      <x:c r="I789" s="19" t="str">
        <x:f>IFERROR(INDEX('מיפוי ומקורות'!$C$7:$C$33,MATCH(H789,'מיפוי ומקורות'!$B$7:$B$33,0)),"לא מסווג")</x:f>
        <x:v>תחבורה</x:v>
      </x:c>
      <x:c r="J789" s="19" t="str">
        <x:f>IFERROR(INDEX('מיפוי ומקורות'!$D$7:$D$33,MATCH(H789,'מיפוי ומקורות'!$B$7:$B$33,0)),"שוטף")</x:f>
        <x:v>שוטף</x:v>
      </x:c>
      <x:c r="K789" s="19" t="str">
        <x:f>IF(OR(H789="ריביות",AND(H789="דירה כצנלסון",G789&lt;0,ISNUMBER(SEARCH("הכנסה",F789)))),"הכנסה שסווגה מחדש",J789)</x:f>
        <x:v>שוטף</x:v>
      </x:c>
      <x:c r="L789" s="19" t="str">
        <x:v>מאושר</x:v>
      </x:c>
      <x:c r="M789" s="20" t="n">
        <x:f>IF(L789="מאושר",IF(K789="הכנסה שסווגה מחדש",0,G789),0)</x:f>
        <x:v>13</x:v>
      </x:c>
      <x:c r="N789" s="20" t="n">
        <x:f>IF(K789="שוטף",M789,0)</x:f>
        <x:v>13</x:v>
      </x:c>
      <x:c r="O789" s="20" t="n">
        <x:f>IF(K789="הכנסה שסווגה מחדש",-G789,0)</x:f>
        <x:v>0</x:v>
      </x:c>
      <x:c r="P789" s="11" t="str">
        <x:v>one zero זיו</x:v>
      </x:c>
      <x:c r="Q789" s="11" t="str"/>
      <x:c r="R789" s="11" t="str">
        <x:v>לא</x:v>
      </x:c>
    </x:row>
    <x:row r="790">
      <x:c r="A790" s="14" t="n">
        <x:v>45870</x:v>
      </x:c>
      <x:c r="B790" s="11" t="str">
        <x:v>2025-08</x:v>
      </x:c>
      <x:c r="C790" s="11" t="str">
        <x:v>אוגוסט 25</x:v>
      </x:c>
      <x:c r="D790" s="15" t="n">
        <x:v>61</x:v>
      </x:c>
      <x:c r="E790" s="11" t="str">
        <x:v>27</x:v>
      </x:c>
      <x:c r="F790" s="11" t="str">
        <x:v>קורקינט</x:v>
      </x:c>
      <x:c r="G790" s="17" t="n">
        <x:v>3</x:v>
      </x:c>
      <x:c r="H790" s="18" t="str">
        <x:v>תחבורה</x:v>
      </x:c>
      <x:c r="I790" s="19" t="str">
        <x:f>IFERROR(INDEX('מיפוי ומקורות'!$C$7:$C$33,MATCH(H790,'מיפוי ומקורות'!$B$7:$B$33,0)),"לא מסווג")</x:f>
        <x:v>תחבורה</x:v>
      </x:c>
      <x:c r="J790" s="19" t="str">
        <x:f>IFERROR(INDEX('מיפוי ומקורות'!$D$7:$D$33,MATCH(H790,'מיפוי ומקורות'!$B$7:$B$33,0)),"שוטף")</x:f>
        <x:v>שוטף</x:v>
      </x:c>
      <x:c r="K790" s="19" t="str">
        <x:f>IF(OR(H790="ריביות",AND(H790="דירה כצנלסון",G790&lt;0,ISNUMBER(SEARCH("הכנסה",F790)))),"הכנסה שסווגה מחדש",J790)</x:f>
        <x:v>שוטף</x:v>
      </x:c>
      <x:c r="L790" s="19" t="str">
        <x:v>מאושר</x:v>
      </x:c>
      <x:c r="M790" s="20" t="n">
        <x:f>IF(L790="מאושר",IF(K790="הכנסה שסווגה מחדש",0,G790),0)</x:f>
        <x:v>3</x:v>
      </x:c>
      <x:c r="N790" s="20" t="n">
        <x:f>IF(K790="שוטף",M790,0)</x:f>
        <x:v>3</x:v>
      </x:c>
      <x:c r="O790" s="20" t="n">
        <x:f>IF(K790="הכנסה שסווגה מחדש",-G790,0)</x:f>
        <x:v>0</x:v>
      </x:c>
      <x:c r="P790" s="11" t="str">
        <x:v>one zero זיו</x:v>
      </x:c>
      <x:c r="Q790" s="11" t="str"/>
      <x:c r="R790" s="11" t="str">
        <x:v>לא</x:v>
      </x:c>
    </x:row>
    <x:row r="791">
      <x:c r="A791" s="14" t="n">
        <x:v>45870</x:v>
      </x:c>
      <x:c r="B791" s="11" t="str">
        <x:v>2025-08</x:v>
      </x:c>
      <x:c r="C791" s="11" t="str">
        <x:v>אוגוסט 25</x:v>
      </x:c>
      <x:c r="D791" s="15" t="n">
        <x:v>62</x:v>
      </x:c>
      <x:c r="E791" s="11" t="str">
        <x:v>3</x:v>
      </x:c>
      <x:c r="F791" s="11" t="str">
        <x:v>בר</x:v>
      </x:c>
      <x:c r="G791" s="17" t="n">
        <x:v>153</x:v>
      </x:c>
      <x:c r="H791" s="18" t="str">
        <x:v>אוכל בחוץ</x:v>
      </x:c>
      <x:c r="I791" s="19" t="str">
        <x:f>IFERROR(INDEX('מיפוי ומקורות'!$C$7:$C$33,MATCH(H791,'מיפוי ומקורות'!$B$7:$B$33,0)),"לא מסווג")</x:f>
        <x:v>אוכל בחוץ</x:v>
      </x:c>
      <x:c r="J791" s="19" t="str">
        <x:f>IFERROR(INDEX('מיפוי ומקורות'!$D$7:$D$33,MATCH(H791,'מיפוי ומקורות'!$B$7:$B$33,0)),"שוטף")</x:f>
        <x:v>שוטף</x:v>
      </x:c>
      <x:c r="K791" s="19" t="str">
        <x:f>IF(OR(H791="ריביות",AND(H791="דירה כצנלסון",G791&lt;0,ISNUMBER(SEARCH("הכנסה",F791)))),"הכנסה שסווגה מחדש",J791)</x:f>
        <x:v>שוטף</x:v>
      </x:c>
      <x:c r="L791" s="19" t="str">
        <x:v>מאושר</x:v>
      </x:c>
      <x:c r="M791" s="20" t="n">
        <x:f>IF(L791="מאושר",IF(K791="הכנסה שסווגה מחדש",0,G791),0)</x:f>
        <x:v>153</x:v>
      </x:c>
      <x:c r="N791" s="20" t="n">
        <x:f>IF(K791="שוטף",M791,0)</x:f>
        <x:v>153</x:v>
      </x:c>
      <x:c r="O791" s="20" t="n">
        <x:f>IF(K791="הכנסה שסווגה מחדש",-G791,0)</x:f>
        <x:v>0</x:v>
      </x:c>
      <x:c r="P791" s="11" t="str">
        <x:v>מקס עינור</x:v>
      </x:c>
      <x:c r="Q791" s="11" t="str"/>
      <x:c r="R791" s="11" t="str">
        <x:v>לא</x:v>
      </x:c>
    </x:row>
    <x:row r="792">
      <x:c r="A792" s="14" t="n">
        <x:v>45870</x:v>
      </x:c>
      <x:c r="B792" s="11" t="str">
        <x:v>2025-08</x:v>
      </x:c>
      <x:c r="C792" s="11" t="str">
        <x:v>אוגוסט 25</x:v>
      </x:c>
      <x:c r="D792" s="15" t="n">
        <x:v>63</x:v>
      </x:c>
      <x:c r="E792" s="11" t="str">
        <x:v>4</x:v>
      </x:c>
      <x:c r="F792" s="11" t="str">
        <x:v>מאפיה</x:v>
      </x:c>
      <x:c r="G792" s="17" t="n">
        <x:v>6</x:v>
      </x:c>
      <x:c r="H792" s="18" t="str">
        <x:v>אוכל בחוץ</x:v>
      </x:c>
      <x:c r="I792" s="19" t="str">
        <x:f>IFERROR(INDEX('מיפוי ומקורות'!$C$7:$C$33,MATCH(H792,'מיפוי ומקורות'!$B$7:$B$33,0)),"לא מסווג")</x:f>
        <x:v>אוכל בחוץ</x:v>
      </x:c>
      <x:c r="J792" s="19" t="str">
        <x:f>IFERROR(INDEX('מיפוי ומקורות'!$D$7:$D$33,MATCH(H792,'מיפוי ומקורות'!$B$7:$B$33,0)),"שוטף")</x:f>
        <x:v>שוטף</x:v>
      </x:c>
      <x:c r="K792" s="19" t="str">
        <x:f>IF(OR(H792="ריביות",AND(H792="דירה כצנלסון",G792&lt;0,ISNUMBER(SEARCH("הכנסה",F792)))),"הכנסה שסווגה מחדש",J792)</x:f>
        <x:v>שוטף</x:v>
      </x:c>
      <x:c r="L792" s="19" t="str">
        <x:v>מאושר</x:v>
      </x:c>
      <x:c r="M792" s="20" t="n">
        <x:f>IF(L792="מאושר",IF(K792="הכנסה שסווגה מחדש",0,G792),0)</x:f>
        <x:v>6</x:v>
      </x:c>
      <x:c r="N792" s="20" t="n">
        <x:f>IF(K792="שוטף",M792,0)</x:f>
        <x:v>6</x:v>
      </x:c>
      <x:c r="O792" s="20" t="n">
        <x:f>IF(K792="הכנסה שסווגה מחדש",-G792,0)</x:f>
        <x:v>0</x:v>
      </x:c>
      <x:c r="P792" s="11" t="str">
        <x:v>מקס עינור</x:v>
      </x:c>
      <x:c r="Q792" s="11" t="str"/>
      <x:c r="R792" s="11" t="str">
        <x:v>לא</x:v>
      </x:c>
    </x:row>
    <x:row r="793">
      <x:c r="A793" s="14" t="n">
        <x:v>45870</x:v>
      </x:c>
      <x:c r="B793" s="11" t="str">
        <x:v>2025-08</x:v>
      </x:c>
      <x:c r="C793" s="11" t="str">
        <x:v>אוגוסט 25</x:v>
      </x:c>
      <x:c r="D793" s="15" t="n">
        <x:v>64</x:v>
      </x:c>
      <x:c r="E793" s="11" t="str">
        <x:v>10</x:v>
      </x:c>
      <x:c r="F793" s="11" t="str">
        <x:v>דונטס</x:v>
      </x:c>
      <x:c r="G793" s="17" t="n">
        <x:v>43</x:v>
      </x:c>
      <x:c r="H793" s="18" t="str">
        <x:v>אוכל בחוץ</x:v>
      </x:c>
      <x:c r="I793" s="19" t="str">
        <x:f>IFERROR(INDEX('מיפוי ומקורות'!$C$7:$C$33,MATCH(H793,'מיפוי ומקורות'!$B$7:$B$33,0)),"לא מסווג")</x:f>
        <x:v>אוכל בחוץ</x:v>
      </x:c>
      <x:c r="J793" s="19" t="str">
        <x:f>IFERROR(INDEX('מיפוי ומקורות'!$D$7:$D$33,MATCH(H793,'מיפוי ומקורות'!$B$7:$B$33,0)),"שוטף")</x:f>
        <x:v>שוטף</x:v>
      </x:c>
      <x:c r="K793" s="19" t="str">
        <x:f>IF(OR(H793="ריביות",AND(H793="דירה כצנלסון",G793&lt;0,ISNUMBER(SEARCH("הכנסה",F793)))),"הכנסה שסווגה מחדש",J793)</x:f>
        <x:v>שוטף</x:v>
      </x:c>
      <x:c r="L793" s="19" t="str">
        <x:v>מאושר</x:v>
      </x:c>
      <x:c r="M793" s="20" t="n">
        <x:f>IF(L793="מאושר",IF(K793="הכנסה שסווגה מחדש",0,G793),0)</x:f>
        <x:v>43</x:v>
      </x:c>
      <x:c r="N793" s="20" t="n">
        <x:f>IF(K793="שוטף",M793,0)</x:f>
        <x:v>43</x:v>
      </x:c>
      <x:c r="O793" s="20" t="n">
        <x:f>IF(K793="הכנסה שסווגה מחדש",-G793,0)</x:f>
        <x:v>0</x:v>
      </x:c>
      <x:c r="P793" s="11" t="str">
        <x:v>מקס עינור</x:v>
      </x:c>
      <x:c r="Q793" s="11" t="str"/>
      <x:c r="R793" s="11" t="str">
        <x:v>לא</x:v>
      </x:c>
    </x:row>
    <x:row r="794">
      <x:c r="A794" s="14" t="n">
        <x:v>45870</x:v>
      </x:c>
      <x:c r="B794" s="11" t="str">
        <x:v>2025-08</x:v>
      </x:c>
      <x:c r="C794" s="11" t="str">
        <x:v>אוגוסט 25</x:v>
      </x:c>
      <x:c r="D794" s="15" t="n">
        <x:v>65</x:v>
      </x:c>
      <x:c r="E794" s="11" t="str">
        <x:v>11</x:v>
      </x:c>
      <x:c r="F794" s="11" t="str">
        <x:v>מסעדה</x:v>
      </x:c>
      <x:c r="G794" s="17" t="n">
        <x:v>64</x:v>
      </x:c>
      <x:c r="H794" s="18" t="str">
        <x:v>אוכל בחוץ</x:v>
      </x:c>
      <x:c r="I794" s="19" t="str">
        <x:f>IFERROR(INDEX('מיפוי ומקורות'!$C$7:$C$33,MATCH(H794,'מיפוי ומקורות'!$B$7:$B$33,0)),"לא מסווג")</x:f>
        <x:v>אוכל בחוץ</x:v>
      </x:c>
      <x:c r="J794" s="19" t="str">
        <x:f>IFERROR(INDEX('מיפוי ומקורות'!$D$7:$D$33,MATCH(H794,'מיפוי ומקורות'!$B$7:$B$33,0)),"שוטף")</x:f>
        <x:v>שוטף</x:v>
      </x:c>
      <x:c r="K794" s="19" t="str">
        <x:f>IF(OR(H794="ריביות",AND(H794="דירה כצנלסון",G794&lt;0,ISNUMBER(SEARCH("הכנסה",F794)))),"הכנסה שסווגה מחדש",J794)</x:f>
        <x:v>שוטף</x:v>
      </x:c>
      <x:c r="L794" s="19" t="str">
        <x:v>מאושר</x:v>
      </x:c>
      <x:c r="M794" s="20" t="n">
        <x:f>IF(L794="מאושר",IF(K794="הכנסה שסווגה מחדש",0,G794),0)</x:f>
        <x:v>64</x:v>
      </x:c>
      <x:c r="N794" s="20" t="n">
        <x:f>IF(K794="שוטף",M794,0)</x:f>
        <x:v>64</x:v>
      </x:c>
      <x:c r="O794" s="20" t="n">
        <x:f>IF(K794="הכנסה שסווגה מחדש",-G794,0)</x:f>
        <x:v>0</x:v>
      </x:c>
      <x:c r="P794" s="11" t="str">
        <x:v>מקס עינור</x:v>
      </x:c>
      <x:c r="Q794" s="11" t="str"/>
      <x:c r="R794" s="11" t="str">
        <x:v>לא</x:v>
      </x:c>
    </x:row>
    <x:row r="795">
      <x:c r="A795" s="14" t="n">
        <x:v>45870</x:v>
      </x:c>
      <x:c r="B795" s="11" t="str">
        <x:v>2025-08</x:v>
      </x:c>
      <x:c r="C795" s="11" t="str">
        <x:v>אוגוסט 25</x:v>
      </x:c>
      <x:c r="D795" s="15" t="n">
        <x:v>66</x:v>
      </x:c>
      <x:c r="E795" s="11" t="str">
        <x:v>13</x:v>
      </x:c>
      <x:c r="F795" s="11" t="str">
        <x:v>מסעדה</x:v>
      </x:c>
      <x:c r="G795" s="17" t="n">
        <x:v>103</x:v>
      </x:c>
      <x:c r="H795" s="18" t="str">
        <x:v>אוכל בחוץ</x:v>
      </x:c>
      <x:c r="I795" s="19" t="str">
        <x:f>IFERROR(INDEX('מיפוי ומקורות'!$C$7:$C$33,MATCH(H795,'מיפוי ומקורות'!$B$7:$B$33,0)),"לא מסווג")</x:f>
        <x:v>אוכל בחוץ</x:v>
      </x:c>
      <x:c r="J795" s="19" t="str">
        <x:f>IFERROR(INDEX('מיפוי ומקורות'!$D$7:$D$33,MATCH(H795,'מיפוי ומקורות'!$B$7:$B$33,0)),"שוטף")</x:f>
        <x:v>שוטף</x:v>
      </x:c>
      <x:c r="K795" s="19" t="str">
        <x:f>IF(OR(H795="ריביות",AND(H795="דירה כצנלסון",G795&lt;0,ISNUMBER(SEARCH("הכנסה",F795)))),"הכנסה שסווגה מחדש",J795)</x:f>
        <x:v>שוטף</x:v>
      </x:c>
      <x:c r="L795" s="19" t="str">
        <x:v>מאושר</x:v>
      </x:c>
      <x:c r="M795" s="20" t="n">
        <x:f>IF(L795="מאושר",IF(K795="הכנסה שסווגה מחדש",0,G795),0)</x:f>
        <x:v>103</x:v>
      </x:c>
      <x:c r="N795" s="20" t="n">
        <x:f>IF(K795="שוטף",M795,0)</x:f>
        <x:v>103</x:v>
      </x:c>
      <x:c r="O795" s="20" t="n">
        <x:f>IF(K795="הכנסה שסווגה מחדש",-G795,0)</x:f>
        <x:v>0</x:v>
      </x:c>
      <x:c r="P795" s="11" t="str">
        <x:v>מקס עינור</x:v>
      </x:c>
      <x:c r="Q795" s="11" t="str"/>
      <x:c r="R795" s="11" t="str">
        <x:v>לא</x:v>
      </x:c>
    </x:row>
    <x:row r="796">
      <x:c r="A796" s="14" t="n">
        <x:v>45870</x:v>
      </x:c>
      <x:c r="B796" s="11" t="str">
        <x:v>2025-08</x:v>
      </x:c>
      <x:c r="C796" s="11" t="str">
        <x:v>אוגוסט 25</x:v>
      </x:c>
      <x:c r="D796" s="15" t="n">
        <x:v>67</x:v>
      </x:c>
      <x:c r="E796" s="11" t="str">
        <x:v>15</x:v>
      </x:c>
      <x:c r="F796" s="11" t="str">
        <x:v>עוגות</x:v>
      </x:c>
      <x:c r="G796" s="17" t="n">
        <x:v>105</x:v>
      </x:c>
      <x:c r="H796" s="18" t="str">
        <x:v>אוכל בחוץ</x:v>
      </x:c>
      <x:c r="I796" s="19" t="str">
        <x:f>IFERROR(INDEX('מיפוי ומקורות'!$C$7:$C$33,MATCH(H796,'מיפוי ומקורות'!$B$7:$B$33,0)),"לא מסווג")</x:f>
        <x:v>אוכל בחוץ</x:v>
      </x:c>
      <x:c r="J796" s="19" t="str">
        <x:f>IFERROR(INDEX('מיפוי ומקורות'!$D$7:$D$33,MATCH(H796,'מיפוי ומקורות'!$B$7:$B$33,0)),"שוטף")</x:f>
        <x:v>שוטף</x:v>
      </x:c>
      <x:c r="K796" s="19" t="str">
        <x:f>IF(OR(H796="ריביות",AND(H796="דירה כצנלסון",G796&lt;0,ISNUMBER(SEARCH("הכנסה",F796)))),"הכנסה שסווגה מחדש",J796)</x:f>
        <x:v>שוטף</x:v>
      </x:c>
      <x:c r="L796" s="19" t="str">
        <x:v>מאושר</x:v>
      </x:c>
      <x:c r="M796" s="20" t="n">
        <x:f>IF(L796="מאושר",IF(K796="הכנסה שסווגה מחדש",0,G796),0)</x:f>
        <x:v>105</x:v>
      </x:c>
      <x:c r="N796" s="20" t="n">
        <x:f>IF(K796="שוטף",M796,0)</x:f>
        <x:v>105</x:v>
      </x:c>
      <x:c r="O796" s="20" t="n">
        <x:f>IF(K796="הכנסה שסווגה מחדש",-G796,0)</x:f>
        <x:v>0</x:v>
      </x:c>
      <x:c r="P796" s="11" t="str">
        <x:v>מקס עינור</x:v>
      </x:c>
      <x:c r="Q796" s="11" t="str"/>
      <x:c r="R796" s="11" t="str">
        <x:v>לא</x:v>
      </x:c>
    </x:row>
    <x:row r="797">
      <x:c r="A797" s="14" t="n">
        <x:v>45870</x:v>
      </x:c>
      <x:c r="B797" s="11" t="str">
        <x:v>2025-08</x:v>
      </x:c>
      <x:c r="C797" s="11" t="str">
        <x:v>אוגוסט 25</x:v>
      </x:c>
      <x:c r="D797" s="15" t="n">
        <x:v>68</x:v>
      </x:c>
      <x:c r="E797" s="11" t="str">
        <x:v>21</x:v>
      </x:c>
      <x:c r="F797" s="11" t="str">
        <x:v>בר</x:v>
      </x:c>
      <x:c r="G797" s="17" t="n">
        <x:v>113</x:v>
      </x:c>
      <x:c r="H797" s="18" t="str">
        <x:v>אוכל בחוץ</x:v>
      </x:c>
      <x:c r="I797" s="19" t="str">
        <x:f>IFERROR(INDEX('מיפוי ומקורות'!$C$7:$C$33,MATCH(H797,'מיפוי ומקורות'!$B$7:$B$33,0)),"לא מסווג")</x:f>
        <x:v>אוכל בחוץ</x:v>
      </x:c>
      <x:c r="J797" s="19" t="str">
        <x:f>IFERROR(INDEX('מיפוי ומקורות'!$D$7:$D$33,MATCH(H797,'מיפוי ומקורות'!$B$7:$B$33,0)),"שוטף")</x:f>
        <x:v>שוטף</x:v>
      </x:c>
      <x:c r="K797" s="19" t="str">
        <x:f>IF(OR(H797="ריביות",AND(H797="דירה כצנלסון",G797&lt;0,ISNUMBER(SEARCH("הכנסה",F797)))),"הכנסה שסווגה מחדש",J797)</x:f>
        <x:v>שוטף</x:v>
      </x:c>
      <x:c r="L797" s="19" t="str">
        <x:v>מאושר</x:v>
      </x:c>
      <x:c r="M797" s="20" t="n">
        <x:f>IF(L797="מאושר",IF(K797="הכנסה שסווגה מחדש",0,G797),0)</x:f>
        <x:v>113</x:v>
      </x:c>
      <x:c r="N797" s="20" t="n">
        <x:f>IF(K797="שוטף",M797,0)</x:f>
        <x:v>113</x:v>
      </x:c>
      <x:c r="O797" s="20" t="n">
        <x:f>IF(K797="הכנסה שסווגה מחדש",-G797,0)</x:f>
        <x:v>0</x:v>
      </x:c>
      <x:c r="P797" s="11" t="str">
        <x:v>מקס עינור</x:v>
      </x:c>
      <x:c r="Q797" s="11" t="str"/>
      <x:c r="R797" s="11" t="str">
        <x:v>לא</x:v>
      </x:c>
    </x:row>
    <x:row r="798">
      <x:c r="A798" s="14" t="n">
        <x:v>45870</x:v>
      </x:c>
      <x:c r="B798" s="11" t="str">
        <x:v>2025-08</x:v>
      </x:c>
      <x:c r="C798" s="11" t="str">
        <x:v>אוגוסט 25</x:v>
      </x:c>
      <x:c r="D798" s="15" t="n">
        <x:v>69</x:v>
      </x:c>
      <x:c r="E798" s="11" t="str">
        <x:v>2</x:v>
      </x:c>
      <x:c r="F798" s="11" t="str">
        <x:v>קורקינט</x:v>
      </x:c>
      <x:c r="G798" s="17" t="n">
        <x:v>3</x:v>
      </x:c>
      <x:c r="H798" s="18" t="str">
        <x:v>תחבורה</x:v>
      </x:c>
      <x:c r="I798" s="19" t="str">
        <x:f>IFERROR(INDEX('מיפוי ומקורות'!$C$7:$C$33,MATCH(H798,'מיפוי ומקורות'!$B$7:$B$33,0)),"לא מסווג")</x:f>
        <x:v>תחבורה</x:v>
      </x:c>
      <x:c r="J798" s="19" t="str">
        <x:f>IFERROR(INDEX('מיפוי ומקורות'!$D$7:$D$33,MATCH(H798,'מיפוי ומקורות'!$B$7:$B$33,0)),"שוטף")</x:f>
        <x:v>שוטף</x:v>
      </x:c>
      <x:c r="K798" s="19" t="str">
        <x:f>IF(OR(H798="ריביות",AND(H798="דירה כצנלסון",G798&lt;0,ISNUMBER(SEARCH("הכנסה",F798)))),"הכנסה שסווגה מחדש",J798)</x:f>
        <x:v>שוטף</x:v>
      </x:c>
      <x:c r="L798" s="19" t="str">
        <x:v>מאושר</x:v>
      </x:c>
      <x:c r="M798" s="20" t="n">
        <x:f>IF(L798="מאושר",IF(K798="הכנסה שסווגה מחדש",0,G798),0)</x:f>
        <x:v>3</x:v>
      </x:c>
      <x:c r="N798" s="20" t="n">
        <x:f>IF(K798="שוטף",M798,0)</x:f>
        <x:v>3</x:v>
      </x:c>
      <x:c r="O798" s="20" t="n">
        <x:f>IF(K798="הכנסה שסווגה מחדש",-G798,0)</x:f>
        <x:v>0</x:v>
      </x:c>
      <x:c r="P798" s="11" t="str">
        <x:v>מקס זיו</x:v>
      </x:c>
      <x:c r="Q798" s="11" t="str"/>
      <x:c r="R798" s="11" t="str">
        <x:v>לא</x:v>
      </x:c>
    </x:row>
    <x:row r="799">
      <x:c r="A799" s="14" t="n">
        <x:v>45870</x:v>
      </x:c>
      <x:c r="B799" s="11" t="str">
        <x:v>2025-08</x:v>
      </x:c>
      <x:c r="C799" s="11" t="str">
        <x:v>אוגוסט 25</x:v>
      </x:c>
      <x:c r="D799" s="15" t="n">
        <x:v>70</x:v>
      </x:c>
      <x:c r="E799" s="11" t="str">
        <x:v>3</x:v>
      </x:c>
      <x:c r="F799" s="11" t="str">
        <x:v>ביטוח חול</x:v>
      </x:c>
      <x:c r="G799" s="17" t="n">
        <x:v>343</x:v>
      </x:c>
      <x:c r="H799" s="18" t="str">
        <x:v>חול</x:v>
      </x:c>
      <x:c r="I799" s="19" t="str">
        <x:f>IFERROR(INDEX('מיפוי ומקורות'!$C$7:$C$33,MATCH(H799,'מיפוי ומקורות'!$B$7:$B$33,0)),"לא מסווג")</x:f>
        <x:v>נסיעות וחופשות</x:v>
      </x:c>
      <x:c r="J799" s="19" t="str">
        <x:f>IFERROR(INDEX('מיפוי ומקורות'!$D$7:$D$33,MATCH(H799,'מיפוי ומקורות'!$B$7:$B$33,0)),"שוטף")</x:f>
        <x:v>חריג</x:v>
      </x:c>
      <x:c r="K799" s="19" t="str">
        <x:f>IF(OR(H799="ריביות",AND(H799="דירה כצנלסון",G799&lt;0,ISNUMBER(SEARCH("הכנסה",F799)))),"הכנסה שסווגה מחדש",J799)</x:f>
        <x:v>חריג</x:v>
      </x:c>
      <x:c r="L799" s="19" t="str">
        <x:v>מאושר</x:v>
      </x:c>
      <x:c r="M799" s="20" t="n">
        <x:f>IF(L799="מאושר",IF(K799="הכנסה שסווגה מחדש",0,G799),0)</x:f>
        <x:v>343</x:v>
      </x:c>
      <x:c r="N799" s="20" t="n">
        <x:f>IF(K799="שוטף",M799,0)</x:f>
        <x:v>0</x:v>
      </x:c>
      <x:c r="O799" s="20" t="n">
        <x:f>IF(K799="הכנסה שסווגה מחדש",-G799,0)</x:f>
        <x:v>0</x:v>
      </x:c>
      <x:c r="P799" s="11" t="str">
        <x:v>הוט זיו</x:v>
      </x:c>
      <x:c r="Q799" s="11" t="str"/>
      <x:c r="R799" s="11" t="str">
        <x:v>לא</x:v>
      </x:c>
    </x:row>
    <x:row r="800">
      <x:c r="A800" s="14" t="n">
        <x:v>45870</x:v>
      </x:c>
      <x:c r="B800" s="11" t="str">
        <x:v>2025-08</x:v>
      </x:c>
      <x:c r="C800" s="11" t="str">
        <x:v>אוגוסט 25</x:v>
      </x:c>
      <x:c r="D800" s="15" t="n">
        <x:v>71</x:v>
      </x:c>
      <x:c r="E800" s="11" t="str">
        <x:v>18.7</x:v>
      </x:c>
      <x:c r="F800" s="11" t="str">
        <x:v>אלי</x:v>
      </x:c>
      <x:c r="G800" s="17" t="n">
        <x:v>104</x:v>
      </x:c>
      <x:c r="H800" s="18" t="str">
        <x:v>מזון לבית</x:v>
      </x:c>
      <x:c r="I800" s="19" t="str">
        <x:f>IFERROR(INDEX('מיפוי ומקורות'!$C$7:$C$33,MATCH(H800,'מיפוי ומקורות'!$B$7:$B$33,0)),"לא מסווג")</x:f>
        <x:v>מזון לבית</x:v>
      </x:c>
      <x:c r="J800" s="19" t="str">
        <x:f>IFERROR(INDEX('מיפוי ומקורות'!$D$7:$D$33,MATCH(H800,'מיפוי ומקורות'!$B$7:$B$33,0)),"שוטף")</x:f>
        <x:v>שוטף</x:v>
      </x:c>
      <x:c r="K800" s="19" t="str">
        <x:f>IF(OR(H800="ריביות",AND(H800="דירה כצנלסון",G800&lt;0,ISNUMBER(SEARCH("הכנסה",F800)))),"הכנסה שסווגה מחדש",J800)</x:f>
        <x:v>שוטף</x:v>
      </x:c>
      <x:c r="L800" s="19" t="str">
        <x:v>מאושר</x:v>
      </x:c>
      <x:c r="M800" s="20" t="n">
        <x:f>IF(L800="מאושר",IF(K800="הכנסה שסווגה מחדש",0,G800),0)</x:f>
        <x:v>104</x:v>
      </x:c>
      <x:c r="N800" s="20" t="n">
        <x:f>IF(K800="שוטף",M800,0)</x:f>
        <x:v>104</x:v>
      </x:c>
      <x:c r="O800" s="20" t="n">
        <x:f>IF(K800="הכנסה שסווגה מחדש",-G800,0)</x:f>
        <x:v>0</x:v>
      </x:c>
      <x:c r="P800" s="11" t="str">
        <x:v>אמקס זיו</x:v>
      </x:c>
      <x:c r="Q800" s="11" t="str"/>
      <x:c r="R800" s="11" t="str">
        <x:v>לא</x:v>
      </x:c>
    </x:row>
    <x:row r="801">
      <x:c r="A801" s="14" t="n">
        <x:v>45870</x:v>
      </x:c>
      <x:c r="B801" s="11" t="str">
        <x:v>2025-08</x:v>
      </x:c>
      <x:c r="C801" s="11" t="str">
        <x:v>אוגוסט 25</x:v>
      </x:c>
      <x:c r="D801" s="15" t="n">
        <x:v>72</x:v>
      </x:c>
      <x:c r="E801" s="11" t="str">
        <x:v>20.7</x:v>
      </x:c>
      <x:c r="F801" s="11" t="str">
        <x:v>רכב חול</x:v>
      </x:c>
      <x:c r="G801" s="17" t="n">
        <x:v>1205</x:v>
      </x:c>
      <x:c r="H801" s="18" t="str">
        <x:v>חול</x:v>
      </x:c>
      <x:c r="I801" s="19" t="str">
        <x:f>IFERROR(INDEX('מיפוי ומקורות'!$C$7:$C$33,MATCH(H801,'מיפוי ומקורות'!$B$7:$B$33,0)),"לא מסווג")</x:f>
        <x:v>נסיעות וחופשות</x:v>
      </x:c>
      <x:c r="J801" s="19" t="str">
        <x:f>IFERROR(INDEX('מיפוי ומקורות'!$D$7:$D$33,MATCH(H801,'מיפוי ומקורות'!$B$7:$B$33,0)),"שוטף")</x:f>
        <x:v>חריג</x:v>
      </x:c>
      <x:c r="K801" s="19" t="str">
        <x:f>IF(OR(H801="ריביות",AND(H801="דירה כצנלסון",G801&lt;0,ISNUMBER(SEARCH("הכנסה",F801)))),"הכנסה שסווגה מחדש",J801)</x:f>
        <x:v>חריג</x:v>
      </x:c>
      <x:c r="L801" s="19" t="str">
        <x:v>מאושר</x:v>
      </x:c>
      <x:c r="M801" s="20" t="n">
        <x:f>IF(L801="מאושר",IF(K801="הכנסה שסווגה מחדש",0,G801),0)</x:f>
        <x:v>1205</x:v>
      </x:c>
      <x:c r="N801" s="20" t="n">
        <x:f>IF(K801="שוטף",M801,0)</x:f>
        <x:v>0</x:v>
      </x:c>
      <x:c r="O801" s="20" t="n">
        <x:f>IF(K801="הכנסה שסווגה מחדש",-G801,0)</x:f>
        <x:v>0</x:v>
      </x:c>
      <x:c r="P801" s="11" t="str">
        <x:v>אמקס זיו</x:v>
      </x:c>
      <x:c r="Q801" s="11" t="str"/>
      <x:c r="R801" s="11" t="str">
        <x:v>לא</x:v>
      </x:c>
    </x:row>
    <x:row r="802">
      <x:c r="A802" s="14" t="n">
        <x:v>45870</x:v>
      </x:c>
      <x:c r="B802" s="11" t="str">
        <x:v>2025-08</x:v>
      </x:c>
      <x:c r="C802" s="11" t="str">
        <x:v>אוגוסט 25</x:v>
      </x:c>
      <x:c r="D802" s="15" t="n">
        <x:v>73</x:v>
      </x:c>
      <x:c r="E802" s="11" t="str">
        <x:v>26.7</x:v>
      </x:c>
      <x:c r="F802" s="11" t="str">
        <x:v>מלון</x:v>
      </x:c>
      <x:c r="G802" s="17" t="n">
        <x:v>1286</x:v>
      </x:c>
      <x:c r="H802" s="18" t="str">
        <x:v>חול</x:v>
      </x:c>
      <x:c r="I802" s="19" t="str">
        <x:f>IFERROR(INDEX('מיפוי ומקורות'!$C$7:$C$33,MATCH(H802,'מיפוי ומקורות'!$B$7:$B$33,0)),"לא מסווג")</x:f>
        <x:v>נסיעות וחופשות</x:v>
      </x:c>
      <x:c r="J802" s="19" t="str">
        <x:f>IFERROR(INDEX('מיפוי ומקורות'!$D$7:$D$33,MATCH(H802,'מיפוי ומקורות'!$B$7:$B$33,0)),"שוטף")</x:f>
        <x:v>חריג</x:v>
      </x:c>
      <x:c r="K802" s="19" t="str">
        <x:f>IF(OR(H802="ריביות",AND(H802="דירה כצנלסון",G802&lt;0,ISNUMBER(SEARCH("הכנסה",F802)))),"הכנסה שסווגה מחדש",J802)</x:f>
        <x:v>חריג</x:v>
      </x:c>
      <x:c r="L802" s="19" t="str">
        <x:v>מאושר</x:v>
      </x:c>
      <x:c r="M802" s="20" t="n">
        <x:f>IF(L802="מאושר",IF(K802="הכנסה שסווגה מחדש",0,G802),0)</x:f>
        <x:v>1286</x:v>
      </x:c>
      <x:c r="N802" s="20" t="n">
        <x:f>IF(K802="שוטף",M802,0)</x:f>
        <x:v>0</x:v>
      </x:c>
      <x:c r="O802" s="20" t="n">
        <x:f>IF(K802="הכנסה שסווגה מחדש",-G802,0)</x:f>
        <x:v>0</x:v>
      </x:c>
      <x:c r="P802" s="11" t="str">
        <x:v>אמקס זיו</x:v>
      </x:c>
      <x:c r="Q802" s="11" t="str"/>
      <x:c r="R802" s="11" t="str">
        <x:v>לא</x:v>
      </x:c>
    </x:row>
    <x:row r="803">
      <x:c r="A803" s="14" t="n">
        <x:v>45870</x:v>
      </x:c>
      <x:c r="B803" s="11" t="str">
        <x:v>2025-08</x:v>
      </x:c>
      <x:c r="C803" s="11" t="str">
        <x:v>אוגוסט 25</x:v>
      </x:c>
      <x:c r="D803" s="15" t="n">
        <x:v>74</x:v>
      </x:c>
      <x:c r="E803" s="11" t="str">
        <x:v>1</x:v>
      </x:c>
      <x:c r="F803" s="11" t="str">
        <x:v>דלק</x:v>
      </x:c>
      <x:c r="G803" s="17" t="n">
        <x:v>183</x:v>
      </x:c>
      <x:c r="H803" s="18" t="str">
        <x:v>תחבורה</x:v>
      </x:c>
      <x:c r="I803" s="19" t="str">
        <x:f>IFERROR(INDEX('מיפוי ומקורות'!$C$7:$C$33,MATCH(H803,'מיפוי ומקורות'!$B$7:$B$33,0)),"לא מסווג")</x:f>
        <x:v>תחבורה</x:v>
      </x:c>
      <x:c r="J803" s="19" t="str">
        <x:f>IFERROR(INDEX('מיפוי ומקורות'!$D$7:$D$33,MATCH(H803,'מיפוי ומקורות'!$B$7:$B$33,0)),"שוטף")</x:f>
        <x:v>שוטף</x:v>
      </x:c>
      <x:c r="K803" s="19" t="str">
        <x:f>IF(OR(H803="ריביות",AND(H803="דירה כצנלסון",G803&lt;0,ISNUMBER(SEARCH("הכנסה",F803)))),"הכנסה שסווגה מחדש",J803)</x:f>
        <x:v>שוטף</x:v>
      </x:c>
      <x:c r="L803" s="19" t="str">
        <x:v>מאושר</x:v>
      </x:c>
      <x:c r="M803" s="20" t="n">
        <x:f>IF(L803="מאושר",IF(K803="הכנסה שסווגה מחדש",0,G803),0)</x:f>
        <x:v>183</x:v>
      </x:c>
      <x:c r="N803" s="20" t="n">
        <x:f>IF(K803="שוטף",M803,0)</x:f>
        <x:v>183</x:v>
      </x:c>
      <x:c r="O803" s="20" t="n">
        <x:f>IF(K803="הכנסה שסווגה מחדש",-G803,0)</x:f>
        <x:v>0</x:v>
      </x:c>
      <x:c r="P803" s="11" t="str">
        <x:v>אמקס זיו</x:v>
      </x:c>
      <x:c r="Q803" s="11" t="str"/>
      <x:c r="R803" s="11" t="str">
        <x:v>לא</x:v>
      </x:c>
    </x:row>
    <x:row r="804">
      <x:c r="A804" s="14" t="n">
        <x:v>45870</x:v>
      </x:c>
      <x:c r="B804" s="11" t="str">
        <x:v>2025-08</x:v>
      </x:c>
      <x:c r="C804" s="11" t="str">
        <x:v>אוגוסט 25</x:v>
      </x:c>
      <x:c r="D804" s="15" t="n">
        <x:v>75</x:v>
      </x:c>
      <x:c r="E804" s="11" t="str">
        <x:v>1</x:v>
      </x:c>
      <x:c r="F804" s="11" t="str">
        <x:v>ליאת</x:v>
      </x:c>
      <x:c r="G804" s="17" t="n">
        <x:v>2250</x:v>
      </x:c>
      <x:c r="H804" s="18" t="str">
        <x:v>בריאות</x:v>
      </x:c>
      <x:c r="I804" s="19" t="str">
        <x:f>IFERROR(INDEX('מיפוי ומקורות'!$C$7:$C$33,MATCH(H804,'מיפוי ומקורות'!$B$7:$B$33,0)),"לא מסווג")</x:f>
        <x:v>בריאות וטיפולים</x:v>
      </x:c>
      <x:c r="J804" s="19" t="str">
        <x:f>IFERROR(INDEX('מיפוי ומקורות'!$D$7:$D$33,MATCH(H804,'מיפוי ומקורות'!$B$7:$B$33,0)),"שוטף")</x:f>
        <x:v>שוטף</x:v>
      </x:c>
      <x:c r="K804" s="19" t="str">
        <x:f>IF(OR(H804="ריביות",AND(H804="דירה כצנלסון",G804&lt;0,ISNUMBER(SEARCH("הכנסה",F804)))),"הכנסה שסווגה מחדש",J804)</x:f>
        <x:v>שוטף</x:v>
      </x:c>
      <x:c r="L804" s="19" t="str">
        <x:v>מאושר</x:v>
      </x:c>
      <x:c r="M804" s="20" t="n">
        <x:f>IF(L804="מאושר",IF(K804="הכנסה שסווגה מחדש",0,G804),0)</x:f>
        <x:v>2250</x:v>
      </x:c>
      <x:c r="N804" s="20" t="n">
        <x:f>IF(K804="שוטף",M804,0)</x:f>
        <x:v>2250</x:v>
      </x:c>
      <x:c r="O804" s="20" t="n">
        <x:f>IF(K804="הכנסה שסווגה מחדש",-G804,0)</x:f>
        <x:v>0</x:v>
      </x:c>
      <x:c r="P804" s="11" t="str">
        <x:v>אמקס זיו</x:v>
      </x:c>
      <x:c r="Q804" s="11" t="str"/>
      <x:c r="R804" s="11" t="str">
        <x:v>לא</x:v>
      </x:c>
    </x:row>
    <x:row r="805">
      <x:c r="A805" s="14" t="n">
        <x:v>45870</x:v>
      </x:c>
      <x:c r="B805" s="11" t="str">
        <x:v>2025-08</x:v>
      </x:c>
      <x:c r="C805" s="11" t="str">
        <x:v>אוגוסט 25</x:v>
      </x:c>
      <x:c r="D805" s="15" t="n">
        <x:v>76</x:v>
      </x:c>
      <x:c r="E805" s="11" t="str">
        <x:v>2</x:v>
      </x:c>
      <x:c r="F805" s="11" t="str">
        <x:v>מילי</x:v>
      </x:c>
      <x:c r="G805" s="17" t="n">
        <x:v>157</x:v>
      </x:c>
      <x:c r="H805" s="18" t="str">
        <x:v>חול</x:v>
      </x:c>
      <x:c r="I805" s="19" t="str">
        <x:f>IFERROR(INDEX('מיפוי ומקורות'!$C$7:$C$33,MATCH(H805,'מיפוי ומקורות'!$B$7:$B$33,0)),"לא מסווג")</x:f>
        <x:v>נסיעות וחופשות</x:v>
      </x:c>
      <x:c r="J805" s="19" t="str">
        <x:f>IFERROR(INDEX('מיפוי ומקורות'!$D$7:$D$33,MATCH(H805,'מיפוי ומקורות'!$B$7:$B$33,0)),"שוטף")</x:f>
        <x:v>חריג</x:v>
      </x:c>
      <x:c r="K805" s="19" t="str">
        <x:f>IF(OR(H805="ריביות",AND(H805="דירה כצנלסון",G805&lt;0,ISNUMBER(SEARCH("הכנסה",F805)))),"הכנסה שסווגה מחדש",J805)</x:f>
        <x:v>חריג</x:v>
      </x:c>
      <x:c r="L805" s="19" t="str">
        <x:v>מאושר</x:v>
      </x:c>
      <x:c r="M805" s="20" t="n">
        <x:f>IF(L805="מאושר",IF(K805="הכנסה שסווגה מחדש",0,G805),0)</x:f>
        <x:v>157</x:v>
      </x:c>
      <x:c r="N805" s="20" t="n">
        <x:f>IF(K805="שוטף",M805,0)</x:f>
        <x:v>0</x:v>
      </x:c>
      <x:c r="O805" s="20" t="n">
        <x:f>IF(K805="הכנסה שסווגה מחדש",-G805,0)</x:f>
        <x:v>0</x:v>
      </x:c>
      <x:c r="P805" s="11" t="str">
        <x:v>אמקס זיו</x:v>
      </x:c>
      <x:c r="Q805" s="11" t="str"/>
      <x:c r="R805" s="11" t="str">
        <x:v>לא</x:v>
      </x:c>
    </x:row>
    <x:row r="806">
      <x:c r="A806" s="14" t="n">
        <x:v>45870</x:v>
      </x:c>
      <x:c r="B806" s="11" t="str">
        <x:v>2025-08</x:v>
      </x:c>
      <x:c r="C806" s="11" t="str">
        <x:v>אוגוסט 25</x:v>
      </x:c>
      <x:c r="D806" s="15" t="n">
        <x:v>77</x:v>
      </x:c>
      <x:c r="E806" s="11" t="str">
        <x:v>4</x:v>
      </x:c>
      <x:c r="F806" s="11" t="str">
        <x:v>מכבי</x:v>
      </x:c>
      <x:c r="G806" s="17" t="n">
        <x:v>55</x:v>
      </x:c>
      <x:c r="H806" s="18" t="str">
        <x:v>בריאות</x:v>
      </x:c>
      <x:c r="I806" s="19" t="str">
        <x:f>IFERROR(INDEX('מיפוי ומקורות'!$C$7:$C$33,MATCH(H806,'מיפוי ומקורות'!$B$7:$B$33,0)),"לא מסווג")</x:f>
        <x:v>בריאות וטיפולים</x:v>
      </x:c>
      <x:c r="J806" s="19" t="str">
        <x:f>IFERROR(INDEX('מיפוי ומקורות'!$D$7:$D$33,MATCH(H806,'מיפוי ומקורות'!$B$7:$B$33,0)),"שוטף")</x:f>
        <x:v>שוטף</x:v>
      </x:c>
      <x:c r="K806" s="19" t="str">
        <x:f>IF(OR(H806="ריביות",AND(H806="דירה כצנלסון",G806&lt;0,ISNUMBER(SEARCH("הכנסה",F806)))),"הכנסה שסווגה מחדש",J806)</x:f>
        <x:v>שוטף</x:v>
      </x:c>
      <x:c r="L806" s="19" t="str">
        <x:v>מאושר</x:v>
      </x:c>
      <x:c r="M806" s="20" t="n">
        <x:f>IF(L806="מאושר",IF(K806="הכנסה שסווגה מחדש",0,G806),0)</x:f>
        <x:v>55</x:v>
      </x:c>
      <x:c r="N806" s="20" t="n">
        <x:f>IF(K806="שוטף",M806,0)</x:f>
        <x:v>55</x:v>
      </x:c>
      <x:c r="O806" s="20" t="n">
        <x:f>IF(K806="הכנסה שסווגה מחדש",-G806,0)</x:f>
        <x:v>0</x:v>
      </x:c>
      <x:c r="P806" s="11" t="str">
        <x:v>אמקס זיו</x:v>
      </x:c>
      <x:c r="Q806" s="11" t="str"/>
      <x:c r="R806" s="11" t="str">
        <x:v>לא</x:v>
      </x:c>
    </x:row>
    <x:row r="807">
      <x:c r="A807" s="14" t="n">
        <x:v>45870</x:v>
      </x:c>
      <x:c r="B807" s="11" t="str">
        <x:v>2025-08</x:v>
      </x:c>
      <x:c r="C807" s="11" t="str">
        <x:v>אוגוסט 25</x:v>
      </x:c>
      <x:c r="D807" s="15" t="n">
        <x:v>78</x:v>
      </x:c>
      <x:c r="E807" s="11" t="str">
        <x:v>4</x:v>
      </x:c>
      <x:c r="F807" s="11" t="str">
        <x:v>הופעה</x:v>
      </x:c>
      <x:c r="G807" s="17" t="n">
        <x:v>80</x:v>
      </x:c>
      <x:c r="H807" s="18" t="str">
        <x:v>פנאי</x:v>
      </x:c>
      <x:c r="I807" s="19" t="str">
        <x:f>IFERROR(INDEX('מיפוי ומקורות'!$C$7:$C$33,MATCH(H807,'מיפוי ומקורות'!$B$7:$B$33,0)),"לא מסווג")</x:f>
        <x:v>פנאי</x:v>
      </x:c>
      <x:c r="J807" s="19" t="str">
        <x:f>IFERROR(INDEX('מיפוי ומקורות'!$D$7:$D$33,MATCH(H807,'מיפוי ומקורות'!$B$7:$B$33,0)),"שוטף")</x:f>
        <x:v>שוטף</x:v>
      </x:c>
      <x:c r="K807" s="19" t="str">
        <x:f>IF(OR(H807="ריביות",AND(H807="דירה כצנלסון",G807&lt;0,ISNUMBER(SEARCH("הכנסה",F807)))),"הכנסה שסווגה מחדש",J807)</x:f>
        <x:v>שוטף</x:v>
      </x:c>
      <x:c r="L807" s="19" t="str">
        <x:v>מאושר</x:v>
      </x:c>
      <x:c r="M807" s="20" t="n">
        <x:f>IF(L807="מאושר",IF(K807="הכנסה שסווגה מחדש",0,G807),0)</x:f>
        <x:v>80</x:v>
      </x:c>
      <x:c r="N807" s="20" t="n">
        <x:f>IF(K807="שוטף",M807,0)</x:f>
        <x:v>80</x:v>
      </x:c>
      <x:c r="O807" s="20" t="n">
        <x:f>IF(K807="הכנסה שסווגה מחדש",-G807,0)</x:f>
        <x:v>0</x:v>
      </x:c>
      <x:c r="P807" s="11" t="str">
        <x:v>אמקס זיו</x:v>
      </x:c>
      <x:c r="Q807" s="11" t="str"/>
      <x:c r="R807" s="11" t="str">
        <x:v>לא</x:v>
      </x:c>
    </x:row>
    <x:row r="808">
      <x:c r="A808" s="14" t="n">
        <x:v>45870</x:v>
      </x:c>
      <x:c r="B808" s="11" t="str">
        <x:v>2025-08</x:v>
      </x:c>
      <x:c r="C808" s="11" t="str">
        <x:v>אוגוסט 25</x:v>
      </x:c>
      <x:c r="D808" s="15" t="n">
        <x:v>79</x:v>
      </x:c>
      <x:c r="E808" s="11" t="str">
        <x:v>5</x:v>
      </x:c>
      <x:c r="F808" s="11" t="str">
        <x:v>ביליארד</x:v>
      </x:c>
      <x:c r="G808" s="17" t="n">
        <x:v>110</x:v>
      </x:c>
      <x:c r="H808" s="18" t="str">
        <x:v>פנאי</x:v>
      </x:c>
      <x:c r="I808" s="19" t="str">
        <x:f>IFERROR(INDEX('מיפוי ומקורות'!$C$7:$C$33,MATCH(H808,'מיפוי ומקורות'!$B$7:$B$33,0)),"לא מסווג")</x:f>
        <x:v>פנאי</x:v>
      </x:c>
      <x:c r="J808" s="19" t="str">
        <x:f>IFERROR(INDEX('מיפוי ומקורות'!$D$7:$D$33,MATCH(H808,'מיפוי ומקורות'!$B$7:$B$33,0)),"שוטף")</x:f>
        <x:v>שוטף</x:v>
      </x:c>
      <x:c r="K808" s="19" t="str">
        <x:f>IF(OR(H808="ריביות",AND(H808="דירה כצנלסון",G808&lt;0,ISNUMBER(SEARCH("הכנסה",F808)))),"הכנסה שסווגה מחדש",J808)</x:f>
        <x:v>שוטף</x:v>
      </x:c>
      <x:c r="L808" s="19" t="str">
        <x:v>מאושר</x:v>
      </x:c>
      <x:c r="M808" s="20" t="n">
        <x:f>IF(L808="מאושר",IF(K808="הכנסה שסווגה מחדש",0,G808),0)</x:f>
        <x:v>110</x:v>
      </x:c>
      <x:c r="N808" s="20" t="n">
        <x:f>IF(K808="שוטף",M808,0)</x:f>
        <x:v>110</x:v>
      </x:c>
      <x:c r="O808" s="20" t="n">
        <x:f>IF(K808="הכנסה שסווגה מחדש",-G808,0)</x:f>
        <x:v>0</x:v>
      </x:c>
      <x:c r="P808" s="11" t="str">
        <x:v>אמקס זיו</x:v>
      </x:c>
      <x:c r="Q808" s="11" t="str"/>
      <x:c r="R808" s="11" t="str">
        <x:v>לא</x:v>
      </x:c>
    </x:row>
    <x:row r="809">
      <x:c r="A809" s="14" t="n">
        <x:v>45870</x:v>
      </x:c>
      <x:c r="B809" s="11" t="str">
        <x:v>2025-08</x:v>
      </x:c>
      <x:c r="C809" s="11" t="str">
        <x:v>אוגוסט 25</x:v>
      </x:c>
      <x:c r="D809" s="15" t="n">
        <x:v>80</x:v>
      </x:c>
      <x:c r="E809" s="11" t="str">
        <x:v>6</x:v>
      </x:c>
      <x:c r="F809" s="11" t="str">
        <x:v>פרחים</x:v>
      </x:c>
      <x:c r="G809" s="17" t="n">
        <x:v>100</x:v>
      </x:c>
      <x:c r="H809" s="18" t="str">
        <x:v>מתנה</x:v>
      </x:c>
      <x:c r="I809" s="19" t="str">
        <x:f>IFERROR(INDEX('מיפוי ומקורות'!$C$7:$C$33,MATCH(H809,'מיפוי ומקורות'!$B$7:$B$33,0)),"לא מסווג")</x:f>
        <x:v>מתנה</x:v>
      </x:c>
      <x:c r="J809" s="19" t="str">
        <x:f>IFERROR(INDEX('מיפוי ומקורות'!$D$7:$D$33,MATCH(H809,'מיפוי ומקורות'!$B$7:$B$33,0)),"שוטף")</x:f>
        <x:v>שוטף</x:v>
      </x:c>
      <x:c r="K809" s="19" t="str">
        <x:f>IF(OR(H809="ריביות",AND(H809="דירה כצנלסון",G809&lt;0,ISNUMBER(SEARCH("הכנסה",F809)))),"הכנסה שסווגה מחדש",J809)</x:f>
        <x:v>שוטף</x:v>
      </x:c>
      <x:c r="L809" s="19" t="str">
        <x:v>מאושר</x:v>
      </x:c>
      <x:c r="M809" s="20" t="n">
        <x:f>IF(L809="מאושר",IF(K809="הכנסה שסווגה מחדש",0,G809),0)</x:f>
        <x:v>100</x:v>
      </x:c>
      <x:c r="N809" s="20" t="n">
        <x:f>IF(K809="שוטף",M809,0)</x:f>
        <x:v>100</x:v>
      </x:c>
      <x:c r="O809" s="20" t="n">
        <x:f>IF(K809="הכנסה שסווגה מחדש",-G809,0)</x:f>
        <x:v>0</x:v>
      </x:c>
      <x:c r="P809" s="11" t="str">
        <x:v>אמקס זיו</x:v>
      </x:c>
      <x:c r="Q809" s="11" t="str"/>
      <x:c r="R809" s="11" t="str">
        <x:v>לא</x:v>
      </x:c>
    </x:row>
    <x:row r="810">
      <x:c r="A810" s="14" t="n">
        <x:v>45870</x:v>
      </x:c>
      <x:c r="B810" s="11" t="str">
        <x:v>2025-08</x:v>
      </x:c>
      <x:c r="C810" s="11" t="str">
        <x:v>אוגוסט 25</x:v>
      </x:c>
      <x:c r="D810" s="15" t="n">
        <x:v>81</x:v>
      </x:c>
      <x:c r="E810" s="11" t="str">
        <x:v>7</x:v>
      </x:c>
      <x:c r="F810" s="11" t="str">
        <x:v>טכנאי מזגנים</x:v>
      </x:c>
      <x:c r="G810" s="17" t="n">
        <x:v>1300</x:v>
      </x:c>
      <x:c r="H810" s="18" t="str">
        <x:v>דירה כצנלסון</x:v>
      </x:c>
      <x:c r="I810" s="19" t="str">
        <x:f>IFERROR(INDEX('מיפוי ומקורות'!$C$7:$C$33,MATCH(H810,'מיפוי ומקורות'!$B$7:$B$33,0)),"לא מסווג")</x:f>
        <x:v>נכס להשקעה</x:v>
      </x:c>
      <x:c r="J810" s="19" t="str">
        <x:f>IFERROR(INDEX('מיפוי ומקורות'!$D$7:$D$33,MATCH(H810,'מיפוי ומקורות'!$B$7:$B$33,0)),"שוטף")</x:f>
        <x:v>חריג/נכס</x:v>
      </x:c>
      <x:c r="K810" s="19" t="str">
        <x:f>IF(OR(H810="ריביות",AND(H810="דירה כצנלסון",G810&lt;0,ISNUMBER(SEARCH("הכנסה",F810)))),"הכנסה שסווגה מחדש",J810)</x:f>
        <x:v>חריג/נכס</x:v>
      </x:c>
      <x:c r="L810" s="19" t="str">
        <x:v>מאושר</x:v>
      </x:c>
      <x:c r="M810" s="20" t="n">
        <x:f>IF(L810="מאושר",IF(K810="הכנסה שסווגה מחדש",0,G810),0)</x:f>
        <x:v>1300</x:v>
      </x:c>
      <x:c r="N810" s="20" t="n">
        <x:f>IF(K810="שוטף",M810,0)</x:f>
        <x:v>0</x:v>
      </x:c>
      <x:c r="O810" s="20" t="n">
        <x:f>IF(K810="הכנסה שסווגה מחדש",-G810,0)</x:f>
        <x:v>0</x:v>
      </x:c>
      <x:c r="P810" s="11" t="str">
        <x:v>אמקס זיו</x:v>
      </x:c>
      <x:c r="Q810" s="11" t="str"/>
      <x:c r="R810" s="11" t="str">
        <x:v>לא</x:v>
      </x:c>
    </x:row>
    <x:row r="811">
      <x:c r="A811" s="14" t="n">
        <x:v>45870</x:v>
      </x:c>
      <x:c r="B811" s="11" t="str">
        <x:v>2025-08</x:v>
      </x:c>
      <x:c r="C811" s="11" t="str">
        <x:v>אוגוסט 25</x:v>
      </x:c>
      <x:c r="D811" s="15" t="n">
        <x:v>82</x:v>
      </x:c>
      <x:c r="E811" s="11" t="str">
        <x:v>8</x:v>
      </x:c>
      <x:c r="F811" s="11" t="str">
        <x:v>סופר</x:v>
      </x:c>
      <x:c r="G811" s="17" t="n">
        <x:v>64</x:v>
      </x:c>
      <x:c r="H811" s="18" t="str">
        <x:v>מזון לבית</x:v>
      </x:c>
      <x:c r="I811" s="19" t="str">
        <x:f>IFERROR(INDEX('מיפוי ומקורות'!$C$7:$C$33,MATCH(H811,'מיפוי ומקורות'!$B$7:$B$33,0)),"לא מסווג")</x:f>
        <x:v>מזון לבית</x:v>
      </x:c>
      <x:c r="J811" s="19" t="str">
        <x:f>IFERROR(INDEX('מיפוי ומקורות'!$D$7:$D$33,MATCH(H811,'מיפוי ומקורות'!$B$7:$B$33,0)),"שוטף")</x:f>
        <x:v>שוטף</x:v>
      </x:c>
      <x:c r="K811" s="19" t="str">
        <x:f>IF(OR(H811="ריביות",AND(H811="דירה כצנלסון",G811&lt;0,ISNUMBER(SEARCH("הכנסה",F811)))),"הכנסה שסווגה מחדש",J811)</x:f>
        <x:v>שוטף</x:v>
      </x:c>
      <x:c r="L811" s="19" t="str">
        <x:v>מאושר</x:v>
      </x:c>
      <x:c r="M811" s="20" t="n">
        <x:f>IF(L811="מאושר",IF(K811="הכנסה שסווגה מחדש",0,G811),0)</x:f>
        <x:v>64</x:v>
      </x:c>
      <x:c r="N811" s="20" t="n">
        <x:f>IF(K811="שוטף",M811,0)</x:f>
        <x:v>64</x:v>
      </x:c>
      <x:c r="O811" s="20" t="n">
        <x:f>IF(K811="הכנסה שסווגה מחדש",-G811,0)</x:f>
        <x:v>0</x:v>
      </x:c>
      <x:c r="P811" s="11" t="str">
        <x:v>אמקס זיו</x:v>
      </x:c>
      <x:c r="Q811" s="11" t="str"/>
      <x:c r="R811" s="11" t="str">
        <x:v>לא</x:v>
      </x:c>
    </x:row>
    <x:row r="812">
      <x:c r="A812" s="14" t="n">
        <x:v>45870</x:v>
      </x:c>
      <x:c r="B812" s="11" t="str">
        <x:v>2025-08</x:v>
      </x:c>
      <x:c r="C812" s="11" t="str">
        <x:v>אוגוסט 25</x:v>
      </x:c>
      <x:c r="D812" s="15" t="n">
        <x:v>83</x:v>
      </x:c>
      <x:c r="E812" s="11" t="str">
        <x:v>8</x:v>
      </x:c>
      <x:c r="F812" s="11" t="str">
        <x:v>קיוסק</x:v>
      </x:c>
      <x:c r="G812" s="17" t="n">
        <x:v>7</x:v>
      </x:c>
      <x:c r="H812" s="18" t="str">
        <x:v>אוכל בחוץ</x:v>
      </x:c>
      <x:c r="I812" s="19" t="str">
        <x:f>IFERROR(INDEX('מיפוי ומקורות'!$C$7:$C$33,MATCH(H812,'מיפוי ומקורות'!$B$7:$B$33,0)),"לא מסווג")</x:f>
        <x:v>אוכל בחוץ</x:v>
      </x:c>
      <x:c r="J812" s="19" t="str">
        <x:f>IFERROR(INDEX('מיפוי ומקורות'!$D$7:$D$33,MATCH(H812,'מיפוי ומקורות'!$B$7:$B$33,0)),"שוטף")</x:f>
        <x:v>שוטף</x:v>
      </x:c>
      <x:c r="K812" s="19" t="str">
        <x:f>IF(OR(H812="ריביות",AND(H812="דירה כצנלסון",G812&lt;0,ISNUMBER(SEARCH("הכנסה",F812)))),"הכנסה שסווגה מחדש",J812)</x:f>
        <x:v>שוטף</x:v>
      </x:c>
      <x:c r="L812" s="19" t="str">
        <x:v>מאושר</x:v>
      </x:c>
      <x:c r="M812" s="20" t="n">
        <x:f>IF(L812="מאושר",IF(K812="הכנסה שסווגה מחדש",0,G812),0)</x:f>
        <x:v>7</x:v>
      </x:c>
      <x:c r="N812" s="20" t="n">
        <x:f>IF(K812="שוטף",M812,0)</x:f>
        <x:v>7</x:v>
      </x:c>
      <x:c r="O812" s="20" t="n">
        <x:f>IF(K812="הכנסה שסווגה מחדש",-G812,0)</x:f>
        <x:v>0</x:v>
      </x:c>
      <x:c r="P812" s="11" t="str">
        <x:v>אמקס זיו</x:v>
      </x:c>
      <x:c r="Q812" s="11" t="str"/>
      <x:c r="R812" s="11" t="str">
        <x:v>לא</x:v>
      </x:c>
    </x:row>
    <x:row r="813">
      <x:c r="A813" s="14" t="n">
        <x:v>45870</x:v>
      </x:c>
      <x:c r="B813" s="11" t="str">
        <x:v>2025-08</x:v>
      </x:c>
      <x:c r="C813" s="11" t="str">
        <x:v>אוגוסט 25</x:v>
      </x:c>
      <x:c r="D813" s="15" t="n">
        <x:v>84</x:v>
      </x:c>
      <x:c r="E813" s="11" t="str">
        <x:v>8</x:v>
      </x:c>
      <x:c r="F813" s="11" t="str">
        <x:v>חומוס</x:v>
      </x:c>
      <x:c r="G813" s="17" t="n">
        <x:v>113</x:v>
      </x:c>
      <x:c r="H813" s="18" t="str">
        <x:v>אוכל בחוץ</x:v>
      </x:c>
      <x:c r="I813" s="19" t="str">
        <x:f>IFERROR(INDEX('מיפוי ומקורות'!$C$7:$C$33,MATCH(H813,'מיפוי ומקורות'!$B$7:$B$33,0)),"לא מסווג")</x:f>
        <x:v>אוכל בחוץ</x:v>
      </x:c>
      <x:c r="J813" s="19" t="str">
        <x:f>IFERROR(INDEX('מיפוי ומקורות'!$D$7:$D$33,MATCH(H813,'מיפוי ומקורות'!$B$7:$B$33,0)),"שוטף")</x:f>
        <x:v>שוטף</x:v>
      </x:c>
      <x:c r="K813" s="19" t="str">
        <x:f>IF(OR(H813="ריביות",AND(H813="דירה כצנלסון",G813&lt;0,ISNUMBER(SEARCH("הכנסה",F813)))),"הכנסה שסווגה מחדש",J813)</x:f>
        <x:v>שוטף</x:v>
      </x:c>
      <x:c r="L813" s="19" t="str">
        <x:v>מאושר</x:v>
      </x:c>
      <x:c r="M813" s="20" t="n">
        <x:f>IF(L813="מאושר",IF(K813="הכנסה שסווגה מחדש",0,G813),0)</x:f>
        <x:v>113</x:v>
      </x:c>
      <x:c r="N813" s="20" t="n">
        <x:f>IF(K813="שוטף",M813,0)</x:f>
        <x:v>113</x:v>
      </x:c>
      <x:c r="O813" s="20" t="n">
        <x:f>IF(K813="הכנסה שסווגה מחדש",-G813,0)</x:f>
        <x:v>0</x:v>
      </x:c>
      <x:c r="P813" s="11" t="str">
        <x:v>אמקס זיו</x:v>
      </x:c>
      <x:c r="Q813" s="11" t="str"/>
      <x:c r="R813" s="11" t="str">
        <x:v>לא</x:v>
      </x:c>
    </x:row>
    <x:row r="814">
      <x:c r="A814" s="14" t="n">
        <x:v>45870</x:v>
      </x:c>
      <x:c r="B814" s="11" t="str">
        <x:v>2025-08</x:v>
      </x:c>
      <x:c r="C814" s="11" t="str">
        <x:v>אוגוסט 25</x:v>
      </x:c>
      <x:c r="D814" s="15" t="n">
        <x:v>85</x:v>
      </x:c>
      <x:c r="E814" s="11" t="str">
        <x:v>8</x:v>
      </x:c>
      <x:c r="F814" s="11" t="str">
        <x:v>רמי לוי</x:v>
      </x:c>
      <x:c r="G814" s="17" t="n">
        <x:v>482</x:v>
      </x:c>
      <x:c r="H814" s="18" t="str">
        <x:v>מזון לבית</x:v>
      </x:c>
      <x:c r="I814" s="19" t="str">
        <x:f>IFERROR(INDEX('מיפוי ומקורות'!$C$7:$C$33,MATCH(H814,'מיפוי ומקורות'!$B$7:$B$33,0)),"לא מסווג")</x:f>
        <x:v>מזון לבית</x:v>
      </x:c>
      <x:c r="J814" s="19" t="str">
        <x:f>IFERROR(INDEX('מיפוי ומקורות'!$D$7:$D$33,MATCH(H814,'מיפוי ומקורות'!$B$7:$B$33,0)),"שוטף")</x:f>
        <x:v>שוטף</x:v>
      </x:c>
      <x:c r="K814" s="19" t="str">
        <x:f>IF(OR(H814="ריביות",AND(H814="דירה כצנלסון",G814&lt;0,ISNUMBER(SEARCH("הכנסה",F814)))),"הכנסה שסווגה מחדש",J814)</x:f>
        <x:v>שוטף</x:v>
      </x:c>
      <x:c r="L814" s="19" t="str">
        <x:v>מאושר</x:v>
      </x:c>
      <x:c r="M814" s="20" t="n">
        <x:f>IF(L814="מאושר",IF(K814="הכנסה שסווגה מחדש",0,G814),0)</x:f>
        <x:v>482</x:v>
      </x:c>
      <x:c r="N814" s="20" t="n">
        <x:f>IF(K814="שוטף",M814,0)</x:f>
        <x:v>482</x:v>
      </x:c>
      <x:c r="O814" s="20" t="n">
        <x:f>IF(K814="הכנסה שסווגה מחדש",-G814,0)</x:f>
        <x:v>0</x:v>
      </x:c>
      <x:c r="P814" s="11" t="str">
        <x:v>אמקס זיו</x:v>
      </x:c>
      <x:c r="Q814" s="11" t="str"/>
      <x:c r="R814" s="11" t="str">
        <x:v>לא</x:v>
      </x:c>
    </x:row>
    <x:row r="815">
      <x:c r="A815" s="14" t="n">
        <x:v>45870</x:v>
      </x:c>
      <x:c r="B815" s="11" t="str">
        <x:v>2025-08</x:v>
      </x:c>
      <x:c r="C815" s="11" t="str">
        <x:v>אוגוסט 25</x:v>
      </x:c>
      <x:c r="D815" s="15" t="n">
        <x:v>86</x:v>
      </x:c>
      <x:c r="E815" s="11" t="str">
        <x:v>10</x:v>
      </x:c>
      <x:c r="F815" s="11" t="str">
        <x:v>פו סושי</x:v>
      </x:c>
      <x:c r="G815" s="17" t="n">
        <x:v>466</x:v>
      </x:c>
      <x:c r="H815" s="18" t="str">
        <x:v>אוכל בחוץ</x:v>
      </x:c>
      <x:c r="I815" s="19" t="str">
        <x:f>IFERROR(INDEX('מיפוי ומקורות'!$C$7:$C$33,MATCH(H815,'מיפוי ומקורות'!$B$7:$B$33,0)),"לא מסווג")</x:f>
        <x:v>אוכל בחוץ</x:v>
      </x:c>
      <x:c r="J815" s="19" t="str">
        <x:f>IFERROR(INDEX('מיפוי ומקורות'!$D$7:$D$33,MATCH(H815,'מיפוי ומקורות'!$B$7:$B$33,0)),"שוטף")</x:f>
        <x:v>שוטף</x:v>
      </x:c>
      <x:c r="K815" s="19" t="str">
        <x:f>IF(OR(H815="ריביות",AND(H815="דירה כצנלסון",G815&lt;0,ISNUMBER(SEARCH("הכנסה",F815)))),"הכנסה שסווגה מחדש",J815)</x:f>
        <x:v>שוטף</x:v>
      </x:c>
      <x:c r="L815" s="19" t="str">
        <x:v>מאושר</x:v>
      </x:c>
      <x:c r="M815" s="20" t="n">
        <x:f>IF(L815="מאושר",IF(K815="הכנסה שסווגה מחדש",0,G815),0)</x:f>
        <x:v>466</x:v>
      </x:c>
      <x:c r="N815" s="20" t="n">
        <x:f>IF(K815="שוטף",M815,0)</x:f>
        <x:v>466</x:v>
      </x:c>
      <x:c r="O815" s="20" t="n">
        <x:f>IF(K815="הכנסה שסווגה מחדש",-G815,0)</x:f>
        <x:v>0</x:v>
      </x:c>
      <x:c r="P815" s="11" t="str">
        <x:v>אמקס זיו</x:v>
      </x:c>
      <x:c r="Q815" s="11" t="str"/>
      <x:c r="R815" s="11" t="str">
        <x:v>לא</x:v>
      </x:c>
    </x:row>
    <x:row r="816">
      <x:c r="A816" s="14" t="n">
        <x:v>45870</x:v>
      </x:c>
      <x:c r="B816" s="11" t="str">
        <x:v>2025-08</x:v>
      </x:c>
      <x:c r="C816" s="11" t="str">
        <x:v>אוגוסט 25</x:v>
      </x:c>
      <x:c r="D816" s="15" t="n">
        <x:v>87</x:v>
      </x:c>
      <x:c r="E816" s="11" t="str">
        <x:v>10</x:v>
      </x:c>
      <x:c r="F816" s="11" t="str">
        <x:v>מקס</x:v>
      </x:c>
      <x:c r="G816" s="17" t="n">
        <x:v>104</x:v>
      </x:c>
      <x:c r="H816" s="18" t="str">
        <x:v>מתנה</x:v>
      </x:c>
      <x:c r="I816" s="19" t="str">
        <x:f>IFERROR(INDEX('מיפוי ומקורות'!$C$7:$C$33,MATCH(H816,'מיפוי ומקורות'!$B$7:$B$33,0)),"לא מסווג")</x:f>
        <x:v>מתנה</x:v>
      </x:c>
      <x:c r="J816" s="19" t="str">
        <x:f>IFERROR(INDEX('מיפוי ומקורות'!$D$7:$D$33,MATCH(H816,'מיפוי ומקורות'!$B$7:$B$33,0)),"שוטף")</x:f>
        <x:v>שוטף</x:v>
      </x:c>
      <x:c r="K816" s="19" t="str">
        <x:f>IF(OR(H816="ריביות",AND(H816="דירה כצנלסון",G816&lt;0,ISNUMBER(SEARCH("הכנסה",F816)))),"הכנסה שסווגה מחדש",J816)</x:f>
        <x:v>שוטף</x:v>
      </x:c>
      <x:c r="L816" s="19" t="str">
        <x:v>מאושר</x:v>
      </x:c>
      <x:c r="M816" s="20" t="n">
        <x:f>IF(L816="מאושר",IF(K816="הכנסה שסווגה מחדש",0,G816),0)</x:f>
        <x:v>104</x:v>
      </x:c>
      <x:c r="N816" s="20" t="n">
        <x:f>IF(K816="שוטף",M816,0)</x:f>
        <x:v>104</x:v>
      </x:c>
      <x:c r="O816" s="20" t="n">
        <x:f>IF(K816="הכנסה שסווגה מחדש",-G816,0)</x:f>
        <x:v>0</x:v>
      </x:c>
      <x:c r="P816" s="11" t="str">
        <x:v>אמקס זיו</x:v>
      </x:c>
      <x:c r="Q816" s="11" t="str"/>
      <x:c r="R816" s="11" t="str">
        <x:v>לא</x:v>
      </x:c>
    </x:row>
    <x:row r="817">
      <x:c r="A817" s="14" t="n">
        <x:v>45870</x:v>
      </x:c>
      <x:c r="B817" s="11" t="str">
        <x:v>2025-08</x:v>
      </x:c>
      <x:c r="C817" s="11" t="str">
        <x:v>אוגוסט 25</x:v>
      </x:c>
      <x:c r="D817" s="15" t="n">
        <x:v>88</x:v>
      </x:c>
      <x:c r="E817" s="11" t="str">
        <x:v>12</x:v>
      </x:c>
      <x:c r="F817" s="11" t="str">
        <x:v>מגירות (ביט)</x:v>
      </x:c>
      <x:c r="G817" s="17" t="n">
        <x:v>150</x:v>
      </x:c>
      <x:c r="H817" s="18" t="str">
        <x:v>קניות לבית</x:v>
      </x:c>
      <x:c r="I817" s="19" t="str">
        <x:f>IFERROR(INDEX('מיפוי ומקורות'!$C$7:$C$33,MATCH(H817,'מיפוי ומקורות'!$B$7:$B$33,0)),"לא מסווג")</x:f>
        <x:v>קניות לבית</x:v>
      </x:c>
      <x:c r="J817" s="19" t="str">
        <x:f>IFERROR(INDEX('מיפוי ומקורות'!$D$7:$D$33,MATCH(H817,'מיפוי ומקורות'!$B$7:$B$33,0)),"שוטף")</x:f>
        <x:v>שוטף</x:v>
      </x:c>
      <x:c r="K817" s="19" t="str">
        <x:f>IF(OR(H817="ריביות",AND(H817="דירה כצנלסון",G817&lt;0,ISNUMBER(SEARCH("הכנסה",F817)))),"הכנסה שסווגה מחדש",J817)</x:f>
        <x:v>שוטף</x:v>
      </x:c>
      <x:c r="L817" s="19" t="str">
        <x:v>מאושר</x:v>
      </x:c>
      <x:c r="M817" s="20" t="n">
        <x:f>IF(L817="מאושר",IF(K817="הכנסה שסווגה מחדש",0,G817),0)</x:f>
        <x:v>150</x:v>
      </x:c>
      <x:c r="N817" s="20" t="n">
        <x:f>IF(K817="שוטף",M817,0)</x:f>
        <x:v>150</x:v>
      </x:c>
      <x:c r="O817" s="20" t="n">
        <x:f>IF(K817="הכנסה שסווגה מחדש",-G817,0)</x:f>
        <x:v>0</x:v>
      </x:c>
      <x:c r="P817" s="11" t="str">
        <x:v>אמקס זיו</x:v>
      </x:c>
      <x:c r="Q817" s="11" t="str"/>
      <x:c r="R817" s="11" t="str">
        <x:v>לא</x:v>
      </x:c>
    </x:row>
    <x:row r="818">
      <x:c r="A818" s="14" t="n">
        <x:v>45870</x:v>
      </x:c>
      <x:c r="B818" s="11" t="str">
        <x:v>2025-08</x:v>
      </x:c>
      <x:c r="C818" s="11" t="str">
        <x:v>אוגוסט 25</x:v>
      </x:c>
      <x:c r="D818" s="15" t="n">
        <x:v>89</x:v>
      </x:c>
      <x:c r="E818" s="11" t="str">
        <x:v>13</x:v>
      </x:c>
      <x:c r="F818" s="11" t="str">
        <x:v>אוכל</x:v>
      </x:c>
      <x:c r="G818" s="17" t="n">
        <x:v>93</x:v>
      </x:c>
      <x:c r="H818" s="18" t="str">
        <x:v>אוכל בחוץ</x:v>
      </x:c>
      <x:c r="I818" s="19" t="str">
        <x:f>IFERROR(INDEX('מיפוי ומקורות'!$C$7:$C$33,MATCH(H818,'מיפוי ומקורות'!$B$7:$B$33,0)),"לא מסווג")</x:f>
        <x:v>אוכל בחוץ</x:v>
      </x:c>
      <x:c r="J818" s="19" t="str">
        <x:f>IFERROR(INDEX('מיפוי ומקורות'!$D$7:$D$33,MATCH(H818,'מיפוי ומקורות'!$B$7:$B$33,0)),"שוטף")</x:f>
        <x:v>שוטף</x:v>
      </x:c>
      <x:c r="K818" s="19" t="str">
        <x:f>IF(OR(H818="ריביות",AND(H818="דירה כצנלסון",G818&lt;0,ISNUMBER(SEARCH("הכנסה",F818)))),"הכנסה שסווגה מחדש",J818)</x:f>
        <x:v>שוטף</x:v>
      </x:c>
      <x:c r="L818" s="19" t="str">
        <x:v>מאושר</x:v>
      </x:c>
      <x:c r="M818" s="20" t="n">
        <x:f>IF(L818="מאושר",IF(K818="הכנסה שסווגה מחדש",0,G818),0)</x:f>
        <x:v>93</x:v>
      </x:c>
      <x:c r="N818" s="20" t="n">
        <x:f>IF(K818="שוטף",M818,0)</x:f>
        <x:v>93</x:v>
      </x:c>
      <x:c r="O818" s="20" t="n">
        <x:f>IF(K818="הכנסה שסווגה מחדש",-G818,0)</x:f>
        <x:v>0</x:v>
      </x:c>
      <x:c r="P818" s="11" t="str">
        <x:v>אמקס זיו</x:v>
      </x:c>
      <x:c r="Q818" s="11" t="str"/>
      <x:c r="R818" s="11" t="str">
        <x:v>לא</x:v>
      </x:c>
    </x:row>
    <x:row r="819">
      <x:c r="A819" s="14" t="n">
        <x:v>45870</x:v>
      </x:c>
      <x:c r="B819" s="11" t="str">
        <x:v>2025-08</x:v>
      </x:c>
      <x:c r="C819" s="11" t="str">
        <x:v>אוגוסט 25</x:v>
      </x:c>
      <x:c r="D819" s="15" t="n">
        <x:v>90</x:v>
      </x:c>
      <x:c r="E819" s="11" t="str">
        <x:v>14</x:v>
      </x:c>
      <x:c r="F819" s="11" t="str">
        <x:v>סופר</x:v>
      </x:c>
      <x:c r="G819" s="17" t="n">
        <x:v>-38</x:v>
      </x:c>
      <x:c r="H819" s="18" t="str">
        <x:v>מזון לבית</x:v>
      </x:c>
      <x:c r="I819" s="19" t="str">
        <x:f>IFERROR(INDEX('מיפוי ומקורות'!$C$7:$C$33,MATCH(H819,'מיפוי ומקורות'!$B$7:$B$33,0)),"לא מסווג")</x:f>
        <x:v>מזון לבית</x:v>
      </x:c>
      <x:c r="J819" s="19" t="str">
        <x:f>IFERROR(INDEX('מיפוי ומקורות'!$D$7:$D$33,MATCH(H819,'מיפוי ומקורות'!$B$7:$B$33,0)),"שוטף")</x:f>
        <x:v>שוטף</x:v>
      </x:c>
      <x:c r="K819" s="19" t="str">
        <x:f>IF(OR(H819="ריביות",AND(H819="דירה כצנלסון",G819&lt;0,ISNUMBER(SEARCH("הכנסה",F819)))),"הכנסה שסווגה מחדש",J819)</x:f>
        <x:v>שוטף</x:v>
      </x:c>
      <x:c r="L819" s="19" t="str">
        <x:v>מאושר</x:v>
      </x:c>
      <x:c r="M819" s="20" t="n">
        <x:f>IF(L819="מאושר",IF(K819="הכנסה שסווגה מחדש",0,G819),0)</x:f>
        <x:v>-38</x:v>
      </x:c>
      <x:c r="N819" s="20" t="n">
        <x:f>IF(K819="שוטף",M819,0)</x:f>
        <x:v>-38</x:v>
      </x:c>
      <x:c r="O819" s="20" t="n">
        <x:f>IF(K819="הכנסה שסווגה מחדש",-G819,0)</x:f>
        <x:v>0</x:v>
      </x:c>
      <x:c r="P819" s="11" t="str">
        <x:v>אמקס זיו</x:v>
      </x:c>
      <x:c r="Q819" s="11" t="str"/>
      <x:c r="R819" s="11" t="str">
        <x:v>לא</x:v>
      </x:c>
    </x:row>
    <x:row r="820">
      <x:c r="A820" s="14" t="n">
        <x:v>45870</x:v>
      </x:c>
      <x:c r="B820" s="11" t="str">
        <x:v>2025-08</x:v>
      </x:c>
      <x:c r="C820" s="11" t="str">
        <x:v>אוגוסט 25</x:v>
      </x:c>
      <x:c r="D820" s="15" t="n">
        <x:v>91</x:v>
      </x:c>
      <x:c r="E820" s="11" t="str">
        <x:v>15</x:v>
      </x:c>
      <x:c r="F820" s="11" t="str">
        <x:v>מסעדה</x:v>
      </x:c>
      <x:c r="G820" s="17" t="n">
        <x:v>42</x:v>
      </x:c>
      <x:c r="H820" s="18" t="str">
        <x:v>אוכל בחוץ</x:v>
      </x:c>
      <x:c r="I820" s="19" t="str">
        <x:f>IFERROR(INDEX('מיפוי ומקורות'!$C$7:$C$33,MATCH(H820,'מיפוי ומקורות'!$B$7:$B$33,0)),"לא מסווג")</x:f>
        <x:v>אוכל בחוץ</x:v>
      </x:c>
      <x:c r="J820" s="19" t="str">
        <x:f>IFERROR(INDEX('מיפוי ומקורות'!$D$7:$D$33,MATCH(H820,'מיפוי ומקורות'!$B$7:$B$33,0)),"שוטף")</x:f>
        <x:v>שוטף</x:v>
      </x:c>
      <x:c r="K820" s="19" t="str">
        <x:f>IF(OR(H820="ריביות",AND(H820="דירה כצנלסון",G820&lt;0,ISNUMBER(SEARCH("הכנסה",F820)))),"הכנסה שסווגה מחדש",J820)</x:f>
        <x:v>שוטף</x:v>
      </x:c>
      <x:c r="L820" s="19" t="str">
        <x:v>מאושר</x:v>
      </x:c>
      <x:c r="M820" s="20" t="n">
        <x:f>IF(L820="מאושר",IF(K820="הכנסה שסווגה מחדש",0,G820),0)</x:f>
        <x:v>42</x:v>
      </x:c>
      <x:c r="N820" s="20" t="n">
        <x:f>IF(K820="שוטף",M820,0)</x:f>
        <x:v>42</x:v>
      </x:c>
      <x:c r="O820" s="20" t="n">
        <x:f>IF(K820="הכנסה שסווגה מחדש",-G820,0)</x:f>
        <x:v>0</x:v>
      </x:c>
      <x:c r="P820" s="11" t="str">
        <x:v>אמקס זיו</x:v>
      </x:c>
      <x:c r="Q820" s="11" t="str"/>
      <x:c r="R820" s="11" t="str">
        <x:v>לא</x:v>
      </x:c>
    </x:row>
    <x:row r="821">
      <x:c r="A821" s="14" t="n">
        <x:v>45870</x:v>
      </x:c>
      <x:c r="B821" s="11" t="str">
        <x:v>2025-08</x:v>
      </x:c>
      <x:c r="C821" s="11" t="str">
        <x:v>אוגוסט 25</x:v>
      </x:c>
      <x:c r="D821" s="15" t="n">
        <x:v>92</x:v>
      </x:c>
      <x:c r="E821" s="11" t="str">
        <x:v>16</x:v>
      </x:c>
      <x:c r="F821" s="11" t="str">
        <x:v>דלק</x:v>
      </x:c>
      <x:c r="G821" s="17" t="n">
        <x:v>202</x:v>
      </x:c>
      <x:c r="H821" s="18" t="str">
        <x:v>תחבורה</x:v>
      </x:c>
      <x:c r="I821" s="19" t="str">
        <x:f>IFERROR(INDEX('מיפוי ומקורות'!$C$7:$C$33,MATCH(H821,'מיפוי ומקורות'!$B$7:$B$33,0)),"לא מסווג")</x:f>
        <x:v>תחבורה</x:v>
      </x:c>
      <x:c r="J821" s="19" t="str">
        <x:f>IFERROR(INDEX('מיפוי ומקורות'!$D$7:$D$33,MATCH(H821,'מיפוי ומקורות'!$B$7:$B$33,0)),"שוטף")</x:f>
        <x:v>שוטף</x:v>
      </x:c>
      <x:c r="K821" s="19" t="str">
        <x:f>IF(OR(H821="ריביות",AND(H821="דירה כצנלסון",G821&lt;0,ISNUMBER(SEARCH("הכנסה",F821)))),"הכנסה שסווגה מחדש",J821)</x:f>
        <x:v>שוטף</x:v>
      </x:c>
      <x:c r="L821" s="19" t="str">
        <x:v>מאושר</x:v>
      </x:c>
      <x:c r="M821" s="20" t="n">
        <x:f>IF(L821="מאושר",IF(K821="הכנסה שסווגה מחדש",0,G821),0)</x:f>
        <x:v>202</x:v>
      </x:c>
      <x:c r="N821" s="20" t="n">
        <x:f>IF(K821="שוטף",M821,0)</x:f>
        <x:v>202</x:v>
      </x:c>
      <x:c r="O821" s="20" t="n">
        <x:f>IF(K821="הכנסה שסווגה מחדש",-G821,0)</x:f>
        <x:v>0</x:v>
      </x:c>
      <x:c r="P821" s="11" t="str">
        <x:v>אמקס זיו</x:v>
      </x:c>
      <x:c r="Q821" s="11" t="str"/>
      <x:c r="R821" s="11" t="str">
        <x:v>לא</x:v>
      </x:c>
    </x:row>
    <x:row r="822">
      <x:c r="A822" s="14" t="n">
        <x:v>45870</x:v>
      </x:c>
      <x:c r="B822" s="11" t="str">
        <x:v>2025-08</x:v>
      </x:c>
      <x:c r="C822" s="11" t="str">
        <x:v>אוגוסט 25</x:v>
      </x:c>
      <x:c r="D822" s="15" t="n">
        <x:v>93</x:v>
      </x:c>
      <x:c r="E822" s="11" t="str">
        <x:v>17</x:v>
      </x:c>
      <x:c r="F822" s="11" t="str">
        <x:v>ירקות</x:v>
      </x:c>
      <x:c r="G822" s="17" t="n">
        <x:v>23</x:v>
      </x:c>
      <x:c r="H822" s="18" t="str">
        <x:v>מזון לבית</x:v>
      </x:c>
      <x:c r="I822" s="19" t="str">
        <x:f>IFERROR(INDEX('מיפוי ומקורות'!$C$7:$C$33,MATCH(H822,'מיפוי ומקורות'!$B$7:$B$33,0)),"לא מסווג")</x:f>
        <x:v>מזון לבית</x:v>
      </x:c>
      <x:c r="J822" s="19" t="str">
        <x:f>IFERROR(INDEX('מיפוי ומקורות'!$D$7:$D$33,MATCH(H822,'מיפוי ומקורות'!$B$7:$B$33,0)),"שוטף")</x:f>
        <x:v>שוטף</x:v>
      </x:c>
      <x:c r="K822" s="19" t="str">
        <x:f>IF(OR(H822="ריביות",AND(H822="דירה כצנלסון",G822&lt;0,ISNUMBER(SEARCH("הכנסה",F822)))),"הכנסה שסווגה מחדש",J822)</x:f>
        <x:v>שוטף</x:v>
      </x:c>
      <x:c r="L822" s="19" t="str">
        <x:v>מאושר</x:v>
      </x:c>
      <x:c r="M822" s="20" t="n">
        <x:f>IF(L822="מאושר",IF(K822="הכנסה שסווגה מחדש",0,G822),0)</x:f>
        <x:v>23</x:v>
      </x:c>
      <x:c r="N822" s="20" t="n">
        <x:f>IF(K822="שוטף",M822,0)</x:f>
        <x:v>23</x:v>
      </x:c>
      <x:c r="O822" s="20" t="n">
        <x:f>IF(K822="הכנסה שסווגה מחדש",-G822,0)</x:f>
        <x:v>0</x:v>
      </x:c>
      <x:c r="P822" s="11" t="str">
        <x:v>אמקס זיו</x:v>
      </x:c>
      <x:c r="Q822" s="11" t="str"/>
      <x:c r="R822" s="11" t="str">
        <x:v>לא</x:v>
      </x:c>
    </x:row>
    <x:row r="823">
      <x:c r="A823" s="14" t="n">
        <x:v>45870</x:v>
      </x:c>
      <x:c r="B823" s="11" t="str">
        <x:v>2025-08</x:v>
      </x:c>
      <x:c r="C823" s="11" t="str">
        <x:v>אוגוסט 25</x:v>
      </x:c>
      <x:c r="D823" s="15" t="n">
        <x:v>94</x:v>
      </x:c>
      <x:c r="E823" s="11" t="str">
        <x:v>1 9</x:v>
      </x:c>
      <x:c r="F823" s="11" t="str">
        <x:v>מסעדה</x:v>
      </x:c>
      <x:c r="G823" s="17" t="n">
        <x:v>120</x:v>
      </x:c>
      <x:c r="H823" s="18" t="str">
        <x:v>אוכל בחוץ</x:v>
      </x:c>
      <x:c r="I823" s="19" t="str">
        <x:f>IFERROR(INDEX('מיפוי ומקורות'!$C$7:$C$33,MATCH(H823,'מיפוי ומקורות'!$B$7:$B$33,0)),"לא מסווג")</x:f>
        <x:v>אוכל בחוץ</x:v>
      </x:c>
      <x:c r="J823" s="19" t="str">
        <x:f>IFERROR(INDEX('מיפוי ומקורות'!$D$7:$D$33,MATCH(H823,'מיפוי ומקורות'!$B$7:$B$33,0)),"שוטף")</x:f>
        <x:v>שוטף</x:v>
      </x:c>
      <x:c r="K823" s="19" t="str">
        <x:f>IF(OR(H823="ריביות",AND(H823="דירה כצנלסון",G823&lt;0,ISNUMBER(SEARCH("הכנסה",F823)))),"הכנסה שסווגה מחדש",J823)</x:f>
        <x:v>שוטף</x:v>
      </x:c>
      <x:c r="L823" s="19" t="str">
        <x:v>מאושר</x:v>
      </x:c>
      <x:c r="M823" s="20" t="n">
        <x:f>IF(L823="מאושר",IF(K823="הכנסה שסווגה מחדש",0,G823),0)</x:f>
        <x:v>120</x:v>
      </x:c>
      <x:c r="N823" s="20" t="n">
        <x:f>IF(K823="שוטף",M823,0)</x:f>
        <x:v>120</x:v>
      </x:c>
      <x:c r="O823" s="20" t="n">
        <x:f>IF(K823="הכנסה שסווגה מחדש",-G823,0)</x:f>
        <x:v>0</x:v>
      </x:c>
      <x:c r="P823" s="11" t="str">
        <x:v>אמקס זיו</x:v>
      </x:c>
      <x:c r="Q823" s="11" t="str"/>
      <x:c r="R823" s="11" t="str">
        <x:v>לא</x:v>
      </x:c>
    </x:row>
    <x:row r="824">
      <x:c r="A824" s="14" t="n">
        <x:v>45870</x:v>
      </x:c>
      <x:c r="B824" s="11" t="str">
        <x:v>2025-08</x:v>
      </x:c>
      <x:c r="C824" s="11" t="str">
        <x:v>אוגוסט 25</x:v>
      </x:c>
      <x:c r="D824" s="15" t="n">
        <x:v>95</x:v>
      </x:c>
      <x:c r="E824" s="11" t="str">
        <x:v>19</x:v>
      </x:c>
      <x:c r="F824" s="11" t="str">
        <x:v>ירקות</x:v>
      </x:c>
      <x:c r="G824" s="17" t="n">
        <x:v>40</x:v>
      </x:c>
      <x:c r="H824" s="18" t="str">
        <x:v>מזון לבית</x:v>
      </x:c>
      <x:c r="I824" s="19" t="str">
        <x:f>IFERROR(INDEX('מיפוי ומקורות'!$C$7:$C$33,MATCH(H824,'מיפוי ומקורות'!$B$7:$B$33,0)),"לא מסווג")</x:f>
        <x:v>מזון לבית</x:v>
      </x:c>
      <x:c r="J824" s="19" t="str">
        <x:f>IFERROR(INDEX('מיפוי ומקורות'!$D$7:$D$33,MATCH(H824,'מיפוי ומקורות'!$B$7:$B$33,0)),"שוטף")</x:f>
        <x:v>שוטף</x:v>
      </x:c>
      <x:c r="K824" s="19" t="str">
        <x:f>IF(OR(H824="ריביות",AND(H824="דירה כצנלסון",G824&lt;0,ISNUMBER(SEARCH("הכנסה",F824)))),"הכנסה שסווגה מחדש",J824)</x:f>
        <x:v>שוטף</x:v>
      </x:c>
      <x:c r="L824" s="19" t="str">
        <x:v>מאושר</x:v>
      </x:c>
      <x:c r="M824" s="20" t="n">
        <x:f>IF(L824="מאושר",IF(K824="הכנסה שסווגה מחדש",0,G824),0)</x:f>
        <x:v>40</x:v>
      </x:c>
      <x:c r="N824" s="20" t="n">
        <x:f>IF(K824="שוטף",M824,0)</x:f>
        <x:v>40</x:v>
      </x:c>
      <x:c r="O824" s="20" t="n">
        <x:f>IF(K824="הכנסה שסווגה מחדש",-G824,0)</x:f>
        <x:v>0</x:v>
      </x:c>
      <x:c r="P824" s="11" t="str">
        <x:v>אמקס זיו</x:v>
      </x:c>
      <x:c r="Q824" s="11" t="str"/>
      <x:c r="R824" s="11" t="str">
        <x:v>לא</x:v>
      </x:c>
    </x:row>
    <x:row r="825">
      <x:c r="A825" s="14" t="n">
        <x:v>45870</x:v>
      </x:c>
      <x:c r="B825" s="11" t="str">
        <x:v>2025-08</x:v>
      </x:c>
      <x:c r="C825" s="11" t="str">
        <x:v>אוגוסט 25</x:v>
      </x:c>
      <x:c r="D825" s="15" t="n">
        <x:v>96</x:v>
      </x:c>
      <x:c r="E825" s="11" t="str">
        <x:v>21</x:v>
      </x:c>
      <x:c r="F825" s="11" t="str">
        <x:v>מקס</x:v>
      </x:c>
      <x:c r="G825" s="17" t="n">
        <x:v>10</x:v>
      </x:c>
      <x:c r="H825" s="18" t="str">
        <x:v>קניות לבית</x:v>
      </x:c>
      <x:c r="I825" s="19" t="str">
        <x:f>IFERROR(INDEX('מיפוי ומקורות'!$C$7:$C$33,MATCH(H825,'מיפוי ומקורות'!$B$7:$B$33,0)),"לא מסווג")</x:f>
        <x:v>קניות לבית</x:v>
      </x:c>
      <x:c r="J825" s="19" t="str">
        <x:f>IFERROR(INDEX('מיפוי ומקורות'!$D$7:$D$33,MATCH(H825,'מיפוי ומקורות'!$B$7:$B$33,0)),"שוטף")</x:f>
        <x:v>שוטף</x:v>
      </x:c>
      <x:c r="K825" s="19" t="str">
        <x:f>IF(OR(H825="ריביות",AND(H825="דירה כצנלסון",G825&lt;0,ISNUMBER(SEARCH("הכנסה",F825)))),"הכנסה שסווגה מחדש",J825)</x:f>
        <x:v>שוטף</x:v>
      </x:c>
      <x:c r="L825" s="19" t="str">
        <x:v>מאושר</x:v>
      </x:c>
      <x:c r="M825" s="20" t="n">
        <x:f>IF(L825="מאושר",IF(K825="הכנסה שסווגה מחדש",0,G825),0)</x:f>
        <x:v>10</x:v>
      </x:c>
      <x:c r="N825" s="20" t="n">
        <x:f>IF(K825="שוטף",M825,0)</x:f>
        <x:v>10</x:v>
      </x:c>
      <x:c r="O825" s="20" t="n">
        <x:f>IF(K825="הכנסה שסווגה מחדש",-G825,0)</x:f>
        <x:v>0</x:v>
      </x:c>
      <x:c r="P825" s="11" t="str">
        <x:v>אמקס זיו</x:v>
      </x:c>
      <x:c r="Q825" s="11" t="str"/>
      <x:c r="R825" s="11" t="str">
        <x:v>לא</x:v>
      </x:c>
    </x:row>
    <x:row r="826">
      <x:c r="A826" s="14" t="n">
        <x:v>45870</x:v>
      </x:c>
      <x:c r="B826" s="11" t="str">
        <x:v>2025-08</x:v>
      </x:c>
      <x:c r="C826" s="11" t="str">
        <x:v>אוגוסט 25</x:v>
      </x:c>
      <x:c r="D826" s="15" t="n">
        <x:v>97</x:v>
      </x:c>
      <x:c r="E826" s="11" t="str">
        <x:v>25</x:v>
      </x:c>
      <x:c r="F826" s="11" t="str">
        <x:v>קיוסק</x:v>
      </x:c>
      <x:c r="G826" s="17" t="n">
        <x:v>7</x:v>
      </x:c>
      <x:c r="H826" s="18" t="str">
        <x:v>אוכל בחוץ</x:v>
      </x:c>
      <x:c r="I826" s="19" t="str">
        <x:f>IFERROR(INDEX('מיפוי ומקורות'!$C$7:$C$33,MATCH(H826,'מיפוי ומקורות'!$B$7:$B$33,0)),"לא מסווג")</x:f>
        <x:v>אוכל בחוץ</x:v>
      </x:c>
      <x:c r="J826" s="19" t="str">
        <x:f>IFERROR(INDEX('מיפוי ומקורות'!$D$7:$D$33,MATCH(H826,'מיפוי ומקורות'!$B$7:$B$33,0)),"שוטף")</x:f>
        <x:v>שוטף</x:v>
      </x:c>
      <x:c r="K826" s="19" t="str">
        <x:f>IF(OR(H826="ריביות",AND(H826="דירה כצנלסון",G826&lt;0,ISNUMBER(SEARCH("הכנסה",F826)))),"הכנסה שסווגה מחדש",J826)</x:f>
        <x:v>שוטף</x:v>
      </x:c>
      <x:c r="L826" s="19" t="str">
        <x:v>מאושר</x:v>
      </x:c>
      <x:c r="M826" s="20" t="n">
        <x:f>IF(L826="מאושר",IF(K826="הכנסה שסווגה מחדש",0,G826),0)</x:f>
        <x:v>7</x:v>
      </x:c>
      <x:c r="N826" s="20" t="n">
        <x:f>IF(K826="שוטף",M826,0)</x:f>
        <x:v>7</x:v>
      </x:c>
      <x:c r="O826" s="20" t="n">
        <x:f>IF(K826="הכנסה שסווגה מחדש",-G826,0)</x:f>
        <x:v>0</x:v>
      </x:c>
      <x:c r="P826" s="11" t="str">
        <x:v>אמקס זיו</x:v>
      </x:c>
      <x:c r="Q826" s="11" t="str"/>
      <x:c r="R826" s="11" t="str">
        <x:v>לא</x:v>
      </x:c>
    </x:row>
    <x:row r="827">
      <x:c r="A827" s="14" t="n">
        <x:v>45870</x:v>
      </x:c>
      <x:c r="B827" s="11" t="str">
        <x:v>2025-08</x:v>
      </x:c>
      <x:c r="C827" s="11" t="str">
        <x:v>אוגוסט 25</x:v>
      </x:c>
      <x:c r="D827" s="15" t="n">
        <x:v>98</x:v>
      </x:c>
      <x:c r="E827" s="11" t="str">
        <x:v>25</x:v>
      </x:c>
      <x:c r="F827" s="11" t="str">
        <x:v>מתנה (ביט)</x:v>
      </x:c>
      <x:c r="G827" s="17" t="n">
        <x:v>20</x:v>
      </x:c>
      <x:c r="H827" s="18" t="str">
        <x:v>מתנה</x:v>
      </x:c>
      <x:c r="I827" s="19" t="str">
        <x:f>IFERROR(INDEX('מיפוי ומקורות'!$C$7:$C$33,MATCH(H827,'מיפוי ומקורות'!$B$7:$B$33,0)),"לא מסווג")</x:f>
        <x:v>מתנה</x:v>
      </x:c>
      <x:c r="J827" s="19" t="str">
        <x:f>IFERROR(INDEX('מיפוי ומקורות'!$D$7:$D$33,MATCH(H827,'מיפוי ומקורות'!$B$7:$B$33,0)),"שוטף")</x:f>
        <x:v>שוטף</x:v>
      </x:c>
      <x:c r="K827" s="19" t="str">
        <x:f>IF(OR(H827="ריביות",AND(H827="דירה כצנלסון",G827&lt;0,ISNUMBER(SEARCH("הכנסה",F827)))),"הכנסה שסווגה מחדש",J827)</x:f>
        <x:v>שוטף</x:v>
      </x:c>
      <x:c r="L827" s="19" t="str">
        <x:v>מאושר</x:v>
      </x:c>
      <x:c r="M827" s="20" t="n">
        <x:f>IF(L827="מאושר",IF(K827="הכנסה שסווגה מחדש",0,G827),0)</x:f>
        <x:v>20</x:v>
      </x:c>
      <x:c r="N827" s="20" t="n">
        <x:f>IF(K827="שוטף",M827,0)</x:f>
        <x:v>20</x:v>
      </x:c>
      <x:c r="O827" s="20" t="n">
        <x:f>IF(K827="הכנסה שסווגה מחדש",-G827,0)</x:f>
        <x:v>0</x:v>
      </x:c>
      <x:c r="P827" s="11" t="str">
        <x:v>אמקס זיו</x:v>
      </x:c>
      <x:c r="Q827" s="11" t="str"/>
      <x:c r="R827" s="11" t="str">
        <x:v>לא</x:v>
      </x:c>
    </x:row>
    <x:row r="828">
      <x:c r="A828" s="14" t="n">
        <x:v>45870</x:v>
      </x:c>
      <x:c r="B828" s="11" t="str">
        <x:v>2025-08</x:v>
      </x:c>
      <x:c r="C828" s="11" t="str">
        <x:v>אוגוסט 25</x:v>
      </x:c>
      <x:c r="D828" s="15" t="n">
        <x:v>99</x:v>
      </x:c>
      <x:c r="E828" s="11" t="str">
        <x:v>26</x:v>
      </x:c>
      <x:c r="F828" s="11" t="str">
        <x:v>פלייניג טייגר</x:v>
      </x:c>
      <x:c r="G828" s="17" t="n">
        <x:v>53</x:v>
      </x:c>
      <x:c r="H828" s="18" t="str">
        <x:v>קניות לבית</x:v>
      </x:c>
      <x:c r="I828" s="19" t="str">
        <x:f>IFERROR(INDEX('מיפוי ומקורות'!$C$7:$C$33,MATCH(H828,'מיפוי ומקורות'!$B$7:$B$33,0)),"לא מסווג")</x:f>
        <x:v>קניות לבית</x:v>
      </x:c>
      <x:c r="J828" s="19" t="str">
        <x:f>IFERROR(INDEX('מיפוי ומקורות'!$D$7:$D$33,MATCH(H828,'מיפוי ומקורות'!$B$7:$B$33,0)),"שוטף")</x:f>
        <x:v>שוטף</x:v>
      </x:c>
      <x:c r="K828" s="19" t="str">
        <x:f>IF(OR(H828="ריביות",AND(H828="דירה כצנלסון",G828&lt;0,ISNUMBER(SEARCH("הכנסה",F828)))),"הכנסה שסווגה מחדש",J828)</x:f>
        <x:v>שוטף</x:v>
      </x:c>
      <x:c r="L828" s="19" t="str">
        <x:v>מאושר</x:v>
      </x:c>
      <x:c r="M828" s="20" t="n">
        <x:f>IF(L828="מאושר",IF(K828="הכנסה שסווגה מחדש",0,G828),0)</x:f>
        <x:v>53</x:v>
      </x:c>
      <x:c r="N828" s="20" t="n">
        <x:f>IF(K828="שוטף",M828,0)</x:f>
        <x:v>53</x:v>
      </x:c>
      <x:c r="O828" s="20" t="n">
        <x:f>IF(K828="הכנסה שסווגה מחדש",-G828,0)</x:f>
        <x:v>0</x:v>
      </x:c>
      <x:c r="P828" s="11" t="str">
        <x:v>אמקס זיו</x:v>
      </x:c>
      <x:c r="Q828" s="11" t="str"/>
      <x:c r="R828" s="11" t="str">
        <x:v>לא</x:v>
      </x:c>
    </x:row>
    <x:row r="829">
      <x:c r="A829" s="14" t="n">
        <x:v>45870</x:v>
      </x:c>
      <x:c r="B829" s="11" t="str">
        <x:v>2025-08</x:v>
      </x:c>
      <x:c r="C829" s="11" t="str">
        <x:v>אוגוסט 25</x:v>
      </x:c>
      <x:c r="D829" s="15" t="n">
        <x:v>100</x:v>
      </x:c>
      <x:c r="E829" s="11" t="str">
        <x:v>26</x:v>
      </x:c>
      <x:c r="F829" s="11" t="str">
        <x:v>ירקות</x:v>
      </x:c>
      <x:c r="G829" s="17" t="n">
        <x:v>54</x:v>
      </x:c>
      <x:c r="H829" s="18" t="str">
        <x:v>מזון לבית</x:v>
      </x:c>
      <x:c r="I829" s="19" t="str">
        <x:f>IFERROR(INDEX('מיפוי ומקורות'!$C$7:$C$33,MATCH(H829,'מיפוי ומקורות'!$B$7:$B$33,0)),"לא מסווג")</x:f>
        <x:v>מזון לבית</x:v>
      </x:c>
      <x:c r="J829" s="19" t="str">
        <x:f>IFERROR(INDEX('מיפוי ומקורות'!$D$7:$D$33,MATCH(H829,'מיפוי ומקורות'!$B$7:$B$33,0)),"שוטף")</x:f>
        <x:v>שוטף</x:v>
      </x:c>
      <x:c r="K829" s="19" t="str">
        <x:f>IF(OR(H829="ריביות",AND(H829="דירה כצנלסון",G829&lt;0,ISNUMBER(SEARCH("הכנסה",F829)))),"הכנסה שסווגה מחדש",J829)</x:f>
        <x:v>שוטף</x:v>
      </x:c>
      <x:c r="L829" s="19" t="str">
        <x:v>מאושר</x:v>
      </x:c>
      <x:c r="M829" s="20" t="n">
        <x:f>IF(L829="מאושר",IF(K829="הכנסה שסווגה מחדש",0,G829),0)</x:f>
        <x:v>54</x:v>
      </x:c>
      <x:c r="N829" s="20" t="n">
        <x:f>IF(K829="שוטף",M829,0)</x:f>
        <x:v>54</x:v>
      </x:c>
      <x:c r="O829" s="20" t="n">
        <x:f>IF(K829="הכנסה שסווגה מחדש",-G829,0)</x:f>
        <x:v>0</x:v>
      </x:c>
      <x:c r="P829" s="11" t="str">
        <x:v>אמקס זיו</x:v>
      </x:c>
      <x:c r="Q829" s="11" t="str"/>
      <x:c r="R829" s="11" t="str">
        <x:v>לא</x:v>
      </x:c>
    </x:row>
    <x:row r="830">
      <x:c r="A830" s="14" t="n">
        <x:v>45870</x:v>
      </x:c>
      <x:c r="B830" s="11" t="str">
        <x:v>2025-08</x:v>
      </x:c>
      <x:c r="C830" s="11" t="str">
        <x:v>אוגוסט 25</x:v>
      </x:c>
      <x:c r="D830" s="15" t="n">
        <x:v>101</x:v>
      </x:c>
      <x:c r="E830" s="11" t="str">
        <x:v>27</x:v>
      </x:c>
      <x:c r="F830" s="11" t="str">
        <x:v>סנוקר (ביט)</x:v>
      </x:c>
      <x:c r="G830" s="17" t="n">
        <x:v>26</x:v>
      </x:c>
      <x:c r="H830" s="18" t="str">
        <x:v>פנאי</x:v>
      </x:c>
      <x:c r="I830" s="19" t="str">
        <x:f>IFERROR(INDEX('מיפוי ומקורות'!$C$7:$C$33,MATCH(H830,'מיפוי ומקורות'!$B$7:$B$33,0)),"לא מסווג")</x:f>
        <x:v>פנאי</x:v>
      </x:c>
      <x:c r="J830" s="19" t="str">
        <x:f>IFERROR(INDEX('מיפוי ומקורות'!$D$7:$D$33,MATCH(H830,'מיפוי ומקורות'!$B$7:$B$33,0)),"שוטף")</x:f>
        <x:v>שוטף</x:v>
      </x:c>
      <x:c r="K830" s="19" t="str">
        <x:f>IF(OR(H830="ריביות",AND(H830="דירה כצנלסון",G830&lt;0,ISNUMBER(SEARCH("הכנסה",F830)))),"הכנסה שסווגה מחדש",J830)</x:f>
        <x:v>שוטף</x:v>
      </x:c>
      <x:c r="L830" s="19" t="str">
        <x:v>מאושר</x:v>
      </x:c>
      <x:c r="M830" s="20" t="n">
        <x:f>IF(L830="מאושר",IF(K830="הכנסה שסווגה מחדש",0,G830),0)</x:f>
        <x:v>26</x:v>
      </x:c>
      <x:c r="N830" s="20" t="n">
        <x:f>IF(K830="שוטף",M830,0)</x:f>
        <x:v>26</x:v>
      </x:c>
      <x:c r="O830" s="20" t="n">
        <x:f>IF(K830="הכנסה שסווגה מחדש",-G830,0)</x:f>
        <x:v>0</x:v>
      </x:c>
      <x:c r="P830" s="11" t="str">
        <x:v>אמקס זיו</x:v>
      </x:c>
      <x:c r="Q830" s="11" t="str"/>
      <x:c r="R830" s="11" t="str">
        <x:v>לא</x:v>
      </x:c>
    </x:row>
    <x:row r="831">
      <x:c r="A831" s="14" t="n">
        <x:v>45870</x:v>
      </x:c>
      <x:c r="B831" s="11" t="str">
        <x:v>2025-08</x:v>
      </x:c>
      <x:c r="C831" s="11" t="str">
        <x:v>אוגוסט 25</x:v>
      </x:c>
      <x:c r="D831" s="15" t="n">
        <x:v>102</x:v>
      </x:c>
      <x:c r="E831" s="11" t="str">
        <x:v>27</x:v>
      </x:c>
      <x:c r="F831" s="11" t="str">
        <x:v>אבולאפיה</x:v>
      </x:c>
      <x:c r="G831" s="17" t="n">
        <x:v>25</x:v>
      </x:c>
      <x:c r="H831" s="18" t="str">
        <x:v>אוכל בחוץ</x:v>
      </x:c>
      <x:c r="I831" s="19" t="str">
        <x:f>IFERROR(INDEX('מיפוי ומקורות'!$C$7:$C$33,MATCH(H831,'מיפוי ומקורות'!$B$7:$B$33,0)),"לא מסווג")</x:f>
        <x:v>אוכל בחוץ</x:v>
      </x:c>
      <x:c r="J831" s="19" t="str">
        <x:f>IFERROR(INDEX('מיפוי ומקורות'!$D$7:$D$33,MATCH(H831,'מיפוי ומקורות'!$B$7:$B$33,0)),"שוטף")</x:f>
        <x:v>שוטף</x:v>
      </x:c>
      <x:c r="K831" s="19" t="str">
        <x:f>IF(OR(H831="ריביות",AND(H831="דירה כצנלסון",G831&lt;0,ISNUMBER(SEARCH("הכנסה",F831)))),"הכנסה שסווגה מחדש",J831)</x:f>
        <x:v>שוטף</x:v>
      </x:c>
      <x:c r="L831" s="19" t="str">
        <x:v>מאושר</x:v>
      </x:c>
      <x:c r="M831" s="20" t="n">
        <x:f>IF(L831="מאושר",IF(K831="הכנסה שסווגה מחדש",0,G831),0)</x:f>
        <x:v>25</x:v>
      </x:c>
      <x:c r="N831" s="20" t="n">
        <x:f>IF(K831="שוטף",M831,0)</x:f>
        <x:v>25</x:v>
      </x:c>
      <x:c r="O831" s="20" t="n">
        <x:f>IF(K831="הכנסה שסווגה מחדש",-G831,0)</x:f>
        <x:v>0</x:v>
      </x:c>
      <x:c r="P831" s="11" t="str">
        <x:v>אמקס זיו</x:v>
      </x:c>
      <x:c r="Q831" s="11" t="str"/>
      <x:c r="R831" s="11" t="str">
        <x:v>לא</x:v>
      </x:c>
    </x:row>
    <x:row r="832">
      <x:c r="A832" s="14" t="n">
        <x:v>45870</x:v>
      </x:c>
      <x:c r="B832" s="11" t="str">
        <x:v>2025-08</x:v>
      </x:c>
      <x:c r="C832" s="11" t="str">
        <x:v>אוגוסט 25</x:v>
      </x:c>
      <x:c r="D832" s="15" t="n">
        <x:v>103</x:v>
      </x:c>
      <x:c r="E832" s="11" t="str">
        <x:v>28</x:v>
      </x:c>
      <x:c r="F832" s="11" t="str">
        <x:v>בירה (ביט)</x:v>
      </x:c>
      <x:c r="G832" s="17" t="n">
        <x:v>30</x:v>
      </x:c>
      <x:c r="H832" s="18" t="str">
        <x:v>אוכל בחוץ</x:v>
      </x:c>
      <x:c r="I832" s="19" t="str">
        <x:f>IFERROR(INDEX('מיפוי ומקורות'!$C$7:$C$33,MATCH(H832,'מיפוי ומקורות'!$B$7:$B$33,0)),"לא מסווג")</x:f>
        <x:v>אוכל בחוץ</x:v>
      </x:c>
      <x:c r="J832" s="19" t="str">
        <x:f>IFERROR(INDEX('מיפוי ומקורות'!$D$7:$D$33,MATCH(H832,'מיפוי ומקורות'!$B$7:$B$33,0)),"שוטף")</x:f>
        <x:v>שוטף</x:v>
      </x:c>
      <x:c r="K832" s="19" t="str">
        <x:f>IF(OR(H832="ריביות",AND(H832="דירה כצנלסון",G832&lt;0,ISNUMBER(SEARCH("הכנסה",F832)))),"הכנסה שסווגה מחדש",J832)</x:f>
        <x:v>שוטף</x:v>
      </x:c>
      <x:c r="L832" s="19" t="str">
        <x:v>מאושר</x:v>
      </x:c>
      <x:c r="M832" s="20" t="n">
        <x:f>IF(L832="מאושר",IF(K832="הכנסה שסווגה מחדש",0,G832),0)</x:f>
        <x:v>30</x:v>
      </x:c>
      <x:c r="N832" s="20" t="n">
        <x:f>IF(K832="שוטף",M832,0)</x:f>
        <x:v>30</x:v>
      </x:c>
      <x:c r="O832" s="20" t="n">
        <x:f>IF(K832="הכנסה שסווגה מחדש",-G832,0)</x:f>
        <x:v>0</x:v>
      </x:c>
      <x:c r="P832" s="11" t="str">
        <x:v>אמקס זיו</x:v>
      </x:c>
      <x:c r="Q832" s="11" t="str"/>
      <x:c r="R832" s="11" t="str">
        <x:v>לא</x:v>
      </x:c>
    </x:row>
    <x:row r="833">
      <x:c r="A833" s="14" t="n">
        <x:v>45870</x:v>
      </x:c>
      <x:c r="B833" s="11" t="str">
        <x:v>2025-08</x:v>
      </x:c>
      <x:c r="C833" s="11" t="str">
        <x:v>אוגוסט 25</x:v>
      </x:c>
      <x:c r="D833" s="15" t="n">
        <x:v>104</x:v>
      </x:c>
      <x:c r="E833" s="11" t="str">
        <x:v>28</x:v>
      </x:c>
      <x:c r="F833" s="11" t="str">
        <x:v>גלידה</x:v>
      </x:c>
      <x:c r="G833" s="17" t="n">
        <x:v>20</x:v>
      </x:c>
      <x:c r="H833" s="18" t="str">
        <x:v>אוכל בחוץ</x:v>
      </x:c>
      <x:c r="I833" s="19" t="str">
        <x:f>IFERROR(INDEX('מיפוי ומקורות'!$C$7:$C$33,MATCH(H833,'מיפוי ומקורות'!$B$7:$B$33,0)),"לא מסווג")</x:f>
        <x:v>אוכל בחוץ</x:v>
      </x:c>
      <x:c r="J833" s="19" t="str">
        <x:f>IFERROR(INDEX('מיפוי ומקורות'!$D$7:$D$33,MATCH(H833,'מיפוי ומקורות'!$B$7:$B$33,0)),"שוטף")</x:f>
        <x:v>שוטף</x:v>
      </x:c>
      <x:c r="K833" s="19" t="str">
        <x:f>IF(OR(H833="ריביות",AND(H833="דירה כצנלסון",G833&lt;0,ISNUMBER(SEARCH("הכנסה",F833)))),"הכנסה שסווגה מחדש",J833)</x:f>
        <x:v>שוטף</x:v>
      </x:c>
      <x:c r="L833" s="19" t="str">
        <x:v>מאושר</x:v>
      </x:c>
      <x:c r="M833" s="20" t="n">
        <x:f>IF(L833="מאושר",IF(K833="הכנסה שסווגה מחדש",0,G833),0)</x:f>
        <x:v>20</x:v>
      </x:c>
      <x:c r="N833" s="20" t="n">
        <x:f>IF(K833="שוטף",M833,0)</x:f>
        <x:v>20</x:v>
      </x:c>
      <x:c r="O833" s="20" t="n">
        <x:f>IF(K833="הכנסה שסווגה מחדש",-G833,0)</x:f>
        <x:v>0</x:v>
      </x:c>
      <x:c r="P833" s="11" t="str">
        <x:v>אמקס זיו</x:v>
      </x:c>
      <x:c r="Q833" s="11" t="str"/>
      <x:c r="R833" s="11" t="str">
        <x:v>לא</x:v>
      </x:c>
    </x:row>
    <x:row r="834">
      <x:c r="A834" s="14" t="n">
        <x:v>45870</x:v>
      </x:c>
      <x:c r="B834" s="11" t="str">
        <x:v>2025-08</x:v>
      </x:c>
      <x:c r="C834" s="11" t="str">
        <x:v>אוגוסט 25</x:v>
      </x:c>
      <x:c r="D834" s="15" t="n">
        <x:v>105</x:v>
      </x:c>
      <x:c r="E834" s="11" t="str">
        <x:v>28</x:v>
      </x:c>
      <x:c r="F834" s="11" t="str">
        <x:v>פיצוציה</x:v>
      </x:c>
      <x:c r="G834" s="17" t="n">
        <x:v>14</x:v>
      </x:c>
      <x:c r="H834" s="18" t="str">
        <x:v>אוכל בחוץ</x:v>
      </x:c>
      <x:c r="I834" s="19" t="str">
        <x:f>IFERROR(INDEX('מיפוי ומקורות'!$C$7:$C$33,MATCH(H834,'מיפוי ומקורות'!$B$7:$B$33,0)),"לא מסווג")</x:f>
        <x:v>אוכל בחוץ</x:v>
      </x:c>
      <x:c r="J834" s="19" t="str">
        <x:f>IFERROR(INDEX('מיפוי ומקורות'!$D$7:$D$33,MATCH(H834,'מיפוי ומקורות'!$B$7:$B$33,0)),"שוטף")</x:f>
        <x:v>שוטף</x:v>
      </x:c>
      <x:c r="K834" s="19" t="str">
        <x:f>IF(OR(H834="ריביות",AND(H834="דירה כצנלסון",G834&lt;0,ISNUMBER(SEARCH("הכנסה",F834)))),"הכנסה שסווגה מחדש",J834)</x:f>
        <x:v>שוטף</x:v>
      </x:c>
      <x:c r="L834" s="19" t="str">
        <x:v>מאושר</x:v>
      </x:c>
      <x:c r="M834" s="20" t="n">
        <x:f>IF(L834="מאושר",IF(K834="הכנסה שסווגה מחדש",0,G834),0)</x:f>
        <x:v>14</x:v>
      </x:c>
      <x:c r="N834" s="20" t="n">
        <x:f>IF(K834="שוטף",M834,0)</x:f>
        <x:v>14</x:v>
      </x:c>
      <x:c r="O834" s="20" t="n">
        <x:f>IF(K834="הכנסה שסווגה מחדש",-G834,0)</x:f>
        <x:v>0</x:v>
      </x:c>
      <x:c r="P834" s="11" t="str">
        <x:v>אמקס זיו</x:v>
      </x:c>
      <x:c r="Q834" s="11" t="str"/>
      <x:c r="R834" s="11" t="str">
        <x:v>לא</x:v>
      </x:c>
    </x:row>
    <x:row r="835">
      <x:c r="A835" s="14" t="n">
        <x:v>45870</x:v>
      </x:c>
      <x:c r="B835" s="11" t="str">
        <x:v>2025-08</x:v>
      </x:c>
      <x:c r="C835" s="11" t="str">
        <x:v>אוגוסט 25</x:v>
      </x:c>
      <x:c r="D835" s="15" t="n">
        <x:v>106</x:v>
      </x:c>
      <x:c r="E835" s="11" t="str">
        <x:v>28</x:v>
      </x:c>
      <x:c r="F835" s="11" t="str">
        <x:v>דלק</x:v>
      </x:c>
      <x:c r="G835" s="17" t="n">
        <x:v>247</x:v>
      </x:c>
      <x:c r="H835" s="18" t="str">
        <x:v>תחבורה</x:v>
      </x:c>
      <x:c r="I835" s="19" t="str">
        <x:f>IFERROR(INDEX('מיפוי ומקורות'!$C$7:$C$33,MATCH(H835,'מיפוי ומקורות'!$B$7:$B$33,0)),"לא מסווג")</x:f>
        <x:v>תחבורה</x:v>
      </x:c>
      <x:c r="J835" s="19" t="str">
        <x:f>IFERROR(INDEX('מיפוי ומקורות'!$D$7:$D$33,MATCH(H835,'מיפוי ומקורות'!$B$7:$B$33,0)),"שוטף")</x:f>
        <x:v>שוטף</x:v>
      </x:c>
      <x:c r="K835" s="19" t="str">
        <x:f>IF(OR(H835="ריביות",AND(H835="דירה כצנלסון",G835&lt;0,ISNUMBER(SEARCH("הכנסה",F835)))),"הכנסה שסווגה מחדש",J835)</x:f>
        <x:v>שוטף</x:v>
      </x:c>
      <x:c r="L835" s="19" t="str">
        <x:v>מאושר</x:v>
      </x:c>
      <x:c r="M835" s="20" t="n">
        <x:f>IF(L835="מאושר",IF(K835="הכנסה שסווגה מחדש",0,G835),0)</x:f>
        <x:v>247</x:v>
      </x:c>
      <x:c r="N835" s="20" t="n">
        <x:f>IF(K835="שוטף",M835,0)</x:f>
        <x:v>247</x:v>
      </x:c>
      <x:c r="O835" s="20" t="n">
        <x:f>IF(K835="הכנסה שסווגה מחדש",-G835,0)</x:f>
        <x:v>0</x:v>
      </x:c>
      <x:c r="P835" s="11" t="str">
        <x:v>אמקס זיו</x:v>
      </x:c>
      <x:c r="Q835" s="11" t="str"/>
      <x:c r="R835" s="11" t="str">
        <x:v>לא</x:v>
      </x:c>
    </x:row>
    <x:row r="836">
      <x:c r="A836" s="14" t="n">
        <x:v>45870</x:v>
      </x:c>
      <x:c r="B836" s="11" t="str">
        <x:v>2025-08</x:v>
      </x:c>
      <x:c r="C836" s="11" t="str">
        <x:v>אוגוסט 25</x:v>
      </x:c>
      <x:c r="D836" s="15" t="n">
        <x:v>107</x:v>
      </x:c>
      <x:c r="E836" s="11" t="str">
        <x:v>27</x:v>
      </x:c>
      <x:c r="F836" s="11" t="str">
        <x:v>עמלת קנייה ני"ע</x:v>
      </x:c>
      <x:c r="G836" s="17" t="n">
        <x:v>23</x:v>
      </x:c>
      <x:c r="H836" s="18" t="str">
        <x:v>עמלות</x:v>
      </x:c>
      <x:c r="I836" s="19" t="str">
        <x:f>IFERROR(INDEX('מיפוי ומקורות'!$C$7:$C$33,MATCH(H836,'מיפוי ומקורות'!$B$7:$B$33,0)),"לא מסווג")</x:f>
        <x:v>עמלות</x:v>
      </x:c>
      <x:c r="J836" s="19" t="str">
        <x:f>IFERROR(INDEX('מיפוי ומקורות'!$D$7:$D$33,MATCH(H836,'מיפוי ומקורות'!$B$7:$B$33,0)),"שוטף")</x:f>
        <x:v>שוטף</x:v>
      </x:c>
      <x:c r="K836" s="19" t="str">
        <x:f>IF(OR(H836="ריביות",AND(H836="דירה כצנלסון",G836&lt;0,ISNUMBER(SEARCH("הכנסה",F836)))),"הכנסה שסווגה מחדש",J836)</x:f>
        <x:v>שוטף</x:v>
      </x:c>
      <x:c r="L836" s="19" t="str">
        <x:v>מאושר</x:v>
      </x:c>
      <x:c r="M836" s="20" t="n">
        <x:f>IF(L836="מאושר",IF(K836="הכנסה שסווגה מחדש",0,G836),0)</x:f>
        <x:v>23</x:v>
      </x:c>
      <x:c r="N836" s="20" t="n">
        <x:f>IF(K836="שוטף",M836,0)</x:f>
        <x:v>23</x:v>
      </x:c>
      <x:c r="O836" s="20" t="n">
        <x:f>IF(K836="הכנסה שסווגה מחדש",-G836,0)</x:f>
        <x:v>0</x:v>
      </x:c>
      <x:c r="P836" s="11" t="str">
        <x:v>דיסקונט</x:v>
      </x:c>
      <x:c r="Q836" s="11" t="str"/>
      <x:c r="R836" s="11" t="str">
        <x:v>לא</x:v>
      </x:c>
    </x:row>
    <x:row r="837">
      <x:c r="A837" s="14" t="n">
        <x:v>45870</x:v>
      </x:c>
      <x:c r="B837" s="11" t="str">
        <x:v>2025-08</x:v>
      </x:c>
      <x:c r="C837" s="11" t="str">
        <x:v>אוגוסט 25</x:v>
      </x:c>
      <x:c r="D837" s="15" t="n">
        <x:v>108</x:v>
      </x:c>
      <x:c r="E837" s="11" t="str">
        <x:v>28</x:v>
      </x:c>
      <x:c r="F837" s="11" t="str">
        <x:v>עמלת קנייה ני"ע</x:v>
      </x:c>
      <x:c r="G837" s="17" t="n">
        <x:v>23</x:v>
      </x:c>
      <x:c r="H837" s="18" t="str">
        <x:v>עמלות</x:v>
      </x:c>
      <x:c r="I837" s="19" t="str">
        <x:f>IFERROR(INDEX('מיפוי ומקורות'!$C$7:$C$33,MATCH(H837,'מיפוי ומקורות'!$B$7:$B$33,0)),"לא מסווג")</x:f>
        <x:v>עמלות</x:v>
      </x:c>
      <x:c r="J837" s="19" t="str">
        <x:f>IFERROR(INDEX('מיפוי ומקורות'!$D$7:$D$33,MATCH(H837,'מיפוי ומקורות'!$B$7:$B$33,0)),"שוטף")</x:f>
        <x:v>שוטף</x:v>
      </x:c>
      <x:c r="K837" s="19" t="str">
        <x:f>IF(OR(H837="ריביות",AND(H837="דירה כצנלסון",G837&lt;0,ISNUMBER(SEARCH("הכנסה",F837)))),"הכנסה שסווגה מחדש",J837)</x:f>
        <x:v>שוטף</x:v>
      </x:c>
      <x:c r="L837" s="19" t="str">
        <x:v>מאושר</x:v>
      </x:c>
      <x:c r="M837" s="20" t="n">
        <x:f>IF(L837="מאושר",IF(K837="הכנסה שסווגה מחדש",0,G837),0)</x:f>
        <x:v>23</x:v>
      </x:c>
      <x:c r="N837" s="20" t="n">
        <x:f>IF(K837="שוטף",M837,0)</x:f>
        <x:v>23</x:v>
      </x:c>
      <x:c r="O837" s="20" t="n">
        <x:f>IF(K837="הכנסה שסווגה מחדש",-G837,0)</x:f>
        <x:v>0</x:v>
      </x:c>
      <x:c r="P837" s="11" t="str">
        <x:v>דיסקונט</x:v>
      </x:c>
      <x:c r="Q837" s="11" t="str"/>
      <x:c r="R837" s="11" t="str">
        <x:v>לא</x:v>
      </x:c>
    </x:row>
    <x:row r="838">
      <x:c r="A838" s="14" t="n">
        <x:v>45870</x:v>
      </x:c>
      <x:c r="B838" s="11" t="str">
        <x:v>2025-08</x:v>
      </x:c>
      <x:c r="C838" s="11" t="str">
        <x:v>אוגוסט 25</x:v>
      </x:c>
      <x:c r="D838" s="15" t="n">
        <x:v>109</x:v>
      </x:c>
      <x:c r="E838" s="11" t="str">
        <x:v>26</x:v>
      </x:c>
      <x:c r="F838" s="11" t="str">
        <x:v>סרט</x:v>
      </x:c>
      <x:c r="G838" s="17" t="n">
        <x:v>45</x:v>
      </x:c>
      <x:c r="H838" s="18" t="str">
        <x:v>פנאי</x:v>
      </x:c>
      <x:c r="I838" s="19" t="str">
        <x:f>IFERROR(INDEX('מיפוי ומקורות'!$C$7:$C$33,MATCH(H838,'מיפוי ומקורות'!$B$7:$B$33,0)),"לא מסווג")</x:f>
        <x:v>פנאי</x:v>
      </x:c>
      <x:c r="J838" s="19" t="str">
        <x:f>IFERROR(INDEX('מיפוי ומקורות'!$D$7:$D$33,MATCH(H838,'מיפוי ומקורות'!$B$7:$B$33,0)),"שוטף")</x:f>
        <x:v>שוטף</x:v>
      </x:c>
      <x:c r="K838" s="19" t="str">
        <x:f>IF(OR(H838="ריביות",AND(H838="דירה כצנלסון",G838&lt;0,ISNUMBER(SEARCH("הכנסה",F838)))),"הכנסה שסווגה מחדש",J838)</x:f>
        <x:v>שוטף</x:v>
      </x:c>
      <x:c r="L838" s="19" t="str">
        <x:v>מאושר</x:v>
      </x:c>
      <x:c r="M838" s="20" t="n">
        <x:f>IF(L838="מאושר",IF(K838="הכנסה שסווגה מחדש",0,G838),0)</x:f>
        <x:v>45</x:v>
      </x:c>
      <x:c r="N838" s="20" t="n">
        <x:f>IF(K838="שוטף",M838,0)</x:f>
        <x:v>45</x:v>
      </x:c>
      <x:c r="O838" s="20" t="n">
        <x:f>IF(K838="הכנסה שסווגה מחדש",-G838,0)</x:f>
        <x:v>0</x:v>
      </x:c>
      <x:c r="P838" s="11" t="str">
        <x:v>הייטק זון זיו</x:v>
      </x:c>
      <x:c r="Q838" s="11" t="str"/>
      <x:c r="R838" s="11" t="str">
        <x:v>לא</x:v>
      </x:c>
    </x:row>
    <x:row r="839">
      <x:c r="A839" s="14" t="n">
        <x:v>45870</x:v>
      </x:c>
      <x:c r="B839" s="11" t="str">
        <x:v>2025-08</x:v>
      </x:c>
      <x:c r="C839" s="11" t="str">
        <x:v>אוגוסט 25</x:v>
      </x:c>
      <x:c r="D839" s="15" t="n">
        <x:v>110</x:v>
      </x:c>
      <x:c r="E839" s="11" t="str"/>
      <x:c r="F839" s="11" t="str">
        <x:v>ריבית מחיסון</x:v>
      </x:c>
      <x:c r="G839" s="17" t="n">
        <x:v>-216</x:v>
      </x:c>
      <x:c r="H839" s="18" t="str">
        <x:v>ריביות</x:v>
      </x:c>
      <x:c r="I839" s="19" t="str">
        <x:f>IFERROR(INDEX('מיפוי ומקורות'!$C$7:$C$33,MATCH(H839,'מיפוי ומקורות'!$B$7:$B$33,0)),"לא מסווג")</x:f>
        <x:v>זרם פיננסי</x:v>
      </x:c>
      <x:c r="J839" s="19" t="str">
        <x:f>IFERROR(INDEX('מיפוי ומקורות'!$D$7:$D$33,MATCH(H839,'מיפוי ומקורות'!$B$7:$B$33,0)),"שוטף")</x:f>
        <x:v>הכנסה שסווגה מחדש</x:v>
      </x:c>
      <x:c r="K839" s="19" t="str">
        <x:f>IF(OR(H839="ריביות",AND(H839="דירה כצנלסון",G839&lt;0,ISNUMBER(SEARCH("הכנסה",F839)))),"הכנסה שסווגה מחדש",J839)</x:f>
        <x:v>הכנסה שסווגה מחדש</x:v>
      </x:c>
      <x:c r="L839" s="19" t="str">
        <x:v>מאושר</x:v>
      </x:c>
      <x:c r="M839" s="20" t="n">
        <x:f>IF(L839="מאושר",IF(K839="הכנסה שסווגה מחדש",0,G839),0)</x:f>
        <x:v>0</x:v>
      </x:c>
      <x:c r="N839" s="20" t="n">
        <x:f>IF(K839="שוטף",M839,0)</x:f>
        <x:v>0</x:v>
      </x:c>
      <x:c r="O839" s="20" t="n">
        <x:f>IF(K839="הכנסה שסווגה מחדש",-G839,0)</x:f>
        <x:v>216</x:v>
      </x:c>
      <x:c r="P839" s="11" t="str">
        <x:v>one zero</x:v>
      </x:c>
      <x:c r="Q839" s="11" t="str"/>
      <x:c r="R839" s="11" t="str">
        <x:v>לא</x:v>
      </x:c>
    </x:row>
    <x:row r="840">
      <x:c r="A840" s="14" t="n">
        <x:v>45901</x:v>
      </x:c>
      <x:c r="B840" s="11" t="str">
        <x:v>2025-09</x:v>
      </x:c>
      <x:c r="C840" s="11" t="str">
        <x:v>ספטמבר 25</x:v>
      </x:c>
      <x:c r="D840" s="15" t="n">
        <x:v>2</x:v>
      </x:c>
      <x:c r="E840" s="11" t="str">
        <x:v>14</x:v>
      </x:c>
      <x:c r="F840" s="11" t="str">
        <x:v>שכר דירה</x:v>
      </x:c>
      <x:c r="G840" s="17" t="n">
        <x:v>8000</x:v>
      </x:c>
      <x:c r="H840" s="18" t="str">
        <x:v>מגורים חודשי</x:v>
      </x:c>
      <x:c r="I840" s="19" t="str">
        <x:f>IFERROR(INDEX('מיפוי ומקורות'!$C$7:$C$33,MATCH(H840,'מיפוי ומקורות'!$B$7:$B$33,0)),"לא מסווג")</x:f>
        <x:v>דיור – בית מגורים</x:v>
      </x:c>
      <x:c r="J840" s="19" t="str">
        <x:f>IFERROR(INDEX('מיפוי ומקורות'!$D$7:$D$33,MATCH(H840,'מיפוי ומקורות'!$B$7:$B$33,0)),"שוטף")</x:f>
        <x:v>שוטף</x:v>
      </x:c>
      <x:c r="K840" s="19" t="str">
        <x:f>IF(OR(H840="ריביות",AND(H840="דירה כצנלסון",G840&lt;0,ISNUMBER(SEARCH("הכנסה",F840)))),"הכנסה שסווגה מחדש",J840)</x:f>
        <x:v>שוטף</x:v>
      </x:c>
      <x:c r="L840" s="19" t="str">
        <x:v>מאושר</x:v>
      </x:c>
      <x:c r="M840" s="20" t="n">
        <x:f>IF(L840="מאושר",IF(K840="הכנסה שסווגה מחדש",0,G840),0)</x:f>
        <x:v>8000</x:v>
      </x:c>
      <x:c r="N840" s="20" t="n">
        <x:f>IF(K840="שוטף",M840,0)</x:f>
        <x:v>8000</x:v>
      </x:c>
      <x:c r="O840" s="20" t="n">
        <x:f>IF(K840="הכנסה שסווגה מחדש",-G840,0)</x:f>
        <x:v>0</x:v>
      </x:c>
      <x:c r="P840" s="11" t="str">
        <x:v>דיסקונט</x:v>
      </x:c>
      <x:c r="Q840" s="11" t="str"/>
      <x:c r="R840" s="11" t="str">
        <x:v>לא</x:v>
      </x:c>
    </x:row>
    <x:row r="841">
      <x:c r="A841" s="14" t="n">
        <x:v>45901</x:v>
      </x:c>
      <x:c r="B841" s="11" t="str">
        <x:v>2025-09</x:v>
      </x:c>
      <x:c r="C841" s="11" t="str">
        <x:v>ספטמבר 25</x:v>
      </x:c>
      <x:c r="D841" s="15" t="n">
        <x:v>3</x:v>
      </x:c>
      <x:c r="E841" s="11" t="str">
        <x:v>10</x:v>
      </x:c>
      <x:c r="F841" s="11" t="str">
        <x:v>משכנתא</x:v>
      </x:c>
      <x:c r="G841" s="17" t="n">
        <x:v>6142</x:v>
      </x:c>
      <x:c r="H841" s="18" t="str">
        <x:v>דירה כצנלסון</x:v>
      </x:c>
      <x:c r="I841" s="19" t="str">
        <x:f>IFERROR(INDEX('מיפוי ומקורות'!$C$7:$C$33,MATCH(H841,'מיפוי ומקורות'!$B$7:$B$33,0)),"לא מסווג")</x:f>
        <x:v>נכס להשקעה</x:v>
      </x:c>
      <x:c r="J841" s="19" t="str">
        <x:f>IFERROR(INDEX('מיפוי ומקורות'!$D$7:$D$33,MATCH(H841,'מיפוי ומקורות'!$B$7:$B$33,0)),"שוטף")</x:f>
        <x:v>חריג/נכס</x:v>
      </x:c>
      <x:c r="K841" s="19" t="str">
        <x:f>IF(OR(H841="ריביות",AND(H841="דירה כצנלסון",G841&lt;0,ISNUMBER(SEARCH("הכנסה",F841)))),"הכנסה שסווגה מחדש",J841)</x:f>
        <x:v>חריג/נכס</x:v>
      </x:c>
      <x:c r="L841" s="19" t="str">
        <x:v>מאושר</x:v>
      </x:c>
      <x:c r="M841" s="20" t="n">
        <x:f>IF(L841="מאושר",IF(K841="הכנסה שסווגה מחדש",0,G841),0)</x:f>
        <x:v>6142</x:v>
      </x:c>
      <x:c r="N841" s="20" t="n">
        <x:f>IF(K841="שוטף",M841,0)</x:f>
        <x:v>0</x:v>
      </x:c>
      <x:c r="O841" s="20" t="n">
        <x:f>IF(K841="הכנסה שסווגה מחדש",-G841,0)</x:f>
        <x:v>0</x:v>
      </x:c>
      <x:c r="P841" s="11" t="str">
        <x:v>דיסקונט</x:v>
      </x:c>
      <x:c r="Q841" s="11" t="str"/>
      <x:c r="R841" s="11" t="str">
        <x:v>לא</x:v>
      </x:c>
    </x:row>
    <x:row r="842">
      <x:c r="A842" s="14" t="n">
        <x:v>45901</x:v>
      </x:c>
      <x:c r="B842" s="11" t="str">
        <x:v>2025-09</x:v>
      </x:c>
      <x:c r="C842" s="11" t="str">
        <x:v>ספטמבר 25</x:v>
      </x:c>
      <x:c r="D842" s="15" t="n">
        <x:v>4</x:v>
      </x:c>
      <x:c r="E842" s="11" t="str"/>
      <x:c r="F842" s="11" t="str">
        <x:v>הכנסה משכר דירה</x:v>
      </x:c>
      <x:c r="G842" s="17" t="n">
        <x:v>-6500</x:v>
      </x:c>
      <x:c r="H842" s="18" t="str">
        <x:v>דירה כצנלסון</x:v>
      </x:c>
      <x:c r="I842" s="19" t="str">
        <x:f>IFERROR(INDEX('מיפוי ומקורות'!$C$7:$C$33,MATCH(H842,'מיפוי ומקורות'!$B$7:$B$33,0)),"לא מסווג")</x:f>
        <x:v>נכס להשקעה</x:v>
      </x:c>
      <x:c r="J842" s="19" t="str">
        <x:f>IFERROR(INDEX('מיפוי ומקורות'!$D$7:$D$33,MATCH(H842,'מיפוי ומקורות'!$B$7:$B$33,0)),"שוטף")</x:f>
        <x:v>חריג/נכס</x:v>
      </x:c>
      <x:c r="K842" s="19" t="str">
        <x:f>IF(OR(H842="ריביות",AND(H842="דירה כצנלסון",G842&lt;0,ISNUMBER(SEARCH("הכנסה",F842)))),"הכנסה שסווגה מחדש",J842)</x:f>
        <x:v>הכנסה שסווגה מחדש</x:v>
      </x:c>
      <x:c r="L842" s="19" t="str">
        <x:v>מאושר</x:v>
      </x:c>
      <x:c r="M842" s="20" t="n">
        <x:f>IF(L842="מאושר",IF(K842="הכנסה שסווגה מחדש",0,G842),0)</x:f>
        <x:v>0</x:v>
      </x:c>
      <x:c r="N842" s="20" t="n">
        <x:f>IF(K842="שוטף",M842,0)</x:f>
        <x:v>0</x:v>
      </x:c>
      <x:c r="O842" s="20" t="n">
        <x:f>IF(K842="הכנסה שסווגה מחדש",-G842,0)</x:f>
        <x:v>6500</x:v>
      </x:c>
      <x:c r="P842" s="11" t="str">
        <x:v>one zero</x:v>
      </x:c>
      <x:c r="Q842" s="11" t="str"/>
      <x:c r="R842" s="11" t="str">
        <x:v>לא</x:v>
      </x:c>
    </x:row>
    <x:row r="843">
      <x:c r="A843" s="14" t="n">
        <x:v>45901</x:v>
      </x:c>
      <x:c r="B843" s="11" t="str">
        <x:v>2025-09</x:v>
      </x:c>
      <x:c r="C843" s="11" t="str">
        <x:v>ספטמבר 25</x:v>
      </x:c>
      <x:c r="D843" s="15" t="n">
        <x:v>5</x:v>
      </x:c>
      <x:c r="E843" s="11" t="str"/>
      <x:c r="F843" s="11" t="str">
        <x:v>ארנונה</x:v>
      </x:c>
      <x:c r="G843" s="17" t="n">
        <x:v>0</x:v>
      </x:c>
      <x:c r="H843" s="18" t="str">
        <x:v>מגורים צריכה</x:v>
      </x:c>
      <x:c r="I843" s="19" t="str">
        <x:f>IFERROR(INDEX('מיפוי ומקורות'!$C$7:$C$33,MATCH(H843,'מיפוי ומקורות'!$B$7:$B$33,0)),"לא מסווג")</x:f>
        <x:v>דיור – בית מגורים</x:v>
      </x:c>
      <x:c r="J843" s="19" t="str">
        <x:f>IFERROR(INDEX('מיפוי ומקורות'!$D$7:$D$33,MATCH(H843,'מיפוי ומקורות'!$B$7:$B$33,0)),"שוטף")</x:f>
        <x:v>שוטף</x:v>
      </x:c>
      <x:c r="K843" s="19" t="str">
        <x:f>IF(OR(H843="ריביות",AND(H843="דירה כצנלסון",G843&lt;0,ISNUMBER(SEARCH("הכנסה",F843)))),"הכנסה שסווגה מחדש",J843)</x:f>
        <x:v>שוטף</x:v>
      </x:c>
      <x:c r="L843" s="19" t="str">
        <x:v>מאושר</x:v>
      </x:c>
      <x:c r="M843" s="20" t="n">
        <x:f>IF(L843="מאושר",IF(K843="הכנסה שסווגה מחדש",0,G843),0)</x:f>
        <x:v>0</x:v>
      </x:c>
      <x:c r="N843" s="20" t="n">
        <x:f>IF(K843="שוטף",M843,0)</x:f>
        <x:v>0</x:v>
      </x:c>
      <x:c r="O843" s="20" t="n">
        <x:f>IF(K843="הכנסה שסווגה מחדש",-G843,0)</x:f>
        <x:v>0</x:v>
      </x:c>
      <x:c r="P843" s="11" t="str"/>
      <x:c r="Q843" s="11" t="str"/>
      <x:c r="R843" s="11" t="str">
        <x:v>לא</x:v>
      </x:c>
    </x:row>
    <x:row r="844">
      <x:c r="A844" s="14" t="n">
        <x:v>45901</x:v>
      </x:c>
      <x:c r="B844" s="11" t="str">
        <x:v>2025-09</x:v>
      </x:c>
      <x:c r="C844" s="11" t="str">
        <x:v>ספטמבר 25</x:v>
      </x:c>
      <x:c r="D844" s="15" t="n">
        <x:v>6</x:v>
      </x:c>
      <x:c r="E844" s="11" t="str">
        <x:v>2</x:v>
      </x:c>
      <x:c r="F844" s="11" t="str">
        <x:v>חשמל</x:v>
      </x:c>
      <x:c r="G844" s="17" t="n">
        <x:v>381</x:v>
      </x:c>
      <x:c r="H844" s="18" t="str">
        <x:v>מגורים צריכה</x:v>
      </x:c>
      <x:c r="I844" s="19" t="str">
        <x:f>IFERROR(INDEX('מיפוי ומקורות'!$C$7:$C$33,MATCH(H844,'מיפוי ומקורות'!$B$7:$B$33,0)),"לא מסווג")</x:f>
        <x:v>דיור – בית מגורים</x:v>
      </x:c>
      <x:c r="J844" s="19" t="str">
        <x:f>IFERROR(INDEX('מיפוי ומקורות'!$D$7:$D$33,MATCH(H844,'מיפוי ומקורות'!$B$7:$B$33,0)),"שוטף")</x:f>
        <x:v>שוטף</x:v>
      </x:c>
      <x:c r="K844" s="19" t="str">
        <x:f>IF(OR(H844="ריביות",AND(H844="דירה כצנלסון",G844&lt;0,ISNUMBER(SEARCH("הכנסה",F844)))),"הכנסה שסווגה מחדש",J844)</x:f>
        <x:v>שוטף</x:v>
      </x:c>
      <x:c r="L844" s="19" t="str">
        <x:v>מאושר</x:v>
      </x:c>
      <x:c r="M844" s="20" t="n">
        <x:f>IF(L844="מאושר",IF(K844="הכנסה שסווגה מחדש",0,G844),0)</x:f>
        <x:v>381</x:v>
      </x:c>
      <x:c r="N844" s="20" t="n">
        <x:f>IF(K844="שוטף",M844,0)</x:f>
        <x:v>381</x:v>
      </x:c>
      <x:c r="O844" s="20" t="n">
        <x:f>IF(K844="הכנסה שסווגה מחדש",-G844,0)</x:f>
        <x:v>0</x:v>
      </x:c>
      <x:c r="P844" s="11" t="str">
        <x:v>אמקס זיו</x:v>
      </x:c>
      <x:c r="Q844" s="11" t="str"/>
      <x:c r="R844" s="11" t="str">
        <x:v>לא</x:v>
      </x:c>
    </x:row>
    <x:row r="845">
      <x:c r="A845" s="14" t="n">
        <x:v>45901</x:v>
      </x:c>
      <x:c r="B845" s="11" t="str">
        <x:v>2025-09</x:v>
      </x:c>
      <x:c r="C845" s="11" t="str">
        <x:v>ספטמבר 25</x:v>
      </x:c>
      <x:c r="D845" s="15" t="n">
        <x:v>7</x:v>
      </x:c>
      <x:c r="E845" s="11" t="str">
        <x:v>2</x:v>
      </x:c>
      <x:c r="F845" s="11" t="str">
        <x:v>מים</x:v>
      </x:c>
      <x:c r="G845" s="17" t="n">
        <x:v>119</x:v>
      </x:c>
      <x:c r="H845" s="18" t="str">
        <x:v>מגורים צריכה</x:v>
      </x:c>
      <x:c r="I845" s="19" t="str">
        <x:f>IFERROR(INDEX('מיפוי ומקורות'!$C$7:$C$33,MATCH(H845,'מיפוי ומקורות'!$B$7:$B$33,0)),"לא מסווג")</x:f>
        <x:v>דיור – בית מגורים</x:v>
      </x:c>
      <x:c r="J845" s="19" t="str">
        <x:f>IFERROR(INDEX('מיפוי ומקורות'!$D$7:$D$33,MATCH(H845,'מיפוי ומקורות'!$B$7:$B$33,0)),"שוטף")</x:f>
        <x:v>שוטף</x:v>
      </x:c>
      <x:c r="K845" s="19" t="str">
        <x:f>IF(OR(H845="ריביות",AND(H845="דירה כצנלסון",G845&lt;0,ISNUMBER(SEARCH("הכנסה",F845)))),"הכנסה שסווגה מחדש",J845)</x:f>
        <x:v>שוטף</x:v>
      </x:c>
      <x:c r="L845" s="19" t="str">
        <x:v>מאושר</x:v>
      </x:c>
      <x:c r="M845" s="20" t="n">
        <x:f>IF(L845="מאושר",IF(K845="הכנסה שסווגה מחדש",0,G845),0)</x:f>
        <x:v>119</x:v>
      </x:c>
      <x:c r="N845" s="20" t="n">
        <x:f>IF(K845="שוטף",M845,0)</x:f>
        <x:v>119</x:v>
      </x:c>
      <x:c r="O845" s="20" t="n">
        <x:f>IF(K845="הכנסה שסווגה מחדש",-G845,0)</x:f>
        <x:v>0</x:v>
      </x:c>
      <x:c r="P845" s="11" t="str">
        <x:v>מקס עינור</x:v>
      </x:c>
      <x:c r="Q845" s="11" t="str"/>
      <x:c r="R845" s="11" t="str">
        <x:v>לא</x:v>
      </x:c>
    </x:row>
    <x:row r="846">
      <x:c r="A846" s="14" t="n">
        <x:v>45901</x:v>
      </x:c>
      <x:c r="B846" s="11" t="str">
        <x:v>2025-09</x:v>
      </x:c>
      <x:c r="C846" s="11" t="str">
        <x:v>ספטמבר 25</x:v>
      </x:c>
      <x:c r="D846" s="15" t="n">
        <x:v>8</x:v>
      </x:c>
      <x:c r="E846" s="11" t="str"/>
      <x:c r="F846" s="11" t="str">
        <x:v>ועד בית</x:v>
      </x:c>
      <x:c r="G846" s="17" t="n">
        <x:v>0</x:v>
      </x:c>
      <x:c r="H846" s="18" t="str">
        <x:v>מגורים צריכה</x:v>
      </x:c>
      <x:c r="I846" s="19" t="str">
        <x:f>IFERROR(INDEX('מיפוי ומקורות'!$C$7:$C$33,MATCH(H846,'מיפוי ומקורות'!$B$7:$B$33,0)),"לא מסווג")</x:f>
        <x:v>דיור – בית מגורים</x:v>
      </x:c>
      <x:c r="J846" s="19" t="str">
        <x:f>IFERROR(INDEX('מיפוי ומקורות'!$D$7:$D$33,MATCH(H846,'מיפוי ומקורות'!$B$7:$B$33,0)),"שוטף")</x:f>
        <x:v>שוטף</x:v>
      </x:c>
      <x:c r="K846" s="19" t="str">
        <x:f>IF(OR(H846="ריביות",AND(H846="דירה כצנלסון",G846&lt;0,ISNUMBER(SEARCH("הכנסה",F846)))),"הכנסה שסווגה מחדש",J846)</x:f>
        <x:v>שוטף</x:v>
      </x:c>
      <x:c r="L846" s="19" t="str">
        <x:v>מאושר</x:v>
      </x:c>
      <x:c r="M846" s="20" t="n">
        <x:f>IF(L846="מאושר",IF(K846="הכנסה שסווגה מחדש",0,G846),0)</x:f>
        <x:v>0</x:v>
      </x:c>
      <x:c r="N846" s="20" t="n">
        <x:f>IF(K846="שוטף",M846,0)</x:f>
        <x:v>0</x:v>
      </x:c>
      <x:c r="O846" s="20" t="n">
        <x:f>IF(K846="הכנסה שסווגה מחדש",-G846,0)</x:f>
        <x:v>0</x:v>
      </x:c>
      <x:c r="P846" s="11" t="str"/>
      <x:c r="Q846" s="11" t="str"/>
      <x:c r="R846" s="11" t="str">
        <x:v>לא</x:v>
      </x:c>
    </x:row>
    <x:row r="847">
      <x:c r="A847" s="14" t="n">
        <x:v>45901</x:v>
      </x:c>
      <x:c r="B847" s="11" t="str">
        <x:v>2025-09</x:v>
      </x:c>
      <x:c r="C847" s="11" t="str">
        <x:v>ספטמבר 25</x:v>
      </x:c>
      <x:c r="D847" s="15" t="n">
        <x:v>9</x:v>
      </x:c>
      <x:c r="E847" s="11" t="str">
        <x:v>6</x:v>
      </x:c>
      <x:c r="F847" s="11" t="str">
        <x:v>גז</x:v>
      </x:c>
      <x:c r="G847" s="17" t="n">
        <x:v>37</x:v>
      </x:c>
      <x:c r="H847" s="18" t="str">
        <x:v>מגורים צריכה</x:v>
      </x:c>
      <x:c r="I847" s="19" t="str">
        <x:f>IFERROR(INDEX('מיפוי ומקורות'!$C$7:$C$33,MATCH(H847,'מיפוי ומקורות'!$B$7:$B$33,0)),"לא מסווג")</x:f>
        <x:v>דיור – בית מגורים</x:v>
      </x:c>
      <x:c r="J847" s="19" t="str">
        <x:f>IFERROR(INDEX('מיפוי ומקורות'!$D$7:$D$33,MATCH(H847,'מיפוי ומקורות'!$B$7:$B$33,0)),"שוטף")</x:f>
        <x:v>שוטף</x:v>
      </x:c>
      <x:c r="K847" s="19" t="str">
        <x:f>IF(OR(H847="ריביות",AND(H847="דירה כצנלסון",G847&lt;0,ISNUMBER(SEARCH("הכנסה",F847)))),"הכנסה שסווגה מחדש",J847)</x:f>
        <x:v>שוטף</x:v>
      </x:c>
      <x:c r="L847" s="19" t="str">
        <x:v>מאושר</x:v>
      </x:c>
      <x:c r="M847" s="20" t="n">
        <x:f>IF(L847="מאושר",IF(K847="הכנסה שסווגה מחדש",0,G847),0)</x:f>
        <x:v>37</x:v>
      </x:c>
      <x:c r="N847" s="20" t="n">
        <x:f>IF(K847="שוטף",M847,0)</x:f>
        <x:v>37</x:v>
      </x:c>
      <x:c r="O847" s="20" t="n">
        <x:f>IF(K847="הכנסה שסווגה מחדש",-G847,0)</x:f>
        <x:v>0</x:v>
      </x:c>
      <x:c r="P847" s="11" t="str">
        <x:v>אמקס זיו</x:v>
      </x:c>
      <x:c r="Q847" s="11" t="str"/>
      <x:c r="R847" s="11" t="str">
        <x:v>לא</x:v>
      </x:c>
    </x:row>
    <x:row r="848">
      <x:c r="A848" s="14" t="n">
        <x:v>45901</x:v>
      </x:c>
      <x:c r="B848" s="11" t="str">
        <x:v>2025-09</x:v>
      </x:c>
      <x:c r="C848" s="11" t="str">
        <x:v>ספטמבר 25</x:v>
      </x:c>
      <x:c r="D848" s="15" t="n">
        <x:v>10</x:v>
      </x:c>
      <x:c r="E848" s="11" t="str"/>
      <x:c r="F848" s="11" t="str">
        <x:v>מנקה</x:v>
      </x:c>
      <x:c r="G848" s="17" t="n">
        <x:v>400</x:v>
      </x:c>
      <x:c r="H848" s="18" t="str">
        <x:v>מגורים צריכה</x:v>
      </x:c>
      <x:c r="I848" s="19" t="str">
        <x:f>IFERROR(INDEX('מיפוי ומקורות'!$C$7:$C$33,MATCH(H848,'מיפוי ומקורות'!$B$7:$B$33,0)),"לא מסווג")</x:f>
        <x:v>דיור – בית מגורים</x:v>
      </x:c>
      <x:c r="J848" s="19" t="str">
        <x:f>IFERROR(INDEX('מיפוי ומקורות'!$D$7:$D$33,MATCH(H848,'מיפוי ומקורות'!$B$7:$B$33,0)),"שוטף")</x:f>
        <x:v>שוטף</x:v>
      </x:c>
      <x:c r="K848" s="19" t="str">
        <x:f>IF(OR(H848="ריביות",AND(H848="דירה כצנלסון",G848&lt;0,ISNUMBER(SEARCH("הכנסה",F848)))),"הכנסה שסווגה מחדש",J848)</x:f>
        <x:v>שוטף</x:v>
      </x:c>
      <x:c r="L848" s="19" t="str">
        <x:v>מאושר</x:v>
      </x:c>
      <x:c r="M848" s="20" t="n">
        <x:f>IF(L848="מאושר",IF(K848="הכנסה שסווגה מחדש",0,G848),0)</x:f>
        <x:v>400</x:v>
      </x:c>
      <x:c r="N848" s="20" t="n">
        <x:f>IF(K848="שוטף",M848,0)</x:f>
        <x:v>400</x:v>
      </x:c>
      <x:c r="O848" s="20" t="n">
        <x:f>IF(K848="הכנסה שסווגה מחדש",-G848,0)</x:f>
        <x:v>0</x:v>
      </x:c>
      <x:c r="P848" s="11" t="str">
        <x:v>מזומן</x:v>
      </x:c>
      <x:c r="Q848" s="11" t="str"/>
      <x:c r="R848" s="11" t="str">
        <x:v>לא</x:v>
      </x:c>
    </x:row>
    <x:row r="849">
      <x:c r="A849" s="14" t="n">
        <x:v>45901</x:v>
      </x:c>
      <x:c r="B849" s="11" t="str">
        <x:v>2025-09</x:v>
      </x:c>
      <x:c r="C849" s="11" t="str">
        <x:v>ספטמבר 25</x:v>
      </x:c>
      <x:c r="D849" s="15" t="n">
        <x:v>11</x:v>
      </x:c>
      <x:c r="E849" s="11" t="str"/>
      <x:c r="F849" s="11" t="str">
        <x:v>אינטרנט</x:v>
      </x:c>
      <x:c r="G849" s="17" t="n">
        <x:v>79</x:v>
      </x:c>
      <x:c r="H849" s="18" t="str">
        <x:v>מגורים חודשי</x:v>
      </x:c>
      <x:c r="I849" s="19" t="str">
        <x:f>IFERROR(INDEX('מיפוי ומקורות'!$C$7:$C$33,MATCH(H849,'מיפוי ומקורות'!$B$7:$B$33,0)),"לא מסווג")</x:f>
        <x:v>דיור – בית מגורים</x:v>
      </x:c>
      <x:c r="J849" s="19" t="str">
        <x:f>IFERROR(INDEX('מיפוי ומקורות'!$D$7:$D$33,MATCH(H849,'מיפוי ומקורות'!$B$7:$B$33,0)),"שוטף")</x:f>
        <x:v>שוטף</x:v>
      </x:c>
      <x:c r="K849" s="19" t="str">
        <x:f>IF(OR(H849="ריביות",AND(H849="דירה כצנלסון",G849&lt;0,ISNUMBER(SEARCH("הכנסה",F849)))),"הכנסה שסווגה מחדש",J849)</x:f>
        <x:v>שוטף</x:v>
      </x:c>
      <x:c r="L849" s="19" t="str">
        <x:v>מאושר</x:v>
      </x:c>
      <x:c r="M849" s="20" t="n">
        <x:f>IF(L849="מאושר",IF(K849="הכנסה שסווגה מחדש",0,G849),0)</x:f>
        <x:v>79</x:v>
      </x:c>
      <x:c r="N849" s="20" t="n">
        <x:f>IF(K849="שוטף",M849,0)</x:f>
        <x:v>79</x:v>
      </x:c>
      <x:c r="O849" s="20" t="n">
        <x:f>IF(K849="הכנסה שסווגה מחדש",-G849,0)</x:f>
        <x:v>0</x:v>
      </x:c>
      <x:c r="P849" s="11" t="str">
        <x:v>אמקס זיו</x:v>
      </x:c>
      <x:c r="Q849" s="11" t="str"/>
      <x:c r="R849" s="11" t="str">
        <x:v>לא</x:v>
      </x:c>
    </x:row>
    <x:row r="850">
      <x:c r="A850" s="14" t="n">
        <x:v>45901</x:v>
      </x:c>
      <x:c r="B850" s="11" t="str">
        <x:v>2025-09</x:v>
      </x:c>
      <x:c r="C850" s="11" t="str">
        <x:v>ספטמבר 25</x:v>
      </x:c>
      <x:c r="D850" s="15" t="n">
        <x:v>12</x:v>
      </x:c>
      <x:c r="E850" s="11" t="str">
        <x:v>15</x:v>
      </x:c>
      <x:c r="F850" s="11" t="str">
        <x:v>סלולר</x:v>
      </x:c>
      <x:c r="G850" s="17" t="n">
        <x:v>59</x:v>
      </x:c>
      <x:c r="H850" s="18" t="str">
        <x:v>מגורים חודשי</x:v>
      </x:c>
      <x:c r="I850" s="19" t="str">
        <x:f>IFERROR(INDEX('מיפוי ומקורות'!$C$7:$C$33,MATCH(H850,'מיפוי ומקורות'!$B$7:$B$33,0)),"לא מסווג")</x:f>
        <x:v>דיור – בית מגורים</x:v>
      </x:c>
      <x:c r="J850" s="19" t="str">
        <x:f>IFERROR(INDEX('מיפוי ומקורות'!$D$7:$D$33,MATCH(H850,'מיפוי ומקורות'!$B$7:$B$33,0)),"שוטף")</x:f>
        <x:v>שוטף</x:v>
      </x:c>
      <x:c r="K850" s="19" t="str">
        <x:f>IF(OR(H850="ריביות",AND(H850="דירה כצנלסון",G850&lt;0,ISNUMBER(SEARCH("הכנסה",F850)))),"הכנסה שסווגה מחדש",J850)</x:f>
        <x:v>שוטף</x:v>
      </x:c>
      <x:c r="L850" s="19" t="str">
        <x:v>מאושר</x:v>
      </x:c>
      <x:c r="M850" s="20" t="n">
        <x:f>IF(L850="מאושר",IF(K850="הכנסה שסווגה מחדש",0,G850),0)</x:f>
        <x:v>59</x:v>
      </x:c>
      <x:c r="N850" s="20" t="n">
        <x:f>IF(K850="שוטף",M850,0)</x:f>
        <x:v>59</x:v>
      </x:c>
      <x:c r="O850" s="20" t="n">
        <x:f>IF(K850="הכנסה שסווגה מחדש",-G850,0)</x:f>
        <x:v>0</x:v>
      </x:c>
      <x:c r="P850" s="11" t="str">
        <x:v>אמקס זיו</x:v>
      </x:c>
      <x:c r="Q850" s="11" t="str"/>
      <x:c r="R850" s="11" t="str">
        <x:v>לא</x:v>
      </x:c>
    </x:row>
    <x:row r="851">
      <x:c r="A851" s="14" t="n">
        <x:v>45901</x:v>
      </x:c>
      <x:c r="B851" s="11" t="str">
        <x:v>2025-09</x:v>
      </x:c>
      <x:c r="C851" s="11" t="str">
        <x:v>ספטמבר 25</x:v>
      </x:c>
      <x:c r="D851" s="15" t="n">
        <x:v>13</x:v>
      </x:c>
      <x:c r="E851" s="11" t="str">
        <x:v>28</x:v>
      </x:c>
      <x:c r="F851" s="11" t="str">
        <x:v>ביטוח מבנה</x:v>
      </x:c>
      <x:c r="G851" s="17" t="n">
        <x:v>0</x:v>
      </x:c>
      <x:c r="H851" s="18" t="str">
        <x:v>דירה כצנלסון</x:v>
      </x:c>
      <x:c r="I851" s="19" t="str">
        <x:f>IFERROR(INDEX('מיפוי ומקורות'!$C$7:$C$33,MATCH(H851,'מיפוי ומקורות'!$B$7:$B$33,0)),"לא מסווג")</x:f>
        <x:v>נכס להשקעה</x:v>
      </x:c>
      <x:c r="J851" s="19" t="str">
        <x:f>IFERROR(INDEX('מיפוי ומקורות'!$D$7:$D$33,MATCH(H851,'מיפוי ומקורות'!$B$7:$B$33,0)),"שוטף")</x:f>
        <x:v>חריג/נכס</x:v>
      </x:c>
      <x:c r="K851" s="19" t="str">
        <x:f>IF(OR(H851="ריביות",AND(H851="דירה כצנלסון",G851&lt;0,ISNUMBER(SEARCH("הכנסה",F851)))),"הכנסה שסווגה מחדש",J851)</x:f>
        <x:v>חריג/נכס</x:v>
      </x:c>
      <x:c r="L851" s="19" t="str">
        <x:v>מאושר</x:v>
      </x:c>
      <x:c r="M851" s="20" t="n">
        <x:f>IF(L851="מאושר",IF(K851="הכנסה שסווגה מחדש",0,G851),0)</x:f>
        <x:v>0</x:v>
      </x:c>
      <x:c r="N851" s="20" t="n">
        <x:f>IF(K851="שוטף",M851,0)</x:f>
        <x:v>0</x:v>
      </x:c>
      <x:c r="O851" s="20" t="n">
        <x:f>IF(K851="הכנסה שסווגה מחדש",-G851,0)</x:f>
        <x:v>0</x:v>
      </x:c>
      <x:c r="P851" s="11" t="str">
        <x:v>אמקס זיו</x:v>
      </x:c>
      <x:c r="Q851" s="11" t="str"/>
      <x:c r="R851" s="11" t="str">
        <x:v>לא</x:v>
      </x:c>
    </x:row>
    <x:row r="852">
      <x:c r="A852" s="14" t="n">
        <x:v>45901</x:v>
      </x:c>
      <x:c r="B852" s="11" t="str">
        <x:v>2025-09</x:v>
      </x:c>
      <x:c r="C852" s="11" t="str">
        <x:v>ספטמבר 25</x:v>
      </x:c>
      <x:c r="D852" s="15" t="n">
        <x:v>14</x:v>
      </x:c>
      <x:c r="E852" s="11" t="str">
        <x:v>28</x:v>
      </x:c>
      <x:c r="F852" s="11" t="str">
        <x:v>ביטוח חיים</x:v>
      </x:c>
      <x:c r="G852" s="17" t="n">
        <x:v>30</x:v>
      </x:c>
      <x:c r="H852" s="18" t="str">
        <x:v>דירה כצנלסון</x:v>
      </x:c>
      <x:c r="I852" s="19" t="str">
        <x:f>IFERROR(INDEX('מיפוי ומקורות'!$C$7:$C$33,MATCH(H852,'מיפוי ומקורות'!$B$7:$B$33,0)),"לא מסווג")</x:f>
        <x:v>נכס להשקעה</x:v>
      </x:c>
      <x:c r="J852" s="19" t="str">
        <x:f>IFERROR(INDEX('מיפוי ומקורות'!$D$7:$D$33,MATCH(H852,'מיפוי ומקורות'!$B$7:$B$33,0)),"שוטף")</x:f>
        <x:v>חריג/נכס</x:v>
      </x:c>
      <x:c r="K852" s="19" t="str">
        <x:f>IF(OR(H852="ריביות",AND(H852="דירה כצנלסון",G852&lt;0,ISNUMBER(SEARCH("הכנסה",F852)))),"הכנסה שסווגה מחדש",J852)</x:f>
        <x:v>חריג/נכס</x:v>
      </x:c>
      <x:c r="L852" s="19" t="str">
        <x:v>מאושר</x:v>
      </x:c>
      <x:c r="M852" s="20" t="n">
        <x:f>IF(L852="מאושר",IF(K852="הכנסה שסווגה מחדש",0,G852),0)</x:f>
        <x:v>30</x:v>
      </x:c>
      <x:c r="N852" s="20" t="n">
        <x:f>IF(K852="שוטף",M852,0)</x:f>
        <x:v>0</x:v>
      </x:c>
      <x:c r="O852" s="20" t="n">
        <x:f>IF(K852="הכנסה שסווגה מחדש",-G852,0)</x:f>
        <x:v>0</x:v>
      </x:c>
      <x:c r="P852" s="11" t="str">
        <x:v>אמקס זיו</x:v>
      </x:c>
      <x:c r="Q852" s="11" t="str"/>
      <x:c r="R852" s="11" t="str">
        <x:v>לא</x:v>
      </x:c>
    </x:row>
    <x:row r="853">
      <x:c r="A853" s="14" t="n">
        <x:v>45901</x:v>
      </x:c>
      <x:c r="B853" s="11" t="str">
        <x:v>2025-09</x:v>
      </x:c>
      <x:c r="C853" s="11" t="str">
        <x:v>ספטמבר 25</x:v>
      </x:c>
      <x:c r="D853" s="15" t="n">
        <x:v>15</x:v>
      </x:c>
      <x:c r="E853" s="11" t="str">
        <x:v>26</x:v>
      </x:c>
      <x:c r="F853" s="11" t="str">
        <x:v>ביטוח בריאות</x:v>
      </x:c>
      <x:c r="G853" s="17" t="n">
        <x:v>115</x:v>
      </x:c>
      <x:c r="H853" s="18" t="str">
        <x:v>ביטוח</x:v>
      </x:c>
      <x:c r="I853" s="19" t="str">
        <x:f>IFERROR(INDEX('מיפוי ומקורות'!$C$7:$C$33,MATCH(H853,'מיפוי ומקורות'!$B$7:$B$33,0)),"לא מסווג")</x:f>
        <x:v>ביטוח</x:v>
      </x:c>
      <x:c r="J853" s="19" t="str">
        <x:f>IFERROR(INDEX('מיפוי ומקורות'!$D$7:$D$33,MATCH(H853,'מיפוי ומקורות'!$B$7:$B$33,0)),"שוטף")</x:f>
        <x:v>שוטף</x:v>
      </x:c>
      <x:c r="K853" s="19" t="str">
        <x:f>IF(OR(H853="ריביות",AND(H853="דירה כצנלסון",G853&lt;0,ISNUMBER(SEARCH("הכנסה",F853)))),"הכנסה שסווגה מחדש",J853)</x:f>
        <x:v>שוטף</x:v>
      </x:c>
      <x:c r="L853" s="19" t="str">
        <x:v>מאושר</x:v>
      </x:c>
      <x:c r="M853" s="20" t="n">
        <x:f>IF(L853="מאושר",IF(K853="הכנסה שסווגה מחדש",0,G853),0)</x:f>
        <x:v>115</x:v>
      </x:c>
      <x:c r="N853" s="20" t="n">
        <x:f>IF(K853="שוטף",M853,0)</x:f>
        <x:v>115</x:v>
      </x:c>
      <x:c r="O853" s="20" t="n">
        <x:f>IF(K853="הכנסה שסווגה מחדש",-G853,0)</x:f>
        <x:v>0</x:v>
      </x:c>
      <x:c r="P853" s="11" t="str">
        <x:v>אמקס עינור</x:v>
      </x:c>
      <x:c r="Q853" s="11" t="str"/>
      <x:c r="R853" s="11" t="str">
        <x:v>לא</x:v>
      </x:c>
    </x:row>
    <x:row r="854">
      <x:c r="A854" s="14" t="n">
        <x:v>45901</x:v>
      </x:c>
      <x:c r="B854" s="11" t="str">
        <x:v>2025-09</x:v>
      </x:c>
      <x:c r="C854" s="11" t="str">
        <x:v>ספטמבר 25</x:v>
      </x:c>
      <x:c r="D854" s="15" t="n">
        <x:v>16</x:v>
      </x:c>
      <x:c r="E854" s="11" t="str">
        <x:v>2</x:v>
      </x:c>
      <x:c r="F854" s="11" t="str">
        <x:v>מכבי</x:v>
      </x:c>
      <x:c r="G854" s="17" t="n">
        <x:v>56</x:v>
      </x:c>
      <x:c r="H854" s="18" t="str">
        <x:v>בריאות</x:v>
      </x:c>
      <x:c r="I854" s="19" t="str">
        <x:f>IFERROR(INDEX('מיפוי ומקורות'!$C$7:$C$33,MATCH(H854,'מיפוי ומקורות'!$B$7:$B$33,0)),"לא מסווג")</x:f>
        <x:v>בריאות וטיפולים</x:v>
      </x:c>
      <x:c r="J854" s="19" t="str">
        <x:f>IFERROR(INDEX('מיפוי ומקורות'!$D$7:$D$33,MATCH(H854,'מיפוי ומקורות'!$B$7:$B$33,0)),"שוטף")</x:f>
        <x:v>שוטף</x:v>
      </x:c>
      <x:c r="K854" s="19" t="str">
        <x:f>IF(OR(H854="ריביות",AND(H854="דירה כצנלסון",G854&lt;0,ISNUMBER(SEARCH("הכנסה",F854)))),"הכנסה שסווגה מחדש",J854)</x:f>
        <x:v>שוטף</x:v>
      </x:c>
      <x:c r="L854" s="19" t="str">
        <x:v>מאושר</x:v>
      </x:c>
      <x:c r="M854" s="20" t="n">
        <x:f>IF(L854="מאושר",IF(K854="הכנסה שסווגה מחדש",0,G854),0)</x:f>
        <x:v>56</x:v>
      </x:c>
      <x:c r="N854" s="20" t="n">
        <x:f>IF(K854="שוטף",M854,0)</x:f>
        <x:v>56</x:v>
      </x:c>
      <x:c r="O854" s="20" t="n">
        <x:f>IF(K854="הכנסה שסווגה מחדש",-G854,0)</x:f>
        <x:v>0</x:v>
      </x:c>
      <x:c r="P854" s="11" t="str">
        <x:v>אמקס זיו</x:v>
      </x:c>
      <x:c r="Q854" s="11" t="str"/>
      <x:c r="R854" s="11" t="str">
        <x:v>לא</x:v>
      </x:c>
    </x:row>
    <x:row r="855">
      <x:c r="A855" s="14" t="n">
        <x:v>45901</x:v>
      </x:c>
      <x:c r="B855" s="11" t="str">
        <x:v>2025-09</x:v>
      </x:c>
      <x:c r="C855" s="11" t="str">
        <x:v>ספטמבר 25</x:v>
      </x:c>
      <x:c r="D855" s="15" t="n">
        <x:v>17</x:v>
      </x:c>
      <x:c r="E855" s="11" t="str">
        <x:v>2</x:v>
      </x:c>
      <x:c r="F855" s="11" t="str">
        <x:v>מכבי</x:v>
      </x:c>
      <x:c r="G855" s="17" t="n">
        <x:v>96</x:v>
      </x:c>
      <x:c r="H855" s="18" t="str">
        <x:v>בריאות</x:v>
      </x:c>
      <x:c r="I855" s="19" t="str">
        <x:f>IFERROR(INDEX('מיפוי ומקורות'!$C$7:$C$33,MATCH(H855,'מיפוי ומקורות'!$B$7:$B$33,0)),"לא מסווג")</x:f>
        <x:v>בריאות וטיפולים</x:v>
      </x:c>
      <x:c r="J855" s="19" t="str">
        <x:f>IFERROR(INDEX('מיפוי ומקורות'!$D$7:$D$33,MATCH(H855,'מיפוי ומקורות'!$B$7:$B$33,0)),"שוטף")</x:f>
        <x:v>שוטף</x:v>
      </x:c>
      <x:c r="K855" s="19" t="str">
        <x:f>IF(OR(H855="ריביות",AND(H855="דירה כצנלסון",G855&lt;0,ISNUMBER(SEARCH("הכנסה",F855)))),"הכנסה שסווגה מחדש",J855)</x:f>
        <x:v>שוטף</x:v>
      </x:c>
      <x:c r="L855" s="19" t="str">
        <x:v>מאושר</x:v>
      </x:c>
      <x:c r="M855" s="20" t="n">
        <x:f>IF(L855="מאושר",IF(K855="הכנסה שסווגה מחדש",0,G855),0)</x:f>
        <x:v>96</x:v>
      </x:c>
      <x:c r="N855" s="20" t="n">
        <x:f>IF(K855="שוטף",M855,0)</x:f>
        <x:v>96</x:v>
      </x:c>
      <x:c r="O855" s="20" t="n">
        <x:f>IF(K855="הכנסה שסווגה מחדש",-G855,0)</x:f>
        <x:v>0</x:v>
      </x:c>
      <x:c r="P855" s="11" t="str">
        <x:v>אמקס עינור</x:v>
      </x:c>
      <x:c r="Q855" s="11" t="str"/>
      <x:c r="R855" s="11" t="str">
        <x:v>לא</x:v>
      </x:c>
    </x:row>
    <x:row r="856">
      <x:c r="A856" s="14" t="n">
        <x:v>45901</x:v>
      </x:c>
      <x:c r="B856" s="11" t="str">
        <x:v>2025-09</x:v>
      </x:c>
      <x:c r="C856" s="11" t="str">
        <x:v>ספטמבר 25</x:v>
      </x:c>
      <x:c r="D856" s="15" t="n">
        <x:v>18</x:v>
      </x:c>
      <x:c r="E856" s="11" t="str">
        <x:v>3</x:v>
      </x:c>
      <x:c r="F856" s="11" t="str">
        <x:v>ליאת</x:v>
      </x:c>
      <x:c r="G856" s="17" t="n">
        <x:v>1800</x:v>
      </x:c>
      <x:c r="H856" s="18" t="str">
        <x:v>בריאות</x:v>
      </x:c>
      <x:c r="I856" s="19" t="str">
        <x:f>IFERROR(INDEX('מיפוי ומקורות'!$C$7:$C$33,MATCH(H856,'מיפוי ומקורות'!$B$7:$B$33,0)),"לא מסווג")</x:f>
        <x:v>בריאות וטיפולים</x:v>
      </x:c>
      <x:c r="J856" s="19" t="str">
        <x:f>IFERROR(INDEX('מיפוי ומקורות'!$D$7:$D$33,MATCH(H856,'מיפוי ומקורות'!$B$7:$B$33,0)),"שוטף")</x:f>
        <x:v>שוטף</x:v>
      </x:c>
      <x:c r="K856" s="19" t="str">
        <x:f>IF(OR(H856="ריביות",AND(H856="דירה כצנלסון",G856&lt;0,ISNUMBER(SEARCH("הכנסה",F856)))),"הכנסה שסווגה מחדש",J856)</x:f>
        <x:v>שוטף</x:v>
      </x:c>
      <x:c r="L856" s="19" t="str">
        <x:v>מאושר</x:v>
      </x:c>
      <x:c r="M856" s="20" t="n">
        <x:f>IF(L856="מאושר",IF(K856="הכנסה שסווגה מחדש",0,G856),0)</x:f>
        <x:v>1800</x:v>
      </x:c>
      <x:c r="N856" s="20" t="n">
        <x:f>IF(K856="שוטף",M856,0)</x:f>
        <x:v>1800</x:v>
      </x:c>
      <x:c r="O856" s="20" t="n">
        <x:f>IF(K856="הכנסה שסווגה מחדש",-G856,0)</x:f>
        <x:v>0</x:v>
      </x:c>
      <x:c r="P856" s="11" t="str">
        <x:v>one zero</x:v>
      </x:c>
      <x:c r="Q856" s="11" t="str"/>
      <x:c r="R856" s="11" t="str">
        <x:v>לא</x:v>
      </x:c>
    </x:row>
    <x:row r="857">
      <x:c r="A857" s="14" t="n">
        <x:v>45901</x:v>
      </x:c>
      <x:c r="B857" s="11" t="str">
        <x:v>2025-09</x:v>
      </x:c>
      <x:c r="C857" s="11" t="str">
        <x:v>ספטמבר 25</x:v>
      </x:c>
      <x:c r="D857" s="15" t="n">
        <x:v>19</x:v>
      </x:c>
      <x:c r="E857" s="11" t="str">
        <x:v>4</x:v>
      </x:c>
      <x:c r="F857" s="11" t="str">
        <x:v>אימונים</x:v>
      </x:c>
      <x:c r="G857" s="17" t="n">
        <x:v>6500</x:v>
      </x:c>
      <x:c r="H857" s="18" t="str">
        <x:v>ספורט</x:v>
      </x:c>
      <x:c r="I857" s="19" t="str">
        <x:f>IFERROR(INDEX('מיפוי ומקורות'!$C$7:$C$33,MATCH(H857,'מיפוי ומקורות'!$B$7:$B$33,0)),"לא מסווג")</x:f>
        <x:v>ספורט</x:v>
      </x:c>
      <x:c r="J857" s="19" t="str">
        <x:f>IFERROR(INDEX('מיפוי ומקורות'!$D$7:$D$33,MATCH(H857,'מיפוי ומקורות'!$B$7:$B$33,0)),"שוטף")</x:f>
        <x:v>שוטף</x:v>
      </x:c>
      <x:c r="K857" s="19" t="str">
        <x:f>IF(OR(H857="ריביות",AND(H857="דירה כצנלסון",G857&lt;0,ISNUMBER(SEARCH("הכנסה",F857)))),"הכנסה שסווגה מחדש",J857)</x:f>
        <x:v>שוטף</x:v>
      </x:c>
      <x:c r="L857" s="19" t="str">
        <x:v>מאושר</x:v>
      </x:c>
      <x:c r="M857" s="20" t="n">
        <x:f>IF(L857="מאושר",IF(K857="הכנסה שסווגה מחדש",0,G857),0)</x:f>
        <x:v>6500</x:v>
      </x:c>
      <x:c r="N857" s="20" t="n">
        <x:f>IF(K857="שוטף",M857,0)</x:f>
        <x:v>6500</x:v>
      </x:c>
      <x:c r="O857" s="20" t="n">
        <x:f>IF(K857="הכנסה שסווגה מחדש",-G857,0)</x:f>
        <x:v>0</x:v>
      </x:c>
      <x:c r="P857" s="11" t="str">
        <x:v>one zero</x:v>
      </x:c>
      <x:c r="Q857" s="11" t="str"/>
      <x:c r="R857" s="11" t="str">
        <x:v>לא</x:v>
      </x:c>
    </x:row>
    <x:row r="858">
      <x:c r="A858" s="14" t="n">
        <x:v>45901</x:v>
      </x:c>
      <x:c r="B858" s="11" t="str">
        <x:v>2025-09</x:v>
      </x:c>
      <x:c r="C858" s="11" t="str">
        <x:v>ספטמבר 25</x:v>
      </x:c>
      <x:c r="D858" s="15" t="n">
        <x:v>21</x:v>
      </x:c>
      <x:c r="E858" s="11" t="str">
        <x:v>1</x:v>
      </x:c>
      <x:c r="F858" s="11" t="str">
        <x:v>מסעדה</x:v>
      </x:c>
      <x:c r="G858" s="17" t="n">
        <x:v>65</x:v>
      </x:c>
      <x:c r="H858" s="18" t="str">
        <x:v>אוכל בחוץ</x:v>
      </x:c>
      <x:c r="I858" s="19" t="str">
        <x:f>IFERROR(INDEX('מיפוי ומקורות'!$C$7:$C$33,MATCH(H858,'מיפוי ומקורות'!$B$7:$B$33,0)),"לא מסווג")</x:f>
        <x:v>אוכל בחוץ</x:v>
      </x:c>
      <x:c r="J858" s="19" t="str">
        <x:f>IFERROR(INDEX('מיפוי ומקורות'!$D$7:$D$33,MATCH(H858,'מיפוי ומקורות'!$B$7:$B$33,0)),"שוטף")</x:f>
        <x:v>שוטף</x:v>
      </x:c>
      <x:c r="K858" s="19" t="str">
        <x:f>IF(OR(H858="ריביות",AND(H858="דירה כצנלסון",G858&lt;0,ISNUMBER(SEARCH("הכנסה",F858)))),"הכנסה שסווגה מחדש",J858)</x:f>
        <x:v>שוטף</x:v>
      </x:c>
      <x:c r="L858" s="19" t="str">
        <x:v>מאושר</x:v>
      </x:c>
      <x:c r="M858" s="20" t="n">
        <x:f>IF(L858="מאושר",IF(K858="הכנסה שסווגה מחדש",0,G858),0)</x:f>
        <x:v>65</x:v>
      </x:c>
      <x:c r="N858" s="20" t="n">
        <x:f>IF(K858="שוטף",M858,0)</x:f>
        <x:v>65</x:v>
      </x:c>
      <x:c r="O858" s="20" t="n">
        <x:f>IF(K858="הכנסה שסווגה מחדש",-G858,0)</x:f>
        <x:v>0</x:v>
      </x:c>
      <x:c r="P858" s="11" t="str">
        <x:v>one zero זיו</x:v>
      </x:c>
      <x:c r="Q858" s="11" t="str"/>
      <x:c r="R858" s="11" t="str">
        <x:v>לא</x:v>
      </x:c>
    </x:row>
    <x:row r="859">
      <x:c r="A859" s="14" t="n">
        <x:v>45901</x:v>
      </x:c>
      <x:c r="B859" s="11" t="str">
        <x:v>2025-09</x:v>
      </x:c>
      <x:c r="C859" s="11" t="str">
        <x:v>ספטמבר 25</x:v>
      </x:c>
      <x:c r="D859" s="15" t="n">
        <x:v>22</x:v>
      </x:c>
      <x:c r="E859" s="11" t="str">
        <x:v>4</x:v>
      </x:c>
      <x:c r="F859" s="11" t="str">
        <x:v>קורקינט</x:v>
      </x:c>
      <x:c r="G859" s="17" t="n">
        <x:v>8</x:v>
      </x:c>
      <x:c r="H859" s="18" t="str">
        <x:v>תחבורה</x:v>
      </x:c>
      <x:c r="I859" s="19" t="str">
        <x:f>IFERROR(INDEX('מיפוי ומקורות'!$C$7:$C$33,MATCH(H859,'מיפוי ומקורות'!$B$7:$B$33,0)),"לא מסווג")</x:f>
        <x:v>תחבורה</x:v>
      </x:c>
      <x:c r="J859" s="19" t="str">
        <x:f>IFERROR(INDEX('מיפוי ומקורות'!$D$7:$D$33,MATCH(H859,'מיפוי ומקורות'!$B$7:$B$33,0)),"שוטף")</x:f>
        <x:v>שוטף</x:v>
      </x:c>
      <x:c r="K859" s="19" t="str">
        <x:f>IF(OR(H859="ריביות",AND(H859="דירה כצנלסון",G859&lt;0,ISNUMBER(SEARCH("הכנסה",F859)))),"הכנסה שסווגה מחדש",J859)</x:f>
        <x:v>שוטף</x:v>
      </x:c>
      <x:c r="L859" s="19" t="str">
        <x:v>מאושר</x:v>
      </x:c>
      <x:c r="M859" s="20" t="n">
        <x:f>IF(L859="מאושר",IF(K859="הכנסה שסווגה מחדש",0,G859),0)</x:f>
        <x:v>8</x:v>
      </x:c>
      <x:c r="N859" s="20" t="n">
        <x:f>IF(K859="שוטף",M859,0)</x:f>
        <x:v>8</x:v>
      </x:c>
      <x:c r="O859" s="20" t="n">
        <x:f>IF(K859="הכנסה שסווגה מחדש",-G859,0)</x:f>
        <x:v>0</x:v>
      </x:c>
      <x:c r="P859" s="11" t="str">
        <x:v>one zero זיו</x:v>
      </x:c>
      <x:c r="Q859" s="11" t="str"/>
      <x:c r="R859" s="11" t="str">
        <x:v>לא</x:v>
      </x:c>
    </x:row>
    <x:row r="860">
      <x:c r="A860" s="14" t="n">
        <x:v>45901</x:v>
      </x:c>
      <x:c r="B860" s="11" t="str">
        <x:v>2025-09</x:v>
      </x:c>
      <x:c r="C860" s="11" t="str">
        <x:v>ספטמבר 25</x:v>
      </x:c>
      <x:c r="D860" s="15" t="n">
        <x:v>23</x:v>
      </x:c>
      <x:c r="E860" s="11" t="str">
        <x:v>5</x:v>
      </x:c>
      <x:c r="F860" s="11" t="str">
        <x:v>קורקינט</x:v>
      </x:c>
      <x:c r="G860" s="17" t="n">
        <x:v>9</x:v>
      </x:c>
      <x:c r="H860" s="18" t="str">
        <x:v>תחבורה</x:v>
      </x:c>
      <x:c r="I860" s="19" t="str">
        <x:f>IFERROR(INDEX('מיפוי ומקורות'!$C$7:$C$33,MATCH(H860,'מיפוי ומקורות'!$B$7:$B$33,0)),"לא מסווג")</x:f>
        <x:v>תחבורה</x:v>
      </x:c>
      <x:c r="J860" s="19" t="str">
        <x:f>IFERROR(INDEX('מיפוי ומקורות'!$D$7:$D$33,MATCH(H860,'מיפוי ומקורות'!$B$7:$B$33,0)),"שוטף")</x:f>
        <x:v>שוטף</x:v>
      </x:c>
      <x:c r="K860" s="19" t="str">
        <x:f>IF(OR(H860="ריביות",AND(H860="דירה כצנלסון",G860&lt;0,ISNUMBER(SEARCH("הכנסה",F860)))),"הכנסה שסווגה מחדש",J860)</x:f>
        <x:v>שוטף</x:v>
      </x:c>
      <x:c r="L860" s="19" t="str">
        <x:v>מאושר</x:v>
      </x:c>
      <x:c r="M860" s="20" t="n">
        <x:f>IF(L860="מאושר",IF(K860="הכנסה שסווגה מחדש",0,G860),0)</x:f>
        <x:v>9</x:v>
      </x:c>
      <x:c r="N860" s="20" t="n">
        <x:f>IF(K860="שוטף",M860,0)</x:f>
        <x:v>9</x:v>
      </x:c>
      <x:c r="O860" s="20" t="n">
        <x:f>IF(K860="הכנסה שסווגה מחדש",-G860,0)</x:f>
        <x:v>0</x:v>
      </x:c>
      <x:c r="P860" s="11" t="str">
        <x:v>one zero זיו</x:v>
      </x:c>
      <x:c r="Q860" s="11" t="str"/>
      <x:c r="R860" s="11" t="str">
        <x:v>לא</x:v>
      </x:c>
    </x:row>
    <x:row r="861">
      <x:c r="A861" s="14" t="n">
        <x:v>45901</x:v>
      </x:c>
      <x:c r="B861" s="11" t="str">
        <x:v>2025-09</x:v>
      </x:c>
      <x:c r="C861" s="11" t="str">
        <x:v>ספטמבר 25</x:v>
      </x:c>
      <x:c r="D861" s="15" t="n">
        <x:v>24</x:v>
      </x:c>
      <x:c r="E861" s="11" t="str">
        <x:v>9</x:v>
      </x:c>
      <x:c r="F861" s="11" t="str">
        <x:v>מסעדה</x:v>
      </x:c>
      <x:c r="G861" s="17" t="n">
        <x:v>99</x:v>
      </x:c>
      <x:c r="H861" s="18" t="str">
        <x:v>אוכל בחוץ</x:v>
      </x:c>
      <x:c r="I861" s="19" t="str">
        <x:f>IFERROR(INDEX('מיפוי ומקורות'!$C$7:$C$33,MATCH(H861,'מיפוי ומקורות'!$B$7:$B$33,0)),"לא מסווג")</x:f>
        <x:v>אוכל בחוץ</x:v>
      </x:c>
      <x:c r="J861" s="19" t="str">
        <x:f>IFERROR(INDEX('מיפוי ומקורות'!$D$7:$D$33,MATCH(H861,'מיפוי ומקורות'!$B$7:$B$33,0)),"שוטף")</x:f>
        <x:v>שוטף</x:v>
      </x:c>
      <x:c r="K861" s="19" t="str">
        <x:f>IF(OR(H861="ריביות",AND(H861="דירה כצנלסון",G861&lt;0,ISNUMBER(SEARCH("הכנסה",F861)))),"הכנסה שסווגה מחדש",J861)</x:f>
        <x:v>שוטף</x:v>
      </x:c>
      <x:c r="L861" s="19" t="str">
        <x:v>מאושר</x:v>
      </x:c>
      <x:c r="M861" s="20" t="n">
        <x:f>IF(L861="מאושר",IF(K861="הכנסה שסווגה מחדש",0,G861),0)</x:f>
        <x:v>99</x:v>
      </x:c>
      <x:c r="N861" s="20" t="n">
        <x:f>IF(K861="שוטף",M861,0)</x:f>
        <x:v>99</x:v>
      </x:c>
      <x:c r="O861" s="20" t="n">
        <x:f>IF(K861="הכנסה שסווגה מחדש",-G861,0)</x:f>
        <x:v>0</x:v>
      </x:c>
      <x:c r="P861" s="11" t="str">
        <x:v>one zero זיו</x:v>
      </x:c>
      <x:c r="Q861" s="11" t="str"/>
      <x:c r="R861" s="11" t="str">
        <x:v>לא</x:v>
      </x:c>
    </x:row>
    <x:row r="862">
      <x:c r="A862" s="14" t="n">
        <x:v>45901</x:v>
      </x:c>
      <x:c r="B862" s="11" t="str">
        <x:v>2025-09</x:v>
      </x:c>
      <x:c r="C862" s="11" t="str">
        <x:v>ספטמבר 25</x:v>
      </x:c>
      <x:c r="D862" s="15" t="n">
        <x:v>25</x:v>
      </x:c>
      <x:c r="E862" s="11" t="str">
        <x:v>9</x:v>
      </x:c>
      <x:c r="F862" s="11" t="str">
        <x:v>קורקינט</x:v>
      </x:c>
      <x:c r="G862" s="17" t="n">
        <x:v>11</x:v>
      </x:c>
      <x:c r="H862" s="18" t="str">
        <x:v>תחבורה</x:v>
      </x:c>
      <x:c r="I862" s="19" t="str">
        <x:f>IFERROR(INDEX('מיפוי ומקורות'!$C$7:$C$33,MATCH(H862,'מיפוי ומקורות'!$B$7:$B$33,0)),"לא מסווג")</x:f>
        <x:v>תחבורה</x:v>
      </x:c>
      <x:c r="J862" s="19" t="str">
        <x:f>IFERROR(INDEX('מיפוי ומקורות'!$D$7:$D$33,MATCH(H862,'מיפוי ומקורות'!$B$7:$B$33,0)),"שוטף")</x:f>
        <x:v>שוטף</x:v>
      </x:c>
      <x:c r="K862" s="19" t="str">
        <x:f>IF(OR(H862="ריביות",AND(H862="דירה כצנלסון",G862&lt;0,ISNUMBER(SEARCH("הכנסה",F862)))),"הכנסה שסווגה מחדש",J862)</x:f>
        <x:v>שוטף</x:v>
      </x:c>
      <x:c r="L862" s="19" t="str">
        <x:v>מאושר</x:v>
      </x:c>
      <x:c r="M862" s="20" t="n">
        <x:f>IF(L862="מאושר",IF(K862="הכנסה שסווגה מחדש",0,G862),0)</x:f>
        <x:v>11</x:v>
      </x:c>
      <x:c r="N862" s="20" t="n">
        <x:f>IF(K862="שוטף",M862,0)</x:f>
        <x:v>11</x:v>
      </x:c>
      <x:c r="O862" s="20" t="n">
        <x:f>IF(K862="הכנסה שסווגה מחדש",-G862,0)</x:f>
        <x:v>0</x:v>
      </x:c>
      <x:c r="P862" s="11" t="str">
        <x:v>one zero זיו</x:v>
      </x:c>
      <x:c r="Q862" s="11" t="str"/>
      <x:c r="R862" s="11" t="str">
        <x:v>לא</x:v>
      </x:c>
    </x:row>
    <x:row r="863">
      <x:c r="A863" s="14" t="n">
        <x:v>45901</x:v>
      </x:c>
      <x:c r="B863" s="11" t="str">
        <x:v>2025-09</x:v>
      </x:c>
      <x:c r="C863" s="11" t="str">
        <x:v>ספטמבר 25</x:v>
      </x:c>
      <x:c r="D863" s="15" t="n">
        <x:v>26</x:v>
      </x:c>
      <x:c r="E863" s="11" t="str">
        <x:v>12</x:v>
      </x:c>
      <x:c r="F863" s="11" t="str">
        <x:v>קורקינט</x:v>
      </x:c>
      <x:c r="G863" s="17" t="n">
        <x:v>40</x:v>
      </x:c>
      <x:c r="H863" s="18" t="str">
        <x:v>תחבורה</x:v>
      </x:c>
      <x:c r="I863" s="19" t="str">
        <x:f>IFERROR(INDEX('מיפוי ומקורות'!$C$7:$C$33,MATCH(H863,'מיפוי ומקורות'!$B$7:$B$33,0)),"לא מסווג")</x:f>
        <x:v>תחבורה</x:v>
      </x:c>
      <x:c r="J863" s="19" t="str">
        <x:f>IFERROR(INDEX('מיפוי ומקורות'!$D$7:$D$33,MATCH(H863,'מיפוי ומקורות'!$B$7:$B$33,0)),"שוטף")</x:f>
        <x:v>שוטף</x:v>
      </x:c>
      <x:c r="K863" s="19" t="str">
        <x:f>IF(OR(H863="ריביות",AND(H863="דירה כצנלסון",G863&lt;0,ISNUMBER(SEARCH("הכנסה",F863)))),"הכנסה שסווגה מחדש",J863)</x:f>
        <x:v>שוטף</x:v>
      </x:c>
      <x:c r="L863" s="19" t="str">
        <x:v>מאושר</x:v>
      </x:c>
      <x:c r="M863" s="20" t="n">
        <x:f>IF(L863="מאושר",IF(K863="הכנסה שסווגה מחדש",0,G863),0)</x:f>
        <x:v>40</x:v>
      </x:c>
      <x:c r="N863" s="20" t="n">
        <x:f>IF(K863="שוטף",M863,0)</x:f>
        <x:v>40</x:v>
      </x:c>
      <x:c r="O863" s="20" t="n">
        <x:f>IF(K863="הכנסה שסווגה מחדש",-G863,0)</x:f>
        <x:v>0</x:v>
      </x:c>
      <x:c r="P863" s="11" t="str">
        <x:v>one zero זיו</x:v>
      </x:c>
      <x:c r="Q863" s="11" t="str"/>
      <x:c r="R863" s="11" t="str">
        <x:v>לא</x:v>
      </x:c>
    </x:row>
    <x:row r="864">
      <x:c r="A864" s="14" t="n">
        <x:v>45901</x:v>
      </x:c>
      <x:c r="B864" s="11" t="str">
        <x:v>2025-09</x:v>
      </x:c>
      <x:c r="C864" s="11" t="str">
        <x:v>ספטמבר 25</x:v>
      </x:c>
      <x:c r="D864" s="15" t="n">
        <x:v>27</x:v>
      </x:c>
      <x:c r="E864" s="11" t="str">
        <x:v>16</x:v>
      </x:c>
      <x:c r="F864" s="11" t="str">
        <x:v>קורקינט</x:v>
      </x:c>
      <x:c r="G864" s="17" t="n">
        <x:v>30</x:v>
      </x:c>
      <x:c r="H864" s="18" t="str">
        <x:v>תחבורה</x:v>
      </x:c>
      <x:c r="I864" s="19" t="str">
        <x:f>IFERROR(INDEX('מיפוי ומקורות'!$C$7:$C$33,MATCH(H864,'מיפוי ומקורות'!$B$7:$B$33,0)),"לא מסווג")</x:f>
        <x:v>תחבורה</x:v>
      </x:c>
      <x:c r="J864" s="19" t="str">
        <x:f>IFERROR(INDEX('מיפוי ומקורות'!$D$7:$D$33,MATCH(H864,'מיפוי ומקורות'!$B$7:$B$33,0)),"שוטף")</x:f>
        <x:v>שוטף</x:v>
      </x:c>
      <x:c r="K864" s="19" t="str">
        <x:f>IF(OR(H864="ריביות",AND(H864="דירה כצנלסון",G864&lt;0,ISNUMBER(SEARCH("הכנסה",F864)))),"הכנסה שסווגה מחדש",J864)</x:f>
        <x:v>שוטף</x:v>
      </x:c>
      <x:c r="L864" s="19" t="str">
        <x:v>מאושר</x:v>
      </x:c>
      <x:c r="M864" s="20" t="n">
        <x:f>IF(L864="מאושר",IF(K864="הכנסה שסווגה מחדש",0,G864),0)</x:f>
        <x:v>30</x:v>
      </x:c>
      <x:c r="N864" s="20" t="n">
        <x:f>IF(K864="שוטף",M864,0)</x:f>
        <x:v>30</x:v>
      </x:c>
      <x:c r="O864" s="20" t="n">
        <x:f>IF(K864="הכנסה שסווגה מחדש",-G864,0)</x:f>
        <x:v>0</x:v>
      </x:c>
      <x:c r="P864" s="11" t="str">
        <x:v>one zero זיו</x:v>
      </x:c>
      <x:c r="Q864" s="11" t="str"/>
      <x:c r="R864" s="11" t="str">
        <x:v>לא</x:v>
      </x:c>
    </x:row>
    <x:row r="865">
      <x:c r="A865" s="14" t="n">
        <x:v>45901</x:v>
      </x:c>
      <x:c r="B865" s="11" t="str">
        <x:v>2025-09</x:v>
      </x:c>
      <x:c r="C865" s="11" t="str">
        <x:v>ספטמבר 25</x:v>
      </x:c>
      <x:c r="D865" s="15" t="n">
        <x:v>28</x:v>
      </x:c>
      <x:c r="E865" s="11" t="str">
        <x:v>19</x:v>
      </x:c>
      <x:c r="F865" s="11" t="str">
        <x:v>קורקינט</x:v>
      </x:c>
      <x:c r="G865" s="17" t="n">
        <x:v>22</x:v>
      </x:c>
      <x:c r="H865" s="18" t="str">
        <x:v>תחבורה</x:v>
      </x:c>
      <x:c r="I865" s="19" t="str">
        <x:f>IFERROR(INDEX('מיפוי ומקורות'!$C$7:$C$33,MATCH(H865,'מיפוי ומקורות'!$B$7:$B$33,0)),"לא מסווג")</x:f>
        <x:v>תחבורה</x:v>
      </x:c>
      <x:c r="J865" s="19" t="str">
        <x:f>IFERROR(INDEX('מיפוי ומקורות'!$D$7:$D$33,MATCH(H865,'מיפוי ומקורות'!$B$7:$B$33,0)),"שוטף")</x:f>
        <x:v>שוטף</x:v>
      </x:c>
      <x:c r="K865" s="19" t="str">
        <x:f>IF(OR(H865="ריביות",AND(H865="דירה כצנלסון",G865&lt;0,ISNUMBER(SEARCH("הכנסה",F865)))),"הכנסה שסווגה מחדש",J865)</x:f>
        <x:v>שוטף</x:v>
      </x:c>
      <x:c r="L865" s="19" t="str">
        <x:v>מאושר</x:v>
      </x:c>
      <x:c r="M865" s="20" t="n">
        <x:f>IF(L865="מאושר",IF(K865="הכנסה שסווגה מחדש",0,G865),0)</x:f>
        <x:v>22</x:v>
      </x:c>
      <x:c r="N865" s="20" t="n">
        <x:f>IF(K865="שוטף",M865,0)</x:f>
        <x:v>22</x:v>
      </x:c>
      <x:c r="O865" s="20" t="n">
        <x:f>IF(K865="הכנסה שסווגה מחדש",-G865,0)</x:f>
        <x:v>0</x:v>
      </x:c>
      <x:c r="P865" s="11" t="str">
        <x:v>one zero זיו</x:v>
      </x:c>
      <x:c r="Q865" s="11" t="str"/>
      <x:c r="R865" s="11" t="str">
        <x:v>לא</x:v>
      </x:c>
    </x:row>
    <x:row r="866">
      <x:c r="A866" s="14" t="n">
        <x:v>45901</x:v>
      </x:c>
      <x:c r="B866" s="11" t="str">
        <x:v>2025-09</x:v>
      </x:c>
      <x:c r="C866" s="11" t="str">
        <x:v>ספטמבר 25</x:v>
      </x:c>
      <x:c r="D866" s="15" t="n">
        <x:v>29</x:v>
      </x:c>
      <x:c r="E866" s="11" t="str">
        <x:v>25</x:v>
      </x:c>
      <x:c r="F866" s="11" t="str">
        <x:v>תחבץ</x:v>
      </x:c>
      <x:c r="G866" s="17" t="n">
        <x:v>32</x:v>
      </x:c>
      <x:c r="H866" s="18" t="str">
        <x:v>תחבורה</x:v>
      </x:c>
      <x:c r="I866" s="19" t="str">
        <x:f>IFERROR(INDEX('מיפוי ומקורות'!$C$7:$C$33,MATCH(H866,'מיפוי ומקורות'!$B$7:$B$33,0)),"לא מסווג")</x:f>
        <x:v>תחבורה</x:v>
      </x:c>
      <x:c r="J866" s="19" t="str">
        <x:f>IFERROR(INDEX('מיפוי ומקורות'!$D$7:$D$33,MATCH(H866,'מיפוי ומקורות'!$B$7:$B$33,0)),"שוטף")</x:f>
        <x:v>שוטף</x:v>
      </x:c>
      <x:c r="K866" s="19" t="str">
        <x:f>IF(OR(H866="ריביות",AND(H866="דירה כצנלסון",G866&lt;0,ISNUMBER(SEARCH("הכנסה",F866)))),"הכנסה שסווגה מחדש",J866)</x:f>
        <x:v>שוטף</x:v>
      </x:c>
      <x:c r="L866" s="19" t="str">
        <x:v>מאושר</x:v>
      </x:c>
      <x:c r="M866" s="20" t="n">
        <x:f>IF(L866="מאושר",IF(K866="הכנסה שסווגה מחדש",0,G866),0)</x:f>
        <x:v>32</x:v>
      </x:c>
      <x:c r="N866" s="20" t="n">
        <x:f>IF(K866="שוטף",M866,0)</x:f>
        <x:v>32</x:v>
      </x:c>
      <x:c r="O866" s="20" t="n">
        <x:f>IF(K866="הכנסה שסווגה מחדש",-G866,0)</x:f>
        <x:v>0</x:v>
      </x:c>
      <x:c r="P866" s="11" t="str">
        <x:v>one zero זיו</x:v>
      </x:c>
      <x:c r="Q866" s="11" t="str"/>
      <x:c r="R866" s="11" t="str">
        <x:v>לא</x:v>
      </x:c>
    </x:row>
    <x:row r="867">
      <x:c r="A867" s="14" t="n">
        <x:v>45901</x:v>
      </x:c>
      <x:c r="B867" s="11" t="str">
        <x:v>2025-09</x:v>
      </x:c>
      <x:c r="C867" s="11" t="str">
        <x:v>ספטמבר 25</x:v>
      </x:c>
      <x:c r="D867" s="15" t="n">
        <x:v>30</x:v>
      </x:c>
      <x:c r="E867" s="11" t="str">
        <x:v>27</x:v>
      </x:c>
      <x:c r="F867" s="11" t="str">
        <x:v>קורקינט</x:v>
      </x:c>
      <x:c r="G867" s="17" t="n">
        <x:v>19</x:v>
      </x:c>
      <x:c r="H867" s="18" t="str">
        <x:v>תחבורה</x:v>
      </x:c>
      <x:c r="I867" s="19" t="str">
        <x:f>IFERROR(INDEX('מיפוי ומקורות'!$C$7:$C$33,MATCH(H867,'מיפוי ומקורות'!$B$7:$B$33,0)),"לא מסווג")</x:f>
        <x:v>תחבורה</x:v>
      </x:c>
      <x:c r="J867" s="19" t="str">
        <x:f>IFERROR(INDEX('מיפוי ומקורות'!$D$7:$D$33,MATCH(H867,'מיפוי ומקורות'!$B$7:$B$33,0)),"שוטף")</x:f>
        <x:v>שוטף</x:v>
      </x:c>
      <x:c r="K867" s="19" t="str">
        <x:f>IF(OR(H867="ריביות",AND(H867="דירה כצנלסון",G867&lt;0,ISNUMBER(SEARCH("הכנסה",F867)))),"הכנסה שסווגה מחדש",J867)</x:f>
        <x:v>שוטף</x:v>
      </x:c>
      <x:c r="L867" s="19" t="str">
        <x:v>מאושר</x:v>
      </x:c>
      <x:c r="M867" s="20" t="n">
        <x:f>IF(L867="מאושר",IF(K867="הכנסה שסווגה מחדש",0,G867),0)</x:f>
        <x:v>19</x:v>
      </x:c>
      <x:c r="N867" s="20" t="n">
        <x:f>IF(K867="שוטף",M867,0)</x:f>
        <x:v>19</x:v>
      </x:c>
      <x:c r="O867" s="20" t="n">
        <x:f>IF(K867="הכנסה שסווגה מחדש",-G867,0)</x:f>
        <x:v>0</x:v>
      </x:c>
      <x:c r="P867" s="11" t="str">
        <x:v>one zero זיו</x:v>
      </x:c>
      <x:c r="Q867" s="11" t="str"/>
      <x:c r="R867" s="11" t="str">
        <x:v>לא</x:v>
      </x:c>
    </x:row>
    <x:row r="868">
      <x:c r="A868" s="14" t="n">
        <x:v>45901</x:v>
      </x:c>
      <x:c r="B868" s="11" t="str">
        <x:v>2025-09</x:v>
      </x:c>
      <x:c r="C868" s="11" t="str">
        <x:v>ספטמבר 25</x:v>
      </x:c>
      <x:c r="D868" s="15" t="n">
        <x:v>31</x:v>
      </x:c>
      <x:c r="E868" s="11" t="str">
        <x:v>29</x:v>
      </x:c>
      <x:c r="F868" s="11" t="str">
        <x:v>קורקינט</x:v>
      </x:c>
      <x:c r="G868" s="17" t="n">
        <x:v>20</x:v>
      </x:c>
      <x:c r="H868" s="18" t="str">
        <x:v>תחבורה</x:v>
      </x:c>
      <x:c r="I868" s="19" t="str">
        <x:f>IFERROR(INDEX('מיפוי ומקורות'!$C$7:$C$33,MATCH(H868,'מיפוי ומקורות'!$B$7:$B$33,0)),"לא מסווג")</x:f>
        <x:v>תחבורה</x:v>
      </x:c>
      <x:c r="J868" s="19" t="str">
        <x:f>IFERROR(INDEX('מיפוי ומקורות'!$D$7:$D$33,MATCH(H868,'מיפוי ומקורות'!$B$7:$B$33,0)),"שוטף")</x:f>
        <x:v>שוטף</x:v>
      </x:c>
      <x:c r="K868" s="19" t="str">
        <x:f>IF(OR(H868="ריביות",AND(H868="דירה כצנלסון",G868&lt;0,ISNUMBER(SEARCH("הכנסה",F868)))),"הכנסה שסווגה מחדש",J868)</x:f>
        <x:v>שוטף</x:v>
      </x:c>
      <x:c r="L868" s="19" t="str">
        <x:v>מאושר</x:v>
      </x:c>
      <x:c r="M868" s="20" t="n">
        <x:f>IF(L868="מאושר",IF(K868="הכנסה שסווגה מחדש",0,G868),0)</x:f>
        <x:v>20</x:v>
      </x:c>
      <x:c r="N868" s="20" t="n">
        <x:f>IF(K868="שוטף",M868,0)</x:f>
        <x:v>20</x:v>
      </x:c>
      <x:c r="O868" s="20" t="n">
        <x:f>IF(K868="הכנסה שסווגה מחדש",-G868,0)</x:f>
        <x:v>0</x:v>
      </x:c>
      <x:c r="P868" s="11" t="str">
        <x:v>one zero זיו</x:v>
      </x:c>
      <x:c r="Q868" s="11" t="str"/>
      <x:c r="R868" s="11" t="str">
        <x:v>לא</x:v>
      </x:c>
    </x:row>
    <x:row r="869">
      <x:c r="A869" s="14" t="n">
        <x:v>45901</x:v>
      </x:c>
      <x:c r="B869" s="11" t="str">
        <x:v>2025-09</x:v>
      </x:c>
      <x:c r="C869" s="11" t="str">
        <x:v>ספטמבר 25</x:v>
      </x:c>
      <x:c r="D869" s="15" t="n">
        <x:v>32</x:v>
      </x:c>
      <x:c r="E869" s="11" t="str">
        <x:v>1.10</x:v>
      </x:c>
      <x:c r="F869" s="11" t="str">
        <x:v>קורקינט</x:v>
      </x:c>
      <x:c r="G869" s="17" t="n">
        <x:v>6</x:v>
      </x:c>
      <x:c r="H869" s="18" t="str">
        <x:v>תחבורה</x:v>
      </x:c>
      <x:c r="I869" s="19" t="str">
        <x:f>IFERROR(INDEX('מיפוי ומקורות'!$C$7:$C$33,MATCH(H869,'מיפוי ומקורות'!$B$7:$B$33,0)),"לא מסווג")</x:f>
        <x:v>תחבורה</x:v>
      </x:c>
      <x:c r="J869" s="19" t="str">
        <x:f>IFERROR(INDEX('מיפוי ומקורות'!$D$7:$D$33,MATCH(H869,'מיפוי ומקורות'!$B$7:$B$33,0)),"שוטף")</x:f>
        <x:v>שוטף</x:v>
      </x:c>
      <x:c r="K869" s="19" t="str">
        <x:f>IF(OR(H869="ריביות",AND(H869="דירה כצנלסון",G869&lt;0,ISNUMBER(SEARCH("הכנסה",F869)))),"הכנסה שסווגה מחדש",J869)</x:f>
        <x:v>שוטף</x:v>
      </x:c>
      <x:c r="L869" s="19" t="str">
        <x:v>מאושר</x:v>
      </x:c>
      <x:c r="M869" s="20" t="n">
        <x:f>IF(L869="מאושר",IF(K869="הכנסה שסווגה מחדש",0,G869),0)</x:f>
        <x:v>6</x:v>
      </x:c>
      <x:c r="N869" s="20" t="n">
        <x:f>IF(K869="שוטף",M869,0)</x:f>
        <x:v>6</x:v>
      </x:c>
      <x:c r="O869" s="20" t="n">
        <x:f>IF(K869="הכנסה שסווגה מחדש",-G869,0)</x:f>
        <x:v>0</x:v>
      </x:c>
      <x:c r="P869" s="11" t="str">
        <x:v>one zero זיו</x:v>
      </x:c>
      <x:c r="Q869" s="11" t="str"/>
      <x:c r="R869" s="11" t="str">
        <x:v>לא</x:v>
      </x:c>
    </x:row>
    <x:row r="870">
      <x:c r="A870" s="14" t="n">
        <x:v>45901</x:v>
      </x:c>
      <x:c r="B870" s="11" t="str">
        <x:v>2025-09</x:v>
      </x:c>
      <x:c r="C870" s="11" t="str">
        <x:v>ספטמבר 25</x:v>
      </x:c>
      <x:c r="D870" s="15" t="n">
        <x:v>34</x:v>
      </x:c>
      <x:c r="E870" s="11" t="str">
        <x:v>25</x:v>
      </x:c>
      <x:c r="F870" s="11" t="str">
        <x:v>תחבץ</x:v>
      </x:c>
      <x:c r="G870" s="17" t="n">
        <x:v>91</x:v>
      </x:c>
      <x:c r="H870" s="18" t="str">
        <x:v>תחבורה</x:v>
      </x:c>
      <x:c r="I870" s="19" t="str">
        <x:f>IFERROR(INDEX('מיפוי ומקורות'!$C$7:$C$33,MATCH(H870,'מיפוי ומקורות'!$B$7:$B$33,0)),"לא מסווג")</x:f>
        <x:v>תחבורה</x:v>
      </x:c>
      <x:c r="J870" s="19" t="str">
        <x:f>IFERROR(INDEX('מיפוי ומקורות'!$D$7:$D$33,MATCH(H870,'מיפוי ומקורות'!$B$7:$B$33,0)),"שוטף")</x:f>
        <x:v>שוטף</x:v>
      </x:c>
      <x:c r="K870" s="19" t="str">
        <x:f>IF(OR(H870="ריביות",AND(H870="דירה כצנלסון",G870&lt;0,ISNUMBER(SEARCH("הכנסה",F870)))),"הכנסה שסווגה מחדש",J870)</x:f>
        <x:v>שוטף</x:v>
      </x:c>
      <x:c r="L870" s="19" t="str">
        <x:v>מאושר</x:v>
      </x:c>
      <x:c r="M870" s="20" t="n">
        <x:f>IF(L870="מאושר",IF(K870="הכנסה שסווגה מחדש",0,G870),0)</x:f>
        <x:v>91</x:v>
      </x:c>
      <x:c r="N870" s="20" t="n">
        <x:f>IF(K870="שוטף",M870,0)</x:f>
        <x:v>91</x:v>
      </x:c>
      <x:c r="O870" s="20" t="n">
        <x:f>IF(K870="הכנסה שסווגה מחדש",-G870,0)</x:f>
        <x:v>0</x:v>
      </x:c>
      <x:c r="P870" s="11" t="str">
        <x:v>one zero עינור</x:v>
      </x:c>
      <x:c r="Q870" s="11" t="str"/>
      <x:c r="R870" s="11" t="str">
        <x:v>לא</x:v>
      </x:c>
    </x:row>
    <x:row r="871">
      <x:c r="A871" s="14" t="n">
        <x:v>45901</x:v>
      </x:c>
      <x:c r="B871" s="11" t="str">
        <x:v>2025-09</x:v>
      </x:c>
      <x:c r="C871" s="11" t="str">
        <x:v>ספטמבר 25</x:v>
      </x:c>
      <x:c r="D871" s="15" t="n">
        <x:v>36</x:v>
      </x:c>
      <x:c r="E871" s="11" t="str">
        <x:v>8</x:v>
      </x:c>
      <x:c r="F871" s="11" t="str">
        <x:v>החזר מס</x:v>
      </x:c>
      <x:c r="G871" s="17" t="n">
        <x:v>-33</x:v>
      </x:c>
      <x:c r="H871" s="18" t="str">
        <x:v>דירה כצנלסון</x:v>
      </x:c>
      <x:c r="I871" s="19" t="str">
        <x:f>IFERROR(INDEX('מיפוי ומקורות'!$C$7:$C$33,MATCH(H871,'מיפוי ומקורות'!$B$7:$B$33,0)),"לא מסווג")</x:f>
        <x:v>נכס להשקעה</x:v>
      </x:c>
      <x:c r="J871" s="19" t="str">
        <x:f>IFERROR(INDEX('מיפוי ומקורות'!$D$7:$D$33,MATCH(H871,'מיפוי ומקורות'!$B$7:$B$33,0)),"שוטף")</x:f>
        <x:v>חריג/נכס</x:v>
      </x:c>
      <x:c r="K871" s="19" t="str">
        <x:f>IF(OR(H871="ריביות",AND(H871="דירה כצנלסון",G871&lt;0,ISNUMBER(SEARCH("הכנסה",F871)))),"הכנסה שסווגה מחדש",J871)</x:f>
        <x:v>חריג/נכס</x:v>
      </x:c>
      <x:c r="L871" s="19" t="str">
        <x:v>מאושר</x:v>
      </x:c>
      <x:c r="M871" s="20" t="n">
        <x:f>IF(L871="מאושר",IF(K871="הכנסה שסווגה מחדש",0,G871),0)</x:f>
        <x:v>-33</x:v>
      </x:c>
      <x:c r="N871" s="20" t="n">
        <x:f>IF(K871="שוטף",M871,0)</x:f>
        <x:v>0</x:v>
      </x:c>
      <x:c r="O871" s="20" t="n">
        <x:f>IF(K871="הכנסה שסווגה מחדש",-G871,0)</x:f>
        <x:v>0</x:v>
      </x:c>
      <x:c r="P871" s="11" t="str">
        <x:v>דיסקונט</x:v>
      </x:c>
      <x:c r="Q871" s="11" t="str"/>
      <x:c r="R871" s="11" t="str">
        <x:v>לא</x:v>
      </x:c>
    </x:row>
    <x:row r="872">
      <x:c r="A872" s="14" t="n">
        <x:v>45901</x:v>
      </x:c>
      <x:c r="B872" s="11" t="str">
        <x:v>2025-09</x:v>
      </x:c>
      <x:c r="C872" s="11" t="str">
        <x:v>ספטמבר 25</x:v>
      </x:c>
      <x:c r="D872" s="15" t="n">
        <x:v>38</x:v>
      </x:c>
      <x:c r="E872" s="11" t="str">
        <x:v>1</x:v>
      </x:c>
      <x:c r="F872" s="11" t="str">
        <x:v>אלי</x:v>
      </x:c>
      <x:c r="G872" s="17" t="n">
        <x:v>-11</x:v>
      </x:c>
      <x:c r="H872" s="18" t="str">
        <x:v>קניות לבית</x:v>
      </x:c>
      <x:c r="I872" s="19" t="str">
        <x:f>IFERROR(INDEX('מיפוי ומקורות'!$C$7:$C$33,MATCH(H872,'מיפוי ומקורות'!$B$7:$B$33,0)),"לא מסווג")</x:f>
        <x:v>קניות לבית</x:v>
      </x:c>
      <x:c r="J872" s="19" t="str">
        <x:f>IFERROR(INDEX('מיפוי ומקורות'!$D$7:$D$33,MATCH(H872,'מיפוי ומקורות'!$B$7:$B$33,0)),"שוטף")</x:f>
        <x:v>שוטף</x:v>
      </x:c>
      <x:c r="K872" s="19" t="str">
        <x:f>IF(OR(H872="ריביות",AND(H872="דירה כצנלסון",G872&lt;0,ISNUMBER(SEARCH("הכנסה",F872)))),"הכנסה שסווגה מחדש",J872)</x:f>
        <x:v>שוטף</x:v>
      </x:c>
      <x:c r="L872" s="19" t="str">
        <x:v>מאושר</x:v>
      </x:c>
      <x:c r="M872" s="20" t="n">
        <x:f>IF(L872="מאושר",IF(K872="הכנסה שסווגה מחדש",0,G872),0)</x:f>
        <x:v>-11</x:v>
      </x:c>
      <x:c r="N872" s="20" t="n">
        <x:f>IF(K872="שוטף",M872,0)</x:f>
        <x:v>-11</x:v>
      </x:c>
      <x:c r="O872" s="20" t="n">
        <x:f>IF(K872="הכנסה שסווגה מחדש",-G872,0)</x:f>
        <x:v>0</x:v>
      </x:c>
      <x:c r="P872" s="11" t="str">
        <x:v>אמקס עינור</x:v>
      </x:c>
      <x:c r="Q872" s="11" t="str"/>
      <x:c r="R872" s="11" t="str">
        <x:v>לא</x:v>
      </x:c>
    </x:row>
    <x:row r="873">
      <x:c r="A873" s="14" t="n">
        <x:v>45901</x:v>
      </x:c>
      <x:c r="B873" s="11" t="str">
        <x:v>2025-09</x:v>
      </x:c>
      <x:c r="C873" s="11" t="str">
        <x:v>ספטמבר 25</x:v>
      </x:c>
      <x:c r="D873" s="15" t="n">
        <x:v>39</x:v>
      </x:c>
      <x:c r="E873" s="11" t="str">
        <x:v>1</x:v>
      </x:c>
      <x:c r="F873" s="11" t="str">
        <x:v>מקס</x:v>
      </x:c>
      <x:c r="G873" s="17" t="n">
        <x:v>29</x:v>
      </x:c>
      <x:c r="H873" s="18" t="str">
        <x:v>קניות לבית</x:v>
      </x:c>
      <x:c r="I873" s="19" t="str">
        <x:f>IFERROR(INDEX('מיפוי ומקורות'!$C$7:$C$33,MATCH(H873,'מיפוי ומקורות'!$B$7:$B$33,0)),"לא מסווג")</x:f>
        <x:v>קניות לבית</x:v>
      </x:c>
      <x:c r="J873" s="19" t="str">
        <x:f>IFERROR(INDEX('מיפוי ומקורות'!$D$7:$D$33,MATCH(H873,'מיפוי ומקורות'!$B$7:$B$33,0)),"שוטף")</x:f>
        <x:v>שוטף</x:v>
      </x:c>
      <x:c r="K873" s="19" t="str">
        <x:f>IF(OR(H873="ריביות",AND(H873="דירה כצנלסון",G873&lt;0,ISNUMBER(SEARCH("הכנסה",F873)))),"הכנסה שסווגה מחדש",J873)</x:f>
        <x:v>שוטף</x:v>
      </x:c>
      <x:c r="L873" s="19" t="str">
        <x:v>מאושר</x:v>
      </x:c>
      <x:c r="M873" s="20" t="n">
        <x:f>IF(L873="מאושר",IF(K873="הכנסה שסווגה מחדש",0,G873),0)</x:f>
        <x:v>29</x:v>
      </x:c>
      <x:c r="N873" s="20" t="n">
        <x:f>IF(K873="שוטף",M873,0)</x:f>
        <x:v>29</x:v>
      </x:c>
      <x:c r="O873" s="20" t="n">
        <x:f>IF(K873="הכנסה שסווגה מחדש",-G873,0)</x:f>
        <x:v>0</x:v>
      </x:c>
      <x:c r="P873" s="11" t="str">
        <x:v>אמקס עינור</x:v>
      </x:c>
      <x:c r="Q873" s="11" t="str"/>
      <x:c r="R873" s="11" t="str">
        <x:v>לא</x:v>
      </x:c>
    </x:row>
    <x:row r="874">
      <x:c r="A874" s="14" t="n">
        <x:v>45901</x:v>
      </x:c>
      <x:c r="B874" s="11" t="str">
        <x:v>2025-09</x:v>
      </x:c>
      <x:c r="C874" s="11" t="str">
        <x:v>ספטמבר 25</x:v>
      </x:c>
      <x:c r="D874" s="15" t="n">
        <x:v>40</x:v>
      </x:c>
      <x:c r="E874" s="11" t="str">
        <x:v>1</x:v>
      </x:c>
      <x:c r="F874" s="11" t="str">
        <x:v>לחם</x:v>
      </x:c>
      <x:c r="G874" s="17" t="n">
        <x:v>6</x:v>
      </x:c>
      <x:c r="H874" s="18" t="str">
        <x:v>מזון לבית</x:v>
      </x:c>
      <x:c r="I874" s="19" t="str">
        <x:f>IFERROR(INDEX('מיפוי ומקורות'!$C$7:$C$33,MATCH(H874,'מיפוי ומקורות'!$B$7:$B$33,0)),"לא מסווג")</x:f>
        <x:v>מזון לבית</x:v>
      </x:c>
      <x:c r="J874" s="19" t="str">
        <x:f>IFERROR(INDEX('מיפוי ומקורות'!$D$7:$D$33,MATCH(H874,'מיפוי ומקורות'!$B$7:$B$33,0)),"שוטף")</x:f>
        <x:v>שוטף</x:v>
      </x:c>
      <x:c r="K874" s="19" t="str">
        <x:f>IF(OR(H874="ריביות",AND(H874="דירה כצנלסון",G874&lt;0,ISNUMBER(SEARCH("הכנסה",F874)))),"הכנסה שסווגה מחדש",J874)</x:f>
        <x:v>שוטף</x:v>
      </x:c>
      <x:c r="L874" s="19" t="str">
        <x:v>מאושר</x:v>
      </x:c>
      <x:c r="M874" s="20" t="n">
        <x:f>IF(L874="מאושר",IF(K874="הכנסה שסווגה מחדש",0,G874),0)</x:f>
        <x:v>6</x:v>
      </x:c>
      <x:c r="N874" s="20" t="n">
        <x:f>IF(K874="שוטף",M874,0)</x:f>
        <x:v>6</x:v>
      </x:c>
      <x:c r="O874" s="20" t="n">
        <x:f>IF(K874="הכנסה שסווגה מחדש",-G874,0)</x:f>
        <x:v>0</x:v>
      </x:c>
      <x:c r="P874" s="11" t="str">
        <x:v>אמקס עינור</x:v>
      </x:c>
      <x:c r="Q874" s="11" t="str"/>
      <x:c r="R874" s="11" t="str">
        <x:v>לא</x:v>
      </x:c>
    </x:row>
    <x:row r="875">
      <x:c r="A875" s="14" t="n">
        <x:v>45901</x:v>
      </x:c>
      <x:c r="B875" s="11" t="str">
        <x:v>2025-09</x:v>
      </x:c>
      <x:c r="C875" s="11" t="str">
        <x:v>ספטמבר 25</x:v>
      </x:c>
      <x:c r="D875" s="15" t="n">
        <x:v>41</x:v>
      </x:c>
      <x:c r="E875" s="11" t="str">
        <x:v>2</x:v>
      </x:c>
      <x:c r="F875" s="11" t="str">
        <x:v>טבעות</x:v>
      </x:c>
      <x:c r="G875" s="17" t="n">
        <x:v>150</x:v>
      </x:c>
      <x:c r="H875" s="18" t="str">
        <x:v>בריאות</x:v>
      </x:c>
      <x:c r="I875" s="19" t="str">
        <x:f>IFERROR(INDEX('מיפוי ומקורות'!$C$7:$C$33,MATCH(H875,'מיפוי ומקורות'!$B$7:$B$33,0)),"לא מסווג")</x:f>
        <x:v>בריאות וטיפולים</x:v>
      </x:c>
      <x:c r="J875" s="19" t="str">
        <x:f>IFERROR(INDEX('מיפוי ומקורות'!$D$7:$D$33,MATCH(H875,'מיפוי ומקורות'!$B$7:$B$33,0)),"שוטף")</x:f>
        <x:v>שוטף</x:v>
      </x:c>
      <x:c r="K875" s="19" t="str">
        <x:f>IF(OR(H875="ריביות",AND(H875="דירה כצנלסון",G875&lt;0,ISNUMBER(SEARCH("הכנסה",F875)))),"הכנסה שסווגה מחדש",J875)</x:f>
        <x:v>שוטף</x:v>
      </x:c>
      <x:c r="L875" s="19" t="str">
        <x:v>מאושר</x:v>
      </x:c>
      <x:c r="M875" s="20" t="n">
        <x:f>IF(L875="מאושר",IF(K875="הכנסה שסווגה מחדש",0,G875),0)</x:f>
        <x:v>150</x:v>
      </x:c>
      <x:c r="N875" s="20" t="n">
        <x:f>IF(K875="שוטף",M875,0)</x:f>
        <x:v>150</x:v>
      </x:c>
      <x:c r="O875" s="20" t="n">
        <x:f>IF(K875="הכנסה שסווגה מחדש",-G875,0)</x:f>
        <x:v>0</x:v>
      </x:c>
      <x:c r="P875" s="11" t="str">
        <x:v>אמקס עינור</x:v>
      </x:c>
      <x:c r="Q875" s="11" t="str"/>
      <x:c r="R875" s="11" t="str">
        <x:v>לא</x:v>
      </x:c>
    </x:row>
    <x:row r="876">
      <x:c r="A876" s="14" t="n">
        <x:v>45901</x:v>
      </x:c>
      <x:c r="B876" s="11" t="str">
        <x:v>2025-09</x:v>
      </x:c>
      <x:c r="C876" s="11" t="str">
        <x:v>ספטמבר 25</x:v>
      </x:c>
      <x:c r="D876" s="15" t="n">
        <x:v>42</x:v>
      </x:c>
      <x:c r="E876" s="11" t="str">
        <x:v>2</x:v>
      </x:c>
      <x:c r="F876" s="11" t="str">
        <x:v>תרופות לחול</x:v>
      </x:c>
      <x:c r="G876" s="17" t="n">
        <x:v>347</x:v>
      </x:c>
      <x:c r="H876" s="18" t="str">
        <x:v>חול</x:v>
      </x:c>
      <x:c r="I876" s="19" t="str">
        <x:f>IFERROR(INDEX('מיפוי ומקורות'!$C$7:$C$33,MATCH(H876,'מיפוי ומקורות'!$B$7:$B$33,0)),"לא מסווג")</x:f>
        <x:v>נסיעות וחופשות</x:v>
      </x:c>
      <x:c r="J876" s="19" t="str">
        <x:f>IFERROR(INDEX('מיפוי ומקורות'!$D$7:$D$33,MATCH(H876,'מיפוי ומקורות'!$B$7:$B$33,0)),"שוטף")</x:f>
        <x:v>חריג</x:v>
      </x:c>
      <x:c r="K876" s="19" t="str">
        <x:f>IF(OR(H876="ריביות",AND(H876="דירה כצנלסון",G876&lt;0,ISNUMBER(SEARCH("הכנסה",F876)))),"הכנסה שסווגה מחדש",J876)</x:f>
        <x:v>חריג</x:v>
      </x:c>
      <x:c r="L876" s="19" t="str">
        <x:v>מאושר</x:v>
      </x:c>
      <x:c r="M876" s="20" t="n">
        <x:f>IF(L876="מאושר",IF(K876="הכנסה שסווגה מחדש",0,G876),0)</x:f>
        <x:v>347</x:v>
      </x:c>
      <x:c r="N876" s="20" t="n">
        <x:f>IF(K876="שוטף",M876,0)</x:f>
        <x:v>0</x:v>
      </x:c>
      <x:c r="O876" s="20" t="n">
        <x:f>IF(K876="הכנסה שסווגה מחדש",-G876,0)</x:f>
        <x:v>0</x:v>
      </x:c>
      <x:c r="P876" s="11" t="str">
        <x:v>אמקס עינור</x:v>
      </x:c>
      <x:c r="Q876" s="11" t="str"/>
      <x:c r="R876" s="11" t="str">
        <x:v>לא</x:v>
      </x:c>
    </x:row>
    <x:row r="877">
      <x:c r="A877" s="14" t="n">
        <x:v>45901</x:v>
      </x:c>
      <x:c r="B877" s="11" t="str">
        <x:v>2025-09</x:v>
      </x:c>
      <x:c r="C877" s="11" t="str">
        <x:v>ספטמבר 25</x:v>
      </x:c>
      <x:c r="D877" s="15" t="n">
        <x:v>43</x:v>
      </x:c>
      <x:c r="E877" s="11" t="str">
        <x:v>2</x:v>
      </x:c>
      <x:c r="F877" s="11" t="str">
        <x:v>סופר</x:v>
      </x:c>
      <x:c r="G877" s="17" t="n">
        <x:v>92</x:v>
      </x:c>
      <x:c r="H877" s="18" t="str">
        <x:v>מזון לבית</x:v>
      </x:c>
      <x:c r="I877" s="19" t="str">
        <x:f>IFERROR(INDEX('מיפוי ומקורות'!$C$7:$C$33,MATCH(H877,'מיפוי ומקורות'!$B$7:$B$33,0)),"לא מסווג")</x:f>
        <x:v>מזון לבית</x:v>
      </x:c>
      <x:c r="J877" s="19" t="str">
        <x:f>IFERROR(INDEX('מיפוי ומקורות'!$D$7:$D$33,MATCH(H877,'מיפוי ומקורות'!$B$7:$B$33,0)),"שוטף")</x:f>
        <x:v>שוטף</x:v>
      </x:c>
      <x:c r="K877" s="19" t="str">
        <x:f>IF(OR(H877="ריביות",AND(H877="דירה כצנלסון",G877&lt;0,ISNUMBER(SEARCH("הכנסה",F877)))),"הכנסה שסווגה מחדש",J877)</x:f>
        <x:v>שוטף</x:v>
      </x:c>
      <x:c r="L877" s="19" t="str">
        <x:v>מאושר</x:v>
      </x:c>
      <x:c r="M877" s="20" t="n">
        <x:f>IF(L877="מאושר",IF(K877="הכנסה שסווגה מחדש",0,G877),0)</x:f>
        <x:v>92</x:v>
      </x:c>
      <x:c r="N877" s="20" t="n">
        <x:f>IF(K877="שוטף",M877,0)</x:f>
        <x:v>92</x:v>
      </x:c>
      <x:c r="O877" s="20" t="n">
        <x:f>IF(K877="הכנסה שסווגה מחדש",-G877,0)</x:f>
        <x:v>0</x:v>
      </x:c>
      <x:c r="P877" s="11" t="str">
        <x:v>אמקס עינור</x:v>
      </x:c>
      <x:c r="Q877" s="11" t="str"/>
      <x:c r="R877" s="11" t="str">
        <x:v>לא</x:v>
      </x:c>
    </x:row>
    <x:row r="878">
      <x:c r="A878" s="14" t="n">
        <x:v>45901</x:v>
      </x:c>
      <x:c r="B878" s="11" t="str">
        <x:v>2025-09</x:v>
      </x:c>
      <x:c r="C878" s="11" t="str">
        <x:v>ספטמבר 25</x:v>
      </x:c>
      <x:c r="D878" s="15" t="n">
        <x:v>44</x:v>
      </x:c>
      <x:c r="E878" s="11" t="str">
        <x:v>3</x:v>
      </x:c>
      <x:c r="F878" s="11" t="str">
        <x:v>מנוי גאפטה</x:v>
      </x:c>
      <x:c r="G878" s="17" t="n">
        <x:v>67</x:v>
      </x:c>
      <x:c r="H878" s="18" t="str">
        <x:v>אחר</x:v>
      </x:c>
      <x:c r="I878" s="19" t="str">
        <x:f>IFERROR(INDEX('מיפוי ומקורות'!$C$7:$C$33,MATCH(H878,'מיפוי ומקורות'!$B$7:$B$33,0)),"לא מסווג")</x:f>
        <x:v>אחר</x:v>
      </x:c>
      <x:c r="J878" s="19" t="str">
        <x:f>IFERROR(INDEX('מיפוי ומקורות'!$D$7:$D$33,MATCH(H878,'מיפוי ומקורות'!$B$7:$B$33,0)),"שוטף")</x:f>
        <x:v>שוטף</x:v>
      </x:c>
      <x:c r="K878" s="19" t="str">
        <x:f>IF(OR(H878="ריביות",AND(H878="דירה כצנלסון",G878&lt;0,ISNUMBER(SEARCH("הכנסה",F878)))),"הכנסה שסווגה מחדש",J878)</x:f>
        <x:v>שוטף</x:v>
      </x:c>
      <x:c r="L878" s="19" t="str">
        <x:v>מאושר</x:v>
      </x:c>
      <x:c r="M878" s="20" t="n">
        <x:f>IF(L878="מאושר",IF(K878="הכנסה שסווגה מחדש",0,G878),0)</x:f>
        <x:v>67</x:v>
      </x:c>
      <x:c r="N878" s="20" t="n">
        <x:f>IF(K878="שוטף",M878,0)</x:f>
        <x:v>67</x:v>
      </x:c>
      <x:c r="O878" s="20" t="n">
        <x:f>IF(K878="הכנסה שסווגה מחדש",-G878,0)</x:f>
        <x:v>0</x:v>
      </x:c>
      <x:c r="P878" s="11" t="str">
        <x:v>אמקס עינור</x:v>
      </x:c>
      <x:c r="Q878" s="11" t="str"/>
      <x:c r="R878" s="11" t="str">
        <x:v>לא</x:v>
      </x:c>
    </x:row>
    <x:row r="879">
      <x:c r="A879" s="14" t="n">
        <x:v>45901</x:v>
      </x:c>
      <x:c r="B879" s="11" t="str">
        <x:v>2025-09</x:v>
      </x:c>
      <x:c r="C879" s="11" t="str">
        <x:v>ספטמבר 25</x:v>
      </x:c>
      <x:c r="D879" s="15" t="n">
        <x:v>45</x:v>
      </x:c>
      <x:c r="E879" s="11" t="str">
        <x:v>4</x:v>
      </x:c>
      <x:c r="F879" s="11" t="str">
        <x:v>מאפיה</x:v>
      </x:c>
      <x:c r="G879" s="17" t="n">
        <x:v>24</x:v>
      </x:c>
      <x:c r="H879" s="18" t="str">
        <x:v>אוכל בחוץ</x:v>
      </x:c>
      <x:c r="I879" s="19" t="str">
        <x:f>IFERROR(INDEX('מיפוי ומקורות'!$C$7:$C$33,MATCH(H879,'מיפוי ומקורות'!$B$7:$B$33,0)),"לא מסווג")</x:f>
        <x:v>אוכל בחוץ</x:v>
      </x:c>
      <x:c r="J879" s="19" t="str">
        <x:f>IFERROR(INDEX('מיפוי ומקורות'!$D$7:$D$33,MATCH(H879,'מיפוי ומקורות'!$B$7:$B$33,0)),"שוטף")</x:f>
        <x:v>שוטף</x:v>
      </x:c>
      <x:c r="K879" s="19" t="str">
        <x:f>IF(OR(H879="ריביות",AND(H879="דירה כצנלסון",G879&lt;0,ISNUMBER(SEARCH("הכנסה",F879)))),"הכנסה שסווגה מחדש",J879)</x:f>
        <x:v>שוטף</x:v>
      </x:c>
      <x:c r="L879" s="19" t="str">
        <x:v>מאושר</x:v>
      </x:c>
      <x:c r="M879" s="20" t="n">
        <x:f>IF(L879="מאושר",IF(K879="הכנסה שסווגה מחדש",0,G879),0)</x:f>
        <x:v>24</x:v>
      </x:c>
      <x:c r="N879" s="20" t="n">
        <x:f>IF(K879="שוטף",M879,0)</x:f>
        <x:v>24</x:v>
      </x:c>
      <x:c r="O879" s="20" t="n">
        <x:f>IF(K879="הכנסה שסווגה מחדש",-G879,0)</x:f>
        <x:v>0</x:v>
      </x:c>
      <x:c r="P879" s="11" t="str">
        <x:v>אמקס עינור</x:v>
      </x:c>
      <x:c r="Q879" s="11" t="str"/>
      <x:c r="R879" s="11" t="str">
        <x:v>לא</x:v>
      </x:c>
    </x:row>
    <x:row r="880">
      <x:c r="A880" s="14" t="n">
        <x:v>45901</x:v>
      </x:c>
      <x:c r="B880" s="11" t="str">
        <x:v>2025-09</x:v>
      </x:c>
      <x:c r="C880" s="11" t="str">
        <x:v>ספטמבר 25</x:v>
      </x:c>
      <x:c r="D880" s="15" t="n">
        <x:v>46</x:v>
      </x:c>
      <x:c r="E880" s="11" t="str">
        <x:v>4</x:v>
      </x:c>
      <x:c r="F880" s="11" t="str">
        <x:v>ירקות</x:v>
      </x:c>
      <x:c r="G880" s="17" t="n">
        <x:v>13</x:v>
      </x:c>
      <x:c r="H880" s="18" t="str">
        <x:v>מזון לבית</x:v>
      </x:c>
      <x:c r="I880" s="19" t="str">
        <x:f>IFERROR(INDEX('מיפוי ומקורות'!$C$7:$C$33,MATCH(H880,'מיפוי ומקורות'!$B$7:$B$33,0)),"לא מסווג")</x:f>
        <x:v>מזון לבית</x:v>
      </x:c>
      <x:c r="J880" s="19" t="str">
        <x:f>IFERROR(INDEX('מיפוי ומקורות'!$D$7:$D$33,MATCH(H880,'מיפוי ומקורות'!$B$7:$B$33,0)),"שוטף")</x:f>
        <x:v>שוטף</x:v>
      </x:c>
      <x:c r="K880" s="19" t="str">
        <x:f>IF(OR(H880="ריביות",AND(H880="דירה כצנלסון",G880&lt;0,ISNUMBER(SEARCH("הכנסה",F880)))),"הכנסה שסווגה מחדש",J880)</x:f>
        <x:v>שוטף</x:v>
      </x:c>
      <x:c r="L880" s="19" t="str">
        <x:v>מאושר</x:v>
      </x:c>
      <x:c r="M880" s="20" t="n">
        <x:f>IF(L880="מאושר",IF(K880="הכנסה שסווגה מחדש",0,G880),0)</x:f>
        <x:v>13</x:v>
      </x:c>
      <x:c r="N880" s="20" t="n">
        <x:f>IF(K880="שוטף",M880,0)</x:f>
        <x:v>13</x:v>
      </x:c>
      <x:c r="O880" s="20" t="n">
        <x:f>IF(K880="הכנסה שסווגה מחדש",-G880,0)</x:f>
        <x:v>0</x:v>
      </x:c>
      <x:c r="P880" s="11" t="str">
        <x:v>אמקס עינור</x:v>
      </x:c>
      <x:c r="Q880" s="11" t="str"/>
      <x:c r="R880" s="11" t="str">
        <x:v>לא</x:v>
      </x:c>
    </x:row>
    <x:row r="881">
      <x:c r="A881" s="14" t="n">
        <x:v>45901</x:v>
      </x:c>
      <x:c r="B881" s="11" t="str">
        <x:v>2025-09</x:v>
      </x:c>
      <x:c r="C881" s="11" t="str">
        <x:v>ספטמבר 25</x:v>
      </x:c>
      <x:c r="D881" s="15" t="n">
        <x:v>47</x:v>
      </x:c>
      <x:c r="E881" s="11" t="str">
        <x:v>4</x:v>
      </x:c>
      <x:c r="F881" s="11" t="str">
        <x:v>מקס</x:v>
      </x:c>
      <x:c r="G881" s="17" t="n">
        <x:v>21</x:v>
      </x:c>
      <x:c r="H881" s="18" t="str">
        <x:v>קניות לבית</x:v>
      </x:c>
      <x:c r="I881" s="19" t="str">
        <x:f>IFERROR(INDEX('מיפוי ומקורות'!$C$7:$C$33,MATCH(H881,'מיפוי ומקורות'!$B$7:$B$33,0)),"לא מסווג")</x:f>
        <x:v>קניות לבית</x:v>
      </x:c>
      <x:c r="J881" s="19" t="str">
        <x:f>IFERROR(INDEX('מיפוי ומקורות'!$D$7:$D$33,MATCH(H881,'מיפוי ומקורות'!$B$7:$B$33,0)),"שוטף")</x:f>
        <x:v>שוטף</x:v>
      </x:c>
      <x:c r="K881" s="19" t="str">
        <x:f>IF(OR(H881="ריביות",AND(H881="דירה כצנלסון",G881&lt;0,ISNUMBER(SEARCH("הכנסה",F881)))),"הכנסה שסווגה מחדש",J881)</x:f>
        <x:v>שוטף</x:v>
      </x:c>
      <x:c r="L881" s="19" t="str">
        <x:v>מאושר</x:v>
      </x:c>
      <x:c r="M881" s="20" t="n">
        <x:f>IF(L881="מאושר",IF(K881="הכנסה שסווגה מחדש",0,G881),0)</x:f>
        <x:v>21</x:v>
      </x:c>
      <x:c r="N881" s="20" t="n">
        <x:f>IF(K881="שוטף",M881,0)</x:f>
        <x:v>21</x:v>
      </x:c>
      <x:c r="O881" s="20" t="n">
        <x:f>IF(K881="הכנסה שסווגה מחדש",-G881,0)</x:f>
        <x:v>0</x:v>
      </x:c>
      <x:c r="P881" s="11" t="str">
        <x:v>אמקס עינור</x:v>
      </x:c>
      <x:c r="Q881" s="11" t="str"/>
      <x:c r="R881" s="11" t="str">
        <x:v>לא</x:v>
      </x:c>
    </x:row>
    <x:row r="882">
      <x:c r="A882" s="14" t="n">
        <x:v>45901</x:v>
      </x:c>
      <x:c r="B882" s="11" t="str">
        <x:v>2025-09</x:v>
      </x:c>
      <x:c r="C882" s="11" t="str">
        <x:v>ספטמבר 25</x:v>
      </x:c>
      <x:c r="D882" s="15" t="n">
        <x:v>48</x:v>
      </x:c>
      <x:c r="E882" s="11" t="str">
        <x:v>5</x:v>
      </x:c>
      <x:c r="F882" s="11" t="str">
        <x:v>קלוק</x:v>
      </x:c>
      <x:c r="G882" s="17" t="n">
        <x:v>498</x:v>
      </x:c>
      <x:c r="H882" s="18" t="str">
        <x:v>חול</x:v>
      </x:c>
      <x:c r="I882" s="19" t="str">
        <x:f>IFERROR(INDEX('מיפוי ומקורות'!$C$7:$C$33,MATCH(H882,'מיפוי ומקורות'!$B$7:$B$33,0)),"לא מסווג")</x:f>
        <x:v>נסיעות וחופשות</x:v>
      </x:c>
      <x:c r="J882" s="19" t="str">
        <x:f>IFERROR(INDEX('מיפוי ומקורות'!$D$7:$D$33,MATCH(H882,'מיפוי ומקורות'!$B$7:$B$33,0)),"שוטף")</x:f>
        <x:v>חריג</x:v>
      </x:c>
      <x:c r="K882" s="19" t="str">
        <x:f>IF(OR(H882="ריביות",AND(H882="דירה כצנלסון",G882&lt;0,ISNUMBER(SEARCH("הכנסה",F882)))),"הכנסה שסווגה מחדש",J882)</x:f>
        <x:v>חריג</x:v>
      </x:c>
      <x:c r="L882" s="19" t="str">
        <x:v>מאושר</x:v>
      </x:c>
      <x:c r="M882" s="20" t="n">
        <x:f>IF(L882="מאושר",IF(K882="הכנסה שסווגה מחדש",0,G882),0)</x:f>
        <x:v>498</x:v>
      </x:c>
      <x:c r="N882" s="20" t="n">
        <x:f>IF(K882="שוטף",M882,0)</x:f>
        <x:v>0</x:v>
      </x:c>
      <x:c r="O882" s="20" t="n">
        <x:f>IF(K882="הכנסה שסווגה מחדש",-G882,0)</x:f>
        <x:v>0</x:v>
      </x:c>
      <x:c r="P882" s="11" t="str">
        <x:v>אמקס עינור</x:v>
      </x:c>
      <x:c r="Q882" s="11" t="str"/>
      <x:c r="R882" s="11" t="str">
        <x:v>לא</x:v>
      </x:c>
    </x:row>
    <x:row r="883">
      <x:c r="A883" s="14" t="n">
        <x:v>45901</x:v>
      </x:c>
      <x:c r="B883" s="11" t="str">
        <x:v>2025-09</x:v>
      </x:c>
      <x:c r="C883" s="11" t="str">
        <x:v>ספטמבר 25</x:v>
      </x:c>
      <x:c r="D883" s="15" t="n">
        <x:v>49</x:v>
      </x:c>
      <x:c r="E883" s="11" t="str">
        <x:v>5</x:v>
      </x:c>
      <x:c r="F883" s="11" t="str">
        <x:v>קלוק</x:v>
      </x:c>
      <x:c r="G883" s="17" t="n">
        <x:v>498</x:v>
      </x:c>
      <x:c r="H883" s="18" t="str">
        <x:v>חול</x:v>
      </x:c>
      <x:c r="I883" s="19" t="str">
        <x:f>IFERROR(INDEX('מיפוי ומקורות'!$C$7:$C$33,MATCH(H883,'מיפוי ומקורות'!$B$7:$B$33,0)),"לא מסווג")</x:f>
        <x:v>נסיעות וחופשות</x:v>
      </x:c>
      <x:c r="J883" s="19" t="str">
        <x:f>IFERROR(INDEX('מיפוי ומקורות'!$D$7:$D$33,MATCH(H883,'מיפוי ומקורות'!$B$7:$B$33,0)),"שוטף")</x:f>
        <x:v>חריג</x:v>
      </x:c>
      <x:c r="K883" s="19" t="str">
        <x:f>IF(OR(H883="ריביות",AND(H883="דירה כצנלסון",G883&lt;0,ISNUMBER(SEARCH("הכנסה",F883)))),"הכנסה שסווגה מחדש",J883)</x:f>
        <x:v>חריג</x:v>
      </x:c>
      <x:c r="L883" s="19" t="str">
        <x:v>מאושר</x:v>
      </x:c>
      <x:c r="M883" s="20" t="n">
        <x:f>IF(L883="מאושר",IF(K883="הכנסה שסווגה מחדש",0,G883),0)</x:f>
        <x:v>498</x:v>
      </x:c>
      <x:c r="N883" s="20" t="n">
        <x:f>IF(K883="שוטף",M883,0)</x:f>
        <x:v>0</x:v>
      </x:c>
      <x:c r="O883" s="20" t="n">
        <x:f>IF(K883="הכנסה שסווגה מחדש",-G883,0)</x:f>
        <x:v>0</x:v>
      </x:c>
      <x:c r="P883" s="11" t="str">
        <x:v>אמקס עינור</x:v>
      </x:c>
      <x:c r="Q883" s="11" t="str"/>
      <x:c r="R883" s="11" t="str">
        <x:v>לא</x:v>
      </x:c>
    </x:row>
    <x:row r="884">
      <x:c r="A884" s="14" t="n">
        <x:v>45901</x:v>
      </x:c>
      <x:c r="B884" s="11" t="str">
        <x:v>2025-09</x:v>
      </x:c>
      <x:c r="C884" s="11" t="str">
        <x:v>ספטמבר 25</x:v>
      </x:c>
      <x:c r="D884" s="15" t="n">
        <x:v>50</x:v>
      </x:c>
      <x:c r="E884" s="11" t="str">
        <x:v>6</x:v>
      </x:c>
      <x:c r="F884" s="11" t="str">
        <x:v>חלב</x:v>
      </x:c>
      <x:c r="G884" s="17" t="n">
        <x:v>7</x:v>
      </x:c>
      <x:c r="H884" s="18" t="str">
        <x:v>מזון לבית</x:v>
      </x:c>
      <x:c r="I884" s="19" t="str">
        <x:f>IFERROR(INDEX('מיפוי ומקורות'!$C$7:$C$33,MATCH(H884,'מיפוי ומקורות'!$B$7:$B$33,0)),"לא מסווג")</x:f>
        <x:v>מזון לבית</x:v>
      </x:c>
      <x:c r="J884" s="19" t="str">
        <x:f>IFERROR(INDEX('מיפוי ומקורות'!$D$7:$D$33,MATCH(H884,'מיפוי ומקורות'!$B$7:$B$33,0)),"שוטף")</x:f>
        <x:v>שוטף</x:v>
      </x:c>
      <x:c r="K884" s="19" t="str">
        <x:f>IF(OR(H884="ריביות",AND(H884="דירה כצנלסון",G884&lt;0,ISNUMBER(SEARCH("הכנסה",F884)))),"הכנסה שסווגה מחדש",J884)</x:f>
        <x:v>שוטף</x:v>
      </x:c>
      <x:c r="L884" s="19" t="str">
        <x:v>מאושר</x:v>
      </x:c>
      <x:c r="M884" s="20" t="n">
        <x:f>IF(L884="מאושר",IF(K884="הכנסה שסווגה מחדש",0,G884),0)</x:f>
        <x:v>7</x:v>
      </x:c>
      <x:c r="N884" s="20" t="n">
        <x:f>IF(K884="שוטף",M884,0)</x:f>
        <x:v>7</x:v>
      </x:c>
      <x:c r="O884" s="20" t="n">
        <x:f>IF(K884="הכנסה שסווגה מחדש",-G884,0)</x:f>
        <x:v>0</x:v>
      </x:c>
      <x:c r="P884" s="11" t="str">
        <x:v>אמקס עינור</x:v>
      </x:c>
      <x:c r="Q884" s="11" t="str"/>
      <x:c r="R884" s="11" t="str">
        <x:v>לא</x:v>
      </x:c>
    </x:row>
    <x:row r="885">
      <x:c r="A885" s="14" t="n">
        <x:v>45901</x:v>
      </x:c>
      <x:c r="B885" s="11" t="str">
        <x:v>2025-09</x:v>
      </x:c>
      <x:c r="C885" s="11" t="str">
        <x:v>ספטמבר 25</x:v>
      </x:c>
      <x:c r="D885" s="15" t="n">
        <x:v>51</x:v>
      </x:c>
      <x:c r="E885" s="11" t="str">
        <x:v>6</x:v>
      </x:c>
      <x:c r="F885" s="11" t="str">
        <x:v>יין</x:v>
      </x:c>
      <x:c r="G885" s="17" t="n">
        <x:v>69</x:v>
      </x:c>
      <x:c r="H885" s="18" t="str">
        <x:v>מזון לבית</x:v>
      </x:c>
      <x:c r="I885" s="19" t="str">
        <x:f>IFERROR(INDEX('מיפוי ומקורות'!$C$7:$C$33,MATCH(H885,'מיפוי ומקורות'!$B$7:$B$33,0)),"לא מסווג")</x:f>
        <x:v>מזון לבית</x:v>
      </x:c>
      <x:c r="J885" s="19" t="str">
        <x:f>IFERROR(INDEX('מיפוי ומקורות'!$D$7:$D$33,MATCH(H885,'מיפוי ומקורות'!$B$7:$B$33,0)),"שוטף")</x:f>
        <x:v>שוטף</x:v>
      </x:c>
      <x:c r="K885" s="19" t="str">
        <x:f>IF(OR(H885="ריביות",AND(H885="דירה כצנלסון",G885&lt;0,ISNUMBER(SEARCH("הכנסה",F885)))),"הכנסה שסווגה מחדש",J885)</x:f>
        <x:v>שוטף</x:v>
      </x:c>
      <x:c r="L885" s="19" t="str">
        <x:v>מאושר</x:v>
      </x:c>
      <x:c r="M885" s="20" t="n">
        <x:f>IF(L885="מאושר",IF(K885="הכנסה שסווגה מחדש",0,G885),0)</x:f>
        <x:v>69</x:v>
      </x:c>
      <x:c r="N885" s="20" t="n">
        <x:f>IF(K885="שוטף",M885,0)</x:f>
        <x:v>69</x:v>
      </x:c>
      <x:c r="O885" s="20" t="n">
        <x:f>IF(K885="הכנסה שסווגה מחדש",-G885,0)</x:f>
        <x:v>0</x:v>
      </x:c>
      <x:c r="P885" s="11" t="str">
        <x:v>אמקס עינור</x:v>
      </x:c>
      <x:c r="Q885" s="11" t="str"/>
      <x:c r="R885" s="11" t="str">
        <x:v>לא</x:v>
      </x:c>
    </x:row>
    <x:row r="886">
      <x:c r="A886" s="14" t="n">
        <x:v>45901</x:v>
      </x:c>
      <x:c r="B886" s="11" t="str">
        <x:v>2025-09</x:v>
      </x:c>
      <x:c r="C886" s="11" t="str">
        <x:v>ספטמבר 25</x:v>
      </x:c>
      <x:c r="D886" s="15" t="n">
        <x:v>52</x:v>
      </x:c>
      <x:c r="E886" s="11" t="str">
        <x:v>7</x:v>
      </x:c>
      <x:c r="F886" s="11" t="str">
        <x:v>קרמיקה</x:v>
      </x:c>
      <x:c r="G886" s="17" t="n">
        <x:v>700</x:v>
      </x:c>
      <x:c r="H886" s="18" t="str">
        <x:v>תחביבים</x:v>
      </x:c>
      <x:c r="I886" s="19" t="str">
        <x:f>IFERROR(INDEX('מיפוי ומקורות'!$C$7:$C$33,MATCH(H886,'מיפוי ומקורות'!$B$7:$B$33,0)),"לא מסווג")</x:f>
        <x:v>תחביבים ומיג'י</x:v>
      </x:c>
      <x:c r="J886" s="19" t="str">
        <x:f>IFERROR(INDEX('מיפוי ומקורות'!$D$7:$D$33,MATCH(H886,'מיפוי ומקורות'!$B$7:$B$33,0)),"שוטף")</x:f>
        <x:v>שוטף</x:v>
      </x:c>
      <x:c r="K886" s="19" t="str">
        <x:f>IF(OR(H886="ריביות",AND(H886="דירה כצנלסון",G886&lt;0,ISNUMBER(SEARCH("הכנסה",F886)))),"הכנסה שסווגה מחדש",J886)</x:f>
        <x:v>שוטף</x:v>
      </x:c>
      <x:c r="L886" s="19" t="str">
        <x:v>מאושר</x:v>
      </x:c>
      <x:c r="M886" s="20" t="n">
        <x:f>IF(L886="מאושר",IF(K886="הכנסה שסווגה מחדש",0,G886),0)</x:f>
        <x:v>700</x:v>
      </x:c>
      <x:c r="N886" s="20" t="n">
        <x:f>IF(K886="שוטף",M886,0)</x:f>
        <x:v>700</x:v>
      </x:c>
      <x:c r="O886" s="20" t="n">
        <x:f>IF(K886="הכנסה שסווגה מחדש",-G886,0)</x:f>
        <x:v>0</x:v>
      </x:c>
      <x:c r="P886" s="11" t="str">
        <x:v>אמקס עינור</x:v>
      </x:c>
      <x:c r="Q886" s="11" t="str"/>
      <x:c r="R886" s="11" t="str">
        <x:v>לא</x:v>
      </x:c>
    </x:row>
    <x:row r="887">
      <x:c r="A887" s="14" t="n">
        <x:v>45901</x:v>
      </x:c>
      <x:c r="B887" s="11" t="str">
        <x:v>2025-09</x:v>
      </x:c>
      <x:c r="C887" s="11" t="str">
        <x:v>ספטמבר 25</x:v>
      </x:c>
      <x:c r="D887" s="15" t="n">
        <x:v>53</x:v>
      </x:c>
      <x:c r="E887" s="11" t="str">
        <x:v>7</x:v>
      </x:c>
      <x:c r="F887" s="11" t="str">
        <x:v>סושי</x:v>
      </x:c>
      <x:c r="G887" s="17" t="n">
        <x:v>132</x:v>
      </x:c>
      <x:c r="H887" s="18" t="str">
        <x:v>אוכל בחוץ</x:v>
      </x:c>
      <x:c r="I887" s="19" t="str">
        <x:f>IFERROR(INDEX('מיפוי ומקורות'!$C$7:$C$33,MATCH(H887,'מיפוי ומקורות'!$B$7:$B$33,0)),"לא מסווג")</x:f>
        <x:v>אוכל בחוץ</x:v>
      </x:c>
      <x:c r="J887" s="19" t="str">
        <x:f>IFERROR(INDEX('מיפוי ומקורות'!$D$7:$D$33,MATCH(H887,'מיפוי ומקורות'!$B$7:$B$33,0)),"שוטף")</x:f>
        <x:v>שוטף</x:v>
      </x:c>
      <x:c r="K887" s="19" t="str">
        <x:f>IF(OR(H887="ריביות",AND(H887="דירה כצנלסון",G887&lt;0,ISNUMBER(SEARCH("הכנסה",F887)))),"הכנסה שסווגה מחדש",J887)</x:f>
        <x:v>שוטף</x:v>
      </x:c>
      <x:c r="L887" s="19" t="str">
        <x:v>מאושר</x:v>
      </x:c>
      <x:c r="M887" s="20" t="n">
        <x:f>IF(L887="מאושר",IF(K887="הכנסה שסווגה מחדש",0,G887),0)</x:f>
        <x:v>132</x:v>
      </x:c>
      <x:c r="N887" s="20" t="n">
        <x:f>IF(K887="שוטף",M887,0)</x:f>
        <x:v>132</x:v>
      </x:c>
      <x:c r="O887" s="20" t="n">
        <x:f>IF(K887="הכנסה שסווגה מחדש",-G887,0)</x:f>
        <x:v>0</x:v>
      </x:c>
      <x:c r="P887" s="11" t="str">
        <x:v>אמקס עינור</x:v>
      </x:c>
      <x:c r="Q887" s="11" t="str"/>
      <x:c r="R887" s="11" t="str">
        <x:v>לא</x:v>
      </x:c>
    </x:row>
    <x:row r="888">
      <x:c r="A888" s="14" t="n">
        <x:v>45901</x:v>
      </x:c>
      <x:c r="B888" s="11" t="str">
        <x:v>2025-09</x:v>
      </x:c>
      <x:c r="C888" s="11" t="str">
        <x:v>ספטמבר 25</x:v>
      </x:c>
      <x:c r="D888" s="15" t="n">
        <x:v>54</x:v>
      </x:c>
      <x:c r="E888" s="11" t="str">
        <x:v>8</x:v>
      </x:c>
      <x:c r="F888" s="11" t="str">
        <x:v>קפה</x:v>
      </x:c>
      <x:c r="G888" s="17" t="n">
        <x:v>18</x:v>
      </x:c>
      <x:c r="H888" s="18" t="str">
        <x:v>אוכל בחוץ</x:v>
      </x:c>
      <x:c r="I888" s="19" t="str">
        <x:f>IFERROR(INDEX('מיפוי ומקורות'!$C$7:$C$33,MATCH(H888,'מיפוי ומקורות'!$B$7:$B$33,0)),"לא מסווג")</x:f>
        <x:v>אוכל בחוץ</x:v>
      </x:c>
      <x:c r="J888" s="19" t="str">
        <x:f>IFERROR(INDEX('מיפוי ומקורות'!$D$7:$D$33,MATCH(H888,'מיפוי ומקורות'!$B$7:$B$33,0)),"שוטף")</x:f>
        <x:v>שוטף</x:v>
      </x:c>
      <x:c r="K888" s="19" t="str">
        <x:f>IF(OR(H888="ריביות",AND(H888="דירה כצנלסון",G888&lt;0,ISNUMBER(SEARCH("הכנסה",F888)))),"הכנסה שסווגה מחדש",J888)</x:f>
        <x:v>שוטף</x:v>
      </x:c>
      <x:c r="L888" s="19" t="str">
        <x:v>מאושר</x:v>
      </x:c>
      <x:c r="M888" s="20" t="n">
        <x:f>IF(L888="מאושר",IF(K888="הכנסה שסווגה מחדש",0,G888),0)</x:f>
        <x:v>18</x:v>
      </x:c>
      <x:c r="N888" s="20" t="n">
        <x:f>IF(K888="שוטף",M888,0)</x:f>
        <x:v>18</x:v>
      </x:c>
      <x:c r="O888" s="20" t="n">
        <x:f>IF(K888="הכנסה שסווגה מחדש",-G888,0)</x:f>
        <x:v>0</x:v>
      </x:c>
      <x:c r="P888" s="11" t="str">
        <x:v>אמקס עינור</x:v>
      </x:c>
      <x:c r="Q888" s="11" t="str"/>
      <x:c r="R888" s="11" t="str">
        <x:v>לא</x:v>
      </x:c>
    </x:row>
    <x:row r="889">
      <x:c r="A889" s="14" t="n">
        <x:v>45901</x:v>
      </x:c>
      <x:c r="B889" s="11" t="str">
        <x:v>2025-09</x:v>
      </x:c>
      <x:c r="C889" s="11" t="str">
        <x:v>ספטמבר 25</x:v>
      </x:c>
      <x:c r="D889" s="15" t="n">
        <x:v>55</x:v>
      </x:c>
      <x:c r="E889" s="11" t="str">
        <x:v>9</x:v>
      </x:c>
      <x:c r="F889" s="11" t="str">
        <x:v>מסעדה</x:v>
      </x:c>
      <x:c r="G889" s="17" t="n">
        <x:v>114</x:v>
      </x:c>
      <x:c r="H889" s="18" t="str">
        <x:v>אוכל בחוץ</x:v>
      </x:c>
      <x:c r="I889" s="19" t="str">
        <x:f>IFERROR(INDEX('מיפוי ומקורות'!$C$7:$C$33,MATCH(H889,'מיפוי ומקורות'!$B$7:$B$33,0)),"לא מסווג")</x:f>
        <x:v>אוכל בחוץ</x:v>
      </x:c>
      <x:c r="J889" s="19" t="str">
        <x:f>IFERROR(INDEX('מיפוי ומקורות'!$D$7:$D$33,MATCH(H889,'מיפוי ומקורות'!$B$7:$B$33,0)),"שוטף")</x:f>
        <x:v>שוטף</x:v>
      </x:c>
      <x:c r="K889" s="19" t="str">
        <x:f>IF(OR(H889="ריביות",AND(H889="דירה כצנלסון",G889&lt;0,ISNUMBER(SEARCH("הכנסה",F889)))),"הכנסה שסווגה מחדש",J889)</x:f>
        <x:v>שוטף</x:v>
      </x:c>
      <x:c r="L889" s="19" t="str">
        <x:v>מאושר</x:v>
      </x:c>
      <x:c r="M889" s="20" t="n">
        <x:f>IF(L889="מאושר",IF(K889="הכנסה שסווגה מחדש",0,G889),0)</x:f>
        <x:v>114</x:v>
      </x:c>
      <x:c r="N889" s="20" t="n">
        <x:f>IF(K889="שוטף",M889,0)</x:f>
        <x:v>114</x:v>
      </x:c>
      <x:c r="O889" s="20" t="n">
        <x:f>IF(K889="הכנסה שסווגה מחדש",-G889,0)</x:f>
        <x:v>0</x:v>
      </x:c>
      <x:c r="P889" s="11" t="str">
        <x:v>אמקס עינור</x:v>
      </x:c>
      <x:c r="Q889" s="11" t="str"/>
      <x:c r="R889" s="11" t="str">
        <x:v>לא</x:v>
      </x:c>
    </x:row>
    <x:row r="890">
      <x:c r="A890" s="14" t="n">
        <x:v>45901</x:v>
      </x:c>
      <x:c r="B890" s="11" t="str">
        <x:v>2025-09</x:v>
      </x:c>
      <x:c r="C890" s="11" t="str">
        <x:v>ספטמבר 25</x:v>
      </x:c>
      <x:c r="D890" s="15" t="n">
        <x:v>56</x:v>
      </x:c>
      <x:c r="E890" s="11" t="str">
        <x:v>10</x:v>
      </x:c>
      <x:c r="F890" s="11" t="str">
        <x:v>קפה</x:v>
      </x:c>
      <x:c r="G890" s="17" t="n">
        <x:v>17</x:v>
      </x:c>
      <x:c r="H890" s="18" t="str">
        <x:v>אוכל בחוץ</x:v>
      </x:c>
      <x:c r="I890" s="19" t="str">
        <x:f>IFERROR(INDEX('מיפוי ומקורות'!$C$7:$C$33,MATCH(H890,'מיפוי ומקורות'!$B$7:$B$33,0)),"לא מסווג")</x:f>
        <x:v>אוכל בחוץ</x:v>
      </x:c>
      <x:c r="J890" s="19" t="str">
        <x:f>IFERROR(INDEX('מיפוי ומקורות'!$D$7:$D$33,MATCH(H890,'מיפוי ומקורות'!$B$7:$B$33,0)),"שוטף")</x:f>
        <x:v>שוטף</x:v>
      </x:c>
      <x:c r="K890" s="19" t="str">
        <x:f>IF(OR(H890="ריביות",AND(H890="דירה כצנלסון",G890&lt;0,ISNUMBER(SEARCH("הכנסה",F890)))),"הכנסה שסווגה מחדש",J890)</x:f>
        <x:v>שוטף</x:v>
      </x:c>
      <x:c r="L890" s="19" t="str">
        <x:v>מאושר</x:v>
      </x:c>
      <x:c r="M890" s="20" t="n">
        <x:f>IF(L890="מאושר",IF(K890="הכנסה שסווגה מחדש",0,G890),0)</x:f>
        <x:v>17</x:v>
      </x:c>
      <x:c r="N890" s="20" t="n">
        <x:f>IF(K890="שוטף",M890,0)</x:f>
        <x:v>17</x:v>
      </x:c>
      <x:c r="O890" s="20" t="n">
        <x:f>IF(K890="הכנסה שסווגה מחדש",-G890,0)</x:f>
        <x:v>0</x:v>
      </x:c>
      <x:c r="P890" s="11" t="str">
        <x:v>אמקס עינור</x:v>
      </x:c>
      <x:c r="Q890" s="11" t="str"/>
      <x:c r="R890" s="11" t="str">
        <x:v>לא</x:v>
      </x:c>
    </x:row>
    <x:row r="891">
      <x:c r="A891" s="14" t="n">
        <x:v>45901</x:v>
      </x:c>
      <x:c r="B891" s="11" t="str">
        <x:v>2025-09</x:v>
      </x:c>
      <x:c r="C891" s="11" t="str">
        <x:v>ספטמבר 25</x:v>
      </x:c>
      <x:c r="D891" s="15" t="n">
        <x:v>57</x:v>
      </x:c>
      <x:c r="E891" s="11" t="str">
        <x:v>11</x:v>
      </x:c>
      <x:c r="F891" s="11" t="str">
        <x:v>סופר</x:v>
      </x:c>
      <x:c r="G891" s="17" t="n">
        <x:v>946</x:v>
      </x:c>
      <x:c r="H891" s="18" t="str">
        <x:v>מזון לבית</x:v>
      </x:c>
      <x:c r="I891" s="19" t="str">
        <x:f>IFERROR(INDEX('מיפוי ומקורות'!$C$7:$C$33,MATCH(H891,'מיפוי ומקורות'!$B$7:$B$33,0)),"לא מסווג")</x:f>
        <x:v>מזון לבית</x:v>
      </x:c>
      <x:c r="J891" s="19" t="str">
        <x:f>IFERROR(INDEX('מיפוי ומקורות'!$D$7:$D$33,MATCH(H891,'מיפוי ומקורות'!$B$7:$B$33,0)),"שוטף")</x:f>
        <x:v>שוטף</x:v>
      </x:c>
      <x:c r="K891" s="19" t="str">
        <x:f>IF(OR(H891="ריביות",AND(H891="דירה כצנלסון",G891&lt;0,ISNUMBER(SEARCH("הכנסה",F891)))),"הכנסה שסווגה מחדש",J891)</x:f>
        <x:v>שוטף</x:v>
      </x:c>
      <x:c r="L891" s="19" t="str">
        <x:v>מאושר</x:v>
      </x:c>
      <x:c r="M891" s="20" t="n">
        <x:f>IF(L891="מאושר",IF(K891="הכנסה שסווגה מחדש",0,G891),0)</x:f>
        <x:v>946</x:v>
      </x:c>
      <x:c r="N891" s="20" t="n">
        <x:f>IF(K891="שוטף",M891,0)</x:f>
        <x:v>946</x:v>
      </x:c>
      <x:c r="O891" s="20" t="n">
        <x:f>IF(K891="הכנסה שסווגה מחדש",-G891,0)</x:f>
        <x:v>0</x:v>
      </x:c>
      <x:c r="P891" s="11" t="str">
        <x:v>אמקס עינור</x:v>
      </x:c>
      <x:c r="Q891" s="11" t="str"/>
      <x:c r="R891" s="11" t="str">
        <x:v>לא</x:v>
      </x:c>
    </x:row>
    <x:row r="892">
      <x:c r="A892" s="14" t="n">
        <x:v>45901</x:v>
      </x:c>
      <x:c r="B892" s="11" t="str">
        <x:v>2025-09</x:v>
      </x:c>
      <x:c r="C892" s="11" t="str">
        <x:v>ספטמבר 25</x:v>
      </x:c>
      <x:c r="D892" s="15" t="n">
        <x:v>58</x:v>
      </x:c>
      <x:c r="E892" s="11" t="str">
        <x:v>11</x:v>
      </x:c>
      <x:c r="F892" s="11" t="str">
        <x:v>מסעדה</x:v>
      </x:c>
      <x:c r="G892" s="17" t="n">
        <x:v>92</x:v>
      </x:c>
      <x:c r="H892" s="18" t="str">
        <x:v>אוכל בחוץ</x:v>
      </x:c>
      <x:c r="I892" s="19" t="str">
        <x:f>IFERROR(INDEX('מיפוי ומקורות'!$C$7:$C$33,MATCH(H892,'מיפוי ומקורות'!$B$7:$B$33,0)),"לא מסווג")</x:f>
        <x:v>אוכל בחוץ</x:v>
      </x:c>
      <x:c r="J892" s="19" t="str">
        <x:f>IFERROR(INDEX('מיפוי ומקורות'!$D$7:$D$33,MATCH(H892,'מיפוי ומקורות'!$B$7:$B$33,0)),"שוטף")</x:f>
        <x:v>שוטף</x:v>
      </x:c>
      <x:c r="K892" s="19" t="str">
        <x:f>IF(OR(H892="ריביות",AND(H892="דירה כצנלסון",G892&lt;0,ISNUMBER(SEARCH("הכנסה",F892)))),"הכנסה שסווגה מחדש",J892)</x:f>
        <x:v>שוטף</x:v>
      </x:c>
      <x:c r="L892" s="19" t="str">
        <x:v>מאושר</x:v>
      </x:c>
      <x:c r="M892" s="20" t="n">
        <x:f>IF(L892="מאושר",IF(K892="הכנסה שסווגה מחדש",0,G892),0)</x:f>
        <x:v>92</x:v>
      </x:c>
      <x:c r="N892" s="20" t="n">
        <x:f>IF(K892="שוטף",M892,0)</x:f>
        <x:v>92</x:v>
      </x:c>
      <x:c r="O892" s="20" t="n">
        <x:f>IF(K892="הכנסה שסווגה מחדש",-G892,0)</x:f>
        <x:v>0</x:v>
      </x:c>
      <x:c r="P892" s="11" t="str">
        <x:v>אמקס עינור</x:v>
      </x:c>
      <x:c r="Q892" s="11" t="str"/>
      <x:c r="R892" s="11" t="str">
        <x:v>לא</x:v>
      </x:c>
    </x:row>
    <x:row r="893">
      <x:c r="A893" s="14" t="n">
        <x:v>45901</x:v>
      </x:c>
      <x:c r="B893" s="11" t="str">
        <x:v>2025-09</x:v>
      </x:c>
      <x:c r="C893" s="11" t="str">
        <x:v>ספטמבר 25</x:v>
      </x:c>
      <x:c r="D893" s="15" t="n">
        <x:v>59</x:v>
      </x:c>
      <x:c r="E893" s="11" t="str">
        <x:v>11</x:v>
      </x:c>
      <x:c r="F893" s="11" t="str">
        <x:v>מכולת</x:v>
      </x:c>
      <x:c r="G893" s="17" t="n">
        <x:v>70</x:v>
      </x:c>
      <x:c r="H893" s="18" t="str">
        <x:v>מזון לבית</x:v>
      </x:c>
      <x:c r="I893" s="19" t="str">
        <x:f>IFERROR(INDEX('מיפוי ומקורות'!$C$7:$C$33,MATCH(H893,'מיפוי ומקורות'!$B$7:$B$33,0)),"לא מסווג")</x:f>
        <x:v>מזון לבית</x:v>
      </x:c>
      <x:c r="J893" s="19" t="str">
        <x:f>IFERROR(INDEX('מיפוי ומקורות'!$D$7:$D$33,MATCH(H893,'מיפוי ומקורות'!$B$7:$B$33,0)),"שוטף")</x:f>
        <x:v>שוטף</x:v>
      </x:c>
      <x:c r="K893" s="19" t="str">
        <x:f>IF(OR(H893="ריביות",AND(H893="דירה כצנלסון",G893&lt;0,ISNUMBER(SEARCH("הכנסה",F893)))),"הכנסה שסווגה מחדש",J893)</x:f>
        <x:v>שוטף</x:v>
      </x:c>
      <x:c r="L893" s="19" t="str">
        <x:v>מאושר</x:v>
      </x:c>
      <x:c r="M893" s="20" t="n">
        <x:f>IF(L893="מאושר",IF(K893="הכנסה שסווגה מחדש",0,G893),0)</x:f>
        <x:v>70</x:v>
      </x:c>
      <x:c r="N893" s="20" t="n">
        <x:f>IF(K893="שוטף",M893,0)</x:f>
        <x:v>70</x:v>
      </x:c>
      <x:c r="O893" s="20" t="n">
        <x:f>IF(K893="הכנסה שסווגה מחדש",-G893,0)</x:f>
        <x:v>0</x:v>
      </x:c>
      <x:c r="P893" s="11" t="str">
        <x:v>אמקס עינור</x:v>
      </x:c>
      <x:c r="Q893" s="11" t="str"/>
      <x:c r="R893" s="11" t="str">
        <x:v>לא</x:v>
      </x:c>
    </x:row>
    <x:row r="894">
      <x:c r="A894" s="14" t="n">
        <x:v>45901</x:v>
      </x:c>
      <x:c r="B894" s="11" t="str">
        <x:v>2025-09</x:v>
      </x:c>
      <x:c r="C894" s="11" t="str">
        <x:v>ספטמבר 25</x:v>
      </x:c>
      <x:c r="D894" s="15" t="n">
        <x:v>60</x:v>
      </x:c>
      <x:c r="E894" s="11" t="str">
        <x:v>12</x:v>
      </x:c>
      <x:c r="F894" s="11" t="str">
        <x:v>מסעדה</x:v>
      </x:c>
      <x:c r="G894" s="17" t="n">
        <x:v>71</x:v>
      </x:c>
      <x:c r="H894" s="18" t="str">
        <x:v>אוכל בחוץ</x:v>
      </x:c>
      <x:c r="I894" s="19" t="str">
        <x:f>IFERROR(INDEX('מיפוי ומקורות'!$C$7:$C$33,MATCH(H894,'מיפוי ומקורות'!$B$7:$B$33,0)),"לא מסווג")</x:f>
        <x:v>אוכל בחוץ</x:v>
      </x:c>
      <x:c r="J894" s="19" t="str">
        <x:f>IFERROR(INDEX('מיפוי ומקורות'!$D$7:$D$33,MATCH(H894,'מיפוי ומקורות'!$B$7:$B$33,0)),"שוטף")</x:f>
        <x:v>שוטף</x:v>
      </x:c>
      <x:c r="K894" s="19" t="str">
        <x:f>IF(OR(H894="ריביות",AND(H894="דירה כצנלסון",G894&lt;0,ISNUMBER(SEARCH("הכנסה",F894)))),"הכנסה שסווגה מחדש",J894)</x:f>
        <x:v>שוטף</x:v>
      </x:c>
      <x:c r="L894" s="19" t="str">
        <x:v>מאושר</x:v>
      </x:c>
      <x:c r="M894" s="20" t="n">
        <x:f>IF(L894="מאושר",IF(K894="הכנסה שסווגה מחדש",0,G894),0)</x:f>
        <x:v>71</x:v>
      </x:c>
      <x:c r="N894" s="20" t="n">
        <x:f>IF(K894="שוטף",M894,0)</x:f>
        <x:v>71</x:v>
      </x:c>
      <x:c r="O894" s="20" t="n">
        <x:f>IF(K894="הכנסה שסווגה מחדש",-G894,0)</x:f>
        <x:v>0</x:v>
      </x:c>
      <x:c r="P894" s="11" t="str">
        <x:v>אמקס עינור</x:v>
      </x:c>
      <x:c r="Q894" s="11" t="str"/>
      <x:c r="R894" s="11" t="str">
        <x:v>לא</x:v>
      </x:c>
    </x:row>
    <x:row r="895">
      <x:c r="A895" s="14" t="n">
        <x:v>45901</x:v>
      </x:c>
      <x:c r="B895" s="11" t="str">
        <x:v>2025-09</x:v>
      </x:c>
      <x:c r="C895" s="11" t="str">
        <x:v>ספטמבר 25</x:v>
      </x:c>
      <x:c r="D895" s="15" t="n">
        <x:v>61</x:v>
      </x:c>
      <x:c r="E895" s="11" t="str">
        <x:v>12</x:v>
      </x:c>
      <x:c r="F895" s="11" t="str">
        <x:v>פיצוציה</x:v>
      </x:c>
      <x:c r="G895" s="17" t="n">
        <x:v>13</x:v>
      </x:c>
      <x:c r="H895" s="18" t="str">
        <x:v>אוכל בחוץ</x:v>
      </x:c>
      <x:c r="I895" s="19" t="str">
        <x:f>IFERROR(INDEX('מיפוי ומקורות'!$C$7:$C$33,MATCH(H895,'מיפוי ומקורות'!$B$7:$B$33,0)),"לא מסווג")</x:f>
        <x:v>אוכל בחוץ</x:v>
      </x:c>
      <x:c r="J895" s="19" t="str">
        <x:f>IFERROR(INDEX('מיפוי ומקורות'!$D$7:$D$33,MATCH(H895,'מיפוי ומקורות'!$B$7:$B$33,0)),"שוטף")</x:f>
        <x:v>שוטף</x:v>
      </x:c>
      <x:c r="K895" s="19" t="str">
        <x:f>IF(OR(H895="ריביות",AND(H895="דירה כצנלסון",G895&lt;0,ISNUMBER(SEARCH("הכנסה",F895)))),"הכנסה שסווגה מחדש",J895)</x:f>
        <x:v>שוטף</x:v>
      </x:c>
      <x:c r="L895" s="19" t="str">
        <x:v>מאושר</x:v>
      </x:c>
      <x:c r="M895" s="20" t="n">
        <x:f>IF(L895="מאושר",IF(K895="הכנסה שסווגה מחדש",0,G895),0)</x:f>
        <x:v>13</x:v>
      </x:c>
      <x:c r="N895" s="20" t="n">
        <x:f>IF(K895="שוטף",M895,0)</x:f>
        <x:v>13</x:v>
      </x:c>
      <x:c r="O895" s="20" t="n">
        <x:f>IF(K895="הכנסה שסווגה מחדש",-G895,0)</x:f>
        <x:v>0</x:v>
      </x:c>
      <x:c r="P895" s="11" t="str">
        <x:v>אמקס עינור</x:v>
      </x:c>
      <x:c r="Q895" s="11" t="str"/>
      <x:c r="R895" s="11" t="str">
        <x:v>לא</x:v>
      </x:c>
    </x:row>
    <x:row r="896">
      <x:c r="A896" s="14" t="n">
        <x:v>45901</x:v>
      </x:c>
      <x:c r="B896" s="11" t="str">
        <x:v>2025-09</x:v>
      </x:c>
      <x:c r="C896" s="11" t="str">
        <x:v>ספטמבר 25</x:v>
      </x:c>
      <x:c r="D896" s="15" t="n">
        <x:v>62</x:v>
      </x:c>
      <x:c r="E896" s="11" t="str">
        <x:v>13</x:v>
      </x:c>
      <x:c r="F896" s="11" t="str">
        <x:v>סופר</x:v>
      </x:c>
      <x:c r="G896" s="17" t="n">
        <x:v>41</x:v>
      </x:c>
      <x:c r="H896" s="18" t="str">
        <x:v>מזון לבית</x:v>
      </x:c>
      <x:c r="I896" s="19" t="str">
        <x:f>IFERROR(INDEX('מיפוי ומקורות'!$C$7:$C$33,MATCH(H896,'מיפוי ומקורות'!$B$7:$B$33,0)),"לא מסווג")</x:f>
        <x:v>מזון לבית</x:v>
      </x:c>
      <x:c r="J896" s="19" t="str">
        <x:f>IFERROR(INDEX('מיפוי ומקורות'!$D$7:$D$33,MATCH(H896,'מיפוי ומקורות'!$B$7:$B$33,0)),"שוטף")</x:f>
        <x:v>שוטף</x:v>
      </x:c>
      <x:c r="K896" s="19" t="str">
        <x:f>IF(OR(H896="ריביות",AND(H896="דירה כצנלסון",G896&lt;0,ISNUMBER(SEARCH("הכנסה",F896)))),"הכנסה שסווגה מחדש",J896)</x:f>
        <x:v>שוטף</x:v>
      </x:c>
      <x:c r="L896" s="19" t="str">
        <x:v>מאושר</x:v>
      </x:c>
      <x:c r="M896" s="20" t="n">
        <x:f>IF(L896="מאושר",IF(K896="הכנסה שסווגה מחדש",0,G896),0)</x:f>
        <x:v>41</x:v>
      </x:c>
      <x:c r="N896" s="20" t="n">
        <x:f>IF(K896="שוטף",M896,0)</x:f>
        <x:v>41</x:v>
      </x:c>
      <x:c r="O896" s="20" t="n">
        <x:f>IF(K896="הכנסה שסווגה מחדש",-G896,0)</x:f>
        <x:v>0</x:v>
      </x:c>
      <x:c r="P896" s="11" t="str">
        <x:v>אמקס עינור</x:v>
      </x:c>
      <x:c r="Q896" s="11" t="str"/>
      <x:c r="R896" s="11" t="str">
        <x:v>לא</x:v>
      </x:c>
    </x:row>
    <x:row r="897">
      <x:c r="A897" s="14" t="n">
        <x:v>45901</x:v>
      </x:c>
      <x:c r="B897" s="11" t="str">
        <x:v>2025-09</x:v>
      </x:c>
      <x:c r="C897" s="11" t="str">
        <x:v>ספטמבר 25</x:v>
      </x:c>
      <x:c r="D897" s="15" t="n">
        <x:v>63</x:v>
      </x:c>
      <x:c r="E897" s="11" t="str">
        <x:v>15</x:v>
      </x:c>
      <x:c r="F897" s="11" t="str">
        <x:v>מסעדה</x:v>
      </x:c>
      <x:c r="G897" s="17" t="n">
        <x:v>100</x:v>
      </x:c>
      <x:c r="H897" s="18" t="str">
        <x:v>אוכל בחוץ</x:v>
      </x:c>
      <x:c r="I897" s="19" t="str">
        <x:f>IFERROR(INDEX('מיפוי ומקורות'!$C$7:$C$33,MATCH(H897,'מיפוי ומקורות'!$B$7:$B$33,0)),"לא מסווג")</x:f>
        <x:v>אוכל בחוץ</x:v>
      </x:c>
      <x:c r="J897" s="19" t="str">
        <x:f>IFERROR(INDEX('מיפוי ומקורות'!$D$7:$D$33,MATCH(H897,'מיפוי ומקורות'!$B$7:$B$33,0)),"שוטף")</x:f>
        <x:v>שוטף</x:v>
      </x:c>
      <x:c r="K897" s="19" t="str">
        <x:f>IF(OR(H897="ריביות",AND(H897="דירה כצנלסון",G897&lt;0,ISNUMBER(SEARCH("הכנסה",F897)))),"הכנסה שסווגה מחדש",J897)</x:f>
        <x:v>שוטף</x:v>
      </x:c>
      <x:c r="L897" s="19" t="str">
        <x:v>מאושר</x:v>
      </x:c>
      <x:c r="M897" s="20" t="n">
        <x:f>IF(L897="מאושר",IF(K897="הכנסה שסווגה מחדש",0,G897),0)</x:f>
        <x:v>100</x:v>
      </x:c>
      <x:c r="N897" s="20" t="n">
        <x:f>IF(K897="שוטף",M897,0)</x:f>
        <x:v>100</x:v>
      </x:c>
      <x:c r="O897" s="20" t="n">
        <x:f>IF(K897="הכנסה שסווגה מחדש",-G897,0)</x:f>
        <x:v>0</x:v>
      </x:c>
      <x:c r="P897" s="11" t="str">
        <x:v>אמקס עינור</x:v>
      </x:c>
      <x:c r="Q897" s="11" t="str"/>
      <x:c r="R897" s="11" t="str">
        <x:v>לא</x:v>
      </x:c>
    </x:row>
    <x:row r="898">
      <x:c r="A898" s="14" t="n">
        <x:v>45901</x:v>
      </x:c>
      <x:c r="B898" s="11" t="str">
        <x:v>2025-09</x:v>
      </x:c>
      <x:c r="C898" s="11" t="str">
        <x:v>ספטמבר 25</x:v>
      </x:c>
      <x:c r="D898" s="15" t="n">
        <x:v>64</x:v>
      </x:c>
      <x:c r="E898" s="11" t="str">
        <x:v>15</x:v>
      </x:c>
      <x:c r="F898" s="11" t="str">
        <x:v>מקס</x:v>
      </x:c>
      <x:c r="G898" s="17" t="n">
        <x:v>100</x:v>
      </x:c>
      <x:c r="H898" s="18" t="str">
        <x:v>קניות לבית</x:v>
      </x:c>
      <x:c r="I898" s="19" t="str">
        <x:f>IFERROR(INDEX('מיפוי ומקורות'!$C$7:$C$33,MATCH(H898,'מיפוי ומקורות'!$B$7:$B$33,0)),"לא מסווג")</x:f>
        <x:v>קניות לבית</x:v>
      </x:c>
      <x:c r="J898" s="19" t="str">
        <x:f>IFERROR(INDEX('מיפוי ומקורות'!$D$7:$D$33,MATCH(H898,'מיפוי ומקורות'!$B$7:$B$33,0)),"שוטף")</x:f>
        <x:v>שוטף</x:v>
      </x:c>
      <x:c r="K898" s="19" t="str">
        <x:f>IF(OR(H898="ריביות",AND(H898="דירה כצנלסון",G898&lt;0,ISNUMBER(SEARCH("הכנסה",F898)))),"הכנסה שסווגה מחדש",J898)</x:f>
        <x:v>שוטף</x:v>
      </x:c>
      <x:c r="L898" s="19" t="str">
        <x:v>מאושר</x:v>
      </x:c>
      <x:c r="M898" s="20" t="n">
        <x:f>IF(L898="מאושר",IF(K898="הכנסה שסווגה מחדש",0,G898),0)</x:f>
        <x:v>100</x:v>
      </x:c>
      <x:c r="N898" s="20" t="n">
        <x:f>IF(K898="שוטף",M898,0)</x:f>
        <x:v>100</x:v>
      </x:c>
      <x:c r="O898" s="20" t="n">
        <x:f>IF(K898="הכנסה שסווגה מחדש",-G898,0)</x:f>
        <x:v>0</x:v>
      </x:c>
      <x:c r="P898" s="11" t="str">
        <x:v>אמקס עינור</x:v>
      </x:c>
      <x:c r="Q898" s="11" t="str"/>
      <x:c r="R898" s="11" t="str">
        <x:v>לא</x:v>
      </x:c>
    </x:row>
    <x:row r="899">
      <x:c r="A899" s="14" t="n">
        <x:v>45901</x:v>
      </x:c>
      <x:c r="B899" s="11" t="str">
        <x:v>2025-09</x:v>
      </x:c>
      <x:c r="C899" s="11" t="str">
        <x:v>ספטמבר 25</x:v>
      </x:c>
      <x:c r="D899" s="15" t="n">
        <x:v>65</x:v>
      </x:c>
      <x:c r="E899" s="11" t="str">
        <x:v>15</x:v>
      </x:c>
      <x:c r="F899" s="11" t="str">
        <x:v>ניקוי ספות (ביט)</x:v>
      </x:c>
      <x:c r="G899" s="17" t="n">
        <x:v>350</x:v>
      </x:c>
      <x:c r="H899" s="18" t="str">
        <x:v>מגורים צריכה</x:v>
      </x:c>
      <x:c r="I899" s="19" t="str">
        <x:f>IFERROR(INDEX('מיפוי ומקורות'!$C$7:$C$33,MATCH(H899,'מיפוי ומקורות'!$B$7:$B$33,0)),"לא מסווג")</x:f>
        <x:v>דיור – בית מגורים</x:v>
      </x:c>
      <x:c r="J899" s="19" t="str">
        <x:f>IFERROR(INDEX('מיפוי ומקורות'!$D$7:$D$33,MATCH(H899,'מיפוי ומקורות'!$B$7:$B$33,0)),"שוטף")</x:f>
        <x:v>שוטף</x:v>
      </x:c>
      <x:c r="K899" s="19" t="str">
        <x:f>IF(OR(H899="ריביות",AND(H899="דירה כצנלסון",G899&lt;0,ISNUMBER(SEARCH("הכנסה",F899)))),"הכנסה שסווגה מחדש",J899)</x:f>
        <x:v>שוטף</x:v>
      </x:c>
      <x:c r="L899" s="19" t="str">
        <x:v>מאושר</x:v>
      </x:c>
      <x:c r="M899" s="20" t="n">
        <x:f>IF(L899="מאושר",IF(K899="הכנסה שסווגה מחדש",0,G899),0)</x:f>
        <x:v>350</x:v>
      </x:c>
      <x:c r="N899" s="20" t="n">
        <x:f>IF(K899="שוטף",M899,0)</x:f>
        <x:v>350</x:v>
      </x:c>
      <x:c r="O899" s="20" t="n">
        <x:f>IF(K899="הכנסה שסווגה מחדש",-G899,0)</x:f>
        <x:v>0</x:v>
      </x:c>
      <x:c r="P899" s="11" t="str">
        <x:v>אמקס עינור</x:v>
      </x:c>
      <x:c r="Q899" s="11" t="str"/>
      <x:c r="R899" s="11" t="str">
        <x:v>לא</x:v>
      </x:c>
    </x:row>
    <x:row r="900">
      <x:c r="A900" s="14" t="n">
        <x:v>45901</x:v>
      </x:c>
      <x:c r="B900" s="11" t="str">
        <x:v>2025-09</x:v>
      </x:c>
      <x:c r="C900" s="11" t="str">
        <x:v>ספטמבר 25</x:v>
      </x:c>
      <x:c r="D900" s="15" t="n">
        <x:v>66</x:v>
      </x:c>
      <x:c r="E900" s="11" t="str">
        <x:v>15</x:v>
      </x:c>
      <x:c r="F900" s="11" t="str">
        <x:v>גלידה</x:v>
      </x:c>
      <x:c r="G900" s="17" t="n">
        <x:v>16</x:v>
      </x:c>
      <x:c r="H900" s="18" t="str">
        <x:v>אוכל בחוץ</x:v>
      </x:c>
      <x:c r="I900" s="19" t="str">
        <x:f>IFERROR(INDEX('מיפוי ומקורות'!$C$7:$C$33,MATCH(H900,'מיפוי ומקורות'!$B$7:$B$33,0)),"לא מסווג")</x:f>
        <x:v>אוכל בחוץ</x:v>
      </x:c>
      <x:c r="J900" s="19" t="str">
        <x:f>IFERROR(INDEX('מיפוי ומקורות'!$D$7:$D$33,MATCH(H900,'מיפוי ומקורות'!$B$7:$B$33,0)),"שוטף")</x:f>
        <x:v>שוטף</x:v>
      </x:c>
      <x:c r="K900" s="19" t="str">
        <x:f>IF(OR(H900="ריביות",AND(H900="דירה כצנלסון",G900&lt;0,ISNUMBER(SEARCH("הכנסה",F900)))),"הכנסה שסווגה מחדש",J900)</x:f>
        <x:v>שוטף</x:v>
      </x:c>
      <x:c r="L900" s="19" t="str">
        <x:v>מאושר</x:v>
      </x:c>
      <x:c r="M900" s="20" t="n">
        <x:f>IF(L900="מאושר",IF(K900="הכנסה שסווגה מחדש",0,G900),0)</x:f>
        <x:v>16</x:v>
      </x:c>
      <x:c r="N900" s="20" t="n">
        <x:f>IF(K900="שוטף",M900,0)</x:f>
        <x:v>16</x:v>
      </x:c>
      <x:c r="O900" s="20" t="n">
        <x:f>IF(K900="הכנסה שסווגה מחדש",-G900,0)</x:f>
        <x:v>0</x:v>
      </x:c>
      <x:c r="P900" s="11" t="str">
        <x:v>אמקס עינור</x:v>
      </x:c>
      <x:c r="Q900" s="11" t="str"/>
      <x:c r="R900" s="11" t="str">
        <x:v>לא</x:v>
      </x:c>
    </x:row>
    <x:row r="901">
      <x:c r="A901" s="14" t="n">
        <x:v>45901</x:v>
      </x:c>
      <x:c r="B901" s="11" t="str">
        <x:v>2025-09</x:v>
      </x:c>
      <x:c r="C901" s="11" t="str">
        <x:v>ספטמבר 25</x:v>
      </x:c>
      <x:c r="D901" s="15" t="n">
        <x:v>67</x:v>
      </x:c>
      <x:c r="E901" s="11" t="str">
        <x:v>16</x:v>
      </x:c>
      <x:c r="F901" s="11" t="str">
        <x:v>סיור אוכל</x:v>
      </x:c>
      <x:c r="G901" s="17" t="n">
        <x:v>405</x:v>
      </x:c>
      <x:c r="H901" s="18" t="str">
        <x:v>חול</x:v>
      </x:c>
      <x:c r="I901" s="19" t="str">
        <x:f>IFERROR(INDEX('מיפוי ומקורות'!$C$7:$C$33,MATCH(H901,'מיפוי ומקורות'!$B$7:$B$33,0)),"לא מסווג")</x:f>
        <x:v>נסיעות וחופשות</x:v>
      </x:c>
      <x:c r="J901" s="19" t="str">
        <x:f>IFERROR(INDEX('מיפוי ומקורות'!$D$7:$D$33,MATCH(H901,'מיפוי ומקורות'!$B$7:$B$33,0)),"שוטף")</x:f>
        <x:v>חריג</x:v>
      </x:c>
      <x:c r="K901" s="19" t="str">
        <x:f>IF(OR(H901="ריביות",AND(H901="דירה כצנלסון",G901&lt;0,ISNUMBER(SEARCH("הכנסה",F901)))),"הכנסה שסווגה מחדש",J901)</x:f>
        <x:v>חריג</x:v>
      </x:c>
      <x:c r="L901" s="19" t="str">
        <x:v>מאושר</x:v>
      </x:c>
      <x:c r="M901" s="20" t="n">
        <x:f>IF(L901="מאושר",IF(K901="הכנסה שסווגה מחדש",0,G901),0)</x:f>
        <x:v>405</x:v>
      </x:c>
      <x:c r="N901" s="20" t="n">
        <x:f>IF(K901="שוטף",M901,0)</x:f>
        <x:v>0</x:v>
      </x:c>
      <x:c r="O901" s="20" t="n">
        <x:f>IF(K901="הכנסה שסווגה מחדש",-G901,0)</x:f>
        <x:v>0</x:v>
      </x:c>
      <x:c r="P901" s="11" t="str">
        <x:v>אמקס עינור</x:v>
      </x:c>
      <x:c r="Q901" s="11" t="str"/>
      <x:c r="R901" s="11" t="str">
        <x:v>לא</x:v>
      </x:c>
    </x:row>
    <x:row r="902">
      <x:c r="A902" s="14" t="n">
        <x:v>45901</x:v>
      </x:c>
      <x:c r="B902" s="11" t="str">
        <x:v>2025-09</x:v>
      </x:c>
      <x:c r="C902" s="11" t="str">
        <x:v>ספטמבר 25</x:v>
      </x:c>
      <x:c r="D902" s="15" t="n">
        <x:v>68</x:v>
      </x:c>
      <x:c r="E902" s="11" t="str">
        <x:v>17</x:v>
      </x:c>
      <x:c r="F902" s="11" t="str">
        <x:v>קפה</x:v>
      </x:c>
      <x:c r="G902" s="17" t="n">
        <x:v>17</x:v>
      </x:c>
      <x:c r="H902" s="18" t="str">
        <x:v>אוכל בחוץ</x:v>
      </x:c>
      <x:c r="I902" s="19" t="str">
        <x:f>IFERROR(INDEX('מיפוי ומקורות'!$C$7:$C$33,MATCH(H902,'מיפוי ומקורות'!$B$7:$B$33,0)),"לא מסווג")</x:f>
        <x:v>אוכל בחוץ</x:v>
      </x:c>
      <x:c r="J902" s="19" t="str">
        <x:f>IFERROR(INDEX('מיפוי ומקורות'!$D$7:$D$33,MATCH(H902,'מיפוי ומקורות'!$B$7:$B$33,0)),"שוטף")</x:f>
        <x:v>שוטף</x:v>
      </x:c>
      <x:c r="K902" s="19" t="str">
        <x:f>IF(OR(H902="ריביות",AND(H902="דירה כצנלסון",G902&lt;0,ISNUMBER(SEARCH("הכנסה",F902)))),"הכנסה שסווגה מחדש",J902)</x:f>
        <x:v>שוטף</x:v>
      </x:c>
      <x:c r="L902" s="19" t="str">
        <x:v>מאושר</x:v>
      </x:c>
      <x:c r="M902" s="20" t="n">
        <x:f>IF(L902="מאושר",IF(K902="הכנסה שסווגה מחדש",0,G902),0)</x:f>
        <x:v>17</x:v>
      </x:c>
      <x:c r="N902" s="20" t="n">
        <x:f>IF(K902="שוטף",M902,0)</x:f>
        <x:v>17</x:v>
      </x:c>
      <x:c r="O902" s="20" t="n">
        <x:f>IF(K902="הכנסה שסווגה מחדש",-G902,0)</x:f>
        <x:v>0</x:v>
      </x:c>
      <x:c r="P902" s="11" t="str">
        <x:v>אמקס עינור</x:v>
      </x:c>
      <x:c r="Q902" s="11" t="str"/>
      <x:c r="R902" s="11" t="str">
        <x:v>לא</x:v>
      </x:c>
    </x:row>
    <x:row r="903">
      <x:c r="A903" s="14" t="n">
        <x:v>45901</x:v>
      </x:c>
      <x:c r="B903" s="11" t="str">
        <x:v>2025-09</x:v>
      </x:c>
      <x:c r="C903" s="11" t="str">
        <x:v>ספטמבר 25</x:v>
      </x:c>
      <x:c r="D903" s="15" t="n">
        <x:v>69</x:v>
      </x:c>
      <x:c r="E903" s="11" t="str">
        <x:v>18</x:v>
      </x:c>
      <x:c r="F903" s="11" t="str">
        <x:v>תרופות</x:v>
      </x:c>
      <x:c r="G903" s="17" t="n">
        <x:v>61</x:v>
      </x:c>
      <x:c r="H903" s="18" t="str">
        <x:v>בריאות</x:v>
      </x:c>
      <x:c r="I903" s="19" t="str">
        <x:f>IFERROR(INDEX('מיפוי ומקורות'!$C$7:$C$33,MATCH(H903,'מיפוי ומקורות'!$B$7:$B$33,0)),"לא מסווג")</x:f>
        <x:v>בריאות וטיפולים</x:v>
      </x:c>
      <x:c r="J903" s="19" t="str">
        <x:f>IFERROR(INDEX('מיפוי ומקורות'!$D$7:$D$33,MATCH(H903,'מיפוי ומקורות'!$B$7:$B$33,0)),"שוטף")</x:f>
        <x:v>שוטף</x:v>
      </x:c>
      <x:c r="K903" s="19" t="str">
        <x:f>IF(OR(H903="ריביות",AND(H903="דירה כצנלסון",G903&lt;0,ISNUMBER(SEARCH("הכנסה",F903)))),"הכנסה שסווגה מחדש",J903)</x:f>
        <x:v>שוטף</x:v>
      </x:c>
      <x:c r="L903" s="19" t="str">
        <x:v>מאושר</x:v>
      </x:c>
      <x:c r="M903" s="20" t="n">
        <x:f>IF(L903="מאושר",IF(K903="הכנסה שסווגה מחדש",0,G903),0)</x:f>
        <x:v>61</x:v>
      </x:c>
      <x:c r="N903" s="20" t="n">
        <x:f>IF(K903="שוטף",M903,0)</x:f>
        <x:v>61</x:v>
      </x:c>
      <x:c r="O903" s="20" t="n">
        <x:f>IF(K903="הכנסה שסווגה מחדש",-G903,0)</x:f>
        <x:v>0</x:v>
      </x:c>
      <x:c r="P903" s="11" t="str">
        <x:v>אמקס עינור</x:v>
      </x:c>
      <x:c r="Q903" s="11" t="str"/>
      <x:c r="R903" s="11" t="str">
        <x:v>לא</x:v>
      </x:c>
    </x:row>
    <x:row r="904">
      <x:c r="A904" s="14" t="n">
        <x:v>45901</x:v>
      </x:c>
      <x:c r="B904" s="11" t="str">
        <x:v>2025-09</x:v>
      </x:c>
      <x:c r="C904" s="11" t="str">
        <x:v>ספטמבר 25</x:v>
      </x:c>
      <x:c r="D904" s="15" t="n">
        <x:v>70</x:v>
      </x:c>
      <x:c r="E904" s="11" t="str">
        <x:v>19</x:v>
      </x:c>
      <x:c r="F904" s="11" t="str">
        <x:v>סדנת בישול</x:v>
      </x:c>
      <x:c r="G904" s="17" t="n">
        <x:v>802</x:v>
      </x:c>
      <x:c r="H904" s="18" t="str">
        <x:v>חול</x:v>
      </x:c>
      <x:c r="I904" s="19" t="str">
        <x:f>IFERROR(INDEX('מיפוי ומקורות'!$C$7:$C$33,MATCH(H904,'מיפוי ומקורות'!$B$7:$B$33,0)),"לא מסווג")</x:f>
        <x:v>נסיעות וחופשות</x:v>
      </x:c>
      <x:c r="J904" s="19" t="str">
        <x:f>IFERROR(INDEX('מיפוי ומקורות'!$D$7:$D$33,MATCH(H904,'מיפוי ומקורות'!$B$7:$B$33,0)),"שוטף")</x:f>
        <x:v>חריג</x:v>
      </x:c>
      <x:c r="K904" s="19" t="str">
        <x:f>IF(OR(H904="ריביות",AND(H904="דירה כצנלסון",G904&lt;0,ISNUMBER(SEARCH("הכנסה",F904)))),"הכנסה שסווגה מחדש",J904)</x:f>
        <x:v>חריג</x:v>
      </x:c>
      <x:c r="L904" s="19" t="str">
        <x:v>מאושר</x:v>
      </x:c>
      <x:c r="M904" s="20" t="n">
        <x:f>IF(L904="מאושר",IF(K904="הכנסה שסווגה מחדש",0,G904),0)</x:f>
        <x:v>802</x:v>
      </x:c>
      <x:c r="N904" s="20" t="n">
        <x:f>IF(K904="שוטף",M904,0)</x:f>
        <x:v>0</x:v>
      </x:c>
      <x:c r="O904" s="20" t="n">
        <x:f>IF(K904="הכנסה שסווגה מחדש",-G904,0)</x:f>
        <x:v>0</x:v>
      </x:c>
      <x:c r="P904" s="11" t="str">
        <x:v>אמקס עינור</x:v>
      </x:c>
      <x:c r="Q904" s="11" t="str"/>
      <x:c r="R904" s="11" t="str">
        <x:v>לא</x:v>
      </x:c>
    </x:row>
    <x:row r="905">
      <x:c r="A905" s="14" t="n">
        <x:v>45901</x:v>
      </x:c>
      <x:c r="B905" s="11" t="str">
        <x:v>2025-09</x:v>
      </x:c>
      <x:c r="C905" s="11" t="str">
        <x:v>ספטמבר 25</x:v>
      </x:c>
      <x:c r="D905" s="15" t="n">
        <x:v>71</x:v>
      </x:c>
      <x:c r="E905" s="11" t="str">
        <x:v>20</x:v>
      </x:c>
      <x:c r="F905" s="11" t="str">
        <x:v>החזר מלון</x:v>
      </x:c>
      <x:c r="G905" s="17" t="n">
        <x:v>-2914</x:v>
      </x:c>
      <x:c r="H905" s="18" t="str">
        <x:v>חול</x:v>
      </x:c>
      <x:c r="I905" s="19" t="str">
        <x:f>IFERROR(INDEX('מיפוי ומקורות'!$C$7:$C$33,MATCH(H905,'מיפוי ומקורות'!$B$7:$B$33,0)),"לא מסווג")</x:f>
        <x:v>נסיעות וחופשות</x:v>
      </x:c>
      <x:c r="J905" s="19" t="str">
        <x:f>IFERROR(INDEX('מיפוי ומקורות'!$D$7:$D$33,MATCH(H905,'מיפוי ומקורות'!$B$7:$B$33,0)),"שוטף")</x:f>
        <x:v>חריג</x:v>
      </x:c>
      <x:c r="K905" s="19" t="str">
        <x:f>IF(OR(H905="ריביות",AND(H905="דירה כצנלסון",G905&lt;0,ISNUMBER(SEARCH("הכנסה",F905)))),"הכנסה שסווגה מחדש",J905)</x:f>
        <x:v>חריג</x:v>
      </x:c>
      <x:c r="L905" s="19" t="str">
        <x:v>מאושר</x:v>
      </x:c>
      <x:c r="M905" s="20" t="n">
        <x:f>IF(L905="מאושר",IF(K905="הכנסה שסווגה מחדש",0,G905),0)</x:f>
        <x:v>-2914</x:v>
      </x:c>
      <x:c r="N905" s="20" t="n">
        <x:f>IF(K905="שוטף",M905,0)</x:f>
        <x:v>0</x:v>
      </x:c>
      <x:c r="O905" s="20" t="n">
        <x:f>IF(K905="הכנסה שסווגה מחדש",-G905,0)</x:f>
        <x:v>0</x:v>
      </x:c>
      <x:c r="P905" s="11" t="str">
        <x:v>אמקס עינור</x:v>
      </x:c>
      <x:c r="Q905" s="11" t="str"/>
      <x:c r="R905" s="11" t="str">
        <x:v>לא</x:v>
      </x:c>
    </x:row>
    <x:row r="906">
      <x:c r="A906" s="14" t="n">
        <x:v>45901</x:v>
      </x:c>
      <x:c r="B906" s="11" t="str">
        <x:v>2025-09</x:v>
      </x:c>
      <x:c r="C906" s="11" t="str">
        <x:v>ספטמבר 25</x:v>
      </x:c>
      <x:c r="D906" s="15" t="n">
        <x:v>72</x:v>
      </x:c>
      <x:c r="E906" s="11" t="str">
        <x:v>25</x:v>
      </x:c>
      <x:c r="F906" s="11" t="str">
        <x:v>טיפול זוגי</x:v>
      </x:c>
      <x:c r="G906" s="17" t="n">
        <x:v>900</x:v>
      </x:c>
      <x:c r="H906" s="18" t="str">
        <x:v>בריאות</x:v>
      </x:c>
      <x:c r="I906" s="19" t="str">
        <x:f>IFERROR(INDEX('מיפוי ומקורות'!$C$7:$C$33,MATCH(H906,'מיפוי ומקורות'!$B$7:$B$33,0)),"לא מסווג")</x:f>
        <x:v>בריאות וטיפולים</x:v>
      </x:c>
      <x:c r="J906" s="19" t="str">
        <x:f>IFERROR(INDEX('מיפוי ומקורות'!$D$7:$D$33,MATCH(H906,'מיפוי ומקורות'!$B$7:$B$33,0)),"שוטף")</x:f>
        <x:v>שוטף</x:v>
      </x:c>
      <x:c r="K906" s="19" t="str">
        <x:f>IF(OR(H906="ריביות",AND(H906="דירה כצנלסון",G906&lt;0,ISNUMBER(SEARCH("הכנסה",F906)))),"הכנסה שסווגה מחדש",J906)</x:f>
        <x:v>שוטף</x:v>
      </x:c>
      <x:c r="L906" s="19" t="str">
        <x:v>מאושר</x:v>
      </x:c>
      <x:c r="M906" s="20" t="n">
        <x:f>IF(L906="מאושר",IF(K906="הכנסה שסווגה מחדש",0,G906),0)</x:f>
        <x:v>900</x:v>
      </x:c>
      <x:c r="N906" s="20" t="n">
        <x:f>IF(K906="שוטף",M906,0)</x:f>
        <x:v>900</x:v>
      </x:c>
      <x:c r="O906" s="20" t="n">
        <x:f>IF(K906="הכנסה שסווגה מחדש",-G906,0)</x:f>
        <x:v>0</x:v>
      </x:c>
      <x:c r="P906" s="11" t="str">
        <x:v>אמקס עינור</x:v>
      </x:c>
      <x:c r="Q906" s="11" t="str"/>
      <x:c r="R906" s="11" t="str">
        <x:v>לא</x:v>
      </x:c>
    </x:row>
    <x:row r="907">
      <x:c r="A907" s="14" t="n">
        <x:v>45901</x:v>
      </x:c>
      <x:c r="B907" s="11" t="str">
        <x:v>2025-09</x:v>
      </x:c>
      <x:c r="C907" s="11" t="str">
        <x:v>ספטמבר 25</x:v>
      </x:c>
      <x:c r="D907" s="15" t="n">
        <x:v>73</x:v>
      </x:c>
      <x:c r="E907" s="11" t="str">
        <x:v>25</x:v>
      </x:c>
      <x:c r="F907" s="11" t="str">
        <x:v>מסעדה (ביט)</x:v>
      </x:c>
      <x:c r="G907" s="17" t="n">
        <x:v>130</x:v>
      </x:c>
      <x:c r="H907" s="18" t="str">
        <x:v>אוכל בחוץ</x:v>
      </x:c>
      <x:c r="I907" s="19" t="str">
        <x:f>IFERROR(INDEX('מיפוי ומקורות'!$C$7:$C$33,MATCH(H907,'מיפוי ומקורות'!$B$7:$B$33,0)),"לא מסווג")</x:f>
        <x:v>אוכל בחוץ</x:v>
      </x:c>
      <x:c r="J907" s="19" t="str">
        <x:f>IFERROR(INDEX('מיפוי ומקורות'!$D$7:$D$33,MATCH(H907,'מיפוי ומקורות'!$B$7:$B$33,0)),"שוטף")</x:f>
        <x:v>שוטף</x:v>
      </x:c>
      <x:c r="K907" s="19" t="str">
        <x:f>IF(OR(H907="ריביות",AND(H907="דירה כצנלסון",G907&lt;0,ISNUMBER(SEARCH("הכנסה",F907)))),"הכנסה שסווגה מחדש",J907)</x:f>
        <x:v>שוטף</x:v>
      </x:c>
      <x:c r="L907" s="19" t="str">
        <x:v>מאושר</x:v>
      </x:c>
      <x:c r="M907" s="20" t="n">
        <x:f>IF(L907="מאושר",IF(K907="הכנסה שסווגה מחדש",0,G907),0)</x:f>
        <x:v>130</x:v>
      </x:c>
      <x:c r="N907" s="20" t="n">
        <x:f>IF(K907="שוטף",M907,0)</x:f>
        <x:v>130</x:v>
      </x:c>
      <x:c r="O907" s="20" t="n">
        <x:f>IF(K907="הכנסה שסווגה מחדש",-G907,0)</x:f>
        <x:v>0</x:v>
      </x:c>
      <x:c r="P907" s="11" t="str">
        <x:v>אמקס עינור</x:v>
      </x:c>
      <x:c r="Q907" s="11" t="str"/>
      <x:c r="R907" s="11" t="str">
        <x:v>לא</x:v>
      </x:c>
    </x:row>
    <x:row r="908">
      <x:c r="A908" s="14" t="n">
        <x:v>45901</x:v>
      </x:c>
      <x:c r="B908" s="11" t="str">
        <x:v>2025-09</x:v>
      </x:c>
      <x:c r="C908" s="11" t="str">
        <x:v>ספטמבר 25</x:v>
      </x:c>
      <x:c r="D908" s="15" t="n">
        <x:v>74</x:v>
      </x:c>
      <x:c r="E908" s="11" t="str">
        <x:v>25</x:v>
      </x:c>
      <x:c r="F908" s="11" t="str">
        <x:v>סופר</x:v>
      </x:c>
      <x:c r="G908" s="17" t="n">
        <x:v>29</x:v>
      </x:c>
      <x:c r="H908" s="18" t="str">
        <x:v>מזון לבית</x:v>
      </x:c>
      <x:c r="I908" s="19" t="str">
        <x:f>IFERROR(INDEX('מיפוי ומקורות'!$C$7:$C$33,MATCH(H908,'מיפוי ומקורות'!$B$7:$B$33,0)),"לא מסווג")</x:f>
        <x:v>מזון לבית</x:v>
      </x:c>
      <x:c r="J908" s="19" t="str">
        <x:f>IFERROR(INDEX('מיפוי ומקורות'!$D$7:$D$33,MATCH(H908,'מיפוי ומקורות'!$B$7:$B$33,0)),"שוטף")</x:f>
        <x:v>שוטף</x:v>
      </x:c>
      <x:c r="K908" s="19" t="str">
        <x:f>IF(OR(H908="ריביות",AND(H908="דירה כצנלסון",G908&lt;0,ISNUMBER(SEARCH("הכנסה",F908)))),"הכנסה שסווגה מחדש",J908)</x:f>
        <x:v>שוטף</x:v>
      </x:c>
      <x:c r="L908" s="19" t="str">
        <x:v>מאושר</x:v>
      </x:c>
      <x:c r="M908" s="20" t="n">
        <x:f>IF(L908="מאושר",IF(K908="הכנסה שסווגה מחדש",0,G908),0)</x:f>
        <x:v>29</x:v>
      </x:c>
      <x:c r="N908" s="20" t="n">
        <x:f>IF(K908="שוטף",M908,0)</x:f>
        <x:v>29</x:v>
      </x:c>
      <x:c r="O908" s="20" t="n">
        <x:f>IF(K908="הכנסה שסווגה מחדש",-G908,0)</x:f>
        <x:v>0</x:v>
      </x:c>
      <x:c r="P908" s="11" t="str">
        <x:v>אמקס עינור</x:v>
      </x:c>
      <x:c r="Q908" s="11" t="str"/>
      <x:c r="R908" s="11" t="str">
        <x:v>לא</x:v>
      </x:c>
    </x:row>
    <x:row r="909">
      <x:c r="A909" s="14" t="n">
        <x:v>45901</x:v>
      </x:c>
      <x:c r="B909" s="11" t="str">
        <x:v>2025-09</x:v>
      </x:c>
      <x:c r="C909" s="11" t="str">
        <x:v>ספטמבר 25</x:v>
      </x:c>
      <x:c r="D909" s="15" t="n">
        <x:v>75</x:v>
      </x:c>
      <x:c r="E909" s="11" t="str">
        <x:v>28</x:v>
      </x:c>
      <x:c r="F909" s="11" t="str">
        <x:v>מקס</x:v>
      </x:c>
      <x:c r="G909" s="17" t="n">
        <x:v>62</x:v>
      </x:c>
      <x:c r="H909" s="18" t="str">
        <x:v>קניות לבית</x:v>
      </x:c>
      <x:c r="I909" s="19" t="str">
        <x:f>IFERROR(INDEX('מיפוי ומקורות'!$C$7:$C$33,MATCH(H909,'מיפוי ומקורות'!$B$7:$B$33,0)),"לא מסווג")</x:f>
        <x:v>קניות לבית</x:v>
      </x:c>
      <x:c r="J909" s="19" t="str">
        <x:f>IFERROR(INDEX('מיפוי ומקורות'!$D$7:$D$33,MATCH(H909,'מיפוי ומקורות'!$B$7:$B$33,0)),"שוטף")</x:f>
        <x:v>שוטף</x:v>
      </x:c>
      <x:c r="K909" s="19" t="str">
        <x:f>IF(OR(H909="ריביות",AND(H909="דירה כצנלסון",G909&lt;0,ISNUMBER(SEARCH("הכנסה",F909)))),"הכנסה שסווגה מחדש",J909)</x:f>
        <x:v>שוטף</x:v>
      </x:c>
      <x:c r="L909" s="19" t="str">
        <x:v>מאושר</x:v>
      </x:c>
      <x:c r="M909" s="20" t="n">
        <x:f>IF(L909="מאושר",IF(K909="הכנסה שסווגה מחדש",0,G909),0)</x:f>
        <x:v>62</x:v>
      </x:c>
      <x:c r="N909" s="20" t="n">
        <x:f>IF(K909="שוטף",M909,0)</x:f>
        <x:v>62</x:v>
      </x:c>
      <x:c r="O909" s="20" t="n">
        <x:f>IF(K909="הכנסה שסווגה מחדש",-G909,0)</x:f>
        <x:v>0</x:v>
      </x:c>
      <x:c r="P909" s="11" t="str">
        <x:v>אמקס עינור</x:v>
      </x:c>
      <x:c r="Q909" s="11" t="str"/>
      <x:c r="R909" s="11" t="str">
        <x:v>לא</x:v>
      </x:c>
    </x:row>
    <x:row r="910">
      <x:c r="A910" s="14" t="n">
        <x:v>45901</x:v>
      </x:c>
      <x:c r="B910" s="11" t="str">
        <x:v>2025-09</x:v>
      </x:c>
      <x:c r="C910" s="11" t="str">
        <x:v>ספטמבר 25</x:v>
      </x:c>
      <x:c r="D910" s="15" t="n">
        <x:v>76</x:v>
      </x:c>
      <x:c r="E910" s="11" t="str">
        <x:v>29</x:v>
      </x:c>
      <x:c r="F910" s="11" t="str">
        <x:v>מזומן ליפן</x:v>
      </x:c>
      <x:c r="G910" s="17" t="n">
        <x:v>3264</x:v>
      </x:c>
      <x:c r="H910" s="18" t="str">
        <x:v>חול</x:v>
      </x:c>
      <x:c r="I910" s="19" t="str">
        <x:f>IFERROR(INDEX('מיפוי ומקורות'!$C$7:$C$33,MATCH(H910,'מיפוי ומקורות'!$B$7:$B$33,0)),"לא מסווג")</x:f>
        <x:v>נסיעות וחופשות</x:v>
      </x:c>
      <x:c r="J910" s="19" t="str">
        <x:f>IFERROR(INDEX('מיפוי ומקורות'!$D$7:$D$33,MATCH(H910,'מיפוי ומקורות'!$B$7:$B$33,0)),"שוטף")</x:f>
        <x:v>חריג</x:v>
      </x:c>
      <x:c r="K910" s="19" t="str">
        <x:f>IF(OR(H910="ריביות",AND(H910="דירה כצנלסון",G910&lt;0,ISNUMBER(SEARCH("הכנסה",F910)))),"הכנסה שסווגה מחדש",J910)</x:f>
        <x:v>חריג</x:v>
      </x:c>
      <x:c r="L910" s="19" t="str">
        <x:v>מאושר</x:v>
      </x:c>
      <x:c r="M910" s="20" t="n">
        <x:f>IF(L910="מאושר",IF(K910="הכנסה שסווגה מחדש",0,G910),0)</x:f>
        <x:v>3264</x:v>
      </x:c>
      <x:c r="N910" s="20" t="n">
        <x:f>IF(K910="שוטף",M910,0)</x:f>
        <x:v>0</x:v>
      </x:c>
      <x:c r="O910" s="20" t="n">
        <x:f>IF(K910="הכנסה שסווגה מחדש",-G910,0)</x:f>
        <x:v>0</x:v>
      </x:c>
      <x:c r="P910" s="11" t="str">
        <x:v>אמקס עינור</x:v>
      </x:c>
      <x:c r="Q910" s="11" t="str"/>
      <x:c r="R910" s="11" t="str">
        <x:v>לא</x:v>
      </x:c>
    </x:row>
    <x:row r="911">
      <x:c r="A911" s="14" t="n">
        <x:v>45901</x:v>
      </x:c>
      <x:c r="B911" s="11" t="str">
        <x:v>2025-09</x:v>
      </x:c>
      <x:c r="C911" s="11" t="str">
        <x:v>ספטמבר 25</x:v>
      </x:c>
      <x:c r="D911" s="15" t="n">
        <x:v>78</x:v>
      </x:c>
      <x:c r="E911" s="11" t="str"/>
      <x:c r="F911" s="11" t="str">
        <x:v>החזר רכב</x:v>
      </x:c>
      <x:c r="G911" s="17" t="n">
        <x:v>-279</x:v>
      </x:c>
      <x:c r="H911" s="18" t="str">
        <x:v>חול</x:v>
      </x:c>
      <x:c r="I911" s="19" t="str">
        <x:f>IFERROR(INDEX('מיפוי ומקורות'!$C$7:$C$33,MATCH(H911,'מיפוי ומקורות'!$B$7:$B$33,0)),"לא מסווג")</x:f>
        <x:v>נסיעות וחופשות</x:v>
      </x:c>
      <x:c r="J911" s="19" t="str">
        <x:f>IFERROR(INDEX('מיפוי ומקורות'!$D$7:$D$33,MATCH(H911,'מיפוי ומקורות'!$B$7:$B$33,0)),"שוטף")</x:f>
        <x:v>חריג</x:v>
      </x:c>
      <x:c r="K911" s="19" t="str">
        <x:f>IF(OR(H911="ריביות",AND(H911="דירה כצנלסון",G911&lt;0,ISNUMBER(SEARCH("הכנסה",F911)))),"הכנסה שסווגה מחדש",J911)</x:f>
        <x:v>חריג</x:v>
      </x:c>
      <x:c r="L911" s="19" t="str">
        <x:v>מאושר</x:v>
      </x:c>
      <x:c r="M911" s="20" t="n">
        <x:f>IF(L911="מאושר",IF(K911="הכנסה שסווגה מחדש",0,G911),0)</x:f>
        <x:v>-279</x:v>
      </x:c>
      <x:c r="N911" s="20" t="n">
        <x:f>IF(K911="שוטף",M911,0)</x:f>
        <x:v>0</x:v>
      </x:c>
      <x:c r="O911" s="20" t="n">
        <x:f>IF(K911="הכנסה שסווגה מחדש",-G911,0)</x:f>
        <x:v>0</x:v>
      </x:c>
      <x:c r="P911" s="11" t="str">
        <x:v>קורפרייט זיו</x:v>
      </x:c>
      <x:c r="Q911" s="11" t="str"/>
      <x:c r="R911" s="11" t="str">
        <x:v>לא</x:v>
      </x:c>
    </x:row>
    <x:row r="912">
      <x:c r="A912" s="14" t="n">
        <x:v>45901</x:v>
      </x:c>
      <x:c r="B912" s="11" t="str">
        <x:v>2025-09</x:v>
      </x:c>
      <x:c r="C912" s="11" t="str">
        <x:v>ספטמבר 25</x:v>
      </x:c>
      <x:c r="D912" s="15" t="n">
        <x:v>80</x:v>
      </x:c>
      <x:c r="E912" s="11" t="str">
        <x:v>2</x:v>
      </x:c>
      <x:c r="F912" s="11" t="str">
        <x:v>ירקות</x:v>
      </x:c>
      <x:c r="G912" s="17" t="n">
        <x:v>28</x:v>
      </x:c>
      <x:c r="H912" s="18" t="str">
        <x:v>מזון לבית</x:v>
      </x:c>
      <x:c r="I912" s="19" t="str">
        <x:f>IFERROR(INDEX('מיפוי ומקורות'!$C$7:$C$33,MATCH(H912,'מיפוי ומקורות'!$B$7:$B$33,0)),"לא מסווג")</x:f>
        <x:v>מזון לבית</x:v>
      </x:c>
      <x:c r="J912" s="19" t="str">
        <x:f>IFERROR(INDEX('מיפוי ומקורות'!$D$7:$D$33,MATCH(H912,'מיפוי ומקורות'!$B$7:$B$33,0)),"שוטף")</x:f>
        <x:v>שוטף</x:v>
      </x:c>
      <x:c r="K912" s="19" t="str">
        <x:f>IF(OR(H912="ריביות",AND(H912="דירה כצנלסון",G912&lt;0,ISNUMBER(SEARCH("הכנסה",F912)))),"הכנסה שסווגה מחדש",J912)</x:f>
        <x:v>שוטף</x:v>
      </x:c>
      <x:c r="L912" s="19" t="str">
        <x:v>מאושר</x:v>
      </x:c>
      <x:c r="M912" s="20" t="n">
        <x:f>IF(L912="מאושר",IF(K912="הכנסה שסווגה מחדש",0,G912),0)</x:f>
        <x:v>28</x:v>
      </x:c>
      <x:c r="N912" s="20" t="n">
        <x:f>IF(K912="שוטף",M912,0)</x:f>
        <x:v>28</x:v>
      </x:c>
      <x:c r="O912" s="20" t="n">
        <x:f>IF(K912="הכנסה שסווגה מחדש",-G912,0)</x:f>
        <x:v>0</x:v>
      </x:c>
      <x:c r="P912" s="11" t="str">
        <x:v>אמקס זיו</x:v>
      </x:c>
      <x:c r="Q912" s="11" t="str"/>
      <x:c r="R912" s="11" t="str">
        <x:v>לא</x:v>
      </x:c>
    </x:row>
    <x:row r="913">
      <x:c r="A913" s="14" t="n">
        <x:v>45901</x:v>
      </x:c>
      <x:c r="B913" s="11" t="str">
        <x:v>2025-09</x:v>
      </x:c>
      <x:c r="C913" s="11" t="str">
        <x:v>ספטמבר 25</x:v>
      </x:c>
      <x:c r="D913" s="15" t="n">
        <x:v>81</x:v>
      </x:c>
      <x:c r="E913" s="11" t="str">
        <x:v>2</x:v>
      </x:c>
      <x:c r="F913" s="11" t="str">
        <x:v>גלידה</x:v>
      </x:c>
      <x:c r="G913" s="17" t="n">
        <x:v>55</x:v>
      </x:c>
      <x:c r="H913" s="18" t="str">
        <x:v>אוכל בחוץ</x:v>
      </x:c>
      <x:c r="I913" s="19" t="str">
        <x:f>IFERROR(INDEX('מיפוי ומקורות'!$C$7:$C$33,MATCH(H913,'מיפוי ומקורות'!$B$7:$B$33,0)),"לא מסווג")</x:f>
        <x:v>אוכל בחוץ</x:v>
      </x:c>
      <x:c r="J913" s="19" t="str">
        <x:f>IFERROR(INDEX('מיפוי ומקורות'!$D$7:$D$33,MATCH(H913,'מיפוי ומקורות'!$B$7:$B$33,0)),"שוטף")</x:f>
        <x:v>שוטף</x:v>
      </x:c>
      <x:c r="K913" s="19" t="str">
        <x:f>IF(OR(H913="ריביות",AND(H913="דירה כצנלסון",G913&lt;0,ISNUMBER(SEARCH("הכנסה",F913)))),"הכנסה שסווגה מחדש",J913)</x:f>
        <x:v>שוטף</x:v>
      </x:c>
      <x:c r="L913" s="19" t="str">
        <x:v>מאושר</x:v>
      </x:c>
      <x:c r="M913" s="20" t="n">
        <x:f>IF(L913="מאושר",IF(K913="הכנסה שסווגה מחדש",0,G913),0)</x:f>
        <x:v>55</x:v>
      </x:c>
      <x:c r="N913" s="20" t="n">
        <x:f>IF(K913="שוטף",M913,0)</x:f>
        <x:v>55</x:v>
      </x:c>
      <x:c r="O913" s="20" t="n">
        <x:f>IF(K913="הכנסה שסווגה מחדש",-G913,0)</x:f>
        <x:v>0</x:v>
      </x:c>
      <x:c r="P913" s="11" t="str">
        <x:v>אמקס זיו</x:v>
      </x:c>
      <x:c r="Q913" s="11" t="str"/>
      <x:c r="R913" s="11" t="str">
        <x:v>לא</x:v>
      </x:c>
    </x:row>
    <x:row r="914">
      <x:c r="A914" s="14" t="n">
        <x:v>45901</x:v>
      </x:c>
      <x:c r="B914" s="11" t="str">
        <x:v>2025-09</x:v>
      </x:c>
      <x:c r="C914" s="11" t="str">
        <x:v>ספטמבר 25</x:v>
      </x:c>
      <x:c r="D914" s="15" t="n">
        <x:v>82</x:v>
      </x:c>
      <x:c r="E914" s="11" t="str">
        <x:v>3</x:v>
      </x:c>
      <x:c r="F914" s="11" t="str">
        <x:v>מסעדה</x:v>
      </x:c>
      <x:c r="G914" s="17" t="n">
        <x:v>146</x:v>
      </x:c>
      <x:c r="H914" s="18" t="str">
        <x:v>אוכל בחוץ</x:v>
      </x:c>
      <x:c r="I914" s="19" t="str">
        <x:f>IFERROR(INDEX('מיפוי ומקורות'!$C$7:$C$33,MATCH(H914,'מיפוי ומקורות'!$B$7:$B$33,0)),"לא מסווג")</x:f>
        <x:v>אוכל בחוץ</x:v>
      </x:c>
      <x:c r="J914" s="19" t="str">
        <x:f>IFERROR(INDEX('מיפוי ומקורות'!$D$7:$D$33,MATCH(H914,'מיפוי ומקורות'!$B$7:$B$33,0)),"שוטף")</x:f>
        <x:v>שוטף</x:v>
      </x:c>
      <x:c r="K914" s="19" t="str">
        <x:f>IF(OR(H914="ריביות",AND(H914="דירה כצנלסון",G914&lt;0,ISNUMBER(SEARCH("הכנסה",F914)))),"הכנסה שסווגה מחדש",J914)</x:f>
        <x:v>שוטף</x:v>
      </x:c>
      <x:c r="L914" s="19" t="str">
        <x:v>מאושר</x:v>
      </x:c>
      <x:c r="M914" s="20" t="n">
        <x:f>IF(L914="מאושר",IF(K914="הכנסה שסווגה מחדש",0,G914),0)</x:f>
        <x:v>146</x:v>
      </x:c>
      <x:c r="N914" s="20" t="n">
        <x:f>IF(K914="שוטף",M914,0)</x:f>
        <x:v>146</x:v>
      </x:c>
      <x:c r="O914" s="20" t="n">
        <x:f>IF(K914="הכנסה שסווגה מחדש",-G914,0)</x:f>
        <x:v>0</x:v>
      </x:c>
      <x:c r="P914" s="11" t="str">
        <x:v>אמקס זיו</x:v>
      </x:c>
      <x:c r="Q914" s="11" t="str"/>
      <x:c r="R914" s="11" t="str">
        <x:v>לא</x:v>
      </x:c>
    </x:row>
    <x:row r="915">
      <x:c r="A915" s="14" t="n">
        <x:v>45901</x:v>
      </x:c>
      <x:c r="B915" s="11" t="str">
        <x:v>2025-09</x:v>
      </x:c>
      <x:c r="C915" s="11" t="str">
        <x:v>ספטמבר 25</x:v>
      </x:c>
      <x:c r="D915" s="15" t="n">
        <x:v>83</x:v>
      </x:c>
      <x:c r="E915" s="11" t="str">
        <x:v>4</x:v>
      </x:c>
      <x:c r="F915" s="11" t="str">
        <x:v>רישיון בינלאומי</x:v>
      </x:c>
      <x:c r="G915" s="17" t="n">
        <x:v>11</x:v>
      </x:c>
      <x:c r="H915" s="18" t="str">
        <x:v>חול</x:v>
      </x:c>
      <x:c r="I915" s="19" t="str">
        <x:f>IFERROR(INDEX('מיפוי ומקורות'!$C$7:$C$33,MATCH(H915,'מיפוי ומקורות'!$B$7:$B$33,0)),"לא מסווג")</x:f>
        <x:v>נסיעות וחופשות</x:v>
      </x:c>
      <x:c r="J915" s="19" t="str">
        <x:f>IFERROR(INDEX('מיפוי ומקורות'!$D$7:$D$33,MATCH(H915,'מיפוי ומקורות'!$B$7:$B$33,0)),"שוטף")</x:f>
        <x:v>חריג</x:v>
      </x:c>
      <x:c r="K915" s="19" t="str">
        <x:f>IF(OR(H915="ריביות",AND(H915="דירה כצנלסון",G915&lt;0,ISNUMBER(SEARCH("הכנסה",F915)))),"הכנסה שסווגה מחדש",J915)</x:f>
        <x:v>חריג</x:v>
      </x:c>
      <x:c r="L915" s="19" t="str">
        <x:v>מאושר</x:v>
      </x:c>
      <x:c r="M915" s="20" t="n">
        <x:f>IF(L915="מאושר",IF(K915="הכנסה שסווגה מחדש",0,G915),0)</x:f>
        <x:v>11</x:v>
      </x:c>
      <x:c r="N915" s="20" t="n">
        <x:f>IF(K915="שוטף",M915,0)</x:f>
        <x:v>0</x:v>
      </x:c>
      <x:c r="O915" s="20" t="n">
        <x:f>IF(K915="הכנסה שסווגה מחדש",-G915,0)</x:f>
        <x:v>0</x:v>
      </x:c>
      <x:c r="P915" s="11" t="str">
        <x:v>אמקס זיו</x:v>
      </x:c>
      <x:c r="Q915" s="11" t="str"/>
      <x:c r="R915" s="11" t="str">
        <x:v>לא</x:v>
      </x:c>
    </x:row>
    <x:row r="916">
      <x:c r="A916" s="14" t="n">
        <x:v>45901</x:v>
      </x:c>
      <x:c r="B916" s="11" t="str">
        <x:v>2025-09</x:v>
      </x:c>
      <x:c r="C916" s="11" t="str">
        <x:v>ספטמבר 25</x:v>
      </x:c>
      <x:c r="D916" s="15" t="n">
        <x:v>84</x:v>
      </x:c>
      <x:c r="E916" s="11" t="str">
        <x:v>5</x:v>
      </x:c>
      <x:c r="F916" s="11" t="str">
        <x:v>פסטיבל יין</x:v>
      </x:c>
      <x:c r="G916" s="17" t="n">
        <x:v>238</x:v>
      </x:c>
      <x:c r="H916" s="18" t="str">
        <x:v>פנאי</x:v>
      </x:c>
      <x:c r="I916" s="19" t="str">
        <x:f>IFERROR(INDEX('מיפוי ומקורות'!$C$7:$C$33,MATCH(H916,'מיפוי ומקורות'!$B$7:$B$33,0)),"לא מסווג")</x:f>
        <x:v>פנאי</x:v>
      </x:c>
      <x:c r="J916" s="19" t="str">
        <x:f>IFERROR(INDEX('מיפוי ומקורות'!$D$7:$D$33,MATCH(H916,'מיפוי ומקורות'!$B$7:$B$33,0)),"שוטף")</x:f>
        <x:v>שוטף</x:v>
      </x:c>
      <x:c r="K916" s="19" t="str">
        <x:f>IF(OR(H916="ריביות",AND(H916="דירה כצנלסון",G916&lt;0,ISNUMBER(SEARCH("הכנסה",F916)))),"הכנסה שסווגה מחדש",J916)</x:f>
        <x:v>שוטף</x:v>
      </x:c>
      <x:c r="L916" s="19" t="str">
        <x:v>מאושר</x:v>
      </x:c>
      <x:c r="M916" s="20" t="n">
        <x:f>IF(L916="מאושר",IF(K916="הכנסה שסווגה מחדש",0,G916),0)</x:f>
        <x:v>238</x:v>
      </x:c>
      <x:c r="N916" s="20" t="n">
        <x:f>IF(K916="שוטף",M916,0)</x:f>
        <x:v>238</x:v>
      </x:c>
      <x:c r="O916" s="20" t="n">
        <x:f>IF(K916="הכנסה שסווגה מחדש",-G916,0)</x:f>
        <x:v>0</x:v>
      </x:c>
      <x:c r="P916" s="11" t="str">
        <x:v>אמקס זיו</x:v>
      </x:c>
      <x:c r="Q916" s="11" t="str"/>
      <x:c r="R916" s="11" t="str">
        <x:v>לא</x:v>
      </x:c>
    </x:row>
    <x:row r="917">
      <x:c r="A917" s="14" t="n">
        <x:v>45901</x:v>
      </x:c>
      <x:c r="B917" s="11" t="str">
        <x:v>2025-09</x:v>
      </x:c>
      <x:c r="C917" s="11" t="str">
        <x:v>ספטמבר 25</x:v>
      </x:c>
      <x:c r="D917" s="15" t="n">
        <x:v>85</x:v>
      </x:c>
      <x:c r="E917" s="11" t="str">
        <x:v>6</x:v>
      </x:c>
      <x:c r="F917" s="11" t="str">
        <x:v>מקדחה</x:v>
      </x:c>
      <x:c r="G917" s="17" t="n">
        <x:v>249</x:v>
      </x:c>
      <x:c r="H917" s="18" t="str">
        <x:v>קניות לבית</x:v>
      </x:c>
      <x:c r="I917" s="19" t="str">
        <x:f>IFERROR(INDEX('מיפוי ומקורות'!$C$7:$C$33,MATCH(H917,'מיפוי ומקורות'!$B$7:$B$33,0)),"לא מסווג")</x:f>
        <x:v>קניות לבית</x:v>
      </x:c>
      <x:c r="J917" s="19" t="str">
        <x:f>IFERROR(INDEX('מיפוי ומקורות'!$D$7:$D$33,MATCH(H917,'מיפוי ומקורות'!$B$7:$B$33,0)),"שוטף")</x:f>
        <x:v>שוטף</x:v>
      </x:c>
      <x:c r="K917" s="19" t="str">
        <x:f>IF(OR(H917="ריביות",AND(H917="דירה כצנלסון",G917&lt;0,ISNUMBER(SEARCH("הכנסה",F917)))),"הכנסה שסווגה מחדש",J917)</x:f>
        <x:v>שוטף</x:v>
      </x:c>
      <x:c r="L917" s="19" t="str">
        <x:v>מאושר</x:v>
      </x:c>
      <x:c r="M917" s="20" t="n">
        <x:f>IF(L917="מאושר",IF(K917="הכנסה שסווגה מחדש",0,G917),0)</x:f>
        <x:v>249</x:v>
      </x:c>
      <x:c r="N917" s="20" t="n">
        <x:f>IF(K917="שוטף",M917,0)</x:f>
        <x:v>249</x:v>
      </x:c>
      <x:c r="O917" s="20" t="n">
        <x:f>IF(K917="הכנסה שסווגה מחדש",-G917,0)</x:f>
        <x:v>0</x:v>
      </x:c>
      <x:c r="P917" s="11" t="str">
        <x:v>אמקס זיו</x:v>
      </x:c>
      <x:c r="Q917" s="11" t="str"/>
      <x:c r="R917" s="11" t="str">
        <x:v>לא</x:v>
      </x:c>
    </x:row>
    <x:row r="918">
      <x:c r="A918" s="14" t="n">
        <x:v>45901</x:v>
      </x:c>
      <x:c r="B918" s="11" t="str">
        <x:v>2025-09</x:v>
      </x:c>
      <x:c r="C918" s="11" t="str">
        <x:v>ספטמבר 25</x:v>
      </x:c>
      <x:c r="D918" s="15" t="n">
        <x:v>86</x:v>
      </x:c>
      <x:c r="E918" s="11" t="str">
        <x:v>6</x:v>
      </x:c>
      <x:c r="F918" s="11" t="str">
        <x:v>וולט</x:v>
      </x:c>
      <x:c r="G918" s="17" t="n">
        <x:v>233</x:v>
      </x:c>
      <x:c r="H918" s="18" t="str">
        <x:v>אוכל בחוץ</x:v>
      </x:c>
      <x:c r="I918" s="19" t="str">
        <x:f>IFERROR(INDEX('מיפוי ומקורות'!$C$7:$C$33,MATCH(H918,'מיפוי ומקורות'!$B$7:$B$33,0)),"לא מסווג")</x:f>
        <x:v>אוכל בחוץ</x:v>
      </x:c>
      <x:c r="J918" s="19" t="str">
        <x:f>IFERROR(INDEX('מיפוי ומקורות'!$D$7:$D$33,MATCH(H918,'מיפוי ומקורות'!$B$7:$B$33,0)),"שוטף")</x:f>
        <x:v>שוטף</x:v>
      </x:c>
      <x:c r="K918" s="19" t="str">
        <x:f>IF(OR(H918="ריביות",AND(H918="דירה כצנלסון",G918&lt;0,ISNUMBER(SEARCH("הכנסה",F918)))),"הכנסה שסווגה מחדש",J918)</x:f>
        <x:v>שוטף</x:v>
      </x:c>
      <x:c r="L918" s="19" t="str">
        <x:v>מאושר</x:v>
      </x:c>
      <x:c r="M918" s="20" t="n">
        <x:f>IF(L918="מאושר",IF(K918="הכנסה שסווגה מחדש",0,G918),0)</x:f>
        <x:v>233</x:v>
      </x:c>
      <x:c r="N918" s="20" t="n">
        <x:f>IF(K918="שוטף",M918,0)</x:f>
        <x:v>233</x:v>
      </x:c>
      <x:c r="O918" s="20" t="n">
        <x:f>IF(K918="הכנסה שסווגה מחדש",-G918,0)</x:f>
        <x:v>0</x:v>
      </x:c>
      <x:c r="P918" s="11" t="str">
        <x:v>אמקס זיו</x:v>
      </x:c>
      <x:c r="Q918" s="11" t="str"/>
      <x:c r="R918" s="11" t="str">
        <x:v>לא</x:v>
      </x:c>
    </x:row>
    <x:row r="919">
      <x:c r="A919" s="14" t="n">
        <x:v>45901</x:v>
      </x:c>
      <x:c r="B919" s="11" t="str">
        <x:v>2025-09</x:v>
      </x:c>
      <x:c r="C919" s="11" t="str">
        <x:v>ספטמבר 25</x:v>
      </x:c>
      <x:c r="D919" s="15" t="n">
        <x:v>87</x:v>
      </x:c>
      <x:c r="E919" s="11" t="str">
        <x:v>7</x:v>
      </x:c>
      <x:c r="F919" s="11" t="str">
        <x:v>ירקות</x:v>
      </x:c>
      <x:c r="G919" s="17" t="n">
        <x:v>55</x:v>
      </x:c>
      <x:c r="H919" s="18" t="str">
        <x:v>מזון לבית</x:v>
      </x:c>
      <x:c r="I919" s="19" t="str">
        <x:f>IFERROR(INDEX('מיפוי ומקורות'!$C$7:$C$33,MATCH(H919,'מיפוי ומקורות'!$B$7:$B$33,0)),"לא מסווג")</x:f>
        <x:v>מזון לבית</x:v>
      </x:c>
      <x:c r="J919" s="19" t="str">
        <x:f>IFERROR(INDEX('מיפוי ומקורות'!$D$7:$D$33,MATCH(H919,'מיפוי ומקורות'!$B$7:$B$33,0)),"שוטף")</x:f>
        <x:v>שוטף</x:v>
      </x:c>
      <x:c r="K919" s="19" t="str">
        <x:f>IF(OR(H919="ריביות",AND(H919="דירה כצנלסון",G919&lt;0,ISNUMBER(SEARCH("הכנסה",F919)))),"הכנסה שסווגה מחדש",J919)</x:f>
        <x:v>שוטף</x:v>
      </x:c>
      <x:c r="L919" s="19" t="str">
        <x:v>מאושר</x:v>
      </x:c>
      <x:c r="M919" s="20" t="n">
        <x:f>IF(L919="מאושר",IF(K919="הכנסה שסווגה מחדש",0,G919),0)</x:f>
        <x:v>55</x:v>
      </x:c>
      <x:c r="N919" s="20" t="n">
        <x:f>IF(K919="שוטף",M919,0)</x:f>
        <x:v>55</x:v>
      </x:c>
      <x:c r="O919" s="20" t="n">
        <x:f>IF(K919="הכנסה שסווגה מחדש",-G919,0)</x:f>
        <x:v>0</x:v>
      </x:c>
      <x:c r="P919" s="11" t="str">
        <x:v>אמקס זיו</x:v>
      </x:c>
      <x:c r="Q919" s="11" t="str"/>
      <x:c r="R919" s="11" t="str">
        <x:v>לא</x:v>
      </x:c>
    </x:row>
    <x:row r="920">
      <x:c r="A920" s="14" t="n">
        <x:v>45901</x:v>
      </x:c>
      <x:c r="B920" s="11" t="str">
        <x:v>2025-09</x:v>
      </x:c>
      <x:c r="C920" s="11" t="str">
        <x:v>ספטמבר 25</x:v>
      </x:c>
      <x:c r="D920" s="15" t="n">
        <x:v>88</x:v>
      </x:c>
      <x:c r="E920" s="11" t="str">
        <x:v>8</x:v>
      </x:c>
      <x:c r="F920" s="11" t="str">
        <x:v>מסעדה</x:v>
      </x:c>
      <x:c r="G920" s="17" t="n">
        <x:v>27</x:v>
      </x:c>
      <x:c r="H920" s="18" t="str">
        <x:v>אוכל בחוץ</x:v>
      </x:c>
      <x:c r="I920" s="19" t="str">
        <x:f>IFERROR(INDEX('מיפוי ומקורות'!$C$7:$C$33,MATCH(H920,'מיפוי ומקורות'!$B$7:$B$33,0)),"לא מסווג")</x:f>
        <x:v>אוכל בחוץ</x:v>
      </x:c>
      <x:c r="J920" s="19" t="str">
        <x:f>IFERROR(INDEX('מיפוי ומקורות'!$D$7:$D$33,MATCH(H920,'מיפוי ומקורות'!$B$7:$B$33,0)),"שוטף")</x:f>
        <x:v>שוטף</x:v>
      </x:c>
      <x:c r="K920" s="19" t="str">
        <x:f>IF(OR(H920="ריביות",AND(H920="דירה כצנלסון",G920&lt;0,ISNUMBER(SEARCH("הכנסה",F920)))),"הכנסה שסווגה מחדש",J920)</x:f>
        <x:v>שוטף</x:v>
      </x:c>
      <x:c r="L920" s="19" t="str">
        <x:v>מאושר</x:v>
      </x:c>
      <x:c r="M920" s="20" t="n">
        <x:f>IF(L920="מאושר",IF(K920="הכנסה שסווגה מחדש",0,G920),0)</x:f>
        <x:v>27</x:v>
      </x:c>
      <x:c r="N920" s="20" t="n">
        <x:f>IF(K920="שוטף",M920,0)</x:f>
        <x:v>27</x:v>
      </x:c>
      <x:c r="O920" s="20" t="n">
        <x:f>IF(K920="הכנסה שסווגה מחדש",-G920,0)</x:f>
        <x:v>0</x:v>
      </x:c>
      <x:c r="P920" s="11" t="str">
        <x:v>אמקס זיו</x:v>
      </x:c>
      <x:c r="Q920" s="11" t="str"/>
      <x:c r="R920" s="11" t="str">
        <x:v>לא</x:v>
      </x:c>
    </x:row>
    <x:row r="921">
      <x:c r="A921" s="14" t="n">
        <x:v>45901</x:v>
      </x:c>
      <x:c r="B921" s="11" t="str">
        <x:v>2025-09</x:v>
      </x:c>
      <x:c r="C921" s="11" t="str">
        <x:v>ספטמבר 25</x:v>
      </x:c>
      <x:c r="D921" s="15" t="n">
        <x:v>89</x:v>
      </x:c>
      <x:c r="E921" s="11" t="str">
        <x:v>10</x:v>
      </x:c>
      <x:c r="F921" s="11" t="str">
        <x:v>מסעדה</x:v>
      </x:c>
      <x:c r="G921" s="17" t="n">
        <x:v>57</x:v>
      </x:c>
      <x:c r="H921" s="18" t="str">
        <x:v>אוכל בחוץ</x:v>
      </x:c>
      <x:c r="I921" s="19" t="str">
        <x:f>IFERROR(INDEX('מיפוי ומקורות'!$C$7:$C$33,MATCH(H921,'מיפוי ומקורות'!$B$7:$B$33,0)),"לא מסווג")</x:f>
        <x:v>אוכל בחוץ</x:v>
      </x:c>
      <x:c r="J921" s="19" t="str">
        <x:f>IFERROR(INDEX('מיפוי ומקורות'!$D$7:$D$33,MATCH(H921,'מיפוי ומקורות'!$B$7:$B$33,0)),"שוטף")</x:f>
        <x:v>שוטף</x:v>
      </x:c>
      <x:c r="K921" s="19" t="str">
        <x:f>IF(OR(H921="ריביות",AND(H921="דירה כצנלסון",G921&lt;0,ISNUMBER(SEARCH("הכנסה",F921)))),"הכנסה שסווגה מחדש",J921)</x:f>
        <x:v>שוטף</x:v>
      </x:c>
      <x:c r="L921" s="19" t="str">
        <x:v>מאושר</x:v>
      </x:c>
      <x:c r="M921" s="20" t="n">
        <x:f>IF(L921="מאושר",IF(K921="הכנסה שסווגה מחדש",0,G921),0)</x:f>
        <x:v>57</x:v>
      </x:c>
      <x:c r="N921" s="20" t="n">
        <x:f>IF(K921="שוטף",M921,0)</x:f>
        <x:v>57</x:v>
      </x:c>
      <x:c r="O921" s="20" t="n">
        <x:f>IF(K921="הכנסה שסווגה מחדש",-G921,0)</x:f>
        <x:v>0</x:v>
      </x:c>
      <x:c r="P921" s="11" t="str">
        <x:v>אמקס זיו</x:v>
      </x:c>
      <x:c r="Q921" s="11" t="str"/>
      <x:c r="R921" s="11" t="str">
        <x:v>לא</x:v>
      </x:c>
    </x:row>
    <x:row r="922">
      <x:c r="A922" s="14" t="n">
        <x:v>45901</x:v>
      </x:c>
      <x:c r="B922" s="11" t="str">
        <x:v>2025-09</x:v>
      </x:c>
      <x:c r="C922" s="11" t="str">
        <x:v>ספטמבר 25</x:v>
      </x:c>
      <x:c r="D922" s="15" t="n">
        <x:v>90</x:v>
      </x:c>
      <x:c r="E922" s="11" t="str">
        <x:v>11</x:v>
      </x:c>
      <x:c r="F922" s="11" t="str">
        <x:v>בראנץ</x:v>
      </x:c>
      <x:c r="G922" s="17" t="n">
        <x:v>235</x:v>
      </x:c>
      <x:c r="H922" s="18" t="str">
        <x:v>אוכל בחוץ</x:v>
      </x:c>
      <x:c r="I922" s="19" t="str">
        <x:f>IFERROR(INDEX('מיפוי ומקורות'!$C$7:$C$33,MATCH(H922,'מיפוי ומקורות'!$B$7:$B$33,0)),"לא מסווג")</x:f>
        <x:v>אוכל בחוץ</x:v>
      </x:c>
      <x:c r="J922" s="19" t="str">
        <x:f>IFERROR(INDEX('מיפוי ומקורות'!$D$7:$D$33,MATCH(H922,'מיפוי ומקורות'!$B$7:$B$33,0)),"שוטף")</x:f>
        <x:v>שוטף</x:v>
      </x:c>
      <x:c r="K922" s="19" t="str">
        <x:f>IF(OR(H922="ריביות",AND(H922="דירה כצנלסון",G922&lt;0,ISNUMBER(SEARCH("הכנסה",F922)))),"הכנסה שסווגה מחדש",J922)</x:f>
        <x:v>שוטף</x:v>
      </x:c>
      <x:c r="L922" s="19" t="str">
        <x:v>מאושר</x:v>
      </x:c>
      <x:c r="M922" s="20" t="n">
        <x:f>IF(L922="מאושר",IF(K922="הכנסה שסווגה מחדש",0,G922),0)</x:f>
        <x:v>235</x:v>
      </x:c>
      <x:c r="N922" s="20" t="n">
        <x:f>IF(K922="שוטף",M922,0)</x:f>
        <x:v>235</x:v>
      </x:c>
      <x:c r="O922" s="20" t="n">
        <x:f>IF(K922="הכנסה שסווגה מחדש",-G922,0)</x:f>
        <x:v>0</x:v>
      </x:c>
      <x:c r="P922" s="11" t="str">
        <x:v>אמקס זיו</x:v>
      </x:c>
      <x:c r="Q922" s="11" t="str"/>
      <x:c r="R922" s="11" t="str">
        <x:v>לא</x:v>
      </x:c>
    </x:row>
    <x:row r="923">
      <x:c r="A923" s="14" t="n">
        <x:v>45901</x:v>
      </x:c>
      <x:c r="B923" s="11" t="str">
        <x:v>2025-09</x:v>
      </x:c>
      <x:c r="C923" s="11" t="str">
        <x:v>ספטמבר 25</x:v>
      </x:c>
      <x:c r="D923" s="15" t="n">
        <x:v>91</x:v>
      </x:c>
      <x:c r="E923" s="11" t="str">
        <x:v>11</x:v>
      </x:c>
      <x:c r="F923" s="11" t="str">
        <x:v>תמבוריה</x:v>
      </x:c>
      <x:c r="G923" s="17" t="n">
        <x:v>23</x:v>
      </x:c>
      <x:c r="H923" s="18" t="str">
        <x:v>קניות לבית</x:v>
      </x:c>
      <x:c r="I923" s="19" t="str">
        <x:f>IFERROR(INDEX('מיפוי ומקורות'!$C$7:$C$33,MATCH(H923,'מיפוי ומקורות'!$B$7:$B$33,0)),"לא מסווג")</x:f>
        <x:v>קניות לבית</x:v>
      </x:c>
      <x:c r="J923" s="19" t="str">
        <x:f>IFERROR(INDEX('מיפוי ומקורות'!$D$7:$D$33,MATCH(H923,'מיפוי ומקורות'!$B$7:$B$33,0)),"שוטף")</x:f>
        <x:v>שוטף</x:v>
      </x:c>
      <x:c r="K923" s="19" t="str">
        <x:f>IF(OR(H923="ריביות",AND(H923="דירה כצנלסון",G923&lt;0,ISNUMBER(SEARCH("הכנסה",F923)))),"הכנסה שסווגה מחדש",J923)</x:f>
        <x:v>שוטף</x:v>
      </x:c>
      <x:c r="L923" s="19" t="str">
        <x:v>מאושר</x:v>
      </x:c>
      <x:c r="M923" s="20" t="n">
        <x:f>IF(L923="מאושר",IF(K923="הכנסה שסווגה מחדש",0,G923),0)</x:f>
        <x:v>23</x:v>
      </x:c>
      <x:c r="N923" s="20" t="n">
        <x:f>IF(K923="שוטף",M923,0)</x:f>
        <x:v>23</x:v>
      </x:c>
      <x:c r="O923" s="20" t="n">
        <x:f>IF(K923="הכנסה שסווגה מחדש",-G923,0)</x:f>
        <x:v>0</x:v>
      </x:c>
      <x:c r="P923" s="11" t="str">
        <x:v>אמקס זיו</x:v>
      </x:c>
      <x:c r="Q923" s="11" t="str"/>
      <x:c r="R923" s="11" t="str">
        <x:v>לא</x:v>
      </x:c>
    </x:row>
    <x:row r="924">
      <x:c r="A924" s="14" t="n">
        <x:v>45901</x:v>
      </x:c>
      <x:c r="B924" s="11" t="str">
        <x:v>2025-09</x:v>
      </x:c>
      <x:c r="C924" s="11" t="str">
        <x:v>ספטמבר 25</x:v>
      </x:c>
      <x:c r="D924" s="15" t="n">
        <x:v>92</x:v>
      </x:c>
      <x:c r="E924" s="11" t="str">
        <x:v>12</x:v>
      </x:c>
      <x:c r="F924" s="11" t="str">
        <x:v>מסעדה</x:v>
      </x:c>
      <x:c r="G924" s="17" t="n">
        <x:v>12</x:v>
      </x:c>
      <x:c r="H924" s="18" t="str">
        <x:v>אוכל בחוץ</x:v>
      </x:c>
      <x:c r="I924" s="19" t="str">
        <x:f>IFERROR(INDEX('מיפוי ומקורות'!$C$7:$C$33,MATCH(H924,'מיפוי ומקורות'!$B$7:$B$33,0)),"לא מסווג")</x:f>
        <x:v>אוכל בחוץ</x:v>
      </x:c>
      <x:c r="J924" s="19" t="str">
        <x:f>IFERROR(INDEX('מיפוי ומקורות'!$D$7:$D$33,MATCH(H924,'מיפוי ומקורות'!$B$7:$B$33,0)),"שוטף")</x:f>
        <x:v>שוטף</x:v>
      </x:c>
      <x:c r="K924" s="19" t="str">
        <x:f>IF(OR(H924="ריביות",AND(H924="דירה כצנלסון",G924&lt;0,ISNUMBER(SEARCH("הכנסה",F924)))),"הכנסה שסווגה מחדש",J924)</x:f>
        <x:v>שוטף</x:v>
      </x:c>
      <x:c r="L924" s="19" t="str">
        <x:v>מאושר</x:v>
      </x:c>
      <x:c r="M924" s="20" t="n">
        <x:f>IF(L924="מאושר",IF(K924="הכנסה שסווגה מחדש",0,G924),0)</x:f>
        <x:v>12</x:v>
      </x:c>
      <x:c r="N924" s="20" t="n">
        <x:f>IF(K924="שוטף",M924,0)</x:f>
        <x:v>12</x:v>
      </x:c>
      <x:c r="O924" s="20" t="n">
        <x:f>IF(K924="הכנסה שסווגה מחדש",-G924,0)</x:f>
        <x:v>0</x:v>
      </x:c>
      <x:c r="P924" s="11" t="str">
        <x:v>אמקס זיו</x:v>
      </x:c>
      <x:c r="Q924" s="11" t="str"/>
      <x:c r="R924" s="11" t="str">
        <x:v>לא</x:v>
      </x:c>
    </x:row>
    <x:row r="925">
      <x:c r="A925" s="14" t="n">
        <x:v>45901</x:v>
      </x:c>
      <x:c r="B925" s="11" t="str">
        <x:v>2025-09</x:v>
      </x:c>
      <x:c r="C925" s="11" t="str">
        <x:v>ספטמבר 25</x:v>
      </x:c>
      <x:c r="D925" s="15" t="n">
        <x:v>93</x:v>
      </x:c>
      <x:c r="E925" s="11" t="str">
        <x:v>12</x:v>
      </x:c>
      <x:c r="F925" s="11" t="str">
        <x:v>דלק</x:v>
      </x:c>
      <x:c r="G925" s="17" t="n">
        <x:v>193</x:v>
      </x:c>
      <x:c r="H925" s="18" t="str">
        <x:v>תחבורה</x:v>
      </x:c>
      <x:c r="I925" s="19" t="str">
        <x:f>IFERROR(INDEX('מיפוי ומקורות'!$C$7:$C$33,MATCH(H925,'מיפוי ומקורות'!$B$7:$B$33,0)),"לא מסווג")</x:f>
        <x:v>תחבורה</x:v>
      </x:c>
      <x:c r="J925" s="19" t="str">
        <x:f>IFERROR(INDEX('מיפוי ומקורות'!$D$7:$D$33,MATCH(H925,'מיפוי ומקורות'!$B$7:$B$33,0)),"שוטף")</x:f>
        <x:v>שוטף</x:v>
      </x:c>
      <x:c r="K925" s="19" t="str">
        <x:f>IF(OR(H925="ריביות",AND(H925="דירה כצנלסון",G925&lt;0,ISNUMBER(SEARCH("הכנסה",F925)))),"הכנסה שסווגה מחדש",J925)</x:f>
        <x:v>שוטף</x:v>
      </x:c>
      <x:c r="L925" s="19" t="str">
        <x:v>מאושר</x:v>
      </x:c>
      <x:c r="M925" s="20" t="n">
        <x:f>IF(L925="מאושר",IF(K925="הכנסה שסווגה מחדש",0,G925),0)</x:f>
        <x:v>193</x:v>
      </x:c>
      <x:c r="N925" s="20" t="n">
        <x:f>IF(K925="שוטף",M925,0)</x:f>
        <x:v>193</x:v>
      </x:c>
      <x:c r="O925" s="20" t="n">
        <x:f>IF(K925="הכנסה שסווגה מחדש",-G925,0)</x:f>
        <x:v>0</x:v>
      </x:c>
      <x:c r="P925" s="11" t="str">
        <x:v>אמקס זיו</x:v>
      </x:c>
      <x:c r="Q925" s="11" t="str"/>
      <x:c r="R925" s="11" t="str">
        <x:v>לא</x:v>
      </x:c>
    </x:row>
    <x:row r="926">
      <x:c r="A926" s="14" t="n">
        <x:v>45901</x:v>
      </x:c>
      <x:c r="B926" s="11" t="str">
        <x:v>2025-09</x:v>
      </x:c>
      <x:c r="C926" s="11" t="str">
        <x:v>ספטמבר 25</x:v>
      </x:c>
      <x:c r="D926" s="15" t="n">
        <x:v>94</x:v>
      </x:c>
      <x:c r="E926" s="11" t="str">
        <x:v>13</x:v>
      </x:c>
      <x:c r="F926" s="11" t="str">
        <x:v>מסעדה</x:v>
      </x:c>
      <x:c r="G926" s="17" t="n">
        <x:v>192</x:v>
      </x:c>
      <x:c r="H926" s="18" t="str">
        <x:v>אוכל בחוץ</x:v>
      </x:c>
      <x:c r="I926" s="19" t="str">
        <x:f>IFERROR(INDEX('מיפוי ומקורות'!$C$7:$C$33,MATCH(H926,'מיפוי ומקורות'!$B$7:$B$33,0)),"לא מסווג")</x:f>
        <x:v>אוכל בחוץ</x:v>
      </x:c>
      <x:c r="J926" s="19" t="str">
        <x:f>IFERROR(INDEX('מיפוי ומקורות'!$D$7:$D$33,MATCH(H926,'מיפוי ומקורות'!$B$7:$B$33,0)),"שוטף")</x:f>
        <x:v>שוטף</x:v>
      </x:c>
      <x:c r="K926" s="19" t="str">
        <x:f>IF(OR(H926="ריביות",AND(H926="דירה כצנלסון",G926&lt;0,ISNUMBER(SEARCH("הכנסה",F926)))),"הכנסה שסווגה מחדש",J926)</x:f>
        <x:v>שוטף</x:v>
      </x:c>
      <x:c r="L926" s="19" t="str">
        <x:v>מאושר</x:v>
      </x:c>
      <x:c r="M926" s="20" t="n">
        <x:f>IF(L926="מאושר",IF(K926="הכנסה שסווגה מחדש",0,G926),0)</x:f>
        <x:v>192</x:v>
      </x:c>
      <x:c r="N926" s="20" t="n">
        <x:f>IF(K926="שוטף",M926,0)</x:f>
        <x:v>192</x:v>
      </x:c>
      <x:c r="O926" s="20" t="n">
        <x:f>IF(K926="הכנסה שסווגה מחדש",-G926,0)</x:f>
        <x:v>0</x:v>
      </x:c>
      <x:c r="P926" s="11" t="str">
        <x:v>אמקס זיו</x:v>
      </x:c>
      <x:c r="Q926" s="11" t="str"/>
      <x:c r="R926" s="11" t="str">
        <x:v>לא</x:v>
      </x:c>
    </x:row>
    <x:row r="927">
      <x:c r="A927" s="14" t="n">
        <x:v>45901</x:v>
      </x:c>
      <x:c r="B927" s="11" t="str">
        <x:v>2025-09</x:v>
      </x:c>
      <x:c r="C927" s="11" t="str">
        <x:v>ספטמבר 25</x:v>
      </x:c>
      <x:c r="D927" s="15" t="n">
        <x:v>95</x:v>
      </x:c>
      <x:c r="E927" s="11" t="str">
        <x:v>14</x:v>
      </x:c>
      <x:c r="F927" s="11" t="str">
        <x:v>תרופות</x:v>
      </x:c>
      <x:c r="G927" s="17" t="n">
        <x:v>75</x:v>
      </x:c>
      <x:c r="H927" s="18" t="str">
        <x:v>בריאות</x:v>
      </x:c>
      <x:c r="I927" s="19" t="str">
        <x:f>IFERROR(INDEX('מיפוי ומקורות'!$C$7:$C$33,MATCH(H927,'מיפוי ומקורות'!$B$7:$B$33,0)),"לא מסווג")</x:f>
        <x:v>בריאות וטיפולים</x:v>
      </x:c>
      <x:c r="J927" s="19" t="str">
        <x:f>IFERROR(INDEX('מיפוי ומקורות'!$D$7:$D$33,MATCH(H927,'מיפוי ומקורות'!$B$7:$B$33,0)),"שוטף")</x:f>
        <x:v>שוטף</x:v>
      </x:c>
      <x:c r="K927" s="19" t="str">
        <x:f>IF(OR(H927="ריביות",AND(H927="דירה כצנלסון",G927&lt;0,ISNUMBER(SEARCH("הכנסה",F927)))),"הכנסה שסווגה מחדש",J927)</x:f>
        <x:v>שוטף</x:v>
      </x:c>
      <x:c r="L927" s="19" t="str">
        <x:v>מאושר</x:v>
      </x:c>
      <x:c r="M927" s="20" t="n">
        <x:f>IF(L927="מאושר",IF(K927="הכנסה שסווגה מחדש",0,G927),0)</x:f>
        <x:v>75</x:v>
      </x:c>
      <x:c r="N927" s="20" t="n">
        <x:f>IF(K927="שוטף",M927,0)</x:f>
        <x:v>75</x:v>
      </x:c>
      <x:c r="O927" s="20" t="n">
        <x:f>IF(K927="הכנסה שסווגה מחדש",-G927,0)</x:f>
        <x:v>0</x:v>
      </x:c>
      <x:c r="P927" s="11" t="str">
        <x:v>אמקס זיו</x:v>
      </x:c>
      <x:c r="Q927" s="11" t="str"/>
      <x:c r="R927" s="11" t="str">
        <x:v>לא</x:v>
      </x:c>
    </x:row>
    <x:row r="928">
      <x:c r="A928" s="14" t="n">
        <x:v>45901</x:v>
      </x:c>
      <x:c r="B928" s="11" t="str">
        <x:v>2025-09</x:v>
      </x:c>
      <x:c r="C928" s="11" t="str">
        <x:v>ספטמבר 25</x:v>
      </x:c>
      <x:c r="D928" s="15" t="n">
        <x:v>96</x:v>
      </x:c>
      <x:c r="E928" s="11" t="str">
        <x:v>14</x:v>
      </x:c>
      <x:c r="F928" s="11" t="str">
        <x:v>פרחים</x:v>
      </x:c>
      <x:c r="G928" s="17" t="n">
        <x:v>160</x:v>
      </x:c>
      <x:c r="H928" s="18" t="str">
        <x:v>מתנה</x:v>
      </x:c>
      <x:c r="I928" s="19" t="str">
        <x:f>IFERROR(INDEX('מיפוי ומקורות'!$C$7:$C$33,MATCH(H928,'מיפוי ומקורות'!$B$7:$B$33,0)),"לא מסווג")</x:f>
        <x:v>מתנה</x:v>
      </x:c>
      <x:c r="J928" s="19" t="str">
        <x:f>IFERROR(INDEX('מיפוי ומקורות'!$D$7:$D$33,MATCH(H928,'מיפוי ומקורות'!$B$7:$B$33,0)),"שוטף")</x:f>
        <x:v>שוטף</x:v>
      </x:c>
      <x:c r="K928" s="19" t="str">
        <x:f>IF(OR(H928="ריביות",AND(H928="דירה כצנלסון",G928&lt;0,ISNUMBER(SEARCH("הכנסה",F928)))),"הכנסה שסווגה מחדש",J928)</x:f>
        <x:v>שוטף</x:v>
      </x:c>
      <x:c r="L928" s="19" t="str">
        <x:v>מאושר</x:v>
      </x:c>
      <x:c r="M928" s="20" t="n">
        <x:f>IF(L928="מאושר",IF(K928="הכנסה שסווגה מחדש",0,G928),0)</x:f>
        <x:v>160</x:v>
      </x:c>
      <x:c r="N928" s="20" t="n">
        <x:f>IF(K928="שוטף",M928,0)</x:f>
        <x:v>160</x:v>
      </x:c>
      <x:c r="O928" s="20" t="n">
        <x:f>IF(K928="הכנסה שסווגה מחדש",-G928,0)</x:f>
        <x:v>0</x:v>
      </x:c>
      <x:c r="P928" s="11" t="str">
        <x:v>אמקס זיו</x:v>
      </x:c>
      <x:c r="Q928" s="11" t="str"/>
      <x:c r="R928" s="11" t="str">
        <x:v>לא</x:v>
      </x:c>
    </x:row>
    <x:row r="929">
      <x:c r="A929" s="14" t="n">
        <x:v>45901</x:v>
      </x:c>
      <x:c r="B929" s="11" t="str">
        <x:v>2025-09</x:v>
      </x:c>
      <x:c r="C929" s="11" t="str">
        <x:v>ספטמבר 25</x:v>
      </x:c>
      <x:c r="D929" s="15" t="n">
        <x:v>97</x:v>
      </x:c>
      <x:c r="E929" s="11" t="str">
        <x:v>14</x:v>
      </x:c>
      <x:c r="F929" s="11" t="str">
        <x:v>ירקות</x:v>
      </x:c>
      <x:c r="G929" s="17" t="n">
        <x:v>21</x:v>
      </x:c>
      <x:c r="H929" s="18" t="str">
        <x:v>מזון לבית</x:v>
      </x:c>
      <x:c r="I929" s="19" t="str">
        <x:f>IFERROR(INDEX('מיפוי ומקורות'!$C$7:$C$33,MATCH(H929,'מיפוי ומקורות'!$B$7:$B$33,0)),"לא מסווג")</x:f>
        <x:v>מזון לבית</x:v>
      </x:c>
      <x:c r="J929" s="19" t="str">
        <x:f>IFERROR(INDEX('מיפוי ומקורות'!$D$7:$D$33,MATCH(H929,'מיפוי ומקורות'!$B$7:$B$33,0)),"שוטף")</x:f>
        <x:v>שוטף</x:v>
      </x:c>
      <x:c r="K929" s="19" t="str">
        <x:f>IF(OR(H929="ריביות",AND(H929="דירה כצנלסון",G929&lt;0,ISNUMBER(SEARCH("הכנסה",F929)))),"הכנסה שסווגה מחדש",J929)</x:f>
        <x:v>שוטף</x:v>
      </x:c>
      <x:c r="L929" s="19" t="str">
        <x:v>מאושר</x:v>
      </x:c>
      <x:c r="M929" s="20" t="n">
        <x:f>IF(L929="מאושר",IF(K929="הכנסה שסווגה מחדש",0,G929),0)</x:f>
        <x:v>21</x:v>
      </x:c>
      <x:c r="N929" s="20" t="n">
        <x:f>IF(K929="שוטף",M929,0)</x:f>
        <x:v>21</x:v>
      </x:c>
      <x:c r="O929" s="20" t="n">
        <x:f>IF(K929="הכנסה שסווגה מחדש",-G929,0)</x:f>
        <x:v>0</x:v>
      </x:c>
      <x:c r="P929" s="11" t="str">
        <x:v>אמקס זיו</x:v>
      </x:c>
      <x:c r="Q929" s="11" t="str"/>
      <x:c r="R929" s="11" t="str">
        <x:v>לא</x:v>
      </x:c>
    </x:row>
    <x:row r="930">
      <x:c r="A930" s="14" t="n">
        <x:v>45901</x:v>
      </x:c>
      <x:c r="B930" s="11" t="str">
        <x:v>2025-09</x:v>
      </x:c>
      <x:c r="C930" s="11" t="str">
        <x:v>ספטמבר 25</x:v>
      </x:c>
      <x:c r="D930" s="15" t="n">
        <x:v>98</x:v>
      </x:c>
      <x:c r="E930" s="11" t="str">
        <x:v>16</x:v>
      </x:c>
      <x:c r="F930" s="11" t="str">
        <x:v>ירקות</x:v>
      </x:c>
      <x:c r="G930" s="17" t="n">
        <x:v>24</x:v>
      </x:c>
      <x:c r="H930" s="18" t="str">
        <x:v>מזון לבית</x:v>
      </x:c>
      <x:c r="I930" s="19" t="str">
        <x:f>IFERROR(INDEX('מיפוי ומקורות'!$C$7:$C$33,MATCH(H930,'מיפוי ומקורות'!$B$7:$B$33,0)),"לא מסווג")</x:f>
        <x:v>מזון לבית</x:v>
      </x:c>
      <x:c r="J930" s="19" t="str">
        <x:f>IFERROR(INDEX('מיפוי ומקורות'!$D$7:$D$33,MATCH(H930,'מיפוי ומקורות'!$B$7:$B$33,0)),"שוטף")</x:f>
        <x:v>שוטף</x:v>
      </x:c>
      <x:c r="K930" s="19" t="str">
        <x:f>IF(OR(H930="ריביות",AND(H930="דירה כצנלסון",G930&lt;0,ISNUMBER(SEARCH("הכנסה",F930)))),"הכנסה שסווגה מחדש",J930)</x:f>
        <x:v>שוטף</x:v>
      </x:c>
      <x:c r="L930" s="19" t="str">
        <x:v>מאושר</x:v>
      </x:c>
      <x:c r="M930" s="20" t="n">
        <x:f>IF(L930="מאושר",IF(K930="הכנסה שסווגה מחדש",0,G930),0)</x:f>
        <x:v>24</x:v>
      </x:c>
      <x:c r="N930" s="20" t="n">
        <x:f>IF(K930="שוטף",M930,0)</x:f>
        <x:v>24</x:v>
      </x:c>
      <x:c r="O930" s="20" t="n">
        <x:f>IF(K930="הכנסה שסווגה מחדש",-G930,0)</x:f>
        <x:v>0</x:v>
      </x:c>
      <x:c r="P930" s="11" t="str">
        <x:v>אמקס זיו</x:v>
      </x:c>
      <x:c r="Q930" s="11" t="str"/>
      <x:c r="R930" s="11" t="str">
        <x:v>לא</x:v>
      </x:c>
    </x:row>
    <x:row r="931">
      <x:c r="A931" s="14" t="n">
        <x:v>45901</x:v>
      </x:c>
      <x:c r="B931" s="11" t="str">
        <x:v>2025-09</x:v>
      </x:c>
      <x:c r="C931" s="11" t="str">
        <x:v>ספטמבר 25</x:v>
      </x:c>
      <x:c r="D931" s="15" t="n">
        <x:v>99</x:v>
      </x:c>
      <x:c r="E931" s="11" t="str">
        <x:v>17</x:v>
      </x:c>
      <x:c r="F931" s="11" t="str">
        <x:v>בטריות</x:v>
      </x:c>
      <x:c r="G931" s="17" t="n">
        <x:v>38</x:v>
      </x:c>
      <x:c r="H931" s="18" t="str">
        <x:v>קניות לבית</x:v>
      </x:c>
      <x:c r="I931" s="19" t="str">
        <x:f>IFERROR(INDEX('מיפוי ומקורות'!$C$7:$C$33,MATCH(H931,'מיפוי ומקורות'!$B$7:$B$33,0)),"לא מסווג")</x:f>
        <x:v>קניות לבית</x:v>
      </x:c>
      <x:c r="J931" s="19" t="str">
        <x:f>IFERROR(INDEX('מיפוי ומקורות'!$D$7:$D$33,MATCH(H931,'מיפוי ומקורות'!$B$7:$B$33,0)),"שוטף")</x:f>
        <x:v>שוטף</x:v>
      </x:c>
      <x:c r="K931" s="19" t="str">
        <x:f>IF(OR(H931="ריביות",AND(H931="דירה כצנלסון",G931&lt;0,ISNUMBER(SEARCH("הכנסה",F931)))),"הכנסה שסווגה מחדש",J931)</x:f>
        <x:v>שוטף</x:v>
      </x:c>
      <x:c r="L931" s="19" t="str">
        <x:v>מאושר</x:v>
      </x:c>
      <x:c r="M931" s="20" t="n">
        <x:f>IF(L931="מאושר",IF(K931="הכנסה שסווגה מחדש",0,G931),0)</x:f>
        <x:v>38</x:v>
      </x:c>
      <x:c r="N931" s="20" t="n">
        <x:f>IF(K931="שוטף",M931,0)</x:f>
        <x:v>38</x:v>
      </x:c>
      <x:c r="O931" s="20" t="n">
        <x:f>IF(K931="הכנסה שסווגה מחדש",-G931,0)</x:f>
        <x:v>0</x:v>
      </x:c>
      <x:c r="P931" s="11" t="str">
        <x:v>אמקס זיו</x:v>
      </x:c>
      <x:c r="Q931" s="11" t="str"/>
      <x:c r="R931" s="11" t="str">
        <x:v>לא</x:v>
      </x:c>
    </x:row>
    <x:row r="932">
      <x:c r="A932" s="14" t="n">
        <x:v>45901</x:v>
      </x:c>
      <x:c r="B932" s="11" t="str">
        <x:v>2025-09</x:v>
      </x:c>
      <x:c r="C932" s="11" t="str">
        <x:v>ספטמבר 25</x:v>
      </x:c>
      <x:c r="D932" s="15" t="n">
        <x:v>100</x:v>
      </x:c>
      <x:c r="E932" s="11" t="str">
        <x:v>18</x:v>
      </x:c>
      <x:c r="F932" s="11" t="str">
        <x:v>ירקות</x:v>
      </x:c>
      <x:c r="G932" s="17" t="n">
        <x:v>66</x:v>
      </x:c>
      <x:c r="H932" s="18" t="str">
        <x:v>מזון לבית</x:v>
      </x:c>
      <x:c r="I932" s="19" t="str">
        <x:f>IFERROR(INDEX('מיפוי ומקורות'!$C$7:$C$33,MATCH(H932,'מיפוי ומקורות'!$B$7:$B$33,0)),"לא מסווג")</x:f>
        <x:v>מזון לבית</x:v>
      </x:c>
      <x:c r="J932" s="19" t="str">
        <x:f>IFERROR(INDEX('מיפוי ומקורות'!$D$7:$D$33,MATCH(H932,'מיפוי ומקורות'!$B$7:$B$33,0)),"שוטף")</x:f>
        <x:v>שוטף</x:v>
      </x:c>
      <x:c r="K932" s="19" t="str">
        <x:f>IF(OR(H932="ריביות",AND(H932="דירה כצנלסון",G932&lt;0,ISNUMBER(SEARCH("הכנסה",F932)))),"הכנסה שסווגה מחדש",J932)</x:f>
        <x:v>שוטף</x:v>
      </x:c>
      <x:c r="L932" s="19" t="str">
        <x:v>מאושר</x:v>
      </x:c>
      <x:c r="M932" s="20" t="n">
        <x:f>IF(L932="מאושר",IF(K932="הכנסה שסווגה מחדש",0,G932),0)</x:f>
        <x:v>66</x:v>
      </x:c>
      <x:c r="N932" s="20" t="n">
        <x:f>IF(K932="שוטף",M932,0)</x:f>
        <x:v>66</x:v>
      </x:c>
      <x:c r="O932" s="20" t="n">
        <x:f>IF(K932="הכנסה שסווגה מחדש",-G932,0)</x:f>
        <x:v>0</x:v>
      </x:c>
      <x:c r="P932" s="11" t="str">
        <x:v>אמקס זיו</x:v>
      </x:c>
      <x:c r="Q932" s="11" t="str"/>
      <x:c r="R932" s="11" t="str">
        <x:v>לא</x:v>
      </x:c>
    </x:row>
    <x:row r="933">
      <x:c r="A933" s="14" t="n">
        <x:v>45901</x:v>
      </x:c>
      <x:c r="B933" s="11" t="str">
        <x:v>2025-09</x:v>
      </x:c>
      <x:c r="C933" s="11" t="str">
        <x:v>ספטמבר 25</x:v>
      </x:c>
      <x:c r="D933" s="15" t="n">
        <x:v>101</x:v>
      </x:c>
      <x:c r="E933" s="11" t="str">
        <x:v>18</x:v>
      </x:c>
      <x:c r="F933" s="11" t="str">
        <x:v>סופר</x:v>
      </x:c>
      <x:c r="G933" s="17" t="n">
        <x:v>189</x:v>
      </x:c>
      <x:c r="H933" s="18" t="str">
        <x:v>מזון לבית</x:v>
      </x:c>
      <x:c r="I933" s="19" t="str">
        <x:f>IFERROR(INDEX('מיפוי ומקורות'!$C$7:$C$33,MATCH(H933,'מיפוי ומקורות'!$B$7:$B$33,0)),"לא מסווג")</x:f>
        <x:v>מזון לבית</x:v>
      </x:c>
      <x:c r="J933" s="19" t="str">
        <x:f>IFERROR(INDEX('מיפוי ומקורות'!$D$7:$D$33,MATCH(H933,'מיפוי ומקורות'!$B$7:$B$33,0)),"שוטף")</x:f>
        <x:v>שוטף</x:v>
      </x:c>
      <x:c r="K933" s="19" t="str">
        <x:f>IF(OR(H933="ריביות",AND(H933="דירה כצנלסון",G933&lt;0,ISNUMBER(SEARCH("הכנסה",F933)))),"הכנסה שסווגה מחדש",J933)</x:f>
        <x:v>שוטף</x:v>
      </x:c>
      <x:c r="L933" s="19" t="str">
        <x:v>מאושר</x:v>
      </x:c>
      <x:c r="M933" s="20" t="n">
        <x:f>IF(L933="מאושר",IF(K933="הכנסה שסווגה מחדש",0,G933),0)</x:f>
        <x:v>189</x:v>
      </x:c>
      <x:c r="N933" s="20" t="n">
        <x:f>IF(K933="שוטף",M933,0)</x:f>
        <x:v>189</x:v>
      </x:c>
      <x:c r="O933" s="20" t="n">
        <x:f>IF(K933="הכנסה שסווגה מחדש",-G933,0)</x:f>
        <x:v>0</x:v>
      </x:c>
      <x:c r="P933" s="11" t="str">
        <x:v>אמקס זיו</x:v>
      </x:c>
      <x:c r="Q933" s="11" t="str"/>
      <x:c r="R933" s="11" t="str">
        <x:v>לא</x:v>
      </x:c>
    </x:row>
    <x:row r="934">
      <x:c r="A934" s="14" t="n">
        <x:v>45901</x:v>
      </x:c>
      <x:c r="B934" s="11" t="str">
        <x:v>2025-09</x:v>
      </x:c>
      <x:c r="C934" s="11" t="str">
        <x:v>ספטמבר 25</x:v>
      </x:c>
      <x:c r="D934" s="15" t="n">
        <x:v>102</x:v>
      </x:c>
      <x:c r="E934" s="11" t="str">
        <x:v>18</x:v>
      </x:c>
      <x:c r="F934" s="11" t="str">
        <x:v>מכולת</x:v>
      </x:c>
      <x:c r="G934" s="17" t="n">
        <x:v>28</x:v>
      </x:c>
      <x:c r="H934" s="18" t="str">
        <x:v>מזון לבית</x:v>
      </x:c>
      <x:c r="I934" s="19" t="str">
        <x:f>IFERROR(INDEX('מיפוי ומקורות'!$C$7:$C$33,MATCH(H934,'מיפוי ומקורות'!$B$7:$B$33,0)),"לא מסווג")</x:f>
        <x:v>מזון לבית</x:v>
      </x:c>
      <x:c r="J934" s="19" t="str">
        <x:f>IFERROR(INDEX('מיפוי ומקורות'!$D$7:$D$33,MATCH(H934,'מיפוי ומקורות'!$B$7:$B$33,0)),"שוטף")</x:f>
        <x:v>שוטף</x:v>
      </x:c>
      <x:c r="K934" s="19" t="str">
        <x:f>IF(OR(H934="ריביות",AND(H934="דירה כצנלסון",G934&lt;0,ISNUMBER(SEARCH("הכנסה",F934)))),"הכנסה שסווגה מחדש",J934)</x:f>
        <x:v>שוטף</x:v>
      </x:c>
      <x:c r="L934" s="19" t="str">
        <x:v>מאושר</x:v>
      </x:c>
      <x:c r="M934" s="20" t="n">
        <x:f>IF(L934="מאושר",IF(K934="הכנסה שסווגה מחדש",0,G934),0)</x:f>
        <x:v>28</x:v>
      </x:c>
      <x:c r="N934" s="20" t="n">
        <x:f>IF(K934="שוטף",M934,0)</x:f>
        <x:v>28</x:v>
      </x:c>
      <x:c r="O934" s="20" t="n">
        <x:f>IF(K934="הכנסה שסווגה מחדש",-G934,0)</x:f>
        <x:v>0</x:v>
      </x:c>
      <x:c r="P934" s="11" t="str">
        <x:v>אמקס זיו</x:v>
      </x:c>
      <x:c r="Q934" s="11" t="str"/>
      <x:c r="R934" s="11" t="str">
        <x:v>לא</x:v>
      </x:c>
    </x:row>
    <x:row r="935">
      <x:c r="A935" s="14" t="n">
        <x:v>45901</x:v>
      </x:c>
      <x:c r="B935" s="11" t="str">
        <x:v>2025-09</x:v>
      </x:c>
      <x:c r="C935" s="11" t="str">
        <x:v>ספטמבר 25</x:v>
      </x:c>
      <x:c r="D935" s="15" t="n">
        <x:v>103</x:v>
      </x:c>
      <x:c r="E935" s="11" t="str">
        <x:v>18</x:v>
      </x:c>
      <x:c r="F935" s="11" t="str">
        <x:v>ירקות</x:v>
      </x:c>
      <x:c r="G935" s="17" t="n">
        <x:v>12</x:v>
      </x:c>
      <x:c r="H935" s="18" t="str">
        <x:v>מזון לבית</x:v>
      </x:c>
      <x:c r="I935" s="19" t="str">
        <x:f>IFERROR(INDEX('מיפוי ומקורות'!$C$7:$C$33,MATCH(H935,'מיפוי ומקורות'!$B$7:$B$33,0)),"לא מסווג")</x:f>
        <x:v>מזון לבית</x:v>
      </x:c>
      <x:c r="J935" s="19" t="str">
        <x:f>IFERROR(INDEX('מיפוי ומקורות'!$D$7:$D$33,MATCH(H935,'מיפוי ומקורות'!$B$7:$B$33,0)),"שוטף")</x:f>
        <x:v>שוטף</x:v>
      </x:c>
      <x:c r="K935" s="19" t="str">
        <x:f>IF(OR(H935="ריביות",AND(H935="דירה כצנלסון",G935&lt;0,ISNUMBER(SEARCH("הכנסה",F935)))),"הכנסה שסווגה מחדש",J935)</x:f>
        <x:v>שוטף</x:v>
      </x:c>
      <x:c r="L935" s="19" t="str">
        <x:v>מאושר</x:v>
      </x:c>
      <x:c r="M935" s="20" t="n">
        <x:f>IF(L935="מאושר",IF(K935="הכנסה שסווגה מחדש",0,G935),0)</x:f>
        <x:v>12</x:v>
      </x:c>
      <x:c r="N935" s="20" t="n">
        <x:f>IF(K935="שוטף",M935,0)</x:f>
        <x:v>12</x:v>
      </x:c>
      <x:c r="O935" s="20" t="n">
        <x:f>IF(K935="הכנסה שסווגה מחדש",-G935,0)</x:f>
        <x:v>0</x:v>
      </x:c>
      <x:c r="P935" s="11" t="str">
        <x:v>אמקס זיו</x:v>
      </x:c>
      <x:c r="Q935" s="11" t="str"/>
      <x:c r="R935" s="11" t="str">
        <x:v>לא</x:v>
      </x:c>
    </x:row>
    <x:row r="936">
      <x:c r="A936" s="14" t="n">
        <x:v>45901</x:v>
      </x:c>
      <x:c r="B936" s="11" t="str">
        <x:v>2025-09</x:v>
      </x:c>
      <x:c r="C936" s="11" t="str">
        <x:v>ספטמבר 25</x:v>
      </x:c>
      <x:c r="D936" s="15" t="n">
        <x:v>104</x:v>
      </x:c>
      <x:c r="E936" s="11" t="str">
        <x:v>18</x:v>
      </x:c>
      <x:c r="F936" s="11" t="str">
        <x:v>גבינות</x:v>
      </x:c>
      <x:c r="G936" s="17" t="n">
        <x:v>102</x:v>
      </x:c>
      <x:c r="H936" s="18" t="str">
        <x:v>אוכל בחוץ</x:v>
      </x:c>
      <x:c r="I936" s="19" t="str">
        <x:f>IFERROR(INDEX('מיפוי ומקורות'!$C$7:$C$33,MATCH(H936,'מיפוי ומקורות'!$B$7:$B$33,0)),"לא מסווג")</x:f>
        <x:v>אוכל בחוץ</x:v>
      </x:c>
      <x:c r="J936" s="19" t="str">
        <x:f>IFERROR(INDEX('מיפוי ומקורות'!$D$7:$D$33,MATCH(H936,'מיפוי ומקורות'!$B$7:$B$33,0)),"שוטף")</x:f>
        <x:v>שוטף</x:v>
      </x:c>
      <x:c r="K936" s="19" t="str">
        <x:f>IF(OR(H936="ריביות",AND(H936="דירה כצנלסון",G936&lt;0,ISNUMBER(SEARCH("הכנסה",F936)))),"הכנסה שסווגה מחדש",J936)</x:f>
        <x:v>שוטף</x:v>
      </x:c>
      <x:c r="L936" s="19" t="str">
        <x:v>מאושר</x:v>
      </x:c>
      <x:c r="M936" s="20" t="n">
        <x:f>IF(L936="מאושר",IF(K936="הכנסה שסווגה מחדש",0,G936),0)</x:f>
        <x:v>102</x:v>
      </x:c>
      <x:c r="N936" s="20" t="n">
        <x:f>IF(K936="שוטף",M936,0)</x:f>
        <x:v>102</x:v>
      </x:c>
      <x:c r="O936" s="20" t="n">
        <x:f>IF(K936="הכנסה שסווגה מחדש",-G936,0)</x:f>
        <x:v>0</x:v>
      </x:c>
      <x:c r="P936" s="11" t="str">
        <x:v>אמקס זיו</x:v>
      </x:c>
      <x:c r="Q936" s="11" t="str"/>
      <x:c r="R936" s="11" t="str">
        <x:v>לא</x:v>
      </x:c>
    </x:row>
    <x:row r="937">
      <x:c r="A937" s="14" t="n">
        <x:v>45901</x:v>
      </x:c>
      <x:c r="B937" s="11" t="str">
        <x:v>2025-09</x:v>
      </x:c>
      <x:c r="C937" s="11" t="str">
        <x:v>ספטמבר 25</x:v>
      </x:c>
      <x:c r="D937" s="15" t="n">
        <x:v>105</x:v>
      </x:c>
      <x:c r="E937" s="11" t="str">
        <x:v>19</x:v>
      </x:c>
      <x:c r="F937" s="11" t="str">
        <x:v>סופר</x:v>
      </x:c>
      <x:c r="G937" s="17" t="n">
        <x:v>30</x:v>
      </x:c>
      <x:c r="H937" s="18" t="str">
        <x:v>מזון לבית</x:v>
      </x:c>
      <x:c r="I937" s="19" t="str">
        <x:f>IFERROR(INDEX('מיפוי ומקורות'!$C$7:$C$33,MATCH(H937,'מיפוי ומקורות'!$B$7:$B$33,0)),"לא מסווג")</x:f>
        <x:v>מזון לבית</x:v>
      </x:c>
      <x:c r="J937" s="19" t="str">
        <x:f>IFERROR(INDEX('מיפוי ומקורות'!$D$7:$D$33,MATCH(H937,'מיפוי ומקורות'!$B$7:$B$33,0)),"שוטף")</x:f>
        <x:v>שוטף</x:v>
      </x:c>
      <x:c r="K937" s="19" t="str">
        <x:f>IF(OR(H937="ריביות",AND(H937="דירה כצנלסון",G937&lt;0,ISNUMBER(SEARCH("הכנסה",F937)))),"הכנסה שסווגה מחדש",J937)</x:f>
        <x:v>שוטף</x:v>
      </x:c>
      <x:c r="L937" s="19" t="str">
        <x:v>מאושר</x:v>
      </x:c>
      <x:c r="M937" s="20" t="n">
        <x:f>IF(L937="מאושר",IF(K937="הכנסה שסווגה מחדש",0,G937),0)</x:f>
        <x:v>30</x:v>
      </x:c>
      <x:c r="N937" s="20" t="n">
        <x:f>IF(K937="שוטף",M937,0)</x:f>
        <x:v>30</x:v>
      </x:c>
      <x:c r="O937" s="20" t="n">
        <x:f>IF(K937="הכנסה שסווגה מחדש",-G937,0)</x:f>
        <x:v>0</x:v>
      </x:c>
      <x:c r="P937" s="11" t="str">
        <x:v>אמקס זיו</x:v>
      </x:c>
      <x:c r="Q937" s="11" t="str"/>
      <x:c r="R937" s="11" t="str">
        <x:v>לא</x:v>
      </x:c>
    </x:row>
    <x:row r="938">
      <x:c r="A938" s="14" t="n">
        <x:v>45901</x:v>
      </x:c>
      <x:c r="B938" s="11" t="str">
        <x:v>2025-09</x:v>
      </x:c>
      <x:c r="C938" s="11" t="str">
        <x:v>ספטמבר 25</x:v>
      </x:c>
      <x:c r="D938" s="15" t="n">
        <x:v>106</x:v>
      </x:c>
      <x:c r="E938" s="11" t="str">
        <x:v>19</x:v>
      </x:c>
      <x:c r="F938" s="11" t="str">
        <x:v>דלק</x:v>
      </x:c>
      <x:c r="G938" s="17" t="n">
        <x:v>217</x:v>
      </x:c>
      <x:c r="H938" s="18" t="str">
        <x:v>תחבורה</x:v>
      </x:c>
      <x:c r="I938" s="19" t="str">
        <x:f>IFERROR(INDEX('מיפוי ומקורות'!$C$7:$C$33,MATCH(H938,'מיפוי ומקורות'!$B$7:$B$33,0)),"לא מסווג")</x:f>
        <x:v>תחבורה</x:v>
      </x:c>
      <x:c r="J938" s="19" t="str">
        <x:f>IFERROR(INDEX('מיפוי ומקורות'!$D$7:$D$33,MATCH(H938,'מיפוי ומקורות'!$B$7:$B$33,0)),"שוטף")</x:f>
        <x:v>שוטף</x:v>
      </x:c>
      <x:c r="K938" s="19" t="str">
        <x:f>IF(OR(H938="ריביות",AND(H938="דירה כצנלסון",G938&lt;0,ISNUMBER(SEARCH("הכנסה",F938)))),"הכנסה שסווגה מחדש",J938)</x:f>
        <x:v>שוטף</x:v>
      </x:c>
      <x:c r="L938" s="19" t="str">
        <x:v>מאושר</x:v>
      </x:c>
      <x:c r="M938" s="20" t="n">
        <x:f>IF(L938="מאושר",IF(K938="הכנסה שסווגה מחדש",0,G938),0)</x:f>
        <x:v>217</x:v>
      </x:c>
      <x:c r="N938" s="20" t="n">
        <x:f>IF(K938="שוטף",M938,0)</x:f>
        <x:v>217</x:v>
      </x:c>
      <x:c r="O938" s="20" t="n">
        <x:f>IF(K938="הכנסה שסווגה מחדש",-G938,0)</x:f>
        <x:v>0</x:v>
      </x:c>
      <x:c r="P938" s="11" t="str">
        <x:v>אמקס זיו</x:v>
      </x:c>
      <x:c r="Q938" s="11" t="str"/>
      <x:c r="R938" s="11" t="str">
        <x:v>לא</x:v>
      </x:c>
    </x:row>
    <x:row r="939">
      <x:c r="A939" s="14" t="n">
        <x:v>45901</x:v>
      </x:c>
      <x:c r="B939" s="11" t="str">
        <x:v>2025-09</x:v>
      </x:c>
      <x:c r="C939" s="11" t="str">
        <x:v>ספטמבר 25</x:v>
      </x:c>
      <x:c r="D939" s="15" t="n">
        <x:v>107</x:v>
      </x:c>
      <x:c r="E939" s="11" t="str">
        <x:v>20</x:v>
      </x:c>
      <x:c r="F939" s="11" t="str">
        <x:v>החזר מלון</x:v>
      </x:c>
      <x:c r="G939" s="17" t="n">
        <x:v>-1276</x:v>
      </x:c>
      <x:c r="H939" s="18" t="str">
        <x:v>חול</x:v>
      </x:c>
      <x:c r="I939" s="19" t="str">
        <x:f>IFERROR(INDEX('מיפוי ומקורות'!$C$7:$C$33,MATCH(H939,'מיפוי ומקורות'!$B$7:$B$33,0)),"לא מסווג")</x:f>
        <x:v>נסיעות וחופשות</x:v>
      </x:c>
      <x:c r="J939" s="19" t="str">
        <x:f>IFERROR(INDEX('מיפוי ומקורות'!$D$7:$D$33,MATCH(H939,'מיפוי ומקורות'!$B$7:$B$33,0)),"שוטף")</x:f>
        <x:v>חריג</x:v>
      </x:c>
      <x:c r="K939" s="19" t="str">
        <x:f>IF(OR(H939="ריביות",AND(H939="דירה כצנלסון",G939&lt;0,ISNUMBER(SEARCH("הכנסה",F939)))),"הכנסה שסווגה מחדש",J939)</x:f>
        <x:v>חריג</x:v>
      </x:c>
      <x:c r="L939" s="19" t="str">
        <x:v>מאושר</x:v>
      </x:c>
      <x:c r="M939" s="20" t="n">
        <x:f>IF(L939="מאושר",IF(K939="הכנסה שסווגה מחדש",0,G939),0)</x:f>
        <x:v>-1276</x:v>
      </x:c>
      <x:c r="N939" s="20" t="n">
        <x:f>IF(K939="שוטף",M939,0)</x:f>
        <x:v>0</x:v>
      </x:c>
      <x:c r="O939" s="20" t="n">
        <x:f>IF(K939="הכנסה שסווגה מחדש",-G939,0)</x:f>
        <x:v>0</x:v>
      </x:c>
      <x:c r="P939" s="11" t="str">
        <x:v>אמקס זיו</x:v>
      </x:c>
      <x:c r="Q939" s="11" t="str"/>
      <x:c r="R939" s="11" t="str">
        <x:v>לא</x:v>
      </x:c>
    </x:row>
    <x:row r="940">
      <x:c r="A940" s="14" t="n">
        <x:v>45901</x:v>
      </x:c>
      <x:c r="B940" s="11" t="str">
        <x:v>2025-09</x:v>
      </x:c>
      <x:c r="C940" s="11" t="str">
        <x:v>ספטמבר 25</x:v>
      </x:c>
      <x:c r="D940" s="15" t="n">
        <x:v>108</x:v>
      </x:c>
      <x:c r="E940" s="11" t="str">
        <x:v>21</x:v>
      </x:c>
      <x:c r="F940" s="11" t="str">
        <x:v>ירקות</x:v>
      </x:c>
      <x:c r="G940" s="17" t="n">
        <x:v>54</x:v>
      </x:c>
      <x:c r="H940" s="18" t="str">
        <x:v>מזון לבית</x:v>
      </x:c>
      <x:c r="I940" s="19" t="str">
        <x:f>IFERROR(INDEX('מיפוי ומקורות'!$C$7:$C$33,MATCH(H940,'מיפוי ומקורות'!$B$7:$B$33,0)),"לא מסווג")</x:f>
        <x:v>מזון לבית</x:v>
      </x:c>
      <x:c r="J940" s="19" t="str">
        <x:f>IFERROR(INDEX('מיפוי ומקורות'!$D$7:$D$33,MATCH(H940,'מיפוי ומקורות'!$B$7:$B$33,0)),"שוטף")</x:f>
        <x:v>שוטף</x:v>
      </x:c>
      <x:c r="K940" s="19" t="str">
        <x:f>IF(OR(H940="ריביות",AND(H940="דירה כצנלסון",G940&lt;0,ISNUMBER(SEARCH("הכנסה",F940)))),"הכנסה שסווגה מחדש",J940)</x:f>
        <x:v>שוטף</x:v>
      </x:c>
      <x:c r="L940" s="19" t="str">
        <x:v>מאושר</x:v>
      </x:c>
      <x:c r="M940" s="20" t="n">
        <x:f>IF(L940="מאושר",IF(K940="הכנסה שסווגה מחדש",0,G940),0)</x:f>
        <x:v>54</x:v>
      </x:c>
      <x:c r="N940" s="20" t="n">
        <x:f>IF(K940="שוטף",M940,0)</x:f>
        <x:v>54</x:v>
      </x:c>
      <x:c r="O940" s="20" t="n">
        <x:f>IF(K940="הכנסה שסווגה מחדש",-G940,0)</x:f>
        <x:v>0</x:v>
      </x:c>
      <x:c r="P940" s="11" t="str">
        <x:v>אמקס זיו</x:v>
      </x:c>
      <x:c r="Q940" s="11" t="str"/>
      <x:c r="R940" s="11" t="str">
        <x:v>לא</x:v>
      </x:c>
    </x:row>
    <x:row r="941">
      <x:c r="A941" s="14" t="n">
        <x:v>45901</x:v>
      </x:c>
      <x:c r="B941" s="11" t="str">
        <x:v>2025-09</x:v>
      </x:c>
      <x:c r="C941" s="11" t="str">
        <x:v>ספטמבר 25</x:v>
      </x:c>
      <x:c r="D941" s="15" t="n">
        <x:v>109</x:v>
      </x:c>
      <x:c r="E941" s="11" t="str">
        <x:v>25</x:v>
      </x:c>
      <x:c r="F941" s="11" t="str">
        <x:v>מסעדה</x:v>
      </x:c>
      <x:c r="G941" s="17" t="n">
        <x:v>50</x:v>
      </x:c>
      <x:c r="H941" s="18" t="str">
        <x:v>אוכל בחוץ</x:v>
      </x:c>
      <x:c r="I941" s="19" t="str">
        <x:f>IFERROR(INDEX('מיפוי ומקורות'!$C$7:$C$33,MATCH(H941,'מיפוי ומקורות'!$B$7:$B$33,0)),"לא מסווג")</x:f>
        <x:v>אוכל בחוץ</x:v>
      </x:c>
      <x:c r="J941" s="19" t="str">
        <x:f>IFERROR(INDEX('מיפוי ומקורות'!$D$7:$D$33,MATCH(H941,'מיפוי ומקורות'!$B$7:$B$33,0)),"שוטף")</x:f>
        <x:v>שוטף</x:v>
      </x:c>
      <x:c r="K941" s="19" t="str">
        <x:f>IF(OR(H941="ריביות",AND(H941="דירה כצנלסון",G941&lt;0,ISNUMBER(SEARCH("הכנסה",F941)))),"הכנסה שסווגה מחדש",J941)</x:f>
        <x:v>שוטף</x:v>
      </x:c>
      <x:c r="L941" s="19" t="str">
        <x:v>מאושר</x:v>
      </x:c>
      <x:c r="M941" s="20" t="n">
        <x:f>IF(L941="מאושר",IF(K941="הכנסה שסווגה מחדש",0,G941),0)</x:f>
        <x:v>50</x:v>
      </x:c>
      <x:c r="N941" s="20" t="n">
        <x:f>IF(K941="שוטף",M941,0)</x:f>
        <x:v>50</x:v>
      </x:c>
      <x:c r="O941" s="20" t="n">
        <x:f>IF(K941="הכנסה שסווגה מחדש",-G941,0)</x:f>
        <x:v>0</x:v>
      </x:c>
      <x:c r="P941" s="11" t="str">
        <x:v>אמקס זיו</x:v>
      </x:c>
      <x:c r="Q941" s="11" t="str"/>
      <x:c r="R941" s="11" t="str">
        <x:v>לא</x:v>
      </x:c>
    </x:row>
    <x:row r="942">
      <x:c r="A942" s="14" t="n">
        <x:v>45901</x:v>
      </x:c>
      <x:c r="B942" s="11" t="str">
        <x:v>2025-09</x:v>
      </x:c>
      <x:c r="C942" s="11" t="str">
        <x:v>ספטמבר 25</x:v>
      </x:c>
      <x:c r="D942" s="15" t="n">
        <x:v>110</x:v>
      </x:c>
      <x:c r="E942" s="11" t="str">
        <x:v>25</x:v>
      </x:c>
      <x:c r="F942" s="11" t="str">
        <x:v>סופר</x:v>
      </x:c>
      <x:c r="G942" s="17" t="n">
        <x:v>13</x:v>
      </x:c>
      <x:c r="H942" s="18" t="str">
        <x:v>מזון לבית</x:v>
      </x:c>
      <x:c r="I942" s="19" t="str">
        <x:f>IFERROR(INDEX('מיפוי ומקורות'!$C$7:$C$33,MATCH(H942,'מיפוי ומקורות'!$B$7:$B$33,0)),"לא מסווג")</x:f>
        <x:v>מזון לבית</x:v>
      </x:c>
      <x:c r="J942" s="19" t="str">
        <x:f>IFERROR(INDEX('מיפוי ומקורות'!$D$7:$D$33,MATCH(H942,'מיפוי ומקורות'!$B$7:$B$33,0)),"שוטף")</x:f>
        <x:v>שוטף</x:v>
      </x:c>
      <x:c r="K942" s="19" t="str">
        <x:f>IF(OR(H942="ריביות",AND(H942="דירה כצנלסון",G942&lt;0,ISNUMBER(SEARCH("הכנסה",F942)))),"הכנסה שסווגה מחדש",J942)</x:f>
        <x:v>שוטף</x:v>
      </x:c>
      <x:c r="L942" s="19" t="str">
        <x:v>מאושר</x:v>
      </x:c>
      <x:c r="M942" s="20" t="n">
        <x:f>IF(L942="מאושר",IF(K942="הכנסה שסווגה מחדש",0,G942),0)</x:f>
        <x:v>13</x:v>
      </x:c>
      <x:c r="N942" s="20" t="n">
        <x:f>IF(K942="שוטף",M942,0)</x:f>
        <x:v>13</x:v>
      </x:c>
      <x:c r="O942" s="20" t="n">
        <x:f>IF(K942="הכנסה שסווגה מחדש",-G942,0)</x:f>
        <x:v>0</x:v>
      </x:c>
      <x:c r="P942" s="11" t="str">
        <x:v>אמקס זיו</x:v>
      </x:c>
      <x:c r="Q942" s="11" t="str"/>
      <x:c r="R942" s="11" t="str">
        <x:v>לא</x:v>
      </x:c>
    </x:row>
    <x:row r="943">
      <x:c r="A943" s="14" t="n">
        <x:v>45901</x:v>
      </x:c>
      <x:c r="B943" s="11" t="str">
        <x:v>2025-09</x:v>
      </x:c>
      <x:c r="C943" s="11" t="str">
        <x:v>ספטמבר 25</x:v>
      </x:c>
      <x:c r="D943" s="15" t="n">
        <x:v>111</x:v>
      </x:c>
      <x:c r="E943" s="11" t="str">
        <x:v>25</x:v>
      </x:c>
      <x:c r="F943" s="11" t="str">
        <x:v>מתנה (ביט)</x:v>
      </x:c>
      <x:c r="G943" s="17" t="n">
        <x:v>20</x:v>
      </x:c>
      <x:c r="H943" s="18" t="str">
        <x:v>מתנה</x:v>
      </x:c>
      <x:c r="I943" s="19" t="str">
        <x:f>IFERROR(INDEX('מיפוי ומקורות'!$C$7:$C$33,MATCH(H943,'מיפוי ומקורות'!$B$7:$B$33,0)),"לא מסווג")</x:f>
        <x:v>מתנה</x:v>
      </x:c>
      <x:c r="J943" s="19" t="str">
        <x:f>IFERROR(INDEX('מיפוי ומקורות'!$D$7:$D$33,MATCH(H943,'מיפוי ומקורות'!$B$7:$B$33,0)),"שוטף")</x:f>
        <x:v>שוטף</x:v>
      </x:c>
      <x:c r="K943" s="19" t="str">
        <x:f>IF(OR(H943="ריביות",AND(H943="דירה כצנלסון",G943&lt;0,ISNUMBER(SEARCH("הכנסה",F943)))),"הכנסה שסווגה מחדש",J943)</x:f>
        <x:v>שוטף</x:v>
      </x:c>
      <x:c r="L943" s="19" t="str">
        <x:v>מאושר</x:v>
      </x:c>
      <x:c r="M943" s="20" t="n">
        <x:f>IF(L943="מאושר",IF(K943="הכנסה שסווגה מחדש",0,G943),0)</x:f>
        <x:v>20</x:v>
      </x:c>
      <x:c r="N943" s="20" t="n">
        <x:f>IF(K943="שוטף",M943,0)</x:f>
        <x:v>20</x:v>
      </x:c>
      <x:c r="O943" s="20" t="n">
        <x:f>IF(K943="הכנסה שסווגה מחדש",-G943,0)</x:f>
        <x:v>0</x:v>
      </x:c>
      <x:c r="P943" s="11" t="str">
        <x:v>אמקס זיו</x:v>
      </x:c>
      <x:c r="Q943" s="11" t="str"/>
      <x:c r="R943" s="11" t="str">
        <x:v>לא</x:v>
      </x:c>
    </x:row>
    <x:row r="944">
      <x:c r="A944" s="14" t="n">
        <x:v>45901</x:v>
      </x:c>
      <x:c r="B944" s="11" t="str">
        <x:v>2025-09</x:v>
      </x:c>
      <x:c r="C944" s="11" t="str">
        <x:v>ספטמבר 25</x:v>
      </x:c>
      <x:c r="D944" s="15" t="n">
        <x:v>112</x:v>
      </x:c>
      <x:c r="E944" s="11" t="str">
        <x:v>25</x:v>
      </x:c>
      <x:c r="F944" s="11" t="str">
        <x:v>גלידה</x:v>
      </x:c>
      <x:c r="G944" s="17" t="n">
        <x:v>25</x:v>
      </x:c>
      <x:c r="H944" s="18" t="str">
        <x:v>אוכל בחוץ</x:v>
      </x:c>
      <x:c r="I944" s="19" t="str">
        <x:f>IFERROR(INDEX('מיפוי ומקורות'!$C$7:$C$33,MATCH(H944,'מיפוי ומקורות'!$B$7:$B$33,0)),"לא מסווג")</x:f>
        <x:v>אוכל בחוץ</x:v>
      </x:c>
      <x:c r="J944" s="19" t="str">
        <x:f>IFERROR(INDEX('מיפוי ומקורות'!$D$7:$D$33,MATCH(H944,'מיפוי ומקורות'!$B$7:$B$33,0)),"שוטף")</x:f>
        <x:v>שוטף</x:v>
      </x:c>
      <x:c r="K944" s="19" t="str">
        <x:f>IF(OR(H944="ריביות",AND(H944="דירה כצנלסון",G944&lt;0,ISNUMBER(SEARCH("הכנסה",F944)))),"הכנסה שסווגה מחדש",J944)</x:f>
        <x:v>שוטף</x:v>
      </x:c>
      <x:c r="L944" s="19" t="str">
        <x:v>מאושר</x:v>
      </x:c>
      <x:c r="M944" s="20" t="n">
        <x:f>IF(L944="מאושר",IF(K944="הכנסה שסווגה מחדש",0,G944),0)</x:f>
        <x:v>25</x:v>
      </x:c>
      <x:c r="N944" s="20" t="n">
        <x:f>IF(K944="שוטף",M944,0)</x:f>
        <x:v>25</x:v>
      </x:c>
      <x:c r="O944" s="20" t="n">
        <x:f>IF(K944="הכנסה שסווגה מחדש",-G944,0)</x:f>
        <x:v>0</x:v>
      </x:c>
      <x:c r="P944" s="11" t="str">
        <x:v>אמקס זיו</x:v>
      </x:c>
      <x:c r="Q944" s="11" t="str"/>
      <x:c r="R944" s="11" t="str">
        <x:v>לא</x:v>
      </x:c>
    </x:row>
    <x:row r="945">
      <x:c r="A945" s="14" t="n">
        <x:v>45901</x:v>
      </x:c>
      <x:c r="B945" s="11" t="str">
        <x:v>2025-09</x:v>
      </x:c>
      <x:c r="C945" s="11" t="str">
        <x:v>ספטמבר 25</x:v>
      </x:c>
      <x:c r="D945" s="15" t="n">
        <x:v>113</x:v>
      </x:c>
      <x:c r="E945" s="11" t="str">
        <x:v>26</x:v>
      </x:c>
      <x:c r="F945" s="11" t="str">
        <x:v>סנדלריה</x:v>
      </x:c>
      <x:c r="G945" s="17" t="n">
        <x:v>35</x:v>
      </x:c>
      <x:c r="H945" s="18" t="str">
        <x:v>קניות לבית</x:v>
      </x:c>
      <x:c r="I945" s="19" t="str">
        <x:f>IFERROR(INDEX('מיפוי ומקורות'!$C$7:$C$33,MATCH(H945,'מיפוי ומקורות'!$B$7:$B$33,0)),"לא מסווג")</x:f>
        <x:v>קניות לבית</x:v>
      </x:c>
      <x:c r="J945" s="19" t="str">
        <x:f>IFERROR(INDEX('מיפוי ומקורות'!$D$7:$D$33,MATCH(H945,'מיפוי ומקורות'!$B$7:$B$33,0)),"שוטף")</x:f>
        <x:v>שוטף</x:v>
      </x:c>
      <x:c r="K945" s="19" t="str">
        <x:f>IF(OR(H945="ריביות",AND(H945="דירה כצנלסון",G945&lt;0,ISNUMBER(SEARCH("הכנסה",F945)))),"הכנסה שסווגה מחדש",J945)</x:f>
        <x:v>שוטף</x:v>
      </x:c>
      <x:c r="L945" s="19" t="str">
        <x:v>מאושר</x:v>
      </x:c>
      <x:c r="M945" s="20" t="n">
        <x:f>IF(L945="מאושר",IF(K945="הכנסה שסווגה מחדש",0,G945),0)</x:f>
        <x:v>35</x:v>
      </x:c>
      <x:c r="N945" s="20" t="n">
        <x:f>IF(K945="שוטף",M945,0)</x:f>
        <x:v>35</x:v>
      </x:c>
      <x:c r="O945" s="20" t="n">
        <x:f>IF(K945="הכנסה שסווגה מחדש",-G945,0)</x:f>
        <x:v>0</x:v>
      </x:c>
      <x:c r="P945" s="11" t="str">
        <x:v>אמקס זיו</x:v>
      </x:c>
      <x:c r="Q945" s="11" t="str"/>
      <x:c r="R945" s="11" t="str">
        <x:v>לא</x:v>
      </x:c>
    </x:row>
    <x:row r="946">
      <x:c r="A946" s="14" t="n">
        <x:v>45901</x:v>
      </x:c>
      <x:c r="B946" s="11" t="str">
        <x:v>2025-09</x:v>
      </x:c>
      <x:c r="C946" s="11" t="str">
        <x:v>ספטמבר 25</x:v>
      </x:c>
      <x:c r="D946" s="15" t="n">
        <x:v>114</x:v>
      </x:c>
      <x:c r="E946" s="11" t="str">
        <x:v>26</x:v>
      </x:c>
      <x:c r="F946" s="11" t="str">
        <x:v>חלב</x:v>
      </x:c>
      <x:c r="G946" s="17" t="n">
        <x:v>7</x:v>
      </x:c>
      <x:c r="H946" s="18" t="str">
        <x:v>מזון לבית</x:v>
      </x:c>
      <x:c r="I946" s="19" t="str">
        <x:f>IFERROR(INDEX('מיפוי ומקורות'!$C$7:$C$33,MATCH(H946,'מיפוי ומקורות'!$B$7:$B$33,0)),"לא מסווג")</x:f>
        <x:v>מזון לבית</x:v>
      </x:c>
      <x:c r="J946" s="19" t="str">
        <x:f>IFERROR(INDEX('מיפוי ומקורות'!$D$7:$D$33,MATCH(H946,'מיפוי ומקורות'!$B$7:$B$33,0)),"שוטף")</x:f>
        <x:v>שוטף</x:v>
      </x:c>
      <x:c r="K946" s="19" t="str">
        <x:f>IF(OR(H946="ריביות",AND(H946="דירה כצנלסון",G946&lt;0,ISNUMBER(SEARCH("הכנסה",F946)))),"הכנסה שסווגה מחדש",J946)</x:f>
        <x:v>שוטף</x:v>
      </x:c>
      <x:c r="L946" s="19" t="str">
        <x:v>מאושר</x:v>
      </x:c>
      <x:c r="M946" s="20" t="n">
        <x:f>IF(L946="מאושר",IF(K946="הכנסה שסווגה מחדש",0,G946),0)</x:f>
        <x:v>7</x:v>
      </x:c>
      <x:c r="N946" s="20" t="n">
        <x:f>IF(K946="שוטף",M946,0)</x:f>
        <x:v>7</x:v>
      </x:c>
      <x:c r="O946" s="20" t="n">
        <x:f>IF(K946="הכנסה שסווגה מחדש",-G946,0)</x:f>
        <x:v>0</x:v>
      </x:c>
      <x:c r="P946" s="11" t="str">
        <x:v>אמקס זיו</x:v>
      </x:c>
      <x:c r="Q946" s="11" t="str"/>
      <x:c r="R946" s="11" t="str">
        <x:v>לא</x:v>
      </x:c>
    </x:row>
    <x:row r="947">
      <x:c r="A947" s="14" t="n">
        <x:v>45901</x:v>
      </x:c>
      <x:c r="B947" s="11" t="str">
        <x:v>2025-09</x:v>
      </x:c>
      <x:c r="C947" s="11" t="str">
        <x:v>ספטמבר 25</x:v>
      </x:c>
      <x:c r="D947" s="15" t="n">
        <x:v>115</x:v>
      </x:c>
      <x:c r="E947" s="11" t="str">
        <x:v>28</x:v>
      </x:c>
      <x:c r="F947" s="11" t="str">
        <x:v>ירקות</x:v>
      </x:c>
      <x:c r="G947" s="17" t="n">
        <x:v>33</x:v>
      </x:c>
      <x:c r="H947" s="18" t="str">
        <x:v>מזון לבית</x:v>
      </x:c>
      <x:c r="I947" s="19" t="str">
        <x:f>IFERROR(INDEX('מיפוי ומקורות'!$C$7:$C$33,MATCH(H947,'מיפוי ומקורות'!$B$7:$B$33,0)),"לא מסווג")</x:f>
        <x:v>מזון לבית</x:v>
      </x:c>
      <x:c r="J947" s="19" t="str">
        <x:f>IFERROR(INDEX('מיפוי ומקורות'!$D$7:$D$33,MATCH(H947,'מיפוי ומקורות'!$B$7:$B$33,0)),"שוטף")</x:f>
        <x:v>שוטף</x:v>
      </x:c>
      <x:c r="K947" s="19" t="str">
        <x:f>IF(OR(H947="ריביות",AND(H947="דירה כצנלסון",G947&lt;0,ISNUMBER(SEARCH("הכנסה",F947)))),"הכנסה שסווגה מחדש",J947)</x:f>
        <x:v>שוטף</x:v>
      </x:c>
      <x:c r="L947" s="19" t="str">
        <x:v>מאושר</x:v>
      </x:c>
      <x:c r="M947" s="20" t="n">
        <x:f>IF(L947="מאושר",IF(K947="הכנסה שסווגה מחדש",0,G947),0)</x:f>
        <x:v>33</x:v>
      </x:c>
      <x:c r="N947" s="20" t="n">
        <x:f>IF(K947="שוטף",M947,0)</x:f>
        <x:v>33</x:v>
      </x:c>
      <x:c r="O947" s="20" t="n">
        <x:f>IF(K947="הכנסה שסווגה מחדש",-G947,0)</x:f>
        <x:v>0</x:v>
      </x:c>
      <x:c r="P947" s="11" t="str">
        <x:v>אמקס זיו</x:v>
      </x:c>
      <x:c r="Q947" s="11" t="str"/>
      <x:c r="R947" s="11" t="str">
        <x:v>לא</x:v>
      </x:c>
    </x:row>
    <x:row r="948">
      <x:c r="A948" s="14" t="n">
        <x:v>45901</x:v>
      </x:c>
      <x:c r="B948" s="11" t="str">
        <x:v>2025-09</x:v>
      </x:c>
      <x:c r="C948" s="11" t="str">
        <x:v>ספטמבר 25</x:v>
      </x:c>
      <x:c r="D948" s="15" t="n">
        <x:v>116</x:v>
      </x:c>
      <x:c r="E948" s="11" t="str">
        <x:v>29</x:v>
      </x:c>
      <x:c r="F948" s="11" t="str">
        <x:v>מקדונלדס חול</x:v>
      </x:c>
      <x:c r="G948" s="17" t="n">
        <x:v>94</x:v>
      </x:c>
      <x:c r="H948" s="18" t="str">
        <x:v>חול</x:v>
      </x:c>
      <x:c r="I948" s="19" t="str">
        <x:f>IFERROR(INDEX('מיפוי ומקורות'!$C$7:$C$33,MATCH(H948,'מיפוי ומקורות'!$B$7:$B$33,0)),"לא מסווג")</x:f>
        <x:v>נסיעות וחופשות</x:v>
      </x:c>
      <x:c r="J948" s="19" t="str">
        <x:f>IFERROR(INDEX('מיפוי ומקורות'!$D$7:$D$33,MATCH(H948,'מיפוי ומקורות'!$B$7:$B$33,0)),"שוטף")</x:f>
        <x:v>חריג</x:v>
      </x:c>
      <x:c r="K948" s="19" t="str">
        <x:f>IF(OR(H948="ריביות",AND(H948="דירה כצנלסון",G948&lt;0,ISNUMBER(SEARCH("הכנסה",F948)))),"הכנסה שסווגה מחדש",J948)</x:f>
        <x:v>חריג</x:v>
      </x:c>
      <x:c r="L948" s="19" t="str">
        <x:v>מאושר</x:v>
      </x:c>
      <x:c r="M948" s="20" t="n">
        <x:f>IF(L948="מאושר",IF(K948="הכנסה שסווגה מחדש",0,G948),0)</x:f>
        <x:v>94</x:v>
      </x:c>
      <x:c r="N948" s="20" t="n">
        <x:f>IF(K948="שוטף",M948,0)</x:f>
        <x:v>0</x:v>
      </x:c>
      <x:c r="O948" s="20" t="n">
        <x:f>IF(K948="הכנסה שסווגה מחדש",-G948,0)</x:f>
        <x:v>0</x:v>
      </x:c>
      <x:c r="P948" s="11" t="str">
        <x:v>אמקס זיו</x:v>
      </x:c>
      <x:c r="Q948" s="11" t="str"/>
      <x:c r="R948" s="11" t="str">
        <x:v>לא</x:v>
      </x:c>
    </x:row>
    <x:row r="949">
      <x:c r="A949" s="14" t="n">
        <x:v>45901</x:v>
      </x:c>
      <x:c r="B949" s="11" t="str">
        <x:v>2025-09</x:v>
      </x:c>
      <x:c r="C949" s="11" t="str">
        <x:v>ספטמבר 25</x:v>
      </x:c>
      <x:c r="D949" s="15" t="n">
        <x:v>118</x:v>
      </x:c>
      <x:c r="E949" s="11" t="str">
        <x:v>1</x:v>
      </x:c>
      <x:c r="F949" s="11" t="str">
        <x:v>מסעדה</x:v>
      </x:c>
      <x:c r="G949" s="17" t="n">
        <x:v>205</x:v>
      </x:c>
      <x:c r="H949" s="18" t="str">
        <x:v>אוכל בחוץ</x:v>
      </x:c>
      <x:c r="I949" s="19" t="str">
        <x:f>IFERROR(INDEX('מיפוי ומקורות'!$C$7:$C$33,MATCH(H949,'מיפוי ומקורות'!$B$7:$B$33,0)),"לא מסווג")</x:f>
        <x:v>אוכל בחוץ</x:v>
      </x:c>
      <x:c r="J949" s="19" t="str">
        <x:f>IFERROR(INDEX('מיפוי ומקורות'!$D$7:$D$33,MATCH(H949,'מיפוי ומקורות'!$B$7:$B$33,0)),"שוטף")</x:f>
        <x:v>שוטף</x:v>
      </x:c>
      <x:c r="K949" s="19" t="str">
        <x:f>IF(OR(H949="ריביות",AND(H949="דירה כצנלסון",G949&lt;0,ISNUMBER(SEARCH("הכנסה",F949)))),"הכנסה שסווגה מחדש",J949)</x:f>
        <x:v>שוטף</x:v>
      </x:c>
      <x:c r="L949" s="19" t="str">
        <x:v>מאושר</x:v>
      </x:c>
      <x:c r="M949" s="20" t="n">
        <x:f>IF(L949="מאושר",IF(K949="הכנסה שסווגה מחדש",0,G949),0)</x:f>
        <x:v>205</x:v>
      </x:c>
      <x:c r="N949" s="20" t="n">
        <x:f>IF(K949="שוטף",M949,0)</x:f>
        <x:v>205</x:v>
      </x:c>
      <x:c r="O949" s="20" t="n">
        <x:f>IF(K949="הכנסה שסווגה מחדש",-G949,0)</x:f>
        <x:v>0</x:v>
      </x:c>
      <x:c r="P949" s="11" t="str">
        <x:v>מקס עינור</x:v>
      </x:c>
      <x:c r="Q949" s="11" t="str"/>
      <x:c r="R949" s="11" t="str">
        <x:v>לא</x:v>
      </x:c>
    </x:row>
    <x:row r="950">
      <x:c r="A950" s="14" t="n">
        <x:v>45901</x:v>
      </x:c>
      <x:c r="B950" s="11" t="str">
        <x:v>2025-09</x:v>
      </x:c>
      <x:c r="C950" s="11" t="str">
        <x:v>ספטמבר 25</x:v>
      </x:c>
      <x:c r="D950" s="15" t="n">
        <x:v>119</x:v>
      </x:c>
      <x:c r="E950" s="11" t="str">
        <x:v>8</x:v>
      </x:c>
      <x:c r="F950" s="11" t="str">
        <x:v>מאפיה</x:v>
      </x:c>
      <x:c r="G950" s="17" t="n">
        <x:v>6</x:v>
      </x:c>
      <x:c r="H950" s="18" t="str">
        <x:v>אוכל בחוץ</x:v>
      </x:c>
      <x:c r="I950" s="19" t="str">
        <x:f>IFERROR(INDEX('מיפוי ומקורות'!$C$7:$C$33,MATCH(H950,'מיפוי ומקורות'!$B$7:$B$33,0)),"לא מסווג")</x:f>
        <x:v>אוכל בחוץ</x:v>
      </x:c>
      <x:c r="J950" s="19" t="str">
        <x:f>IFERROR(INDEX('מיפוי ומקורות'!$D$7:$D$33,MATCH(H950,'מיפוי ומקורות'!$B$7:$B$33,0)),"שוטף")</x:f>
        <x:v>שוטף</x:v>
      </x:c>
      <x:c r="K950" s="19" t="str">
        <x:f>IF(OR(H950="ריביות",AND(H950="דירה כצנלסון",G950&lt;0,ISNUMBER(SEARCH("הכנסה",F950)))),"הכנסה שסווגה מחדש",J950)</x:f>
        <x:v>שוטף</x:v>
      </x:c>
      <x:c r="L950" s="19" t="str">
        <x:v>מאושר</x:v>
      </x:c>
      <x:c r="M950" s="20" t="n">
        <x:f>IF(L950="מאושר",IF(K950="הכנסה שסווגה מחדש",0,G950),0)</x:f>
        <x:v>6</x:v>
      </x:c>
      <x:c r="N950" s="20" t="n">
        <x:f>IF(K950="שוטף",M950,0)</x:f>
        <x:v>6</x:v>
      </x:c>
      <x:c r="O950" s="20" t="n">
        <x:f>IF(K950="הכנסה שסווגה מחדש",-G950,0)</x:f>
        <x:v>0</x:v>
      </x:c>
      <x:c r="P950" s="11" t="str">
        <x:v>מקס עינור</x:v>
      </x:c>
      <x:c r="Q950" s="11" t="str"/>
      <x:c r="R950" s="11" t="str">
        <x:v>לא</x:v>
      </x:c>
    </x:row>
    <x:row r="951">
      <x:c r="A951" s="14" t="n">
        <x:v>45901</x:v>
      </x:c>
      <x:c r="B951" s="11" t="str">
        <x:v>2025-09</x:v>
      </x:c>
      <x:c r="C951" s="11" t="str">
        <x:v>ספטמבר 25</x:v>
      </x:c>
      <x:c r="D951" s="15" t="n">
        <x:v>120</x:v>
      </x:c>
      <x:c r="E951" s="11" t="str">
        <x:v>9</x:v>
      </x:c>
      <x:c r="F951" s="11" t="str">
        <x:v>רישיון בינלאומי</x:v>
      </x:c>
      <x:c r="G951" s="17" t="n">
        <x:v>12</x:v>
      </x:c>
      <x:c r="H951" s="18" t="str">
        <x:v>חול</x:v>
      </x:c>
      <x:c r="I951" s="19" t="str">
        <x:f>IFERROR(INDEX('מיפוי ומקורות'!$C$7:$C$33,MATCH(H951,'מיפוי ומקורות'!$B$7:$B$33,0)),"לא מסווג")</x:f>
        <x:v>נסיעות וחופשות</x:v>
      </x:c>
      <x:c r="J951" s="19" t="str">
        <x:f>IFERROR(INDEX('מיפוי ומקורות'!$D$7:$D$33,MATCH(H951,'מיפוי ומקורות'!$B$7:$B$33,0)),"שוטף")</x:f>
        <x:v>חריג</x:v>
      </x:c>
      <x:c r="K951" s="19" t="str">
        <x:f>IF(OR(H951="ריביות",AND(H951="דירה כצנלסון",G951&lt;0,ISNUMBER(SEARCH("הכנסה",F951)))),"הכנסה שסווגה מחדש",J951)</x:f>
        <x:v>חריג</x:v>
      </x:c>
      <x:c r="L951" s="19" t="str">
        <x:v>מאושר</x:v>
      </x:c>
      <x:c r="M951" s="20" t="n">
        <x:f>IF(L951="מאושר",IF(K951="הכנסה שסווגה מחדש",0,G951),0)</x:f>
        <x:v>12</x:v>
      </x:c>
      <x:c r="N951" s="20" t="n">
        <x:f>IF(K951="שוטף",M951,0)</x:f>
        <x:v>0</x:v>
      </x:c>
      <x:c r="O951" s="20" t="n">
        <x:f>IF(K951="הכנסה שסווגה מחדש",-G951,0)</x:f>
        <x:v>0</x:v>
      </x:c>
      <x:c r="P951" s="11" t="str">
        <x:v>מקס עינור</x:v>
      </x:c>
      <x:c r="Q951" s="11" t="str"/>
      <x:c r="R951" s="11" t="str">
        <x:v>לא</x:v>
      </x:c>
    </x:row>
    <x:row r="952">
      <x:c r="A952" s="14" t="n">
        <x:v>45901</x:v>
      </x:c>
      <x:c r="B952" s="11" t="str">
        <x:v>2025-09</x:v>
      </x:c>
      <x:c r="C952" s="11" t="str">
        <x:v>ספטמבר 25</x:v>
      </x:c>
      <x:c r="D952" s="15" t="n">
        <x:v>121</x:v>
      </x:c>
      <x:c r="E952" s="11" t="str">
        <x:v>19</x:v>
      </x:c>
      <x:c r="F952" s="11" t="str">
        <x:v>מסעדה</x:v>
      </x:c>
      <x:c r="G952" s="17" t="n">
        <x:v>75</x:v>
      </x:c>
      <x:c r="H952" s="18" t="str">
        <x:v>אוכל בחוץ</x:v>
      </x:c>
      <x:c r="I952" s="19" t="str">
        <x:f>IFERROR(INDEX('מיפוי ומקורות'!$C$7:$C$33,MATCH(H952,'מיפוי ומקורות'!$B$7:$B$33,0)),"לא מסווג")</x:f>
        <x:v>אוכל בחוץ</x:v>
      </x:c>
      <x:c r="J952" s="19" t="str">
        <x:f>IFERROR(INDEX('מיפוי ומקורות'!$D$7:$D$33,MATCH(H952,'מיפוי ומקורות'!$B$7:$B$33,0)),"שוטף")</x:f>
        <x:v>שוטף</x:v>
      </x:c>
      <x:c r="K952" s="19" t="str">
        <x:f>IF(OR(H952="ריביות",AND(H952="דירה כצנלסון",G952&lt;0,ISNUMBER(SEARCH("הכנסה",F952)))),"הכנסה שסווגה מחדש",J952)</x:f>
        <x:v>שוטף</x:v>
      </x:c>
      <x:c r="L952" s="19" t="str">
        <x:v>מאושר</x:v>
      </x:c>
      <x:c r="M952" s="20" t="n">
        <x:f>IF(L952="מאושר",IF(K952="הכנסה שסווגה מחדש",0,G952),0)</x:f>
        <x:v>75</x:v>
      </x:c>
      <x:c r="N952" s="20" t="n">
        <x:f>IF(K952="שוטף",M952,0)</x:f>
        <x:v>75</x:v>
      </x:c>
      <x:c r="O952" s="20" t="n">
        <x:f>IF(K952="הכנסה שסווגה מחדש",-G952,0)</x:f>
        <x:v>0</x:v>
      </x:c>
      <x:c r="P952" s="11" t="str">
        <x:v>מקס עינור</x:v>
      </x:c>
      <x:c r="Q952" s="11" t="str"/>
      <x:c r="R952" s="11" t="str">
        <x:v>לא</x:v>
      </x:c>
    </x:row>
    <x:row r="953">
      <x:c r="A953" s="14" t="n">
        <x:v>45901</x:v>
      </x:c>
      <x:c r="B953" s="11" t="str">
        <x:v>2025-09</x:v>
      </x:c>
      <x:c r="C953" s="11" t="str">
        <x:v>ספטמבר 25</x:v>
      </x:c>
      <x:c r="D953" s="15" t="n">
        <x:v>122</x:v>
      </x:c>
      <x:c r="E953" s="11" t="str">
        <x:v>21</x:v>
      </x:c>
      <x:c r="F953" s="11" t="str">
        <x:v>סופר</x:v>
      </x:c>
      <x:c r="G953" s="17" t="n">
        <x:v>79</x:v>
      </x:c>
      <x:c r="H953" s="18" t="str">
        <x:v>מזון לבית</x:v>
      </x:c>
      <x:c r="I953" s="19" t="str">
        <x:f>IFERROR(INDEX('מיפוי ומקורות'!$C$7:$C$33,MATCH(H953,'מיפוי ומקורות'!$B$7:$B$33,0)),"לא מסווג")</x:f>
        <x:v>מזון לבית</x:v>
      </x:c>
      <x:c r="J953" s="19" t="str">
        <x:f>IFERROR(INDEX('מיפוי ומקורות'!$D$7:$D$33,MATCH(H953,'מיפוי ומקורות'!$B$7:$B$33,0)),"שוטף")</x:f>
        <x:v>שוטף</x:v>
      </x:c>
      <x:c r="K953" s="19" t="str">
        <x:f>IF(OR(H953="ריביות",AND(H953="דירה כצנלסון",G953&lt;0,ISNUMBER(SEARCH("הכנסה",F953)))),"הכנסה שסווגה מחדש",J953)</x:f>
        <x:v>שוטף</x:v>
      </x:c>
      <x:c r="L953" s="19" t="str">
        <x:v>מאושר</x:v>
      </x:c>
      <x:c r="M953" s="20" t="n">
        <x:f>IF(L953="מאושר",IF(K953="הכנסה שסווגה מחדש",0,G953),0)</x:f>
        <x:v>79</x:v>
      </x:c>
      <x:c r="N953" s="20" t="n">
        <x:f>IF(K953="שוטף",M953,0)</x:f>
        <x:v>79</x:v>
      </x:c>
      <x:c r="O953" s="20" t="n">
        <x:f>IF(K953="הכנסה שסווגה מחדש",-G953,0)</x:f>
        <x:v>0</x:v>
      </x:c>
      <x:c r="P953" s="11" t="str">
        <x:v>מקס עינור</x:v>
      </x:c>
      <x:c r="Q953" s="11" t="str"/>
      <x:c r="R953" s="11" t="str">
        <x:v>לא</x:v>
      </x:c>
    </x:row>
    <x:row r="954">
      <x:c r="A954" s="14" t="n">
        <x:v>45901</x:v>
      </x:c>
      <x:c r="B954" s="11" t="str">
        <x:v>2025-09</x:v>
      </x:c>
      <x:c r="C954" s="11" t="str">
        <x:v>ספטמבר 25</x:v>
      </x:c>
      <x:c r="D954" s="15" t="n">
        <x:v>123</x:v>
      </x:c>
      <x:c r="E954" s="11" t="str">
        <x:v>26</x:v>
      </x:c>
      <x:c r="F954" s="11" t="str">
        <x:v>מסעדה</x:v>
      </x:c>
      <x:c r="G954" s="17" t="n">
        <x:v>72</x:v>
      </x:c>
      <x:c r="H954" s="18" t="str">
        <x:v>אוכל בחוץ</x:v>
      </x:c>
      <x:c r="I954" s="19" t="str">
        <x:f>IFERROR(INDEX('מיפוי ומקורות'!$C$7:$C$33,MATCH(H954,'מיפוי ומקורות'!$B$7:$B$33,0)),"לא מסווג")</x:f>
        <x:v>אוכל בחוץ</x:v>
      </x:c>
      <x:c r="J954" s="19" t="str">
        <x:f>IFERROR(INDEX('מיפוי ומקורות'!$D$7:$D$33,MATCH(H954,'מיפוי ומקורות'!$B$7:$B$33,0)),"שוטף")</x:f>
        <x:v>שוטף</x:v>
      </x:c>
      <x:c r="K954" s="19" t="str">
        <x:f>IF(OR(H954="ריביות",AND(H954="דירה כצנלסון",G954&lt;0,ISNUMBER(SEARCH("הכנסה",F954)))),"הכנסה שסווגה מחדש",J954)</x:f>
        <x:v>שוטף</x:v>
      </x:c>
      <x:c r="L954" s="19" t="str">
        <x:v>מאושר</x:v>
      </x:c>
      <x:c r="M954" s="20" t="n">
        <x:f>IF(L954="מאושר",IF(K954="הכנסה שסווגה מחדש",0,G954),0)</x:f>
        <x:v>72</x:v>
      </x:c>
      <x:c r="N954" s="20" t="n">
        <x:f>IF(K954="שוטף",M954,0)</x:f>
        <x:v>72</x:v>
      </x:c>
      <x:c r="O954" s="20" t="n">
        <x:f>IF(K954="הכנסה שסווגה מחדש",-G954,0)</x:f>
        <x:v>0</x:v>
      </x:c>
      <x:c r="P954" s="11" t="str">
        <x:v>מקס עינור</x:v>
      </x:c>
      <x:c r="Q954" s="11" t="str"/>
      <x:c r="R954" s="11" t="str">
        <x:v>לא</x:v>
      </x:c>
    </x:row>
    <x:row r="955">
      <x:c r="A955" s="14" t="n">
        <x:v>45901</x:v>
      </x:c>
      <x:c r="B955" s="11" t="str">
        <x:v>2025-09</x:v>
      </x:c>
      <x:c r="C955" s="11" t="str">
        <x:v>ספטמבר 25</x:v>
      </x:c>
      <x:c r="D955" s="15" t="n">
        <x:v>124</x:v>
      </x:c>
      <x:c r="E955" s="11" t="str">
        <x:v>28</x:v>
      </x:c>
      <x:c r="F955" s="11" t="str">
        <x:v>לק</x:v>
      </x:c>
      <x:c r="G955" s="17" t="n">
        <x:v>120</x:v>
      </x:c>
      <x:c r="H955" s="18" t="str">
        <x:v>קוסמטיקה</x:v>
      </x:c>
      <x:c r="I955" s="19" t="str">
        <x:f>IFERROR(INDEX('מיפוי ומקורות'!$C$7:$C$33,MATCH(H955,'מיפוי ומקורות'!$B$7:$B$33,0)),"לא מסווג")</x:f>
        <x:v>קוסמטיקה</x:v>
      </x:c>
      <x:c r="J955" s="19" t="str">
        <x:f>IFERROR(INDEX('מיפוי ומקורות'!$D$7:$D$33,MATCH(H955,'מיפוי ומקורות'!$B$7:$B$33,0)),"שוטף")</x:f>
        <x:v>שוטף</x:v>
      </x:c>
      <x:c r="K955" s="19" t="str">
        <x:f>IF(OR(H955="ריביות",AND(H955="דירה כצנלסון",G955&lt;0,ISNUMBER(SEARCH("הכנסה",F955)))),"הכנסה שסווגה מחדש",J955)</x:f>
        <x:v>שוטף</x:v>
      </x:c>
      <x:c r="L955" s="19" t="str">
        <x:v>מאושר</x:v>
      </x:c>
      <x:c r="M955" s="20" t="n">
        <x:f>IF(L955="מאושר",IF(K955="הכנסה שסווגה מחדש",0,G955),0)</x:f>
        <x:v>120</x:v>
      </x:c>
      <x:c r="N955" s="20" t="n">
        <x:f>IF(K955="שוטף",M955,0)</x:f>
        <x:v>120</x:v>
      </x:c>
      <x:c r="O955" s="20" t="n">
        <x:f>IF(K955="הכנסה שסווגה מחדש",-G955,0)</x:f>
        <x:v>0</x:v>
      </x:c>
      <x:c r="P955" s="11" t="str">
        <x:v>מקס עינור</x:v>
      </x:c>
      <x:c r="Q955" s="11" t="str"/>
      <x:c r="R955" s="11" t="str">
        <x:v>לא</x:v>
      </x:c>
    </x:row>
    <x:row r="956">
      <x:c r="A956" s="14" t="n">
        <x:v>45931</x:v>
      </x:c>
      <x:c r="B956" s="11" t="str">
        <x:v>2025-10</x:v>
      </x:c>
      <x:c r="C956" s="11" t="str">
        <x:v>אוקטובר 25</x:v>
      </x:c>
      <x:c r="D956" s="15" t="n">
        <x:v>2</x:v>
      </x:c>
      <x:c r="E956" s="11" t="str">
        <x:v>14</x:v>
      </x:c>
      <x:c r="F956" s="11" t="str">
        <x:v>שכר דירה</x:v>
      </x:c>
      <x:c r="G956" s="17" t="n">
        <x:v>8000</x:v>
      </x:c>
      <x:c r="H956" s="18" t="str">
        <x:v>מגורים חודשי</x:v>
      </x:c>
      <x:c r="I956" s="19" t="str">
        <x:f>IFERROR(INDEX('מיפוי ומקורות'!$C$7:$C$33,MATCH(H956,'מיפוי ומקורות'!$B$7:$B$33,0)),"לא מסווג")</x:f>
        <x:v>דיור – בית מגורים</x:v>
      </x:c>
      <x:c r="J956" s="19" t="str">
        <x:f>IFERROR(INDEX('מיפוי ומקורות'!$D$7:$D$33,MATCH(H956,'מיפוי ומקורות'!$B$7:$B$33,0)),"שוטף")</x:f>
        <x:v>שוטף</x:v>
      </x:c>
      <x:c r="K956" s="19" t="str">
        <x:f>IF(OR(H956="ריביות",AND(H956="דירה כצנלסון",G956&lt;0,ISNUMBER(SEARCH("הכנסה",F956)))),"הכנסה שסווגה מחדש",J956)</x:f>
        <x:v>שוטף</x:v>
      </x:c>
      <x:c r="L956" s="19" t="str">
        <x:v>מאושר</x:v>
      </x:c>
      <x:c r="M956" s="20" t="n">
        <x:f>IF(L956="מאושר",IF(K956="הכנסה שסווגה מחדש",0,G956),0)</x:f>
        <x:v>8000</x:v>
      </x:c>
      <x:c r="N956" s="20" t="n">
        <x:f>IF(K956="שוטף",M956,0)</x:f>
        <x:v>8000</x:v>
      </x:c>
      <x:c r="O956" s="20" t="n">
        <x:f>IF(K956="הכנסה שסווגה מחדש",-G956,0)</x:f>
        <x:v>0</x:v>
      </x:c>
      <x:c r="P956" s="11" t="str">
        <x:v>דיסקונט</x:v>
      </x:c>
      <x:c r="Q956" s="11" t="str"/>
      <x:c r="R956" s="11" t="str">
        <x:v>לא</x:v>
      </x:c>
    </x:row>
    <x:row r="957">
      <x:c r="A957" s="14" t="n">
        <x:v>45931</x:v>
      </x:c>
      <x:c r="B957" s="11" t="str">
        <x:v>2025-10</x:v>
      </x:c>
      <x:c r="C957" s="11" t="str">
        <x:v>אוקטובר 25</x:v>
      </x:c>
      <x:c r="D957" s="15" t="n">
        <x:v>3</x:v>
      </x:c>
      <x:c r="E957" s="11" t="str">
        <x:v>10</x:v>
      </x:c>
      <x:c r="F957" s="11" t="str">
        <x:v>משכנתא</x:v>
      </x:c>
      <x:c r="G957" s="17" t="n">
        <x:v>6147</x:v>
      </x:c>
      <x:c r="H957" s="18" t="str">
        <x:v>דירה כצנלסון</x:v>
      </x:c>
      <x:c r="I957" s="19" t="str">
        <x:f>IFERROR(INDEX('מיפוי ומקורות'!$C$7:$C$33,MATCH(H957,'מיפוי ומקורות'!$B$7:$B$33,0)),"לא מסווג")</x:f>
        <x:v>נכס להשקעה</x:v>
      </x:c>
      <x:c r="J957" s="19" t="str">
        <x:f>IFERROR(INDEX('מיפוי ומקורות'!$D$7:$D$33,MATCH(H957,'מיפוי ומקורות'!$B$7:$B$33,0)),"שוטף")</x:f>
        <x:v>חריג/נכס</x:v>
      </x:c>
      <x:c r="K957" s="19" t="str">
        <x:f>IF(OR(H957="ריביות",AND(H957="דירה כצנלסון",G957&lt;0,ISNUMBER(SEARCH("הכנסה",F957)))),"הכנסה שסווגה מחדש",J957)</x:f>
        <x:v>חריג/נכס</x:v>
      </x:c>
      <x:c r="L957" s="19" t="str">
        <x:v>מאושר</x:v>
      </x:c>
      <x:c r="M957" s="20" t="n">
        <x:f>IF(L957="מאושר",IF(K957="הכנסה שסווגה מחדש",0,G957),0)</x:f>
        <x:v>6147</x:v>
      </x:c>
      <x:c r="N957" s="20" t="n">
        <x:f>IF(K957="שוטף",M957,0)</x:f>
        <x:v>0</x:v>
      </x:c>
      <x:c r="O957" s="20" t="n">
        <x:f>IF(K957="הכנסה שסווגה מחדש",-G957,0)</x:f>
        <x:v>0</x:v>
      </x:c>
      <x:c r="P957" s="11" t="str">
        <x:v>דיסקונט</x:v>
      </x:c>
      <x:c r="Q957" s="11" t="str"/>
      <x:c r="R957" s="11" t="str">
        <x:v>לא</x:v>
      </x:c>
    </x:row>
    <x:row r="958">
      <x:c r="A958" s="14" t="n">
        <x:v>45931</x:v>
      </x:c>
      <x:c r="B958" s="11" t="str">
        <x:v>2025-10</x:v>
      </x:c>
      <x:c r="C958" s="11" t="str">
        <x:v>אוקטובר 25</x:v>
      </x:c>
      <x:c r="D958" s="15" t="n">
        <x:v>4</x:v>
      </x:c>
      <x:c r="E958" s="11" t="str">
        <x:v>8</x:v>
      </x:c>
      <x:c r="F958" s="11" t="str">
        <x:v>הכנסה משכר דירה</x:v>
      </x:c>
      <x:c r="G958" s="17" t="n">
        <x:v>-6500</x:v>
      </x:c>
      <x:c r="H958" s="18" t="str">
        <x:v>דירה כצנלסון</x:v>
      </x:c>
      <x:c r="I958" s="19" t="str">
        <x:f>IFERROR(INDEX('מיפוי ומקורות'!$C$7:$C$33,MATCH(H958,'מיפוי ומקורות'!$B$7:$B$33,0)),"לא מסווג")</x:f>
        <x:v>נכס להשקעה</x:v>
      </x:c>
      <x:c r="J958" s="19" t="str">
        <x:f>IFERROR(INDEX('מיפוי ומקורות'!$D$7:$D$33,MATCH(H958,'מיפוי ומקורות'!$B$7:$B$33,0)),"שוטף")</x:f>
        <x:v>חריג/נכס</x:v>
      </x:c>
      <x:c r="K958" s="19" t="str">
        <x:f>IF(OR(H958="ריביות",AND(H958="דירה כצנלסון",G958&lt;0,ISNUMBER(SEARCH("הכנסה",F958)))),"הכנסה שסווגה מחדש",J958)</x:f>
        <x:v>הכנסה שסווגה מחדש</x:v>
      </x:c>
      <x:c r="L958" s="19" t="str">
        <x:v>מאושר</x:v>
      </x:c>
      <x:c r="M958" s="20" t="n">
        <x:f>IF(L958="מאושר",IF(K958="הכנסה שסווגה מחדש",0,G958),0)</x:f>
        <x:v>0</x:v>
      </x:c>
      <x:c r="N958" s="20" t="n">
        <x:f>IF(K958="שוטף",M958,0)</x:f>
        <x:v>0</x:v>
      </x:c>
      <x:c r="O958" s="20" t="n">
        <x:f>IF(K958="הכנסה שסווגה מחדש",-G958,0)</x:f>
        <x:v>6500</x:v>
      </x:c>
      <x:c r="P958" s="11" t="str">
        <x:v>one zero</x:v>
      </x:c>
      <x:c r="Q958" s="11" t="str"/>
      <x:c r="R958" s="11" t="str">
        <x:v>לא</x:v>
      </x:c>
    </x:row>
    <x:row r="959">
      <x:c r="A959" s="14" t="n">
        <x:v>45931</x:v>
      </x:c>
      <x:c r="B959" s="11" t="str">
        <x:v>2025-10</x:v>
      </x:c>
      <x:c r="C959" s="11" t="str">
        <x:v>אוקטובר 25</x:v>
      </x:c>
      <x:c r="D959" s="15" t="n">
        <x:v>5</x:v>
      </x:c>
      <x:c r="E959" s="11" t="str">
        <x:v>28</x:v>
      </x:c>
      <x:c r="F959" s="11" t="str">
        <x:v>ארנונה</x:v>
      </x:c>
      <x:c r="G959" s="17" t="n">
        <x:v>1007</x:v>
      </x:c>
      <x:c r="H959" s="18" t="str">
        <x:v>מגורים צריכה</x:v>
      </x:c>
      <x:c r="I959" s="19" t="str">
        <x:f>IFERROR(INDEX('מיפוי ומקורות'!$C$7:$C$33,MATCH(H959,'מיפוי ומקורות'!$B$7:$B$33,0)),"לא מסווג")</x:f>
        <x:v>דיור – בית מגורים</x:v>
      </x:c>
      <x:c r="J959" s="19" t="str">
        <x:f>IFERROR(INDEX('מיפוי ומקורות'!$D$7:$D$33,MATCH(H959,'מיפוי ומקורות'!$B$7:$B$33,0)),"שוטף")</x:f>
        <x:v>שוטף</x:v>
      </x:c>
      <x:c r="K959" s="19" t="str">
        <x:f>IF(OR(H959="ריביות",AND(H959="דירה כצנלסון",G959&lt;0,ISNUMBER(SEARCH("הכנסה",F959)))),"הכנסה שסווגה מחדש",J959)</x:f>
        <x:v>שוטף</x:v>
      </x:c>
      <x:c r="L959" s="19" t="str">
        <x:v>מאושר</x:v>
      </x:c>
      <x:c r="M959" s="20" t="n">
        <x:f>IF(L959="מאושר",IF(K959="הכנסה שסווגה מחדש",0,G959),0)</x:f>
        <x:v>1007</x:v>
      </x:c>
      <x:c r="N959" s="20" t="n">
        <x:f>IF(K959="שוטף",M959,0)</x:f>
        <x:v>1007</x:v>
      </x:c>
      <x:c r="O959" s="20" t="n">
        <x:f>IF(K959="הכנסה שסווגה מחדש",-G959,0)</x:f>
        <x:v>0</x:v>
      </x:c>
      <x:c r="P959" s="11" t="str">
        <x:v>אמקס זיו</x:v>
      </x:c>
      <x:c r="Q959" s="11" t="str"/>
      <x:c r="R959" s="11" t="str">
        <x:v>לא</x:v>
      </x:c>
    </x:row>
    <x:row r="960">
      <x:c r="A960" s="14" t="n">
        <x:v>45931</x:v>
      </x:c>
      <x:c r="B960" s="11" t="str">
        <x:v>2025-10</x:v>
      </x:c>
      <x:c r="C960" s="11" t="str">
        <x:v>אוקטובר 25</x:v>
      </x:c>
      <x:c r="D960" s="15" t="n">
        <x:v>6</x:v>
      </x:c>
      <x:c r="E960" s="11" t="str">
        <x:v>2</x:v>
      </x:c>
      <x:c r="F960" s="11" t="str">
        <x:v>חשמל</x:v>
      </x:c>
      <x:c r="G960" s="17" t="n">
        <x:v>451</x:v>
      </x:c>
      <x:c r="H960" s="18" t="str">
        <x:v>מגורים צריכה</x:v>
      </x:c>
      <x:c r="I960" s="19" t="str">
        <x:f>IFERROR(INDEX('מיפוי ומקורות'!$C$7:$C$33,MATCH(H960,'מיפוי ומקורות'!$B$7:$B$33,0)),"לא מסווג")</x:f>
        <x:v>דיור – בית מגורים</x:v>
      </x:c>
      <x:c r="J960" s="19" t="str">
        <x:f>IFERROR(INDEX('מיפוי ומקורות'!$D$7:$D$33,MATCH(H960,'מיפוי ומקורות'!$B$7:$B$33,0)),"שוטף")</x:f>
        <x:v>שוטף</x:v>
      </x:c>
      <x:c r="K960" s="19" t="str">
        <x:f>IF(OR(H960="ריביות",AND(H960="דירה כצנלסון",G960&lt;0,ISNUMBER(SEARCH("הכנסה",F960)))),"הכנסה שסווגה מחדש",J960)</x:f>
        <x:v>שוטף</x:v>
      </x:c>
      <x:c r="L960" s="19" t="str">
        <x:v>מאושר</x:v>
      </x:c>
      <x:c r="M960" s="20" t="n">
        <x:f>IF(L960="מאושר",IF(K960="הכנסה שסווגה מחדש",0,G960),0)</x:f>
        <x:v>451</x:v>
      </x:c>
      <x:c r="N960" s="20" t="n">
        <x:f>IF(K960="שוטף",M960,0)</x:f>
        <x:v>451</x:v>
      </x:c>
      <x:c r="O960" s="20" t="n">
        <x:f>IF(K960="הכנסה שסווגה מחדש",-G960,0)</x:f>
        <x:v>0</x:v>
      </x:c>
      <x:c r="P960" s="11" t="str">
        <x:v>אמקס זיו</x:v>
      </x:c>
      <x:c r="Q960" s="11" t="str"/>
      <x:c r="R960" s="11" t="str">
        <x:v>לא</x:v>
      </x:c>
    </x:row>
    <x:row r="961">
      <x:c r="A961" s="14" t="n">
        <x:v>45931</x:v>
      </x:c>
      <x:c r="B961" s="11" t="str">
        <x:v>2025-10</x:v>
      </x:c>
      <x:c r="C961" s="11" t="str">
        <x:v>אוקטובר 25</x:v>
      </x:c>
      <x:c r="D961" s="15" t="n">
        <x:v>7</x:v>
      </x:c>
      <x:c r="E961" s="11" t="str"/>
      <x:c r="F961" s="11" t="str">
        <x:v>מים</x:v>
      </x:c>
      <x:c r="G961" s="17" t="n">
        <x:v>0</x:v>
      </x:c>
      <x:c r="H961" s="18" t="str">
        <x:v>מגורים צריכה</x:v>
      </x:c>
      <x:c r="I961" s="19" t="str">
        <x:f>IFERROR(INDEX('מיפוי ומקורות'!$C$7:$C$33,MATCH(H961,'מיפוי ומקורות'!$B$7:$B$33,0)),"לא מסווג")</x:f>
        <x:v>דיור – בית מגורים</x:v>
      </x:c>
      <x:c r="J961" s="19" t="str">
        <x:f>IFERROR(INDEX('מיפוי ומקורות'!$D$7:$D$33,MATCH(H961,'מיפוי ומקורות'!$B$7:$B$33,0)),"שוטף")</x:f>
        <x:v>שוטף</x:v>
      </x:c>
      <x:c r="K961" s="19" t="str">
        <x:f>IF(OR(H961="ריביות",AND(H961="דירה כצנלסון",G961&lt;0,ISNUMBER(SEARCH("הכנסה",F961)))),"הכנסה שסווגה מחדש",J961)</x:f>
        <x:v>שוטף</x:v>
      </x:c>
      <x:c r="L961" s="19" t="str">
        <x:v>מאושר</x:v>
      </x:c>
      <x:c r="M961" s="20" t="n">
        <x:f>IF(L961="מאושר",IF(K961="הכנסה שסווגה מחדש",0,G961),0)</x:f>
        <x:v>0</x:v>
      </x:c>
      <x:c r="N961" s="20" t="n">
        <x:f>IF(K961="שוטף",M961,0)</x:f>
        <x:v>0</x:v>
      </x:c>
      <x:c r="O961" s="20" t="n">
        <x:f>IF(K961="הכנסה שסווגה מחדש",-G961,0)</x:f>
        <x:v>0</x:v>
      </x:c>
      <x:c r="P961" s="11" t="str"/>
      <x:c r="Q961" s="11" t="str"/>
      <x:c r="R961" s="11" t="str">
        <x:v>לא</x:v>
      </x:c>
    </x:row>
    <x:row r="962">
      <x:c r="A962" s="14" t="n">
        <x:v>45931</x:v>
      </x:c>
      <x:c r="B962" s="11" t="str">
        <x:v>2025-10</x:v>
      </x:c>
      <x:c r="C962" s="11" t="str">
        <x:v>אוקטובר 25</x:v>
      </x:c>
      <x:c r="D962" s="15" t="n">
        <x:v>8</x:v>
      </x:c>
      <x:c r="E962" s="11" t="str"/>
      <x:c r="F962" s="11" t="str">
        <x:v>ועד בית</x:v>
      </x:c>
      <x:c r="G962" s="17" t="n">
        <x:v>600</x:v>
      </x:c>
      <x:c r="H962" s="18" t="str">
        <x:v>מגורים צריכה</x:v>
      </x:c>
      <x:c r="I962" s="19" t="str">
        <x:f>IFERROR(INDEX('מיפוי ומקורות'!$C$7:$C$33,MATCH(H962,'מיפוי ומקורות'!$B$7:$B$33,0)),"לא מסווג")</x:f>
        <x:v>דיור – בית מגורים</x:v>
      </x:c>
      <x:c r="J962" s="19" t="str">
        <x:f>IFERROR(INDEX('מיפוי ומקורות'!$D$7:$D$33,MATCH(H962,'מיפוי ומקורות'!$B$7:$B$33,0)),"שוטף")</x:f>
        <x:v>שוטף</x:v>
      </x:c>
      <x:c r="K962" s="19" t="str">
        <x:f>IF(OR(H962="ריביות",AND(H962="דירה כצנלסון",G962&lt;0,ISNUMBER(SEARCH("הכנסה",F962)))),"הכנסה שסווגה מחדש",J962)</x:f>
        <x:v>שוטף</x:v>
      </x:c>
      <x:c r="L962" s="19" t="str">
        <x:v>מאושר</x:v>
      </x:c>
      <x:c r="M962" s="20" t="n">
        <x:f>IF(L962="מאושר",IF(K962="הכנסה שסווגה מחדש",0,G962),0)</x:f>
        <x:v>600</x:v>
      </x:c>
      <x:c r="N962" s="20" t="n">
        <x:f>IF(K962="שוטף",M962,0)</x:f>
        <x:v>600</x:v>
      </x:c>
      <x:c r="O962" s="20" t="n">
        <x:f>IF(K962="הכנסה שסווגה מחדש",-G962,0)</x:f>
        <x:v>0</x:v>
      </x:c>
      <x:c r="P962" s="11" t="str">
        <x:v>מזומן</x:v>
      </x:c>
      <x:c r="Q962" s="11" t="str"/>
      <x:c r="R962" s="11" t="str">
        <x:v>לא</x:v>
      </x:c>
    </x:row>
    <x:row r="963">
      <x:c r="A963" s="14" t="n">
        <x:v>45931</x:v>
      </x:c>
      <x:c r="B963" s="11" t="str">
        <x:v>2025-10</x:v>
      </x:c>
      <x:c r="C963" s="11" t="str">
        <x:v>אוקטובר 25</x:v>
      </x:c>
      <x:c r="D963" s="15" t="n">
        <x:v>9</x:v>
      </x:c>
      <x:c r="E963" s="11" t="str"/>
      <x:c r="F963" s="11" t="str">
        <x:v>גז</x:v>
      </x:c>
      <x:c r="G963" s="17" t="n">
        <x:v>0</x:v>
      </x:c>
      <x:c r="H963" s="18" t="str">
        <x:v>מגורים צריכה</x:v>
      </x:c>
      <x:c r="I963" s="19" t="str">
        <x:f>IFERROR(INDEX('מיפוי ומקורות'!$C$7:$C$33,MATCH(H963,'מיפוי ומקורות'!$B$7:$B$33,0)),"לא מסווג")</x:f>
        <x:v>דיור – בית מגורים</x:v>
      </x:c>
      <x:c r="J963" s="19" t="str">
        <x:f>IFERROR(INDEX('מיפוי ומקורות'!$D$7:$D$33,MATCH(H963,'מיפוי ומקורות'!$B$7:$B$33,0)),"שוטף")</x:f>
        <x:v>שוטף</x:v>
      </x:c>
      <x:c r="K963" s="19" t="str">
        <x:f>IF(OR(H963="ריביות",AND(H963="דירה כצנלסון",G963&lt;0,ISNUMBER(SEARCH("הכנסה",F963)))),"הכנסה שסווגה מחדש",J963)</x:f>
        <x:v>שוטף</x:v>
      </x:c>
      <x:c r="L963" s="19" t="str">
        <x:v>מאושר</x:v>
      </x:c>
      <x:c r="M963" s="20" t="n">
        <x:f>IF(L963="מאושר",IF(K963="הכנסה שסווגה מחדש",0,G963),0)</x:f>
        <x:v>0</x:v>
      </x:c>
      <x:c r="N963" s="20" t="n">
        <x:f>IF(K963="שוטף",M963,0)</x:f>
        <x:v>0</x:v>
      </x:c>
      <x:c r="O963" s="20" t="n">
        <x:f>IF(K963="הכנסה שסווגה מחדש",-G963,0)</x:f>
        <x:v>0</x:v>
      </x:c>
      <x:c r="P963" s="11" t="str"/>
      <x:c r="Q963" s="11" t="str"/>
      <x:c r="R963" s="11" t="str">
        <x:v>לא</x:v>
      </x:c>
    </x:row>
    <x:row r="964">
      <x:c r="A964" s="14" t="n">
        <x:v>45931</x:v>
      </x:c>
      <x:c r="B964" s="11" t="str">
        <x:v>2025-10</x:v>
      </x:c>
      <x:c r="C964" s="11" t="str">
        <x:v>אוקטובר 25</x:v>
      </x:c>
      <x:c r="D964" s="15" t="n">
        <x:v>10</x:v>
      </x:c>
      <x:c r="E964" s="11" t="str"/>
      <x:c r="F964" s="11" t="str">
        <x:v>מנקה</x:v>
      </x:c>
      <x:c r="G964" s="17" t="n">
        <x:v>200</x:v>
      </x:c>
      <x:c r="H964" s="18" t="str">
        <x:v>מגורים צריכה</x:v>
      </x:c>
      <x:c r="I964" s="19" t="str">
        <x:f>IFERROR(INDEX('מיפוי ומקורות'!$C$7:$C$33,MATCH(H964,'מיפוי ומקורות'!$B$7:$B$33,0)),"לא מסווג")</x:f>
        <x:v>דיור – בית מגורים</x:v>
      </x:c>
      <x:c r="J964" s="19" t="str">
        <x:f>IFERROR(INDEX('מיפוי ומקורות'!$D$7:$D$33,MATCH(H964,'מיפוי ומקורות'!$B$7:$B$33,0)),"שוטף")</x:f>
        <x:v>שוטף</x:v>
      </x:c>
      <x:c r="K964" s="19" t="str">
        <x:f>IF(OR(H964="ריביות",AND(H964="דירה כצנלסון",G964&lt;0,ISNUMBER(SEARCH("הכנסה",F964)))),"הכנסה שסווגה מחדש",J964)</x:f>
        <x:v>שוטף</x:v>
      </x:c>
      <x:c r="L964" s="19" t="str">
        <x:v>מאושר</x:v>
      </x:c>
      <x:c r="M964" s="20" t="n">
        <x:f>IF(L964="מאושר",IF(K964="הכנסה שסווגה מחדש",0,G964),0)</x:f>
        <x:v>200</x:v>
      </x:c>
      <x:c r="N964" s="20" t="n">
        <x:f>IF(K964="שוטף",M964,0)</x:f>
        <x:v>200</x:v>
      </x:c>
      <x:c r="O964" s="20" t="n">
        <x:f>IF(K964="הכנסה שסווגה מחדש",-G964,0)</x:f>
        <x:v>0</x:v>
      </x:c>
      <x:c r="P964" s="11" t="str">
        <x:v>מזומן</x:v>
      </x:c>
      <x:c r="Q964" s="11" t="str"/>
      <x:c r="R964" s="11" t="str">
        <x:v>לא</x:v>
      </x:c>
    </x:row>
    <x:row r="965">
      <x:c r="A965" s="14" t="n">
        <x:v>45931</x:v>
      </x:c>
      <x:c r="B965" s="11" t="str">
        <x:v>2025-10</x:v>
      </x:c>
      <x:c r="C965" s="11" t="str">
        <x:v>אוקטובר 25</x:v>
      </x:c>
      <x:c r="D965" s="15" t="n">
        <x:v>11</x:v>
      </x:c>
      <x:c r="E965" s="11" t="str">
        <x:v>19</x:v>
      </x:c>
      <x:c r="F965" s="11" t="str">
        <x:v>אינטרנט</x:v>
      </x:c>
      <x:c r="G965" s="17" t="n">
        <x:v>79</x:v>
      </x:c>
      <x:c r="H965" s="18" t="str">
        <x:v>מגורים חודשי</x:v>
      </x:c>
      <x:c r="I965" s="19" t="str">
        <x:f>IFERROR(INDEX('מיפוי ומקורות'!$C$7:$C$33,MATCH(H965,'מיפוי ומקורות'!$B$7:$B$33,0)),"לא מסווג")</x:f>
        <x:v>דיור – בית מגורים</x:v>
      </x:c>
      <x:c r="J965" s="19" t="str">
        <x:f>IFERROR(INDEX('מיפוי ומקורות'!$D$7:$D$33,MATCH(H965,'מיפוי ומקורות'!$B$7:$B$33,0)),"שוטף")</x:f>
        <x:v>שוטף</x:v>
      </x:c>
      <x:c r="K965" s="19" t="str">
        <x:f>IF(OR(H965="ריביות",AND(H965="דירה כצנלסון",G965&lt;0,ISNUMBER(SEARCH("הכנסה",F965)))),"הכנסה שסווגה מחדש",J965)</x:f>
        <x:v>שוטף</x:v>
      </x:c>
      <x:c r="L965" s="19" t="str">
        <x:v>מאושר</x:v>
      </x:c>
      <x:c r="M965" s="20" t="n">
        <x:f>IF(L965="מאושר",IF(K965="הכנסה שסווגה מחדש",0,G965),0)</x:f>
        <x:v>79</x:v>
      </x:c>
      <x:c r="N965" s="20" t="n">
        <x:f>IF(K965="שוטף",M965,0)</x:f>
        <x:v>79</x:v>
      </x:c>
      <x:c r="O965" s="20" t="n">
        <x:f>IF(K965="הכנסה שסווגה מחדש",-G965,0)</x:f>
        <x:v>0</x:v>
      </x:c>
      <x:c r="P965" s="11" t="str">
        <x:v>אמקס זיו</x:v>
      </x:c>
      <x:c r="Q965" s="11" t="str"/>
      <x:c r="R965" s="11" t="str">
        <x:v>לא</x:v>
      </x:c>
    </x:row>
    <x:row r="966">
      <x:c r="A966" s="14" t="n">
        <x:v>45931</x:v>
      </x:c>
      <x:c r="B966" s="11" t="str">
        <x:v>2025-10</x:v>
      </x:c>
      <x:c r="C966" s="11" t="str">
        <x:v>אוקטובר 25</x:v>
      </x:c>
      <x:c r="D966" s="15" t="n">
        <x:v>12</x:v>
      </x:c>
      <x:c r="E966" s="11" t="str">
        <x:v>12</x:v>
      </x:c>
      <x:c r="F966" s="11" t="str">
        <x:v>סלולר</x:v>
      </x:c>
      <x:c r="G966" s="17" t="n">
        <x:v>59</x:v>
      </x:c>
      <x:c r="H966" s="18" t="str">
        <x:v>מגורים חודשי</x:v>
      </x:c>
      <x:c r="I966" s="19" t="str">
        <x:f>IFERROR(INDEX('מיפוי ומקורות'!$C$7:$C$33,MATCH(H966,'מיפוי ומקורות'!$B$7:$B$33,0)),"לא מסווג")</x:f>
        <x:v>דיור – בית מגורים</x:v>
      </x:c>
      <x:c r="J966" s="19" t="str">
        <x:f>IFERROR(INDEX('מיפוי ומקורות'!$D$7:$D$33,MATCH(H966,'מיפוי ומקורות'!$B$7:$B$33,0)),"שוטף")</x:f>
        <x:v>שוטף</x:v>
      </x:c>
      <x:c r="K966" s="19" t="str">
        <x:f>IF(OR(H966="ריביות",AND(H966="דירה כצנלסון",G966&lt;0,ISNUMBER(SEARCH("הכנסה",F966)))),"הכנסה שסווגה מחדש",J966)</x:f>
        <x:v>שוטף</x:v>
      </x:c>
      <x:c r="L966" s="19" t="str">
        <x:v>מאושר</x:v>
      </x:c>
      <x:c r="M966" s="20" t="n">
        <x:f>IF(L966="מאושר",IF(K966="הכנסה שסווגה מחדש",0,G966),0)</x:f>
        <x:v>59</x:v>
      </x:c>
      <x:c r="N966" s="20" t="n">
        <x:f>IF(K966="שוטף",M966,0)</x:f>
        <x:v>59</x:v>
      </x:c>
      <x:c r="O966" s="20" t="n">
        <x:f>IF(K966="הכנסה שסווגה מחדש",-G966,0)</x:f>
        <x:v>0</x:v>
      </x:c>
      <x:c r="P966" s="11" t="str">
        <x:v>אמקס זיו</x:v>
      </x:c>
      <x:c r="Q966" s="11" t="str"/>
      <x:c r="R966" s="11" t="str">
        <x:v>לא</x:v>
      </x:c>
    </x:row>
    <x:row r="967">
      <x:c r="A967" s="14" t="n">
        <x:v>45931</x:v>
      </x:c>
      <x:c r="B967" s="11" t="str">
        <x:v>2025-10</x:v>
      </x:c>
      <x:c r="C967" s="11" t="str">
        <x:v>אוקטובר 25</x:v>
      </x:c>
      <x:c r="D967" s="15" t="n">
        <x:v>13</x:v>
      </x:c>
      <x:c r="E967" s="11" t="str">
        <x:v>28</x:v>
      </x:c>
      <x:c r="F967" s="11" t="str">
        <x:v>ביטוח מבנה</x:v>
      </x:c>
      <x:c r="G967" s="17" t="n">
        <x:v>76</x:v>
      </x:c>
      <x:c r="H967" s="18" t="str">
        <x:v>דירה כצנלסון</x:v>
      </x:c>
      <x:c r="I967" s="19" t="str">
        <x:f>IFERROR(INDEX('מיפוי ומקורות'!$C$7:$C$33,MATCH(H967,'מיפוי ומקורות'!$B$7:$B$33,0)),"לא מסווג")</x:f>
        <x:v>נכס להשקעה</x:v>
      </x:c>
      <x:c r="J967" s="19" t="str">
        <x:f>IFERROR(INDEX('מיפוי ומקורות'!$D$7:$D$33,MATCH(H967,'מיפוי ומקורות'!$B$7:$B$33,0)),"שוטף")</x:f>
        <x:v>חריג/נכס</x:v>
      </x:c>
      <x:c r="K967" s="19" t="str">
        <x:f>IF(OR(H967="ריביות",AND(H967="דירה כצנלסון",G967&lt;0,ISNUMBER(SEARCH("הכנסה",F967)))),"הכנסה שסווגה מחדש",J967)</x:f>
        <x:v>חריג/נכס</x:v>
      </x:c>
      <x:c r="L967" s="19" t="str">
        <x:v>מאושר</x:v>
      </x:c>
      <x:c r="M967" s="20" t="n">
        <x:f>IF(L967="מאושר",IF(K967="הכנסה שסווגה מחדש",0,G967),0)</x:f>
        <x:v>76</x:v>
      </x:c>
      <x:c r="N967" s="20" t="n">
        <x:f>IF(K967="שוטף",M967,0)</x:f>
        <x:v>0</x:v>
      </x:c>
      <x:c r="O967" s="20" t="n">
        <x:f>IF(K967="הכנסה שסווגה מחדש",-G967,0)</x:f>
        <x:v>0</x:v>
      </x:c>
      <x:c r="P967" s="11" t="str">
        <x:v>אמקס זיו</x:v>
      </x:c>
      <x:c r="Q967" s="11" t="str"/>
      <x:c r="R967" s="11" t="str">
        <x:v>לא</x:v>
      </x:c>
    </x:row>
    <x:row r="968">
      <x:c r="A968" s="14" t="n">
        <x:v>45931</x:v>
      </x:c>
      <x:c r="B968" s="11" t="str">
        <x:v>2025-10</x:v>
      </x:c>
      <x:c r="C968" s="11" t="str">
        <x:v>אוקטובר 25</x:v>
      </x:c>
      <x:c r="D968" s="15" t="n">
        <x:v>14</x:v>
      </x:c>
      <x:c r="E968" s="11" t="str">
        <x:v>28</x:v>
      </x:c>
      <x:c r="F968" s="11" t="str">
        <x:v>ביטוח חיים</x:v>
      </x:c>
      <x:c r="G968" s="17" t="n">
        <x:v>36</x:v>
      </x:c>
      <x:c r="H968" s="18" t="str">
        <x:v>דירה כצנלסון</x:v>
      </x:c>
      <x:c r="I968" s="19" t="str">
        <x:f>IFERROR(INDEX('מיפוי ומקורות'!$C$7:$C$33,MATCH(H968,'מיפוי ומקורות'!$B$7:$B$33,0)),"לא מסווג")</x:f>
        <x:v>נכס להשקעה</x:v>
      </x:c>
      <x:c r="J968" s="19" t="str">
        <x:f>IFERROR(INDEX('מיפוי ומקורות'!$D$7:$D$33,MATCH(H968,'מיפוי ומקורות'!$B$7:$B$33,0)),"שוטף")</x:f>
        <x:v>חריג/נכס</x:v>
      </x:c>
      <x:c r="K968" s="19" t="str">
        <x:f>IF(OR(H968="ריביות",AND(H968="דירה כצנלסון",G968&lt;0,ISNUMBER(SEARCH("הכנסה",F968)))),"הכנסה שסווגה מחדש",J968)</x:f>
        <x:v>חריג/נכס</x:v>
      </x:c>
      <x:c r="L968" s="19" t="str">
        <x:v>מאושר</x:v>
      </x:c>
      <x:c r="M968" s="20" t="n">
        <x:f>IF(L968="מאושר",IF(K968="הכנסה שסווגה מחדש",0,G968),0)</x:f>
        <x:v>36</x:v>
      </x:c>
      <x:c r="N968" s="20" t="n">
        <x:f>IF(K968="שוטף",M968,0)</x:f>
        <x:v>0</x:v>
      </x:c>
      <x:c r="O968" s="20" t="n">
        <x:f>IF(K968="הכנסה שסווגה מחדש",-G968,0)</x:f>
        <x:v>0</x:v>
      </x:c>
      <x:c r="P968" s="11" t="str">
        <x:v>אמקס זיו</x:v>
      </x:c>
      <x:c r="Q968" s="11" t="str"/>
      <x:c r="R968" s="11" t="str">
        <x:v>לא</x:v>
      </x:c>
    </x:row>
    <x:row r="969">
      <x:c r="A969" s="14" t="n">
        <x:v>45931</x:v>
      </x:c>
      <x:c r="B969" s="11" t="str">
        <x:v>2025-10</x:v>
      </x:c>
      <x:c r="C969" s="11" t="str">
        <x:v>אוקטובר 25</x:v>
      </x:c>
      <x:c r="D969" s="15" t="n">
        <x:v>15</x:v>
      </x:c>
      <x:c r="E969" s="11" t="str">
        <x:v>26</x:v>
      </x:c>
      <x:c r="F969" s="11" t="str">
        <x:v>ביטוח בריאות</x:v>
      </x:c>
      <x:c r="G969" s="17" t="n">
        <x:v>115</x:v>
      </x:c>
      <x:c r="H969" s="18" t="str">
        <x:v>ביטוח</x:v>
      </x:c>
      <x:c r="I969" s="19" t="str">
        <x:f>IFERROR(INDEX('מיפוי ומקורות'!$C$7:$C$33,MATCH(H969,'מיפוי ומקורות'!$B$7:$B$33,0)),"לא מסווג")</x:f>
        <x:v>ביטוח</x:v>
      </x:c>
      <x:c r="J969" s="19" t="str">
        <x:f>IFERROR(INDEX('מיפוי ומקורות'!$D$7:$D$33,MATCH(H969,'מיפוי ומקורות'!$B$7:$B$33,0)),"שוטף")</x:f>
        <x:v>שוטף</x:v>
      </x:c>
      <x:c r="K969" s="19" t="str">
        <x:f>IF(OR(H969="ריביות",AND(H969="דירה כצנלסון",G969&lt;0,ISNUMBER(SEARCH("הכנסה",F969)))),"הכנסה שסווגה מחדש",J969)</x:f>
        <x:v>שוטף</x:v>
      </x:c>
      <x:c r="L969" s="19" t="str">
        <x:v>מאושר</x:v>
      </x:c>
      <x:c r="M969" s="20" t="n">
        <x:f>IF(L969="מאושר",IF(K969="הכנסה שסווגה מחדש",0,G969),0)</x:f>
        <x:v>115</x:v>
      </x:c>
      <x:c r="N969" s="20" t="n">
        <x:f>IF(K969="שוטף",M969,0)</x:f>
        <x:v>115</x:v>
      </x:c>
      <x:c r="O969" s="20" t="n">
        <x:f>IF(K969="הכנסה שסווגה מחדש",-G969,0)</x:f>
        <x:v>0</x:v>
      </x:c>
      <x:c r="P969" s="11" t="str">
        <x:v>אמקס עינור</x:v>
      </x:c>
      <x:c r="Q969" s="11" t="str"/>
      <x:c r="R969" s="11" t="str">
        <x:v>לא</x:v>
      </x:c>
    </x:row>
    <x:row r="970">
      <x:c r="A970" s="14" t="n">
        <x:v>45931</x:v>
      </x:c>
      <x:c r="B970" s="11" t="str">
        <x:v>2025-10</x:v>
      </x:c>
      <x:c r="C970" s="11" t="str">
        <x:v>אוקטובר 25</x:v>
      </x:c>
      <x:c r="D970" s="15" t="n">
        <x:v>16</x:v>
      </x:c>
      <x:c r="E970" s="11" t="str">
        <x:v>2</x:v>
      </x:c>
      <x:c r="F970" s="11" t="str">
        <x:v>מכבי</x:v>
      </x:c>
      <x:c r="G970" s="17" t="n">
        <x:v>56</x:v>
      </x:c>
      <x:c r="H970" s="18" t="str">
        <x:v>בריאות</x:v>
      </x:c>
      <x:c r="I970" s="19" t="str">
        <x:f>IFERROR(INDEX('מיפוי ומקורות'!$C$7:$C$33,MATCH(H970,'מיפוי ומקורות'!$B$7:$B$33,0)),"לא מסווג")</x:f>
        <x:v>בריאות וטיפולים</x:v>
      </x:c>
      <x:c r="J970" s="19" t="str">
        <x:f>IFERROR(INDEX('מיפוי ומקורות'!$D$7:$D$33,MATCH(H970,'מיפוי ומקורות'!$B$7:$B$33,0)),"שוטף")</x:f>
        <x:v>שוטף</x:v>
      </x:c>
      <x:c r="K970" s="19" t="str">
        <x:f>IF(OR(H970="ריביות",AND(H970="דירה כצנלסון",G970&lt;0,ISNUMBER(SEARCH("הכנסה",F970)))),"הכנסה שסווגה מחדש",J970)</x:f>
        <x:v>שוטף</x:v>
      </x:c>
      <x:c r="L970" s="19" t="str">
        <x:v>מאושר</x:v>
      </x:c>
      <x:c r="M970" s="20" t="n">
        <x:f>IF(L970="מאושר",IF(K970="הכנסה שסווגה מחדש",0,G970),0)</x:f>
        <x:v>56</x:v>
      </x:c>
      <x:c r="N970" s="20" t="n">
        <x:f>IF(K970="שוטף",M970,0)</x:f>
        <x:v>56</x:v>
      </x:c>
      <x:c r="O970" s="20" t="n">
        <x:f>IF(K970="הכנסה שסווגה מחדש",-G970,0)</x:f>
        <x:v>0</x:v>
      </x:c>
      <x:c r="P970" s="11" t="str">
        <x:v>אמקס זיו</x:v>
      </x:c>
      <x:c r="Q970" s="11" t="str"/>
      <x:c r="R970" s="11" t="str">
        <x:v>לא</x:v>
      </x:c>
    </x:row>
    <x:row r="971">
      <x:c r="A971" s="14" t="n">
        <x:v>45931</x:v>
      </x:c>
      <x:c r="B971" s="11" t="str">
        <x:v>2025-10</x:v>
      </x:c>
      <x:c r="C971" s="11" t="str">
        <x:v>אוקטובר 25</x:v>
      </x:c>
      <x:c r="D971" s="15" t="n">
        <x:v>17</x:v>
      </x:c>
      <x:c r="E971" s="11" t="str">
        <x:v>2</x:v>
      </x:c>
      <x:c r="F971" s="11" t="str">
        <x:v>מכבי</x:v>
      </x:c>
      <x:c r="G971" s="17" t="n">
        <x:v>97</x:v>
      </x:c>
      <x:c r="H971" s="18" t="str">
        <x:v>בריאות</x:v>
      </x:c>
      <x:c r="I971" s="19" t="str">
        <x:f>IFERROR(INDEX('מיפוי ומקורות'!$C$7:$C$33,MATCH(H971,'מיפוי ומקורות'!$B$7:$B$33,0)),"לא מסווג")</x:f>
        <x:v>בריאות וטיפולים</x:v>
      </x:c>
      <x:c r="J971" s="19" t="str">
        <x:f>IFERROR(INDEX('מיפוי ומקורות'!$D$7:$D$33,MATCH(H971,'מיפוי ומקורות'!$B$7:$B$33,0)),"שוטף")</x:f>
        <x:v>שוטף</x:v>
      </x:c>
      <x:c r="K971" s="19" t="str">
        <x:f>IF(OR(H971="ריביות",AND(H971="דירה כצנלסון",G971&lt;0,ISNUMBER(SEARCH("הכנסה",F971)))),"הכנסה שסווגה מחדש",J971)</x:f>
        <x:v>שוטף</x:v>
      </x:c>
      <x:c r="L971" s="19" t="str">
        <x:v>מאושר</x:v>
      </x:c>
      <x:c r="M971" s="20" t="n">
        <x:f>IF(L971="מאושר",IF(K971="הכנסה שסווגה מחדש",0,G971),0)</x:f>
        <x:v>97</x:v>
      </x:c>
      <x:c r="N971" s="20" t="n">
        <x:f>IF(K971="שוטף",M971,0)</x:f>
        <x:v>97</x:v>
      </x:c>
      <x:c r="O971" s="20" t="n">
        <x:f>IF(K971="הכנסה שסווגה מחדש",-G971,0)</x:f>
        <x:v>0</x:v>
      </x:c>
      <x:c r="P971" s="11" t="str">
        <x:v>אמקס עינור</x:v>
      </x:c>
      <x:c r="Q971" s="11" t="str"/>
      <x:c r="R971" s="11" t="str">
        <x:v>לא</x:v>
      </x:c>
    </x:row>
    <x:row r="972">
      <x:c r="A972" s="14" t="n">
        <x:v>45931</x:v>
      </x:c>
      <x:c r="B972" s="11" t="str">
        <x:v>2025-10</x:v>
      </x:c>
      <x:c r="C972" s="11" t="str">
        <x:v>אוקטובר 25</x:v>
      </x:c>
      <x:c r="D972" s="15" t="n">
        <x:v>18</x:v>
      </x:c>
      <x:c r="E972" s="11" t="str">
        <x:v>3</x:v>
      </x:c>
      <x:c r="F972" s="11" t="str">
        <x:v>ליאת</x:v>
      </x:c>
      <x:c r="G972" s="17" t="n">
        <x:v>1350</x:v>
      </x:c>
      <x:c r="H972" s="18" t="str">
        <x:v>בריאות</x:v>
      </x:c>
      <x:c r="I972" s="19" t="str">
        <x:f>IFERROR(INDEX('מיפוי ומקורות'!$C$7:$C$33,MATCH(H972,'מיפוי ומקורות'!$B$7:$B$33,0)),"לא מסווג")</x:f>
        <x:v>בריאות וטיפולים</x:v>
      </x:c>
      <x:c r="J972" s="19" t="str">
        <x:f>IFERROR(INDEX('מיפוי ומקורות'!$D$7:$D$33,MATCH(H972,'מיפוי ומקורות'!$B$7:$B$33,0)),"שוטף")</x:f>
        <x:v>שוטף</x:v>
      </x:c>
      <x:c r="K972" s="19" t="str">
        <x:f>IF(OR(H972="ריביות",AND(H972="דירה כצנלסון",G972&lt;0,ISNUMBER(SEARCH("הכנסה",F972)))),"הכנסה שסווגה מחדש",J972)</x:f>
        <x:v>שוטף</x:v>
      </x:c>
      <x:c r="L972" s="19" t="str">
        <x:v>מאושר</x:v>
      </x:c>
      <x:c r="M972" s="20" t="n">
        <x:f>IF(L972="מאושר",IF(K972="הכנסה שסווגה מחדש",0,G972),0)</x:f>
        <x:v>1350</x:v>
      </x:c>
      <x:c r="N972" s="20" t="n">
        <x:f>IF(K972="שוטף",M972,0)</x:f>
        <x:v>1350</x:v>
      </x:c>
      <x:c r="O972" s="20" t="n">
        <x:f>IF(K972="הכנסה שסווגה מחדש",-G972,0)</x:f>
        <x:v>0</x:v>
      </x:c>
      <x:c r="P972" s="11" t="str">
        <x:v>one zero</x:v>
      </x:c>
      <x:c r="Q972" s="11" t="str"/>
      <x:c r="R972" s="11" t="str">
        <x:v>לא</x:v>
      </x:c>
    </x:row>
    <x:row r="973">
      <x:c r="A973" s="14" t="n">
        <x:v>45931</x:v>
      </x:c>
      <x:c r="B973" s="11" t="str">
        <x:v>2025-10</x:v>
      </x:c>
      <x:c r="C973" s="11" t="str">
        <x:v>אוקטובר 25</x:v>
      </x:c>
      <x:c r="D973" s="15" t="n">
        <x:v>19</x:v>
      </x:c>
      <x:c r="E973" s="11" t="str">
        <x:v>20</x:v>
      </x:c>
      <x:c r="F973" s="11" t="str">
        <x:v>ריבית</x:v>
      </x:c>
      <x:c r="G973" s="17" t="n">
        <x:v>937</x:v>
      </x:c>
      <x:c r="H973" s="18" t="str">
        <x:v>ריביות</x:v>
      </x:c>
      <x:c r="I973" s="19" t="str">
        <x:f>IFERROR(INDEX('מיפוי ומקורות'!$C$7:$C$33,MATCH(H973,'מיפוי ומקורות'!$B$7:$B$33,0)),"לא מסווג")</x:f>
        <x:v>זרם פיננסי</x:v>
      </x:c>
      <x:c r="J973" s="19" t="str">
        <x:f>IFERROR(INDEX('מיפוי ומקורות'!$D$7:$D$33,MATCH(H973,'מיפוי ומקורות'!$B$7:$B$33,0)),"שוטף")</x:f>
        <x:v>הכנסה שסווגה מחדש</x:v>
      </x:c>
      <x:c r="K973" s="19" t="str">
        <x:f>IF(OR(H973="ריביות",AND(H973="דירה כצנלסון",G973&lt;0,ISNUMBER(SEARCH("הכנסה",F973)))),"הכנסה שסווגה מחדש",J973)</x:f>
        <x:v>הכנסה שסווגה מחדש</x:v>
      </x:c>
      <x:c r="L973" s="19" t="str">
        <x:v>מאושר</x:v>
      </x:c>
      <x:c r="M973" s="20" t="n">
        <x:f>IF(L973="מאושר",IF(K973="הכנסה שסווגה מחדש",0,G973),0)</x:f>
        <x:v>0</x:v>
      </x:c>
      <x:c r="N973" s="20" t="n">
        <x:f>IF(K973="שוטף",M973,0)</x:f>
        <x:v>0</x:v>
      </x:c>
      <x:c r="O973" s="20" t="n">
        <x:f>IF(K973="הכנסה שסווגה מחדש",-G973,0)</x:f>
        <x:v>-937</x:v>
      </x:c>
      <x:c r="P973" s="11" t="str">
        <x:v>one zero</x:v>
      </x:c>
      <x:c r="Q973" s="11" t="str"/>
      <x:c r="R973" s="11" t="str">
        <x:v>לא</x:v>
      </x:c>
    </x:row>
    <x:row r="974">
      <x:c r="A974" s="14" t="n">
        <x:v>45931</x:v>
      </x:c>
      <x:c r="B974" s="11" t="str">
        <x:v>2025-10</x:v>
      </x:c>
      <x:c r="C974" s="11" t="str">
        <x:v>אוקטובר 25</x:v>
      </x:c>
      <x:c r="D974" s="15" t="n">
        <x:v>20</x:v>
      </x:c>
      <x:c r="E974" s="11" t="str">
        <x:v>27</x:v>
      </x:c>
      <x:c r="F974" s="11" t="str">
        <x:v>שעון</x:v>
      </x:c>
      <x:c r="G974" s="17" t="n">
        <x:v>1255</x:v>
      </x:c>
      <x:c r="H974" s="18" t="str">
        <x:v>אלקטרוניקה</x:v>
      </x:c>
      <x:c r="I974" s="19" t="str">
        <x:f>IFERROR(INDEX('מיפוי ומקורות'!$C$7:$C$33,MATCH(H974,'מיפוי ומקורות'!$B$7:$B$33,0)),"לא מסווג")</x:f>
        <x:v>אלקטרוניקה</x:v>
      </x:c>
      <x:c r="J974" s="19" t="str">
        <x:f>IFERROR(INDEX('מיפוי ומקורות'!$D$7:$D$33,MATCH(H974,'מיפוי ומקורות'!$B$7:$B$33,0)),"שוטף")</x:f>
        <x:v>שוטף</x:v>
      </x:c>
      <x:c r="K974" s="19" t="str">
        <x:f>IF(OR(H974="ריביות",AND(H974="דירה כצנלסון",G974&lt;0,ISNUMBER(SEARCH("הכנסה",F974)))),"הכנסה שסווגה מחדש",J974)</x:f>
        <x:v>שוטף</x:v>
      </x:c>
      <x:c r="L974" s="19" t="str">
        <x:v>מאושר</x:v>
      </x:c>
      <x:c r="M974" s="20" t="n">
        <x:f>IF(L974="מאושר",IF(K974="הכנסה שסווגה מחדש",0,G974),0)</x:f>
        <x:v>1255</x:v>
      </x:c>
      <x:c r="N974" s="20" t="n">
        <x:f>IF(K974="שוטף",M974,0)</x:f>
        <x:v>1255</x:v>
      </x:c>
      <x:c r="O974" s="20" t="n">
        <x:f>IF(K974="הכנסה שסווגה מחדש",-G974,0)</x:f>
        <x:v>0</x:v>
      </x:c>
      <x:c r="P974" s="11" t="str">
        <x:v>one zero</x:v>
      </x:c>
      <x:c r="Q974" s="11" t="str"/>
      <x:c r="R974" s="11" t="str">
        <x:v>לא</x:v>
      </x:c>
    </x:row>
    <x:row r="975">
      <x:c r="A975" s="14" t="n">
        <x:v>45931</x:v>
      </x:c>
      <x:c r="B975" s="11" t="str">
        <x:v>2025-10</x:v>
      </x:c>
      <x:c r="C975" s="11" t="str">
        <x:v>אוקטובר 25</x:v>
      </x:c>
      <x:c r="D975" s="15" t="n">
        <x:v>21</x:v>
      </x:c>
      <x:c r="E975" s="11" t="str">
        <x:v>27</x:v>
      </x:c>
      <x:c r="F975" s="11" t="str">
        <x:v>החזר יוניקלו הורים</x:v>
      </x:c>
      <x:c r="G975" s="17" t="n">
        <x:v>-715</x:v>
      </x:c>
      <x:c r="H975" s="18" t="str">
        <x:v>אופנה</x:v>
      </x:c>
      <x:c r="I975" s="19" t="str">
        <x:f>IFERROR(INDEX('מיפוי ומקורות'!$C$7:$C$33,MATCH(H975,'מיפוי ומקורות'!$B$7:$B$33,0)),"לא מסווג")</x:f>
        <x:v>אופנה</x:v>
      </x:c>
      <x:c r="J975" s="19" t="str">
        <x:f>IFERROR(INDEX('מיפוי ומקורות'!$D$7:$D$33,MATCH(H975,'מיפוי ומקורות'!$B$7:$B$33,0)),"שוטף")</x:f>
        <x:v>שוטף</x:v>
      </x:c>
      <x:c r="K975" s="19" t="str">
        <x:f>IF(OR(H975="ריביות",AND(H975="דירה כצנלסון",G975&lt;0,ISNUMBER(SEARCH("הכנסה",F975)))),"הכנסה שסווגה מחדש",J975)</x:f>
        <x:v>שוטף</x:v>
      </x:c>
      <x:c r="L975" s="19" t="str">
        <x:v>מאושר</x:v>
      </x:c>
      <x:c r="M975" s="20" t="n">
        <x:f>IF(L975="מאושר",IF(K975="הכנסה שסווגה מחדש",0,G975),0)</x:f>
        <x:v>-715</x:v>
      </x:c>
      <x:c r="N975" s="20" t="n">
        <x:f>IF(K975="שוטף",M975,0)</x:f>
        <x:v>-715</x:v>
      </x:c>
      <x:c r="O975" s="20" t="n">
        <x:f>IF(K975="הכנסה שסווגה מחדש",-G975,0)</x:f>
        <x:v>0</x:v>
      </x:c>
      <x:c r="P975" s="11" t="str">
        <x:v>one zero</x:v>
      </x:c>
      <x:c r="Q975" s="11" t="str"/>
      <x:c r="R975" s="11" t="str">
        <x:v>לא</x:v>
      </x:c>
    </x:row>
    <x:row r="976">
      <x:c r="A976" s="14" t="n">
        <x:v>45931</x:v>
      </x:c>
      <x:c r="B976" s="11" t="str">
        <x:v>2025-10</x:v>
      </x:c>
      <x:c r="C976" s="11" t="str">
        <x:v>אוקטובר 25</x:v>
      </x:c>
      <x:c r="D976" s="15" t="n">
        <x:v>22</x:v>
      </x:c>
      <x:c r="E976" s="11" t="str"/>
      <x:c r="F976" s="11" t="str">
        <x:v>יפן</x:v>
      </x:c>
      <x:c r="G976" s="17" t="n">
        <x:v>125</x:v>
      </x:c>
      <x:c r="H976" s="18" t="str">
        <x:v>חול</x:v>
      </x:c>
      <x:c r="I976" s="19" t="str">
        <x:f>IFERROR(INDEX('מיפוי ומקורות'!$C$7:$C$33,MATCH(H976,'מיפוי ומקורות'!$B$7:$B$33,0)),"לא מסווג")</x:f>
        <x:v>נסיעות וחופשות</x:v>
      </x:c>
      <x:c r="J976" s="19" t="str">
        <x:f>IFERROR(INDEX('מיפוי ומקורות'!$D$7:$D$33,MATCH(H976,'מיפוי ומקורות'!$B$7:$B$33,0)),"שוטף")</x:f>
        <x:v>חריג</x:v>
      </x:c>
      <x:c r="K976" s="19" t="str">
        <x:f>IF(OR(H976="ריביות",AND(H976="דירה כצנלסון",G976&lt;0,ISNUMBER(SEARCH("הכנסה",F976)))),"הכנסה שסווגה מחדש",J976)</x:f>
        <x:v>חריג</x:v>
      </x:c>
      <x:c r="L976" s="19" t="str">
        <x:v>מאושר</x:v>
      </x:c>
      <x:c r="M976" s="20" t="n">
        <x:f>IF(L976="מאושר",IF(K976="הכנסה שסווגה מחדש",0,G976),0)</x:f>
        <x:v>125</x:v>
      </x:c>
      <x:c r="N976" s="20" t="n">
        <x:f>IF(K976="שוטף",M976,0)</x:f>
        <x:v>0</x:v>
      </x:c>
      <x:c r="O976" s="20" t="n">
        <x:f>IF(K976="הכנסה שסווגה מחדש",-G976,0)</x:f>
        <x:v>0</x:v>
      </x:c>
      <x:c r="P976" s="11" t="str">
        <x:v>one zero עינור</x:v>
      </x:c>
      <x:c r="Q976" s="11" t="str"/>
      <x:c r="R976" s="11" t="str">
        <x:v>לא</x:v>
      </x:c>
    </x:row>
    <x:row r="977">
      <x:c r="A977" s="14" t="n">
        <x:v>45931</x:v>
      </x:c>
      <x:c r="B977" s="11" t="str">
        <x:v>2025-10</x:v>
      </x:c>
      <x:c r="C977" s="11" t="str">
        <x:v>אוקטובר 25</x:v>
      </x:c>
      <x:c r="D977" s="15" t="n">
        <x:v>23</x:v>
      </x:c>
      <x:c r="E977" s="11" t="str">
        <x:v>25</x:v>
      </x:c>
      <x:c r="F977" s="11" t="str">
        <x:v>אוטובוסים</x:v>
      </x:c>
      <x:c r="G977" s="17" t="n">
        <x:v>16</x:v>
      </x:c>
      <x:c r="H977" s="18" t="str">
        <x:v>תחבורה</x:v>
      </x:c>
      <x:c r="I977" s="19" t="str">
        <x:f>IFERROR(INDEX('מיפוי ומקורות'!$C$7:$C$33,MATCH(H977,'מיפוי ומקורות'!$B$7:$B$33,0)),"לא מסווג")</x:f>
        <x:v>תחבורה</x:v>
      </x:c>
      <x:c r="J977" s="19" t="str">
        <x:f>IFERROR(INDEX('מיפוי ומקורות'!$D$7:$D$33,MATCH(H977,'מיפוי ומקורות'!$B$7:$B$33,0)),"שוטף")</x:f>
        <x:v>שוטף</x:v>
      </x:c>
      <x:c r="K977" s="19" t="str">
        <x:f>IF(OR(H977="ריביות",AND(H977="דירה כצנלסון",G977&lt;0,ISNUMBER(SEARCH("הכנסה",F977)))),"הכנסה שסווגה מחדש",J977)</x:f>
        <x:v>שוטף</x:v>
      </x:c>
      <x:c r="L977" s="19" t="str">
        <x:v>מאושר</x:v>
      </x:c>
      <x:c r="M977" s="20" t="n">
        <x:f>IF(L977="מאושר",IF(K977="הכנסה שסווגה מחדש",0,G977),0)</x:f>
        <x:v>16</x:v>
      </x:c>
      <x:c r="N977" s="20" t="n">
        <x:f>IF(K977="שוטף",M977,0)</x:f>
        <x:v>16</x:v>
      </x:c>
      <x:c r="O977" s="20" t="n">
        <x:f>IF(K977="הכנסה שסווגה מחדש",-G977,0)</x:f>
        <x:v>0</x:v>
      </x:c>
      <x:c r="P977" s="11" t="str">
        <x:v>one zero עינור</x:v>
      </x:c>
      <x:c r="Q977" s="11" t="str"/>
      <x:c r="R977" s="11" t="str">
        <x:v>לא</x:v>
      </x:c>
    </x:row>
    <x:row r="978">
      <x:c r="A978" s="14" t="n">
        <x:v>45931</x:v>
      </x:c>
      <x:c r="B978" s="11" t="str">
        <x:v>2025-10</x:v>
      </x:c>
      <x:c r="C978" s="11" t="str">
        <x:v>אוקטובר 25</x:v>
      </x:c>
      <x:c r="D978" s="15" t="n">
        <x:v>24</x:v>
      </x:c>
      <x:c r="E978" s="11" t="str">
        <x:v>1</x:v>
      </x:c>
      <x:c r="F978" s="11" t="str">
        <x:v>ליים</x:v>
      </x:c>
      <x:c r="G978" s="17" t="n">
        <x:v>-38</x:v>
      </x:c>
      <x:c r="H978" s="18" t="str">
        <x:v>תחבורה</x:v>
      </x:c>
      <x:c r="I978" s="19" t="str">
        <x:f>IFERROR(INDEX('מיפוי ומקורות'!$C$7:$C$33,MATCH(H978,'מיפוי ומקורות'!$B$7:$B$33,0)),"לא מסווג")</x:f>
        <x:v>תחבורה</x:v>
      </x:c>
      <x:c r="J978" s="19" t="str">
        <x:f>IFERROR(INDEX('מיפוי ומקורות'!$D$7:$D$33,MATCH(H978,'מיפוי ומקורות'!$B$7:$B$33,0)),"שוטף")</x:f>
        <x:v>שוטף</x:v>
      </x:c>
      <x:c r="K978" s="19" t="str">
        <x:f>IF(OR(H978="ריביות",AND(H978="דירה כצנלסון",G978&lt;0,ISNUMBER(SEARCH("הכנסה",F978)))),"הכנסה שסווגה מחדש",J978)</x:f>
        <x:v>שוטף</x:v>
      </x:c>
      <x:c r="L978" s="19" t="str">
        <x:v>מאושר</x:v>
      </x:c>
      <x:c r="M978" s="20" t="n">
        <x:f>IF(L978="מאושר",IF(K978="הכנסה שסווגה מחדש",0,G978),0)</x:f>
        <x:v>-38</x:v>
      </x:c>
      <x:c r="N978" s="20" t="n">
        <x:f>IF(K978="שוטף",M978,0)</x:f>
        <x:v>-38</x:v>
      </x:c>
      <x:c r="O978" s="20" t="n">
        <x:f>IF(K978="הכנסה שסווגה מחדש",-G978,0)</x:f>
        <x:v>0</x:v>
      </x:c>
      <x:c r="P978" s="11" t="str">
        <x:v>one zero זיו</x:v>
      </x:c>
      <x:c r="Q978" s="11" t="str"/>
      <x:c r="R978" s="11" t="str">
        <x:v>לא</x:v>
      </x:c>
    </x:row>
    <x:row r="979">
      <x:c r="A979" s="14" t="n">
        <x:v>45931</x:v>
      </x:c>
      <x:c r="B979" s="11" t="str">
        <x:v>2025-10</x:v>
      </x:c>
      <x:c r="C979" s="11" t="str">
        <x:v>אוקטובר 25</x:v>
      </x:c>
      <x:c r="D979" s="15" t="n">
        <x:v>25</x:v>
      </x:c>
      <x:c r="E979" s="11" t="str">
        <x:v>25</x:v>
      </x:c>
      <x:c r="F979" s="11" t="str">
        <x:v>אוטובוסים</x:v>
      </x:c>
      <x:c r="G979" s="17" t="n">
        <x:v>18</x:v>
      </x:c>
      <x:c r="H979" s="18" t="str">
        <x:v>תחבורה</x:v>
      </x:c>
      <x:c r="I979" s="19" t="str">
        <x:f>IFERROR(INDEX('מיפוי ומקורות'!$C$7:$C$33,MATCH(H979,'מיפוי ומקורות'!$B$7:$B$33,0)),"לא מסווג")</x:f>
        <x:v>תחבורה</x:v>
      </x:c>
      <x:c r="J979" s="19" t="str">
        <x:f>IFERROR(INDEX('מיפוי ומקורות'!$D$7:$D$33,MATCH(H979,'מיפוי ומקורות'!$B$7:$B$33,0)),"שוטף")</x:f>
        <x:v>שוטף</x:v>
      </x:c>
      <x:c r="K979" s="19" t="str">
        <x:f>IF(OR(H979="ריביות",AND(H979="דירה כצנלסון",G979&lt;0,ISNUMBER(SEARCH("הכנסה",F979)))),"הכנסה שסווגה מחדש",J979)</x:f>
        <x:v>שוטף</x:v>
      </x:c>
      <x:c r="L979" s="19" t="str">
        <x:v>מאושר</x:v>
      </x:c>
      <x:c r="M979" s="20" t="n">
        <x:f>IF(L979="מאושר",IF(K979="הכנסה שסווגה מחדש",0,G979),0)</x:f>
        <x:v>18</x:v>
      </x:c>
      <x:c r="N979" s="20" t="n">
        <x:f>IF(K979="שוטף",M979,0)</x:f>
        <x:v>18</x:v>
      </x:c>
      <x:c r="O979" s="20" t="n">
        <x:f>IF(K979="הכנסה שסווגה מחדש",-G979,0)</x:f>
        <x:v>0</x:v>
      </x:c>
      <x:c r="P979" s="11" t="str">
        <x:v>one zero זיו</x:v>
      </x:c>
      <x:c r="Q979" s="11" t="str"/>
      <x:c r="R979" s="11" t="str">
        <x:v>לא</x:v>
      </x:c>
    </x:row>
    <x:row r="980">
      <x:c r="A980" s="14" t="n">
        <x:v>45931</x:v>
      </x:c>
      <x:c r="B980" s="11" t="str">
        <x:v>2025-10</x:v>
      </x:c>
      <x:c r="C980" s="11" t="str">
        <x:v>אוקטובר 25</x:v>
      </x:c>
      <x:c r="D980" s="15" t="n">
        <x:v>26</x:v>
      </x:c>
      <x:c r="E980" s="11" t="str"/>
      <x:c r="F980" s="11" t="str">
        <x:v>יפן</x:v>
      </x:c>
      <x:c r="G980" s="17" t="n">
        <x:v>1413</x:v>
      </x:c>
      <x:c r="H980" s="18" t="str">
        <x:v>חול</x:v>
      </x:c>
      <x:c r="I980" s="19" t="str">
        <x:f>IFERROR(INDEX('מיפוי ומקורות'!$C$7:$C$33,MATCH(H980,'מיפוי ומקורות'!$B$7:$B$33,0)),"לא מסווג")</x:f>
        <x:v>נסיעות וחופשות</x:v>
      </x:c>
      <x:c r="J980" s="19" t="str">
        <x:f>IFERROR(INDEX('מיפוי ומקורות'!$D$7:$D$33,MATCH(H980,'מיפוי ומקורות'!$B$7:$B$33,0)),"שוטף")</x:f>
        <x:v>חריג</x:v>
      </x:c>
      <x:c r="K980" s="19" t="str">
        <x:f>IF(OR(H980="ריביות",AND(H980="דירה כצנלסון",G980&lt;0,ISNUMBER(SEARCH("הכנסה",F980)))),"הכנסה שסווגה מחדש",J980)</x:f>
        <x:v>חריג</x:v>
      </x:c>
      <x:c r="L980" s="19" t="str">
        <x:v>מאושר</x:v>
      </x:c>
      <x:c r="M980" s="20" t="n">
        <x:f>IF(L980="מאושר",IF(K980="הכנסה שסווגה מחדש",0,G980),0)</x:f>
        <x:v>1413</x:v>
      </x:c>
      <x:c r="N980" s="20" t="n">
        <x:f>IF(K980="שוטף",M980,0)</x:f>
        <x:v>0</x:v>
      </x:c>
      <x:c r="O980" s="20" t="n">
        <x:f>IF(K980="הכנסה שסווגה מחדש",-G980,0)</x:f>
        <x:v>0</x:v>
      </x:c>
      <x:c r="P980" s="11" t="str">
        <x:v>one zero זיו</x:v>
      </x:c>
      <x:c r="Q980" s="11" t="str"/>
      <x:c r="R980" s="11" t="str">
        <x:v>לא</x:v>
      </x:c>
    </x:row>
    <x:row r="981">
      <x:c r="A981" s="14" t="n">
        <x:v>45931</x:v>
      </x:c>
      <x:c r="B981" s="11" t="str">
        <x:v>2025-10</x:v>
      </x:c>
      <x:c r="C981" s="11" t="str">
        <x:v>אוקטובר 25</x:v>
      </x:c>
      <x:c r="D981" s="15" t="n">
        <x:v>27</x:v>
      </x:c>
      <x:c r="E981" s="11" t="str">
        <x:v>30</x:v>
      </x:c>
      <x:c r="F981" s="11" t="str">
        <x:v>ליים</x:v>
      </x:c>
      <x:c r="G981" s="17" t="n">
        <x:v>64</x:v>
      </x:c>
      <x:c r="H981" s="18" t="str">
        <x:v>תחבורה</x:v>
      </x:c>
      <x:c r="I981" s="19" t="str">
        <x:f>IFERROR(INDEX('מיפוי ומקורות'!$C$7:$C$33,MATCH(H981,'מיפוי ומקורות'!$B$7:$B$33,0)),"לא מסווג")</x:f>
        <x:v>תחבורה</x:v>
      </x:c>
      <x:c r="J981" s="19" t="str">
        <x:f>IFERROR(INDEX('מיפוי ומקורות'!$D$7:$D$33,MATCH(H981,'מיפוי ומקורות'!$B$7:$B$33,0)),"שוטף")</x:f>
        <x:v>שוטף</x:v>
      </x:c>
      <x:c r="K981" s="19" t="str">
        <x:f>IF(OR(H981="ריביות",AND(H981="דירה כצנלסון",G981&lt;0,ISNUMBER(SEARCH("הכנסה",F981)))),"הכנסה שסווגה מחדש",J981)</x:f>
        <x:v>שוטף</x:v>
      </x:c>
      <x:c r="L981" s="19" t="str">
        <x:v>מאושר</x:v>
      </x:c>
      <x:c r="M981" s="20" t="n">
        <x:f>IF(L981="מאושר",IF(K981="הכנסה שסווגה מחדש",0,G981),0)</x:f>
        <x:v>64</x:v>
      </x:c>
      <x:c r="N981" s="20" t="n">
        <x:f>IF(K981="שוטף",M981,0)</x:f>
        <x:v>64</x:v>
      </x:c>
      <x:c r="O981" s="20" t="n">
        <x:f>IF(K981="הכנסה שסווגה מחדש",-G981,0)</x:f>
        <x:v>0</x:v>
      </x:c>
      <x:c r="P981" s="11" t="str">
        <x:v>one zero זיו</x:v>
      </x:c>
      <x:c r="Q981" s="11" t="str"/>
      <x:c r="R981" s="11" t="str">
        <x:v>לא</x:v>
      </x:c>
    </x:row>
    <x:row r="982">
      <x:c r="A982" s="14" t="n">
        <x:v>45931</x:v>
      </x:c>
      <x:c r="B982" s="11" t="str">
        <x:v>2025-10</x:v>
      </x:c>
      <x:c r="C982" s="11" t="str">
        <x:v>אוקטובר 25</x:v>
      </x:c>
      <x:c r="D982" s="15" t="n">
        <x:v>29</x:v>
      </x:c>
      <x:c r="E982" s="11" t="str">
        <x:v>29.9</x:v>
      </x:c>
      <x:c r="F982" s="11" t="str">
        <x:v>גבות (ביט)</x:v>
      </x:c>
      <x:c r="G982" s="17" t="n">
        <x:v>70</x:v>
      </x:c>
      <x:c r="H982" s="18" t="str">
        <x:v>קוסמטיקה</x:v>
      </x:c>
      <x:c r="I982" s="19" t="str">
        <x:f>IFERROR(INDEX('מיפוי ומקורות'!$C$7:$C$33,MATCH(H982,'מיפוי ומקורות'!$B$7:$B$33,0)),"לא מסווג")</x:f>
        <x:v>קוסמטיקה</x:v>
      </x:c>
      <x:c r="J982" s="19" t="str">
        <x:f>IFERROR(INDEX('מיפוי ומקורות'!$D$7:$D$33,MATCH(H982,'מיפוי ומקורות'!$B$7:$B$33,0)),"שוטף")</x:f>
        <x:v>שוטף</x:v>
      </x:c>
      <x:c r="K982" s="19" t="str">
        <x:f>IF(OR(H982="ריביות",AND(H982="דירה כצנלסון",G982&lt;0,ISNUMBER(SEARCH("הכנסה",F982)))),"הכנסה שסווגה מחדש",J982)</x:f>
        <x:v>שוטף</x:v>
      </x:c>
      <x:c r="L982" s="19" t="str">
        <x:v>מאושר</x:v>
      </x:c>
      <x:c r="M982" s="20" t="n">
        <x:f>IF(L982="מאושר",IF(K982="הכנסה שסווגה מחדש",0,G982),0)</x:f>
        <x:v>70</x:v>
      </x:c>
      <x:c r="N982" s="20" t="n">
        <x:f>IF(K982="שוטף",M982,0)</x:f>
        <x:v>70</x:v>
      </x:c>
      <x:c r="O982" s="20" t="n">
        <x:f>IF(K982="הכנסה שסווגה מחדש",-G982,0)</x:f>
        <x:v>0</x:v>
      </x:c>
      <x:c r="P982" s="11" t="str">
        <x:v>אמקס עינור</x:v>
      </x:c>
      <x:c r="Q982" s="11" t="str"/>
      <x:c r="R982" s="11" t="str">
        <x:v>לא</x:v>
      </x:c>
    </x:row>
    <x:row r="983">
      <x:c r="A983" s="14" t="n">
        <x:v>45931</x:v>
      </x:c>
      <x:c r="B983" s="11" t="str">
        <x:v>2025-10</x:v>
      </x:c>
      <x:c r="C983" s="11" t="str">
        <x:v>אוקטובר 25</x:v>
      </x:c>
      <x:c r="D983" s="15" t="n">
        <x:v>30</x:v>
      </x:c>
      <x:c r="E983" s="11" t="str">
        <x:v>3</x:v>
      </x:c>
      <x:c r="F983" s="11" t="str">
        <x:v>מנוי גאפטה</x:v>
      </x:c>
      <x:c r="G983" s="17" t="n">
        <x:v>66</x:v>
      </x:c>
      <x:c r="H983" s="18" t="str">
        <x:v>אחר</x:v>
      </x:c>
      <x:c r="I983" s="19" t="str">
        <x:f>IFERROR(INDEX('מיפוי ומקורות'!$C$7:$C$33,MATCH(H983,'מיפוי ומקורות'!$B$7:$B$33,0)),"לא מסווג")</x:f>
        <x:v>אחר</x:v>
      </x:c>
      <x:c r="J983" s="19" t="str">
        <x:f>IFERROR(INDEX('מיפוי ומקורות'!$D$7:$D$33,MATCH(H983,'מיפוי ומקורות'!$B$7:$B$33,0)),"שוטף")</x:f>
        <x:v>שוטף</x:v>
      </x:c>
      <x:c r="K983" s="19" t="str">
        <x:f>IF(OR(H983="ריביות",AND(H983="דירה כצנלסון",G983&lt;0,ISNUMBER(SEARCH("הכנסה",F983)))),"הכנסה שסווגה מחדש",J983)</x:f>
        <x:v>שוטף</x:v>
      </x:c>
      <x:c r="L983" s="19" t="str">
        <x:v>מאושר</x:v>
      </x:c>
      <x:c r="M983" s="20" t="n">
        <x:f>IF(L983="מאושר",IF(K983="הכנסה שסווגה מחדש",0,G983),0)</x:f>
        <x:v>66</x:v>
      </x:c>
      <x:c r="N983" s="20" t="n">
        <x:f>IF(K983="שוטף",M983,0)</x:f>
        <x:v>66</x:v>
      </x:c>
      <x:c r="O983" s="20" t="n">
        <x:f>IF(K983="הכנסה שסווגה מחדש",-G983,0)</x:f>
        <x:v>0</x:v>
      </x:c>
      <x:c r="P983" s="11" t="str">
        <x:v>אמקס עינור</x:v>
      </x:c>
      <x:c r="Q983" s="11" t="str"/>
      <x:c r="R983" s="11" t="str">
        <x:v>לא</x:v>
      </x:c>
    </x:row>
    <x:row r="984">
      <x:c r="A984" s="14" t="n">
        <x:v>45931</x:v>
      </x:c>
      <x:c r="B984" s="11" t="str">
        <x:v>2025-10</x:v>
      </x:c>
      <x:c r="C984" s="11" t="str">
        <x:v>אוקטובר 25</x:v>
      </x:c>
      <x:c r="D984" s="15" t="n">
        <x:v>31</x:v>
      </x:c>
      <x:c r="E984" s="11" t="str">
        <x:v>28</x:v>
      </x:c>
      <x:c r="F984" s="11" t="str">
        <x:v>ירקות</x:v>
      </x:c>
      <x:c r="G984" s="17" t="n">
        <x:v>26</x:v>
      </x:c>
      <x:c r="H984" s="18" t="str">
        <x:v>מזון לבית</x:v>
      </x:c>
      <x:c r="I984" s="19" t="str">
        <x:f>IFERROR(INDEX('מיפוי ומקורות'!$C$7:$C$33,MATCH(H984,'מיפוי ומקורות'!$B$7:$B$33,0)),"לא מסווג")</x:f>
        <x:v>מזון לבית</x:v>
      </x:c>
      <x:c r="J984" s="19" t="str">
        <x:f>IFERROR(INDEX('מיפוי ומקורות'!$D$7:$D$33,MATCH(H984,'מיפוי ומקורות'!$B$7:$B$33,0)),"שוטף")</x:f>
        <x:v>שוטף</x:v>
      </x:c>
      <x:c r="K984" s="19" t="str">
        <x:f>IF(OR(H984="ריביות",AND(H984="דירה כצנלסון",G984&lt;0,ISNUMBER(SEARCH("הכנסה",F984)))),"הכנסה שסווגה מחדש",J984)</x:f>
        <x:v>שוטף</x:v>
      </x:c>
      <x:c r="L984" s="19" t="str">
        <x:v>מאושר</x:v>
      </x:c>
      <x:c r="M984" s="20" t="n">
        <x:f>IF(L984="מאושר",IF(K984="הכנסה שסווגה מחדש",0,G984),0)</x:f>
        <x:v>26</x:v>
      </x:c>
      <x:c r="N984" s="20" t="n">
        <x:f>IF(K984="שוטף",M984,0)</x:f>
        <x:v>26</x:v>
      </x:c>
      <x:c r="O984" s="20" t="n">
        <x:f>IF(K984="הכנסה שסווגה מחדש",-G984,0)</x:f>
        <x:v>0</x:v>
      </x:c>
      <x:c r="P984" s="11" t="str">
        <x:v>אמקס עינור</x:v>
      </x:c>
      <x:c r="Q984" s="11" t="str"/>
      <x:c r="R984" s="11" t="str">
        <x:v>לא</x:v>
      </x:c>
    </x:row>
    <x:row r="985">
      <x:c r="A985" s="14" t="n">
        <x:v>45931</x:v>
      </x:c>
      <x:c r="B985" s="11" t="str">
        <x:v>2025-10</x:v>
      </x:c>
      <x:c r="C985" s="11" t="str">
        <x:v>אוקטובר 25</x:v>
      </x:c>
      <x:c r="D985" s="15" t="n">
        <x:v>32</x:v>
      </x:c>
      <x:c r="E985" s="11" t="str">
        <x:v>27</x:v>
      </x:c>
      <x:c r="F985" s="11" t="str">
        <x:v>אלי</x:v>
      </x:c>
      <x:c r="G985" s="17" t="n">
        <x:v>199</x:v>
      </x:c>
      <x:c r="H985" s="18" t="str">
        <x:v>אופנה</x:v>
      </x:c>
      <x:c r="I985" s="19" t="str">
        <x:f>IFERROR(INDEX('מיפוי ומקורות'!$C$7:$C$33,MATCH(H985,'מיפוי ומקורות'!$B$7:$B$33,0)),"לא מסווג")</x:f>
        <x:v>אופנה</x:v>
      </x:c>
      <x:c r="J985" s="19" t="str">
        <x:f>IFERROR(INDEX('מיפוי ומקורות'!$D$7:$D$33,MATCH(H985,'מיפוי ומקורות'!$B$7:$B$33,0)),"שוטף")</x:f>
        <x:v>שוטף</x:v>
      </x:c>
      <x:c r="K985" s="19" t="str">
        <x:f>IF(OR(H985="ריביות",AND(H985="דירה כצנלסון",G985&lt;0,ISNUMBER(SEARCH("הכנסה",F985)))),"הכנסה שסווגה מחדש",J985)</x:f>
        <x:v>שוטף</x:v>
      </x:c>
      <x:c r="L985" s="19" t="str">
        <x:v>מאושר</x:v>
      </x:c>
      <x:c r="M985" s="20" t="n">
        <x:f>IF(L985="מאושר",IF(K985="הכנסה שסווגה מחדש",0,G985),0)</x:f>
        <x:v>199</x:v>
      </x:c>
      <x:c r="N985" s="20" t="n">
        <x:f>IF(K985="שוטף",M985,0)</x:f>
        <x:v>199</x:v>
      </x:c>
      <x:c r="O985" s="20" t="n">
        <x:f>IF(K985="הכנסה שסווגה מחדש",-G985,0)</x:f>
        <x:v>0</x:v>
      </x:c>
      <x:c r="P985" s="11" t="str">
        <x:v>אמקס עינור</x:v>
      </x:c>
      <x:c r="Q985" s="11" t="str"/>
      <x:c r="R985" s="11" t="str">
        <x:v>לא</x:v>
      </x:c>
    </x:row>
    <x:row r="986">
      <x:c r="A986" s="14" t="n">
        <x:v>45931</x:v>
      </x:c>
      <x:c r="B986" s="11" t="str">
        <x:v>2025-10</x:v>
      </x:c>
      <x:c r="C986" s="11" t="str">
        <x:v>אוקטובר 25</x:v>
      </x:c>
      <x:c r="D986" s="15" t="n">
        <x:v>33</x:v>
      </x:c>
      <x:c r="E986" s="11" t="str">
        <x:v>29</x:v>
      </x:c>
      <x:c r="F986" s="11" t="str">
        <x:v>סופר</x:v>
      </x:c>
      <x:c r="G986" s="17" t="n">
        <x:v>58</x:v>
      </x:c>
      <x:c r="H986" s="18" t="str">
        <x:v>מזון לבית</x:v>
      </x:c>
      <x:c r="I986" s="19" t="str">
        <x:f>IFERROR(INDEX('מיפוי ומקורות'!$C$7:$C$33,MATCH(H986,'מיפוי ומקורות'!$B$7:$B$33,0)),"לא מסווג")</x:f>
        <x:v>מזון לבית</x:v>
      </x:c>
      <x:c r="J986" s="19" t="str">
        <x:f>IFERROR(INDEX('מיפוי ומקורות'!$D$7:$D$33,MATCH(H986,'מיפוי ומקורות'!$B$7:$B$33,0)),"שוטף")</x:f>
        <x:v>שוטף</x:v>
      </x:c>
      <x:c r="K986" s="19" t="str">
        <x:f>IF(OR(H986="ריביות",AND(H986="דירה כצנלסון",G986&lt;0,ISNUMBER(SEARCH("הכנסה",F986)))),"הכנסה שסווגה מחדש",J986)</x:f>
        <x:v>שוטף</x:v>
      </x:c>
      <x:c r="L986" s="19" t="str">
        <x:v>מאושר</x:v>
      </x:c>
      <x:c r="M986" s="20" t="n">
        <x:f>IF(L986="מאושר",IF(K986="הכנסה שסווגה מחדש",0,G986),0)</x:f>
        <x:v>58</x:v>
      </x:c>
      <x:c r="N986" s="20" t="n">
        <x:f>IF(K986="שוטף",M986,0)</x:f>
        <x:v>58</x:v>
      </x:c>
      <x:c r="O986" s="20" t="n">
        <x:f>IF(K986="הכנסה שסווגה מחדש",-G986,0)</x:f>
        <x:v>0</x:v>
      </x:c>
      <x:c r="P986" s="11" t="str">
        <x:v>אמקס עינור</x:v>
      </x:c>
      <x:c r="Q986" s="11" t="str"/>
      <x:c r="R986" s="11" t="str">
        <x:v>לא</x:v>
      </x:c>
    </x:row>
    <x:row r="987">
      <x:c r="A987" s="14" t="n">
        <x:v>45931</x:v>
      </x:c>
      <x:c r="B987" s="11" t="str">
        <x:v>2025-10</x:v>
      </x:c>
      <x:c r="C987" s="11" t="str">
        <x:v>אוקטובר 25</x:v>
      </x:c>
      <x:c r="D987" s="15" t="n">
        <x:v>34</x:v>
      </x:c>
      <x:c r="E987" s="11" t="str">
        <x:v>31</x:v>
      </x:c>
      <x:c r="F987" s="11" t="str">
        <x:v>ירקות</x:v>
      </x:c>
      <x:c r="G987" s="17" t="n">
        <x:v>13</x:v>
      </x:c>
      <x:c r="H987" s="18" t="str">
        <x:v>מזון לבית</x:v>
      </x:c>
      <x:c r="I987" s="19" t="str">
        <x:f>IFERROR(INDEX('מיפוי ומקורות'!$C$7:$C$33,MATCH(H987,'מיפוי ומקורות'!$B$7:$B$33,0)),"לא מסווג")</x:f>
        <x:v>מזון לבית</x:v>
      </x:c>
      <x:c r="J987" s="19" t="str">
        <x:f>IFERROR(INDEX('מיפוי ומקורות'!$D$7:$D$33,MATCH(H987,'מיפוי ומקורות'!$B$7:$B$33,0)),"שוטף")</x:f>
        <x:v>שוטף</x:v>
      </x:c>
      <x:c r="K987" s="19" t="str">
        <x:f>IF(OR(H987="ריביות",AND(H987="דירה כצנלסון",G987&lt;0,ISNUMBER(SEARCH("הכנסה",F987)))),"הכנסה שסווגה מחדש",J987)</x:f>
        <x:v>שוטף</x:v>
      </x:c>
      <x:c r="L987" s="19" t="str">
        <x:v>מאושר</x:v>
      </x:c>
      <x:c r="M987" s="20" t="n">
        <x:f>IF(L987="מאושר",IF(K987="הכנסה שסווגה מחדש",0,G987),0)</x:f>
        <x:v>13</x:v>
      </x:c>
      <x:c r="N987" s="20" t="n">
        <x:f>IF(K987="שוטף",M987,0)</x:f>
        <x:v>13</x:v>
      </x:c>
      <x:c r="O987" s="20" t="n">
        <x:f>IF(K987="הכנסה שסווגה מחדש",-G987,0)</x:f>
        <x:v>0</x:v>
      </x:c>
      <x:c r="P987" s="11" t="str">
        <x:v>אמקס עינור</x:v>
      </x:c>
      <x:c r="Q987" s="11" t="str"/>
      <x:c r="R987" s="11" t="str">
        <x:v>לא</x:v>
      </x:c>
    </x:row>
    <x:row r="988">
      <x:c r="A988" s="14" t="n">
        <x:v>45931</x:v>
      </x:c>
      <x:c r="B988" s="11" t="str">
        <x:v>2025-10</x:v>
      </x:c>
      <x:c r="C988" s="11" t="str">
        <x:v>אוקטובר 25</x:v>
      </x:c>
      <x:c r="D988" s="15" t="n">
        <x:v>35</x:v>
      </x:c>
      <x:c r="E988" s="11" t="str">
        <x:v>31</x:v>
      </x:c>
      <x:c r="F988" s="11" t="str">
        <x:v>סופר</x:v>
      </x:c>
      <x:c r="G988" s="17" t="n">
        <x:v>109</x:v>
      </x:c>
      <x:c r="H988" s="18" t="str">
        <x:v>מזון לבית</x:v>
      </x:c>
      <x:c r="I988" s="19" t="str">
        <x:f>IFERROR(INDEX('מיפוי ומקורות'!$C$7:$C$33,MATCH(H988,'מיפוי ומקורות'!$B$7:$B$33,0)),"לא מסווג")</x:f>
        <x:v>מזון לבית</x:v>
      </x:c>
      <x:c r="J988" s="19" t="str">
        <x:f>IFERROR(INDEX('מיפוי ומקורות'!$D$7:$D$33,MATCH(H988,'מיפוי ומקורות'!$B$7:$B$33,0)),"שוטף")</x:f>
        <x:v>שוטף</x:v>
      </x:c>
      <x:c r="K988" s="19" t="str">
        <x:f>IF(OR(H988="ריביות",AND(H988="דירה כצנלסון",G988&lt;0,ISNUMBER(SEARCH("הכנסה",F988)))),"הכנסה שסווגה מחדש",J988)</x:f>
        <x:v>שוטף</x:v>
      </x:c>
      <x:c r="L988" s="19" t="str">
        <x:v>מאושר</x:v>
      </x:c>
      <x:c r="M988" s="20" t="n">
        <x:f>IF(L988="מאושר",IF(K988="הכנסה שסווגה מחדש",0,G988),0)</x:f>
        <x:v>109</x:v>
      </x:c>
      <x:c r="N988" s="20" t="n">
        <x:f>IF(K988="שוטף",M988,0)</x:f>
        <x:v>109</x:v>
      </x:c>
      <x:c r="O988" s="20" t="n">
        <x:f>IF(K988="הכנסה שסווגה מחדש",-G988,0)</x:f>
        <x:v>0</x:v>
      </x:c>
      <x:c r="P988" s="11" t="str">
        <x:v>אמקס עינור</x:v>
      </x:c>
      <x:c r="Q988" s="11" t="str"/>
      <x:c r="R988" s="11" t="str">
        <x:v>לא</x:v>
      </x:c>
    </x:row>
    <x:row r="989">
      <x:c r="A989" s="14" t="n">
        <x:v>45931</x:v>
      </x:c>
      <x:c r="B989" s="11" t="str">
        <x:v>2025-10</x:v>
      </x:c>
      <x:c r="C989" s="11" t="str">
        <x:v>אוקטובר 25</x:v>
      </x:c>
      <x:c r="D989" s="15" t="n">
        <x:v>36</x:v>
      </x:c>
      <x:c r="E989" s="11" t="str"/>
      <x:c r="F989" s="11" t="str">
        <x:v>יפן</x:v>
      </x:c>
      <x:c r="G989" s="17" t="n">
        <x:v>8304</x:v>
      </x:c>
      <x:c r="H989" s="18" t="str">
        <x:v>חול</x:v>
      </x:c>
      <x:c r="I989" s="19" t="str">
        <x:f>IFERROR(INDEX('מיפוי ומקורות'!$C$7:$C$33,MATCH(H989,'מיפוי ומקורות'!$B$7:$B$33,0)),"לא מסווג")</x:f>
        <x:v>נסיעות וחופשות</x:v>
      </x:c>
      <x:c r="J989" s="19" t="str">
        <x:f>IFERROR(INDEX('מיפוי ומקורות'!$D$7:$D$33,MATCH(H989,'מיפוי ומקורות'!$B$7:$B$33,0)),"שוטף")</x:f>
        <x:v>חריג</x:v>
      </x:c>
      <x:c r="K989" s="19" t="str">
        <x:f>IF(OR(H989="ריביות",AND(H989="דירה כצנלסון",G989&lt;0,ISNUMBER(SEARCH("הכנסה",F989)))),"הכנסה שסווגה מחדש",J989)</x:f>
        <x:v>חריג</x:v>
      </x:c>
      <x:c r="L989" s="19" t="str">
        <x:v>מאושר</x:v>
      </x:c>
      <x:c r="M989" s="20" t="n">
        <x:f>IF(L989="מאושר",IF(K989="הכנסה שסווגה מחדש",0,G989),0)</x:f>
        <x:v>8304</x:v>
      </x:c>
      <x:c r="N989" s="20" t="n">
        <x:f>IF(K989="שוטף",M989,0)</x:f>
        <x:v>0</x:v>
      </x:c>
      <x:c r="O989" s="20" t="n">
        <x:f>IF(K989="הכנסה שסווגה מחדש",-G989,0)</x:f>
        <x:v>0</x:v>
      </x:c>
      <x:c r="P989" s="11" t="str">
        <x:v>אמקס עינור</x:v>
      </x:c>
      <x:c r="Q989" s="11" t="str"/>
      <x:c r="R989" s="11" t="str">
        <x:v>לא</x:v>
      </x:c>
    </x:row>
    <x:row r="990">
      <x:c r="A990" s="14" t="n">
        <x:v>45931</x:v>
      </x:c>
      <x:c r="B990" s="11" t="str">
        <x:v>2025-10</x:v>
      </x:c>
      <x:c r="C990" s="11" t="str">
        <x:v>אוקטובר 25</x:v>
      </x:c>
      <x:c r="D990" s="15" t="n">
        <x:v>37</x:v>
      </x:c>
      <x:c r="E990" s="11" t="str"/>
      <x:c r="F990" s="11" t="str">
        <x:v>יפן קניות</x:v>
      </x:c>
      <x:c r="G990" s="17" t="n">
        <x:v>1251</x:v>
      </x:c>
      <x:c r="H990" s="18" t="str">
        <x:v>אופנה</x:v>
      </x:c>
      <x:c r="I990" s="19" t="str">
        <x:f>IFERROR(INDEX('מיפוי ומקורות'!$C$7:$C$33,MATCH(H990,'מיפוי ומקורות'!$B$7:$B$33,0)),"לא מסווג")</x:f>
        <x:v>אופנה</x:v>
      </x:c>
      <x:c r="J990" s="19" t="str">
        <x:f>IFERROR(INDEX('מיפוי ומקורות'!$D$7:$D$33,MATCH(H990,'מיפוי ומקורות'!$B$7:$B$33,0)),"שוטף")</x:f>
        <x:v>שוטף</x:v>
      </x:c>
      <x:c r="K990" s="19" t="str">
        <x:f>IF(OR(H990="ריביות",AND(H990="דירה כצנלסון",G990&lt;0,ISNUMBER(SEARCH("הכנסה",F990)))),"הכנסה שסווגה מחדש",J990)</x:f>
        <x:v>שוטף</x:v>
      </x:c>
      <x:c r="L990" s="19" t="str">
        <x:v>מאושר</x:v>
      </x:c>
      <x:c r="M990" s="20" t="n">
        <x:f>IF(L990="מאושר",IF(K990="הכנסה שסווגה מחדש",0,G990),0)</x:f>
        <x:v>1251</x:v>
      </x:c>
      <x:c r="N990" s="20" t="n">
        <x:f>IF(K990="שוטף",M990,0)</x:f>
        <x:v>1251</x:v>
      </x:c>
      <x:c r="O990" s="20" t="n">
        <x:f>IF(K990="הכנסה שסווגה מחדש",-G990,0)</x:f>
        <x:v>0</x:v>
      </x:c>
      <x:c r="P990" s="11" t="str">
        <x:v>אמקס עינור</x:v>
      </x:c>
      <x:c r="Q990" s="11" t="str"/>
      <x:c r="R990" s="11" t="str">
        <x:v>לא</x:v>
      </x:c>
    </x:row>
    <x:row r="991">
      <x:c r="A991" s="14" t="n">
        <x:v>45931</x:v>
      </x:c>
      <x:c r="B991" s="11" t="str">
        <x:v>2025-10</x:v>
      </x:c>
      <x:c r="C991" s="11" t="str">
        <x:v>אוקטובר 25</x:v>
      </x:c>
      <x:c r="D991" s="15" t="n">
        <x:v>39</x:v>
      </x:c>
      <x:c r="E991" s="11" t="str">
        <x:v>28</x:v>
      </x:c>
      <x:c r="F991" s="11" t="str">
        <x:v>לק</x:v>
      </x:c>
      <x:c r="G991" s="17" t="n">
        <x:v>120</x:v>
      </x:c>
      <x:c r="H991" s="18" t="str">
        <x:v>קוסמטיקה</x:v>
      </x:c>
      <x:c r="I991" s="19" t="str">
        <x:f>IFERROR(INDEX('מיפוי ומקורות'!$C$7:$C$33,MATCH(H991,'מיפוי ומקורות'!$B$7:$B$33,0)),"לא מסווג")</x:f>
        <x:v>קוסמטיקה</x:v>
      </x:c>
      <x:c r="J991" s="19" t="str">
        <x:f>IFERROR(INDEX('מיפוי ומקורות'!$D$7:$D$33,MATCH(H991,'מיפוי ומקורות'!$B$7:$B$33,0)),"שוטף")</x:f>
        <x:v>שוטף</x:v>
      </x:c>
      <x:c r="K991" s="19" t="str">
        <x:f>IF(OR(H991="ריביות",AND(H991="דירה כצנלסון",G991&lt;0,ISNUMBER(SEARCH("הכנסה",F991)))),"הכנסה שסווגה מחדש",J991)</x:f>
        <x:v>שוטף</x:v>
      </x:c>
      <x:c r="L991" s="19" t="str">
        <x:v>מאושר</x:v>
      </x:c>
      <x:c r="M991" s="20" t="n">
        <x:f>IF(L991="מאושר",IF(K991="הכנסה שסווגה מחדש",0,G991),0)</x:f>
        <x:v>120</x:v>
      </x:c>
      <x:c r="N991" s="20" t="n">
        <x:f>IF(K991="שוטף",M991,0)</x:f>
        <x:v>120</x:v>
      </x:c>
      <x:c r="O991" s="20" t="n">
        <x:f>IF(K991="הכנסה שסווגה מחדש",-G991,0)</x:f>
        <x:v>0</x:v>
      </x:c>
      <x:c r="P991" s="11" t="str">
        <x:v>מקס עינור</x:v>
      </x:c>
      <x:c r="Q991" s="11" t="str"/>
      <x:c r="R991" s="11" t="str">
        <x:v>לא</x:v>
      </x:c>
    </x:row>
    <x:row r="992">
      <x:c r="A992" s="14" t="n">
        <x:v>45931</x:v>
      </x:c>
      <x:c r="B992" s="11" t="str">
        <x:v>2025-10</x:v>
      </x:c>
      <x:c r="C992" s="11" t="str">
        <x:v>אוקטובר 25</x:v>
      </x:c>
      <x:c r="D992" s="15" t="n">
        <x:v>41</x:v>
      </x:c>
      <x:c r="E992" s="11" t="str">
        <x:v>27</x:v>
      </x:c>
      <x:c r="F992" s="11" t="str">
        <x:v>סופר</x:v>
      </x:c>
      <x:c r="G992" s="17" t="n">
        <x:v>52</x:v>
      </x:c>
      <x:c r="H992" s="18" t="str">
        <x:v>אוכל בחוץ</x:v>
      </x:c>
      <x:c r="I992" s="19" t="str">
        <x:f>IFERROR(INDEX('מיפוי ומקורות'!$C$7:$C$33,MATCH(H992,'מיפוי ומקורות'!$B$7:$B$33,0)),"לא מסווג")</x:f>
        <x:v>אוכל בחוץ</x:v>
      </x:c>
      <x:c r="J992" s="19" t="str">
        <x:f>IFERROR(INDEX('מיפוי ומקורות'!$D$7:$D$33,MATCH(H992,'מיפוי ומקורות'!$B$7:$B$33,0)),"שוטף")</x:f>
        <x:v>שוטף</x:v>
      </x:c>
      <x:c r="K992" s="19" t="str">
        <x:f>IF(OR(H992="ריביות",AND(H992="דירה כצנלסון",G992&lt;0,ISNUMBER(SEARCH("הכנסה",F992)))),"הכנסה שסווגה מחדש",J992)</x:f>
        <x:v>שוטף</x:v>
      </x:c>
      <x:c r="L992" s="19" t="str">
        <x:v>מאושר</x:v>
      </x:c>
      <x:c r="M992" s="20" t="n">
        <x:f>IF(L992="מאושר",IF(K992="הכנסה שסווגה מחדש",0,G992),0)</x:f>
        <x:v>52</x:v>
      </x:c>
      <x:c r="N992" s="20" t="n">
        <x:f>IF(K992="שוטף",M992,0)</x:f>
        <x:v>52</x:v>
      </x:c>
      <x:c r="O992" s="20" t="n">
        <x:f>IF(K992="הכנסה שסווגה מחדש",-G992,0)</x:f>
        <x:v>0</x:v>
      </x:c>
      <x:c r="P992" s="11" t="str">
        <x:v>קורפרייט זיו</x:v>
      </x:c>
      <x:c r="Q992" s="11" t="str"/>
      <x:c r="R992" s="11" t="str">
        <x:v>לא</x:v>
      </x:c>
    </x:row>
    <x:row r="993">
      <x:c r="A993" s="14" t="n">
        <x:v>45931</x:v>
      </x:c>
      <x:c r="B993" s="11" t="str">
        <x:v>2025-10</x:v>
      </x:c>
      <x:c r="C993" s="11" t="str">
        <x:v>אוקטובר 25</x:v>
      </x:c>
      <x:c r="D993" s="15" t="n">
        <x:v>42</x:v>
      </x:c>
      <x:c r="E993" s="11" t="str"/>
      <x:c r="F993" s="11" t="str">
        <x:v>יפן</x:v>
      </x:c>
      <x:c r="G993" s="17" t="n">
        <x:v>8969</x:v>
      </x:c>
      <x:c r="H993" s="18" t="str">
        <x:v>חול</x:v>
      </x:c>
      <x:c r="I993" s="19" t="str">
        <x:f>IFERROR(INDEX('מיפוי ומקורות'!$C$7:$C$33,MATCH(H993,'מיפוי ומקורות'!$B$7:$B$33,0)),"לא מסווג")</x:f>
        <x:v>נסיעות וחופשות</x:v>
      </x:c>
      <x:c r="J993" s="19" t="str">
        <x:f>IFERROR(INDEX('מיפוי ומקורות'!$D$7:$D$33,MATCH(H993,'מיפוי ומקורות'!$B$7:$B$33,0)),"שוטף")</x:f>
        <x:v>חריג</x:v>
      </x:c>
      <x:c r="K993" s="19" t="str">
        <x:f>IF(OR(H993="ריביות",AND(H993="דירה כצנלסון",G993&lt;0,ISNUMBER(SEARCH("הכנסה",F993)))),"הכנסה שסווגה מחדש",J993)</x:f>
        <x:v>חריג</x:v>
      </x:c>
      <x:c r="L993" s="19" t="str">
        <x:v>מאושר</x:v>
      </x:c>
      <x:c r="M993" s="20" t="n">
        <x:f>IF(L993="מאושר",IF(K993="הכנסה שסווגה מחדש",0,G993),0)</x:f>
        <x:v>8969</x:v>
      </x:c>
      <x:c r="N993" s="20" t="n">
        <x:f>IF(K993="שוטף",M993,0)</x:f>
        <x:v>0</x:v>
      </x:c>
      <x:c r="O993" s="20" t="n">
        <x:f>IF(K993="הכנסה שסווגה מחדש",-G993,0)</x:f>
        <x:v>0</x:v>
      </x:c>
      <x:c r="P993" s="11" t="str">
        <x:v>קורפרייט זיו</x:v>
      </x:c>
      <x:c r="Q993" s="11" t="str"/>
      <x:c r="R993" s="11" t="str">
        <x:v>לא</x:v>
      </x:c>
    </x:row>
    <x:row r="994">
      <x:c r="A994" s="14" t="n">
        <x:v>45931</x:v>
      </x:c>
      <x:c r="B994" s="11" t="str">
        <x:v>2025-10</x:v>
      </x:c>
      <x:c r="C994" s="11" t="str">
        <x:v>אוקטובר 25</x:v>
      </x:c>
      <x:c r="D994" s="15" t="n">
        <x:v>43</x:v>
      </x:c>
      <x:c r="E994" s="11" t="str"/>
      <x:c r="F994" s="11" t="str">
        <x:v>יפן קניות</x:v>
      </x:c>
      <x:c r="G994" s="17" t="n">
        <x:v>716</x:v>
      </x:c>
      <x:c r="H994" s="18" t="str">
        <x:v>קניות לבית</x:v>
      </x:c>
      <x:c r="I994" s="19" t="str">
        <x:f>IFERROR(INDEX('מיפוי ומקורות'!$C$7:$C$33,MATCH(H994,'מיפוי ומקורות'!$B$7:$B$33,0)),"לא מסווג")</x:f>
        <x:v>קניות לבית</x:v>
      </x:c>
      <x:c r="J994" s="19" t="str">
        <x:f>IFERROR(INDEX('מיפוי ומקורות'!$D$7:$D$33,MATCH(H994,'מיפוי ומקורות'!$B$7:$B$33,0)),"שוטף")</x:f>
        <x:v>שוטף</x:v>
      </x:c>
      <x:c r="K994" s="19" t="str">
        <x:f>IF(OR(H994="ריביות",AND(H994="דירה כצנלסון",G994&lt;0,ISNUMBER(SEARCH("הכנסה",F994)))),"הכנסה שסווגה מחדש",J994)</x:f>
        <x:v>שוטף</x:v>
      </x:c>
      <x:c r="L994" s="19" t="str">
        <x:v>מאושר</x:v>
      </x:c>
      <x:c r="M994" s="20" t="n">
        <x:f>IF(L994="מאושר",IF(K994="הכנסה שסווגה מחדש",0,G994),0)</x:f>
        <x:v>716</x:v>
      </x:c>
      <x:c r="N994" s="20" t="n">
        <x:f>IF(K994="שוטף",M994,0)</x:f>
        <x:v>716</x:v>
      </x:c>
      <x:c r="O994" s="20" t="n">
        <x:f>IF(K994="הכנסה שסווגה מחדש",-G994,0)</x:f>
        <x:v>0</x:v>
      </x:c>
      <x:c r="P994" s="11" t="str">
        <x:v>קורפרייט זיו</x:v>
      </x:c>
      <x:c r="Q994" s="11" t="str"/>
      <x:c r="R994" s="11" t="str">
        <x:v>לא</x:v>
      </x:c>
    </x:row>
    <x:row r="995">
      <x:c r="A995" s="14" t="n">
        <x:v>45931</x:v>
      </x:c>
      <x:c r="B995" s="11" t="str">
        <x:v>2025-10</x:v>
      </x:c>
      <x:c r="C995" s="11" t="str">
        <x:v>אוקטובר 25</x:v>
      </x:c>
      <x:c r="D995" s="15" t="n">
        <x:v>45</x:v>
      </x:c>
      <x:c r="E995" s="11" t="str">
        <x:v>27</x:v>
      </x:c>
      <x:c r="F995" s="11" t="str">
        <x:v>מאפיה</x:v>
      </x:c>
      <x:c r="G995" s="17" t="n">
        <x:v>60</x:v>
      </x:c>
      <x:c r="H995" s="18" t="str">
        <x:v>אוכל בחוץ</x:v>
      </x:c>
      <x:c r="I995" s="19" t="str">
        <x:f>IFERROR(INDEX('מיפוי ומקורות'!$C$7:$C$33,MATCH(H995,'מיפוי ומקורות'!$B$7:$B$33,0)),"לא מסווג")</x:f>
        <x:v>אוכל בחוץ</x:v>
      </x:c>
      <x:c r="J995" s="19" t="str">
        <x:f>IFERROR(INDEX('מיפוי ומקורות'!$D$7:$D$33,MATCH(H995,'מיפוי ומקורות'!$B$7:$B$33,0)),"שוטף")</x:f>
        <x:v>שוטף</x:v>
      </x:c>
      <x:c r="K995" s="19" t="str">
        <x:f>IF(OR(H995="ריביות",AND(H995="דירה כצנלסון",G995&lt;0,ISNUMBER(SEARCH("הכנסה",F995)))),"הכנסה שסווגה מחדש",J995)</x:f>
        <x:v>שוטף</x:v>
      </x:c>
      <x:c r="L995" s="19" t="str">
        <x:v>מאושר</x:v>
      </x:c>
      <x:c r="M995" s="20" t="n">
        <x:f>IF(L995="מאושר",IF(K995="הכנסה שסווגה מחדש",0,G995),0)</x:f>
        <x:v>60</x:v>
      </x:c>
      <x:c r="N995" s="20" t="n">
        <x:f>IF(K995="שוטף",M995,0)</x:f>
        <x:v>60</x:v>
      </x:c>
      <x:c r="O995" s="20" t="n">
        <x:f>IF(K995="הכנסה שסווגה מחדש",-G995,0)</x:f>
        <x:v>0</x:v>
      </x:c>
      <x:c r="P995" s="11" t="str">
        <x:v>אמקס זיו</x:v>
      </x:c>
      <x:c r="Q995" s="11" t="str"/>
      <x:c r="R995" s="11" t="str">
        <x:v>לא</x:v>
      </x:c>
    </x:row>
    <x:row r="996">
      <x:c r="A996" s="14" t="n">
        <x:v>45931</x:v>
      </x:c>
      <x:c r="B996" s="11" t="str">
        <x:v>2025-10</x:v>
      </x:c>
      <x:c r="C996" s="11" t="str">
        <x:v>אוקטובר 25</x:v>
      </x:c>
      <x:c r="D996" s="15" t="n">
        <x:v>46</x:v>
      </x:c>
      <x:c r="E996" s="11" t="str">
        <x:v>27</x:v>
      </x:c>
      <x:c r="F996" s="11" t="str">
        <x:v>חומוס</x:v>
      </x:c>
      <x:c r="G996" s="17" t="n">
        <x:v>30</x:v>
      </x:c>
      <x:c r="H996" s="18" t="str">
        <x:v>אוכל בחוץ</x:v>
      </x:c>
      <x:c r="I996" s="19" t="str">
        <x:f>IFERROR(INDEX('מיפוי ומקורות'!$C$7:$C$33,MATCH(H996,'מיפוי ומקורות'!$B$7:$B$33,0)),"לא מסווג")</x:f>
        <x:v>אוכל בחוץ</x:v>
      </x:c>
      <x:c r="J996" s="19" t="str">
        <x:f>IFERROR(INDEX('מיפוי ומקורות'!$D$7:$D$33,MATCH(H996,'מיפוי ומקורות'!$B$7:$B$33,0)),"שוטף")</x:f>
        <x:v>שוטף</x:v>
      </x:c>
      <x:c r="K996" s="19" t="str">
        <x:f>IF(OR(H996="ריביות",AND(H996="דירה כצנלסון",G996&lt;0,ISNUMBER(SEARCH("הכנסה",F996)))),"הכנסה שסווגה מחדש",J996)</x:f>
        <x:v>שוטף</x:v>
      </x:c>
      <x:c r="L996" s="19" t="str">
        <x:v>מאושר</x:v>
      </x:c>
      <x:c r="M996" s="20" t="n">
        <x:f>IF(L996="מאושר",IF(K996="הכנסה שסווגה מחדש",0,G996),0)</x:f>
        <x:v>30</x:v>
      </x:c>
      <x:c r="N996" s="20" t="n">
        <x:f>IF(K996="שוטף",M996,0)</x:f>
        <x:v>30</x:v>
      </x:c>
      <x:c r="O996" s="20" t="n">
        <x:f>IF(K996="הכנסה שסווגה מחדש",-G996,0)</x:f>
        <x:v>0</x:v>
      </x:c>
      <x:c r="P996" s="11" t="str">
        <x:v>אמקס זיו</x:v>
      </x:c>
      <x:c r="Q996" s="11" t="str"/>
      <x:c r="R996" s="11" t="str">
        <x:v>לא</x:v>
      </x:c>
    </x:row>
    <x:row r="997">
      <x:c r="A997" s="14" t="n">
        <x:v>45931</x:v>
      </x:c>
      <x:c r="B997" s="11" t="str">
        <x:v>2025-10</x:v>
      </x:c>
      <x:c r="C997" s="11" t="str">
        <x:v>אוקטובר 25</x:v>
      </x:c>
      <x:c r="D997" s="15" t="n">
        <x:v>47</x:v>
      </x:c>
      <x:c r="E997" s="11" t="str">
        <x:v>27</x:v>
      </x:c>
      <x:c r="F997" s="11" t="str">
        <x:v>רמי לוי</x:v>
      </x:c>
      <x:c r="G997" s="17" t="n">
        <x:v>168</x:v>
      </x:c>
      <x:c r="H997" s="18" t="str">
        <x:v>מזון לבית</x:v>
      </x:c>
      <x:c r="I997" s="19" t="str">
        <x:f>IFERROR(INDEX('מיפוי ומקורות'!$C$7:$C$33,MATCH(H997,'מיפוי ומקורות'!$B$7:$B$33,0)),"לא מסווג")</x:f>
        <x:v>מזון לבית</x:v>
      </x:c>
      <x:c r="J997" s="19" t="str">
        <x:f>IFERROR(INDEX('מיפוי ומקורות'!$D$7:$D$33,MATCH(H997,'מיפוי ומקורות'!$B$7:$B$33,0)),"שוטף")</x:f>
        <x:v>שוטף</x:v>
      </x:c>
      <x:c r="K997" s="19" t="str">
        <x:f>IF(OR(H997="ריביות",AND(H997="דירה כצנלסון",G997&lt;0,ISNUMBER(SEARCH("הכנסה",F997)))),"הכנסה שסווגה מחדש",J997)</x:f>
        <x:v>שוטף</x:v>
      </x:c>
      <x:c r="L997" s="19" t="str">
        <x:v>מאושר</x:v>
      </x:c>
      <x:c r="M997" s="20" t="n">
        <x:f>IF(L997="מאושר",IF(K997="הכנסה שסווגה מחדש",0,G997),0)</x:f>
        <x:v>168</x:v>
      </x:c>
      <x:c r="N997" s="20" t="n">
        <x:f>IF(K997="שוטף",M997,0)</x:f>
        <x:v>168</x:v>
      </x:c>
      <x:c r="O997" s="20" t="n">
        <x:f>IF(K997="הכנסה שסווגה מחדש",-G997,0)</x:f>
        <x:v>0</x:v>
      </x:c>
      <x:c r="P997" s="11" t="str">
        <x:v>אמקס זיו</x:v>
      </x:c>
      <x:c r="Q997" s="11" t="str"/>
      <x:c r="R997" s="11" t="str">
        <x:v>לא</x:v>
      </x:c>
    </x:row>
    <x:row r="998">
      <x:c r="A998" s="14" t="n">
        <x:v>45931</x:v>
      </x:c>
      <x:c r="B998" s="11" t="str">
        <x:v>2025-10</x:v>
      </x:c>
      <x:c r="C998" s="11" t="str">
        <x:v>אוקטובר 25</x:v>
      </x:c>
      <x:c r="D998" s="15" t="n">
        <x:v>48</x:v>
      </x:c>
      <x:c r="E998" s="11" t="str">
        <x:v>30</x:v>
      </x:c>
      <x:c r="F998" s="11" t="str">
        <x:v>ירקן</x:v>
      </x:c>
      <x:c r="G998" s="17" t="n">
        <x:v>26</x:v>
      </x:c>
      <x:c r="H998" s="18" t="str">
        <x:v>מזון לבית</x:v>
      </x:c>
      <x:c r="I998" s="19" t="str">
        <x:f>IFERROR(INDEX('מיפוי ומקורות'!$C$7:$C$33,MATCH(H998,'מיפוי ומקורות'!$B$7:$B$33,0)),"לא מסווג")</x:f>
        <x:v>מזון לבית</x:v>
      </x:c>
      <x:c r="J998" s="19" t="str">
        <x:f>IFERROR(INDEX('מיפוי ומקורות'!$D$7:$D$33,MATCH(H998,'מיפוי ומקורות'!$B$7:$B$33,0)),"שוטף")</x:f>
        <x:v>שוטף</x:v>
      </x:c>
      <x:c r="K998" s="19" t="str">
        <x:f>IF(OR(H998="ריביות",AND(H998="דירה כצנלסון",G998&lt;0,ISNUMBER(SEARCH("הכנסה",F998)))),"הכנסה שסווגה מחדש",J998)</x:f>
        <x:v>שוטף</x:v>
      </x:c>
      <x:c r="L998" s="19" t="str">
        <x:v>מאושר</x:v>
      </x:c>
      <x:c r="M998" s="20" t="n">
        <x:f>IF(L998="מאושר",IF(K998="הכנסה שסווגה מחדש",0,G998),0)</x:f>
        <x:v>26</x:v>
      </x:c>
      <x:c r="N998" s="20" t="n">
        <x:f>IF(K998="שוטף",M998,0)</x:f>
        <x:v>26</x:v>
      </x:c>
      <x:c r="O998" s="20" t="n">
        <x:f>IF(K998="הכנסה שסווגה מחדש",-G998,0)</x:f>
        <x:v>0</x:v>
      </x:c>
      <x:c r="P998" s="11" t="str">
        <x:v>אמקס זיו</x:v>
      </x:c>
      <x:c r="Q998" s="11" t="str"/>
      <x:c r="R998" s="11" t="str">
        <x:v>לא</x:v>
      </x:c>
    </x:row>
    <x:row r="999">
      <x:c r="A999" s="14" t="n">
        <x:v>45931</x:v>
      </x:c>
      <x:c r="B999" s="11" t="str">
        <x:v>2025-10</x:v>
      </x:c>
      <x:c r="C999" s="11" t="str">
        <x:v>אוקטובר 25</x:v>
      </x:c>
      <x:c r="D999" s="15" t="n">
        <x:v>49</x:v>
      </x:c>
      <x:c r="E999" s="11" t="str">
        <x:v>30</x:v>
      </x:c>
      <x:c r="F999" s="11" t="str">
        <x:v>סופר</x:v>
      </x:c>
      <x:c r="G999" s="17" t="n">
        <x:v>33</x:v>
      </x:c>
      <x:c r="H999" s="18" t="str">
        <x:v>מזון לבית</x:v>
      </x:c>
      <x:c r="I999" s="19" t="str">
        <x:f>IFERROR(INDEX('מיפוי ומקורות'!$C$7:$C$33,MATCH(H999,'מיפוי ומקורות'!$B$7:$B$33,0)),"לא מסווג")</x:f>
        <x:v>מזון לבית</x:v>
      </x:c>
      <x:c r="J999" s="19" t="str">
        <x:f>IFERROR(INDEX('מיפוי ומקורות'!$D$7:$D$33,MATCH(H999,'מיפוי ומקורות'!$B$7:$B$33,0)),"שוטף")</x:f>
        <x:v>שוטף</x:v>
      </x:c>
      <x:c r="K999" s="19" t="str">
        <x:f>IF(OR(H999="ריביות",AND(H999="דירה כצנלסון",G999&lt;0,ISNUMBER(SEARCH("הכנסה",F999)))),"הכנסה שסווגה מחדש",J999)</x:f>
        <x:v>שוטף</x:v>
      </x:c>
      <x:c r="L999" s="19" t="str">
        <x:v>מאושר</x:v>
      </x:c>
      <x:c r="M999" s="20" t="n">
        <x:f>IF(L999="מאושר",IF(K999="הכנסה שסווגה מחדש",0,G999),0)</x:f>
        <x:v>33</x:v>
      </x:c>
      <x:c r="N999" s="20" t="n">
        <x:f>IF(K999="שוטף",M999,0)</x:f>
        <x:v>33</x:v>
      </x:c>
      <x:c r="O999" s="20" t="n">
        <x:f>IF(K999="הכנסה שסווגה מחדש",-G999,0)</x:f>
        <x:v>0</x:v>
      </x:c>
      <x:c r="P999" s="11" t="str">
        <x:v>אמקס זיו</x:v>
      </x:c>
      <x:c r="Q999" s="11" t="str"/>
      <x:c r="R999" s="11" t="str">
        <x:v>לא</x:v>
      </x:c>
    </x:row>
    <x:row r="1000">
      <x:c r="A1000" s="14" t="n">
        <x:v>45931</x:v>
      </x:c>
      <x:c r="B1000" s="11" t="str">
        <x:v>2025-10</x:v>
      </x:c>
      <x:c r="C1000" s="11" t="str">
        <x:v>אוקטובר 25</x:v>
      </x:c>
      <x:c r="D1000" s="15" t="n">
        <x:v>51</x:v>
      </x:c>
      <x:c r="E1000" s="11" t="str"/>
      <x:c r="F1000" s="11" t="str">
        <x:v>יפן</x:v>
      </x:c>
      <x:c r="G1000" s="17" t="n">
        <x:v>580</x:v>
      </x:c>
      <x:c r="H1000" s="18" t="str">
        <x:v>חול</x:v>
      </x:c>
      <x:c r="I1000" s="19" t="str">
        <x:f>IFERROR(INDEX('מיפוי ומקורות'!$C$7:$C$33,MATCH(H1000,'מיפוי ומקורות'!$B$7:$B$33,0)),"לא מסווג")</x:f>
        <x:v>נסיעות וחופשות</x:v>
      </x:c>
      <x:c r="J1000" s="19" t="str">
        <x:f>IFERROR(INDEX('מיפוי ומקורות'!$D$7:$D$33,MATCH(H1000,'מיפוי ומקורות'!$B$7:$B$33,0)),"שוטף")</x:f>
        <x:v>חריג</x:v>
      </x:c>
      <x:c r="K1000" s="19" t="str">
        <x:f>IF(OR(H1000="ריביות",AND(H1000="דירה כצנלסון",G1000&lt;0,ISNUMBER(SEARCH("הכנסה",F1000)))),"הכנסה שסווגה מחדש",J1000)</x:f>
        <x:v>חריג</x:v>
      </x:c>
      <x:c r="L1000" s="19" t="str">
        <x:v>מאושר</x:v>
      </x:c>
      <x:c r="M1000" s="20" t="n">
        <x:f>IF(L1000="מאושר",IF(K1000="הכנסה שסווגה מחדש",0,G1000),0)</x:f>
        <x:v>580</x:v>
      </x:c>
      <x:c r="N1000" s="20" t="n">
        <x:f>IF(K1000="שוטף",M1000,0)</x:f>
        <x:v>0</x:v>
      </x:c>
      <x:c r="O1000" s="20" t="n">
        <x:f>IF(K1000="הכנסה שסווגה מחדש",-G1000,0)</x:f>
        <x:v>0</x:v>
      </x:c>
      <x:c r="P1000" s="11" t="str">
        <x:v>הייטק זון זיו</x:v>
      </x:c>
      <x:c r="Q1000" s="11" t="str"/>
      <x:c r="R1000" s="11" t="str">
        <x:v>לא</x:v>
      </x:c>
    </x:row>
    <x:row r="1001">
      <x:c r="A1001" s="14" t="n">
        <x:v>45931</x:v>
      </x:c>
      <x:c r="B1001" s="11" t="str">
        <x:v>2025-10</x:v>
      </x:c>
      <x:c r="C1001" s="11" t="str">
        <x:v>אוקטובר 25</x:v>
      </x:c>
      <x:c r="D1001" s="15" t="n">
        <x:v>52</x:v>
      </x:c>
      <x:c r="E1001" s="11" t="str"/>
      <x:c r="F1001" s="11" t="str">
        <x:v>יפן קניות</x:v>
      </x:c>
      <x:c r="G1001" s="17" t="n">
        <x:v>3235</x:v>
      </x:c>
      <x:c r="H1001" s="18" t="str">
        <x:v>אופנה</x:v>
      </x:c>
      <x:c r="I1001" s="19" t="str">
        <x:f>IFERROR(INDEX('מיפוי ומקורות'!$C$7:$C$33,MATCH(H1001,'מיפוי ומקורות'!$B$7:$B$33,0)),"לא מסווג")</x:f>
        <x:v>אופנה</x:v>
      </x:c>
      <x:c r="J1001" s="19" t="str">
        <x:f>IFERROR(INDEX('מיפוי ומקורות'!$D$7:$D$33,MATCH(H1001,'מיפוי ומקורות'!$B$7:$B$33,0)),"שוטף")</x:f>
        <x:v>שוטף</x:v>
      </x:c>
      <x:c r="K1001" s="19" t="str">
        <x:f>IF(OR(H1001="ריביות",AND(H1001="דירה כצנלסון",G1001&lt;0,ISNUMBER(SEARCH("הכנסה",F1001)))),"הכנסה שסווגה מחדש",J1001)</x:f>
        <x:v>שוטף</x:v>
      </x:c>
      <x:c r="L1001" s="19" t="str">
        <x:v>מאושר</x:v>
      </x:c>
      <x:c r="M1001" s="20" t="n">
        <x:f>IF(L1001="מאושר",IF(K1001="הכנסה שסווגה מחדש",0,G1001),0)</x:f>
        <x:v>3235</x:v>
      </x:c>
      <x:c r="N1001" s="20" t="n">
        <x:f>IF(K1001="שוטף",M1001,0)</x:f>
        <x:v>3235</x:v>
      </x:c>
      <x:c r="O1001" s="20" t="n">
        <x:f>IF(K1001="הכנסה שסווגה מחדש",-G1001,0)</x:f>
        <x:v>0</x:v>
      </x:c>
      <x:c r="P1001" s="11" t="str">
        <x:v>הייטק זון זיו</x:v>
      </x:c>
      <x:c r="Q1001" s="11" t="str"/>
      <x:c r="R1001" s="11" t="str">
        <x:v>לא</x:v>
      </x:c>
    </x:row>
    <x:row r="1002">
      <x:c r="A1002" s="14" t="n">
        <x:v>45962</x:v>
      </x:c>
      <x:c r="B1002" s="11" t="str">
        <x:v>2025-11</x:v>
      </x:c>
      <x:c r="C1002" s="11" t="str">
        <x:v>נובמבר 25</x:v>
      </x:c>
      <x:c r="D1002" s="15" t="n">
        <x:v>2</x:v>
      </x:c>
      <x:c r="E1002" s="11" t="str">
        <x:v>14</x:v>
      </x:c>
      <x:c r="F1002" s="11" t="str">
        <x:v>שכר דירה</x:v>
      </x:c>
      <x:c r="G1002" s="17" t="n">
        <x:v>8000</x:v>
      </x:c>
      <x:c r="H1002" s="18" t="str">
        <x:v>מגורים חודשי</x:v>
      </x:c>
      <x:c r="I1002" s="19" t="str">
        <x:f>IFERROR(INDEX('מיפוי ומקורות'!$C$7:$C$33,MATCH(H1002,'מיפוי ומקורות'!$B$7:$B$33,0)),"לא מסווג")</x:f>
        <x:v>דיור – בית מגורים</x:v>
      </x:c>
      <x:c r="J1002" s="19" t="str">
        <x:f>IFERROR(INDEX('מיפוי ומקורות'!$D$7:$D$33,MATCH(H1002,'מיפוי ומקורות'!$B$7:$B$33,0)),"שוטף")</x:f>
        <x:v>שוטף</x:v>
      </x:c>
      <x:c r="K1002" s="19" t="str">
        <x:f>IF(OR(H1002="ריביות",AND(H1002="דירה כצנלסון",G1002&lt;0,ISNUMBER(SEARCH("הכנסה",F1002)))),"הכנסה שסווגה מחדש",J1002)</x:f>
        <x:v>שוטף</x:v>
      </x:c>
      <x:c r="L1002" s="19" t="str">
        <x:v>מאושר</x:v>
      </x:c>
      <x:c r="M1002" s="20" t="n">
        <x:f>IF(L1002="מאושר",IF(K1002="הכנסה שסווגה מחדש",0,G1002),0)</x:f>
        <x:v>8000</x:v>
      </x:c>
      <x:c r="N1002" s="20" t="n">
        <x:f>IF(K1002="שוטף",M1002,0)</x:f>
        <x:v>8000</x:v>
      </x:c>
      <x:c r="O1002" s="20" t="n">
        <x:f>IF(K1002="הכנסה שסווגה מחדש",-G1002,0)</x:f>
        <x:v>0</x:v>
      </x:c>
      <x:c r="P1002" s="11" t="str">
        <x:v>דיסקונט</x:v>
      </x:c>
      <x:c r="Q1002" s="11" t="str"/>
      <x:c r="R1002" s="11" t="str">
        <x:v>לא</x:v>
      </x:c>
    </x:row>
    <x:row r="1003">
      <x:c r="A1003" s="14" t="n">
        <x:v>45962</x:v>
      </x:c>
      <x:c r="B1003" s="11" t="str">
        <x:v>2025-11</x:v>
      </x:c>
      <x:c r="C1003" s="11" t="str">
        <x:v>נובמבר 25</x:v>
      </x:c>
      <x:c r="D1003" s="15" t="n">
        <x:v>3</x:v>
      </x:c>
      <x:c r="E1003" s="11" t="str">
        <x:v>10</x:v>
      </x:c>
      <x:c r="F1003" s="11" t="str">
        <x:v>משכנתא</x:v>
      </x:c>
      <x:c r="G1003" s="17" t="n">
        <x:v>6143</x:v>
      </x:c>
      <x:c r="H1003" s="18" t="str">
        <x:v>דירה כצנלסון</x:v>
      </x:c>
      <x:c r="I1003" s="19" t="str">
        <x:f>IFERROR(INDEX('מיפוי ומקורות'!$C$7:$C$33,MATCH(H1003,'מיפוי ומקורות'!$B$7:$B$33,0)),"לא מסווג")</x:f>
        <x:v>נכס להשקעה</x:v>
      </x:c>
      <x:c r="J1003" s="19" t="str">
        <x:f>IFERROR(INDEX('מיפוי ומקורות'!$D$7:$D$33,MATCH(H1003,'מיפוי ומקורות'!$B$7:$B$33,0)),"שוטף")</x:f>
        <x:v>חריג/נכס</x:v>
      </x:c>
      <x:c r="K1003" s="19" t="str">
        <x:f>IF(OR(H1003="ריביות",AND(H1003="דירה כצנלסון",G1003&lt;0,ISNUMBER(SEARCH("הכנסה",F1003)))),"הכנסה שסווגה מחדש",J1003)</x:f>
        <x:v>חריג/נכס</x:v>
      </x:c>
      <x:c r="L1003" s="19" t="str">
        <x:v>מאושר</x:v>
      </x:c>
      <x:c r="M1003" s="20" t="n">
        <x:f>IF(L1003="מאושר",IF(K1003="הכנסה שסווגה מחדש",0,G1003),0)</x:f>
        <x:v>6143</x:v>
      </x:c>
      <x:c r="N1003" s="20" t="n">
        <x:f>IF(K1003="שוטף",M1003,0)</x:f>
        <x:v>0</x:v>
      </x:c>
      <x:c r="O1003" s="20" t="n">
        <x:f>IF(K1003="הכנסה שסווגה מחדש",-G1003,0)</x:f>
        <x:v>0</x:v>
      </x:c>
      <x:c r="P1003" s="11" t="str">
        <x:v>דיסקונט</x:v>
      </x:c>
      <x:c r="Q1003" s="11" t="str"/>
      <x:c r="R1003" s="11" t="str">
        <x:v>לא</x:v>
      </x:c>
    </x:row>
    <x:row r="1004">
      <x:c r="A1004" s="14" t="n">
        <x:v>45962</x:v>
      </x:c>
      <x:c r="B1004" s="11" t="str">
        <x:v>2025-11</x:v>
      </x:c>
      <x:c r="C1004" s="11" t="str">
        <x:v>נובמבר 25</x:v>
      </x:c>
      <x:c r="D1004" s="15" t="n">
        <x:v>4</x:v>
      </x:c>
      <x:c r="E1004" s="11" t="str">
        <x:v>8</x:v>
      </x:c>
      <x:c r="F1004" s="11" t="str">
        <x:v>הכנסה משכר דירה</x:v>
      </x:c>
      <x:c r="G1004" s="17" t="n">
        <x:v>-6500</x:v>
      </x:c>
      <x:c r="H1004" s="18" t="str">
        <x:v>דירה כצנלסון</x:v>
      </x:c>
      <x:c r="I1004" s="19" t="str">
        <x:f>IFERROR(INDEX('מיפוי ומקורות'!$C$7:$C$33,MATCH(H1004,'מיפוי ומקורות'!$B$7:$B$33,0)),"לא מסווג")</x:f>
        <x:v>נכס להשקעה</x:v>
      </x:c>
      <x:c r="J1004" s="19" t="str">
        <x:f>IFERROR(INDEX('מיפוי ומקורות'!$D$7:$D$33,MATCH(H1004,'מיפוי ומקורות'!$B$7:$B$33,0)),"שוטף")</x:f>
        <x:v>חריג/נכס</x:v>
      </x:c>
      <x:c r="K1004" s="19" t="str">
        <x:f>IF(OR(H1004="ריביות",AND(H1004="דירה כצנלסון",G1004&lt;0,ISNUMBER(SEARCH("הכנסה",F1004)))),"הכנסה שסווגה מחדש",J1004)</x:f>
        <x:v>הכנסה שסווגה מחדש</x:v>
      </x:c>
      <x:c r="L1004" s="19" t="str">
        <x:v>מאושר</x:v>
      </x:c>
      <x:c r="M1004" s="20" t="n">
        <x:f>IF(L1004="מאושר",IF(K1004="הכנסה שסווגה מחדש",0,G1004),0)</x:f>
        <x:v>0</x:v>
      </x:c>
      <x:c r="N1004" s="20" t="n">
        <x:f>IF(K1004="שוטף",M1004,0)</x:f>
        <x:v>0</x:v>
      </x:c>
      <x:c r="O1004" s="20" t="n">
        <x:f>IF(K1004="הכנסה שסווגה מחדש",-G1004,0)</x:f>
        <x:v>6500</x:v>
      </x:c>
      <x:c r="P1004" s="11" t="str">
        <x:v>one zero</x:v>
      </x:c>
      <x:c r="Q1004" s="11" t="str"/>
      <x:c r="R1004" s="11" t="str">
        <x:v>לא</x:v>
      </x:c>
    </x:row>
    <x:row r="1005">
      <x:c r="A1005" s="14" t="n">
        <x:v>45962</x:v>
      </x:c>
      <x:c r="B1005" s="11" t="str">
        <x:v>2025-11</x:v>
      </x:c>
      <x:c r="C1005" s="11" t="str">
        <x:v>נובמבר 25</x:v>
      </x:c>
      <x:c r="D1005" s="15" t="n">
        <x:v>5</x:v>
      </x:c>
      <x:c r="E1005" s="11" t="str">
        <x:v>28</x:v>
      </x:c>
      <x:c r="F1005" s="11" t="str">
        <x:v>ארנונה</x:v>
      </x:c>
      <x:c r="G1005" s="17" t="n">
        <x:v>0</x:v>
      </x:c>
      <x:c r="H1005" s="18" t="str">
        <x:v>מגורים צריכה</x:v>
      </x:c>
      <x:c r="I1005" s="19" t="str">
        <x:f>IFERROR(INDEX('מיפוי ומקורות'!$C$7:$C$33,MATCH(H1005,'מיפוי ומקורות'!$B$7:$B$33,0)),"לא מסווג")</x:f>
        <x:v>דיור – בית מגורים</x:v>
      </x:c>
      <x:c r="J1005" s="19" t="str">
        <x:f>IFERROR(INDEX('מיפוי ומקורות'!$D$7:$D$33,MATCH(H1005,'מיפוי ומקורות'!$B$7:$B$33,0)),"שוטף")</x:f>
        <x:v>שוטף</x:v>
      </x:c>
      <x:c r="K1005" s="19" t="str">
        <x:f>IF(OR(H1005="ריביות",AND(H1005="דירה כצנלסון",G1005&lt;0,ISNUMBER(SEARCH("הכנסה",F1005)))),"הכנסה שסווגה מחדש",J1005)</x:f>
        <x:v>שוטף</x:v>
      </x:c>
      <x:c r="L1005" s="19" t="str">
        <x:v>מאושר</x:v>
      </x:c>
      <x:c r="M1005" s="20" t="n">
        <x:f>IF(L1005="מאושר",IF(K1005="הכנסה שסווגה מחדש",0,G1005),0)</x:f>
        <x:v>0</x:v>
      </x:c>
      <x:c r="N1005" s="20" t="n">
        <x:f>IF(K1005="שוטף",M1005,0)</x:f>
        <x:v>0</x:v>
      </x:c>
      <x:c r="O1005" s="20" t="n">
        <x:f>IF(K1005="הכנסה שסווגה מחדש",-G1005,0)</x:f>
        <x:v>0</x:v>
      </x:c>
      <x:c r="P1005" s="11" t="str"/>
      <x:c r="Q1005" s="11" t="str"/>
      <x:c r="R1005" s="11" t="str">
        <x:v>לא</x:v>
      </x:c>
    </x:row>
    <x:row r="1006">
      <x:c r="A1006" s="14" t="n">
        <x:v>45962</x:v>
      </x:c>
      <x:c r="B1006" s="11" t="str">
        <x:v>2025-11</x:v>
      </x:c>
      <x:c r="C1006" s="11" t="str">
        <x:v>נובמבר 25</x:v>
      </x:c>
      <x:c r="D1006" s="15" t="n">
        <x:v>6</x:v>
      </x:c>
      <x:c r="E1006" s="11" t="str">
        <x:v>6</x:v>
      </x:c>
      <x:c r="F1006" s="11" t="str">
        <x:v>חשמל</x:v>
      </x:c>
      <x:c r="G1006" s="17" t="n">
        <x:v>320</x:v>
      </x:c>
      <x:c r="H1006" s="18" t="str">
        <x:v>מגורים צריכה</x:v>
      </x:c>
      <x:c r="I1006" s="19" t="str">
        <x:f>IFERROR(INDEX('מיפוי ומקורות'!$C$7:$C$33,MATCH(H1006,'מיפוי ומקורות'!$B$7:$B$33,0)),"לא מסווג")</x:f>
        <x:v>דיור – בית מגורים</x:v>
      </x:c>
      <x:c r="J1006" s="19" t="str">
        <x:f>IFERROR(INDEX('מיפוי ומקורות'!$D$7:$D$33,MATCH(H1006,'מיפוי ומקורות'!$B$7:$B$33,0)),"שוטף")</x:f>
        <x:v>שוטף</x:v>
      </x:c>
      <x:c r="K1006" s="19" t="str">
        <x:f>IF(OR(H1006="ריביות",AND(H1006="דירה כצנלסון",G1006&lt;0,ISNUMBER(SEARCH("הכנסה",F1006)))),"הכנסה שסווגה מחדש",J1006)</x:f>
        <x:v>שוטף</x:v>
      </x:c>
      <x:c r="L1006" s="19" t="str">
        <x:v>מאושר</x:v>
      </x:c>
      <x:c r="M1006" s="20" t="n">
        <x:f>IF(L1006="מאושר",IF(K1006="הכנסה שסווגה מחדש",0,G1006),0)</x:f>
        <x:v>320</x:v>
      </x:c>
      <x:c r="N1006" s="20" t="n">
        <x:f>IF(K1006="שוטף",M1006,0)</x:f>
        <x:v>320</x:v>
      </x:c>
      <x:c r="O1006" s="20" t="n">
        <x:f>IF(K1006="הכנסה שסווגה מחדש",-G1006,0)</x:f>
        <x:v>0</x:v>
      </x:c>
      <x:c r="P1006" s="11" t="str">
        <x:v>אמקס זיו</x:v>
      </x:c>
      <x:c r="Q1006" s="11" t="str"/>
      <x:c r="R1006" s="11" t="str">
        <x:v>לא</x:v>
      </x:c>
    </x:row>
    <x:row r="1007">
      <x:c r="A1007" s="14" t="n">
        <x:v>45962</x:v>
      </x:c>
      <x:c r="B1007" s="11" t="str">
        <x:v>2025-11</x:v>
      </x:c>
      <x:c r="C1007" s="11" t="str">
        <x:v>נובמבר 25</x:v>
      </x:c>
      <x:c r="D1007" s="15" t="n">
        <x:v>7</x:v>
      </x:c>
      <x:c r="E1007" s="11" t="str">
        <x:v>3</x:v>
      </x:c>
      <x:c r="F1007" s="11" t="str">
        <x:v>מים</x:v>
      </x:c>
      <x:c r="G1007" s="17" t="n">
        <x:v>153</x:v>
      </x:c>
      <x:c r="H1007" s="18" t="str">
        <x:v>מגורים צריכה</x:v>
      </x:c>
      <x:c r="I1007" s="19" t="str">
        <x:f>IFERROR(INDEX('מיפוי ומקורות'!$C$7:$C$33,MATCH(H1007,'מיפוי ומקורות'!$B$7:$B$33,0)),"לא מסווג")</x:f>
        <x:v>דיור – בית מגורים</x:v>
      </x:c>
      <x:c r="J1007" s="19" t="str">
        <x:f>IFERROR(INDEX('מיפוי ומקורות'!$D$7:$D$33,MATCH(H1007,'מיפוי ומקורות'!$B$7:$B$33,0)),"שוטף")</x:f>
        <x:v>שוטף</x:v>
      </x:c>
      <x:c r="K1007" s="19" t="str">
        <x:f>IF(OR(H1007="ריביות",AND(H1007="דירה כצנלסון",G1007&lt;0,ISNUMBER(SEARCH("הכנסה",F1007)))),"הכנסה שסווגה מחדש",J1007)</x:f>
        <x:v>שוטף</x:v>
      </x:c>
      <x:c r="L1007" s="19" t="str">
        <x:v>מאושר</x:v>
      </x:c>
      <x:c r="M1007" s="20" t="n">
        <x:f>IF(L1007="מאושר",IF(K1007="הכנסה שסווגה מחדש",0,G1007),0)</x:f>
        <x:v>153</x:v>
      </x:c>
      <x:c r="N1007" s="20" t="n">
        <x:f>IF(K1007="שוטף",M1007,0)</x:f>
        <x:v>153</x:v>
      </x:c>
      <x:c r="O1007" s="20" t="n">
        <x:f>IF(K1007="הכנסה שסווגה מחדש",-G1007,0)</x:f>
        <x:v>0</x:v>
      </x:c>
      <x:c r="P1007" s="11" t="str">
        <x:v>מקס עינור</x:v>
      </x:c>
      <x:c r="Q1007" s="11" t="str"/>
      <x:c r="R1007" s="11" t="str">
        <x:v>לא</x:v>
      </x:c>
    </x:row>
    <x:row r="1008">
      <x:c r="A1008" s="14" t="n">
        <x:v>45962</x:v>
      </x:c>
      <x:c r="B1008" s="11" t="str">
        <x:v>2025-11</x:v>
      </x:c>
      <x:c r="C1008" s="11" t="str">
        <x:v>נובמבר 25</x:v>
      </x:c>
      <x:c r="D1008" s="15" t="n">
        <x:v>8</x:v>
      </x:c>
      <x:c r="E1008" s="11" t="str"/>
      <x:c r="F1008" s="11" t="str">
        <x:v>ועד בית</x:v>
      </x:c>
      <x:c r="G1008" s="17" t="n">
        <x:v>0</x:v>
      </x:c>
      <x:c r="H1008" s="18" t="str">
        <x:v>מגורים צריכה</x:v>
      </x:c>
      <x:c r="I1008" s="19" t="str">
        <x:f>IFERROR(INDEX('מיפוי ומקורות'!$C$7:$C$33,MATCH(H1008,'מיפוי ומקורות'!$B$7:$B$33,0)),"לא מסווג")</x:f>
        <x:v>דיור – בית מגורים</x:v>
      </x:c>
      <x:c r="J1008" s="19" t="str">
        <x:f>IFERROR(INDEX('מיפוי ומקורות'!$D$7:$D$33,MATCH(H1008,'מיפוי ומקורות'!$B$7:$B$33,0)),"שוטף")</x:f>
        <x:v>שוטף</x:v>
      </x:c>
      <x:c r="K1008" s="19" t="str">
        <x:f>IF(OR(H1008="ריביות",AND(H1008="דירה כצנלסון",G1008&lt;0,ISNUMBER(SEARCH("הכנסה",F1008)))),"הכנסה שסווגה מחדש",J1008)</x:f>
        <x:v>שוטף</x:v>
      </x:c>
      <x:c r="L1008" s="19" t="str">
        <x:v>מאושר</x:v>
      </x:c>
      <x:c r="M1008" s="20" t="n">
        <x:f>IF(L1008="מאושר",IF(K1008="הכנסה שסווגה מחדש",0,G1008),0)</x:f>
        <x:v>0</x:v>
      </x:c>
      <x:c r="N1008" s="20" t="n">
        <x:f>IF(K1008="שוטף",M1008,0)</x:f>
        <x:v>0</x:v>
      </x:c>
      <x:c r="O1008" s="20" t="n">
        <x:f>IF(K1008="הכנסה שסווגה מחדש",-G1008,0)</x:f>
        <x:v>0</x:v>
      </x:c>
      <x:c r="P1008" s="11" t="str"/>
      <x:c r="Q1008" s="11" t="str"/>
      <x:c r="R1008" s="11" t="str">
        <x:v>לא</x:v>
      </x:c>
    </x:row>
    <x:row r="1009">
      <x:c r="A1009" s="14" t="n">
        <x:v>45962</x:v>
      </x:c>
      <x:c r="B1009" s="11" t="str">
        <x:v>2025-11</x:v>
      </x:c>
      <x:c r="C1009" s="11" t="str">
        <x:v>נובמבר 25</x:v>
      </x:c>
      <x:c r="D1009" s="15" t="n">
        <x:v>9</x:v>
      </x:c>
      <x:c r="E1009" s="11" t="str">
        <x:v>6</x:v>
      </x:c>
      <x:c r="F1009" s="11" t="str">
        <x:v>גז</x:v>
      </x:c>
      <x:c r="G1009" s="17" t="n">
        <x:v>38</x:v>
      </x:c>
      <x:c r="H1009" s="18" t="str">
        <x:v>מגורים צריכה</x:v>
      </x:c>
      <x:c r="I1009" s="19" t="str">
        <x:f>IFERROR(INDEX('מיפוי ומקורות'!$C$7:$C$33,MATCH(H1009,'מיפוי ומקורות'!$B$7:$B$33,0)),"לא מסווג")</x:f>
        <x:v>דיור – בית מגורים</x:v>
      </x:c>
      <x:c r="J1009" s="19" t="str">
        <x:f>IFERROR(INDEX('מיפוי ומקורות'!$D$7:$D$33,MATCH(H1009,'מיפוי ומקורות'!$B$7:$B$33,0)),"שוטף")</x:f>
        <x:v>שוטף</x:v>
      </x:c>
      <x:c r="K1009" s="19" t="str">
        <x:f>IF(OR(H1009="ריביות",AND(H1009="דירה כצנלסון",G1009&lt;0,ISNUMBER(SEARCH("הכנסה",F1009)))),"הכנסה שסווגה מחדש",J1009)</x:f>
        <x:v>שוטף</x:v>
      </x:c>
      <x:c r="L1009" s="19" t="str">
        <x:v>מאושר</x:v>
      </x:c>
      <x:c r="M1009" s="20" t="n">
        <x:f>IF(L1009="מאושר",IF(K1009="הכנסה שסווגה מחדש",0,G1009),0)</x:f>
        <x:v>38</x:v>
      </x:c>
      <x:c r="N1009" s="20" t="n">
        <x:f>IF(K1009="שוטף",M1009,0)</x:f>
        <x:v>38</x:v>
      </x:c>
      <x:c r="O1009" s="20" t="n">
        <x:f>IF(K1009="הכנסה שסווגה מחדש",-G1009,0)</x:f>
        <x:v>0</x:v>
      </x:c>
      <x:c r="P1009" s="11" t="str">
        <x:v>אמקס זיו</x:v>
      </x:c>
      <x:c r="Q1009" s="11" t="str"/>
      <x:c r="R1009" s="11" t="str">
        <x:v>לא</x:v>
      </x:c>
    </x:row>
    <x:row r="1010">
      <x:c r="A1010" s="14" t="n">
        <x:v>45962</x:v>
      </x:c>
      <x:c r="B1010" s="11" t="str">
        <x:v>2025-11</x:v>
      </x:c>
      <x:c r="C1010" s="11" t="str">
        <x:v>נובמבר 25</x:v>
      </x:c>
      <x:c r="D1010" s="15" t="n">
        <x:v>10</x:v>
      </x:c>
      <x:c r="E1010" s="11" t="str"/>
      <x:c r="F1010" s="11" t="str">
        <x:v>מנקה</x:v>
      </x:c>
      <x:c r="G1010" s="17" t="n">
        <x:v>400</x:v>
      </x:c>
      <x:c r="H1010" s="18" t="str">
        <x:v>מגורים צריכה</x:v>
      </x:c>
      <x:c r="I1010" s="19" t="str">
        <x:f>IFERROR(INDEX('מיפוי ומקורות'!$C$7:$C$33,MATCH(H1010,'מיפוי ומקורות'!$B$7:$B$33,0)),"לא מסווג")</x:f>
        <x:v>דיור – בית מגורים</x:v>
      </x:c>
      <x:c r="J1010" s="19" t="str">
        <x:f>IFERROR(INDEX('מיפוי ומקורות'!$D$7:$D$33,MATCH(H1010,'מיפוי ומקורות'!$B$7:$B$33,0)),"שוטף")</x:f>
        <x:v>שוטף</x:v>
      </x:c>
      <x:c r="K1010" s="19" t="str">
        <x:f>IF(OR(H1010="ריביות",AND(H1010="דירה כצנלסון",G1010&lt;0,ISNUMBER(SEARCH("הכנסה",F1010)))),"הכנסה שסווגה מחדש",J1010)</x:f>
        <x:v>שוטף</x:v>
      </x:c>
      <x:c r="L1010" s="19" t="str">
        <x:v>מאושר</x:v>
      </x:c>
      <x:c r="M1010" s="20" t="n">
        <x:f>IF(L1010="מאושר",IF(K1010="הכנסה שסווגה מחדש",0,G1010),0)</x:f>
        <x:v>400</x:v>
      </x:c>
      <x:c r="N1010" s="20" t="n">
        <x:f>IF(K1010="שוטף",M1010,0)</x:f>
        <x:v>400</x:v>
      </x:c>
      <x:c r="O1010" s="20" t="n">
        <x:f>IF(K1010="הכנסה שסווגה מחדש",-G1010,0)</x:f>
        <x:v>0</x:v>
      </x:c>
      <x:c r="P1010" s="11" t="str">
        <x:v>מזומן</x:v>
      </x:c>
      <x:c r="Q1010" s="11" t="str"/>
      <x:c r="R1010" s="11" t="str">
        <x:v>לא</x:v>
      </x:c>
    </x:row>
    <x:row r="1011">
      <x:c r="A1011" s="14" t="n">
        <x:v>45962</x:v>
      </x:c>
      <x:c r="B1011" s="11" t="str">
        <x:v>2025-11</x:v>
      </x:c>
      <x:c r="C1011" s="11" t="str">
        <x:v>נובמבר 25</x:v>
      </x:c>
      <x:c r="D1011" s="15" t="n">
        <x:v>11</x:v>
      </x:c>
      <x:c r="E1011" s="11" t="str">
        <x:v>16</x:v>
      </x:c>
      <x:c r="F1011" s="11" t="str">
        <x:v>אינטרנט</x:v>
      </x:c>
      <x:c r="G1011" s="17" t="n">
        <x:v>79</x:v>
      </x:c>
      <x:c r="H1011" s="18" t="str">
        <x:v>מגורים חודשי</x:v>
      </x:c>
      <x:c r="I1011" s="19" t="str">
        <x:f>IFERROR(INDEX('מיפוי ומקורות'!$C$7:$C$33,MATCH(H1011,'מיפוי ומקורות'!$B$7:$B$33,0)),"לא מסווג")</x:f>
        <x:v>דיור – בית מגורים</x:v>
      </x:c>
      <x:c r="J1011" s="19" t="str">
        <x:f>IFERROR(INDEX('מיפוי ומקורות'!$D$7:$D$33,MATCH(H1011,'מיפוי ומקורות'!$B$7:$B$33,0)),"שוטף")</x:f>
        <x:v>שוטף</x:v>
      </x:c>
      <x:c r="K1011" s="19" t="str">
        <x:f>IF(OR(H1011="ריביות",AND(H1011="דירה כצנלסון",G1011&lt;0,ISNUMBER(SEARCH("הכנסה",F1011)))),"הכנסה שסווגה מחדש",J1011)</x:f>
        <x:v>שוטף</x:v>
      </x:c>
      <x:c r="L1011" s="19" t="str">
        <x:v>מאושר</x:v>
      </x:c>
      <x:c r="M1011" s="20" t="n">
        <x:f>IF(L1011="מאושר",IF(K1011="הכנסה שסווגה מחדש",0,G1011),0)</x:f>
        <x:v>79</x:v>
      </x:c>
      <x:c r="N1011" s="20" t="n">
        <x:f>IF(K1011="שוטף",M1011,0)</x:f>
        <x:v>79</x:v>
      </x:c>
      <x:c r="O1011" s="20" t="n">
        <x:f>IF(K1011="הכנסה שסווגה מחדש",-G1011,0)</x:f>
        <x:v>0</x:v>
      </x:c>
      <x:c r="P1011" s="11" t="str">
        <x:v>אמקס זיו</x:v>
      </x:c>
      <x:c r="Q1011" s="11" t="str"/>
      <x:c r="R1011" s="11" t="str">
        <x:v>לא</x:v>
      </x:c>
    </x:row>
    <x:row r="1012">
      <x:c r="A1012" s="14" t="n">
        <x:v>45962</x:v>
      </x:c>
      <x:c r="B1012" s="11" t="str">
        <x:v>2025-11</x:v>
      </x:c>
      <x:c r="C1012" s="11" t="str">
        <x:v>נובמבר 25</x:v>
      </x:c>
      <x:c r="D1012" s="15" t="n">
        <x:v>12</x:v>
      </x:c>
      <x:c r="E1012" s="11" t="str">
        <x:v>11</x:v>
      </x:c>
      <x:c r="F1012" s="11" t="str">
        <x:v>סלולר</x:v>
      </x:c>
      <x:c r="G1012" s="17" t="n">
        <x:v>59</x:v>
      </x:c>
      <x:c r="H1012" s="18" t="str">
        <x:v>מגורים חודשי</x:v>
      </x:c>
      <x:c r="I1012" s="19" t="str">
        <x:f>IFERROR(INDEX('מיפוי ומקורות'!$C$7:$C$33,MATCH(H1012,'מיפוי ומקורות'!$B$7:$B$33,0)),"לא מסווג")</x:f>
        <x:v>דיור – בית מגורים</x:v>
      </x:c>
      <x:c r="J1012" s="19" t="str">
        <x:f>IFERROR(INDEX('מיפוי ומקורות'!$D$7:$D$33,MATCH(H1012,'מיפוי ומקורות'!$B$7:$B$33,0)),"שוטף")</x:f>
        <x:v>שוטף</x:v>
      </x:c>
      <x:c r="K1012" s="19" t="str">
        <x:f>IF(OR(H1012="ריביות",AND(H1012="דירה כצנלסון",G1012&lt;0,ISNUMBER(SEARCH("הכנסה",F1012)))),"הכנסה שסווגה מחדש",J1012)</x:f>
        <x:v>שוטף</x:v>
      </x:c>
      <x:c r="L1012" s="19" t="str">
        <x:v>מאושר</x:v>
      </x:c>
      <x:c r="M1012" s="20" t="n">
        <x:f>IF(L1012="מאושר",IF(K1012="הכנסה שסווגה מחדש",0,G1012),0)</x:f>
        <x:v>59</x:v>
      </x:c>
      <x:c r="N1012" s="20" t="n">
        <x:f>IF(K1012="שוטף",M1012,0)</x:f>
        <x:v>59</x:v>
      </x:c>
      <x:c r="O1012" s="20" t="n">
        <x:f>IF(K1012="הכנסה שסווגה מחדש",-G1012,0)</x:f>
        <x:v>0</x:v>
      </x:c>
      <x:c r="P1012" s="11" t="str">
        <x:v>אמקס זיו</x:v>
      </x:c>
      <x:c r="Q1012" s="11" t="str"/>
      <x:c r="R1012" s="11" t="str">
        <x:v>לא</x:v>
      </x:c>
    </x:row>
    <x:row r="1013">
      <x:c r="A1013" s="14" t="n">
        <x:v>45962</x:v>
      </x:c>
      <x:c r="B1013" s="11" t="str">
        <x:v>2025-11</x:v>
      </x:c>
      <x:c r="C1013" s="11" t="str">
        <x:v>נובמבר 25</x:v>
      </x:c>
      <x:c r="D1013" s="15" t="n">
        <x:v>13</x:v>
      </x:c>
      <x:c r="E1013" s="11" t="str"/>
      <x:c r="F1013" s="11" t="str">
        <x:v>ביטוח מבנה</x:v>
      </x:c>
      <x:c r="G1013" s="17" t="n">
        <x:v>0</x:v>
      </x:c>
      <x:c r="H1013" s="18" t="str">
        <x:v>דירה כצנלסון</x:v>
      </x:c>
      <x:c r="I1013" s="19" t="str">
        <x:f>IFERROR(INDEX('מיפוי ומקורות'!$C$7:$C$33,MATCH(H1013,'מיפוי ומקורות'!$B$7:$B$33,0)),"לא מסווג")</x:f>
        <x:v>נכס להשקעה</x:v>
      </x:c>
      <x:c r="J1013" s="19" t="str">
        <x:f>IFERROR(INDEX('מיפוי ומקורות'!$D$7:$D$33,MATCH(H1013,'מיפוי ומקורות'!$B$7:$B$33,0)),"שוטף")</x:f>
        <x:v>חריג/נכס</x:v>
      </x:c>
      <x:c r="K1013" s="19" t="str">
        <x:f>IF(OR(H1013="ריביות",AND(H1013="דירה כצנלסון",G1013&lt;0,ISNUMBER(SEARCH("הכנסה",F1013)))),"הכנסה שסווגה מחדש",J1013)</x:f>
        <x:v>חריג/נכס</x:v>
      </x:c>
      <x:c r="L1013" s="19" t="str">
        <x:v>מאושר</x:v>
      </x:c>
      <x:c r="M1013" s="20" t="n">
        <x:f>IF(L1013="מאושר",IF(K1013="הכנסה שסווגה מחדש",0,G1013),0)</x:f>
        <x:v>0</x:v>
      </x:c>
      <x:c r="N1013" s="20" t="n">
        <x:f>IF(K1013="שוטף",M1013,0)</x:f>
        <x:v>0</x:v>
      </x:c>
      <x:c r="O1013" s="20" t="n">
        <x:f>IF(K1013="הכנסה שסווגה מחדש",-G1013,0)</x:f>
        <x:v>0</x:v>
      </x:c>
      <x:c r="P1013" s="11" t="str">
        <x:v>אמקס זיו</x:v>
      </x:c>
      <x:c r="Q1013" s="11" t="str"/>
      <x:c r="R1013" s="11" t="str">
        <x:v>לא</x:v>
      </x:c>
    </x:row>
    <x:row r="1014">
      <x:c r="A1014" s="14" t="n">
        <x:v>45962</x:v>
      </x:c>
      <x:c r="B1014" s="11" t="str">
        <x:v>2025-11</x:v>
      </x:c>
      <x:c r="C1014" s="11" t="str">
        <x:v>נובמבר 25</x:v>
      </x:c>
      <x:c r="D1014" s="15" t="n">
        <x:v>14</x:v>
      </x:c>
      <x:c r="E1014" s="11" t="str">
        <x:v>28</x:v>
      </x:c>
      <x:c r="F1014" s="11" t="str">
        <x:v>ביטוח חיים</x:v>
      </x:c>
      <x:c r="G1014" s="17" t="n">
        <x:v>36</x:v>
      </x:c>
      <x:c r="H1014" s="18" t="str">
        <x:v>דירה כצנלסון</x:v>
      </x:c>
      <x:c r="I1014" s="19" t="str">
        <x:f>IFERROR(INDEX('מיפוי ומקורות'!$C$7:$C$33,MATCH(H1014,'מיפוי ומקורות'!$B$7:$B$33,0)),"לא מסווג")</x:f>
        <x:v>נכס להשקעה</x:v>
      </x:c>
      <x:c r="J1014" s="19" t="str">
        <x:f>IFERROR(INDEX('מיפוי ומקורות'!$D$7:$D$33,MATCH(H1014,'מיפוי ומקורות'!$B$7:$B$33,0)),"שוטף")</x:f>
        <x:v>חריג/נכס</x:v>
      </x:c>
      <x:c r="K1014" s="19" t="str">
        <x:f>IF(OR(H1014="ריביות",AND(H1014="דירה כצנלסון",G1014&lt;0,ISNUMBER(SEARCH("הכנסה",F1014)))),"הכנסה שסווגה מחדש",J1014)</x:f>
        <x:v>חריג/נכס</x:v>
      </x:c>
      <x:c r="L1014" s="19" t="str">
        <x:v>מאושר</x:v>
      </x:c>
      <x:c r="M1014" s="20" t="n">
        <x:f>IF(L1014="מאושר",IF(K1014="הכנסה שסווגה מחדש",0,G1014),0)</x:f>
        <x:v>36</x:v>
      </x:c>
      <x:c r="N1014" s="20" t="n">
        <x:f>IF(K1014="שוטף",M1014,0)</x:f>
        <x:v>0</x:v>
      </x:c>
      <x:c r="O1014" s="20" t="n">
        <x:f>IF(K1014="הכנסה שסווגה מחדש",-G1014,0)</x:f>
        <x:v>0</x:v>
      </x:c>
      <x:c r="P1014" s="11" t="str">
        <x:v>אמקס זיו</x:v>
      </x:c>
      <x:c r="Q1014" s="11" t="str"/>
      <x:c r="R1014" s="11" t="str">
        <x:v>לא</x:v>
      </x:c>
    </x:row>
    <x:row r="1015">
      <x:c r="A1015" s="14" t="n">
        <x:v>45962</x:v>
      </x:c>
      <x:c r="B1015" s="11" t="str">
        <x:v>2025-11</x:v>
      </x:c>
      <x:c r="C1015" s="11" t="str">
        <x:v>נובמבר 25</x:v>
      </x:c>
      <x:c r="D1015" s="15" t="n">
        <x:v>15</x:v>
      </x:c>
      <x:c r="E1015" s="11" t="str">
        <x:v>26</x:v>
      </x:c>
      <x:c r="F1015" s="11" t="str">
        <x:v>ביטוח בריאות</x:v>
      </x:c>
      <x:c r="G1015" s="17" t="n">
        <x:v>115</x:v>
      </x:c>
      <x:c r="H1015" s="18" t="str">
        <x:v>ביטוח</x:v>
      </x:c>
      <x:c r="I1015" s="19" t="str">
        <x:f>IFERROR(INDEX('מיפוי ומקורות'!$C$7:$C$33,MATCH(H1015,'מיפוי ומקורות'!$B$7:$B$33,0)),"לא מסווג")</x:f>
        <x:v>ביטוח</x:v>
      </x:c>
      <x:c r="J1015" s="19" t="str">
        <x:f>IFERROR(INDEX('מיפוי ומקורות'!$D$7:$D$33,MATCH(H1015,'מיפוי ומקורות'!$B$7:$B$33,0)),"שוטף")</x:f>
        <x:v>שוטף</x:v>
      </x:c>
      <x:c r="K1015" s="19" t="str">
        <x:f>IF(OR(H1015="ריביות",AND(H1015="דירה כצנלסון",G1015&lt;0,ISNUMBER(SEARCH("הכנסה",F1015)))),"הכנסה שסווגה מחדש",J1015)</x:f>
        <x:v>שוטף</x:v>
      </x:c>
      <x:c r="L1015" s="19" t="str">
        <x:v>מאושר</x:v>
      </x:c>
      <x:c r="M1015" s="20" t="n">
        <x:f>IF(L1015="מאושר",IF(K1015="הכנסה שסווגה מחדש",0,G1015),0)</x:f>
        <x:v>115</x:v>
      </x:c>
      <x:c r="N1015" s="20" t="n">
        <x:f>IF(K1015="שוטף",M1015,0)</x:f>
        <x:v>115</x:v>
      </x:c>
      <x:c r="O1015" s="20" t="n">
        <x:f>IF(K1015="הכנסה שסווגה מחדש",-G1015,0)</x:f>
        <x:v>0</x:v>
      </x:c>
      <x:c r="P1015" s="11" t="str">
        <x:v>אמקס עינור</x:v>
      </x:c>
      <x:c r="Q1015" s="11" t="str"/>
      <x:c r="R1015" s="11" t="str">
        <x:v>לא</x:v>
      </x:c>
    </x:row>
    <x:row r="1016">
      <x:c r="A1016" s="14" t="n">
        <x:v>45962</x:v>
      </x:c>
      <x:c r="B1016" s="11" t="str">
        <x:v>2025-11</x:v>
      </x:c>
      <x:c r="C1016" s="11" t="str">
        <x:v>נובמבר 25</x:v>
      </x:c>
      <x:c r="D1016" s="15" t="n">
        <x:v>16</x:v>
      </x:c>
      <x:c r="E1016" s="11" t="str">
        <x:v>2</x:v>
      </x:c>
      <x:c r="F1016" s="11" t="str">
        <x:v>מכבי</x:v>
      </x:c>
      <x:c r="G1016" s="17" t="n">
        <x:v>56</x:v>
      </x:c>
      <x:c r="H1016" s="18" t="str">
        <x:v>בריאות</x:v>
      </x:c>
      <x:c r="I1016" s="19" t="str">
        <x:f>IFERROR(INDEX('מיפוי ומקורות'!$C$7:$C$33,MATCH(H1016,'מיפוי ומקורות'!$B$7:$B$33,0)),"לא מסווג")</x:f>
        <x:v>בריאות וטיפולים</x:v>
      </x:c>
      <x:c r="J1016" s="19" t="str">
        <x:f>IFERROR(INDEX('מיפוי ומקורות'!$D$7:$D$33,MATCH(H1016,'מיפוי ומקורות'!$B$7:$B$33,0)),"שוטף")</x:f>
        <x:v>שוטף</x:v>
      </x:c>
      <x:c r="K1016" s="19" t="str">
        <x:f>IF(OR(H1016="ריביות",AND(H1016="דירה כצנלסון",G1016&lt;0,ISNUMBER(SEARCH("הכנסה",F1016)))),"הכנסה שסווגה מחדש",J1016)</x:f>
        <x:v>שוטף</x:v>
      </x:c>
      <x:c r="L1016" s="19" t="str">
        <x:v>מאושר</x:v>
      </x:c>
      <x:c r="M1016" s="20" t="n">
        <x:f>IF(L1016="מאושר",IF(K1016="הכנסה שסווגה מחדש",0,G1016),0)</x:f>
        <x:v>56</x:v>
      </x:c>
      <x:c r="N1016" s="20" t="n">
        <x:f>IF(K1016="שוטף",M1016,0)</x:f>
        <x:v>56</x:v>
      </x:c>
      <x:c r="O1016" s="20" t="n">
        <x:f>IF(K1016="הכנסה שסווגה מחדש",-G1016,0)</x:f>
        <x:v>0</x:v>
      </x:c>
      <x:c r="P1016" s="11" t="str">
        <x:v>אמקס זיו</x:v>
      </x:c>
      <x:c r="Q1016" s="11" t="str"/>
      <x:c r="R1016" s="11" t="str">
        <x:v>לא</x:v>
      </x:c>
    </x:row>
    <x:row r="1017">
      <x:c r="A1017" s="14" t="n">
        <x:v>45962</x:v>
      </x:c>
      <x:c r="B1017" s="11" t="str">
        <x:v>2025-11</x:v>
      </x:c>
      <x:c r="C1017" s="11" t="str">
        <x:v>נובמבר 25</x:v>
      </x:c>
      <x:c r="D1017" s="15" t="n">
        <x:v>17</x:v>
      </x:c>
      <x:c r="E1017" s="11" t="str">
        <x:v>2</x:v>
      </x:c>
      <x:c r="F1017" s="11" t="str">
        <x:v>מכבי</x:v>
      </x:c>
      <x:c r="G1017" s="17" t="n">
        <x:v>96</x:v>
      </x:c>
      <x:c r="H1017" s="18" t="str">
        <x:v>בריאות</x:v>
      </x:c>
      <x:c r="I1017" s="19" t="str">
        <x:f>IFERROR(INDEX('מיפוי ומקורות'!$C$7:$C$33,MATCH(H1017,'מיפוי ומקורות'!$B$7:$B$33,0)),"לא מסווג")</x:f>
        <x:v>בריאות וטיפולים</x:v>
      </x:c>
      <x:c r="J1017" s="19" t="str">
        <x:f>IFERROR(INDEX('מיפוי ומקורות'!$D$7:$D$33,MATCH(H1017,'מיפוי ומקורות'!$B$7:$B$33,0)),"שוטף")</x:f>
        <x:v>שוטף</x:v>
      </x:c>
      <x:c r="K1017" s="19" t="str">
        <x:f>IF(OR(H1017="ריביות",AND(H1017="דירה כצנלסון",G1017&lt;0,ISNUMBER(SEARCH("הכנסה",F1017)))),"הכנסה שסווגה מחדש",J1017)</x:f>
        <x:v>שוטף</x:v>
      </x:c>
      <x:c r="L1017" s="19" t="str">
        <x:v>מאושר</x:v>
      </x:c>
      <x:c r="M1017" s="20" t="n">
        <x:f>IF(L1017="מאושר",IF(K1017="הכנסה שסווגה מחדש",0,G1017),0)</x:f>
        <x:v>96</x:v>
      </x:c>
      <x:c r="N1017" s="20" t="n">
        <x:f>IF(K1017="שוטף",M1017,0)</x:f>
        <x:v>96</x:v>
      </x:c>
      <x:c r="O1017" s="20" t="n">
        <x:f>IF(K1017="הכנסה שסווגה מחדש",-G1017,0)</x:f>
        <x:v>0</x:v>
      </x:c>
      <x:c r="P1017" s="11" t="str">
        <x:v>אמקס עינור</x:v>
      </x:c>
      <x:c r="Q1017" s="11" t="str"/>
      <x:c r="R1017" s="11" t="str">
        <x:v>לא</x:v>
      </x:c>
    </x:row>
    <x:row r="1018">
      <x:c r="A1018" s="14" t="n">
        <x:v>45962</x:v>
      </x:c>
      <x:c r="B1018" s="11" t="str">
        <x:v>2025-11</x:v>
      </x:c>
      <x:c r="C1018" s="11" t="str">
        <x:v>נובמבר 25</x:v>
      </x:c>
      <x:c r="D1018" s="15" t="n">
        <x:v>18</x:v>
      </x:c>
      <x:c r="E1018" s="11" t="str">
        <x:v>2</x:v>
      </x:c>
      <x:c r="F1018" s="11" t="str">
        <x:v>ליאת</x:v>
      </x:c>
      <x:c r="G1018" s="17" t="n">
        <x:v>450</x:v>
      </x:c>
      <x:c r="H1018" s="18" t="str">
        <x:v>בריאות</x:v>
      </x:c>
      <x:c r="I1018" s="19" t="str">
        <x:f>IFERROR(INDEX('מיפוי ומקורות'!$C$7:$C$33,MATCH(H1018,'מיפוי ומקורות'!$B$7:$B$33,0)),"לא מסווג")</x:f>
        <x:v>בריאות וטיפולים</x:v>
      </x:c>
      <x:c r="J1018" s="19" t="str">
        <x:f>IFERROR(INDEX('מיפוי ומקורות'!$D$7:$D$33,MATCH(H1018,'מיפוי ומקורות'!$B$7:$B$33,0)),"שוטף")</x:f>
        <x:v>שוטף</x:v>
      </x:c>
      <x:c r="K1018" s="19" t="str">
        <x:f>IF(OR(H1018="ריביות",AND(H1018="דירה כצנלסון",G1018&lt;0,ISNUMBER(SEARCH("הכנסה",F1018)))),"הכנסה שסווגה מחדש",J1018)</x:f>
        <x:v>שוטף</x:v>
      </x:c>
      <x:c r="L1018" s="19" t="str">
        <x:v>מאושר</x:v>
      </x:c>
      <x:c r="M1018" s="20" t="n">
        <x:f>IF(L1018="מאושר",IF(K1018="הכנסה שסווגה מחדש",0,G1018),0)</x:f>
        <x:v>450</x:v>
      </x:c>
      <x:c r="N1018" s="20" t="n">
        <x:f>IF(K1018="שוטף",M1018,0)</x:f>
        <x:v>450</x:v>
      </x:c>
      <x:c r="O1018" s="20" t="n">
        <x:f>IF(K1018="הכנסה שסווגה מחדש",-G1018,0)</x:f>
        <x:v>0</x:v>
      </x:c>
      <x:c r="P1018" s="11" t="str">
        <x:v>one zero</x:v>
      </x:c>
      <x:c r="Q1018" s="11" t="str"/>
      <x:c r="R1018" s="11" t="str">
        <x:v>לא</x:v>
      </x:c>
    </x:row>
    <x:row r="1019">
      <x:c r="A1019" s="14" t="n">
        <x:v>45962</x:v>
      </x:c>
      <x:c r="B1019" s="11" t="str">
        <x:v>2025-11</x:v>
      </x:c>
      <x:c r="C1019" s="11" t="str">
        <x:v>נובמבר 25</x:v>
      </x:c>
      <x:c r="D1019" s="15" t="n">
        <x:v>19</x:v>
      </x:c>
      <x:c r="E1019" s="11" t="str">
        <x:v>14</x:v>
      </x:c>
      <x:c r="F1019" s="11" t="str">
        <x:v>ריבית</x:v>
      </x:c>
      <x:c r="G1019" s="17" t="n">
        <x:v>-5201</x:v>
      </x:c>
      <x:c r="H1019" s="18" t="str">
        <x:v>ריביות</x:v>
      </x:c>
      <x:c r="I1019" s="19" t="str">
        <x:f>IFERROR(INDEX('מיפוי ומקורות'!$C$7:$C$33,MATCH(H1019,'מיפוי ומקורות'!$B$7:$B$33,0)),"לא מסווג")</x:f>
        <x:v>זרם פיננסי</x:v>
      </x:c>
      <x:c r="J1019" s="19" t="str">
        <x:f>IFERROR(INDEX('מיפוי ומקורות'!$D$7:$D$33,MATCH(H1019,'מיפוי ומקורות'!$B$7:$B$33,0)),"שוטף")</x:f>
        <x:v>הכנסה שסווגה מחדש</x:v>
      </x:c>
      <x:c r="K1019" s="19" t="str">
        <x:f>IF(OR(H1019="ריביות",AND(H1019="דירה כצנלסון",G1019&lt;0,ISNUMBER(SEARCH("הכנסה",F1019)))),"הכנסה שסווגה מחדש",J1019)</x:f>
        <x:v>הכנסה שסווגה מחדש</x:v>
      </x:c>
      <x:c r="L1019" s="19" t="str">
        <x:v>מאושר</x:v>
      </x:c>
      <x:c r="M1019" s="20" t="n">
        <x:f>IF(L1019="מאושר",IF(K1019="הכנסה שסווגה מחדש",0,G1019),0)</x:f>
        <x:v>0</x:v>
      </x:c>
      <x:c r="N1019" s="20" t="n">
        <x:f>IF(K1019="שוטף",M1019,0)</x:f>
        <x:v>0</x:v>
      </x:c>
      <x:c r="O1019" s="20" t="n">
        <x:f>IF(K1019="הכנסה שסווגה מחדש",-G1019,0)</x:f>
        <x:v>5201</x:v>
      </x:c>
      <x:c r="P1019" s="11" t="str">
        <x:v>one zero</x:v>
      </x:c>
      <x:c r="Q1019" s="11" t="str"/>
      <x:c r="R1019" s="11" t="str">
        <x:v>לא</x:v>
      </x:c>
    </x:row>
    <x:row r="1020">
      <x:c r="A1020" s="14" t="n">
        <x:v>45962</x:v>
      </x:c>
      <x:c r="B1020" s="11" t="str">
        <x:v>2025-11</x:v>
      </x:c>
      <x:c r="C1020" s="11" t="str">
        <x:v>נובמבר 25</x:v>
      </x:c>
      <x:c r="D1020" s="15" t="n">
        <x:v>20</x:v>
      </x:c>
      <x:c r="E1020" s="11" t="str">
        <x:v>11</x:v>
      </x:c>
      <x:c r="F1020" s="11" t="str">
        <x:v>עמלות ניירות ערך</x:v>
      </x:c>
      <x:c r="G1020" s="17" t="n">
        <x:v>103</x:v>
      </x:c>
      <x:c r="H1020" s="18" t="str">
        <x:v>עמלות</x:v>
      </x:c>
      <x:c r="I1020" s="19" t="str">
        <x:f>IFERROR(INDEX('מיפוי ומקורות'!$C$7:$C$33,MATCH(H1020,'מיפוי ומקורות'!$B$7:$B$33,0)),"לא מסווג")</x:f>
        <x:v>עמלות</x:v>
      </x:c>
      <x:c r="J1020" s="19" t="str">
        <x:f>IFERROR(INDEX('מיפוי ומקורות'!$D$7:$D$33,MATCH(H1020,'מיפוי ומקורות'!$B$7:$B$33,0)),"שוטף")</x:f>
        <x:v>שוטף</x:v>
      </x:c>
      <x:c r="K1020" s="19" t="str">
        <x:f>IF(OR(H1020="ריביות",AND(H1020="דירה כצנלסון",G1020&lt;0,ISNUMBER(SEARCH("הכנסה",F1020)))),"הכנסה שסווגה מחדש",J1020)</x:f>
        <x:v>שוטף</x:v>
      </x:c>
      <x:c r="L1020" s="19" t="str">
        <x:v>מאושר</x:v>
      </x:c>
      <x:c r="M1020" s="20" t="n">
        <x:f>IF(L1020="מאושר",IF(K1020="הכנסה שסווגה מחדש",0,G1020),0)</x:f>
        <x:v>103</x:v>
      </x:c>
      <x:c r="N1020" s="20" t="n">
        <x:f>IF(K1020="שוטף",M1020,0)</x:f>
        <x:v>103</x:v>
      </x:c>
      <x:c r="O1020" s="20" t="n">
        <x:f>IF(K1020="הכנסה שסווגה מחדש",-G1020,0)</x:f>
        <x:v>0</x:v>
      </x:c>
      <x:c r="P1020" s="11" t="str">
        <x:v>דיסקונט</x:v>
      </x:c>
      <x:c r="Q1020" s="11" t="str"/>
      <x:c r="R1020" s="11" t="str">
        <x:v>לא</x:v>
      </x:c>
    </x:row>
    <x:row r="1021">
      <x:c r="A1021" s="14" t="n">
        <x:v>45962</x:v>
      </x:c>
      <x:c r="B1021" s="11" t="str">
        <x:v>2025-11</x:v>
      </x:c>
      <x:c r="C1021" s="11" t="str">
        <x:v>נובמבר 25</x:v>
      </x:c>
      <x:c r="D1021" s="15" t="n">
        <x:v>21</x:v>
      </x:c>
      <x:c r="E1021" s="11" t="str">
        <x:v>25</x:v>
      </x:c>
      <x:c r="F1021" s="11" t="str">
        <x:v>תחבץ</x:v>
      </x:c>
      <x:c r="G1021" s="17" t="n">
        <x:v>149</x:v>
      </x:c>
      <x:c r="H1021" s="18" t="str">
        <x:v>תחבורה</x:v>
      </x:c>
      <x:c r="I1021" s="19" t="str">
        <x:f>IFERROR(INDEX('מיפוי ומקורות'!$C$7:$C$33,MATCH(H1021,'מיפוי ומקורות'!$B$7:$B$33,0)),"לא מסווג")</x:f>
        <x:v>תחבורה</x:v>
      </x:c>
      <x:c r="J1021" s="19" t="str">
        <x:f>IFERROR(INDEX('מיפוי ומקורות'!$D$7:$D$33,MATCH(H1021,'מיפוי ומקורות'!$B$7:$B$33,0)),"שוטף")</x:f>
        <x:v>שוטף</x:v>
      </x:c>
      <x:c r="K1021" s="19" t="str">
        <x:f>IF(OR(H1021="ריביות",AND(H1021="דירה כצנלסון",G1021&lt;0,ISNUMBER(SEARCH("הכנסה",F1021)))),"הכנסה שסווגה מחדש",J1021)</x:f>
        <x:v>שוטף</x:v>
      </x:c>
      <x:c r="L1021" s="19" t="str">
        <x:v>מאושר</x:v>
      </x:c>
      <x:c r="M1021" s="20" t="n">
        <x:f>IF(L1021="מאושר",IF(K1021="הכנסה שסווגה מחדש",0,G1021),0)</x:f>
        <x:v>149</x:v>
      </x:c>
      <x:c r="N1021" s="20" t="n">
        <x:f>IF(K1021="שוטף",M1021,0)</x:f>
        <x:v>149</x:v>
      </x:c>
      <x:c r="O1021" s="20" t="n">
        <x:f>IF(K1021="הכנסה שסווגה מחדש",-G1021,0)</x:f>
        <x:v>0</x:v>
      </x:c>
      <x:c r="P1021" s="11" t="str">
        <x:v>one zero עינור</x:v>
      </x:c>
      <x:c r="Q1021" s="11" t="str"/>
      <x:c r="R1021" s="11" t="str">
        <x:v>לא</x:v>
      </x:c>
    </x:row>
    <x:row r="1022">
      <x:c r="A1022" s="14" t="n">
        <x:v>45962</x:v>
      </x:c>
      <x:c r="B1022" s="11" t="str">
        <x:v>2025-11</x:v>
      </x:c>
      <x:c r="C1022" s="11" t="str">
        <x:v>נובמבר 25</x:v>
      </x:c>
      <x:c r="D1022" s="15" t="n">
        <x:v>22</x:v>
      </x:c>
      <x:c r="E1022" s="11" t="str">
        <x:v>2</x:v>
      </x:c>
      <x:c r="F1022" s="11" t="str">
        <x:v>אלי</x:v>
      </x:c>
      <x:c r="G1022" s="17" t="n">
        <x:v>109</x:v>
      </x:c>
      <x:c r="H1022" s="18" t="str">
        <x:v>קניות לבית</x:v>
      </x:c>
      <x:c r="I1022" s="19" t="str">
        <x:f>IFERROR(INDEX('מיפוי ומקורות'!$C$7:$C$33,MATCH(H1022,'מיפוי ומקורות'!$B$7:$B$33,0)),"לא מסווג")</x:f>
        <x:v>קניות לבית</x:v>
      </x:c>
      <x:c r="J1022" s="19" t="str">
        <x:f>IFERROR(INDEX('מיפוי ומקורות'!$D$7:$D$33,MATCH(H1022,'מיפוי ומקורות'!$B$7:$B$33,0)),"שוטף")</x:f>
        <x:v>שוטף</x:v>
      </x:c>
      <x:c r="K1022" s="19" t="str">
        <x:f>IF(OR(H1022="ריביות",AND(H1022="דירה כצנלסון",G1022&lt;0,ISNUMBER(SEARCH("הכנסה",F1022)))),"הכנסה שסווגה מחדש",J1022)</x:f>
        <x:v>שוטף</x:v>
      </x:c>
      <x:c r="L1022" s="19" t="str">
        <x:v>מאושר</x:v>
      </x:c>
      <x:c r="M1022" s="20" t="n">
        <x:f>IF(L1022="מאושר",IF(K1022="הכנסה שסווגה מחדש",0,G1022),0)</x:f>
        <x:v>109</x:v>
      </x:c>
      <x:c r="N1022" s="20" t="n">
        <x:f>IF(K1022="שוטף",M1022,0)</x:f>
        <x:v>109</x:v>
      </x:c>
      <x:c r="O1022" s="20" t="n">
        <x:f>IF(K1022="הכנסה שסווגה מחדש",-G1022,0)</x:f>
        <x:v>0</x:v>
      </x:c>
      <x:c r="P1022" s="11" t="str">
        <x:v>one zero זיו</x:v>
      </x:c>
      <x:c r="Q1022" s="11" t="str"/>
      <x:c r="R1022" s="11" t="str">
        <x:v>לא</x:v>
      </x:c>
    </x:row>
    <x:row r="1023">
      <x:c r="A1023" s="14" t="n">
        <x:v>45962</x:v>
      </x:c>
      <x:c r="B1023" s="11" t="str">
        <x:v>2025-11</x:v>
      </x:c>
      <x:c r="C1023" s="11" t="str">
        <x:v>נובמבר 25</x:v>
      </x:c>
      <x:c r="D1023" s="15" t="n">
        <x:v>23</x:v>
      </x:c>
      <x:c r="E1023" s="11" t="str">
        <x:v>7</x:v>
      </x:c>
      <x:c r="F1023" s="11" t="str">
        <x:v>פרחים</x:v>
      </x:c>
      <x:c r="G1023" s="17" t="n">
        <x:v>65</x:v>
      </x:c>
      <x:c r="H1023" s="18" t="str">
        <x:v>מתנה</x:v>
      </x:c>
      <x:c r="I1023" s="19" t="str">
        <x:f>IFERROR(INDEX('מיפוי ומקורות'!$C$7:$C$33,MATCH(H1023,'מיפוי ומקורות'!$B$7:$B$33,0)),"לא מסווג")</x:f>
        <x:v>מתנה</x:v>
      </x:c>
      <x:c r="J1023" s="19" t="str">
        <x:f>IFERROR(INDEX('מיפוי ומקורות'!$D$7:$D$33,MATCH(H1023,'מיפוי ומקורות'!$B$7:$B$33,0)),"שוטף")</x:f>
        <x:v>שוטף</x:v>
      </x:c>
      <x:c r="K1023" s="19" t="str">
        <x:f>IF(OR(H1023="ריביות",AND(H1023="דירה כצנלסון",G1023&lt;0,ISNUMBER(SEARCH("הכנסה",F1023)))),"הכנסה שסווגה מחדש",J1023)</x:f>
        <x:v>שוטף</x:v>
      </x:c>
      <x:c r="L1023" s="19" t="str">
        <x:v>מאושר</x:v>
      </x:c>
      <x:c r="M1023" s="20" t="n">
        <x:f>IF(L1023="מאושר",IF(K1023="הכנסה שסווגה מחדש",0,G1023),0)</x:f>
        <x:v>65</x:v>
      </x:c>
      <x:c r="N1023" s="20" t="n">
        <x:f>IF(K1023="שוטף",M1023,0)</x:f>
        <x:v>65</x:v>
      </x:c>
      <x:c r="O1023" s="20" t="n">
        <x:f>IF(K1023="הכנסה שסווגה מחדש",-G1023,0)</x:f>
        <x:v>0</x:v>
      </x:c>
      <x:c r="P1023" s="11" t="str">
        <x:v>one zero זיו</x:v>
      </x:c>
      <x:c r="Q1023" s="11" t="str"/>
      <x:c r="R1023" s="11" t="str">
        <x:v>לא</x:v>
      </x:c>
    </x:row>
    <x:row r="1024">
      <x:c r="A1024" s="14" t="n">
        <x:v>45962</x:v>
      </x:c>
      <x:c r="B1024" s="11" t="str">
        <x:v>2025-11</x:v>
      </x:c>
      <x:c r="C1024" s="11" t="str">
        <x:v>נובמבר 25</x:v>
      </x:c>
      <x:c r="D1024" s="15" t="n">
        <x:v>24</x:v>
      </x:c>
      <x:c r="E1024" s="11" t="str">
        <x:v>19</x:v>
      </x:c>
      <x:c r="F1024" s="11" t="str">
        <x:v>מסעדה</x:v>
      </x:c>
      <x:c r="G1024" s="17" t="n">
        <x:v>217</x:v>
      </x:c>
      <x:c r="H1024" s="18" t="str">
        <x:v>אוכל בחוץ</x:v>
      </x:c>
      <x:c r="I1024" s="19" t="str">
        <x:f>IFERROR(INDEX('מיפוי ומקורות'!$C$7:$C$33,MATCH(H1024,'מיפוי ומקורות'!$B$7:$B$33,0)),"לא מסווג")</x:f>
        <x:v>אוכל בחוץ</x:v>
      </x:c>
      <x:c r="J1024" s="19" t="str">
        <x:f>IFERROR(INDEX('מיפוי ומקורות'!$D$7:$D$33,MATCH(H1024,'מיפוי ומקורות'!$B$7:$B$33,0)),"שוטף")</x:f>
        <x:v>שוטף</x:v>
      </x:c>
      <x:c r="K1024" s="19" t="str">
        <x:f>IF(OR(H1024="ריביות",AND(H1024="דירה כצנלסון",G1024&lt;0,ISNUMBER(SEARCH("הכנסה",F1024)))),"הכנסה שסווגה מחדש",J1024)</x:f>
        <x:v>שוטף</x:v>
      </x:c>
      <x:c r="L1024" s="19" t="str">
        <x:v>מאושר</x:v>
      </x:c>
      <x:c r="M1024" s="20" t="n">
        <x:f>IF(L1024="מאושר",IF(K1024="הכנסה שסווגה מחדש",0,G1024),0)</x:f>
        <x:v>217</x:v>
      </x:c>
      <x:c r="N1024" s="20" t="n">
        <x:f>IF(K1024="שוטף",M1024,0)</x:f>
        <x:v>217</x:v>
      </x:c>
      <x:c r="O1024" s="20" t="n">
        <x:f>IF(K1024="הכנסה שסווגה מחדש",-G1024,0)</x:f>
        <x:v>0</x:v>
      </x:c>
      <x:c r="P1024" s="11" t="str">
        <x:v>one zero זיו</x:v>
      </x:c>
      <x:c r="Q1024" s="11" t="str"/>
      <x:c r="R1024" s="11" t="str">
        <x:v>לא</x:v>
      </x:c>
    </x:row>
    <x:row r="1025">
      <x:c r="A1025" s="14" t="n">
        <x:v>45962</x:v>
      </x:c>
      <x:c r="B1025" s="11" t="str">
        <x:v>2025-11</x:v>
      </x:c>
      <x:c r="C1025" s="11" t="str">
        <x:v>נובמבר 25</x:v>
      </x:c>
      <x:c r="D1025" s="15" t="n">
        <x:v>25</x:v>
      </x:c>
      <x:c r="E1025" s="11" t="str">
        <x:v>22</x:v>
      </x:c>
      <x:c r="F1025" s="11" t="str">
        <x:v>מסעדה</x:v>
      </x:c>
      <x:c r="G1025" s="17" t="n">
        <x:v>92</x:v>
      </x:c>
      <x:c r="H1025" s="18" t="str">
        <x:v>אוכל בחוץ</x:v>
      </x:c>
      <x:c r="I1025" s="19" t="str">
        <x:f>IFERROR(INDEX('מיפוי ומקורות'!$C$7:$C$33,MATCH(H1025,'מיפוי ומקורות'!$B$7:$B$33,0)),"לא מסווג")</x:f>
        <x:v>אוכל בחוץ</x:v>
      </x:c>
      <x:c r="J1025" s="19" t="str">
        <x:f>IFERROR(INDEX('מיפוי ומקורות'!$D$7:$D$33,MATCH(H1025,'מיפוי ומקורות'!$B$7:$B$33,0)),"שוטף")</x:f>
        <x:v>שוטף</x:v>
      </x:c>
      <x:c r="K1025" s="19" t="str">
        <x:f>IF(OR(H1025="ריביות",AND(H1025="דירה כצנלסון",G1025&lt;0,ISNUMBER(SEARCH("הכנסה",F1025)))),"הכנסה שסווגה מחדש",J1025)</x:f>
        <x:v>שוטף</x:v>
      </x:c>
      <x:c r="L1025" s="19" t="str">
        <x:v>מאושר</x:v>
      </x:c>
      <x:c r="M1025" s="20" t="n">
        <x:f>IF(L1025="מאושר",IF(K1025="הכנסה שסווגה מחדש",0,G1025),0)</x:f>
        <x:v>92</x:v>
      </x:c>
      <x:c r="N1025" s="20" t="n">
        <x:f>IF(K1025="שוטף",M1025,0)</x:f>
        <x:v>92</x:v>
      </x:c>
      <x:c r="O1025" s="20" t="n">
        <x:f>IF(K1025="הכנסה שסווגה מחדש",-G1025,0)</x:f>
        <x:v>0</x:v>
      </x:c>
      <x:c r="P1025" s="11" t="str">
        <x:v>one zero זיו</x:v>
      </x:c>
      <x:c r="Q1025" s="11" t="str"/>
      <x:c r="R1025" s="11" t="str">
        <x:v>לא</x:v>
      </x:c>
    </x:row>
    <x:row r="1026">
      <x:c r="A1026" s="14" t="n">
        <x:v>45962</x:v>
      </x:c>
      <x:c r="B1026" s="11" t="str">
        <x:v>2025-11</x:v>
      </x:c>
      <x:c r="C1026" s="11" t="str">
        <x:v>נובמבר 25</x:v>
      </x:c>
      <x:c r="D1026" s="15" t="n">
        <x:v>26</x:v>
      </x:c>
      <x:c r="E1026" s="11" t="str">
        <x:v>23</x:v>
      </x:c>
      <x:c r="F1026" s="11" t="str">
        <x:v>מאפיה</x:v>
      </x:c>
      <x:c r="G1026" s="17" t="n">
        <x:v>15</x:v>
      </x:c>
      <x:c r="H1026" s="18" t="str">
        <x:v>אוכל בחוץ</x:v>
      </x:c>
      <x:c r="I1026" s="19" t="str">
        <x:f>IFERROR(INDEX('מיפוי ומקורות'!$C$7:$C$33,MATCH(H1026,'מיפוי ומקורות'!$B$7:$B$33,0)),"לא מסווג")</x:f>
        <x:v>אוכל בחוץ</x:v>
      </x:c>
      <x:c r="J1026" s="19" t="str">
        <x:f>IFERROR(INDEX('מיפוי ומקורות'!$D$7:$D$33,MATCH(H1026,'מיפוי ומקורות'!$B$7:$B$33,0)),"שוטף")</x:f>
        <x:v>שוטף</x:v>
      </x:c>
      <x:c r="K1026" s="19" t="str">
        <x:f>IF(OR(H1026="ריביות",AND(H1026="דירה כצנלסון",G1026&lt;0,ISNUMBER(SEARCH("הכנסה",F1026)))),"הכנסה שסווגה מחדש",J1026)</x:f>
        <x:v>שוטף</x:v>
      </x:c>
      <x:c r="L1026" s="19" t="str">
        <x:v>מאושר</x:v>
      </x:c>
      <x:c r="M1026" s="20" t="n">
        <x:f>IF(L1026="מאושר",IF(K1026="הכנסה שסווגה מחדש",0,G1026),0)</x:f>
        <x:v>15</x:v>
      </x:c>
      <x:c r="N1026" s="20" t="n">
        <x:f>IF(K1026="שוטף",M1026,0)</x:f>
        <x:v>15</x:v>
      </x:c>
      <x:c r="O1026" s="20" t="n">
        <x:f>IF(K1026="הכנסה שסווגה מחדש",-G1026,0)</x:f>
        <x:v>0</x:v>
      </x:c>
      <x:c r="P1026" s="11" t="str">
        <x:v>one zero זיו</x:v>
      </x:c>
      <x:c r="Q1026" s="11" t="str"/>
      <x:c r="R1026" s="11" t="str">
        <x:v>לא</x:v>
      </x:c>
    </x:row>
    <x:row r="1027">
      <x:c r="A1027" s="14" t="n">
        <x:v>45962</x:v>
      </x:c>
      <x:c r="B1027" s="11" t="str">
        <x:v>2025-11</x:v>
      </x:c>
      <x:c r="C1027" s="11" t="str">
        <x:v>נובמבר 25</x:v>
      </x:c>
      <x:c r="D1027" s="15" t="n">
        <x:v>27</x:v>
      </x:c>
      <x:c r="E1027" s="11" t="str">
        <x:v>25</x:v>
      </x:c>
      <x:c r="F1027" s="11" t="str">
        <x:v>תחבץ</x:v>
      </x:c>
      <x:c r="G1027" s="17" t="n">
        <x:v>75</x:v>
      </x:c>
      <x:c r="H1027" s="18" t="str">
        <x:v>תחבורה</x:v>
      </x:c>
      <x:c r="I1027" s="19" t="str">
        <x:f>IFERROR(INDEX('מיפוי ומקורות'!$C$7:$C$33,MATCH(H1027,'מיפוי ומקורות'!$B$7:$B$33,0)),"לא מסווג")</x:f>
        <x:v>תחבורה</x:v>
      </x:c>
      <x:c r="J1027" s="19" t="str">
        <x:f>IFERROR(INDEX('מיפוי ומקורות'!$D$7:$D$33,MATCH(H1027,'מיפוי ומקורות'!$B$7:$B$33,0)),"שוטף")</x:f>
        <x:v>שוטף</x:v>
      </x:c>
      <x:c r="K1027" s="19" t="str">
        <x:f>IF(OR(H1027="ריביות",AND(H1027="דירה כצנלסון",G1027&lt;0,ISNUMBER(SEARCH("הכנסה",F1027)))),"הכנסה שסווגה מחדש",J1027)</x:f>
        <x:v>שוטף</x:v>
      </x:c>
      <x:c r="L1027" s="19" t="str">
        <x:v>מאושר</x:v>
      </x:c>
      <x:c r="M1027" s="20" t="n">
        <x:f>IF(L1027="מאושר",IF(K1027="הכנסה שסווגה מחדש",0,G1027),0)</x:f>
        <x:v>75</x:v>
      </x:c>
      <x:c r="N1027" s="20" t="n">
        <x:f>IF(K1027="שוטף",M1027,0)</x:f>
        <x:v>75</x:v>
      </x:c>
      <x:c r="O1027" s="20" t="n">
        <x:f>IF(K1027="הכנסה שסווגה מחדש",-G1027,0)</x:f>
        <x:v>0</x:v>
      </x:c>
      <x:c r="P1027" s="11" t="str">
        <x:v>one zero זיו</x:v>
      </x:c>
      <x:c r="Q1027" s="11" t="str"/>
      <x:c r="R1027" s="11" t="str">
        <x:v>לא</x:v>
      </x:c>
    </x:row>
    <x:row r="1028">
      <x:c r="A1028" s="14" t="n">
        <x:v>45962</x:v>
      </x:c>
      <x:c r="B1028" s="11" t="str">
        <x:v>2025-11</x:v>
      </x:c>
      <x:c r="C1028" s="11" t="str">
        <x:v>נובמבר 25</x:v>
      </x:c>
      <x:c r="D1028" s="15" t="n">
        <x:v>28</x:v>
      </x:c>
      <x:c r="E1028" s="11" t="str"/>
      <x:c r="F1028" s="11" t="str">
        <x:v>ליים</x:v>
      </x:c>
      <x:c r="G1028" s="17" t="n">
        <x:v>219</x:v>
      </x:c>
      <x:c r="H1028" s="18" t="str">
        <x:v>תחבורה</x:v>
      </x:c>
      <x:c r="I1028" s="19" t="str">
        <x:f>IFERROR(INDEX('מיפוי ומקורות'!$C$7:$C$33,MATCH(H1028,'מיפוי ומקורות'!$B$7:$B$33,0)),"לא מסווג")</x:f>
        <x:v>תחבורה</x:v>
      </x:c>
      <x:c r="J1028" s="19" t="str">
        <x:f>IFERROR(INDEX('מיפוי ומקורות'!$D$7:$D$33,MATCH(H1028,'מיפוי ומקורות'!$B$7:$B$33,0)),"שוטף")</x:f>
        <x:v>שוטף</x:v>
      </x:c>
      <x:c r="K1028" s="19" t="str">
        <x:f>IF(OR(H1028="ריביות",AND(H1028="דירה כצנלסון",G1028&lt;0,ISNUMBER(SEARCH("הכנסה",F1028)))),"הכנסה שסווגה מחדש",J1028)</x:f>
        <x:v>שוטף</x:v>
      </x:c>
      <x:c r="L1028" s="19" t="str">
        <x:v>מאושר</x:v>
      </x:c>
      <x:c r="M1028" s="20" t="n">
        <x:f>IF(L1028="מאושר",IF(K1028="הכנסה שסווגה מחדש",0,G1028),0)</x:f>
        <x:v>219</x:v>
      </x:c>
      <x:c r="N1028" s="20" t="n">
        <x:f>IF(K1028="שוטף",M1028,0)</x:f>
        <x:v>219</x:v>
      </x:c>
      <x:c r="O1028" s="20" t="n">
        <x:f>IF(K1028="הכנסה שסווגה מחדש",-G1028,0)</x:f>
        <x:v>0</x:v>
      </x:c>
      <x:c r="P1028" s="11" t="str">
        <x:v>one zero זיו</x:v>
      </x:c>
      <x:c r="Q1028" s="11" t="str"/>
      <x:c r="R1028" s="11" t="str">
        <x:v>לא</x:v>
      </x:c>
    </x:row>
    <x:row r="1029">
      <x:c r="A1029" s="14" t="n">
        <x:v>45962</x:v>
      </x:c>
      <x:c r="B1029" s="11" t="str">
        <x:v>2025-11</x:v>
      </x:c>
      <x:c r="C1029" s="11" t="str">
        <x:v>נובמבר 25</x:v>
      </x:c>
      <x:c r="D1029" s="15" t="n">
        <x:v>29</x:v>
      </x:c>
      <x:c r="E1029" s="11" t="str">
        <x:v>22</x:v>
      </x:c>
      <x:c r="F1029" s="11" t="str">
        <x:v>רכב ברצלונה</x:v>
      </x:c>
      <x:c r="G1029" s="17" t="n">
        <x:v>975</x:v>
      </x:c>
      <x:c r="H1029" s="18" t="str">
        <x:v>חול</x:v>
      </x:c>
      <x:c r="I1029" s="19" t="str">
        <x:f>IFERROR(INDEX('מיפוי ומקורות'!$C$7:$C$33,MATCH(H1029,'מיפוי ומקורות'!$B$7:$B$33,0)),"לא מסווג")</x:f>
        <x:v>נסיעות וחופשות</x:v>
      </x:c>
      <x:c r="J1029" s="19" t="str">
        <x:f>IFERROR(INDEX('מיפוי ומקורות'!$D$7:$D$33,MATCH(H1029,'מיפוי ומקורות'!$B$7:$B$33,0)),"שוטף")</x:f>
        <x:v>חריג</x:v>
      </x:c>
      <x:c r="K1029" s="19" t="str">
        <x:f>IF(OR(H1029="ריביות",AND(H1029="דירה כצנלסון",G1029&lt;0,ISNUMBER(SEARCH("הכנסה",F1029)))),"הכנסה שסווגה מחדש",J1029)</x:f>
        <x:v>חריג</x:v>
      </x:c>
      <x:c r="L1029" s="19" t="str">
        <x:v>מאושר</x:v>
      </x:c>
      <x:c r="M1029" s="20" t="n">
        <x:f>IF(L1029="מאושר",IF(K1029="הכנסה שסווגה מחדש",0,G1029),0)</x:f>
        <x:v>975</x:v>
      </x:c>
      <x:c r="N1029" s="20" t="n">
        <x:f>IF(K1029="שוטף",M1029,0)</x:f>
        <x:v>0</x:v>
      </x:c>
      <x:c r="O1029" s="20" t="n">
        <x:f>IF(K1029="הכנסה שסווגה מחדש",-G1029,0)</x:f>
        <x:v>0</x:v>
      </x:c>
      <x:c r="P1029" s="11" t="str">
        <x:v>הוט זיו</x:v>
      </x:c>
      <x:c r="Q1029" s="11" t="str"/>
      <x:c r="R1029" s="11" t="str">
        <x:v>לא</x:v>
      </x:c>
    </x:row>
    <x:row r="1030">
      <x:c r="A1030" s="14" t="n">
        <x:v>45962</x:v>
      </x:c>
      <x:c r="B1030" s="11" t="str">
        <x:v>2025-11</x:v>
      </x:c>
      <x:c r="C1030" s="11" t="str">
        <x:v>נובמבר 25</x:v>
      </x:c>
      <x:c r="D1030" s="15" t="n">
        <x:v>30</x:v>
      </x:c>
      <x:c r="E1030" s="11" t="str">
        <x:v>24</x:v>
      </x:c>
      <x:c r="F1030" s="11" t="str">
        <x:v>טימברלנד</x:v>
      </x:c>
      <x:c r="G1030" s="17" t="n">
        <x:v>149</x:v>
      </x:c>
      <x:c r="H1030" s="18" t="str">
        <x:v>אופנה</x:v>
      </x:c>
      <x:c r="I1030" s="19" t="str">
        <x:f>IFERROR(INDEX('מיפוי ומקורות'!$C$7:$C$33,MATCH(H1030,'מיפוי ומקורות'!$B$7:$B$33,0)),"לא מסווג")</x:f>
        <x:v>אופנה</x:v>
      </x:c>
      <x:c r="J1030" s="19" t="str">
        <x:f>IFERROR(INDEX('מיפוי ומקורות'!$D$7:$D$33,MATCH(H1030,'מיפוי ומקורות'!$B$7:$B$33,0)),"שוטף")</x:f>
        <x:v>שוטף</x:v>
      </x:c>
      <x:c r="K1030" s="19" t="str">
        <x:f>IF(OR(H1030="ריביות",AND(H1030="דירה כצנלסון",G1030&lt;0,ISNUMBER(SEARCH("הכנסה",F1030)))),"הכנסה שסווגה מחדש",J1030)</x:f>
        <x:v>שוטף</x:v>
      </x:c>
      <x:c r="L1030" s="19" t="str">
        <x:v>מאושר</x:v>
      </x:c>
      <x:c r="M1030" s="20" t="n">
        <x:f>IF(L1030="מאושר",IF(K1030="הכנסה שסווגה מחדש",0,G1030),0)</x:f>
        <x:v>149</x:v>
      </x:c>
      <x:c r="N1030" s="20" t="n">
        <x:f>IF(K1030="שוטף",M1030,0)</x:f>
        <x:v>149</x:v>
      </x:c>
      <x:c r="O1030" s="20" t="n">
        <x:f>IF(K1030="הכנסה שסווגה מחדש",-G1030,0)</x:f>
        <x:v>0</x:v>
      </x:c>
      <x:c r="P1030" s="11" t="str">
        <x:v>הוט זיו</x:v>
      </x:c>
      <x:c r="Q1030" s="11" t="str"/>
      <x:c r="R1030" s="11" t="str">
        <x:v>לא</x:v>
      </x:c>
    </x:row>
    <x:row r="1031">
      <x:c r="A1031" s="14" t="n">
        <x:v>45962</x:v>
      </x:c>
      <x:c r="B1031" s="11" t="str">
        <x:v>2025-11</x:v>
      </x:c>
      <x:c r="C1031" s="11" t="str">
        <x:v>נובמבר 25</x:v>
      </x:c>
      <x:c r="D1031" s="15" t="n">
        <x:v>31</x:v>
      </x:c>
      <x:c r="E1031" s="11" t="str">
        <x:v>26</x:v>
      </x:c>
      <x:c r="F1031" s="11" t="str">
        <x:v>אלבומים</x:v>
      </x:c>
      <x:c r="G1031" s="17" t="n">
        <x:v>357</x:v>
      </x:c>
      <x:c r="H1031" s="18" t="str">
        <x:v>חול</x:v>
      </x:c>
      <x:c r="I1031" s="19" t="str">
        <x:f>IFERROR(INDEX('מיפוי ומקורות'!$C$7:$C$33,MATCH(H1031,'מיפוי ומקורות'!$B$7:$B$33,0)),"לא מסווג")</x:f>
        <x:v>נסיעות וחופשות</x:v>
      </x:c>
      <x:c r="J1031" s="19" t="str">
        <x:f>IFERROR(INDEX('מיפוי ומקורות'!$D$7:$D$33,MATCH(H1031,'מיפוי ומקורות'!$B$7:$B$33,0)),"שוטף")</x:f>
        <x:v>חריג</x:v>
      </x:c>
      <x:c r="K1031" s="19" t="str">
        <x:f>IF(OR(H1031="ריביות",AND(H1031="דירה כצנלסון",G1031&lt;0,ISNUMBER(SEARCH("הכנסה",F1031)))),"הכנסה שסווגה מחדש",J1031)</x:f>
        <x:v>חריג</x:v>
      </x:c>
      <x:c r="L1031" s="19" t="str">
        <x:v>מאושר</x:v>
      </x:c>
      <x:c r="M1031" s="20" t="n">
        <x:f>IF(L1031="מאושר",IF(K1031="הכנסה שסווגה מחדש",0,G1031),0)</x:f>
        <x:v>357</x:v>
      </x:c>
      <x:c r="N1031" s="20" t="n">
        <x:f>IF(K1031="שוטף",M1031,0)</x:f>
        <x:v>0</x:v>
      </x:c>
      <x:c r="O1031" s="20" t="n">
        <x:f>IF(K1031="הכנסה שסווגה מחדש",-G1031,0)</x:f>
        <x:v>0</x:v>
      </x:c>
      <x:c r="P1031" s="11" t="str">
        <x:v>הוט זיו</x:v>
      </x:c>
      <x:c r="Q1031" s="11" t="str"/>
      <x:c r="R1031" s="11" t="str">
        <x:v>לא</x:v>
      </x:c>
    </x:row>
    <x:row r="1032">
      <x:c r="A1032" s="14" t="n">
        <x:v>45962</x:v>
      </x:c>
      <x:c r="B1032" s="11" t="str">
        <x:v>2025-11</x:v>
      </x:c>
      <x:c r="C1032" s="11" t="str">
        <x:v>נובמבר 25</x:v>
      </x:c>
      <x:c r="D1032" s="15" t="n">
        <x:v>32</x:v>
      </x:c>
      <x:c r="E1032" s="11" t="str">
        <x:v>4</x:v>
      </x:c>
      <x:c r="F1032" s="11" t="str">
        <x:v>מקדמה גרזנים</x:v>
      </x:c>
      <x:c r="G1032" s="17" t="n">
        <x:v>60</x:v>
      </x:c>
      <x:c r="H1032" s="18" t="str">
        <x:v>פנאי</x:v>
      </x:c>
      <x:c r="I1032" s="19" t="str">
        <x:f>IFERROR(INDEX('מיפוי ומקורות'!$C$7:$C$33,MATCH(H1032,'מיפוי ומקורות'!$B$7:$B$33,0)),"לא מסווג")</x:f>
        <x:v>פנאי</x:v>
      </x:c>
      <x:c r="J1032" s="19" t="str">
        <x:f>IFERROR(INDEX('מיפוי ומקורות'!$D$7:$D$33,MATCH(H1032,'מיפוי ומקורות'!$B$7:$B$33,0)),"שוטף")</x:f>
        <x:v>שוטף</x:v>
      </x:c>
      <x:c r="K1032" s="19" t="str">
        <x:f>IF(OR(H1032="ריביות",AND(H1032="דירה כצנלסון",G1032&lt;0,ISNUMBER(SEARCH("הכנסה",F1032)))),"הכנסה שסווגה מחדש",J1032)</x:f>
        <x:v>שוטף</x:v>
      </x:c>
      <x:c r="L1032" s="19" t="str">
        <x:v>מאושר</x:v>
      </x:c>
      <x:c r="M1032" s="20" t="n">
        <x:f>IF(L1032="מאושר",IF(K1032="הכנסה שסווגה מחדש",0,G1032),0)</x:f>
        <x:v>60</x:v>
      </x:c>
      <x:c r="N1032" s="20" t="n">
        <x:f>IF(K1032="שוטף",M1032,0)</x:f>
        <x:v>60</x:v>
      </x:c>
      <x:c r="O1032" s="20" t="n">
        <x:f>IF(K1032="הכנסה שסווגה מחדש",-G1032,0)</x:f>
        <x:v>0</x:v>
      </x:c>
      <x:c r="P1032" s="11" t="str">
        <x:v>מקס עינור</x:v>
      </x:c>
      <x:c r="Q1032" s="11" t="str"/>
      <x:c r="R1032" s="11" t="str">
        <x:v>לא</x:v>
      </x:c>
    </x:row>
    <x:row r="1033">
      <x:c r="A1033" s="14" t="n">
        <x:v>45962</x:v>
      </x:c>
      <x:c r="B1033" s="11" t="str">
        <x:v>2025-11</x:v>
      </x:c>
      <x:c r="C1033" s="11" t="str">
        <x:v>נובמבר 25</x:v>
      </x:c>
      <x:c r="D1033" s="15" t="n">
        <x:v>33</x:v>
      </x:c>
      <x:c r="E1033" s="11" t="str">
        <x:v>7</x:v>
      </x:c>
      <x:c r="F1033" s="11" t="str">
        <x:v>גלידה</x:v>
      </x:c>
      <x:c r="G1033" s="17" t="n">
        <x:v>22</x:v>
      </x:c>
      <x:c r="H1033" s="18" t="str">
        <x:v>אוכל בחוץ</x:v>
      </x:c>
      <x:c r="I1033" s="19" t="str">
        <x:f>IFERROR(INDEX('מיפוי ומקורות'!$C$7:$C$33,MATCH(H1033,'מיפוי ומקורות'!$B$7:$B$33,0)),"לא מסווג")</x:f>
        <x:v>אוכל בחוץ</x:v>
      </x:c>
      <x:c r="J1033" s="19" t="str">
        <x:f>IFERROR(INDEX('מיפוי ומקורות'!$D$7:$D$33,MATCH(H1033,'מיפוי ומקורות'!$B$7:$B$33,0)),"שוטף")</x:f>
        <x:v>שוטף</x:v>
      </x:c>
      <x:c r="K1033" s="19" t="str">
        <x:f>IF(OR(H1033="ריביות",AND(H1033="דירה כצנלסון",G1033&lt;0,ISNUMBER(SEARCH("הכנסה",F1033)))),"הכנסה שסווגה מחדש",J1033)</x:f>
        <x:v>שוטף</x:v>
      </x:c>
      <x:c r="L1033" s="19" t="str">
        <x:v>מאושר</x:v>
      </x:c>
      <x:c r="M1033" s="20" t="n">
        <x:f>IF(L1033="מאושר",IF(K1033="הכנסה שסווגה מחדש",0,G1033),0)</x:f>
        <x:v>22</x:v>
      </x:c>
      <x:c r="N1033" s="20" t="n">
        <x:f>IF(K1033="שוטף",M1033,0)</x:f>
        <x:v>22</x:v>
      </x:c>
      <x:c r="O1033" s="20" t="n">
        <x:f>IF(K1033="הכנסה שסווגה מחדש",-G1033,0)</x:f>
        <x:v>0</x:v>
      </x:c>
      <x:c r="P1033" s="11" t="str">
        <x:v>מקס עינור</x:v>
      </x:c>
      <x:c r="Q1033" s="11" t="str"/>
      <x:c r="R1033" s="11" t="str">
        <x:v>לא</x:v>
      </x:c>
    </x:row>
    <x:row r="1034">
      <x:c r="A1034" s="14" t="n">
        <x:v>45962</x:v>
      </x:c>
      <x:c r="B1034" s="11" t="str">
        <x:v>2025-11</x:v>
      </x:c>
      <x:c r="C1034" s="11" t="str">
        <x:v>נובמבר 25</x:v>
      </x:c>
      <x:c r="D1034" s="15" t="n">
        <x:v>34</x:v>
      </x:c>
      <x:c r="E1034" s="11" t="str">
        <x:v>7</x:v>
      </x:c>
      <x:c r="F1034" s="11" t="str">
        <x:v>מאפה</x:v>
      </x:c>
      <x:c r="G1034" s="17" t="n">
        <x:v>46</x:v>
      </x:c>
      <x:c r="H1034" s="18" t="str">
        <x:v>אוכל בחוץ</x:v>
      </x:c>
      <x:c r="I1034" s="19" t="str">
        <x:f>IFERROR(INDEX('מיפוי ומקורות'!$C$7:$C$33,MATCH(H1034,'מיפוי ומקורות'!$B$7:$B$33,0)),"לא מסווג")</x:f>
        <x:v>אוכל בחוץ</x:v>
      </x:c>
      <x:c r="J1034" s="19" t="str">
        <x:f>IFERROR(INDEX('מיפוי ומקורות'!$D$7:$D$33,MATCH(H1034,'מיפוי ומקורות'!$B$7:$B$33,0)),"שוטף")</x:f>
        <x:v>שוטף</x:v>
      </x:c>
      <x:c r="K1034" s="19" t="str">
        <x:f>IF(OR(H1034="ריביות",AND(H1034="דירה כצנלסון",G1034&lt;0,ISNUMBER(SEARCH("הכנסה",F1034)))),"הכנסה שסווגה מחדש",J1034)</x:f>
        <x:v>שוטף</x:v>
      </x:c>
      <x:c r="L1034" s="19" t="str">
        <x:v>מאושר</x:v>
      </x:c>
      <x:c r="M1034" s="20" t="n">
        <x:f>IF(L1034="מאושר",IF(K1034="הכנסה שסווגה מחדש",0,G1034),0)</x:f>
        <x:v>46</x:v>
      </x:c>
      <x:c r="N1034" s="20" t="n">
        <x:f>IF(K1034="שוטף",M1034,0)</x:f>
        <x:v>46</x:v>
      </x:c>
      <x:c r="O1034" s="20" t="n">
        <x:f>IF(K1034="הכנסה שסווגה מחדש",-G1034,0)</x:f>
        <x:v>0</x:v>
      </x:c>
      <x:c r="P1034" s="11" t="str">
        <x:v>מקס עינור</x:v>
      </x:c>
      <x:c r="Q1034" s="11" t="str"/>
      <x:c r="R1034" s="11" t="str">
        <x:v>לא</x:v>
      </x:c>
    </x:row>
    <x:row r="1035">
      <x:c r="A1035" s="14" t="n">
        <x:v>45962</x:v>
      </x:c>
      <x:c r="B1035" s="11" t="str">
        <x:v>2025-11</x:v>
      </x:c>
      <x:c r="C1035" s="11" t="str">
        <x:v>נובמבר 25</x:v>
      </x:c>
      <x:c r="D1035" s="15" t="n">
        <x:v>35</x:v>
      </x:c>
      <x:c r="E1035" s="11" t="str">
        <x:v>7</x:v>
      </x:c>
      <x:c r="F1035" s="11" t="str">
        <x:v>קפה</x:v>
      </x:c>
      <x:c r="G1035" s="17" t="n">
        <x:v>19</x:v>
      </x:c>
      <x:c r="H1035" s="18" t="str">
        <x:v>אוכל בחוץ</x:v>
      </x:c>
      <x:c r="I1035" s="19" t="str">
        <x:f>IFERROR(INDEX('מיפוי ומקורות'!$C$7:$C$33,MATCH(H1035,'מיפוי ומקורות'!$B$7:$B$33,0)),"לא מסווג")</x:f>
        <x:v>אוכל בחוץ</x:v>
      </x:c>
      <x:c r="J1035" s="19" t="str">
        <x:f>IFERROR(INDEX('מיפוי ומקורות'!$D$7:$D$33,MATCH(H1035,'מיפוי ומקורות'!$B$7:$B$33,0)),"שוטף")</x:f>
        <x:v>שוטף</x:v>
      </x:c>
      <x:c r="K1035" s="19" t="str">
        <x:f>IF(OR(H1035="ריביות",AND(H1035="דירה כצנלסון",G1035&lt;0,ISNUMBER(SEARCH("הכנסה",F1035)))),"הכנסה שסווגה מחדש",J1035)</x:f>
        <x:v>שוטף</x:v>
      </x:c>
      <x:c r="L1035" s="19" t="str">
        <x:v>מאושר</x:v>
      </x:c>
      <x:c r="M1035" s="20" t="n">
        <x:f>IF(L1035="מאושר",IF(K1035="הכנסה שסווגה מחדש",0,G1035),0)</x:f>
        <x:v>19</x:v>
      </x:c>
      <x:c r="N1035" s="20" t="n">
        <x:f>IF(K1035="שוטף",M1035,0)</x:f>
        <x:v>19</x:v>
      </x:c>
      <x:c r="O1035" s="20" t="n">
        <x:f>IF(K1035="הכנסה שסווגה מחדש",-G1035,0)</x:f>
        <x:v>0</x:v>
      </x:c>
      <x:c r="P1035" s="11" t="str">
        <x:v>מקס עינור</x:v>
      </x:c>
      <x:c r="Q1035" s="11" t="str"/>
      <x:c r="R1035" s="11" t="str">
        <x:v>לא</x:v>
      </x:c>
    </x:row>
    <x:row r="1036">
      <x:c r="A1036" s="14" t="n">
        <x:v>45962</x:v>
      </x:c>
      <x:c r="B1036" s="11" t="str">
        <x:v>2025-11</x:v>
      </x:c>
      <x:c r="C1036" s="11" t="str">
        <x:v>נובמבר 25</x:v>
      </x:c>
      <x:c r="D1036" s="15" t="n">
        <x:v>36</x:v>
      </x:c>
      <x:c r="E1036" s="11" t="str">
        <x:v>14</x:v>
      </x:c>
      <x:c r="F1036" s="11" t="str">
        <x:v>פרחים</x:v>
      </x:c>
      <x:c r="G1036" s="17" t="n">
        <x:v>45</x:v>
      </x:c>
      <x:c r="H1036" s="18" t="str">
        <x:v>קניות לבית</x:v>
      </x:c>
      <x:c r="I1036" s="19" t="str">
        <x:f>IFERROR(INDEX('מיפוי ומקורות'!$C$7:$C$33,MATCH(H1036,'מיפוי ומקורות'!$B$7:$B$33,0)),"לא מסווג")</x:f>
        <x:v>קניות לבית</x:v>
      </x:c>
      <x:c r="J1036" s="19" t="str">
        <x:f>IFERROR(INDEX('מיפוי ומקורות'!$D$7:$D$33,MATCH(H1036,'מיפוי ומקורות'!$B$7:$B$33,0)),"שוטף")</x:f>
        <x:v>שוטף</x:v>
      </x:c>
      <x:c r="K1036" s="19" t="str">
        <x:f>IF(OR(H1036="ריביות",AND(H1036="דירה כצנלסון",G1036&lt;0,ISNUMBER(SEARCH("הכנסה",F1036)))),"הכנסה שסווגה מחדש",J1036)</x:f>
        <x:v>שוטף</x:v>
      </x:c>
      <x:c r="L1036" s="19" t="str">
        <x:v>מאושר</x:v>
      </x:c>
      <x:c r="M1036" s="20" t="n">
        <x:f>IF(L1036="מאושר",IF(K1036="הכנסה שסווגה מחדש",0,G1036),0)</x:f>
        <x:v>45</x:v>
      </x:c>
      <x:c r="N1036" s="20" t="n">
        <x:f>IF(K1036="שוטף",M1036,0)</x:f>
        <x:v>45</x:v>
      </x:c>
      <x:c r="O1036" s="20" t="n">
        <x:f>IF(K1036="הכנסה שסווגה מחדש",-G1036,0)</x:f>
        <x:v>0</x:v>
      </x:c>
      <x:c r="P1036" s="11" t="str">
        <x:v>מקס עינור</x:v>
      </x:c>
      <x:c r="Q1036" s="11" t="str"/>
      <x:c r="R1036" s="11" t="str">
        <x:v>לא</x:v>
      </x:c>
    </x:row>
    <x:row r="1037">
      <x:c r="A1037" s="14" t="n">
        <x:v>45962</x:v>
      </x:c>
      <x:c r="B1037" s="11" t="str">
        <x:v>2025-11</x:v>
      </x:c>
      <x:c r="C1037" s="11" t="str">
        <x:v>נובמבר 25</x:v>
      </x:c>
      <x:c r="D1037" s="15" t="n">
        <x:v>37</x:v>
      </x:c>
      <x:c r="E1037" s="11" t="str">
        <x:v>21</x:v>
      </x:c>
      <x:c r="F1037" s="11" t="str">
        <x:v>לק</x:v>
      </x:c>
      <x:c r="G1037" s="17" t="n">
        <x:v>120</x:v>
      </x:c>
      <x:c r="H1037" s="18" t="str">
        <x:v>קוסמטיקה</x:v>
      </x:c>
      <x:c r="I1037" s="19" t="str">
        <x:f>IFERROR(INDEX('מיפוי ומקורות'!$C$7:$C$33,MATCH(H1037,'מיפוי ומקורות'!$B$7:$B$33,0)),"לא מסווג")</x:f>
        <x:v>קוסמטיקה</x:v>
      </x:c>
      <x:c r="J1037" s="19" t="str">
        <x:f>IFERROR(INDEX('מיפוי ומקורות'!$D$7:$D$33,MATCH(H1037,'מיפוי ומקורות'!$B$7:$B$33,0)),"שוטף")</x:f>
        <x:v>שוטף</x:v>
      </x:c>
      <x:c r="K1037" s="19" t="str">
        <x:f>IF(OR(H1037="ריביות",AND(H1037="דירה כצנלסון",G1037&lt;0,ISNUMBER(SEARCH("הכנסה",F1037)))),"הכנסה שסווגה מחדש",J1037)</x:f>
        <x:v>שוטף</x:v>
      </x:c>
      <x:c r="L1037" s="19" t="str">
        <x:v>מאושר</x:v>
      </x:c>
      <x:c r="M1037" s="20" t="n">
        <x:f>IF(L1037="מאושר",IF(K1037="הכנסה שסווגה מחדש",0,G1037),0)</x:f>
        <x:v>120</x:v>
      </x:c>
      <x:c r="N1037" s="20" t="n">
        <x:f>IF(K1037="שוטף",M1037,0)</x:f>
        <x:v>120</x:v>
      </x:c>
      <x:c r="O1037" s="20" t="n">
        <x:f>IF(K1037="הכנסה שסווגה מחדש",-G1037,0)</x:f>
        <x:v>0</x:v>
      </x:c>
      <x:c r="P1037" s="11" t="str">
        <x:v>מקס עינור</x:v>
      </x:c>
      <x:c r="Q1037" s="11" t="str"/>
      <x:c r="R1037" s="11" t="str">
        <x:v>לא</x:v>
      </x:c>
    </x:row>
    <x:row r="1038">
      <x:c r="A1038" s="14" t="n">
        <x:v>45962</x:v>
      </x:c>
      <x:c r="B1038" s="11" t="str">
        <x:v>2025-11</x:v>
      </x:c>
      <x:c r="C1038" s="11" t="str">
        <x:v>נובמבר 25</x:v>
      </x:c>
      <x:c r="D1038" s="15" t="n">
        <x:v>38</x:v>
      </x:c>
      <x:c r="E1038" s="11" t="str">
        <x:v>25</x:v>
      </x:c>
      <x:c r="F1038" s="11" t="str">
        <x:v>גבות</x:v>
      </x:c>
      <x:c r="G1038" s="17" t="n">
        <x:v>68</x:v>
      </x:c>
      <x:c r="H1038" s="18" t="str">
        <x:v>קוסמטיקה</x:v>
      </x:c>
      <x:c r="I1038" s="19" t="str">
        <x:f>IFERROR(INDEX('מיפוי ומקורות'!$C$7:$C$33,MATCH(H1038,'מיפוי ומקורות'!$B$7:$B$33,0)),"לא מסווג")</x:f>
        <x:v>קוסמטיקה</x:v>
      </x:c>
      <x:c r="J1038" s="19" t="str">
        <x:f>IFERROR(INDEX('מיפוי ומקורות'!$D$7:$D$33,MATCH(H1038,'מיפוי ומקורות'!$B$7:$B$33,0)),"שוטף")</x:f>
        <x:v>שוטף</x:v>
      </x:c>
      <x:c r="K1038" s="19" t="str">
        <x:f>IF(OR(H1038="ריביות",AND(H1038="דירה כצנלסון",G1038&lt;0,ISNUMBER(SEARCH("הכנסה",F1038)))),"הכנסה שסווגה מחדש",J1038)</x:f>
        <x:v>שוטף</x:v>
      </x:c>
      <x:c r="L1038" s="19" t="str">
        <x:v>מאושר</x:v>
      </x:c>
      <x:c r="M1038" s="20" t="n">
        <x:f>IF(L1038="מאושר",IF(K1038="הכנסה שסווגה מחדש",0,G1038),0)</x:f>
        <x:v>68</x:v>
      </x:c>
      <x:c r="N1038" s="20" t="n">
        <x:f>IF(K1038="שוטף",M1038,0)</x:f>
        <x:v>68</x:v>
      </x:c>
      <x:c r="O1038" s="20" t="n">
        <x:f>IF(K1038="הכנסה שסווגה מחדש",-G1038,0)</x:f>
        <x:v>0</x:v>
      </x:c>
      <x:c r="P1038" s="11" t="str">
        <x:v>מקס עינור</x:v>
      </x:c>
      <x:c r="Q1038" s="11" t="str"/>
      <x:c r="R1038" s="11" t="str">
        <x:v>לא</x:v>
      </x:c>
    </x:row>
    <x:row r="1039">
      <x:c r="A1039" s="14" t="n">
        <x:v>45962</x:v>
      </x:c>
      <x:c r="B1039" s="11" t="str">
        <x:v>2025-11</x:v>
      </x:c>
      <x:c r="C1039" s="11" t="str">
        <x:v>נובמבר 25</x:v>
      </x:c>
      <x:c r="D1039" s="15" t="n">
        <x:v>39</x:v>
      </x:c>
      <x:c r="E1039" s="11" t="str">
        <x:v>8</x:v>
      </x:c>
      <x:c r="F1039" s="11" t="str">
        <x:v>סופר</x:v>
      </x:c>
      <x:c r="G1039" s="17" t="n">
        <x:v>465</x:v>
      </x:c>
      <x:c r="H1039" s="18" t="str">
        <x:v>מזון לבית</x:v>
      </x:c>
      <x:c r="I1039" s="19" t="str">
        <x:f>IFERROR(INDEX('מיפוי ומקורות'!$C$7:$C$33,MATCH(H1039,'מיפוי ומקורות'!$B$7:$B$33,0)),"לא מסווג")</x:f>
        <x:v>מזון לבית</x:v>
      </x:c>
      <x:c r="J1039" s="19" t="str">
        <x:f>IFERROR(INDEX('מיפוי ומקורות'!$D$7:$D$33,MATCH(H1039,'מיפוי ומקורות'!$B$7:$B$33,0)),"שוטף")</x:f>
        <x:v>שוטף</x:v>
      </x:c>
      <x:c r="K1039" s="19" t="str">
        <x:f>IF(OR(H1039="ריביות",AND(H1039="דירה כצנלסון",G1039&lt;0,ISNUMBER(SEARCH("הכנסה",F1039)))),"הכנסה שסווגה מחדש",J1039)</x:f>
        <x:v>שוטף</x:v>
      </x:c>
      <x:c r="L1039" s="19" t="str">
        <x:v>מאושר</x:v>
      </x:c>
      <x:c r="M1039" s="20" t="n">
        <x:f>IF(L1039="מאושר",IF(K1039="הכנסה שסווגה מחדש",0,G1039),0)</x:f>
        <x:v>465</x:v>
      </x:c>
      <x:c r="N1039" s="20" t="n">
        <x:f>IF(K1039="שוטף",M1039,0)</x:f>
        <x:v>465</x:v>
      </x:c>
      <x:c r="O1039" s="20" t="n">
        <x:f>IF(K1039="הכנסה שסווגה מחדש",-G1039,0)</x:f>
        <x:v>0</x:v>
      </x:c>
      <x:c r="P1039" s="11" t="str">
        <x:v>בהצדעה זיו</x:v>
      </x:c>
      <x:c r="Q1039" s="11" t="str"/>
      <x:c r="R1039" s="11" t="str">
        <x:v>לא</x:v>
      </x:c>
    </x:row>
    <x:row r="1040">
      <x:c r="A1040" s="14" t="n">
        <x:v>45962</x:v>
      </x:c>
      <x:c r="B1040" s="11" t="str">
        <x:v>2025-11</x:v>
      </x:c>
      <x:c r="C1040" s="11" t="str">
        <x:v>נובמבר 25</x:v>
      </x:c>
      <x:c r="D1040" s="15" t="n">
        <x:v>40</x:v>
      </x:c>
      <x:c r="E1040" s="11" t="str"/>
      <x:c r="F1040" s="11" t="str">
        <x:v>יפן</x:v>
      </x:c>
      <x:c r="G1040" s="17" t="n">
        <x:v>512</x:v>
      </x:c>
      <x:c r="H1040" s="18" t="str">
        <x:v>חול</x:v>
      </x:c>
      <x:c r="I1040" s="19" t="str">
        <x:f>IFERROR(INDEX('מיפוי ומקורות'!$C$7:$C$33,MATCH(H1040,'מיפוי ומקורות'!$B$7:$B$33,0)),"לא מסווג")</x:f>
        <x:v>נסיעות וחופשות</x:v>
      </x:c>
      <x:c r="J1040" s="19" t="str">
        <x:f>IFERROR(INDEX('מיפוי ומקורות'!$D$7:$D$33,MATCH(H1040,'מיפוי ומקורות'!$B$7:$B$33,0)),"שוטף")</x:f>
        <x:v>חריג</x:v>
      </x:c>
      <x:c r="K1040" s="19" t="str">
        <x:f>IF(OR(H1040="ריביות",AND(H1040="דירה כצנלסון",G1040&lt;0,ISNUMBER(SEARCH("הכנסה",F1040)))),"הכנסה שסווגה מחדש",J1040)</x:f>
        <x:v>חריג</x:v>
      </x:c>
      <x:c r="L1040" s="19" t="str">
        <x:v>מאושר</x:v>
      </x:c>
      <x:c r="M1040" s="20" t="n">
        <x:f>IF(L1040="מאושר",IF(K1040="הכנסה שסווגה מחדש",0,G1040),0)</x:f>
        <x:v>512</x:v>
      </x:c>
      <x:c r="N1040" s="20" t="n">
        <x:f>IF(K1040="שוטף",M1040,0)</x:f>
        <x:v>0</x:v>
      </x:c>
      <x:c r="O1040" s="20" t="n">
        <x:f>IF(K1040="הכנסה שסווגה מחדש",-G1040,0)</x:f>
        <x:v>0</x:v>
      </x:c>
      <x:c r="P1040" s="11" t="str">
        <x:v>אמקס זיו</x:v>
      </x:c>
      <x:c r="Q1040" s="11" t="str"/>
      <x:c r="R1040" s="11" t="str">
        <x:v>לא</x:v>
      </x:c>
    </x:row>
    <x:row r="1041">
      <x:c r="A1041" s="14" t="n">
        <x:v>45962</x:v>
      </x:c>
      <x:c r="B1041" s="11" t="str">
        <x:v>2025-11</x:v>
      </x:c>
      <x:c r="C1041" s="11" t="str">
        <x:v>נובמבר 25</x:v>
      </x:c>
      <x:c r="D1041" s="15" t="n">
        <x:v>41</x:v>
      </x:c>
      <x:c r="E1041" s="11" t="str">
        <x:v>22.1</x:v>
      </x:c>
      <x:c r="F1041" s="11" t="str">
        <x:v>טיסה קפריסין</x:v>
      </x:c>
      <x:c r="G1041" s="17" t="n">
        <x:v>663</x:v>
      </x:c>
      <x:c r="H1041" s="18" t="str">
        <x:v>חול</x:v>
      </x:c>
      <x:c r="I1041" s="19" t="str">
        <x:f>IFERROR(INDEX('מיפוי ומקורות'!$C$7:$C$33,MATCH(H1041,'מיפוי ומקורות'!$B$7:$B$33,0)),"לא מסווג")</x:f>
        <x:v>נסיעות וחופשות</x:v>
      </x:c>
      <x:c r="J1041" s="19" t="str">
        <x:f>IFERROR(INDEX('מיפוי ומקורות'!$D$7:$D$33,MATCH(H1041,'מיפוי ומקורות'!$B$7:$B$33,0)),"שוטף")</x:f>
        <x:v>חריג</x:v>
      </x:c>
      <x:c r="K1041" s="19" t="str">
        <x:f>IF(OR(H1041="ריביות",AND(H1041="דירה כצנלסון",G1041&lt;0,ISNUMBER(SEARCH("הכנסה",F1041)))),"הכנסה שסווגה מחדש",J1041)</x:f>
        <x:v>חריג</x:v>
      </x:c>
      <x:c r="L1041" s="19" t="str">
        <x:v>מאושר</x:v>
      </x:c>
      <x:c r="M1041" s="20" t="n">
        <x:f>IF(L1041="מאושר",IF(K1041="הכנסה שסווגה מחדש",0,G1041),0)</x:f>
        <x:v>663</x:v>
      </x:c>
      <x:c r="N1041" s="20" t="n">
        <x:f>IF(K1041="שוטף",M1041,0)</x:f>
        <x:v>0</x:v>
      </x:c>
      <x:c r="O1041" s="20" t="n">
        <x:f>IF(K1041="הכנסה שסווגה מחדש",-G1041,0)</x:f>
        <x:v>0</x:v>
      </x:c>
      <x:c r="P1041" s="11" t="str">
        <x:v>אמקס זיו</x:v>
      </x:c>
      <x:c r="Q1041" s="11" t="str"/>
      <x:c r="R1041" s="11" t="str">
        <x:v>לא</x:v>
      </x:c>
    </x:row>
    <x:row r="1042">
      <x:c r="A1042" s="14" t="n">
        <x:v>45962</x:v>
      </x:c>
      <x:c r="B1042" s="11" t="str">
        <x:v>2025-11</x:v>
      </x:c>
      <x:c r="C1042" s="11" t="str">
        <x:v>נובמבר 25</x:v>
      </x:c>
      <x:c r="D1042" s="15" t="n">
        <x:v>42</x:v>
      </x:c>
      <x:c r="E1042" s="11" t="str">
        <x:v>30.1</x:v>
      </x:c>
      <x:c r="F1042" s="11" t="str">
        <x:v>אלי</x:v>
      </x:c>
      <x:c r="G1042" s="17" t="n">
        <x:v>52</x:v>
      </x:c>
      <x:c r="H1042" s="18" t="str">
        <x:v>קניות לבית</x:v>
      </x:c>
      <x:c r="I1042" s="19" t="str">
        <x:f>IFERROR(INDEX('מיפוי ומקורות'!$C$7:$C$33,MATCH(H1042,'מיפוי ומקורות'!$B$7:$B$33,0)),"לא מסווג")</x:f>
        <x:v>קניות לבית</x:v>
      </x:c>
      <x:c r="J1042" s="19" t="str">
        <x:f>IFERROR(INDEX('מיפוי ומקורות'!$D$7:$D$33,MATCH(H1042,'מיפוי ומקורות'!$B$7:$B$33,0)),"שוטף")</x:f>
        <x:v>שוטף</x:v>
      </x:c>
      <x:c r="K1042" s="19" t="str">
        <x:f>IF(OR(H1042="ריביות",AND(H1042="דירה כצנלסון",G1042&lt;0,ISNUMBER(SEARCH("הכנסה",F1042)))),"הכנסה שסווגה מחדש",J1042)</x:f>
        <x:v>שוטף</x:v>
      </x:c>
      <x:c r="L1042" s="19" t="str">
        <x:v>מאושר</x:v>
      </x:c>
      <x:c r="M1042" s="20" t="n">
        <x:f>IF(L1042="מאושר",IF(K1042="הכנסה שסווגה מחדש",0,G1042),0)</x:f>
        <x:v>52</x:v>
      </x:c>
      <x:c r="N1042" s="20" t="n">
        <x:f>IF(K1042="שוטף",M1042,0)</x:f>
        <x:v>52</x:v>
      </x:c>
      <x:c r="O1042" s="20" t="n">
        <x:f>IF(K1042="הכנסה שסווגה מחדש",-G1042,0)</x:f>
        <x:v>0</x:v>
      </x:c>
      <x:c r="P1042" s="11" t="str">
        <x:v>אמקס זיו</x:v>
      </x:c>
      <x:c r="Q1042" s="11" t="str"/>
      <x:c r="R1042" s="11" t="str">
        <x:v>לא</x:v>
      </x:c>
    </x:row>
    <x:row r="1043">
      <x:c r="A1043" s="14" t="n">
        <x:v>45962</x:v>
      </x:c>
      <x:c r="B1043" s="11" t="str">
        <x:v>2025-11</x:v>
      </x:c>
      <x:c r="C1043" s="11" t="str">
        <x:v>נובמבר 25</x:v>
      </x:c>
      <x:c r="D1043" s="15" t="n">
        <x:v>43</x:v>
      </x:c>
      <x:c r="E1043" s="11" t="str">
        <x:v>1</x:v>
      </x:c>
      <x:c r="F1043" s="11" t="str">
        <x:v>דלק</x:v>
      </x:c>
      <x:c r="G1043" s="17" t="n">
        <x:v>234</x:v>
      </x:c>
      <x:c r="H1043" s="18" t="str">
        <x:v>תחבורה</x:v>
      </x:c>
      <x:c r="I1043" s="19" t="str">
        <x:f>IFERROR(INDEX('מיפוי ומקורות'!$C$7:$C$33,MATCH(H1043,'מיפוי ומקורות'!$B$7:$B$33,0)),"לא מסווג")</x:f>
        <x:v>תחבורה</x:v>
      </x:c>
      <x:c r="J1043" s="19" t="str">
        <x:f>IFERROR(INDEX('מיפוי ומקורות'!$D$7:$D$33,MATCH(H1043,'מיפוי ומקורות'!$B$7:$B$33,0)),"שוטף")</x:f>
        <x:v>שוטף</x:v>
      </x:c>
      <x:c r="K1043" s="19" t="str">
        <x:f>IF(OR(H1043="ריביות",AND(H1043="דירה כצנלסון",G1043&lt;0,ISNUMBER(SEARCH("הכנסה",F1043)))),"הכנסה שסווגה מחדש",J1043)</x:f>
        <x:v>שוטף</x:v>
      </x:c>
      <x:c r="L1043" s="19" t="str">
        <x:v>מאושר</x:v>
      </x:c>
      <x:c r="M1043" s="20" t="n">
        <x:f>IF(L1043="מאושר",IF(K1043="הכנסה שסווגה מחדש",0,G1043),0)</x:f>
        <x:v>234</x:v>
      </x:c>
      <x:c r="N1043" s="20" t="n">
        <x:f>IF(K1043="שוטף",M1043,0)</x:f>
        <x:v>234</x:v>
      </x:c>
      <x:c r="O1043" s="20" t="n">
        <x:f>IF(K1043="הכנסה שסווגה מחדש",-G1043,0)</x:f>
        <x:v>0</x:v>
      </x:c>
      <x:c r="P1043" s="11" t="str">
        <x:v>אמקס זיו</x:v>
      </x:c>
      <x:c r="Q1043" s="11" t="str"/>
      <x:c r="R1043" s="11" t="str">
        <x:v>לא</x:v>
      </x:c>
    </x:row>
    <x:row r="1044">
      <x:c r="A1044" s="14" t="n">
        <x:v>45962</x:v>
      </x:c>
      <x:c r="B1044" s="11" t="str">
        <x:v>2025-11</x:v>
      </x:c>
      <x:c r="C1044" s="11" t="str">
        <x:v>נובמבר 25</x:v>
      </x:c>
      <x:c r="D1044" s="15" t="n">
        <x:v>44</x:v>
      </x:c>
      <x:c r="E1044" s="11" t="str">
        <x:v>2</x:v>
      </x:c>
      <x:c r="F1044" s="11" t="str">
        <x:v>סופר</x:v>
      </x:c>
      <x:c r="G1044" s="17" t="n">
        <x:v>23</x:v>
      </x:c>
      <x:c r="H1044" s="18" t="str">
        <x:v>מזון לבית</x:v>
      </x:c>
      <x:c r="I1044" s="19" t="str">
        <x:f>IFERROR(INDEX('מיפוי ומקורות'!$C$7:$C$33,MATCH(H1044,'מיפוי ומקורות'!$B$7:$B$33,0)),"לא מסווג")</x:f>
        <x:v>מזון לבית</x:v>
      </x:c>
      <x:c r="J1044" s="19" t="str">
        <x:f>IFERROR(INDEX('מיפוי ומקורות'!$D$7:$D$33,MATCH(H1044,'מיפוי ומקורות'!$B$7:$B$33,0)),"שוטף")</x:f>
        <x:v>שוטף</x:v>
      </x:c>
      <x:c r="K1044" s="19" t="str">
        <x:f>IF(OR(H1044="ריביות",AND(H1044="דירה כצנלסון",G1044&lt;0,ISNUMBER(SEARCH("הכנסה",F1044)))),"הכנסה שסווגה מחדש",J1044)</x:f>
        <x:v>שוטף</x:v>
      </x:c>
      <x:c r="L1044" s="19" t="str">
        <x:v>מאושר</x:v>
      </x:c>
      <x:c r="M1044" s="20" t="n">
        <x:f>IF(L1044="מאושר",IF(K1044="הכנסה שסווגה מחדש",0,G1044),0)</x:f>
        <x:v>23</x:v>
      </x:c>
      <x:c r="N1044" s="20" t="n">
        <x:f>IF(K1044="שוטף",M1044,0)</x:f>
        <x:v>23</x:v>
      </x:c>
      <x:c r="O1044" s="20" t="n">
        <x:f>IF(K1044="הכנסה שסווגה מחדש",-G1044,0)</x:f>
        <x:v>0</x:v>
      </x:c>
      <x:c r="P1044" s="11" t="str">
        <x:v>אמקס זיו</x:v>
      </x:c>
      <x:c r="Q1044" s="11" t="str"/>
      <x:c r="R1044" s="11" t="str">
        <x:v>לא</x:v>
      </x:c>
    </x:row>
    <x:row r="1045">
      <x:c r="A1045" s="14" t="n">
        <x:v>45962</x:v>
      </x:c>
      <x:c r="B1045" s="11" t="str">
        <x:v>2025-11</x:v>
      </x:c>
      <x:c r="C1045" s="11" t="str">
        <x:v>נובמבר 25</x:v>
      </x:c>
      <x:c r="D1045" s="15" t="n">
        <x:v>45</x:v>
      </x:c>
      <x:c r="E1045" s="11" t="str">
        <x:v>4</x:v>
      </x:c>
      <x:c r="F1045" s="11" t="str">
        <x:v>סופר</x:v>
      </x:c>
      <x:c r="G1045" s="17" t="n">
        <x:v>20</x:v>
      </x:c>
      <x:c r="H1045" s="18" t="str">
        <x:v>מזון לבית</x:v>
      </x:c>
      <x:c r="I1045" s="19" t="str">
        <x:f>IFERROR(INDEX('מיפוי ומקורות'!$C$7:$C$33,MATCH(H1045,'מיפוי ומקורות'!$B$7:$B$33,0)),"לא מסווג")</x:f>
        <x:v>מזון לבית</x:v>
      </x:c>
      <x:c r="J1045" s="19" t="str">
        <x:f>IFERROR(INDEX('מיפוי ומקורות'!$D$7:$D$33,MATCH(H1045,'מיפוי ומקורות'!$B$7:$B$33,0)),"שוטף")</x:f>
        <x:v>שוטף</x:v>
      </x:c>
      <x:c r="K1045" s="19" t="str">
        <x:f>IF(OR(H1045="ריביות",AND(H1045="דירה כצנלסון",G1045&lt;0,ISNUMBER(SEARCH("הכנסה",F1045)))),"הכנסה שסווגה מחדש",J1045)</x:f>
        <x:v>שוטף</x:v>
      </x:c>
      <x:c r="L1045" s="19" t="str">
        <x:v>מאושר</x:v>
      </x:c>
      <x:c r="M1045" s="20" t="n">
        <x:f>IF(L1045="מאושר",IF(K1045="הכנסה שסווגה מחדש",0,G1045),0)</x:f>
        <x:v>20</x:v>
      </x:c>
      <x:c r="N1045" s="20" t="n">
        <x:f>IF(K1045="שוטף",M1045,0)</x:f>
        <x:v>20</x:v>
      </x:c>
      <x:c r="O1045" s="20" t="n">
        <x:f>IF(K1045="הכנסה שסווגה מחדש",-G1045,0)</x:f>
        <x:v>0</x:v>
      </x:c>
      <x:c r="P1045" s="11" t="str">
        <x:v>אמקס זיו</x:v>
      </x:c>
      <x:c r="Q1045" s="11" t="str"/>
      <x:c r="R1045" s="11" t="str">
        <x:v>לא</x:v>
      </x:c>
    </x:row>
    <x:row r="1046">
      <x:c r="A1046" s="14" t="n">
        <x:v>45962</x:v>
      </x:c>
      <x:c r="B1046" s="11" t="str">
        <x:v>2025-11</x:v>
      </x:c>
      <x:c r="C1046" s="11" t="str">
        <x:v>נובמבר 25</x:v>
      </x:c>
      <x:c r="D1046" s="15" t="n">
        <x:v>46</x:v>
      </x:c>
      <x:c r="E1046" s="11" t="str">
        <x:v>4</x:v>
      </x:c>
      <x:c r="F1046" s="11" t="str">
        <x:v>סופר</x:v>
      </x:c>
      <x:c r="G1046" s="17" t="n">
        <x:v>6</x:v>
      </x:c>
      <x:c r="H1046" s="18" t="str">
        <x:v>מזון לבית</x:v>
      </x:c>
      <x:c r="I1046" s="19" t="str">
        <x:f>IFERROR(INDEX('מיפוי ומקורות'!$C$7:$C$33,MATCH(H1046,'מיפוי ומקורות'!$B$7:$B$33,0)),"לא מסווג")</x:f>
        <x:v>מזון לבית</x:v>
      </x:c>
      <x:c r="J1046" s="19" t="str">
        <x:f>IFERROR(INDEX('מיפוי ומקורות'!$D$7:$D$33,MATCH(H1046,'מיפוי ומקורות'!$B$7:$B$33,0)),"שוטף")</x:f>
        <x:v>שוטף</x:v>
      </x:c>
      <x:c r="K1046" s="19" t="str">
        <x:f>IF(OR(H1046="ריביות",AND(H1046="דירה כצנלסון",G1046&lt;0,ISNUMBER(SEARCH("הכנסה",F1046)))),"הכנסה שסווגה מחדש",J1046)</x:f>
        <x:v>שוטף</x:v>
      </x:c>
      <x:c r="L1046" s="19" t="str">
        <x:v>מאושר</x:v>
      </x:c>
      <x:c r="M1046" s="20" t="n">
        <x:f>IF(L1046="מאושר",IF(K1046="הכנסה שסווגה מחדש",0,G1046),0)</x:f>
        <x:v>6</x:v>
      </x:c>
      <x:c r="N1046" s="20" t="n">
        <x:f>IF(K1046="שוטף",M1046,0)</x:f>
        <x:v>6</x:v>
      </x:c>
      <x:c r="O1046" s="20" t="n">
        <x:f>IF(K1046="הכנסה שסווגה מחדש",-G1046,0)</x:f>
        <x:v>0</x:v>
      </x:c>
      <x:c r="P1046" s="11" t="str">
        <x:v>אמקס זיו</x:v>
      </x:c>
      <x:c r="Q1046" s="11" t="str"/>
      <x:c r="R1046" s="11" t="str">
        <x:v>לא</x:v>
      </x:c>
    </x:row>
    <x:row r="1047">
      <x:c r="A1047" s="14" t="n">
        <x:v>45962</x:v>
      </x:c>
      <x:c r="B1047" s="11" t="str">
        <x:v>2025-11</x:v>
      </x:c>
      <x:c r="C1047" s="11" t="str">
        <x:v>נובמבר 25</x:v>
      </x:c>
      <x:c r="D1047" s="15" t="n">
        <x:v>47</x:v>
      </x:c>
      <x:c r="E1047" s="11" t="str">
        <x:v>6</x:v>
      </x:c>
      <x:c r="F1047" s="11" t="str">
        <x:v>סופר</x:v>
      </x:c>
      <x:c r="G1047" s="17" t="n">
        <x:v>50</x:v>
      </x:c>
      <x:c r="H1047" s="18" t="str">
        <x:v>מזון לבית</x:v>
      </x:c>
      <x:c r="I1047" s="19" t="str">
        <x:f>IFERROR(INDEX('מיפוי ומקורות'!$C$7:$C$33,MATCH(H1047,'מיפוי ומקורות'!$B$7:$B$33,0)),"לא מסווג")</x:f>
        <x:v>מזון לבית</x:v>
      </x:c>
      <x:c r="J1047" s="19" t="str">
        <x:f>IFERROR(INDEX('מיפוי ומקורות'!$D$7:$D$33,MATCH(H1047,'מיפוי ומקורות'!$B$7:$B$33,0)),"שוטף")</x:f>
        <x:v>שוטף</x:v>
      </x:c>
      <x:c r="K1047" s="19" t="str">
        <x:f>IF(OR(H1047="ריביות",AND(H1047="דירה כצנלסון",G1047&lt;0,ISNUMBER(SEARCH("הכנסה",F1047)))),"הכנסה שסווגה מחדש",J1047)</x:f>
        <x:v>שוטף</x:v>
      </x:c>
      <x:c r="L1047" s="19" t="str">
        <x:v>מאושר</x:v>
      </x:c>
      <x:c r="M1047" s="20" t="n">
        <x:f>IF(L1047="מאושר",IF(K1047="הכנסה שסווגה מחדש",0,G1047),0)</x:f>
        <x:v>50</x:v>
      </x:c>
      <x:c r="N1047" s="20" t="n">
        <x:f>IF(K1047="שוטף",M1047,0)</x:f>
        <x:v>50</x:v>
      </x:c>
      <x:c r="O1047" s="20" t="n">
        <x:f>IF(K1047="הכנסה שסווגה מחדש",-G1047,0)</x:f>
        <x:v>0</x:v>
      </x:c>
      <x:c r="P1047" s="11" t="str">
        <x:v>אמקס זיו</x:v>
      </x:c>
      <x:c r="Q1047" s="11" t="str"/>
      <x:c r="R1047" s="11" t="str">
        <x:v>לא</x:v>
      </x:c>
    </x:row>
    <x:row r="1048">
      <x:c r="A1048" s="14" t="n">
        <x:v>45962</x:v>
      </x:c>
      <x:c r="B1048" s="11" t="str">
        <x:v>2025-11</x:v>
      </x:c>
      <x:c r="C1048" s="11" t="str">
        <x:v>נובמבר 25</x:v>
      </x:c>
      <x:c r="D1048" s="15" t="n">
        <x:v>48</x:v>
      </x:c>
      <x:c r="E1048" s="11" t="str">
        <x:v>6</x:v>
      </x:c>
      <x:c r="F1048" s="11" t="str">
        <x:v>ירקן</x:v>
      </x:c>
      <x:c r="G1048" s="17" t="n">
        <x:v>68</x:v>
      </x:c>
      <x:c r="H1048" s="18" t="str">
        <x:v>מזון לבית</x:v>
      </x:c>
      <x:c r="I1048" s="19" t="str">
        <x:f>IFERROR(INDEX('מיפוי ומקורות'!$C$7:$C$33,MATCH(H1048,'מיפוי ומקורות'!$B$7:$B$33,0)),"לא מסווג")</x:f>
        <x:v>מזון לבית</x:v>
      </x:c>
      <x:c r="J1048" s="19" t="str">
        <x:f>IFERROR(INDEX('מיפוי ומקורות'!$D$7:$D$33,MATCH(H1048,'מיפוי ומקורות'!$B$7:$B$33,0)),"שוטף")</x:f>
        <x:v>שוטף</x:v>
      </x:c>
      <x:c r="K1048" s="19" t="str">
        <x:f>IF(OR(H1048="ריביות",AND(H1048="דירה כצנלסון",G1048&lt;0,ISNUMBER(SEARCH("הכנסה",F1048)))),"הכנסה שסווגה מחדש",J1048)</x:f>
        <x:v>שוטף</x:v>
      </x:c>
      <x:c r="L1048" s="19" t="str">
        <x:v>מאושר</x:v>
      </x:c>
      <x:c r="M1048" s="20" t="n">
        <x:f>IF(L1048="מאושר",IF(K1048="הכנסה שסווגה מחדש",0,G1048),0)</x:f>
        <x:v>68</x:v>
      </x:c>
      <x:c r="N1048" s="20" t="n">
        <x:f>IF(K1048="שוטף",M1048,0)</x:f>
        <x:v>68</x:v>
      </x:c>
      <x:c r="O1048" s="20" t="n">
        <x:f>IF(K1048="הכנסה שסווגה מחדש",-G1048,0)</x:f>
        <x:v>0</x:v>
      </x:c>
      <x:c r="P1048" s="11" t="str">
        <x:v>אמקס זיו</x:v>
      </x:c>
      <x:c r="Q1048" s="11" t="str"/>
      <x:c r="R1048" s="11" t="str">
        <x:v>לא</x:v>
      </x:c>
    </x:row>
    <x:row r="1049">
      <x:c r="A1049" s="14" t="n">
        <x:v>45962</x:v>
      </x:c>
      <x:c r="B1049" s="11" t="str">
        <x:v>2025-11</x:v>
      </x:c>
      <x:c r="C1049" s="11" t="str">
        <x:v>נובמבר 25</x:v>
      </x:c>
      <x:c r="D1049" s="15" t="n">
        <x:v>49</x:v>
      </x:c>
      <x:c r="E1049" s="11" t="str">
        <x:v>7</x:v>
      </x:c>
      <x:c r="F1049" s="11" t="str">
        <x:v>מסעדה</x:v>
      </x:c>
      <x:c r="G1049" s="17" t="n">
        <x:v>39</x:v>
      </x:c>
      <x:c r="H1049" s="18" t="str">
        <x:v>אוכל בחוץ</x:v>
      </x:c>
      <x:c r="I1049" s="19" t="str">
        <x:f>IFERROR(INDEX('מיפוי ומקורות'!$C$7:$C$33,MATCH(H1049,'מיפוי ומקורות'!$B$7:$B$33,0)),"לא מסווג")</x:f>
        <x:v>אוכל בחוץ</x:v>
      </x:c>
      <x:c r="J1049" s="19" t="str">
        <x:f>IFERROR(INDEX('מיפוי ומקורות'!$D$7:$D$33,MATCH(H1049,'מיפוי ומקורות'!$B$7:$B$33,0)),"שוטף")</x:f>
        <x:v>שוטף</x:v>
      </x:c>
      <x:c r="K1049" s="19" t="str">
        <x:f>IF(OR(H1049="ריביות",AND(H1049="דירה כצנלסון",G1049&lt;0,ISNUMBER(SEARCH("הכנסה",F1049)))),"הכנסה שסווגה מחדש",J1049)</x:f>
        <x:v>שוטף</x:v>
      </x:c>
      <x:c r="L1049" s="19" t="str">
        <x:v>מאושר</x:v>
      </x:c>
      <x:c r="M1049" s="20" t="n">
        <x:f>IF(L1049="מאושר",IF(K1049="הכנסה שסווגה מחדש",0,G1049),0)</x:f>
        <x:v>39</x:v>
      </x:c>
      <x:c r="N1049" s="20" t="n">
        <x:f>IF(K1049="שוטף",M1049,0)</x:f>
        <x:v>39</x:v>
      </x:c>
      <x:c r="O1049" s="20" t="n">
        <x:f>IF(K1049="הכנסה שסווגה מחדש",-G1049,0)</x:f>
        <x:v>0</x:v>
      </x:c>
      <x:c r="P1049" s="11" t="str">
        <x:v>אמקס זיו</x:v>
      </x:c>
      <x:c r="Q1049" s="11" t="str"/>
      <x:c r="R1049" s="11" t="str">
        <x:v>לא</x:v>
      </x:c>
    </x:row>
    <x:row r="1050">
      <x:c r="A1050" s="14" t="n">
        <x:v>45962</x:v>
      </x:c>
      <x:c r="B1050" s="11" t="str">
        <x:v>2025-11</x:v>
      </x:c>
      <x:c r="C1050" s="11" t="str">
        <x:v>נובמבר 25</x:v>
      </x:c>
      <x:c r="D1050" s="15" t="n">
        <x:v>50</x:v>
      </x:c>
      <x:c r="E1050" s="11" t="str">
        <x:v>9</x:v>
      </x:c>
      <x:c r="F1050" s="11" t="str">
        <x:v>סופר</x:v>
      </x:c>
      <x:c r="G1050" s="17" t="n">
        <x:v>72</x:v>
      </x:c>
      <x:c r="H1050" s="18" t="str">
        <x:v>מזון לבית</x:v>
      </x:c>
      <x:c r="I1050" s="19" t="str">
        <x:f>IFERROR(INDEX('מיפוי ומקורות'!$C$7:$C$33,MATCH(H1050,'מיפוי ומקורות'!$B$7:$B$33,0)),"לא מסווג")</x:f>
        <x:v>מזון לבית</x:v>
      </x:c>
      <x:c r="J1050" s="19" t="str">
        <x:f>IFERROR(INDEX('מיפוי ומקורות'!$D$7:$D$33,MATCH(H1050,'מיפוי ומקורות'!$B$7:$B$33,0)),"שוטף")</x:f>
        <x:v>שוטף</x:v>
      </x:c>
      <x:c r="K1050" s="19" t="str">
        <x:f>IF(OR(H1050="ריביות",AND(H1050="דירה כצנלסון",G1050&lt;0,ISNUMBER(SEARCH("הכנסה",F1050)))),"הכנסה שסווגה מחדש",J1050)</x:f>
        <x:v>שוטף</x:v>
      </x:c>
      <x:c r="L1050" s="19" t="str">
        <x:v>מאושר</x:v>
      </x:c>
      <x:c r="M1050" s="20" t="n">
        <x:f>IF(L1050="מאושר",IF(K1050="הכנסה שסווגה מחדש",0,G1050),0)</x:f>
        <x:v>72</x:v>
      </x:c>
      <x:c r="N1050" s="20" t="n">
        <x:f>IF(K1050="שוטף",M1050,0)</x:f>
        <x:v>72</x:v>
      </x:c>
      <x:c r="O1050" s="20" t="n">
        <x:f>IF(K1050="הכנסה שסווגה מחדש",-G1050,0)</x:f>
        <x:v>0</x:v>
      </x:c>
      <x:c r="P1050" s="11" t="str">
        <x:v>אמקס זיו</x:v>
      </x:c>
      <x:c r="Q1050" s="11" t="str"/>
      <x:c r="R1050" s="11" t="str">
        <x:v>לא</x:v>
      </x:c>
    </x:row>
    <x:row r="1051">
      <x:c r="A1051" s="14" t="n">
        <x:v>45962</x:v>
      </x:c>
      <x:c r="B1051" s="11" t="str">
        <x:v>2025-11</x:v>
      </x:c>
      <x:c r="C1051" s="11" t="str">
        <x:v>נובמבר 25</x:v>
      </x:c>
      <x:c r="D1051" s="15" t="n">
        <x:v>51</x:v>
      </x:c>
      <x:c r="E1051" s="11" t="str">
        <x:v>10</x:v>
      </x:c>
      <x:c r="F1051" s="11" t="str">
        <x:v>סופר</x:v>
      </x:c>
      <x:c r="G1051" s="17" t="n">
        <x:v>26</x:v>
      </x:c>
      <x:c r="H1051" s="18" t="str">
        <x:v>מזון לבית</x:v>
      </x:c>
      <x:c r="I1051" s="19" t="str">
        <x:f>IFERROR(INDEX('מיפוי ומקורות'!$C$7:$C$33,MATCH(H1051,'מיפוי ומקורות'!$B$7:$B$33,0)),"לא מסווג")</x:f>
        <x:v>מזון לבית</x:v>
      </x:c>
      <x:c r="J1051" s="19" t="str">
        <x:f>IFERROR(INDEX('מיפוי ומקורות'!$D$7:$D$33,MATCH(H1051,'מיפוי ומקורות'!$B$7:$B$33,0)),"שוטף")</x:f>
        <x:v>שוטף</x:v>
      </x:c>
      <x:c r="K1051" s="19" t="str">
        <x:f>IF(OR(H1051="ריביות",AND(H1051="דירה כצנלסון",G1051&lt;0,ISNUMBER(SEARCH("הכנסה",F1051)))),"הכנסה שסווגה מחדש",J1051)</x:f>
        <x:v>שוטף</x:v>
      </x:c>
      <x:c r="L1051" s="19" t="str">
        <x:v>מאושר</x:v>
      </x:c>
      <x:c r="M1051" s="20" t="n">
        <x:f>IF(L1051="מאושר",IF(K1051="הכנסה שסווגה מחדש",0,G1051),0)</x:f>
        <x:v>26</x:v>
      </x:c>
      <x:c r="N1051" s="20" t="n">
        <x:f>IF(K1051="שוטף",M1051,0)</x:f>
        <x:v>26</x:v>
      </x:c>
      <x:c r="O1051" s="20" t="n">
        <x:f>IF(K1051="הכנסה שסווגה מחדש",-G1051,0)</x:f>
        <x:v>0</x:v>
      </x:c>
      <x:c r="P1051" s="11" t="str">
        <x:v>אמקס זיו</x:v>
      </x:c>
      <x:c r="Q1051" s="11" t="str"/>
      <x:c r="R1051" s="11" t="str">
        <x:v>לא</x:v>
      </x:c>
    </x:row>
    <x:row r="1052">
      <x:c r="A1052" s="14" t="n">
        <x:v>45962</x:v>
      </x:c>
      <x:c r="B1052" s="11" t="str">
        <x:v>2025-11</x:v>
      </x:c>
      <x:c r="C1052" s="11" t="str">
        <x:v>נובמבר 25</x:v>
      </x:c>
      <x:c r="D1052" s="15" t="n">
        <x:v>52</x:v>
      </x:c>
      <x:c r="E1052" s="11" t="str">
        <x:v>10</x:v>
      </x:c>
      <x:c r="F1052" s="11" t="str">
        <x:v>גרזנים</x:v>
      </x:c>
      <x:c r="G1052" s="17" t="n">
        <x:v>140</x:v>
      </x:c>
      <x:c r="H1052" s="18" t="str">
        <x:v>פנאי</x:v>
      </x:c>
      <x:c r="I1052" s="19" t="str">
        <x:f>IFERROR(INDEX('מיפוי ומקורות'!$C$7:$C$33,MATCH(H1052,'מיפוי ומקורות'!$B$7:$B$33,0)),"לא מסווג")</x:f>
        <x:v>פנאי</x:v>
      </x:c>
      <x:c r="J1052" s="19" t="str">
        <x:f>IFERROR(INDEX('מיפוי ומקורות'!$D$7:$D$33,MATCH(H1052,'מיפוי ומקורות'!$B$7:$B$33,0)),"שוטף")</x:f>
        <x:v>שוטף</x:v>
      </x:c>
      <x:c r="K1052" s="19" t="str">
        <x:f>IF(OR(H1052="ריביות",AND(H1052="דירה כצנלסון",G1052&lt;0,ISNUMBER(SEARCH("הכנסה",F1052)))),"הכנסה שסווגה מחדש",J1052)</x:f>
        <x:v>שוטף</x:v>
      </x:c>
      <x:c r="L1052" s="19" t="str">
        <x:v>מאושר</x:v>
      </x:c>
      <x:c r="M1052" s="20" t="n">
        <x:f>IF(L1052="מאושר",IF(K1052="הכנסה שסווגה מחדש",0,G1052),0)</x:f>
        <x:v>140</x:v>
      </x:c>
      <x:c r="N1052" s="20" t="n">
        <x:f>IF(K1052="שוטף",M1052,0)</x:f>
        <x:v>140</x:v>
      </x:c>
      <x:c r="O1052" s="20" t="n">
        <x:f>IF(K1052="הכנסה שסווגה מחדש",-G1052,0)</x:f>
        <x:v>0</x:v>
      </x:c>
      <x:c r="P1052" s="11" t="str">
        <x:v>אמקס זיו</x:v>
      </x:c>
      <x:c r="Q1052" s="11" t="str"/>
      <x:c r="R1052" s="11" t="str">
        <x:v>לא</x:v>
      </x:c>
    </x:row>
    <x:row r="1053">
      <x:c r="A1053" s="14" t="n">
        <x:v>45962</x:v>
      </x:c>
      <x:c r="B1053" s="11" t="str">
        <x:v>2025-11</x:v>
      </x:c>
      <x:c r="C1053" s="11" t="str">
        <x:v>נובמבר 25</x:v>
      </x:c>
      <x:c r="D1053" s="15" t="n">
        <x:v>53</x:v>
      </x:c>
      <x:c r="E1053" s="11" t="str">
        <x:v>11</x:v>
      </x:c>
      <x:c r="F1053" s="11" t="str">
        <x:v>פרחים</x:v>
      </x:c>
      <x:c r="G1053" s="17" t="n">
        <x:v>100</x:v>
      </x:c>
      <x:c r="H1053" s="18" t="str">
        <x:v>מתנה</x:v>
      </x:c>
      <x:c r="I1053" s="19" t="str">
        <x:f>IFERROR(INDEX('מיפוי ומקורות'!$C$7:$C$33,MATCH(H1053,'מיפוי ומקורות'!$B$7:$B$33,0)),"לא מסווג")</x:f>
        <x:v>מתנה</x:v>
      </x:c>
      <x:c r="J1053" s="19" t="str">
        <x:f>IFERROR(INDEX('מיפוי ומקורות'!$D$7:$D$33,MATCH(H1053,'מיפוי ומקורות'!$B$7:$B$33,0)),"שוטף")</x:f>
        <x:v>שוטף</x:v>
      </x:c>
      <x:c r="K1053" s="19" t="str">
        <x:f>IF(OR(H1053="ריביות",AND(H1053="דירה כצנלסון",G1053&lt;0,ISNUMBER(SEARCH("הכנסה",F1053)))),"הכנסה שסווגה מחדש",J1053)</x:f>
        <x:v>שוטף</x:v>
      </x:c>
      <x:c r="L1053" s="19" t="str">
        <x:v>מאושר</x:v>
      </x:c>
      <x:c r="M1053" s="20" t="n">
        <x:f>IF(L1053="מאושר",IF(K1053="הכנסה שסווגה מחדש",0,G1053),0)</x:f>
        <x:v>100</x:v>
      </x:c>
      <x:c r="N1053" s="20" t="n">
        <x:f>IF(K1053="שוטף",M1053,0)</x:f>
        <x:v>100</x:v>
      </x:c>
      <x:c r="O1053" s="20" t="n">
        <x:f>IF(K1053="הכנסה שסווגה מחדש",-G1053,0)</x:f>
        <x:v>0</x:v>
      </x:c>
      <x:c r="P1053" s="11" t="str">
        <x:v>אמקס זיו</x:v>
      </x:c>
      <x:c r="Q1053" s="11" t="str"/>
      <x:c r="R1053" s="11" t="str">
        <x:v>לא</x:v>
      </x:c>
    </x:row>
    <x:row r="1054">
      <x:c r="A1054" s="14" t="n">
        <x:v>45962</x:v>
      </x:c>
      <x:c r="B1054" s="11" t="str">
        <x:v>2025-11</x:v>
      </x:c>
      <x:c r="C1054" s="11" t="str">
        <x:v>נובמבר 25</x:v>
      </x:c>
      <x:c r="D1054" s="15" t="n">
        <x:v>54</x:v>
      </x:c>
      <x:c r="E1054" s="11" t="str">
        <x:v>12</x:v>
      </x:c>
      <x:c r="F1054" s="11" t="str">
        <x:v>החזר ביטוח</x:v>
      </x:c>
      <x:c r="G1054" s="17" t="n">
        <x:v>-55</x:v>
      </x:c>
      <x:c r="H1054" s="18" t="str">
        <x:v>ביטוח</x:v>
      </x:c>
      <x:c r="I1054" s="19" t="str">
        <x:f>IFERROR(INDEX('מיפוי ומקורות'!$C$7:$C$33,MATCH(H1054,'מיפוי ומקורות'!$B$7:$B$33,0)),"לא מסווג")</x:f>
        <x:v>ביטוח</x:v>
      </x:c>
      <x:c r="J1054" s="19" t="str">
        <x:f>IFERROR(INDEX('מיפוי ומקורות'!$D$7:$D$33,MATCH(H1054,'מיפוי ומקורות'!$B$7:$B$33,0)),"שוטף")</x:f>
        <x:v>שוטף</x:v>
      </x:c>
      <x:c r="K1054" s="19" t="str">
        <x:f>IF(OR(H1054="ריביות",AND(H1054="דירה כצנלסון",G1054&lt;0,ISNUMBER(SEARCH("הכנסה",F1054)))),"הכנסה שסווגה מחדש",J1054)</x:f>
        <x:v>שוטף</x:v>
      </x:c>
      <x:c r="L1054" s="19" t="str">
        <x:v>מאושר</x:v>
      </x:c>
      <x:c r="M1054" s="20" t="n">
        <x:f>IF(L1054="מאושר",IF(K1054="הכנסה שסווגה מחדש",0,G1054),0)</x:f>
        <x:v>-55</x:v>
      </x:c>
      <x:c r="N1054" s="20" t="n">
        <x:f>IF(K1054="שוטף",M1054,0)</x:f>
        <x:v>-55</x:v>
      </x:c>
      <x:c r="O1054" s="20" t="n">
        <x:f>IF(K1054="הכנסה שסווגה מחדש",-G1054,0)</x:f>
        <x:v>0</x:v>
      </x:c>
      <x:c r="P1054" s="11" t="str">
        <x:v>אמקס זיו</x:v>
      </x:c>
      <x:c r="Q1054" s="11" t="str"/>
      <x:c r="R1054" s="11" t="str">
        <x:v>לא</x:v>
      </x:c>
    </x:row>
    <x:row r="1055">
      <x:c r="A1055" s="14" t="n">
        <x:v>45962</x:v>
      </x:c>
      <x:c r="B1055" s="11" t="str">
        <x:v>2025-11</x:v>
      </x:c>
      <x:c r="C1055" s="11" t="str">
        <x:v>נובמבר 25</x:v>
      </x:c>
      <x:c r="D1055" s="15" t="n">
        <x:v>55</x:v>
      </x:c>
      <x:c r="E1055" s="11" t="str">
        <x:v>13</x:v>
      </x:c>
      <x:c r="F1055" s="11" t="str">
        <x:v>סופר</x:v>
      </x:c>
      <x:c r="G1055" s="17" t="n">
        <x:v>26</x:v>
      </x:c>
      <x:c r="H1055" s="18" t="str">
        <x:v>מזון לבית</x:v>
      </x:c>
      <x:c r="I1055" s="19" t="str">
        <x:f>IFERROR(INDEX('מיפוי ומקורות'!$C$7:$C$33,MATCH(H1055,'מיפוי ומקורות'!$B$7:$B$33,0)),"לא מסווג")</x:f>
        <x:v>מזון לבית</x:v>
      </x:c>
      <x:c r="J1055" s="19" t="str">
        <x:f>IFERROR(INDEX('מיפוי ומקורות'!$D$7:$D$33,MATCH(H1055,'מיפוי ומקורות'!$B$7:$B$33,0)),"שוטף")</x:f>
        <x:v>שוטף</x:v>
      </x:c>
      <x:c r="K1055" s="19" t="str">
        <x:f>IF(OR(H1055="ריביות",AND(H1055="דירה כצנלסון",G1055&lt;0,ISNUMBER(SEARCH("הכנסה",F1055)))),"הכנסה שסווגה מחדש",J1055)</x:f>
        <x:v>שוטף</x:v>
      </x:c>
      <x:c r="L1055" s="19" t="str">
        <x:v>מאושר</x:v>
      </x:c>
      <x:c r="M1055" s="20" t="n">
        <x:f>IF(L1055="מאושר",IF(K1055="הכנסה שסווגה מחדש",0,G1055),0)</x:f>
        <x:v>26</x:v>
      </x:c>
      <x:c r="N1055" s="20" t="n">
        <x:f>IF(K1055="שוטף",M1055,0)</x:f>
        <x:v>26</x:v>
      </x:c>
      <x:c r="O1055" s="20" t="n">
        <x:f>IF(K1055="הכנסה שסווגה מחדש",-G1055,0)</x:f>
        <x:v>0</x:v>
      </x:c>
      <x:c r="P1055" s="11" t="str">
        <x:v>אמקס זיו</x:v>
      </x:c>
      <x:c r="Q1055" s="11" t="str"/>
      <x:c r="R1055" s="11" t="str">
        <x:v>לא</x:v>
      </x:c>
    </x:row>
    <x:row r="1056">
      <x:c r="A1056" s="14" t="n">
        <x:v>45962</x:v>
      </x:c>
      <x:c r="B1056" s="11" t="str">
        <x:v>2025-11</x:v>
      </x:c>
      <x:c r="C1056" s="11" t="str">
        <x:v>נובמבר 25</x:v>
      </x:c>
      <x:c r="D1056" s="15" t="n">
        <x:v>56</x:v>
      </x:c>
      <x:c r="E1056" s="11" t="str">
        <x:v>14</x:v>
      </x:c>
      <x:c r="F1056" s="11" t="str">
        <x:v>דלק</x:v>
      </x:c>
      <x:c r="G1056" s="17" t="n">
        <x:v>219</x:v>
      </x:c>
      <x:c r="H1056" s="18" t="str">
        <x:v>תחבורה</x:v>
      </x:c>
      <x:c r="I1056" s="19" t="str">
        <x:f>IFERROR(INDEX('מיפוי ומקורות'!$C$7:$C$33,MATCH(H1056,'מיפוי ומקורות'!$B$7:$B$33,0)),"לא מסווג")</x:f>
        <x:v>תחבורה</x:v>
      </x:c>
      <x:c r="J1056" s="19" t="str">
        <x:f>IFERROR(INDEX('מיפוי ומקורות'!$D$7:$D$33,MATCH(H1056,'מיפוי ומקורות'!$B$7:$B$33,0)),"שוטף")</x:f>
        <x:v>שוטף</x:v>
      </x:c>
      <x:c r="K1056" s="19" t="str">
        <x:f>IF(OR(H1056="ריביות",AND(H1056="דירה כצנלסון",G1056&lt;0,ISNUMBER(SEARCH("הכנסה",F1056)))),"הכנסה שסווגה מחדש",J1056)</x:f>
        <x:v>שוטף</x:v>
      </x:c>
      <x:c r="L1056" s="19" t="str">
        <x:v>מאושר</x:v>
      </x:c>
      <x:c r="M1056" s="20" t="n">
        <x:f>IF(L1056="מאושר",IF(K1056="הכנסה שסווגה מחדש",0,G1056),0)</x:f>
        <x:v>219</x:v>
      </x:c>
      <x:c r="N1056" s="20" t="n">
        <x:f>IF(K1056="שוטף",M1056,0)</x:f>
        <x:v>219</x:v>
      </x:c>
      <x:c r="O1056" s="20" t="n">
        <x:f>IF(K1056="הכנסה שסווגה מחדש",-G1056,0)</x:f>
        <x:v>0</x:v>
      </x:c>
      <x:c r="P1056" s="11" t="str">
        <x:v>אמקס זיו</x:v>
      </x:c>
      <x:c r="Q1056" s="11" t="str"/>
      <x:c r="R1056" s="11" t="str">
        <x:v>לא</x:v>
      </x:c>
    </x:row>
    <x:row r="1057">
      <x:c r="A1057" s="14" t="n">
        <x:v>45962</x:v>
      </x:c>
      <x:c r="B1057" s="11" t="str">
        <x:v>2025-11</x:v>
      </x:c>
      <x:c r="C1057" s="11" t="str">
        <x:v>נובמבר 25</x:v>
      </x:c>
      <x:c r="D1057" s="15" t="n">
        <x:v>57</x:v>
      </x:c>
      <x:c r="E1057" s="11" t="str">
        <x:v>16</x:v>
      </x:c>
      <x:c r="F1057" s="11" t="str">
        <x:v>מדיח</x:v>
      </x:c>
      <x:c r="G1057" s="17" t="n">
        <x:v>2190</x:v>
      </x:c>
      <x:c r="H1057" s="18" t="str">
        <x:v>קניות לבית</x:v>
      </x:c>
      <x:c r="I1057" s="19" t="str">
        <x:f>IFERROR(INDEX('מיפוי ומקורות'!$C$7:$C$33,MATCH(H1057,'מיפוי ומקורות'!$B$7:$B$33,0)),"לא מסווג")</x:f>
        <x:v>קניות לבית</x:v>
      </x:c>
      <x:c r="J1057" s="19" t="str">
        <x:f>IFERROR(INDEX('מיפוי ומקורות'!$D$7:$D$33,MATCH(H1057,'מיפוי ומקורות'!$B$7:$B$33,0)),"שוטף")</x:f>
        <x:v>שוטף</x:v>
      </x:c>
      <x:c r="K1057" s="19" t="str">
        <x:f>IF(OR(H1057="ריביות",AND(H1057="דירה כצנלסון",G1057&lt;0,ISNUMBER(SEARCH("הכנסה",F1057)))),"הכנסה שסווגה מחדש",J1057)</x:f>
        <x:v>שוטף</x:v>
      </x:c>
      <x:c r="L1057" s="19" t="str">
        <x:v>מאושר</x:v>
      </x:c>
      <x:c r="M1057" s="20" t="n">
        <x:f>IF(L1057="מאושר",IF(K1057="הכנסה שסווגה מחדש",0,G1057),0)</x:f>
        <x:v>2190</x:v>
      </x:c>
      <x:c r="N1057" s="20" t="n">
        <x:f>IF(K1057="שוטף",M1057,0)</x:f>
        <x:v>2190</x:v>
      </x:c>
      <x:c r="O1057" s="20" t="n">
        <x:f>IF(K1057="הכנסה שסווגה מחדש",-G1057,0)</x:f>
        <x:v>0</x:v>
      </x:c>
      <x:c r="P1057" s="11" t="str">
        <x:v>אמקס זיו</x:v>
      </x:c>
      <x:c r="Q1057" s="11" t="str"/>
      <x:c r="R1057" s="11" t="str">
        <x:v>לא</x:v>
      </x:c>
    </x:row>
    <x:row r="1058">
      <x:c r="A1058" s="14" t="n">
        <x:v>45962</x:v>
      </x:c>
      <x:c r="B1058" s="11" t="str">
        <x:v>2025-11</x:v>
      </x:c>
      <x:c r="C1058" s="11" t="str">
        <x:v>נובמבר 25</x:v>
      </x:c>
      <x:c r="D1058" s="15" t="n">
        <x:v>58</x:v>
      </x:c>
      <x:c r="E1058" s="11" t="str">
        <x:v>17</x:v>
      </x:c>
      <x:c r="F1058" s="11" t="str">
        <x:v>ירקן</x:v>
      </x:c>
      <x:c r="G1058" s="17" t="n">
        <x:v>56</x:v>
      </x:c>
      <x:c r="H1058" s="18" t="str">
        <x:v>מזון לבית</x:v>
      </x:c>
      <x:c r="I1058" s="19" t="str">
        <x:f>IFERROR(INDEX('מיפוי ומקורות'!$C$7:$C$33,MATCH(H1058,'מיפוי ומקורות'!$B$7:$B$33,0)),"לא מסווג")</x:f>
        <x:v>מזון לבית</x:v>
      </x:c>
      <x:c r="J1058" s="19" t="str">
        <x:f>IFERROR(INDEX('מיפוי ומקורות'!$D$7:$D$33,MATCH(H1058,'מיפוי ומקורות'!$B$7:$B$33,0)),"שוטף")</x:f>
        <x:v>שוטף</x:v>
      </x:c>
      <x:c r="K1058" s="19" t="str">
        <x:f>IF(OR(H1058="ריביות",AND(H1058="דירה כצנלסון",G1058&lt;0,ISNUMBER(SEARCH("הכנסה",F1058)))),"הכנסה שסווגה מחדש",J1058)</x:f>
        <x:v>שוטף</x:v>
      </x:c>
      <x:c r="L1058" s="19" t="str">
        <x:v>מאושר</x:v>
      </x:c>
      <x:c r="M1058" s="20" t="n">
        <x:f>IF(L1058="מאושר",IF(K1058="הכנסה שסווגה מחדש",0,G1058),0)</x:f>
        <x:v>56</x:v>
      </x:c>
      <x:c r="N1058" s="20" t="n">
        <x:f>IF(K1058="שוטף",M1058,0)</x:f>
        <x:v>56</x:v>
      </x:c>
      <x:c r="O1058" s="20" t="n">
        <x:f>IF(K1058="הכנסה שסווגה מחדש",-G1058,0)</x:f>
        <x:v>0</x:v>
      </x:c>
      <x:c r="P1058" s="11" t="str">
        <x:v>אמקס זיו</x:v>
      </x:c>
      <x:c r="Q1058" s="11" t="str"/>
      <x:c r="R1058" s="11" t="str">
        <x:v>לא</x:v>
      </x:c>
    </x:row>
    <x:row r="1059">
      <x:c r="A1059" s="14" t="n">
        <x:v>45962</x:v>
      </x:c>
      <x:c r="B1059" s="11" t="str">
        <x:v>2025-11</x:v>
      </x:c>
      <x:c r="C1059" s="11" t="str">
        <x:v>נובמבר 25</x:v>
      </x:c>
      <x:c r="D1059" s="15" t="n">
        <x:v>59</x:v>
      </x:c>
      <x:c r="E1059" s="11" t="str">
        <x:v>19</x:v>
      </x:c>
      <x:c r="F1059" s="11" t="str">
        <x:v>קינוח</x:v>
      </x:c>
      <x:c r="G1059" s="17" t="n">
        <x:v>43</x:v>
      </x:c>
      <x:c r="H1059" s="18" t="str">
        <x:v>אוכל בחוץ</x:v>
      </x:c>
      <x:c r="I1059" s="19" t="str">
        <x:f>IFERROR(INDEX('מיפוי ומקורות'!$C$7:$C$33,MATCH(H1059,'מיפוי ומקורות'!$B$7:$B$33,0)),"לא מסווג")</x:f>
        <x:v>אוכל בחוץ</x:v>
      </x:c>
      <x:c r="J1059" s="19" t="str">
        <x:f>IFERROR(INDEX('מיפוי ומקורות'!$D$7:$D$33,MATCH(H1059,'מיפוי ומקורות'!$B$7:$B$33,0)),"שוטף")</x:f>
        <x:v>שוטף</x:v>
      </x:c>
      <x:c r="K1059" s="19" t="str">
        <x:f>IF(OR(H1059="ריביות",AND(H1059="דירה כצנלסון",G1059&lt;0,ISNUMBER(SEARCH("הכנסה",F1059)))),"הכנסה שסווגה מחדש",J1059)</x:f>
        <x:v>שוטף</x:v>
      </x:c>
      <x:c r="L1059" s="19" t="str">
        <x:v>מאושר</x:v>
      </x:c>
      <x:c r="M1059" s="20" t="n">
        <x:f>IF(L1059="מאושר",IF(K1059="הכנסה שסווגה מחדש",0,G1059),0)</x:f>
        <x:v>43</x:v>
      </x:c>
      <x:c r="N1059" s="20" t="n">
        <x:f>IF(K1059="שוטף",M1059,0)</x:f>
        <x:v>43</x:v>
      </x:c>
      <x:c r="O1059" s="20" t="n">
        <x:f>IF(K1059="הכנסה שסווגה מחדש",-G1059,0)</x:f>
        <x:v>0</x:v>
      </x:c>
      <x:c r="P1059" s="11" t="str">
        <x:v>אמקס זיו</x:v>
      </x:c>
      <x:c r="Q1059" s="11" t="str"/>
      <x:c r="R1059" s="11" t="str">
        <x:v>לא</x:v>
      </x:c>
    </x:row>
    <x:row r="1060">
      <x:c r="A1060" s="14" t="n">
        <x:v>45962</x:v>
      </x:c>
      <x:c r="B1060" s="11" t="str">
        <x:v>2025-11</x:v>
      </x:c>
      <x:c r="C1060" s="11" t="str">
        <x:v>נובמבר 25</x:v>
      </x:c>
      <x:c r="D1060" s="15" t="n">
        <x:v>60</x:v>
      </x:c>
      <x:c r="E1060" s="11" t="str">
        <x:v>20</x:v>
      </x:c>
      <x:c r="F1060" s="11" t="str">
        <x:v>פרחים</x:v>
      </x:c>
      <x:c r="G1060" s="17" t="n">
        <x:v>105</x:v>
      </x:c>
      <x:c r="H1060" s="18" t="str">
        <x:v>מתנה</x:v>
      </x:c>
      <x:c r="I1060" s="19" t="str">
        <x:f>IFERROR(INDEX('מיפוי ומקורות'!$C$7:$C$33,MATCH(H1060,'מיפוי ומקורות'!$B$7:$B$33,0)),"לא מסווג")</x:f>
        <x:v>מתנה</x:v>
      </x:c>
      <x:c r="J1060" s="19" t="str">
        <x:f>IFERROR(INDEX('מיפוי ומקורות'!$D$7:$D$33,MATCH(H1060,'מיפוי ומקורות'!$B$7:$B$33,0)),"שוטף")</x:f>
        <x:v>שוטף</x:v>
      </x:c>
      <x:c r="K1060" s="19" t="str">
        <x:f>IF(OR(H1060="ריביות",AND(H1060="דירה כצנלסון",G1060&lt;0,ISNUMBER(SEARCH("הכנסה",F1060)))),"הכנסה שסווגה מחדש",J1060)</x:f>
        <x:v>שוטף</x:v>
      </x:c>
      <x:c r="L1060" s="19" t="str">
        <x:v>מאושר</x:v>
      </x:c>
      <x:c r="M1060" s="20" t="n">
        <x:f>IF(L1060="מאושר",IF(K1060="הכנסה שסווגה מחדש",0,G1060),0)</x:f>
        <x:v>105</x:v>
      </x:c>
      <x:c r="N1060" s="20" t="n">
        <x:f>IF(K1060="שוטף",M1060,0)</x:f>
        <x:v>105</x:v>
      </x:c>
      <x:c r="O1060" s="20" t="n">
        <x:f>IF(K1060="הכנסה שסווגה מחדש",-G1060,0)</x:f>
        <x:v>0</x:v>
      </x:c>
      <x:c r="P1060" s="11" t="str">
        <x:v>אמקס זיו</x:v>
      </x:c>
      <x:c r="Q1060" s="11" t="str"/>
      <x:c r="R1060" s="11" t="str">
        <x:v>לא</x:v>
      </x:c>
    </x:row>
    <x:row r="1061">
      <x:c r="A1061" s="14" t="n">
        <x:v>45962</x:v>
      </x:c>
      <x:c r="B1061" s="11" t="str">
        <x:v>2025-11</x:v>
      </x:c>
      <x:c r="C1061" s="11" t="str">
        <x:v>נובמבר 25</x:v>
      </x:c>
      <x:c r="D1061" s="15" t="n">
        <x:v>61</x:v>
      </x:c>
      <x:c r="E1061" s="11" t="str">
        <x:v>20</x:v>
      </x:c>
      <x:c r="F1061" s="11" t="str">
        <x:v>מסעדה</x:v>
      </x:c>
      <x:c r="G1061" s="17" t="n">
        <x:v>25</x:v>
      </x:c>
      <x:c r="H1061" s="18" t="str">
        <x:v>אוכל בחוץ</x:v>
      </x:c>
      <x:c r="I1061" s="19" t="str">
        <x:f>IFERROR(INDEX('מיפוי ומקורות'!$C$7:$C$33,MATCH(H1061,'מיפוי ומקורות'!$B$7:$B$33,0)),"לא מסווג")</x:f>
        <x:v>אוכל בחוץ</x:v>
      </x:c>
      <x:c r="J1061" s="19" t="str">
        <x:f>IFERROR(INDEX('מיפוי ומקורות'!$D$7:$D$33,MATCH(H1061,'מיפוי ומקורות'!$B$7:$B$33,0)),"שוטף")</x:f>
        <x:v>שוטף</x:v>
      </x:c>
      <x:c r="K1061" s="19" t="str">
        <x:f>IF(OR(H1061="ריביות",AND(H1061="דירה כצנלסון",G1061&lt;0,ISNUMBER(SEARCH("הכנסה",F1061)))),"הכנסה שסווגה מחדש",J1061)</x:f>
        <x:v>שוטף</x:v>
      </x:c>
      <x:c r="L1061" s="19" t="str">
        <x:v>מאושר</x:v>
      </x:c>
      <x:c r="M1061" s="20" t="n">
        <x:f>IF(L1061="מאושר",IF(K1061="הכנסה שסווגה מחדש",0,G1061),0)</x:f>
        <x:v>25</x:v>
      </x:c>
      <x:c r="N1061" s="20" t="n">
        <x:f>IF(K1061="שוטף",M1061,0)</x:f>
        <x:v>25</x:v>
      </x:c>
      <x:c r="O1061" s="20" t="n">
        <x:f>IF(K1061="הכנסה שסווגה מחדש",-G1061,0)</x:f>
        <x:v>0</x:v>
      </x:c>
      <x:c r="P1061" s="11" t="str">
        <x:v>אמקס זיו</x:v>
      </x:c>
      <x:c r="Q1061" s="11" t="str"/>
      <x:c r="R1061" s="11" t="str">
        <x:v>לא</x:v>
      </x:c>
    </x:row>
    <x:row r="1062">
      <x:c r="A1062" s="14" t="n">
        <x:v>45962</x:v>
      </x:c>
      <x:c r="B1062" s="11" t="str">
        <x:v>2025-11</x:v>
      </x:c>
      <x:c r="C1062" s="11" t="str">
        <x:v>נובמבר 25</x:v>
      </x:c>
      <x:c r="D1062" s="15" t="n">
        <x:v>62</x:v>
      </x:c>
      <x:c r="E1062" s="11" t="str">
        <x:v>21</x:v>
      </x:c>
      <x:c r="F1062" s="11" t="str">
        <x:v>ירקן</x:v>
      </x:c>
      <x:c r="G1062" s="17" t="n">
        <x:v>31</x:v>
      </x:c>
      <x:c r="H1062" s="18" t="str">
        <x:v>מזון לבית</x:v>
      </x:c>
      <x:c r="I1062" s="19" t="str">
        <x:f>IFERROR(INDEX('מיפוי ומקורות'!$C$7:$C$33,MATCH(H1062,'מיפוי ומקורות'!$B$7:$B$33,0)),"לא מסווג")</x:f>
        <x:v>מזון לבית</x:v>
      </x:c>
      <x:c r="J1062" s="19" t="str">
        <x:f>IFERROR(INDEX('מיפוי ומקורות'!$D$7:$D$33,MATCH(H1062,'מיפוי ומקורות'!$B$7:$B$33,0)),"שוטף")</x:f>
        <x:v>שוטף</x:v>
      </x:c>
      <x:c r="K1062" s="19" t="str">
        <x:f>IF(OR(H1062="ריביות",AND(H1062="דירה כצנלסון",G1062&lt;0,ISNUMBER(SEARCH("הכנסה",F1062)))),"הכנסה שסווגה מחדש",J1062)</x:f>
        <x:v>שוטף</x:v>
      </x:c>
      <x:c r="L1062" s="19" t="str">
        <x:v>מאושר</x:v>
      </x:c>
      <x:c r="M1062" s="20" t="n">
        <x:f>IF(L1062="מאושר",IF(K1062="הכנסה שסווגה מחדש",0,G1062),0)</x:f>
        <x:v>31</x:v>
      </x:c>
      <x:c r="N1062" s="20" t="n">
        <x:f>IF(K1062="שוטף",M1062,0)</x:f>
        <x:v>31</x:v>
      </x:c>
      <x:c r="O1062" s="20" t="n">
        <x:f>IF(K1062="הכנסה שסווגה מחדש",-G1062,0)</x:f>
        <x:v>0</x:v>
      </x:c>
      <x:c r="P1062" s="11" t="str">
        <x:v>אמקס זיו</x:v>
      </x:c>
      <x:c r="Q1062" s="11" t="str"/>
      <x:c r="R1062" s="11" t="str">
        <x:v>לא</x:v>
      </x:c>
    </x:row>
    <x:row r="1063">
      <x:c r="A1063" s="14" t="n">
        <x:v>45962</x:v>
      </x:c>
      <x:c r="B1063" s="11" t="str">
        <x:v>2025-11</x:v>
      </x:c>
      <x:c r="C1063" s="11" t="str">
        <x:v>נובמבר 25</x:v>
      </x:c>
      <x:c r="D1063" s="15" t="n">
        <x:v>63</x:v>
      </x:c>
      <x:c r="E1063" s="11" t="str">
        <x:v>21</x:v>
      </x:c>
      <x:c r="F1063" s="11" t="str">
        <x:v>חומוס</x:v>
      </x:c>
      <x:c r="G1063" s="17" t="n">
        <x:v>33</x:v>
      </x:c>
      <x:c r="H1063" s="18" t="str">
        <x:v>אוכל בחוץ</x:v>
      </x:c>
      <x:c r="I1063" s="19" t="str">
        <x:f>IFERROR(INDEX('מיפוי ומקורות'!$C$7:$C$33,MATCH(H1063,'מיפוי ומקורות'!$B$7:$B$33,0)),"לא מסווג")</x:f>
        <x:v>אוכל בחוץ</x:v>
      </x:c>
      <x:c r="J1063" s="19" t="str">
        <x:f>IFERROR(INDEX('מיפוי ומקורות'!$D$7:$D$33,MATCH(H1063,'מיפוי ומקורות'!$B$7:$B$33,0)),"שוטף")</x:f>
        <x:v>שוטף</x:v>
      </x:c>
      <x:c r="K1063" s="19" t="str">
        <x:f>IF(OR(H1063="ריביות",AND(H1063="דירה כצנלסון",G1063&lt;0,ISNUMBER(SEARCH("הכנסה",F1063)))),"הכנסה שסווגה מחדש",J1063)</x:f>
        <x:v>שוטף</x:v>
      </x:c>
      <x:c r="L1063" s="19" t="str">
        <x:v>מאושר</x:v>
      </x:c>
      <x:c r="M1063" s="20" t="n">
        <x:f>IF(L1063="מאושר",IF(K1063="הכנסה שסווגה מחדש",0,G1063),0)</x:f>
        <x:v>33</x:v>
      </x:c>
      <x:c r="N1063" s="20" t="n">
        <x:f>IF(K1063="שוטף",M1063,0)</x:f>
        <x:v>33</x:v>
      </x:c>
      <x:c r="O1063" s="20" t="n">
        <x:f>IF(K1063="הכנסה שסווגה מחדש",-G1063,0)</x:f>
        <x:v>0</x:v>
      </x:c>
      <x:c r="P1063" s="11" t="str">
        <x:v>אמקס זיו</x:v>
      </x:c>
      <x:c r="Q1063" s="11" t="str"/>
      <x:c r="R1063" s="11" t="str">
        <x:v>לא</x:v>
      </x:c>
    </x:row>
    <x:row r="1064">
      <x:c r="A1064" s="14" t="n">
        <x:v>45962</x:v>
      </x:c>
      <x:c r="B1064" s="11" t="str">
        <x:v>2025-11</x:v>
      </x:c>
      <x:c r="C1064" s="11" t="str">
        <x:v>נובמבר 25</x:v>
      </x:c>
      <x:c r="D1064" s="15" t="n">
        <x:v>64</x:v>
      </x:c>
      <x:c r="E1064" s="11" t="str">
        <x:v>23</x:v>
      </x:c>
      <x:c r="F1064" s="11" t="str">
        <x:v>ירקן</x:v>
      </x:c>
      <x:c r="G1064" s="17" t="n">
        <x:v>26</x:v>
      </x:c>
      <x:c r="H1064" s="18" t="str">
        <x:v>מזון לבית</x:v>
      </x:c>
      <x:c r="I1064" s="19" t="str">
        <x:f>IFERROR(INDEX('מיפוי ומקורות'!$C$7:$C$33,MATCH(H1064,'מיפוי ומקורות'!$B$7:$B$33,0)),"לא מסווג")</x:f>
        <x:v>מזון לבית</x:v>
      </x:c>
      <x:c r="J1064" s="19" t="str">
        <x:f>IFERROR(INDEX('מיפוי ומקורות'!$D$7:$D$33,MATCH(H1064,'מיפוי ומקורות'!$B$7:$B$33,0)),"שוטף")</x:f>
        <x:v>שוטף</x:v>
      </x:c>
      <x:c r="K1064" s="19" t="str">
        <x:f>IF(OR(H1064="ריביות",AND(H1064="דירה כצנלסון",G1064&lt;0,ISNUMBER(SEARCH("הכנסה",F1064)))),"הכנסה שסווגה מחדש",J1064)</x:f>
        <x:v>שוטף</x:v>
      </x:c>
      <x:c r="L1064" s="19" t="str">
        <x:v>מאושר</x:v>
      </x:c>
      <x:c r="M1064" s="20" t="n">
        <x:f>IF(L1064="מאושר",IF(K1064="הכנסה שסווגה מחדש",0,G1064),0)</x:f>
        <x:v>26</x:v>
      </x:c>
      <x:c r="N1064" s="20" t="n">
        <x:f>IF(K1064="שוטף",M1064,0)</x:f>
        <x:v>26</x:v>
      </x:c>
      <x:c r="O1064" s="20" t="n">
        <x:f>IF(K1064="הכנסה שסווגה מחדש",-G1064,0)</x:f>
        <x:v>0</x:v>
      </x:c>
      <x:c r="P1064" s="11" t="str">
        <x:v>אמקס זיו</x:v>
      </x:c>
      <x:c r="Q1064" s="11" t="str"/>
      <x:c r="R1064" s="11" t="str">
        <x:v>לא</x:v>
      </x:c>
    </x:row>
    <x:row r="1065">
      <x:c r="A1065" s="14" t="n">
        <x:v>45962</x:v>
      </x:c>
      <x:c r="B1065" s="11" t="str">
        <x:v>2025-11</x:v>
      </x:c>
      <x:c r="C1065" s="11" t="str">
        <x:v>נובמבר 25</x:v>
      </x:c>
      <x:c r="D1065" s="15" t="n">
        <x:v>65</x:v>
      </x:c>
      <x:c r="E1065" s="11" t="str">
        <x:v>23</x:v>
      </x:c>
      <x:c r="F1065" s="11" t="str">
        <x:v>ירקן</x:v>
      </x:c>
      <x:c r="G1065" s="17" t="n">
        <x:v>19</x:v>
      </x:c>
      <x:c r="H1065" s="18" t="str">
        <x:v>מזון לבית</x:v>
      </x:c>
      <x:c r="I1065" s="19" t="str">
        <x:f>IFERROR(INDEX('מיפוי ומקורות'!$C$7:$C$33,MATCH(H1065,'מיפוי ומקורות'!$B$7:$B$33,0)),"לא מסווג")</x:f>
        <x:v>מזון לבית</x:v>
      </x:c>
      <x:c r="J1065" s="19" t="str">
        <x:f>IFERROR(INDEX('מיפוי ומקורות'!$D$7:$D$33,MATCH(H1065,'מיפוי ומקורות'!$B$7:$B$33,0)),"שוטף")</x:f>
        <x:v>שוטף</x:v>
      </x:c>
      <x:c r="K1065" s="19" t="str">
        <x:f>IF(OR(H1065="ריביות",AND(H1065="דירה כצנלסון",G1065&lt;0,ISNUMBER(SEARCH("הכנסה",F1065)))),"הכנסה שסווגה מחדש",J1065)</x:f>
        <x:v>שוטף</x:v>
      </x:c>
      <x:c r="L1065" s="19" t="str">
        <x:v>מאושר</x:v>
      </x:c>
      <x:c r="M1065" s="20" t="n">
        <x:f>IF(L1065="מאושר",IF(K1065="הכנסה שסווגה מחדש",0,G1065),0)</x:f>
        <x:v>19</x:v>
      </x:c>
      <x:c r="N1065" s="20" t="n">
        <x:f>IF(K1065="שוטף",M1065,0)</x:f>
        <x:v>19</x:v>
      </x:c>
      <x:c r="O1065" s="20" t="n">
        <x:f>IF(K1065="הכנסה שסווגה מחדש",-G1065,0)</x:f>
        <x:v>0</x:v>
      </x:c>
      <x:c r="P1065" s="11" t="str">
        <x:v>אמקס זיו</x:v>
      </x:c>
      <x:c r="Q1065" s="11" t="str"/>
      <x:c r="R1065" s="11" t="str">
        <x:v>לא</x:v>
      </x:c>
    </x:row>
    <x:row r="1066">
      <x:c r="A1066" s="14" t="n">
        <x:v>45962</x:v>
      </x:c>
      <x:c r="B1066" s="11" t="str">
        <x:v>2025-11</x:v>
      </x:c>
      <x:c r="C1066" s="11" t="str">
        <x:v>נובמבר 25</x:v>
      </x:c>
      <x:c r="D1066" s="15" t="n">
        <x:v>66</x:v>
      </x:c>
      <x:c r="E1066" s="11" t="str">
        <x:v>25</x:v>
      </x:c>
      <x:c r="F1066" s="11" t="str">
        <x:v>מסעדה</x:v>
      </x:c>
      <x:c r="G1066" s="17" t="n">
        <x:v>67</x:v>
      </x:c>
      <x:c r="H1066" s="18" t="str">
        <x:v>אוכל בחוץ</x:v>
      </x:c>
      <x:c r="I1066" s="19" t="str">
        <x:f>IFERROR(INDEX('מיפוי ומקורות'!$C$7:$C$33,MATCH(H1066,'מיפוי ומקורות'!$B$7:$B$33,0)),"לא מסווג")</x:f>
        <x:v>אוכל בחוץ</x:v>
      </x:c>
      <x:c r="J1066" s="19" t="str">
        <x:f>IFERROR(INDEX('מיפוי ומקורות'!$D$7:$D$33,MATCH(H1066,'מיפוי ומקורות'!$B$7:$B$33,0)),"שוטף")</x:f>
        <x:v>שוטף</x:v>
      </x:c>
      <x:c r="K1066" s="19" t="str">
        <x:f>IF(OR(H1066="ריביות",AND(H1066="דירה כצנלסון",G1066&lt;0,ISNUMBER(SEARCH("הכנסה",F1066)))),"הכנסה שסווגה מחדש",J1066)</x:f>
        <x:v>שוטף</x:v>
      </x:c>
      <x:c r="L1066" s="19" t="str">
        <x:v>מאושר</x:v>
      </x:c>
      <x:c r="M1066" s="20" t="n">
        <x:f>IF(L1066="מאושר",IF(K1066="הכנסה שסווגה מחדש",0,G1066),0)</x:f>
        <x:v>67</x:v>
      </x:c>
      <x:c r="N1066" s="20" t="n">
        <x:f>IF(K1066="שוטף",M1066,0)</x:f>
        <x:v>67</x:v>
      </x:c>
      <x:c r="O1066" s="20" t="n">
        <x:f>IF(K1066="הכנסה שסווגה מחדש",-G1066,0)</x:f>
        <x:v>0</x:v>
      </x:c>
      <x:c r="P1066" s="11" t="str">
        <x:v>אמקס זיו</x:v>
      </x:c>
      <x:c r="Q1066" s="11" t="str"/>
      <x:c r="R1066" s="11" t="str">
        <x:v>לא</x:v>
      </x:c>
    </x:row>
    <x:row r="1067">
      <x:c r="A1067" s="14" t="n">
        <x:v>45962</x:v>
      </x:c>
      <x:c r="B1067" s="11" t="str">
        <x:v>2025-11</x:v>
      </x:c>
      <x:c r="C1067" s="11" t="str">
        <x:v>נובמבר 25</x:v>
      </x:c>
      <x:c r="D1067" s="15" t="n">
        <x:v>67</x:v>
      </x:c>
      <x:c r="E1067" s="11" t="str">
        <x:v>25</x:v>
      </x:c>
      <x:c r="F1067" s="11" t="str">
        <x:v>סופר</x:v>
      </x:c>
      <x:c r="G1067" s="17" t="n">
        <x:v>2</x:v>
      </x:c>
      <x:c r="H1067" s="18" t="str">
        <x:v>מזון לבית</x:v>
      </x:c>
      <x:c r="I1067" s="19" t="str">
        <x:f>IFERROR(INDEX('מיפוי ומקורות'!$C$7:$C$33,MATCH(H1067,'מיפוי ומקורות'!$B$7:$B$33,0)),"לא מסווג")</x:f>
        <x:v>מזון לבית</x:v>
      </x:c>
      <x:c r="J1067" s="19" t="str">
        <x:f>IFERROR(INDEX('מיפוי ומקורות'!$D$7:$D$33,MATCH(H1067,'מיפוי ומקורות'!$B$7:$B$33,0)),"שוטף")</x:f>
        <x:v>שוטף</x:v>
      </x:c>
      <x:c r="K1067" s="19" t="str">
        <x:f>IF(OR(H1067="ריביות",AND(H1067="דירה כצנלסון",G1067&lt;0,ISNUMBER(SEARCH("הכנסה",F1067)))),"הכנסה שסווגה מחדש",J1067)</x:f>
        <x:v>שוטף</x:v>
      </x:c>
      <x:c r="L1067" s="19" t="str">
        <x:v>מאושר</x:v>
      </x:c>
      <x:c r="M1067" s="20" t="n">
        <x:f>IF(L1067="מאושר",IF(K1067="הכנסה שסווגה מחדש",0,G1067),0)</x:f>
        <x:v>2</x:v>
      </x:c>
      <x:c r="N1067" s="20" t="n">
        <x:f>IF(K1067="שוטף",M1067,0)</x:f>
        <x:v>2</x:v>
      </x:c>
      <x:c r="O1067" s="20" t="n">
        <x:f>IF(K1067="הכנסה שסווגה מחדש",-G1067,0)</x:f>
        <x:v>0</x:v>
      </x:c>
      <x:c r="P1067" s="11" t="str">
        <x:v>אמקס זיו</x:v>
      </x:c>
      <x:c r="Q1067" s="11" t="str"/>
      <x:c r="R1067" s="11" t="str">
        <x:v>לא</x:v>
      </x:c>
    </x:row>
    <x:row r="1068">
      <x:c r="A1068" s="14" t="n">
        <x:v>45962</x:v>
      </x:c>
      <x:c r="B1068" s="11" t="str">
        <x:v>2025-11</x:v>
      </x:c>
      <x:c r="C1068" s="11" t="str">
        <x:v>נובמבר 25</x:v>
      </x:c>
      <x:c r="D1068" s="15" t="n">
        <x:v>68</x:v>
      </x:c>
      <x:c r="E1068" s="11" t="str">
        <x:v>26</x:v>
      </x:c>
      <x:c r="F1068" s="11" t="str">
        <x:v>פיצוציה</x:v>
      </x:c>
      <x:c r="G1068" s="17" t="n">
        <x:v>20</x:v>
      </x:c>
      <x:c r="H1068" s="18" t="str">
        <x:v>אוכל בחוץ</x:v>
      </x:c>
      <x:c r="I1068" s="19" t="str">
        <x:f>IFERROR(INDEX('מיפוי ומקורות'!$C$7:$C$33,MATCH(H1068,'מיפוי ומקורות'!$B$7:$B$33,0)),"לא מסווג")</x:f>
        <x:v>אוכל בחוץ</x:v>
      </x:c>
      <x:c r="J1068" s="19" t="str">
        <x:f>IFERROR(INDEX('מיפוי ומקורות'!$D$7:$D$33,MATCH(H1068,'מיפוי ומקורות'!$B$7:$B$33,0)),"שוטף")</x:f>
        <x:v>שוטף</x:v>
      </x:c>
      <x:c r="K1068" s="19" t="str">
        <x:f>IF(OR(H1068="ריביות",AND(H1068="דירה כצנלסון",G1068&lt;0,ISNUMBER(SEARCH("הכנסה",F1068)))),"הכנסה שסווגה מחדש",J1068)</x:f>
        <x:v>שוטף</x:v>
      </x:c>
      <x:c r="L1068" s="19" t="str">
        <x:v>מאושר</x:v>
      </x:c>
      <x:c r="M1068" s="20" t="n">
        <x:f>IF(L1068="מאושר",IF(K1068="הכנסה שסווגה מחדש",0,G1068),0)</x:f>
        <x:v>20</x:v>
      </x:c>
      <x:c r="N1068" s="20" t="n">
        <x:f>IF(K1068="שוטף",M1068,0)</x:f>
        <x:v>20</x:v>
      </x:c>
      <x:c r="O1068" s="20" t="n">
        <x:f>IF(K1068="הכנסה שסווגה מחדש",-G1068,0)</x:f>
        <x:v>0</x:v>
      </x:c>
      <x:c r="P1068" s="11" t="str">
        <x:v>אמקס זיו</x:v>
      </x:c>
      <x:c r="Q1068" s="11" t="str"/>
      <x:c r="R1068" s="11" t="str">
        <x:v>לא</x:v>
      </x:c>
    </x:row>
    <x:row r="1069">
      <x:c r="A1069" s="14" t="n">
        <x:v>45962</x:v>
      </x:c>
      <x:c r="B1069" s="11" t="str">
        <x:v>2025-11</x:v>
      </x:c>
      <x:c r="C1069" s="11" t="str">
        <x:v>נובמבר 25</x:v>
      </x:c>
      <x:c r="D1069" s="15" t="n">
        <x:v>69</x:v>
      </x:c>
      <x:c r="E1069" s="11" t="str">
        <x:v>26</x:v>
      </x:c>
      <x:c r="F1069" s="11" t="str">
        <x:v>הופעה</x:v>
      </x:c>
      <x:c r="G1069" s="17" t="n">
        <x:v>69</x:v>
      </x:c>
      <x:c r="H1069" s="18" t="str">
        <x:v>פנאי</x:v>
      </x:c>
      <x:c r="I1069" s="19" t="str">
        <x:f>IFERROR(INDEX('מיפוי ומקורות'!$C$7:$C$33,MATCH(H1069,'מיפוי ומקורות'!$B$7:$B$33,0)),"לא מסווג")</x:f>
        <x:v>פנאי</x:v>
      </x:c>
      <x:c r="J1069" s="19" t="str">
        <x:f>IFERROR(INDEX('מיפוי ומקורות'!$D$7:$D$33,MATCH(H1069,'מיפוי ומקורות'!$B$7:$B$33,0)),"שוטף")</x:f>
        <x:v>שוטף</x:v>
      </x:c>
      <x:c r="K1069" s="19" t="str">
        <x:f>IF(OR(H1069="ריביות",AND(H1069="דירה כצנלסון",G1069&lt;0,ISNUMBER(SEARCH("הכנסה",F1069)))),"הכנסה שסווגה מחדש",J1069)</x:f>
        <x:v>שוטף</x:v>
      </x:c>
      <x:c r="L1069" s="19" t="str">
        <x:v>מאושר</x:v>
      </x:c>
      <x:c r="M1069" s="20" t="n">
        <x:f>IF(L1069="מאושר",IF(K1069="הכנסה שסווגה מחדש",0,G1069),0)</x:f>
        <x:v>69</x:v>
      </x:c>
      <x:c r="N1069" s="20" t="n">
        <x:f>IF(K1069="שוטף",M1069,0)</x:f>
        <x:v>69</x:v>
      </x:c>
      <x:c r="O1069" s="20" t="n">
        <x:f>IF(K1069="הכנסה שסווגה מחדש",-G1069,0)</x:f>
        <x:v>0</x:v>
      </x:c>
      <x:c r="P1069" s="11" t="str">
        <x:v>אמקס זיו</x:v>
      </x:c>
      <x:c r="Q1069" s="11" t="str"/>
      <x:c r="R1069" s="11" t="str">
        <x:v>לא</x:v>
      </x:c>
    </x:row>
    <x:row r="1070">
      <x:c r="A1070" s="14" t="n">
        <x:v>45962</x:v>
      </x:c>
      <x:c r="B1070" s="11" t="str">
        <x:v>2025-11</x:v>
      </x:c>
      <x:c r="C1070" s="11" t="str">
        <x:v>נובמבר 25</x:v>
      </x:c>
      <x:c r="D1070" s="15" t="n">
        <x:v>70</x:v>
      </x:c>
      <x:c r="E1070" s="11" t="str">
        <x:v>26</x:v>
      </x:c>
      <x:c r="F1070" s="11" t="str">
        <x:v>מזוודה</x:v>
      </x:c>
      <x:c r="G1070" s="17" t="n">
        <x:v>760</x:v>
      </x:c>
      <x:c r="H1070" s="18" t="str">
        <x:v>קניות לבית</x:v>
      </x:c>
      <x:c r="I1070" s="19" t="str">
        <x:f>IFERROR(INDEX('מיפוי ומקורות'!$C$7:$C$33,MATCH(H1070,'מיפוי ומקורות'!$B$7:$B$33,0)),"לא מסווג")</x:f>
        <x:v>קניות לבית</x:v>
      </x:c>
      <x:c r="J1070" s="19" t="str">
        <x:f>IFERROR(INDEX('מיפוי ומקורות'!$D$7:$D$33,MATCH(H1070,'מיפוי ומקורות'!$B$7:$B$33,0)),"שוטף")</x:f>
        <x:v>שוטף</x:v>
      </x:c>
      <x:c r="K1070" s="19" t="str">
        <x:f>IF(OR(H1070="ריביות",AND(H1070="דירה כצנלסון",G1070&lt;0,ISNUMBER(SEARCH("הכנסה",F1070)))),"הכנסה שסווגה מחדש",J1070)</x:f>
        <x:v>שוטף</x:v>
      </x:c>
      <x:c r="L1070" s="19" t="str">
        <x:v>מאושר</x:v>
      </x:c>
      <x:c r="M1070" s="20" t="n">
        <x:f>IF(L1070="מאושר",IF(K1070="הכנסה שסווגה מחדש",0,G1070),0)</x:f>
        <x:v>760</x:v>
      </x:c>
      <x:c r="N1070" s="20" t="n">
        <x:f>IF(K1070="שוטף",M1070,0)</x:f>
        <x:v>760</x:v>
      </x:c>
      <x:c r="O1070" s="20" t="n">
        <x:f>IF(K1070="הכנסה שסווגה מחדש",-G1070,0)</x:f>
        <x:v>0</x:v>
      </x:c>
      <x:c r="P1070" s="11" t="str">
        <x:v>אמקס זיו</x:v>
      </x:c>
      <x:c r="Q1070" s="11" t="str"/>
      <x:c r="R1070" s="11" t="str">
        <x:v>לא</x:v>
      </x:c>
    </x:row>
    <x:row r="1071">
      <x:c r="A1071" s="14" t="n">
        <x:v>45962</x:v>
      </x:c>
      <x:c r="B1071" s="11" t="str">
        <x:v>2025-11</x:v>
      </x:c>
      <x:c r="C1071" s="11" t="str">
        <x:v>נובמבר 25</x:v>
      </x:c>
      <x:c r="D1071" s="15" t="n">
        <x:v>71</x:v>
      </x:c>
      <x:c r="E1071" s="11" t="str">
        <x:v>27</x:v>
      </x:c>
      <x:c r="F1071" s="11" t="str">
        <x:v>קולור קפה</x:v>
      </x:c>
      <x:c r="G1071" s="17" t="n">
        <x:v>410</x:v>
      </x:c>
      <x:c r="H1071" s="18" t="str">
        <x:v>פנאי</x:v>
      </x:c>
      <x:c r="I1071" s="19" t="str">
        <x:f>IFERROR(INDEX('מיפוי ומקורות'!$C$7:$C$33,MATCH(H1071,'מיפוי ומקורות'!$B$7:$B$33,0)),"לא מסווג")</x:f>
        <x:v>פנאי</x:v>
      </x:c>
      <x:c r="J1071" s="19" t="str">
        <x:f>IFERROR(INDEX('מיפוי ומקורות'!$D$7:$D$33,MATCH(H1071,'מיפוי ומקורות'!$B$7:$B$33,0)),"שוטף")</x:f>
        <x:v>שוטף</x:v>
      </x:c>
      <x:c r="K1071" s="19" t="str">
        <x:f>IF(OR(H1071="ריביות",AND(H1071="דירה כצנלסון",G1071&lt;0,ISNUMBER(SEARCH("הכנסה",F1071)))),"הכנסה שסווגה מחדש",J1071)</x:f>
        <x:v>שוטף</x:v>
      </x:c>
      <x:c r="L1071" s="19" t="str">
        <x:v>מאושר</x:v>
      </x:c>
      <x:c r="M1071" s="20" t="n">
        <x:f>IF(L1071="מאושר",IF(K1071="הכנסה שסווגה מחדש",0,G1071),0)</x:f>
        <x:v>410</x:v>
      </x:c>
      <x:c r="N1071" s="20" t="n">
        <x:f>IF(K1071="שוטף",M1071,0)</x:f>
        <x:v>410</x:v>
      </x:c>
      <x:c r="O1071" s="20" t="n">
        <x:f>IF(K1071="הכנסה שסווגה מחדש",-G1071,0)</x:f>
        <x:v>0</x:v>
      </x:c>
      <x:c r="P1071" s="11" t="str">
        <x:v>אמקס זיו</x:v>
      </x:c>
      <x:c r="Q1071" s="11" t="str"/>
      <x:c r="R1071" s="11" t="str">
        <x:v>לא</x:v>
      </x:c>
    </x:row>
    <x:row r="1072">
      <x:c r="A1072" s="14" t="n">
        <x:v>45962</x:v>
      </x:c>
      <x:c r="B1072" s="11" t="str">
        <x:v>2025-11</x:v>
      </x:c>
      <x:c r="C1072" s="11" t="str">
        <x:v>נובמבר 25</x:v>
      </x:c>
      <x:c r="D1072" s="15" t="n">
        <x:v>72</x:v>
      </x:c>
      <x:c r="E1072" s="11" t="str">
        <x:v>27</x:v>
      </x:c>
      <x:c r="F1072" s="11" t="str">
        <x:v>סופר</x:v>
      </x:c>
      <x:c r="G1072" s="17" t="n">
        <x:v>52</x:v>
      </x:c>
      <x:c r="H1072" s="18" t="str">
        <x:v>מזון לבית</x:v>
      </x:c>
      <x:c r="I1072" s="19" t="str">
        <x:f>IFERROR(INDEX('מיפוי ומקורות'!$C$7:$C$33,MATCH(H1072,'מיפוי ומקורות'!$B$7:$B$33,0)),"לא מסווג")</x:f>
        <x:v>מזון לבית</x:v>
      </x:c>
      <x:c r="J1072" s="19" t="str">
        <x:f>IFERROR(INDEX('מיפוי ומקורות'!$D$7:$D$33,MATCH(H1072,'מיפוי ומקורות'!$B$7:$B$33,0)),"שוטף")</x:f>
        <x:v>שוטף</x:v>
      </x:c>
      <x:c r="K1072" s="19" t="str">
        <x:f>IF(OR(H1072="ריביות",AND(H1072="דירה כצנלסון",G1072&lt;0,ISNUMBER(SEARCH("הכנסה",F1072)))),"הכנסה שסווגה מחדש",J1072)</x:f>
        <x:v>שוטף</x:v>
      </x:c>
      <x:c r="L1072" s="19" t="str">
        <x:v>מאושר</x:v>
      </x:c>
      <x:c r="M1072" s="20" t="n">
        <x:f>IF(L1072="מאושר",IF(K1072="הכנסה שסווגה מחדש",0,G1072),0)</x:f>
        <x:v>52</x:v>
      </x:c>
      <x:c r="N1072" s="20" t="n">
        <x:f>IF(K1072="שוטף",M1072,0)</x:f>
        <x:v>52</x:v>
      </x:c>
      <x:c r="O1072" s="20" t="n">
        <x:f>IF(K1072="הכנסה שסווגה מחדש",-G1072,0)</x:f>
        <x:v>0</x:v>
      </x:c>
      <x:c r="P1072" s="11" t="str">
        <x:v>אמקס זיו</x:v>
      </x:c>
      <x:c r="Q1072" s="11" t="str"/>
      <x:c r="R1072" s="11" t="str">
        <x:v>לא</x:v>
      </x:c>
    </x:row>
    <x:row r="1073">
      <x:c r="A1073" s="14" t="n">
        <x:v>45962</x:v>
      </x:c>
      <x:c r="B1073" s="11" t="str">
        <x:v>2025-11</x:v>
      </x:c>
      <x:c r="C1073" s="11" t="str">
        <x:v>נובמבר 25</x:v>
      </x:c>
      <x:c r="D1073" s="15" t="n">
        <x:v>73</x:v>
      </x:c>
      <x:c r="E1073" s="11" t="str">
        <x:v>27</x:v>
      </x:c>
      <x:c r="F1073" s="11" t="str">
        <x:v>מסעדה</x:v>
      </x:c>
      <x:c r="G1073" s="17" t="n">
        <x:v>181</x:v>
      </x:c>
      <x:c r="H1073" s="18" t="str">
        <x:v>אוכל בחוץ</x:v>
      </x:c>
      <x:c r="I1073" s="19" t="str">
        <x:f>IFERROR(INDEX('מיפוי ומקורות'!$C$7:$C$33,MATCH(H1073,'מיפוי ומקורות'!$B$7:$B$33,0)),"לא מסווג")</x:f>
        <x:v>אוכל בחוץ</x:v>
      </x:c>
      <x:c r="J1073" s="19" t="str">
        <x:f>IFERROR(INDEX('מיפוי ומקורות'!$D$7:$D$33,MATCH(H1073,'מיפוי ומקורות'!$B$7:$B$33,0)),"שוטף")</x:f>
        <x:v>שוטף</x:v>
      </x:c>
      <x:c r="K1073" s="19" t="str">
        <x:f>IF(OR(H1073="ריביות",AND(H1073="דירה כצנלסון",G1073&lt;0,ISNUMBER(SEARCH("הכנסה",F1073)))),"הכנסה שסווגה מחדש",J1073)</x:f>
        <x:v>שוטף</x:v>
      </x:c>
      <x:c r="L1073" s="19" t="str">
        <x:v>מאושר</x:v>
      </x:c>
      <x:c r="M1073" s="20" t="n">
        <x:f>IF(L1073="מאושר",IF(K1073="הכנסה שסווגה מחדש",0,G1073),0)</x:f>
        <x:v>181</x:v>
      </x:c>
      <x:c r="N1073" s="20" t="n">
        <x:f>IF(K1073="שוטף",M1073,0)</x:f>
        <x:v>181</x:v>
      </x:c>
      <x:c r="O1073" s="20" t="n">
        <x:f>IF(K1073="הכנסה שסווגה מחדש",-G1073,0)</x:f>
        <x:v>0</x:v>
      </x:c>
      <x:c r="P1073" s="11" t="str">
        <x:v>אמקס זיו</x:v>
      </x:c>
      <x:c r="Q1073" s="11" t="str"/>
      <x:c r="R1073" s="11" t="str">
        <x:v>לא</x:v>
      </x:c>
    </x:row>
    <x:row r="1074">
      <x:c r="A1074" s="14" t="n">
        <x:v>45962</x:v>
      </x:c>
      <x:c r="B1074" s="11" t="str">
        <x:v>2025-11</x:v>
      </x:c>
      <x:c r="C1074" s="11" t="str">
        <x:v>נובמבר 25</x:v>
      </x:c>
      <x:c r="D1074" s="15" t="n">
        <x:v>74</x:v>
      </x:c>
      <x:c r="E1074" s="11" t="str">
        <x:v>27</x:v>
      </x:c>
      <x:c r="F1074" s="11" t="str">
        <x:v>חניה</x:v>
      </x:c>
      <x:c r="G1074" s="17" t="n">
        <x:v>30</x:v>
      </x:c>
      <x:c r="H1074" s="18" t="str">
        <x:v>תחבורה</x:v>
      </x:c>
      <x:c r="I1074" s="19" t="str">
        <x:f>IFERROR(INDEX('מיפוי ומקורות'!$C$7:$C$33,MATCH(H1074,'מיפוי ומקורות'!$B$7:$B$33,0)),"לא מסווג")</x:f>
        <x:v>תחבורה</x:v>
      </x:c>
      <x:c r="J1074" s="19" t="str">
        <x:f>IFERROR(INDEX('מיפוי ומקורות'!$D$7:$D$33,MATCH(H1074,'מיפוי ומקורות'!$B$7:$B$33,0)),"שוטף")</x:f>
        <x:v>שוטף</x:v>
      </x:c>
      <x:c r="K1074" s="19" t="str">
        <x:f>IF(OR(H1074="ריביות",AND(H1074="דירה כצנלסון",G1074&lt;0,ISNUMBER(SEARCH("הכנסה",F1074)))),"הכנסה שסווגה מחדש",J1074)</x:f>
        <x:v>שוטף</x:v>
      </x:c>
      <x:c r="L1074" s="19" t="str">
        <x:v>מאושר</x:v>
      </x:c>
      <x:c r="M1074" s="20" t="n">
        <x:f>IF(L1074="מאושר",IF(K1074="הכנסה שסווגה מחדש",0,G1074),0)</x:f>
        <x:v>30</x:v>
      </x:c>
      <x:c r="N1074" s="20" t="n">
        <x:f>IF(K1074="שוטף",M1074,0)</x:f>
        <x:v>30</x:v>
      </x:c>
      <x:c r="O1074" s="20" t="n">
        <x:f>IF(K1074="הכנסה שסווגה מחדש",-G1074,0)</x:f>
        <x:v>0</x:v>
      </x:c>
      <x:c r="P1074" s="11" t="str">
        <x:v>אמקס זיו</x:v>
      </x:c>
      <x:c r="Q1074" s="11" t="str"/>
      <x:c r="R1074" s="11" t="str">
        <x:v>לא</x:v>
      </x:c>
    </x:row>
    <x:row r="1075">
      <x:c r="A1075" s="14" t="n">
        <x:v>45962</x:v>
      </x:c>
      <x:c r="B1075" s="11" t="str">
        <x:v>2025-11</x:v>
      </x:c>
      <x:c r="C1075" s="11" t="str">
        <x:v>נובמבר 25</x:v>
      </x:c>
      <x:c r="D1075" s="15" t="n">
        <x:v>75</x:v>
      </x:c>
      <x:c r="E1075" s="11" t="str">
        <x:v>29</x:v>
      </x:c>
      <x:c r="F1075" s="11" t="str">
        <x:v>גלידה</x:v>
      </x:c>
      <x:c r="G1075" s="17" t="n">
        <x:v>29</x:v>
      </x:c>
      <x:c r="H1075" s="18" t="str">
        <x:v>אוכל בחוץ</x:v>
      </x:c>
      <x:c r="I1075" s="19" t="str">
        <x:f>IFERROR(INDEX('מיפוי ומקורות'!$C$7:$C$33,MATCH(H1075,'מיפוי ומקורות'!$B$7:$B$33,0)),"לא מסווג")</x:f>
        <x:v>אוכל בחוץ</x:v>
      </x:c>
      <x:c r="J1075" s="19" t="str">
        <x:f>IFERROR(INDEX('מיפוי ומקורות'!$D$7:$D$33,MATCH(H1075,'מיפוי ומקורות'!$B$7:$B$33,0)),"שוטף")</x:f>
        <x:v>שוטף</x:v>
      </x:c>
      <x:c r="K1075" s="19" t="str">
        <x:f>IF(OR(H1075="ריביות",AND(H1075="דירה כצנלסון",G1075&lt;0,ISNUMBER(SEARCH("הכנסה",F1075)))),"הכנסה שסווגה מחדש",J1075)</x:f>
        <x:v>שוטף</x:v>
      </x:c>
      <x:c r="L1075" s="19" t="str">
        <x:v>מאושר</x:v>
      </x:c>
      <x:c r="M1075" s="20" t="n">
        <x:f>IF(L1075="מאושר",IF(K1075="הכנסה שסווגה מחדש",0,G1075),0)</x:f>
        <x:v>29</x:v>
      </x:c>
      <x:c r="N1075" s="20" t="n">
        <x:f>IF(K1075="שוטף",M1075,0)</x:f>
        <x:v>29</x:v>
      </x:c>
      <x:c r="O1075" s="20" t="n">
        <x:f>IF(K1075="הכנסה שסווגה מחדש",-G1075,0)</x:f>
        <x:v>0</x:v>
      </x:c>
      <x:c r="P1075" s="11" t="str">
        <x:v>אמקס זיו</x:v>
      </x:c>
      <x:c r="Q1075" s="11" t="str"/>
      <x:c r="R1075" s="11" t="str">
        <x:v>לא</x:v>
      </x:c>
    </x:row>
    <x:row r="1076">
      <x:c r="A1076" s="14" t="n">
        <x:v>45962</x:v>
      </x:c>
      <x:c r="B1076" s="11" t="str">
        <x:v>2025-11</x:v>
      </x:c>
      <x:c r="C1076" s="11" t="str">
        <x:v>נובמבר 25</x:v>
      </x:c>
      <x:c r="D1076" s="15" t="n">
        <x:v>76</x:v>
      </x:c>
      <x:c r="E1076" s="11" t="str">
        <x:v>29</x:v>
      </x:c>
      <x:c r="F1076" s="11" t="str">
        <x:v>סופר</x:v>
      </x:c>
      <x:c r="G1076" s="17" t="n">
        <x:v>241</x:v>
      </x:c>
      <x:c r="H1076" s="18" t="str">
        <x:v>מזון לבית</x:v>
      </x:c>
      <x:c r="I1076" s="19" t="str">
        <x:f>IFERROR(INDEX('מיפוי ומקורות'!$C$7:$C$33,MATCH(H1076,'מיפוי ומקורות'!$B$7:$B$33,0)),"לא מסווג")</x:f>
        <x:v>מזון לבית</x:v>
      </x:c>
      <x:c r="J1076" s="19" t="str">
        <x:f>IFERROR(INDEX('מיפוי ומקורות'!$D$7:$D$33,MATCH(H1076,'מיפוי ומקורות'!$B$7:$B$33,0)),"שוטף")</x:f>
        <x:v>שוטף</x:v>
      </x:c>
      <x:c r="K1076" s="19" t="str">
        <x:f>IF(OR(H1076="ריביות",AND(H1076="דירה כצנלסון",G1076&lt;0,ISNUMBER(SEARCH("הכנסה",F1076)))),"הכנסה שסווגה מחדש",J1076)</x:f>
        <x:v>שוטף</x:v>
      </x:c>
      <x:c r="L1076" s="19" t="str">
        <x:v>מאושר</x:v>
      </x:c>
      <x:c r="M1076" s="20" t="n">
        <x:f>IF(L1076="מאושר",IF(K1076="הכנסה שסווגה מחדש",0,G1076),0)</x:f>
        <x:v>241</x:v>
      </x:c>
      <x:c r="N1076" s="20" t="n">
        <x:f>IF(K1076="שוטף",M1076,0)</x:f>
        <x:v>241</x:v>
      </x:c>
      <x:c r="O1076" s="20" t="n">
        <x:f>IF(K1076="הכנסה שסווגה מחדש",-G1076,0)</x:f>
        <x:v>0</x:v>
      </x:c>
      <x:c r="P1076" s="11" t="str">
        <x:v>אמקס זיו</x:v>
      </x:c>
      <x:c r="Q1076" s="11" t="str"/>
      <x:c r="R1076" s="11" t="str">
        <x:v>לא</x:v>
      </x:c>
    </x:row>
    <x:row r="1077">
      <x:c r="A1077" s="14" t="n">
        <x:v>45962</x:v>
      </x:c>
      <x:c r="B1077" s="11" t="str">
        <x:v>2025-11</x:v>
      </x:c>
      <x:c r="C1077" s="11" t="str">
        <x:v>נובמבר 25</x:v>
      </x:c>
      <x:c r="D1077" s="15" t="n">
        <x:v>77</x:v>
      </x:c>
      <x:c r="E1077" s="11" t="str">
        <x:v>31.1</x:v>
      </x:c>
      <x:c r="F1077" s="11" t="str">
        <x:v>אלי</x:v>
      </x:c>
      <x:c r="G1077" s="17" t="n">
        <x:v>72</x:v>
      </x:c>
      <x:c r="H1077" s="18" t="str">
        <x:v>פנאי</x:v>
      </x:c>
      <x:c r="I1077" s="19" t="str">
        <x:f>IFERROR(INDEX('מיפוי ומקורות'!$C$7:$C$33,MATCH(H1077,'מיפוי ומקורות'!$B$7:$B$33,0)),"לא מסווג")</x:f>
        <x:v>פנאי</x:v>
      </x:c>
      <x:c r="J1077" s="19" t="str">
        <x:f>IFERROR(INDEX('מיפוי ומקורות'!$D$7:$D$33,MATCH(H1077,'מיפוי ומקורות'!$B$7:$B$33,0)),"שוטף")</x:f>
        <x:v>שוטף</x:v>
      </x:c>
      <x:c r="K1077" s="19" t="str">
        <x:f>IF(OR(H1077="ריביות",AND(H1077="דירה כצנלסון",G1077&lt;0,ISNUMBER(SEARCH("הכנסה",F1077)))),"הכנסה שסווגה מחדש",J1077)</x:f>
        <x:v>שוטף</x:v>
      </x:c>
      <x:c r="L1077" s="19" t="str">
        <x:v>מאושר</x:v>
      </x:c>
      <x:c r="M1077" s="20" t="n">
        <x:f>IF(L1077="מאושר",IF(K1077="הכנסה שסווגה מחדש",0,G1077),0)</x:f>
        <x:v>72</x:v>
      </x:c>
      <x:c r="N1077" s="20" t="n">
        <x:f>IF(K1077="שוטף",M1077,0)</x:f>
        <x:v>72</x:v>
      </x:c>
      <x:c r="O1077" s="20" t="n">
        <x:f>IF(K1077="הכנסה שסווגה מחדש",-G1077,0)</x:f>
        <x:v>0</x:v>
      </x:c>
      <x:c r="P1077" s="11" t="str">
        <x:v>אמקס עינור</x:v>
      </x:c>
      <x:c r="Q1077" s="11" t="str"/>
      <x:c r="R1077" s="11" t="str">
        <x:v>לא</x:v>
      </x:c>
    </x:row>
    <x:row r="1078">
      <x:c r="A1078" s="14" t="n">
        <x:v>45962</x:v>
      </x:c>
      <x:c r="B1078" s="11" t="str">
        <x:v>2025-11</x:v>
      </x:c>
      <x:c r="C1078" s="11" t="str">
        <x:v>נובמבר 25</x:v>
      </x:c>
      <x:c r="D1078" s="15" t="n">
        <x:v>78</x:v>
      </x:c>
      <x:c r="E1078" s="11" t="str">
        <x:v>3</x:v>
      </x:c>
      <x:c r="F1078" s="11" t="str">
        <x:v>גפטה</x:v>
      </x:c>
      <x:c r="G1078" s="17" t="n">
        <x:v>65</x:v>
      </x:c>
      <x:c r="H1078" s="18" t="str">
        <x:v>אחר</x:v>
      </x:c>
      <x:c r="I1078" s="19" t="str">
        <x:f>IFERROR(INDEX('מיפוי ומקורות'!$C$7:$C$33,MATCH(H1078,'מיפוי ומקורות'!$B$7:$B$33,0)),"לא מסווג")</x:f>
        <x:v>אחר</x:v>
      </x:c>
      <x:c r="J1078" s="19" t="str">
        <x:f>IFERROR(INDEX('מיפוי ומקורות'!$D$7:$D$33,MATCH(H1078,'מיפוי ומקורות'!$B$7:$B$33,0)),"שוטף")</x:f>
        <x:v>שוטף</x:v>
      </x:c>
      <x:c r="K1078" s="19" t="str">
        <x:f>IF(OR(H1078="ריביות",AND(H1078="דירה כצנלסון",G1078&lt;0,ISNUMBER(SEARCH("הכנסה",F1078)))),"הכנסה שסווגה מחדש",J1078)</x:f>
        <x:v>שוטף</x:v>
      </x:c>
      <x:c r="L1078" s="19" t="str">
        <x:v>מאושר</x:v>
      </x:c>
      <x:c r="M1078" s="20" t="n">
        <x:f>IF(L1078="מאושר",IF(K1078="הכנסה שסווגה מחדש",0,G1078),0)</x:f>
        <x:v>65</x:v>
      </x:c>
      <x:c r="N1078" s="20" t="n">
        <x:f>IF(K1078="שוטף",M1078,0)</x:f>
        <x:v>65</x:v>
      </x:c>
      <x:c r="O1078" s="20" t="n">
        <x:f>IF(K1078="הכנסה שסווגה מחדש",-G1078,0)</x:f>
        <x:v>0</x:v>
      </x:c>
      <x:c r="P1078" s="11" t="str">
        <x:v>אמקס עינור</x:v>
      </x:c>
      <x:c r="Q1078" s="11" t="str"/>
      <x:c r="R1078" s="11" t="str">
        <x:v>לא</x:v>
      </x:c>
    </x:row>
    <x:row r="1079">
      <x:c r="A1079" s="14" t="n">
        <x:v>45962</x:v>
      </x:c>
      <x:c r="B1079" s="11" t="str">
        <x:v>2025-11</x:v>
      </x:c>
      <x:c r="C1079" s="11" t="str">
        <x:v>נובמבר 25</x:v>
      </x:c>
      <x:c r="D1079" s="15" t="n">
        <x:v>79</x:v>
      </x:c>
      <x:c r="E1079" s="11" t="str">
        <x:v>4</x:v>
      </x:c>
      <x:c r="F1079" s="11" t="str">
        <x:v>שיט מחזור</x:v>
      </x:c>
      <x:c r="G1079" s="17" t="n">
        <x:v>302</x:v>
      </x:c>
      <x:c r="H1079" s="18" t="str">
        <x:v>בריאות</x:v>
      </x:c>
      <x:c r="I1079" s="19" t="str">
        <x:f>IFERROR(INDEX('מיפוי ומקורות'!$C$7:$C$33,MATCH(H1079,'מיפוי ומקורות'!$B$7:$B$33,0)),"לא מסווג")</x:f>
        <x:v>בריאות וטיפולים</x:v>
      </x:c>
      <x:c r="J1079" s="19" t="str">
        <x:f>IFERROR(INDEX('מיפוי ומקורות'!$D$7:$D$33,MATCH(H1079,'מיפוי ומקורות'!$B$7:$B$33,0)),"שוטף")</x:f>
        <x:v>שוטף</x:v>
      </x:c>
      <x:c r="K1079" s="19" t="str">
        <x:f>IF(OR(H1079="ריביות",AND(H1079="דירה כצנלסון",G1079&lt;0,ISNUMBER(SEARCH("הכנסה",F1079)))),"הכנסה שסווגה מחדש",J1079)</x:f>
        <x:v>שוטף</x:v>
      </x:c>
      <x:c r="L1079" s="19" t="str">
        <x:v>מאושר</x:v>
      </x:c>
      <x:c r="M1079" s="20" t="n">
        <x:f>IF(L1079="מאושר",IF(K1079="הכנסה שסווגה מחדש",0,G1079),0)</x:f>
        <x:v>302</x:v>
      </x:c>
      <x:c r="N1079" s="20" t="n">
        <x:f>IF(K1079="שוטף",M1079,0)</x:f>
        <x:v>302</x:v>
      </x:c>
      <x:c r="O1079" s="20" t="n">
        <x:f>IF(K1079="הכנסה שסווגה מחדש",-G1079,0)</x:f>
        <x:v>0</x:v>
      </x:c>
      <x:c r="P1079" s="11" t="str">
        <x:v>אמקס עינור</x:v>
      </x:c>
      <x:c r="Q1079" s="11" t="str"/>
      <x:c r="R1079" s="11" t="str">
        <x:v>לא</x:v>
      </x:c>
    </x:row>
    <x:row r="1080">
      <x:c r="A1080" s="14" t="n">
        <x:v>45962</x:v>
      </x:c>
      <x:c r="B1080" s="11" t="str">
        <x:v>2025-11</x:v>
      </x:c>
      <x:c r="C1080" s="11" t="str">
        <x:v>נובמבר 25</x:v>
      </x:c>
      <x:c r="D1080" s="15" t="n">
        <x:v>80</x:v>
      </x:c>
      <x:c r="E1080" s="11" t="str">
        <x:v>5</x:v>
      </x:c>
      <x:c r="F1080" s="11" t="str">
        <x:v>הום סנטר</x:v>
      </x:c>
      <x:c r="G1080" s="17" t="n">
        <x:v>100</x:v>
      </x:c>
      <x:c r="H1080" s="18" t="str">
        <x:v>מתנה</x:v>
      </x:c>
      <x:c r="I1080" s="19" t="str">
        <x:f>IFERROR(INDEX('מיפוי ומקורות'!$C$7:$C$33,MATCH(H1080,'מיפוי ומקורות'!$B$7:$B$33,0)),"לא מסווג")</x:f>
        <x:v>מתנה</x:v>
      </x:c>
      <x:c r="J1080" s="19" t="str">
        <x:f>IFERROR(INDEX('מיפוי ומקורות'!$D$7:$D$33,MATCH(H1080,'מיפוי ומקורות'!$B$7:$B$33,0)),"שוטף")</x:f>
        <x:v>שוטף</x:v>
      </x:c>
      <x:c r="K1080" s="19" t="str">
        <x:f>IF(OR(H1080="ריביות",AND(H1080="דירה כצנלסון",G1080&lt;0,ISNUMBER(SEARCH("הכנסה",F1080)))),"הכנסה שסווגה מחדש",J1080)</x:f>
        <x:v>שוטף</x:v>
      </x:c>
      <x:c r="L1080" s="19" t="str">
        <x:v>מאושר</x:v>
      </x:c>
      <x:c r="M1080" s="20" t="n">
        <x:f>IF(L1080="מאושר",IF(K1080="הכנסה שסווגה מחדש",0,G1080),0)</x:f>
        <x:v>100</x:v>
      </x:c>
      <x:c r="N1080" s="20" t="n">
        <x:f>IF(K1080="שוטף",M1080,0)</x:f>
        <x:v>100</x:v>
      </x:c>
      <x:c r="O1080" s="20" t="n">
        <x:f>IF(K1080="הכנסה שסווגה מחדש",-G1080,0)</x:f>
        <x:v>0</x:v>
      </x:c>
      <x:c r="P1080" s="11" t="str">
        <x:v>אמקס עינור</x:v>
      </x:c>
      <x:c r="Q1080" s="11" t="str"/>
      <x:c r="R1080" s="11" t="str">
        <x:v>לא</x:v>
      </x:c>
    </x:row>
    <x:row r="1081">
      <x:c r="A1081" s="14" t="n">
        <x:v>45962</x:v>
      </x:c>
      <x:c r="B1081" s="11" t="str">
        <x:v>2025-11</x:v>
      </x:c>
      <x:c r="C1081" s="11" t="str">
        <x:v>נובמבר 25</x:v>
      </x:c>
      <x:c r="D1081" s="15" t="n">
        <x:v>81</x:v>
      </x:c>
      <x:c r="E1081" s="11" t="str"/>
      <x:c r="F1081" s="11" t="str">
        <x:v>מגבים</x:v>
      </x:c>
      <x:c r="G1081" s="17" t="n">
        <x:v>80</x:v>
      </x:c>
      <x:c r="H1081" s="18" t="str">
        <x:v>תחבורה</x:v>
      </x:c>
      <x:c r="I1081" s="19" t="str">
        <x:f>IFERROR(INDEX('מיפוי ומקורות'!$C$7:$C$33,MATCH(H1081,'מיפוי ומקורות'!$B$7:$B$33,0)),"לא מסווג")</x:f>
        <x:v>תחבורה</x:v>
      </x:c>
      <x:c r="J1081" s="19" t="str">
        <x:f>IFERROR(INDEX('מיפוי ומקורות'!$D$7:$D$33,MATCH(H1081,'מיפוי ומקורות'!$B$7:$B$33,0)),"שוטף")</x:f>
        <x:v>שוטף</x:v>
      </x:c>
      <x:c r="K1081" s="19" t="str">
        <x:f>IF(OR(H1081="ריביות",AND(H1081="דירה כצנלסון",G1081&lt;0,ISNUMBER(SEARCH("הכנסה",F1081)))),"הכנסה שסווגה מחדש",J1081)</x:f>
        <x:v>שוטף</x:v>
      </x:c>
      <x:c r="L1081" s="19" t="str">
        <x:v>מאושר</x:v>
      </x:c>
      <x:c r="M1081" s="20" t="n">
        <x:f>IF(L1081="מאושר",IF(K1081="הכנסה שסווגה מחדש",0,G1081),0)</x:f>
        <x:v>80</x:v>
      </x:c>
      <x:c r="N1081" s="20" t="n">
        <x:f>IF(K1081="שוטף",M1081,0)</x:f>
        <x:v>80</x:v>
      </x:c>
      <x:c r="O1081" s="20" t="n">
        <x:f>IF(K1081="הכנסה שסווגה מחדש",-G1081,0)</x:f>
        <x:v>0</x:v>
      </x:c>
      <x:c r="P1081" s="11" t="str">
        <x:v>אמקס עינור</x:v>
      </x:c>
      <x:c r="Q1081" s="11" t="str"/>
      <x:c r="R1081" s="11" t="str">
        <x:v>לא</x:v>
      </x:c>
    </x:row>
    <x:row r="1082">
      <x:c r="A1082" s="14" t="n">
        <x:v>45962</x:v>
      </x:c>
      <x:c r="B1082" s="11" t="str">
        <x:v>2025-11</x:v>
      </x:c>
      <x:c r="C1082" s="11" t="str">
        <x:v>נובמבר 25</x:v>
      </x:c>
      <x:c r="D1082" s="15" t="n">
        <x:v>82</x:v>
      </x:c>
      <x:c r="E1082" s="11" t="str">
        <x:v>5</x:v>
      </x:c>
      <x:c r="F1082" s="11" t="str">
        <x:v>פוליטיקה ארגונית</x:v>
      </x:c>
      <x:c r="G1082" s="17" t="n">
        <x:v>60</x:v>
      </x:c>
      <x:c r="H1082" s="18" t="str">
        <x:v>פנאי</x:v>
      </x:c>
      <x:c r="I1082" s="19" t="str">
        <x:f>IFERROR(INDEX('מיפוי ומקורות'!$C$7:$C$33,MATCH(H1082,'מיפוי ומקורות'!$B$7:$B$33,0)),"לא מסווג")</x:f>
        <x:v>פנאי</x:v>
      </x:c>
      <x:c r="J1082" s="19" t="str">
        <x:f>IFERROR(INDEX('מיפוי ומקורות'!$D$7:$D$33,MATCH(H1082,'מיפוי ומקורות'!$B$7:$B$33,0)),"שוטף")</x:f>
        <x:v>שוטף</x:v>
      </x:c>
      <x:c r="K1082" s="19" t="str">
        <x:f>IF(OR(H1082="ריביות",AND(H1082="דירה כצנלסון",G1082&lt;0,ISNUMBER(SEARCH("הכנסה",F1082)))),"הכנסה שסווגה מחדש",J1082)</x:f>
        <x:v>שוטף</x:v>
      </x:c>
      <x:c r="L1082" s="19" t="str">
        <x:v>מאושר</x:v>
      </x:c>
      <x:c r="M1082" s="20" t="n">
        <x:f>IF(L1082="מאושר",IF(K1082="הכנסה שסווגה מחדש",0,G1082),0)</x:f>
        <x:v>60</x:v>
      </x:c>
      <x:c r="N1082" s="20" t="n">
        <x:f>IF(K1082="שוטף",M1082,0)</x:f>
        <x:v>60</x:v>
      </x:c>
      <x:c r="O1082" s="20" t="n">
        <x:f>IF(K1082="הכנסה שסווגה מחדש",-G1082,0)</x:f>
        <x:v>0</x:v>
      </x:c>
      <x:c r="P1082" s="11" t="str">
        <x:v>אמקס עינור</x:v>
      </x:c>
      <x:c r="Q1082" s="11" t="str"/>
      <x:c r="R1082" s="11" t="str">
        <x:v>לא</x:v>
      </x:c>
    </x:row>
    <x:row r="1083">
      <x:c r="A1083" s="14" t="n">
        <x:v>45962</x:v>
      </x:c>
      <x:c r="B1083" s="11" t="str">
        <x:v>2025-11</x:v>
      </x:c>
      <x:c r="C1083" s="11" t="str">
        <x:v>נובמבר 25</x:v>
      </x:c>
      <x:c r="D1083" s="15" t="n">
        <x:v>83</x:v>
      </x:c>
      <x:c r="E1083" s="11" t="str">
        <x:v>6</x:v>
      </x:c>
      <x:c r="F1083" s="11" t="str">
        <x:v>פיצוציה</x:v>
      </x:c>
      <x:c r="G1083" s="17" t="n">
        <x:v>12</x:v>
      </x:c>
      <x:c r="H1083" s="18" t="str">
        <x:v>אוכל בחוץ</x:v>
      </x:c>
      <x:c r="I1083" s="19" t="str">
        <x:f>IFERROR(INDEX('מיפוי ומקורות'!$C$7:$C$33,MATCH(H1083,'מיפוי ומקורות'!$B$7:$B$33,0)),"לא מסווג")</x:f>
        <x:v>אוכל בחוץ</x:v>
      </x:c>
      <x:c r="J1083" s="19" t="str">
        <x:f>IFERROR(INDEX('מיפוי ומקורות'!$D$7:$D$33,MATCH(H1083,'מיפוי ומקורות'!$B$7:$B$33,0)),"שוטף")</x:f>
        <x:v>שוטף</x:v>
      </x:c>
      <x:c r="K1083" s="19" t="str">
        <x:f>IF(OR(H1083="ריביות",AND(H1083="דירה כצנלסון",G1083&lt;0,ISNUMBER(SEARCH("הכנסה",F1083)))),"הכנסה שסווגה מחדש",J1083)</x:f>
        <x:v>שוטף</x:v>
      </x:c>
      <x:c r="L1083" s="19" t="str">
        <x:v>מאושר</x:v>
      </x:c>
      <x:c r="M1083" s="20" t="n">
        <x:f>IF(L1083="מאושר",IF(K1083="הכנסה שסווגה מחדש",0,G1083),0)</x:f>
        <x:v>12</x:v>
      </x:c>
      <x:c r="N1083" s="20" t="n">
        <x:f>IF(K1083="שוטף",M1083,0)</x:f>
        <x:v>12</x:v>
      </x:c>
      <x:c r="O1083" s="20" t="n">
        <x:f>IF(K1083="הכנסה שסווגה מחדש",-G1083,0)</x:f>
        <x:v>0</x:v>
      </x:c>
      <x:c r="P1083" s="11" t="str">
        <x:v>אמקס עינור</x:v>
      </x:c>
      <x:c r="Q1083" s="11" t="str"/>
      <x:c r="R1083" s="11" t="str">
        <x:v>לא</x:v>
      </x:c>
    </x:row>
    <x:row r="1084">
      <x:c r="A1084" s="14" t="n">
        <x:v>45962</x:v>
      </x:c>
      <x:c r="B1084" s="11" t="str">
        <x:v>2025-11</x:v>
      </x:c>
      <x:c r="C1084" s="11" t="str">
        <x:v>נובמבר 25</x:v>
      </x:c>
      <x:c r="D1084" s="15" t="n">
        <x:v>84</x:v>
      </x:c>
      <x:c r="E1084" s="11" t="str">
        <x:v>7</x:v>
      </x:c>
      <x:c r="F1084" s="11" t="str">
        <x:v>KSP</x:v>
      </x:c>
      <x:c r="G1084" s="17" t="n">
        <x:v>200</x:v>
      </x:c>
      <x:c r="H1084" s="18" t="str">
        <x:v>קוסמטיקה</x:v>
      </x:c>
      <x:c r="I1084" s="19" t="str">
        <x:f>IFERROR(INDEX('מיפוי ומקורות'!$C$7:$C$33,MATCH(H1084,'מיפוי ומקורות'!$B$7:$B$33,0)),"לא מסווג")</x:f>
        <x:v>קוסמטיקה</x:v>
      </x:c>
      <x:c r="J1084" s="19" t="str">
        <x:f>IFERROR(INDEX('מיפוי ומקורות'!$D$7:$D$33,MATCH(H1084,'מיפוי ומקורות'!$B$7:$B$33,0)),"שוטף")</x:f>
        <x:v>שוטף</x:v>
      </x:c>
      <x:c r="K1084" s="19" t="str">
        <x:f>IF(OR(H1084="ריביות",AND(H1084="דירה כצנלסון",G1084&lt;0,ISNUMBER(SEARCH("הכנסה",F1084)))),"הכנסה שסווגה מחדש",J1084)</x:f>
        <x:v>שוטף</x:v>
      </x:c>
      <x:c r="L1084" s="19" t="str">
        <x:v>מאושר</x:v>
      </x:c>
      <x:c r="M1084" s="20" t="n">
        <x:f>IF(L1084="מאושר",IF(K1084="הכנסה שסווגה מחדש",0,G1084),0)</x:f>
        <x:v>200</x:v>
      </x:c>
      <x:c r="N1084" s="20" t="n">
        <x:f>IF(K1084="שוטף",M1084,0)</x:f>
        <x:v>200</x:v>
      </x:c>
      <x:c r="O1084" s="20" t="n">
        <x:f>IF(K1084="הכנסה שסווגה מחדש",-G1084,0)</x:f>
        <x:v>0</x:v>
      </x:c>
      <x:c r="P1084" s="11" t="str">
        <x:v>אמקס עינור</x:v>
      </x:c>
      <x:c r="Q1084" s="11" t="str"/>
      <x:c r="R1084" s="11" t="str">
        <x:v>לא</x:v>
      </x:c>
    </x:row>
    <x:row r="1085">
      <x:c r="A1085" s="14" t="n">
        <x:v>45962</x:v>
      </x:c>
      <x:c r="B1085" s="11" t="str">
        <x:v>2025-11</x:v>
      </x:c>
      <x:c r="C1085" s="11" t="str">
        <x:v>נובמבר 25</x:v>
      </x:c>
      <x:c r="D1085" s="15" t="n">
        <x:v>85</x:v>
      </x:c>
      <x:c r="E1085" s="11" t="str">
        <x:v>7</x:v>
      </x:c>
      <x:c r="F1085" s="11" t="str">
        <x:v>מתנה לענבר (KSP)</x:v>
      </x:c>
      <x:c r="G1085" s="17" t="n">
        <x:v>82</x:v>
      </x:c>
      <x:c r="H1085" s="18" t="str">
        <x:v>מתנה</x:v>
      </x:c>
      <x:c r="I1085" s="19" t="str">
        <x:f>IFERROR(INDEX('מיפוי ומקורות'!$C$7:$C$33,MATCH(H1085,'מיפוי ומקורות'!$B$7:$B$33,0)),"לא מסווג")</x:f>
        <x:v>מתנה</x:v>
      </x:c>
      <x:c r="J1085" s="19" t="str">
        <x:f>IFERROR(INDEX('מיפוי ומקורות'!$D$7:$D$33,MATCH(H1085,'מיפוי ומקורות'!$B$7:$B$33,0)),"שוטף")</x:f>
        <x:v>שוטף</x:v>
      </x:c>
      <x:c r="K1085" s="19" t="str">
        <x:f>IF(OR(H1085="ריביות",AND(H1085="דירה כצנלסון",G1085&lt;0,ISNUMBER(SEARCH("הכנסה",F1085)))),"הכנסה שסווגה מחדש",J1085)</x:f>
        <x:v>שוטף</x:v>
      </x:c>
      <x:c r="L1085" s="19" t="str">
        <x:v>מאושר</x:v>
      </x:c>
      <x:c r="M1085" s="20" t="n">
        <x:f>IF(L1085="מאושר",IF(K1085="הכנסה שסווגה מחדש",0,G1085),0)</x:f>
        <x:v>82</x:v>
      </x:c>
      <x:c r="N1085" s="20" t="n">
        <x:f>IF(K1085="שוטף",M1085,0)</x:f>
        <x:v>82</x:v>
      </x:c>
      <x:c r="O1085" s="20" t="n">
        <x:f>IF(K1085="הכנסה שסווגה מחדש",-G1085,0)</x:f>
        <x:v>0</x:v>
      </x:c>
      <x:c r="P1085" s="11" t="str">
        <x:v>אמקס עינור</x:v>
      </x:c>
      <x:c r="Q1085" s="11" t="str"/>
      <x:c r="R1085" s="11" t="str">
        <x:v>לא</x:v>
      </x:c>
    </x:row>
    <x:row r="1086">
      <x:c r="A1086" s="14" t="n">
        <x:v>45962</x:v>
      </x:c>
      <x:c r="B1086" s="11" t="str">
        <x:v>2025-11</x:v>
      </x:c>
      <x:c r="C1086" s="11" t="str">
        <x:v>נובמבר 25</x:v>
      </x:c>
      <x:c r="D1086" s="15" t="n">
        <x:v>86</x:v>
      </x:c>
      <x:c r="E1086" s="11" t="str">
        <x:v>8</x:v>
      </x:c>
      <x:c r="F1086" s="11" t="str">
        <x:v>אלי</x:v>
      </x:c>
      <x:c r="G1086" s="17" t="n">
        <x:v>44</x:v>
      </x:c>
      <x:c r="H1086" s="18" t="str">
        <x:v>קניות לבית</x:v>
      </x:c>
      <x:c r="I1086" s="19" t="str">
        <x:f>IFERROR(INDEX('מיפוי ומקורות'!$C$7:$C$33,MATCH(H1086,'מיפוי ומקורות'!$B$7:$B$33,0)),"לא מסווג")</x:f>
        <x:v>קניות לבית</x:v>
      </x:c>
      <x:c r="J1086" s="19" t="str">
        <x:f>IFERROR(INDEX('מיפוי ומקורות'!$D$7:$D$33,MATCH(H1086,'מיפוי ומקורות'!$B$7:$B$33,0)),"שוטף")</x:f>
        <x:v>שוטף</x:v>
      </x:c>
      <x:c r="K1086" s="19" t="str">
        <x:f>IF(OR(H1086="ריביות",AND(H1086="דירה כצנלסון",G1086&lt;0,ISNUMBER(SEARCH("הכנסה",F1086)))),"הכנסה שסווגה מחדש",J1086)</x:f>
        <x:v>שוטף</x:v>
      </x:c>
      <x:c r="L1086" s="19" t="str">
        <x:v>מאושר</x:v>
      </x:c>
      <x:c r="M1086" s="20" t="n">
        <x:f>IF(L1086="מאושר",IF(K1086="הכנסה שסווגה מחדש",0,G1086),0)</x:f>
        <x:v>44</x:v>
      </x:c>
      <x:c r="N1086" s="20" t="n">
        <x:f>IF(K1086="שוטף",M1086,0)</x:f>
        <x:v>44</x:v>
      </x:c>
      <x:c r="O1086" s="20" t="n">
        <x:f>IF(K1086="הכנסה שסווגה מחדש",-G1086,0)</x:f>
        <x:v>0</x:v>
      </x:c>
      <x:c r="P1086" s="11" t="str">
        <x:v>אמקס עינור</x:v>
      </x:c>
      <x:c r="Q1086" s="11" t="str"/>
      <x:c r="R1086" s="11" t="str">
        <x:v>לא</x:v>
      </x:c>
    </x:row>
    <x:row r="1087">
      <x:c r="A1087" s="14" t="n">
        <x:v>45962</x:v>
      </x:c>
      <x:c r="B1087" s="11" t="str">
        <x:v>2025-11</x:v>
      </x:c>
      <x:c r="C1087" s="11" t="str">
        <x:v>נובמבר 25</x:v>
      </x:c>
      <x:c r="D1087" s="15" t="n">
        <x:v>87</x:v>
      </x:c>
      <x:c r="E1087" s="11" t="str">
        <x:v>9</x:v>
      </x:c>
      <x:c r="F1087" s="11" t="str">
        <x:v>מסעדה</x:v>
      </x:c>
      <x:c r="G1087" s="17" t="n">
        <x:v>52</x:v>
      </x:c>
      <x:c r="H1087" s="18" t="str">
        <x:v>אוכל בחוץ</x:v>
      </x:c>
      <x:c r="I1087" s="19" t="str">
        <x:f>IFERROR(INDEX('מיפוי ומקורות'!$C$7:$C$33,MATCH(H1087,'מיפוי ומקורות'!$B$7:$B$33,0)),"לא מסווג")</x:f>
        <x:v>אוכל בחוץ</x:v>
      </x:c>
      <x:c r="J1087" s="19" t="str">
        <x:f>IFERROR(INDEX('מיפוי ומקורות'!$D$7:$D$33,MATCH(H1087,'מיפוי ומקורות'!$B$7:$B$33,0)),"שוטף")</x:f>
        <x:v>שוטף</x:v>
      </x:c>
      <x:c r="K1087" s="19" t="str">
        <x:f>IF(OR(H1087="ריביות",AND(H1087="דירה כצנלסון",G1087&lt;0,ISNUMBER(SEARCH("הכנסה",F1087)))),"הכנסה שסווגה מחדש",J1087)</x:f>
        <x:v>שוטף</x:v>
      </x:c>
      <x:c r="L1087" s="19" t="str">
        <x:v>מאושר</x:v>
      </x:c>
      <x:c r="M1087" s="20" t="n">
        <x:f>IF(L1087="מאושר",IF(K1087="הכנסה שסווגה מחדש",0,G1087),0)</x:f>
        <x:v>52</x:v>
      </x:c>
      <x:c r="N1087" s="20" t="n">
        <x:f>IF(K1087="שוטף",M1087,0)</x:f>
        <x:v>52</x:v>
      </x:c>
      <x:c r="O1087" s="20" t="n">
        <x:f>IF(K1087="הכנסה שסווגה מחדש",-G1087,0)</x:f>
        <x:v>0</x:v>
      </x:c>
      <x:c r="P1087" s="11" t="str">
        <x:v>אמקס עינור</x:v>
      </x:c>
      <x:c r="Q1087" s="11" t="str"/>
      <x:c r="R1087" s="11" t="str">
        <x:v>לא</x:v>
      </x:c>
    </x:row>
    <x:row r="1088">
      <x:c r="A1088" s="14" t="n">
        <x:v>45962</x:v>
      </x:c>
      <x:c r="B1088" s="11" t="str">
        <x:v>2025-11</x:v>
      </x:c>
      <x:c r="C1088" s="11" t="str">
        <x:v>נובמבר 25</x:v>
      </x:c>
      <x:c r="D1088" s="15" t="n">
        <x:v>88</x:v>
      </x:c>
      <x:c r="E1088" s="11" t="str">
        <x:v>10</x:v>
      </x:c>
      <x:c r="F1088" s="11" t="str">
        <x:v>אלי</x:v>
      </x:c>
      <x:c r="G1088" s="17" t="n">
        <x:v>-10</x:v>
      </x:c>
      <x:c r="H1088" s="18" t="str">
        <x:v>קניות לבית</x:v>
      </x:c>
      <x:c r="I1088" s="19" t="str">
        <x:f>IFERROR(INDEX('מיפוי ומקורות'!$C$7:$C$33,MATCH(H1088,'מיפוי ומקורות'!$B$7:$B$33,0)),"לא מסווג")</x:f>
        <x:v>קניות לבית</x:v>
      </x:c>
      <x:c r="J1088" s="19" t="str">
        <x:f>IFERROR(INDEX('מיפוי ומקורות'!$D$7:$D$33,MATCH(H1088,'מיפוי ומקורות'!$B$7:$B$33,0)),"שוטף")</x:f>
        <x:v>שוטף</x:v>
      </x:c>
      <x:c r="K1088" s="19" t="str">
        <x:f>IF(OR(H1088="ריביות",AND(H1088="דירה כצנלסון",G1088&lt;0,ISNUMBER(SEARCH("הכנסה",F1088)))),"הכנסה שסווגה מחדש",J1088)</x:f>
        <x:v>שוטף</x:v>
      </x:c>
      <x:c r="L1088" s="19" t="str">
        <x:v>מאושר</x:v>
      </x:c>
      <x:c r="M1088" s="20" t="n">
        <x:f>IF(L1088="מאושר",IF(K1088="הכנסה שסווגה מחדש",0,G1088),0)</x:f>
        <x:v>-10</x:v>
      </x:c>
      <x:c r="N1088" s="20" t="n">
        <x:f>IF(K1088="שוטף",M1088,0)</x:f>
        <x:v>-10</x:v>
      </x:c>
      <x:c r="O1088" s="20" t="n">
        <x:f>IF(K1088="הכנסה שסווגה מחדש",-G1088,0)</x:f>
        <x:v>0</x:v>
      </x:c>
      <x:c r="P1088" s="11" t="str">
        <x:v>אמקס עינור</x:v>
      </x:c>
      <x:c r="Q1088" s="11" t="str"/>
      <x:c r="R1088" s="11" t="str">
        <x:v>לא</x:v>
      </x:c>
    </x:row>
    <x:row r="1089">
      <x:c r="A1089" s="14" t="n">
        <x:v>45962</x:v>
      </x:c>
      <x:c r="B1089" s="11" t="str">
        <x:v>2025-11</x:v>
      </x:c>
      <x:c r="C1089" s="11" t="str">
        <x:v>נובמבר 25</x:v>
      </x:c>
      <x:c r="D1089" s="15" t="n">
        <x:v>89</x:v>
      </x:c>
      <x:c r="E1089" s="11" t="str">
        <x:v>10</x:v>
      </x:c>
      <x:c r="F1089" s="11" t="str">
        <x:v>אלי</x:v>
      </x:c>
      <x:c r="G1089" s="17" t="n">
        <x:v>199</x:v>
      </x:c>
      <x:c r="H1089" s="18" t="str">
        <x:v>פנאי</x:v>
      </x:c>
      <x:c r="I1089" s="19" t="str">
        <x:f>IFERROR(INDEX('מיפוי ומקורות'!$C$7:$C$33,MATCH(H1089,'מיפוי ומקורות'!$B$7:$B$33,0)),"לא מסווג")</x:f>
        <x:v>פנאי</x:v>
      </x:c>
      <x:c r="J1089" s="19" t="str">
        <x:f>IFERROR(INDEX('מיפוי ומקורות'!$D$7:$D$33,MATCH(H1089,'מיפוי ומקורות'!$B$7:$B$33,0)),"שוטף")</x:f>
        <x:v>שוטף</x:v>
      </x:c>
      <x:c r="K1089" s="19" t="str">
        <x:f>IF(OR(H1089="ריביות",AND(H1089="דירה כצנלסון",G1089&lt;0,ISNUMBER(SEARCH("הכנסה",F1089)))),"הכנסה שסווגה מחדש",J1089)</x:f>
        <x:v>שוטף</x:v>
      </x:c>
      <x:c r="L1089" s="19" t="str">
        <x:v>מאושר</x:v>
      </x:c>
      <x:c r="M1089" s="20" t="n">
        <x:f>IF(L1089="מאושר",IF(K1089="הכנסה שסווגה מחדש",0,G1089),0)</x:f>
        <x:v>199</x:v>
      </x:c>
      <x:c r="N1089" s="20" t="n">
        <x:f>IF(K1089="שוטף",M1089,0)</x:f>
        <x:v>199</x:v>
      </x:c>
      <x:c r="O1089" s="20" t="n">
        <x:f>IF(K1089="הכנסה שסווגה מחדש",-G1089,0)</x:f>
        <x:v>0</x:v>
      </x:c>
      <x:c r="P1089" s="11" t="str">
        <x:v>אמקס עינור</x:v>
      </x:c>
      <x:c r="Q1089" s="11" t="str"/>
      <x:c r="R1089" s="11" t="str">
        <x:v>לא</x:v>
      </x:c>
    </x:row>
    <x:row r="1090">
      <x:c r="A1090" s="14" t="n">
        <x:v>45962</x:v>
      </x:c>
      <x:c r="B1090" s="11" t="str">
        <x:v>2025-11</x:v>
      </x:c>
      <x:c r="C1090" s="11" t="str">
        <x:v>נובמבר 25</x:v>
      </x:c>
      <x:c r="D1090" s="15" t="n">
        <x:v>90</x:v>
      </x:c>
      <x:c r="E1090" s="11" t="str">
        <x:v>11</x:v>
      </x:c>
      <x:c r="F1090" s="11" t="str">
        <x:v>סופר</x:v>
      </x:c>
      <x:c r="G1090" s="17" t="n">
        <x:v>2</x:v>
      </x:c>
      <x:c r="H1090" s="18" t="str">
        <x:v>מזון לבית</x:v>
      </x:c>
      <x:c r="I1090" s="19" t="str">
        <x:f>IFERROR(INDEX('מיפוי ומקורות'!$C$7:$C$33,MATCH(H1090,'מיפוי ומקורות'!$B$7:$B$33,0)),"לא מסווג")</x:f>
        <x:v>מזון לבית</x:v>
      </x:c>
      <x:c r="J1090" s="19" t="str">
        <x:f>IFERROR(INDEX('מיפוי ומקורות'!$D$7:$D$33,MATCH(H1090,'מיפוי ומקורות'!$B$7:$B$33,0)),"שוטף")</x:f>
        <x:v>שוטף</x:v>
      </x:c>
      <x:c r="K1090" s="19" t="str">
        <x:f>IF(OR(H1090="ריביות",AND(H1090="דירה כצנלסון",G1090&lt;0,ISNUMBER(SEARCH("הכנסה",F1090)))),"הכנסה שסווגה מחדש",J1090)</x:f>
        <x:v>שוטף</x:v>
      </x:c>
      <x:c r="L1090" s="19" t="str">
        <x:v>מאושר</x:v>
      </x:c>
      <x:c r="M1090" s="20" t="n">
        <x:f>IF(L1090="מאושר",IF(K1090="הכנסה שסווגה מחדש",0,G1090),0)</x:f>
        <x:v>2</x:v>
      </x:c>
      <x:c r="N1090" s="20" t="n">
        <x:f>IF(K1090="שוטף",M1090,0)</x:f>
        <x:v>2</x:v>
      </x:c>
      <x:c r="O1090" s="20" t="n">
        <x:f>IF(K1090="הכנסה שסווגה מחדש",-G1090,0)</x:f>
        <x:v>0</x:v>
      </x:c>
      <x:c r="P1090" s="11" t="str">
        <x:v>אמקס עינור</x:v>
      </x:c>
      <x:c r="Q1090" s="11" t="str"/>
      <x:c r="R1090" s="11" t="str">
        <x:v>לא</x:v>
      </x:c>
    </x:row>
    <x:row r="1091">
      <x:c r="A1091" s="14" t="n">
        <x:v>45962</x:v>
      </x:c>
      <x:c r="B1091" s="11" t="str">
        <x:v>2025-11</x:v>
      </x:c>
      <x:c r="C1091" s="11" t="str">
        <x:v>נובמבר 25</x:v>
      </x:c>
      <x:c r="D1091" s="15" t="n">
        <x:v>91</x:v>
      </x:c>
      <x:c r="E1091" s="11" t="str">
        <x:v>12</x:v>
      </x:c>
      <x:c r="F1091" s="11" t="str">
        <x:v>שיננית</x:v>
      </x:c>
      <x:c r="G1091" s="17" t="n">
        <x:v>110</x:v>
      </x:c>
      <x:c r="H1091" s="18" t="str">
        <x:v>בריאות</x:v>
      </x:c>
      <x:c r="I1091" s="19" t="str">
        <x:f>IFERROR(INDEX('מיפוי ומקורות'!$C$7:$C$33,MATCH(H1091,'מיפוי ומקורות'!$B$7:$B$33,0)),"לא מסווג")</x:f>
        <x:v>בריאות וטיפולים</x:v>
      </x:c>
      <x:c r="J1091" s="19" t="str">
        <x:f>IFERROR(INDEX('מיפוי ומקורות'!$D$7:$D$33,MATCH(H1091,'מיפוי ומקורות'!$B$7:$B$33,0)),"שוטף")</x:f>
        <x:v>שוטף</x:v>
      </x:c>
      <x:c r="K1091" s="19" t="str">
        <x:f>IF(OR(H1091="ריביות",AND(H1091="דירה כצנלסון",G1091&lt;0,ISNUMBER(SEARCH("הכנסה",F1091)))),"הכנסה שסווגה מחדש",J1091)</x:f>
        <x:v>שוטף</x:v>
      </x:c>
      <x:c r="L1091" s="19" t="str">
        <x:v>מאושר</x:v>
      </x:c>
      <x:c r="M1091" s="20" t="n">
        <x:f>IF(L1091="מאושר",IF(K1091="הכנסה שסווגה מחדש",0,G1091),0)</x:f>
        <x:v>110</x:v>
      </x:c>
      <x:c r="N1091" s="20" t="n">
        <x:f>IF(K1091="שוטף",M1091,0)</x:f>
        <x:v>110</x:v>
      </x:c>
      <x:c r="O1091" s="20" t="n">
        <x:f>IF(K1091="הכנסה שסווגה מחדש",-G1091,0)</x:f>
        <x:v>0</x:v>
      </x:c>
      <x:c r="P1091" s="11" t="str">
        <x:v>אמקס עינור</x:v>
      </x:c>
      <x:c r="Q1091" s="11" t="str"/>
      <x:c r="R1091" s="11" t="str">
        <x:v>לא</x:v>
      </x:c>
    </x:row>
    <x:row r="1092">
      <x:c r="A1092" s="14" t="n">
        <x:v>45962</x:v>
      </x:c>
      <x:c r="B1092" s="11" t="str">
        <x:v>2025-11</x:v>
      </x:c>
      <x:c r="C1092" s="11" t="str">
        <x:v>נובמבר 25</x:v>
      </x:c>
      <x:c r="D1092" s="15" t="n">
        <x:v>92</x:v>
      </x:c>
      <x:c r="E1092" s="11" t="str">
        <x:v>13</x:v>
      </x:c>
      <x:c r="F1092" s="11" t="str">
        <x:v>דלתא</x:v>
      </x:c>
      <x:c r="G1092" s="17" t="n">
        <x:v>40</x:v>
      </x:c>
      <x:c r="H1092" s="18" t="str">
        <x:v>אופנה</x:v>
      </x:c>
      <x:c r="I1092" s="19" t="str">
        <x:f>IFERROR(INDEX('מיפוי ומקורות'!$C$7:$C$33,MATCH(H1092,'מיפוי ומקורות'!$B$7:$B$33,0)),"לא מסווג")</x:f>
        <x:v>אופנה</x:v>
      </x:c>
      <x:c r="J1092" s="19" t="str">
        <x:f>IFERROR(INDEX('מיפוי ומקורות'!$D$7:$D$33,MATCH(H1092,'מיפוי ומקורות'!$B$7:$B$33,0)),"שוטף")</x:f>
        <x:v>שוטף</x:v>
      </x:c>
      <x:c r="K1092" s="19" t="str">
        <x:f>IF(OR(H1092="ריביות",AND(H1092="דירה כצנלסון",G1092&lt;0,ISNUMBER(SEARCH("הכנסה",F1092)))),"הכנסה שסווגה מחדש",J1092)</x:f>
        <x:v>שוטף</x:v>
      </x:c>
      <x:c r="L1092" s="19" t="str">
        <x:v>מאושר</x:v>
      </x:c>
      <x:c r="M1092" s="20" t="n">
        <x:f>IF(L1092="מאושר",IF(K1092="הכנסה שסווגה מחדש",0,G1092),0)</x:f>
        <x:v>40</x:v>
      </x:c>
      <x:c r="N1092" s="20" t="n">
        <x:f>IF(K1092="שוטף",M1092,0)</x:f>
        <x:v>40</x:v>
      </x:c>
      <x:c r="O1092" s="20" t="n">
        <x:f>IF(K1092="הכנסה שסווגה מחדש",-G1092,0)</x:f>
        <x:v>0</x:v>
      </x:c>
      <x:c r="P1092" s="11" t="str">
        <x:v>אמקס עינור</x:v>
      </x:c>
      <x:c r="Q1092" s="11" t="str"/>
      <x:c r="R1092" s="11" t="str">
        <x:v>לא</x:v>
      </x:c>
    </x:row>
    <x:row r="1093">
      <x:c r="A1093" s="14" t="n">
        <x:v>45962</x:v>
      </x:c>
      <x:c r="B1093" s="11" t="str">
        <x:v>2025-11</x:v>
      </x:c>
      <x:c r="C1093" s="11" t="str">
        <x:v>נובמבר 25</x:v>
      </x:c>
      <x:c r="D1093" s="15" t="n">
        <x:v>93</x:v>
      </x:c>
      <x:c r="E1093" s="11" t="str">
        <x:v>13</x:v>
      </x:c>
      <x:c r="F1093" s="11" t="str">
        <x:v>מסעדה</x:v>
      </x:c>
      <x:c r="G1093" s="17" t="n">
        <x:v>81</x:v>
      </x:c>
      <x:c r="H1093" s="18" t="str">
        <x:v>אוכל בחוץ</x:v>
      </x:c>
      <x:c r="I1093" s="19" t="str">
        <x:f>IFERROR(INDEX('מיפוי ומקורות'!$C$7:$C$33,MATCH(H1093,'מיפוי ומקורות'!$B$7:$B$33,0)),"לא מסווג")</x:f>
        <x:v>אוכל בחוץ</x:v>
      </x:c>
      <x:c r="J1093" s="19" t="str">
        <x:f>IFERROR(INDEX('מיפוי ומקורות'!$D$7:$D$33,MATCH(H1093,'מיפוי ומקורות'!$B$7:$B$33,0)),"שוטף")</x:f>
        <x:v>שוטף</x:v>
      </x:c>
      <x:c r="K1093" s="19" t="str">
        <x:f>IF(OR(H1093="ריביות",AND(H1093="דירה כצנלסון",G1093&lt;0,ISNUMBER(SEARCH("הכנסה",F1093)))),"הכנסה שסווגה מחדש",J1093)</x:f>
        <x:v>שוטף</x:v>
      </x:c>
      <x:c r="L1093" s="19" t="str">
        <x:v>מאושר</x:v>
      </x:c>
      <x:c r="M1093" s="20" t="n">
        <x:f>IF(L1093="מאושר",IF(K1093="הכנסה שסווגה מחדש",0,G1093),0)</x:f>
        <x:v>81</x:v>
      </x:c>
      <x:c r="N1093" s="20" t="n">
        <x:f>IF(K1093="שוטף",M1093,0)</x:f>
        <x:v>81</x:v>
      </x:c>
      <x:c r="O1093" s="20" t="n">
        <x:f>IF(K1093="הכנסה שסווגה מחדש",-G1093,0)</x:f>
        <x:v>0</x:v>
      </x:c>
      <x:c r="P1093" s="11" t="str">
        <x:v>אמקס עינור</x:v>
      </x:c>
      <x:c r="Q1093" s="11" t="str"/>
      <x:c r="R1093" s="11" t="str">
        <x:v>לא</x:v>
      </x:c>
    </x:row>
    <x:row r="1094">
      <x:c r="A1094" s="14" t="n">
        <x:v>45962</x:v>
      </x:c>
      <x:c r="B1094" s="11" t="str">
        <x:v>2025-11</x:v>
      </x:c>
      <x:c r="C1094" s="11" t="str">
        <x:v>נובמבר 25</x:v>
      </x:c>
      <x:c r="D1094" s="15" t="n">
        <x:v>94</x:v>
      </x:c>
      <x:c r="E1094" s="11" t="str">
        <x:v>13</x:v>
      </x:c>
      <x:c r="F1094" s="11" t="str">
        <x:v>קורסר</x:v>
      </x:c>
      <x:c r="G1094" s="17" t="n">
        <x:v>65</x:v>
      </x:c>
      <x:c r="H1094" s="18" t="str">
        <x:v>אחר</x:v>
      </x:c>
      <x:c r="I1094" s="19" t="str">
        <x:f>IFERROR(INDEX('מיפוי ומקורות'!$C$7:$C$33,MATCH(H1094,'מיפוי ומקורות'!$B$7:$B$33,0)),"לא מסווג")</x:f>
        <x:v>אחר</x:v>
      </x:c>
      <x:c r="J1094" s="19" t="str">
        <x:f>IFERROR(INDEX('מיפוי ומקורות'!$D$7:$D$33,MATCH(H1094,'מיפוי ומקורות'!$B$7:$B$33,0)),"שוטף")</x:f>
        <x:v>שוטף</x:v>
      </x:c>
      <x:c r="K1094" s="19" t="str">
        <x:f>IF(OR(H1094="ריביות",AND(H1094="דירה כצנלסון",G1094&lt;0,ISNUMBER(SEARCH("הכנסה",F1094)))),"הכנסה שסווגה מחדש",J1094)</x:f>
        <x:v>שוטף</x:v>
      </x:c>
      <x:c r="L1094" s="19" t="str">
        <x:v>מאושר</x:v>
      </x:c>
      <x:c r="M1094" s="20" t="n">
        <x:f>IF(L1094="מאושר",IF(K1094="הכנסה שסווגה מחדש",0,G1094),0)</x:f>
        <x:v>65</x:v>
      </x:c>
      <x:c r="N1094" s="20" t="n">
        <x:f>IF(K1094="שוטף",M1094,0)</x:f>
        <x:v>65</x:v>
      </x:c>
      <x:c r="O1094" s="20" t="n">
        <x:f>IF(K1094="הכנסה שסווגה מחדש",-G1094,0)</x:f>
        <x:v>0</x:v>
      </x:c>
      <x:c r="P1094" s="11" t="str">
        <x:v>אמקס עינור</x:v>
      </x:c>
      <x:c r="Q1094" s="11" t="str"/>
      <x:c r="R1094" s="11" t="str">
        <x:v>לא</x:v>
      </x:c>
    </x:row>
    <x:row r="1095">
      <x:c r="A1095" s="14" t="n">
        <x:v>45962</x:v>
      </x:c>
      <x:c r="B1095" s="11" t="str">
        <x:v>2025-11</x:v>
      </x:c>
      <x:c r="C1095" s="11" t="str">
        <x:v>נובמבר 25</x:v>
      </x:c>
      <x:c r="D1095" s="15" t="n">
        <x:v>95</x:v>
      </x:c>
      <x:c r="E1095" s="11" t="str">
        <x:v>14</x:v>
      </x:c>
      <x:c r="F1095" s="11" t="str">
        <x:v>מכבידנט</x:v>
      </x:c>
      <x:c r="G1095" s="17" t="n">
        <x:v>76</x:v>
      </x:c>
      <x:c r="H1095" s="18" t="str">
        <x:v>בריאות</x:v>
      </x:c>
      <x:c r="I1095" s="19" t="str">
        <x:f>IFERROR(INDEX('מיפוי ומקורות'!$C$7:$C$33,MATCH(H1095,'מיפוי ומקורות'!$B$7:$B$33,0)),"לא מסווג")</x:f>
        <x:v>בריאות וטיפולים</x:v>
      </x:c>
      <x:c r="J1095" s="19" t="str">
        <x:f>IFERROR(INDEX('מיפוי ומקורות'!$D$7:$D$33,MATCH(H1095,'מיפוי ומקורות'!$B$7:$B$33,0)),"שוטף")</x:f>
        <x:v>שוטף</x:v>
      </x:c>
      <x:c r="K1095" s="19" t="str">
        <x:f>IF(OR(H1095="ריביות",AND(H1095="דירה כצנלסון",G1095&lt;0,ISNUMBER(SEARCH("הכנסה",F1095)))),"הכנסה שסווגה מחדש",J1095)</x:f>
        <x:v>שוטף</x:v>
      </x:c>
      <x:c r="L1095" s="19" t="str">
        <x:v>מאושר</x:v>
      </x:c>
      <x:c r="M1095" s="20" t="n">
        <x:f>IF(L1095="מאושר",IF(K1095="הכנסה שסווגה מחדש",0,G1095),0)</x:f>
        <x:v>76</x:v>
      </x:c>
      <x:c r="N1095" s="20" t="n">
        <x:f>IF(K1095="שוטף",M1095,0)</x:f>
        <x:v>76</x:v>
      </x:c>
      <x:c r="O1095" s="20" t="n">
        <x:f>IF(K1095="הכנסה שסווגה מחדש",-G1095,0)</x:f>
        <x:v>0</x:v>
      </x:c>
      <x:c r="P1095" s="11" t="str">
        <x:v>אמקס עינור</x:v>
      </x:c>
      <x:c r="Q1095" s="11" t="str"/>
      <x:c r="R1095" s="11" t="str">
        <x:v>לא</x:v>
      </x:c>
    </x:row>
    <x:row r="1096">
      <x:c r="A1096" s="14" t="n">
        <x:v>45962</x:v>
      </x:c>
      <x:c r="B1096" s="11" t="str">
        <x:v>2025-11</x:v>
      </x:c>
      <x:c r="C1096" s="11" t="str">
        <x:v>נובמבר 25</x:v>
      </x:c>
      <x:c r="D1096" s="15" t="n">
        <x:v>96</x:v>
      </x:c>
      <x:c r="E1096" s="11" t="str">
        <x:v>14</x:v>
      </x:c>
      <x:c r="F1096" s="11" t="str">
        <x:v>פריז</x:v>
      </x:c>
      <x:c r="G1096" s="17" t="n">
        <x:v>1411</x:v>
      </x:c>
      <x:c r="H1096" s="18" t="str">
        <x:v>חול</x:v>
      </x:c>
      <x:c r="I1096" s="19" t="str">
        <x:f>IFERROR(INDEX('מיפוי ומקורות'!$C$7:$C$33,MATCH(H1096,'מיפוי ומקורות'!$B$7:$B$33,0)),"לא מסווג")</x:f>
        <x:v>נסיעות וחופשות</x:v>
      </x:c>
      <x:c r="J1096" s="19" t="str">
        <x:f>IFERROR(INDEX('מיפוי ומקורות'!$D$7:$D$33,MATCH(H1096,'מיפוי ומקורות'!$B$7:$B$33,0)),"שוטף")</x:f>
        <x:v>חריג</x:v>
      </x:c>
      <x:c r="K1096" s="19" t="str">
        <x:f>IF(OR(H1096="ריביות",AND(H1096="דירה כצנלסון",G1096&lt;0,ISNUMBER(SEARCH("הכנסה",F1096)))),"הכנסה שסווגה מחדש",J1096)</x:f>
        <x:v>חריג</x:v>
      </x:c>
      <x:c r="L1096" s="19" t="str">
        <x:v>מאושר</x:v>
      </x:c>
      <x:c r="M1096" s="20" t="n">
        <x:f>IF(L1096="מאושר",IF(K1096="הכנסה שסווגה מחדש",0,G1096),0)</x:f>
        <x:v>1411</x:v>
      </x:c>
      <x:c r="N1096" s="20" t="n">
        <x:f>IF(K1096="שוטף",M1096,0)</x:f>
        <x:v>0</x:v>
      </x:c>
      <x:c r="O1096" s="20" t="n">
        <x:f>IF(K1096="הכנסה שסווגה מחדש",-G1096,0)</x:f>
        <x:v>0</x:v>
      </x:c>
      <x:c r="P1096" s="11" t="str">
        <x:v>אמקס עינור</x:v>
      </x:c>
      <x:c r="Q1096" s="11" t="str"/>
      <x:c r="R1096" s="11" t="str">
        <x:v>לא</x:v>
      </x:c>
    </x:row>
    <x:row r="1097">
      <x:c r="A1097" s="14" t="n">
        <x:v>45962</x:v>
      </x:c>
      <x:c r="B1097" s="11" t="str">
        <x:v>2025-11</x:v>
      </x:c>
      <x:c r="C1097" s="11" t="str">
        <x:v>נובמבר 25</x:v>
      </x:c>
      <x:c r="D1097" s="15" t="n">
        <x:v>97</x:v>
      </x:c>
      <x:c r="E1097" s="11" t="str">
        <x:v>15</x:v>
      </x:c>
      <x:c r="F1097" s="11" t="str">
        <x:v>אלי</x:v>
      </x:c>
      <x:c r="G1097" s="17" t="n">
        <x:v>89</x:v>
      </x:c>
      <x:c r="H1097" s="18" t="str">
        <x:v>קניות לבית</x:v>
      </x:c>
      <x:c r="I1097" s="19" t="str">
        <x:f>IFERROR(INDEX('מיפוי ומקורות'!$C$7:$C$33,MATCH(H1097,'מיפוי ומקורות'!$B$7:$B$33,0)),"לא מסווג")</x:f>
        <x:v>קניות לבית</x:v>
      </x:c>
      <x:c r="J1097" s="19" t="str">
        <x:f>IFERROR(INDEX('מיפוי ומקורות'!$D$7:$D$33,MATCH(H1097,'מיפוי ומקורות'!$B$7:$B$33,0)),"שוטף")</x:f>
        <x:v>שוטף</x:v>
      </x:c>
      <x:c r="K1097" s="19" t="str">
        <x:f>IF(OR(H1097="ריביות",AND(H1097="דירה כצנלסון",G1097&lt;0,ISNUMBER(SEARCH("הכנסה",F1097)))),"הכנסה שסווגה מחדש",J1097)</x:f>
        <x:v>שוטף</x:v>
      </x:c>
      <x:c r="L1097" s="19" t="str">
        <x:v>מאושר</x:v>
      </x:c>
      <x:c r="M1097" s="20" t="n">
        <x:f>IF(L1097="מאושר",IF(K1097="הכנסה שסווגה מחדש",0,G1097),0)</x:f>
        <x:v>89</x:v>
      </x:c>
      <x:c r="N1097" s="20" t="n">
        <x:f>IF(K1097="שוטף",M1097,0)</x:f>
        <x:v>89</x:v>
      </x:c>
      <x:c r="O1097" s="20" t="n">
        <x:f>IF(K1097="הכנסה שסווגה מחדש",-G1097,0)</x:f>
        <x:v>0</x:v>
      </x:c>
      <x:c r="P1097" s="11" t="str">
        <x:v>אמקס עינור</x:v>
      </x:c>
      <x:c r="Q1097" s="11" t="str"/>
      <x:c r="R1097" s="11" t="str">
        <x:v>לא</x:v>
      </x:c>
    </x:row>
    <x:row r="1098">
      <x:c r="A1098" s="14" t="n">
        <x:v>45962</x:v>
      </x:c>
      <x:c r="B1098" s="11" t="str">
        <x:v>2025-11</x:v>
      </x:c>
      <x:c r="C1098" s="11" t="str">
        <x:v>נובמבר 25</x:v>
      </x:c>
      <x:c r="D1098" s="15" t="n">
        <x:v>98</x:v>
      </x:c>
      <x:c r="E1098" s="11" t="str">
        <x:v>16</x:v>
      </x:c>
      <x:c r="F1098" s="11" t="str">
        <x:v>מאפיה</x:v>
      </x:c>
      <x:c r="G1098" s="17" t="n">
        <x:v>9</x:v>
      </x:c>
      <x:c r="H1098" s="18" t="str">
        <x:v>אוכל בחוץ</x:v>
      </x:c>
      <x:c r="I1098" s="19" t="str">
        <x:f>IFERROR(INDEX('מיפוי ומקורות'!$C$7:$C$33,MATCH(H1098,'מיפוי ומקורות'!$B$7:$B$33,0)),"לא מסווג")</x:f>
        <x:v>אוכל בחוץ</x:v>
      </x:c>
      <x:c r="J1098" s="19" t="str">
        <x:f>IFERROR(INDEX('מיפוי ומקורות'!$D$7:$D$33,MATCH(H1098,'מיפוי ומקורות'!$B$7:$B$33,0)),"שוטף")</x:f>
        <x:v>שוטף</x:v>
      </x:c>
      <x:c r="K1098" s="19" t="str">
        <x:f>IF(OR(H1098="ריביות",AND(H1098="דירה כצנלסון",G1098&lt;0,ISNUMBER(SEARCH("הכנסה",F1098)))),"הכנסה שסווגה מחדש",J1098)</x:f>
        <x:v>שוטף</x:v>
      </x:c>
      <x:c r="L1098" s="19" t="str">
        <x:v>מאושר</x:v>
      </x:c>
      <x:c r="M1098" s="20" t="n">
        <x:f>IF(L1098="מאושר",IF(K1098="הכנסה שסווגה מחדש",0,G1098),0)</x:f>
        <x:v>9</x:v>
      </x:c>
      <x:c r="N1098" s="20" t="n">
        <x:f>IF(K1098="שוטף",M1098,0)</x:f>
        <x:v>9</x:v>
      </x:c>
      <x:c r="O1098" s="20" t="n">
        <x:f>IF(K1098="הכנסה שסווגה מחדש",-G1098,0)</x:f>
        <x:v>0</x:v>
      </x:c>
      <x:c r="P1098" s="11" t="str">
        <x:v>אמקס עינור</x:v>
      </x:c>
      <x:c r="Q1098" s="11" t="str"/>
      <x:c r="R1098" s="11" t="str">
        <x:v>לא</x:v>
      </x:c>
    </x:row>
    <x:row r="1099">
      <x:c r="A1099" s="14" t="n">
        <x:v>45962</x:v>
      </x:c>
      <x:c r="B1099" s="11" t="str">
        <x:v>2025-11</x:v>
      </x:c>
      <x:c r="C1099" s="11" t="str">
        <x:v>נובמבר 25</x:v>
      </x:c>
      <x:c r="D1099" s="15" t="n">
        <x:v>99</x:v>
      </x:c>
      <x:c r="E1099" s="11" t="str">
        <x:v>16</x:v>
      </x:c>
      <x:c r="F1099" s="11" t="str">
        <x:v>אלי</x:v>
      </x:c>
      <x:c r="G1099" s="17" t="n">
        <x:v>42</x:v>
      </x:c>
      <x:c r="H1099" s="18" t="str">
        <x:v>קניות לבית</x:v>
      </x:c>
      <x:c r="I1099" s="19" t="str">
        <x:f>IFERROR(INDEX('מיפוי ומקורות'!$C$7:$C$33,MATCH(H1099,'מיפוי ומקורות'!$B$7:$B$33,0)),"לא מסווג")</x:f>
        <x:v>קניות לבית</x:v>
      </x:c>
      <x:c r="J1099" s="19" t="str">
        <x:f>IFERROR(INDEX('מיפוי ומקורות'!$D$7:$D$33,MATCH(H1099,'מיפוי ומקורות'!$B$7:$B$33,0)),"שוטף")</x:f>
        <x:v>שוטף</x:v>
      </x:c>
      <x:c r="K1099" s="19" t="str">
        <x:f>IF(OR(H1099="ריביות",AND(H1099="דירה כצנלסון",G1099&lt;0,ISNUMBER(SEARCH("הכנסה",F1099)))),"הכנסה שסווגה מחדש",J1099)</x:f>
        <x:v>שוטף</x:v>
      </x:c>
      <x:c r="L1099" s="19" t="str">
        <x:v>מאושר</x:v>
      </x:c>
      <x:c r="M1099" s="20" t="n">
        <x:f>IF(L1099="מאושר",IF(K1099="הכנסה שסווגה מחדש",0,G1099),0)</x:f>
        <x:v>42</x:v>
      </x:c>
      <x:c r="N1099" s="20" t="n">
        <x:f>IF(K1099="שוטף",M1099,0)</x:f>
        <x:v>42</x:v>
      </x:c>
      <x:c r="O1099" s="20" t="n">
        <x:f>IF(K1099="הכנסה שסווגה מחדש",-G1099,0)</x:f>
        <x:v>0</x:v>
      </x:c>
      <x:c r="P1099" s="11" t="str">
        <x:v>אמקס עינור</x:v>
      </x:c>
      <x:c r="Q1099" s="11" t="str"/>
      <x:c r="R1099" s="11" t="str">
        <x:v>לא</x:v>
      </x:c>
    </x:row>
    <x:row r="1100">
      <x:c r="A1100" s="14" t="n">
        <x:v>45962</x:v>
      </x:c>
      <x:c r="B1100" s="11" t="str">
        <x:v>2025-11</x:v>
      </x:c>
      <x:c r="C1100" s="11" t="str">
        <x:v>נובמבר 25</x:v>
      </x:c>
      <x:c r="D1100" s="15" t="n">
        <x:v>100</x:v>
      </x:c>
      <x:c r="E1100" s="11" t="str">
        <x:v>17</x:v>
      </x:c>
      <x:c r="F1100" s="11" t="str">
        <x:v>אלי</x:v>
      </x:c>
      <x:c r="G1100" s="17" t="n">
        <x:v>-45</x:v>
      </x:c>
      <x:c r="H1100" s="18" t="str">
        <x:v>קניות לבית</x:v>
      </x:c>
      <x:c r="I1100" s="19" t="str">
        <x:f>IFERROR(INDEX('מיפוי ומקורות'!$C$7:$C$33,MATCH(H1100,'מיפוי ומקורות'!$B$7:$B$33,0)),"לא מסווג")</x:f>
        <x:v>קניות לבית</x:v>
      </x:c>
      <x:c r="J1100" s="19" t="str">
        <x:f>IFERROR(INDEX('מיפוי ומקורות'!$D$7:$D$33,MATCH(H1100,'מיפוי ומקורות'!$B$7:$B$33,0)),"שוטף")</x:f>
        <x:v>שוטף</x:v>
      </x:c>
      <x:c r="K1100" s="19" t="str">
        <x:f>IF(OR(H1100="ריביות",AND(H1100="דירה כצנלסון",G1100&lt;0,ISNUMBER(SEARCH("הכנסה",F1100)))),"הכנסה שסווגה מחדש",J1100)</x:f>
        <x:v>שוטף</x:v>
      </x:c>
      <x:c r="L1100" s="19" t="str">
        <x:v>מאושר</x:v>
      </x:c>
      <x:c r="M1100" s="20" t="n">
        <x:f>IF(L1100="מאושר",IF(K1100="הכנסה שסווגה מחדש",0,G1100),0)</x:f>
        <x:v>-45</x:v>
      </x:c>
      <x:c r="N1100" s="20" t="n">
        <x:f>IF(K1100="שוטף",M1100,0)</x:f>
        <x:v>-45</x:v>
      </x:c>
      <x:c r="O1100" s="20" t="n">
        <x:f>IF(K1100="הכנסה שסווגה מחדש",-G1100,0)</x:f>
        <x:v>0</x:v>
      </x:c>
      <x:c r="P1100" s="11" t="str">
        <x:v>אמקס עינור</x:v>
      </x:c>
      <x:c r="Q1100" s="11" t="str"/>
      <x:c r="R1100" s="11" t="str">
        <x:v>לא</x:v>
      </x:c>
    </x:row>
    <x:row r="1101">
      <x:c r="A1101" s="14" t="n">
        <x:v>45962</x:v>
      </x:c>
      <x:c r="B1101" s="11" t="str">
        <x:v>2025-11</x:v>
      </x:c>
      <x:c r="C1101" s="11" t="str">
        <x:v>נובמבר 25</x:v>
      </x:c>
      <x:c r="D1101" s="15" t="n">
        <x:v>101</x:v>
      </x:c>
      <x:c r="E1101" s="11" t="str">
        <x:v>18</x:v>
      </x:c>
      <x:c r="F1101" s="11" t="str">
        <x:v>סופר</x:v>
      </x:c>
      <x:c r="G1101" s="17" t="n">
        <x:v>941</x:v>
      </x:c>
      <x:c r="H1101" s="18" t="str">
        <x:v>מזון לבית</x:v>
      </x:c>
      <x:c r="I1101" s="19" t="str">
        <x:f>IFERROR(INDEX('מיפוי ומקורות'!$C$7:$C$33,MATCH(H1101,'מיפוי ומקורות'!$B$7:$B$33,0)),"לא מסווג")</x:f>
        <x:v>מזון לבית</x:v>
      </x:c>
      <x:c r="J1101" s="19" t="str">
        <x:f>IFERROR(INDEX('מיפוי ומקורות'!$D$7:$D$33,MATCH(H1101,'מיפוי ומקורות'!$B$7:$B$33,0)),"שוטף")</x:f>
        <x:v>שוטף</x:v>
      </x:c>
      <x:c r="K1101" s="19" t="str">
        <x:f>IF(OR(H1101="ריביות",AND(H1101="דירה כצנלסון",G1101&lt;0,ISNUMBER(SEARCH("הכנסה",F1101)))),"הכנסה שסווגה מחדש",J1101)</x:f>
        <x:v>שוטף</x:v>
      </x:c>
      <x:c r="L1101" s="19" t="str">
        <x:v>מאושר</x:v>
      </x:c>
      <x:c r="M1101" s="20" t="n">
        <x:f>IF(L1101="מאושר",IF(K1101="הכנסה שסווגה מחדש",0,G1101),0)</x:f>
        <x:v>941</x:v>
      </x:c>
      <x:c r="N1101" s="20" t="n">
        <x:f>IF(K1101="שוטף",M1101,0)</x:f>
        <x:v>941</x:v>
      </x:c>
      <x:c r="O1101" s="20" t="n">
        <x:f>IF(K1101="הכנסה שסווגה מחדש",-G1101,0)</x:f>
        <x:v>0</x:v>
      </x:c>
      <x:c r="P1101" s="11" t="str">
        <x:v>אמקס עינור</x:v>
      </x:c>
      <x:c r="Q1101" s="11" t="str"/>
      <x:c r="R1101" s="11" t="str">
        <x:v>לא</x:v>
      </x:c>
    </x:row>
    <x:row r="1102">
      <x:c r="A1102" s="14" t="n">
        <x:v>45962</x:v>
      </x:c>
      <x:c r="B1102" s="11" t="str">
        <x:v>2025-11</x:v>
      </x:c>
      <x:c r="C1102" s="11" t="str">
        <x:v>נובמבר 25</x:v>
      </x:c>
      <x:c r="D1102" s="15" t="n">
        <x:v>102</x:v>
      </x:c>
      <x:c r="E1102" s="11" t="str">
        <x:v>18</x:v>
      </x:c>
      <x:c r="F1102" s="11" t="str">
        <x:v>סופר</x:v>
      </x:c>
      <x:c r="G1102" s="17" t="n">
        <x:v>66</x:v>
      </x:c>
      <x:c r="H1102" s="18" t="str">
        <x:v>מזון לבית</x:v>
      </x:c>
      <x:c r="I1102" s="19" t="str">
        <x:f>IFERROR(INDEX('מיפוי ומקורות'!$C$7:$C$33,MATCH(H1102,'מיפוי ומקורות'!$B$7:$B$33,0)),"לא מסווג")</x:f>
        <x:v>מזון לבית</x:v>
      </x:c>
      <x:c r="J1102" s="19" t="str">
        <x:f>IFERROR(INDEX('מיפוי ומקורות'!$D$7:$D$33,MATCH(H1102,'מיפוי ומקורות'!$B$7:$B$33,0)),"שוטף")</x:f>
        <x:v>שוטף</x:v>
      </x:c>
      <x:c r="K1102" s="19" t="str">
        <x:f>IF(OR(H1102="ריביות",AND(H1102="דירה כצנלסון",G1102&lt;0,ISNUMBER(SEARCH("הכנסה",F1102)))),"הכנסה שסווגה מחדש",J1102)</x:f>
        <x:v>שוטף</x:v>
      </x:c>
      <x:c r="L1102" s="19" t="str">
        <x:v>מאושר</x:v>
      </x:c>
      <x:c r="M1102" s="20" t="n">
        <x:f>IF(L1102="מאושר",IF(K1102="הכנסה שסווגה מחדש",0,G1102),0)</x:f>
        <x:v>66</x:v>
      </x:c>
      <x:c r="N1102" s="20" t="n">
        <x:f>IF(K1102="שוטף",M1102,0)</x:f>
        <x:v>66</x:v>
      </x:c>
      <x:c r="O1102" s="20" t="n">
        <x:f>IF(K1102="הכנסה שסווגה מחדש",-G1102,0)</x:f>
        <x:v>0</x:v>
      </x:c>
      <x:c r="P1102" s="11" t="str">
        <x:v>אמקס עינור</x:v>
      </x:c>
      <x:c r="Q1102" s="11" t="str"/>
      <x:c r="R1102" s="11" t="str">
        <x:v>לא</x:v>
      </x:c>
    </x:row>
    <x:row r="1103">
      <x:c r="A1103" s="14" t="n">
        <x:v>45962</x:v>
      </x:c>
      <x:c r="B1103" s="11" t="str">
        <x:v>2025-11</x:v>
      </x:c>
      <x:c r="C1103" s="11" t="str">
        <x:v>נובמבר 25</x:v>
      </x:c>
      <x:c r="D1103" s="15" t="n">
        <x:v>103</x:v>
      </x:c>
      <x:c r="E1103" s="11" t="str">
        <x:v>21</x:v>
      </x:c>
      <x:c r="F1103" s="11" t="str">
        <x:v>סופר</x:v>
      </x:c>
      <x:c r="G1103" s="17" t="n">
        <x:v>89</x:v>
      </x:c>
      <x:c r="H1103" s="18" t="str">
        <x:v>מזון לבית</x:v>
      </x:c>
      <x:c r="I1103" s="19" t="str">
        <x:f>IFERROR(INDEX('מיפוי ומקורות'!$C$7:$C$33,MATCH(H1103,'מיפוי ומקורות'!$B$7:$B$33,0)),"לא מסווג")</x:f>
        <x:v>מזון לבית</x:v>
      </x:c>
      <x:c r="J1103" s="19" t="str">
        <x:f>IFERROR(INDEX('מיפוי ומקורות'!$D$7:$D$33,MATCH(H1103,'מיפוי ומקורות'!$B$7:$B$33,0)),"שוטף")</x:f>
        <x:v>שוטף</x:v>
      </x:c>
      <x:c r="K1103" s="19" t="str">
        <x:f>IF(OR(H1103="ריביות",AND(H1103="דירה כצנלסון",G1103&lt;0,ISNUMBER(SEARCH("הכנסה",F1103)))),"הכנסה שסווגה מחדש",J1103)</x:f>
        <x:v>שוטף</x:v>
      </x:c>
      <x:c r="L1103" s="19" t="str">
        <x:v>מאושר</x:v>
      </x:c>
      <x:c r="M1103" s="20" t="n">
        <x:f>IF(L1103="מאושר",IF(K1103="הכנסה שסווגה מחדש",0,G1103),0)</x:f>
        <x:v>89</x:v>
      </x:c>
      <x:c r="N1103" s="20" t="n">
        <x:f>IF(K1103="שוטף",M1103,0)</x:f>
        <x:v>89</x:v>
      </x:c>
      <x:c r="O1103" s="20" t="n">
        <x:f>IF(K1103="הכנסה שסווגה מחדש",-G1103,0)</x:f>
        <x:v>0</x:v>
      </x:c>
      <x:c r="P1103" s="11" t="str">
        <x:v>אמקס עינור</x:v>
      </x:c>
      <x:c r="Q1103" s="11" t="str"/>
      <x:c r="R1103" s="11" t="str">
        <x:v>לא</x:v>
      </x:c>
    </x:row>
    <x:row r="1104">
      <x:c r="A1104" s="14" t="n">
        <x:v>45962</x:v>
      </x:c>
      <x:c r="B1104" s="11" t="str">
        <x:v>2025-11</x:v>
      </x:c>
      <x:c r="C1104" s="11" t="str">
        <x:v>נובמבר 25</x:v>
      </x:c>
      <x:c r="D1104" s="15" t="n">
        <x:v>104</x:v>
      </x:c>
      <x:c r="E1104" s="11" t="str">
        <x:v>22</x:v>
      </x:c>
      <x:c r="F1104" s="11" t="str">
        <x:v>סופר</x:v>
      </x:c>
      <x:c r="G1104" s="17" t="n">
        <x:v>52</x:v>
      </x:c>
      <x:c r="H1104" s="18" t="str">
        <x:v>מזון לבית</x:v>
      </x:c>
      <x:c r="I1104" s="19" t="str">
        <x:f>IFERROR(INDEX('מיפוי ומקורות'!$C$7:$C$33,MATCH(H1104,'מיפוי ומקורות'!$B$7:$B$33,0)),"לא מסווג")</x:f>
        <x:v>מזון לבית</x:v>
      </x:c>
      <x:c r="J1104" s="19" t="str">
        <x:f>IFERROR(INDEX('מיפוי ומקורות'!$D$7:$D$33,MATCH(H1104,'מיפוי ומקורות'!$B$7:$B$33,0)),"שוטף")</x:f>
        <x:v>שוטף</x:v>
      </x:c>
      <x:c r="K1104" s="19" t="str">
        <x:f>IF(OR(H1104="ריביות",AND(H1104="דירה כצנלסון",G1104&lt;0,ISNUMBER(SEARCH("הכנסה",F1104)))),"הכנסה שסווגה מחדש",J1104)</x:f>
        <x:v>שוטף</x:v>
      </x:c>
      <x:c r="L1104" s="19" t="str">
        <x:v>מאושר</x:v>
      </x:c>
      <x:c r="M1104" s="20" t="n">
        <x:f>IF(L1104="מאושר",IF(K1104="הכנסה שסווגה מחדש",0,G1104),0)</x:f>
        <x:v>52</x:v>
      </x:c>
      <x:c r="N1104" s="20" t="n">
        <x:f>IF(K1104="שוטף",M1104,0)</x:f>
        <x:v>52</x:v>
      </x:c>
      <x:c r="O1104" s="20" t="n">
        <x:f>IF(K1104="הכנסה שסווגה מחדש",-G1104,0)</x:f>
        <x:v>0</x:v>
      </x:c>
      <x:c r="P1104" s="11" t="str">
        <x:v>אמקס עינור</x:v>
      </x:c>
      <x:c r="Q1104" s="11" t="str"/>
      <x:c r="R1104" s="11" t="str">
        <x:v>לא</x:v>
      </x:c>
    </x:row>
    <x:row r="1105">
      <x:c r="A1105" s="14" t="n">
        <x:v>45962</x:v>
      </x:c>
      <x:c r="B1105" s="11" t="str">
        <x:v>2025-11</x:v>
      </x:c>
      <x:c r="C1105" s="11" t="str">
        <x:v>נובמבר 25</x:v>
      </x:c>
      <x:c r="D1105" s="15" t="n">
        <x:v>105</x:v>
      </x:c>
      <x:c r="E1105" s="11" t="str">
        <x:v>22</x:v>
      </x:c>
      <x:c r="F1105" s="11" t="str">
        <x:v>אלי</x:v>
      </x:c>
      <x:c r="G1105" s="17" t="n">
        <x:v>51</x:v>
      </x:c>
      <x:c r="H1105" s="18" t="str">
        <x:v>קניות לבית</x:v>
      </x:c>
      <x:c r="I1105" s="19" t="str">
        <x:f>IFERROR(INDEX('מיפוי ומקורות'!$C$7:$C$33,MATCH(H1105,'מיפוי ומקורות'!$B$7:$B$33,0)),"לא מסווג")</x:f>
        <x:v>קניות לבית</x:v>
      </x:c>
      <x:c r="J1105" s="19" t="str">
        <x:f>IFERROR(INDEX('מיפוי ומקורות'!$D$7:$D$33,MATCH(H1105,'מיפוי ומקורות'!$B$7:$B$33,0)),"שוטף")</x:f>
        <x:v>שוטף</x:v>
      </x:c>
      <x:c r="K1105" s="19" t="str">
        <x:f>IF(OR(H1105="ריביות",AND(H1105="דירה כצנלסון",G1105&lt;0,ISNUMBER(SEARCH("הכנסה",F1105)))),"הכנסה שסווגה מחדש",J1105)</x:f>
        <x:v>שוטף</x:v>
      </x:c>
      <x:c r="L1105" s="19" t="str">
        <x:v>מאושר</x:v>
      </x:c>
      <x:c r="M1105" s="20" t="n">
        <x:f>IF(L1105="מאושר",IF(K1105="הכנסה שסווגה מחדש",0,G1105),0)</x:f>
        <x:v>51</x:v>
      </x:c>
      <x:c r="N1105" s="20" t="n">
        <x:f>IF(K1105="שוטף",M1105,0)</x:f>
        <x:v>51</x:v>
      </x:c>
      <x:c r="O1105" s="20" t="n">
        <x:f>IF(K1105="הכנסה שסווגה מחדש",-G1105,0)</x:f>
        <x:v>0</x:v>
      </x:c>
      <x:c r="P1105" s="11" t="str">
        <x:v>אמקס עינור</x:v>
      </x:c>
      <x:c r="Q1105" s="11" t="str"/>
      <x:c r="R1105" s="11" t="str">
        <x:v>לא</x:v>
      </x:c>
    </x:row>
    <x:row r="1106">
      <x:c r="A1106" s="14" t="n">
        <x:v>45962</x:v>
      </x:c>
      <x:c r="B1106" s="11" t="str">
        <x:v>2025-11</x:v>
      </x:c>
      <x:c r="C1106" s="11" t="str">
        <x:v>נובמבר 25</x:v>
      </x:c>
      <x:c r="D1106" s="15" t="n">
        <x:v>106</x:v>
      </x:c>
      <x:c r="E1106" s="11" t="str">
        <x:v>24</x:v>
      </x:c>
      <x:c r="F1106" s="11" t="str">
        <x:v>סופר</x:v>
      </x:c>
      <x:c r="G1106" s="17" t="n">
        <x:v>-24</x:v>
      </x:c>
      <x:c r="H1106" s="18" t="str">
        <x:v>מזון לבית</x:v>
      </x:c>
      <x:c r="I1106" s="19" t="str">
        <x:f>IFERROR(INDEX('מיפוי ומקורות'!$C$7:$C$33,MATCH(H1106,'מיפוי ומקורות'!$B$7:$B$33,0)),"לא מסווג")</x:f>
        <x:v>מזון לבית</x:v>
      </x:c>
      <x:c r="J1106" s="19" t="str">
        <x:f>IFERROR(INDEX('מיפוי ומקורות'!$D$7:$D$33,MATCH(H1106,'מיפוי ומקורות'!$B$7:$B$33,0)),"שוטף")</x:f>
        <x:v>שוטף</x:v>
      </x:c>
      <x:c r="K1106" s="19" t="str">
        <x:f>IF(OR(H1106="ריביות",AND(H1106="דירה כצנלסון",G1106&lt;0,ISNUMBER(SEARCH("הכנסה",F1106)))),"הכנסה שסווגה מחדש",J1106)</x:f>
        <x:v>שוטף</x:v>
      </x:c>
      <x:c r="L1106" s="19" t="str">
        <x:v>מאושר</x:v>
      </x:c>
      <x:c r="M1106" s="20" t="n">
        <x:f>IF(L1106="מאושר",IF(K1106="הכנסה שסווגה מחדש",0,G1106),0)</x:f>
        <x:v>-24</x:v>
      </x:c>
      <x:c r="N1106" s="20" t="n">
        <x:f>IF(K1106="שוטף",M1106,0)</x:f>
        <x:v>-24</x:v>
      </x:c>
      <x:c r="O1106" s="20" t="n">
        <x:f>IF(K1106="הכנסה שסווגה מחדש",-G1106,0)</x:f>
        <x:v>0</x:v>
      </x:c>
      <x:c r="P1106" s="11" t="str">
        <x:v>אמקס עינור</x:v>
      </x:c>
      <x:c r="Q1106" s="11" t="str"/>
      <x:c r="R1106" s="11" t="str">
        <x:v>לא</x:v>
      </x:c>
    </x:row>
    <x:row r="1107">
      <x:c r="A1107" s="14" t="n">
        <x:v>45962</x:v>
      </x:c>
      <x:c r="B1107" s="11" t="str">
        <x:v>2025-11</x:v>
      </x:c>
      <x:c r="C1107" s="11" t="str">
        <x:v>נובמבר 25</x:v>
      </x:c>
      <x:c r="D1107" s="15" t="n">
        <x:v>107</x:v>
      </x:c>
      <x:c r="E1107" s="11" t="str">
        <x:v>25</x:v>
      </x:c>
      <x:c r="F1107" s="11" t="str">
        <x:v>פארם</x:v>
      </x:c>
      <x:c r="G1107" s="17" t="n">
        <x:v>230</x:v>
      </x:c>
      <x:c r="H1107" s="18" t="str">
        <x:v>בריאות</x:v>
      </x:c>
      <x:c r="I1107" s="19" t="str">
        <x:f>IFERROR(INDEX('מיפוי ומקורות'!$C$7:$C$33,MATCH(H1107,'מיפוי ומקורות'!$B$7:$B$33,0)),"לא מסווג")</x:f>
        <x:v>בריאות וטיפולים</x:v>
      </x:c>
      <x:c r="J1107" s="19" t="str">
        <x:f>IFERROR(INDEX('מיפוי ומקורות'!$D$7:$D$33,MATCH(H1107,'מיפוי ומקורות'!$B$7:$B$33,0)),"שוטף")</x:f>
        <x:v>שוטף</x:v>
      </x:c>
      <x:c r="K1107" s="19" t="str">
        <x:f>IF(OR(H1107="ריביות",AND(H1107="דירה כצנלסון",G1107&lt;0,ISNUMBER(SEARCH("הכנסה",F1107)))),"הכנסה שסווגה מחדש",J1107)</x:f>
        <x:v>שוטף</x:v>
      </x:c>
      <x:c r="L1107" s="19" t="str">
        <x:v>מאושר</x:v>
      </x:c>
      <x:c r="M1107" s="20" t="n">
        <x:f>IF(L1107="מאושר",IF(K1107="הכנסה שסווגה מחדש",0,G1107),0)</x:f>
        <x:v>230</x:v>
      </x:c>
      <x:c r="N1107" s="20" t="n">
        <x:f>IF(K1107="שוטף",M1107,0)</x:f>
        <x:v>230</x:v>
      </x:c>
      <x:c r="O1107" s="20" t="n">
        <x:f>IF(K1107="הכנסה שסווגה מחדש",-G1107,0)</x:f>
        <x:v>0</x:v>
      </x:c>
      <x:c r="P1107" s="11" t="str">
        <x:v>אמקס עינור</x:v>
      </x:c>
      <x:c r="Q1107" s="11" t="str"/>
      <x:c r="R1107" s="11" t="str">
        <x:v>לא</x:v>
      </x:c>
    </x:row>
    <x:row r="1108">
      <x:c r="A1108" s="14" t="n">
        <x:v>45962</x:v>
      </x:c>
      <x:c r="B1108" s="11" t="str">
        <x:v>2025-11</x:v>
      </x:c>
      <x:c r="C1108" s="11" t="str">
        <x:v>נובמבר 25</x:v>
      </x:c>
      <x:c r="D1108" s="15" t="n">
        <x:v>108</x:v>
      </x:c>
      <x:c r="E1108" s="11" t="str">
        <x:v>26</x:v>
      </x:c>
      <x:c r="F1108" s="11" t="str">
        <x:v>כריות</x:v>
      </x:c>
      <x:c r="G1108" s="17" t="n">
        <x:v>299</x:v>
      </x:c>
      <x:c r="H1108" s="18" t="str">
        <x:v>קניות לבית</x:v>
      </x:c>
      <x:c r="I1108" s="19" t="str">
        <x:f>IFERROR(INDEX('מיפוי ומקורות'!$C$7:$C$33,MATCH(H1108,'מיפוי ומקורות'!$B$7:$B$33,0)),"לא מסווג")</x:f>
        <x:v>קניות לבית</x:v>
      </x:c>
      <x:c r="J1108" s="19" t="str">
        <x:f>IFERROR(INDEX('מיפוי ומקורות'!$D$7:$D$33,MATCH(H1108,'מיפוי ומקורות'!$B$7:$B$33,0)),"שוטף")</x:f>
        <x:v>שוטף</x:v>
      </x:c>
      <x:c r="K1108" s="19" t="str">
        <x:f>IF(OR(H1108="ריביות",AND(H1108="דירה כצנלסון",G1108&lt;0,ISNUMBER(SEARCH("הכנסה",F1108)))),"הכנסה שסווגה מחדש",J1108)</x:f>
        <x:v>שוטף</x:v>
      </x:c>
      <x:c r="L1108" s="19" t="str">
        <x:v>מאושר</x:v>
      </x:c>
      <x:c r="M1108" s="20" t="n">
        <x:f>IF(L1108="מאושר",IF(K1108="הכנסה שסווגה מחדש",0,G1108),0)</x:f>
        <x:v>299</x:v>
      </x:c>
      <x:c r="N1108" s="20" t="n">
        <x:f>IF(K1108="שוטף",M1108,0)</x:f>
        <x:v>299</x:v>
      </x:c>
      <x:c r="O1108" s="20" t="n">
        <x:f>IF(K1108="הכנסה שסווגה מחדש",-G1108,0)</x:f>
        <x:v>0</x:v>
      </x:c>
      <x:c r="P1108" s="11" t="str">
        <x:v>אמקס עינור</x:v>
      </x:c>
      <x:c r="Q1108" s="11" t="str"/>
      <x:c r="R1108" s="11" t="str">
        <x:v>לא</x:v>
      </x:c>
    </x:row>
    <x:row r="1109">
      <x:c r="A1109" s="14" t="n">
        <x:v>45962</x:v>
      </x:c>
      <x:c r="B1109" s="11" t="str">
        <x:v>2025-11</x:v>
      </x:c>
      <x:c r="C1109" s="11" t="str">
        <x:v>נובמבר 25</x:v>
      </x:c>
      <x:c r="D1109" s="15" t="n">
        <x:v>109</x:v>
      </x:c>
      <x:c r="E1109" s="11" t="str">
        <x:v>27</x:v>
      </x:c>
      <x:c r="F1109" s="11" t="str">
        <x:v>שירה</x:v>
      </x:c>
      <x:c r="G1109" s="17" t="n">
        <x:v>900</x:v>
      </x:c>
      <x:c r="H1109" s="18" t="str">
        <x:v>בריאות</x:v>
      </x:c>
      <x:c r="I1109" s="19" t="str">
        <x:f>IFERROR(INDEX('מיפוי ומקורות'!$C$7:$C$33,MATCH(H1109,'מיפוי ומקורות'!$B$7:$B$33,0)),"לא מסווג")</x:f>
        <x:v>בריאות וטיפולים</x:v>
      </x:c>
      <x:c r="J1109" s="19" t="str">
        <x:f>IFERROR(INDEX('מיפוי ומקורות'!$D$7:$D$33,MATCH(H1109,'מיפוי ומקורות'!$B$7:$B$33,0)),"שוטף")</x:f>
        <x:v>שוטף</x:v>
      </x:c>
      <x:c r="K1109" s="19" t="str">
        <x:f>IF(OR(H1109="ריביות",AND(H1109="דירה כצנלסון",G1109&lt;0,ISNUMBER(SEARCH("הכנסה",F1109)))),"הכנסה שסווגה מחדש",J1109)</x:f>
        <x:v>שוטף</x:v>
      </x:c>
      <x:c r="L1109" s="19" t="str">
        <x:v>מאושר</x:v>
      </x:c>
      <x:c r="M1109" s="20" t="n">
        <x:f>IF(L1109="מאושר",IF(K1109="הכנסה שסווגה מחדש",0,G1109),0)</x:f>
        <x:v>900</x:v>
      </x:c>
      <x:c r="N1109" s="20" t="n">
        <x:f>IF(K1109="שוטף",M1109,0)</x:f>
        <x:v>900</x:v>
      </x:c>
      <x:c r="O1109" s="20" t="n">
        <x:f>IF(K1109="הכנסה שסווגה מחדש",-G1109,0)</x:f>
        <x:v>0</x:v>
      </x:c>
      <x:c r="P1109" s="11" t="str">
        <x:v>אמקס עינור</x:v>
      </x:c>
      <x:c r="Q1109" s="11" t="str"/>
      <x:c r="R1109" s="11" t="str">
        <x:v>לא</x:v>
      </x:c>
    </x:row>
    <x:row r="1110">
      <x:c r="A1110" s="14" t="n">
        <x:v>45962</x:v>
      </x:c>
      <x:c r="B1110" s="11" t="str">
        <x:v>2025-11</x:v>
      </x:c>
      <x:c r="C1110" s="11" t="str">
        <x:v>נובמבר 25</x:v>
      </x:c>
      <x:c r="D1110" s="15" t="n">
        <x:v>110</x:v>
      </x:c>
      <x:c r="E1110" s="11" t="str">
        <x:v>27</x:v>
      </x:c>
      <x:c r="F1110" s="11" t="str">
        <x:v>אלי</x:v>
      </x:c>
      <x:c r="G1110" s="17" t="n">
        <x:v>-8</x:v>
      </x:c>
      <x:c r="H1110" s="18" t="str">
        <x:v>קניות לבית</x:v>
      </x:c>
      <x:c r="I1110" s="19" t="str">
        <x:f>IFERROR(INDEX('מיפוי ומקורות'!$C$7:$C$33,MATCH(H1110,'מיפוי ומקורות'!$B$7:$B$33,0)),"לא מסווג")</x:f>
        <x:v>קניות לבית</x:v>
      </x:c>
      <x:c r="J1110" s="19" t="str">
        <x:f>IFERROR(INDEX('מיפוי ומקורות'!$D$7:$D$33,MATCH(H1110,'מיפוי ומקורות'!$B$7:$B$33,0)),"שוטף")</x:f>
        <x:v>שוטף</x:v>
      </x:c>
      <x:c r="K1110" s="19" t="str">
        <x:f>IF(OR(H1110="ריביות",AND(H1110="דירה כצנלסון",G1110&lt;0,ISNUMBER(SEARCH("הכנסה",F1110)))),"הכנסה שסווגה מחדש",J1110)</x:f>
        <x:v>שוטף</x:v>
      </x:c>
      <x:c r="L1110" s="19" t="str">
        <x:v>מאושר</x:v>
      </x:c>
      <x:c r="M1110" s="20" t="n">
        <x:f>IF(L1110="מאושר",IF(K1110="הכנסה שסווגה מחדש",0,G1110),0)</x:f>
        <x:v>-8</x:v>
      </x:c>
      <x:c r="N1110" s="20" t="n">
        <x:f>IF(K1110="שוטף",M1110,0)</x:f>
        <x:v>-8</x:v>
      </x:c>
      <x:c r="O1110" s="20" t="n">
        <x:f>IF(K1110="הכנסה שסווגה מחדש",-G1110,0)</x:f>
        <x:v>0</x:v>
      </x:c>
      <x:c r="P1110" s="11" t="str">
        <x:v>אמקס עינור</x:v>
      </x:c>
      <x:c r="Q1110" s="11" t="str"/>
      <x:c r="R1110" s="11" t="str">
        <x:v>לא</x:v>
      </x:c>
    </x:row>
    <x:row r="1111">
      <x:c r="A1111" s="14" t="n">
        <x:v>45962</x:v>
      </x:c>
      <x:c r="B1111" s="11" t="str">
        <x:v>2025-11</x:v>
      </x:c>
      <x:c r="C1111" s="11" t="str">
        <x:v>נובמבר 25</x:v>
      </x:c>
      <x:c r="D1111" s="15" t="n">
        <x:v>111</x:v>
      </x:c>
      <x:c r="E1111" s="11" t="str">
        <x:v>27</x:v>
      </x:c>
      <x:c r="F1111" s="11" t="str">
        <x:v>אלי</x:v>
      </x:c>
      <x:c r="G1111" s="17" t="n">
        <x:v>57</x:v>
      </x:c>
      <x:c r="H1111" s="18" t="str">
        <x:v>קניות לבית</x:v>
      </x:c>
      <x:c r="I1111" s="19" t="str">
        <x:f>IFERROR(INDEX('מיפוי ומקורות'!$C$7:$C$33,MATCH(H1111,'מיפוי ומקורות'!$B$7:$B$33,0)),"לא מסווג")</x:f>
        <x:v>קניות לבית</x:v>
      </x:c>
      <x:c r="J1111" s="19" t="str">
        <x:f>IFERROR(INDEX('מיפוי ומקורות'!$D$7:$D$33,MATCH(H1111,'מיפוי ומקורות'!$B$7:$B$33,0)),"שוטף")</x:f>
        <x:v>שוטף</x:v>
      </x:c>
      <x:c r="K1111" s="19" t="str">
        <x:f>IF(OR(H1111="ריביות",AND(H1111="דירה כצנלסון",G1111&lt;0,ISNUMBER(SEARCH("הכנסה",F1111)))),"הכנסה שסווגה מחדש",J1111)</x:f>
        <x:v>שוטף</x:v>
      </x:c>
      <x:c r="L1111" s="19" t="str">
        <x:v>מאושר</x:v>
      </x:c>
      <x:c r="M1111" s="20" t="n">
        <x:f>IF(L1111="מאושר",IF(K1111="הכנסה שסווגה מחדש",0,G1111),0)</x:f>
        <x:v>57</x:v>
      </x:c>
      <x:c r="N1111" s="20" t="n">
        <x:f>IF(K1111="שוטף",M1111,0)</x:f>
        <x:v>57</x:v>
      </x:c>
      <x:c r="O1111" s="20" t="n">
        <x:f>IF(K1111="הכנסה שסווגה מחדש",-G1111,0)</x:f>
        <x:v>0</x:v>
      </x:c>
      <x:c r="P1111" s="11" t="str">
        <x:v>אמקס עינור</x:v>
      </x:c>
      <x:c r="Q1111" s="11" t="str"/>
      <x:c r="R1111" s="11" t="str">
        <x:v>לא</x:v>
      </x:c>
    </x:row>
    <x:row r="1112">
      <x:c r="A1112" s="14" t="n">
        <x:v>45962</x:v>
      </x:c>
      <x:c r="B1112" s="11" t="str">
        <x:v>2025-11</x:v>
      </x:c>
      <x:c r="C1112" s="11" t="str">
        <x:v>נובמבר 25</x:v>
      </x:c>
      <x:c r="D1112" s="15" t="n">
        <x:v>112</x:v>
      </x:c>
      <x:c r="E1112" s="11" t="str">
        <x:v>28</x:v>
      </x:c>
      <x:c r="F1112" s="11" t="str">
        <x:v>איי הארב</x:v>
      </x:c>
      <x:c r="G1112" s="17" t="n">
        <x:v>219</x:v>
      </x:c>
      <x:c r="H1112" s="18" t="str">
        <x:v>קוסמטיקה</x:v>
      </x:c>
      <x:c r="I1112" s="19" t="str">
        <x:f>IFERROR(INDEX('מיפוי ומקורות'!$C$7:$C$33,MATCH(H1112,'מיפוי ומקורות'!$B$7:$B$33,0)),"לא מסווג")</x:f>
        <x:v>קוסמטיקה</x:v>
      </x:c>
      <x:c r="J1112" s="19" t="str">
        <x:f>IFERROR(INDEX('מיפוי ומקורות'!$D$7:$D$33,MATCH(H1112,'מיפוי ומקורות'!$B$7:$B$33,0)),"שוטף")</x:f>
        <x:v>שוטף</x:v>
      </x:c>
      <x:c r="K1112" s="19" t="str">
        <x:f>IF(OR(H1112="ריביות",AND(H1112="דירה כצנלסון",G1112&lt;0,ISNUMBER(SEARCH("הכנסה",F1112)))),"הכנסה שסווגה מחדש",J1112)</x:f>
        <x:v>שוטף</x:v>
      </x:c>
      <x:c r="L1112" s="19" t="str">
        <x:v>מאושר</x:v>
      </x:c>
      <x:c r="M1112" s="20" t="n">
        <x:f>IF(L1112="מאושר",IF(K1112="הכנסה שסווגה מחדש",0,G1112),0)</x:f>
        <x:v>219</x:v>
      </x:c>
      <x:c r="N1112" s="20" t="n">
        <x:f>IF(K1112="שוטף",M1112,0)</x:f>
        <x:v>219</x:v>
      </x:c>
      <x:c r="O1112" s="20" t="n">
        <x:f>IF(K1112="הכנסה שסווגה מחדש",-G1112,0)</x:f>
        <x:v>0</x:v>
      </x:c>
      <x:c r="P1112" s="11" t="str">
        <x:v>אמקס עינור</x:v>
      </x:c>
      <x:c r="Q1112" s="11" t="str"/>
      <x:c r="R1112" s="11" t="str">
        <x:v>לא</x:v>
      </x:c>
    </x:row>
    <x:row r="1113">
      <x:c r="A1113" s="14" t="n">
        <x:v>45962</x:v>
      </x:c>
      <x:c r="B1113" s="11" t="str">
        <x:v>2025-11</x:v>
      </x:c>
      <x:c r="C1113" s="11" t="str">
        <x:v>נובמבר 25</x:v>
      </x:c>
      <x:c r="D1113" s="15" t="n">
        <x:v>113</x:v>
      </x:c>
      <x:c r="E1113" s="11" t="str">
        <x:v>28</x:v>
      </x:c>
      <x:c r="F1113" s="11" t="str">
        <x:v>מלון ברצלונה</x:v>
      </x:c>
      <x:c r="G1113" s="17" t="n">
        <x:v>100</x:v>
      </x:c>
      <x:c r="H1113" s="18" t="str">
        <x:v>חול</x:v>
      </x:c>
      <x:c r="I1113" s="19" t="str">
        <x:f>IFERROR(INDEX('מיפוי ומקורות'!$C$7:$C$33,MATCH(H1113,'מיפוי ומקורות'!$B$7:$B$33,0)),"לא מסווג")</x:f>
        <x:v>נסיעות וחופשות</x:v>
      </x:c>
      <x:c r="J1113" s="19" t="str">
        <x:f>IFERROR(INDEX('מיפוי ומקורות'!$D$7:$D$33,MATCH(H1113,'מיפוי ומקורות'!$B$7:$B$33,0)),"שוטף")</x:f>
        <x:v>חריג</x:v>
      </x:c>
      <x:c r="K1113" s="19" t="str">
        <x:f>IF(OR(H1113="ריביות",AND(H1113="דירה כצנלסון",G1113&lt;0,ISNUMBER(SEARCH("הכנסה",F1113)))),"הכנסה שסווגה מחדש",J1113)</x:f>
        <x:v>חריג</x:v>
      </x:c>
      <x:c r="L1113" s="19" t="str">
        <x:v>מאושר</x:v>
      </x:c>
      <x:c r="M1113" s="20" t="n">
        <x:f>IF(L1113="מאושר",IF(K1113="הכנסה שסווגה מחדש",0,G1113),0)</x:f>
        <x:v>100</x:v>
      </x:c>
      <x:c r="N1113" s="20" t="n">
        <x:f>IF(K1113="שוטף",M1113,0)</x:f>
        <x:v>0</x:v>
      </x:c>
      <x:c r="O1113" s="20" t="n">
        <x:f>IF(K1113="הכנסה שסווגה מחדש",-G1113,0)</x:f>
        <x:v>0</x:v>
      </x:c>
      <x:c r="P1113" s="11" t="str">
        <x:v>אמקס עינור</x:v>
      </x:c>
      <x:c r="Q1113" s="11" t="str"/>
      <x:c r="R1113" s="11" t="str">
        <x:v>לא</x:v>
      </x:c>
    </x:row>
    <x:row r="1114">
      <x:c r="A1114" s="14" t="n">
        <x:v>45962</x:v>
      </x:c>
      <x:c r="B1114" s="11" t="str">
        <x:v>2025-11</x:v>
      </x:c>
      <x:c r="C1114" s="11" t="str">
        <x:v>נובמבר 25</x:v>
      </x:c>
      <x:c r="D1114" s="15" t="n">
        <x:v>114</x:v>
      </x:c>
      <x:c r="E1114" s="11" t="str">
        <x:v>29</x:v>
      </x:c>
      <x:c r="F1114" s="11" t="str">
        <x:v>לאקי צארמס</x:v>
      </x:c>
      <x:c r="G1114" s="17" t="n">
        <x:v>45</x:v>
      </x:c>
      <x:c r="H1114" s="18" t="str">
        <x:v>מזון לבית</x:v>
      </x:c>
      <x:c r="I1114" s="19" t="str">
        <x:f>IFERROR(INDEX('מיפוי ומקורות'!$C$7:$C$33,MATCH(H1114,'מיפוי ומקורות'!$B$7:$B$33,0)),"לא מסווג")</x:f>
        <x:v>מזון לבית</x:v>
      </x:c>
      <x:c r="J1114" s="19" t="str">
        <x:f>IFERROR(INDEX('מיפוי ומקורות'!$D$7:$D$33,MATCH(H1114,'מיפוי ומקורות'!$B$7:$B$33,0)),"שוטף")</x:f>
        <x:v>שוטף</x:v>
      </x:c>
      <x:c r="K1114" s="19" t="str">
        <x:f>IF(OR(H1114="ריביות",AND(H1114="דירה כצנלסון",G1114&lt;0,ISNUMBER(SEARCH("הכנסה",F1114)))),"הכנסה שסווגה מחדש",J1114)</x:f>
        <x:v>שוטף</x:v>
      </x:c>
      <x:c r="L1114" s="19" t="str">
        <x:v>מאושר</x:v>
      </x:c>
      <x:c r="M1114" s="20" t="n">
        <x:f>IF(L1114="מאושר",IF(K1114="הכנסה שסווגה מחדש",0,G1114),0)</x:f>
        <x:v>45</x:v>
      </x:c>
      <x:c r="N1114" s="20" t="n">
        <x:f>IF(K1114="שוטף",M1114,0)</x:f>
        <x:v>45</x:v>
      </x:c>
      <x:c r="O1114" s="20" t="n">
        <x:f>IF(K1114="הכנסה שסווגה מחדש",-G1114,0)</x:f>
        <x:v>0</x:v>
      </x:c>
      <x:c r="P1114" s="11" t="str">
        <x:v>אמקס עינור</x:v>
      </x:c>
      <x:c r="Q1114" s="11" t="str"/>
      <x:c r="R1114" s="11" t="str">
        <x:v>לא</x:v>
      </x:c>
    </x:row>
    <x:row r="1115">
      <x:c r="A1115" s="14" t="n">
        <x:v>45962</x:v>
      </x:c>
      <x:c r="B1115" s="11" t="str">
        <x:v>2025-11</x:v>
      </x:c>
      <x:c r="C1115" s="11" t="str">
        <x:v>נובמבר 25</x:v>
      </x:c>
      <x:c r="D1115" s="15" t="n">
        <x:v>115</x:v>
      </x:c>
      <x:c r="E1115" s="11" t="str">
        <x:v>30</x:v>
      </x:c>
      <x:c r="F1115" s="11" t="str">
        <x:v>דברים של לחות</x:v>
      </x:c>
      <x:c r="G1115" s="17" t="n">
        <x:v>302</x:v>
      </x:c>
      <x:c r="H1115" s="18" t="str">
        <x:v>קניות לבית</x:v>
      </x:c>
      <x:c r="I1115" s="19" t="str">
        <x:f>IFERROR(INDEX('מיפוי ומקורות'!$C$7:$C$33,MATCH(H1115,'מיפוי ומקורות'!$B$7:$B$33,0)),"לא מסווג")</x:f>
        <x:v>קניות לבית</x:v>
      </x:c>
      <x:c r="J1115" s="19" t="str">
        <x:f>IFERROR(INDEX('מיפוי ומקורות'!$D$7:$D$33,MATCH(H1115,'מיפוי ומקורות'!$B$7:$B$33,0)),"שוטף")</x:f>
        <x:v>שוטף</x:v>
      </x:c>
      <x:c r="K1115" s="19" t="str">
        <x:f>IF(OR(H1115="ריביות",AND(H1115="דירה כצנלסון",G1115&lt;0,ISNUMBER(SEARCH("הכנסה",F1115)))),"הכנסה שסווגה מחדש",J1115)</x:f>
        <x:v>שוטף</x:v>
      </x:c>
      <x:c r="L1115" s="19" t="str">
        <x:v>מאושר</x:v>
      </x:c>
      <x:c r="M1115" s="20" t="n">
        <x:f>IF(L1115="מאושר",IF(K1115="הכנסה שסווגה מחדש",0,G1115),0)</x:f>
        <x:v>302</x:v>
      </x:c>
      <x:c r="N1115" s="20" t="n">
        <x:f>IF(K1115="שוטף",M1115,0)</x:f>
        <x:v>302</x:v>
      </x:c>
      <x:c r="O1115" s="20" t="n">
        <x:f>IF(K1115="הכנסה שסווגה מחדש",-G1115,0)</x:f>
        <x:v>0</x:v>
      </x:c>
      <x:c r="P1115" s="11" t="str">
        <x:v>אמקס עינור</x:v>
      </x:c>
      <x:c r="Q1115" s="11" t="str"/>
      <x:c r="R1115" s="11" t="str">
        <x:v>לא</x:v>
      </x:c>
    </x:row>
    <x:row r="1116">
      <x:c r="A1116" s="14" t="n">
        <x:v>45962</x:v>
      </x:c>
      <x:c r="B1116" s="11" t="str">
        <x:v>2025-11</x:v>
      </x:c>
      <x:c r="C1116" s="11" t="str">
        <x:v>נובמבר 25</x:v>
      </x:c>
      <x:c r="D1116" s="15" t="n">
        <x:v>116</x:v>
      </x:c>
      <x:c r="E1116" s="11" t="str"/>
      <x:c r="F1116" s="11" t="str">
        <x:v>שוויץ 26</x:v>
      </x:c>
      <x:c r="G1116" s="17" t="n">
        <x:v>100</x:v>
      </x:c>
      <x:c r="H1116" s="18" t="str">
        <x:v>חופשה</x:v>
      </x:c>
      <x:c r="I1116" s="19" t="str">
        <x:f>IFERROR(INDEX('מיפוי ומקורות'!$C$7:$C$33,MATCH(H1116,'מיפוי ומקורות'!$B$7:$B$33,0)),"לא מסווג")</x:f>
        <x:v>נסיעות וחופשות</x:v>
      </x:c>
      <x:c r="J1116" s="19" t="str">
        <x:f>IFERROR(INDEX('מיפוי ומקורות'!$D$7:$D$33,MATCH(H1116,'מיפוי ומקורות'!$B$7:$B$33,0)),"שוטף")</x:f>
        <x:v>חריג</x:v>
      </x:c>
      <x:c r="K1116" s="19" t="str">
        <x:f>IF(OR(H1116="ריביות",AND(H1116="דירה כצנלסון",G1116&lt;0,ISNUMBER(SEARCH("הכנסה",F1116)))),"הכנסה שסווגה מחדש",J1116)</x:f>
        <x:v>חריג</x:v>
      </x:c>
      <x:c r="L1116" s="19" t="str">
        <x:v>מאושר</x:v>
      </x:c>
      <x:c r="M1116" s="20" t="n">
        <x:f>IF(L1116="מאושר",IF(K1116="הכנסה שסווגה מחדש",0,G1116),0)</x:f>
        <x:v>100</x:v>
      </x:c>
      <x:c r="N1116" s="20" t="n">
        <x:f>IF(K1116="שוטף",M1116,0)</x:f>
        <x:v>0</x:v>
      </x:c>
      <x:c r="O1116" s="20" t="n">
        <x:f>IF(K1116="הכנסה שסווגה מחדש",-G1116,0)</x:f>
        <x:v>0</x:v>
      </x:c>
      <x:c r="P1116" s="11" t="str"/>
      <x:c r="Q1116" s="11" t="str">
        <x:v>auto:vacation:שוויץ 26</x:v>
      </x:c>
      <x:c r="R1116" s="11" t="str">
        <x:v>כן</x:v>
      </x:c>
    </x:row>
    <x:row r="1117">
      <x:c r="A1117" s="14" t="n">
        <x:v>45992</x:v>
      </x:c>
      <x:c r="B1117" s="11" t="str">
        <x:v>2025-12</x:v>
      </x:c>
      <x:c r="C1117" s="11" t="str">
        <x:v>דצמבר 25</x:v>
      </x:c>
      <x:c r="D1117" s="15" t="n">
        <x:v>2</x:v>
      </x:c>
      <x:c r="E1117" s="11" t="str">
        <x:v>14</x:v>
      </x:c>
      <x:c r="F1117" s="11" t="str">
        <x:v>שכר דירה</x:v>
      </x:c>
      <x:c r="G1117" s="17" t="n">
        <x:v>8000</x:v>
      </x:c>
      <x:c r="H1117" s="18" t="str">
        <x:v>מגורים חודשי</x:v>
      </x:c>
      <x:c r="I1117" s="19" t="str">
        <x:f>IFERROR(INDEX('מיפוי ומקורות'!$C$7:$C$33,MATCH(H1117,'מיפוי ומקורות'!$B$7:$B$33,0)),"לא מסווג")</x:f>
        <x:v>דיור – בית מגורים</x:v>
      </x:c>
      <x:c r="J1117" s="19" t="str">
        <x:f>IFERROR(INDEX('מיפוי ומקורות'!$D$7:$D$33,MATCH(H1117,'מיפוי ומקורות'!$B$7:$B$33,0)),"שוטף")</x:f>
        <x:v>שוטף</x:v>
      </x:c>
      <x:c r="K1117" s="19" t="str">
        <x:f>IF(OR(H1117="ריביות",AND(H1117="דירה כצנלסון",G1117&lt;0,ISNUMBER(SEARCH("הכנסה",F1117)))),"הכנסה שסווגה מחדש",J1117)</x:f>
        <x:v>שוטף</x:v>
      </x:c>
      <x:c r="L1117" s="19" t="str">
        <x:v>מאושר</x:v>
      </x:c>
      <x:c r="M1117" s="20" t="n">
        <x:f>IF(L1117="מאושר",IF(K1117="הכנסה שסווגה מחדש",0,G1117),0)</x:f>
        <x:v>8000</x:v>
      </x:c>
      <x:c r="N1117" s="20" t="n">
        <x:f>IF(K1117="שוטף",M1117,0)</x:f>
        <x:v>8000</x:v>
      </x:c>
      <x:c r="O1117" s="20" t="n">
        <x:f>IF(K1117="הכנסה שסווגה מחדש",-G1117,0)</x:f>
        <x:v>0</x:v>
      </x:c>
      <x:c r="P1117" s="11" t="str">
        <x:v>דיסקונט</x:v>
      </x:c>
      <x:c r="Q1117" s="11" t="str"/>
      <x:c r="R1117" s="11" t="str">
        <x:v>לא</x:v>
      </x:c>
    </x:row>
    <x:row r="1118">
      <x:c r="A1118" s="14" t="n">
        <x:v>45992</x:v>
      </x:c>
      <x:c r="B1118" s="11" t="str">
        <x:v>2025-12</x:v>
      </x:c>
      <x:c r="C1118" s="11" t="str">
        <x:v>דצמבר 25</x:v>
      </x:c>
      <x:c r="D1118" s="15" t="n">
        <x:v>3</x:v>
      </x:c>
      <x:c r="E1118" s="11" t="str">
        <x:v>10</x:v>
      </x:c>
      <x:c r="F1118" s="11" t="str">
        <x:v>משכנתא</x:v>
      </x:c>
      <x:c r="G1118" s="17" t="n">
        <x:v>6147</x:v>
      </x:c>
      <x:c r="H1118" s="18" t="str">
        <x:v>דירה כצנלסון</x:v>
      </x:c>
      <x:c r="I1118" s="19" t="str">
        <x:f>IFERROR(INDEX('מיפוי ומקורות'!$C$7:$C$33,MATCH(H1118,'מיפוי ומקורות'!$B$7:$B$33,0)),"לא מסווג")</x:f>
        <x:v>נכס להשקעה</x:v>
      </x:c>
      <x:c r="J1118" s="19" t="str">
        <x:f>IFERROR(INDEX('מיפוי ומקורות'!$D$7:$D$33,MATCH(H1118,'מיפוי ומקורות'!$B$7:$B$33,0)),"שוטף")</x:f>
        <x:v>חריג/נכס</x:v>
      </x:c>
      <x:c r="K1118" s="19" t="str">
        <x:f>IF(OR(H1118="ריביות",AND(H1118="דירה כצנלסון",G1118&lt;0,ISNUMBER(SEARCH("הכנסה",F1118)))),"הכנסה שסווגה מחדש",J1118)</x:f>
        <x:v>חריג/נכס</x:v>
      </x:c>
      <x:c r="L1118" s="19" t="str">
        <x:v>מאושר</x:v>
      </x:c>
      <x:c r="M1118" s="20" t="n">
        <x:f>IF(L1118="מאושר",IF(K1118="הכנסה שסווגה מחדש",0,G1118),0)</x:f>
        <x:v>6147</x:v>
      </x:c>
      <x:c r="N1118" s="20" t="n">
        <x:f>IF(K1118="שוטף",M1118,0)</x:f>
        <x:v>0</x:v>
      </x:c>
      <x:c r="O1118" s="20" t="n">
        <x:f>IF(K1118="הכנסה שסווגה מחדש",-G1118,0)</x:f>
        <x:v>0</x:v>
      </x:c>
      <x:c r="P1118" s="11" t="str">
        <x:v>דיסקונט</x:v>
      </x:c>
      <x:c r="Q1118" s="11" t="str"/>
      <x:c r="R1118" s="11" t="str">
        <x:v>לא</x:v>
      </x:c>
    </x:row>
    <x:row r="1119">
      <x:c r="A1119" s="14" t="n">
        <x:v>45992</x:v>
      </x:c>
      <x:c r="B1119" s="11" t="str">
        <x:v>2025-12</x:v>
      </x:c>
      <x:c r="C1119" s="11" t="str">
        <x:v>דצמבר 25</x:v>
      </x:c>
      <x:c r="D1119" s="15" t="n">
        <x:v>4</x:v>
      </x:c>
      <x:c r="E1119" s="11" t="str">
        <x:v>8</x:v>
      </x:c>
      <x:c r="F1119" s="11" t="str">
        <x:v>הכנסה משכר דירה</x:v>
      </x:c>
      <x:c r="G1119" s="17" t="n">
        <x:v>-6500</x:v>
      </x:c>
      <x:c r="H1119" s="18" t="str">
        <x:v>דירה כצנלסון</x:v>
      </x:c>
      <x:c r="I1119" s="19" t="str">
        <x:f>IFERROR(INDEX('מיפוי ומקורות'!$C$7:$C$33,MATCH(H1119,'מיפוי ומקורות'!$B$7:$B$33,0)),"לא מסווג")</x:f>
        <x:v>נכס להשקעה</x:v>
      </x:c>
      <x:c r="J1119" s="19" t="str">
        <x:f>IFERROR(INDEX('מיפוי ומקורות'!$D$7:$D$33,MATCH(H1119,'מיפוי ומקורות'!$B$7:$B$33,0)),"שוטף")</x:f>
        <x:v>חריג/נכס</x:v>
      </x:c>
      <x:c r="K1119" s="19" t="str">
        <x:f>IF(OR(H1119="ריביות",AND(H1119="דירה כצנלסון",G1119&lt;0,ISNUMBER(SEARCH("הכנסה",F1119)))),"הכנסה שסווגה מחדש",J1119)</x:f>
        <x:v>הכנסה שסווגה מחדש</x:v>
      </x:c>
      <x:c r="L1119" s="19" t="str">
        <x:v>מאושר</x:v>
      </x:c>
      <x:c r="M1119" s="20" t="n">
        <x:f>IF(L1119="מאושר",IF(K1119="הכנסה שסווגה מחדש",0,G1119),0)</x:f>
        <x:v>0</x:v>
      </x:c>
      <x:c r="N1119" s="20" t="n">
        <x:f>IF(K1119="שוטף",M1119,0)</x:f>
        <x:v>0</x:v>
      </x:c>
      <x:c r="O1119" s="20" t="n">
        <x:f>IF(K1119="הכנסה שסווגה מחדש",-G1119,0)</x:f>
        <x:v>6500</x:v>
      </x:c>
      <x:c r="P1119" s="11" t="str">
        <x:v>one zero</x:v>
      </x:c>
      <x:c r="Q1119" s="11" t="str"/>
      <x:c r="R1119" s="11" t="str">
        <x:v>לא</x:v>
      </x:c>
    </x:row>
    <x:row r="1120">
      <x:c r="A1120" s="14" t="n">
        <x:v>45992</x:v>
      </x:c>
      <x:c r="B1120" s="11" t="str">
        <x:v>2025-12</x:v>
      </x:c>
      <x:c r="C1120" s="11" t="str">
        <x:v>דצמבר 25</x:v>
      </x:c>
      <x:c r="D1120" s="15" t="n">
        <x:v>5</x:v>
      </x:c>
      <x:c r="E1120" s="11" t="str">
        <x:v>24</x:v>
      </x:c>
      <x:c r="F1120" s="11" t="str">
        <x:v>ארנונה</x:v>
      </x:c>
      <x:c r="G1120" s="17" t="n">
        <x:v>965</x:v>
      </x:c>
      <x:c r="H1120" s="18" t="str">
        <x:v>מגורים צריכה</x:v>
      </x:c>
      <x:c r="I1120" s="19" t="str">
        <x:f>IFERROR(INDEX('מיפוי ומקורות'!$C$7:$C$33,MATCH(H1120,'מיפוי ומקורות'!$B$7:$B$33,0)),"לא מסווג")</x:f>
        <x:v>דיור – בית מגורים</x:v>
      </x:c>
      <x:c r="J1120" s="19" t="str">
        <x:f>IFERROR(INDEX('מיפוי ומקורות'!$D$7:$D$33,MATCH(H1120,'מיפוי ומקורות'!$B$7:$B$33,0)),"שוטף")</x:f>
        <x:v>שוטף</x:v>
      </x:c>
      <x:c r="K1120" s="19" t="str">
        <x:f>IF(OR(H1120="ריביות",AND(H1120="דירה כצנלסון",G1120&lt;0,ISNUMBER(SEARCH("הכנסה",F1120)))),"הכנסה שסווגה מחדש",J1120)</x:f>
        <x:v>שוטף</x:v>
      </x:c>
      <x:c r="L1120" s="19" t="str">
        <x:v>מאושר</x:v>
      </x:c>
      <x:c r="M1120" s="20" t="n">
        <x:f>IF(L1120="מאושר",IF(K1120="הכנסה שסווגה מחדש",0,G1120),0)</x:f>
        <x:v>965</x:v>
      </x:c>
      <x:c r="N1120" s="20" t="n">
        <x:f>IF(K1120="שוטף",M1120,0)</x:f>
        <x:v>965</x:v>
      </x:c>
      <x:c r="O1120" s="20" t="n">
        <x:f>IF(K1120="הכנסה שסווגה מחדש",-G1120,0)</x:f>
        <x:v>0</x:v>
      </x:c>
      <x:c r="P1120" s="11" t="str">
        <x:v>אמקס זיו</x:v>
      </x:c>
      <x:c r="Q1120" s="11" t="str"/>
      <x:c r="R1120" s="11" t="str">
        <x:v>לא</x:v>
      </x:c>
    </x:row>
    <x:row r="1121">
      <x:c r="A1121" s="14" t="n">
        <x:v>45992</x:v>
      </x:c>
      <x:c r="B1121" s="11" t="str">
        <x:v>2025-12</x:v>
      </x:c>
      <x:c r="C1121" s="11" t="str">
        <x:v>דצמבר 25</x:v>
      </x:c>
      <x:c r="D1121" s="15" t="n">
        <x:v>6</x:v>
      </x:c>
      <x:c r="E1121" s="11" t="str">
        <x:v>2</x:v>
      </x:c>
      <x:c r="F1121" s="11" t="str">
        <x:v>חשמל</x:v>
      </x:c>
      <x:c r="G1121" s="17" t="n">
        <x:v>256</x:v>
      </x:c>
      <x:c r="H1121" s="18" t="str">
        <x:v>מגורים צריכה</x:v>
      </x:c>
      <x:c r="I1121" s="19" t="str">
        <x:f>IFERROR(INDEX('מיפוי ומקורות'!$C$7:$C$33,MATCH(H1121,'מיפוי ומקורות'!$B$7:$B$33,0)),"לא מסווג")</x:f>
        <x:v>דיור – בית מגורים</x:v>
      </x:c>
      <x:c r="J1121" s="19" t="str">
        <x:f>IFERROR(INDEX('מיפוי ומקורות'!$D$7:$D$33,MATCH(H1121,'מיפוי ומקורות'!$B$7:$B$33,0)),"שוטף")</x:f>
        <x:v>שוטף</x:v>
      </x:c>
      <x:c r="K1121" s="19" t="str">
        <x:f>IF(OR(H1121="ריביות",AND(H1121="דירה כצנלסון",G1121&lt;0,ISNUMBER(SEARCH("הכנסה",F1121)))),"הכנסה שסווגה מחדש",J1121)</x:f>
        <x:v>שוטף</x:v>
      </x:c>
      <x:c r="L1121" s="19" t="str">
        <x:v>מאושר</x:v>
      </x:c>
      <x:c r="M1121" s="20" t="n">
        <x:f>IF(L1121="מאושר",IF(K1121="הכנסה שסווגה מחדש",0,G1121),0)</x:f>
        <x:v>256</x:v>
      </x:c>
      <x:c r="N1121" s="20" t="n">
        <x:f>IF(K1121="שוטף",M1121,0)</x:f>
        <x:v>256</x:v>
      </x:c>
      <x:c r="O1121" s="20" t="n">
        <x:f>IF(K1121="הכנסה שסווגה מחדש",-G1121,0)</x:f>
        <x:v>0</x:v>
      </x:c>
      <x:c r="P1121" s="11" t="str">
        <x:v>אמקס זיו</x:v>
      </x:c>
      <x:c r="Q1121" s="11" t="str"/>
      <x:c r="R1121" s="11" t="str">
        <x:v>לא</x:v>
      </x:c>
    </x:row>
    <x:row r="1122">
      <x:c r="A1122" s="14" t="n">
        <x:v>45992</x:v>
      </x:c>
      <x:c r="B1122" s="11" t="str">
        <x:v>2025-12</x:v>
      </x:c>
      <x:c r="C1122" s="11" t="str">
        <x:v>דצמבר 25</x:v>
      </x:c>
      <x:c r="D1122" s="15" t="n">
        <x:v>7</x:v>
      </x:c>
      <x:c r="E1122" s="11" t="str"/>
      <x:c r="F1122" s="11" t="str">
        <x:v>מים</x:v>
      </x:c>
      <x:c r="G1122" s="17" t="n">
        <x:v>0</x:v>
      </x:c>
      <x:c r="H1122" s="18" t="str">
        <x:v>מגורים צריכה</x:v>
      </x:c>
      <x:c r="I1122" s="19" t="str">
        <x:f>IFERROR(INDEX('מיפוי ומקורות'!$C$7:$C$33,MATCH(H1122,'מיפוי ומקורות'!$B$7:$B$33,0)),"לא מסווג")</x:f>
        <x:v>דיור – בית מגורים</x:v>
      </x:c>
      <x:c r="J1122" s="19" t="str">
        <x:f>IFERROR(INDEX('מיפוי ומקורות'!$D$7:$D$33,MATCH(H1122,'מיפוי ומקורות'!$B$7:$B$33,0)),"שוטף")</x:f>
        <x:v>שוטף</x:v>
      </x:c>
      <x:c r="K1122" s="19" t="str">
        <x:f>IF(OR(H1122="ריביות",AND(H1122="דירה כצנלסון",G1122&lt;0,ISNUMBER(SEARCH("הכנסה",F1122)))),"הכנסה שסווגה מחדש",J1122)</x:f>
        <x:v>שוטף</x:v>
      </x:c>
      <x:c r="L1122" s="19" t="str">
        <x:v>מאושר</x:v>
      </x:c>
      <x:c r="M1122" s="20" t="n">
        <x:f>IF(L1122="מאושר",IF(K1122="הכנסה שסווגה מחדש",0,G1122),0)</x:f>
        <x:v>0</x:v>
      </x:c>
      <x:c r="N1122" s="20" t="n">
        <x:f>IF(K1122="שוטף",M1122,0)</x:f>
        <x:v>0</x:v>
      </x:c>
      <x:c r="O1122" s="20" t="n">
        <x:f>IF(K1122="הכנסה שסווגה מחדש",-G1122,0)</x:f>
        <x:v>0</x:v>
      </x:c>
      <x:c r="P1122" s="11" t="str"/>
      <x:c r="Q1122" s="11" t="str"/>
      <x:c r="R1122" s="11" t="str">
        <x:v>לא</x:v>
      </x:c>
    </x:row>
    <x:row r="1123">
      <x:c r="A1123" s="14" t="n">
        <x:v>45992</x:v>
      </x:c>
      <x:c r="B1123" s="11" t="str">
        <x:v>2025-12</x:v>
      </x:c>
      <x:c r="C1123" s="11" t="str">
        <x:v>דצמבר 25</x:v>
      </x:c>
      <x:c r="D1123" s="15" t="n">
        <x:v>8</x:v>
      </x:c>
      <x:c r="E1123" s="11" t="str"/>
      <x:c r="F1123" s="11" t="str">
        <x:v>ועד בית</x:v>
      </x:c>
      <x:c r="G1123" s="17" t="n">
        <x:v>0</x:v>
      </x:c>
      <x:c r="H1123" s="18" t="str">
        <x:v>מגורים צריכה</x:v>
      </x:c>
      <x:c r="I1123" s="19" t="str">
        <x:f>IFERROR(INDEX('מיפוי ומקורות'!$C$7:$C$33,MATCH(H1123,'מיפוי ומקורות'!$B$7:$B$33,0)),"לא מסווג")</x:f>
        <x:v>דיור – בית מגורים</x:v>
      </x:c>
      <x:c r="J1123" s="19" t="str">
        <x:f>IFERROR(INDEX('מיפוי ומקורות'!$D$7:$D$33,MATCH(H1123,'מיפוי ומקורות'!$B$7:$B$33,0)),"שוטף")</x:f>
        <x:v>שוטף</x:v>
      </x:c>
      <x:c r="K1123" s="19" t="str">
        <x:f>IF(OR(H1123="ריביות",AND(H1123="דירה כצנלסון",G1123&lt;0,ISNUMBER(SEARCH("הכנסה",F1123)))),"הכנסה שסווגה מחדש",J1123)</x:f>
        <x:v>שוטף</x:v>
      </x:c>
      <x:c r="L1123" s="19" t="str">
        <x:v>מאושר</x:v>
      </x:c>
      <x:c r="M1123" s="20" t="n">
        <x:f>IF(L1123="מאושר",IF(K1123="הכנסה שסווגה מחדש",0,G1123),0)</x:f>
        <x:v>0</x:v>
      </x:c>
      <x:c r="N1123" s="20" t="n">
        <x:f>IF(K1123="שוטף",M1123,0)</x:f>
        <x:v>0</x:v>
      </x:c>
      <x:c r="O1123" s="20" t="n">
        <x:f>IF(K1123="הכנסה שסווגה מחדש",-G1123,0)</x:f>
        <x:v>0</x:v>
      </x:c>
      <x:c r="P1123" s="11" t="str"/>
      <x:c r="Q1123" s="11" t="str"/>
      <x:c r="R1123" s="11" t="str">
        <x:v>לא</x:v>
      </x:c>
    </x:row>
    <x:row r="1124">
      <x:c r="A1124" s="14" t="n">
        <x:v>45992</x:v>
      </x:c>
      <x:c r="B1124" s="11" t="str">
        <x:v>2025-12</x:v>
      </x:c>
      <x:c r="C1124" s="11" t="str">
        <x:v>דצמבר 25</x:v>
      </x:c>
      <x:c r="D1124" s="15" t="n">
        <x:v>9</x:v>
      </x:c>
      <x:c r="E1124" s="11" t="str"/>
      <x:c r="F1124" s="11" t="str">
        <x:v>גז</x:v>
      </x:c>
      <x:c r="G1124" s="17" t="n">
        <x:v>0</x:v>
      </x:c>
      <x:c r="H1124" s="18" t="str">
        <x:v>מגורים צריכה</x:v>
      </x:c>
      <x:c r="I1124" s="19" t="str">
        <x:f>IFERROR(INDEX('מיפוי ומקורות'!$C$7:$C$33,MATCH(H1124,'מיפוי ומקורות'!$B$7:$B$33,0)),"לא מסווג")</x:f>
        <x:v>דיור – בית מגורים</x:v>
      </x:c>
      <x:c r="J1124" s="19" t="str">
        <x:f>IFERROR(INDEX('מיפוי ומקורות'!$D$7:$D$33,MATCH(H1124,'מיפוי ומקורות'!$B$7:$B$33,0)),"שוטף")</x:f>
        <x:v>שוטף</x:v>
      </x:c>
      <x:c r="K1124" s="19" t="str">
        <x:f>IF(OR(H1124="ריביות",AND(H1124="דירה כצנלסון",G1124&lt;0,ISNUMBER(SEARCH("הכנסה",F1124)))),"הכנסה שסווגה מחדש",J1124)</x:f>
        <x:v>שוטף</x:v>
      </x:c>
      <x:c r="L1124" s="19" t="str">
        <x:v>מאושר</x:v>
      </x:c>
      <x:c r="M1124" s="20" t="n">
        <x:f>IF(L1124="מאושר",IF(K1124="הכנסה שסווגה מחדש",0,G1124),0)</x:f>
        <x:v>0</x:v>
      </x:c>
      <x:c r="N1124" s="20" t="n">
        <x:f>IF(K1124="שוטף",M1124,0)</x:f>
        <x:v>0</x:v>
      </x:c>
      <x:c r="O1124" s="20" t="n">
        <x:f>IF(K1124="הכנסה שסווגה מחדש",-G1124,0)</x:f>
        <x:v>0</x:v>
      </x:c>
      <x:c r="P1124" s="11" t="str"/>
      <x:c r="Q1124" s="11" t="str"/>
      <x:c r="R1124" s="11" t="str">
        <x:v>לא</x:v>
      </x:c>
    </x:row>
    <x:row r="1125">
      <x:c r="A1125" s="14" t="n">
        <x:v>45992</x:v>
      </x:c>
      <x:c r="B1125" s="11" t="str">
        <x:v>2025-12</x:v>
      </x:c>
      <x:c r="C1125" s="11" t="str">
        <x:v>דצמבר 25</x:v>
      </x:c>
      <x:c r="D1125" s="15" t="n">
        <x:v>10</x:v>
      </x:c>
      <x:c r="E1125" s="11" t="str"/>
      <x:c r="F1125" s="11" t="str">
        <x:v>מנקה</x:v>
      </x:c>
      <x:c r="G1125" s="17" t="n">
        <x:v>430</x:v>
      </x:c>
      <x:c r="H1125" s="18" t="str">
        <x:v>מגורים צריכה</x:v>
      </x:c>
      <x:c r="I1125" s="19" t="str">
        <x:f>IFERROR(INDEX('מיפוי ומקורות'!$C$7:$C$33,MATCH(H1125,'מיפוי ומקורות'!$B$7:$B$33,0)),"לא מסווג")</x:f>
        <x:v>דיור – בית מגורים</x:v>
      </x:c>
      <x:c r="J1125" s="19" t="str">
        <x:f>IFERROR(INDEX('מיפוי ומקורות'!$D$7:$D$33,MATCH(H1125,'מיפוי ומקורות'!$B$7:$B$33,0)),"שוטף")</x:f>
        <x:v>שוטף</x:v>
      </x:c>
      <x:c r="K1125" s="19" t="str">
        <x:f>IF(OR(H1125="ריביות",AND(H1125="דירה כצנלסון",G1125&lt;0,ISNUMBER(SEARCH("הכנסה",F1125)))),"הכנסה שסווגה מחדש",J1125)</x:f>
        <x:v>שוטף</x:v>
      </x:c>
      <x:c r="L1125" s="19" t="str">
        <x:v>מאושר</x:v>
      </x:c>
      <x:c r="M1125" s="20" t="n">
        <x:f>IF(L1125="מאושר",IF(K1125="הכנסה שסווגה מחדש",0,G1125),0)</x:f>
        <x:v>430</x:v>
      </x:c>
      <x:c r="N1125" s="20" t="n">
        <x:f>IF(K1125="שוטף",M1125,0)</x:f>
        <x:v>430</x:v>
      </x:c>
      <x:c r="O1125" s="20" t="n">
        <x:f>IF(K1125="הכנסה שסווגה מחדש",-G1125,0)</x:f>
        <x:v>0</x:v>
      </x:c>
      <x:c r="P1125" s="11" t="str">
        <x:v>מזומן</x:v>
      </x:c>
      <x:c r="Q1125" s="11" t="str"/>
      <x:c r="R1125" s="11" t="str">
        <x:v>לא</x:v>
      </x:c>
    </x:row>
    <x:row r="1126">
      <x:c r="A1126" s="14" t="n">
        <x:v>45992</x:v>
      </x:c>
      <x:c r="B1126" s="11" t="str">
        <x:v>2025-12</x:v>
      </x:c>
      <x:c r="C1126" s="11" t="str">
        <x:v>דצמבר 25</x:v>
      </x:c>
      <x:c r="D1126" s="15" t="n">
        <x:v>11</x:v>
      </x:c>
      <x:c r="E1126" s="11" t="str">
        <x:v>24</x:v>
      </x:c>
      <x:c r="F1126" s="11" t="str">
        <x:v>אינטרנט</x:v>
      </x:c>
      <x:c r="G1126" s="17" t="n">
        <x:v>79</x:v>
      </x:c>
      <x:c r="H1126" s="18" t="str">
        <x:v>מגורים חודשי</x:v>
      </x:c>
      <x:c r="I1126" s="19" t="str">
        <x:f>IFERROR(INDEX('מיפוי ומקורות'!$C$7:$C$33,MATCH(H1126,'מיפוי ומקורות'!$B$7:$B$33,0)),"לא מסווג")</x:f>
        <x:v>דיור – בית מגורים</x:v>
      </x:c>
      <x:c r="J1126" s="19" t="str">
        <x:f>IFERROR(INDEX('מיפוי ומקורות'!$D$7:$D$33,MATCH(H1126,'מיפוי ומקורות'!$B$7:$B$33,0)),"שוטף")</x:f>
        <x:v>שוטף</x:v>
      </x:c>
      <x:c r="K1126" s="19" t="str">
        <x:f>IF(OR(H1126="ריביות",AND(H1126="דירה כצנלסון",G1126&lt;0,ISNUMBER(SEARCH("הכנסה",F1126)))),"הכנסה שסווגה מחדש",J1126)</x:f>
        <x:v>שוטף</x:v>
      </x:c>
      <x:c r="L1126" s="19" t="str">
        <x:v>מאושר</x:v>
      </x:c>
      <x:c r="M1126" s="20" t="n">
        <x:f>IF(L1126="מאושר",IF(K1126="הכנסה שסווגה מחדש",0,G1126),0)</x:f>
        <x:v>79</x:v>
      </x:c>
      <x:c r="N1126" s="20" t="n">
        <x:f>IF(K1126="שוטף",M1126,0)</x:f>
        <x:v>79</x:v>
      </x:c>
      <x:c r="O1126" s="20" t="n">
        <x:f>IF(K1126="הכנסה שסווגה מחדש",-G1126,0)</x:f>
        <x:v>0</x:v>
      </x:c>
      <x:c r="P1126" s="11" t="str">
        <x:v>אמקס זיו</x:v>
      </x:c>
      <x:c r="Q1126" s="11" t="str"/>
      <x:c r="R1126" s="11" t="str">
        <x:v>לא</x:v>
      </x:c>
    </x:row>
    <x:row r="1127">
      <x:c r="A1127" s="14" t="n">
        <x:v>45992</x:v>
      </x:c>
      <x:c r="B1127" s="11" t="str">
        <x:v>2025-12</x:v>
      </x:c>
      <x:c r="C1127" s="11" t="str">
        <x:v>דצמבר 25</x:v>
      </x:c>
      <x:c r="D1127" s="15" t="n">
        <x:v>12</x:v>
      </x:c>
      <x:c r="E1127" s="11" t="str">
        <x:v>12</x:v>
      </x:c>
      <x:c r="F1127" s="11" t="str">
        <x:v>סלולר</x:v>
      </x:c>
      <x:c r="G1127" s="17" t="n">
        <x:v>59</x:v>
      </x:c>
      <x:c r="H1127" s="18" t="str">
        <x:v>מגורים חודשי</x:v>
      </x:c>
      <x:c r="I1127" s="19" t="str">
        <x:f>IFERROR(INDEX('מיפוי ומקורות'!$C$7:$C$33,MATCH(H1127,'מיפוי ומקורות'!$B$7:$B$33,0)),"לא מסווג")</x:f>
        <x:v>דיור – בית מגורים</x:v>
      </x:c>
      <x:c r="J1127" s="19" t="str">
        <x:f>IFERROR(INDEX('מיפוי ומקורות'!$D$7:$D$33,MATCH(H1127,'מיפוי ומקורות'!$B$7:$B$33,0)),"שוטף")</x:f>
        <x:v>שוטף</x:v>
      </x:c>
      <x:c r="K1127" s="19" t="str">
        <x:f>IF(OR(H1127="ריביות",AND(H1127="דירה כצנלסון",G1127&lt;0,ISNUMBER(SEARCH("הכנסה",F1127)))),"הכנסה שסווגה מחדש",J1127)</x:f>
        <x:v>שוטף</x:v>
      </x:c>
      <x:c r="L1127" s="19" t="str">
        <x:v>מאושר</x:v>
      </x:c>
      <x:c r="M1127" s="20" t="n">
        <x:f>IF(L1127="מאושר",IF(K1127="הכנסה שסווגה מחדש",0,G1127),0)</x:f>
        <x:v>59</x:v>
      </x:c>
      <x:c r="N1127" s="20" t="n">
        <x:f>IF(K1127="שוטף",M1127,0)</x:f>
        <x:v>59</x:v>
      </x:c>
      <x:c r="O1127" s="20" t="n">
        <x:f>IF(K1127="הכנסה שסווגה מחדש",-G1127,0)</x:f>
        <x:v>0</x:v>
      </x:c>
      <x:c r="P1127" s="11" t="str">
        <x:v>אמקס זיו</x:v>
      </x:c>
      <x:c r="Q1127" s="11" t="str"/>
      <x:c r="R1127" s="11" t="str">
        <x:v>לא</x:v>
      </x:c>
    </x:row>
    <x:row r="1128">
      <x:c r="A1128" s="14" t="n">
        <x:v>45992</x:v>
      </x:c>
      <x:c r="B1128" s="11" t="str">
        <x:v>2025-12</x:v>
      </x:c>
      <x:c r="C1128" s="11" t="str">
        <x:v>דצמבר 25</x:v>
      </x:c>
      <x:c r="D1128" s="15" t="n">
        <x:v>13</x:v>
      </x:c>
      <x:c r="E1128" s="11" t="str">
        <x:v>28</x:v>
      </x:c>
      <x:c r="F1128" s="11" t="str">
        <x:v>ביטוח מבנה</x:v>
      </x:c>
      <x:c r="G1128" s="17" t="n">
        <x:v>71</x:v>
      </x:c>
      <x:c r="H1128" s="18" t="str">
        <x:v>דירה כצנלסון</x:v>
      </x:c>
      <x:c r="I1128" s="19" t="str">
        <x:f>IFERROR(INDEX('מיפוי ומקורות'!$C$7:$C$33,MATCH(H1128,'מיפוי ומקורות'!$B$7:$B$33,0)),"לא מסווג")</x:f>
        <x:v>נכס להשקעה</x:v>
      </x:c>
      <x:c r="J1128" s="19" t="str">
        <x:f>IFERROR(INDEX('מיפוי ומקורות'!$D$7:$D$33,MATCH(H1128,'מיפוי ומקורות'!$B$7:$B$33,0)),"שוטף")</x:f>
        <x:v>חריג/נכס</x:v>
      </x:c>
      <x:c r="K1128" s="19" t="str">
        <x:f>IF(OR(H1128="ריביות",AND(H1128="דירה כצנלסון",G1128&lt;0,ISNUMBER(SEARCH("הכנסה",F1128)))),"הכנסה שסווגה מחדש",J1128)</x:f>
        <x:v>חריג/נכס</x:v>
      </x:c>
      <x:c r="L1128" s="19" t="str">
        <x:v>מאושר</x:v>
      </x:c>
      <x:c r="M1128" s="20" t="n">
        <x:f>IF(L1128="מאושר",IF(K1128="הכנסה שסווגה מחדש",0,G1128),0)</x:f>
        <x:v>71</x:v>
      </x:c>
      <x:c r="N1128" s="20" t="n">
        <x:f>IF(K1128="שוטף",M1128,0)</x:f>
        <x:v>0</x:v>
      </x:c>
      <x:c r="O1128" s="20" t="n">
        <x:f>IF(K1128="הכנסה שסווגה מחדש",-G1128,0)</x:f>
        <x:v>0</x:v>
      </x:c>
      <x:c r="P1128" s="11" t="str">
        <x:v>אמקס זיו</x:v>
      </x:c>
      <x:c r="Q1128" s="11" t="str"/>
      <x:c r="R1128" s="11" t="str">
        <x:v>לא</x:v>
      </x:c>
    </x:row>
    <x:row r="1129">
      <x:c r="A1129" s="14" t="n">
        <x:v>45992</x:v>
      </x:c>
      <x:c r="B1129" s="11" t="str">
        <x:v>2025-12</x:v>
      </x:c>
      <x:c r="C1129" s="11" t="str">
        <x:v>דצמבר 25</x:v>
      </x:c>
      <x:c r="D1129" s="15" t="n">
        <x:v>14</x:v>
      </x:c>
      <x:c r="E1129" s="11" t="str">
        <x:v>28</x:v>
      </x:c>
      <x:c r="F1129" s="11" t="str">
        <x:v>ביטוח חיים</x:v>
      </x:c>
      <x:c r="G1129" s="17" t="n">
        <x:v>36</x:v>
      </x:c>
      <x:c r="H1129" s="18" t="str">
        <x:v>דירה כצנלסון</x:v>
      </x:c>
      <x:c r="I1129" s="19" t="str">
        <x:f>IFERROR(INDEX('מיפוי ומקורות'!$C$7:$C$33,MATCH(H1129,'מיפוי ומקורות'!$B$7:$B$33,0)),"לא מסווג")</x:f>
        <x:v>נכס להשקעה</x:v>
      </x:c>
      <x:c r="J1129" s="19" t="str">
        <x:f>IFERROR(INDEX('מיפוי ומקורות'!$D$7:$D$33,MATCH(H1129,'מיפוי ומקורות'!$B$7:$B$33,0)),"שוטף")</x:f>
        <x:v>חריג/נכס</x:v>
      </x:c>
      <x:c r="K1129" s="19" t="str">
        <x:f>IF(OR(H1129="ריביות",AND(H1129="דירה כצנלסון",G1129&lt;0,ISNUMBER(SEARCH("הכנסה",F1129)))),"הכנסה שסווגה מחדש",J1129)</x:f>
        <x:v>חריג/נכס</x:v>
      </x:c>
      <x:c r="L1129" s="19" t="str">
        <x:v>מאושר</x:v>
      </x:c>
      <x:c r="M1129" s="20" t="n">
        <x:f>IF(L1129="מאושר",IF(K1129="הכנסה שסווגה מחדש",0,G1129),0)</x:f>
        <x:v>36</x:v>
      </x:c>
      <x:c r="N1129" s="20" t="n">
        <x:f>IF(K1129="שוטף",M1129,0)</x:f>
        <x:v>0</x:v>
      </x:c>
      <x:c r="O1129" s="20" t="n">
        <x:f>IF(K1129="הכנסה שסווגה מחדש",-G1129,0)</x:f>
        <x:v>0</x:v>
      </x:c>
      <x:c r="P1129" s="11" t="str">
        <x:v>אמקס זיו</x:v>
      </x:c>
      <x:c r="Q1129" s="11" t="str"/>
      <x:c r="R1129" s="11" t="str">
        <x:v>לא</x:v>
      </x:c>
    </x:row>
    <x:row r="1130">
      <x:c r="A1130" s="14" t="n">
        <x:v>45992</x:v>
      </x:c>
      <x:c r="B1130" s="11" t="str">
        <x:v>2025-12</x:v>
      </x:c>
      <x:c r="C1130" s="11" t="str">
        <x:v>דצמבר 25</x:v>
      </x:c>
      <x:c r="D1130" s="15" t="n">
        <x:v>15</x:v>
      </x:c>
      <x:c r="E1130" s="11" t="str">
        <x:v>26</x:v>
      </x:c>
      <x:c r="F1130" s="11" t="str">
        <x:v>ביטוח בריאות</x:v>
      </x:c>
      <x:c r="G1130" s="17" t="n">
        <x:v>116</x:v>
      </x:c>
      <x:c r="H1130" s="18" t="str">
        <x:v>ביטוח</x:v>
      </x:c>
      <x:c r="I1130" s="19" t="str">
        <x:f>IFERROR(INDEX('מיפוי ומקורות'!$C$7:$C$33,MATCH(H1130,'מיפוי ומקורות'!$B$7:$B$33,0)),"לא מסווג")</x:f>
        <x:v>ביטוח</x:v>
      </x:c>
      <x:c r="J1130" s="19" t="str">
        <x:f>IFERROR(INDEX('מיפוי ומקורות'!$D$7:$D$33,MATCH(H1130,'מיפוי ומקורות'!$B$7:$B$33,0)),"שוטף")</x:f>
        <x:v>שוטף</x:v>
      </x:c>
      <x:c r="K1130" s="19" t="str">
        <x:f>IF(OR(H1130="ריביות",AND(H1130="דירה כצנלסון",G1130&lt;0,ISNUMBER(SEARCH("הכנסה",F1130)))),"הכנסה שסווגה מחדש",J1130)</x:f>
        <x:v>שוטף</x:v>
      </x:c>
      <x:c r="L1130" s="19" t="str">
        <x:v>מאושר</x:v>
      </x:c>
      <x:c r="M1130" s="20" t="n">
        <x:f>IF(L1130="מאושר",IF(K1130="הכנסה שסווגה מחדש",0,G1130),0)</x:f>
        <x:v>116</x:v>
      </x:c>
      <x:c r="N1130" s="20" t="n">
        <x:f>IF(K1130="שוטף",M1130,0)</x:f>
        <x:v>116</x:v>
      </x:c>
      <x:c r="O1130" s="20" t="n">
        <x:f>IF(K1130="הכנסה שסווגה מחדש",-G1130,0)</x:f>
        <x:v>0</x:v>
      </x:c>
      <x:c r="P1130" s="11" t="str">
        <x:v>אמקס עינור</x:v>
      </x:c>
      <x:c r="Q1130" s="11" t="str"/>
      <x:c r="R1130" s="11" t="str">
        <x:v>לא</x:v>
      </x:c>
    </x:row>
    <x:row r="1131">
      <x:c r="A1131" s="14" t="n">
        <x:v>45992</x:v>
      </x:c>
      <x:c r="B1131" s="11" t="str">
        <x:v>2025-12</x:v>
      </x:c>
      <x:c r="C1131" s="11" t="str">
        <x:v>דצמבר 25</x:v>
      </x:c>
      <x:c r="D1131" s="15" t="n">
        <x:v>16</x:v>
      </x:c>
      <x:c r="E1131" s="11" t="str">
        <x:v>2</x:v>
      </x:c>
      <x:c r="F1131" s="11" t="str">
        <x:v>מכבי</x:v>
      </x:c>
      <x:c r="G1131" s="17" t="n">
        <x:v>56</x:v>
      </x:c>
      <x:c r="H1131" s="18" t="str">
        <x:v>בריאות</x:v>
      </x:c>
      <x:c r="I1131" s="19" t="str">
        <x:f>IFERROR(INDEX('מיפוי ומקורות'!$C$7:$C$33,MATCH(H1131,'מיפוי ומקורות'!$B$7:$B$33,0)),"לא מסווג")</x:f>
        <x:v>בריאות וטיפולים</x:v>
      </x:c>
      <x:c r="J1131" s="19" t="str">
        <x:f>IFERROR(INDEX('מיפוי ומקורות'!$D$7:$D$33,MATCH(H1131,'מיפוי ומקורות'!$B$7:$B$33,0)),"שוטף")</x:f>
        <x:v>שוטף</x:v>
      </x:c>
      <x:c r="K1131" s="19" t="str">
        <x:f>IF(OR(H1131="ריביות",AND(H1131="דירה כצנלסון",G1131&lt;0,ISNUMBER(SEARCH("הכנסה",F1131)))),"הכנסה שסווגה מחדש",J1131)</x:f>
        <x:v>שוטף</x:v>
      </x:c>
      <x:c r="L1131" s="19" t="str">
        <x:v>מאושר</x:v>
      </x:c>
      <x:c r="M1131" s="20" t="n">
        <x:f>IF(L1131="מאושר",IF(K1131="הכנסה שסווגה מחדש",0,G1131),0)</x:f>
        <x:v>56</x:v>
      </x:c>
      <x:c r="N1131" s="20" t="n">
        <x:f>IF(K1131="שוטף",M1131,0)</x:f>
        <x:v>56</x:v>
      </x:c>
      <x:c r="O1131" s="20" t="n">
        <x:f>IF(K1131="הכנסה שסווגה מחדש",-G1131,0)</x:f>
        <x:v>0</x:v>
      </x:c>
      <x:c r="P1131" s="11" t="str">
        <x:v>אמקס זיו</x:v>
      </x:c>
      <x:c r="Q1131" s="11" t="str"/>
      <x:c r="R1131" s="11" t="str">
        <x:v>לא</x:v>
      </x:c>
    </x:row>
    <x:row r="1132">
      <x:c r="A1132" s="14" t="n">
        <x:v>45992</x:v>
      </x:c>
      <x:c r="B1132" s="11" t="str">
        <x:v>2025-12</x:v>
      </x:c>
      <x:c r="C1132" s="11" t="str">
        <x:v>דצמבר 25</x:v>
      </x:c>
      <x:c r="D1132" s="15" t="n">
        <x:v>17</x:v>
      </x:c>
      <x:c r="E1132" s="11" t="str">
        <x:v>2</x:v>
      </x:c>
      <x:c r="F1132" s="11" t="str">
        <x:v>מכבי</x:v>
      </x:c>
      <x:c r="G1132" s="17" t="n">
        <x:v>97</x:v>
      </x:c>
      <x:c r="H1132" s="18" t="str">
        <x:v>בריאות</x:v>
      </x:c>
      <x:c r="I1132" s="19" t="str">
        <x:f>IFERROR(INDEX('מיפוי ומקורות'!$C$7:$C$33,MATCH(H1132,'מיפוי ומקורות'!$B$7:$B$33,0)),"לא מסווג")</x:f>
        <x:v>בריאות וטיפולים</x:v>
      </x:c>
      <x:c r="J1132" s="19" t="str">
        <x:f>IFERROR(INDEX('מיפוי ומקורות'!$D$7:$D$33,MATCH(H1132,'מיפוי ומקורות'!$B$7:$B$33,0)),"שוטף")</x:f>
        <x:v>שוטף</x:v>
      </x:c>
      <x:c r="K1132" s="19" t="str">
        <x:f>IF(OR(H1132="ריביות",AND(H1132="דירה כצנלסון",G1132&lt;0,ISNUMBER(SEARCH("הכנסה",F1132)))),"הכנסה שסווגה מחדש",J1132)</x:f>
        <x:v>שוטף</x:v>
      </x:c>
      <x:c r="L1132" s="19" t="str">
        <x:v>מאושר</x:v>
      </x:c>
      <x:c r="M1132" s="20" t="n">
        <x:f>IF(L1132="מאושר",IF(K1132="הכנסה שסווגה מחדש",0,G1132),0)</x:f>
        <x:v>97</x:v>
      </x:c>
      <x:c r="N1132" s="20" t="n">
        <x:f>IF(K1132="שוטף",M1132,0)</x:f>
        <x:v>97</x:v>
      </x:c>
      <x:c r="O1132" s="20" t="n">
        <x:f>IF(K1132="הכנסה שסווגה מחדש",-G1132,0)</x:f>
        <x:v>0</x:v>
      </x:c>
      <x:c r="P1132" s="11" t="str">
        <x:v>אמקס עינור</x:v>
      </x:c>
      <x:c r="Q1132" s="11" t="str"/>
      <x:c r="R1132" s="11" t="str">
        <x:v>לא</x:v>
      </x:c>
    </x:row>
    <x:row r="1133">
      <x:c r="A1133" s="14" t="n">
        <x:v>45992</x:v>
      </x:c>
      <x:c r="B1133" s="11" t="str">
        <x:v>2025-12</x:v>
      </x:c>
      <x:c r="C1133" s="11" t="str">
        <x:v>דצמבר 25</x:v>
      </x:c>
      <x:c r="D1133" s="15" t="n">
        <x:v>18</x:v>
      </x:c>
      <x:c r="E1133" s="11" t="str">
        <x:v>5</x:v>
      </x:c>
      <x:c r="F1133" s="11" t="str">
        <x:v>מתנה מההרורים של זיו</x:v>
      </x:c>
      <x:c r="G1133" s="17" t="n">
        <x:v>-500</x:v>
      </x:c>
      <x:c r="H1133" s="18" t="str">
        <x:v>מתנה</x:v>
      </x:c>
      <x:c r="I1133" s="19" t="str">
        <x:f>IFERROR(INDEX('מיפוי ומקורות'!$C$7:$C$33,MATCH(H1133,'מיפוי ומקורות'!$B$7:$B$33,0)),"לא מסווג")</x:f>
        <x:v>מתנה</x:v>
      </x:c>
      <x:c r="J1133" s="19" t="str">
        <x:f>IFERROR(INDEX('מיפוי ומקורות'!$D$7:$D$33,MATCH(H1133,'מיפוי ומקורות'!$B$7:$B$33,0)),"שוטף")</x:f>
        <x:v>שוטף</x:v>
      </x:c>
      <x:c r="K1133" s="19" t="str">
        <x:f>IF(OR(H1133="ריביות",AND(H1133="דירה כצנלסון",G1133&lt;0,ISNUMBER(SEARCH("הכנסה",F1133)))),"הכנסה שסווגה מחדש",J1133)</x:f>
        <x:v>שוטף</x:v>
      </x:c>
      <x:c r="L1133" s="19" t="str">
        <x:v>מאושר</x:v>
      </x:c>
      <x:c r="M1133" s="20" t="n">
        <x:f>IF(L1133="מאושר",IF(K1133="הכנסה שסווגה מחדש",0,G1133),0)</x:f>
        <x:v>-500</x:v>
      </x:c>
      <x:c r="N1133" s="20" t="n">
        <x:f>IF(K1133="שוטף",M1133,0)</x:f>
        <x:v>-500</x:v>
      </x:c>
      <x:c r="O1133" s="20" t="n">
        <x:f>IF(K1133="הכנסה שסווגה מחדש",-G1133,0)</x:f>
        <x:v>0</x:v>
      </x:c>
      <x:c r="P1133" s="11" t="str">
        <x:v>דיסקונט</x:v>
      </x:c>
      <x:c r="Q1133" s="11" t="str"/>
      <x:c r="R1133" s="11" t="str">
        <x:v>לא</x:v>
      </x:c>
    </x:row>
    <x:row r="1134">
      <x:c r="A1134" s="14" t="n">
        <x:v>45992</x:v>
      </x:c>
      <x:c r="B1134" s="11" t="str">
        <x:v>2025-12</x:v>
      </x:c>
      <x:c r="C1134" s="11" t="str">
        <x:v>דצמבר 25</x:v>
      </x:c>
      <x:c r="D1134" s="15" t="n">
        <x:v>19</x:v>
      </x:c>
      <x:c r="E1134" s="11" t="str">
        <x:v>7</x:v>
      </x:c>
      <x:c r="F1134" s="11" t="str">
        <x:v>החזר אוכל בחוץ</x:v>
      </x:c>
      <x:c r="G1134" s="17" t="n">
        <x:v>-119</x:v>
      </x:c>
      <x:c r="H1134" s="18" t="str">
        <x:v>אוכל בחוץ</x:v>
      </x:c>
      <x:c r="I1134" s="19" t="str">
        <x:f>IFERROR(INDEX('מיפוי ומקורות'!$C$7:$C$33,MATCH(H1134,'מיפוי ומקורות'!$B$7:$B$33,0)),"לא מסווג")</x:f>
        <x:v>אוכל בחוץ</x:v>
      </x:c>
      <x:c r="J1134" s="19" t="str">
        <x:f>IFERROR(INDEX('מיפוי ומקורות'!$D$7:$D$33,MATCH(H1134,'מיפוי ומקורות'!$B$7:$B$33,0)),"שוטף")</x:f>
        <x:v>שוטף</x:v>
      </x:c>
      <x:c r="K1134" s="19" t="str">
        <x:f>IF(OR(H1134="ריביות",AND(H1134="דירה כצנלסון",G1134&lt;0,ISNUMBER(SEARCH("הכנסה",F1134)))),"הכנסה שסווגה מחדש",J1134)</x:f>
        <x:v>שוטף</x:v>
      </x:c>
      <x:c r="L1134" s="19" t="str">
        <x:v>מאושר</x:v>
      </x:c>
      <x:c r="M1134" s="20" t="n">
        <x:f>IF(L1134="מאושר",IF(K1134="הכנסה שסווגה מחדש",0,G1134),0)</x:f>
        <x:v>-119</x:v>
      </x:c>
      <x:c r="N1134" s="20" t="n">
        <x:f>IF(K1134="שוטף",M1134,0)</x:f>
        <x:v>-119</x:v>
      </x:c>
      <x:c r="O1134" s="20" t="n">
        <x:f>IF(K1134="הכנסה שסווגה מחדש",-G1134,0)</x:f>
        <x:v>0</x:v>
      </x:c>
      <x:c r="P1134" s="11" t="str">
        <x:v>דיסקונט</x:v>
      </x:c>
      <x:c r="Q1134" s="11" t="str"/>
      <x:c r="R1134" s="11" t="str">
        <x:v>לא</x:v>
      </x:c>
    </x:row>
    <x:row r="1135">
      <x:c r="A1135" s="14" t="n">
        <x:v>45992</x:v>
      </x:c>
      <x:c r="B1135" s="11" t="str">
        <x:v>2025-12</x:v>
      </x:c>
      <x:c r="C1135" s="11" t="str">
        <x:v>דצמבר 25</x:v>
      </x:c>
      <x:c r="D1135" s="15" t="n">
        <x:v>20</x:v>
      </x:c>
      <x:c r="E1135" s="11" t="str">
        <x:v>25</x:v>
      </x:c>
      <x:c r="F1135" s="11" t="str">
        <x:v>החזר אוכל בחוץ</x:v>
      </x:c>
      <x:c r="G1135" s="17" t="n">
        <x:v>-80</x:v>
      </x:c>
      <x:c r="H1135" s="18" t="str">
        <x:v>אוכל בחוץ</x:v>
      </x:c>
      <x:c r="I1135" s="19" t="str">
        <x:f>IFERROR(INDEX('מיפוי ומקורות'!$C$7:$C$33,MATCH(H1135,'מיפוי ומקורות'!$B$7:$B$33,0)),"לא מסווג")</x:f>
        <x:v>אוכל בחוץ</x:v>
      </x:c>
      <x:c r="J1135" s="19" t="str">
        <x:f>IFERROR(INDEX('מיפוי ומקורות'!$D$7:$D$33,MATCH(H1135,'מיפוי ומקורות'!$B$7:$B$33,0)),"שוטף")</x:f>
        <x:v>שוטף</x:v>
      </x:c>
      <x:c r="K1135" s="19" t="str">
        <x:f>IF(OR(H1135="ריביות",AND(H1135="דירה כצנלסון",G1135&lt;0,ISNUMBER(SEARCH("הכנסה",F1135)))),"הכנסה שסווגה מחדש",J1135)</x:f>
        <x:v>שוטף</x:v>
      </x:c>
      <x:c r="L1135" s="19" t="str">
        <x:v>מאושר</x:v>
      </x:c>
      <x:c r="M1135" s="20" t="n">
        <x:f>IF(L1135="מאושר",IF(K1135="הכנסה שסווגה מחדש",0,G1135),0)</x:f>
        <x:v>-80</x:v>
      </x:c>
      <x:c r="N1135" s="20" t="n">
        <x:f>IF(K1135="שוטף",M1135,0)</x:f>
        <x:v>-80</x:v>
      </x:c>
      <x:c r="O1135" s="20" t="n">
        <x:f>IF(K1135="הכנסה שסווגה מחדש",-G1135,0)</x:f>
        <x:v>0</x:v>
      </x:c>
      <x:c r="P1135" s="11" t="str">
        <x:v>דיסקונט</x:v>
      </x:c>
      <x:c r="Q1135" s="11" t="str"/>
      <x:c r="R1135" s="11" t="str">
        <x:v>לא</x:v>
      </x:c>
    </x:row>
    <x:row r="1136">
      <x:c r="A1136" s="14" t="n">
        <x:v>45992</x:v>
      </x:c>
      <x:c r="B1136" s="11" t="str">
        <x:v>2025-12</x:v>
      </x:c>
      <x:c r="C1136" s="11" t="str">
        <x:v>דצמבר 25</x:v>
      </x:c>
      <x:c r="D1136" s="15" t="n">
        <x:v>21</x:v>
      </x:c>
      <x:c r="E1136" s="11" t="str">
        <x:v>1</x:v>
      </x:c>
      <x:c r="F1136" s="11" t="str">
        <x:v>ליאת</x:v>
      </x:c>
      <x:c r="G1136" s="17" t="n">
        <x:v>1350</x:v>
      </x:c>
      <x:c r="H1136" s="18" t="str">
        <x:v>בריאות</x:v>
      </x:c>
      <x:c r="I1136" s="19" t="str">
        <x:f>IFERROR(INDEX('מיפוי ומקורות'!$C$7:$C$33,MATCH(H1136,'מיפוי ומקורות'!$B$7:$B$33,0)),"לא מסווג")</x:f>
        <x:v>בריאות וטיפולים</x:v>
      </x:c>
      <x:c r="J1136" s="19" t="str">
        <x:f>IFERROR(INDEX('מיפוי ומקורות'!$D$7:$D$33,MATCH(H1136,'מיפוי ומקורות'!$B$7:$B$33,0)),"שוטף")</x:f>
        <x:v>שוטף</x:v>
      </x:c>
      <x:c r="K1136" s="19" t="str">
        <x:f>IF(OR(H1136="ריביות",AND(H1136="דירה כצנלסון",G1136&lt;0,ISNUMBER(SEARCH("הכנסה",F1136)))),"הכנסה שסווגה מחדש",J1136)</x:f>
        <x:v>שוטף</x:v>
      </x:c>
      <x:c r="L1136" s="19" t="str">
        <x:v>מאושר</x:v>
      </x:c>
      <x:c r="M1136" s="20" t="n">
        <x:f>IF(L1136="מאושר",IF(K1136="הכנסה שסווגה מחדש",0,G1136),0)</x:f>
        <x:v>1350</x:v>
      </x:c>
      <x:c r="N1136" s="20" t="n">
        <x:f>IF(K1136="שוטף",M1136,0)</x:f>
        <x:v>1350</x:v>
      </x:c>
      <x:c r="O1136" s="20" t="n">
        <x:f>IF(K1136="הכנסה שסווגה מחדש",-G1136,0)</x:f>
        <x:v>0</x:v>
      </x:c>
      <x:c r="P1136" s="11" t="str">
        <x:v>one zero</x:v>
      </x:c>
      <x:c r="Q1136" s="11" t="str"/>
      <x:c r="R1136" s="11" t="str">
        <x:v>לא</x:v>
      </x:c>
    </x:row>
    <x:row r="1137">
      <x:c r="A1137" s="14" t="n">
        <x:v>45992</x:v>
      </x:c>
      <x:c r="B1137" s="11" t="str">
        <x:v>2025-12</x:v>
      </x:c>
      <x:c r="C1137" s="11" t="str">
        <x:v>דצמבר 25</x:v>
      </x:c>
      <x:c r="D1137" s="15" t="n">
        <x:v>22</x:v>
      </x:c>
      <x:c r="E1137" s="11" t="str">
        <x:v>5</x:v>
      </x:c>
      <x:c r="F1137" s="11" t="str">
        <x:v>ריבית על פיקדון</x:v>
      </x:c>
      <x:c r="G1137" s="17" t="n">
        <x:v>-46</x:v>
      </x:c>
      <x:c r="H1137" s="18" t="str">
        <x:v>ריביות</x:v>
      </x:c>
      <x:c r="I1137" s="19" t="str">
        <x:f>IFERROR(INDEX('מיפוי ומקורות'!$C$7:$C$33,MATCH(H1137,'מיפוי ומקורות'!$B$7:$B$33,0)),"לא מסווג")</x:f>
        <x:v>זרם פיננסי</x:v>
      </x:c>
      <x:c r="J1137" s="19" t="str">
        <x:f>IFERROR(INDEX('מיפוי ומקורות'!$D$7:$D$33,MATCH(H1137,'מיפוי ומקורות'!$B$7:$B$33,0)),"שוטף")</x:f>
        <x:v>הכנסה שסווגה מחדש</x:v>
      </x:c>
      <x:c r="K1137" s="19" t="str">
        <x:f>IF(OR(H1137="ריביות",AND(H1137="דירה כצנלסון",G1137&lt;0,ISNUMBER(SEARCH("הכנסה",F1137)))),"הכנסה שסווגה מחדש",J1137)</x:f>
        <x:v>הכנסה שסווגה מחדש</x:v>
      </x:c>
      <x:c r="L1137" s="19" t="str">
        <x:v>מאושר</x:v>
      </x:c>
      <x:c r="M1137" s="20" t="n">
        <x:f>IF(L1137="מאושר",IF(K1137="הכנסה שסווגה מחדש",0,G1137),0)</x:f>
        <x:v>0</x:v>
      </x:c>
      <x:c r="N1137" s="20" t="n">
        <x:f>IF(K1137="שוטף",M1137,0)</x:f>
        <x:v>0</x:v>
      </x:c>
      <x:c r="O1137" s="20" t="n">
        <x:f>IF(K1137="הכנסה שסווגה מחדש",-G1137,0)</x:f>
        <x:v>46</x:v>
      </x:c>
      <x:c r="P1137" s="11" t="str">
        <x:v>one zero</x:v>
      </x:c>
      <x:c r="Q1137" s="11" t="str"/>
      <x:c r="R1137" s="11" t="str">
        <x:v>לא</x:v>
      </x:c>
    </x:row>
    <x:row r="1138">
      <x:c r="A1138" s="14" t="n">
        <x:v>45992</x:v>
      </x:c>
      <x:c r="B1138" s="11" t="str">
        <x:v>2025-12</x:v>
      </x:c>
      <x:c r="C1138" s="11" t="str">
        <x:v>דצמבר 25</x:v>
      </x:c>
      <x:c r="D1138" s="15" t="n">
        <x:v>23</x:v>
      </x:c>
      <x:c r="E1138" s="11" t="str">
        <x:v>6</x:v>
      </x:c>
      <x:c r="F1138" s="11" t="str">
        <x:v>יעל- אימונים</x:v>
      </x:c>
      <x:c r="G1138" s="17" t="n">
        <x:v>4500</x:v>
      </x:c>
      <x:c r="H1138" s="18" t="str">
        <x:v>ספורט</x:v>
      </x:c>
      <x:c r="I1138" s="19" t="str">
        <x:f>IFERROR(INDEX('מיפוי ומקורות'!$C$7:$C$33,MATCH(H1138,'מיפוי ומקורות'!$B$7:$B$33,0)),"לא מסווג")</x:f>
        <x:v>ספורט</x:v>
      </x:c>
      <x:c r="J1138" s="19" t="str">
        <x:f>IFERROR(INDEX('מיפוי ומקורות'!$D$7:$D$33,MATCH(H1138,'מיפוי ומקורות'!$B$7:$B$33,0)),"שוטף")</x:f>
        <x:v>שוטף</x:v>
      </x:c>
      <x:c r="K1138" s="19" t="str">
        <x:f>IF(OR(H1138="ריביות",AND(H1138="דירה כצנלסון",G1138&lt;0,ISNUMBER(SEARCH("הכנסה",F1138)))),"הכנסה שסווגה מחדש",J1138)</x:f>
        <x:v>שוטף</x:v>
      </x:c>
      <x:c r="L1138" s="19" t="str">
        <x:v>מאושר</x:v>
      </x:c>
      <x:c r="M1138" s="20" t="n">
        <x:f>IF(L1138="מאושר",IF(K1138="הכנסה שסווגה מחדש",0,G1138),0)</x:f>
        <x:v>4500</x:v>
      </x:c>
      <x:c r="N1138" s="20" t="n">
        <x:f>IF(K1138="שוטף",M1138,0)</x:f>
        <x:v>4500</x:v>
      </x:c>
      <x:c r="O1138" s="20" t="n">
        <x:f>IF(K1138="הכנסה שסווגה מחדש",-G1138,0)</x:f>
        <x:v>0</x:v>
      </x:c>
      <x:c r="P1138" s="11" t="str">
        <x:v>one zero</x:v>
      </x:c>
      <x:c r="Q1138" s="11" t="str"/>
      <x:c r="R1138" s="11" t="str">
        <x:v>לא</x:v>
      </x:c>
    </x:row>
    <x:row r="1139">
      <x:c r="A1139" s="14" t="n">
        <x:v>45992</x:v>
      </x:c>
      <x:c r="B1139" s="11" t="str">
        <x:v>2025-12</x:v>
      </x:c>
      <x:c r="C1139" s="11" t="str">
        <x:v>דצמבר 25</x:v>
      </x:c>
      <x:c r="D1139" s="15" t="n">
        <x:v>24</x:v>
      </x:c>
      <x:c r="E1139" s="11" t="str">
        <x:v>21</x:v>
      </x:c>
      <x:c r="F1139" s="11" t="str">
        <x:v>בלתם כצנלסון</x:v>
      </x:c>
      <x:c r="G1139" s="17" t="n">
        <x:v>1350</x:v>
      </x:c>
      <x:c r="H1139" s="18" t="str">
        <x:v>דירה כצנלסון</x:v>
      </x:c>
      <x:c r="I1139" s="19" t="str">
        <x:f>IFERROR(INDEX('מיפוי ומקורות'!$C$7:$C$33,MATCH(H1139,'מיפוי ומקורות'!$B$7:$B$33,0)),"לא מסווג")</x:f>
        <x:v>נכס להשקעה</x:v>
      </x:c>
      <x:c r="J1139" s="19" t="str">
        <x:f>IFERROR(INDEX('מיפוי ומקורות'!$D$7:$D$33,MATCH(H1139,'מיפוי ומקורות'!$B$7:$B$33,0)),"שוטף")</x:f>
        <x:v>חריג/נכס</x:v>
      </x:c>
      <x:c r="K1139" s="19" t="str">
        <x:f>IF(OR(H1139="ריביות",AND(H1139="דירה כצנלסון",G1139&lt;0,ISNUMBER(SEARCH("הכנסה",F1139)))),"הכנסה שסווגה מחדש",J1139)</x:f>
        <x:v>חריג/נכס</x:v>
      </x:c>
      <x:c r="L1139" s="19" t="str">
        <x:v>מאושר</x:v>
      </x:c>
      <x:c r="M1139" s="20" t="n">
        <x:f>IF(L1139="מאושר",IF(K1139="הכנסה שסווגה מחדש",0,G1139),0)</x:f>
        <x:v>1350</x:v>
      </x:c>
      <x:c r="N1139" s="20" t="n">
        <x:f>IF(K1139="שוטף",M1139,0)</x:f>
        <x:v>0</x:v>
      </x:c>
      <x:c r="O1139" s="20" t="n">
        <x:f>IF(K1139="הכנסה שסווגה מחדש",-G1139,0)</x:f>
        <x:v>0</x:v>
      </x:c>
      <x:c r="P1139" s="11" t="str">
        <x:v>one zero</x:v>
      </x:c>
      <x:c r="Q1139" s="11" t="str"/>
      <x:c r="R1139" s="11" t="str">
        <x:v>לא</x:v>
      </x:c>
    </x:row>
    <x:row r="1140">
      <x:c r="A1140" s="14" t="n">
        <x:v>45992</x:v>
      </x:c>
      <x:c r="B1140" s="11" t="str">
        <x:v>2025-12</x:v>
      </x:c>
      <x:c r="C1140" s="11" t="str">
        <x:v>דצמבר 25</x:v>
      </x:c>
      <x:c r="D1140" s="15" t="n">
        <x:v>25</x:v>
      </x:c>
      <x:c r="E1140" s="11" t="str">
        <x:v>2</x:v>
      </x:c>
      <x:c r="F1140" s="11" t="str">
        <x:v>מאפיה</x:v>
      </x:c>
      <x:c r="G1140" s="17" t="n">
        <x:v>49</x:v>
      </x:c>
      <x:c r="H1140" s="18" t="str">
        <x:v>אוכל בחוץ</x:v>
      </x:c>
      <x:c r="I1140" s="19" t="str">
        <x:f>IFERROR(INDEX('מיפוי ומקורות'!$C$7:$C$33,MATCH(H1140,'מיפוי ומקורות'!$B$7:$B$33,0)),"לא מסווג")</x:f>
        <x:v>אוכל בחוץ</x:v>
      </x:c>
      <x:c r="J1140" s="19" t="str">
        <x:f>IFERROR(INDEX('מיפוי ומקורות'!$D$7:$D$33,MATCH(H1140,'מיפוי ומקורות'!$B$7:$B$33,0)),"שוטף")</x:f>
        <x:v>שוטף</x:v>
      </x:c>
      <x:c r="K1140" s="19" t="str">
        <x:f>IF(OR(H1140="ריביות",AND(H1140="דירה כצנלסון",G1140&lt;0,ISNUMBER(SEARCH("הכנסה",F1140)))),"הכנסה שסווגה מחדש",J1140)</x:f>
        <x:v>שוטף</x:v>
      </x:c>
      <x:c r="L1140" s="19" t="str">
        <x:v>מאושר</x:v>
      </x:c>
      <x:c r="M1140" s="20" t="n">
        <x:f>IF(L1140="מאושר",IF(K1140="הכנסה שסווגה מחדש",0,G1140),0)</x:f>
        <x:v>49</x:v>
      </x:c>
      <x:c r="N1140" s="20" t="n">
        <x:f>IF(K1140="שוטף",M1140,0)</x:f>
        <x:v>49</x:v>
      </x:c>
      <x:c r="O1140" s="20" t="n">
        <x:f>IF(K1140="הכנסה שסווגה מחדש",-G1140,0)</x:f>
        <x:v>0</x:v>
      </x:c>
      <x:c r="P1140" s="11" t="str">
        <x:v>one zero זיו</x:v>
      </x:c>
      <x:c r="Q1140" s="11" t="str"/>
      <x:c r="R1140" s="11" t="str">
        <x:v>לא</x:v>
      </x:c>
    </x:row>
    <x:row r="1141">
      <x:c r="A1141" s="14" t="n">
        <x:v>45992</x:v>
      </x:c>
      <x:c r="B1141" s="11" t="str">
        <x:v>2025-12</x:v>
      </x:c>
      <x:c r="C1141" s="11" t="str">
        <x:v>דצמבר 25</x:v>
      </x:c>
      <x:c r="D1141" s="15" t="n">
        <x:v>26</x:v>
      </x:c>
      <x:c r="E1141" s="11" t="str"/>
      <x:c r="F1141" s="11" t="str">
        <x:v>ליים</x:v>
      </x:c>
      <x:c r="G1141" s="17" t="n">
        <x:v>75</x:v>
      </x:c>
      <x:c r="H1141" s="18" t="str">
        <x:v>תחבורה</x:v>
      </x:c>
      <x:c r="I1141" s="19" t="str">
        <x:f>IFERROR(INDEX('מיפוי ומקורות'!$C$7:$C$33,MATCH(H1141,'מיפוי ומקורות'!$B$7:$B$33,0)),"לא מסווג")</x:f>
        <x:v>תחבורה</x:v>
      </x:c>
      <x:c r="J1141" s="19" t="str">
        <x:f>IFERROR(INDEX('מיפוי ומקורות'!$D$7:$D$33,MATCH(H1141,'מיפוי ומקורות'!$B$7:$B$33,0)),"שוטף")</x:f>
        <x:v>שוטף</x:v>
      </x:c>
      <x:c r="K1141" s="19" t="str">
        <x:f>IF(OR(H1141="ריביות",AND(H1141="דירה כצנלסון",G1141&lt;0,ISNUMBER(SEARCH("הכנסה",F1141)))),"הכנסה שסווגה מחדש",J1141)</x:f>
        <x:v>שוטף</x:v>
      </x:c>
      <x:c r="L1141" s="19" t="str">
        <x:v>מאושר</x:v>
      </x:c>
      <x:c r="M1141" s="20" t="n">
        <x:f>IF(L1141="מאושר",IF(K1141="הכנסה שסווגה מחדש",0,G1141),0)</x:f>
        <x:v>75</x:v>
      </x:c>
      <x:c r="N1141" s="20" t="n">
        <x:f>IF(K1141="שוטף",M1141,0)</x:f>
        <x:v>75</x:v>
      </x:c>
      <x:c r="O1141" s="20" t="n">
        <x:f>IF(K1141="הכנסה שסווגה מחדש",-G1141,0)</x:f>
        <x:v>0</x:v>
      </x:c>
      <x:c r="P1141" s="11" t="str">
        <x:v>one zero זיו</x:v>
      </x:c>
      <x:c r="Q1141" s="11" t="str"/>
      <x:c r="R1141" s="11" t="str">
        <x:v>לא</x:v>
      </x:c>
    </x:row>
    <x:row r="1142">
      <x:c r="A1142" s="14" t="n">
        <x:v>45992</x:v>
      </x:c>
      <x:c r="B1142" s="11" t="str">
        <x:v>2025-12</x:v>
      </x:c>
      <x:c r="C1142" s="11" t="str">
        <x:v>דצמבר 25</x:v>
      </x:c>
      <x:c r="D1142" s="15" t="n">
        <x:v>27</x:v>
      </x:c>
      <x:c r="E1142" s="11" t="str">
        <x:v>12</x:v>
      </x:c>
      <x:c r="F1142" s="11" t="str">
        <x:v>מאפיה</x:v>
      </x:c>
      <x:c r="G1142" s="17" t="n">
        <x:v>49</x:v>
      </x:c>
      <x:c r="H1142" s="18" t="str">
        <x:v>אוכל בחוץ</x:v>
      </x:c>
      <x:c r="I1142" s="19" t="str">
        <x:f>IFERROR(INDEX('מיפוי ומקורות'!$C$7:$C$33,MATCH(H1142,'מיפוי ומקורות'!$B$7:$B$33,0)),"לא מסווג")</x:f>
        <x:v>אוכל בחוץ</x:v>
      </x:c>
      <x:c r="J1142" s="19" t="str">
        <x:f>IFERROR(INDEX('מיפוי ומקורות'!$D$7:$D$33,MATCH(H1142,'מיפוי ומקורות'!$B$7:$B$33,0)),"שוטף")</x:f>
        <x:v>שוטף</x:v>
      </x:c>
      <x:c r="K1142" s="19" t="str">
        <x:f>IF(OR(H1142="ריביות",AND(H1142="דירה כצנלסון",G1142&lt;0,ISNUMBER(SEARCH("הכנסה",F1142)))),"הכנסה שסווגה מחדש",J1142)</x:f>
        <x:v>שוטף</x:v>
      </x:c>
      <x:c r="L1142" s="19" t="str">
        <x:v>מאושר</x:v>
      </x:c>
      <x:c r="M1142" s="20" t="n">
        <x:f>IF(L1142="מאושר",IF(K1142="הכנסה שסווגה מחדש",0,G1142),0)</x:f>
        <x:v>49</x:v>
      </x:c>
      <x:c r="N1142" s="20" t="n">
        <x:f>IF(K1142="שוטף",M1142,0)</x:f>
        <x:v>49</x:v>
      </x:c>
      <x:c r="O1142" s="20" t="n">
        <x:f>IF(K1142="הכנסה שסווגה מחדש",-G1142,0)</x:f>
        <x:v>0</x:v>
      </x:c>
      <x:c r="P1142" s="11" t="str">
        <x:v>one zero זיו</x:v>
      </x:c>
      <x:c r="Q1142" s="11" t="str"/>
      <x:c r="R1142" s="11" t="str">
        <x:v>לא</x:v>
      </x:c>
    </x:row>
    <x:row r="1143">
      <x:c r="A1143" s="14" t="n">
        <x:v>45992</x:v>
      </x:c>
      <x:c r="B1143" s="11" t="str">
        <x:v>2025-12</x:v>
      </x:c>
      <x:c r="C1143" s="11" t="str">
        <x:v>דצמבר 25</x:v>
      </x:c>
      <x:c r="D1143" s="15" t="n">
        <x:v>28</x:v>
      </x:c>
      <x:c r="E1143" s="11" t="str">
        <x:v>25</x:v>
      </x:c>
      <x:c r="F1143" s="11" t="str">
        <x:v>תחבץ</x:v>
      </x:c>
      <x:c r="G1143" s="17" t="n">
        <x:v>32</x:v>
      </x:c>
      <x:c r="H1143" s="18" t="str">
        <x:v>תחבורה</x:v>
      </x:c>
      <x:c r="I1143" s="19" t="str">
        <x:f>IFERROR(INDEX('מיפוי ומקורות'!$C$7:$C$33,MATCH(H1143,'מיפוי ומקורות'!$B$7:$B$33,0)),"לא מסווג")</x:f>
        <x:v>תחבורה</x:v>
      </x:c>
      <x:c r="J1143" s="19" t="str">
        <x:f>IFERROR(INDEX('מיפוי ומקורות'!$D$7:$D$33,MATCH(H1143,'מיפוי ומקורות'!$B$7:$B$33,0)),"שוטף")</x:f>
        <x:v>שוטף</x:v>
      </x:c>
      <x:c r="K1143" s="19" t="str">
        <x:f>IF(OR(H1143="ריביות",AND(H1143="דירה כצנלסון",G1143&lt;0,ISNUMBER(SEARCH("הכנסה",F1143)))),"הכנסה שסווגה מחדש",J1143)</x:f>
        <x:v>שוטף</x:v>
      </x:c>
      <x:c r="L1143" s="19" t="str">
        <x:v>מאושר</x:v>
      </x:c>
      <x:c r="M1143" s="20" t="n">
        <x:f>IF(L1143="מאושר",IF(K1143="הכנסה שסווגה מחדש",0,G1143),0)</x:f>
        <x:v>32</x:v>
      </x:c>
      <x:c r="N1143" s="20" t="n">
        <x:f>IF(K1143="שוטף",M1143,0)</x:f>
        <x:v>32</x:v>
      </x:c>
      <x:c r="O1143" s="20" t="n">
        <x:f>IF(K1143="הכנסה שסווגה מחדש",-G1143,0)</x:f>
        <x:v>0</x:v>
      </x:c>
      <x:c r="P1143" s="11" t="str">
        <x:v>one zero זיו</x:v>
      </x:c>
      <x:c r="Q1143" s="11" t="str"/>
      <x:c r="R1143" s="11" t="str">
        <x:v>לא</x:v>
      </x:c>
    </x:row>
    <x:row r="1144">
      <x:c r="A1144" s="14" t="n">
        <x:v>45992</x:v>
      </x:c>
      <x:c r="B1144" s="11" t="str">
        <x:v>2025-12</x:v>
      </x:c>
      <x:c r="C1144" s="11" t="str">
        <x:v>דצמבר 25</x:v>
      </x:c>
      <x:c r="D1144" s="15" t="n">
        <x:v>29</x:v>
      </x:c>
      <x:c r="E1144" s="11" t="str">
        <x:v>25</x:v>
      </x:c>
      <x:c r="F1144" s="11" t="str">
        <x:v>תחבץ</x:v>
      </x:c>
      <x:c r="G1144" s="17" t="n">
        <x:v>16</x:v>
      </x:c>
      <x:c r="H1144" s="18" t="str">
        <x:v>תחבורה</x:v>
      </x:c>
      <x:c r="I1144" s="19" t="str">
        <x:f>IFERROR(INDEX('מיפוי ומקורות'!$C$7:$C$33,MATCH(H1144,'מיפוי ומקורות'!$B$7:$B$33,0)),"לא מסווג")</x:f>
        <x:v>תחבורה</x:v>
      </x:c>
      <x:c r="J1144" s="19" t="str">
        <x:f>IFERROR(INDEX('מיפוי ומקורות'!$D$7:$D$33,MATCH(H1144,'מיפוי ומקורות'!$B$7:$B$33,0)),"שוטף")</x:f>
        <x:v>שוטף</x:v>
      </x:c>
      <x:c r="K1144" s="19" t="str">
        <x:f>IF(OR(H1144="ריביות",AND(H1144="דירה כצנלסון",G1144&lt;0,ISNUMBER(SEARCH("הכנסה",F1144)))),"הכנסה שסווגה מחדש",J1144)</x:f>
        <x:v>שוטף</x:v>
      </x:c>
      <x:c r="L1144" s="19" t="str">
        <x:v>מאושר</x:v>
      </x:c>
      <x:c r="M1144" s="20" t="n">
        <x:f>IF(L1144="מאושר",IF(K1144="הכנסה שסווגה מחדש",0,G1144),0)</x:f>
        <x:v>16</x:v>
      </x:c>
      <x:c r="N1144" s="20" t="n">
        <x:f>IF(K1144="שוטף",M1144,0)</x:f>
        <x:v>16</x:v>
      </x:c>
      <x:c r="O1144" s="20" t="n">
        <x:f>IF(K1144="הכנסה שסווגה מחדש",-G1144,0)</x:f>
        <x:v>0</x:v>
      </x:c>
      <x:c r="P1144" s="11" t="str">
        <x:v>one zero עינור</x:v>
      </x:c>
      <x:c r="Q1144" s="11" t="str"/>
      <x:c r="R1144" s="11" t="str">
        <x:v>לא</x:v>
      </x:c>
    </x:row>
    <x:row r="1145">
      <x:c r="A1145" s="14" t="n">
        <x:v>45992</x:v>
      </x:c>
      <x:c r="B1145" s="11" t="str">
        <x:v>2025-12</x:v>
      </x:c>
      <x:c r="C1145" s="11" t="str">
        <x:v>דצמבר 25</x:v>
      </x:c>
      <x:c r="D1145" s="15" t="n">
        <x:v>30</x:v>
      </x:c>
      <x:c r="E1145" s="11" t="str"/>
      <x:c r="F1145" s="11" t="str">
        <x:v>פריז</x:v>
      </x:c>
      <x:c r="G1145" s="17" t="n">
        <x:v>88</x:v>
      </x:c>
      <x:c r="H1145" s="18" t="str">
        <x:v>חול</x:v>
      </x:c>
      <x:c r="I1145" s="19" t="str">
        <x:f>IFERROR(INDEX('מיפוי ומקורות'!$C$7:$C$33,MATCH(H1145,'מיפוי ומקורות'!$B$7:$B$33,0)),"לא מסווג")</x:f>
        <x:v>נסיעות וחופשות</x:v>
      </x:c>
      <x:c r="J1145" s="19" t="str">
        <x:f>IFERROR(INDEX('מיפוי ומקורות'!$D$7:$D$33,MATCH(H1145,'מיפוי ומקורות'!$B$7:$B$33,0)),"שוטף")</x:f>
        <x:v>חריג</x:v>
      </x:c>
      <x:c r="K1145" s="19" t="str">
        <x:f>IF(OR(H1145="ריביות",AND(H1145="דירה כצנלסון",G1145&lt;0,ISNUMBER(SEARCH("הכנסה",F1145)))),"הכנסה שסווגה מחדש",J1145)</x:f>
        <x:v>חריג</x:v>
      </x:c>
      <x:c r="L1145" s="19" t="str">
        <x:v>מאושר</x:v>
      </x:c>
      <x:c r="M1145" s="20" t="n">
        <x:f>IF(L1145="מאושר",IF(K1145="הכנסה שסווגה מחדש",0,G1145),0)</x:f>
        <x:v>88</x:v>
      </x:c>
      <x:c r="N1145" s="20" t="n">
        <x:f>IF(K1145="שוטף",M1145,0)</x:f>
        <x:v>0</x:v>
      </x:c>
      <x:c r="O1145" s="20" t="n">
        <x:f>IF(K1145="הכנסה שסווגה מחדש",-G1145,0)</x:f>
        <x:v>0</x:v>
      </x:c>
      <x:c r="P1145" s="11" t="str">
        <x:v>one zero עינור</x:v>
      </x:c>
      <x:c r="Q1145" s="11" t="str"/>
      <x:c r="R1145" s="11" t="str">
        <x:v>לא</x:v>
      </x:c>
    </x:row>
    <x:row r="1146">
      <x:c r="A1146" s="14" t="n">
        <x:v>45992</x:v>
      </x:c>
      <x:c r="B1146" s="11" t="str">
        <x:v>2025-12</x:v>
      </x:c>
      <x:c r="C1146" s="11" t="str">
        <x:v>דצמבר 25</x:v>
      </x:c>
      <x:c r="D1146" s="15" t="n">
        <x:v>31</x:v>
      </x:c>
      <x:c r="E1146" s="11" t="str">
        <x:v>3</x:v>
      </x:c>
      <x:c r="F1146" s="11" t="str">
        <x:v>כרטיס לאורות חנוכה</x:v>
      </x:c>
      <x:c r="G1146" s="17" t="n">
        <x:v>59</x:v>
      </x:c>
      <x:c r="H1146" s="18" t="str">
        <x:v>פנאי</x:v>
      </x:c>
      <x:c r="I1146" s="19" t="str">
        <x:f>IFERROR(INDEX('מיפוי ומקורות'!$C$7:$C$33,MATCH(H1146,'מיפוי ומקורות'!$B$7:$B$33,0)),"לא מסווג")</x:f>
        <x:v>פנאי</x:v>
      </x:c>
      <x:c r="J1146" s="19" t="str">
        <x:f>IFERROR(INDEX('מיפוי ומקורות'!$D$7:$D$33,MATCH(H1146,'מיפוי ומקורות'!$B$7:$B$33,0)),"שוטף")</x:f>
        <x:v>שוטף</x:v>
      </x:c>
      <x:c r="K1146" s="19" t="str">
        <x:f>IF(OR(H1146="ריביות",AND(H1146="דירה כצנלסון",G1146&lt;0,ISNUMBER(SEARCH("הכנסה",F1146)))),"הכנסה שסווגה מחדש",J1146)</x:f>
        <x:v>שוטף</x:v>
      </x:c>
      <x:c r="L1146" s="19" t="str">
        <x:v>מאושר</x:v>
      </x:c>
      <x:c r="M1146" s="20" t="n">
        <x:f>IF(L1146="מאושר",IF(K1146="הכנסה שסווגה מחדש",0,G1146),0)</x:f>
        <x:v>59</x:v>
      </x:c>
      <x:c r="N1146" s="20" t="n">
        <x:f>IF(K1146="שוטף",M1146,0)</x:f>
        <x:v>59</x:v>
      </x:c>
      <x:c r="O1146" s="20" t="n">
        <x:f>IF(K1146="הכנסה שסווגה מחדש",-G1146,0)</x:f>
        <x:v>0</x:v>
      </x:c>
      <x:c r="P1146" s="11" t="str">
        <x:v>קורפרייט זיו</x:v>
      </x:c>
      <x:c r="Q1146" s="11" t="str"/>
      <x:c r="R1146" s="11" t="str">
        <x:v>לא</x:v>
      </x:c>
    </x:row>
    <x:row r="1147">
      <x:c r="A1147" s="14" t="n">
        <x:v>45992</x:v>
      </x:c>
      <x:c r="B1147" s="11" t="str">
        <x:v>2025-12</x:v>
      </x:c>
      <x:c r="C1147" s="11" t="str">
        <x:v>דצמבר 25</x:v>
      </x:c>
      <x:c r="D1147" s="15" t="n">
        <x:v>32</x:v>
      </x:c>
      <x:c r="E1147" s="11" t="str">
        <x:v>11</x:v>
      </x:c>
      <x:c r="F1147" s="11" t="str">
        <x:v>סרט</x:v>
      </x:c>
      <x:c r="G1147" s="17" t="n">
        <x:v>46</x:v>
      </x:c>
      <x:c r="H1147" s="18" t="str">
        <x:v>פנאי</x:v>
      </x:c>
      <x:c r="I1147" s="19" t="str">
        <x:f>IFERROR(INDEX('מיפוי ומקורות'!$C$7:$C$33,MATCH(H1147,'מיפוי ומקורות'!$B$7:$B$33,0)),"לא מסווג")</x:f>
        <x:v>פנאי</x:v>
      </x:c>
      <x:c r="J1147" s="19" t="str">
        <x:f>IFERROR(INDEX('מיפוי ומקורות'!$D$7:$D$33,MATCH(H1147,'מיפוי ומקורות'!$B$7:$B$33,0)),"שוטף")</x:f>
        <x:v>שוטף</x:v>
      </x:c>
      <x:c r="K1147" s="19" t="str">
        <x:f>IF(OR(H1147="ריביות",AND(H1147="דירה כצנלסון",G1147&lt;0,ISNUMBER(SEARCH("הכנסה",F1147)))),"הכנסה שסווגה מחדש",J1147)</x:f>
        <x:v>שוטף</x:v>
      </x:c>
      <x:c r="L1147" s="19" t="str">
        <x:v>מאושר</x:v>
      </x:c>
      <x:c r="M1147" s="20" t="n">
        <x:f>IF(L1147="מאושר",IF(K1147="הכנסה שסווגה מחדש",0,G1147),0)</x:f>
        <x:v>46</x:v>
      </x:c>
      <x:c r="N1147" s="20" t="n">
        <x:f>IF(K1147="שוטף",M1147,0)</x:f>
        <x:v>46</x:v>
      </x:c>
      <x:c r="O1147" s="20" t="n">
        <x:f>IF(K1147="הכנסה שסווגה מחדש",-G1147,0)</x:f>
        <x:v>0</x:v>
      </x:c>
      <x:c r="P1147" s="11" t="str">
        <x:v>קורפרייט זיו</x:v>
      </x:c>
      <x:c r="Q1147" s="11" t="str"/>
      <x:c r="R1147" s="11" t="str">
        <x:v>לא</x:v>
      </x:c>
    </x:row>
    <x:row r="1148">
      <x:c r="A1148" s="14" t="n">
        <x:v>45992</x:v>
      </x:c>
      <x:c r="B1148" s="11" t="str">
        <x:v>2025-12</x:v>
      </x:c>
      <x:c r="C1148" s="11" t="str">
        <x:v>דצמבר 25</x:v>
      </x:c>
      <x:c r="D1148" s="15" t="n">
        <x:v>33</x:v>
      </x:c>
      <x:c r="E1148" s="11" t="str">
        <x:v>25</x:v>
      </x:c>
      <x:c r="F1148" s="11" t="str">
        <x:v>אבולעפיה</x:v>
      </x:c>
      <x:c r="G1148" s="17" t="n">
        <x:v>22</x:v>
      </x:c>
      <x:c r="H1148" s="18" t="str">
        <x:v>אוכל בחוץ</x:v>
      </x:c>
      <x:c r="I1148" s="19" t="str">
        <x:f>IFERROR(INDEX('מיפוי ומקורות'!$C$7:$C$33,MATCH(H1148,'מיפוי ומקורות'!$B$7:$B$33,0)),"לא מסווג")</x:f>
        <x:v>אוכל בחוץ</x:v>
      </x:c>
      <x:c r="J1148" s="19" t="str">
        <x:f>IFERROR(INDEX('מיפוי ומקורות'!$D$7:$D$33,MATCH(H1148,'מיפוי ומקורות'!$B$7:$B$33,0)),"שוטף")</x:f>
        <x:v>שוטף</x:v>
      </x:c>
      <x:c r="K1148" s="19" t="str">
        <x:f>IF(OR(H1148="ריביות",AND(H1148="דירה כצנלסון",G1148&lt;0,ISNUMBER(SEARCH("הכנסה",F1148)))),"הכנסה שסווגה מחדש",J1148)</x:f>
        <x:v>שוטף</x:v>
      </x:c>
      <x:c r="L1148" s="19" t="str">
        <x:v>מאושר</x:v>
      </x:c>
      <x:c r="M1148" s="20" t="n">
        <x:f>IF(L1148="מאושר",IF(K1148="הכנסה שסווגה מחדש",0,G1148),0)</x:f>
        <x:v>22</x:v>
      </x:c>
      <x:c r="N1148" s="20" t="n">
        <x:f>IF(K1148="שוטף",M1148,0)</x:f>
        <x:v>22</x:v>
      </x:c>
      <x:c r="O1148" s="20" t="n">
        <x:f>IF(K1148="הכנסה שסווגה מחדש",-G1148,0)</x:f>
        <x:v>0</x:v>
      </x:c>
      <x:c r="P1148" s="11" t="str">
        <x:v>קורפרייט זיו</x:v>
      </x:c>
      <x:c r="Q1148" s="11" t="str"/>
      <x:c r="R1148" s="11" t="str">
        <x:v>לא</x:v>
      </x:c>
    </x:row>
    <x:row r="1149">
      <x:c r="A1149" s="14" t="n">
        <x:v>45992</x:v>
      </x:c>
      <x:c r="B1149" s="11" t="str">
        <x:v>2025-12</x:v>
      </x:c>
      <x:c r="C1149" s="11" t="str">
        <x:v>דצמבר 25</x:v>
      </x:c>
      <x:c r="D1149" s="15" t="n">
        <x:v>34</x:v>
      </x:c>
      <x:c r="E1149" s="11" t="str">
        <x:v>25</x:v>
      </x:c>
      <x:c r="F1149" s="11" t="str">
        <x:v>דלק</x:v>
      </x:c>
      <x:c r="G1149" s="17" t="n">
        <x:v>224</x:v>
      </x:c>
      <x:c r="H1149" s="18" t="str">
        <x:v>תחבורה</x:v>
      </x:c>
      <x:c r="I1149" s="19" t="str">
        <x:f>IFERROR(INDEX('מיפוי ומקורות'!$C$7:$C$33,MATCH(H1149,'מיפוי ומקורות'!$B$7:$B$33,0)),"לא מסווג")</x:f>
        <x:v>תחבורה</x:v>
      </x:c>
      <x:c r="J1149" s="19" t="str">
        <x:f>IFERROR(INDEX('מיפוי ומקורות'!$D$7:$D$33,MATCH(H1149,'מיפוי ומקורות'!$B$7:$B$33,0)),"שוטף")</x:f>
        <x:v>שוטף</x:v>
      </x:c>
      <x:c r="K1149" s="19" t="str">
        <x:f>IF(OR(H1149="ריביות",AND(H1149="דירה כצנלסון",G1149&lt;0,ISNUMBER(SEARCH("הכנסה",F1149)))),"הכנסה שסווגה מחדש",J1149)</x:f>
        <x:v>שוטף</x:v>
      </x:c>
      <x:c r="L1149" s="19" t="str">
        <x:v>מאושר</x:v>
      </x:c>
      <x:c r="M1149" s="20" t="n">
        <x:f>IF(L1149="מאושר",IF(K1149="הכנסה שסווגה מחדש",0,G1149),0)</x:f>
        <x:v>224</x:v>
      </x:c>
      <x:c r="N1149" s="20" t="n">
        <x:f>IF(K1149="שוטף",M1149,0)</x:f>
        <x:v>224</x:v>
      </x:c>
      <x:c r="O1149" s="20" t="n">
        <x:f>IF(K1149="הכנסה שסווגה מחדש",-G1149,0)</x:f>
        <x:v>0</x:v>
      </x:c>
      <x:c r="P1149" s="11" t="str">
        <x:v>קורפרייט זיו</x:v>
      </x:c>
      <x:c r="Q1149" s="11" t="str"/>
      <x:c r="R1149" s="11" t="str">
        <x:v>לא</x:v>
      </x:c>
    </x:row>
    <x:row r="1150">
      <x:c r="A1150" s="14" t="n">
        <x:v>45992</x:v>
      </x:c>
      <x:c r="B1150" s="11" t="str">
        <x:v>2025-12</x:v>
      </x:c>
      <x:c r="C1150" s="11" t="str">
        <x:v>דצמבר 25</x:v>
      </x:c>
      <x:c r="D1150" s="15" t="n">
        <x:v>35</x:v>
      </x:c>
      <x:c r="E1150" s="11" t="str">
        <x:v>31</x:v>
      </x:c>
      <x:c r="F1150" s="11" t="str">
        <x:v>פיצוציה</x:v>
      </x:c>
      <x:c r="G1150" s="17" t="n">
        <x:v>12</x:v>
      </x:c>
      <x:c r="H1150" s="18" t="str">
        <x:v>אוכל בחוץ</x:v>
      </x:c>
      <x:c r="I1150" s="19" t="str">
        <x:f>IFERROR(INDEX('מיפוי ומקורות'!$C$7:$C$33,MATCH(H1150,'מיפוי ומקורות'!$B$7:$B$33,0)),"לא מסווג")</x:f>
        <x:v>אוכל בחוץ</x:v>
      </x:c>
      <x:c r="J1150" s="19" t="str">
        <x:f>IFERROR(INDEX('מיפוי ומקורות'!$D$7:$D$33,MATCH(H1150,'מיפוי ומקורות'!$B$7:$B$33,0)),"שוטף")</x:f>
        <x:v>שוטף</x:v>
      </x:c>
      <x:c r="K1150" s="19" t="str">
        <x:f>IF(OR(H1150="ריביות",AND(H1150="דירה כצנלסון",G1150&lt;0,ISNUMBER(SEARCH("הכנסה",F1150)))),"הכנסה שסווגה מחדש",J1150)</x:f>
        <x:v>שוטף</x:v>
      </x:c>
      <x:c r="L1150" s="19" t="str">
        <x:v>מאושר</x:v>
      </x:c>
      <x:c r="M1150" s="20" t="n">
        <x:f>IF(L1150="מאושר",IF(K1150="הכנסה שסווגה מחדש",0,G1150),0)</x:f>
        <x:v>12</x:v>
      </x:c>
      <x:c r="N1150" s="20" t="n">
        <x:f>IF(K1150="שוטף",M1150,0)</x:f>
        <x:v>12</x:v>
      </x:c>
      <x:c r="O1150" s="20" t="n">
        <x:f>IF(K1150="הכנסה שסווגה מחדש",-G1150,0)</x:f>
        <x:v>0</x:v>
      </x:c>
      <x:c r="P1150" s="11" t="str">
        <x:v>קורפרייט זיו</x:v>
      </x:c>
      <x:c r="Q1150" s="11" t="str"/>
      <x:c r="R1150" s="11" t="str">
        <x:v>לא</x:v>
      </x:c>
    </x:row>
    <x:row r="1151">
      <x:c r="A1151" s="14" t="n">
        <x:v>45992</x:v>
      </x:c>
      <x:c r="B1151" s="11" t="str">
        <x:v>2025-12</x:v>
      </x:c>
      <x:c r="C1151" s="11" t="str">
        <x:v>דצמבר 25</x:v>
      </x:c>
      <x:c r="D1151" s="15" t="n">
        <x:v>36</x:v>
      </x:c>
      <x:c r="E1151" s="11" t="str"/>
      <x:c r="F1151" s="11" t="str">
        <x:v>פריז</x:v>
      </x:c>
      <x:c r="G1151" s="17" t="n">
        <x:v>3018</x:v>
      </x:c>
      <x:c r="H1151" s="18" t="str">
        <x:v>חול</x:v>
      </x:c>
      <x:c r="I1151" s="19" t="str">
        <x:f>IFERROR(INDEX('מיפוי ומקורות'!$C$7:$C$33,MATCH(H1151,'מיפוי ומקורות'!$B$7:$B$33,0)),"לא מסווג")</x:f>
        <x:v>נסיעות וחופשות</x:v>
      </x:c>
      <x:c r="J1151" s="19" t="str">
        <x:f>IFERROR(INDEX('מיפוי ומקורות'!$D$7:$D$33,MATCH(H1151,'מיפוי ומקורות'!$B$7:$B$33,0)),"שוטף")</x:f>
        <x:v>חריג</x:v>
      </x:c>
      <x:c r="K1151" s="19" t="str">
        <x:f>IF(OR(H1151="ריביות",AND(H1151="דירה כצנלסון",G1151&lt;0,ISNUMBER(SEARCH("הכנסה",F1151)))),"הכנסה שסווגה מחדש",J1151)</x:f>
        <x:v>חריג</x:v>
      </x:c>
      <x:c r="L1151" s="19" t="str">
        <x:v>מאושר</x:v>
      </x:c>
      <x:c r="M1151" s="20" t="n">
        <x:f>IF(L1151="מאושר",IF(K1151="הכנסה שסווגה מחדש",0,G1151),0)</x:f>
        <x:v>3018</x:v>
      </x:c>
      <x:c r="N1151" s="20" t="n">
        <x:f>IF(K1151="שוטף",M1151,0)</x:f>
        <x:v>0</x:v>
      </x:c>
      <x:c r="O1151" s="20" t="n">
        <x:f>IF(K1151="הכנסה שסווגה מחדש",-G1151,0)</x:f>
        <x:v>0</x:v>
      </x:c>
      <x:c r="P1151" s="11" t="str">
        <x:v>קורפרייט זיו</x:v>
      </x:c>
      <x:c r="Q1151" s="11" t="str"/>
      <x:c r="R1151" s="11" t="str">
        <x:v>לא</x:v>
      </x:c>
    </x:row>
    <x:row r="1152">
      <x:c r="A1152" s="14" t="n">
        <x:v>45992</x:v>
      </x:c>
      <x:c r="B1152" s="11" t="str">
        <x:v>2025-12</x:v>
      </x:c>
      <x:c r="C1152" s="11" t="str">
        <x:v>דצמבר 25</x:v>
      </x:c>
      <x:c r="D1152" s="15" t="n">
        <x:v>37</x:v>
      </x:c>
      <x:c r="E1152" s="11" t="str">
        <x:v>15.11</x:v>
      </x:c>
      <x:c r="F1152" s="11" t="str">
        <x:v>עלי</x:v>
      </x:c>
      <x:c r="G1152" s="17" t="n">
        <x:v>95</x:v>
      </x:c>
      <x:c r="H1152" s="18" t="str">
        <x:v>קניות לבית</x:v>
      </x:c>
      <x:c r="I1152" s="19" t="str">
        <x:f>IFERROR(INDEX('מיפוי ומקורות'!$C$7:$C$33,MATCH(H1152,'מיפוי ומקורות'!$B$7:$B$33,0)),"לא מסווג")</x:f>
        <x:v>קניות לבית</x:v>
      </x:c>
      <x:c r="J1152" s="19" t="str">
        <x:f>IFERROR(INDEX('מיפוי ומקורות'!$D$7:$D$33,MATCH(H1152,'מיפוי ומקורות'!$B$7:$B$33,0)),"שוטף")</x:f>
        <x:v>שוטף</x:v>
      </x:c>
      <x:c r="K1152" s="19" t="str">
        <x:f>IF(OR(H1152="ריביות",AND(H1152="דירה כצנלסון",G1152&lt;0,ISNUMBER(SEARCH("הכנסה",F1152)))),"הכנסה שסווגה מחדש",J1152)</x:f>
        <x:v>שוטף</x:v>
      </x:c>
      <x:c r="L1152" s="19" t="str">
        <x:v>מאושר</x:v>
      </x:c>
      <x:c r="M1152" s="20" t="n">
        <x:f>IF(L1152="מאושר",IF(K1152="הכנסה שסווגה מחדש",0,G1152),0)</x:f>
        <x:v>95</x:v>
      </x:c>
      <x:c r="N1152" s="20" t="n">
        <x:f>IF(K1152="שוטף",M1152,0)</x:f>
        <x:v>95</x:v>
      </x:c>
      <x:c r="O1152" s="20" t="n">
        <x:f>IF(K1152="הכנסה שסווגה מחדש",-G1152,0)</x:f>
        <x:v>0</x:v>
      </x:c>
      <x:c r="P1152" s="11" t="str">
        <x:v>אמקס זיו</x:v>
      </x:c>
      <x:c r="Q1152" s="11" t="str"/>
      <x:c r="R1152" s="11" t="str">
        <x:v>לא</x:v>
      </x:c>
    </x:row>
    <x:row r="1153">
      <x:c r="A1153" s="14" t="n">
        <x:v>45992</x:v>
      </x:c>
      <x:c r="B1153" s="11" t="str">
        <x:v>2025-12</x:v>
      </x:c>
      <x:c r="C1153" s="11" t="str">
        <x:v>דצמבר 25</x:v>
      </x:c>
      <x:c r="D1153" s="15" t="n">
        <x:v>38</x:v>
      </x:c>
      <x:c r="E1153" s="11" t="str">
        <x:v>27.11</x:v>
      </x:c>
      <x:c r="F1153" s="11" t="str">
        <x:v>לונדון</x:v>
      </x:c>
      <x:c r="G1153" s="17" t="n">
        <x:v>3564</x:v>
      </x:c>
      <x:c r="H1153" s="18" t="str">
        <x:v>חול</x:v>
      </x:c>
      <x:c r="I1153" s="19" t="str">
        <x:f>IFERROR(INDEX('מיפוי ומקורות'!$C$7:$C$33,MATCH(H1153,'מיפוי ומקורות'!$B$7:$B$33,0)),"לא מסווג")</x:f>
        <x:v>נסיעות וחופשות</x:v>
      </x:c>
      <x:c r="J1153" s="19" t="str">
        <x:f>IFERROR(INDEX('מיפוי ומקורות'!$D$7:$D$33,MATCH(H1153,'מיפוי ומקורות'!$B$7:$B$33,0)),"שוטף")</x:f>
        <x:v>חריג</x:v>
      </x:c>
      <x:c r="K1153" s="19" t="str">
        <x:f>IF(OR(H1153="ריביות",AND(H1153="דירה כצנלסון",G1153&lt;0,ISNUMBER(SEARCH("הכנסה",F1153)))),"הכנסה שסווגה מחדש",J1153)</x:f>
        <x:v>חריג</x:v>
      </x:c>
      <x:c r="L1153" s="19" t="str">
        <x:v>מאושר</x:v>
      </x:c>
      <x:c r="M1153" s="20" t="n">
        <x:f>IF(L1153="מאושר",IF(K1153="הכנסה שסווגה מחדש",0,G1153),0)</x:f>
        <x:v>3564</x:v>
      </x:c>
      <x:c r="N1153" s="20" t="n">
        <x:f>IF(K1153="שוטף",M1153,0)</x:f>
        <x:v>0</x:v>
      </x:c>
      <x:c r="O1153" s="20" t="n">
        <x:f>IF(K1153="הכנסה שסווגה מחדש",-G1153,0)</x:f>
        <x:v>0</x:v>
      </x:c>
      <x:c r="P1153" s="11" t="str">
        <x:v>אמקס זיו</x:v>
      </x:c>
      <x:c r="Q1153" s="11" t="str"/>
      <x:c r="R1153" s="11" t="str">
        <x:v>לא</x:v>
      </x:c>
    </x:row>
    <x:row r="1154">
      <x:c r="A1154" s="14" t="n">
        <x:v>45992</x:v>
      </x:c>
      <x:c r="B1154" s="11" t="str">
        <x:v>2025-12</x:v>
      </x:c>
      <x:c r="C1154" s="11" t="str">
        <x:v>דצמבר 25</x:v>
      </x:c>
      <x:c r="D1154" s="15" t="n">
        <x:v>39</x:v>
      </x:c>
      <x:c r="E1154" s="11" t="str">
        <x:v>2</x:v>
      </x:c>
      <x:c r="F1154" s="11" t="str">
        <x:v>אוכל (ביט)</x:v>
      </x:c>
      <x:c r="G1154" s="17" t="n">
        <x:v>60</x:v>
      </x:c>
      <x:c r="H1154" s="18" t="str">
        <x:v>אוכל בחוץ</x:v>
      </x:c>
      <x:c r="I1154" s="19" t="str">
        <x:f>IFERROR(INDEX('מיפוי ומקורות'!$C$7:$C$33,MATCH(H1154,'מיפוי ומקורות'!$B$7:$B$33,0)),"לא מסווג")</x:f>
        <x:v>אוכל בחוץ</x:v>
      </x:c>
      <x:c r="J1154" s="19" t="str">
        <x:f>IFERROR(INDEX('מיפוי ומקורות'!$D$7:$D$33,MATCH(H1154,'מיפוי ומקורות'!$B$7:$B$33,0)),"שוטף")</x:f>
        <x:v>שוטף</x:v>
      </x:c>
      <x:c r="K1154" s="19" t="str">
        <x:f>IF(OR(H1154="ריביות",AND(H1154="דירה כצנלסון",G1154&lt;0,ISNUMBER(SEARCH("הכנסה",F1154)))),"הכנסה שסווגה מחדש",J1154)</x:f>
        <x:v>שוטף</x:v>
      </x:c>
      <x:c r="L1154" s="19" t="str">
        <x:v>מאושר</x:v>
      </x:c>
      <x:c r="M1154" s="20" t="n">
        <x:f>IF(L1154="מאושר",IF(K1154="הכנסה שסווגה מחדש",0,G1154),0)</x:f>
        <x:v>60</x:v>
      </x:c>
      <x:c r="N1154" s="20" t="n">
        <x:f>IF(K1154="שוטף",M1154,0)</x:f>
        <x:v>60</x:v>
      </x:c>
      <x:c r="O1154" s="20" t="n">
        <x:f>IF(K1154="הכנסה שסווגה מחדש",-G1154,0)</x:f>
        <x:v>0</x:v>
      </x:c>
      <x:c r="P1154" s="11" t="str">
        <x:v>אמקס זיו</x:v>
      </x:c>
      <x:c r="Q1154" s="11" t="str"/>
      <x:c r="R1154" s="11" t="str">
        <x:v>לא</x:v>
      </x:c>
    </x:row>
    <x:row r="1155">
      <x:c r="A1155" s="14" t="n">
        <x:v>45992</x:v>
      </x:c>
      <x:c r="B1155" s="11" t="str">
        <x:v>2025-12</x:v>
      </x:c>
      <x:c r="C1155" s="11" t="str">
        <x:v>דצמבר 25</x:v>
      </x:c>
      <x:c r="D1155" s="15" t="n">
        <x:v>40</x:v>
      </x:c>
      <x:c r="E1155" s="11" t="str">
        <x:v>2</x:v>
      </x:c>
      <x:c r="F1155" s="11" t="str">
        <x:v>אוכל</x:v>
      </x:c>
      <x:c r="G1155" s="17" t="n">
        <x:v>18</x:v>
      </x:c>
      <x:c r="H1155" s="18" t="str">
        <x:v>אוכל בחוץ</x:v>
      </x:c>
      <x:c r="I1155" s="19" t="str">
        <x:f>IFERROR(INDEX('מיפוי ומקורות'!$C$7:$C$33,MATCH(H1155,'מיפוי ומקורות'!$B$7:$B$33,0)),"לא מסווג")</x:f>
        <x:v>אוכל בחוץ</x:v>
      </x:c>
      <x:c r="J1155" s="19" t="str">
        <x:f>IFERROR(INDEX('מיפוי ומקורות'!$D$7:$D$33,MATCH(H1155,'מיפוי ומקורות'!$B$7:$B$33,0)),"שוטף")</x:f>
        <x:v>שוטף</x:v>
      </x:c>
      <x:c r="K1155" s="19" t="str">
        <x:f>IF(OR(H1155="ריביות",AND(H1155="דירה כצנלסון",G1155&lt;0,ISNUMBER(SEARCH("הכנסה",F1155)))),"הכנסה שסווגה מחדש",J1155)</x:f>
        <x:v>שוטף</x:v>
      </x:c>
      <x:c r="L1155" s="19" t="str">
        <x:v>מאושר</x:v>
      </x:c>
      <x:c r="M1155" s="20" t="n">
        <x:f>IF(L1155="מאושר",IF(K1155="הכנסה שסווגה מחדש",0,G1155),0)</x:f>
        <x:v>18</x:v>
      </x:c>
      <x:c r="N1155" s="20" t="n">
        <x:f>IF(K1155="שוטף",M1155,0)</x:f>
        <x:v>18</x:v>
      </x:c>
      <x:c r="O1155" s="20" t="n">
        <x:f>IF(K1155="הכנסה שסווגה מחדש",-G1155,0)</x:f>
        <x:v>0</x:v>
      </x:c>
      <x:c r="P1155" s="11" t="str">
        <x:v>אמקס זיו</x:v>
      </x:c>
      <x:c r="Q1155" s="11" t="str"/>
      <x:c r="R1155" s="11" t="str">
        <x:v>לא</x:v>
      </x:c>
    </x:row>
    <x:row r="1156">
      <x:c r="A1156" s="14" t="n">
        <x:v>45992</x:v>
      </x:c>
      <x:c r="B1156" s="11" t="str">
        <x:v>2025-12</x:v>
      </x:c>
      <x:c r="C1156" s="11" t="str">
        <x:v>דצמבר 25</x:v>
      </x:c>
      <x:c r="D1156" s="15" t="n">
        <x:v>41</x:v>
      </x:c>
      <x:c r="E1156" s="11" t="str">
        <x:v>2</x:v>
      </x:c>
      <x:c r="F1156" s="11" t="str">
        <x:v>שופרסל</x:v>
      </x:c>
      <x:c r="G1156" s="17" t="n">
        <x:v>3</x:v>
      </x:c>
      <x:c r="H1156" s="18" t="str">
        <x:v>מזון לבית</x:v>
      </x:c>
      <x:c r="I1156" s="19" t="str">
        <x:f>IFERROR(INDEX('מיפוי ומקורות'!$C$7:$C$33,MATCH(H1156,'מיפוי ומקורות'!$B$7:$B$33,0)),"לא מסווג")</x:f>
        <x:v>מזון לבית</x:v>
      </x:c>
      <x:c r="J1156" s="19" t="str">
        <x:f>IFERROR(INDEX('מיפוי ומקורות'!$D$7:$D$33,MATCH(H1156,'מיפוי ומקורות'!$B$7:$B$33,0)),"שוטף")</x:f>
        <x:v>שוטף</x:v>
      </x:c>
      <x:c r="K1156" s="19" t="str">
        <x:f>IF(OR(H1156="ריביות",AND(H1156="דירה כצנלסון",G1156&lt;0,ISNUMBER(SEARCH("הכנסה",F1156)))),"הכנסה שסווגה מחדש",J1156)</x:f>
        <x:v>שוטף</x:v>
      </x:c>
      <x:c r="L1156" s="19" t="str">
        <x:v>מאושר</x:v>
      </x:c>
      <x:c r="M1156" s="20" t="n">
        <x:f>IF(L1156="מאושר",IF(K1156="הכנסה שסווגה מחדש",0,G1156),0)</x:f>
        <x:v>3</x:v>
      </x:c>
      <x:c r="N1156" s="20" t="n">
        <x:f>IF(K1156="שוטף",M1156,0)</x:f>
        <x:v>3</x:v>
      </x:c>
      <x:c r="O1156" s="20" t="n">
        <x:f>IF(K1156="הכנסה שסווגה מחדש",-G1156,0)</x:f>
        <x:v>0</x:v>
      </x:c>
      <x:c r="P1156" s="11" t="str">
        <x:v>אמקס זיו</x:v>
      </x:c>
      <x:c r="Q1156" s="11" t="str"/>
      <x:c r="R1156" s="11" t="str">
        <x:v>לא</x:v>
      </x:c>
    </x:row>
    <x:row r="1157">
      <x:c r="A1157" s="14" t="n">
        <x:v>45992</x:v>
      </x:c>
      <x:c r="B1157" s="11" t="str">
        <x:v>2025-12</x:v>
      </x:c>
      <x:c r="C1157" s="11" t="str">
        <x:v>דצמבר 25</x:v>
      </x:c>
      <x:c r="D1157" s="15" t="n">
        <x:v>42</x:v>
      </x:c>
      <x:c r="E1157" s="11" t="str">
        <x:v>2</x:v>
      </x:c>
      <x:c r="F1157" s="11" t="str">
        <x:v>בלונים</x:v>
      </x:c>
      <x:c r="G1157" s="17" t="n">
        <x:v>70</x:v>
      </x:c>
      <x:c r="H1157" s="18" t="str">
        <x:v>מתנה</x:v>
      </x:c>
      <x:c r="I1157" s="19" t="str">
        <x:f>IFERROR(INDEX('מיפוי ומקורות'!$C$7:$C$33,MATCH(H1157,'מיפוי ומקורות'!$B$7:$B$33,0)),"לא מסווג")</x:f>
        <x:v>מתנה</x:v>
      </x:c>
      <x:c r="J1157" s="19" t="str">
        <x:f>IFERROR(INDEX('מיפוי ומקורות'!$D$7:$D$33,MATCH(H1157,'מיפוי ומקורות'!$B$7:$B$33,0)),"שוטף")</x:f>
        <x:v>שוטף</x:v>
      </x:c>
      <x:c r="K1157" s="19" t="str">
        <x:f>IF(OR(H1157="ריביות",AND(H1157="דירה כצנלסון",G1157&lt;0,ISNUMBER(SEARCH("הכנסה",F1157)))),"הכנסה שסווגה מחדש",J1157)</x:f>
        <x:v>שוטף</x:v>
      </x:c>
      <x:c r="L1157" s="19" t="str">
        <x:v>מאושר</x:v>
      </x:c>
      <x:c r="M1157" s="20" t="n">
        <x:f>IF(L1157="מאושר",IF(K1157="הכנסה שסווגה מחדש",0,G1157),0)</x:f>
        <x:v>70</x:v>
      </x:c>
      <x:c r="N1157" s="20" t="n">
        <x:f>IF(K1157="שוטף",M1157,0)</x:f>
        <x:v>70</x:v>
      </x:c>
      <x:c r="O1157" s="20" t="n">
        <x:f>IF(K1157="הכנסה שסווגה מחדש",-G1157,0)</x:f>
        <x:v>0</x:v>
      </x:c>
      <x:c r="P1157" s="11" t="str">
        <x:v>אמקס זיו</x:v>
      </x:c>
      <x:c r="Q1157" s="11" t="str"/>
      <x:c r="R1157" s="11" t="str">
        <x:v>לא</x:v>
      </x:c>
    </x:row>
    <x:row r="1158">
      <x:c r="A1158" s="14" t="n">
        <x:v>45992</x:v>
      </x:c>
      <x:c r="B1158" s="11" t="str">
        <x:v>2025-12</x:v>
      </x:c>
      <x:c r="C1158" s="11" t="str">
        <x:v>דצמבר 25</x:v>
      </x:c>
      <x:c r="D1158" s="15" t="n">
        <x:v>43</x:v>
      </x:c>
      <x:c r="E1158" s="11" t="str">
        <x:v>3</x:v>
      </x:c>
      <x:c r="F1158" s="11" t="str">
        <x:v>כרטיס לאורות חנוכה</x:v>
      </x:c>
      <x:c r="G1158" s="17" t="n">
        <x:v>49</x:v>
      </x:c>
      <x:c r="H1158" s="18" t="str">
        <x:v>פנאי</x:v>
      </x:c>
      <x:c r="I1158" s="19" t="str">
        <x:f>IFERROR(INDEX('מיפוי ומקורות'!$C$7:$C$33,MATCH(H1158,'מיפוי ומקורות'!$B$7:$B$33,0)),"לא מסווג")</x:f>
        <x:v>פנאי</x:v>
      </x:c>
      <x:c r="J1158" s="19" t="str">
        <x:f>IFERROR(INDEX('מיפוי ומקורות'!$D$7:$D$33,MATCH(H1158,'מיפוי ומקורות'!$B$7:$B$33,0)),"שוטף")</x:f>
        <x:v>שוטף</x:v>
      </x:c>
      <x:c r="K1158" s="19" t="str">
        <x:f>IF(OR(H1158="ריביות",AND(H1158="דירה כצנלסון",G1158&lt;0,ISNUMBER(SEARCH("הכנסה",F1158)))),"הכנסה שסווגה מחדש",J1158)</x:f>
        <x:v>שוטף</x:v>
      </x:c>
      <x:c r="L1158" s="19" t="str">
        <x:v>מאושר</x:v>
      </x:c>
      <x:c r="M1158" s="20" t="n">
        <x:f>IF(L1158="מאושר",IF(K1158="הכנסה שסווגה מחדש",0,G1158),0)</x:f>
        <x:v>49</x:v>
      </x:c>
      <x:c r="N1158" s="20" t="n">
        <x:f>IF(K1158="שוטף",M1158,0)</x:f>
        <x:v>49</x:v>
      </x:c>
      <x:c r="O1158" s="20" t="n">
        <x:f>IF(K1158="הכנסה שסווגה מחדש",-G1158,0)</x:f>
        <x:v>0</x:v>
      </x:c>
      <x:c r="P1158" s="11" t="str">
        <x:v>אמקס זיו</x:v>
      </x:c>
      <x:c r="Q1158" s="11" t="str"/>
      <x:c r="R1158" s="11" t="str">
        <x:v>לא</x:v>
      </x:c>
    </x:row>
    <x:row r="1159">
      <x:c r="A1159" s="14" t="n">
        <x:v>45992</x:v>
      </x:c>
      <x:c r="B1159" s="11" t="str">
        <x:v>2025-12</x:v>
      </x:c>
      <x:c r="C1159" s="11" t="str">
        <x:v>דצמבר 25</x:v>
      </x:c>
      <x:c r="D1159" s="15" t="n">
        <x:v>44</x:v>
      </x:c>
      <x:c r="E1159" s="11" t="str">
        <x:v>3</x:v>
      </x:c>
      <x:c r="F1159" s="11" t="str">
        <x:v>אורות חנוכה</x:v>
      </x:c>
      <x:c r="G1159" s="17" t="n">
        <x:v>248</x:v>
      </x:c>
      <x:c r="H1159" s="18" t="str">
        <x:v>פנאי</x:v>
      </x:c>
      <x:c r="I1159" s="19" t="str">
        <x:f>IFERROR(INDEX('מיפוי ומקורות'!$C$7:$C$33,MATCH(H1159,'מיפוי ומקורות'!$B$7:$B$33,0)),"לא מסווג")</x:f>
        <x:v>פנאי</x:v>
      </x:c>
      <x:c r="J1159" s="19" t="str">
        <x:f>IFERROR(INDEX('מיפוי ומקורות'!$D$7:$D$33,MATCH(H1159,'מיפוי ומקורות'!$B$7:$B$33,0)),"שוטף")</x:f>
        <x:v>שוטף</x:v>
      </x:c>
      <x:c r="K1159" s="19" t="str">
        <x:f>IF(OR(H1159="ריביות",AND(H1159="דירה כצנלסון",G1159&lt;0,ISNUMBER(SEARCH("הכנסה",F1159)))),"הכנסה שסווגה מחדש",J1159)</x:f>
        <x:v>שוטף</x:v>
      </x:c>
      <x:c r="L1159" s="19" t="str">
        <x:v>מאושר</x:v>
      </x:c>
      <x:c r="M1159" s="20" t="n">
        <x:f>IF(L1159="מאושר",IF(K1159="הכנסה שסווגה מחדש",0,G1159),0)</x:f>
        <x:v>248</x:v>
      </x:c>
      <x:c r="N1159" s="20" t="n">
        <x:f>IF(K1159="שוטף",M1159,0)</x:f>
        <x:v>248</x:v>
      </x:c>
      <x:c r="O1159" s="20" t="n">
        <x:f>IF(K1159="הכנסה שסווגה מחדש",-G1159,0)</x:f>
        <x:v>0</x:v>
      </x:c>
      <x:c r="P1159" s="11" t="str">
        <x:v>אמקס זיו</x:v>
      </x:c>
      <x:c r="Q1159" s="11" t="str"/>
      <x:c r="R1159" s="11" t="str">
        <x:v>לא</x:v>
      </x:c>
    </x:row>
    <x:row r="1160">
      <x:c r="A1160" s="14" t="n">
        <x:v>45992</x:v>
      </x:c>
      <x:c r="B1160" s="11" t="str">
        <x:v>2025-12</x:v>
      </x:c>
      <x:c r="C1160" s="11" t="str">
        <x:v>דצמבר 25</x:v>
      </x:c>
      <x:c r="D1160" s="15" t="n">
        <x:v>45</x:v>
      </x:c>
      <x:c r="E1160" s="11" t="str">
        <x:v>4</x:v>
      </x:c>
      <x:c r="F1160" s="11" t="str">
        <x:v>סופר</x:v>
      </x:c>
      <x:c r="G1160" s="17" t="n">
        <x:v>74</x:v>
      </x:c>
      <x:c r="H1160" s="18" t="str">
        <x:v>מזון לבית</x:v>
      </x:c>
      <x:c r="I1160" s="19" t="str">
        <x:f>IFERROR(INDEX('מיפוי ומקורות'!$C$7:$C$33,MATCH(H1160,'מיפוי ומקורות'!$B$7:$B$33,0)),"לא מסווג")</x:f>
        <x:v>מזון לבית</x:v>
      </x:c>
      <x:c r="J1160" s="19" t="str">
        <x:f>IFERROR(INDEX('מיפוי ומקורות'!$D$7:$D$33,MATCH(H1160,'מיפוי ומקורות'!$B$7:$B$33,0)),"שוטף")</x:f>
        <x:v>שוטף</x:v>
      </x:c>
      <x:c r="K1160" s="19" t="str">
        <x:f>IF(OR(H1160="ריביות",AND(H1160="דירה כצנלסון",G1160&lt;0,ISNUMBER(SEARCH("הכנסה",F1160)))),"הכנסה שסווגה מחדש",J1160)</x:f>
        <x:v>שוטף</x:v>
      </x:c>
      <x:c r="L1160" s="19" t="str">
        <x:v>מאושר</x:v>
      </x:c>
      <x:c r="M1160" s="20" t="n">
        <x:f>IF(L1160="מאושר",IF(K1160="הכנסה שסווגה מחדש",0,G1160),0)</x:f>
        <x:v>74</x:v>
      </x:c>
      <x:c r="N1160" s="20" t="n">
        <x:f>IF(K1160="שוטף",M1160,0)</x:f>
        <x:v>74</x:v>
      </x:c>
      <x:c r="O1160" s="20" t="n">
        <x:f>IF(K1160="הכנסה שסווגה מחדש",-G1160,0)</x:f>
        <x:v>0</x:v>
      </x:c>
      <x:c r="P1160" s="11" t="str">
        <x:v>אמקס זיו</x:v>
      </x:c>
      <x:c r="Q1160" s="11" t="str"/>
      <x:c r="R1160" s="11" t="str">
        <x:v>לא</x:v>
      </x:c>
    </x:row>
    <x:row r="1161">
      <x:c r="A1161" s="14" t="n">
        <x:v>45992</x:v>
      </x:c>
      <x:c r="B1161" s="11" t="str">
        <x:v>2025-12</x:v>
      </x:c>
      <x:c r="C1161" s="11" t="str">
        <x:v>דצמבר 25</x:v>
      </x:c>
      <x:c r="D1161" s="15" t="n">
        <x:v>46</x:v>
      </x:c>
      <x:c r="E1161" s="11" t="str">
        <x:v>4</x:v>
      </x:c>
      <x:c r="F1161" s="11" t="str">
        <x:v>ירקן</x:v>
      </x:c>
      <x:c r="G1161" s="17" t="n">
        <x:v>35</x:v>
      </x:c>
      <x:c r="H1161" s="18" t="str">
        <x:v>מזון לבית</x:v>
      </x:c>
      <x:c r="I1161" s="19" t="str">
        <x:f>IFERROR(INDEX('מיפוי ומקורות'!$C$7:$C$33,MATCH(H1161,'מיפוי ומקורות'!$B$7:$B$33,0)),"לא מסווג")</x:f>
        <x:v>מזון לבית</x:v>
      </x:c>
      <x:c r="J1161" s="19" t="str">
        <x:f>IFERROR(INDEX('מיפוי ומקורות'!$D$7:$D$33,MATCH(H1161,'מיפוי ומקורות'!$B$7:$B$33,0)),"שוטף")</x:f>
        <x:v>שוטף</x:v>
      </x:c>
      <x:c r="K1161" s="19" t="str">
        <x:f>IF(OR(H1161="ריביות",AND(H1161="דירה כצנלסון",G1161&lt;0,ISNUMBER(SEARCH("הכנסה",F1161)))),"הכנסה שסווגה מחדש",J1161)</x:f>
        <x:v>שוטף</x:v>
      </x:c>
      <x:c r="L1161" s="19" t="str">
        <x:v>מאושר</x:v>
      </x:c>
      <x:c r="M1161" s="20" t="n">
        <x:f>IF(L1161="מאושר",IF(K1161="הכנסה שסווגה מחדש",0,G1161),0)</x:f>
        <x:v>35</x:v>
      </x:c>
      <x:c r="N1161" s="20" t="n">
        <x:f>IF(K1161="שוטף",M1161,0)</x:f>
        <x:v>35</x:v>
      </x:c>
      <x:c r="O1161" s="20" t="n">
        <x:f>IF(K1161="הכנסה שסווגה מחדש",-G1161,0)</x:f>
        <x:v>0</x:v>
      </x:c>
      <x:c r="P1161" s="11" t="str">
        <x:v>אמקס זיו</x:v>
      </x:c>
      <x:c r="Q1161" s="11" t="str"/>
      <x:c r="R1161" s="11" t="str">
        <x:v>לא</x:v>
      </x:c>
    </x:row>
    <x:row r="1162">
      <x:c r="A1162" s="14" t="n">
        <x:v>45992</x:v>
      </x:c>
      <x:c r="B1162" s="11" t="str">
        <x:v>2025-12</x:v>
      </x:c>
      <x:c r="C1162" s="11" t="str">
        <x:v>דצמבר 25</x:v>
      </x:c>
      <x:c r="D1162" s="15" t="n">
        <x:v>47</x:v>
      </x:c>
      <x:c r="E1162" s="11" t="str">
        <x:v>4</x:v>
      </x:c>
      <x:c r="F1162" s="11" t="str">
        <x:v>מתנת לידה</x:v>
      </x:c>
      <x:c r="G1162" s="17" t="n">
        <x:v>20</x:v>
      </x:c>
      <x:c r="H1162" s="18" t="str">
        <x:v>מתנה</x:v>
      </x:c>
      <x:c r="I1162" s="19" t="str">
        <x:f>IFERROR(INDEX('מיפוי ומקורות'!$C$7:$C$33,MATCH(H1162,'מיפוי ומקורות'!$B$7:$B$33,0)),"לא מסווג")</x:f>
        <x:v>מתנה</x:v>
      </x:c>
      <x:c r="J1162" s="19" t="str">
        <x:f>IFERROR(INDEX('מיפוי ומקורות'!$D$7:$D$33,MATCH(H1162,'מיפוי ומקורות'!$B$7:$B$33,0)),"שוטף")</x:f>
        <x:v>שוטף</x:v>
      </x:c>
      <x:c r="K1162" s="19" t="str">
        <x:f>IF(OR(H1162="ריביות",AND(H1162="דירה כצנלסון",G1162&lt;0,ISNUMBER(SEARCH("הכנסה",F1162)))),"הכנסה שסווגה מחדש",J1162)</x:f>
        <x:v>שוטף</x:v>
      </x:c>
      <x:c r="L1162" s="19" t="str">
        <x:v>מאושר</x:v>
      </x:c>
      <x:c r="M1162" s="20" t="n">
        <x:f>IF(L1162="מאושר",IF(K1162="הכנסה שסווגה מחדש",0,G1162),0)</x:f>
        <x:v>20</x:v>
      </x:c>
      <x:c r="N1162" s="20" t="n">
        <x:f>IF(K1162="שוטף",M1162,0)</x:f>
        <x:v>20</x:v>
      </x:c>
      <x:c r="O1162" s="20" t="n">
        <x:f>IF(K1162="הכנסה שסווגה מחדש",-G1162,0)</x:f>
        <x:v>0</x:v>
      </x:c>
      <x:c r="P1162" s="11" t="str">
        <x:v>אמקס זיו</x:v>
      </x:c>
      <x:c r="Q1162" s="11" t="str"/>
      <x:c r="R1162" s="11" t="str">
        <x:v>לא</x:v>
      </x:c>
    </x:row>
    <x:row r="1163">
      <x:c r="A1163" s="14" t="n">
        <x:v>45992</x:v>
      </x:c>
      <x:c r="B1163" s="11" t="str">
        <x:v>2025-12</x:v>
      </x:c>
      <x:c r="C1163" s="11" t="str">
        <x:v>דצמבר 25</x:v>
      </x:c>
      <x:c r="D1163" s="15" t="n">
        <x:v>48</x:v>
      </x:c>
      <x:c r="E1163" s="11" t="str">
        <x:v>5</x:v>
      </x:c>
      <x:c r="F1163" s="11" t="str">
        <x:v>בר</x:v>
      </x:c>
      <x:c r="G1163" s="17" t="n">
        <x:v>170</x:v>
      </x:c>
      <x:c r="H1163" s="18" t="str">
        <x:v>אוכל בחוץ</x:v>
      </x:c>
      <x:c r="I1163" s="19" t="str">
        <x:f>IFERROR(INDEX('מיפוי ומקורות'!$C$7:$C$33,MATCH(H1163,'מיפוי ומקורות'!$B$7:$B$33,0)),"לא מסווג")</x:f>
        <x:v>אוכל בחוץ</x:v>
      </x:c>
      <x:c r="J1163" s="19" t="str">
        <x:f>IFERROR(INDEX('מיפוי ומקורות'!$D$7:$D$33,MATCH(H1163,'מיפוי ומקורות'!$B$7:$B$33,0)),"שוטף")</x:f>
        <x:v>שוטף</x:v>
      </x:c>
      <x:c r="K1163" s="19" t="str">
        <x:f>IF(OR(H1163="ריביות",AND(H1163="דירה כצנלסון",G1163&lt;0,ISNUMBER(SEARCH("הכנסה",F1163)))),"הכנסה שסווגה מחדש",J1163)</x:f>
        <x:v>שוטף</x:v>
      </x:c>
      <x:c r="L1163" s="19" t="str">
        <x:v>מאושר</x:v>
      </x:c>
      <x:c r="M1163" s="20" t="n">
        <x:f>IF(L1163="מאושר",IF(K1163="הכנסה שסווגה מחדש",0,G1163),0)</x:f>
        <x:v>170</x:v>
      </x:c>
      <x:c r="N1163" s="20" t="n">
        <x:f>IF(K1163="שוטף",M1163,0)</x:f>
        <x:v>170</x:v>
      </x:c>
      <x:c r="O1163" s="20" t="n">
        <x:f>IF(K1163="הכנסה שסווגה מחדש",-G1163,0)</x:f>
        <x:v>0</x:v>
      </x:c>
      <x:c r="P1163" s="11" t="str">
        <x:v>אמקס זיו</x:v>
      </x:c>
      <x:c r="Q1163" s="11" t="str"/>
      <x:c r="R1163" s="11" t="str">
        <x:v>לא</x:v>
      </x:c>
    </x:row>
    <x:row r="1164">
      <x:c r="A1164" s="14" t="n">
        <x:v>45992</x:v>
      </x:c>
      <x:c r="B1164" s="11" t="str">
        <x:v>2025-12</x:v>
      </x:c>
      <x:c r="C1164" s="11" t="str">
        <x:v>דצמבר 25</x:v>
      </x:c>
      <x:c r="D1164" s="15" t="n">
        <x:v>49</x:v>
      </x:c>
      <x:c r="E1164" s="11" t="str">
        <x:v>9</x:v>
      </x:c>
      <x:c r="F1164" s="11" t="str">
        <x:v>מקס ליונתן</x:v>
      </x:c>
      <x:c r="G1164" s="17" t="n">
        <x:v>262</x:v>
      </x:c>
      <x:c r="H1164" s="18" t="str">
        <x:v>מתנה</x:v>
      </x:c>
      <x:c r="I1164" s="19" t="str">
        <x:f>IFERROR(INDEX('מיפוי ומקורות'!$C$7:$C$33,MATCH(H1164,'מיפוי ומקורות'!$B$7:$B$33,0)),"לא מסווג")</x:f>
        <x:v>מתנה</x:v>
      </x:c>
      <x:c r="J1164" s="19" t="str">
        <x:f>IFERROR(INDEX('מיפוי ומקורות'!$D$7:$D$33,MATCH(H1164,'מיפוי ומקורות'!$B$7:$B$33,0)),"שוטף")</x:f>
        <x:v>שוטף</x:v>
      </x:c>
      <x:c r="K1164" s="19" t="str">
        <x:f>IF(OR(H1164="ריביות",AND(H1164="דירה כצנלסון",G1164&lt;0,ISNUMBER(SEARCH("הכנסה",F1164)))),"הכנסה שסווגה מחדש",J1164)</x:f>
        <x:v>שוטף</x:v>
      </x:c>
      <x:c r="L1164" s="19" t="str">
        <x:v>מאושר</x:v>
      </x:c>
      <x:c r="M1164" s="20" t="n">
        <x:f>IF(L1164="מאושר",IF(K1164="הכנסה שסווגה מחדש",0,G1164),0)</x:f>
        <x:v>262</x:v>
      </x:c>
      <x:c r="N1164" s="20" t="n">
        <x:f>IF(K1164="שוטף",M1164,0)</x:f>
        <x:v>262</x:v>
      </x:c>
      <x:c r="O1164" s="20" t="n">
        <x:f>IF(K1164="הכנסה שסווגה מחדש",-G1164,0)</x:f>
        <x:v>0</x:v>
      </x:c>
      <x:c r="P1164" s="11" t="str">
        <x:v>אמקס זיו</x:v>
      </x:c>
      <x:c r="Q1164" s="11" t="str"/>
      <x:c r="R1164" s="11" t="str">
        <x:v>לא</x:v>
      </x:c>
    </x:row>
    <x:row r="1165">
      <x:c r="A1165" s="14" t="n">
        <x:v>45992</x:v>
      </x:c>
      <x:c r="B1165" s="11" t="str">
        <x:v>2025-12</x:v>
      </x:c>
      <x:c r="C1165" s="11" t="str">
        <x:v>דצמבר 25</x:v>
      </x:c>
      <x:c r="D1165" s="15" t="n">
        <x:v>50</x:v>
      </x:c>
      <x:c r="E1165" s="11" t="str">
        <x:v>10</x:v>
      </x:c>
      <x:c r="F1165" s="11" t="str">
        <x:v>ירקן</x:v>
      </x:c>
      <x:c r="G1165" s="17" t="n">
        <x:v>41</x:v>
      </x:c>
      <x:c r="H1165" s="18" t="str">
        <x:v>מזון לבית</x:v>
      </x:c>
      <x:c r="I1165" s="19" t="str">
        <x:f>IFERROR(INDEX('מיפוי ומקורות'!$C$7:$C$33,MATCH(H1165,'מיפוי ומקורות'!$B$7:$B$33,0)),"לא מסווג")</x:f>
        <x:v>מזון לבית</x:v>
      </x:c>
      <x:c r="J1165" s="19" t="str">
        <x:f>IFERROR(INDEX('מיפוי ומקורות'!$D$7:$D$33,MATCH(H1165,'מיפוי ומקורות'!$B$7:$B$33,0)),"שוטף")</x:f>
        <x:v>שוטף</x:v>
      </x:c>
      <x:c r="K1165" s="19" t="str">
        <x:f>IF(OR(H1165="ריביות",AND(H1165="דירה כצנלסון",G1165&lt;0,ISNUMBER(SEARCH("הכנסה",F1165)))),"הכנסה שסווגה מחדש",J1165)</x:f>
        <x:v>שוטף</x:v>
      </x:c>
      <x:c r="L1165" s="19" t="str">
        <x:v>מאושר</x:v>
      </x:c>
      <x:c r="M1165" s="20" t="n">
        <x:f>IF(L1165="מאושר",IF(K1165="הכנסה שסווגה מחדש",0,G1165),0)</x:f>
        <x:v>41</x:v>
      </x:c>
      <x:c r="N1165" s="20" t="n">
        <x:f>IF(K1165="שוטף",M1165,0)</x:f>
        <x:v>41</x:v>
      </x:c>
      <x:c r="O1165" s="20" t="n">
        <x:f>IF(K1165="הכנסה שסווגה מחדש",-G1165,0)</x:f>
        <x:v>0</x:v>
      </x:c>
      <x:c r="P1165" s="11" t="str">
        <x:v>אמקס זיו</x:v>
      </x:c>
      <x:c r="Q1165" s="11" t="str"/>
      <x:c r="R1165" s="11" t="str">
        <x:v>לא</x:v>
      </x:c>
    </x:row>
    <x:row r="1166">
      <x:c r="A1166" s="14" t="n">
        <x:v>45992</x:v>
      </x:c>
      <x:c r="B1166" s="11" t="str">
        <x:v>2025-12</x:v>
      </x:c>
      <x:c r="C1166" s="11" t="str">
        <x:v>דצמבר 25</x:v>
      </x:c>
      <x:c r="D1166" s="15" t="n">
        <x:v>51</x:v>
      </x:c>
      <x:c r="E1166" s="11" t="str">
        <x:v>10</x:v>
      </x:c>
      <x:c r="F1166" s="11" t="str">
        <x:v>פרחים</x:v>
      </x:c>
      <x:c r="G1166" s="17" t="n">
        <x:v>90</x:v>
      </x:c>
      <x:c r="H1166" s="18" t="str">
        <x:v>מתנה</x:v>
      </x:c>
      <x:c r="I1166" s="19" t="str">
        <x:f>IFERROR(INDEX('מיפוי ומקורות'!$C$7:$C$33,MATCH(H1166,'מיפוי ומקורות'!$B$7:$B$33,0)),"לא מסווג")</x:f>
        <x:v>מתנה</x:v>
      </x:c>
      <x:c r="J1166" s="19" t="str">
        <x:f>IFERROR(INDEX('מיפוי ומקורות'!$D$7:$D$33,MATCH(H1166,'מיפוי ומקורות'!$B$7:$B$33,0)),"שוטף")</x:f>
        <x:v>שוטף</x:v>
      </x:c>
      <x:c r="K1166" s="19" t="str">
        <x:f>IF(OR(H1166="ריביות",AND(H1166="דירה כצנלסון",G1166&lt;0,ISNUMBER(SEARCH("הכנסה",F1166)))),"הכנסה שסווגה מחדש",J1166)</x:f>
        <x:v>שוטף</x:v>
      </x:c>
      <x:c r="L1166" s="19" t="str">
        <x:v>מאושר</x:v>
      </x:c>
      <x:c r="M1166" s="20" t="n">
        <x:f>IF(L1166="מאושר",IF(K1166="הכנסה שסווגה מחדש",0,G1166),0)</x:f>
        <x:v>90</x:v>
      </x:c>
      <x:c r="N1166" s="20" t="n">
        <x:f>IF(K1166="שוטף",M1166,0)</x:f>
        <x:v>90</x:v>
      </x:c>
      <x:c r="O1166" s="20" t="n">
        <x:f>IF(K1166="הכנסה שסווגה מחדש",-G1166,0)</x:f>
        <x:v>0</x:v>
      </x:c>
      <x:c r="P1166" s="11" t="str">
        <x:v>אמקס זיו</x:v>
      </x:c>
      <x:c r="Q1166" s="11" t="str"/>
      <x:c r="R1166" s="11" t="str">
        <x:v>לא</x:v>
      </x:c>
    </x:row>
    <x:row r="1167">
      <x:c r="A1167" s="14" t="n">
        <x:v>45992</x:v>
      </x:c>
      <x:c r="B1167" s="11" t="str">
        <x:v>2025-12</x:v>
      </x:c>
      <x:c r="C1167" s="11" t="str">
        <x:v>דצמבר 25</x:v>
      </x:c>
      <x:c r="D1167" s="15" t="n">
        <x:v>52</x:v>
      </x:c>
      <x:c r="E1167" s="11" t="str">
        <x:v>11</x:v>
      </x:c>
      <x:c r="F1167" s="11" t="str">
        <x:v>אוכל</x:v>
      </x:c>
      <x:c r="G1167" s="17" t="n">
        <x:v>71</x:v>
      </x:c>
      <x:c r="H1167" s="18" t="str">
        <x:v>אוכל בחוץ</x:v>
      </x:c>
      <x:c r="I1167" s="19" t="str">
        <x:f>IFERROR(INDEX('מיפוי ומקורות'!$C$7:$C$33,MATCH(H1167,'מיפוי ומקורות'!$B$7:$B$33,0)),"לא מסווג")</x:f>
        <x:v>אוכל בחוץ</x:v>
      </x:c>
      <x:c r="J1167" s="19" t="str">
        <x:f>IFERROR(INDEX('מיפוי ומקורות'!$D$7:$D$33,MATCH(H1167,'מיפוי ומקורות'!$B$7:$B$33,0)),"שוטף")</x:f>
        <x:v>שוטף</x:v>
      </x:c>
      <x:c r="K1167" s="19" t="str">
        <x:f>IF(OR(H1167="ריביות",AND(H1167="דירה כצנלסון",G1167&lt;0,ISNUMBER(SEARCH("הכנסה",F1167)))),"הכנסה שסווגה מחדש",J1167)</x:f>
        <x:v>שוטף</x:v>
      </x:c>
      <x:c r="L1167" s="19" t="str">
        <x:v>מאושר</x:v>
      </x:c>
      <x:c r="M1167" s="20" t="n">
        <x:f>IF(L1167="מאושר",IF(K1167="הכנסה שסווגה מחדש",0,G1167),0)</x:f>
        <x:v>71</x:v>
      </x:c>
      <x:c r="N1167" s="20" t="n">
        <x:f>IF(K1167="שוטף",M1167,0)</x:f>
        <x:v>71</x:v>
      </x:c>
      <x:c r="O1167" s="20" t="n">
        <x:f>IF(K1167="הכנסה שסווגה מחדש",-G1167,0)</x:f>
        <x:v>0</x:v>
      </x:c>
      <x:c r="P1167" s="11" t="str">
        <x:v>אמקס זיו</x:v>
      </x:c>
      <x:c r="Q1167" s="11" t="str"/>
      <x:c r="R1167" s="11" t="str">
        <x:v>לא</x:v>
      </x:c>
    </x:row>
    <x:row r="1168">
      <x:c r="A1168" s="14" t="n">
        <x:v>45992</x:v>
      </x:c>
      <x:c r="B1168" s="11" t="str">
        <x:v>2025-12</x:v>
      </x:c>
      <x:c r="C1168" s="11" t="str">
        <x:v>דצמבר 25</x:v>
      </x:c>
      <x:c r="D1168" s="15" t="n">
        <x:v>53</x:v>
      </x:c>
      <x:c r="E1168" s="11" t="str">
        <x:v>11</x:v>
      </x:c>
      <x:c r="F1168" s="11" t="str">
        <x:v>כרית קאפ קייק</x:v>
      </x:c>
      <x:c r="G1168" s="17" t="n">
        <x:v>100</x:v>
      </x:c>
      <x:c r="H1168" s="18" t="str">
        <x:v>קניות לבית</x:v>
      </x:c>
      <x:c r="I1168" s="19" t="str">
        <x:f>IFERROR(INDEX('מיפוי ומקורות'!$C$7:$C$33,MATCH(H1168,'מיפוי ומקורות'!$B$7:$B$33,0)),"לא מסווג")</x:f>
        <x:v>קניות לבית</x:v>
      </x:c>
      <x:c r="J1168" s="19" t="str">
        <x:f>IFERROR(INDEX('מיפוי ומקורות'!$D$7:$D$33,MATCH(H1168,'מיפוי ומקורות'!$B$7:$B$33,0)),"שוטף")</x:f>
        <x:v>שוטף</x:v>
      </x:c>
      <x:c r="K1168" s="19" t="str">
        <x:f>IF(OR(H1168="ריביות",AND(H1168="דירה כצנלסון",G1168&lt;0,ISNUMBER(SEARCH("הכנסה",F1168)))),"הכנסה שסווגה מחדש",J1168)</x:f>
        <x:v>שוטף</x:v>
      </x:c>
      <x:c r="L1168" s="19" t="str">
        <x:v>מאושר</x:v>
      </x:c>
      <x:c r="M1168" s="20" t="n">
        <x:f>IF(L1168="מאושר",IF(K1168="הכנסה שסווגה מחדש",0,G1168),0)</x:f>
        <x:v>100</x:v>
      </x:c>
      <x:c r="N1168" s="20" t="n">
        <x:f>IF(K1168="שוטף",M1168,0)</x:f>
        <x:v>100</x:v>
      </x:c>
      <x:c r="O1168" s="20" t="n">
        <x:f>IF(K1168="הכנסה שסווגה מחדש",-G1168,0)</x:f>
        <x:v>0</x:v>
      </x:c>
      <x:c r="P1168" s="11" t="str">
        <x:v>אמקס זיו</x:v>
      </x:c>
      <x:c r="Q1168" s="11" t="str"/>
      <x:c r="R1168" s="11" t="str">
        <x:v>לא</x:v>
      </x:c>
    </x:row>
    <x:row r="1169">
      <x:c r="A1169" s="14" t="n">
        <x:v>45992</x:v>
      </x:c>
      <x:c r="B1169" s="11" t="str">
        <x:v>2025-12</x:v>
      </x:c>
      <x:c r="C1169" s="11" t="str">
        <x:v>דצמבר 25</x:v>
      </x:c>
      <x:c r="D1169" s="15" t="n">
        <x:v>54</x:v>
      </x:c>
      <x:c r="E1169" s="11" t="str">
        <x:v>12</x:v>
      </x:c>
      <x:c r="F1169" s="11" t="str">
        <x:v>דלק</x:v>
      </x:c>
      <x:c r="G1169" s="17" t="n">
        <x:v>242</x:v>
      </x:c>
      <x:c r="H1169" s="18" t="str">
        <x:v>תחבורה</x:v>
      </x:c>
      <x:c r="I1169" s="19" t="str">
        <x:f>IFERROR(INDEX('מיפוי ומקורות'!$C$7:$C$33,MATCH(H1169,'מיפוי ומקורות'!$B$7:$B$33,0)),"לא מסווג")</x:f>
        <x:v>תחבורה</x:v>
      </x:c>
      <x:c r="J1169" s="19" t="str">
        <x:f>IFERROR(INDEX('מיפוי ומקורות'!$D$7:$D$33,MATCH(H1169,'מיפוי ומקורות'!$B$7:$B$33,0)),"שוטף")</x:f>
        <x:v>שוטף</x:v>
      </x:c>
      <x:c r="K1169" s="19" t="str">
        <x:f>IF(OR(H1169="ריביות",AND(H1169="דירה כצנלסון",G1169&lt;0,ISNUMBER(SEARCH("הכנסה",F1169)))),"הכנסה שסווגה מחדש",J1169)</x:f>
        <x:v>שוטף</x:v>
      </x:c>
      <x:c r="L1169" s="19" t="str">
        <x:v>מאושר</x:v>
      </x:c>
      <x:c r="M1169" s="20" t="n">
        <x:f>IF(L1169="מאושר",IF(K1169="הכנסה שסווגה מחדש",0,G1169),0)</x:f>
        <x:v>242</x:v>
      </x:c>
      <x:c r="N1169" s="20" t="n">
        <x:f>IF(K1169="שוטף",M1169,0)</x:f>
        <x:v>242</x:v>
      </x:c>
      <x:c r="O1169" s="20" t="n">
        <x:f>IF(K1169="הכנסה שסווגה מחדש",-G1169,0)</x:f>
        <x:v>0</x:v>
      </x:c>
      <x:c r="P1169" s="11" t="str">
        <x:v>אמקס זיו</x:v>
      </x:c>
      <x:c r="Q1169" s="11" t="str"/>
      <x:c r="R1169" s="11" t="str">
        <x:v>לא</x:v>
      </x:c>
    </x:row>
    <x:row r="1170">
      <x:c r="A1170" s="14" t="n">
        <x:v>45992</x:v>
      </x:c>
      <x:c r="B1170" s="11" t="str">
        <x:v>2025-12</x:v>
      </x:c>
      <x:c r="C1170" s="11" t="str">
        <x:v>דצמבר 25</x:v>
      </x:c>
      <x:c r="D1170" s="15" t="n">
        <x:v>55</x:v>
      </x:c>
      <x:c r="E1170" s="11" t="str">
        <x:v>12</x:v>
      </x:c>
      <x:c r="F1170" s="11" t="str">
        <x:v>שופרסל</x:v>
      </x:c>
      <x:c r="G1170" s="17" t="n">
        <x:v>22</x:v>
      </x:c>
      <x:c r="H1170" s="18" t="str">
        <x:v>מזון לבית</x:v>
      </x:c>
      <x:c r="I1170" s="19" t="str">
        <x:f>IFERROR(INDEX('מיפוי ומקורות'!$C$7:$C$33,MATCH(H1170,'מיפוי ומקורות'!$B$7:$B$33,0)),"לא מסווג")</x:f>
        <x:v>מזון לבית</x:v>
      </x:c>
      <x:c r="J1170" s="19" t="str">
        <x:f>IFERROR(INDEX('מיפוי ומקורות'!$D$7:$D$33,MATCH(H1170,'מיפוי ומקורות'!$B$7:$B$33,0)),"שוטף")</x:f>
        <x:v>שוטף</x:v>
      </x:c>
      <x:c r="K1170" s="19" t="str">
        <x:f>IF(OR(H1170="ריביות",AND(H1170="דירה כצנלסון",G1170&lt;0,ISNUMBER(SEARCH("הכנסה",F1170)))),"הכנסה שסווגה מחדש",J1170)</x:f>
        <x:v>שוטף</x:v>
      </x:c>
      <x:c r="L1170" s="19" t="str">
        <x:v>מאושר</x:v>
      </x:c>
      <x:c r="M1170" s="20" t="n">
        <x:f>IF(L1170="מאושר",IF(K1170="הכנסה שסווגה מחדש",0,G1170),0)</x:f>
        <x:v>22</x:v>
      </x:c>
      <x:c r="N1170" s="20" t="n">
        <x:f>IF(K1170="שוטף",M1170,0)</x:f>
        <x:v>22</x:v>
      </x:c>
      <x:c r="O1170" s="20" t="n">
        <x:f>IF(K1170="הכנסה שסווגה מחדש",-G1170,0)</x:f>
        <x:v>0</x:v>
      </x:c>
      <x:c r="P1170" s="11" t="str">
        <x:v>אמקס זיו</x:v>
      </x:c>
      <x:c r="Q1170" s="11" t="str"/>
      <x:c r="R1170" s="11" t="str">
        <x:v>לא</x:v>
      </x:c>
    </x:row>
    <x:row r="1171">
      <x:c r="A1171" s="14" t="n">
        <x:v>45992</x:v>
      </x:c>
      <x:c r="B1171" s="11" t="str">
        <x:v>2025-12</x:v>
      </x:c>
      <x:c r="C1171" s="11" t="str">
        <x:v>דצמבר 25</x:v>
      </x:c>
      <x:c r="D1171" s="15" t="n">
        <x:v>56</x:v>
      </x:c>
      <x:c r="E1171" s="11" t="str">
        <x:v>14</x:v>
      </x:c>
      <x:c r="F1171" s="11" t="str">
        <x:v>מתנת לידה</x:v>
      </x:c>
      <x:c r="G1171" s="17" t="n">
        <x:v>20</x:v>
      </x:c>
      <x:c r="H1171" s="18" t="str">
        <x:v>מתנה</x:v>
      </x:c>
      <x:c r="I1171" s="19" t="str">
        <x:f>IFERROR(INDEX('מיפוי ומקורות'!$C$7:$C$33,MATCH(H1171,'מיפוי ומקורות'!$B$7:$B$33,0)),"לא מסווג")</x:f>
        <x:v>מתנה</x:v>
      </x:c>
      <x:c r="J1171" s="19" t="str">
        <x:f>IFERROR(INDEX('מיפוי ומקורות'!$D$7:$D$33,MATCH(H1171,'מיפוי ומקורות'!$B$7:$B$33,0)),"שוטף")</x:f>
        <x:v>שוטף</x:v>
      </x:c>
      <x:c r="K1171" s="19" t="str">
        <x:f>IF(OR(H1171="ריביות",AND(H1171="דירה כצנלסון",G1171&lt;0,ISNUMBER(SEARCH("הכנסה",F1171)))),"הכנסה שסווגה מחדש",J1171)</x:f>
        <x:v>שוטף</x:v>
      </x:c>
      <x:c r="L1171" s="19" t="str">
        <x:v>מאושר</x:v>
      </x:c>
      <x:c r="M1171" s="20" t="n">
        <x:f>IF(L1171="מאושר",IF(K1171="הכנסה שסווגה מחדש",0,G1171),0)</x:f>
        <x:v>20</x:v>
      </x:c>
      <x:c r="N1171" s="20" t="n">
        <x:f>IF(K1171="שוטף",M1171,0)</x:f>
        <x:v>20</x:v>
      </x:c>
      <x:c r="O1171" s="20" t="n">
        <x:f>IF(K1171="הכנסה שסווגה מחדש",-G1171,0)</x:f>
        <x:v>0</x:v>
      </x:c>
      <x:c r="P1171" s="11" t="str">
        <x:v>אמקס זיו</x:v>
      </x:c>
      <x:c r="Q1171" s="11" t="str"/>
      <x:c r="R1171" s="11" t="str">
        <x:v>לא</x:v>
      </x:c>
    </x:row>
    <x:row r="1172">
      <x:c r="A1172" s="14" t="n">
        <x:v>45992</x:v>
      </x:c>
      <x:c r="B1172" s="11" t="str">
        <x:v>2025-12</x:v>
      </x:c>
      <x:c r="C1172" s="11" t="str">
        <x:v>דצמבר 25</x:v>
      </x:c>
      <x:c r="D1172" s="15" t="n">
        <x:v>57</x:v>
      </x:c>
      <x:c r="E1172" s="11" t="str">
        <x:v>16</x:v>
      </x:c>
      <x:c r="F1172" s="11" t="str">
        <x:v>סופר</x:v>
      </x:c>
      <x:c r="G1172" s="17" t="n">
        <x:v>416</x:v>
      </x:c>
      <x:c r="H1172" s="18" t="str">
        <x:v>מזון לבית</x:v>
      </x:c>
      <x:c r="I1172" s="19" t="str">
        <x:f>IFERROR(INDEX('מיפוי ומקורות'!$C$7:$C$33,MATCH(H1172,'מיפוי ומקורות'!$B$7:$B$33,0)),"לא מסווג")</x:f>
        <x:v>מזון לבית</x:v>
      </x:c>
      <x:c r="J1172" s="19" t="str">
        <x:f>IFERROR(INDEX('מיפוי ומקורות'!$D$7:$D$33,MATCH(H1172,'מיפוי ומקורות'!$B$7:$B$33,0)),"שוטף")</x:f>
        <x:v>שוטף</x:v>
      </x:c>
      <x:c r="K1172" s="19" t="str">
        <x:f>IF(OR(H1172="ריביות",AND(H1172="דירה כצנלסון",G1172&lt;0,ISNUMBER(SEARCH("הכנסה",F1172)))),"הכנסה שסווגה מחדש",J1172)</x:f>
        <x:v>שוטף</x:v>
      </x:c>
      <x:c r="L1172" s="19" t="str">
        <x:v>מאושר</x:v>
      </x:c>
      <x:c r="M1172" s="20" t="n">
        <x:f>IF(L1172="מאושר",IF(K1172="הכנסה שסווגה מחדש",0,G1172),0)</x:f>
        <x:v>416</x:v>
      </x:c>
      <x:c r="N1172" s="20" t="n">
        <x:f>IF(K1172="שוטף",M1172,0)</x:f>
        <x:v>416</x:v>
      </x:c>
      <x:c r="O1172" s="20" t="n">
        <x:f>IF(K1172="הכנסה שסווגה מחדש",-G1172,0)</x:f>
        <x:v>0</x:v>
      </x:c>
      <x:c r="P1172" s="11" t="str">
        <x:v>אמקס זיו</x:v>
      </x:c>
      <x:c r="Q1172" s="11" t="str"/>
      <x:c r="R1172" s="11" t="str">
        <x:v>לא</x:v>
      </x:c>
    </x:row>
    <x:row r="1173">
      <x:c r="A1173" s="14" t="n">
        <x:v>45992</x:v>
      </x:c>
      <x:c r="B1173" s="11" t="str">
        <x:v>2025-12</x:v>
      </x:c>
      <x:c r="C1173" s="11" t="str">
        <x:v>דצמבר 25</x:v>
      </x:c>
      <x:c r="D1173" s="15" t="n">
        <x:v>58</x:v>
      </x:c>
      <x:c r="E1173" s="11" t="str">
        <x:v>18</x:v>
      </x:c>
      <x:c r="F1173" s="11" t="str">
        <x:v>קנס</x:v>
      </x:c>
      <x:c r="G1173" s="17" t="n">
        <x:v>1000</x:v>
      </x:c>
      <x:c r="H1173" s="18" t="str">
        <x:v>תחבורה</x:v>
      </x:c>
      <x:c r="I1173" s="19" t="str">
        <x:f>IFERROR(INDEX('מיפוי ומקורות'!$C$7:$C$33,MATCH(H1173,'מיפוי ומקורות'!$B$7:$B$33,0)),"לא מסווג")</x:f>
        <x:v>תחבורה</x:v>
      </x:c>
      <x:c r="J1173" s="19" t="str">
        <x:f>IFERROR(INDEX('מיפוי ומקורות'!$D$7:$D$33,MATCH(H1173,'מיפוי ומקורות'!$B$7:$B$33,0)),"שוטף")</x:f>
        <x:v>שוטף</x:v>
      </x:c>
      <x:c r="K1173" s="19" t="str">
        <x:f>IF(OR(H1173="ריביות",AND(H1173="דירה כצנלסון",G1173&lt;0,ISNUMBER(SEARCH("הכנסה",F1173)))),"הכנסה שסווגה מחדש",J1173)</x:f>
        <x:v>שוטף</x:v>
      </x:c>
      <x:c r="L1173" s="19" t="str">
        <x:v>מאושר</x:v>
      </x:c>
      <x:c r="M1173" s="20" t="n">
        <x:f>IF(L1173="מאושר",IF(K1173="הכנסה שסווגה מחדש",0,G1173),0)</x:f>
        <x:v>1000</x:v>
      </x:c>
      <x:c r="N1173" s="20" t="n">
        <x:f>IF(K1173="שוטף",M1173,0)</x:f>
        <x:v>1000</x:v>
      </x:c>
      <x:c r="O1173" s="20" t="n">
        <x:f>IF(K1173="הכנסה שסווגה מחדש",-G1173,0)</x:f>
        <x:v>0</x:v>
      </x:c>
      <x:c r="P1173" s="11" t="str">
        <x:v>אמקס זיו</x:v>
      </x:c>
      <x:c r="Q1173" s="11" t="str"/>
      <x:c r="R1173" s="11" t="str">
        <x:v>לא</x:v>
      </x:c>
    </x:row>
    <x:row r="1174">
      <x:c r="A1174" s="14" t="n">
        <x:v>45992</x:v>
      </x:c>
      <x:c r="B1174" s="11" t="str">
        <x:v>2025-12</x:v>
      </x:c>
      <x:c r="C1174" s="11" t="str">
        <x:v>דצמבר 25</x:v>
      </x:c>
      <x:c r="D1174" s="15" t="n">
        <x:v>59</x:v>
      </x:c>
      <x:c r="E1174" s="11" t="str">
        <x:v>21</x:v>
      </x:c>
      <x:c r="F1174" s="11" t="str">
        <x:v>חניון</x:v>
      </x:c>
      <x:c r="G1174" s="17" t="n">
        <x:v>29</x:v>
      </x:c>
      <x:c r="H1174" s="18" t="str">
        <x:v>תחבורה</x:v>
      </x:c>
      <x:c r="I1174" s="19" t="str">
        <x:f>IFERROR(INDEX('מיפוי ומקורות'!$C$7:$C$33,MATCH(H1174,'מיפוי ומקורות'!$B$7:$B$33,0)),"לא מסווג")</x:f>
        <x:v>תחבורה</x:v>
      </x:c>
      <x:c r="J1174" s="19" t="str">
        <x:f>IFERROR(INDEX('מיפוי ומקורות'!$D$7:$D$33,MATCH(H1174,'מיפוי ומקורות'!$B$7:$B$33,0)),"שוטף")</x:f>
        <x:v>שוטף</x:v>
      </x:c>
      <x:c r="K1174" s="19" t="str">
        <x:f>IF(OR(H1174="ריביות",AND(H1174="דירה כצנלסון",G1174&lt;0,ISNUMBER(SEARCH("הכנסה",F1174)))),"הכנסה שסווגה מחדש",J1174)</x:f>
        <x:v>שוטף</x:v>
      </x:c>
      <x:c r="L1174" s="19" t="str">
        <x:v>מאושר</x:v>
      </x:c>
      <x:c r="M1174" s="20" t="n">
        <x:f>IF(L1174="מאושר",IF(K1174="הכנסה שסווגה מחדש",0,G1174),0)</x:f>
        <x:v>29</x:v>
      </x:c>
      <x:c r="N1174" s="20" t="n">
        <x:f>IF(K1174="שוטף",M1174,0)</x:f>
        <x:v>29</x:v>
      </x:c>
      <x:c r="O1174" s="20" t="n">
        <x:f>IF(K1174="הכנסה שסווגה מחדש",-G1174,0)</x:f>
        <x:v>0</x:v>
      </x:c>
      <x:c r="P1174" s="11" t="str">
        <x:v>אמקס זיו</x:v>
      </x:c>
      <x:c r="Q1174" s="11" t="str"/>
      <x:c r="R1174" s="11" t="str">
        <x:v>לא</x:v>
      </x:c>
    </x:row>
    <x:row r="1175">
      <x:c r="A1175" s="14" t="n">
        <x:v>45992</x:v>
      </x:c>
      <x:c r="B1175" s="11" t="str">
        <x:v>2025-12</x:v>
      </x:c>
      <x:c r="C1175" s="11" t="str">
        <x:v>דצמבר 25</x:v>
      </x:c>
      <x:c r="D1175" s="15" t="n">
        <x:v>60</x:v>
      </x:c>
      <x:c r="E1175" s="11" t="str">
        <x:v>22</x:v>
      </x:c>
      <x:c r="F1175" s="11" t="str">
        <x:v>מוסך</x:v>
      </x:c>
      <x:c r="G1175" s="17" t="n">
        <x:v>783</x:v>
      </x:c>
      <x:c r="H1175" s="18" t="str">
        <x:v>תחבורה</x:v>
      </x:c>
      <x:c r="I1175" s="19" t="str">
        <x:f>IFERROR(INDEX('מיפוי ומקורות'!$C$7:$C$33,MATCH(H1175,'מיפוי ומקורות'!$B$7:$B$33,0)),"לא מסווג")</x:f>
        <x:v>תחבורה</x:v>
      </x:c>
      <x:c r="J1175" s="19" t="str">
        <x:f>IFERROR(INDEX('מיפוי ומקורות'!$D$7:$D$33,MATCH(H1175,'מיפוי ומקורות'!$B$7:$B$33,0)),"שוטף")</x:f>
        <x:v>שוטף</x:v>
      </x:c>
      <x:c r="K1175" s="19" t="str">
        <x:f>IF(OR(H1175="ריביות",AND(H1175="דירה כצנלסון",G1175&lt;0,ISNUMBER(SEARCH("הכנסה",F1175)))),"הכנסה שסווגה מחדש",J1175)</x:f>
        <x:v>שוטף</x:v>
      </x:c>
      <x:c r="L1175" s="19" t="str">
        <x:v>מאושר</x:v>
      </x:c>
      <x:c r="M1175" s="20" t="n">
        <x:f>IF(L1175="מאושר",IF(K1175="הכנסה שסווגה מחדש",0,G1175),0)</x:f>
        <x:v>783</x:v>
      </x:c>
      <x:c r="N1175" s="20" t="n">
        <x:f>IF(K1175="שוטף",M1175,0)</x:f>
        <x:v>783</x:v>
      </x:c>
      <x:c r="O1175" s="20" t="n">
        <x:f>IF(K1175="הכנסה שסווגה מחדש",-G1175,0)</x:f>
        <x:v>0</x:v>
      </x:c>
      <x:c r="P1175" s="11" t="str">
        <x:v>אמקס זיו</x:v>
      </x:c>
      <x:c r="Q1175" s="11" t="str"/>
      <x:c r="R1175" s="11" t="str">
        <x:v>לא</x:v>
      </x:c>
    </x:row>
    <x:row r="1176">
      <x:c r="A1176" s="14" t="n">
        <x:v>45992</x:v>
      </x:c>
      <x:c r="B1176" s="11" t="str">
        <x:v>2025-12</x:v>
      </x:c>
      <x:c r="C1176" s="11" t="str">
        <x:v>דצמבר 25</x:v>
      </x:c>
      <x:c r="D1176" s="15" t="n">
        <x:v>61</x:v>
      </x:c>
      <x:c r="E1176" s="11" t="str">
        <x:v>23</x:v>
      </x:c>
      <x:c r="F1176" s="11" t="str">
        <x:v>פיצוציה</x:v>
      </x:c>
      <x:c r="G1176" s="17" t="n">
        <x:v>12</x:v>
      </x:c>
      <x:c r="H1176" s="18" t="str">
        <x:v>אוכל בחוץ</x:v>
      </x:c>
      <x:c r="I1176" s="19" t="str">
        <x:f>IFERROR(INDEX('מיפוי ומקורות'!$C$7:$C$33,MATCH(H1176,'מיפוי ומקורות'!$B$7:$B$33,0)),"לא מסווג")</x:f>
        <x:v>אוכל בחוץ</x:v>
      </x:c>
      <x:c r="J1176" s="19" t="str">
        <x:f>IFERROR(INDEX('מיפוי ומקורות'!$D$7:$D$33,MATCH(H1176,'מיפוי ומקורות'!$B$7:$B$33,0)),"שוטף")</x:f>
        <x:v>שוטף</x:v>
      </x:c>
      <x:c r="K1176" s="19" t="str">
        <x:f>IF(OR(H1176="ריביות",AND(H1176="דירה כצנלסון",G1176&lt;0,ISNUMBER(SEARCH("הכנסה",F1176)))),"הכנסה שסווגה מחדש",J1176)</x:f>
        <x:v>שוטף</x:v>
      </x:c>
      <x:c r="L1176" s="19" t="str">
        <x:v>מאושר</x:v>
      </x:c>
      <x:c r="M1176" s="20" t="n">
        <x:f>IF(L1176="מאושר",IF(K1176="הכנסה שסווגה מחדש",0,G1176),0)</x:f>
        <x:v>12</x:v>
      </x:c>
      <x:c r="N1176" s="20" t="n">
        <x:f>IF(K1176="שוטף",M1176,0)</x:f>
        <x:v>12</x:v>
      </x:c>
      <x:c r="O1176" s="20" t="n">
        <x:f>IF(K1176="הכנסה שסווגה מחדש",-G1176,0)</x:f>
        <x:v>0</x:v>
      </x:c>
      <x:c r="P1176" s="11" t="str">
        <x:v>אמקס זיו</x:v>
      </x:c>
      <x:c r="Q1176" s="11" t="str"/>
      <x:c r="R1176" s="11" t="str">
        <x:v>לא</x:v>
      </x:c>
    </x:row>
    <x:row r="1177">
      <x:c r="A1177" s="14" t="n">
        <x:v>45992</x:v>
      </x:c>
      <x:c r="B1177" s="11" t="str">
        <x:v>2025-12</x:v>
      </x:c>
      <x:c r="C1177" s="11" t="str">
        <x:v>דצמבר 25</x:v>
      </x:c>
      <x:c r="D1177" s="15" t="n">
        <x:v>62</x:v>
      </x:c>
      <x:c r="E1177" s="11" t="str">
        <x:v>28</x:v>
      </x:c>
      <x:c r="F1177" s="11" t="str">
        <x:v>שירה</x:v>
      </x:c>
      <x:c r="G1177" s="17" t="n">
        <x:v>900</x:v>
      </x:c>
      <x:c r="H1177" s="18" t="str">
        <x:v>בריאות</x:v>
      </x:c>
      <x:c r="I1177" s="19" t="str">
        <x:f>IFERROR(INDEX('מיפוי ומקורות'!$C$7:$C$33,MATCH(H1177,'מיפוי ומקורות'!$B$7:$B$33,0)),"לא מסווג")</x:f>
        <x:v>בריאות וטיפולים</x:v>
      </x:c>
      <x:c r="J1177" s="19" t="str">
        <x:f>IFERROR(INDEX('מיפוי ומקורות'!$D$7:$D$33,MATCH(H1177,'מיפוי ומקורות'!$B$7:$B$33,0)),"שוטף")</x:f>
        <x:v>שוטף</x:v>
      </x:c>
      <x:c r="K1177" s="19" t="str">
        <x:f>IF(OR(H1177="ריביות",AND(H1177="דירה כצנלסון",G1177&lt;0,ISNUMBER(SEARCH("הכנסה",F1177)))),"הכנסה שסווגה מחדש",J1177)</x:f>
        <x:v>שוטף</x:v>
      </x:c>
      <x:c r="L1177" s="19" t="str">
        <x:v>מאושר</x:v>
      </x:c>
      <x:c r="M1177" s="20" t="n">
        <x:f>IF(L1177="מאושר",IF(K1177="הכנסה שסווגה מחדש",0,G1177),0)</x:f>
        <x:v>900</x:v>
      </x:c>
      <x:c r="N1177" s="20" t="n">
        <x:f>IF(K1177="שוטף",M1177,0)</x:f>
        <x:v>900</x:v>
      </x:c>
      <x:c r="O1177" s="20" t="n">
        <x:f>IF(K1177="הכנסה שסווגה מחדש",-G1177,0)</x:f>
        <x:v>0</x:v>
      </x:c>
      <x:c r="P1177" s="11" t="str">
        <x:v>אמקס זיו</x:v>
      </x:c>
      <x:c r="Q1177" s="11" t="str"/>
      <x:c r="R1177" s="11" t="str">
        <x:v>לא</x:v>
      </x:c>
    </x:row>
    <x:row r="1178">
      <x:c r="A1178" s="14" t="n">
        <x:v>45992</x:v>
      </x:c>
      <x:c r="B1178" s="11" t="str">
        <x:v>2025-12</x:v>
      </x:c>
      <x:c r="C1178" s="11" t="str">
        <x:v>דצמבר 25</x:v>
      </x:c>
      <x:c r="D1178" s="15" t="n">
        <x:v>63</x:v>
      </x:c>
      <x:c r="E1178" s="11" t="str">
        <x:v>31</x:v>
      </x:c>
      <x:c r="F1178" s="11" t="str">
        <x:v>אוכל</x:v>
      </x:c>
      <x:c r="G1178" s="17" t="n">
        <x:v>70</x:v>
      </x:c>
      <x:c r="H1178" s="18" t="str">
        <x:v>אוכל בחוץ</x:v>
      </x:c>
      <x:c r="I1178" s="19" t="str">
        <x:f>IFERROR(INDEX('מיפוי ומקורות'!$C$7:$C$33,MATCH(H1178,'מיפוי ומקורות'!$B$7:$B$33,0)),"לא מסווג")</x:f>
        <x:v>אוכל בחוץ</x:v>
      </x:c>
      <x:c r="J1178" s="19" t="str">
        <x:f>IFERROR(INDEX('מיפוי ומקורות'!$D$7:$D$33,MATCH(H1178,'מיפוי ומקורות'!$B$7:$B$33,0)),"שוטף")</x:f>
        <x:v>שוטף</x:v>
      </x:c>
      <x:c r="K1178" s="19" t="str">
        <x:f>IF(OR(H1178="ריביות",AND(H1178="דירה כצנלסון",G1178&lt;0,ISNUMBER(SEARCH("הכנסה",F1178)))),"הכנסה שסווגה מחדש",J1178)</x:f>
        <x:v>שוטף</x:v>
      </x:c>
      <x:c r="L1178" s="19" t="str">
        <x:v>מאושר</x:v>
      </x:c>
      <x:c r="M1178" s="20" t="n">
        <x:f>IF(L1178="מאושר",IF(K1178="הכנסה שסווגה מחדש",0,G1178),0)</x:f>
        <x:v>70</x:v>
      </x:c>
      <x:c r="N1178" s="20" t="n">
        <x:f>IF(K1178="שוטף",M1178,0)</x:f>
        <x:v>70</x:v>
      </x:c>
      <x:c r="O1178" s="20" t="n">
        <x:f>IF(K1178="הכנסה שסווגה מחדש",-G1178,0)</x:f>
        <x:v>0</x:v>
      </x:c>
      <x:c r="P1178" s="11" t="str">
        <x:v>אמקס זיו</x:v>
      </x:c>
      <x:c r="Q1178" s="11" t="str"/>
      <x:c r="R1178" s="11" t="str">
        <x:v>לא</x:v>
      </x:c>
    </x:row>
    <x:row r="1179">
      <x:c r="A1179" s="14" t="n">
        <x:v>45992</x:v>
      </x:c>
      <x:c r="B1179" s="11" t="str">
        <x:v>2025-12</x:v>
      </x:c>
      <x:c r="C1179" s="11" t="str">
        <x:v>דצמבר 25</x:v>
      </x:c>
      <x:c r="D1179" s="15" t="n">
        <x:v>64</x:v>
      </x:c>
      <x:c r="E1179" s="11" t="str">
        <x:v>31</x:v>
      </x:c>
      <x:c r="F1179" s="11" t="str">
        <x:v>מתנת לידה</x:v>
      </x:c>
      <x:c r="G1179" s="17" t="n">
        <x:v>20</x:v>
      </x:c>
      <x:c r="H1179" s="18" t="str">
        <x:v>מתנה</x:v>
      </x:c>
      <x:c r="I1179" s="19" t="str">
        <x:f>IFERROR(INDEX('מיפוי ומקורות'!$C$7:$C$33,MATCH(H1179,'מיפוי ומקורות'!$B$7:$B$33,0)),"לא מסווג")</x:f>
        <x:v>מתנה</x:v>
      </x:c>
      <x:c r="J1179" s="19" t="str">
        <x:f>IFERROR(INDEX('מיפוי ומקורות'!$D$7:$D$33,MATCH(H1179,'מיפוי ומקורות'!$B$7:$B$33,0)),"שוטף")</x:f>
        <x:v>שוטף</x:v>
      </x:c>
      <x:c r="K1179" s="19" t="str">
        <x:f>IF(OR(H1179="ריביות",AND(H1179="דירה כצנלסון",G1179&lt;0,ISNUMBER(SEARCH("הכנסה",F1179)))),"הכנסה שסווגה מחדש",J1179)</x:f>
        <x:v>שוטף</x:v>
      </x:c>
      <x:c r="L1179" s="19" t="str">
        <x:v>מאושר</x:v>
      </x:c>
      <x:c r="M1179" s="20" t="n">
        <x:f>IF(L1179="מאושר",IF(K1179="הכנסה שסווגה מחדש",0,G1179),0)</x:f>
        <x:v>20</x:v>
      </x:c>
      <x:c r="N1179" s="20" t="n">
        <x:f>IF(K1179="שוטף",M1179,0)</x:f>
        <x:v>20</x:v>
      </x:c>
      <x:c r="O1179" s="20" t="n">
        <x:f>IF(K1179="הכנסה שסווגה מחדש",-G1179,0)</x:f>
        <x:v>0</x:v>
      </x:c>
      <x:c r="P1179" s="11" t="str">
        <x:v>אמקס זיו</x:v>
      </x:c>
      <x:c r="Q1179" s="11" t="str"/>
      <x:c r="R1179" s="11" t="str">
        <x:v>לא</x:v>
      </x:c>
    </x:row>
    <x:row r="1180">
      <x:c r="A1180" s="14" t="n">
        <x:v>45992</x:v>
      </x:c>
      <x:c r="B1180" s="11" t="str">
        <x:v>2025-12</x:v>
      </x:c>
      <x:c r="C1180" s="11" t="str">
        <x:v>דצמבר 25</x:v>
      </x:c>
      <x:c r="D1180" s="15" t="n">
        <x:v>65</x:v>
      </x:c>
      <x:c r="E1180" s="11" t="str">
        <x:v>31</x:v>
      </x:c>
      <x:c r="F1180" s="11" t="str">
        <x:v>פיצוציה</x:v>
      </x:c>
      <x:c r="G1180" s="17" t="n">
        <x:v>7</x:v>
      </x:c>
      <x:c r="H1180" s="18" t="str">
        <x:v>אוכל בחוץ</x:v>
      </x:c>
      <x:c r="I1180" s="19" t="str">
        <x:f>IFERROR(INDEX('מיפוי ומקורות'!$C$7:$C$33,MATCH(H1180,'מיפוי ומקורות'!$B$7:$B$33,0)),"לא מסווג")</x:f>
        <x:v>אוכל בחוץ</x:v>
      </x:c>
      <x:c r="J1180" s="19" t="str">
        <x:f>IFERROR(INDEX('מיפוי ומקורות'!$D$7:$D$33,MATCH(H1180,'מיפוי ומקורות'!$B$7:$B$33,0)),"שוטף")</x:f>
        <x:v>שוטף</x:v>
      </x:c>
      <x:c r="K1180" s="19" t="str">
        <x:f>IF(OR(H1180="ריביות",AND(H1180="דירה כצנלסון",G1180&lt;0,ISNUMBER(SEARCH("הכנסה",F1180)))),"הכנסה שסווגה מחדש",J1180)</x:f>
        <x:v>שוטף</x:v>
      </x:c>
      <x:c r="L1180" s="19" t="str">
        <x:v>מאושר</x:v>
      </x:c>
      <x:c r="M1180" s="20" t="n">
        <x:f>IF(L1180="מאושר",IF(K1180="הכנסה שסווגה מחדש",0,G1180),0)</x:f>
        <x:v>7</x:v>
      </x:c>
      <x:c r="N1180" s="20" t="n">
        <x:f>IF(K1180="שוטף",M1180,0)</x:f>
        <x:v>7</x:v>
      </x:c>
      <x:c r="O1180" s="20" t="n">
        <x:f>IF(K1180="הכנסה שסווגה מחדש",-G1180,0)</x:f>
        <x:v>0</x:v>
      </x:c>
      <x:c r="P1180" s="11" t="str">
        <x:v>אמקס זיו</x:v>
      </x:c>
      <x:c r="Q1180" s="11" t="str"/>
      <x:c r="R1180" s="11" t="str">
        <x:v>לא</x:v>
      </x:c>
    </x:row>
    <x:row r="1181">
      <x:c r="A1181" s="14" t="n">
        <x:v>45992</x:v>
      </x:c>
      <x:c r="B1181" s="11" t="str">
        <x:v>2025-12</x:v>
      </x:c>
      <x:c r="C1181" s="11" t="str">
        <x:v>דצמבר 25</x:v>
      </x:c>
      <x:c r="D1181" s="15" t="n">
        <x:v>66</x:v>
      </x:c>
      <x:c r="E1181" s="11" t="str"/>
      <x:c r="F1181" s="11" t="str">
        <x:v>ליים</x:v>
      </x:c>
      <x:c r="G1181" s="17" t="n">
        <x:v>33</x:v>
      </x:c>
      <x:c r="H1181" s="18" t="str">
        <x:v>תחבורה</x:v>
      </x:c>
      <x:c r="I1181" s="19" t="str">
        <x:f>IFERROR(INDEX('מיפוי ומקורות'!$C$7:$C$33,MATCH(H1181,'מיפוי ומקורות'!$B$7:$B$33,0)),"לא מסווג")</x:f>
        <x:v>תחבורה</x:v>
      </x:c>
      <x:c r="J1181" s="19" t="str">
        <x:f>IFERROR(INDEX('מיפוי ומקורות'!$D$7:$D$33,MATCH(H1181,'מיפוי ומקורות'!$B$7:$B$33,0)),"שוטף")</x:f>
        <x:v>שוטף</x:v>
      </x:c>
      <x:c r="K1181" s="19" t="str">
        <x:f>IF(OR(H1181="ריביות",AND(H1181="דירה כצנלסון",G1181&lt;0,ISNUMBER(SEARCH("הכנסה",F1181)))),"הכנסה שסווגה מחדש",J1181)</x:f>
        <x:v>שוטף</x:v>
      </x:c>
      <x:c r="L1181" s="19" t="str">
        <x:v>מאושר</x:v>
      </x:c>
      <x:c r="M1181" s="20" t="n">
        <x:f>IF(L1181="מאושר",IF(K1181="הכנסה שסווגה מחדש",0,G1181),0)</x:f>
        <x:v>33</x:v>
      </x:c>
      <x:c r="N1181" s="20" t="n">
        <x:f>IF(K1181="שוטף",M1181,0)</x:f>
        <x:v>33</x:v>
      </x:c>
      <x:c r="O1181" s="20" t="n">
        <x:f>IF(K1181="הכנסה שסווגה מחדש",-G1181,0)</x:f>
        <x:v>0</x:v>
      </x:c>
      <x:c r="P1181" s="11" t="str">
        <x:v>מקס זיו</x:v>
      </x:c>
      <x:c r="Q1181" s="11" t="str"/>
      <x:c r="R1181" s="11" t="str">
        <x:v>לא</x:v>
      </x:c>
    </x:row>
    <x:row r="1182">
      <x:c r="A1182" s="14" t="n">
        <x:v>45992</x:v>
      </x:c>
      <x:c r="B1182" s="11" t="str">
        <x:v>2025-12</x:v>
      </x:c>
      <x:c r="C1182" s="11" t="str">
        <x:v>דצמבר 25</x:v>
      </x:c>
      <x:c r="D1182" s="15" t="n">
        <x:v>67</x:v>
      </x:c>
      <x:c r="E1182" s="11" t="str">
        <x:v>1</x:v>
      </x:c>
      <x:c r="F1182" s="11" t="str">
        <x:v>קיפול ספרים</x:v>
      </x:c>
      <x:c r="G1182" s="17" t="n">
        <x:v>440</x:v>
      </x:c>
      <x:c r="H1182" s="18" t="str">
        <x:v>פנאי</x:v>
      </x:c>
      <x:c r="I1182" s="19" t="str">
        <x:f>IFERROR(INDEX('מיפוי ומקורות'!$C$7:$C$33,MATCH(H1182,'מיפוי ומקורות'!$B$7:$B$33,0)),"לא מסווג")</x:f>
        <x:v>פנאי</x:v>
      </x:c>
      <x:c r="J1182" s="19" t="str">
        <x:f>IFERROR(INDEX('מיפוי ומקורות'!$D$7:$D$33,MATCH(H1182,'מיפוי ומקורות'!$B$7:$B$33,0)),"שוטף")</x:f>
        <x:v>שוטף</x:v>
      </x:c>
      <x:c r="K1182" s="19" t="str">
        <x:f>IF(OR(H1182="ריביות",AND(H1182="דירה כצנלסון",G1182&lt;0,ISNUMBER(SEARCH("הכנסה",F1182)))),"הכנסה שסווגה מחדש",J1182)</x:f>
        <x:v>שוטף</x:v>
      </x:c>
      <x:c r="L1182" s="19" t="str">
        <x:v>מאושר</x:v>
      </x:c>
      <x:c r="M1182" s="20" t="n">
        <x:f>IF(L1182="מאושר",IF(K1182="הכנסה שסווגה מחדש",0,G1182),0)</x:f>
        <x:v>440</x:v>
      </x:c>
      <x:c r="N1182" s="20" t="n">
        <x:f>IF(K1182="שוטף",M1182,0)</x:f>
        <x:v>440</x:v>
      </x:c>
      <x:c r="O1182" s="20" t="n">
        <x:f>IF(K1182="הכנסה שסווגה מחדש",-G1182,0)</x:f>
        <x:v>0</x:v>
      </x:c>
      <x:c r="P1182" s="11" t="str">
        <x:v>מקס עינור</x:v>
      </x:c>
      <x:c r="Q1182" s="11" t="str"/>
      <x:c r="R1182" s="11" t="str">
        <x:v>לא</x:v>
      </x:c>
    </x:row>
    <x:row r="1183">
      <x:c r="A1183" s="14" t="n">
        <x:v>45992</x:v>
      </x:c>
      <x:c r="B1183" s="11" t="str">
        <x:v>2025-12</x:v>
      </x:c>
      <x:c r="C1183" s="11" t="str">
        <x:v>דצמבר 25</x:v>
      </x:c>
      <x:c r="D1183" s="15" t="n">
        <x:v>68</x:v>
      </x:c>
      <x:c r="E1183" s="11" t="str">
        <x:v>6</x:v>
      </x:c>
      <x:c r="F1183" s="11" t="str">
        <x:v>משתלה</x:v>
      </x:c>
      <x:c r="G1183" s="17" t="n">
        <x:v>434</x:v>
      </x:c>
      <x:c r="H1183" s="18" t="str">
        <x:v>קניות לבית</x:v>
      </x:c>
      <x:c r="I1183" s="19" t="str">
        <x:f>IFERROR(INDEX('מיפוי ומקורות'!$C$7:$C$33,MATCH(H1183,'מיפוי ומקורות'!$B$7:$B$33,0)),"לא מסווג")</x:f>
        <x:v>קניות לבית</x:v>
      </x:c>
      <x:c r="J1183" s="19" t="str">
        <x:f>IFERROR(INDEX('מיפוי ומקורות'!$D$7:$D$33,MATCH(H1183,'מיפוי ומקורות'!$B$7:$B$33,0)),"שוטף")</x:f>
        <x:v>שוטף</x:v>
      </x:c>
      <x:c r="K1183" s="19" t="str">
        <x:f>IF(OR(H1183="ריביות",AND(H1183="דירה כצנלסון",G1183&lt;0,ISNUMBER(SEARCH("הכנסה",F1183)))),"הכנסה שסווגה מחדש",J1183)</x:f>
        <x:v>שוטף</x:v>
      </x:c>
      <x:c r="L1183" s="19" t="str">
        <x:v>מאושר</x:v>
      </x:c>
      <x:c r="M1183" s="20" t="n">
        <x:f>IF(L1183="מאושר",IF(K1183="הכנסה שסווגה מחדש",0,G1183),0)</x:f>
        <x:v>434</x:v>
      </x:c>
      <x:c r="N1183" s="20" t="n">
        <x:f>IF(K1183="שוטף",M1183,0)</x:f>
        <x:v>434</x:v>
      </x:c>
      <x:c r="O1183" s="20" t="n">
        <x:f>IF(K1183="הכנסה שסווגה מחדש",-G1183,0)</x:f>
        <x:v>0</x:v>
      </x:c>
      <x:c r="P1183" s="11" t="str">
        <x:v>מקס עינור</x:v>
      </x:c>
      <x:c r="Q1183" s="11" t="str"/>
      <x:c r="R1183" s="11" t="str">
        <x:v>לא</x:v>
      </x:c>
    </x:row>
    <x:row r="1184">
      <x:c r="A1184" s="14" t="n">
        <x:v>45992</x:v>
      </x:c>
      <x:c r="B1184" s="11" t="str">
        <x:v>2025-12</x:v>
      </x:c>
      <x:c r="C1184" s="11" t="str">
        <x:v>דצמבר 25</x:v>
      </x:c>
      <x:c r="D1184" s="15" t="n">
        <x:v>69</x:v>
      </x:c>
      <x:c r="E1184" s="11" t="str">
        <x:v>14</x:v>
      </x:c>
      <x:c r="F1184" s="11" t="str">
        <x:v>מאפיה</x:v>
      </x:c>
      <x:c r="G1184" s="17" t="n">
        <x:v>43</x:v>
      </x:c>
      <x:c r="H1184" s="18" t="str">
        <x:v>אוכל בחוץ</x:v>
      </x:c>
      <x:c r="I1184" s="19" t="str">
        <x:f>IFERROR(INDEX('מיפוי ומקורות'!$C$7:$C$33,MATCH(H1184,'מיפוי ומקורות'!$B$7:$B$33,0)),"לא מסווג")</x:f>
        <x:v>אוכל בחוץ</x:v>
      </x:c>
      <x:c r="J1184" s="19" t="str">
        <x:f>IFERROR(INDEX('מיפוי ומקורות'!$D$7:$D$33,MATCH(H1184,'מיפוי ומקורות'!$B$7:$B$33,0)),"שוטף")</x:f>
        <x:v>שוטף</x:v>
      </x:c>
      <x:c r="K1184" s="19" t="str">
        <x:f>IF(OR(H1184="ריביות",AND(H1184="דירה כצנלסון",G1184&lt;0,ISNUMBER(SEARCH("הכנסה",F1184)))),"הכנסה שסווגה מחדש",J1184)</x:f>
        <x:v>שוטף</x:v>
      </x:c>
      <x:c r="L1184" s="19" t="str">
        <x:v>מאושר</x:v>
      </x:c>
      <x:c r="M1184" s="20" t="n">
        <x:f>IF(L1184="מאושר",IF(K1184="הכנסה שסווגה מחדש",0,G1184),0)</x:f>
        <x:v>43</x:v>
      </x:c>
      <x:c r="N1184" s="20" t="n">
        <x:f>IF(K1184="שוטף",M1184,0)</x:f>
        <x:v>43</x:v>
      </x:c>
      <x:c r="O1184" s="20" t="n">
        <x:f>IF(K1184="הכנסה שסווגה מחדש",-G1184,0)</x:f>
        <x:v>0</x:v>
      </x:c>
      <x:c r="P1184" s="11" t="str">
        <x:v>מקס עינור</x:v>
      </x:c>
      <x:c r="Q1184" s="11" t="str"/>
      <x:c r="R1184" s="11" t="str">
        <x:v>לא</x:v>
      </x:c>
    </x:row>
    <x:row r="1185">
      <x:c r="A1185" s="14" t="n">
        <x:v>45992</x:v>
      </x:c>
      <x:c r="B1185" s="11" t="str">
        <x:v>2025-12</x:v>
      </x:c>
      <x:c r="C1185" s="11" t="str">
        <x:v>דצמבר 25</x:v>
      </x:c>
      <x:c r="D1185" s="15" t="n">
        <x:v>70</x:v>
      </x:c>
      <x:c r="E1185" s="11" t="str">
        <x:v>19</x:v>
      </x:c>
      <x:c r="F1185" s="11" t="str">
        <x:v>לק</x:v>
      </x:c>
      <x:c r="G1185" s="17" t="n">
        <x:v>120</x:v>
      </x:c>
      <x:c r="H1185" s="18" t="str">
        <x:v>קוסמטיקה</x:v>
      </x:c>
      <x:c r="I1185" s="19" t="str">
        <x:f>IFERROR(INDEX('מיפוי ומקורות'!$C$7:$C$33,MATCH(H1185,'מיפוי ומקורות'!$B$7:$B$33,0)),"לא מסווג")</x:f>
        <x:v>קוסמטיקה</x:v>
      </x:c>
      <x:c r="J1185" s="19" t="str">
        <x:f>IFERROR(INDEX('מיפוי ומקורות'!$D$7:$D$33,MATCH(H1185,'מיפוי ומקורות'!$B$7:$B$33,0)),"שוטף")</x:f>
        <x:v>שוטף</x:v>
      </x:c>
      <x:c r="K1185" s="19" t="str">
        <x:f>IF(OR(H1185="ריביות",AND(H1185="דירה כצנלסון",G1185&lt;0,ISNUMBER(SEARCH("הכנסה",F1185)))),"הכנסה שסווגה מחדש",J1185)</x:f>
        <x:v>שוטף</x:v>
      </x:c>
      <x:c r="L1185" s="19" t="str">
        <x:v>מאושר</x:v>
      </x:c>
      <x:c r="M1185" s="20" t="n">
        <x:f>IF(L1185="מאושר",IF(K1185="הכנסה שסווגה מחדש",0,G1185),0)</x:f>
        <x:v>120</x:v>
      </x:c>
      <x:c r="N1185" s="20" t="n">
        <x:f>IF(K1185="שוטף",M1185,0)</x:f>
        <x:v>120</x:v>
      </x:c>
      <x:c r="O1185" s="20" t="n">
        <x:f>IF(K1185="הכנסה שסווגה מחדש",-G1185,0)</x:f>
        <x:v>0</x:v>
      </x:c>
      <x:c r="P1185" s="11" t="str">
        <x:v>מקס עינור</x:v>
      </x:c>
      <x:c r="Q1185" s="11" t="str"/>
      <x:c r="R1185" s="11" t="str">
        <x:v>לא</x:v>
      </x:c>
    </x:row>
    <x:row r="1186">
      <x:c r="A1186" s="14" t="n">
        <x:v>45992</x:v>
      </x:c>
      <x:c r="B1186" s="11" t="str">
        <x:v>2025-12</x:v>
      </x:c>
      <x:c r="C1186" s="11" t="str">
        <x:v>דצמבר 25</x:v>
      </x:c>
      <x:c r="D1186" s="15" t="n">
        <x:v>71</x:v>
      </x:c>
      <x:c r="E1186" s="11" t="str">
        <x:v>24</x:v>
      </x:c>
      <x:c r="F1186" s="11" t="str">
        <x:v>ריטריט מיניות</x:v>
      </x:c>
      <x:c r="G1186" s="17" t="n">
        <x:v>2999</x:v>
      </x:c>
      <x:c r="H1186" s="18" t="str">
        <x:v>פנאי</x:v>
      </x:c>
      <x:c r="I1186" s="19" t="str">
        <x:f>IFERROR(INDEX('מיפוי ומקורות'!$C$7:$C$33,MATCH(H1186,'מיפוי ומקורות'!$B$7:$B$33,0)),"לא מסווג")</x:f>
        <x:v>פנאי</x:v>
      </x:c>
      <x:c r="J1186" s="19" t="str">
        <x:f>IFERROR(INDEX('מיפוי ומקורות'!$D$7:$D$33,MATCH(H1186,'מיפוי ומקורות'!$B$7:$B$33,0)),"שוטף")</x:f>
        <x:v>שוטף</x:v>
      </x:c>
      <x:c r="K1186" s="19" t="str">
        <x:f>IF(OR(H1186="ריביות",AND(H1186="דירה כצנלסון",G1186&lt;0,ISNUMBER(SEARCH("הכנסה",F1186)))),"הכנסה שסווגה מחדש",J1186)</x:f>
        <x:v>שוטף</x:v>
      </x:c>
      <x:c r="L1186" s="19" t="str">
        <x:v>מאושר</x:v>
      </x:c>
      <x:c r="M1186" s="20" t="n">
        <x:f>IF(L1186="מאושר",IF(K1186="הכנסה שסווגה מחדש",0,G1186),0)</x:f>
        <x:v>2999</x:v>
      </x:c>
      <x:c r="N1186" s="20" t="n">
        <x:f>IF(K1186="שוטף",M1186,0)</x:f>
        <x:v>2999</x:v>
      </x:c>
      <x:c r="O1186" s="20" t="n">
        <x:f>IF(K1186="הכנסה שסווגה מחדש",-G1186,0)</x:f>
        <x:v>0</x:v>
      </x:c>
      <x:c r="P1186" s="11" t="str">
        <x:v>מקס עינור</x:v>
      </x:c>
      <x:c r="Q1186" s="11" t="str"/>
      <x:c r="R1186" s="11" t="str">
        <x:v>לא</x:v>
      </x:c>
    </x:row>
    <x:row r="1187">
      <x:c r="A1187" s="14" t="n">
        <x:v>45992</x:v>
      </x:c>
      <x:c r="B1187" s="11" t="str">
        <x:v>2025-12</x:v>
      </x:c>
      <x:c r="C1187" s="11" t="str">
        <x:v>דצמבר 25</x:v>
      </x:c>
      <x:c r="D1187" s="15" t="n">
        <x:v>72</x:v>
      </x:c>
      <x:c r="E1187" s="11" t="str">
        <x:v>1</x:v>
      </x:c>
      <x:c r="F1187" s="11" t="str">
        <x:v>סופר</x:v>
      </x:c>
      <x:c r="G1187" s="17" t="n">
        <x:v>511</x:v>
      </x:c>
      <x:c r="H1187" s="18" t="str">
        <x:v>מזון לבית</x:v>
      </x:c>
      <x:c r="I1187" s="19" t="str">
        <x:f>IFERROR(INDEX('מיפוי ומקורות'!$C$7:$C$33,MATCH(H1187,'מיפוי ומקורות'!$B$7:$B$33,0)),"לא מסווג")</x:f>
        <x:v>מזון לבית</x:v>
      </x:c>
      <x:c r="J1187" s="19" t="str">
        <x:f>IFERROR(INDEX('מיפוי ומקורות'!$D$7:$D$33,MATCH(H1187,'מיפוי ומקורות'!$B$7:$B$33,0)),"שוטף")</x:f>
        <x:v>שוטף</x:v>
      </x:c>
      <x:c r="K1187" s="19" t="str">
        <x:f>IF(OR(H1187="ריביות",AND(H1187="דירה כצנלסון",G1187&lt;0,ISNUMBER(SEARCH("הכנסה",F1187)))),"הכנסה שסווגה מחדש",J1187)</x:f>
        <x:v>שוטף</x:v>
      </x:c>
      <x:c r="L1187" s="19" t="str">
        <x:v>מאושר</x:v>
      </x:c>
      <x:c r="M1187" s="20" t="n">
        <x:f>IF(L1187="מאושר",IF(K1187="הכנסה שסווגה מחדש",0,G1187),0)</x:f>
        <x:v>511</x:v>
      </x:c>
      <x:c r="N1187" s="20" t="n">
        <x:f>IF(K1187="שוטף",M1187,0)</x:f>
        <x:v>511</x:v>
      </x:c>
      <x:c r="O1187" s="20" t="n">
        <x:f>IF(K1187="הכנסה שסווגה מחדש",-G1187,0)</x:f>
        <x:v>0</x:v>
      </x:c>
      <x:c r="P1187" s="11" t="str">
        <x:v>אמקס עינור</x:v>
      </x:c>
      <x:c r="Q1187" s="11" t="str">
        <x:v>חבר</x:v>
      </x:c>
      <x:c r="R1187" s="11" t="str">
        <x:v>לא</x:v>
      </x:c>
    </x:row>
    <x:row r="1188">
      <x:c r="A1188" s="14" t="n">
        <x:v>45992</x:v>
      </x:c>
      <x:c r="B1188" s="11" t="str">
        <x:v>2025-12</x:v>
      </x:c>
      <x:c r="C1188" s="11" t="str">
        <x:v>דצמבר 25</x:v>
      </x:c>
      <x:c r="D1188" s="15" t="n">
        <x:v>73</x:v>
      </x:c>
      <x:c r="E1188" s="11" t="str">
        <x:v>30.11</x:v>
      </x:c>
      <x:c r="F1188" s="11" t="str">
        <x:v>עלי</x:v>
      </x:c>
      <x:c r="G1188" s="17" t="n">
        <x:v>40</x:v>
      </x:c>
      <x:c r="H1188" s="18" t="str">
        <x:v>קניות לבית</x:v>
      </x:c>
      <x:c r="I1188" s="19" t="str">
        <x:f>IFERROR(INDEX('מיפוי ומקורות'!$C$7:$C$33,MATCH(H1188,'מיפוי ומקורות'!$B$7:$B$33,0)),"לא מסווג")</x:f>
        <x:v>קניות לבית</x:v>
      </x:c>
      <x:c r="J1188" s="19" t="str">
        <x:f>IFERROR(INDEX('מיפוי ומקורות'!$D$7:$D$33,MATCH(H1188,'מיפוי ומקורות'!$B$7:$B$33,0)),"שוטף")</x:f>
        <x:v>שוטף</x:v>
      </x:c>
      <x:c r="K1188" s="19" t="str">
        <x:f>IF(OR(H1188="ריביות",AND(H1188="דירה כצנלסון",G1188&lt;0,ISNUMBER(SEARCH("הכנסה",F1188)))),"הכנסה שסווגה מחדש",J1188)</x:f>
        <x:v>שוטף</x:v>
      </x:c>
      <x:c r="L1188" s="19" t="str">
        <x:v>מאושר</x:v>
      </x:c>
      <x:c r="M1188" s="20" t="n">
        <x:f>IF(L1188="מאושר",IF(K1188="הכנסה שסווגה מחדש",0,G1188),0)</x:f>
        <x:v>40</x:v>
      </x:c>
      <x:c r="N1188" s="20" t="n">
        <x:f>IF(K1188="שוטף",M1188,0)</x:f>
        <x:v>40</x:v>
      </x:c>
      <x:c r="O1188" s="20" t="n">
        <x:f>IF(K1188="הכנסה שסווגה מחדש",-G1188,0)</x:f>
        <x:v>0</x:v>
      </x:c>
      <x:c r="P1188" s="11" t="str">
        <x:v>אמקס עינור</x:v>
      </x:c>
      <x:c r="Q1188" s="11" t="str"/>
      <x:c r="R1188" s="11" t="str">
        <x:v>לא</x:v>
      </x:c>
    </x:row>
    <x:row r="1189">
      <x:c r="A1189" s="14" t="n">
        <x:v>45992</x:v>
      </x:c>
      <x:c r="B1189" s="11" t="str">
        <x:v>2025-12</x:v>
      </x:c>
      <x:c r="C1189" s="11" t="str">
        <x:v>דצמבר 25</x:v>
      </x:c>
      <x:c r="D1189" s="15" t="n">
        <x:v>74</x:v>
      </x:c>
      <x:c r="E1189" s="11" t="str">
        <x:v>1</x:v>
      </x:c>
      <x:c r="F1189" s="11" t="str">
        <x:v>מאפיה</x:v>
      </x:c>
      <x:c r="G1189" s="17" t="n">
        <x:v>24</x:v>
      </x:c>
      <x:c r="H1189" s="18" t="str">
        <x:v>אוכל בחוץ</x:v>
      </x:c>
      <x:c r="I1189" s="19" t="str">
        <x:f>IFERROR(INDEX('מיפוי ומקורות'!$C$7:$C$33,MATCH(H1189,'מיפוי ומקורות'!$B$7:$B$33,0)),"לא מסווג")</x:f>
        <x:v>אוכל בחוץ</x:v>
      </x:c>
      <x:c r="J1189" s="19" t="str">
        <x:f>IFERROR(INDEX('מיפוי ומקורות'!$D$7:$D$33,MATCH(H1189,'מיפוי ומקורות'!$B$7:$B$33,0)),"שוטף")</x:f>
        <x:v>שוטף</x:v>
      </x:c>
      <x:c r="K1189" s="19" t="str">
        <x:f>IF(OR(H1189="ריביות",AND(H1189="דירה כצנלסון",G1189&lt;0,ISNUMBER(SEARCH("הכנסה",F1189)))),"הכנסה שסווגה מחדש",J1189)</x:f>
        <x:v>שוטף</x:v>
      </x:c>
      <x:c r="L1189" s="19" t="str">
        <x:v>מאושר</x:v>
      </x:c>
      <x:c r="M1189" s="20" t="n">
        <x:f>IF(L1189="מאושר",IF(K1189="הכנסה שסווגה מחדש",0,G1189),0)</x:f>
        <x:v>24</x:v>
      </x:c>
      <x:c r="N1189" s="20" t="n">
        <x:f>IF(K1189="שוטף",M1189,0)</x:f>
        <x:v>24</x:v>
      </x:c>
      <x:c r="O1189" s="20" t="n">
        <x:f>IF(K1189="הכנסה שסווגה מחדש",-G1189,0)</x:f>
        <x:v>0</x:v>
      </x:c>
      <x:c r="P1189" s="11" t="str">
        <x:v>אמקס עינור</x:v>
      </x:c>
      <x:c r="Q1189" s="11" t="str"/>
      <x:c r="R1189" s="11" t="str">
        <x:v>לא</x:v>
      </x:c>
    </x:row>
    <x:row r="1190">
      <x:c r="A1190" s="14" t="n">
        <x:v>45992</x:v>
      </x:c>
      <x:c r="B1190" s="11" t="str">
        <x:v>2025-12</x:v>
      </x:c>
      <x:c r="C1190" s="11" t="str">
        <x:v>דצמבר 25</x:v>
      </x:c>
      <x:c r="D1190" s="15" t="n">
        <x:v>75</x:v>
      </x:c>
      <x:c r="E1190" s="11" t="str">
        <x:v>3</x:v>
      </x:c>
      <x:c r="F1190" s="11" t="str">
        <x:v>אורות חנוכה</x:v>
      </x:c>
      <x:c r="G1190" s="17" t="n">
        <x:v>35</x:v>
      </x:c>
      <x:c r="H1190" s="18" t="str">
        <x:v>פנאי</x:v>
      </x:c>
      <x:c r="I1190" s="19" t="str">
        <x:f>IFERROR(INDEX('מיפוי ומקורות'!$C$7:$C$33,MATCH(H1190,'מיפוי ומקורות'!$B$7:$B$33,0)),"לא מסווג")</x:f>
        <x:v>פנאי</x:v>
      </x:c>
      <x:c r="J1190" s="19" t="str">
        <x:f>IFERROR(INDEX('מיפוי ומקורות'!$D$7:$D$33,MATCH(H1190,'מיפוי ומקורות'!$B$7:$B$33,0)),"שוטף")</x:f>
        <x:v>שוטף</x:v>
      </x:c>
      <x:c r="K1190" s="19" t="str">
        <x:f>IF(OR(H1190="ריביות",AND(H1190="דירה כצנלסון",G1190&lt;0,ISNUMBER(SEARCH("הכנסה",F1190)))),"הכנסה שסווגה מחדש",J1190)</x:f>
        <x:v>שוטף</x:v>
      </x:c>
      <x:c r="L1190" s="19" t="str">
        <x:v>מאושר</x:v>
      </x:c>
      <x:c r="M1190" s="20" t="n">
        <x:f>IF(L1190="מאושר",IF(K1190="הכנסה שסווגה מחדש",0,G1190),0)</x:f>
        <x:v>35</x:v>
      </x:c>
      <x:c r="N1190" s="20" t="n">
        <x:f>IF(K1190="שוטף",M1190,0)</x:f>
        <x:v>35</x:v>
      </x:c>
      <x:c r="O1190" s="20" t="n">
        <x:f>IF(K1190="הכנסה שסווגה מחדש",-G1190,0)</x:f>
        <x:v>0</x:v>
      </x:c>
      <x:c r="P1190" s="11" t="str">
        <x:v>אמקס עינור</x:v>
      </x:c>
      <x:c r="Q1190" s="11" t="str"/>
      <x:c r="R1190" s="11" t="str">
        <x:v>לא</x:v>
      </x:c>
    </x:row>
    <x:row r="1191">
      <x:c r="A1191" s="14" t="n">
        <x:v>45992</x:v>
      </x:c>
      <x:c r="B1191" s="11" t="str">
        <x:v>2025-12</x:v>
      </x:c>
      <x:c r="C1191" s="11" t="str">
        <x:v>דצמבר 25</x:v>
      </x:c>
      <x:c r="D1191" s="15" t="n">
        <x:v>76</x:v>
      </x:c>
      <x:c r="E1191" s="11" t="str">
        <x:v>3</x:v>
      </x:c>
      <x:c r="F1191" s="11" t="str">
        <x:v>ג'אפטה</x:v>
      </x:c>
      <x:c r="G1191" s="17" t="n">
        <x:v>65</x:v>
      </x:c>
      <x:c r="H1191" s="18" t="str">
        <x:v>אחר</x:v>
      </x:c>
      <x:c r="I1191" s="19" t="str">
        <x:f>IFERROR(INDEX('מיפוי ומקורות'!$C$7:$C$33,MATCH(H1191,'מיפוי ומקורות'!$B$7:$B$33,0)),"לא מסווג")</x:f>
        <x:v>אחר</x:v>
      </x:c>
      <x:c r="J1191" s="19" t="str">
        <x:f>IFERROR(INDEX('מיפוי ומקורות'!$D$7:$D$33,MATCH(H1191,'מיפוי ומקורות'!$B$7:$B$33,0)),"שוטף")</x:f>
        <x:v>שוטף</x:v>
      </x:c>
      <x:c r="K1191" s="19" t="str">
        <x:f>IF(OR(H1191="ריביות",AND(H1191="דירה כצנלסון",G1191&lt;0,ISNUMBER(SEARCH("הכנסה",F1191)))),"הכנסה שסווגה מחדש",J1191)</x:f>
        <x:v>שוטף</x:v>
      </x:c>
      <x:c r="L1191" s="19" t="str">
        <x:v>מאושר</x:v>
      </x:c>
      <x:c r="M1191" s="20" t="n">
        <x:f>IF(L1191="מאושר",IF(K1191="הכנסה שסווגה מחדש",0,G1191),0)</x:f>
        <x:v>65</x:v>
      </x:c>
      <x:c r="N1191" s="20" t="n">
        <x:f>IF(K1191="שוטף",M1191,0)</x:f>
        <x:v>65</x:v>
      </x:c>
      <x:c r="O1191" s="20" t="n">
        <x:f>IF(K1191="הכנסה שסווגה מחדש",-G1191,0)</x:f>
        <x:v>0</x:v>
      </x:c>
      <x:c r="P1191" s="11" t="str">
        <x:v>אמקס עינור</x:v>
      </x:c>
      <x:c r="Q1191" s="11" t="str"/>
      <x:c r="R1191" s="11" t="str">
        <x:v>לא</x:v>
      </x:c>
    </x:row>
    <x:row r="1192">
      <x:c r="A1192" s="14" t="n">
        <x:v>45992</x:v>
      </x:c>
      <x:c r="B1192" s="11" t="str">
        <x:v>2025-12</x:v>
      </x:c>
      <x:c r="C1192" s="11" t="str">
        <x:v>דצמבר 25</x:v>
      </x:c>
      <x:c r="D1192" s="15" t="n">
        <x:v>77</x:v>
      </x:c>
      <x:c r="E1192" s="11" t="str">
        <x:v>7</x:v>
      </x:c>
      <x:c r="F1192" s="11" t="str">
        <x:v>מטרו</x:v>
      </x:c>
      <x:c r="G1192" s="17" t="n">
        <x:v>25</x:v>
      </x:c>
      <x:c r="H1192" s="18" t="str">
        <x:v>ספורט</x:v>
      </x:c>
      <x:c r="I1192" s="19" t="str">
        <x:f>IFERROR(INDEX('מיפוי ומקורות'!$C$7:$C$33,MATCH(H1192,'מיפוי ומקורות'!$B$7:$B$33,0)),"לא מסווג")</x:f>
        <x:v>ספורט</x:v>
      </x:c>
      <x:c r="J1192" s="19" t="str">
        <x:f>IFERROR(INDEX('מיפוי ומקורות'!$D$7:$D$33,MATCH(H1192,'מיפוי ומקורות'!$B$7:$B$33,0)),"שוטף")</x:f>
        <x:v>שוטף</x:v>
      </x:c>
      <x:c r="K1192" s="19" t="str">
        <x:f>IF(OR(H1192="ריביות",AND(H1192="דירה כצנלסון",G1192&lt;0,ISNUMBER(SEARCH("הכנסה",F1192)))),"הכנסה שסווגה מחדש",J1192)</x:f>
        <x:v>שוטף</x:v>
      </x:c>
      <x:c r="L1192" s="19" t="str">
        <x:v>מאושר</x:v>
      </x:c>
      <x:c r="M1192" s="20" t="n">
        <x:f>IF(L1192="מאושר",IF(K1192="הכנסה שסווגה מחדש",0,G1192),0)</x:f>
        <x:v>25</x:v>
      </x:c>
      <x:c r="N1192" s="20" t="n">
        <x:f>IF(K1192="שוטף",M1192,0)</x:f>
        <x:v>25</x:v>
      </x:c>
      <x:c r="O1192" s="20" t="n">
        <x:f>IF(K1192="הכנסה שסווגה מחדש",-G1192,0)</x:f>
        <x:v>0</x:v>
      </x:c>
      <x:c r="P1192" s="11" t="str">
        <x:v>אמקס עינור</x:v>
      </x:c>
      <x:c r="Q1192" s="11" t="str"/>
      <x:c r="R1192" s="11" t="str">
        <x:v>לא</x:v>
      </x:c>
    </x:row>
    <x:row r="1193">
      <x:c r="A1193" s="14" t="n">
        <x:v>45992</x:v>
      </x:c>
      <x:c r="B1193" s="11" t="str">
        <x:v>2025-12</x:v>
      </x:c>
      <x:c r="C1193" s="11" t="str">
        <x:v>דצמבר 25</x:v>
      </x:c>
      <x:c r="D1193" s="15" t="n">
        <x:v>78</x:v>
      </x:c>
      <x:c r="E1193" s="11" t="str">
        <x:v>9</x:v>
      </x:c>
      <x:c r="F1193" s="11" t="str">
        <x:v>סופר פארם</x:v>
      </x:c>
      <x:c r="G1193" s="17" t="n">
        <x:v>72</x:v>
      </x:c>
      <x:c r="H1193" s="18" t="str">
        <x:v>בריאות</x:v>
      </x:c>
      <x:c r="I1193" s="19" t="str">
        <x:f>IFERROR(INDEX('מיפוי ומקורות'!$C$7:$C$33,MATCH(H1193,'מיפוי ומקורות'!$B$7:$B$33,0)),"לא מסווג")</x:f>
        <x:v>בריאות וטיפולים</x:v>
      </x:c>
      <x:c r="J1193" s="19" t="str">
        <x:f>IFERROR(INDEX('מיפוי ומקורות'!$D$7:$D$33,MATCH(H1193,'מיפוי ומקורות'!$B$7:$B$33,0)),"שוטף")</x:f>
        <x:v>שוטף</x:v>
      </x:c>
      <x:c r="K1193" s="19" t="str">
        <x:f>IF(OR(H1193="ריביות",AND(H1193="דירה כצנלסון",G1193&lt;0,ISNUMBER(SEARCH("הכנסה",F1193)))),"הכנסה שסווגה מחדש",J1193)</x:f>
        <x:v>שוטף</x:v>
      </x:c>
      <x:c r="L1193" s="19" t="str">
        <x:v>מאושר</x:v>
      </x:c>
      <x:c r="M1193" s="20" t="n">
        <x:f>IF(L1193="מאושר",IF(K1193="הכנסה שסווגה מחדש",0,G1193),0)</x:f>
        <x:v>72</x:v>
      </x:c>
      <x:c r="N1193" s="20" t="n">
        <x:f>IF(K1193="שוטף",M1193,0)</x:f>
        <x:v>72</x:v>
      </x:c>
      <x:c r="O1193" s="20" t="n">
        <x:f>IF(K1193="הכנסה שסווגה מחדש",-G1193,0)</x:f>
        <x:v>0</x:v>
      </x:c>
      <x:c r="P1193" s="11" t="str">
        <x:v>אמקס עינור</x:v>
      </x:c>
      <x:c r="Q1193" s="11" t="str"/>
      <x:c r="R1193" s="11" t="str">
        <x:v>לא</x:v>
      </x:c>
    </x:row>
    <x:row r="1194">
      <x:c r="A1194" s="14" t="n">
        <x:v>45992</x:v>
      </x:c>
      <x:c r="B1194" s="11" t="str">
        <x:v>2025-12</x:v>
      </x:c>
      <x:c r="C1194" s="11" t="str">
        <x:v>דצמבר 25</x:v>
      </x:c>
      <x:c r="D1194" s="15" t="n">
        <x:v>79</x:v>
      </x:c>
      <x:c r="E1194" s="11" t="str">
        <x:v>10</x:v>
      </x:c>
      <x:c r="F1194" s="11" t="str">
        <x:v>יין</x:v>
      </x:c>
      <x:c r="G1194" s="17" t="n">
        <x:v>160</x:v>
      </x:c>
      <x:c r="H1194" s="18" t="str">
        <x:v>מזון לבית</x:v>
      </x:c>
      <x:c r="I1194" s="19" t="str">
        <x:f>IFERROR(INDEX('מיפוי ומקורות'!$C$7:$C$33,MATCH(H1194,'מיפוי ומקורות'!$B$7:$B$33,0)),"לא מסווג")</x:f>
        <x:v>מזון לבית</x:v>
      </x:c>
      <x:c r="J1194" s="19" t="str">
        <x:f>IFERROR(INDEX('מיפוי ומקורות'!$D$7:$D$33,MATCH(H1194,'מיפוי ומקורות'!$B$7:$B$33,0)),"שוטף")</x:f>
        <x:v>שוטף</x:v>
      </x:c>
      <x:c r="K1194" s="19" t="str">
        <x:f>IF(OR(H1194="ריביות",AND(H1194="דירה כצנלסון",G1194&lt;0,ISNUMBER(SEARCH("הכנסה",F1194)))),"הכנסה שסווגה מחדש",J1194)</x:f>
        <x:v>שוטף</x:v>
      </x:c>
      <x:c r="L1194" s="19" t="str">
        <x:v>מאושר</x:v>
      </x:c>
      <x:c r="M1194" s="20" t="n">
        <x:f>IF(L1194="מאושר",IF(K1194="הכנסה שסווגה מחדש",0,G1194),0)</x:f>
        <x:v>160</x:v>
      </x:c>
      <x:c r="N1194" s="20" t="n">
        <x:f>IF(K1194="שוטף",M1194,0)</x:f>
        <x:v>160</x:v>
      </x:c>
      <x:c r="O1194" s="20" t="n">
        <x:f>IF(K1194="הכנסה שסווגה מחדש",-G1194,0)</x:f>
        <x:v>0</x:v>
      </x:c>
      <x:c r="P1194" s="11" t="str">
        <x:v>אמקס עינור</x:v>
      </x:c>
      <x:c r="Q1194" s="11" t="str"/>
      <x:c r="R1194" s="11" t="str">
        <x:v>לא</x:v>
      </x:c>
    </x:row>
    <x:row r="1195">
      <x:c r="A1195" s="14" t="n">
        <x:v>45992</x:v>
      </x:c>
      <x:c r="B1195" s="11" t="str">
        <x:v>2025-12</x:v>
      </x:c>
      <x:c r="C1195" s="11" t="str">
        <x:v>דצמבר 25</x:v>
      </x:c>
      <x:c r="D1195" s="15" t="n">
        <x:v>80</x:v>
      </x:c>
      <x:c r="E1195" s="11" t="str">
        <x:v>10</x:v>
      </x:c>
      <x:c r="F1195" s="11" t="str">
        <x:v>סופר</x:v>
      </x:c>
      <x:c r="G1195" s="17" t="n">
        <x:v>16</x:v>
      </x:c>
      <x:c r="H1195" s="18" t="str">
        <x:v>מזון לבית</x:v>
      </x:c>
      <x:c r="I1195" s="19" t="str">
        <x:f>IFERROR(INDEX('מיפוי ומקורות'!$C$7:$C$33,MATCH(H1195,'מיפוי ומקורות'!$B$7:$B$33,0)),"לא מסווג")</x:f>
        <x:v>מזון לבית</x:v>
      </x:c>
      <x:c r="J1195" s="19" t="str">
        <x:f>IFERROR(INDEX('מיפוי ומקורות'!$D$7:$D$33,MATCH(H1195,'מיפוי ומקורות'!$B$7:$B$33,0)),"שוטף")</x:f>
        <x:v>שוטף</x:v>
      </x:c>
      <x:c r="K1195" s="19" t="str">
        <x:f>IF(OR(H1195="ריביות",AND(H1195="דירה כצנלסון",G1195&lt;0,ISNUMBER(SEARCH("הכנסה",F1195)))),"הכנסה שסווגה מחדש",J1195)</x:f>
        <x:v>שוטף</x:v>
      </x:c>
      <x:c r="L1195" s="19" t="str">
        <x:v>מאושר</x:v>
      </x:c>
      <x:c r="M1195" s="20" t="n">
        <x:f>IF(L1195="מאושר",IF(K1195="הכנסה שסווגה מחדש",0,G1195),0)</x:f>
        <x:v>16</x:v>
      </x:c>
      <x:c r="N1195" s="20" t="n">
        <x:f>IF(K1195="שוטף",M1195,0)</x:f>
        <x:v>16</x:v>
      </x:c>
      <x:c r="O1195" s="20" t="n">
        <x:f>IF(K1195="הכנסה שסווגה מחדש",-G1195,0)</x:f>
        <x:v>0</x:v>
      </x:c>
      <x:c r="P1195" s="11" t="str">
        <x:v>אמקס עינור</x:v>
      </x:c>
      <x:c r="Q1195" s="11" t="str"/>
      <x:c r="R1195" s="11" t="str">
        <x:v>לא</x:v>
      </x:c>
    </x:row>
    <x:row r="1196">
      <x:c r="A1196" s="14" t="n">
        <x:v>45992</x:v>
      </x:c>
      <x:c r="B1196" s="11" t="str">
        <x:v>2025-12</x:v>
      </x:c>
      <x:c r="C1196" s="11" t="str">
        <x:v>דצמבר 25</x:v>
      </x:c>
      <x:c r="D1196" s="15" t="n">
        <x:v>81</x:v>
      </x:c>
      <x:c r="E1196" s="11" t="str">
        <x:v>10</x:v>
      </x:c>
      <x:c r="F1196" s="11" t="str">
        <x:v>מאפיה</x:v>
      </x:c>
      <x:c r="G1196" s="17" t="n">
        <x:v>21</x:v>
      </x:c>
      <x:c r="H1196" s="18" t="str">
        <x:v>אוכל בחוץ</x:v>
      </x:c>
      <x:c r="I1196" s="19" t="str">
        <x:f>IFERROR(INDEX('מיפוי ומקורות'!$C$7:$C$33,MATCH(H1196,'מיפוי ומקורות'!$B$7:$B$33,0)),"לא מסווג")</x:f>
        <x:v>אוכל בחוץ</x:v>
      </x:c>
      <x:c r="J1196" s="19" t="str">
        <x:f>IFERROR(INDEX('מיפוי ומקורות'!$D$7:$D$33,MATCH(H1196,'מיפוי ומקורות'!$B$7:$B$33,0)),"שוטף")</x:f>
        <x:v>שוטף</x:v>
      </x:c>
      <x:c r="K1196" s="19" t="str">
        <x:f>IF(OR(H1196="ריביות",AND(H1196="דירה כצנלסון",G1196&lt;0,ISNUMBER(SEARCH("הכנסה",F1196)))),"הכנסה שסווגה מחדש",J1196)</x:f>
        <x:v>שוטף</x:v>
      </x:c>
      <x:c r="L1196" s="19" t="str">
        <x:v>מאושר</x:v>
      </x:c>
      <x:c r="M1196" s="20" t="n">
        <x:f>IF(L1196="מאושר",IF(K1196="הכנסה שסווגה מחדש",0,G1196),0)</x:f>
        <x:v>21</x:v>
      </x:c>
      <x:c r="N1196" s="20" t="n">
        <x:f>IF(K1196="שוטף",M1196,0)</x:f>
        <x:v>21</x:v>
      </x:c>
      <x:c r="O1196" s="20" t="n">
        <x:f>IF(K1196="הכנסה שסווגה מחדש",-G1196,0)</x:f>
        <x:v>0</x:v>
      </x:c>
      <x:c r="P1196" s="11" t="str">
        <x:v>אמקס עינור</x:v>
      </x:c>
      <x:c r="Q1196" s="11" t="str"/>
      <x:c r="R1196" s="11" t="str">
        <x:v>לא</x:v>
      </x:c>
    </x:row>
    <x:row r="1197">
      <x:c r="A1197" s="14" t="n">
        <x:v>45992</x:v>
      </x:c>
      <x:c r="B1197" s="11" t="str">
        <x:v>2025-12</x:v>
      </x:c>
      <x:c r="C1197" s="11" t="str">
        <x:v>דצמבר 25</x:v>
      </x:c>
      <x:c r="D1197" s="15" t="n">
        <x:v>82</x:v>
      </x:c>
      <x:c r="E1197" s="11" t="str">
        <x:v>11</x:v>
      </x:c>
      <x:c r="F1197" s="11" t="str">
        <x:v>פיצוציה</x:v>
      </x:c>
      <x:c r="G1197" s="17" t="n">
        <x:v>12</x:v>
      </x:c>
      <x:c r="H1197" s="18" t="str">
        <x:v>אוכל בחוץ</x:v>
      </x:c>
      <x:c r="I1197" s="19" t="str">
        <x:f>IFERROR(INDEX('מיפוי ומקורות'!$C$7:$C$33,MATCH(H1197,'מיפוי ומקורות'!$B$7:$B$33,0)),"לא מסווג")</x:f>
        <x:v>אוכל בחוץ</x:v>
      </x:c>
      <x:c r="J1197" s="19" t="str">
        <x:f>IFERROR(INDEX('מיפוי ומקורות'!$D$7:$D$33,MATCH(H1197,'מיפוי ומקורות'!$B$7:$B$33,0)),"שוטף")</x:f>
        <x:v>שוטף</x:v>
      </x:c>
      <x:c r="K1197" s="19" t="str">
        <x:f>IF(OR(H1197="ריביות",AND(H1197="דירה כצנלסון",G1197&lt;0,ISNUMBER(SEARCH("הכנסה",F1197)))),"הכנסה שסווגה מחדש",J1197)</x:f>
        <x:v>שוטף</x:v>
      </x:c>
      <x:c r="L1197" s="19" t="str">
        <x:v>מאושר</x:v>
      </x:c>
      <x:c r="M1197" s="20" t="n">
        <x:f>IF(L1197="מאושר",IF(K1197="הכנסה שסווגה מחדש",0,G1197),0)</x:f>
        <x:v>12</x:v>
      </x:c>
      <x:c r="N1197" s="20" t="n">
        <x:f>IF(K1197="שוטף",M1197,0)</x:f>
        <x:v>12</x:v>
      </x:c>
      <x:c r="O1197" s="20" t="n">
        <x:f>IF(K1197="הכנסה שסווגה מחדש",-G1197,0)</x:f>
        <x:v>0</x:v>
      </x:c>
      <x:c r="P1197" s="11" t="str">
        <x:v>אמקס עינור</x:v>
      </x:c>
      <x:c r="Q1197" s="11" t="str"/>
      <x:c r="R1197" s="11" t="str">
        <x:v>לא</x:v>
      </x:c>
    </x:row>
    <x:row r="1198">
      <x:c r="A1198" s="14" t="n">
        <x:v>45992</x:v>
      </x:c>
      <x:c r="B1198" s="11" t="str">
        <x:v>2025-12</x:v>
      </x:c>
      <x:c r="C1198" s="11" t="str">
        <x:v>דצמבר 25</x:v>
      </x:c>
      <x:c r="D1198" s="15" t="n">
        <x:v>83</x:v>
      </x:c>
      <x:c r="E1198" s="11" t="str">
        <x:v>13</x:v>
      </x:c>
      <x:c r="F1198" s="11" t="str">
        <x:v>סופר פארם</x:v>
      </x:c>
      <x:c r="G1198" s="17" t="n">
        <x:v>59</x:v>
      </x:c>
      <x:c r="H1198" s="18" t="str">
        <x:v>בריאות</x:v>
      </x:c>
      <x:c r="I1198" s="19" t="str">
        <x:f>IFERROR(INDEX('מיפוי ומקורות'!$C$7:$C$33,MATCH(H1198,'מיפוי ומקורות'!$B$7:$B$33,0)),"לא מסווג")</x:f>
        <x:v>בריאות וטיפולים</x:v>
      </x:c>
      <x:c r="J1198" s="19" t="str">
        <x:f>IFERROR(INDEX('מיפוי ומקורות'!$D$7:$D$33,MATCH(H1198,'מיפוי ומקורות'!$B$7:$B$33,0)),"שוטף")</x:f>
        <x:v>שוטף</x:v>
      </x:c>
      <x:c r="K1198" s="19" t="str">
        <x:f>IF(OR(H1198="ריביות",AND(H1198="דירה כצנלסון",G1198&lt;0,ISNUMBER(SEARCH("הכנסה",F1198)))),"הכנסה שסווגה מחדש",J1198)</x:f>
        <x:v>שוטף</x:v>
      </x:c>
      <x:c r="L1198" s="19" t="str">
        <x:v>מאושר</x:v>
      </x:c>
      <x:c r="M1198" s="20" t="n">
        <x:f>IF(L1198="מאושר",IF(K1198="הכנסה שסווגה מחדש",0,G1198),0)</x:f>
        <x:v>59</x:v>
      </x:c>
      <x:c r="N1198" s="20" t="n">
        <x:f>IF(K1198="שוטף",M1198,0)</x:f>
        <x:v>59</x:v>
      </x:c>
      <x:c r="O1198" s="20" t="n">
        <x:f>IF(K1198="הכנסה שסווגה מחדש",-G1198,0)</x:f>
        <x:v>0</x:v>
      </x:c>
      <x:c r="P1198" s="11" t="str">
        <x:v>אמקס עינור</x:v>
      </x:c>
      <x:c r="Q1198" s="11" t="str"/>
      <x:c r="R1198" s="11" t="str">
        <x:v>לא</x:v>
      </x:c>
    </x:row>
    <x:row r="1199">
      <x:c r="A1199" s="14" t="n">
        <x:v>45992</x:v>
      </x:c>
      <x:c r="B1199" s="11" t="str">
        <x:v>2025-12</x:v>
      </x:c>
      <x:c r="C1199" s="11" t="str">
        <x:v>דצמבר 25</x:v>
      </x:c>
      <x:c r="D1199" s="15" t="n">
        <x:v>84</x:v>
      </x:c>
      <x:c r="E1199" s="11" t="str">
        <x:v>17</x:v>
      </x:c>
      <x:c r="F1199" s="11" t="str">
        <x:v>החזר פאנדה</x:v>
      </x:c>
      <x:c r="G1199" s="17" t="n">
        <x:v>-149</x:v>
      </x:c>
      <x:c r="H1199" s="18" t="str">
        <x:v>קניות לבית</x:v>
      </x:c>
      <x:c r="I1199" s="19" t="str">
        <x:f>IFERROR(INDEX('מיפוי ומקורות'!$C$7:$C$33,MATCH(H1199,'מיפוי ומקורות'!$B$7:$B$33,0)),"לא מסווג")</x:f>
        <x:v>קניות לבית</x:v>
      </x:c>
      <x:c r="J1199" s="19" t="str">
        <x:f>IFERROR(INDEX('מיפוי ומקורות'!$D$7:$D$33,MATCH(H1199,'מיפוי ומקורות'!$B$7:$B$33,0)),"שוטף")</x:f>
        <x:v>שוטף</x:v>
      </x:c>
      <x:c r="K1199" s="19" t="str">
        <x:f>IF(OR(H1199="ריביות",AND(H1199="דירה כצנלסון",G1199&lt;0,ISNUMBER(SEARCH("הכנסה",F1199)))),"הכנסה שסווגה מחדש",J1199)</x:f>
        <x:v>שוטף</x:v>
      </x:c>
      <x:c r="L1199" s="19" t="str">
        <x:v>מאושר</x:v>
      </x:c>
      <x:c r="M1199" s="20" t="n">
        <x:f>IF(L1199="מאושר",IF(K1199="הכנסה שסווגה מחדש",0,G1199),0)</x:f>
        <x:v>-149</x:v>
      </x:c>
      <x:c r="N1199" s="20" t="n">
        <x:f>IF(K1199="שוטף",M1199,0)</x:f>
        <x:v>-149</x:v>
      </x:c>
      <x:c r="O1199" s="20" t="n">
        <x:f>IF(K1199="הכנסה שסווגה מחדש",-G1199,0)</x:f>
        <x:v>0</x:v>
      </x:c>
      <x:c r="P1199" s="11" t="str">
        <x:v>אמקס עינור</x:v>
      </x:c>
      <x:c r="Q1199" s="11" t="str"/>
      <x:c r="R1199" s="11" t="str">
        <x:v>לא</x:v>
      </x:c>
    </x:row>
    <x:row r="1200">
      <x:c r="A1200" s="14" t="n">
        <x:v>45992</x:v>
      </x:c>
      <x:c r="B1200" s="11" t="str">
        <x:v>2025-12</x:v>
      </x:c>
      <x:c r="C1200" s="11" t="str">
        <x:v>דצמבר 25</x:v>
      </x:c>
      <x:c r="D1200" s="15" t="n">
        <x:v>85</x:v>
      </x:c>
      <x:c r="E1200" s="11" t="str">
        <x:v>19</x:v>
      </x:c>
      <x:c r="F1200" s="11" t="str">
        <x:v>סופר</x:v>
      </x:c>
      <x:c r="G1200" s="17" t="n">
        <x:v>38</x:v>
      </x:c>
      <x:c r="H1200" s="18" t="str">
        <x:v>מזון לבית</x:v>
      </x:c>
      <x:c r="I1200" s="19" t="str">
        <x:f>IFERROR(INDEX('מיפוי ומקורות'!$C$7:$C$33,MATCH(H1200,'מיפוי ומקורות'!$B$7:$B$33,0)),"לא מסווג")</x:f>
        <x:v>מזון לבית</x:v>
      </x:c>
      <x:c r="J1200" s="19" t="str">
        <x:f>IFERROR(INDEX('מיפוי ומקורות'!$D$7:$D$33,MATCH(H1200,'מיפוי ומקורות'!$B$7:$B$33,0)),"שוטף")</x:f>
        <x:v>שוטף</x:v>
      </x:c>
      <x:c r="K1200" s="19" t="str">
        <x:f>IF(OR(H1200="ריביות",AND(H1200="דירה כצנלסון",G1200&lt;0,ISNUMBER(SEARCH("הכנסה",F1200)))),"הכנסה שסווגה מחדש",J1200)</x:f>
        <x:v>שוטף</x:v>
      </x:c>
      <x:c r="L1200" s="19" t="str">
        <x:v>מאושר</x:v>
      </x:c>
      <x:c r="M1200" s="20" t="n">
        <x:f>IF(L1200="מאושר",IF(K1200="הכנסה שסווגה מחדש",0,G1200),0)</x:f>
        <x:v>38</x:v>
      </x:c>
      <x:c r="N1200" s="20" t="n">
        <x:f>IF(K1200="שוטף",M1200,0)</x:f>
        <x:v>38</x:v>
      </x:c>
      <x:c r="O1200" s="20" t="n">
        <x:f>IF(K1200="הכנסה שסווגה מחדש",-G1200,0)</x:f>
        <x:v>0</x:v>
      </x:c>
      <x:c r="P1200" s="11" t="str">
        <x:v>אמקס עינור</x:v>
      </x:c>
      <x:c r="Q1200" s="11" t="str"/>
      <x:c r="R1200" s="11" t="str">
        <x:v>לא</x:v>
      </x:c>
    </x:row>
    <x:row r="1201">
      <x:c r="A1201" s="14" t="n">
        <x:v>45992</x:v>
      </x:c>
      <x:c r="B1201" s="11" t="str">
        <x:v>2025-12</x:v>
      </x:c>
      <x:c r="C1201" s="11" t="str">
        <x:v>דצמבר 25</x:v>
      </x:c>
      <x:c r="D1201" s="15" t="n">
        <x:v>86</x:v>
      </x:c>
      <x:c r="E1201" s="11" t="str">
        <x:v>20</x:v>
      </x:c>
      <x:c r="F1201" s="11" t="str">
        <x:v>חלבון</x:v>
      </x:c>
      <x:c r="G1201" s="17" t="n">
        <x:v>331</x:v>
      </x:c>
      <x:c r="H1201" s="18" t="str">
        <x:v>מזון לבית</x:v>
      </x:c>
      <x:c r="I1201" s="19" t="str">
        <x:f>IFERROR(INDEX('מיפוי ומקורות'!$C$7:$C$33,MATCH(H1201,'מיפוי ומקורות'!$B$7:$B$33,0)),"לא מסווג")</x:f>
        <x:v>מזון לבית</x:v>
      </x:c>
      <x:c r="J1201" s="19" t="str">
        <x:f>IFERROR(INDEX('מיפוי ומקורות'!$D$7:$D$33,MATCH(H1201,'מיפוי ומקורות'!$B$7:$B$33,0)),"שוטף")</x:f>
        <x:v>שוטף</x:v>
      </x:c>
      <x:c r="K1201" s="19" t="str">
        <x:f>IF(OR(H1201="ריביות",AND(H1201="דירה כצנלסון",G1201&lt;0,ISNUMBER(SEARCH("הכנסה",F1201)))),"הכנסה שסווגה מחדש",J1201)</x:f>
        <x:v>שוטף</x:v>
      </x:c>
      <x:c r="L1201" s="19" t="str">
        <x:v>מאושר</x:v>
      </x:c>
      <x:c r="M1201" s="20" t="n">
        <x:f>IF(L1201="מאושר",IF(K1201="הכנסה שסווגה מחדש",0,G1201),0)</x:f>
        <x:v>331</x:v>
      </x:c>
      <x:c r="N1201" s="20" t="n">
        <x:f>IF(K1201="שוטף",M1201,0)</x:f>
        <x:v>331</x:v>
      </x:c>
      <x:c r="O1201" s="20" t="n">
        <x:f>IF(K1201="הכנסה שסווגה מחדש",-G1201,0)</x:f>
        <x:v>0</x:v>
      </x:c>
      <x:c r="P1201" s="11" t="str">
        <x:v>אמקס עינור</x:v>
      </x:c>
      <x:c r="Q1201" s="11" t="str"/>
      <x:c r="R1201" s="11" t="str">
        <x:v>לא</x:v>
      </x:c>
    </x:row>
    <x:row r="1202">
      <x:c r="A1202" s="14" t="n">
        <x:v>45992</x:v>
      </x:c>
      <x:c r="B1202" s="11" t="str">
        <x:v>2025-12</x:v>
      </x:c>
      <x:c r="C1202" s="11" t="str">
        <x:v>דצמבר 25</x:v>
      </x:c>
      <x:c r="D1202" s="15" t="n">
        <x:v>87</x:v>
      </x:c>
      <x:c r="E1202" s="11" t="str">
        <x:v>21</x:v>
      </x:c>
      <x:c r="F1202" s="11" t="str">
        <x:v>עלי</x:v>
      </x:c>
      <x:c r="G1202" s="17" t="n">
        <x:v>61</x:v>
      </x:c>
      <x:c r="H1202" s="18" t="str">
        <x:v>קניות לבית</x:v>
      </x:c>
      <x:c r="I1202" s="19" t="str">
        <x:f>IFERROR(INDEX('מיפוי ומקורות'!$C$7:$C$33,MATCH(H1202,'מיפוי ומקורות'!$B$7:$B$33,0)),"לא מסווג")</x:f>
        <x:v>קניות לבית</x:v>
      </x:c>
      <x:c r="J1202" s="19" t="str">
        <x:f>IFERROR(INDEX('מיפוי ומקורות'!$D$7:$D$33,MATCH(H1202,'מיפוי ומקורות'!$B$7:$B$33,0)),"שוטף")</x:f>
        <x:v>שוטף</x:v>
      </x:c>
      <x:c r="K1202" s="19" t="str">
        <x:f>IF(OR(H1202="ריביות",AND(H1202="דירה כצנלסון",G1202&lt;0,ISNUMBER(SEARCH("הכנסה",F1202)))),"הכנסה שסווגה מחדש",J1202)</x:f>
        <x:v>שוטף</x:v>
      </x:c>
      <x:c r="L1202" s="19" t="str">
        <x:v>מאושר</x:v>
      </x:c>
      <x:c r="M1202" s="20" t="n">
        <x:f>IF(L1202="מאושר",IF(K1202="הכנסה שסווגה מחדש",0,G1202),0)</x:f>
        <x:v>61</x:v>
      </x:c>
      <x:c r="N1202" s="20" t="n">
        <x:f>IF(K1202="שוטף",M1202,0)</x:f>
        <x:v>61</x:v>
      </x:c>
      <x:c r="O1202" s="20" t="n">
        <x:f>IF(K1202="הכנסה שסווגה מחדש",-G1202,0)</x:f>
        <x:v>0</x:v>
      </x:c>
      <x:c r="P1202" s="11" t="str">
        <x:v>אמקס עינור</x:v>
      </x:c>
      <x:c r="Q1202" s="11" t="str"/>
      <x:c r="R1202" s="11" t="str">
        <x:v>לא</x:v>
      </x:c>
    </x:row>
    <x:row r="1203">
      <x:c r="A1203" s="14" t="n">
        <x:v>45992</x:v>
      </x:c>
      <x:c r="B1203" s="11" t="str">
        <x:v>2025-12</x:v>
      </x:c>
      <x:c r="C1203" s="11" t="str">
        <x:v>דצמבר 25</x:v>
      </x:c>
      <x:c r="D1203" s="15" t="n">
        <x:v>88</x:v>
      </x:c>
      <x:c r="E1203" s="11" t="str">
        <x:v>26</x:v>
      </x:c>
      <x:c r="F1203" s="11" t="str">
        <x:v>חתונה דיבו</x:v>
      </x:c>
      <x:c r="G1203" s="17" t="n">
        <x:v>1500</x:v>
      </x:c>
      <x:c r="H1203" s="18" t="str">
        <x:v>מתנה</x:v>
      </x:c>
      <x:c r="I1203" s="19" t="str">
        <x:f>IFERROR(INDEX('מיפוי ומקורות'!$C$7:$C$33,MATCH(H1203,'מיפוי ומקורות'!$B$7:$B$33,0)),"לא מסווג")</x:f>
        <x:v>מתנה</x:v>
      </x:c>
      <x:c r="J1203" s="19" t="str">
        <x:f>IFERROR(INDEX('מיפוי ומקורות'!$D$7:$D$33,MATCH(H1203,'מיפוי ומקורות'!$B$7:$B$33,0)),"שוטף")</x:f>
        <x:v>שוטף</x:v>
      </x:c>
      <x:c r="K1203" s="19" t="str">
        <x:f>IF(OR(H1203="ריביות",AND(H1203="דירה כצנלסון",G1203&lt;0,ISNUMBER(SEARCH("הכנסה",F1203)))),"הכנסה שסווגה מחדש",J1203)</x:f>
        <x:v>שוטף</x:v>
      </x:c>
      <x:c r="L1203" s="19" t="str">
        <x:v>מאושר</x:v>
      </x:c>
      <x:c r="M1203" s="20" t="n">
        <x:f>IF(L1203="מאושר",IF(K1203="הכנסה שסווגה מחדש",0,G1203),0)</x:f>
        <x:v>1500</x:v>
      </x:c>
      <x:c r="N1203" s="20" t="n">
        <x:f>IF(K1203="שוטף",M1203,0)</x:f>
        <x:v>1500</x:v>
      </x:c>
      <x:c r="O1203" s="20" t="n">
        <x:f>IF(K1203="הכנסה שסווגה מחדש",-G1203,0)</x:f>
        <x:v>0</x:v>
      </x:c>
      <x:c r="P1203" s="11" t="str">
        <x:v>אמקס עינור</x:v>
      </x:c>
      <x:c r="Q1203" s="11" t="str"/>
      <x:c r="R1203" s="11" t="str">
        <x:v>לא</x:v>
      </x:c>
    </x:row>
    <x:row r="1204">
      <x:c r="A1204" s="14" t="n">
        <x:v>45992</x:v>
      </x:c>
      <x:c r="B1204" s="11" t="str">
        <x:v>2025-12</x:v>
      </x:c>
      <x:c r="C1204" s="11" t="str">
        <x:v>דצמבר 25</x:v>
      </x:c>
      <x:c r="D1204" s="15" t="n">
        <x:v>89</x:v>
      </x:c>
      <x:c r="E1204" s="11" t="str"/>
      <x:c r="F1204" s="11" t="str">
        <x:v>פריז</x:v>
      </x:c>
      <x:c r="G1204" s="17" t="n">
        <x:v>3168</x:v>
      </x:c>
      <x:c r="H1204" s="18" t="str">
        <x:v>חול</x:v>
      </x:c>
      <x:c r="I1204" s="19" t="str">
        <x:f>IFERROR(INDEX('מיפוי ומקורות'!$C$7:$C$33,MATCH(H1204,'מיפוי ומקורות'!$B$7:$B$33,0)),"לא מסווג")</x:f>
        <x:v>נסיעות וחופשות</x:v>
      </x:c>
      <x:c r="J1204" s="19" t="str">
        <x:f>IFERROR(INDEX('מיפוי ומקורות'!$D$7:$D$33,MATCH(H1204,'מיפוי ומקורות'!$B$7:$B$33,0)),"שוטף")</x:f>
        <x:v>חריג</x:v>
      </x:c>
      <x:c r="K1204" s="19" t="str">
        <x:f>IF(OR(H1204="ריביות",AND(H1204="דירה כצנלסון",G1204&lt;0,ISNUMBER(SEARCH("הכנסה",F1204)))),"הכנסה שסווגה מחדש",J1204)</x:f>
        <x:v>חריג</x:v>
      </x:c>
      <x:c r="L1204" s="19" t="str">
        <x:v>מאושר</x:v>
      </x:c>
      <x:c r="M1204" s="20" t="n">
        <x:f>IF(L1204="מאושר",IF(K1204="הכנסה שסווגה מחדש",0,G1204),0)</x:f>
        <x:v>3168</x:v>
      </x:c>
      <x:c r="N1204" s="20" t="n">
        <x:f>IF(K1204="שוטף",M1204,0)</x:f>
        <x:v>0</x:v>
      </x:c>
      <x:c r="O1204" s="20" t="n">
        <x:f>IF(K1204="הכנסה שסווגה מחדש",-G1204,0)</x:f>
        <x:v>0</x:v>
      </x:c>
      <x:c r="P1204" s="11" t="str">
        <x:v>אמקס עינור</x:v>
      </x:c>
      <x:c r="Q1204" s="11" t="str"/>
      <x:c r="R1204" s="11" t="str">
        <x:v>לא</x:v>
      </x:c>
    </x:row>
    <x:row r="1205">
      <x:c r="A1205" s="14" t="n">
        <x:v>45992</x:v>
      </x:c>
      <x:c r="B1205" s="11" t="str">
        <x:v>2025-12</x:v>
      </x:c>
      <x:c r="C1205" s="11" t="str">
        <x:v>דצמבר 25</x:v>
      </x:c>
      <x:c r="D1205" s="15" t="n">
        <x:v>90</x:v>
      </x:c>
      <x:c r="E1205" s="11" t="str">
        <x:v>2</x:v>
      </x:c>
      <x:c r="F1205" s="11" t="str">
        <x:v>אוכל</x:v>
      </x:c>
      <x:c r="G1205" s="17" t="n">
        <x:v>151</x:v>
      </x:c>
      <x:c r="H1205" s="18" t="str">
        <x:v>אוכל בחוץ</x:v>
      </x:c>
      <x:c r="I1205" s="19" t="str">
        <x:f>IFERROR(INDEX('מיפוי ומקורות'!$C$7:$C$33,MATCH(H1205,'מיפוי ומקורות'!$B$7:$B$33,0)),"לא מסווג")</x:f>
        <x:v>אוכל בחוץ</x:v>
      </x:c>
      <x:c r="J1205" s="19" t="str">
        <x:f>IFERROR(INDEX('מיפוי ומקורות'!$D$7:$D$33,MATCH(H1205,'מיפוי ומקורות'!$B$7:$B$33,0)),"שוטף")</x:f>
        <x:v>שוטף</x:v>
      </x:c>
      <x:c r="K1205" s="19" t="str">
        <x:f>IF(OR(H1205="ריביות",AND(H1205="דירה כצנלסון",G1205&lt;0,ISNUMBER(SEARCH("הכנסה",F1205)))),"הכנסה שסווגה מחדש",J1205)</x:f>
        <x:v>שוטף</x:v>
      </x:c>
      <x:c r="L1205" s="19" t="str">
        <x:v>מאושר</x:v>
      </x:c>
      <x:c r="M1205" s="20" t="n">
        <x:f>IF(L1205="מאושר",IF(K1205="הכנסה שסווגה מחדש",0,G1205),0)</x:f>
        <x:v>151</x:v>
      </x:c>
      <x:c r="N1205" s="20" t="n">
        <x:f>IF(K1205="שוטף",M1205,0)</x:f>
        <x:v>151</x:v>
      </x:c>
      <x:c r="O1205" s="20" t="n">
        <x:f>IF(K1205="הכנסה שסווגה מחדש",-G1205,0)</x:f>
        <x:v>0</x:v>
      </x:c>
      <x:c r="P1205" s="11" t="str">
        <x:v>סיבוס עינור</x:v>
      </x:c>
      <x:c r="Q1205" s="11" t="str"/>
      <x:c r="R1205" s="11" t="str">
        <x:v>לא</x:v>
      </x:c>
    </x:row>
    <x:row r="1206">
      <x:c r="A1206" s="14" t="n">
        <x:v>45992</x:v>
      </x:c>
      <x:c r="B1206" s="11" t="str">
        <x:v>2025-12</x:v>
      </x:c>
      <x:c r="C1206" s="11" t="str">
        <x:v>דצמבר 25</x:v>
      </x:c>
      <x:c r="D1206" s="15" t="n">
        <x:v>91</x:v>
      </x:c>
      <x:c r="E1206" s="11" t="str">
        <x:v>5</x:v>
      </x:c>
      <x:c r="F1206" s="11" t="str">
        <x:v>אוכל</x:v>
      </x:c>
      <x:c r="G1206" s="17" t="n">
        <x:v>61</x:v>
      </x:c>
      <x:c r="H1206" s="18" t="str">
        <x:v>אוכל בחוץ</x:v>
      </x:c>
      <x:c r="I1206" s="19" t="str">
        <x:f>IFERROR(INDEX('מיפוי ומקורות'!$C$7:$C$33,MATCH(H1206,'מיפוי ומקורות'!$B$7:$B$33,0)),"לא מסווג")</x:f>
        <x:v>אוכל בחוץ</x:v>
      </x:c>
      <x:c r="J1206" s="19" t="str">
        <x:f>IFERROR(INDEX('מיפוי ומקורות'!$D$7:$D$33,MATCH(H1206,'מיפוי ומקורות'!$B$7:$B$33,0)),"שוטף")</x:f>
        <x:v>שוטף</x:v>
      </x:c>
      <x:c r="K1206" s="19" t="str">
        <x:f>IF(OR(H1206="ריביות",AND(H1206="דירה כצנלסון",G1206&lt;0,ISNUMBER(SEARCH("הכנסה",F1206)))),"הכנסה שסווגה מחדש",J1206)</x:f>
        <x:v>שוטף</x:v>
      </x:c>
      <x:c r="L1206" s="19" t="str">
        <x:v>מאושר</x:v>
      </x:c>
      <x:c r="M1206" s="20" t="n">
        <x:f>IF(L1206="מאושר",IF(K1206="הכנסה שסווגה מחדש",0,G1206),0)</x:f>
        <x:v>61</x:v>
      </x:c>
      <x:c r="N1206" s="20" t="n">
        <x:f>IF(K1206="שוטף",M1206,0)</x:f>
        <x:v>61</x:v>
      </x:c>
      <x:c r="O1206" s="20" t="n">
        <x:f>IF(K1206="הכנסה שסווגה מחדש",-G1206,0)</x:f>
        <x:v>0</x:v>
      </x:c>
      <x:c r="P1206" s="11" t="str">
        <x:v>סיבוס עינור</x:v>
      </x:c>
      <x:c r="Q1206" s="11" t="str"/>
      <x:c r="R1206" s="11" t="str">
        <x:v>לא</x:v>
      </x:c>
    </x:row>
    <x:row r="1207">
      <x:c r="A1207" s="14" t="n">
        <x:v>45992</x:v>
      </x:c>
      <x:c r="B1207" s="11" t="str">
        <x:v>2025-12</x:v>
      </x:c>
      <x:c r="C1207" s="11" t="str">
        <x:v>דצמבר 25</x:v>
      </x:c>
      <x:c r="D1207" s="15" t="n">
        <x:v>92</x:v>
      </x:c>
      <x:c r="E1207" s="11" t="str">
        <x:v>5</x:v>
      </x:c>
      <x:c r="F1207" s="11" t="str">
        <x:v>אוכל</x:v>
      </x:c>
      <x:c r="G1207" s="17" t="n">
        <x:v>119</x:v>
      </x:c>
      <x:c r="H1207" s="18" t="str">
        <x:v>אוכל בחוץ</x:v>
      </x:c>
      <x:c r="I1207" s="19" t="str">
        <x:f>IFERROR(INDEX('מיפוי ומקורות'!$C$7:$C$33,MATCH(H1207,'מיפוי ומקורות'!$B$7:$B$33,0)),"לא מסווג")</x:f>
        <x:v>אוכל בחוץ</x:v>
      </x:c>
      <x:c r="J1207" s="19" t="str">
        <x:f>IFERROR(INDEX('מיפוי ומקורות'!$D$7:$D$33,MATCH(H1207,'מיפוי ומקורות'!$B$7:$B$33,0)),"שוטף")</x:f>
        <x:v>שוטף</x:v>
      </x:c>
      <x:c r="K1207" s="19" t="str">
        <x:f>IF(OR(H1207="ריביות",AND(H1207="דירה כצנלסון",G1207&lt;0,ISNUMBER(SEARCH("הכנסה",F1207)))),"הכנסה שסווגה מחדש",J1207)</x:f>
        <x:v>שוטף</x:v>
      </x:c>
      <x:c r="L1207" s="19" t="str">
        <x:v>מאושר</x:v>
      </x:c>
      <x:c r="M1207" s="20" t="n">
        <x:f>IF(L1207="מאושר",IF(K1207="הכנסה שסווגה מחדש",0,G1207),0)</x:f>
        <x:v>119</x:v>
      </x:c>
      <x:c r="N1207" s="20" t="n">
        <x:f>IF(K1207="שוטף",M1207,0)</x:f>
        <x:v>119</x:v>
      </x:c>
      <x:c r="O1207" s="20" t="n">
        <x:f>IF(K1207="הכנסה שסווגה מחדש",-G1207,0)</x:f>
        <x:v>0</x:v>
      </x:c>
      <x:c r="P1207" s="11" t="str">
        <x:v>סיבוס עינור</x:v>
      </x:c>
      <x:c r="Q1207" s="11" t="str"/>
      <x:c r="R1207" s="11" t="str">
        <x:v>לא</x:v>
      </x:c>
    </x:row>
    <x:row r="1208">
      <x:c r="A1208" s="14" t="n">
        <x:v>45992</x:v>
      </x:c>
      <x:c r="B1208" s="11" t="str">
        <x:v>2025-12</x:v>
      </x:c>
      <x:c r="C1208" s="11" t="str">
        <x:v>דצמבר 25</x:v>
      </x:c>
      <x:c r="D1208" s="15" t="n">
        <x:v>93</x:v>
      </x:c>
      <x:c r="E1208" s="11" t="str">
        <x:v>6</x:v>
      </x:c>
      <x:c r="F1208" s="11" t="str">
        <x:v>אוכל</x:v>
      </x:c>
      <x:c r="G1208" s="17" t="n">
        <x:v>250</x:v>
      </x:c>
      <x:c r="H1208" s="18" t="str">
        <x:v>אוכל בחוץ</x:v>
      </x:c>
      <x:c r="I1208" s="19" t="str">
        <x:f>IFERROR(INDEX('מיפוי ומקורות'!$C$7:$C$33,MATCH(H1208,'מיפוי ומקורות'!$B$7:$B$33,0)),"לא מסווג")</x:f>
        <x:v>אוכל בחוץ</x:v>
      </x:c>
      <x:c r="J1208" s="19" t="str">
        <x:f>IFERROR(INDEX('מיפוי ומקורות'!$D$7:$D$33,MATCH(H1208,'מיפוי ומקורות'!$B$7:$B$33,0)),"שוטף")</x:f>
        <x:v>שוטף</x:v>
      </x:c>
      <x:c r="K1208" s="19" t="str">
        <x:f>IF(OR(H1208="ריביות",AND(H1208="דירה כצנלסון",G1208&lt;0,ISNUMBER(SEARCH("הכנסה",F1208)))),"הכנסה שסווגה מחדש",J1208)</x:f>
        <x:v>שוטף</x:v>
      </x:c>
      <x:c r="L1208" s="19" t="str">
        <x:v>מאושר</x:v>
      </x:c>
      <x:c r="M1208" s="20" t="n">
        <x:f>IF(L1208="מאושר",IF(K1208="הכנסה שסווגה מחדש",0,G1208),0)</x:f>
        <x:v>250</x:v>
      </x:c>
      <x:c r="N1208" s="20" t="n">
        <x:f>IF(K1208="שוטף",M1208,0)</x:f>
        <x:v>250</x:v>
      </x:c>
      <x:c r="O1208" s="20" t="n">
        <x:f>IF(K1208="הכנסה שסווגה מחדש",-G1208,0)</x:f>
        <x:v>0</x:v>
      </x:c>
      <x:c r="P1208" s="11" t="str">
        <x:v>סיבוס עינור</x:v>
      </x:c>
      <x:c r="Q1208" s="11" t="str"/>
      <x:c r="R1208" s="11" t="str">
        <x:v>לא</x:v>
      </x:c>
    </x:row>
    <x:row r="1209">
      <x:c r="A1209" s="14" t="n">
        <x:v>45992</x:v>
      </x:c>
      <x:c r="B1209" s="11" t="str">
        <x:v>2025-12</x:v>
      </x:c>
      <x:c r="C1209" s="11" t="str">
        <x:v>דצמבר 25</x:v>
      </x:c>
      <x:c r="D1209" s="15" t="n">
        <x:v>94</x:v>
      </x:c>
      <x:c r="E1209" s="11" t="str">
        <x:v>9</x:v>
      </x:c>
      <x:c r="F1209" s="11" t="str">
        <x:v>סופר</x:v>
      </x:c>
      <x:c r="G1209" s="17" t="n">
        <x:v>75</x:v>
      </x:c>
      <x:c r="H1209" s="18" t="str">
        <x:v>מזון לבית</x:v>
      </x:c>
      <x:c r="I1209" s="19" t="str">
        <x:f>IFERROR(INDEX('מיפוי ומקורות'!$C$7:$C$33,MATCH(H1209,'מיפוי ומקורות'!$B$7:$B$33,0)),"לא מסווג")</x:f>
        <x:v>מזון לבית</x:v>
      </x:c>
      <x:c r="J1209" s="19" t="str">
        <x:f>IFERROR(INDEX('מיפוי ומקורות'!$D$7:$D$33,MATCH(H1209,'מיפוי ומקורות'!$B$7:$B$33,0)),"שוטף")</x:f>
        <x:v>שוטף</x:v>
      </x:c>
      <x:c r="K1209" s="19" t="str">
        <x:f>IF(OR(H1209="ריביות",AND(H1209="דירה כצנלסון",G1209&lt;0,ISNUMBER(SEARCH("הכנסה",F1209)))),"הכנסה שסווגה מחדש",J1209)</x:f>
        <x:v>שוטף</x:v>
      </x:c>
      <x:c r="L1209" s="19" t="str">
        <x:v>מאושר</x:v>
      </x:c>
      <x:c r="M1209" s="20" t="n">
        <x:f>IF(L1209="מאושר",IF(K1209="הכנסה שסווגה מחדש",0,G1209),0)</x:f>
        <x:v>75</x:v>
      </x:c>
      <x:c r="N1209" s="20" t="n">
        <x:f>IF(K1209="שוטף",M1209,0)</x:f>
        <x:v>75</x:v>
      </x:c>
      <x:c r="O1209" s="20" t="n">
        <x:f>IF(K1209="הכנסה שסווגה מחדש",-G1209,0)</x:f>
        <x:v>0</x:v>
      </x:c>
      <x:c r="P1209" s="11" t="str">
        <x:v>סיבוס עינור</x:v>
      </x:c>
      <x:c r="Q1209" s="11" t="str"/>
      <x:c r="R1209" s="11" t="str">
        <x:v>לא</x:v>
      </x:c>
    </x:row>
    <x:row r="1210">
      <x:c r="A1210" s="14" t="n">
        <x:v>45992</x:v>
      </x:c>
      <x:c r="B1210" s="11" t="str">
        <x:v>2025-12</x:v>
      </x:c>
      <x:c r="C1210" s="11" t="str">
        <x:v>דצמבר 25</x:v>
      </x:c>
      <x:c r="D1210" s="15" t="n">
        <x:v>95</x:v>
      </x:c>
      <x:c r="E1210" s="11" t="str">
        <x:v>10</x:v>
      </x:c>
      <x:c r="F1210" s="11" t="str">
        <x:v>סופר</x:v>
      </x:c>
      <x:c r="G1210" s="17" t="n">
        <x:v>143</x:v>
      </x:c>
      <x:c r="H1210" s="18" t="str">
        <x:v>מזון לבית</x:v>
      </x:c>
      <x:c r="I1210" s="19" t="str">
        <x:f>IFERROR(INDEX('מיפוי ומקורות'!$C$7:$C$33,MATCH(H1210,'מיפוי ומקורות'!$B$7:$B$33,0)),"לא מסווג")</x:f>
        <x:v>מזון לבית</x:v>
      </x:c>
      <x:c r="J1210" s="19" t="str">
        <x:f>IFERROR(INDEX('מיפוי ומקורות'!$D$7:$D$33,MATCH(H1210,'מיפוי ומקורות'!$B$7:$B$33,0)),"שוטף")</x:f>
        <x:v>שוטף</x:v>
      </x:c>
      <x:c r="K1210" s="19" t="str">
        <x:f>IF(OR(H1210="ריביות",AND(H1210="דירה כצנלסון",G1210&lt;0,ISNUMBER(SEARCH("הכנסה",F1210)))),"הכנסה שסווגה מחדש",J1210)</x:f>
        <x:v>שוטף</x:v>
      </x:c>
      <x:c r="L1210" s="19" t="str">
        <x:v>מאושר</x:v>
      </x:c>
      <x:c r="M1210" s="20" t="n">
        <x:f>IF(L1210="מאושר",IF(K1210="הכנסה שסווגה מחדש",0,G1210),0)</x:f>
        <x:v>143</x:v>
      </x:c>
      <x:c r="N1210" s="20" t="n">
        <x:f>IF(K1210="שוטף",M1210,0)</x:f>
        <x:v>143</x:v>
      </x:c>
      <x:c r="O1210" s="20" t="n">
        <x:f>IF(K1210="הכנסה שסווגה מחדש",-G1210,0)</x:f>
        <x:v>0</x:v>
      </x:c>
      <x:c r="P1210" s="11" t="str">
        <x:v>סיבוס עינור</x:v>
      </x:c>
      <x:c r="Q1210" s="11" t="str"/>
      <x:c r="R1210" s="11" t="str">
        <x:v>לא</x:v>
      </x:c>
    </x:row>
    <x:row r="1211">
      <x:c r="A1211" s="14" t="n">
        <x:v>45992</x:v>
      </x:c>
      <x:c r="B1211" s="11" t="str">
        <x:v>2025-12</x:v>
      </x:c>
      <x:c r="C1211" s="11" t="str">
        <x:v>דצמבר 25</x:v>
      </x:c>
      <x:c r="D1211" s="15" t="n">
        <x:v>96</x:v>
      </x:c>
      <x:c r="E1211" s="11" t="str">
        <x:v>15</x:v>
      </x:c>
      <x:c r="F1211" s="11" t="str">
        <x:v>אוכל</x:v>
      </x:c>
      <x:c r="G1211" s="17" t="n">
        <x:v>72</x:v>
      </x:c>
      <x:c r="H1211" s="18" t="str">
        <x:v>אוכל בחוץ</x:v>
      </x:c>
      <x:c r="I1211" s="19" t="str">
        <x:f>IFERROR(INDEX('מיפוי ומקורות'!$C$7:$C$33,MATCH(H1211,'מיפוי ומקורות'!$B$7:$B$33,0)),"לא מסווג")</x:f>
        <x:v>אוכל בחוץ</x:v>
      </x:c>
      <x:c r="J1211" s="19" t="str">
        <x:f>IFERROR(INDEX('מיפוי ומקורות'!$D$7:$D$33,MATCH(H1211,'מיפוי ומקורות'!$B$7:$B$33,0)),"שוטף")</x:f>
        <x:v>שוטף</x:v>
      </x:c>
      <x:c r="K1211" s="19" t="str">
        <x:f>IF(OR(H1211="ריביות",AND(H1211="דירה כצנלסון",G1211&lt;0,ISNUMBER(SEARCH("הכנסה",F1211)))),"הכנסה שסווגה מחדש",J1211)</x:f>
        <x:v>שוטף</x:v>
      </x:c>
      <x:c r="L1211" s="19" t="str">
        <x:v>מאושר</x:v>
      </x:c>
      <x:c r="M1211" s="20" t="n">
        <x:f>IF(L1211="מאושר",IF(K1211="הכנסה שסווגה מחדש",0,G1211),0)</x:f>
        <x:v>72</x:v>
      </x:c>
      <x:c r="N1211" s="20" t="n">
        <x:f>IF(K1211="שוטף",M1211,0)</x:f>
        <x:v>72</x:v>
      </x:c>
      <x:c r="O1211" s="20" t="n">
        <x:f>IF(K1211="הכנסה שסווגה מחדש",-G1211,0)</x:f>
        <x:v>0</x:v>
      </x:c>
      <x:c r="P1211" s="11" t="str">
        <x:v>סיבוס עינור</x:v>
      </x:c>
      <x:c r="Q1211" s="11" t="str"/>
      <x:c r="R1211" s="11" t="str">
        <x:v>לא</x:v>
      </x:c>
    </x:row>
    <x:row r="1212">
      <x:c r="A1212" s="14" t="n">
        <x:v>45992</x:v>
      </x:c>
      <x:c r="B1212" s="11" t="str">
        <x:v>2025-12</x:v>
      </x:c>
      <x:c r="C1212" s="11" t="str">
        <x:v>דצמבר 25</x:v>
      </x:c>
      <x:c r="D1212" s="15" t="n">
        <x:v>97</x:v>
      </x:c>
      <x:c r="E1212" s="11" t="str">
        <x:v>21</x:v>
      </x:c>
      <x:c r="F1212" s="11" t="str">
        <x:v>אוכל</x:v>
      </x:c>
      <x:c r="G1212" s="17" t="n">
        <x:v>70</x:v>
      </x:c>
      <x:c r="H1212" s="18" t="str">
        <x:v>אוכל בחוץ</x:v>
      </x:c>
      <x:c r="I1212" s="19" t="str">
        <x:f>IFERROR(INDEX('מיפוי ומקורות'!$C$7:$C$33,MATCH(H1212,'מיפוי ומקורות'!$B$7:$B$33,0)),"לא מסווג")</x:f>
        <x:v>אוכל בחוץ</x:v>
      </x:c>
      <x:c r="J1212" s="19" t="str">
        <x:f>IFERROR(INDEX('מיפוי ומקורות'!$D$7:$D$33,MATCH(H1212,'מיפוי ומקורות'!$B$7:$B$33,0)),"שוטף")</x:f>
        <x:v>שוטף</x:v>
      </x:c>
      <x:c r="K1212" s="19" t="str">
        <x:f>IF(OR(H1212="ריביות",AND(H1212="דירה כצנלסון",G1212&lt;0,ISNUMBER(SEARCH("הכנסה",F1212)))),"הכנסה שסווגה מחדש",J1212)</x:f>
        <x:v>שוטף</x:v>
      </x:c>
      <x:c r="L1212" s="19" t="str">
        <x:v>מאושר</x:v>
      </x:c>
      <x:c r="M1212" s="20" t="n">
        <x:f>IF(L1212="מאושר",IF(K1212="הכנסה שסווגה מחדש",0,G1212),0)</x:f>
        <x:v>70</x:v>
      </x:c>
      <x:c r="N1212" s="20" t="n">
        <x:f>IF(K1212="שוטף",M1212,0)</x:f>
        <x:v>70</x:v>
      </x:c>
      <x:c r="O1212" s="20" t="n">
        <x:f>IF(K1212="הכנסה שסווגה מחדש",-G1212,0)</x:f>
        <x:v>0</x:v>
      </x:c>
      <x:c r="P1212" s="11" t="str">
        <x:v>סיבוס עינור</x:v>
      </x:c>
      <x:c r="Q1212" s="11" t="str"/>
      <x:c r="R1212" s="11" t="str">
        <x:v>לא</x:v>
      </x:c>
    </x:row>
    <x:row r="1213">
      <x:c r="A1213" s="14" t="n">
        <x:v>45992</x:v>
      </x:c>
      <x:c r="B1213" s="11" t="str">
        <x:v>2025-12</x:v>
      </x:c>
      <x:c r="C1213" s="11" t="str">
        <x:v>דצמבר 25</x:v>
      </x:c>
      <x:c r="D1213" s="15" t="n">
        <x:v>98</x:v>
      </x:c>
      <x:c r="E1213" s="11" t="str">
        <x:v>23</x:v>
      </x:c>
      <x:c r="F1213" s="11" t="str">
        <x:v>אוכל</x:v>
      </x:c>
      <x:c r="G1213" s="17" t="n">
        <x:v>103</x:v>
      </x:c>
      <x:c r="H1213" s="18" t="str">
        <x:v>אוכל בחוץ</x:v>
      </x:c>
      <x:c r="I1213" s="19" t="str">
        <x:f>IFERROR(INDEX('מיפוי ומקורות'!$C$7:$C$33,MATCH(H1213,'מיפוי ומקורות'!$B$7:$B$33,0)),"לא מסווג")</x:f>
        <x:v>אוכל בחוץ</x:v>
      </x:c>
      <x:c r="J1213" s="19" t="str">
        <x:f>IFERROR(INDEX('מיפוי ומקורות'!$D$7:$D$33,MATCH(H1213,'מיפוי ומקורות'!$B$7:$B$33,0)),"שוטף")</x:f>
        <x:v>שוטף</x:v>
      </x:c>
      <x:c r="K1213" s="19" t="str">
        <x:f>IF(OR(H1213="ריביות",AND(H1213="דירה כצנלסון",G1213&lt;0,ISNUMBER(SEARCH("הכנסה",F1213)))),"הכנסה שסווגה מחדש",J1213)</x:f>
        <x:v>שוטף</x:v>
      </x:c>
      <x:c r="L1213" s="19" t="str">
        <x:v>מאושר</x:v>
      </x:c>
      <x:c r="M1213" s="20" t="n">
        <x:f>IF(L1213="מאושר",IF(K1213="הכנסה שסווגה מחדש",0,G1213),0)</x:f>
        <x:v>103</x:v>
      </x:c>
      <x:c r="N1213" s="20" t="n">
        <x:f>IF(K1213="שוטף",M1213,0)</x:f>
        <x:v>103</x:v>
      </x:c>
      <x:c r="O1213" s="20" t="n">
        <x:f>IF(K1213="הכנסה שסווגה מחדש",-G1213,0)</x:f>
        <x:v>0</x:v>
      </x:c>
      <x:c r="P1213" s="11" t="str">
        <x:v>סיבוס עינור</x:v>
      </x:c>
      <x:c r="Q1213" s="11" t="str"/>
      <x:c r="R1213" s="11" t="str">
        <x:v>לא</x:v>
      </x:c>
    </x:row>
    <x:row r="1214">
      <x:c r="A1214" s="14" t="n">
        <x:v>45992</x:v>
      </x:c>
      <x:c r="B1214" s="11" t="str">
        <x:v>2025-12</x:v>
      </x:c>
      <x:c r="C1214" s="11" t="str">
        <x:v>דצמבר 25</x:v>
      </x:c>
      <x:c r="D1214" s="15" t="n">
        <x:v>99</x:v>
      </x:c>
      <x:c r="E1214" s="11" t="str">
        <x:v>24</x:v>
      </x:c>
      <x:c r="F1214" s="11" t="str">
        <x:v>סופר</x:v>
      </x:c>
      <x:c r="G1214" s="17" t="n">
        <x:v>22</x:v>
      </x:c>
      <x:c r="H1214" s="18" t="str">
        <x:v>מזון לבית</x:v>
      </x:c>
      <x:c r="I1214" s="19" t="str">
        <x:f>IFERROR(INDEX('מיפוי ומקורות'!$C$7:$C$33,MATCH(H1214,'מיפוי ומקורות'!$B$7:$B$33,0)),"לא מסווג")</x:f>
        <x:v>מזון לבית</x:v>
      </x:c>
      <x:c r="J1214" s="19" t="str">
        <x:f>IFERROR(INDEX('מיפוי ומקורות'!$D$7:$D$33,MATCH(H1214,'מיפוי ומקורות'!$B$7:$B$33,0)),"שוטף")</x:f>
        <x:v>שוטף</x:v>
      </x:c>
      <x:c r="K1214" s="19" t="str">
        <x:f>IF(OR(H1214="ריביות",AND(H1214="דירה כצנלסון",G1214&lt;0,ISNUMBER(SEARCH("הכנסה",F1214)))),"הכנסה שסווגה מחדש",J1214)</x:f>
        <x:v>שוטף</x:v>
      </x:c>
      <x:c r="L1214" s="19" t="str">
        <x:v>מאושר</x:v>
      </x:c>
      <x:c r="M1214" s="20" t="n">
        <x:f>IF(L1214="מאושר",IF(K1214="הכנסה שסווגה מחדש",0,G1214),0)</x:f>
        <x:v>22</x:v>
      </x:c>
      <x:c r="N1214" s="20" t="n">
        <x:f>IF(K1214="שוטף",M1214,0)</x:f>
        <x:v>22</x:v>
      </x:c>
      <x:c r="O1214" s="20" t="n">
        <x:f>IF(K1214="הכנסה שסווגה מחדש",-G1214,0)</x:f>
        <x:v>0</x:v>
      </x:c>
      <x:c r="P1214" s="11" t="str">
        <x:v>סיבוס עינור</x:v>
      </x:c>
      <x:c r="Q1214" s="11" t="str"/>
      <x:c r="R1214" s="11" t="str">
        <x:v>לא</x:v>
      </x:c>
    </x:row>
    <x:row r="1215">
      <x:c r="A1215" s="14" t="n">
        <x:v>45992</x:v>
      </x:c>
      <x:c r="B1215" s="11" t="str">
        <x:v>2025-12</x:v>
      </x:c>
      <x:c r="C1215" s="11" t="str">
        <x:v>דצמבר 25</x:v>
      </x:c>
      <x:c r="D1215" s="15" t="n">
        <x:v>100</x:v>
      </x:c>
      <x:c r="E1215" s="11" t="str">
        <x:v>24</x:v>
      </x:c>
      <x:c r="F1215" s="11" t="str">
        <x:v>אוכל</x:v>
      </x:c>
      <x:c r="G1215" s="17" t="n">
        <x:v>249</x:v>
      </x:c>
      <x:c r="H1215" s="18" t="str">
        <x:v>אוכל בחוץ</x:v>
      </x:c>
      <x:c r="I1215" s="19" t="str">
        <x:f>IFERROR(INDEX('מיפוי ומקורות'!$C$7:$C$33,MATCH(H1215,'מיפוי ומקורות'!$B$7:$B$33,0)),"לא מסווג")</x:f>
        <x:v>אוכל בחוץ</x:v>
      </x:c>
      <x:c r="J1215" s="19" t="str">
        <x:f>IFERROR(INDEX('מיפוי ומקורות'!$D$7:$D$33,MATCH(H1215,'מיפוי ומקורות'!$B$7:$B$33,0)),"שוטף")</x:f>
        <x:v>שוטף</x:v>
      </x:c>
      <x:c r="K1215" s="19" t="str">
        <x:f>IF(OR(H1215="ריביות",AND(H1215="דירה כצנלסון",G1215&lt;0,ISNUMBER(SEARCH("הכנסה",F1215)))),"הכנסה שסווגה מחדש",J1215)</x:f>
        <x:v>שוטף</x:v>
      </x:c>
      <x:c r="L1215" s="19" t="str">
        <x:v>מאושר</x:v>
      </x:c>
      <x:c r="M1215" s="20" t="n">
        <x:f>IF(L1215="מאושר",IF(K1215="הכנסה שסווגה מחדש",0,G1215),0)</x:f>
        <x:v>249</x:v>
      </x:c>
      <x:c r="N1215" s="20" t="n">
        <x:f>IF(K1215="שוטף",M1215,0)</x:f>
        <x:v>249</x:v>
      </x:c>
      <x:c r="O1215" s="20" t="n">
        <x:f>IF(K1215="הכנסה שסווגה מחדש",-G1215,0)</x:f>
        <x:v>0</x:v>
      </x:c>
      <x:c r="P1215" s="11" t="str">
        <x:v>סיבוס עינור</x:v>
      </x:c>
      <x:c r="Q1215" s="11" t="str"/>
      <x:c r="R1215" s="11" t="str">
        <x:v>לא</x:v>
      </x:c>
    </x:row>
    <x:row r="1216">
      <x:c r="A1216" s="14" t="n">
        <x:v>45992</x:v>
      </x:c>
      <x:c r="B1216" s="11" t="str">
        <x:v>2025-12</x:v>
      </x:c>
      <x:c r="C1216" s="11" t="str">
        <x:v>דצמבר 25</x:v>
      </x:c>
      <x:c r="D1216" s="15" t="n">
        <x:v>101</x:v>
      </x:c>
      <x:c r="E1216" s="11" t="str">
        <x:v>31</x:v>
      </x:c>
      <x:c r="F1216" s="11" t="str">
        <x:v>אוכל</x:v>
      </x:c>
      <x:c r="G1216" s="17" t="n">
        <x:v>51</x:v>
      </x:c>
      <x:c r="H1216" s="18" t="str">
        <x:v>אוכל בחוץ</x:v>
      </x:c>
      <x:c r="I1216" s="19" t="str">
        <x:f>IFERROR(INDEX('מיפוי ומקורות'!$C$7:$C$33,MATCH(H1216,'מיפוי ומקורות'!$B$7:$B$33,0)),"לא מסווג")</x:f>
        <x:v>אוכל בחוץ</x:v>
      </x:c>
      <x:c r="J1216" s="19" t="str">
        <x:f>IFERROR(INDEX('מיפוי ומקורות'!$D$7:$D$33,MATCH(H1216,'מיפוי ומקורות'!$B$7:$B$33,0)),"שוטף")</x:f>
        <x:v>שוטף</x:v>
      </x:c>
      <x:c r="K1216" s="19" t="str">
        <x:f>IF(OR(H1216="ריביות",AND(H1216="דירה כצנלסון",G1216&lt;0,ISNUMBER(SEARCH("הכנסה",F1216)))),"הכנסה שסווגה מחדש",J1216)</x:f>
        <x:v>שוטף</x:v>
      </x:c>
      <x:c r="L1216" s="19" t="str">
        <x:v>מאושר</x:v>
      </x:c>
      <x:c r="M1216" s="20" t="n">
        <x:f>IF(L1216="מאושר",IF(K1216="הכנסה שסווגה מחדש",0,G1216),0)</x:f>
        <x:v>51</x:v>
      </x:c>
      <x:c r="N1216" s="20" t="n">
        <x:f>IF(K1216="שוטף",M1216,0)</x:f>
        <x:v>51</x:v>
      </x:c>
      <x:c r="O1216" s="20" t="n">
        <x:f>IF(K1216="הכנסה שסווגה מחדש",-G1216,0)</x:f>
        <x:v>0</x:v>
      </x:c>
      <x:c r="P1216" s="11" t="str">
        <x:v>סיבוס עינור</x:v>
      </x:c>
      <x:c r="Q1216" s="11" t="str"/>
      <x:c r="R1216" s="11" t="str">
        <x:v>לא</x:v>
      </x:c>
    </x:row>
    <x:row r="1217">
      <x:c r="A1217" s="14" t="n">
        <x:v>45992</x:v>
      </x:c>
      <x:c r="B1217" s="11" t="str">
        <x:v>2025-12</x:v>
      </x:c>
      <x:c r="C1217" s="11" t="str">
        <x:v>דצמבר 25</x:v>
      </x:c>
      <x:c r="D1217" s="15" t="n">
        <x:v>102</x:v>
      </x:c>
      <x:c r="E1217" s="11" t="str"/>
      <x:c r="F1217" s="11" t="str">
        <x:v>פריז</x:v>
      </x:c>
      <x:c r="G1217" s="17" t="n">
        <x:v>144</x:v>
      </x:c>
      <x:c r="H1217" s="18" t="str">
        <x:v>חול</x:v>
      </x:c>
      <x:c r="I1217" s="19" t="str">
        <x:f>IFERROR(INDEX('מיפוי ומקורות'!$C$7:$C$33,MATCH(H1217,'מיפוי ומקורות'!$B$7:$B$33,0)),"לא מסווג")</x:f>
        <x:v>נסיעות וחופשות</x:v>
      </x:c>
      <x:c r="J1217" s="19" t="str">
        <x:f>IFERROR(INDEX('מיפוי ומקורות'!$D$7:$D$33,MATCH(H1217,'מיפוי ומקורות'!$B$7:$B$33,0)),"שוטף")</x:f>
        <x:v>חריג</x:v>
      </x:c>
      <x:c r="K1217" s="19" t="str">
        <x:f>IF(OR(H1217="ריביות",AND(H1217="דירה כצנלסון",G1217&lt;0,ISNUMBER(SEARCH("הכנסה",F1217)))),"הכנסה שסווגה מחדש",J1217)</x:f>
        <x:v>חריג</x:v>
      </x:c>
      <x:c r="L1217" s="19" t="str">
        <x:v>מאושר</x:v>
      </x:c>
      <x:c r="M1217" s="20" t="n">
        <x:f>IF(L1217="מאושר",IF(K1217="הכנסה שסווגה מחדש",0,G1217),0)</x:f>
        <x:v>144</x:v>
      </x:c>
      <x:c r="N1217" s="20" t="n">
        <x:f>IF(K1217="שוטף",M1217,0)</x:f>
        <x:v>0</x:v>
      </x:c>
      <x:c r="O1217" s="20" t="n">
        <x:f>IF(K1217="הכנסה שסווגה מחדש",-G1217,0)</x:f>
        <x:v>0</x:v>
      </x:c>
      <x:c r="P1217" s="11" t="str">
        <x:v>מזומן</x:v>
      </x:c>
      <x:c r="Q1217" s="11" t="str"/>
      <x:c r="R1217" s="11" t="str">
        <x:v>לא</x:v>
      </x:c>
    </x:row>
    <x:row r="1218">
      <x:c r="A1218" s="14" t="n">
        <x:v>45992</x:v>
      </x:c>
      <x:c r="B1218" s="11" t="str">
        <x:v>2025-12</x:v>
      </x:c>
      <x:c r="C1218" s="11" t="str">
        <x:v>דצמבר 25</x:v>
      </x:c>
      <x:c r="D1218" s="15" t="n">
        <x:v>103</x:v>
      </x:c>
      <x:c r="E1218" s="11" t="str">
        <x:v>18</x:v>
      </x:c>
      <x:c r="F1218" s="11" t="str">
        <x:v>דירה כצנלסון</x:v>
      </x:c>
      <x:c r="G1218" s="17" t="n">
        <x:v>1340</x:v>
      </x:c>
      <x:c r="H1218" s="18" t="str">
        <x:v>דירה כצנלסון</x:v>
      </x:c>
      <x:c r="I1218" s="19" t="str">
        <x:f>IFERROR(INDEX('מיפוי ומקורות'!$C$7:$C$33,MATCH(H1218,'מיפוי ומקורות'!$B$7:$B$33,0)),"לא מסווג")</x:f>
        <x:v>נכס להשקעה</x:v>
      </x:c>
      <x:c r="J1218" s="19" t="str">
        <x:f>IFERROR(INDEX('מיפוי ומקורות'!$D$7:$D$33,MATCH(H1218,'מיפוי ומקורות'!$B$7:$B$33,0)),"שוטף")</x:f>
        <x:v>חריג/נכס</x:v>
      </x:c>
      <x:c r="K1218" s="19" t="str">
        <x:f>IF(OR(H1218="ריביות",AND(H1218="דירה כצנלסון",G1218&lt;0,ISNUMBER(SEARCH("הכנסה",F1218)))),"הכנסה שסווגה מחדש",J1218)</x:f>
        <x:v>חריג/נכס</x:v>
      </x:c>
      <x:c r="L1218" s="19" t="str">
        <x:v>מאושר</x:v>
      </x:c>
      <x:c r="M1218" s="20" t="n">
        <x:f>IF(L1218="מאושר",IF(K1218="הכנסה שסווגה מחדש",0,G1218),0)</x:f>
        <x:v>1340</x:v>
      </x:c>
      <x:c r="N1218" s="20" t="n">
        <x:f>IF(K1218="שוטף",M1218,0)</x:f>
        <x:v>0</x:v>
      </x:c>
      <x:c r="O1218" s="20" t="n">
        <x:f>IF(K1218="הכנסה שסווגה מחדש",-G1218,0)</x:f>
        <x:v>0</x:v>
      </x:c>
      <x:c r="P1218" s="11" t="str">
        <x:v>מזומן</x:v>
      </x:c>
      <x:c r="Q1218" s="11" t="str"/>
      <x:c r="R1218" s="11" t="str">
        <x:v>לא</x:v>
      </x:c>
    </x:row>
    <x:row r="1219">
      <x:c r="A1219" s="14" t="n">
        <x:v>46023</x:v>
      </x:c>
      <x:c r="B1219" s="11" t="str">
        <x:v>2026-01</x:v>
      </x:c>
      <x:c r="C1219" s="11" t="str">
        <x:v>ינואר 26</x:v>
      </x:c>
      <x:c r="D1219" s="15" t="n">
        <x:v>2</x:v>
      </x:c>
      <x:c r="E1219" s="11" t="str">
        <x:v>14</x:v>
      </x:c>
      <x:c r="F1219" s="11" t="str">
        <x:v>שכר דירה</x:v>
      </x:c>
      <x:c r="G1219" s="17" t="n">
        <x:v>8000</x:v>
      </x:c>
      <x:c r="H1219" s="18" t="str">
        <x:v>מגורים</x:v>
      </x:c>
      <x:c r="I1219" s="19" t="str">
        <x:f>IFERROR(INDEX('מיפוי ומקורות'!$C$7:$C$33,MATCH(H1219,'מיפוי ומקורות'!$B$7:$B$33,0)),"לא מסווג")</x:f>
        <x:v>דיור – בית מגורים</x:v>
      </x:c>
      <x:c r="J1219" s="19" t="str">
        <x:f>IFERROR(INDEX('מיפוי ומקורות'!$D$7:$D$33,MATCH(H1219,'מיפוי ומקורות'!$B$7:$B$33,0)),"שוטף")</x:f>
        <x:v>שוטף</x:v>
      </x:c>
      <x:c r="K1219" s="19" t="str">
        <x:f>IF(OR(H1219="ריביות",AND(H1219="דירה כצנלסון",G1219&lt;0,ISNUMBER(SEARCH("הכנסה",F1219)))),"הכנסה שסווגה מחדש",J1219)</x:f>
        <x:v>שוטף</x:v>
      </x:c>
      <x:c r="L1219" s="19" t="str">
        <x:v>מאושר</x:v>
      </x:c>
      <x:c r="M1219" s="20" t="n">
        <x:f>IF(L1219="מאושר",IF(K1219="הכנסה שסווגה מחדש",0,G1219),0)</x:f>
        <x:v>8000</x:v>
      </x:c>
      <x:c r="N1219" s="20" t="n">
        <x:f>IF(K1219="שוטף",M1219,0)</x:f>
        <x:v>8000</x:v>
      </x:c>
      <x:c r="O1219" s="20" t="n">
        <x:f>IF(K1219="הכנסה שסווגה מחדש",-G1219,0)</x:f>
        <x:v>0</x:v>
      </x:c>
      <x:c r="P1219" s="11" t="str">
        <x:v>דיסקונט</x:v>
      </x:c>
      <x:c r="Q1219" s="11" t="str"/>
      <x:c r="R1219" s="11" t="str">
        <x:v>לא</x:v>
      </x:c>
    </x:row>
    <x:row r="1220">
      <x:c r="A1220" s="14" t="n">
        <x:v>46023</x:v>
      </x:c>
      <x:c r="B1220" s="11" t="str">
        <x:v>2026-01</x:v>
      </x:c>
      <x:c r="C1220" s="11" t="str">
        <x:v>ינואר 26</x:v>
      </x:c>
      <x:c r="D1220" s="15" t="n">
        <x:v>3</x:v>
      </x:c>
      <x:c r="E1220" s="11" t="str">
        <x:v>10</x:v>
      </x:c>
      <x:c r="F1220" s="11" t="str">
        <x:v>משכנתא</x:v>
      </x:c>
      <x:c r="G1220" s="17" t="n">
        <x:v>6143</x:v>
      </x:c>
      <x:c r="H1220" s="18" t="str">
        <x:v>דירה כצנלסון</x:v>
      </x:c>
      <x:c r="I1220" s="19" t="str">
        <x:f>IFERROR(INDEX('מיפוי ומקורות'!$C$7:$C$33,MATCH(H1220,'מיפוי ומקורות'!$B$7:$B$33,0)),"לא מסווג")</x:f>
        <x:v>נכס להשקעה</x:v>
      </x:c>
      <x:c r="J1220" s="19" t="str">
        <x:f>IFERROR(INDEX('מיפוי ומקורות'!$D$7:$D$33,MATCH(H1220,'מיפוי ומקורות'!$B$7:$B$33,0)),"שוטף")</x:f>
        <x:v>חריג/נכס</x:v>
      </x:c>
      <x:c r="K1220" s="19" t="str">
        <x:f>IF(OR(H1220="ריביות",AND(H1220="דירה כצנלסון",G1220&lt;0,ISNUMBER(SEARCH("הכנסה",F1220)))),"הכנסה שסווגה מחדש",J1220)</x:f>
        <x:v>חריג/נכס</x:v>
      </x:c>
      <x:c r="L1220" s="19" t="str">
        <x:v>מאושר</x:v>
      </x:c>
      <x:c r="M1220" s="20" t="n">
        <x:f>IF(L1220="מאושר",IF(K1220="הכנסה שסווגה מחדש",0,G1220),0)</x:f>
        <x:v>6143</x:v>
      </x:c>
      <x:c r="N1220" s="20" t="n">
        <x:f>IF(K1220="שוטף",M1220,0)</x:f>
        <x:v>0</x:v>
      </x:c>
      <x:c r="O1220" s="20" t="n">
        <x:f>IF(K1220="הכנסה שסווגה מחדש",-G1220,0)</x:f>
        <x:v>0</x:v>
      </x:c>
      <x:c r="P1220" s="11" t="str">
        <x:v>דיסקונט</x:v>
      </x:c>
      <x:c r="Q1220" s="11" t="str"/>
      <x:c r="R1220" s="11" t="str">
        <x:v>לא</x:v>
      </x:c>
    </x:row>
    <x:row r="1221">
      <x:c r="A1221" s="14" t="n">
        <x:v>46023</x:v>
      </x:c>
      <x:c r="B1221" s="11" t="str">
        <x:v>2026-01</x:v>
      </x:c>
      <x:c r="C1221" s="11" t="str">
        <x:v>ינואר 26</x:v>
      </x:c>
      <x:c r="D1221" s="15" t="n">
        <x:v>5</x:v>
      </x:c>
      <x:c r="E1221" s="11" t="str"/>
      <x:c r="F1221" s="11" t="str">
        <x:v>ארנונה</x:v>
      </x:c>
      <x:c r="G1221" s="17" t="n">
        <x:v>0</x:v>
      </x:c>
      <x:c r="H1221" s="18" t="str">
        <x:v>מגורים</x:v>
      </x:c>
      <x:c r="I1221" s="19" t="str">
        <x:f>IFERROR(INDEX('מיפוי ומקורות'!$C$7:$C$33,MATCH(H1221,'מיפוי ומקורות'!$B$7:$B$33,0)),"לא מסווג")</x:f>
        <x:v>דיור – בית מגורים</x:v>
      </x:c>
      <x:c r="J1221" s="19" t="str">
        <x:f>IFERROR(INDEX('מיפוי ומקורות'!$D$7:$D$33,MATCH(H1221,'מיפוי ומקורות'!$B$7:$B$33,0)),"שוטף")</x:f>
        <x:v>שוטף</x:v>
      </x:c>
      <x:c r="K1221" s="19" t="str">
        <x:f>IF(OR(H1221="ריביות",AND(H1221="דירה כצנלסון",G1221&lt;0,ISNUMBER(SEARCH("הכנסה",F1221)))),"הכנסה שסווגה מחדש",J1221)</x:f>
        <x:v>שוטף</x:v>
      </x:c>
      <x:c r="L1221" s="19" t="str">
        <x:v>מאושר</x:v>
      </x:c>
      <x:c r="M1221" s="20" t="n">
        <x:f>IF(L1221="מאושר",IF(K1221="הכנסה שסווגה מחדש",0,G1221),0)</x:f>
        <x:v>0</x:v>
      </x:c>
      <x:c r="N1221" s="20" t="n">
        <x:f>IF(K1221="שוטף",M1221,0)</x:f>
        <x:v>0</x:v>
      </x:c>
      <x:c r="O1221" s="20" t="n">
        <x:f>IF(K1221="הכנסה שסווגה מחדש",-G1221,0)</x:f>
        <x:v>0</x:v>
      </x:c>
      <x:c r="P1221" s="11" t="str"/>
      <x:c r="Q1221" s="11" t="str"/>
      <x:c r="R1221" s="11" t="str">
        <x:v>לא</x:v>
      </x:c>
    </x:row>
    <x:row r="1222">
      <x:c r="A1222" s="14" t="n">
        <x:v>46023</x:v>
      </x:c>
      <x:c r="B1222" s="11" t="str">
        <x:v>2026-01</x:v>
      </x:c>
      <x:c r="C1222" s="11" t="str">
        <x:v>ינואר 26</x:v>
      </x:c>
      <x:c r="D1222" s="15" t="n">
        <x:v>6</x:v>
      </x:c>
      <x:c r="E1222" s="11" t="str">
        <x:v>2</x:v>
      </x:c>
      <x:c r="F1222" s="11" t="str">
        <x:v>חשמל</x:v>
      </x:c>
      <x:c r="G1222" s="17" t="n">
        <x:v>146</x:v>
      </x:c>
      <x:c r="H1222" s="18" t="str">
        <x:v>מגורים</x:v>
      </x:c>
      <x:c r="I1222" s="19" t="str">
        <x:f>IFERROR(INDEX('מיפוי ומקורות'!$C$7:$C$33,MATCH(H1222,'מיפוי ומקורות'!$B$7:$B$33,0)),"לא מסווג")</x:f>
        <x:v>דיור – בית מגורים</x:v>
      </x:c>
      <x:c r="J1222" s="19" t="str">
        <x:f>IFERROR(INDEX('מיפוי ומקורות'!$D$7:$D$33,MATCH(H1222,'מיפוי ומקורות'!$B$7:$B$33,0)),"שוטף")</x:f>
        <x:v>שוטף</x:v>
      </x:c>
      <x:c r="K1222" s="19" t="str">
        <x:f>IF(OR(H1222="ריביות",AND(H1222="דירה כצנלסון",G1222&lt;0,ISNUMBER(SEARCH("הכנסה",F1222)))),"הכנסה שסווגה מחדש",J1222)</x:f>
        <x:v>שוטף</x:v>
      </x:c>
      <x:c r="L1222" s="19" t="str">
        <x:v>מאושר</x:v>
      </x:c>
      <x:c r="M1222" s="20" t="n">
        <x:f>IF(L1222="מאושר",IF(K1222="הכנסה שסווגה מחדש",0,G1222),0)</x:f>
        <x:v>146</x:v>
      </x:c>
      <x:c r="N1222" s="20" t="n">
        <x:f>IF(K1222="שוטף",M1222,0)</x:f>
        <x:v>146</x:v>
      </x:c>
      <x:c r="O1222" s="20" t="n">
        <x:f>IF(K1222="הכנסה שסווגה מחדש",-G1222,0)</x:f>
        <x:v>0</x:v>
      </x:c>
      <x:c r="P1222" s="11" t="str">
        <x:v>אמקס זיו</x:v>
      </x:c>
      <x:c r="Q1222" s="11" t="str"/>
      <x:c r="R1222" s="11" t="str">
        <x:v>לא</x:v>
      </x:c>
    </x:row>
    <x:row r="1223">
      <x:c r="A1223" s="14" t="n">
        <x:v>46023</x:v>
      </x:c>
      <x:c r="B1223" s="11" t="str">
        <x:v>2026-01</x:v>
      </x:c>
      <x:c r="C1223" s="11" t="str">
        <x:v>ינואר 26</x:v>
      </x:c>
      <x:c r="D1223" s="15" t="n">
        <x:v>7</x:v>
      </x:c>
      <x:c r="E1223" s="11" t="str">
        <x:v>6</x:v>
      </x:c>
      <x:c r="F1223" s="11" t="str">
        <x:v>מים</x:v>
      </x:c>
      <x:c r="G1223" s="17" t="n">
        <x:v>105</x:v>
      </x:c>
      <x:c r="H1223" s="18" t="str">
        <x:v>מגורים</x:v>
      </x:c>
      <x:c r="I1223" s="19" t="str">
        <x:f>IFERROR(INDEX('מיפוי ומקורות'!$C$7:$C$33,MATCH(H1223,'מיפוי ומקורות'!$B$7:$B$33,0)),"לא מסווג")</x:f>
        <x:v>דיור – בית מגורים</x:v>
      </x:c>
      <x:c r="J1223" s="19" t="str">
        <x:f>IFERROR(INDEX('מיפוי ומקורות'!$D$7:$D$33,MATCH(H1223,'מיפוי ומקורות'!$B$7:$B$33,0)),"שוטף")</x:f>
        <x:v>שוטף</x:v>
      </x:c>
      <x:c r="K1223" s="19" t="str">
        <x:f>IF(OR(H1223="ריביות",AND(H1223="דירה כצנלסון",G1223&lt;0,ISNUMBER(SEARCH("הכנסה",F1223)))),"הכנסה שסווגה מחדש",J1223)</x:f>
        <x:v>שוטף</x:v>
      </x:c>
      <x:c r="L1223" s="19" t="str">
        <x:v>מאושר</x:v>
      </x:c>
      <x:c r="M1223" s="20" t="n">
        <x:f>IF(L1223="מאושר",IF(K1223="הכנסה שסווגה מחדש",0,G1223),0)</x:f>
        <x:v>105</x:v>
      </x:c>
      <x:c r="N1223" s="20" t="n">
        <x:f>IF(K1223="שוטף",M1223,0)</x:f>
        <x:v>105</x:v>
      </x:c>
      <x:c r="O1223" s="20" t="n">
        <x:f>IF(K1223="הכנסה שסווגה מחדש",-G1223,0)</x:f>
        <x:v>0</x:v>
      </x:c>
      <x:c r="P1223" s="11" t="str">
        <x:v>one zero עינור</x:v>
      </x:c>
      <x:c r="Q1223" s="11" t="str"/>
      <x:c r="R1223" s="11" t="str">
        <x:v>לא</x:v>
      </x:c>
    </x:row>
    <x:row r="1224">
      <x:c r="A1224" s="14" t="n">
        <x:v>46023</x:v>
      </x:c>
      <x:c r="B1224" s="11" t="str">
        <x:v>2026-01</x:v>
      </x:c>
      <x:c r="C1224" s="11" t="str">
        <x:v>ינואר 26</x:v>
      </x:c>
      <x:c r="D1224" s="15" t="n">
        <x:v>8</x:v>
      </x:c>
      <x:c r="E1224" s="11" t="str"/>
      <x:c r="F1224" s="11" t="str">
        <x:v>ועד בית</x:v>
      </x:c>
      <x:c r="G1224" s="17" t="n">
        <x:v>0</x:v>
      </x:c>
      <x:c r="H1224" s="18" t="str">
        <x:v>מגורים</x:v>
      </x:c>
      <x:c r="I1224" s="19" t="str">
        <x:f>IFERROR(INDEX('מיפוי ומקורות'!$C$7:$C$33,MATCH(H1224,'מיפוי ומקורות'!$B$7:$B$33,0)),"לא מסווג")</x:f>
        <x:v>דיור – בית מגורים</x:v>
      </x:c>
      <x:c r="J1224" s="19" t="str">
        <x:f>IFERROR(INDEX('מיפוי ומקורות'!$D$7:$D$33,MATCH(H1224,'מיפוי ומקורות'!$B$7:$B$33,0)),"שוטף")</x:f>
        <x:v>שוטף</x:v>
      </x:c>
      <x:c r="K1224" s="19" t="str">
        <x:f>IF(OR(H1224="ריביות",AND(H1224="דירה כצנלסון",G1224&lt;0,ISNUMBER(SEARCH("הכנסה",F1224)))),"הכנסה שסווגה מחדש",J1224)</x:f>
        <x:v>שוטף</x:v>
      </x:c>
      <x:c r="L1224" s="19" t="str">
        <x:v>מאושר</x:v>
      </x:c>
      <x:c r="M1224" s="20" t="n">
        <x:f>IF(L1224="מאושר",IF(K1224="הכנסה שסווגה מחדש",0,G1224),0)</x:f>
        <x:v>0</x:v>
      </x:c>
      <x:c r="N1224" s="20" t="n">
        <x:f>IF(K1224="שוטף",M1224,0)</x:f>
        <x:v>0</x:v>
      </x:c>
      <x:c r="O1224" s="20" t="n">
        <x:f>IF(K1224="הכנסה שסווגה מחדש",-G1224,0)</x:f>
        <x:v>0</x:v>
      </x:c>
      <x:c r="P1224" s="11" t="str"/>
      <x:c r="Q1224" s="11" t="str"/>
      <x:c r="R1224" s="11" t="str">
        <x:v>לא</x:v>
      </x:c>
    </x:row>
    <x:row r="1225">
      <x:c r="A1225" s="14" t="n">
        <x:v>46023</x:v>
      </x:c>
      <x:c r="B1225" s="11" t="str">
        <x:v>2026-01</x:v>
      </x:c>
      <x:c r="C1225" s="11" t="str">
        <x:v>ינואר 26</x:v>
      </x:c>
      <x:c r="D1225" s="15" t="n">
        <x:v>9</x:v>
      </x:c>
      <x:c r="E1225" s="11" t="str">
        <x:v>2</x:v>
      </x:c>
      <x:c r="F1225" s="11" t="str">
        <x:v>גז</x:v>
      </x:c>
      <x:c r="G1225" s="17" t="n">
        <x:v>38</x:v>
      </x:c>
      <x:c r="H1225" s="18" t="str">
        <x:v>מגורים</x:v>
      </x:c>
      <x:c r="I1225" s="19" t="str">
        <x:f>IFERROR(INDEX('מיפוי ומקורות'!$C$7:$C$33,MATCH(H1225,'מיפוי ומקורות'!$B$7:$B$33,0)),"לא מסווג")</x:f>
        <x:v>דיור – בית מגורים</x:v>
      </x:c>
      <x:c r="J1225" s="19" t="str">
        <x:f>IFERROR(INDEX('מיפוי ומקורות'!$D$7:$D$33,MATCH(H1225,'מיפוי ומקורות'!$B$7:$B$33,0)),"שוטף")</x:f>
        <x:v>שוטף</x:v>
      </x:c>
      <x:c r="K1225" s="19" t="str">
        <x:f>IF(OR(H1225="ריביות",AND(H1225="דירה כצנלסון",G1225&lt;0,ISNUMBER(SEARCH("הכנסה",F1225)))),"הכנסה שסווגה מחדש",J1225)</x:f>
        <x:v>שוטף</x:v>
      </x:c>
      <x:c r="L1225" s="19" t="str">
        <x:v>מאושר</x:v>
      </x:c>
      <x:c r="M1225" s="20" t="n">
        <x:f>IF(L1225="מאושר",IF(K1225="הכנסה שסווגה מחדש",0,G1225),0)</x:f>
        <x:v>38</x:v>
      </x:c>
      <x:c r="N1225" s="20" t="n">
        <x:f>IF(K1225="שוטף",M1225,0)</x:f>
        <x:v>38</x:v>
      </x:c>
      <x:c r="O1225" s="20" t="n">
        <x:f>IF(K1225="הכנסה שסווגה מחדש",-G1225,0)</x:f>
        <x:v>0</x:v>
      </x:c>
      <x:c r="P1225" s="11" t="str">
        <x:v>אמקס זיו</x:v>
      </x:c>
      <x:c r="Q1225" s="11" t="str"/>
      <x:c r="R1225" s="11" t="str">
        <x:v>לא</x:v>
      </x:c>
    </x:row>
    <x:row r="1226">
      <x:c r="A1226" s="14" t="n">
        <x:v>46023</x:v>
      </x:c>
      <x:c r="B1226" s="11" t="str">
        <x:v>2026-01</x:v>
      </x:c>
      <x:c r="C1226" s="11" t="str">
        <x:v>ינואר 26</x:v>
      </x:c>
      <x:c r="D1226" s="15" t="n">
        <x:v>10</x:v>
      </x:c>
      <x:c r="E1226" s="11" t="str"/>
      <x:c r="F1226" s="11" t="str">
        <x:v>מנקה</x:v>
      </x:c>
      <x:c r="G1226" s="17" t="n">
        <x:v>400</x:v>
      </x:c>
      <x:c r="H1226" s="18" t="str">
        <x:v>מגורים</x:v>
      </x:c>
      <x:c r="I1226" s="19" t="str">
        <x:f>IFERROR(INDEX('מיפוי ומקורות'!$C$7:$C$33,MATCH(H1226,'מיפוי ומקורות'!$B$7:$B$33,0)),"לא מסווג")</x:f>
        <x:v>דיור – בית מגורים</x:v>
      </x:c>
      <x:c r="J1226" s="19" t="str">
        <x:f>IFERROR(INDEX('מיפוי ומקורות'!$D$7:$D$33,MATCH(H1226,'מיפוי ומקורות'!$B$7:$B$33,0)),"שוטף")</x:f>
        <x:v>שוטף</x:v>
      </x:c>
      <x:c r="K1226" s="19" t="str">
        <x:f>IF(OR(H1226="ריביות",AND(H1226="דירה כצנלסון",G1226&lt;0,ISNUMBER(SEARCH("הכנסה",F1226)))),"הכנסה שסווגה מחדש",J1226)</x:f>
        <x:v>שוטף</x:v>
      </x:c>
      <x:c r="L1226" s="19" t="str">
        <x:v>מאושר</x:v>
      </x:c>
      <x:c r="M1226" s="20" t="n">
        <x:f>IF(L1226="מאושר",IF(K1226="הכנסה שסווגה מחדש",0,G1226),0)</x:f>
        <x:v>400</x:v>
      </x:c>
      <x:c r="N1226" s="20" t="n">
        <x:f>IF(K1226="שוטף",M1226,0)</x:f>
        <x:v>400</x:v>
      </x:c>
      <x:c r="O1226" s="20" t="n">
        <x:f>IF(K1226="הכנסה שסווגה מחדש",-G1226,0)</x:f>
        <x:v>0</x:v>
      </x:c>
      <x:c r="P1226" s="11" t="str">
        <x:v>מזומן</x:v>
      </x:c>
      <x:c r="Q1226" s="11" t="str"/>
      <x:c r="R1226" s="11" t="str">
        <x:v>לא</x:v>
      </x:c>
    </x:row>
    <x:row r="1227">
      <x:c r="A1227" s="14" t="n">
        <x:v>46023</x:v>
      </x:c>
      <x:c r="B1227" s="11" t="str">
        <x:v>2026-01</x:v>
      </x:c>
      <x:c r="C1227" s="11" t="str">
        <x:v>ינואר 26</x:v>
      </x:c>
      <x:c r="D1227" s="15" t="n">
        <x:v>11</x:v>
      </x:c>
      <x:c r="E1227" s="11" t="str">
        <x:v>24</x:v>
      </x:c>
      <x:c r="F1227" s="11" t="str">
        <x:v>אינטרנט</x:v>
      </x:c>
      <x:c r="G1227" s="17" t="n">
        <x:v>79</x:v>
      </x:c>
      <x:c r="H1227" s="18" t="str">
        <x:v>מגורים</x:v>
      </x:c>
      <x:c r="I1227" s="19" t="str">
        <x:f>IFERROR(INDEX('מיפוי ומקורות'!$C$7:$C$33,MATCH(H1227,'מיפוי ומקורות'!$B$7:$B$33,0)),"לא מסווג")</x:f>
        <x:v>דיור – בית מגורים</x:v>
      </x:c>
      <x:c r="J1227" s="19" t="str">
        <x:f>IFERROR(INDEX('מיפוי ומקורות'!$D$7:$D$33,MATCH(H1227,'מיפוי ומקורות'!$B$7:$B$33,0)),"שוטף")</x:f>
        <x:v>שוטף</x:v>
      </x:c>
      <x:c r="K1227" s="19" t="str">
        <x:f>IF(OR(H1227="ריביות",AND(H1227="דירה כצנלסון",G1227&lt;0,ISNUMBER(SEARCH("הכנסה",F1227)))),"הכנסה שסווגה מחדש",J1227)</x:f>
        <x:v>שוטף</x:v>
      </x:c>
      <x:c r="L1227" s="19" t="str">
        <x:v>מאושר</x:v>
      </x:c>
      <x:c r="M1227" s="20" t="n">
        <x:f>IF(L1227="מאושר",IF(K1227="הכנסה שסווגה מחדש",0,G1227),0)</x:f>
        <x:v>79</x:v>
      </x:c>
      <x:c r="N1227" s="20" t="n">
        <x:f>IF(K1227="שוטף",M1227,0)</x:f>
        <x:v>79</x:v>
      </x:c>
      <x:c r="O1227" s="20" t="n">
        <x:f>IF(K1227="הכנסה שסווגה מחדש",-G1227,0)</x:f>
        <x:v>0</x:v>
      </x:c>
      <x:c r="P1227" s="11" t="str">
        <x:v>אמקס זיו</x:v>
      </x:c>
      <x:c r="Q1227" s="11" t="str"/>
      <x:c r="R1227" s="11" t="str">
        <x:v>לא</x:v>
      </x:c>
    </x:row>
    <x:row r="1228">
      <x:c r="A1228" s="14" t="n">
        <x:v>46023</x:v>
      </x:c>
      <x:c r="B1228" s="11" t="str">
        <x:v>2026-01</x:v>
      </x:c>
      <x:c r="C1228" s="11" t="str">
        <x:v>ינואר 26</x:v>
      </x:c>
      <x:c r="D1228" s="15" t="n">
        <x:v>12</x:v>
      </x:c>
      <x:c r="E1228" s="11" t="str">
        <x:v>12</x:v>
      </x:c>
      <x:c r="F1228" s="11" t="str">
        <x:v>סלולר</x:v>
      </x:c>
      <x:c r="G1228" s="17" t="n">
        <x:v>59</x:v>
      </x:c>
      <x:c r="H1228" s="18" t="str">
        <x:v>מגורים</x:v>
      </x:c>
      <x:c r="I1228" s="19" t="str">
        <x:f>IFERROR(INDEX('מיפוי ומקורות'!$C$7:$C$33,MATCH(H1228,'מיפוי ומקורות'!$B$7:$B$33,0)),"לא מסווג")</x:f>
        <x:v>דיור – בית מגורים</x:v>
      </x:c>
      <x:c r="J1228" s="19" t="str">
        <x:f>IFERROR(INDEX('מיפוי ומקורות'!$D$7:$D$33,MATCH(H1228,'מיפוי ומקורות'!$B$7:$B$33,0)),"שוטף")</x:f>
        <x:v>שוטף</x:v>
      </x:c>
      <x:c r="K1228" s="19" t="str">
        <x:f>IF(OR(H1228="ריביות",AND(H1228="דירה כצנלסון",G1228&lt;0,ISNUMBER(SEARCH("הכנסה",F1228)))),"הכנסה שסווגה מחדש",J1228)</x:f>
        <x:v>שוטף</x:v>
      </x:c>
      <x:c r="L1228" s="19" t="str">
        <x:v>מאושר</x:v>
      </x:c>
      <x:c r="M1228" s="20" t="n">
        <x:f>IF(L1228="מאושר",IF(K1228="הכנסה שסווגה מחדש",0,G1228),0)</x:f>
        <x:v>59</x:v>
      </x:c>
      <x:c r="N1228" s="20" t="n">
        <x:f>IF(K1228="שוטף",M1228,0)</x:f>
        <x:v>59</x:v>
      </x:c>
      <x:c r="O1228" s="20" t="n">
        <x:f>IF(K1228="הכנסה שסווגה מחדש",-G1228,0)</x:f>
        <x:v>0</x:v>
      </x:c>
      <x:c r="P1228" s="11" t="str">
        <x:v>אמקס זיו</x:v>
      </x:c>
      <x:c r="Q1228" s="11" t="str"/>
      <x:c r="R1228" s="11" t="str">
        <x:v>לא</x:v>
      </x:c>
    </x:row>
    <x:row r="1229">
      <x:c r="A1229" s="14" t="n">
        <x:v>46023</x:v>
      </x:c>
      <x:c r="B1229" s="11" t="str">
        <x:v>2026-01</x:v>
      </x:c>
      <x:c r="C1229" s="11" t="str">
        <x:v>ינואר 26</x:v>
      </x:c>
      <x:c r="D1229" s="15" t="n">
        <x:v>13</x:v>
      </x:c>
      <x:c r="E1229" s="11" t="str">
        <x:v>28</x:v>
      </x:c>
      <x:c r="F1229" s="11" t="str">
        <x:v>ביטוח מבנה</x:v>
      </x:c>
      <x:c r="G1229" s="17" t="n">
        <x:v>71</x:v>
      </x:c>
      <x:c r="H1229" s="18" t="str">
        <x:v>דירה כצנלסון</x:v>
      </x:c>
      <x:c r="I1229" s="19" t="str">
        <x:f>IFERROR(INDEX('מיפוי ומקורות'!$C$7:$C$33,MATCH(H1229,'מיפוי ומקורות'!$B$7:$B$33,0)),"לא מסווג")</x:f>
        <x:v>נכס להשקעה</x:v>
      </x:c>
      <x:c r="J1229" s="19" t="str">
        <x:f>IFERROR(INDEX('מיפוי ומקורות'!$D$7:$D$33,MATCH(H1229,'מיפוי ומקורות'!$B$7:$B$33,0)),"שוטף")</x:f>
        <x:v>חריג/נכס</x:v>
      </x:c>
      <x:c r="K1229" s="19" t="str">
        <x:f>IF(OR(H1229="ריביות",AND(H1229="דירה כצנלסון",G1229&lt;0,ISNUMBER(SEARCH("הכנסה",F1229)))),"הכנסה שסווגה מחדש",J1229)</x:f>
        <x:v>חריג/נכס</x:v>
      </x:c>
      <x:c r="L1229" s="19" t="str">
        <x:v>מאושר</x:v>
      </x:c>
      <x:c r="M1229" s="20" t="n">
        <x:f>IF(L1229="מאושר",IF(K1229="הכנסה שסווגה מחדש",0,G1229),0)</x:f>
        <x:v>71</x:v>
      </x:c>
      <x:c r="N1229" s="20" t="n">
        <x:f>IF(K1229="שוטף",M1229,0)</x:f>
        <x:v>0</x:v>
      </x:c>
      <x:c r="O1229" s="20" t="n">
        <x:f>IF(K1229="הכנסה שסווגה מחדש",-G1229,0)</x:f>
        <x:v>0</x:v>
      </x:c>
      <x:c r="P1229" s="11" t="str">
        <x:v>אמקס זיו</x:v>
      </x:c>
      <x:c r="Q1229" s="11" t="str"/>
      <x:c r="R1229" s="11" t="str">
        <x:v>לא</x:v>
      </x:c>
    </x:row>
    <x:row r="1230">
      <x:c r="A1230" s="14" t="n">
        <x:v>46023</x:v>
      </x:c>
      <x:c r="B1230" s="11" t="str">
        <x:v>2026-01</x:v>
      </x:c>
      <x:c r="C1230" s="11" t="str">
        <x:v>ינואר 26</x:v>
      </x:c>
      <x:c r="D1230" s="15" t="n">
        <x:v>14</x:v>
      </x:c>
      <x:c r="E1230" s="11" t="str">
        <x:v>28</x:v>
      </x:c>
      <x:c r="F1230" s="11" t="str">
        <x:v>ביטוח חיים</x:v>
      </x:c>
      <x:c r="G1230" s="17" t="n">
        <x:v>36</x:v>
      </x:c>
      <x:c r="H1230" s="18" t="str">
        <x:v>דירה כצנלסון</x:v>
      </x:c>
      <x:c r="I1230" s="19" t="str">
        <x:f>IFERROR(INDEX('מיפוי ומקורות'!$C$7:$C$33,MATCH(H1230,'מיפוי ומקורות'!$B$7:$B$33,0)),"לא מסווג")</x:f>
        <x:v>נכס להשקעה</x:v>
      </x:c>
      <x:c r="J1230" s="19" t="str">
        <x:f>IFERROR(INDEX('מיפוי ומקורות'!$D$7:$D$33,MATCH(H1230,'מיפוי ומקורות'!$B$7:$B$33,0)),"שוטף")</x:f>
        <x:v>חריג/נכס</x:v>
      </x:c>
      <x:c r="K1230" s="19" t="str">
        <x:f>IF(OR(H1230="ריביות",AND(H1230="דירה כצנלסון",G1230&lt;0,ISNUMBER(SEARCH("הכנסה",F1230)))),"הכנסה שסווגה מחדש",J1230)</x:f>
        <x:v>חריג/נכס</x:v>
      </x:c>
      <x:c r="L1230" s="19" t="str">
        <x:v>מאושר</x:v>
      </x:c>
      <x:c r="M1230" s="20" t="n">
        <x:f>IF(L1230="מאושר",IF(K1230="הכנסה שסווגה מחדש",0,G1230),0)</x:f>
        <x:v>36</x:v>
      </x:c>
      <x:c r="N1230" s="20" t="n">
        <x:f>IF(K1230="שוטף",M1230,0)</x:f>
        <x:v>0</x:v>
      </x:c>
      <x:c r="O1230" s="20" t="n">
        <x:f>IF(K1230="הכנסה שסווגה מחדש",-G1230,0)</x:f>
        <x:v>0</x:v>
      </x:c>
      <x:c r="P1230" s="11" t="str">
        <x:v>אמקס זיו</x:v>
      </x:c>
      <x:c r="Q1230" s="11" t="str"/>
      <x:c r="R1230" s="11" t="str">
        <x:v>לא</x:v>
      </x:c>
    </x:row>
    <x:row r="1231">
      <x:c r="A1231" s="14" t="n">
        <x:v>46023</x:v>
      </x:c>
      <x:c r="B1231" s="11" t="str">
        <x:v>2026-01</x:v>
      </x:c>
      <x:c r="C1231" s="11" t="str">
        <x:v>ינואר 26</x:v>
      </x:c>
      <x:c r="D1231" s="15" t="n">
        <x:v>15</x:v>
      </x:c>
      <x:c r="E1231" s="11" t="str">
        <x:v>26</x:v>
      </x:c>
      <x:c r="F1231" s="11" t="str">
        <x:v>ביטוח בריאות</x:v>
      </x:c>
      <x:c r="G1231" s="17" t="n">
        <x:v>116</x:v>
      </x:c>
      <x:c r="H1231" s="18" t="str">
        <x:v>ביטוח</x:v>
      </x:c>
      <x:c r="I1231" s="19" t="str">
        <x:f>IFERROR(INDEX('מיפוי ומקורות'!$C$7:$C$33,MATCH(H1231,'מיפוי ומקורות'!$B$7:$B$33,0)),"לא מסווג")</x:f>
        <x:v>ביטוח</x:v>
      </x:c>
      <x:c r="J1231" s="19" t="str">
        <x:f>IFERROR(INDEX('מיפוי ומקורות'!$D$7:$D$33,MATCH(H1231,'מיפוי ומקורות'!$B$7:$B$33,0)),"שוטף")</x:f>
        <x:v>שוטף</x:v>
      </x:c>
      <x:c r="K1231" s="19" t="str">
        <x:f>IF(OR(H1231="ריביות",AND(H1231="דירה כצנלסון",G1231&lt;0,ISNUMBER(SEARCH("הכנסה",F1231)))),"הכנסה שסווגה מחדש",J1231)</x:f>
        <x:v>שוטף</x:v>
      </x:c>
      <x:c r="L1231" s="19" t="str">
        <x:v>מאושר</x:v>
      </x:c>
      <x:c r="M1231" s="20" t="n">
        <x:f>IF(L1231="מאושר",IF(K1231="הכנסה שסווגה מחדש",0,G1231),0)</x:f>
        <x:v>116</x:v>
      </x:c>
      <x:c r="N1231" s="20" t="n">
        <x:f>IF(K1231="שוטף",M1231,0)</x:f>
        <x:v>116</x:v>
      </x:c>
      <x:c r="O1231" s="20" t="n">
        <x:f>IF(K1231="הכנסה שסווגה מחדש",-G1231,0)</x:f>
        <x:v>0</x:v>
      </x:c>
      <x:c r="P1231" s="11" t="str">
        <x:v>אמקס עינור</x:v>
      </x:c>
      <x:c r="Q1231" s="11" t="str"/>
      <x:c r="R1231" s="11" t="str">
        <x:v>לא</x:v>
      </x:c>
    </x:row>
    <x:row r="1232">
      <x:c r="A1232" s="14" t="n">
        <x:v>46023</x:v>
      </x:c>
      <x:c r="B1232" s="11" t="str">
        <x:v>2026-01</x:v>
      </x:c>
      <x:c r="C1232" s="11" t="str">
        <x:v>ינואר 26</x:v>
      </x:c>
      <x:c r="D1232" s="15" t="n">
        <x:v>16</x:v>
      </x:c>
      <x:c r="E1232" s="11" t="str">
        <x:v>2</x:v>
      </x:c>
      <x:c r="F1232" s="11" t="str">
        <x:v>מכבי</x:v>
      </x:c>
      <x:c r="G1232" s="17" t="n">
        <x:v>56</x:v>
      </x:c>
      <x:c r="H1232" s="18" t="str">
        <x:v>בריאות</x:v>
      </x:c>
      <x:c r="I1232" s="19" t="str">
        <x:f>IFERROR(INDEX('מיפוי ומקורות'!$C$7:$C$33,MATCH(H1232,'מיפוי ומקורות'!$B$7:$B$33,0)),"לא מסווג")</x:f>
        <x:v>בריאות וטיפולים</x:v>
      </x:c>
      <x:c r="J1232" s="19" t="str">
        <x:f>IFERROR(INDEX('מיפוי ומקורות'!$D$7:$D$33,MATCH(H1232,'מיפוי ומקורות'!$B$7:$B$33,0)),"שוטף")</x:f>
        <x:v>שוטף</x:v>
      </x:c>
      <x:c r="K1232" s="19" t="str">
        <x:f>IF(OR(H1232="ריביות",AND(H1232="דירה כצנלסון",G1232&lt;0,ISNUMBER(SEARCH("הכנסה",F1232)))),"הכנסה שסווגה מחדש",J1232)</x:f>
        <x:v>שוטף</x:v>
      </x:c>
      <x:c r="L1232" s="19" t="str">
        <x:v>מאושר</x:v>
      </x:c>
      <x:c r="M1232" s="20" t="n">
        <x:f>IF(L1232="מאושר",IF(K1232="הכנסה שסווגה מחדש",0,G1232),0)</x:f>
        <x:v>56</x:v>
      </x:c>
      <x:c r="N1232" s="20" t="n">
        <x:f>IF(K1232="שוטף",M1232,0)</x:f>
        <x:v>56</x:v>
      </x:c>
      <x:c r="O1232" s="20" t="n">
        <x:f>IF(K1232="הכנסה שסווגה מחדש",-G1232,0)</x:f>
        <x:v>0</x:v>
      </x:c>
      <x:c r="P1232" s="11" t="str">
        <x:v>אמקס זיו</x:v>
      </x:c>
      <x:c r="Q1232" s="11" t="str"/>
      <x:c r="R1232" s="11" t="str">
        <x:v>לא</x:v>
      </x:c>
    </x:row>
    <x:row r="1233">
      <x:c r="A1233" s="14" t="n">
        <x:v>46023</x:v>
      </x:c>
      <x:c r="B1233" s="11" t="str">
        <x:v>2026-01</x:v>
      </x:c>
      <x:c r="C1233" s="11" t="str">
        <x:v>ינואר 26</x:v>
      </x:c>
      <x:c r="D1233" s="15" t="n">
        <x:v>17</x:v>
      </x:c>
      <x:c r="E1233" s="11" t="str">
        <x:v>2</x:v>
      </x:c>
      <x:c r="F1233" s="11" t="str">
        <x:v>מכבי</x:v>
      </x:c>
      <x:c r="G1233" s="17" t="n">
        <x:v>96</x:v>
      </x:c>
      <x:c r="H1233" s="18" t="str">
        <x:v>בריאות</x:v>
      </x:c>
      <x:c r="I1233" s="19" t="str">
        <x:f>IFERROR(INDEX('מיפוי ומקורות'!$C$7:$C$33,MATCH(H1233,'מיפוי ומקורות'!$B$7:$B$33,0)),"לא מסווג")</x:f>
        <x:v>בריאות וטיפולים</x:v>
      </x:c>
      <x:c r="J1233" s="19" t="str">
        <x:f>IFERROR(INDEX('מיפוי ומקורות'!$D$7:$D$33,MATCH(H1233,'מיפוי ומקורות'!$B$7:$B$33,0)),"שוטף")</x:f>
        <x:v>שוטף</x:v>
      </x:c>
      <x:c r="K1233" s="19" t="str">
        <x:f>IF(OR(H1233="ריביות",AND(H1233="דירה כצנלסון",G1233&lt;0,ISNUMBER(SEARCH("הכנסה",F1233)))),"הכנסה שסווגה מחדש",J1233)</x:f>
        <x:v>שוטף</x:v>
      </x:c>
      <x:c r="L1233" s="19" t="str">
        <x:v>מאושר</x:v>
      </x:c>
      <x:c r="M1233" s="20" t="n">
        <x:f>IF(L1233="מאושר",IF(K1233="הכנסה שסווגה מחדש",0,G1233),0)</x:f>
        <x:v>96</x:v>
      </x:c>
      <x:c r="N1233" s="20" t="n">
        <x:f>IF(K1233="שוטף",M1233,0)</x:f>
        <x:v>96</x:v>
      </x:c>
      <x:c r="O1233" s="20" t="n">
        <x:f>IF(K1233="הכנסה שסווגה מחדש",-G1233,0)</x:f>
        <x:v>0</x:v>
      </x:c>
      <x:c r="P1233" s="11" t="str">
        <x:v>אמקס עינור</x:v>
      </x:c>
      <x:c r="Q1233" s="11" t="str"/>
      <x:c r="R1233" s="11" t="str">
        <x:v>לא</x:v>
      </x:c>
    </x:row>
    <x:row r="1234">
      <x:c r="A1234" s="14" t="n">
        <x:v>46023</x:v>
      </x:c>
      <x:c r="B1234" s="11" t="str">
        <x:v>2026-01</x:v>
      </x:c>
      <x:c r="C1234" s="11" t="str">
        <x:v>ינואר 26</x:v>
      </x:c>
      <x:c r="D1234" s="15" t="n">
        <x:v>18</x:v>
      </x:c>
      <x:c r="E1234" s="11" t="str">
        <x:v>15</x:v>
      </x:c>
      <x:c r="F1234" s="11" t="str">
        <x:v>קאנטרי</x:v>
      </x:c>
      <x:c r="G1234" s="17" t="n">
        <x:v>632</x:v>
      </x:c>
      <x:c r="H1234" s="18" t="str">
        <x:v>ספורט</x:v>
      </x:c>
      <x:c r="I1234" s="19" t="str">
        <x:f>IFERROR(INDEX('מיפוי ומקורות'!$C$7:$C$33,MATCH(H1234,'מיפוי ומקורות'!$B$7:$B$33,0)),"לא מסווג")</x:f>
        <x:v>ספורט</x:v>
      </x:c>
      <x:c r="J1234" s="19" t="str">
        <x:f>IFERROR(INDEX('מיפוי ומקורות'!$D$7:$D$33,MATCH(H1234,'מיפוי ומקורות'!$B$7:$B$33,0)),"שוטף")</x:f>
        <x:v>שוטף</x:v>
      </x:c>
      <x:c r="K1234" s="19" t="str">
        <x:f>IF(OR(H1234="ריביות",AND(H1234="דירה כצנלסון",G1234&lt;0,ISNUMBER(SEARCH("הכנסה",F1234)))),"הכנסה שסווגה מחדש",J1234)</x:f>
        <x:v>שוטף</x:v>
      </x:c>
      <x:c r="L1234" s="19" t="str">
        <x:v>מאושר</x:v>
      </x:c>
      <x:c r="M1234" s="20" t="n">
        <x:f>IF(L1234="מאושר",IF(K1234="הכנסה שסווגה מחדש",0,G1234),0)</x:f>
        <x:v>632</x:v>
      </x:c>
      <x:c r="N1234" s="20" t="n">
        <x:f>IF(K1234="שוטף",M1234,0)</x:f>
        <x:v>632</x:v>
      </x:c>
      <x:c r="O1234" s="20" t="n">
        <x:f>IF(K1234="הכנסה שסווגה מחדש",-G1234,0)</x:f>
        <x:v>0</x:v>
      </x:c>
      <x:c r="P1234" s="11" t="str">
        <x:v>אמקס זיו</x:v>
      </x:c>
      <x:c r="Q1234" s="11" t="str"/>
      <x:c r="R1234" s="11" t="str">
        <x:v>לא</x:v>
      </x:c>
    </x:row>
    <x:row r="1235">
      <x:c r="A1235" s="14" t="n">
        <x:v>46023</x:v>
      </x:c>
      <x:c r="B1235" s="11" t="str">
        <x:v>2026-01</x:v>
      </x:c>
      <x:c r="C1235" s="11" t="str">
        <x:v>ינואר 26</x:v>
      </x:c>
      <x:c r="D1235" s="15" t="n">
        <x:v>19</x:v>
      </x:c>
      <x:c r="E1235" s="11" t="str">
        <x:v>26</x:v>
      </x:c>
      <x:c r="F1235" s="11" t="str">
        <x:v>ביטוח רכב חובה</x:v>
      </x:c>
      <x:c r="G1235" s="17" t="n">
        <x:v>133</x:v>
      </x:c>
      <x:c r="H1235" s="18" t="str">
        <x:v>תחבורה</x:v>
      </x:c>
      <x:c r="I1235" s="19" t="str">
        <x:f>IFERROR(INDEX('מיפוי ומקורות'!$C$7:$C$33,MATCH(H1235,'מיפוי ומקורות'!$B$7:$B$33,0)),"לא מסווג")</x:f>
        <x:v>תחבורה</x:v>
      </x:c>
      <x:c r="J1235" s="19" t="str">
        <x:f>IFERROR(INDEX('מיפוי ומקורות'!$D$7:$D$33,MATCH(H1235,'מיפוי ומקורות'!$B$7:$B$33,0)),"שוטף")</x:f>
        <x:v>שוטף</x:v>
      </x:c>
      <x:c r="K1235" s="19" t="str">
        <x:f>IF(OR(H1235="ריביות",AND(H1235="דירה כצנלסון",G1235&lt;0,ISNUMBER(SEARCH("הכנסה",F1235)))),"הכנסה שסווגה מחדש",J1235)</x:f>
        <x:v>שוטף</x:v>
      </x:c>
      <x:c r="L1235" s="19" t="str">
        <x:v>מאושר</x:v>
      </x:c>
      <x:c r="M1235" s="20" t="n">
        <x:f>IF(L1235="מאושר",IF(K1235="הכנסה שסווגה מחדש",0,G1235),0)</x:f>
        <x:v>133</x:v>
      </x:c>
      <x:c r="N1235" s="20" t="n">
        <x:f>IF(K1235="שוטף",M1235,0)</x:f>
        <x:v>133</x:v>
      </x:c>
      <x:c r="O1235" s="20" t="n">
        <x:f>IF(K1235="הכנסה שסווגה מחדש",-G1235,0)</x:f>
        <x:v>0</x:v>
      </x:c>
      <x:c r="P1235" s="11" t="str">
        <x:v>אמקס זיו</x:v>
      </x:c>
      <x:c r="Q1235" s="11" t="str"/>
      <x:c r="R1235" s="11" t="str">
        <x:v>לא</x:v>
      </x:c>
    </x:row>
    <x:row r="1236">
      <x:c r="A1236" s="14" t="n">
        <x:v>46023</x:v>
      </x:c>
      <x:c r="B1236" s="11" t="str">
        <x:v>2026-01</x:v>
      </x:c>
      <x:c r="C1236" s="11" t="str">
        <x:v>ינואר 26</x:v>
      </x:c>
      <x:c r="D1236" s="15" t="n">
        <x:v>20</x:v>
      </x:c>
      <x:c r="E1236" s="11" t="str">
        <x:v>2</x:v>
      </x:c>
      <x:c r="F1236" s="11" t="str">
        <x:v>ביטול הוראת קבע</x:v>
      </x:c>
      <x:c r="G1236" s="17" t="n">
        <x:v>2</x:v>
      </x:c>
      <x:c r="H1236" s="18" t="str">
        <x:v>עמלות</x:v>
      </x:c>
      <x:c r="I1236" s="19" t="str">
        <x:f>IFERROR(INDEX('מיפוי ומקורות'!$C$7:$C$33,MATCH(H1236,'מיפוי ומקורות'!$B$7:$B$33,0)),"לא מסווג")</x:f>
        <x:v>עמלות</x:v>
      </x:c>
      <x:c r="J1236" s="19" t="str">
        <x:f>IFERROR(INDEX('מיפוי ומקורות'!$D$7:$D$33,MATCH(H1236,'מיפוי ומקורות'!$B$7:$B$33,0)),"שוטף")</x:f>
        <x:v>שוטף</x:v>
      </x:c>
      <x:c r="K1236" s="19" t="str">
        <x:f>IF(OR(H1236="ריביות",AND(H1236="דירה כצנלסון",G1236&lt;0,ISNUMBER(SEARCH("הכנסה",F1236)))),"הכנסה שסווגה מחדש",J1236)</x:f>
        <x:v>שוטף</x:v>
      </x:c>
      <x:c r="L1236" s="19" t="str">
        <x:v>מאושר</x:v>
      </x:c>
      <x:c r="M1236" s="20" t="n">
        <x:f>IF(L1236="מאושר",IF(K1236="הכנסה שסווגה מחדש",0,G1236),0)</x:f>
        <x:v>2</x:v>
      </x:c>
      <x:c r="N1236" s="20" t="n">
        <x:f>IF(K1236="שוטף",M1236,0)</x:f>
        <x:v>2</x:v>
      </x:c>
      <x:c r="O1236" s="20" t="n">
        <x:f>IF(K1236="הכנסה שסווגה מחדש",-G1236,0)</x:f>
        <x:v>0</x:v>
      </x:c>
      <x:c r="P1236" s="11" t="str">
        <x:v>דיסקונט</x:v>
      </x:c>
      <x:c r="Q1236" s="11" t="str"/>
      <x:c r="R1236" s="11" t="str">
        <x:v>לא</x:v>
      </x:c>
    </x:row>
    <x:row r="1237">
      <x:c r="A1237" s="14" t="n">
        <x:v>46023</x:v>
      </x:c>
      <x:c r="B1237" s="11" t="str">
        <x:v>2026-01</x:v>
      </x:c>
      <x:c r="C1237" s="11" t="str">
        <x:v>ינואר 26</x:v>
      </x:c>
      <x:c r="D1237" s="15" t="n">
        <x:v>22</x:v>
      </x:c>
      <x:c r="E1237" s="11" t="str">
        <x:v>4</x:v>
      </x:c>
      <x:c r="F1237" s="11" t="str">
        <x:v>ליאת</x:v>
      </x:c>
      <x:c r="G1237" s="17" t="n">
        <x:v>2250</x:v>
      </x:c>
      <x:c r="H1237" s="18" t="str">
        <x:v>טיפולים</x:v>
      </x:c>
      <x:c r="I1237" s="19" t="str">
        <x:f>IFERROR(INDEX('מיפוי ומקורות'!$C$7:$C$33,MATCH(H1237,'מיפוי ומקורות'!$B$7:$B$33,0)),"לא מסווג")</x:f>
        <x:v>בריאות וטיפולים</x:v>
      </x:c>
      <x:c r="J1237" s="19" t="str">
        <x:f>IFERROR(INDEX('מיפוי ומקורות'!$D$7:$D$33,MATCH(H1237,'מיפוי ומקורות'!$B$7:$B$33,0)),"שוטף")</x:f>
        <x:v>שוטף</x:v>
      </x:c>
      <x:c r="K1237" s="19" t="str">
        <x:f>IF(OR(H1237="ריביות",AND(H1237="דירה כצנלסון",G1237&lt;0,ISNUMBER(SEARCH("הכנסה",F1237)))),"הכנסה שסווגה מחדש",J1237)</x:f>
        <x:v>שוטף</x:v>
      </x:c>
      <x:c r="L1237" s="19" t="str">
        <x:v>מאושר</x:v>
      </x:c>
      <x:c r="M1237" s="20" t="n">
        <x:f>IF(L1237="מאושר",IF(K1237="הכנסה שסווגה מחדש",0,G1237),0)</x:f>
        <x:v>2250</x:v>
      </x:c>
      <x:c r="N1237" s="20" t="n">
        <x:f>IF(K1237="שוטף",M1237,0)</x:f>
        <x:v>2250</x:v>
      </x:c>
      <x:c r="O1237" s="20" t="n">
        <x:f>IF(K1237="הכנסה שסווגה מחדש",-G1237,0)</x:f>
        <x:v>0</x:v>
      </x:c>
      <x:c r="P1237" s="11" t="str">
        <x:v>one zero</x:v>
      </x:c>
      <x:c r="Q1237" s="11" t="str"/>
      <x:c r="R1237" s="11" t="str">
        <x:v>לא</x:v>
      </x:c>
    </x:row>
    <x:row r="1238">
      <x:c r="A1238" s="14" t="n">
        <x:v>46023</x:v>
      </x:c>
      <x:c r="B1238" s="11" t="str">
        <x:v>2026-01</x:v>
      </x:c>
      <x:c r="C1238" s="11" t="str">
        <x:v>ינואר 26</x:v>
      </x:c>
      <x:c r="D1238" s="15" t="n">
        <x:v>25</x:v>
      </x:c>
      <x:c r="E1238" s="11" t="str">
        <x:v>23</x:v>
      </x:c>
      <x:c r="F1238" s="11" t="str">
        <x:v>מאפיה</x:v>
      </x:c>
      <x:c r="G1238" s="17" t="n">
        <x:v>49</x:v>
      </x:c>
      <x:c r="H1238" s="18" t="str">
        <x:v>אוכל בחוץ</x:v>
      </x:c>
      <x:c r="I1238" s="19" t="str">
        <x:f>IFERROR(INDEX('מיפוי ומקורות'!$C$7:$C$33,MATCH(H1238,'מיפוי ומקורות'!$B$7:$B$33,0)),"לא מסווג")</x:f>
        <x:v>אוכל בחוץ</x:v>
      </x:c>
      <x:c r="J1238" s="19" t="str">
        <x:f>IFERROR(INDEX('מיפוי ומקורות'!$D$7:$D$33,MATCH(H1238,'מיפוי ומקורות'!$B$7:$B$33,0)),"שוטף")</x:f>
        <x:v>שוטף</x:v>
      </x:c>
      <x:c r="K1238" s="19" t="str">
        <x:f>IF(OR(H1238="ריביות",AND(H1238="דירה כצנלסון",G1238&lt;0,ISNUMBER(SEARCH("הכנסה",F1238)))),"הכנסה שסווגה מחדש",J1238)</x:f>
        <x:v>שוטף</x:v>
      </x:c>
      <x:c r="L1238" s="19" t="str">
        <x:v>מאושר</x:v>
      </x:c>
      <x:c r="M1238" s="20" t="n">
        <x:f>IF(L1238="מאושר",IF(K1238="הכנסה שסווגה מחדש",0,G1238),0)</x:f>
        <x:v>49</x:v>
      </x:c>
      <x:c r="N1238" s="20" t="n">
        <x:f>IF(K1238="שוטף",M1238,0)</x:f>
        <x:v>49</x:v>
      </x:c>
      <x:c r="O1238" s="20" t="n">
        <x:f>IF(K1238="הכנסה שסווגה מחדש",-G1238,0)</x:f>
        <x:v>0</x:v>
      </x:c>
      <x:c r="P1238" s="11" t="str">
        <x:v>one zero זיו</x:v>
      </x:c>
      <x:c r="Q1238" s="11" t="str"/>
      <x:c r="R1238" s="11" t="str">
        <x:v>לא</x:v>
      </x:c>
    </x:row>
    <x:row r="1239">
      <x:c r="A1239" s="14" t="n">
        <x:v>46023</x:v>
      </x:c>
      <x:c r="B1239" s="11" t="str">
        <x:v>2026-01</x:v>
      </x:c>
      <x:c r="C1239" s="11" t="str">
        <x:v>ינואר 26</x:v>
      </x:c>
      <x:c r="D1239" s="15" t="n">
        <x:v>26</x:v>
      </x:c>
      <x:c r="E1239" s="11" t="str">
        <x:v>23</x:v>
      </x:c>
      <x:c r="F1239" s="11" t="str">
        <x:v>דלק</x:v>
      </x:c>
      <x:c r="G1239" s="17" t="n">
        <x:v>210</x:v>
      </x:c>
      <x:c r="H1239" s="18" t="str">
        <x:v>תחבורה</x:v>
      </x:c>
      <x:c r="I1239" s="19" t="str">
        <x:f>IFERROR(INDEX('מיפוי ומקורות'!$C$7:$C$33,MATCH(H1239,'מיפוי ומקורות'!$B$7:$B$33,0)),"לא מסווג")</x:f>
        <x:v>תחבורה</x:v>
      </x:c>
      <x:c r="J1239" s="19" t="str">
        <x:f>IFERROR(INDEX('מיפוי ומקורות'!$D$7:$D$33,MATCH(H1239,'מיפוי ומקורות'!$B$7:$B$33,0)),"שוטף")</x:f>
        <x:v>שוטף</x:v>
      </x:c>
      <x:c r="K1239" s="19" t="str">
        <x:f>IF(OR(H1239="ריביות",AND(H1239="דירה כצנלסון",G1239&lt;0,ISNUMBER(SEARCH("הכנסה",F1239)))),"הכנסה שסווגה מחדש",J1239)</x:f>
        <x:v>שוטף</x:v>
      </x:c>
      <x:c r="L1239" s="19" t="str">
        <x:v>מאושר</x:v>
      </x:c>
      <x:c r="M1239" s="20" t="n">
        <x:f>IF(L1239="מאושר",IF(K1239="הכנסה שסווגה מחדש",0,G1239),0)</x:f>
        <x:v>210</x:v>
      </x:c>
      <x:c r="N1239" s="20" t="n">
        <x:f>IF(K1239="שוטף",M1239,0)</x:f>
        <x:v>210</x:v>
      </x:c>
      <x:c r="O1239" s="20" t="n">
        <x:f>IF(K1239="הכנסה שסווגה מחדש",-G1239,0)</x:f>
        <x:v>0</x:v>
      </x:c>
      <x:c r="P1239" s="11" t="str">
        <x:v>one zero זיו</x:v>
      </x:c>
      <x:c r="Q1239" s="11" t="str"/>
      <x:c r="R1239" s="11" t="str">
        <x:v>לא</x:v>
      </x:c>
    </x:row>
    <x:row r="1240">
      <x:c r="A1240" s="14" t="n">
        <x:v>46023</x:v>
      </x:c>
      <x:c r="B1240" s="11" t="str">
        <x:v>2026-01</x:v>
      </x:c>
      <x:c r="C1240" s="11" t="str">
        <x:v>ינואר 26</x:v>
      </x:c>
      <x:c r="D1240" s="15" t="n">
        <x:v>27</x:v>
      </x:c>
      <x:c r="E1240" s="11" t="str">
        <x:v>25</x:v>
      </x:c>
      <x:c r="F1240" s="11" t="str">
        <x:v>תחבץ</x:v>
      </x:c>
      <x:c r="G1240" s="17" t="n">
        <x:v>72</x:v>
      </x:c>
      <x:c r="H1240" s="18" t="str">
        <x:v>תחבורה</x:v>
      </x:c>
      <x:c r="I1240" s="19" t="str">
        <x:f>IFERROR(INDEX('מיפוי ומקורות'!$C$7:$C$33,MATCH(H1240,'מיפוי ומקורות'!$B$7:$B$33,0)),"לא מסווג")</x:f>
        <x:v>תחבורה</x:v>
      </x:c>
      <x:c r="J1240" s="19" t="str">
        <x:f>IFERROR(INDEX('מיפוי ומקורות'!$D$7:$D$33,MATCH(H1240,'מיפוי ומקורות'!$B$7:$B$33,0)),"שוטף")</x:f>
        <x:v>שוטף</x:v>
      </x:c>
      <x:c r="K1240" s="19" t="str">
        <x:f>IF(OR(H1240="ריביות",AND(H1240="דירה כצנלסון",G1240&lt;0,ISNUMBER(SEARCH("הכנסה",F1240)))),"הכנסה שסווגה מחדש",J1240)</x:f>
        <x:v>שוטף</x:v>
      </x:c>
      <x:c r="L1240" s="19" t="str">
        <x:v>מאושר</x:v>
      </x:c>
      <x:c r="M1240" s="20" t="n">
        <x:f>IF(L1240="מאושר",IF(K1240="הכנסה שסווגה מחדש",0,G1240),0)</x:f>
        <x:v>72</x:v>
      </x:c>
      <x:c r="N1240" s="20" t="n">
        <x:f>IF(K1240="שוטף",M1240,0)</x:f>
        <x:v>72</x:v>
      </x:c>
      <x:c r="O1240" s="20" t="n">
        <x:f>IF(K1240="הכנסה שסווגה מחדש",-G1240,0)</x:f>
        <x:v>0</x:v>
      </x:c>
      <x:c r="P1240" s="11" t="str">
        <x:v>one zero זיו</x:v>
      </x:c>
      <x:c r="Q1240" s="11" t="str"/>
      <x:c r="R1240" s="11" t="str">
        <x:v>לא</x:v>
      </x:c>
    </x:row>
    <x:row r="1241">
      <x:c r="A1241" s="14" t="n">
        <x:v>46023</x:v>
      </x:c>
      <x:c r="B1241" s="11" t="str">
        <x:v>2026-01</x:v>
      </x:c>
      <x:c r="C1241" s="11" t="str">
        <x:v>ינואר 26</x:v>
      </x:c>
      <x:c r="D1241" s="15" t="n">
        <x:v>28</x:v>
      </x:c>
      <x:c r="E1241" s="11" t="str">
        <x:v>5</x:v>
      </x:c>
      <x:c r="F1241" s="11" t="str">
        <x:v>לירי</x:v>
      </x:c>
      <x:c r="G1241" s="17" t="n">
        <x:v>97</x:v>
      </x:c>
      <x:c r="H1241" s="18" t="str">
        <x:v>טיפולים</x:v>
      </x:c>
      <x:c r="I1241" s="19" t="str">
        <x:f>IFERROR(INDEX('מיפוי ומקורות'!$C$7:$C$33,MATCH(H1241,'מיפוי ומקורות'!$B$7:$B$33,0)),"לא מסווג")</x:f>
        <x:v>בריאות וטיפולים</x:v>
      </x:c>
      <x:c r="J1241" s="19" t="str">
        <x:f>IFERROR(INDEX('מיפוי ומקורות'!$D$7:$D$33,MATCH(H1241,'מיפוי ומקורות'!$B$7:$B$33,0)),"שוטף")</x:f>
        <x:v>שוטף</x:v>
      </x:c>
      <x:c r="K1241" s="19" t="str">
        <x:f>IF(OR(H1241="ריביות",AND(H1241="דירה כצנלסון",G1241&lt;0,ISNUMBER(SEARCH("הכנסה",F1241)))),"הכנסה שסווגה מחדש",J1241)</x:f>
        <x:v>שוטף</x:v>
      </x:c>
      <x:c r="L1241" s="19" t="str">
        <x:v>מאושר</x:v>
      </x:c>
      <x:c r="M1241" s="20" t="n">
        <x:f>IF(L1241="מאושר",IF(K1241="הכנסה שסווגה מחדש",0,G1241),0)</x:f>
        <x:v>97</x:v>
      </x:c>
      <x:c r="N1241" s="20" t="n">
        <x:f>IF(K1241="שוטף",M1241,0)</x:f>
        <x:v>97</x:v>
      </x:c>
      <x:c r="O1241" s="20" t="n">
        <x:f>IF(K1241="הכנסה שסווגה מחדש",-G1241,0)</x:f>
        <x:v>0</x:v>
      </x:c>
      <x:c r="P1241" s="11" t="str">
        <x:v>one zero עינור</x:v>
      </x:c>
      <x:c r="Q1241" s="11" t="str"/>
      <x:c r="R1241" s="11" t="str">
        <x:v>לא</x:v>
      </x:c>
    </x:row>
    <x:row r="1242">
      <x:c r="A1242" s="14" t="n">
        <x:v>46023</x:v>
      </x:c>
      <x:c r="B1242" s="11" t="str">
        <x:v>2026-01</x:v>
      </x:c>
      <x:c r="C1242" s="11" t="str">
        <x:v>ינואר 26</x:v>
      </x:c>
      <x:c r="D1242" s="15" t="n">
        <x:v>29</x:v>
      </x:c>
      <x:c r="E1242" s="11" t="str">
        <x:v>25</x:v>
      </x:c>
      <x:c r="F1242" s="11" t="str">
        <x:v>תחבץ</x:v>
      </x:c>
      <x:c r="G1242" s="17" t="n">
        <x:v>8</x:v>
      </x:c>
      <x:c r="H1242" s="18" t="str">
        <x:v>תחבורה</x:v>
      </x:c>
      <x:c r="I1242" s="19" t="str">
        <x:f>IFERROR(INDEX('מיפוי ומקורות'!$C$7:$C$33,MATCH(H1242,'מיפוי ומקורות'!$B$7:$B$33,0)),"לא מסווג")</x:f>
        <x:v>תחבורה</x:v>
      </x:c>
      <x:c r="J1242" s="19" t="str">
        <x:f>IFERROR(INDEX('מיפוי ומקורות'!$D$7:$D$33,MATCH(H1242,'מיפוי ומקורות'!$B$7:$B$33,0)),"שוטף")</x:f>
        <x:v>שוטף</x:v>
      </x:c>
      <x:c r="K1242" s="19" t="str">
        <x:f>IF(OR(H1242="ריביות",AND(H1242="דירה כצנלסון",G1242&lt;0,ISNUMBER(SEARCH("הכנסה",F1242)))),"הכנסה שסווגה מחדש",J1242)</x:f>
        <x:v>שוטף</x:v>
      </x:c>
      <x:c r="L1242" s="19" t="str">
        <x:v>מאושר</x:v>
      </x:c>
      <x:c r="M1242" s="20" t="n">
        <x:f>IF(L1242="מאושר",IF(K1242="הכנסה שסווגה מחדש",0,G1242),0)</x:f>
        <x:v>8</x:v>
      </x:c>
      <x:c r="N1242" s="20" t="n">
        <x:f>IF(K1242="שוטף",M1242,0)</x:f>
        <x:v>8</x:v>
      </x:c>
      <x:c r="O1242" s="20" t="n">
        <x:f>IF(K1242="הכנסה שסווגה מחדש",-G1242,0)</x:f>
        <x:v>0</x:v>
      </x:c>
      <x:c r="P1242" s="11" t="str">
        <x:v>one zero עינור</x:v>
      </x:c>
      <x:c r="Q1242" s="11" t="str"/>
      <x:c r="R1242" s="11" t="str">
        <x:v>לא</x:v>
      </x:c>
    </x:row>
    <x:row r="1243">
      <x:c r="A1243" s="14" t="n">
        <x:v>46023</x:v>
      </x:c>
      <x:c r="B1243" s="11" t="str">
        <x:v>2026-01</x:v>
      </x:c>
      <x:c r="C1243" s="11" t="str">
        <x:v>ינואר 26</x:v>
      </x:c>
      <x:c r="D1243" s="15" t="n">
        <x:v>30</x:v>
      </x:c>
      <x:c r="E1243" s="11" t="str">
        <x:v>4</x:v>
      </x:c>
      <x:c r="F1243" s="11" t="str">
        <x:v>קורקינט</x:v>
      </x:c>
      <x:c r="G1243" s="17" t="n">
        <x:v>38</x:v>
      </x:c>
      <x:c r="H1243" s="18" t="str">
        <x:v>תחבורה</x:v>
      </x:c>
      <x:c r="I1243" s="19" t="str">
        <x:f>IFERROR(INDEX('מיפוי ומקורות'!$C$7:$C$33,MATCH(H1243,'מיפוי ומקורות'!$B$7:$B$33,0)),"לא מסווג")</x:f>
        <x:v>תחבורה</x:v>
      </x:c>
      <x:c r="J1243" s="19" t="str">
        <x:f>IFERROR(INDEX('מיפוי ומקורות'!$D$7:$D$33,MATCH(H1243,'מיפוי ומקורות'!$B$7:$B$33,0)),"שוטף")</x:f>
        <x:v>שוטף</x:v>
      </x:c>
      <x:c r="K1243" s="19" t="str">
        <x:f>IF(OR(H1243="ריביות",AND(H1243="דירה כצנלסון",G1243&lt;0,ISNUMBER(SEARCH("הכנסה",F1243)))),"הכנסה שסווגה מחדש",J1243)</x:f>
        <x:v>שוטף</x:v>
      </x:c>
      <x:c r="L1243" s="19" t="str">
        <x:v>מאושר</x:v>
      </x:c>
      <x:c r="M1243" s="20" t="n">
        <x:f>IF(L1243="מאושר",IF(K1243="הכנסה שסווגה מחדש",0,G1243),0)</x:f>
        <x:v>38</x:v>
      </x:c>
      <x:c r="N1243" s="20" t="n">
        <x:f>IF(K1243="שוטף",M1243,0)</x:f>
        <x:v>38</x:v>
      </x:c>
      <x:c r="O1243" s="20" t="n">
        <x:f>IF(K1243="הכנסה שסווגה מחדש",-G1243,0)</x:f>
        <x:v>0</x:v>
      </x:c>
      <x:c r="P1243" s="11" t="str">
        <x:v>אמקס זיו</x:v>
      </x:c>
      <x:c r="Q1243" s="11" t="str"/>
      <x:c r="R1243" s="11" t="str">
        <x:v>לא</x:v>
      </x:c>
    </x:row>
    <x:row r="1244">
      <x:c r="A1244" s="14" t="n">
        <x:v>46023</x:v>
      </x:c>
      <x:c r="B1244" s="11" t="str">
        <x:v>2026-01</x:v>
      </x:c>
      <x:c r="C1244" s="11" t="str">
        <x:v>ינואר 26</x:v>
      </x:c>
      <x:c r="D1244" s="15" t="n">
        <x:v>31</x:v>
      </x:c>
      <x:c r="E1244" s="11" t="str">
        <x:v>4</x:v>
      </x:c>
      <x:c r="F1244" s="11" t="str">
        <x:v>סופר</x:v>
      </x:c>
      <x:c r="G1244" s="17" t="n">
        <x:v>12</x:v>
      </x:c>
      <x:c r="H1244" s="18" t="str">
        <x:v>מזון לבית</x:v>
      </x:c>
      <x:c r="I1244" s="19" t="str">
        <x:f>IFERROR(INDEX('מיפוי ומקורות'!$C$7:$C$33,MATCH(H1244,'מיפוי ומקורות'!$B$7:$B$33,0)),"לא מסווג")</x:f>
        <x:v>מזון לבית</x:v>
      </x:c>
      <x:c r="J1244" s="19" t="str">
        <x:f>IFERROR(INDEX('מיפוי ומקורות'!$D$7:$D$33,MATCH(H1244,'מיפוי ומקורות'!$B$7:$B$33,0)),"שוטף")</x:f>
        <x:v>שוטף</x:v>
      </x:c>
      <x:c r="K1244" s="19" t="str">
        <x:f>IF(OR(H1244="ריביות",AND(H1244="דירה כצנלסון",G1244&lt;0,ISNUMBER(SEARCH("הכנסה",F1244)))),"הכנסה שסווגה מחדש",J1244)</x:f>
        <x:v>שוטף</x:v>
      </x:c>
      <x:c r="L1244" s="19" t="str">
        <x:v>מאושר</x:v>
      </x:c>
      <x:c r="M1244" s="20" t="n">
        <x:f>IF(L1244="מאושר",IF(K1244="הכנסה שסווגה מחדש",0,G1244),0)</x:f>
        <x:v>12</x:v>
      </x:c>
      <x:c r="N1244" s="20" t="n">
        <x:f>IF(K1244="שוטף",M1244,0)</x:f>
        <x:v>12</x:v>
      </x:c>
      <x:c r="O1244" s="20" t="n">
        <x:f>IF(K1244="הכנסה שסווגה מחדש",-G1244,0)</x:f>
        <x:v>0</x:v>
      </x:c>
      <x:c r="P1244" s="11" t="str">
        <x:v>אמקס זיו</x:v>
      </x:c>
      <x:c r="Q1244" s="11" t="str"/>
      <x:c r="R1244" s="11" t="str">
        <x:v>לא</x:v>
      </x:c>
    </x:row>
    <x:row r="1245">
      <x:c r="A1245" s="14" t="n">
        <x:v>46023</x:v>
      </x:c>
      <x:c r="B1245" s="11" t="str">
        <x:v>2026-01</x:v>
      </x:c>
      <x:c r="C1245" s="11" t="str">
        <x:v>ינואר 26</x:v>
      </x:c>
      <x:c r="D1245" s="15" t="n">
        <x:v>32</x:v>
      </x:c>
      <x:c r="E1245" s="11" t="str">
        <x:v>6</x:v>
      </x:c>
      <x:c r="F1245" s="11" t="str">
        <x:v>סופר</x:v>
      </x:c>
      <x:c r="G1245" s="17" t="n">
        <x:v>151</x:v>
      </x:c>
      <x:c r="H1245" s="18" t="str">
        <x:v>מזון לבית</x:v>
      </x:c>
      <x:c r="I1245" s="19" t="str">
        <x:f>IFERROR(INDEX('מיפוי ומקורות'!$C$7:$C$33,MATCH(H1245,'מיפוי ומקורות'!$B$7:$B$33,0)),"לא מסווג")</x:f>
        <x:v>מזון לבית</x:v>
      </x:c>
      <x:c r="J1245" s="19" t="str">
        <x:f>IFERROR(INDEX('מיפוי ומקורות'!$D$7:$D$33,MATCH(H1245,'מיפוי ומקורות'!$B$7:$B$33,0)),"שוטף")</x:f>
        <x:v>שוטף</x:v>
      </x:c>
      <x:c r="K1245" s="19" t="str">
        <x:f>IF(OR(H1245="ריביות",AND(H1245="דירה כצנלסון",G1245&lt;0,ISNUMBER(SEARCH("הכנסה",F1245)))),"הכנסה שסווגה מחדש",J1245)</x:f>
        <x:v>שוטף</x:v>
      </x:c>
      <x:c r="L1245" s="19" t="str">
        <x:v>מאושר</x:v>
      </x:c>
      <x:c r="M1245" s="20" t="n">
        <x:f>IF(L1245="מאושר",IF(K1245="הכנסה שסווגה מחדש",0,G1245),0)</x:f>
        <x:v>151</x:v>
      </x:c>
      <x:c r="N1245" s="20" t="n">
        <x:f>IF(K1245="שוטף",M1245,0)</x:f>
        <x:v>151</x:v>
      </x:c>
      <x:c r="O1245" s="20" t="n">
        <x:f>IF(K1245="הכנסה שסווגה מחדש",-G1245,0)</x:f>
        <x:v>0</x:v>
      </x:c>
      <x:c r="P1245" s="11" t="str">
        <x:v>אמקס זיו</x:v>
      </x:c>
      <x:c r="Q1245" s="11" t="str"/>
      <x:c r="R1245" s="11" t="str">
        <x:v>לא</x:v>
      </x:c>
    </x:row>
    <x:row r="1246">
      <x:c r="A1246" s="14" t="n">
        <x:v>46023</x:v>
      </x:c>
      <x:c r="B1246" s="11" t="str">
        <x:v>2026-01</x:v>
      </x:c>
      <x:c r="C1246" s="11" t="str">
        <x:v>ינואר 26</x:v>
      </x:c>
      <x:c r="D1246" s="15" t="n">
        <x:v>33</x:v>
      </x:c>
      <x:c r="E1246" s="11" t="str">
        <x:v>6</x:v>
      </x:c>
      <x:c r="F1246" s="11" t="str">
        <x:v>סופר</x:v>
      </x:c>
      <x:c r="G1246" s="17" t="n">
        <x:v>69</x:v>
      </x:c>
      <x:c r="H1246" s="18" t="str">
        <x:v>מזון לבית</x:v>
      </x:c>
      <x:c r="I1246" s="19" t="str">
        <x:f>IFERROR(INDEX('מיפוי ומקורות'!$C$7:$C$33,MATCH(H1246,'מיפוי ומקורות'!$B$7:$B$33,0)),"לא מסווג")</x:f>
        <x:v>מזון לבית</x:v>
      </x:c>
      <x:c r="J1246" s="19" t="str">
        <x:f>IFERROR(INDEX('מיפוי ומקורות'!$D$7:$D$33,MATCH(H1246,'מיפוי ומקורות'!$B$7:$B$33,0)),"שוטף")</x:f>
        <x:v>שוטף</x:v>
      </x:c>
      <x:c r="K1246" s="19" t="str">
        <x:f>IF(OR(H1246="ריביות",AND(H1246="דירה כצנלסון",G1246&lt;0,ISNUMBER(SEARCH("הכנסה",F1246)))),"הכנסה שסווגה מחדש",J1246)</x:f>
        <x:v>שוטף</x:v>
      </x:c>
      <x:c r="L1246" s="19" t="str">
        <x:v>מאושר</x:v>
      </x:c>
      <x:c r="M1246" s="20" t="n">
        <x:f>IF(L1246="מאושר",IF(K1246="הכנסה שסווגה מחדש",0,G1246),0)</x:f>
        <x:v>69</x:v>
      </x:c>
      <x:c r="N1246" s="20" t="n">
        <x:f>IF(K1246="שוטף",M1246,0)</x:f>
        <x:v>69</x:v>
      </x:c>
      <x:c r="O1246" s="20" t="n">
        <x:f>IF(K1246="הכנסה שסווגה מחדש",-G1246,0)</x:f>
        <x:v>0</x:v>
      </x:c>
      <x:c r="P1246" s="11" t="str">
        <x:v>אמקס זיו</x:v>
      </x:c>
      <x:c r="Q1246" s="11" t="str"/>
      <x:c r="R1246" s="11" t="str">
        <x:v>לא</x:v>
      </x:c>
    </x:row>
    <x:row r="1247">
      <x:c r="A1247" s="14" t="n">
        <x:v>46023</x:v>
      </x:c>
      <x:c r="B1247" s="11" t="str">
        <x:v>2026-01</x:v>
      </x:c>
      <x:c r="C1247" s="11" t="str">
        <x:v>ינואר 26</x:v>
      </x:c>
      <x:c r="D1247" s="15" t="n">
        <x:v>34</x:v>
      </x:c>
      <x:c r="E1247" s="11" t="str">
        <x:v>7</x:v>
      </x:c>
      <x:c r="F1247" s="11" t="str">
        <x:v>פרחים</x:v>
      </x:c>
      <x:c r="G1247" s="17" t="n">
        <x:v>100</x:v>
      </x:c>
      <x:c r="H1247" s="18" t="str">
        <x:v>מתנה</x:v>
      </x:c>
      <x:c r="I1247" s="19" t="str">
        <x:f>IFERROR(INDEX('מיפוי ומקורות'!$C$7:$C$33,MATCH(H1247,'מיפוי ומקורות'!$B$7:$B$33,0)),"לא מסווג")</x:f>
        <x:v>מתנה</x:v>
      </x:c>
      <x:c r="J1247" s="19" t="str">
        <x:f>IFERROR(INDEX('מיפוי ומקורות'!$D$7:$D$33,MATCH(H1247,'מיפוי ומקורות'!$B$7:$B$33,0)),"שוטף")</x:f>
        <x:v>שוטף</x:v>
      </x:c>
      <x:c r="K1247" s="19" t="str">
        <x:f>IF(OR(H1247="ריביות",AND(H1247="דירה כצנלסון",G1247&lt;0,ISNUMBER(SEARCH("הכנסה",F1247)))),"הכנסה שסווגה מחדש",J1247)</x:f>
        <x:v>שוטף</x:v>
      </x:c>
      <x:c r="L1247" s="19" t="str">
        <x:v>מאושר</x:v>
      </x:c>
      <x:c r="M1247" s="20" t="n">
        <x:f>IF(L1247="מאושר",IF(K1247="הכנסה שסווגה מחדש",0,G1247),0)</x:f>
        <x:v>100</x:v>
      </x:c>
      <x:c r="N1247" s="20" t="n">
        <x:f>IF(K1247="שוטף",M1247,0)</x:f>
        <x:v>100</x:v>
      </x:c>
      <x:c r="O1247" s="20" t="n">
        <x:f>IF(K1247="הכנסה שסווגה מחדש",-G1247,0)</x:f>
        <x:v>0</x:v>
      </x:c>
      <x:c r="P1247" s="11" t="str">
        <x:v>אמקס זיו</x:v>
      </x:c>
      <x:c r="Q1247" s="11" t="str"/>
      <x:c r="R1247" s="11" t="str">
        <x:v>לא</x:v>
      </x:c>
    </x:row>
    <x:row r="1248">
      <x:c r="A1248" s="14" t="n">
        <x:v>46023</x:v>
      </x:c>
      <x:c r="B1248" s="11" t="str">
        <x:v>2026-01</x:v>
      </x:c>
      <x:c r="C1248" s="11" t="str">
        <x:v>ינואר 26</x:v>
      </x:c>
      <x:c r="D1248" s="15" t="n">
        <x:v>35</x:v>
      </x:c>
      <x:c r="E1248" s="11" t="str">
        <x:v>7</x:v>
      </x:c>
      <x:c r="F1248" s="11" t="str">
        <x:v>סופר</x:v>
      </x:c>
      <x:c r="G1248" s="17" t="n">
        <x:v>32</x:v>
      </x:c>
      <x:c r="H1248" s="18" t="str">
        <x:v>מזון לבית</x:v>
      </x:c>
      <x:c r="I1248" s="19" t="str">
        <x:f>IFERROR(INDEX('מיפוי ומקורות'!$C$7:$C$33,MATCH(H1248,'מיפוי ומקורות'!$B$7:$B$33,0)),"לא מסווג")</x:f>
        <x:v>מזון לבית</x:v>
      </x:c>
      <x:c r="J1248" s="19" t="str">
        <x:f>IFERROR(INDEX('מיפוי ומקורות'!$D$7:$D$33,MATCH(H1248,'מיפוי ומקורות'!$B$7:$B$33,0)),"שוטף")</x:f>
        <x:v>שוטף</x:v>
      </x:c>
      <x:c r="K1248" s="19" t="str">
        <x:f>IF(OR(H1248="ריביות",AND(H1248="דירה כצנלסון",G1248&lt;0,ISNUMBER(SEARCH("הכנסה",F1248)))),"הכנסה שסווגה מחדש",J1248)</x:f>
        <x:v>שוטף</x:v>
      </x:c>
      <x:c r="L1248" s="19" t="str">
        <x:v>מאושר</x:v>
      </x:c>
      <x:c r="M1248" s="20" t="n">
        <x:f>IF(L1248="מאושר",IF(K1248="הכנסה שסווגה מחדש",0,G1248),0)</x:f>
        <x:v>32</x:v>
      </x:c>
      <x:c r="N1248" s="20" t="n">
        <x:f>IF(K1248="שוטף",M1248,0)</x:f>
        <x:v>32</x:v>
      </x:c>
      <x:c r="O1248" s="20" t="n">
        <x:f>IF(K1248="הכנסה שסווגה מחדש",-G1248,0)</x:f>
        <x:v>0</x:v>
      </x:c>
      <x:c r="P1248" s="11" t="str">
        <x:v>אמקס זיו</x:v>
      </x:c>
      <x:c r="Q1248" s="11" t="str"/>
      <x:c r="R1248" s="11" t="str">
        <x:v>לא</x:v>
      </x:c>
    </x:row>
    <x:row r="1249">
      <x:c r="A1249" s="14" t="n">
        <x:v>46023</x:v>
      </x:c>
      <x:c r="B1249" s="11" t="str">
        <x:v>2026-01</x:v>
      </x:c>
      <x:c r="C1249" s="11" t="str">
        <x:v>ינואר 26</x:v>
      </x:c>
      <x:c r="D1249" s="15" t="n">
        <x:v>36</x:v>
      </x:c>
      <x:c r="E1249" s="11" t="str">
        <x:v>8</x:v>
      </x:c>
      <x:c r="F1249" s="11" t="str">
        <x:v>סופר</x:v>
      </x:c>
      <x:c r="G1249" s="17" t="n">
        <x:v>92</x:v>
      </x:c>
      <x:c r="H1249" s="18" t="str">
        <x:v>מזון לבית</x:v>
      </x:c>
      <x:c r="I1249" s="19" t="str">
        <x:f>IFERROR(INDEX('מיפוי ומקורות'!$C$7:$C$33,MATCH(H1249,'מיפוי ומקורות'!$B$7:$B$33,0)),"לא מסווג")</x:f>
        <x:v>מזון לבית</x:v>
      </x:c>
      <x:c r="J1249" s="19" t="str">
        <x:f>IFERROR(INDEX('מיפוי ומקורות'!$D$7:$D$33,MATCH(H1249,'מיפוי ומקורות'!$B$7:$B$33,0)),"שוטף")</x:f>
        <x:v>שוטף</x:v>
      </x:c>
      <x:c r="K1249" s="19" t="str">
        <x:f>IF(OR(H1249="ריביות",AND(H1249="דירה כצנלסון",G1249&lt;0,ISNUMBER(SEARCH("הכנסה",F1249)))),"הכנסה שסווגה מחדש",J1249)</x:f>
        <x:v>שוטף</x:v>
      </x:c>
      <x:c r="L1249" s="19" t="str">
        <x:v>מאושר</x:v>
      </x:c>
      <x:c r="M1249" s="20" t="n">
        <x:f>IF(L1249="מאושר",IF(K1249="הכנסה שסווגה מחדש",0,G1249),0)</x:f>
        <x:v>92</x:v>
      </x:c>
      <x:c r="N1249" s="20" t="n">
        <x:f>IF(K1249="שוטף",M1249,0)</x:f>
        <x:v>92</x:v>
      </x:c>
      <x:c r="O1249" s="20" t="n">
        <x:f>IF(K1249="הכנסה שסווגה מחדש",-G1249,0)</x:f>
        <x:v>0</x:v>
      </x:c>
      <x:c r="P1249" s="11" t="str">
        <x:v>אמקס זיו</x:v>
      </x:c>
      <x:c r="Q1249" s="11" t="str"/>
      <x:c r="R1249" s="11" t="str">
        <x:v>לא</x:v>
      </x:c>
    </x:row>
    <x:row r="1250">
      <x:c r="A1250" s="14" t="n">
        <x:v>46023</x:v>
      </x:c>
      <x:c r="B1250" s="11" t="str">
        <x:v>2026-01</x:v>
      </x:c>
      <x:c r="C1250" s="11" t="str">
        <x:v>ינואר 26</x:v>
      </x:c>
      <x:c r="D1250" s="15" t="n">
        <x:v>37</x:v>
      </x:c>
      <x:c r="E1250" s="11" t="str">
        <x:v>8</x:v>
      </x:c>
      <x:c r="F1250" s="11" t="str">
        <x:v>ירקן</x:v>
      </x:c>
      <x:c r="G1250" s="17" t="n">
        <x:v>22</x:v>
      </x:c>
      <x:c r="H1250" s="18" t="str">
        <x:v>מזון לבית</x:v>
      </x:c>
      <x:c r="I1250" s="19" t="str">
        <x:f>IFERROR(INDEX('מיפוי ומקורות'!$C$7:$C$33,MATCH(H1250,'מיפוי ומקורות'!$B$7:$B$33,0)),"לא מסווג")</x:f>
        <x:v>מזון לבית</x:v>
      </x:c>
      <x:c r="J1250" s="19" t="str">
        <x:f>IFERROR(INDEX('מיפוי ומקורות'!$D$7:$D$33,MATCH(H1250,'מיפוי ומקורות'!$B$7:$B$33,0)),"שוטף")</x:f>
        <x:v>שוטף</x:v>
      </x:c>
      <x:c r="K1250" s="19" t="str">
        <x:f>IF(OR(H1250="ריביות",AND(H1250="דירה כצנלסון",G1250&lt;0,ISNUMBER(SEARCH("הכנסה",F1250)))),"הכנסה שסווגה מחדש",J1250)</x:f>
        <x:v>שוטף</x:v>
      </x:c>
      <x:c r="L1250" s="19" t="str">
        <x:v>מאושר</x:v>
      </x:c>
      <x:c r="M1250" s="20" t="n">
        <x:f>IF(L1250="מאושר",IF(K1250="הכנסה שסווגה מחדש",0,G1250),0)</x:f>
        <x:v>22</x:v>
      </x:c>
      <x:c r="N1250" s="20" t="n">
        <x:f>IF(K1250="שוטף",M1250,0)</x:f>
        <x:v>22</x:v>
      </x:c>
      <x:c r="O1250" s="20" t="n">
        <x:f>IF(K1250="הכנסה שסווגה מחדש",-G1250,0)</x:f>
        <x:v>0</x:v>
      </x:c>
      <x:c r="P1250" s="11" t="str">
        <x:v>אמקס זיו</x:v>
      </x:c>
      <x:c r="Q1250" s="11" t="str"/>
      <x:c r="R1250" s="11" t="str">
        <x:v>לא</x:v>
      </x:c>
    </x:row>
    <x:row r="1251">
      <x:c r="A1251" s="14" t="n">
        <x:v>46023</x:v>
      </x:c>
      <x:c r="B1251" s="11" t="str">
        <x:v>2026-01</x:v>
      </x:c>
      <x:c r="C1251" s="11" t="str">
        <x:v>ינואר 26</x:v>
      </x:c>
      <x:c r="D1251" s="15" t="n">
        <x:v>38</x:v>
      </x:c>
      <x:c r="E1251" s="11" t="str">
        <x:v>9</x:v>
      </x:c>
      <x:c r="F1251" s="11" t="str">
        <x:v>מאפיה</x:v>
      </x:c>
      <x:c r="G1251" s="17" t="n">
        <x:v>20</x:v>
      </x:c>
      <x:c r="H1251" s="18" t="str">
        <x:v>אוכל בחוץ</x:v>
      </x:c>
      <x:c r="I1251" s="19" t="str">
        <x:f>IFERROR(INDEX('מיפוי ומקורות'!$C$7:$C$33,MATCH(H1251,'מיפוי ומקורות'!$B$7:$B$33,0)),"לא מסווג")</x:f>
        <x:v>אוכל בחוץ</x:v>
      </x:c>
      <x:c r="J1251" s="19" t="str">
        <x:f>IFERROR(INDEX('מיפוי ומקורות'!$D$7:$D$33,MATCH(H1251,'מיפוי ומקורות'!$B$7:$B$33,0)),"שוטף")</x:f>
        <x:v>שוטף</x:v>
      </x:c>
      <x:c r="K1251" s="19" t="str">
        <x:f>IF(OR(H1251="ריביות",AND(H1251="דירה כצנלסון",G1251&lt;0,ISNUMBER(SEARCH("הכנסה",F1251)))),"הכנסה שסווגה מחדש",J1251)</x:f>
        <x:v>שוטף</x:v>
      </x:c>
      <x:c r="L1251" s="19" t="str">
        <x:v>מאושר</x:v>
      </x:c>
      <x:c r="M1251" s="20" t="n">
        <x:f>IF(L1251="מאושר",IF(K1251="הכנסה שסווגה מחדש",0,G1251),0)</x:f>
        <x:v>20</x:v>
      </x:c>
      <x:c r="N1251" s="20" t="n">
        <x:f>IF(K1251="שוטף",M1251,0)</x:f>
        <x:v>20</x:v>
      </x:c>
      <x:c r="O1251" s="20" t="n">
        <x:f>IF(K1251="הכנסה שסווגה מחדש",-G1251,0)</x:f>
        <x:v>0</x:v>
      </x:c>
      <x:c r="P1251" s="11" t="str">
        <x:v>אמקס זיו</x:v>
      </x:c>
      <x:c r="Q1251" s="11" t="str"/>
      <x:c r="R1251" s="11" t="str">
        <x:v>לא</x:v>
      </x:c>
    </x:row>
    <x:row r="1252">
      <x:c r="A1252" s="14" t="n">
        <x:v>46023</x:v>
      </x:c>
      <x:c r="B1252" s="11" t="str">
        <x:v>2026-01</x:v>
      </x:c>
      <x:c r="C1252" s="11" t="str">
        <x:v>ינואר 26</x:v>
      </x:c>
      <x:c r="D1252" s="15" t="n">
        <x:v>39</x:v>
      </x:c>
      <x:c r="E1252" s="11" t="str">
        <x:v>9</x:v>
      </x:c>
      <x:c r="F1252" s="11" t="str">
        <x:v>סופר</x:v>
      </x:c>
      <x:c r="G1252" s="17" t="n">
        <x:v>33</x:v>
      </x:c>
      <x:c r="H1252" s="18" t="str">
        <x:v>מזון לבית</x:v>
      </x:c>
      <x:c r="I1252" s="19" t="str">
        <x:f>IFERROR(INDEX('מיפוי ומקורות'!$C$7:$C$33,MATCH(H1252,'מיפוי ומקורות'!$B$7:$B$33,0)),"לא מסווג")</x:f>
        <x:v>מזון לבית</x:v>
      </x:c>
      <x:c r="J1252" s="19" t="str">
        <x:f>IFERROR(INDEX('מיפוי ומקורות'!$D$7:$D$33,MATCH(H1252,'מיפוי ומקורות'!$B$7:$B$33,0)),"שוטף")</x:f>
        <x:v>שוטף</x:v>
      </x:c>
      <x:c r="K1252" s="19" t="str">
        <x:f>IF(OR(H1252="ריביות",AND(H1252="דירה כצנלסון",G1252&lt;0,ISNUMBER(SEARCH("הכנסה",F1252)))),"הכנסה שסווגה מחדש",J1252)</x:f>
        <x:v>שוטף</x:v>
      </x:c>
      <x:c r="L1252" s="19" t="str">
        <x:v>מאושר</x:v>
      </x:c>
      <x:c r="M1252" s="20" t="n">
        <x:f>IF(L1252="מאושר",IF(K1252="הכנסה שסווגה מחדש",0,G1252),0)</x:f>
        <x:v>33</x:v>
      </x:c>
      <x:c r="N1252" s="20" t="n">
        <x:f>IF(K1252="שוטף",M1252,0)</x:f>
        <x:v>33</x:v>
      </x:c>
      <x:c r="O1252" s="20" t="n">
        <x:f>IF(K1252="הכנסה שסווגה מחדש",-G1252,0)</x:f>
        <x:v>0</x:v>
      </x:c>
      <x:c r="P1252" s="11" t="str">
        <x:v>אמקס זיו</x:v>
      </x:c>
      <x:c r="Q1252" s="11" t="str"/>
      <x:c r="R1252" s="11" t="str">
        <x:v>לא</x:v>
      </x:c>
    </x:row>
    <x:row r="1253">
      <x:c r="A1253" s="14" t="n">
        <x:v>46023</x:v>
      </x:c>
      <x:c r="B1253" s="11" t="str">
        <x:v>2026-01</x:v>
      </x:c>
      <x:c r="C1253" s="11" t="str">
        <x:v>ינואר 26</x:v>
      </x:c>
      <x:c r="D1253" s="15" t="n">
        <x:v>40</x:v>
      </x:c>
      <x:c r="E1253" s="11" t="str">
        <x:v>12</x:v>
      </x:c>
      <x:c r="F1253" s="11" t="str">
        <x:v>סופר</x:v>
      </x:c>
      <x:c r="G1253" s="17" t="n">
        <x:v>294</x:v>
      </x:c>
      <x:c r="H1253" s="18" t="str">
        <x:v>מזון לבית</x:v>
      </x:c>
      <x:c r="I1253" s="19" t="str">
        <x:f>IFERROR(INDEX('מיפוי ומקורות'!$C$7:$C$33,MATCH(H1253,'מיפוי ומקורות'!$B$7:$B$33,0)),"לא מסווג")</x:f>
        <x:v>מזון לבית</x:v>
      </x:c>
      <x:c r="J1253" s="19" t="str">
        <x:f>IFERROR(INDEX('מיפוי ומקורות'!$D$7:$D$33,MATCH(H1253,'מיפוי ומקורות'!$B$7:$B$33,0)),"שוטף")</x:f>
        <x:v>שוטף</x:v>
      </x:c>
      <x:c r="K1253" s="19" t="str">
        <x:f>IF(OR(H1253="ריביות",AND(H1253="דירה כצנלסון",G1253&lt;0,ISNUMBER(SEARCH("הכנסה",F1253)))),"הכנסה שסווגה מחדש",J1253)</x:f>
        <x:v>שוטף</x:v>
      </x:c>
      <x:c r="L1253" s="19" t="str">
        <x:v>מאושר</x:v>
      </x:c>
      <x:c r="M1253" s="20" t="n">
        <x:f>IF(L1253="מאושר",IF(K1253="הכנסה שסווגה מחדש",0,G1253),0)</x:f>
        <x:v>294</x:v>
      </x:c>
      <x:c r="N1253" s="20" t="n">
        <x:f>IF(K1253="שוטף",M1253,0)</x:f>
        <x:v>294</x:v>
      </x:c>
      <x:c r="O1253" s="20" t="n">
        <x:f>IF(K1253="הכנסה שסווגה מחדש",-G1253,0)</x:f>
        <x:v>0</x:v>
      </x:c>
      <x:c r="P1253" s="11" t="str">
        <x:v>אמקס זיו</x:v>
      </x:c>
      <x:c r="Q1253" s="11" t="str"/>
      <x:c r="R1253" s="11" t="str">
        <x:v>לא</x:v>
      </x:c>
    </x:row>
    <x:row r="1254">
      <x:c r="A1254" s="14" t="n">
        <x:v>46023</x:v>
      </x:c>
      <x:c r="B1254" s="11" t="str">
        <x:v>2026-01</x:v>
      </x:c>
      <x:c r="C1254" s="11" t="str">
        <x:v>ינואר 26</x:v>
      </x:c>
      <x:c r="D1254" s="15" t="n">
        <x:v>41</x:v>
      </x:c>
      <x:c r="E1254" s="11" t="str">
        <x:v>12</x:v>
      </x:c>
      <x:c r="F1254" s="11" t="str">
        <x:v>אגרת רישוי</x:v>
      </x:c>
      <x:c r="G1254" s="17" t="n">
        <x:v>1086</x:v>
      </x:c>
      <x:c r="H1254" s="18" t="str">
        <x:v>תחבורה</x:v>
      </x:c>
      <x:c r="I1254" s="19" t="str">
        <x:f>IFERROR(INDEX('מיפוי ומקורות'!$C$7:$C$33,MATCH(H1254,'מיפוי ומקורות'!$B$7:$B$33,0)),"לא מסווג")</x:f>
        <x:v>תחבורה</x:v>
      </x:c>
      <x:c r="J1254" s="19" t="str">
        <x:f>IFERROR(INDEX('מיפוי ומקורות'!$D$7:$D$33,MATCH(H1254,'מיפוי ומקורות'!$B$7:$B$33,0)),"שוטף")</x:f>
        <x:v>שוטף</x:v>
      </x:c>
      <x:c r="K1254" s="19" t="str">
        <x:f>IF(OR(H1254="ריביות",AND(H1254="דירה כצנלסון",G1254&lt;0,ISNUMBER(SEARCH("הכנסה",F1254)))),"הכנסה שסווגה מחדש",J1254)</x:f>
        <x:v>שוטף</x:v>
      </x:c>
      <x:c r="L1254" s="19" t="str">
        <x:v>מאושר</x:v>
      </x:c>
      <x:c r="M1254" s="20" t="n">
        <x:f>IF(L1254="מאושר",IF(K1254="הכנסה שסווגה מחדש",0,G1254),0)</x:f>
        <x:v>1086</x:v>
      </x:c>
      <x:c r="N1254" s="20" t="n">
        <x:f>IF(K1254="שוטף",M1254,0)</x:f>
        <x:v>1086</x:v>
      </x:c>
      <x:c r="O1254" s="20" t="n">
        <x:f>IF(K1254="הכנסה שסווגה מחדש",-G1254,0)</x:f>
        <x:v>0</x:v>
      </x:c>
      <x:c r="P1254" s="11" t="str">
        <x:v>אמקס זיו</x:v>
      </x:c>
      <x:c r="Q1254" s="11" t="str"/>
      <x:c r="R1254" s="11" t="str">
        <x:v>לא</x:v>
      </x:c>
    </x:row>
    <x:row r="1255">
      <x:c r="A1255" s="14" t="n">
        <x:v>46023</x:v>
      </x:c>
      <x:c r="B1255" s="11" t="str">
        <x:v>2026-01</x:v>
      </x:c>
      <x:c r="C1255" s="11" t="str">
        <x:v>ינואר 26</x:v>
      </x:c>
      <x:c r="D1255" s="15" t="n">
        <x:v>42</x:v>
      </x:c>
      <x:c r="E1255" s="11" t="str">
        <x:v>14</x:v>
      </x:c>
      <x:c r="F1255" s="11" t="str">
        <x:v>ברית</x:v>
      </x:c>
      <x:c r="G1255" s="17" t="n">
        <x:v>300</x:v>
      </x:c>
      <x:c r="H1255" s="18" t="str">
        <x:v>מתנה</x:v>
      </x:c>
      <x:c r="I1255" s="19" t="str">
        <x:f>IFERROR(INDEX('מיפוי ומקורות'!$C$7:$C$33,MATCH(H1255,'מיפוי ומקורות'!$B$7:$B$33,0)),"לא מסווג")</x:f>
        <x:v>מתנה</x:v>
      </x:c>
      <x:c r="J1255" s="19" t="str">
        <x:f>IFERROR(INDEX('מיפוי ומקורות'!$D$7:$D$33,MATCH(H1255,'מיפוי ומקורות'!$B$7:$B$33,0)),"שוטף")</x:f>
        <x:v>שוטף</x:v>
      </x:c>
      <x:c r="K1255" s="19" t="str">
        <x:f>IF(OR(H1255="ריביות",AND(H1255="דירה כצנלסון",G1255&lt;0,ISNUMBER(SEARCH("הכנסה",F1255)))),"הכנסה שסווגה מחדש",J1255)</x:f>
        <x:v>שוטף</x:v>
      </x:c>
      <x:c r="L1255" s="19" t="str">
        <x:v>מאושר</x:v>
      </x:c>
      <x:c r="M1255" s="20" t="n">
        <x:f>IF(L1255="מאושר",IF(K1255="הכנסה שסווגה מחדש",0,G1255),0)</x:f>
        <x:v>300</x:v>
      </x:c>
      <x:c r="N1255" s="20" t="n">
        <x:f>IF(K1255="שוטף",M1255,0)</x:f>
        <x:v>300</x:v>
      </x:c>
      <x:c r="O1255" s="20" t="n">
        <x:f>IF(K1255="הכנסה שסווגה מחדש",-G1255,0)</x:f>
        <x:v>0</x:v>
      </x:c>
      <x:c r="P1255" s="11" t="str">
        <x:v>אמקס זיו</x:v>
      </x:c>
      <x:c r="Q1255" s="11" t="str"/>
      <x:c r="R1255" s="11" t="str">
        <x:v>לא</x:v>
      </x:c>
    </x:row>
    <x:row r="1256">
      <x:c r="A1256" s="14" t="n">
        <x:v>46023</x:v>
      </x:c>
      <x:c r="B1256" s="11" t="str">
        <x:v>2026-01</x:v>
      </x:c>
      <x:c r="C1256" s="11" t="str">
        <x:v>ינואר 26</x:v>
      </x:c>
      <x:c r="D1256" s="15" t="n">
        <x:v>43</x:v>
      </x:c>
      <x:c r="E1256" s="11" t="str">
        <x:v>15</x:v>
      </x:c>
      <x:c r="F1256" s="11" t="str">
        <x:v>סופר</x:v>
      </x:c>
      <x:c r="G1256" s="17" t="n">
        <x:v>6</x:v>
      </x:c>
      <x:c r="H1256" s="18" t="str">
        <x:v>מזון לבית</x:v>
      </x:c>
      <x:c r="I1256" s="19" t="str">
        <x:f>IFERROR(INDEX('מיפוי ומקורות'!$C$7:$C$33,MATCH(H1256,'מיפוי ומקורות'!$B$7:$B$33,0)),"לא מסווג")</x:f>
        <x:v>מזון לבית</x:v>
      </x:c>
      <x:c r="J1256" s="19" t="str">
        <x:f>IFERROR(INDEX('מיפוי ומקורות'!$D$7:$D$33,MATCH(H1256,'מיפוי ומקורות'!$B$7:$B$33,0)),"שוטף")</x:f>
        <x:v>שוטף</x:v>
      </x:c>
      <x:c r="K1256" s="19" t="str">
        <x:f>IF(OR(H1256="ריביות",AND(H1256="דירה כצנלסון",G1256&lt;0,ISNUMBER(SEARCH("הכנסה",F1256)))),"הכנסה שסווגה מחדש",J1256)</x:f>
        <x:v>שוטף</x:v>
      </x:c>
      <x:c r="L1256" s="19" t="str">
        <x:v>מאושר</x:v>
      </x:c>
      <x:c r="M1256" s="20" t="n">
        <x:f>IF(L1256="מאושר",IF(K1256="הכנסה שסווגה מחדש",0,G1256),0)</x:f>
        <x:v>6</x:v>
      </x:c>
      <x:c r="N1256" s="20" t="n">
        <x:f>IF(K1256="שוטף",M1256,0)</x:f>
        <x:v>6</x:v>
      </x:c>
      <x:c r="O1256" s="20" t="n">
        <x:f>IF(K1256="הכנסה שסווגה מחדש",-G1256,0)</x:f>
        <x:v>0</x:v>
      </x:c>
      <x:c r="P1256" s="11" t="str">
        <x:v>אמקס זיו</x:v>
      </x:c>
      <x:c r="Q1256" s="11" t="str"/>
      <x:c r="R1256" s="11" t="str">
        <x:v>לא</x:v>
      </x:c>
    </x:row>
    <x:row r="1257">
      <x:c r="A1257" s="14" t="n">
        <x:v>46023</x:v>
      </x:c>
      <x:c r="B1257" s="11" t="str">
        <x:v>2026-01</x:v>
      </x:c>
      <x:c r="C1257" s="11" t="str">
        <x:v>ינואר 26</x:v>
      </x:c>
      <x:c r="D1257" s="15" t="n">
        <x:v>44</x:v>
      </x:c>
      <x:c r="E1257" s="11" t="str">
        <x:v>15</x:v>
      </x:c>
      <x:c r="F1257" s="11" t="str">
        <x:v>סופר</x:v>
      </x:c>
      <x:c r="G1257" s="17" t="n">
        <x:v>82</x:v>
      </x:c>
      <x:c r="H1257" s="18" t="str">
        <x:v>מזון לבית</x:v>
      </x:c>
      <x:c r="I1257" s="19" t="str">
        <x:f>IFERROR(INDEX('מיפוי ומקורות'!$C$7:$C$33,MATCH(H1257,'מיפוי ומקורות'!$B$7:$B$33,0)),"לא מסווג")</x:f>
        <x:v>מזון לבית</x:v>
      </x:c>
      <x:c r="J1257" s="19" t="str">
        <x:f>IFERROR(INDEX('מיפוי ומקורות'!$D$7:$D$33,MATCH(H1257,'מיפוי ומקורות'!$B$7:$B$33,0)),"שוטף")</x:f>
        <x:v>שוטף</x:v>
      </x:c>
      <x:c r="K1257" s="19" t="str">
        <x:f>IF(OR(H1257="ריביות",AND(H1257="דירה כצנלסון",G1257&lt;0,ISNUMBER(SEARCH("הכנסה",F1257)))),"הכנסה שסווגה מחדש",J1257)</x:f>
        <x:v>שוטף</x:v>
      </x:c>
      <x:c r="L1257" s="19" t="str">
        <x:v>מאושר</x:v>
      </x:c>
      <x:c r="M1257" s="20" t="n">
        <x:f>IF(L1257="מאושר",IF(K1257="הכנסה שסווגה מחדש",0,G1257),0)</x:f>
        <x:v>82</x:v>
      </x:c>
      <x:c r="N1257" s="20" t="n">
        <x:f>IF(K1257="שוטף",M1257,0)</x:f>
        <x:v>82</x:v>
      </x:c>
      <x:c r="O1257" s="20" t="n">
        <x:f>IF(K1257="הכנסה שסווגה מחדש",-G1257,0)</x:f>
        <x:v>0</x:v>
      </x:c>
      <x:c r="P1257" s="11" t="str">
        <x:v>אמקס זיו</x:v>
      </x:c>
      <x:c r="Q1257" s="11" t="str"/>
      <x:c r="R1257" s="11" t="str">
        <x:v>לא</x:v>
      </x:c>
    </x:row>
    <x:row r="1258">
      <x:c r="A1258" s="14" t="n">
        <x:v>46023</x:v>
      </x:c>
      <x:c r="B1258" s="11" t="str">
        <x:v>2026-01</x:v>
      </x:c>
      <x:c r="C1258" s="11" t="str">
        <x:v>ינואר 26</x:v>
      </x:c>
      <x:c r="D1258" s="15" t="n">
        <x:v>45</x:v>
      </x:c>
      <x:c r="E1258" s="11" t="str">
        <x:v>15</x:v>
      </x:c>
      <x:c r="F1258" s="11" t="str">
        <x:v>מסעדה</x:v>
      </x:c>
      <x:c r="G1258" s="17" t="n">
        <x:v>65</x:v>
      </x:c>
      <x:c r="H1258" s="18" t="str">
        <x:v>אוכל בחוץ</x:v>
      </x:c>
      <x:c r="I1258" s="19" t="str">
        <x:f>IFERROR(INDEX('מיפוי ומקורות'!$C$7:$C$33,MATCH(H1258,'מיפוי ומקורות'!$B$7:$B$33,0)),"לא מסווג")</x:f>
        <x:v>אוכל בחוץ</x:v>
      </x:c>
      <x:c r="J1258" s="19" t="str">
        <x:f>IFERROR(INDEX('מיפוי ומקורות'!$D$7:$D$33,MATCH(H1258,'מיפוי ומקורות'!$B$7:$B$33,0)),"שוטף")</x:f>
        <x:v>שוטף</x:v>
      </x:c>
      <x:c r="K1258" s="19" t="str">
        <x:f>IF(OR(H1258="ריביות",AND(H1258="דירה כצנלסון",G1258&lt;0,ISNUMBER(SEARCH("הכנסה",F1258)))),"הכנסה שסווגה מחדש",J1258)</x:f>
        <x:v>שוטף</x:v>
      </x:c>
      <x:c r="L1258" s="19" t="str">
        <x:v>מאושר</x:v>
      </x:c>
      <x:c r="M1258" s="20" t="n">
        <x:f>IF(L1258="מאושר",IF(K1258="הכנסה שסווגה מחדש",0,G1258),0)</x:f>
        <x:v>65</x:v>
      </x:c>
      <x:c r="N1258" s="20" t="n">
        <x:f>IF(K1258="שוטף",M1258,0)</x:f>
        <x:v>65</x:v>
      </x:c>
      <x:c r="O1258" s="20" t="n">
        <x:f>IF(K1258="הכנסה שסווגה מחדש",-G1258,0)</x:f>
        <x:v>0</x:v>
      </x:c>
      <x:c r="P1258" s="11" t="str">
        <x:v>אמקס זיו</x:v>
      </x:c>
      <x:c r="Q1258" s="11" t="str"/>
      <x:c r="R1258" s="11" t="str">
        <x:v>לא</x:v>
      </x:c>
    </x:row>
    <x:row r="1259">
      <x:c r="A1259" s="14" t="n">
        <x:v>46023</x:v>
      </x:c>
      <x:c r="B1259" s="11" t="str">
        <x:v>2026-01</x:v>
      </x:c>
      <x:c r="C1259" s="11" t="str">
        <x:v>ינואר 26</x:v>
      </x:c>
      <x:c r="D1259" s="15" t="n">
        <x:v>46</x:v>
      </x:c>
      <x:c r="E1259" s="11" t="str">
        <x:v>18</x:v>
      </x:c>
      <x:c r="F1259" s="11" t="str">
        <x:v>טסט</x:v>
      </x:c>
      <x:c r="G1259" s="17" t="n">
        <x:v>127</x:v>
      </x:c>
      <x:c r="H1259" s="18" t="str">
        <x:v>תחבורה</x:v>
      </x:c>
      <x:c r="I1259" s="19" t="str">
        <x:f>IFERROR(INDEX('מיפוי ומקורות'!$C$7:$C$33,MATCH(H1259,'מיפוי ומקורות'!$B$7:$B$33,0)),"לא מסווג")</x:f>
        <x:v>תחבורה</x:v>
      </x:c>
      <x:c r="J1259" s="19" t="str">
        <x:f>IFERROR(INDEX('מיפוי ומקורות'!$D$7:$D$33,MATCH(H1259,'מיפוי ומקורות'!$B$7:$B$33,0)),"שוטף")</x:f>
        <x:v>שוטף</x:v>
      </x:c>
      <x:c r="K1259" s="19" t="str">
        <x:f>IF(OR(H1259="ריביות",AND(H1259="דירה כצנלסון",G1259&lt;0,ISNUMBER(SEARCH("הכנסה",F1259)))),"הכנסה שסווגה מחדש",J1259)</x:f>
        <x:v>שוטף</x:v>
      </x:c>
      <x:c r="L1259" s="19" t="str">
        <x:v>מאושר</x:v>
      </x:c>
      <x:c r="M1259" s="20" t="n">
        <x:f>IF(L1259="מאושר",IF(K1259="הכנסה שסווגה מחדש",0,G1259),0)</x:f>
        <x:v>127</x:v>
      </x:c>
      <x:c r="N1259" s="20" t="n">
        <x:f>IF(K1259="שוטף",M1259,0)</x:f>
        <x:v>127</x:v>
      </x:c>
      <x:c r="O1259" s="20" t="n">
        <x:f>IF(K1259="הכנסה שסווגה מחדש",-G1259,0)</x:f>
        <x:v>0</x:v>
      </x:c>
      <x:c r="P1259" s="11" t="str">
        <x:v>אמקס זיו</x:v>
      </x:c>
      <x:c r="Q1259" s="11" t="str"/>
      <x:c r="R1259" s="11" t="str">
        <x:v>לא</x:v>
      </x:c>
    </x:row>
    <x:row r="1260">
      <x:c r="A1260" s="14" t="n">
        <x:v>46023</x:v>
      </x:c>
      <x:c r="B1260" s="11" t="str">
        <x:v>2026-01</x:v>
      </x:c>
      <x:c r="C1260" s="11" t="str">
        <x:v>ינואר 26</x:v>
      </x:c>
      <x:c r="D1260" s="15" t="n">
        <x:v>47</x:v>
      </x:c>
      <x:c r="E1260" s="11" t="str">
        <x:v>19</x:v>
      </x:c>
      <x:c r="F1260" s="11" t="str">
        <x:v>סופר</x:v>
      </x:c>
      <x:c r="G1260" s="17" t="n">
        <x:v>74</x:v>
      </x:c>
      <x:c r="H1260" s="18" t="str">
        <x:v>מזון לבית</x:v>
      </x:c>
      <x:c r="I1260" s="19" t="str">
        <x:f>IFERROR(INDEX('מיפוי ומקורות'!$C$7:$C$33,MATCH(H1260,'מיפוי ומקורות'!$B$7:$B$33,0)),"לא מסווג")</x:f>
        <x:v>מזון לבית</x:v>
      </x:c>
      <x:c r="J1260" s="19" t="str">
        <x:f>IFERROR(INDEX('מיפוי ומקורות'!$D$7:$D$33,MATCH(H1260,'מיפוי ומקורות'!$B$7:$B$33,0)),"שוטף")</x:f>
        <x:v>שוטף</x:v>
      </x:c>
      <x:c r="K1260" s="19" t="str">
        <x:f>IF(OR(H1260="ריביות",AND(H1260="דירה כצנלסון",G1260&lt;0,ISNUMBER(SEARCH("הכנסה",F1260)))),"הכנסה שסווגה מחדש",J1260)</x:f>
        <x:v>שוטף</x:v>
      </x:c>
      <x:c r="L1260" s="19" t="str">
        <x:v>מאושר</x:v>
      </x:c>
      <x:c r="M1260" s="20" t="n">
        <x:f>IF(L1260="מאושר",IF(K1260="הכנסה שסווגה מחדש",0,G1260),0)</x:f>
        <x:v>74</x:v>
      </x:c>
      <x:c r="N1260" s="20" t="n">
        <x:f>IF(K1260="שוטף",M1260,0)</x:f>
        <x:v>74</x:v>
      </x:c>
      <x:c r="O1260" s="20" t="n">
        <x:f>IF(K1260="הכנסה שסווגה מחדש",-G1260,0)</x:f>
        <x:v>0</x:v>
      </x:c>
      <x:c r="P1260" s="11" t="str">
        <x:v>אמקס זיו</x:v>
      </x:c>
      <x:c r="Q1260" s="11" t="str"/>
      <x:c r="R1260" s="11" t="str">
        <x:v>לא</x:v>
      </x:c>
    </x:row>
    <x:row r="1261">
      <x:c r="A1261" s="14" t="n">
        <x:v>46023</x:v>
      </x:c>
      <x:c r="B1261" s="11" t="str">
        <x:v>2026-01</x:v>
      </x:c>
      <x:c r="C1261" s="11" t="str">
        <x:v>ינואר 26</x:v>
      </x:c>
      <x:c r="D1261" s="15" t="n">
        <x:v>48</x:v>
      </x:c>
      <x:c r="E1261" s="11" t="str">
        <x:v>19</x:v>
      </x:c>
      <x:c r="F1261" s="11" t="str">
        <x:v>מסעדה</x:v>
      </x:c>
      <x:c r="G1261" s="17" t="n">
        <x:v>65</x:v>
      </x:c>
      <x:c r="H1261" s="18" t="str">
        <x:v>אוכל בחוץ</x:v>
      </x:c>
      <x:c r="I1261" s="19" t="str">
        <x:f>IFERROR(INDEX('מיפוי ומקורות'!$C$7:$C$33,MATCH(H1261,'מיפוי ומקורות'!$B$7:$B$33,0)),"לא מסווג")</x:f>
        <x:v>אוכל בחוץ</x:v>
      </x:c>
      <x:c r="J1261" s="19" t="str">
        <x:f>IFERROR(INDEX('מיפוי ומקורות'!$D$7:$D$33,MATCH(H1261,'מיפוי ומקורות'!$B$7:$B$33,0)),"שוטף")</x:f>
        <x:v>שוטף</x:v>
      </x:c>
      <x:c r="K1261" s="19" t="str">
        <x:f>IF(OR(H1261="ריביות",AND(H1261="דירה כצנלסון",G1261&lt;0,ISNUMBER(SEARCH("הכנסה",F1261)))),"הכנסה שסווגה מחדש",J1261)</x:f>
        <x:v>שוטף</x:v>
      </x:c>
      <x:c r="L1261" s="19" t="str">
        <x:v>מאושר</x:v>
      </x:c>
      <x:c r="M1261" s="20" t="n">
        <x:f>IF(L1261="מאושר",IF(K1261="הכנסה שסווגה מחדש",0,G1261),0)</x:f>
        <x:v>65</x:v>
      </x:c>
      <x:c r="N1261" s="20" t="n">
        <x:f>IF(K1261="שוטף",M1261,0)</x:f>
        <x:v>65</x:v>
      </x:c>
      <x:c r="O1261" s="20" t="n">
        <x:f>IF(K1261="הכנסה שסווגה מחדש",-G1261,0)</x:f>
        <x:v>0</x:v>
      </x:c>
      <x:c r="P1261" s="11" t="str">
        <x:v>אמקס זיו</x:v>
      </x:c>
      <x:c r="Q1261" s="11" t="str"/>
      <x:c r="R1261" s="11" t="str">
        <x:v>לא</x:v>
      </x:c>
    </x:row>
    <x:row r="1262">
      <x:c r="A1262" s="14" t="n">
        <x:v>46023</x:v>
      </x:c>
      <x:c r="B1262" s="11" t="str">
        <x:v>2026-01</x:v>
      </x:c>
      <x:c r="C1262" s="11" t="str">
        <x:v>ינואר 26</x:v>
      </x:c>
      <x:c r="D1262" s="15" t="n">
        <x:v>49</x:v>
      </x:c>
      <x:c r="E1262" s="11" t="str">
        <x:v>20</x:v>
      </x:c>
      <x:c r="F1262" s="11" t="str">
        <x:v>מסעדה</x:v>
      </x:c>
      <x:c r="G1262" s="17" t="n">
        <x:v>25</x:v>
      </x:c>
      <x:c r="H1262" s="18" t="str">
        <x:v>אוכל בחוץ</x:v>
      </x:c>
      <x:c r="I1262" s="19" t="str">
        <x:f>IFERROR(INDEX('מיפוי ומקורות'!$C$7:$C$33,MATCH(H1262,'מיפוי ומקורות'!$B$7:$B$33,0)),"לא מסווג")</x:f>
        <x:v>אוכל בחוץ</x:v>
      </x:c>
      <x:c r="J1262" s="19" t="str">
        <x:f>IFERROR(INDEX('מיפוי ומקורות'!$D$7:$D$33,MATCH(H1262,'מיפוי ומקורות'!$B$7:$B$33,0)),"שוטף")</x:f>
        <x:v>שוטף</x:v>
      </x:c>
      <x:c r="K1262" s="19" t="str">
        <x:f>IF(OR(H1262="ריביות",AND(H1262="דירה כצנלסון",G1262&lt;0,ISNUMBER(SEARCH("הכנסה",F1262)))),"הכנסה שסווגה מחדש",J1262)</x:f>
        <x:v>שוטף</x:v>
      </x:c>
      <x:c r="L1262" s="19" t="str">
        <x:v>מאושר</x:v>
      </x:c>
      <x:c r="M1262" s="20" t="n">
        <x:f>IF(L1262="מאושר",IF(K1262="הכנסה שסווגה מחדש",0,G1262),0)</x:f>
        <x:v>25</x:v>
      </x:c>
      <x:c r="N1262" s="20" t="n">
        <x:f>IF(K1262="שוטף",M1262,0)</x:f>
        <x:v>25</x:v>
      </x:c>
      <x:c r="O1262" s="20" t="n">
        <x:f>IF(K1262="הכנסה שסווגה מחדש",-G1262,0)</x:f>
        <x:v>0</x:v>
      </x:c>
      <x:c r="P1262" s="11" t="str">
        <x:v>אמקס זיו</x:v>
      </x:c>
      <x:c r="Q1262" s="11" t="str"/>
      <x:c r="R1262" s="11" t="str">
        <x:v>לא</x:v>
      </x:c>
    </x:row>
    <x:row r="1263">
      <x:c r="A1263" s="14" t="n">
        <x:v>46023</x:v>
      </x:c>
      <x:c r="B1263" s="11" t="str">
        <x:v>2026-01</x:v>
      </x:c>
      <x:c r="C1263" s="11" t="str">
        <x:v>ינואר 26</x:v>
      </x:c>
      <x:c r="D1263" s="15" t="n">
        <x:v>50</x:v>
      </x:c>
      <x:c r="E1263" s="11" t="str">
        <x:v>20</x:v>
      </x:c>
      <x:c r="F1263" s="11" t="str">
        <x:v>פארם</x:v>
      </x:c>
      <x:c r="G1263" s="17" t="n">
        <x:v>12</x:v>
      </x:c>
      <x:c r="H1263" s="18" t="str">
        <x:v>בריאות</x:v>
      </x:c>
      <x:c r="I1263" s="19" t="str">
        <x:f>IFERROR(INDEX('מיפוי ומקורות'!$C$7:$C$33,MATCH(H1263,'מיפוי ומקורות'!$B$7:$B$33,0)),"לא מסווג")</x:f>
        <x:v>בריאות וטיפולים</x:v>
      </x:c>
      <x:c r="J1263" s="19" t="str">
        <x:f>IFERROR(INDEX('מיפוי ומקורות'!$D$7:$D$33,MATCH(H1263,'מיפוי ומקורות'!$B$7:$B$33,0)),"שוטף")</x:f>
        <x:v>שוטף</x:v>
      </x:c>
      <x:c r="K1263" s="19" t="str">
        <x:f>IF(OR(H1263="ריביות",AND(H1263="דירה כצנלסון",G1263&lt;0,ISNUMBER(SEARCH("הכנסה",F1263)))),"הכנסה שסווגה מחדש",J1263)</x:f>
        <x:v>שוטף</x:v>
      </x:c>
      <x:c r="L1263" s="19" t="str">
        <x:v>מאושר</x:v>
      </x:c>
      <x:c r="M1263" s="20" t="n">
        <x:f>IF(L1263="מאושר",IF(K1263="הכנסה שסווגה מחדש",0,G1263),0)</x:f>
        <x:v>12</x:v>
      </x:c>
      <x:c r="N1263" s="20" t="n">
        <x:f>IF(K1263="שוטף",M1263,0)</x:f>
        <x:v>12</x:v>
      </x:c>
      <x:c r="O1263" s="20" t="n">
        <x:f>IF(K1263="הכנסה שסווגה מחדש",-G1263,0)</x:f>
        <x:v>0</x:v>
      </x:c>
      <x:c r="P1263" s="11" t="str">
        <x:v>אמקס זיו</x:v>
      </x:c>
      <x:c r="Q1263" s="11" t="str"/>
      <x:c r="R1263" s="11" t="str">
        <x:v>לא</x:v>
      </x:c>
    </x:row>
    <x:row r="1264">
      <x:c r="A1264" s="14" t="n">
        <x:v>46023</x:v>
      </x:c>
      <x:c r="B1264" s="11" t="str">
        <x:v>2026-01</x:v>
      </x:c>
      <x:c r="C1264" s="11" t="str">
        <x:v>ינואר 26</x:v>
      </x:c>
      <x:c r="D1264" s="15" t="n">
        <x:v>51</x:v>
      </x:c>
      <x:c r="E1264" s="11" t="str">
        <x:v>20</x:v>
      </x:c>
      <x:c r="F1264" s="11" t="str">
        <x:v>ירקן</x:v>
      </x:c>
      <x:c r="G1264" s="17" t="n">
        <x:v>31</x:v>
      </x:c>
      <x:c r="H1264" s="18" t="str">
        <x:v>מזון לבית</x:v>
      </x:c>
      <x:c r="I1264" s="19" t="str">
        <x:f>IFERROR(INDEX('מיפוי ומקורות'!$C$7:$C$33,MATCH(H1264,'מיפוי ומקורות'!$B$7:$B$33,0)),"לא מסווג")</x:f>
        <x:v>מזון לבית</x:v>
      </x:c>
      <x:c r="J1264" s="19" t="str">
        <x:f>IFERROR(INDEX('מיפוי ומקורות'!$D$7:$D$33,MATCH(H1264,'מיפוי ומקורות'!$B$7:$B$33,0)),"שוטף")</x:f>
        <x:v>שוטף</x:v>
      </x:c>
      <x:c r="K1264" s="19" t="str">
        <x:f>IF(OR(H1264="ריביות",AND(H1264="דירה כצנלסון",G1264&lt;0,ISNUMBER(SEARCH("הכנסה",F1264)))),"הכנסה שסווגה מחדש",J1264)</x:f>
        <x:v>שוטף</x:v>
      </x:c>
      <x:c r="L1264" s="19" t="str">
        <x:v>מאושר</x:v>
      </x:c>
      <x:c r="M1264" s="20" t="n">
        <x:f>IF(L1264="מאושר",IF(K1264="הכנסה שסווגה מחדש",0,G1264),0)</x:f>
        <x:v>31</x:v>
      </x:c>
      <x:c r="N1264" s="20" t="n">
        <x:f>IF(K1264="שוטף",M1264,0)</x:f>
        <x:v>31</x:v>
      </x:c>
      <x:c r="O1264" s="20" t="n">
        <x:f>IF(K1264="הכנסה שסווגה מחדש",-G1264,0)</x:f>
        <x:v>0</x:v>
      </x:c>
      <x:c r="P1264" s="11" t="str">
        <x:v>אמקס זיו</x:v>
      </x:c>
      <x:c r="Q1264" s="11" t="str"/>
      <x:c r="R1264" s="11" t="str">
        <x:v>לא</x:v>
      </x:c>
    </x:row>
    <x:row r="1265">
      <x:c r="A1265" s="14" t="n">
        <x:v>46023</x:v>
      </x:c>
      <x:c r="B1265" s="11" t="str">
        <x:v>2026-01</x:v>
      </x:c>
      <x:c r="C1265" s="11" t="str">
        <x:v>ינואר 26</x:v>
      </x:c>
      <x:c r="D1265" s="15" t="n">
        <x:v>52</x:v>
      </x:c>
      <x:c r="E1265" s="11" t="str">
        <x:v>21</x:v>
      </x:c>
      <x:c r="F1265" s="11" t="str">
        <x:v>ביליארד</x:v>
      </x:c>
      <x:c r="G1265" s="17" t="n">
        <x:v>-22</x:v>
      </x:c>
      <x:c r="H1265" s="18" t="str">
        <x:v>פנאי</x:v>
      </x:c>
      <x:c r="I1265" s="19" t="str">
        <x:f>IFERROR(INDEX('מיפוי ומקורות'!$C$7:$C$33,MATCH(H1265,'מיפוי ומקורות'!$B$7:$B$33,0)),"לא מסווג")</x:f>
        <x:v>פנאי</x:v>
      </x:c>
      <x:c r="J1265" s="19" t="str">
        <x:f>IFERROR(INDEX('מיפוי ומקורות'!$D$7:$D$33,MATCH(H1265,'מיפוי ומקורות'!$B$7:$B$33,0)),"שוטף")</x:f>
        <x:v>שוטף</x:v>
      </x:c>
      <x:c r="K1265" s="19" t="str">
        <x:f>IF(OR(H1265="ריביות",AND(H1265="דירה כצנלסון",G1265&lt;0,ISNUMBER(SEARCH("הכנסה",F1265)))),"הכנסה שסווגה מחדש",J1265)</x:f>
        <x:v>שוטף</x:v>
      </x:c>
      <x:c r="L1265" s="19" t="str">
        <x:v>מאושר</x:v>
      </x:c>
      <x:c r="M1265" s="20" t="n">
        <x:f>IF(L1265="מאושר",IF(K1265="הכנסה שסווגה מחדש",0,G1265),0)</x:f>
        <x:v>-22</x:v>
      </x:c>
      <x:c r="N1265" s="20" t="n">
        <x:f>IF(K1265="שוטף",M1265,0)</x:f>
        <x:v>-22</x:v>
      </x:c>
      <x:c r="O1265" s="20" t="n">
        <x:f>IF(K1265="הכנסה שסווגה מחדש",-G1265,0)</x:f>
        <x:v>0</x:v>
      </x:c>
      <x:c r="P1265" s="11" t="str">
        <x:v>אמקס זיו</x:v>
      </x:c>
      <x:c r="Q1265" s="11" t="str"/>
      <x:c r="R1265" s="11" t="str">
        <x:v>לא</x:v>
      </x:c>
    </x:row>
    <x:row r="1266">
      <x:c r="A1266" s="14" t="n">
        <x:v>46023</x:v>
      </x:c>
      <x:c r="B1266" s="11" t="str">
        <x:v>2026-01</x:v>
      </x:c>
      <x:c r="C1266" s="11" t="str">
        <x:v>ינואר 26</x:v>
      </x:c>
      <x:c r="D1266" s="15" t="n">
        <x:v>53</x:v>
      </x:c>
      <x:c r="E1266" s="11" t="str">
        <x:v>22</x:v>
      </x:c>
      <x:c r="F1266" s="11" t="str">
        <x:v>טמבוריה</x:v>
      </x:c>
      <x:c r="G1266" s="17" t="n">
        <x:v>90</x:v>
      </x:c>
      <x:c r="H1266" s="18" t="str">
        <x:v>קניות לבית</x:v>
      </x:c>
      <x:c r="I1266" s="19" t="str">
        <x:f>IFERROR(INDEX('מיפוי ומקורות'!$C$7:$C$33,MATCH(H1266,'מיפוי ומקורות'!$B$7:$B$33,0)),"לא מסווג")</x:f>
        <x:v>קניות לבית</x:v>
      </x:c>
      <x:c r="J1266" s="19" t="str">
        <x:f>IFERROR(INDEX('מיפוי ומקורות'!$D$7:$D$33,MATCH(H1266,'מיפוי ומקורות'!$B$7:$B$33,0)),"שוטף")</x:f>
        <x:v>שוטף</x:v>
      </x:c>
      <x:c r="K1266" s="19" t="str">
        <x:f>IF(OR(H1266="ריביות",AND(H1266="דירה כצנלסון",G1266&lt;0,ISNUMBER(SEARCH("הכנסה",F1266)))),"הכנסה שסווגה מחדש",J1266)</x:f>
        <x:v>שוטף</x:v>
      </x:c>
      <x:c r="L1266" s="19" t="str">
        <x:v>מאושר</x:v>
      </x:c>
      <x:c r="M1266" s="20" t="n">
        <x:f>IF(L1266="מאושר",IF(K1266="הכנסה שסווגה מחדש",0,G1266),0)</x:f>
        <x:v>90</x:v>
      </x:c>
      <x:c r="N1266" s="20" t="n">
        <x:f>IF(K1266="שוטף",M1266,0)</x:f>
        <x:v>90</x:v>
      </x:c>
      <x:c r="O1266" s="20" t="n">
        <x:f>IF(K1266="הכנסה שסווגה מחדש",-G1266,0)</x:f>
        <x:v>0</x:v>
      </x:c>
      <x:c r="P1266" s="11" t="str">
        <x:v>אמקס זיו</x:v>
      </x:c>
      <x:c r="Q1266" s="11" t="str"/>
      <x:c r="R1266" s="11" t="str">
        <x:v>לא</x:v>
      </x:c>
    </x:row>
    <x:row r="1267">
      <x:c r="A1267" s="14" t="n">
        <x:v>46023</x:v>
      </x:c>
      <x:c r="B1267" s="11" t="str">
        <x:v>2026-01</x:v>
      </x:c>
      <x:c r="C1267" s="11" t="str">
        <x:v>ינואר 26</x:v>
      </x:c>
      <x:c r="D1267" s="15" t="n">
        <x:v>54</x:v>
      </x:c>
      <x:c r="E1267" s="11" t="str">
        <x:v>22</x:v>
      </x:c>
      <x:c r="F1267" s="11" t="str">
        <x:v>מסעדה</x:v>
      </x:c>
      <x:c r="G1267" s="17" t="n">
        <x:v>96</x:v>
      </x:c>
      <x:c r="H1267" s="18" t="str">
        <x:v>אוכל בחוץ</x:v>
      </x:c>
      <x:c r="I1267" s="19" t="str">
        <x:f>IFERROR(INDEX('מיפוי ומקורות'!$C$7:$C$33,MATCH(H1267,'מיפוי ומקורות'!$B$7:$B$33,0)),"לא מסווג")</x:f>
        <x:v>אוכל בחוץ</x:v>
      </x:c>
      <x:c r="J1267" s="19" t="str">
        <x:f>IFERROR(INDEX('מיפוי ומקורות'!$D$7:$D$33,MATCH(H1267,'מיפוי ומקורות'!$B$7:$B$33,0)),"שוטף")</x:f>
        <x:v>שוטף</x:v>
      </x:c>
      <x:c r="K1267" s="19" t="str">
        <x:f>IF(OR(H1267="ריביות",AND(H1267="דירה כצנלסון",G1267&lt;0,ISNUMBER(SEARCH("הכנסה",F1267)))),"הכנסה שסווגה מחדש",J1267)</x:f>
        <x:v>שוטף</x:v>
      </x:c>
      <x:c r="L1267" s="19" t="str">
        <x:v>מאושר</x:v>
      </x:c>
      <x:c r="M1267" s="20" t="n">
        <x:f>IF(L1267="מאושר",IF(K1267="הכנסה שסווגה מחדש",0,G1267),0)</x:f>
        <x:v>96</x:v>
      </x:c>
      <x:c r="N1267" s="20" t="n">
        <x:f>IF(K1267="שוטף",M1267,0)</x:f>
        <x:v>96</x:v>
      </x:c>
      <x:c r="O1267" s="20" t="n">
        <x:f>IF(K1267="הכנסה שסווגה מחדש",-G1267,0)</x:f>
        <x:v>0</x:v>
      </x:c>
      <x:c r="P1267" s="11" t="str">
        <x:v>אמקס זיו</x:v>
      </x:c>
      <x:c r="Q1267" s="11" t="str"/>
      <x:c r="R1267" s="11" t="str">
        <x:v>לא</x:v>
      </x:c>
    </x:row>
    <x:row r="1268">
      <x:c r="A1268" s="14" t="n">
        <x:v>46023</x:v>
      </x:c>
      <x:c r="B1268" s="11" t="str">
        <x:v>2026-01</x:v>
      </x:c>
      <x:c r="C1268" s="11" t="str">
        <x:v>ינואר 26</x:v>
      </x:c>
      <x:c r="D1268" s="15" t="n">
        <x:v>55</x:v>
      </x:c>
      <x:c r="E1268" s="11" t="str">
        <x:v>23</x:v>
      </x:c>
      <x:c r="F1268" s="11" t="str">
        <x:v>פוקס הום</x:v>
      </x:c>
      <x:c r="G1268" s="17" t="n">
        <x:v>210</x:v>
      </x:c>
      <x:c r="H1268" s="18" t="str">
        <x:v>קניות לבית</x:v>
      </x:c>
      <x:c r="I1268" s="19" t="str">
        <x:f>IFERROR(INDEX('מיפוי ומקורות'!$C$7:$C$33,MATCH(H1268,'מיפוי ומקורות'!$B$7:$B$33,0)),"לא מסווג")</x:f>
        <x:v>קניות לבית</x:v>
      </x:c>
      <x:c r="J1268" s="19" t="str">
        <x:f>IFERROR(INDEX('מיפוי ומקורות'!$D$7:$D$33,MATCH(H1268,'מיפוי ומקורות'!$B$7:$B$33,0)),"שוטף")</x:f>
        <x:v>שוטף</x:v>
      </x:c>
      <x:c r="K1268" s="19" t="str">
        <x:f>IF(OR(H1268="ריביות",AND(H1268="דירה כצנלסון",G1268&lt;0,ISNUMBER(SEARCH("הכנסה",F1268)))),"הכנסה שסווגה מחדש",J1268)</x:f>
        <x:v>שוטף</x:v>
      </x:c>
      <x:c r="L1268" s="19" t="str">
        <x:v>מאושר</x:v>
      </x:c>
      <x:c r="M1268" s="20" t="n">
        <x:f>IF(L1268="מאושר",IF(K1268="הכנסה שסווגה מחדש",0,G1268),0)</x:f>
        <x:v>210</x:v>
      </x:c>
      <x:c r="N1268" s="20" t="n">
        <x:f>IF(K1268="שוטף",M1268,0)</x:f>
        <x:v>210</x:v>
      </x:c>
      <x:c r="O1268" s="20" t="n">
        <x:f>IF(K1268="הכנסה שסווגה מחדש",-G1268,0)</x:f>
        <x:v>0</x:v>
      </x:c>
      <x:c r="P1268" s="11" t="str">
        <x:v>אמקס זיו</x:v>
      </x:c>
      <x:c r="Q1268" s="11" t="str"/>
      <x:c r="R1268" s="11" t="str">
        <x:v>לא</x:v>
      </x:c>
    </x:row>
    <x:row r="1269">
      <x:c r="A1269" s="14" t="n">
        <x:v>46023</x:v>
      </x:c>
      <x:c r="B1269" s="11" t="str">
        <x:v>2026-01</x:v>
      </x:c>
      <x:c r="C1269" s="11" t="str">
        <x:v>ינואר 26</x:v>
      </x:c>
      <x:c r="D1269" s="15" t="n">
        <x:v>56</x:v>
      </x:c>
      <x:c r="E1269" s="11" t="str">
        <x:v>23</x:v>
      </x:c>
      <x:c r="F1269" s="11" t="str">
        <x:v>מסעדה</x:v>
      </x:c>
      <x:c r="G1269" s="17" t="n">
        <x:v>25</x:v>
      </x:c>
      <x:c r="H1269" s="18" t="str">
        <x:v>אוכל בחוץ</x:v>
      </x:c>
      <x:c r="I1269" s="19" t="str">
        <x:f>IFERROR(INDEX('מיפוי ומקורות'!$C$7:$C$33,MATCH(H1269,'מיפוי ומקורות'!$B$7:$B$33,0)),"לא מסווג")</x:f>
        <x:v>אוכל בחוץ</x:v>
      </x:c>
      <x:c r="J1269" s="19" t="str">
        <x:f>IFERROR(INDEX('מיפוי ומקורות'!$D$7:$D$33,MATCH(H1269,'מיפוי ומקורות'!$B$7:$B$33,0)),"שוטף")</x:f>
        <x:v>שוטף</x:v>
      </x:c>
      <x:c r="K1269" s="19" t="str">
        <x:f>IF(OR(H1269="ריביות",AND(H1269="דירה כצנלסון",G1269&lt;0,ISNUMBER(SEARCH("הכנסה",F1269)))),"הכנסה שסווגה מחדש",J1269)</x:f>
        <x:v>שוטף</x:v>
      </x:c>
      <x:c r="L1269" s="19" t="str">
        <x:v>מאושר</x:v>
      </x:c>
      <x:c r="M1269" s="20" t="n">
        <x:f>IF(L1269="מאושר",IF(K1269="הכנסה שסווגה מחדש",0,G1269),0)</x:f>
        <x:v>25</x:v>
      </x:c>
      <x:c r="N1269" s="20" t="n">
        <x:f>IF(K1269="שוטף",M1269,0)</x:f>
        <x:v>25</x:v>
      </x:c>
      <x:c r="O1269" s="20" t="n">
        <x:f>IF(K1269="הכנסה שסווגה מחדש",-G1269,0)</x:f>
        <x:v>0</x:v>
      </x:c>
      <x:c r="P1269" s="11" t="str">
        <x:v>אמקס זיו</x:v>
      </x:c>
      <x:c r="Q1269" s="11" t="str"/>
      <x:c r="R1269" s="11" t="str">
        <x:v>לא</x:v>
      </x:c>
    </x:row>
    <x:row r="1270">
      <x:c r="A1270" s="14" t="n">
        <x:v>46023</x:v>
      </x:c>
      <x:c r="B1270" s="11" t="str">
        <x:v>2026-01</x:v>
      </x:c>
      <x:c r="C1270" s="11" t="str">
        <x:v>ינואר 26</x:v>
      </x:c>
      <x:c r="D1270" s="15" t="n">
        <x:v>57</x:v>
      </x:c>
      <x:c r="E1270" s="11" t="str">
        <x:v>23</x:v>
      </x:c>
      <x:c r="F1270" s="11" t="str">
        <x:v>סופר</x:v>
      </x:c>
      <x:c r="G1270" s="17" t="n">
        <x:v>48</x:v>
      </x:c>
      <x:c r="H1270" s="18" t="str">
        <x:v>מזון לבית</x:v>
      </x:c>
      <x:c r="I1270" s="19" t="str">
        <x:f>IFERROR(INDEX('מיפוי ומקורות'!$C$7:$C$33,MATCH(H1270,'מיפוי ומקורות'!$B$7:$B$33,0)),"לא מסווג")</x:f>
        <x:v>מזון לבית</x:v>
      </x:c>
      <x:c r="J1270" s="19" t="str">
        <x:f>IFERROR(INDEX('מיפוי ומקורות'!$D$7:$D$33,MATCH(H1270,'מיפוי ומקורות'!$B$7:$B$33,0)),"שוטף")</x:f>
        <x:v>שוטף</x:v>
      </x:c>
      <x:c r="K1270" s="19" t="str">
        <x:f>IF(OR(H1270="ריביות",AND(H1270="דירה כצנלסון",G1270&lt;0,ISNUMBER(SEARCH("הכנסה",F1270)))),"הכנסה שסווגה מחדש",J1270)</x:f>
        <x:v>שוטף</x:v>
      </x:c>
      <x:c r="L1270" s="19" t="str">
        <x:v>מאושר</x:v>
      </x:c>
      <x:c r="M1270" s="20" t="n">
        <x:f>IF(L1270="מאושר",IF(K1270="הכנסה שסווגה מחדש",0,G1270),0)</x:f>
        <x:v>48</x:v>
      </x:c>
      <x:c r="N1270" s="20" t="n">
        <x:f>IF(K1270="שוטף",M1270,0)</x:f>
        <x:v>48</x:v>
      </x:c>
      <x:c r="O1270" s="20" t="n">
        <x:f>IF(K1270="הכנסה שסווגה מחדש",-G1270,0)</x:f>
        <x:v>0</x:v>
      </x:c>
      <x:c r="P1270" s="11" t="str">
        <x:v>אמקס זיו</x:v>
      </x:c>
      <x:c r="Q1270" s="11" t="str"/>
      <x:c r="R1270" s="11" t="str">
        <x:v>לא</x:v>
      </x:c>
    </x:row>
    <x:row r="1271">
      <x:c r="A1271" s="14" t="n">
        <x:v>46023</x:v>
      </x:c>
      <x:c r="B1271" s="11" t="str">
        <x:v>2026-01</x:v>
      </x:c>
      <x:c r="C1271" s="11" t="str">
        <x:v>ינואר 26</x:v>
      </x:c>
      <x:c r="D1271" s="15" t="n">
        <x:v>58</x:v>
      </x:c>
      <x:c r="E1271" s="11" t="str">
        <x:v>23</x:v>
      </x:c>
      <x:c r="F1271" s="11" t="str">
        <x:v>פרארם</x:v>
      </x:c>
      <x:c r="G1271" s="17" t="n">
        <x:v>34</x:v>
      </x:c>
      <x:c r="H1271" s="18" t="str">
        <x:v>בריאות</x:v>
      </x:c>
      <x:c r="I1271" s="19" t="str">
        <x:f>IFERROR(INDEX('מיפוי ומקורות'!$C$7:$C$33,MATCH(H1271,'מיפוי ומקורות'!$B$7:$B$33,0)),"לא מסווג")</x:f>
        <x:v>בריאות וטיפולים</x:v>
      </x:c>
      <x:c r="J1271" s="19" t="str">
        <x:f>IFERROR(INDEX('מיפוי ומקורות'!$D$7:$D$33,MATCH(H1271,'מיפוי ומקורות'!$B$7:$B$33,0)),"שוטף")</x:f>
        <x:v>שוטף</x:v>
      </x:c>
      <x:c r="K1271" s="19" t="str">
        <x:f>IF(OR(H1271="ריביות",AND(H1271="דירה כצנלסון",G1271&lt;0,ISNUMBER(SEARCH("הכנסה",F1271)))),"הכנסה שסווגה מחדש",J1271)</x:f>
        <x:v>שוטף</x:v>
      </x:c>
      <x:c r="L1271" s="19" t="str">
        <x:v>מאושר</x:v>
      </x:c>
      <x:c r="M1271" s="20" t="n">
        <x:f>IF(L1271="מאושר",IF(K1271="הכנסה שסווגה מחדש",0,G1271),0)</x:f>
        <x:v>34</x:v>
      </x:c>
      <x:c r="N1271" s="20" t="n">
        <x:f>IF(K1271="שוטף",M1271,0)</x:f>
        <x:v>34</x:v>
      </x:c>
      <x:c r="O1271" s="20" t="n">
        <x:f>IF(K1271="הכנסה שסווגה מחדש",-G1271,0)</x:f>
        <x:v>0</x:v>
      </x:c>
      <x:c r="P1271" s="11" t="str">
        <x:v>אמקס זיו</x:v>
      </x:c>
      <x:c r="Q1271" s="11" t="str"/>
      <x:c r="R1271" s="11" t="str">
        <x:v>לא</x:v>
      </x:c>
    </x:row>
    <x:row r="1272">
      <x:c r="A1272" s="14" t="n">
        <x:v>46023</x:v>
      </x:c>
      <x:c r="B1272" s="11" t="str">
        <x:v>2026-01</x:v>
      </x:c>
      <x:c r="C1272" s="11" t="str">
        <x:v>ינואר 26</x:v>
      </x:c>
      <x:c r="D1272" s="15" t="n">
        <x:v>59</x:v>
      </x:c>
      <x:c r="E1272" s="11" t="str">
        <x:v>27</x:v>
      </x:c>
      <x:c r="F1272" s="11" t="str">
        <x:v>סופר</x:v>
      </x:c>
      <x:c r="G1272" s="17" t="n">
        <x:v>28</x:v>
      </x:c>
      <x:c r="H1272" s="18" t="str">
        <x:v>מזון לבית</x:v>
      </x:c>
      <x:c r="I1272" s="19" t="str">
        <x:f>IFERROR(INDEX('מיפוי ומקורות'!$C$7:$C$33,MATCH(H1272,'מיפוי ומקורות'!$B$7:$B$33,0)),"לא מסווג")</x:f>
        <x:v>מזון לבית</x:v>
      </x:c>
      <x:c r="J1272" s="19" t="str">
        <x:f>IFERROR(INDEX('מיפוי ומקורות'!$D$7:$D$33,MATCH(H1272,'מיפוי ומקורות'!$B$7:$B$33,0)),"שוטף")</x:f>
        <x:v>שוטף</x:v>
      </x:c>
      <x:c r="K1272" s="19" t="str">
        <x:f>IF(OR(H1272="ריביות",AND(H1272="דירה כצנלסון",G1272&lt;0,ISNUMBER(SEARCH("הכנסה",F1272)))),"הכנסה שסווגה מחדש",J1272)</x:f>
        <x:v>שוטף</x:v>
      </x:c>
      <x:c r="L1272" s="19" t="str">
        <x:v>מאושר</x:v>
      </x:c>
      <x:c r="M1272" s="20" t="n">
        <x:f>IF(L1272="מאושר",IF(K1272="הכנסה שסווגה מחדש",0,G1272),0)</x:f>
        <x:v>28</x:v>
      </x:c>
      <x:c r="N1272" s="20" t="n">
        <x:f>IF(K1272="שוטף",M1272,0)</x:f>
        <x:v>28</x:v>
      </x:c>
      <x:c r="O1272" s="20" t="n">
        <x:f>IF(K1272="הכנסה שסווגה מחדש",-G1272,0)</x:f>
        <x:v>0</x:v>
      </x:c>
      <x:c r="P1272" s="11" t="str">
        <x:v>אמקס זיו</x:v>
      </x:c>
      <x:c r="Q1272" s="11" t="str"/>
      <x:c r="R1272" s="11" t="str">
        <x:v>לא</x:v>
      </x:c>
    </x:row>
    <x:row r="1273">
      <x:c r="A1273" s="14" t="n">
        <x:v>46023</x:v>
      </x:c>
      <x:c r="B1273" s="11" t="str">
        <x:v>2026-01</x:v>
      </x:c>
      <x:c r="C1273" s="11" t="str">
        <x:v>ינואר 26</x:v>
      </x:c>
      <x:c r="D1273" s="15" t="n">
        <x:v>60</x:v>
      </x:c>
      <x:c r="E1273" s="11" t="str">
        <x:v>27</x:v>
      </x:c>
      <x:c r="F1273" s="11" t="str">
        <x:v>מסעדה</x:v>
      </x:c>
      <x:c r="G1273" s="17" t="n">
        <x:v>185</x:v>
      </x:c>
      <x:c r="H1273" s="18" t="str">
        <x:v>אוכל בחוץ</x:v>
      </x:c>
      <x:c r="I1273" s="19" t="str">
        <x:f>IFERROR(INDEX('מיפוי ומקורות'!$C$7:$C$33,MATCH(H1273,'מיפוי ומקורות'!$B$7:$B$33,0)),"לא מסווג")</x:f>
        <x:v>אוכל בחוץ</x:v>
      </x:c>
      <x:c r="J1273" s="19" t="str">
        <x:f>IFERROR(INDEX('מיפוי ומקורות'!$D$7:$D$33,MATCH(H1273,'מיפוי ומקורות'!$B$7:$B$33,0)),"שוטף")</x:f>
        <x:v>שוטף</x:v>
      </x:c>
      <x:c r="K1273" s="19" t="str">
        <x:f>IF(OR(H1273="ריביות",AND(H1273="דירה כצנלסון",G1273&lt;0,ISNUMBER(SEARCH("הכנסה",F1273)))),"הכנסה שסווגה מחדש",J1273)</x:f>
        <x:v>שוטף</x:v>
      </x:c>
      <x:c r="L1273" s="19" t="str">
        <x:v>מאושר</x:v>
      </x:c>
      <x:c r="M1273" s="20" t="n">
        <x:f>IF(L1273="מאושר",IF(K1273="הכנסה שסווגה מחדש",0,G1273),0)</x:f>
        <x:v>185</x:v>
      </x:c>
      <x:c r="N1273" s="20" t="n">
        <x:f>IF(K1273="שוטף",M1273,0)</x:f>
        <x:v>185</x:v>
      </x:c>
      <x:c r="O1273" s="20" t="n">
        <x:f>IF(K1273="הכנסה שסווגה מחדש",-G1273,0)</x:f>
        <x:v>0</x:v>
      </x:c>
      <x:c r="P1273" s="11" t="str">
        <x:v>אמקס זיו</x:v>
      </x:c>
      <x:c r="Q1273" s="11" t="str"/>
      <x:c r="R1273" s="11" t="str">
        <x:v>לא</x:v>
      </x:c>
    </x:row>
    <x:row r="1274">
      <x:c r="A1274" s="14" t="n">
        <x:v>46023</x:v>
      </x:c>
      <x:c r="B1274" s="11" t="str">
        <x:v>2026-01</x:v>
      </x:c>
      <x:c r="C1274" s="11" t="str">
        <x:v>ינואר 26</x:v>
      </x:c>
      <x:c r="D1274" s="15" t="n">
        <x:v>61</x:v>
      </x:c>
      <x:c r="E1274" s="11" t="str">
        <x:v>28</x:v>
      </x:c>
      <x:c r="F1274" s="11" t="str">
        <x:v>מסעדה</x:v>
      </x:c>
      <x:c r="G1274" s="17" t="n">
        <x:v>74</x:v>
      </x:c>
      <x:c r="H1274" s="18" t="str">
        <x:v>אוכל בחוץ</x:v>
      </x:c>
      <x:c r="I1274" s="19" t="str">
        <x:f>IFERROR(INDEX('מיפוי ומקורות'!$C$7:$C$33,MATCH(H1274,'מיפוי ומקורות'!$B$7:$B$33,0)),"לא מסווג")</x:f>
        <x:v>אוכל בחוץ</x:v>
      </x:c>
      <x:c r="J1274" s="19" t="str">
        <x:f>IFERROR(INDEX('מיפוי ומקורות'!$D$7:$D$33,MATCH(H1274,'מיפוי ומקורות'!$B$7:$B$33,0)),"שוטף")</x:f>
        <x:v>שוטף</x:v>
      </x:c>
      <x:c r="K1274" s="19" t="str">
        <x:f>IF(OR(H1274="ריביות",AND(H1274="דירה כצנלסון",G1274&lt;0,ISNUMBER(SEARCH("הכנסה",F1274)))),"הכנסה שסווגה מחדש",J1274)</x:f>
        <x:v>שוטף</x:v>
      </x:c>
      <x:c r="L1274" s="19" t="str">
        <x:v>מאושר</x:v>
      </x:c>
      <x:c r="M1274" s="20" t="n">
        <x:f>IF(L1274="מאושר",IF(K1274="הכנסה שסווגה מחדש",0,G1274),0)</x:f>
        <x:v>74</x:v>
      </x:c>
      <x:c r="N1274" s="20" t="n">
        <x:f>IF(K1274="שוטף",M1274,0)</x:f>
        <x:v>74</x:v>
      </x:c>
      <x:c r="O1274" s="20" t="n">
        <x:f>IF(K1274="הכנסה שסווגה מחדש",-G1274,0)</x:f>
        <x:v>0</x:v>
      </x:c>
      <x:c r="P1274" s="11" t="str">
        <x:v>אמקס זיו</x:v>
      </x:c>
      <x:c r="Q1274" s="11" t="str"/>
      <x:c r="R1274" s="11" t="str">
        <x:v>לא</x:v>
      </x:c>
    </x:row>
    <x:row r="1275">
      <x:c r="A1275" s="14" t="n">
        <x:v>46023</x:v>
      </x:c>
      <x:c r="B1275" s="11" t="str">
        <x:v>2026-01</x:v>
      </x:c>
      <x:c r="C1275" s="11" t="str">
        <x:v>ינואר 26</x:v>
      </x:c>
      <x:c r="D1275" s="15" t="n">
        <x:v>62</x:v>
      </x:c>
      <x:c r="E1275" s="11" t="str">
        <x:v>28</x:v>
      </x:c>
      <x:c r="F1275" s="11" t="str">
        <x:v>ביטוח מקיף רכב</x:v>
      </x:c>
      <x:c r="G1275" s="17" t="n">
        <x:v>393</x:v>
      </x:c>
      <x:c r="H1275" s="18" t="str">
        <x:v>תחבורה</x:v>
      </x:c>
      <x:c r="I1275" s="19" t="str">
        <x:f>IFERROR(INDEX('מיפוי ומקורות'!$C$7:$C$33,MATCH(H1275,'מיפוי ומקורות'!$B$7:$B$33,0)),"לא מסווג")</x:f>
        <x:v>תחבורה</x:v>
      </x:c>
      <x:c r="J1275" s="19" t="str">
        <x:f>IFERROR(INDEX('מיפוי ומקורות'!$D$7:$D$33,MATCH(H1275,'מיפוי ומקורות'!$B$7:$B$33,0)),"שוטף")</x:f>
        <x:v>שוטף</x:v>
      </x:c>
      <x:c r="K1275" s="19" t="str">
        <x:f>IF(OR(H1275="ריביות",AND(H1275="דירה כצנלסון",G1275&lt;0,ISNUMBER(SEARCH("הכנסה",F1275)))),"הכנסה שסווגה מחדש",J1275)</x:f>
        <x:v>שוטף</x:v>
      </x:c>
      <x:c r="L1275" s="19" t="str">
        <x:v>מאושר</x:v>
      </x:c>
      <x:c r="M1275" s="20" t="n">
        <x:f>IF(L1275="מאושר",IF(K1275="הכנסה שסווגה מחדש",0,G1275),0)</x:f>
        <x:v>393</x:v>
      </x:c>
      <x:c r="N1275" s="20" t="n">
        <x:f>IF(K1275="שוטף",M1275,0)</x:f>
        <x:v>393</x:v>
      </x:c>
      <x:c r="O1275" s="20" t="n">
        <x:f>IF(K1275="הכנסה שסווגה מחדש",-G1275,0)</x:f>
        <x:v>0</x:v>
      </x:c>
      <x:c r="P1275" s="11" t="str">
        <x:v>אמקס זיו</x:v>
      </x:c>
      <x:c r="Q1275" s="11" t="str"/>
      <x:c r="R1275" s="11" t="str">
        <x:v>לא</x:v>
      </x:c>
    </x:row>
    <x:row r="1276">
      <x:c r="A1276" s="14" t="n">
        <x:v>46023</x:v>
      </x:c>
      <x:c r="B1276" s="11" t="str">
        <x:v>2026-01</x:v>
      </x:c>
      <x:c r="C1276" s="11" t="str">
        <x:v>ינואר 26</x:v>
      </x:c>
      <x:c r="D1276" s="15" t="n">
        <x:v>63</x:v>
      </x:c>
      <x:c r="E1276" s="11" t="str">
        <x:v>29</x:v>
      </x:c>
      <x:c r="F1276" s="11" t="str">
        <x:v>סופר</x:v>
      </x:c>
      <x:c r="G1276" s="17" t="n">
        <x:v>20</x:v>
      </x:c>
      <x:c r="H1276" s="18" t="str">
        <x:v>מזון לבית</x:v>
      </x:c>
      <x:c r="I1276" s="19" t="str">
        <x:f>IFERROR(INDEX('מיפוי ומקורות'!$C$7:$C$33,MATCH(H1276,'מיפוי ומקורות'!$B$7:$B$33,0)),"לא מסווג")</x:f>
        <x:v>מזון לבית</x:v>
      </x:c>
      <x:c r="J1276" s="19" t="str">
        <x:f>IFERROR(INDEX('מיפוי ומקורות'!$D$7:$D$33,MATCH(H1276,'מיפוי ומקורות'!$B$7:$B$33,0)),"שוטף")</x:f>
        <x:v>שוטף</x:v>
      </x:c>
      <x:c r="K1276" s="19" t="str">
        <x:f>IF(OR(H1276="ריביות",AND(H1276="דירה כצנלסון",G1276&lt;0,ISNUMBER(SEARCH("הכנסה",F1276)))),"הכנסה שסווגה מחדש",J1276)</x:f>
        <x:v>שוטף</x:v>
      </x:c>
      <x:c r="L1276" s="19" t="str">
        <x:v>מאושר</x:v>
      </x:c>
      <x:c r="M1276" s="20" t="n">
        <x:f>IF(L1276="מאושר",IF(K1276="הכנסה שסווגה מחדש",0,G1276),0)</x:f>
        <x:v>20</x:v>
      </x:c>
      <x:c r="N1276" s="20" t="n">
        <x:f>IF(K1276="שוטף",M1276,0)</x:f>
        <x:v>20</x:v>
      </x:c>
      <x:c r="O1276" s="20" t="n">
        <x:f>IF(K1276="הכנסה שסווגה מחדש",-G1276,0)</x:f>
        <x:v>0</x:v>
      </x:c>
      <x:c r="P1276" s="11" t="str">
        <x:v>אמקס זיו</x:v>
      </x:c>
      <x:c r="Q1276" s="11" t="str"/>
      <x:c r="R1276" s="11" t="str">
        <x:v>לא</x:v>
      </x:c>
    </x:row>
    <x:row r="1277">
      <x:c r="A1277" s="14" t="n">
        <x:v>46023</x:v>
      </x:c>
      <x:c r="B1277" s="11" t="str">
        <x:v>2026-01</x:v>
      </x:c>
      <x:c r="C1277" s="11" t="str">
        <x:v>ינואר 26</x:v>
      </x:c>
      <x:c r="D1277" s="15" t="n">
        <x:v>64</x:v>
      </x:c>
      <x:c r="E1277" s="11" t="str">
        <x:v>31</x:v>
      </x:c>
      <x:c r="F1277" s="11" t="str">
        <x:v>ללין</x:v>
      </x:c>
      <x:c r="G1277" s="17" t="n">
        <x:v>141</x:v>
      </x:c>
      <x:c r="H1277" s="18" t="str">
        <x:v>קניות לבית</x:v>
      </x:c>
      <x:c r="I1277" s="19" t="str">
        <x:f>IFERROR(INDEX('מיפוי ומקורות'!$C$7:$C$33,MATCH(H1277,'מיפוי ומקורות'!$B$7:$B$33,0)),"לא מסווג")</x:f>
        <x:v>קניות לבית</x:v>
      </x:c>
      <x:c r="J1277" s="19" t="str">
        <x:f>IFERROR(INDEX('מיפוי ומקורות'!$D$7:$D$33,MATCH(H1277,'מיפוי ומקורות'!$B$7:$B$33,0)),"שוטף")</x:f>
        <x:v>שוטף</x:v>
      </x:c>
      <x:c r="K1277" s="19" t="str">
        <x:f>IF(OR(H1277="ריביות",AND(H1277="דירה כצנלסון",G1277&lt;0,ISNUMBER(SEARCH("הכנסה",F1277)))),"הכנסה שסווגה מחדש",J1277)</x:f>
        <x:v>שוטף</x:v>
      </x:c>
      <x:c r="L1277" s="19" t="str">
        <x:v>מאושר</x:v>
      </x:c>
      <x:c r="M1277" s="20" t="n">
        <x:f>IF(L1277="מאושר",IF(K1277="הכנסה שסווגה מחדש",0,G1277),0)</x:f>
        <x:v>141</x:v>
      </x:c>
      <x:c r="N1277" s="20" t="n">
        <x:f>IF(K1277="שוטף",M1277,0)</x:f>
        <x:v>141</x:v>
      </x:c>
      <x:c r="O1277" s="20" t="n">
        <x:f>IF(K1277="הכנסה שסווגה מחדש",-G1277,0)</x:f>
        <x:v>0</x:v>
      </x:c>
      <x:c r="P1277" s="11" t="str">
        <x:v>אמקס זיו</x:v>
      </x:c>
      <x:c r="Q1277" s="11" t="str"/>
      <x:c r="R1277" s="11" t="str">
        <x:v>לא</x:v>
      </x:c>
    </x:row>
    <x:row r="1278">
      <x:c r="A1278" s="14" t="n">
        <x:v>46023</x:v>
      </x:c>
      <x:c r="B1278" s="11" t="str">
        <x:v>2026-01</x:v>
      </x:c>
      <x:c r="C1278" s="11" t="str">
        <x:v>ינואר 26</x:v>
      </x:c>
      <x:c r="D1278" s="15" t="n">
        <x:v>65</x:v>
      </x:c>
      <x:c r="E1278" s="11" t="str">
        <x:v>31</x:v>
      </x:c>
      <x:c r="F1278" s="11" t="str">
        <x:v>סופר</x:v>
      </x:c>
      <x:c r="G1278" s="17" t="n">
        <x:v>39</x:v>
      </x:c>
      <x:c r="H1278" s="18" t="str">
        <x:v>מזון לבית</x:v>
      </x:c>
      <x:c r="I1278" s="19" t="str">
        <x:f>IFERROR(INDEX('מיפוי ומקורות'!$C$7:$C$33,MATCH(H1278,'מיפוי ומקורות'!$B$7:$B$33,0)),"לא מסווג")</x:f>
        <x:v>מזון לבית</x:v>
      </x:c>
      <x:c r="J1278" s="19" t="str">
        <x:f>IFERROR(INDEX('מיפוי ומקורות'!$D$7:$D$33,MATCH(H1278,'מיפוי ומקורות'!$B$7:$B$33,0)),"שוטף")</x:f>
        <x:v>שוטף</x:v>
      </x:c>
      <x:c r="K1278" s="19" t="str">
        <x:f>IF(OR(H1278="ריביות",AND(H1278="דירה כצנלסון",G1278&lt;0,ISNUMBER(SEARCH("הכנסה",F1278)))),"הכנסה שסווגה מחדש",J1278)</x:f>
        <x:v>שוטף</x:v>
      </x:c>
      <x:c r="L1278" s="19" t="str">
        <x:v>מאושר</x:v>
      </x:c>
      <x:c r="M1278" s="20" t="n">
        <x:f>IF(L1278="מאושר",IF(K1278="הכנסה שסווגה מחדש",0,G1278),0)</x:f>
        <x:v>39</x:v>
      </x:c>
      <x:c r="N1278" s="20" t="n">
        <x:f>IF(K1278="שוטף",M1278,0)</x:f>
        <x:v>39</x:v>
      </x:c>
      <x:c r="O1278" s="20" t="n">
        <x:f>IF(K1278="הכנסה שסווגה מחדש",-G1278,0)</x:f>
        <x:v>0</x:v>
      </x:c>
      <x:c r="P1278" s="11" t="str">
        <x:v>אמקס זיו</x:v>
      </x:c>
      <x:c r="Q1278" s="11" t="str"/>
      <x:c r="R1278" s="11" t="str">
        <x:v>לא</x:v>
      </x:c>
    </x:row>
    <x:row r="1279">
      <x:c r="A1279" s="14" t="n">
        <x:v>46023</x:v>
      </x:c>
      <x:c r="B1279" s="11" t="str">
        <x:v>2026-01</x:v>
      </x:c>
      <x:c r="C1279" s="11" t="str">
        <x:v>ינואר 26</x:v>
      </x:c>
      <x:c r="D1279" s="15" t="n">
        <x:v>66</x:v>
      </x:c>
      <x:c r="E1279" s="11" t="str">
        <x:v>31</x:v>
      </x:c>
      <x:c r="F1279" s="11" t="str">
        <x:v>נרות</x:v>
      </x:c>
      <x:c r="G1279" s="17" t="n">
        <x:v>120</x:v>
      </x:c>
      <x:c r="H1279" s="18" t="str">
        <x:v>קניות לבית</x:v>
      </x:c>
      <x:c r="I1279" s="19" t="str">
        <x:f>IFERROR(INDEX('מיפוי ומקורות'!$C$7:$C$33,MATCH(H1279,'מיפוי ומקורות'!$B$7:$B$33,0)),"לא מסווג")</x:f>
        <x:v>קניות לבית</x:v>
      </x:c>
      <x:c r="J1279" s="19" t="str">
        <x:f>IFERROR(INDEX('מיפוי ומקורות'!$D$7:$D$33,MATCH(H1279,'מיפוי ומקורות'!$B$7:$B$33,0)),"שוטף")</x:f>
        <x:v>שוטף</x:v>
      </x:c>
      <x:c r="K1279" s="19" t="str">
        <x:f>IF(OR(H1279="ריביות",AND(H1279="דירה כצנלסון",G1279&lt;0,ISNUMBER(SEARCH("הכנסה",F1279)))),"הכנסה שסווגה מחדש",J1279)</x:f>
        <x:v>שוטף</x:v>
      </x:c>
      <x:c r="L1279" s="19" t="str">
        <x:v>מאושר</x:v>
      </x:c>
      <x:c r="M1279" s="20" t="n">
        <x:f>IF(L1279="מאושר",IF(K1279="הכנסה שסווגה מחדש",0,G1279),0)</x:f>
        <x:v>120</x:v>
      </x:c>
      <x:c r="N1279" s="20" t="n">
        <x:f>IF(K1279="שוטף",M1279,0)</x:f>
        <x:v>120</x:v>
      </x:c>
      <x:c r="O1279" s="20" t="n">
        <x:f>IF(K1279="הכנסה שסווגה מחדש",-G1279,0)</x:f>
        <x:v>0</x:v>
      </x:c>
      <x:c r="P1279" s="11" t="str">
        <x:v>אמקס זיו</x:v>
      </x:c>
      <x:c r="Q1279" s="11" t="str"/>
      <x:c r="R1279" s="11" t="str">
        <x:v>לא</x:v>
      </x:c>
    </x:row>
    <x:row r="1280">
      <x:c r="A1280" s="14" t="n">
        <x:v>46023</x:v>
      </x:c>
      <x:c r="B1280" s="11" t="str">
        <x:v>2026-01</x:v>
      </x:c>
      <x:c r="C1280" s="11" t="str">
        <x:v>ינואר 26</x:v>
      </x:c>
      <x:c r="D1280" s="15" t="n">
        <x:v>67</x:v>
      </x:c>
      <x:c r="E1280" s="11" t="str">
        <x:v>1</x:v>
      </x:c>
      <x:c r="F1280" s="11" t="str">
        <x:v>סופר</x:v>
      </x:c>
      <x:c r="G1280" s="17" t="n">
        <x:v>9</x:v>
      </x:c>
      <x:c r="H1280" s="18" t="str">
        <x:v>מזון לבית</x:v>
      </x:c>
      <x:c r="I1280" s="19" t="str">
        <x:f>IFERROR(INDEX('מיפוי ומקורות'!$C$7:$C$33,MATCH(H1280,'מיפוי ומקורות'!$B$7:$B$33,0)),"לא מסווג")</x:f>
        <x:v>מזון לבית</x:v>
      </x:c>
      <x:c r="J1280" s="19" t="str">
        <x:f>IFERROR(INDEX('מיפוי ומקורות'!$D$7:$D$33,MATCH(H1280,'מיפוי ומקורות'!$B$7:$B$33,0)),"שוטף")</x:f>
        <x:v>שוטף</x:v>
      </x:c>
      <x:c r="K1280" s="19" t="str">
        <x:f>IF(OR(H1280="ריביות",AND(H1280="דירה כצנלסון",G1280&lt;0,ISNUMBER(SEARCH("הכנסה",F1280)))),"הכנסה שסווגה מחדש",J1280)</x:f>
        <x:v>שוטף</x:v>
      </x:c>
      <x:c r="L1280" s="19" t="str">
        <x:v>מאושר</x:v>
      </x:c>
      <x:c r="M1280" s="20" t="n">
        <x:f>IF(L1280="מאושר",IF(K1280="הכנסה שסווגה מחדש",0,G1280),0)</x:f>
        <x:v>9</x:v>
      </x:c>
      <x:c r="N1280" s="20" t="n">
        <x:f>IF(K1280="שוטף",M1280,0)</x:f>
        <x:v>9</x:v>
      </x:c>
      <x:c r="O1280" s="20" t="n">
        <x:f>IF(K1280="הכנסה שסווגה מחדש",-G1280,0)</x:f>
        <x:v>0</x:v>
      </x:c>
      <x:c r="P1280" s="11" t="str">
        <x:v>אמקס עינור</x:v>
      </x:c>
      <x:c r="Q1280" s="11" t="str"/>
      <x:c r="R1280" s="11" t="str">
        <x:v>לא</x:v>
      </x:c>
    </x:row>
    <x:row r="1281">
      <x:c r="A1281" s="14" t="n">
        <x:v>46023</x:v>
      </x:c>
      <x:c r="B1281" s="11" t="str">
        <x:v>2026-01</x:v>
      </x:c>
      <x:c r="C1281" s="11" t="str">
        <x:v>ינואר 26</x:v>
      </x:c>
      <x:c r="D1281" s="15" t="n">
        <x:v>68</x:v>
      </x:c>
      <x:c r="E1281" s="11" t="str">
        <x:v>6</x:v>
      </x:c>
      <x:c r="F1281" s="11" t="str">
        <x:v>סופר</x:v>
      </x:c>
      <x:c r="G1281" s="17" t="n">
        <x:v>7</x:v>
      </x:c>
      <x:c r="H1281" s="18" t="str">
        <x:v>מזון לבית</x:v>
      </x:c>
      <x:c r="I1281" s="19" t="str">
        <x:f>IFERROR(INDEX('מיפוי ומקורות'!$C$7:$C$33,MATCH(H1281,'מיפוי ומקורות'!$B$7:$B$33,0)),"לא מסווג")</x:f>
        <x:v>מזון לבית</x:v>
      </x:c>
      <x:c r="J1281" s="19" t="str">
        <x:f>IFERROR(INDEX('מיפוי ומקורות'!$D$7:$D$33,MATCH(H1281,'מיפוי ומקורות'!$B$7:$B$33,0)),"שוטף")</x:f>
        <x:v>שוטף</x:v>
      </x:c>
      <x:c r="K1281" s="19" t="str">
        <x:f>IF(OR(H1281="ריביות",AND(H1281="דירה כצנלסון",G1281&lt;0,ISNUMBER(SEARCH("הכנסה",F1281)))),"הכנסה שסווגה מחדש",J1281)</x:f>
        <x:v>שוטף</x:v>
      </x:c>
      <x:c r="L1281" s="19" t="str">
        <x:v>מאושר</x:v>
      </x:c>
      <x:c r="M1281" s="20" t="n">
        <x:f>IF(L1281="מאושר",IF(K1281="הכנסה שסווגה מחדש",0,G1281),0)</x:f>
        <x:v>7</x:v>
      </x:c>
      <x:c r="N1281" s="20" t="n">
        <x:f>IF(K1281="שוטף",M1281,0)</x:f>
        <x:v>7</x:v>
      </x:c>
      <x:c r="O1281" s="20" t="n">
        <x:f>IF(K1281="הכנסה שסווגה מחדש",-G1281,0)</x:f>
        <x:v>0</x:v>
      </x:c>
      <x:c r="P1281" s="11" t="str">
        <x:v>אמקס עינור</x:v>
      </x:c>
      <x:c r="Q1281" s="11" t="str"/>
      <x:c r="R1281" s="11" t="str">
        <x:v>לא</x:v>
      </x:c>
    </x:row>
    <x:row r="1282">
      <x:c r="A1282" s="14" t="n">
        <x:v>46023</x:v>
      </x:c>
      <x:c r="B1282" s="11" t="str">
        <x:v>2026-01</x:v>
      </x:c>
      <x:c r="C1282" s="11" t="str">
        <x:v>ינואר 26</x:v>
      </x:c>
      <x:c r="D1282" s="15" t="n">
        <x:v>69</x:v>
      </x:c>
      <x:c r="E1282" s="11" t="str">
        <x:v>10</x:v>
      </x:c>
      <x:c r="F1282" s="11" t="str">
        <x:v>מסעדה</x:v>
      </x:c>
      <x:c r="G1282" s="17" t="n">
        <x:v>77</x:v>
      </x:c>
      <x:c r="H1282" s="18" t="str">
        <x:v>אוכל בחוץ</x:v>
      </x:c>
      <x:c r="I1282" s="19" t="str">
        <x:f>IFERROR(INDEX('מיפוי ומקורות'!$C$7:$C$33,MATCH(H1282,'מיפוי ומקורות'!$B$7:$B$33,0)),"לא מסווג")</x:f>
        <x:v>אוכל בחוץ</x:v>
      </x:c>
      <x:c r="J1282" s="19" t="str">
        <x:f>IFERROR(INDEX('מיפוי ומקורות'!$D$7:$D$33,MATCH(H1282,'מיפוי ומקורות'!$B$7:$B$33,0)),"שוטף")</x:f>
        <x:v>שוטף</x:v>
      </x:c>
      <x:c r="K1282" s="19" t="str">
        <x:f>IF(OR(H1282="ריביות",AND(H1282="דירה כצנלסון",G1282&lt;0,ISNUMBER(SEARCH("הכנסה",F1282)))),"הכנסה שסווגה מחדש",J1282)</x:f>
        <x:v>שוטף</x:v>
      </x:c>
      <x:c r="L1282" s="19" t="str">
        <x:v>מאושר</x:v>
      </x:c>
      <x:c r="M1282" s="20" t="n">
        <x:f>IF(L1282="מאושר",IF(K1282="הכנסה שסווגה מחדש",0,G1282),0)</x:f>
        <x:v>77</x:v>
      </x:c>
      <x:c r="N1282" s="20" t="n">
        <x:f>IF(K1282="שוטף",M1282,0)</x:f>
        <x:v>77</x:v>
      </x:c>
      <x:c r="O1282" s="20" t="n">
        <x:f>IF(K1282="הכנסה שסווגה מחדש",-G1282,0)</x:f>
        <x:v>0</x:v>
      </x:c>
      <x:c r="P1282" s="11" t="str">
        <x:v>אמקס עינור</x:v>
      </x:c>
      <x:c r="Q1282" s="11" t="str"/>
      <x:c r="R1282" s="11" t="str">
        <x:v>לא</x:v>
      </x:c>
    </x:row>
    <x:row r="1283">
      <x:c r="A1283" s="14" t="n">
        <x:v>46023</x:v>
      </x:c>
      <x:c r="B1283" s="11" t="str">
        <x:v>2026-01</x:v>
      </x:c>
      <x:c r="C1283" s="11" t="str">
        <x:v>ינואר 26</x:v>
      </x:c>
      <x:c r="D1283" s="15" t="n">
        <x:v>70</x:v>
      </x:c>
      <x:c r="E1283" s="11" t="str">
        <x:v>11</x:v>
      </x:c>
      <x:c r="F1283" s="11" t="str">
        <x:v>ירקן</x:v>
      </x:c>
      <x:c r="G1283" s="17" t="n">
        <x:v>31</x:v>
      </x:c>
      <x:c r="H1283" s="18" t="str">
        <x:v>מזון לבית</x:v>
      </x:c>
      <x:c r="I1283" s="19" t="str">
        <x:f>IFERROR(INDEX('מיפוי ומקורות'!$C$7:$C$33,MATCH(H1283,'מיפוי ומקורות'!$B$7:$B$33,0)),"לא מסווג")</x:f>
        <x:v>מזון לבית</x:v>
      </x:c>
      <x:c r="J1283" s="19" t="str">
        <x:f>IFERROR(INDEX('מיפוי ומקורות'!$D$7:$D$33,MATCH(H1283,'מיפוי ומקורות'!$B$7:$B$33,0)),"שוטף")</x:f>
        <x:v>שוטף</x:v>
      </x:c>
      <x:c r="K1283" s="19" t="str">
        <x:f>IF(OR(H1283="ריביות",AND(H1283="דירה כצנלסון",G1283&lt;0,ISNUMBER(SEARCH("הכנסה",F1283)))),"הכנסה שסווגה מחדש",J1283)</x:f>
        <x:v>שוטף</x:v>
      </x:c>
      <x:c r="L1283" s="19" t="str">
        <x:v>מאושר</x:v>
      </x:c>
      <x:c r="M1283" s="20" t="n">
        <x:f>IF(L1283="מאושר",IF(K1283="הכנסה שסווגה מחדש",0,G1283),0)</x:f>
        <x:v>31</x:v>
      </x:c>
      <x:c r="N1283" s="20" t="n">
        <x:f>IF(K1283="שוטף",M1283,0)</x:f>
        <x:v>31</x:v>
      </x:c>
      <x:c r="O1283" s="20" t="n">
        <x:f>IF(K1283="הכנסה שסווגה מחדש",-G1283,0)</x:f>
        <x:v>0</x:v>
      </x:c>
      <x:c r="P1283" s="11" t="str">
        <x:v>אמקס עינור</x:v>
      </x:c>
      <x:c r="Q1283" s="11" t="str"/>
      <x:c r="R1283" s="11" t="str">
        <x:v>לא</x:v>
      </x:c>
    </x:row>
    <x:row r="1284">
      <x:c r="A1284" s="14" t="n">
        <x:v>46023</x:v>
      </x:c>
      <x:c r="B1284" s="11" t="str">
        <x:v>2026-01</x:v>
      </x:c>
      <x:c r="C1284" s="11" t="str">
        <x:v>ינואר 26</x:v>
      </x:c>
      <x:c r="D1284" s="15" t="n">
        <x:v>71</x:v>
      </x:c>
      <x:c r="E1284" s="11" t="str">
        <x:v>12</x:v>
      </x:c>
      <x:c r="F1284" s="11" t="str">
        <x:v>מקס</x:v>
      </x:c>
      <x:c r="G1284" s="17" t="n">
        <x:v>20</x:v>
      </x:c>
      <x:c r="H1284" s="18" t="str">
        <x:v>קניות לבית</x:v>
      </x:c>
      <x:c r="I1284" s="19" t="str">
        <x:f>IFERROR(INDEX('מיפוי ומקורות'!$C$7:$C$33,MATCH(H1284,'מיפוי ומקורות'!$B$7:$B$33,0)),"לא מסווג")</x:f>
        <x:v>קניות לבית</x:v>
      </x:c>
      <x:c r="J1284" s="19" t="str">
        <x:f>IFERROR(INDEX('מיפוי ומקורות'!$D$7:$D$33,MATCH(H1284,'מיפוי ומקורות'!$B$7:$B$33,0)),"שוטף")</x:f>
        <x:v>שוטף</x:v>
      </x:c>
      <x:c r="K1284" s="19" t="str">
        <x:f>IF(OR(H1284="ריביות",AND(H1284="דירה כצנלסון",G1284&lt;0,ISNUMBER(SEARCH("הכנסה",F1284)))),"הכנסה שסווגה מחדש",J1284)</x:f>
        <x:v>שוטף</x:v>
      </x:c>
      <x:c r="L1284" s="19" t="str">
        <x:v>מאושר</x:v>
      </x:c>
      <x:c r="M1284" s="20" t="n">
        <x:f>IF(L1284="מאושר",IF(K1284="הכנסה שסווגה מחדש",0,G1284),0)</x:f>
        <x:v>20</x:v>
      </x:c>
      <x:c r="N1284" s="20" t="n">
        <x:f>IF(K1284="שוטף",M1284,0)</x:f>
        <x:v>20</x:v>
      </x:c>
      <x:c r="O1284" s="20" t="n">
        <x:f>IF(K1284="הכנסה שסווגה מחדש",-G1284,0)</x:f>
        <x:v>0</x:v>
      </x:c>
      <x:c r="P1284" s="11" t="str">
        <x:v>אמקס עינור</x:v>
      </x:c>
      <x:c r="Q1284" s="11" t="str"/>
      <x:c r="R1284" s="11" t="str">
        <x:v>לא</x:v>
      </x:c>
    </x:row>
    <x:row r="1285">
      <x:c r="A1285" s="14" t="n">
        <x:v>46023</x:v>
      </x:c>
      <x:c r="B1285" s="11" t="str">
        <x:v>2026-01</x:v>
      </x:c>
      <x:c r="C1285" s="11" t="str">
        <x:v>ינואר 26</x:v>
      </x:c>
      <x:c r="D1285" s="15" t="n">
        <x:v>72</x:v>
      </x:c>
      <x:c r="E1285" s="11" t="str">
        <x:v>15</x:v>
      </x:c>
      <x:c r="F1285" s="11" t="str">
        <x:v>סופר</x:v>
      </x:c>
      <x:c r="G1285" s="17" t="n">
        <x:v>9</x:v>
      </x:c>
      <x:c r="H1285" s="18" t="str">
        <x:v>מזון לבית</x:v>
      </x:c>
      <x:c r="I1285" s="19" t="str">
        <x:f>IFERROR(INDEX('מיפוי ומקורות'!$C$7:$C$33,MATCH(H1285,'מיפוי ומקורות'!$B$7:$B$33,0)),"לא מסווג")</x:f>
        <x:v>מזון לבית</x:v>
      </x:c>
      <x:c r="J1285" s="19" t="str">
        <x:f>IFERROR(INDEX('מיפוי ומקורות'!$D$7:$D$33,MATCH(H1285,'מיפוי ומקורות'!$B$7:$B$33,0)),"שוטף")</x:f>
        <x:v>שוטף</x:v>
      </x:c>
      <x:c r="K1285" s="19" t="str">
        <x:f>IF(OR(H1285="ריביות",AND(H1285="דירה כצנלסון",G1285&lt;0,ISNUMBER(SEARCH("הכנסה",F1285)))),"הכנסה שסווגה מחדש",J1285)</x:f>
        <x:v>שוטף</x:v>
      </x:c>
      <x:c r="L1285" s="19" t="str">
        <x:v>מאושר</x:v>
      </x:c>
      <x:c r="M1285" s="20" t="n">
        <x:f>IF(L1285="מאושר",IF(K1285="הכנסה שסווגה מחדש",0,G1285),0)</x:f>
        <x:v>9</x:v>
      </x:c>
      <x:c r="N1285" s="20" t="n">
        <x:f>IF(K1285="שוטף",M1285,0)</x:f>
        <x:v>9</x:v>
      </x:c>
      <x:c r="O1285" s="20" t="n">
        <x:f>IF(K1285="הכנסה שסווגה מחדש",-G1285,0)</x:f>
        <x:v>0</x:v>
      </x:c>
      <x:c r="P1285" s="11" t="str">
        <x:v>אמקס עינור</x:v>
      </x:c>
      <x:c r="Q1285" s="11" t="str"/>
      <x:c r="R1285" s="11" t="str">
        <x:v>לא</x:v>
      </x:c>
    </x:row>
    <x:row r="1286">
      <x:c r="A1286" s="14" t="n">
        <x:v>46023</x:v>
      </x:c>
      <x:c r="B1286" s="11" t="str">
        <x:v>2026-01</x:v>
      </x:c>
      <x:c r="C1286" s="11" t="str">
        <x:v>ינואר 26</x:v>
      </x:c>
      <x:c r="D1286" s="15" t="n">
        <x:v>73</x:v>
      </x:c>
      <x:c r="E1286" s="11" t="str">
        <x:v>16</x:v>
      </x:c>
      <x:c r="F1286" s="11" t="str">
        <x:v>פיצוציה</x:v>
      </x:c>
      <x:c r="G1286" s="17" t="n">
        <x:v>7</x:v>
      </x:c>
      <x:c r="H1286" s="18" t="str">
        <x:v>אוכל בחוץ</x:v>
      </x:c>
      <x:c r="I1286" s="19" t="str">
        <x:f>IFERROR(INDEX('מיפוי ומקורות'!$C$7:$C$33,MATCH(H1286,'מיפוי ומקורות'!$B$7:$B$33,0)),"לא מסווג")</x:f>
        <x:v>אוכל בחוץ</x:v>
      </x:c>
      <x:c r="J1286" s="19" t="str">
        <x:f>IFERROR(INDEX('מיפוי ומקורות'!$D$7:$D$33,MATCH(H1286,'מיפוי ומקורות'!$B$7:$B$33,0)),"שוטף")</x:f>
        <x:v>שוטף</x:v>
      </x:c>
      <x:c r="K1286" s="19" t="str">
        <x:f>IF(OR(H1286="ריביות",AND(H1286="דירה כצנלסון",G1286&lt;0,ISNUMBER(SEARCH("הכנסה",F1286)))),"הכנסה שסווגה מחדש",J1286)</x:f>
        <x:v>שוטף</x:v>
      </x:c>
      <x:c r="L1286" s="19" t="str">
        <x:v>מאושר</x:v>
      </x:c>
      <x:c r="M1286" s="20" t="n">
        <x:f>IF(L1286="מאושר",IF(K1286="הכנסה שסווגה מחדש",0,G1286),0)</x:f>
        <x:v>7</x:v>
      </x:c>
      <x:c r="N1286" s="20" t="n">
        <x:f>IF(K1286="שוטף",M1286,0)</x:f>
        <x:v>7</x:v>
      </x:c>
      <x:c r="O1286" s="20" t="n">
        <x:f>IF(K1286="הכנסה שסווגה מחדש",-G1286,0)</x:f>
        <x:v>0</x:v>
      </x:c>
      <x:c r="P1286" s="11" t="str">
        <x:v>אמקס עינור</x:v>
      </x:c>
      <x:c r="Q1286" s="11" t="str"/>
      <x:c r="R1286" s="11" t="str">
        <x:v>לא</x:v>
      </x:c>
    </x:row>
    <x:row r="1287">
      <x:c r="A1287" s="14" t="n">
        <x:v>46023</x:v>
      </x:c>
      <x:c r="B1287" s="11" t="str">
        <x:v>2026-01</x:v>
      </x:c>
      <x:c r="C1287" s="11" t="str">
        <x:v>ינואר 26</x:v>
      </x:c>
      <x:c r="D1287" s="15" t="n">
        <x:v>74</x:v>
      </x:c>
      <x:c r="E1287" s="11" t="str">
        <x:v>17</x:v>
      </x:c>
      <x:c r="F1287" s="11" t="str">
        <x:v>אלי</x:v>
      </x:c>
      <x:c r="G1287" s="17" t="n">
        <x:v>44</x:v>
      </x:c>
      <x:c r="H1287" s="18" t="str">
        <x:v>ספורט</x:v>
      </x:c>
      <x:c r="I1287" s="19" t="str">
        <x:f>IFERROR(INDEX('מיפוי ומקורות'!$C$7:$C$33,MATCH(H1287,'מיפוי ומקורות'!$B$7:$B$33,0)),"לא מסווג")</x:f>
        <x:v>ספורט</x:v>
      </x:c>
      <x:c r="J1287" s="19" t="str">
        <x:f>IFERROR(INDEX('מיפוי ומקורות'!$D$7:$D$33,MATCH(H1287,'מיפוי ומקורות'!$B$7:$B$33,0)),"שוטף")</x:f>
        <x:v>שוטף</x:v>
      </x:c>
      <x:c r="K1287" s="19" t="str">
        <x:f>IF(OR(H1287="ריביות",AND(H1287="דירה כצנלסון",G1287&lt;0,ISNUMBER(SEARCH("הכנסה",F1287)))),"הכנסה שסווגה מחדש",J1287)</x:f>
        <x:v>שוטף</x:v>
      </x:c>
      <x:c r="L1287" s="19" t="str">
        <x:v>מאושר</x:v>
      </x:c>
      <x:c r="M1287" s="20" t="n">
        <x:f>IF(L1287="מאושר",IF(K1287="הכנסה שסווגה מחדש",0,G1287),0)</x:f>
        <x:v>44</x:v>
      </x:c>
      <x:c r="N1287" s="20" t="n">
        <x:f>IF(K1287="שוטף",M1287,0)</x:f>
        <x:v>44</x:v>
      </x:c>
      <x:c r="O1287" s="20" t="n">
        <x:f>IF(K1287="הכנסה שסווגה מחדש",-G1287,0)</x:f>
        <x:v>0</x:v>
      </x:c>
      <x:c r="P1287" s="11" t="str">
        <x:v>אמקס עינור</x:v>
      </x:c>
      <x:c r="Q1287" s="11" t="str"/>
      <x:c r="R1287" s="11" t="str">
        <x:v>לא</x:v>
      </x:c>
    </x:row>
    <x:row r="1288">
      <x:c r="A1288" s="14" t="n">
        <x:v>46023</x:v>
      </x:c>
      <x:c r="B1288" s="11" t="str">
        <x:v>2026-01</x:v>
      </x:c>
      <x:c r="C1288" s="11" t="str">
        <x:v>ינואר 26</x:v>
      </x:c>
      <x:c r="D1288" s="15" t="n">
        <x:v>75</x:v>
      </x:c>
      <x:c r="E1288" s="11" t="str">
        <x:v>21</x:v>
      </x:c>
      <x:c r="F1288" s="11" t="str">
        <x:v>גבות</x:v>
      </x:c>
      <x:c r="G1288" s="17" t="n">
        <x:v>60</x:v>
      </x:c>
      <x:c r="H1288" s="18" t="str">
        <x:v>קוסמטיקה</x:v>
      </x:c>
      <x:c r="I1288" s="19" t="str">
        <x:f>IFERROR(INDEX('מיפוי ומקורות'!$C$7:$C$33,MATCH(H1288,'מיפוי ומקורות'!$B$7:$B$33,0)),"לא מסווג")</x:f>
        <x:v>קוסמטיקה</x:v>
      </x:c>
      <x:c r="J1288" s="19" t="str">
        <x:f>IFERROR(INDEX('מיפוי ומקורות'!$D$7:$D$33,MATCH(H1288,'מיפוי ומקורות'!$B$7:$B$33,0)),"שוטף")</x:f>
        <x:v>שוטף</x:v>
      </x:c>
      <x:c r="K1288" s="19" t="str">
        <x:f>IF(OR(H1288="ריביות",AND(H1288="דירה כצנלסון",G1288&lt;0,ISNUMBER(SEARCH("הכנסה",F1288)))),"הכנסה שסווגה מחדש",J1288)</x:f>
        <x:v>שוטף</x:v>
      </x:c>
      <x:c r="L1288" s="19" t="str">
        <x:v>מאושר</x:v>
      </x:c>
      <x:c r="M1288" s="20" t="n">
        <x:f>IF(L1288="מאושר",IF(K1288="הכנסה שסווגה מחדש",0,G1288),0)</x:f>
        <x:v>60</x:v>
      </x:c>
      <x:c r="N1288" s="20" t="n">
        <x:f>IF(K1288="שוטף",M1288,0)</x:f>
        <x:v>60</x:v>
      </x:c>
      <x:c r="O1288" s="20" t="n">
        <x:f>IF(K1288="הכנסה שסווגה מחדש",-G1288,0)</x:f>
        <x:v>0</x:v>
      </x:c>
      <x:c r="P1288" s="11" t="str">
        <x:v>אמקס עינור</x:v>
      </x:c>
      <x:c r="Q1288" s="11" t="str"/>
      <x:c r="R1288" s="11" t="str">
        <x:v>לא</x:v>
      </x:c>
    </x:row>
    <x:row r="1289">
      <x:c r="A1289" s="14" t="n">
        <x:v>46023</x:v>
      </x:c>
      <x:c r="B1289" s="11" t="str">
        <x:v>2026-01</x:v>
      </x:c>
      <x:c r="C1289" s="11" t="str">
        <x:v>ינואר 26</x:v>
      </x:c>
      <x:c r="D1289" s="15" t="n">
        <x:v>76</x:v>
      </x:c>
      <x:c r="E1289" s="11" t="str">
        <x:v>21</x:v>
      </x:c>
      <x:c r="F1289" s="11" t="str">
        <x:v>גוגל</x:v>
      </x:c>
      <x:c r="G1289" s="17" t="n">
        <x:v>80</x:v>
      </x:c>
      <x:c r="H1289" s="18" t="str">
        <x:v>אלקטרוניקה</x:v>
      </x:c>
      <x:c r="I1289" s="19" t="str">
        <x:f>IFERROR(INDEX('מיפוי ומקורות'!$C$7:$C$33,MATCH(H1289,'מיפוי ומקורות'!$B$7:$B$33,0)),"לא מסווג")</x:f>
        <x:v>אלקטרוניקה</x:v>
      </x:c>
      <x:c r="J1289" s="19" t="str">
        <x:f>IFERROR(INDEX('מיפוי ומקורות'!$D$7:$D$33,MATCH(H1289,'מיפוי ומקורות'!$B$7:$B$33,0)),"שוטף")</x:f>
        <x:v>שוטף</x:v>
      </x:c>
      <x:c r="K1289" s="19" t="str">
        <x:f>IF(OR(H1289="ריביות",AND(H1289="דירה כצנלסון",G1289&lt;0,ISNUMBER(SEARCH("הכנסה",F1289)))),"הכנסה שסווגה מחדש",J1289)</x:f>
        <x:v>שוטף</x:v>
      </x:c>
      <x:c r="L1289" s="19" t="str">
        <x:v>מאושר</x:v>
      </x:c>
      <x:c r="M1289" s="20" t="n">
        <x:f>IF(L1289="מאושר",IF(K1289="הכנסה שסווגה מחדש",0,G1289),0)</x:f>
        <x:v>80</x:v>
      </x:c>
      <x:c r="N1289" s="20" t="n">
        <x:f>IF(K1289="שוטף",M1289,0)</x:f>
        <x:v>80</x:v>
      </x:c>
      <x:c r="O1289" s="20" t="n">
        <x:f>IF(K1289="הכנסה שסווגה מחדש",-G1289,0)</x:f>
        <x:v>0</x:v>
      </x:c>
      <x:c r="P1289" s="11" t="str">
        <x:v>אמקס עינור</x:v>
      </x:c>
      <x:c r="Q1289" s="11" t="str"/>
      <x:c r="R1289" s="11" t="str">
        <x:v>לא</x:v>
      </x:c>
    </x:row>
    <x:row r="1290">
      <x:c r="A1290" s="14" t="n">
        <x:v>46023</x:v>
      </x:c>
      <x:c r="B1290" s="11" t="str">
        <x:v>2026-01</x:v>
      </x:c>
      <x:c r="C1290" s="11" t="str">
        <x:v>ינואר 26</x:v>
      </x:c>
      <x:c r="D1290" s="15" t="n">
        <x:v>78</x:v>
      </x:c>
      <x:c r="E1290" s="11" t="str">
        <x:v>24</x:v>
      </x:c>
      <x:c r="F1290" s="11" t="str">
        <x:v>הודיס</x:v>
      </x:c>
      <x:c r="G1290" s="17" t="n">
        <x:v>150</x:v>
      </x:c>
      <x:c r="H1290" s="18" t="str">
        <x:v>אופנה</x:v>
      </x:c>
      <x:c r="I1290" s="19" t="str">
        <x:f>IFERROR(INDEX('מיפוי ומקורות'!$C$7:$C$33,MATCH(H1290,'מיפוי ומקורות'!$B$7:$B$33,0)),"לא מסווג")</x:f>
        <x:v>אופנה</x:v>
      </x:c>
      <x:c r="J1290" s="19" t="str">
        <x:f>IFERROR(INDEX('מיפוי ומקורות'!$D$7:$D$33,MATCH(H1290,'מיפוי ומקורות'!$B$7:$B$33,0)),"שוטף")</x:f>
        <x:v>שוטף</x:v>
      </x:c>
      <x:c r="K1290" s="19" t="str">
        <x:f>IF(OR(H1290="ריביות",AND(H1290="דירה כצנלסון",G1290&lt;0,ISNUMBER(SEARCH("הכנסה",F1290)))),"הכנסה שסווגה מחדש",J1290)</x:f>
        <x:v>שוטף</x:v>
      </x:c>
      <x:c r="L1290" s="19" t="str">
        <x:v>מאושר</x:v>
      </x:c>
      <x:c r="M1290" s="20" t="n">
        <x:f>IF(L1290="מאושר",IF(K1290="הכנסה שסווגה מחדש",0,G1290),0)</x:f>
        <x:v>150</x:v>
      </x:c>
      <x:c r="N1290" s="20" t="n">
        <x:f>IF(K1290="שוטף",M1290,0)</x:f>
        <x:v>150</x:v>
      </x:c>
      <x:c r="O1290" s="20" t="n">
        <x:f>IF(K1290="הכנסה שסווגה מחדש",-G1290,0)</x:f>
        <x:v>0</x:v>
      </x:c>
      <x:c r="P1290" s="11" t="str">
        <x:v>אמקס עינור</x:v>
      </x:c>
      <x:c r="Q1290" s="11" t="str"/>
      <x:c r="R1290" s="11" t="str">
        <x:v>לא</x:v>
      </x:c>
    </x:row>
    <x:row r="1291">
      <x:c r="A1291" s="14" t="n">
        <x:v>46023</x:v>
      </x:c>
      <x:c r="B1291" s="11" t="str">
        <x:v>2026-01</x:v>
      </x:c>
      <x:c r="C1291" s="11" t="str">
        <x:v>ינואר 26</x:v>
      </x:c>
      <x:c r="D1291" s="15" t="n">
        <x:v>79</x:v>
      </x:c>
      <x:c r="E1291" s="11" t="str">
        <x:v>24</x:v>
      </x:c>
      <x:c r="F1291" s="11" t="str">
        <x:v>תחתונים</x:v>
      </x:c>
      <x:c r="G1291" s="17" t="n">
        <x:v>70</x:v>
      </x:c>
      <x:c r="H1291" s="18" t="str">
        <x:v>אופנה</x:v>
      </x:c>
      <x:c r="I1291" s="19" t="str">
        <x:f>IFERROR(INDEX('מיפוי ומקורות'!$C$7:$C$33,MATCH(H1291,'מיפוי ומקורות'!$B$7:$B$33,0)),"לא מסווג")</x:f>
        <x:v>אופנה</x:v>
      </x:c>
      <x:c r="J1291" s="19" t="str">
        <x:f>IFERROR(INDEX('מיפוי ומקורות'!$D$7:$D$33,MATCH(H1291,'מיפוי ומקורות'!$B$7:$B$33,0)),"שוטף")</x:f>
        <x:v>שוטף</x:v>
      </x:c>
      <x:c r="K1291" s="19" t="str">
        <x:f>IF(OR(H1291="ריביות",AND(H1291="דירה כצנלסון",G1291&lt;0,ISNUMBER(SEARCH("הכנסה",F1291)))),"הכנסה שסווגה מחדש",J1291)</x:f>
        <x:v>שוטף</x:v>
      </x:c>
      <x:c r="L1291" s="19" t="str">
        <x:v>מאושר</x:v>
      </x:c>
      <x:c r="M1291" s="20" t="n">
        <x:f>IF(L1291="מאושר",IF(K1291="הכנסה שסווגה מחדש",0,G1291),0)</x:f>
        <x:v>70</x:v>
      </x:c>
      <x:c r="N1291" s="20" t="n">
        <x:f>IF(K1291="שוטף",M1291,0)</x:f>
        <x:v>70</x:v>
      </x:c>
      <x:c r="O1291" s="20" t="n">
        <x:f>IF(K1291="הכנסה שסווגה מחדש",-G1291,0)</x:f>
        <x:v>0</x:v>
      </x:c>
      <x:c r="P1291" s="11" t="str">
        <x:v>אמקס עינור</x:v>
      </x:c>
      <x:c r="Q1291" s="11" t="str"/>
      <x:c r="R1291" s="11" t="str">
        <x:v>לא</x:v>
      </x:c>
    </x:row>
    <x:row r="1292">
      <x:c r="A1292" s="14" t="n">
        <x:v>46023</x:v>
      </x:c>
      <x:c r="B1292" s="11" t="str">
        <x:v>2026-01</x:v>
      </x:c>
      <x:c r="C1292" s="11" t="str">
        <x:v>ינואר 26</x:v>
      </x:c>
      <x:c r="D1292" s="15" t="n">
        <x:v>80</x:v>
      </x:c>
      <x:c r="E1292" s="11" t="str">
        <x:v>24</x:v>
      </x:c>
      <x:c r="F1292" s="11" t="str">
        <x:v>אמריקן איגל</x:v>
      </x:c>
      <x:c r="G1292" s="17" t="n">
        <x:v>211</x:v>
      </x:c>
      <x:c r="H1292" s="18" t="str">
        <x:v>אופנה</x:v>
      </x:c>
      <x:c r="I1292" s="19" t="str">
        <x:f>IFERROR(INDEX('מיפוי ומקורות'!$C$7:$C$33,MATCH(H1292,'מיפוי ומקורות'!$B$7:$B$33,0)),"לא מסווג")</x:f>
        <x:v>אופנה</x:v>
      </x:c>
      <x:c r="J1292" s="19" t="str">
        <x:f>IFERROR(INDEX('מיפוי ומקורות'!$D$7:$D$33,MATCH(H1292,'מיפוי ומקורות'!$B$7:$B$33,0)),"שוטף")</x:f>
        <x:v>שוטף</x:v>
      </x:c>
      <x:c r="K1292" s="19" t="str">
        <x:f>IF(OR(H1292="ריביות",AND(H1292="דירה כצנלסון",G1292&lt;0,ISNUMBER(SEARCH("הכנסה",F1292)))),"הכנסה שסווגה מחדש",J1292)</x:f>
        <x:v>שוטף</x:v>
      </x:c>
      <x:c r="L1292" s="19" t="str">
        <x:v>מאושר</x:v>
      </x:c>
      <x:c r="M1292" s="20" t="n">
        <x:f>IF(L1292="מאושר",IF(K1292="הכנסה שסווגה מחדש",0,G1292),0)</x:f>
        <x:v>211</x:v>
      </x:c>
      <x:c r="N1292" s="20" t="n">
        <x:f>IF(K1292="שוטף",M1292,0)</x:f>
        <x:v>211</x:v>
      </x:c>
      <x:c r="O1292" s="20" t="n">
        <x:f>IF(K1292="הכנסה שסווגה מחדש",-G1292,0)</x:f>
        <x:v>0</x:v>
      </x:c>
      <x:c r="P1292" s="11" t="str">
        <x:v>אמקס עינור</x:v>
      </x:c>
      <x:c r="Q1292" s="11" t="str"/>
      <x:c r="R1292" s="11" t="str">
        <x:v>לא</x:v>
      </x:c>
    </x:row>
    <x:row r="1293">
      <x:c r="A1293" s="14" t="n">
        <x:v>46023</x:v>
      </x:c>
      <x:c r="B1293" s="11" t="str">
        <x:v>2026-01</x:v>
      </x:c>
      <x:c r="C1293" s="11" t="str">
        <x:v>ינואר 26</x:v>
      </x:c>
      <x:c r="D1293" s="15" t="n">
        <x:v>81</x:v>
      </x:c>
      <x:c r="E1293" s="11" t="str">
        <x:v>24</x:v>
      </x:c>
      <x:c r="F1293" s="11" t="str">
        <x:v>אמריקן איגל</x:v>
      </x:c>
      <x:c r="G1293" s="17" t="n">
        <x:v>104</x:v>
      </x:c>
      <x:c r="H1293" s="18" t="str">
        <x:v>אופנה</x:v>
      </x:c>
      <x:c r="I1293" s="19" t="str">
        <x:f>IFERROR(INDEX('מיפוי ומקורות'!$C$7:$C$33,MATCH(H1293,'מיפוי ומקורות'!$B$7:$B$33,0)),"לא מסווג")</x:f>
        <x:v>אופנה</x:v>
      </x:c>
      <x:c r="J1293" s="19" t="str">
        <x:f>IFERROR(INDEX('מיפוי ומקורות'!$D$7:$D$33,MATCH(H1293,'מיפוי ומקורות'!$B$7:$B$33,0)),"שוטף")</x:f>
        <x:v>שוטף</x:v>
      </x:c>
      <x:c r="K1293" s="19" t="str">
        <x:f>IF(OR(H1293="ריביות",AND(H1293="דירה כצנלסון",G1293&lt;0,ISNUMBER(SEARCH("הכנסה",F1293)))),"הכנסה שסווגה מחדש",J1293)</x:f>
        <x:v>שוטף</x:v>
      </x:c>
      <x:c r="L1293" s="19" t="str">
        <x:v>מאושר</x:v>
      </x:c>
      <x:c r="M1293" s="20" t="n">
        <x:f>IF(L1293="מאושר",IF(K1293="הכנסה שסווגה מחדש",0,G1293),0)</x:f>
        <x:v>104</x:v>
      </x:c>
      <x:c r="N1293" s="20" t="n">
        <x:f>IF(K1293="שוטף",M1293,0)</x:f>
        <x:v>104</x:v>
      </x:c>
      <x:c r="O1293" s="20" t="n">
        <x:f>IF(K1293="הכנסה שסווגה מחדש",-G1293,0)</x:f>
        <x:v>0</x:v>
      </x:c>
      <x:c r="P1293" s="11" t="str">
        <x:v>אמקס עינור</x:v>
      </x:c>
      <x:c r="Q1293" s="11" t="str"/>
      <x:c r="R1293" s="11" t="str">
        <x:v>לא</x:v>
      </x:c>
    </x:row>
    <x:row r="1294">
      <x:c r="A1294" s="14" t="n">
        <x:v>46023</x:v>
      </x:c>
      <x:c r="B1294" s="11" t="str">
        <x:v>2026-01</x:v>
      </x:c>
      <x:c r="C1294" s="11" t="str">
        <x:v>ינואר 26</x:v>
      </x:c>
      <x:c r="D1294" s="15" t="n">
        <x:v>82</x:v>
      </x:c>
      <x:c r="E1294" s="11" t="str">
        <x:v>24</x:v>
      </x:c>
      <x:c r="F1294" s="11" t="str">
        <x:v>אלי</x:v>
      </x:c>
      <x:c r="G1294" s="17" t="n">
        <x:v>56</x:v>
      </x:c>
      <x:c r="H1294" s="18" t="str">
        <x:v>קניות לבית</x:v>
      </x:c>
      <x:c r="I1294" s="19" t="str">
        <x:f>IFERROR(INDEX('מיפוי ומקורות'!$C$7:$C$33,MATCH(H1294,'מיפוי ומקורות'!$B$7:$B$33,0)),"לא מסווג")</x:f>
        <x:v>קניות לבית</x:v>
      </x:c>
      <x:c r="J1294" s="19" t="str">
        <x:f>IFERROR(INDEX('מיפוי ומקורות'!$D$7:$D$33,MATCH(H1294,'מיפוי ומקורות'!$B$7:$B$33,0)),"שוטף")</x:f>
        <x:v>שוטף</x:v>
      </x:c>
      <x:c r="K1294" s="19" t="str">
        <x:f>IF(OR(H1294="ריביות",AND(H1294="דירה כצנלסון",G1294&lt;0,ISNUMBER(SEARCH("הכנסה",F1294)))),"הכנסה שסווגה מחדש",J1294)</x:f>
        <x:v>שוטף</x:v>
      </x:c>
      <x:c r="L1294" s="19" t="str">
        <x:v>מאושר</x:v>
      </x:c>
      <x:c r="M1294" s="20" t="n">
        <x:f>IF(L1294="מאושר",IF(K1294="הכנסה שסווגה מחדש",0,G1294),0)</x:f>
        <x:v>56</x:v>
      </x:c>
      <x:c r="N1294" s="20" t="n">
        <x:f>IF(K1294="שוטף",M1294,0)</x:f>
        <x:v>56</x:v>
      </x:c>
      <x:c r="O1294" s="20" t="n">
        <x:f>IF(K1294="הכנסה שסווגה מחדש",-G1294,0)</x:f>
        <x:v>0</x:v>
      </x:c>
      <x:c r="P1294" s="11" t="str">
        <x:v>אמקס עינור</x:v>
      </x:c>
      <x:c r="Q1294" s="11" t="str"/>
      <x:c r="R1294" s="11" t="str">
        <x:v>לא</x:v>
      </x:c>
    </x:row>
    <x:row r="1295">
      <x:c r="A1295" s="14" t="n">
        <x:v>46023</x:v>
      </x:c>
      <x:c r="B1295" s="11" t="str">
        <x:v>2026-01</x:v>
      </x:c>
      <x:c r="C1295" s="11" t="str">
        <x:v>ינואר 26</x:v>
      </x:c>
      <x:c r="D1295" s="15" t="n">
        <x:v>83</x:v>
      </x:c>
      <x:c r="E1295" s="11" t="str">
        <x:v>27</x:v>
      </x:c>
      <x:c r="F1295" s="11" t="str">
        <x:v>סופר</x:v>
      </x:c>
      <x:c r="G1295" s="17" t="n">
        <x:v>972</x:v>
      </x:c>
      <x:c r="H1295" s="18" t="str">
        <x:v>מזון לבית</x:v>
      </x:c>
      <x:c r="I1295" s="19" t="str">
        <x:f>IFERROR(INDEX('מיפוי ומקורות'!$C$7:$C$33,MATCH(H1295,'מיפוי ומקורות'!$B$7:$B$33,0)),"לא מסווג")</x:f>
        <x:v>מזון לבית</x:v>
      </x:c>
      <x:c r="J1295" s="19" t="str">
        <x:f>IFERROR(INDEX('מיפוי ומקורות'!$D$7:$D$33,MATCH(H1295,'מיפוי ומקורות'!$B$7:$B$33,0)),"שוטף")</x:f>
        <x:v>שוטף</x:v>
      </x:c>
      <x:c r="K1295" s="19" t="str">
        <x:f>IF(OR(H1295="ריביות",AND(H1295="דירה כצנלסון",G1295&lt;0,ISNUMBER(SEARCH("הכנסה",F1295)))),"הכנסה שסווגה מחדש",J1295)</x:f>
        <x:v>שוטף</x:v>
      </x:c>
      <x:c r="L1295" s="19" t="str">
        <x:v>מאושר</x:v>
      </x:c>
      <x:c r="M1295" s="20" t="n">
        <x:f>IF(L1295="מאושר",IF(K1295="הכנסה שסווגה מחדש",0,G1295),0)</x:f>
        <x:v>972</x:v>
      </x:c>
      <x:c r="N1295" s="20" t="n">
        <x:f>IF(K1295="שוטף",M1295,0)</x:f>
        <x:v>972</x:v>
      </x:c>
      <x:c r="O1295" s="20" t="n">
        <x:f>IF(K1295="הכנסה שסווגה מחדש",-G1295,0)</x:f>
        <x:v>0</x:v>
      </x:c>
      <x:c r="P1295" s="11" t="str">
        <x:v>אמקס עינור</x:v>
      </x:c>
      <x:c r="Q1295" s="11" t="str"/>
      <x:c r="R1295" s="11" t="str">
        <x:v>לא</x:v>
      </x:c>
    </x:row>
    <x:row r="1296">
      <x:c r="A1296" s="14" t="n">
        <x:v>46023</x:v>
      </x:c>
      <x:c r="B1296" s="11" t="str">
        <x:v>2026-01</x:v>
      </x:c>
      <x:c r="C1296" s="11" t="str">
        <x:v>ינואר 26</x:v>
      </x:c>
      <x:c r="D1296" s="15" t="n">
        <x:v>84</x:v>
      </x:c>
      <x:c r="E1296" s="11" t="str">
        <x:v>28</x:v>
      </x:c>
      <x:c r="F1296" s="11" t="str">
        <x:v>סופר</x:v>
      </x:c>
      <x:c r="G1296" s="17" t="n">
        <x:v>19</x:v>
      </x:c>
      <x:c r="H1296" s="18" t="str">
        <x:v>מזון לבית</x:v>
      </x:c>
      <x:c r="I1296" s="19" t="str">
        <x:f>IFERROR(INDEX('מיפוי ומקורות'!$C$7:$C$33,MATCH(H1296,'מיפוי ומקורות'!$B$7:$B$33,0)),"לא מסווג")</x:f>
        <x:v>מזון לבית</x:v>
      </x:c>
      <x:c r="J1296" s="19" t="str">
        <x:f>IFERROR(INDEX('מיפוי ומקורות'!$D$7:$D$33,MATCH(H1296,'מיפוי ומקורות'!$B$7:$B$33,0)),"שוטף")</x:f>
        <x:v>שוטף</x:v>
      </x:c>
      <x:c r="K1296" s="19" t="str">
        <x:f>IF(OR(H1296="ריביות",AND(H1296="דירה כצנלסון",G1296&lt;0,ISNUMBER(SEARCH("הכנסה",F1296)))),"הכנסה שסווגה מחדש",J1296)</x:f>
        <x:v>שוטף</x:v>
      </x:c>
      <x:c r="L1296" s="19" t="str">
        <x:v>מאושר</x:v>
      </x:c>
      <x:c r="M1296" s="20" t="n">
        <x:f>IF(L1296="מאושר",IF(K1296="הכנסה שסווגה מחדש",0,G1296),0)</x:f>
        <x:v>19</x:v>
      </x:c>
      <x:c r="N1296" s="20" t="n">
        <x:f>IF(K1296="שוטף",M1296,0)</x:f>
        <x:v>19</x:v>
      </x:c>
      <x:c r="O1296" s="20" t="n">
        <x:f>IF(K1296="הכנסה שסווגה מחדש",-G1296,0)</x:f>
        <x:v>0</x:v>
      </x:c>
      <x:c r="P1296" s="11" t="str">
        <x:v>אמקס עינור</x:v>
      </x:c>
      <x:c r="Q1296" s="11" t="str"/>
      <x:c r="R1296" s="11" t="str">
        <x:v>לא</x:v>
      </x:c>
    </x:row>
    <x:row r="1297">
      <x:c r="A1297" s="14" t="n">
        <x:v>46023</x:v>
      </x:c>
      <x:c r="B1297" s="11" t="str">
        <x:v>2026-01</x:v>
      </x:c>
      <x:c r="C1297" s="11" t="str">
        <x:v>ינואר 26</x:v>
      </x:c>
      <x:c r="D1297" s="15" t="n">
        <x:v>85</x:v>
      </x:c>
      <x:c r="E1297" s="11" t="str">
        <x:v>29</x:v>
      </x:c>
      <x:c r="F1297" s="11" t="str">
        <x:v>ירקן</x:v>
      </x:c>
      <x:c r="G1297" s="17" t="n">
        <x:v>77</x:v>
      </x:c>
      <x:c r="H1297" s="18" t="str">
        <x:v>מזון לבית</x:v>
      </x:c>
      <x:c r="I1297" s="19" t="str">
        <x:f>IFERROR(INDEX('מיפוי ומקורות'!$C$7:$C$33,MATCH(H1297,'מיפוי ומקורות'!$B$7:$B$33,0)),"לא מסווג")</x:f>
        <x:v>מזון לבית</x:v>
      </x:c>
      <x:c r="J1297" s="19" t="str">
        <x:f>IFERROR(INDEX('מיפוי ומקורות'!$D$7:$D$33,MATCH(H1297,'מיפוי ומקורות'!$B$7:$B$33,0)),"שוטף")</x:f>
        <x:v>שוטף</x:v>
      </x:c>
      <x:c r="K1297" s="19" t="str">
        <x:f>IF(OR(H1297="ריביות",AND(H1297="דירה כצנלסון",G1297&lt;0,ISNUMBER(SEARCH("הכנסה",F1297)))),"הכנסה שסווגה מחדש",J1297)</x:f>
        <x:v>שוטף</x:v>
      </x:c>
      <x:c r="L1297" s="19" t="str">
        <x:v>מאושר</x:v>
      </x:c>
      <x:c r="M1297" s="20" t="n">
        <x:f>IF(L1297="מאושר",IF(K1297="הכנסה שסווגה מחדש",0,G1297),0)</x:f>
        <x:v>77</x:v>
      </x:c>
      <x:c r="N1297" s="20" t="n">
        <x:f>IF(K1297="שוטף",M1297,0)</x:f>
        <x:v>77</x:v>
      </x:c>
      <x:c r="O1297" s="20" t="n">
        <x:f>IF(K1297="הכנסה שסווגה מחדש",-G1297,0)</x:f>
        <x:v>0</x:v>
      </x:c>
      <x:c r="P1297" s="11" t="str">
        <x:v>אמקס עינור</x:v>
      </x:c>
      <x:c r="Q1297" s="11" t="str"/>
      <x:c r="R1297" s="11" t="str">
        <x:v>לא</x:v>
      </x:c>
    </x:row>
    <x:row r="1298">
      <x:c r="A1298" s="14" t="n">
        <x:v>46023</x:v>
      </x:c>
      <x:c r="B1298" s="11" t="str">
        <x:v>2026-01</x:v>
      </x:c>
      <x:c r="C1298" s="11" t="str">
        <x:v>ינואר 26</x:v>
      </x:c>
      <x:c r="D1298" s="15" t="n">
        <x:v>86</x:v>
      </x:c>
      <x:c r="E1298" s="11" t="str">
        <x:v>29</x:v>
      </x:c>
      <x:c r="F1298" s="11" t="str">
        <x:v>סיסטרס</x:v>
      </x:c>
      <x:c r="G1298" s="17" t="n">
        <x:v>736</x:v>
      </x:c>
      <x:c r="H1298" s="18" t="str">
        <x:v>טיפולים</x:v>
      </x:c>
      <x:c r="I1298" s="19" t="str">
        <x:f>IFERROR(INDEX('מיפוי ומקורות'!$C$7:$C$33,MATCH(H1298,'מיפוי ומקורות'!$B$7:$B$33,0)),"לא מסווג")</x:f>
        <x:v>בריאות וטיפולים</x:v>
      </x:c>
      <x:c r="J1298" s="19" t="str">
        <x:f>IFERROR(INDEX('מיפוי ומקורות'!$D$7:$D$33,MATCH(H1298,'מיפוי ומקורות'!$B$7:$B$33,0)),"שוטף")</x:f>
        <x:v>שוטף</x:v>
      </x:c>
      <x:c r="K1298" s="19" t="str">
        <x:f>IF(OR(H1298="ריביות",AND(H1298="דירה כצנלסון",G1298&lt;0,ISNUMBER(SEARCH("הכנסה",F1298)))),"הכנסה שסווגה מחדש",J1298)</x:f>
        <x:v>שוטף</x:v>
      </x:c>
      <x:c r="L1298" s="19" t="str">
        <x:v>מאושר</x:v>
      </x:c>
      <x:c r="M1298" s="20" t="n">
        <x:f>IF(L1298="מאושר",IF(K1298="הכנסה שסווגה מחדש",0,G1298),0)</x:f>
        <x:v>736</x:v>
      </x:c>
      <x:c r="N1298" s="20" t="n">
        <x:f>IF(K1298="שוטף",M1298,0)</x:f>
        <x:v>736</x:v>
      </x:c>
      <x:c r="O1298" s="20" t="n">
        <x:f>IF(K1298="הכנסה שסווגה מחדש",-G1298,0)</x:f>
        <x:v>0</x:v>
      </x:c>
      <x:c r="P1298" s="11" t="str">
        <x:v>אמקס עינור</x:v>
      </x:c>
      <x:c r="Q1298" s="11" t="str"/>
      <x:c r="R1298" s="11" t="str">
        <x:v>לא</x:v>
      </x:c>
    </x:row>
    <x:row r="1299">
      <x:c r="A1299" s="14" t="n">
        <x:v>46023</x:v>
      </x:c>
      <x:c r="B1299" s="11" t="str">
        <x:v>2026-01</x:v>
      </x:c>
      <x:c r="C1299" s="11" t="str">
        <x:v>ינואר 26</x:v>
      </x:c>
      <x:c r="D1299" s="15" t="n">
        <x:v>87</x:v>
      </x:c>
      <x:c r="E1299" s="11" t="str">
        <x:v>31</x:v>
      </x:c>
      <x:c r="F1299" s="11" t="str">
        <x:v>פליינג טיגר</x:v>
      </x:c>
      <x:c r="G1299" s="17" t="n">
        <x:v>48</x:v>
      </x:c>
      <x:c r="H1299" s="18" t="str">
        <x:v>קניות לבית</x:v>
      </x:c>
      <x:c r="I1299" s="19" t="str">
        <x:f>IFERROR(INDEX('מיפוי ומקורות'!$C$7:$C$33,MATCH(H1299,'מיפוי ומקורות'!$B$7:$B$33,0)),"לא מסווג")</x:f>
        <x:v>קניות לבית</x:v>
      </x:c>
      <x:c r="J1299" s="19" t="str">
        <x:f>IFERROR(INDEX('מיפוי ומקורות'!$D$7:$D$33,MATCH(H1299,'מיפוי ומקורות'!$B$7:$B$33,0)),"שוטף")</x:f>
        <x:v>שוטף</x:v>
      </x:c>
      <x:c r="K1299" s="19" t="str">
        <x:f>IF(OR(H1299="ריביות",AND(H1299="דירה כצנלסון",G1299&lt;0,ISNUMBER(SEARCH("הכנסה",F1299)))),"הכנסה שסווגה מחדש",J1299)</x:f>
        <x:v>שוטף</x:v>
      </x:c>
      <x:c r="L1299" s="19" t="str">
        <x:v>מאושר</x:v>
      </x:c>
      <x:c r="M1299" s="20" t="n">
        <x:f>IF(L1299="מאושר",IF(K1299="הכנסה שסווגה מחדש",0,G1299),0)</x:f>
        <x:v>48</x:v>
      </x:c>
      <x:c r="N1299" s="20" t="n">
        <x:f>IF(K1299="שוטף",M1299,0)</x:f>
        <x:v>48</x:v>
      </x:c>
      <x:c r="O1299" s="20" t="n">
        <x:f>IF(K1299="הכנסה שסווגה מחדש",-G1299,0)</x:f>
        <x:v>0</x:v>
      </x:c>
      <x:c r="P1299" s="11" t="str">
        <x:v>אמקס עינור</x:v>
      </x:c>
      <x:c r="Q1299" s="11" t="str"/>
      <x:c r="R1299" s="11" t="str">
        <x:v>לא</x:v>
      </x:c>
    </x:row>
    <x:row r="1300">
      <x:c r="A1300" s="14" t="n">
        <x:v>46023</x:v>
      </x:c>
      <x:c r="B1300" s="11" t="str">
        <x:v>2026-01</x:v>
      </x:c>
      <x:c r="C1300" s="11" t="str">
        <x:v>ינואר 26</x:v>
      </x:c>
      <x:c r="D1300" s="15" t="n">
        <x:v>88</x:v>
      </x:c>
      <x:c r="E1300" s="11" t="str">
        <x:v>2</x:v>
      </x:c>
      <x:c r="F1300" s="11" t="str">
        <x:v>ירקן</x:v>
      </x:c>
      <x:c r="G1300" s="17" t="n">
        <x:v>57</x:v>
      </x:c>
      <x:c r="H1300" s="18" t="str">
        <x:v>מזון לבית</x:v>
      </x:c>
      <x:c r="I1300" s="19" t="str">
        <x:f>IFERROR(INDEX('מיפוי ומקורות'!$C$7:$C$33,MATCH(H1300,'מיפוי ומקורות'!$B$7:$B$33,0)),"לא מסווג")</x:f>
        <x:v>מזון לבית</x:v>
      </x:c>
      <x:c r="J1300" s="19" t="str">
        <x:f>IFERROR(INDEX('מיפוי ומקורות'!$D$7:$D$33,MATCH(H1300,'מיפוי ומקורות'!$B$7:$B$33,0)),"שוטף")</x:f>
        <x:v>שוטף</x:v>
      </x:c>
      <x:c r="K1300" s="19" t="str">
        <x:f>IF(OR(H1300="ריביות",AND(H1300="דירה כצנלסון",G1300&lt;0,ISNUMBER(SEARCH("הכנסה",F1300)))),"הכנסה שסווגה מחדש",J1300)</x:f>
        <x:v>שוטף</x:v>
      </x:c>
      <x:c r="L1300" s="19" t="str">
        <x:v>מאושר</x:v>
      </x:c>
      <x:c r="M1300" s="20" t="n">
        <x:f>IF(L1300="מאושר",IF(K1300="הכנסה שסווגה מחדש",0,G1300),0)</x:f>
        <x:v>57</x:v>
      </x:c>
      <x:c r="N1300" s="20" t="n">
        <x:f>IF(K1300="שוטף",M1300,0)</x:f>
        <x:v>57</x:v>
      </x:c>
      <x:c r="O1300" s="20" t="n">
        <x:f>IF(K1300="הכנסה שסווגה מחדש",-G1300,0)</x:f>
        <x:v>0</x:v>
      </x:c>
      <x:c r="P1300" s="11" t="str">
        <x:v>הוט זיו</x:v>
      </x:c>
      <x:c r="Q1300" s="11" t="str"/>
      <x:c r="R1300" s="11" t="str">
        <x:v>לא</x:v>
      </x:c>
    </x:row>
    <x:row r="1301">
      <x:c r="A1301" s="14" t="n">
        <x:v>46023</x:v>
      </x:c>
      <x:c r="B1301" s="11" t="str">
        <x:v>2026-01</x:v>
      </x:c>
      <x:c r="C1301" s="11" t="str">
        <x:v>ינואר 26</x:v>
      </x:c>
      <x:c r="D1301" s="15" t="n">
        <x:v>89</x:v>
      </x:c>
      <x:c r="E1301" s="11" t="str">
        <x:v>8</x:v>
      </x:c>
      <x:c r="F1301" s="11" t="str">
        <x:v>מאפיה</x:v>
      </x:c>
      <x:c r="G1301" s="17" t="n">
        <x:v>6</x:v>
      </x:c>
      <x:c r="H1301" s="18" t="str">
        <x:v>אוכל בחוץ</x:v>
      </x:c>
      <x:c r="I1301" s="19" t="str">
        <x:f>IFERROR(INDEX('מיפוי ומקורות'!$C$7:$C$33,MATCH(H1301,'מיפוי ומקורות'!$B$7:$B$33,0)),"לא מסווג")</x:f>
        <x:v>אוכל בחוץ</x:v>
      </x:c>
      <x:c r="J1301" s="19" t="str">
        <x:f>IFERROR(INDEX('מיפוי ומקורות'!$D$7:$D$33,MATCH(H1301,'מיפוי ומקורות'!$B$7:$B$33,0)),"שוטף")</x:f>
        <x:v>שוטף</x:v>
      </x:c>
      <x:c r="K1301" s="19" t="str">
        <x:f>IF(OR(H1301="ריביות",AND(H1301="דירה כצנלסון",G1301&lt;0,ISNUMBER(SEARCH("הכנסה",F1301)))),"הכנסה שסווגה מחדש",J1301)</x:f>
        <x:v>שוטף</x:v>
      </x:c>
      <x:c r="L1301" s="19" t="str">
        <x:v>מאושר</x:v>
      </x:c>
      <x:c r="M1301" s="20" t="n">
        <x:f>IF(L1301="מאושר",IF(K1301="הכנסה שסווגה מחדש",0,G1301),0)</x:f>
        <x:v>6</x:v>
      </x:c>
      <x:c r="N1301" s="20" t="n">
        <x:f>IF(K1301="שוטף",M1301,0)</x:f>
        <x:v>6</x:v>
      </x:c>
      <x:c r="O1301" s="20" t="n">
        <x:f>IF(K1301="הכנסה שסווגה מחדש",-G1301,0)</x:f>
        <x:v>0</x:v>
      </x:c>
      <x:c r="P1301" s="11" t="str">
        <x:v>מקס עינור</x:v>
      </x:c>
      <x:c r="Q1301" s="11" t="str"/>
      <x:c r="R1301" s="11" t="str">
        <x:v>לא</x:v>
      </x:c>
    </x:row>
    <x:row r="1302">
      <x:c r="A1302" s="14" t="n">
        <x:v>46023</x:v>
      </x:c>
      <x:c r="B1302" s="11" t="str">
        <x:v>2026-01</x:v>
      </x:c>
      <x:c r="C1302" s="11" t="str">
        <x:v>ינואר 26</x:v>
      </x:c>
      <x:c r="D1302" s="15" t="n">
        <x:v>90</x:v>
      </x:c>
      <x:c r="E1302" s="11" t="str">
        <x:v>12</x:v>
      </x:c>
      <x:c r="F1302" s="11" t="str">
        <x:v>שיער</x:v>
      </x:c>
      <x:c r="G1302" s="17" t="n">
        <x:v>207</x:v>
      </x:c>
      <x:c r="H1302" s="18" t="str">
        <x:v>קוסמטיקה</x:v>
      </x:c>
      <x:c r="I1302" s="19" t="str">
        <x:f>IFERROR(INDEX('מיפוי ומקורות'!$C$7:$C$33,MATCH(H1302,'מיפוי ומקורות'!$B$7:$B$33,0)),"לא מסווג")</x:f>
        <x:v>קוסמטיקה</x:v>
      </x:c>
      <x:c r="J1302" s="19" t="str">
        <x:f>IFERROR(INDEX('מיפוי ומקורות'!$D$7:$D$33,MATCH(H1302,'מיפוי ומקורות'!$B$7:$B$33,0)),"שוטף")</x:f>
        <x:v>שוטף</x:v>
      </x:c>
      <x:c r="K1302" s="19" t="str">
        <x:f>IF(OR(H1302="ריביות",AND(H1302="דירה כצנלסון",G1302&lt;0,ISNUMBER(SEARCH("הכנסה",F1302)))),"הכנסה שסווגה מחדש",J1302)</x:f>
        <x:v>שוטף</x:v>
      </x:c>
      <x:c r="L1302" s="19" t="str">
        <x:v>מאושר</x:v>
      </x:c>
      <x:c r="M1302" s="20" t="n">
        <x:f>IF(L1302="מאושר",IF(K1302="הכנסה שסווגה מחדש",0,G1302),0)</x:f>
        <x:v>207</x:v>
      </x:c>
      <x:c r="N1302" s="20" t="n">
        <x:f>IF(K1302="שוטף",M1302,0)</x:f>
        <x:v>207</x:v>
      </x:c>
      <x:c r="O1302" s="20" t="n">
        <x:f>IF(K1302="הכנסה שסווגה מחדש",-G1302,0)</x:f>
        <x:v>0</x:v>
      </x:c>
      <x:c r="P1302" s="11" t="str">
        <x:v>מקס עינור</x:v>
      </x:c>
      <x:c r="Q1302" s="11" t="str"/>
      <x:c r="R1302" s="11" t="str">
        <x:v>לא</x:v>
      </x:c>
    </x:row>
    <x:row r="1303">
      <x:c r="A1303" s="14" t="n">
        <x:v>46023</x:v>
      </x:c>
      <x:c r="B1303" s="11" t="str">
        <x:v>2026-01</x:v>
      </x:c>
      <x:c r="C1303" s="11" t="str">
        <x:v>ינואר 26</x:v>
      </x:c>
      <x:c r="D1303" s="15" t="n">
        <x:v>91</x:v>
      </x:c>
      <x:c r="E1303" s="11" t="str">
        <x:v>16</x:v>
      </x:c>
      <x:c r="F1303" s="11" t="str">
        <x:v>לק</x:v>
      </x:c>
      <x:c r="G1303" s="17" t="n">
        <x:v>120</x:v>
      </x:c>
      <x:c r="H1303" s="18" t="str">
        <x:v>קוסמטיקה</x:v>
      </x:c>
      <x:c r="I1303" s="19" t="str">
        <x:f>IFERROR(INDEX('מיפוי ומקורות'!$C$7:$C$33,MATCH(H1303,'מיפוי ומקורות'!$B$7:$B$33,0)),"לא מסווג")</x:f>
        <x:v>קוסמטיקה</x:v>
      </x:c>
      <x:c r="J1303" s="19" t="str">
        <x:f>IFERROR(INDEX('מיפוי ומקורות'!$D$7:$D$33,MATCH(H1303,'מיפוי ומקורות'!$B$7:$B$33,0)),"שוטף")</x:f>
        <x:v>שוטף</x:v>
      </x:c>
      <x:c r="K1303" s="19" t="str">
        <x:f>IF(OR(H1303="ריביות",AND(H1303="דירה כצנלסון",G1303&lt;0,ISNUMBER(SEARCH("הכנסה",F1303)))),"הכנסה שסווגה מחדש",J1303)</x:f>
        <x:v>שוטף</x:v>
      </x:c>
      <x:c r="L1303" s="19" t="str">
        <x:v>מאושר</x:v>
      </x:c>
      <x:c r="M1303" s="20" t="n">
        <x:f>IF(L1303="מאושר",IF(K1303="הכנסה שסווגה מחדש",0,G1303),0)</x:f>
        <x:v>120</x:v>
      </x:c>
      <x:c r="N1303" s="20" t="n">
        <x:f>IF(K1303="שוטף",M1303,0)</x:f>
        <x:v>120</x:v>
      </x:c>
      <x:c r="O1303" s="20" t="n">
        <x:f>IF(K1303="הכנסה שסווגה מחדש",-G1303,0)</x:f>
        <x:v>0</x:v>
      </x:c>
      <x:c r="P1303" s="11" t="str">
        <x:v>מקס עינור</x:v>
      </x:c>
      <x:c r="Q1303" s="11" t="str"/>
      <x:c r="R1303" s="11" t="str">
        <x:v>לא</x:v>
      </x:c>
    </x:row>
    <x:row r="1304">
      <x:c r="A1304" s="14" t="n">
        <x:v>46023</x:v>
      </x:c>
      <x:c r="B1304" s="11" t="str">
        <x:v>2026-01</x:v>
      </x:c>
      <x:c r="C1304" s="11" t="str">
        <x:v>ינואר 26</x:v>
      </x:c>
      <x:c r="D1304" s="15" t="n">
        <x:v>92</x:v>
      </x:c>
      <x:c r="E1304" s="11" t="str">
        <x:v>27</x:v>
      </x:c>
      <x:c r="F1304" s="11" t="str">
        <x:v>חניה</x:v>
      </x:c>
      <x:c r="G1304" s="17" t="n">
        <x:v>24</x:v>
      </x:c>
      <x:c r="H1304" s="18" t="str">
        <x:v>תחבורה</x:v>
      </x:c>
      <x:c r="I1304" s="19" t="str">
        <x:f>IFERROR(INDEX('מיפוי ומקורות'!$C$7:$C$33,MATCH(H1304,'מיפוי ומקורות'!$B$7:$B$33,0)),"לא מסווג")</x:f>
        <x:v>תחבורה</x:v>
      </x:c>
      <x:c r="J1304" s="19" t="str">
        <x:f>IFERROR(INDEX('מיפוי ומקורות'!$D$7:$D$33,MATCH(H1304,'מיפוי ומקורות'!$B$7:$B$33,0)),"שוטף")</x:f>
        <x:v>שוטף</x:v>
      </x:c>
      <x:c r="K1304" s="19" t="str">
        <x:f>IF(OR(H1304="ריביות",AND(H1304="דירה כצנלסון",G1304&lt;0,ISNUMBER(SEARCH("הכנסה",F1304)))),"הכנסה שסווגה מחדש",J1304)</x:f>
        <x:v>שוטף</x:v>
      </x:c>
      <x:c r="L1304" s="19" t="str">
        <x:v>מאושר</x:v>
      </x:c>
      <x:c r="M1304" s="20" t="n">
        <x:f>IF(L1304="מאושר",IF(K1304="הכנסה שסווגה מחדש",0,G1304),0)</x:f>
        <x:v>24</x:v>
      </x:c>
      <x:c r="N1304" s="20" t="n">
        <x:f>IF(K1304="שוטף",M1304,0)</x:f>
        <x:v>24</x:v>
      </x:c>
      <x:c r="O1304" s="20" t="n">
        <x:f>IF(K1304="הכנסה שסווגה מחדש",-G1304,0)</x:f>
        <x:v>0</x:v>
      </x:c>
      <x:c r="P1304" s="11" t="str">
        <x:v>מקס עינור</x:v>
      </x:c>
      <x:c r="Q1304" s="11" t="str"/>
      <x:c r="R1304" s="11" t="str">
        <x:v>לא</x:v>
      </x:c>
    </x:row>
    <x:row r="1305">
      <x:c r="A1305" s="14" t="n">
        <x:v>46023</x:v>
      </x:c>
      <x:c r="B1305" s="11" t="str">
        <x:v>2026-01</x:v>
      </x:c>
      <x:c r="C1305" s="11" t="str">
        <x:v>ינואר 26</x:v>
      </x:c>
      <x:c r="D1305" s="15" t="n">
        <x:v>94</x:v>
      </x:c>
      <x:c r="E1305" s="11" t="str">
        <x:v>2</x:v>
      </x:c>
      <x:c r="F1305" s="11" t="str">
        <x:v>סופר</x:v>
      </x:c>
      <x:c r="G1305" s="17" t="n">
        <x:v>93</x:v>
      </x:c>
      <x:c r="H1305" s="18" t="str">
        <x:v>מזון לבית</x:v>
      </x:c>
      <x:c r="I1305" s="19" t="str">
        <x:f>IFERROR(INDEX('מיפוי ומקורות'!$C$7:$C$33,MATCH(H1305,'מיפוי ומקורות'!$B$7:$B$33,0)),"לא מסווג")</x:f>
        <x:v>מזון לבית</x:v>
      </x:c>
      <x:c r="J1305" s="19" t="str">
        <x:f>IFERROR(INDEX('מיפוי ומקורות'!$D$7:$D$33,MATCH(H1305,'מיפוי ומקורות'!$B$7:$B$33,0)),"שוטף")</x:f>
        <x:v>שוטף</x:v>
      </x:c>
      <x:c r="K1305" s="19" t="str">
        <x:f>IF(OR(H1305="ריביות",AND(H1305="דירה כצנלסון",G1305&lt;0,ISNUMBER(SEARCH("הכנסה",F1305)))),"הכנסה שסווגה מחדש",J1305)</x:f>
        <x:v>שוטף</x:v>
      </x:c>
      <x:c r="L1305" s="19" t="str">
        <x:v>מאושר</x:v>
      </x:c>
      <x:c r="M1305" s="20" t="n">
        <x:f>IF(L1305="מאושר",IF(K1305="הכנסה שסווגה מחדש",0,G1305),0)</x:f>
        <x:v>93</x:v>
      </x:c>
      <x:c r="N1305" s="20" t="n">
        <x:f>IF(K1305="שוטף",M1305,0)</x:f>
        <x:v>93</x:v>
      </x:c>
      <x:c r="O1305" s="20" t="n">
        <x:f>IF(K1305="הכנסה שסווגה מחדש",-G1305,0)</x:f>
        <x:v>0</x:v>
      </x:c>
      <x:c r="P1305" s="11" t="str">
        <x:v>סיבוס עינור</x:v>
      </x:c>
      <x:c r="Q1305" s="11" t="str"/>
      <x:c r="R1305" s="11" t="str">
        <x:v>לא</x:v>
      </x:c>
    </x:row>
    <x:row r="1306">
      <x:c r="A1306" s="14" t="n">
        <x:v>46023</x:v>
      </x:c>
      <x:c r="B1306" s="11" t="str">
        <x:v>2026-01</x:v>
      </x:c>
      <x:c r="C1306" s="11" t="str">
        <x:v>ינואר 26</x:v>
      </x:c>
      <x:c r="D1306" s="15" t="n">
        <x:v>95</x:v>
      </x:c>
      <x:c r="E1306" s="11" t="str">
        <x:v>3</x:v>
      </x:c>
      <x:c r="F1306" s="11" t="str">
        <x:v>מסעדה</x:v>
      </x:c>
      <x:c r="G1306" s="17" t="n">
        <x:v>153</x:v>
      </x:c>
      <x:c r="H1306" s="18" t="str">
        <x:v>אוכל בחוץ</x:v>
      </x:c>
      <x:c r="I1306" s="19" t="str">
        <x:f>IFERROR(INDEX('מיפוי ומקורות'!$C$7:$C$33,MATCH(H1306,'מיפוי ומקורות'!$B$7:$B$33,0)),"לא מסווג")</x:f>
        <x:v>אוכל בחוץ</x:v>
      </x:c>
      <x:c r="J1306" s="19" t="str">
        <x:f>IFERROR(INDEX('מיפוי ומקורות'!$D$7:$D$33,MATCH(H1306,'מיפוי ומקורות'!$B$7:$B$33,0)),"שוטף")</x:f>
        <x:v>שוטף</x:v>
      </x:c>
      <x:c r="K1306" s="19" t="str">
        <x:f>IF(OR(H1306="ריביות",AND(H1306="דירה כצנלסון",G1306&lt;0,ISNUMBER(SEARCH("הכנסה",F1306)))),"הכנסה שסווגה מחדש",J1306)</x:f>
        <x:v>שוטף</x:v>
      </x:c>
      <x:c r="L1306" s="19" t="str">
        <x:v>מאושר</x:v>
      </x:c>
      <x:c r="M1306" s="20" t="n">
        <x:f>IF(L1306="מאושר",IF(K1306="הכנסה שסווגה מחדש",0,G1306),0)</x:f>
        <x:v>153</x:v>
      </x:c>
      <x:c r="N1306" s="20" t="n">
        <x:f>IF(K1306="שוטף",M1306,0)</x:f>
        <x:v>153</x:v>
      </x:c>
      <x:c r="O1306" s="20" t="n">
        <x:f>IF(K1306="הכנסה שסווגה מחדש",-G1306,0)</x:f>
        <x:v>0</x:v>
      </x:c>
      <x:c r="P1306" s="11" t="str">
        <x:v>סיבוס עינור</x:v>
      </x:c>
      <x:c r="Q1306" s="11" t="str"/>
      <x:c r="R1306" s="11" t="str">
        <x:v>לא</x:v>
      </x:c>
    </x:row>
    <x:row r="1307">
      <x:c r="A1307" s="14" t="n">
        <x:v>46023</x:v>
      </x:c>
      <x:c r="B1307" s="11" t="str">
        <x:v>2026-01</x:v>
      </x:c>
      <x:c r="C1307" s="11" t="str">
        <x:v>ינואר 26</x:v>
      </x:c>
      <x:c r="D1307" s="15" t="n">
        <x:v>96</x:v>
      </x:c>
      <x:c r="E1307" s="11" t="str">
        <x:v>9</x:v>
      </x:c>
      <x:c r="F1307" s="11" t="str">
        <x:v>סופר</x:v>
      </x:c>
      <x:c r="G1307" s="17" t="n">
        <x:v>10</x:v>
      </x:c>
      <x:c r="H1307" s="18" t="str">
        <x:v>מזון לבית</x:v>
      </x:c>
      <x:c r="I1307" s="19" t="str">
        <x:f>IFERROR(INDEX('מיפוי ומקורות'!$C$7:$C$33,MATCH(H1307,'מיפוי ומקורות'!$B$7:$B$33,0)),"לא מסווג")</x:f>
        <x:v>מזון לבית</x:v>
      </x:c>
      <x:c r="J1307" s="19" t="str">
        <x:f>IFERROR(INDEX('מיפוי ומקורות'!$D$7:$D$33,MATCH(H1307,'מיפוי ומקורות'!$B$7:$B$33,0)),"שוטף")</x:f>
        <x:v>שוטף</x:v>
      </x:c>
      <x:c r="K1307" s="19" t="str">
        <x:f>IF(OR(H1307="ריביות",AND(H1307="דירה כצנלסון",G1307&lt;0,ISNUMBER(SEARCH("הכנסה",F1307)))),"הכנסה שסווגה מחדש",J1307)</x:f>
        <x:v>שוטף</x:v>
      </x:c>
      <x:c r="L1307" s="19" t="str">
        <x:v>מאושר</x:v>
      </x:c>
      <x:c r="M1307" s="20" t="n">
        <x:f>IF(L1307="מאושר",IF(K1307="הכנסה שסווגה מחדש",0,G1307),0)</x:f>
        <x:v>10</x:v>
      </x:c>
      <x:c r="N1307" s="20" t="n">
        <x:f>IF(K1307="שוטף",M1307,0)</x:f>
        <x:v>10</x:v>
      </x:c>
      <x:c r="O1307" s="20" t="n">
        <x:f>IF(K1307="הכנסה שסווגה מחדש",-G1307,0)</x:f>
        <x:v>0</x:v>
      </x:c>
      <x:c r="P1307" s="11" t="str">
        <x:v>סיבוס עינור</x:v>
      </x:c>
      <x:c r="Q1307" s="11" t="str"/>
      <x:c r="R1307" s="11" t="str">
        <x:v>לא</x:v>
      </x:c>
    </x:row>
    <x:row r="1308">
      <x:c r="A1308" s="14" t="n">
        <x:v>46023</x:v>
      </x:c>
      <x:c r="B1308" s="11" t="str">
        <x:v>2026-01</x:v>
      </x:c>
      <x:c r="C1308" s="11" t="str">
        <x:v>ינואר 26</x:v>
      </x:c>
      <x:c r="D1308" s="15" t="n">
        <x:v>97</x:v>
      </x:c>
      <x:c r="E1308" s="11" t="str">
        <x:v>19</x:v>
      </x:c>
      <x:c r="F1308" s="11" t="str">
        <x:v>מסעדה</x:v>
      </x:c>
      <x:c r="G1308" s="17" t="n">
        <x:v>79</x:v>
      </x:c>
      <x:c r="H1308" s="18" t="str">
        <x:v>אוכל בחוץ</x:v>
      </x:c>
      <x:c r="I1308" s="19" t="str">
        <x:f>IFERROR(INDEX('מיפוי ומקורות'!$C$7:$C$33,MATCH(H1308,'מיפוי ומקורות'!$B$7:$B$33,0)),"לא מסווג")</x:f>
        <x:v>אוכל בחוץ</x:v>
      </x:c>
      <x:c r="J1308" s="19" t="str">
        <x:f>IFERROR(INDEX('מיפוי ומקורות'!$D$7:$D$33,MATCH(H1308,'מיפוי ומקורות'!$B$7:$B$33,0)),"שוטף")</x:f>
        <x:v>שוטף</x:v>
      </x:c>
      <x:c r="K1308" s="19" t="str">
        <x:f>IF(OR(H1308="ריביות",AND(H1308="דירה כצנלסון",G1308&lt;0,ISNUMBER(SEARCH("הכנסה",F1308)))),"הכנסה שסווגה מחדש",J1308)</x:f>
        <x:v>שוטף</x:v>
      </x:c>
      <x:c r="L1308" s="19" t="str">
        <x:v>מאושר</x:v>
      </x:c>
      <x:c r="M1308" s="20" t="n">
        <x:f>IF(L1308="מאושר",IF(K1308="הכנסה שסווגה מחדש",0,G1308),0)</x:f>
        <x:v>79</x:v>
      </x:c>
      <x:c r="N1308" s="20" t="n">
        <x:f>IF(K1308="שוטף",M1308,0)</x:f>
        <x:v>79</x:v>
      </x:c>
      <x:c r="O1308" s="20" t="n">
        <x:f>IF(K1308="הכנסה שסווגה מחדש",-G1308,0)</x:f>
        <x:v>0</x:v>
      </x:c>
      <x:c r="P1308" s="11" t="str">
        <x:v>סיבוס עינור</x:v>
      </x:c>
      <x:c r="Q1308" s="11" t="str"/>
      <x:c r="R1308" s="11" t="str">
        <x:v>לא</x:v>
      </x:c>
    </x:row>
    <x:row r="1309">
      <x:c r="A1309" s="14" t="n">
        <x:v>46023</x:v>
      </x:c>
      <x:c r="B1309" s="11" t="str">
        <x:v>2026-01</x:v>
      </x:c>
      <x:c r="C1309" s="11" t="str">
        <x:v>ינואר 26</x:v>
      </x:c>
      <x:c r="D1309" s="15" t="n">
        <x:v>98</x:v>
      </x:c>
      <x:c r="E1309" s="11" t="str">
        <x:v>20</x:v>
      </x:c>
      <x:c r="F1309" s="11" t="str">
        <x:v>מסעדה</x:v>
      </x:c>
      <x:c r="G1309" s="17" t="n">
        <x:v>217</x:v>
      </x:c>
      <x:c r="H1309" s="18" t="str">
        <x:v>אוכל בחוץ</x:v>
      </x:c>
      <x:c r="I1309" s="19" t="str">
        <x:f>IFERROR(INDEX('מיפוי ומקורות'!$C$7:$C$33,MATCH(H1309,'מיפוי ומקורות'!$B$7:$B$33,0)),"לא מסווג")</x:f>
        <x:v>אוכל בחוץ</x:v>
      </x:c>
      <x:c r="J1309" s="19" t="str">
        <x:f>IFERROR(INDEX('מיפוי ומקורות'!$D$7:$D$33,MATCH(H1309,'מיפוי ומקורות'!$B$7:$B$33,0)),"שוטף")</x:f>
        <x:v>שוטף</x:v>
      </x:c>
      <x:c r="K1309" s="19" t="str">
        <x:f>IF(OR(H1309="ריביות",AND(H1309="דירה כצנלסון",G1309&lt;0,ISNUMBER(SEARCH("הכנסה",F1309)))),"הכנסה שסווגה מחדש",J1309)</x:f>
        <x:v>שוטף</x:v>
      </x:c>
      <x:c r="L1309" s="19" t="str">
        <x:v>מאושר</x:v>
      </x:c>
      <x:c r="M1309" s="20" t="n">
        <x:f>IF(L1309="מאושר",IF(K1309="הכנסה שסווגה מחדש",0,G1309),0)</x:f>
        <x:v>217</x:v>
      </x:c>
      <x:c r="N1309" s="20" t="n">
        <x:f>IF(K1309="שוטף",M1309,0)</x:f>
        <x:v>217</x:v>
      </x:c>
      <x:c r="O1309" s="20" t="n">
        <x:f>IF(K1309="הכנסה שסווגה מחדש",-G1309,0)</x:f>
        <x:v>0</x:v>
      </x:c>
      <x:c r="P1309" s="11" t="str">
        <x:v>סיבוס עינור</x:v>
      </x:c>
      <x:c r="Q1309" s="11" t="str"/>
      <x:c r="R1309" s="11" t="str">
        <x:v>לא</x:v>
      </x:c>
    </x:row>
    <x:row r="1310">
      <x:c r="A1310" s="14" t="n">
        <x:v>46023</x:v>
      </x:c>
      <x:c r="B1310" s="11" t="str">
        <x:v>2026-01</x:v>
      </x:c>
      <x:c r="C1310" s="11" t="str">
        <x:v>ינואר 26</x:v>
      </x:c>
      <x:c r="D1310" s="15" t="n">
        <x:v>99</x:v>
      </x:c>
      <x:c r="E1310" s="11" t="str">
        <x:v>20</x:v>
      </x:c>
      <x:c r="F1310" s="11" t="str">
        <x:v>מסעדה</x:v>
      </x:c>
      <x:c r="G1310" s="17" t="n">
        <x:v>41</x:v>
      </x:c>
      <x:c r="H1310" s="18" t="str">
        <x:v>אוכל בחוץ</x:v>
      </x:c>
      <x:c r="I1310" s="19" t="str">
        <x:f>IFERROR(INDEX('מיפוי ומקורות'!$C$7:$C$33,MATCH(H1310,'מיפוי ומקורות'!$B$7:$B$33,0)),"לא מסווג")</x:f>
        <x:v>אוכל בחוץ</x:v>
      </x:c>
      <x:c r="J1310" s="19" t="str">
        <x:f>IFERROR(INDEX('מיפוי ומקורות'!$D$7:$D$33,MATCH(H1310,'מיפוי ומקורות'!$B$7:$B$33,0)),"שוטף")</x:f>
        <x:v>שוטף</x:v>
      </x:c>
      <x:c r="K1310" s="19" t="str">
        <x:f>IF(OR(H1310="ריביות",AND(H1310="דירה כצנלסון",G1310&lt;0,ISNUMBER(SEARCH("הכנסה",F1310)))),"הכנסה שסווגה מחדש",J1310)</x:f>
        <x:v>שוטף</x:v>
      </x:c>
      <x:c r="L1310" s="19" t="str">
        <x:v>מאושר</x:v>
      </x:c>
      <x:c r="M1310" s="20" t="n">
        <x:f>IF(L1310="מאושר",IF(K1310="הכנסה שסווגה מחדש",0,G1310),0)</x:f>
        <x:v>41</x:v>
      </x:c>
      <x:c r="N1310" s="20" t="n">
        <x:f>IF(K1310="שוטף",M1310,0)</x:f>
        <x:v>41</x:v>
      </x:c>
      <x:c r="O1310" s="20" t="n">
        <x:f>IF(K1310="הכנסה שסווגה מחדש",-G1310,0)</x:f>
        <x:v>0</x:v>
      </x:c>
      <x:c r="P1310" s="11" t="str">
        <x:v>סיבוס עינור</x:v>
      </x:c>
      <x:c r="Q1310" s="11" t="str"/>
      <x:c r="R1310" s="11" t="str">
        <x:v>לא</x:v>
      </x:c>
    </x:row>
    <x:row r="1311">
      <x:c r="A1311" s="14" t="n">
        <x:v>46023</x:v>
      </x:c>
      <x:c r="B1311" s="11" t="str">
        <x:v>2026-01</x:v>
      </x:c>
      <x:c r="C1311" s="11" t="str">
        <x:v>ינואר 26</x:v>
      </x:c>
      <x:c r="D1311" s="15" t="n">
        <x:v>100</x:v>
      </x:c>
      <x:c r="E1311" s="11" t="str">
        <x:v>22</x:v>
      </x:c>
      <x:c r="F1311" s="11" t="str">
        <x:v>מסעדה</x:v>
      </x:c>
      <x:c r="G1311" s="17" t="n">
        <x:v>83</x:v>
      </x:c>
      <x:c r="H1311" s="18" t="str">
        <x:v>אוכל בחוץ</x:v>
      </x:c>
      <x:c r="I1311" s="19" t="str">
        <x:f>IFERROR(INDEX('מיפוי ומקורות'!$C$7:$C$33,MATCH(H1311,'מיפוי ומקורות'!$B$7:$B$33,0)),"לא מסווג")</x:f>
        <x:v>אוכל בחוץ</x:v>
      </x:c>
      <x:c r="J1311" s="19" t="str">
        <x:f>IFERROR(INDEX('מיפוי ומקורות'!$D$7:$D$33,MATCH(H1311,'מיפוי ומקורות'!$B$7:$B$33,0)),"שוטף")</x:f>
        <x:v>שוטף</x:v>
      </x:c>
      <x:c r="K1311" s="19" t="str">
        <x:f>IF(OR(H1311="ריביות",AND(H1311="דירה כצנלסון",G1311&lt;0,ISNUMBER(SEARCH("הכנסה",F1311)))),"הכנסה שסווגה מחדש",J1311)</x:f>
        <x:v>שוטף</x:v>
      </x:c>
      <x:c r="L1311" s="19" t="str">
        <x:v>מאושר</x:v>
      </x:c>
      <x:c r="M1311" s="20" t="n">
        <x:f>IF(L1311="מאושר",IF(K1311="הכנסה שסווגה מחדש",0,G1311),0)</x:f>
        <x:v>83</x:v>
      </x:c>
      <x:c r="N1311" s="20" t="n">
        <x:f>IF(K1311="שוטף",M1311,0)</x:f>
        <x:v>83</x:v>
      </x:c>
      <x:c r="O1311" s="20" t="n">
        <x:f>IF(K1311="הכנסה שסווגה מחדש",-G1311,0)</x:f>
        <x:v>0</x:v>
      </x:c>
      <x:c r="P1311" s="11" t="str">
        <x:v>סיבוס עינור</x:v>
      </x:c>
      <x:c r="Q1311" s="11" t="str"/>
      <x:c r="R1311" s="11" t="str">
        <x:v>לא</x:v>
      </x:c>
    </x:row>
    <x:row r="1312">
      <x:c r="A1312" s="14" t="n">
        <x:v>46023</x:v>
      </x:c>
      <x:c r="B1312" s="11" t="str">
        <x:v>2026-01</x:v>
      </x:c>
      <x:c r="C1312" s="11" t="str">
        <x:v>ינואר 26</x:v>
      </x:c>
      <x:c r="D1312" s="15" t="n">
        <x:v>101</x:v>
      </x:c>
      <x:c r="E1312" s="11" t="str">
        <x:v>23</x:v>
      </x:c>
      <x:c r="F1312" s="11" t="str">
        <x:v>מסעדה</x:v>
      </x:c>
      <x:c r="G1312" s="17" t="n">
        <x:v>263</x:v>
      </x:c>
      <x:c r="H1312" s="18" t="str">
        <x:v>אוכל בחוץ</x:v>
      </x:c>
      <x:c r="I1312" s="19" t="str">
        <x:f>IFERROR(INDEX('מיפוי ומקורות'!$C$7:$C$33,MATCH(H1312,'מיפוי ומקורות'!$B$7:$B$33,0)),"לא מסווג")</x:f>
        <x:v>אוכל בחוץ</x:v>
      </x:c>
      <x:c r="J1312" s="19" t="str">
        <x:f>IFERROR(INDEX('מיפוי ומקורות'!$D$7:$D$33,MATCH(H1312,'מיפוי ומקורות'!$B$7:$B$33,0)),"שוטף")</x:f>
        <x:v>שוטף</x:v>
      </x:c>
      <x:c r="K1312" s="19" t="str">
        <x:f>IF(OR(H1312="ריביות",AND(H1312="דירה כצנלסון",G1312&lt;0,ISNUMBER(SEARCH("הכנסה",F1312)))),"הכנסה שסווגה מחדש",J1312)</x:f>
        <x:v>שוטף</x:v>
      </x:c>
      <x:c r="L1312" s="19" t="str">
        <x:v>מאושר</x:v>
      </x:c>
      <x:c r="M1312" s="20" t="n">
        <x:f>IF(L1312="מאושר",IF(K1312="הכנסה שסווגה מחדש",0,G1312),0)</x:f>
        <x:v>263</x:v>
      </x:c>
      <x:c r="N1312" s="20" t="n">
        <x:f>IF(K1312="שוטף",M1312,0)</x:f>
        <x:v>263</x:v>
      </x:c>
      <x:c r="O1312" s="20" t="n">
        <x:f>IF(K1312="הכנסה שסווגה מחדש",-G1312,0)</x:f>
        <x:v>0</x:v>
      </x:c>
      <x:c r="P1312" s="11" t="str">
        <x:v>סיבוס עינור</x:v>
      </x:c>
      <x:c r="Q1312" s="11" t="str"/>
      <x:c r="R1312" s="11" t="str">
        <x:v>לא</x:v>
      </x:c>
    </x:row>
    <x:row r="1313">
      <x:c r="A1313" s="14" t="n">
        <x:v>46023</x:v>
      </x:c>
      <x:c r="B1313" s="11" t="str">
        <x:v>2026-01</x:v>
      </x:c>
      <x:c r="C1313" s="11" t="str">
        <x:v>ינואר 26</x:v>
      </x:c>
      <x:c r="D1313" s="15" t="n">
        <x:v>102</x:v>
      </x:c>
      <x:c r="E1313" s="11" t="str">
        <x:v>24</x:v>
      </x:c>
      <x:c r="F1313" s="11" t="str">
        <x:v>מסעדה</x:v>
      </x:c>
      <x:c r="G1313" s="17" t="n">
        <x:v>96</x:v>
      </x:c>
      <x:c r="H1313" s="18" t="str">
        <x:v>אוכל בחוץ</x:v>
      </x:c>
      <x:c r="I1313" s="19" t="str">
        <x:f>IFERROR(INDEX('מיפוי ומקורות'!$C$7:$C$33,MATCH(H1313,'מיפוי ומקורות'!$B$7:$B$33,0)),"לא מסווג")</x:f>
        <x:v>אוכל בחוץ</x:v>
      </x:c>
      <x:c r="J1313" s="19" t="str">
        <x:f>IFERROR(INDEX('מיפוי ומקורות'!$D$7:$D$33,MATCH(H1313,'מיפוי ומקורות'!$B$7:$B$33,0)),"שוטף")</x:f>
        <x:v>שוטף</x:v>
      </x:c>
      <x:c r="K1313" s="19" t="str">
        <x:f>IF(OR(H1313="ריביות",AND(H1313="דירה כצנלסון",G1313&lt;0,ISNUMBER(SEARCH("הכנסה",F1313)))),"הכנסה שסווגה מחדש",J1313)</x:f>
        <x:v>שוטף</x:v>
      </x:c>
      <x:c r="L1313" s="19" t="str">
        <x:v>מאושר</x:v>
      </x:c>
      <x:c r="M1313" s="20" t="n">
        <x:f>IF(L1313="מאושר",IF(K1313="הכנסה שסווגה מחדש",0,G1313),0)</x:f>
        <x:v>96</x:v>
      </x:c>
      <x:c r="N1313" s="20" t="n">
        <x:f>IF(K1313="שוטף",M1313,0)</x:f>
        <x:v>96</x:v>
      </x:c>
      <x:c r="O1313" s="20" t="n">
        <x:f>IF(K1313="הכנסה שסווגה מחדש",-G1313,0)</x:f>
        <x:v>0</x:v>
      </x:c>
      <x:c r="P1313" s="11" t="str">
        <x:v>סיבוס עינור</x:v>
      </x:c>
      <x:c r="Q1313" s="11" t="str"/>
      <x:c r="R1313" s="11" t="str">
        <x:v>לא</x:v>
      </x:c>
    </x:row>
    <x:row r="1314">
      <x:c r="A1314" s="14" t="n">
        <x:v>46054</x:v>
      </x:c>
      <x:c r="B1314" s="11" t="str">
        <x:v>2026-02</x:v>
      </x:c>
      <x:c r="C1314" s="11" t="str">
        <x:v>פברואר 26</x:v>
      </x:c>
      <x:c r="D1314" s="15" t="n">
        <x:v>2</x:v>
      </x:c>
      <x:c r="E1314" s="11" t="str"/>
      <x:c r="F1314" s="11" t="str">
        <x:v>שכר דירה</x:v>
      </x:c>
      <x:c r="G1314" s="17" t="n">
        <x:v>8000</x:v>
      </x:c>
      <x:c r="H1314" s="18" t="str">
        <x:v>מגורים</x:v>
      </x:c>
      <x:c r="I1314" s="19" t="str">
        <x:f>IFERROR(INDEX('מיפוי ומקורות'!$C$7:$C$33,MATCH(H1314,'מיפוי ומקורות'!$B$7:$B$33,0)),"לא מסווג")</x:f>
        <x:v>דיור – בית מגורים</x:v>
      </x:c>
      <x:c r="J1314" s="19" t="str">
        <x:f>IFERROR(INDEX('מיפוי ומקורות'!$D$7:$D$33,MATCH(H1314,'מיפוי ומקורות'!$B$7:$B$33,0)),"שוטף")</x:f>
        <x:v>שוטף</x:v>
      </x:c>
      <x:c r="K1314" s="19" t="str">
        <x:f>IF(OR(H1314="ריביות",AND(H1314="דירה כצנלסון",G1314&lt;0,ISNUMBER(SEARCH("הכנסה",F1314)))),"הכנסה שסווגה מחדש",J1314)</x:f>
        <x:v>שוטף</x:v>
      </x:c>
      <x:c r="L1314" s="19" t="str">
        <x:v>מאושר</x:v>
      </x:c>
      <x:c r="M1314" s="20" t="n">
        <x:f>IF(L1314="מאושר",IF(K1314="הכנסה שסווגה מחדש",0,G1314),0)</x:f>
        <x:v>8000</x:v>
      </x:c>
      <x:c r="N1314" s="20" t="n">
        <x:f>IF(K1314="שוטף",M1314,0)</x:f>
        <x:v>8000</x:v>
      </x:c>
      <x:c r="O1314" s="20" t="n">
        <x:f>IF(K1314="הכנסה שסווגה מחדש",-G1314,0)</x:f>
        <x:v>0</x:v>
      </x:c>
      <x:c r="P1314" s="11" t="str">
        <x:v>דיסקונט</x:v>
      </x:c>
      <x:c r="Q1314" s="11" t="str"/>
      <x:c r="R1314" s="11" t="str">
        <x:v>לא</x:v>
      </x:c>
    </x:row>
    <x:row r="1315">
      <x:c r="A1315" s="14" t="n">
        <x:v>46054</x:v>
      </x:c>
      <x:c r="B1315" s="11" t="str">
        <x:v>2026-02</x:v>
      </x:c>
      <x:c r="C1315" s="11" t="str">
        <x:v>פברואר 26</x:v>
      </x:c>
      <x:c r="D1315" s="15" t="n">
        <x:v>3</x:v>
      </x:c>
      <x:c r="E1315" s="11" t="str"/>
      <x:c r="F1315" s="11" t="str">
        <x:v>משכנתא</x:v>
      </x:c>
      <x:c r="G1315" s="17" t="n">
        <x:v>6143</x:v>
      </x:c>
      <x:c r="H1315" s="18" t="str">
        <x:v>דירה כצנלסון</x:v>
      </x:c>
      <x:c r="I1315" s="19" t="str">
        <x:f>IFERROR(INDEX('מיפוי ומקורות'!$C$7:$C$33,MATCH(H1315,'מיפוי ומקורות'!$B$7:$B$33,0)),"לא מסווג")</x:f>
        <x:v>נכס להשקעה</x:v>
      </x:c>
      <x:c r="J1315" s="19" t="str">
        <x:f>IFERROR(INDEX('מיפוי ומקורות'!$D$7:$D$33,MATCH(H1315,'מיפוי ומקורות'!$B$7:$B$33,0)),"שוטף")</x:f>
        <x:v>חריג/נכס</x:v>
      </x:c>
      <x:c r="K1315" s="19" t="str">
        <x:f>IF(OR(H1315="ריביות",AND(H1315="דירה כצנלסון",G1315&lt;0,ISNUMBER(SEARCH("הכנסה",F1315)))),"הכנסה שסווגה מחדש",J1315)</x:f>
        <x:v>חריג/נכס</x:v>
      </x:c>
      <x:c r="L1315" s="19" t="str">
        <x:v>מאושר</x:v>
      </x:c>
      <x:c r="M1315" s="20" t="n">
        <x:f>IF(L1315="מאושר",IF(K1315="הכנסה שסווגה מחדש",0,G1315),0)</x:f>
        <x:v>6143</x:v>
      </x:c>
      <x:c r="N1315" s="20" t="n">
        <x:f>IF(K1315="שוטף",M1315,0)</x:f>
        <x:v>0</x:v>
      </x:c>
      <x:c r="O1315" s="20" t="n">
        <x:f>IF(K1315="הכנסה שסווגה מחדש",-G1315,0)</x:f>
        <x:v>0</x:v>
      </x:c>
      <x:c r="P1315" s="11" t="str">
        <x:v>דיסקונט</x:v>
      </x:c>
      <x:c r="Q1315" s="11" t="str"/>
      <x:c r="R1315" s="11" t="str">
        <x:v>לא</x:v>
      </x:c>
    </x:row>
    <x:row r="1316">
      <x:c r="A1316" s="14" t="n">
        <x:v>46054</x:v>
      </x:c>
      <x:c r="B1316" s="11" t="str">
        <x:v>2026-02</x:v>
      </x:c>
      <x:c r="C1316" s="11" t="str">
        <x:v>פברואר 26</x:v>
      </x:c>
      <x:c r="D1316" s="15" t="n">
        <x:v>4</x:v>
      </x:c>
      <x:c r="E1316" s="11" t="str"/>
      <x:c r="F1316" s="11" t="str">
        <x:v>ארנונה</x:v>
      </x:c>
      <x:c r="G1316" s="17" t="n">
        <x:v>0</x:v>
      </x:c>
      <x:c r="H1316" s="18" t="str">
        <x:v>מגורים</x:v>
      </x:c>
      <x:c r="I1316" s="19" t="str">
        <x:f>IFERROR(INDEX('מיפוי ומקורות'!$C$7:$C$33,MATCH(H1316,'מיפוי ומקורות'!$B$7:$B$33,0)),"לא מסווג")</x:f>
        <x:v>דיור – בית מגורים</x:v>
      </x:c>
      <x:c r="J1316" s="19" t="str">
        <x:f>IFERROR(INDEX('מיפוי ומקורות'!$D$7:$D$33,MATCH(H1316,'מיפוי ומקורות'!$B$7:$B$33,0)),"שוטף")</x:f>
        <x:v>שוטף</x:v>
      </x:c>
      <x:c r="K1316" s="19" t="str">
        <x:f>IF(OR(H1316="ריביות",AND(H1316="דירה כצנלסון",G1316&lt;0,ISNUMBER(SEARCH("הכנסה",F1316)))),"הכנסה שסווגה מחדש",J1316)</x:f>
        <x:v>שוטף</x:v>
      </x:c>
      <x:c r="L1316" s="19" t="str">
        <x:v>מאושר</x:v>
      </x:c>
      <x:c r="M1316" s="20" t="n">
        <x:f>IF(L1316="מאושר",IF(K1316="הכנסה שסווגה מחדש",0,G1316),0)</x:f>
        <x:v>0</x:v>
      </x:c>
      <x:c r="N1316" s="20" t="n">
        <x:f>IF(K1316="שוטף",M1316,0)</x:f>
        <x:v>0</x:v>
      </x:c>
      <x:c r="O1316" s="20" t="n">
        <x:f>IF(K1316="הכנסה שסווגה מחדש",-G1316,0)</x:f>
        <x:v>0</x:v>
      </x:c>
      <x:c r="P1316" s="11" t="str"/>
      <x:c r="Q1316" s="11" t="str"/>
      <x:c r="R1316" s="11" t="str">
        <x:v>לא</x:v>
      </x:c>
    </x:row>
    <x:row r="1317">
      <x:c r="A1317" s="14" t="n">
        <x:v>46054</x:v>
      </x:c>
      <x:c r="B1317" s="11" t="str">
        <x:v>2026-02</x:v>
      </x:c>
      <x:c r="C1317" s="11" t="str">
        <x:v>פברואר 26</x:v>
      </x:c>
      <x:c r="D1317" s="15" t="n">
        <x:v>5</x:v>
      </x:c>
      <x:c r="E1317" s="11" t="str">
        <x:v>15.02</x:v>
      </x:c>
      <x:c r="F1317" s="11" t="str">
        <x:v>חשמל</x:v>
      </x:c>
      <x:c r="G1317" s="17" t="n">
        <x:v>73</x:v>
      </x:c>
      <x:c r="H1317" s="18" t="str">
        <x:v>מגורים</x:v>
      </x:c>
      <x:c r="I1317" s="19" t="str">
        <x:f>IFERROR(INDEX('מיפוי ומקורות'!$C$7:$C$33,MATCH(H1317,'מיפוי ומקורות'!$B$7:$B$33,0)),"לא מסווג")</x:f>
        <x:v>דיור – בית מגורים</x:v>
      </x:c>
      <x:c r="J1317" s="19" t="str">
        <x:f>IFERROR(INDEX('מיפוי ומקורות'!$D$7:$D$33,MATCH(H1317,'מיפוי ומקורות'!$B$7:$B$33,0)),"שוטף")</x:f>
        <x:v>שוטף</x:v>
      </x:c>
      <x:c r="K1317" s="19" t="str">
        <x:f>IF(OR(H1317="ריביות",AND(H1317="דירה כצנלסון",G1317&lt;0,ISNUMBER(SEARCH("הכנסה",F1317)))),"הכנסה שסווגה מחדש",J1317)</x:f>
        <x:v>שוטף</x:v>
      </x:c>
      <x:c r="L1317" s="19" t="str">
        <x:v>מאושר</x:v>
      </x:c>
      <x:c r="M1317" s="20" t="n">
        <x:f>IF(L1317="מאושר",IF(K1317="הכנסה שסווגה מחדש",0,G1317),0)</x:f>
        <x:v>73</x:v>
      </x:c>
      <x:c r="N1317" s="20" t="n">
        <x:f>IF(K1317="שוטף",M1317,0)</x:f>
        <x:v>73</x:v>
      </x:c>
      <x:c r="O1317" s="20" t="n">
        <x:f>IF(K1317="הכנסה שסווגה מחדש",-G1317,0)</x:f>
        <x:v>0</x:v>
      </x:c>
      <x:c r="P1317" s="11" t="str">
        <x:v>אמקס - זיו</x:v>
      </x:c>
      <x:c r="Q1317" s="11" t="str"/>
      <x:c r="R1317" s="11" t="str">
        <x:v>לא</x:v>
      </x:c>
    </x:row>
    <x:row r="1318">
      <x:c r="A1318" s="14" t="n">
        <x:v>46054</x:v>
      </x:c>
      <x:c r="B1318" s="11" t="str">
        <x:v>2026-02</x:v>
      </x:c>
      <x:c r="C1318" s="11" t="str">
        <x:v>פברואר 26</x:v>
      </x:c>
      <x:c r="D1318" s="15" t="n">
        <x:v>6</x:v>
      </x:c>
      <x:c r="E1318" s="11" t="str"/>
      <x:c r="F1318" s="11" t="str">
        <x:v>גז</x:v>
      </x:c>
      <x:c r="G1318" s="17" t="n">
        <x:v>0</x:v>
      </x:c>
      <x:c r="H1318" s="18" t="str">
        <x:v>מגורים</x:v>
      </x:c>
      <x:c r="I1318" s="19" t="str">
        <x:f>IFERROR(INDEX('מיפוי ומקורות'!$C$7:$C$33,MATCH(H1318,'מיפוי ומקורות'!$B$7:$B$33,0)),"לא מסווג")</x:f>
        <x:v>דיור – בית מגורים</x:v>
      </x:c>
      <x:c r="J1318" s="19" t="str">
        <x:f>IFERROR(INDEX('מיפוי ומקורות'!$D$7:$D$33,MATCH(H1318,'מיפוי ומקורות'!$B$7:$B$33,0)),"שוטף")</x:f>
        <x:v>שוטף</x:v>
      </x:c>
      <x:c r="K1318" s="19" t="str">
        <x:f>IF(OR(H1318="ריביות",AND(H1318="דירה כצנלסון",G1318&lt;0,ISNUMBER(SEARCH("הכנסה",F1318)))),"הכנסה שסווגה מחדש",J1318)</x:f>
        <x:v>שוטף</x:v>
      </x:c>
      <x:c r="L1318" s="19" t="str">
        <x:v>מאושר</x:v>
      </x:c>
      <x:c r="M1318" s="20" t="n">
        <x:f>IF(L1318="מאושר",IF(K1318="הכנסה שסווגה מחדש",0,G1318),0)</x:f>
        <x:v>0</x:v>
      </x:c>
      <x:c r="N1318" s="20" t="n">
        <x:f>IF(K1318="שוטף",M1318,0)</x:f>
        <x:v>0</x:v>
      </x:c>
      <x:c r="O1318" s="20" t="n">
        <x:f>IF(K1318="הכנסה שסווגה מחדש",-G1318,0)</x:f>
        <x:v>0</x:v>
      </x:c>
      <x:c r="P1318" s="11" t="str">
        <x:v>אמקס - זיו</x:v>
      </x:c>
      <x:c r="Q1318" s="11" t="str"/>
      <x:c r="R1318" s="11" t="str">
        <x:v>לא</x:v>
      </x:c>
    </x:row>
    <x:row r="1319">
      <x:c r="A1319" s="14" t="n">
        <x:v>46054</x:v>
      </x:c>
      <x:c r="B1319" s="11" t="str">
        <x:v>2026-02</x:v>
      </x:c>
      <x:c r="C1319" s="11" t="str">
        <x:v>פברואר 26</x:v>
      </x:c>
      <x:c r="D1319" s="15" t="n">
        <x:v>7</x:v>
      </x:c>
      <x:c r="E1319" s="11" t="str"/>
      <x:c r="F1319" s="11" t="str">
        <x:v>ועד בית</x:v>
      </x:c>
      <x:c r="G1319" s="17" t="n">
        <x:v>600</x:v>
      </x:c>
      <x:c r="H1319" s="18" t="str">
        <x:v>מגורים</x:v>
      </x:c>
      <x:c r="I1319" s="19" t="str">
        <x:f>IFERROR(INDEX('מיפוי ומקורות'!$C$7:$C$33,MATCH(H1319,'מיפוי ומקורות'!$B$7:$B$33,0)),"לא מסווג")</x:f>
        <x:v>דיור – בית מגורים</x:v>
      </x:c>
      <x:c r="J1319" s="19" t="str">
        <x:f>IFERROR(INDEX('מיפוי ומקורות'!$D$7:$D$33,MATCH(H1319,'מיפוי ומקורות'!$B$7:$B$33,0)),"שוטף")</x:f>
        <x:v>שוטף</x:v>
      </x:c>
      <x:c r="K1319" s="19" t="str">
        <x:f>IF(OR(H1319="ריביות",AND(H1319="דירה כצנלסון",G1319&lt;0,ISNUMBER(SEARCH("הכנסה",F1319)))),"הכנסה שסווגה מחדש",J1319)</x:f>
        <x:v>שוטף</x:v>
      </x:c>
      <x:c r="L1319" s="19" t="str">
        <x:v>מאושר</x:v>
      </x:c>
      <x:c r="M1319" s="20" t="n">
        <x:f>IF(L1319="מאושר",IF(K1319="הכנסה שסווגה מחדש",0,G1319),0)</x:f>
        <x:v>600</x:v>
      </x:c>
      <x:c r="N1319" s="20" t="n">
        <x:f>IF(K1319="שוטף",M1319,0)</x:f>
        <x:v>600</x:v>
      </x:c>
      <x:c r="O1319" s="20" t="n">
        <x:f>IF(K1319="הכנסה שסווגה מחדש",-G1319,0)</x:f>
        <x:v>0</x:v>
      </x:c>
      <x:c r="P1319" s="11" t="str">
        <x:v>מזומן</x:v>
      </x:c>
      <x:c r="Q1319" s="11" t="str"/>
      <x:c r="R1319" s="11" t="str">
        <x:v>לא</x:v>
      </x:c>
    </x:row>
    <x:row r="1320">
      <x:c r="A1320" s="14" t="n">
        <x:v>46054</x:v>
      </x:c>
      <x:c r="B1320" s="11" t="str">
        <x:v>2026-02</x:v>
      </x:c>
      <x:c r="C1320" s="11" t="str">
        <x:v>פברואר 26</x:v>
      </x:c>
      <x:c r="D1320" s="15" t="n">
        <x:v>8</x:v>
      </x:c>
      <x:c r="E1320" s="11" t="str"/>
      <x:c r="F1320" s="11" t="str">
        <x:v>מנקה</x:v>
      </x:c>
      <x:c r="G1320" s="17" t="n">
        <x:v>600</x:v>
      </x:c>
      <x:c r="H1320" s="18" t="str">
        <x:v>מגורים</x:v>
      </x:c>
      <x:c r="I1320" s="19" t="str">
        <x:f>IFERROR(INDEX('מיפוי ומקורות'!$C$7:$C$33,MATCH(H1320,'מיפוי ומקורות'!$B$7:$B$33,0)),"לא מסווג")</x:f>
        <x:v>דיור – בית מגורים</x:v>
      </x:c>
      <x:c r="J1320" s="19" t="str">
        <x:f>IFERROR(INDEX('מיפוי ומקורות'!$D$7:$D$33,MATCH(H1320,'מיפוי ומקורות'!$B$7:$B$33,0)),"שוטף")</x:f>
        <x:v>שוטף</x:v>
      </x:c>
      <x:c r="K1320" s="19" t="str">
        <x:f>IF(OR(H1320="ריביות",AND(H1320="דירה כצנלסון",G1320&lt;0,ISNUMBER(SEARCH("הכנסה",F1320)))),"הכנסה שסווגה מחדש",J1320)</x:f>
        <x:v>שוטף</x:v>
      </x:c>
      <x:c r="L1320" s="19" t="str">
        <x:v>מאושר</x:v>
      </x:c>
      <x:c r="M1320" s="20" t="n">
        <x:f>IF(L1320="מאושר",IF(K1320="הכנסה שסווגה מחדש",0,G1320),0)</x:f>
        <x:v>600</x:v>
      </x:c>
      <x:c r="N1320" s="20" t="n">
        <x:f>IF(K1320="שוטף",M1320,0)</x:f>
        <x:v>600</x:v>
      </x:c>
      <x:c r="O1320" s="20" t="n">
        <x:f>IF(K1320="הכנסה שסווגה מחדש",-G1320,0)</x:f>
        <x:v>0</x:v>
      </x:c>
      <x:c r="P1320" s="11" t="str">
        <x:v>מזומן</x:v>
      </x:c>
      <x:c r="Q1320" s="11" t="str"/>
      <x:c r="R1320" s="11" t="str">
        <x:v>לא</x:v>
      </x:c>
    </x:row>
    <x:row r="1321">
      <x:c r="A1321" s="14" t="n">
        <x:v>46054</x:v>
      </x:c>
      <x:c r="B1321" s="11" t="str">
        <x:v>2026-02</x:v>
      </x:c>
      <x:c r="C1321" s="11" t="str">
        <x:v>פברואר 26</x:v>
      </x:c>
      <x:c r="D1321" s="15" t="n">
        <x:v>9</x:v>
      </x:c>
      <x:c r="E1321" s="11" t="str">
        <x:v>24.02</x:v>
      </x:c>
      <x:c r="F1321" s="11" t="str">
        <x:v>אינטרנט</x:v>
      </x:c>
      <x:c r="G1321" s="17" t="n">
        <x:v>79</x:v>
      </x:c>
      <x:c r="H1321" s="18" t="str">
        <x:v>מגורים</x:v>
      </x:c>
      <x:c r="I1321" s="19" t="str">
        <x:f>IFERROR(INDEX('מיפוי ומקורות'!$C$7:$C$33,MATCH(H1321,'מיפוי ומקורות'!$B$7:$B$33,0)),"לא מסווג")</x:f>
        <x:v>דיור – בית מגורים</x:v>
      </x:c>
      <x:c r="J1321" s="19" t="str">
        <x:f>IFERROR(INDEX('מיפוי ומקורות'!$D$7:$D$33,MATCH(H1321,'מיפוי ומקורות'!$B$7:$B$33,0)),"שוטף")</x:f>
        <x:v>שוטף</x:v>
      </x:c>
      <x:c r="K1321" s="19" t="str">
        <x:f>IF(OR(H1321="ריביות",AND(H1321="דירה כצנלסון",G1321&lt;0,ISNUMBER(SEARCH("הכנסה",F1321)))),"הכנסה שסווגה מחדש",J1321)</x:f>
        <x:v>שוטף</x:v>
      </x:c>
      <x:c r="L1321" s="19" t="str">
        <x:v>מאושר</x:v>
      </x:c>
      <x:c r="M1321" s="20" t="n">
        <x:f>IF(L1321="מאושר",IF(K1321="הכנסה שסווגה מחדש",0,G1321),0)</x:f>
        <x:v>79</x:v>
      </x:c>
      <x:c r="N1321" s="20" t="n">
        <x:f>IF(K1321="שוטף",M1321,0)</x:f>
        <x:v>79</x:v>
      </x:c>
      <x:c r="O1321" s="20" t="n">
        <x:f>IF(K1321="הכנסה שסווגה מחדש",-G1321,0)</x:f>
        <x:v>0</x:v>
      </x:c>
      <x:c r="P1321" s="11" t="str">
        <x:v>אמקס - זיו</x:v>
      </x:c>
      <x:c r="Q1321" s="11" t="str"/>
      <x:c r="R1321" s="11" t="str">
        <x:v>לא</x:v>
      </x:c>
    </x:row>
    <x:row r="1322">
      <x:c r="A1322" s="14" t="n">
        <x:v>46054</x:v>
      </x:c>
      <x:c r="B1322" s="11" t="str">
        <x:v>2026-02</x:v>
      </x:c>
      <x:c r="C1322" s="11" t="str">
        <x:v>פברואר 26</x:v>
      </x:c>
      <x:c r="D1322" s="15" t="n">
        <x:v>10</x:v>
      </x:c>
      <x:c r="E1322" s="11" t="str">
        <x:v>12.02</x:v>
      </x:c>
      <x:c r="F1322" s="11" t="str">
        <x:v>סלולר</x:v>
      </x:c>
      <x:c r="G1322" s="17" t="n">
        <x:v>59</x:v>
      </x:c>
      <x:c r="H1322" s="18" t="str">
        <x:v>מגורים</x:v>
      </x:c>
      <x:c r="I1322" s="19" t="str">
        <x:f>IFERROR(INDEX('מיפוי ומקורות'!$C$7:$C$33,MATCH(H1322,'מיפוי ומקורות'!$B$7:$B$33,0)),"לא מסווג")</x:f>
        <x:v>דיור – בית מגורים</x:v>
      </x:c>
      <x:c r="J1322" s="19" t="str">
        <x:f>IFERROR(INDEX('מיפוי ומקורות'!$D$7:$D$33,MATCH(H1322,'מיפוי ומקורות'!$B$7:$B$33,0)),"שוטף")</x:f>
        <x:v>שוטף</x:v>
      </x:c>
      <x:c r="K1322" s="19" t="str">
        <x:f>IF(OR(H1322="ריביות",AND(H1322="דירה כצנלסון",G1322&lt;0,ISNUMBER(SEARCH("הכנסה",F1322)))),"הכנסה שסווגה מחדש",J1322)</x:f>
        <x:v>שוטף</x:v>
      </x:c>
      <x:c r="L1322" s="19" t="str">
        <x:v>מאושר</x:v>
      </x:c>
      <x:c r="M1322" s="20" t="n">
        <x:f>IF(L1322="מאושר",IF(K1322="הכנסה שסווגה מחדש",0,G1322),0)</x:f>
        <x:v>59</x:v>
      </x:c>
      <x:c r="N1322" s="20" t="n">
        <x:f>IF(K1322="שוטף",M1322,0)</x:f>
        <x:v>59</x:v>
      </x:c>
      <x:c r="O1322" s="20" t="n">
        <x:f>IF(K1322="הכנסה שסווגה מחדש",-G1322,0)</x:f>
        <x:v>0</x:v>
      </x:c>
      <x:c r="P1322" s="11" t="str">
        <x:v>אמקס - זיו</x:v>
      </x:c>
      <x:c r="Q1322" s="11" t="str"/>
      <x:c r="R1322" s="11" t="str">
        <x:v>לא</x:v>
      </x:c>
    </x:row>
    <x:row r="1323">
      <x:c r="A1323" s="14" t="n">
        <x:v>46054</x:v>
      </x:c>
      <x:c r="B1323" s="11" t="str">
        <x:v>2026-02</x:v>
      </x:c>
      <x:c r="C1323" s="11" t="str">
        <x:v>פברואר 26</x:v>
      </x:c>
      <x:c r="D1323" s="15" t="n">
        <x:v>11</x:v>
      </x:c>
      <x:c r="E1323" s="11" t="str">
        <x:v>24.02</x:v>
      </x:c>
      <x:c r="F1323" s="11" t="str">
        <x:v>ביטוח מבנה</x:v>
      </x:c>
      <x:c r="G1323" s="17" t="n">
        <x:v>71</x:v>
      </x:c>
      <x:c r="H1323" s="18" t="str">
        <x:v>דירה כצנלסון</x:v>
      </x:c>
      <x:c r="I1323" s="19" t="str">
        <x:f>IFERROR(INDEX('מיפוי ומקורות'!$C$7:$C$33,MATCH(H1323,'מיפוי ומקורות'!$B$7:$B$33,0)),"לא מסווג")</x:f>
        <x:v>נכס להשקעה</x:v>
      </x:c>
      <x:c r="J1323" s="19" t="str">
        <x:f>IFERROR(INDEX('מיפוי ומקורות'!$D$7:$D$33,MATCH(H1323,'מיפוי ומקורות'!$B$7:$B$33,0)),"שוטף")</x:f>
        <x:v>חריג/נכס</x:v>
      </x:c>
      <x:c r="K1323" s="19" t="str">
        <x:f>IF(OR(H1323="ריביות",AND(H1323="דירה כצנלסון",G1323&lt;0,ISNUMBER(SEARCH("הכנסה",F1323)))),"הכנסה שסווגה מחדש",J1323)</x:f>
        <x:v>חריג/נכס</x:v>
      </x:c>
      <x:c r="L1323" s="19" t="str">
        <x:v>מאושר</x:v>
      </x:c>
      <x:c r="M1323" s="20" t="n">
        <x:f>IF(L1323="מאושר",IF(K1323="הכנסה שסווגה מחדש",0,G1323),0)</x:f>
        <x:v>71</x:v>
      </x:c>
      <x:c r="N1323" s="20" t="n">
        <x:f>IF(K1323="שוטף",M1323,0)</x:f>
        <x:v>0</x:v>
      </x:c>
      <x:c r="O1323" s="20" t="n">
        <x:f>IF(K1323="הכנסה שסווגה מחדש",-G1323,0)</x:f>
        <x:v>0</x:v>
      </x:c>
      <x:c r="P1323" s="11" t="str">
        <x:v>אמקס - זיו</x:v>
      </x:c>
      <x:c r="Q1323" s="11" t="str"/>
      <x:c r="R1323" s="11" t="str">
        <x:v>לא</x:v>
      </x:c>
    </x:row>
    <x:row r="1324">
      <x:c r="A1324" s="14" t="n">
        <x:v>46054</x:v>
      </x:c>
      <x:c r="B1324" s="11" t="str">
        <x:v>2026-02</x:v>
      </x:c>
      <x:c r="C1324" s="11" t="str">
        <x:v>פברואר 26</x:v>
      </x:c>
      <x:c r="D1324" s="15" t="n">
        <x:v>12</x:v>
      </x:c>
      <x:c r="E1324" s="11" t="str">
        <x:v>25.02</x:v>
      </x:c>
      <x:c r="F1324" s="11" t="str">
        <x:v>ביטוח חיים</x:v>
      </x:c>
      <x:c r="G1324" s="17" t="n">
        <x:v>36</x:v>
      </x:c>
      <x:c r="H1324" s="18" t="str">
        <x:v>דירה כצנלסון</x:v>
      </x:c>
      <x:c r="I1324" s="19" t="str">
        <x:f>IFERROR(INDEX('מיפוי ומקורות'!$C$7:$C$33,MATCH(H1324,'מיפוי ומקורות'!$B$7:$B$33,0)),"לא מסווג")</x:f>
        <x:v>נכס להשקעה</x:v>
      </x:c>
      <x:c r="J1324" s="19" t="str">
        <x:f>IFERROR(INDEX('מיפוי ומקורות'!$D$7:$D$33,MATCH(H1324,'מיפוי ומקורות'!$B$7:$B$33,0)),"שוטף")</x:f>
        <x:v>חריג/נכס</x:v>
      </x:c>
      <x:c r="K1324" s="19" t="str">
        <x:f>IF(OR(H1324="ריביות",AND(H1324="דירה כצנלסון",G1324&lt;0,ISNUMBER(SEARCH("הכנסה",F1324)))),"הכנסה שסווגה מחדש",J1324)</x:f>
        <x:v>חריג/נכס</x:v>
      </x:c>
      <x:c r="L1324" s="19" t="str">
        <x:v>מאושר</x:v>
      </x:c>
      <x:c r="M1324" s="20" t="n">
        <x:f>IF(L1324="מאושר",IF(K1324="הכנסה שסווגה מחדש",0,G1324),0)</x:f>
        <x:v>36</x:v>
      </x:c>
      <x:c r="N1324" s="20" t="n">
        <x:f>IF(K1324="שוטף",M1324,0)</x:f>
        <x:v>0</x:v>
      </x:c>
      <x:c r="O1324" s="20" t="n">
        <x:f>IF(K1324="הכנסה שסווגה מחדש",-G1324,0)</x:f>
        <x:v>0</x:v>
      </x:c>
      <x:c r="P1324" s="11" t="str">
        <x:v>אמקס - זיו</x:v>
      </x:c>
      <x:c r="Q1324" s="11" t="str"/>
      <x:c r="R1324" s="11" t="str">
        <x:v>לא</x:v>
      </x:c>
    </x:row>
    <x:row r="1325">
      <x:c r="A1325" s="14" t="n">
        <x:v>46054</x:v>
      </x:c>
      <x:c r="B1325" s="11" t="str">
        <x:v>2026-02</x:v>
      </x:c>
      <x:c r="C1325" s="11" t="str">
        <x:v>פברואר 26</x:v>
      </x:c>
      <x:c r="D1325" s="15" t="n">
        <x:v>13</x:v>
      </x:c>
      <x:c r="E1325" s="11" t="str">
        <x:v>26.02</x:v>
      </x:c>
      <x:c r="F1325" s="11" t="str">
        <x:v>ביטוח בריאות</x:v>
      </x:c>
      <x:c r="G1325" s="17" t="n">
        <x:v>115</x:v>
      </x:c>
      <x:c r="H1325" s="18" t="str">
        <x:v>ביטוח</x:v>
      </x:c>
      <x:c r="I1325" s="19" t="str">
        <x:f>IFERROR(INDEX('מיפוי ומקורות'!$C$7:$C$33,MATCH(H1325,'מיפוי ומקורות'!$B$7:$B$33,0)),"לא מסווג")</x:f>
        <x:v>ביטוח</x:v>
      </x:c>
      <x:c r="J1325" s="19" t="str">
        <x:f>IFERROR(INDEX('מיפוי ומקורות'!$D$7:$D$33,MATCH(H1325,'מיפוי ומקורות'!$B$7:$B$33,0)),"שוטף")</x:f>
        <x:v>שוטף</x:v>
      </x:c>
      <x:c r="K1325" s="19" t="str">
        <x:f>IF(OR(H1325="ריביות",AND(H1325="דירה כצנלסון",G1325&lt;0,ISNUMBER(SEARCH("הכנסה",F1325)))),"הכנסה שסווגה מחדש",J1325)</x:f>
        <x:v>שוטף</x:v>
      </x:c>
      <x:c r="L1325" s="19" t="str">
        <x:v>מאושר</x:v>
      </x:c>
      <x:c r="M1325" s="20" t="n">
        <x:f>IF(L1325="מאושר",IF(K1325="הכנסה שסווגה מחדש",0,G1325),0)</x:f>
        <x:v>115</x:v>
      </x:c>
      <x:c r="N1325" s="20" t="n">
        <x:f>IF(K1325="שוטף",M1325,0)</x:f>
        <x:v>115</x:v>
      </x:c>
      <x:c r="O1325" s="20" t="n">
        <x:f>IF(K1325="הכנסה שסווגה מחדש",-G1325,0)</x:f>
        <x:v>0</x:v>
      </x:c>
      <x:c r="P1325" s="11" t="str">
        <x:v>אמקס - עינור</x:v>
      </x:c>
      <x:c r="Q1325" s="11" t="str"/>
      <x:c r="R1325" s="11" t="str">
        <x:v>לא</x:v>
      </x:c>
    </x:row>
    <x:row r="1326">
      <x:c r="A1326" s="14" t="n">
        <x:v>46054</x:v>
      </x:c>
      <x:c r="B1326" s="11" t="str">
        <x:v>2026-02</x:v>
      </x:c>
      <x:c r="C1326" s="11" t="str">
        <x:v>פברואר 26</x:v>
      </x:c>
      <x:c r="D1326" s="15" t="n">
        <x:v>14</x:v>
      </x:c>
      <x:c r="E1326" s="11" t="str">
        <x:v>2.02</x:v>
      </x:c>
      <x:c r="F1326" s="11" t="str">
        <x:v>מכבי עינור</x:v>
      </x:c>
      <x:c r="G1326" s="17" t="n">
        <x:v>135</x:v>
      </x:c>
      <x:c r="H1326" s="18" t="str">
        <x:v>בריאות</x:v>
      </x:c>
      <x:c r="I1326" s="19" t="str">
        <x:f>IFERROR(INDEX('מיפוי ומקורות'!$C$7:$C$33,MATCH(H1326,'מיפוי ומקורות'!$B$7:$B$33,0)),"לא מסווג")</x:f>
        <x:v>בריאות וטיפולים</x:v>
      </x:c>
      <x:c r="J1326" s="19" t="str">
        <x:f>IFERROR(INDEX('מיפוי ומקורות'!$D$7:$D$33,MATCH(H1326,'מיפוי ומקורות'!$B$7:$B$33,0)),"שוטף")</x:f>
        <x:v>שוטף</x:v>
      </x:c>
      <x:c r="K1326" s="19" t="str">
        <x:f>IF(OR(H1326="ריביות",AND(H1326="דירה כצנלסון",G1326&lt;0,ISNUMBER(SEARCH("הכנסה",F1326)))),"הכנסה שסווגה מחדש",J1326)</x:f>
        <x:v>שוטף</x:v>
      </x:c>
      <x:c r="L1326" s="19" t="str">
        <x:v>מאושר</x:v>
      </x:c>
      <x:c r="M1326" s="20" t="n">
        <x:f>IF(L1326="מאושר",IF(K1326="הכנסה שסווגה מחדש",0,G1326),0)</x:f>
        <x:v>135</x:v>
      </x:c>
      <x:c r="N1326" s="20" t="n">
        <x:f>IF(K1326="שוטף",M1326,0)</x:f>
        <x:v>135</x:v>
      </x:c>
      <x:c r="O1326" s="20" t="n">
        <x:f>IF(K1326="הכנסה שסווגה מחדש",-G1326,0)</x:f>
        <x:v>0</x:v>
      </x:c>
      <x:c r="P1326" s="11" t="str">
        <x:v>אמקס - עינור</x:v>
      </x:c>
      <x:c r="Q1326" s="11" t="str"/>
      <x:c r="R1326" s="11" t="str">
        <x:v>לא</x:v>
      </x:c>
    </x:row>
    <x:row r="1327">
      <x:c r="A1327" s="14" t="n">
        <x:v>46054</x:v>
      </x:c>
      <x:c r="B1327" s="11" t="str">
        <x:v>2026-02</x:v>
      </x:c>
      <x:c r="C1327" s="11" t="str">
        <x:v>פברואר 26</x:v>
      </x:c>
      <x:c r="D1327" s="15" t="n">
        <x:v>15</x:v>
      </x:c>
      <x:c r="E1327" s="11" t="str">
        <x:v>2/2</x:v>
      </x:c>
      <x:c r="F1327" s="11" t="str">
        <x:v>מכבי זיו</x:v>
      </x:c>
      <x:c r="G1327" s="17" t="n">
        <x:v>57</x:v>
      </x:c>
      <x:c r="H1327" s="18" t="str">
        <x:v>בריאות</x:v>
      </x:c>
      <x:c r="I1327" s="19" t="str">
        <x:f>IFERROR(INDEX('מיפוי ומקורות'!$C$7:$C$33,MATCH(H1327,'מיפוי ומקורות'!$B$7:$B$33,0)),"לא מסווג")</x:f>
        <x:v>בריאות וטיפולים</x:v>
      </x:c>
      <x:c r="J1327" s="19" t="str">
        <x:f>IFERROR(INDEX('מיפוי ומקורות'!$D$7:$D$33,MATCH(H1327,'מיפוי ומקורות'!$B$7:$B$33,0)),"שוטף")</x:f>
        <x:v>שוטף</x:v>
      </x:c>
      <x:c r="K1327" s="19" t="str">
        <x:f>IF(OR(H1327="ריביות",AND(H1327="דירה כצנלסון",G1327&lt;0,ISNUMBER(SEARCH("הכנסה",F1327)))),"הכנסה שסווגה מחדש",J1327)</x:f>
        <x:v>שוטף</x:v>
      </x:c>
      <x:c r="L1327" s="19" t="str">
        <x:v>מאושר</x:v>
      </x:c>
      <x:c r="M1327" s="20" t="n">
        <x:f>IF(L1327="מאושר",IF(K1327="הכנסה שסווגה מחדש",0,G1327),0)</x:f>
        <x:v>57</x:v>
      </x:c>
      <x:c r="N1327" s="20" t="n">
        <x:f>IF(K1327="שוטף",M1327,0)</x:f>
        <x:v>57</x:v>
      </x:c>
      <x:c r="O1327" s="20" t="n">
        <x:f>IF(K1327="הכנסה שסווגה מחדש",-G1327,0)</x:f>
        <x:v>0</x:v>
      </x:c>
      <x:c r="P1327" s="11" t="str">
        <x:v>אמקס - זיו</x:v>
      </x:c>
      <x:c r="Q1327" s="11" t="str"/>
      <x:c r="R1327" s="11" t="str">
        <x:v>לא</x:v>
      </x:c>
    </x:row>
    <x:row r="1328">
      <x:c r="A1328" s="14" t="n">
        <x:v>46054</x:v>
      </x:c>
      <x:c r="B1328" s="11" t="str">
        <x:v>2026-02</x:v>
      </x:c>
      <x:c r="C1328" s="11" t="str">
        <x:v>פברואר 26</x:v>
      </x:c>
      <x:c r="D1328" s="15" t="n">
        <x:v>16</x:v>
      </x:c>
      <x:c r="E1328" s="11" t="str">
        <x:v>3.02</x:v>
      </x:c>
      <x:c r="F1328" s="11" t="str">
        <x:v>פארם</x:v>
      </x:c>
      <x:c r="G1328" s="17" t="n">
        <x:v>183</x:v>
      </x:c>
      <x:c r="H1328" s="18" t="str">
        <x:v>בריאות</x:v>
      </x:c>
      <x:c r="I1328" s="19" t="str">
        <x:f>IFERROR(INDEX('מיפוי ומקורות'!$C$7:$C$33,MATCH(H1328,'מיפוי ומקורות'!$B$7:$B$33,0)),"לא מסווג")</x:f>
        <x:v>בריאות וטיפולים</x:v>
      </x:c>
      <x:c r="J1328" s="19" t="str">
        <x:f>IFERROR(INDEX('מיפוי ומקורות'!$D$7:$D$33,MATCH(H1328,'מיפוי ומקורות'!$B$7:$B$33,0)),"שוטף")</x:f>
        <x:v>שוטף</x:v>
      </x:c>
      <x:c r="K1328" s="19" t="str">
        <x:f>IF(OR(H1328="ריביות",AND(H1328="דירה כצנלסון",G1328&lt;0,ISNUMBER(SEARCH("הכנסה",F1328)))),"הכנסה שסווגה מחדש",J1328)</x:f>
        <x:v>שוטף</x:v>
      </x:c>
      <x:c r="L1328" s="19" t="str">
        <x:v>מאושר</x:v>
      </x:c>
      <x:c r="M1328" s="20" t="n">
        <x:f>IF(L1328="מאושר",IF(K1328="הכנסה שסווגה מחדש",0,G1328),0)</x:f>
        <x:v>183</x:v>
      </x:c>
      <x:c r="N1328" s="20" t="n">
        <x:f>IF(K1328="שוטף",M1328,0)</x:f>
        <x:v>183</x:v>
      </x:c>
      <x:c r="O1328" s="20" t="n">
        <x:f>IF(K1328="הכנסה שסווגה מחדש",-G1328,0)</x:f>
        <x:v>0</x:v>
      </x:c>
      <x:c r="P1328" s="11" t="str">
        <x:v>אמקס - עינור</x:v>
      </x:c>
      <x:c r="Q1328" s="11" t="str"/>
      <x:c r="R1328" s="11" t="str">
        <x:v>לא</x:v>
      </x:c>
    </x:row>
    <x:row r="1329">
      <x:c r="A1329" s="14" t="n">
        <x:v>46054</x:v>
      </x:c>
      <x:c r="B1329" s="11" t="str">
        <x:v>2026-02</x:v>
      </x:c>
      <x:c r="C1329" s="11" t="str">
        <x:v>פברואר 26</x:v>
      </x:c>
      <x:c r="D1329" s="15" t="n">
        <x:v>17</x:v>
      </x:c>
      <x:c r="E1329" s="11" t="str">
        <x:v>07/02</x:v>
      </x:c>
      <x:c r="F1329" s="11" t="str">
        <x:v>מכולת</x:v>
      </x:c>
      <x:c r="G1329" s="17" t="n">
        <x:v>7</x:v>
      </x:c>
      <x:c r="H1329" s="18" t="str">
        <x:v>מזון לבית</x:v>
      </x:c>
      <x:c r="I1329" s="19" t="str">
        <x:f>IFERROR(INDEX('מיפוי ומקורות'!$C$7:$C$33,MATCH(H1329,'מיפוי ומקורות'!$B$7:$B$33,0)),"לא מסווג")</x:f>
        <x:v>מזון לבית</x:v>
      </x:c>
      <x:c r="J1329" s="19" t="str">
        <x:f>IFERROR(INDEX('מיפוי ומקורות'!$D$7:$D$33,MATCH(H1329,'מיפוי ומקורות'!$B$7:$B$33,0)),"שוטף")</x:f>
        <x:v>שוטף</x:v>
      </x:c>
      <x:c r="K1329" s="19" t="str">
        <x:f>IF(OR(H1329="ריביות",AND(H1329="דירה כצנלסון",G1329&lt;0,ISNUMBER(SEARCH("הכנסה",F1329)))),"הכנסה שסווגה מחדש",J1329)</x:f>
        <x:v>שוטף</x:v>
      </x:c>
      <x:c r="L1329" s="19" t="str">
        <x:v>מאושר</x:v>
      </x:c>
      <x:c r="M1329" s="20" t="n">
        <x:f>IF(L1329="מאושר",IF(K1329="הכנסה שסווגה מחדש",0,G1329),0)</x:f>
        <x:v>7</x:v>
      </x:c>
      <x:c r="N1329" s="20" t="n">
        <x:f>IF(K1329="שוטף",M1329,0)</x:f>
        <x:v>7</x:v>
      </x:c>
      <x:c r="O1329" s="20" t="n">
        <x:f>IF(K1329="הכנסה שסווגה מחדש",-G1329,0)</x:f>
        <x:v>0</x:v>
      </x:c>
      <x:c r="P1329" s="11" t="str">
        <x:v>אמקס - עינור</x:v>
      </x:c>
      <x:c r="Q1329" s="11" t="str"/>
      <x:c r="R1329" s="11" t="str">
        <x:v>לא</x:v>
      </x:c>
    </x:row>
    <x:row r="1330">
      <x:c r="A1330" s="14" t="n">
        <x:v>46054</x:v>
      </x:c>
      <x:c r="B1330" s="11" t="str">
        <x:v>2026-02</x:v>
      </x:c>
      <x:c r="C1330" s="11" t="str">
        <x:v>פברואר 26</x:v>
      </x:c>
      <x:c r="D1330" s="15" t="n">
        <x:v>18</x:v>
      </x:c>
      <x:c r="E1330" s="11" t="str">
        <x:v>09/02</x:v>
      </x:c>
      <x:c r="F1330" s="11" t="str">
        <x:v>אלי</x:v>
      </x:c>
      <x:c r="G1330" s="17" t="n">
        <x:v>38</x:v>
      </x:c>
      <x:c r="H1330" s="18" t="str">
        <x:v>קניות לבית</x:v>
      </x:c>
      <x:c r="I1330" s="19" t="str">
        <x:f>IFERROR(INDEX('מיפוי ומקורות'!$C$7:$C$33,MATCH(H1330,'מיפוי ומקורות'!$B$7:$B$33,0)),"לא מסווג")</x:f>
        <x:v>קניות לבית</x:v>
      </x:c>
      <x:c r="J1330" s="19" t="str">
        <x:f>IFERROR(INDEX('מיפוי ומקורות'!$D$7:$D$33,MATCH(H1330,'מיפוי ומקורות'!$B$7:$B$33,0)),"שוטף")</x:f>
        <x:v>שוטף</x:v>
      </x:c>
      <x:c r="K1330" s="19" t="str">
        <x:f>IF(OR(H1330="ריביות",AND(H1330="דירה כצנלסון",G1330&lt;0,ISNUMBER(SEARCH("הכנסה",F1330)))),"הכנסה שסווגה מחדש",J1330)</x:f>
        <x:v>שוטף</x:v>
      </x:c>
      <x:c r="L1330" s="19" t="str">
        <x:v>מאושר</x:v>
      </x:c>
      <x:c r="M1330" s="20" t="n">
        <x:f>IF(L1330="מאושר",IF(K1330="הכנסה שסווגה מחדש",0,G1330),0)</x:f>
        <x:v>38</x:v>
      </x:c>
      <x:c r="N1330" s="20" t="n">
        <x:f>IF(K1330="שוטף",M1330,0)</x:f>
        <x:v>38</x:v>
      </x:c>
      <x:c r="O1330" s="20" t="n">
        <x:f>IF(K1330="הכנסה שסווגה מחדש",-G1330,0)</x:f>
        <x:v>0</x:v>
      </x:c>
      <x:c r="P1330" s="11" t="str">
        <x:v>אמקס - עינור</x:v>
      </x:c>
      <x:c r="Q1330" s="11" t="str"/>
      <x:c r="R1330" s="11" t="str">
        <x:v>לא</x:v>
      </x:c>
    </x:row>
    <x:row r="1331">
      <x:c r="A1331" s="14" t="n">
        <x:v>46054</x:v>
      </x:c>
      <x:c r="B1331" s="11" t="str">
        <x:v>2026-02</x:v>
      </x:c>
      <x:c r="C1331" s="11" t="str">
        <x:v>פברואר 26</x:v>
      </x:c>
      <x:c r="D1331" s="15" t="n">
        <x:v>19</x:v>
      </x:c>
      <x:c r="E1331" s="11" t="str">
        <x:v>09/02</x:v>
      </x:c>
      <x:c r="F1331" s="11" t="str">
        <x:v>אלי</x:v>
      </x:c>
      <x:c r="G1331" s="17" t="n">
        <x:v>95</x:v>
      </x:c>
      <x:c r="H1331" s="18" t="str">
        <x:v>פנאי</x:v>
      </x:c>
      <x:c r="I1331" s="19" t="str">
        <x:f>IFERROR(INDEX('מיפוי ומקורות'!$C$7:$C$33,MATCH(H1331,'מיפוי ומקורות'!$B$7:$B$33,0)),"לא מסווג")</x:f>
        <x:v>פנאי</x:v>
      </x:c>
      <x:c r="J1331" s="19" t="str">
        <x:f>IFERROR(INDEX('מיפוי ומקורות'!$D$7:$D$33,MATCH(H1331,'מיפוי ומקורות'!$B$7:$B$33,0)),"שוטף")</x:f>
        <x:v>שוטף</x:v>
      </x:c>
      <x:c r="K1331" s="19" t="str">
        <x:f>IF(OR(H1331="ריביות",AND(H1331="דירה כצנלסון",G1331&lt;0,ISNUMBER(SEARCH("הכנסה",F1331)))),"הכנסה שסווגה מחדש",J1331)</x:f>
        <x:v>שוטף</x:v>
      </x:c>
      <x:c r="L1331" s="19" t="str">
        <x:v>מאושר</x:v>
      </x:c>
      <x:c r="M1331" s="20" t="n">
        <x:f>IF(L1331="מאושר",IF(K1331="הכנסה שסווגה מחדש",0,G1331),0)</x:f>
        <x:v>95</x:v>
      </x:c>
      <x:c r="N1331" s="20" t="n">
        <x:f>IF(K1331="שוטף",M1331,0)</x:f>
        <x:v>95</x:v>
      </x:c>
      <x:c r="O1331" s="20" t="n">
        <x:f>IF(K1331="הכנסה שסווגה מחדש",-G1331,0)</x:f>
        <x:v>0</x:v>
      </x:c>
      <x:c r="P1331" s="11" t="str">
        <x:v>אמקס - עינור</x:v>
      </x:c>
      <x:c r="Q1331" s="11" t="str"/>
      <x:c r="R1331" s="11" t="str">
        <x:v>לא</x:v>
      </x:c>
    </x:row>
    <x:row r="1332">
      <x:c r="A1332" s="14" t="n">
        <x:v>46054</x:v>
      </x:c>
      <x:c r="B1332" s="11" t="str">
        <x:v>2026-02</x:v>
      </x:c>
      <x:c r="C1332" s="11" t="str">
        <x:v>פברואר 26</x:v>
      </x:c>
      <x:c r="D1332" s="15" t="n">
        <x:v>20</x:v>
      </x:c>
      <x:c r="E1332" s="11" t="str">
        <x:v>12.02</x:v>
      </x:c>
      <x:c r="F1332" s="11" t="str">
        <x:v>קלוד קוד</x:v>
      </x:c>
      <x:c r="G1332" s="17" t="n">
        <x:v>62</x:v>
      </x:c>
      <x:c r="H1332" s="18" t="str">
        <x:v>אלקטרוניקה</x:v>
      </x:c>
      <x:c r="I1332" s="19" t="str">
        <x:f>IFERROR(INDEX('מיפוי ומקורות'!$C$7:$C$33,MATCH(H1332,'מיפוי ומקורות'!$B$7:$B$33,0)),"לא מסווג")</x:f>
        <x:v>אלקטרוניקה</x:v>
      </x:c>
      <x:c r="J1332" s="19" t="str">
        <x:f>IFERROR(INDEX('מיפוי ומקורות'!$D$7:$D$33,MATCH(H1332,'מיפוי ומקורות'!$B$7:$B$33,0)),"שוטף")</x:f>
        <x:v>שוטף</x:v>
      </x:c>
      <x:c r="K1332" s="19" t="str">
        <x:f>IF(OR(H1332="ריביות",AND(H1332="דירה כצנלסון",G1332&lt;0,ISNUMBER(SEARCH("הכנסה",F1332)))),"הכנסה שסווגה מחדש",J1332)</x:f>
        <x:v>שוטף</x:v>
      </x:c>
      <x:c r="L1332" s="19" t="str">
        <x:v>מאושר</x:v>
      </x:c>
      <x:c r="M1332" s="20" t="n">
        <x:f>IF(L1332="מאושר",IF(K1332="הכנסה שסווגה מחדש",0,G1332),0)</x:f>
        <x:v>62</x:v>
      </x:c>
      <x:c r="N1332" s="20" t="n">
        <x:f>IF(K1332="שוטף",M1332,0)</x:f>
        <x:v>62</x:v>
      </x:c>
      <x:c r="O1332" s="20" t="n">
        <x:f>IF(K1332="הכנסה שסווגה מחדש",-G1332,0)</x:f>
        <x:v>0</x:v>
      </x:c>
      <x:c r="P1332" s="11" t="str">
        <x:v>אמקס - עינור</x:v>
      </x:c>
      <x:c r="Q1332" s="11" t="str"/>
      <x:c r="R1332" s="11" t="str">
        <x:v>לא</x:v>
      </x:c>
    </x:row>
    <x:row r="1333">
      <x:c r="A1333" s="14" t="n">
        <x:v>46054</x:v>
      </x:c>
      <x:c r="B1333" s="11" t="str">
        <x:v>2026-02</x:v>
      </x:c>
      <x:c r="C1333" s="11" t="str">
        <x:v>פברואר 26</x:v>
      </x:c>
      <x:c r="D1333" s="15" t="n">
        <x:v>21</x:v>
      </x:c>
      <x:c r="E1333" s="11" t="str">
        <x:v>12.02</x:v>
      </x:c>
      <x:c r="F1333" s="11" t="str">
        <x:v>סופר</x:v>
      </x:c>
      <x:c r="G1333" s="17" t="n">
        <x:v>25</x:v>
      </x:c>
      <x:c r="H1333" s="18" t="str">
        <x:v>מזון לבית</x:v>
      </x:c>
      <x:c r="I1333" s="19" t="str">
        <x:f>IFERROR(INDEX('מיפוי ומקורות'!$C$7:$C$33,MATCH(H1333,'מיפוי ומקורות'!$B$7:$B$33,0)),"לא מסווג")</x:f>
        <x:v>מזון לבית</x:v>
      </x:c>
      <x:c r="J1333" s="19" t="str">
        <x:f>IFERROR(INDEX('מיפוי ומקורות'!$D$7:$D$33,MATCH(H1333,'מיפוי ומקורות'!$B$7:$B$33,0)),"שוטף")</x:f>
        <x:v>שוטף</x:v>
      </x:c>
      <x:c r="K1333" s="19" t="str">
        <x:f>IF(OR(H1333="ריביות",AND(H1333="דירה כצנלסון",G1333&lt;0,ISNUMBER(SEARCH("הכנסה",F1333)))),"הכנסה שסווגה מחדש",J1333)</x:f>
        <x:v>שוטף</x:v>
      </x:c>
      <x:c r="L1333" s="19" t="str">
        <x:v>מאושר</x:v>
      </x:c>
      <x:c r="M1333" s="20" t="n">
        <x:f>IF(L1333="מאושר",IF(K1333="הכנסה שסווגה מחדש",0,G1333),0)</x:f>
        <x:v>25</x:v>
      </x:c>
      <x:c r="N1333" s="20" t="n">
        <x:f>IF(K1333="שוטף",M1333,0)</x:f>
        <x:v>25</x:v>
      </x:c>
      <x:c r="O1333" s="20" t="n">
        <x:f>IF(K1333="הכנסה שסווגה מחדש",-G1333,0)</x:f>
        <x:v>0</x:v>
      </x:c>
      <x:c r="P1333" s="11" t="str">
        <x:v>אמקס - עינור</x:v>
      </x:c>
      <x:c r="Q1333" s="11" t="str"/>
      <x:c r="R1333" s="11" t="str">
        <x:v>לא</x:v>
      </x:c>
    </x:row>
    <x:row r="1334">
      <x:c r="A1334" s="14" t="n">
        <x:v>46054</x:v>
      </x:c>
      <x:c r="B1334" s="11" t="str">
        <x:v>2026-02</x:v>
      </x:c>
      <x:c r="C1334" s="11" t="str">
        <x:v>פברואר 26</x:v>
      </x:c>
      <x:c r="D1334" s="15" t="n">
        <x:v>22</x:v>
      </x:c>
      <x:c r="E1334" s="11" t="str">
        <x:v>14/02</x:v>
      </x:c>
      <x:c r="F1334" s="11" t="str">
        <x:v>אלי</x:v>
      </x:c>
      <x:c r="G1334" s="17" t="n">
        <x:v>70</x:v>
      </x:c>
      <x:c r="H1334" s="18" t="str">
        <x:v>קניות לבית</x:v>
      </x:c>
      <x:c r="I1334" s="19" t="str">
        <x:f>IFERROR(INDEX('מיפוי ומקורות'!$C$7:$C$33,MATCH(H1334,'מיפוי ומקורות'!$B$7:$B$33,0)),"לא מסווג")</x:f>
        <x:v>קניות לבית</x:v>
      </x:c>
      <x:c r="J1334" s="19" t="str">
        <x:f>IFERROR(INDEX('מיפוי ומקורות'!$D$7:$D$33,MATCH(H1334,'מיפוי ומקורות'!$B$7:$B$33,0)),"שוטף")</x:f>
        <x:v>שוטף</x:v>
      </x:c>
      <x:c r="K1334" s="19" t="str">
        <x:f>IF(OR(H1334="ריביות",AND(H1334="דירה כצנלסון",G1334&lt;0,ISNUMBER(SEARCH("הכנסה",F1334)))),"הכנסה שסווגה מחדש",J1334)</x:f>
        <x:v>שוטף</x:v>
      </x:c>
      <x:c r="L1334" s="19" t="str">
        <x:v>מאושר</x:v>
      </x:c>
      <x:c r="M1334" s="20" t="n">
        <x:f>IF(L1334="מאושר",IF(K1334="הכנסה שסווגה מחדש",0,G1334),0)</x:f>
        <x:v>70</x:v>
      </x:c>
      <x:c r="N1334" s="20" t="n">
        <x:f>IF(K1334="שוטף",M1334,0)</x:f>
        <x:v>70</x:v>
      </x:c>
      <x:c r="O1334" s="20" t="n">
        <x:f>IF(K1334="הכנסה שסווגה מחדש",-G1334,0)</x:f>
        <x:v>0</x:v>
      </x:c>
      <x:c r="P1334" s="11" t="str">
        <x:v>אמקס - עינור</x:v>
      </x:c>
      <x:c r="Q1334" s="11" t="str"/>
      <x:c r="R1334" s="11" t="str">
        <x:v>לא</x:v>
      </x:c>
    </x:row>
    <x:row r="1335">
      <x:c r="A1335" s="14" t="n">
        <x:v>46054</x:v>
      </x:c>
      <x:c r="B1335" s="11" t="str">
        <x:v>2026-02</x:v>
      </x:c>
      <x:c r="C1335" s="11" t="str">
        <x:v>פברואר 26</x:v>
      </x:c>
      <x:c r="D1335" s="15" t="n">
        <x:v>23</x:v>
      </x:c>
      <x:c r="E1335" s="11" t="str">
        <x:v>15/02</x:v>
      </x:c>
      <x:c r="F1335" s="11" t="str">
        <x:v>אלי</x:v>
      </x:c>
      <x:c r="G1335" s="17" t="n">
        <x:v>122</x:v>
      </x:c>
      <x:c r="H1335" s="18" t="str">
        <x:v>פנאי</x:v>
      </x:c>
      <x:c r="I1335" s="19" t="str">
        <x:f>IFERROR(INDEX('מיפוי ומקורות'!$C$7:$C$33,MATCH(H1335,'מיפוי ומקורות'!$B$7:$B$33,0)),"לא מסווג")</x:f>
        <x:v>פנאי</x:v>
      </x:c>
      <x:c r="J1335" s="19" t="str">
        <x:f>IFERROR(INDEX('מיפוי ומקורות'!$D$7:$D$33,MATCH(H1335,'מיפוי ומקורות'!$B$7:$B$33,0)),"שוטף")</x:f>
        <x:v>שוטף</x:v>
      </x:c>
      <x:c r="K1335" s="19" t="str">
        <x:f>IF(OR(H1335="ריביות",AND(H1335="דירה כצנלסון",G1335&lt;0,ISNUMBER(SEARCH("הכנסה",F1335)))),"הכנסה שסווגה מחדש",J1335)</x:f>
        <x:v>שוטף</x:v>
      </x:c>
      <x:c r="L1335" s="19" t="str">
        <x:v>מאושר</x:v>
      </x:c>
      <x:c r="M1335" s="20" t="n">
        <x:f>IF(L1335="מאושר",IF(K1335="הכנסה שסווגה מחדש",0,G1335),0)</x:f>
        <x:v>122</x:v>
      </x:c>
      <x:c r="N1335" s="20" t="n">
        <x:f>IF(K1335="שוטף",M1335,0)</x:f>
        <x:v>122</x:v>
      </x:c>
      <x:c r="O1335" s="20" t="n">
        <x:f>IF(K1335="הכנסה שסווגה מחדש",-G1335,0)</x:f>
        <x:v>0</x:v>
      </x:c>
      <x:c r="P1335" s="11" t="str">
        <x:v>אמקס - עינור</x:v>
      </x:c>
      <x:c r="Q1335" s="11" t="str"/>
      <x:c r="R1335" s="11" t="str">
        <x:v>לא</x:v>
      </x:c>
    </x:row>
    <x:row r="1336">
      <x:c r="A1336" s="14" t="n">
        <x:v>46054</x:v>
      </x:c>
      <x:c r="B1336" s="11" t="str">
        <x:v>2026-02</x:v>
      </x:c>
      <x:c r="C1336" s="11" t="str">
        <x:v>פברואר 26</x:v>
      </x:c>
      <x:c r="D1336" s="15" t="n">
        <x:v>24</x:v>
      </x:c>
      <x:c r="E1336" s="11" t="str">
        <x:v>15/02</x:v>
      </x:c>
      <x:c r="F1336" s="11" t="str">
        <x:v>בקבוקים</x:v>
      </x:c>
      <x:c r="G1336" s="17" t="n">
        <x:v>200</x:v>
      </x:c>
      <x:c r="H1336" s="18" t="str">
        <x:v>קניות לבית</x:v>
      </x:c>
      <x:c r="I1336" s="19" t="str">
        <x:f>IFERROR(INDEX('מיפוי ומקורות'!$C$7:$C$33,MATCH(H1336,'מיפוי ומקורות'!$B$7:$B$33,0)),"לא מסווג")</x:f>
        <x:v>קניות לבית</x:v>
      </x:c>
      <x:c r="J1336" s="19" t="str">
        <x:f>IFERROR(INDEX('מיפוי ומקורות'!$D$7:$D$33,MATCH(H1336,'מיפוי ומקורות'!$B$7:$B$33,0)),"שוטף")</x:f>
        <x:v>שוטף</x:v>
      </x:c>
      <x:c r="K1336" s="19" t="str">
        <x:f>IF(OR(H1336="ריביות",AND(H1336="דירה כצנלסון",G1336&lt;0,ISNUMBER(SEARCH("הכנסה",F1336)))),"הכנסה שסווגה מחדש",J1336)</x:f>
        <x:v>שוטף</x:v>
      </x:c>
      <x:c r="L1336" s="19" t="str">
        <x:v>מאושר</x:v>
      </x:c>
      <x:c r="M1336" s="20" t="n">
        <x:f>IF(L1336="מאושר",IF(K1336="הכנסה שסווגה מחדש",0,G1336),0)</x:f>
        <x:v>200</x:v>
      </x:c>
      <x:c r="N1336" s="20" t="n">
        <x:f>IF(K1336="שוטף",M1336,0)</x:f>
        <x:v>200</x:v>
      </x:c>
      <x:c r="O1336" s="20" t="n">
        <x:f>IF(K1336="הכנסה שסווגה מחדש",-G1336,0)</x:f>
        <x:v>0</x:v>
      </x:c>
      <x:c r="P1336" s="11" t="str">
        <x:v>אמקס - עינור</x:v>
      </x:c>
      <x:c r="Q1336" s="11" t="str"/>
      <x:c r="R1336" s="11" t="str">
        <x:v>לא</x:v>
      </x:c>
    </x:row>
    <x:row r="1337">
      <x:c r="A1337" s="14" t="n">
        <x:v>46054</x:v>
      </x:c>
      <x:c r="B1337" s="11" t="str">
        <x:v>2026-02</x:v>
      </x:c>
      <x:c r="C1337" s="11" t="str">
        <x:v>פברואר 26</x:v>
      </x:c>
      <x:c r="D1337" s="15" t="n">
        <x:v>25</x:v>
      </x:c>
      <x:c r="E1337" s="11" t="str">
        <x:v>16.02</x:v>
      </x:c>
      <x:c r="F1337" s="11" t="str">
        <x:v>SHEIN.COM</x:v>
      </x:c>
      <x:c r="G1337" s="17" t="n">
        <x:v>196</x:v>
      </x:c>
      <x:c r="H1337" s="18" t="str">
        <x:v>אופנה</x:v>
      </x:c>
      <x:c r="I1337" s="19" t="str">
        <x:f>IFERROR(INDEX('מיפוי ומקורות'!$C$7:$C$33,MATCH(H1337,'מיפוי ומקורות'!$B$7:$B$33,0)),"לא מסווג")</x:f>
        <x:v>אופנה</x:v>
      </x:c>
      <x:c r="J1337" s="19" t="str">
        <x:f>IFERROR(INDEX('מיפוי ומקורות'!$D$7:$D$33,MATCH(H1337,'מיפוי ומקורות'!$B$7:$B$33,0)),"שוטף")</x:f>
        <x:v>שוטף</x:v>
      </x:c>
      <x:c r="K1337" s="19" t="str">
        <x:f>IF(OR(H1337="ריביות",AND(H1337="דירה כצנלסון",G1337&lt;0,ISNUMBER(SEARCH("הכנסה",F1337)))),"הכנסה שסווגה מחדש",J1337)</x:f>
        <x:v>שוטף</x:v>
      </x:c>
      <x:c r="L1337" s="19" t="str">
        <x:v>מאושר</x:v>
      </x:c>
      <x:c r="M1337" s="20" t="n">
        <x:f>IF(L1337="מאושר",IF(K1337="הכנסה שסווגה מחדש",0,G1337),0)</x:f>
        <x:v>196</x:v>
      </x:c>
      <x:c r="N1337" s="20" t="n">
        <x:f>IF(K1337="שוטף",M1337,0)</x:f>
        <x:v>196</x:v>
      </x:c>
      <x:c r="O1337" s="20" t="n">
        <x:f>IF(K1337="הכנסה שסווגה מחדש",-G1337,0)</x:f>
        <x:v>0</x:v>
      </x:c>
      <x:c r="P1337" s="11" t="str">
        <x:v>אמקס - עינור</x:v>
      </x:c>
      <x:c r="Q1337" s="11" t="str"/>
      <x:c r="R1337" s="11" t="str">
        <x:v>לא</x:v>
      </x:c>
    </x:row>
    <x:row r="1338">
      <x:c r="A1338" s="14" t="n">
        <x:v>46054</x:v>
      </x:c>
      <x:c r="B1338" s="11" t="str">
        <x:v>2026-02</x:v>
      </x:c>
      <x:c r="C1338" s="11" t="str">
        <x:v>פברואר 26</x:v>
      </x:c>
      <x:c r="D1338" s="15" t="n">
        <x:v>26</x:v>
      </x:c>
      <x:c r="E1338" s="11" t="str">
        <x:v>16/02</x:v>
      </x:c>
      <x:c r="F1338" s="11" t="str">
        <x:v>אלי</x:v>
      </x:c>
      <x:c r="G1338" s="17" t="n">
        <x:v>98</x:v>
      </x:c>
      <x:c r="H1338" s="18" t="str">
        <x:v>קניות לבית</x:v>
      </x:c>
      <x:c r="I1338" s="19" t="str">
        <x:f>IFERROR(INDEX('מיפוי ומקורות'!$C$7:$C$33,MATCH(H1338,'מיפוי ומקורות'!$B$7:$B$33,0)),"לא מסווג")</x:f>
        <x:v>קניות לבית</x:v>
      </x:c>
      <x:c r="J1338" s="19" t="str">
        <x:f>IFERROR(INDEX('מיפוי ומקורות'!$D$7:$D$33,MATCH(H1338,'מיפוי ומקורות'!$B$7:$B$33,0)),"שוטף")</x:f>
        <x:v>שוטף</x:v>
      </x:c>
      <x:c r="K1338" s="19" t="str">
        <x:f>IF(OR(H1338="ריביות",AND(H1338="דירה כצנלסון",G1338&lt;0,ISNUMBER(SEARCH("הכנסה",F1338)))),"הכנסה שסווגה מחדש",J1338)</x:f>
        <x:v>שוטף</x:v>
      </x:c>
      <x:c r="L1338" s="19" t="str">
        <x:v>מאושר</x:v>
      </x:c>
      <x:c r="M1338" s="20" t="n">
        <x:f>IF(L1338="מאושר",IF(K1338="הכנסה שסווגה מחדש",0,G1338),0)</x:f>
        <x:v>98</x:v>
      </x:c>
      <x:c r="N1338" s="20" t="n">
        <x:f>IF(K1338="שוטף",M1338,0)</x:f>
        <x:v>98</x:v>
      </x:c>
      <x:c r="O1338" s="20" t="n">
        <x:f>IF(K1338="הכנסה שסווגה מחדש",-G1338,0)</x:f>
        <x:v>0</x:v>
      </x:c>
      <x:c r="P1338" s="11" t="str">
        <x:v>אמקס - עינור</x:v>
      </x:c>
      <x:c r="Q1338" s="11" t="str"/>
      <x:c r="R1338" s="11" t="str">
        <x:v>לא</x:v>
      </x:c>
    </x:row>
    <x:row r="1339">
      <x:c r="A1339" s="14" t="n">
        <x:v>46054</x:v>
      </x:c>
      <x:c r="B1339" s="11" t="str">
        <x:v>2026-02</x:v>
      </x:c>
      <x:c r="C1339" s="11" t="str">
        <x:v>פברואר 26</x:v>
      </x:c>
      <x:c r="D1339" s="15" t="n">
        <x:v>27</x:v>
      </x:c>
      <x:c r="E1339" s="11" t="str">
        <x:v>24/02</x:v>
      </x:c>
      <x:c r="F1339" s="11" t="str">
        <x:v>גבות</x:v>
      </x:c>
      <x:c r="G1339" s="17" t="n">
        <x:v>60</x:v>
      </x:c>
      <x:c r="H1339" s="18" t="str">
        <x:v>קוסמטיקה</x:v>
      </x:c>
      <x:c r="I1339" s="19" t="str">
        <x:f>IFERROR(INDEX('מיפוי ומקורות'!$C$7:$C$33,MATCH(H1339,'מיפוי ומקורות'!$B$7:$B$33,0)),"לא מסווג")</x:f>
        <x:v>קוסמטיקה</x:v>
      </x:c>
      <x:c r="J1339" s="19" t="str">
        <x:f>IFERROR(INDEX('מיפוי ומקורות'!$D$7:$D$33,MATCH(H1339,'מיפוי ומקורות'!$B$7:$B$33,0)),"שוטף")</x:f>
        <x:v>שוטף</x:v>
      </x:c>
      <x:c r="K1339" s="19" t="str">
        <x:f>IF(OR(H1339="ריביות",AND(H1339="דירה כצנלסון",G1339&lt;0,ISNUMBER(SEARCH("הכנסה",F1339)))),"הכנסה שסווגה מחדש",J1339)</x:f>
        <x:v>שוטף</x:v>
      </x:c>
      <x:c r="L1339" s="19" t="str">
        <x:v>מאושר</x:v>
      </x:c>
      <x:c r="M1339" s="20" t="n">
        <x:f>IF(L1339="מאושר",IF(K1339="הכנסה שסווגה מחדש",0,G1339),0)</x:f>
        <x:v>60</x:v>
      </x:c>
      <x:c r="N1339" s="20" t="n">
        <x:f>IF(K1339="שוטף",M1339,0)</x:f>
        <x:v>60</x:v>
      </x:c>
      <x:c r="O1339" s="20" t="n">
        <x:f>IF(K1339="הכנסה שסווגה מחדש",-G1339,0)</x:f>
        <x:v>0</x:v>
      </x:c>
      <x:c r="P1339" s="11" t="str">
        <x:v>אמקס - עינור</x:v>
      </x:c>
      <x:c r="Q1339" s="11" t="str"/>
      <x:c r="R1339" s="11" t="str">
        <x:v>לא</x:v>
      </x:c>
    </x:row>
    <x:row r="1340">
      <x:c r="A1340" s="14" t="n">
        <x:v>46054</x:v>
      </x:c>
      <x:c r="B1340" s="11" t="str">
        <x:v>2026-02</x:v>
      </x:c>
      <x:c r="C1340" s="11" t="str">
        <x:v>פברואר 26</x:v>
      </x:c>
      <x:c r="D1340" s="15" t="n">
        <x:v>28</x:v>
      </x:c>
      <x:c r="E1340" s="11" t="str">
        <x:v>8.01</x:v>
      </x:c>
      <x:c r="F1340" s="11" t="str">
        <x:v>קורקינט</x:v>
      </x:c>
      <x:c r="G1340" s="17" t="n">
        <x:v>19</x:v>
      </x:c>
      <x:c r="H1340" s="18" t="str">
        <x:v>תחבורה</x:v>
      </x:c>
      <x:c r="I1340" s="19" t="str">
        <x:f>IFERROR(INDEX('מיפוי ומקורות'!$C$7:$C$33,MATCH(H1340,'מיפוי ומקורות'!$B$7:$B$33,0)),"לא מסווג")</x:f>
        <x:v>תחבורה</x:v>
      </x:c>
      <x:c r="J1340" s="19" t="str">
        <x:f>IFERROR(INDEX('מיפוי ומקורות'!$D$7:$D$33,MATCH(H1340,'מיפוי ומקורות'!$B$7:$B$33,0)),"שוטף")</x:f>
        <x:v>שוטף</x:v>
      </x:c>
      <x:c r="K1340" s="19" t="str">
        <x:f>IF(OR(H1340="ריביות",AND(H1340="דירה כצנלסון",G1340&lt;0,ISNUMBER(SEARCH("הכנסה",F1340)))),"הכנסה שסווגה מחדש",J1340)</x:f>
        <x:v>שוטף</x:v>
      </x:c>
      <x:c r="L1340" s="19" t="str">
        <x:v>מאושר</x:v>
      </x:c>
      <x:c r="M1340" s="20" t="n">
        <x:f>IF(L1340="מאושר",IF(K1340="הכנסה שסווגה מחדש",0,G1340),0)</x:f>
        <x:v>19</x:v>
      </x:c>
      <x:c r="N1340" s="20" t="n">
        <x:f>IF(K1340="שוטף",M1340,0)</x:f>
        <x:v>19</x:v>
      </x:c>
      <x:c r="O1340" s="20" t="n">
        <x:f>IF(K1340="הכנסה שסווגה מחדש",-G1340,0)</x:f>
        <x:v>0</x:v>
      </x:c>
      <x:c r="P1340" s="11" t="str">
        <x:v>אמקס - זיו</x:v>
      </x:c>
      <x:c r="Q1340" s="11" t="str"/>
      <x:c r="R1340" s="11" t="str">
        <x:v>לא</x:v>
      </x:c>
    </x:row>
    <x:row r="1341">
      <x:c r="A1341" s="14" t="n">
        <x:v>46054</x:v>
      </x:c>
      <x:c r="B1341" s="11" t="str">
        <x:v>2026-02</x:v>
      </x:c>
      <x:c r="C1341" s="11" t="str">
        <x:v>פברואר 26</x:v>
      </x:c>
      <x:c r="D1341" s="15" t="n">
        <x:v>29</x:v>
      </x:c>
      <x:c r="E1341" s="11" t="str">
        <x:v>15.01</x:v>
      </x:c>
      <x:c r="F1341" s="11" t="str">
        <x:v>קאנטרי</x:v>
      </x:c>
      <x:c r="G1341" s="17" t="n">
        <x:v>632</x:v>
      </x:c>
      <x:c r="H1341" s="18" t="str">
        <x:v>ספורט</x:v>
      </x:c>
      <x:c r="I1341" s="19" t="str">
        <x:f>IFERROR(INDEX('מיפוי ומקורות'!$C$7:$C$33,MATCH(H1341,'מיפוי ומקורות'!$B$7:$B$33,0)),"לא מסווג")</x:f>
        <x:v>ספורט</x:v>
      </x:c>
      <x:c r="J1341" s="19" t="str">
        <x:f>IFERROR(INDEX('מיפוי ומקורות'!$D$7:$D$33,MATCH(H1341,'מיפוי ומקורות'!$B$7:$B$33,0)),"שוטף")</x:f>
        <x:v>שוטף</x:v>
      </x:c>
      <x:c r="K1341" s="19" t="str">
        <x:f>IF(OR(H1341="ריביות",AND(H1341="דירה כצנלסון",G1341&lt;0,ISNUMBER(SEARCH("הכנסה",F1341)))),"הכנסה שסווגה מחדש",J1341)</x:f>
        <x:v>שוטף</x:v>
      </x:c>
      <x:c r="L1341" s="19" t="str">
        <x:v>מאושר</x:v>
      </x:c>
      <x:c r="M1341" s="20" t="n">
        <x:f>IF(L1341="מאושר",IF(K1341="הכנסה שסווגה מחדש",0,G1341),0)</x:f>
        <x:v>632</x:v>
      </x:c>
      <x:c r="N1341" s="20" t="n">
        <x:f>IF(K1341="שוטף",M1341,0)</x:f>
        <x:v>632</x:v>
      </x:c>
      <x:c r="O1341" s="20" t="n">
        <x:f>IF(K1341="הכנסה שסווגה מחדש",-G1341,0)</x:f>
        <x:v>0</x:v>
      </x:c>
      <x:c r="P1341" s="11" t="str">
        <x:v>אמקס - זיו</x:v>
      </x:c>
      <x:c r="Q1341" s="11" t="str"/>
      <x:c r="R1341" s="11" t="str">
        <x:v>לא</x:v>
      </x:c>
    </x:row>
    <x:row r="1342">
      <x:c r="A1342" s="14" t="n">
        <x:v>46054</x:v>
      </x:c>
      <x:c r="B1342" s="11" t="str">
        <x:v>2026-02</x:v>
      </x:c>
      <x:c r="C1342" s="11" t="str">
        <x:v>פברואר 26</x:v>
      </x:c>
      <x:c r="D1342" s="15" t="n">
        <x:v>30</x:v>
      </x:c>
      <x:c r="E1342" s="11" t="str">
        <x:v>23/01</x:v>
      </x:c>
      <x:c r="F1342" s="11" t="str">
        <x:v>חלבון</x:v>
      </x:c>
      <x:c r="G1342" s="17" t="n">
        <x:v>362</x:v>
      </x:c>
      <x:c r="H1342" s="18" t="str">
        <x:v>מזון לבית</x:v>
      </x:c>
      <x:c r="I1342" s="19" t="str">
        <x:f>IFERROR(INDEX('מיפוי ומקורות'!$C$7:$C$33,MATCH(H1342,'מיפוי ומקורות'!$B$7:$B$33,0)),"לא מסווג")</x:f>
        <x:v>מזון לבית</x:v>
      </x:c>
      <x:c r="J1342" s="19" t="str">
        <x:f>IFERROR(INDEX('מיפוי ומקורות'!$D$7:$D$33,MATCH(H1342,'מיפוי ומקורות'!$B$7:$B$33,0)),"שוטף")</x:f>
        <x:v>שוטף</x:v>
      </x:c>
      <x:c r="K1342" s="19" t="str">
        <x:f>IF(OR(H1342="ריביות",AND(H1342="דירה כצנלסון",G1342&lt;0,ISNUMBER(SEARCH("הכנסה",F1342)))),"הכנסה שסווגה מחדש",J1342)</x:f>
        <x:v>שוטף</x:v>
      </x:c>
      <x:c r="L1342" s="19" t="str">
        <x:v>מאושר</x:v>
      </x:c>
      <x:c r="M1342" s="20" t="n">
        <x:f>IF(L1342="מאושר",IF(K1342="הכנסה שסווגה מחדש",0,G1342),0)</x:f>
        <x:v>362</x:v>
      </x:c>
      <x:c r="N1342" s="20" t="n">
        <x:f>IF(K1342="שוטף",M1342,0)</x:f>
        <x:v>362</x:v>
      </x:c>
      <x:c r="O1342" s="20" t="n">
        <x:f>IF(K1342="הכנסה שסווגה מחדש",-G1342,0)</x:f>
        <x:v>0</x:v>
      </x:c>
      <x:c r="P1342" s="11" t="str">
        <x:v>אמקס - זיו</x:v>
      </x:c>
      <x:c r="Q1342" s="11" t="str"/>
      <x:c r="R1342" s="11" t="str">
        <x:v>לא</x:v>
      </x:c>
    </x:row>
    <x:row r="1343">
      <x:c r="A1343" s="14" t="n">
        <x:v>46054</x:v>
      </x:c>
      <x:c r="B1343" s="11" t="str">
        <x:v>2026-02</x:v>
      </x:c>
      <x:c r="C1343" s="11" t="str">
        <x:v>פברואר 26</x:v>
      </x:c>
      <x:c r="D1343" s="15" t="n">
        <x:v>31</x:v>
      </x:c>
      <x:c r="E1343" s="11" t="str">
        <x:v>26.01</x:v>
      </x:c>
      <x:c r="F1343" s="11" t="str">
        <x:v>ביטוח רכב חובה</x:v>
      </x:c>
      <x:c r="G1343" s="17" t="n">
        <x:v>130</x:v>
      </x:c>
      <x:c r="H1343" s="18" t="str">
        <x:v>תחבורה</x:v>
      </x:c>
      <x:c r="I1343" s="19" t="str">
        <x:f>IFERROR(INDEX('מיפוי ומקורות'!$C$7:$C$33,MATCH(H1343,'מיפוי ומקורות'!$B$7:$B$33,0)),"לא מסווג")</x:f>
        <x:v>תחבורה</x:v>
      </x:c>
      <x:c r="J1343" s="19" t="str">
        <x:f>IFERROR(INDEX('מיפוי ומקורות'!$D$7:$D$33,MATCH(H1343,'מיפוי ומקורות'!$B$7:$B$33,0)),"שוטף")</x:f>
        <x:v>שוטף</x:v>
      </x:c>
      <x:c r="K1343" s="19" t="str">
        <x:f>IF(OR(H1343="ריביות",AND(H1343="דירה כצנלסון",G1343&lt;0,ISNUMBER(SEARCH("הכנסה",F1343)))),"הכנסה שסווגה מחדש",J1343)</x:f>
        <x:v>שוטף</x:v>
      </x:c>
      <x:c r="L1343" s="19" t="str">
        <x:v>מאושר</x:v>
      </x:c>
      <x:c r="M1343" s="20" t="n">
        <x:f>IF(L1343="מאושר",IF(K1343="הכנסה שסווגה מחדש",0,G1343),0)</x:f>
        <x:v>130</x:v>
      </x:c>
      <x:c r="N1343" s="20" t="n">
        <x:f>IF(K1343="שוטף",M1343,0)</x:f>
        <x:v>130</x:v>
      </x:c>
      <x:c r="O1343" s="20" t="n">
        <x:f>IF(K1343="הכנסה שסווגה מחדש",-G1343,0)</x:f>
        <x:v>0</x:v>
      </x:c>
      <x:c r="P1343" s="11" t="str">
        <x:v>אמקס - זיו</x:v>
      </x:c>
      <x:c r="Q1343" s="11" t="str"/>
      <x:c r="R1343" s="11" t="str">
        <x:v>לא</x:v>
      </x:c>
    </x:row>
    <x:row r="1344">
      <x:c r="A1344" s="14" t="n">
        <x:v>46054</x:v>
      </x:c>
      <x:c r="B1344" s="11" t="str">
        <x:v>2026-02</x:v>
      </x:c>
      <x:c r="C1344" s="11" t="str">
        <x:v>פברואר 26</x:v>
      </x:c>
      <x:c r="D1344" s="15" t="n">
        <x:v>32</x:v>
      </x:c>
      <x:c r="E1344" s="11" t="str">
        <x:v>1.02</x:v>
      </x:c>
      <x:c r="F1344" s="11" t="str">
        <x:v>סופר</x:v>
      </x:c>
      <x:c r="G1344" s="17" t="n">
        <x:v>84</x:v>
      </x:c>
      <x:c r="H1344" s="18" t="str">
        <x:v>מזון לבית</x:v>
      </x:c>
      <x:c r="I1344" s="19" t="str">
        <x:f>IFERROR(INDEX('מיפוי ומקורות'!$C$7:$C$33,MATCH(H1344,'מיפוי ומקורות'!$B$7:$B$33,0)),"לא מסווג")</x:f>
        <x:v>מזון לבית</x:v>
      </x:c>
      <x:c r="J1344" s="19" t="str">
        <x:f>IFERROR(INDEX('מיפוי ומקורות'!$D$7:$D$33,MATCH(H1344,'מיפוי ומקורות'!$B$7:$B$33,0)),"שוטף")</x:f>
        <x:v>שוטף</x:v>
      </x:c>
      <x:c r="K1344" s="19" t="str">
        <x:f>IF(OR(H1344="ריביות",AND(H1344="דירה כצנלסון",G1344&lt;0,ISNUMBER(SEARCH("הכנסה",F1344)))),"הכנסה שסווגה מחדש",J1344)</x:f>
        <x:v>שוטף</x:v>
      </x:c>
      <x:c r="L1344" s="19" t="str">
        <x:v>מאושר</x:v>
      </x:c>
      <x:c r="M1344" s="20" t="n">
        <x:f>IF(L1344="מאושר",IF(K1344="הכנסה שסווגה מחדש",0,G1344),0)</x:f>
        <x:v>84</x:v>
      </x:c>
      <x:c r="N1344" s="20" t="n">
        <x:f>IF(K1344="שוטף",M1344,0)</x:f>
        <x:v>84</x:v>
      </x:c>
      <x:c r="O1344" s="20" t="n">
        <x:f>IF(K1344="הכנסה שסווגה מחדש",-G1344,0)</x:f>
        <x:v>0</x:v>
      </x:c>
      <x:c r="P1344" s="11" t="str">
        <x:v>אמקס - זיו</x:v>
      </x:c>
      <x:c r="Q1344" s="11" t="str"/>
      <x:c r="R1344" s="11" t="str">
        <x:v>לא</x:v>
      </x:c>
    </x:row>
    <x:row r="1345">
      <x:c r="A1345" s="14" t="n">
        <x:v>46054</x:v>
      </x:c>
      <x:c r="B1345" s="11" t="str">
        <x:v>2026-02</x:v>
      </x:c>
      <x:c r="C1345" s="11" t="str">
        <x:v>פברואר 26</x:v>
      </x:c>
      <x:c r="D1345" s="15" t="n">
        <x:v>34</x:v>
      </x:c>
      <x:c r="E1345" s="11" t="str">
        <x:v>3.02</x:v>
      </x:c>
      <x:c r="F1345" s="11" t="str">
        <x:v>דלק</x:v>
      </x:c>
      <x:c r="G1345" s="17" t="n">
        <x:v>192</x:v>
      </x:c>
      <x:c r="H1345" s="18" t="str">
        <x:v>תחבורה</x:v>
      </x:c>
      <x:c r="I1345" s="19" t="str">
        <x:f>IFERROR(INDEX('מיפוי ומקורות'!$C$7:$C$33,MATCH(H1345,'מיפוי ומקורות'!$B$7:$B$33,0)),"לא מסווג")</x:f>
        <x:v>תחבורה</x:v>
      </x:c>
      <x:c r="J1345" s="19" t="str">
        <x:f>IFERROR(INDEX('מיפוי ומקורות'!$D$7:$D$33,MATCH(H1345,'מיפוי ומקורות'!$B$7:$B$33,0)),"שוטף")</x:f>
        <x:v>שוטף</x:v>
      </x:c>
      <x:c r="K1345" s="19" t="str">
        <x:f>IF(OR(H1345="ריביות",AND(H1345="דירה כצנלסון",G1345&lt;0,ISNUMBER(SEARCH("הכנסה",F1345)))),"הכנסה שסווגה מחדש",J1345)</x:f>
        <x:v>שוטף</x:v>
      </x:c>
      <x:c r="L1345" s="19" t="str">
        <x:v>מאושר</x:v>
      </x:c>
      <x:c r="M1345" s="20" t="n">
        <x:f>IF(L1345="מאושר",IF(K1345="הכנסה שסווגה מחדש",0,G1345),0)</x:f>
        <x:v>192</x:v>
      </x:c>
      <x:c r="N1345" s="20" t="n">
        <x:f>IF(K1345="שוטף",M1345,0)</x:f>
        <x:v>192</x:v>
      </x:c>
      <x:c r="O1345" s="20" t="n">
        <x:f>IF(K1345="הכנסה שסווגה מחדש",-G1345,0)</x:f>
        <x:v>0</x:v>
      </x:c>
      <x:c r="P1345" s="11" t="str">
        <x:v>אמקס - זיו</x:v>
      </x:c>
      <x:c r="Q1345" s="11" t="str"/>
      <x:c r="R1345" s="11" t="str">
        <x:v>לא</x:v>
      </x:c>
    </x:row>
    <x:row r="1346">
      <x:c r="A1346" s="14" t="n">
        <x:v>46054</x:v>
      </x:c>
      <x:c r="B1346" s="11" t="str">
        <x:v>2026-02</x:v>
      </x:c>
      <x:c r="C1346" s="11" t="str">
        <x:v>פברואר 26</x:v>
      </x:c>
      <x:c r="D1346" s="15" t="n">
        <x:v>35</x:v>
      </x:c>
      <x:c r="E1346" s="11" t="str">
        <x:v>03/02</x:v>
      </x:c>
      <x:c r="F1346" s="11" t="str">
        <x:v>העברה ב BIT בנה"פ</x:v>
      </x:c>
      <x:c r="G1346" s="17" t="n">
        <x:v>20</x:v>
      </x:c>
      <x:c r="H1346" s="18" t="str">
        <x:v>מתנה</x:v>
      </x:c>
      <x:c r="I1346" s="19" t="str">
        <x:f>IFERROR(INDEX('מיפוי ומקורות'!$C$7:$C$33,MATCH(H1346,'מיפוי ומקורות'!$B$7:$B$33,0)),"לא מסווג")</x:f>
        <x:v>מתנה</x:v>
      </x:c>
      <x:c r="J1346" s="19" t="str">
        <x:f>IFERROR(INDEX('מיפוי ומקורות'!$D$7:$D$33,MATCH(H1346,'מיפוי ומקורות'!$B$7:$B$33,0)),"שוטף")</x:f>
        <x:v>שוטף</x:v>
      </x:c>
      <x:c r="K1346" s="19" t="str">
        <x:f>IF(OR(H1346="ריביות",AND(H1346="דירה כצנלסון",G1346&lt;0,ISNUMBER(SEARCH("הכנסה",F1346)))),"הכנסה שסווגה מחדש",J1346)</x:f>
        <x:v>שוטף</x:v>
      </x:c>
      <x:c r="L1346" s="19" t="str">
        <x:v>מאושר</x:v>
      </x:c>
      <x:c r="M1346" s="20" t="n">
        <x:f>IF(L1346="מאושר",IF(K1346="הכנסה שסווגה מחדש",0,G1346),0)</x:f>
        <x:v>20</x:v>
      </x:c>
      <x:c r="N1346" s="20" t="n">
        <x:f>IF(K1346="שוטף",M1346,0)</x:f>
        <x:v>20</x:v>
      </x:c>
      <x:c r="O1346" s="20" t="n">
        <x:f>IF(K1346="הכנסה שסווגה מחדש",-G1346,0)</x:f>
        <x:v>0</x:v>
      </x:c>
      <x:c r="P1346" s="11" t="str">
        <x:v>אמקס - זיו</x:v>
      </x:c>
      <x:c r="Q1346" s="11" t="str"/>
      <x:c r="R1346" s="11" t="str">
        <x:v>לא</x:v>
      </x:c>
    </x:row>
    <x:row r="1347">
      <x:c r="A1347" s="14" t="n">
        <x:v>46054</x:v>
      </x:c>
      <x:c r="B1347" s="11" t="str">
        <x:v>2026-02</x:v>
      </x:c>
      <x:c r="C1347" s="11" t="str">
        <x:v>פברואר 26</x:v>
      </x:c>
      <x:c r="D1347" s="15" t="n">
        <x:v>36</x:v>
      </x:c>
      <x:c r="E1347" s="11" t="str">
        <x:v>5.02</x:v>
      </x:c>
      <x:c r="F1347" s="11" t="str">
        <x:v>פיצוציה</x:v>
      </x:c>
      <x:c r="G1347" s="17" t="n">
        <x:v>12</x:v>
      </x:c>
      <x:c r="H1347" s="18" t="str">
        <x:v>אוכל בחוץ</x:v>
      </x:c>
      <x:c r="I1347" s="19" t="str">
        <x:f>IFERROR(INDEX('מיפוי ומקורות'!$C$7:$C$33,MATCH(H1347,'מיפוי ומקורות'!$B$7:$B$33,0)),"לא מסווג")</x:f>
        <x:v>אוכל בחוץ</x:v>
      </x:c>
      <x:c r="J1347" s="19" t="str">
        <x:f>IFERROR(INDEX('מיפוי ומקורות'!$D$7:$D$33,MATCH(H1347,'מיפוי ומקורות'!$B$7:$B$33,0)),"שוטף")</x:f>
        <x:v>שוטף</x:v>
      </x:c>
      <x:c r="K1347" s="19" t="str">
        <x:f>IF(OR(H1347="ריביות",AND(H1347="דירה כצנלסון",G1347&lt;0,ISNUMBER(SEARCH("הכנסה",F1347)))),"הכנסה שסווגה מחדש",J1347)</x:f>
        <x:v>שוטף</x:v>
      </x:c>
      <x:c r="L1347" s="19" t="str">
        <x:v>מאושר</x:v>
      </x:c>
      <x:c r="M1347" s="20" t="n">
        <x:f>IF(L1347="מאושר",IF(K1347="הכנסה שסווגה מחדש",0,G1347),0)</x:f>
        <x:v>12</x:v>
      </x:c>
      <x:c r="N1347" s="20" t="n">
        <x:f>IF(K1347="שוטף",M1347,0)</x:f>
        <x:v>12</x:v>
      </x:c>
      <x:c r="O1347" s="20" t="n">
        <x:f>IF(K1347="הכנסה שסווגה מחדש",-G1347,0)</x:f>
        <x:v>0</x:v>
      </x:c>
      <x:c r="P1347" s="11" t="str">
        <x:v>אמקס - זיו</x:v>
      </x:c>
      <x:c r="Q1347" s="11" t="str"/>
      <x:c r="R1347" s="11" t="str">
        <x:v>לא</x:v>
      </x:c>
    </x:row>
    <x:row r="1348">
      <x:c r="A1348" s="14" t="n">
        <x:v>46054</x:v>
      </x:c>
      <x:c r="B1348" s="11" t="str">
        <x:v>2026-02</x:v>
      </x:c>
      <x:c r="C1348" s="11" t="str">
        <x:v>פברואר 26</x:v>
      </x:c>
      <x:c r="D1348" s="15" t="n">
        <x:v>37</x:v>
      </x:c>
      <x:c r="E1348" s="11" t="str">
        <x:v>5.02</x:v>
      </x:c>
      <x:c r="F1348" s="11" t="str">
        <x:v>ירקן</x:v>
      </x:c>
      <x:c r="G1348" s="17" t="n">
        <x:v>29</x:v>
      </x:c>
      <x:c r="H1348" s="18" t="str">
        <x:v>מזון לבית</x:v>
      </x:c>
      <x:c r="I1348" s="19" t="str">
        <x:f>IFERROR(INDEX('מיפוי ומקורות'!$C$7:$C$33,MATCH(H1348,'מיפוי ומקורות'!$B$7:$B$33,0)),"לא מסווג")</x:f>
        <x:v>מזון לבית</x:v>
      </x:c>
      <x:c r="J1348" s="19" t="str">
        <x:f>IFERROR(INDEX('מיפוי ומקורות'!$D$7:$D$33,MATCH(H1348,'מיפוי ומקורות'!$B$7:$B$33,0)),"שוטף")</x:f>
        <x:v>שוטף</x:v>
      </x:c>
      <x:c r="K1348" s="19" t="str">
        <x:f>IF(OR(H1348="ריביות",AND(H1348="דירה כצנלסון",G1348&lt;0,ISNUMBER(SEARCH("הכנסה",F1348)))),"הכנסה שסווגה מחדש",J1348)</x:f>
        <x:v>שוטף</x:v>
      </x:c>
      <x:c r="L1348" s="19" t="str">
        <x:v>מאושר</x:v>
      </x:c>
      <x:c r="M1348" s="20" t="n">
        <x:f>IF(L1348="מאושר",IF(K1348="הכנסה שסווגה מחדש",0,G1348),0)</x:f>
        <x:v>29</x:v>
      </x:c>
      <x:c r="N1348" s="20" t="n">
        <x:f>IF(K1348="שוטף",M1348,0)</x:f>
        <x:v>29</x:v>
      </x:c>
      <x:c r="O1348" s="20" t="n">
        <x:f>IF(K1348="הכנסה שסווגה מחדש",-G1348,0)</x:f>
        <x:v>0</x:v>
      </x:c>
      <x:c r="P1348" s="11" t="str">
        <x:v>אמקס - זיו</x:v>
      </x:c>
      <x:c r="Q1348" s="11" t="str"/>
      <x:c r="R1348" s="11" t="str">
        <x:v>לא</x:v>
      </x:c>
    </x:row>
    <x:row r="1349">
      <x:c r="A1349" s="14" t="n">
        <x:v>46054</x:v>
      </x:c>
      <x:c r="B1349" s="11" t="str">
        <x:v>2026-02</x:v>
      </x:c>
      <x:c r="C1349" s="11" t="str">
        <x:v>פברואר 26</x:v>
      </x:c>
      <x:c r="D1349" s="15" t="n">
        <x:v>38</x:v>
      </x:c>
      <x:c r="E1349" s="11" t="str">
        <x:v>08/02</x:v>
      </x:c>
      <x:c r="F1349" s="11" t="str">
        <x:v>הגלידריה שלי-אילנה ג</x:v>
      </x:c>
      <x:c r="G1349" s="17" t="n">
        <x:v>8</x:v>
      </x:c>
      <x:c r="H1349" s="18" t="str">
        <x:v>אוכל בחוץ</x:v>
      </x:c>
      <x:c r="I1349" s="19" t="str">
        <x:f>IFERROR(INDEX('מיפוי ומקורות'!$C$7:$C$33,MATCH(H1349,'מיפוי ומקורות'!$B$7:$B$33,0)),"לא מסווג")</x:f>
        <x:v>אוכל בחוץ</x:v>
      </x:c>
      <x:c r="J1349" s="19" t="str">
        <x:f>IFERROR(INDEX('מיפוי ומקורות'!$D$7:$D$33,MATCH(H1349,'מיפוי ומקורות'!$B$7:$B$33,0)),"שוטף")</x:f>
        <x:v>שוטף</x:v>
      </x:c>
      <x:c r="K1349" s="19" t="str">
        <x:f>IF(OR(H1349="ריביות",AND(H1349="דירה כצנלסון",G1349&lt;0,ISNUMBER(SEARCH("הכנסה",F1349)))),"הכנסה שסווגה מחדש",J1349)</x:f>
        <x:v>שוטף</x:v>
      </x:c>
      <x:c r="L1349" s="19" t="str">
        <x:v>מאושר</x:v>
      </x:c>
      <x:c r="M1349" s="20" t="n">
        <x:f>IF(L1349="מאושר",IF(K1349="הכנסה שסווגה מחדש",0,G1349),0)</x:f>
        <x:v>8</x:v>
      </x:c>
      <x:c r="N1349" s="20" t="n">
        <x:f>IF(K1349="שוטף",M1349,0)</x:f>
        <x:v>8</x:v>
      </x:c>
      <x:c r="O1349" s="20" t="n">
        <x:f>IF(K1349="הכנסה שסווגה מחדש",-G1349,0)</x:f>
        <x:v>0</x:v>
      </x:c>
      <x:c r="P1349" s="11" t="str">
        <x:v>אמקס - זיו</x:v>
      </x:c>
      <x:c r="Q1349" s="11" t="str"/>
      <x:c r="R1349" s="11" t="str">
        <x:v>לא</x:v>
      </x:c>
    </x:row>
    <x:row r="1350">
      <x:c r="A1350" s="14" t="n">
        <x:v>46054</x:v>
      </x:c>
      <x:c r="B1350" s="11" t="str">
        <x:v>2026-02</x:v>
      </x:c>
      <x:c r="C1350" s="11" t="str">
        <x:v>פברואר 26</x:v>
      </x:c>
      <x:c r="D1350" s="15" t="n">
        <x:v>39</x:v>
      </x:c>
      <x:c r="E1350" s="11" t="str">
        <x:v>10.02</x:v>
      </x:c>
      <x:c r="F1350" s="11" t="str">
        <x:v>מאפיה</x:v>
      </x:c>
      <x:c r="G1350" s="17" t="n">
        <x:v>19</x:v>
      </x:c>
      <x:c r="H1350" s="18" t="str">
        <x:v>אוכל בחוץ</x:v>
      </x:c>
      <x:c r="I1350" s="19" t="str">
        <x:f>IFERROR(INDEX('מיפוי ומקורות'!$C$7:$C$33,MATCH(H1350,'מיפוי ומקורות'!$B$7:$B$33,0)),"לא מסווג")</x:f>
        <x:v>אוכל בחוץ</x:v>
      </x:c>
      <x:c r="J1350" s="19" t="str">
        <x:f>IFERROR(INDEX('מיפוי ומקורות'!$D$7:$D$33,MATCH(H1350,'מיפוי ומקורות'!$B$7:$B$33,0)),"שוטף")</x:f>
        <x:v>שוטף</x:v>
      </x:c>
      <x:c r="K1350" s="19" t="str">
        <x:f>IF(OR(H1350="ריביות",AND(H1350="דירה כצנלסון",G1350&lt;0,ISNUMBER(SEARCH("הכנסה",F1350)))),"הכנסה שסווגה מחדש",J1350)</x:f>
        <x:v>שוטף</x:v>
      </x:c>
      <x:c r="L1350" s="19" t="str">
        <x:v>מאושר</x:v>
      </x:c>
      <x:c r="M1350" s="20" t="n">
        <x:f>IF(L1350="מאושר",IF(K1350="הכנסה שסווגה מחדש",0,G1350),0)</x:f>
        <x:v>19</x:v>
      </x:c>
      <x:c r="N1350" s="20" t="n">
        <x:f>IF(K1350="שוטף",M1350,0)</x:f>
        <x:v>19</x:v>
      </x:c>
      <x:c r="O1350" s="20" t="n">
        <x:f>IF(K1350="הכנסה שסווגה מחדש",-G1350,0)</x:f>
        <x:v>0</x:v>
      </x:c>
      <x:c r="P1350" s="11" t="str">
        <x:v>אמקס - זיו</x:v>
      </x:c>
      <x:c r="Q1350" s="11" t="str"/>
      <x:c r="R1350" s="11" t="str">
        <x:v>לא</x:v>
      </x:c>
    </x:row>
    <x:row r="1351">
      <x:c r="A1351" s="14" t="n">
        <x:v>46054</x:v>
      </x:c>
      <x:c r="B1351" s="11" t="str">
        <x:v>2026-02</x:v>
      </x:c>
      <x:c r="C1351" s="11" t="str">
        <x:v>פברואר 26</x:v>
      </x:c>
      <x:c r="D1351" s="15" t="n">
        <x:v>41</x:v>
      </x:c>
      <x:c r="E1351" s="11" t="str">
        <x:v>12/02</x:v>
      </x:c>
      <x:c r="F1351" s="11" t="str">
        <x:v>סוד ירוק בע''מ</x:v>
      </x:c>
      <x:c r="G1351" s="17" t="n">
        <x:v>550</x:v>
      </x:c>
      <x:c r="H1351" s="18" t="str">
        <x:v>מתנה</x:v>
      </x:c>
      <x:c r="I1351" s="19" t="str">
        <x:f>IFERROR(INDEX('מיפוי ומקורות'!$C$7:$C$33,MATCH(H1351,'מיפוי ומקורות'!$B$7:$B$33,0)),"לא מסווג")</x:f>
        <x:v>מתנה</x:v>
      </x:c>
      <x:c r="J1351" s="19" t="str">
        <x:f>IFERROR(INDEX('מיפוי ומקורות'!$D$7:$D$33,MATCH(H1351,'מיפוי ומקורות'!$B$7:$B$33,0)),"שוטף")</x:f>
        <x:v>שוטף</x:v>
      </x:c>
      <x:c r="K1351" s="19" t="str">
        <x:f>IF(OR(H1351="ריביות",AND(H1351="דירה כצנלסון",G1351&lt;0,ISNUMBER(SEARCH("הכנסה",F1351)))),"הכנסה שסווגה מחדש",J1351)</x:f>
        <x:v>שוטף</x:v>
      </x:c>
      <x:c r="L1351" s="19" t="str">
        <x:v>מאושר</x:v>
      </x:c>
      <x:c r="M1351" s="20" t="n">
        <x:f>IF(L1351="מאושר",IF(K1351="הכנסה שסווגה מחדש",0,G1351),0)</x:f>
        <x:v>550</x:v>
      </x:c>
      <x:c r="N1351" s="20" t="n">
        <x:f>IF(K1351="שוטף",M1351,0)</x:f>
        <x:v>550</x:v>
      </x:c>
      <x:c r="O1351" s="20" t="n">
        <x:f>IF(K1351="הכנסה שסווגה מחדש",-G1351,0)</x:f>
        <x:v>0</x:v>
      </x:c>
      <x:c r="P1351" s="11" t="str">
        <x:v>אמקס - זיו</x:v>
      </x:c>
      <x:c r="Q1351" s="11" t="str"/>
      <x:c r="R1351" s="11" t="str">
        <x:v>לא</x:v>
      </x:c>
    </x:row>
    <x:row r="1352">
      <x:c r="A1352" s="14" t="n">
        <x:v>46054</x:v>
      </x:c>
      <x:c r="B1352" s="11" t="str">
        <x:v>2026-02</x:v>
      </x:c>
      <x:c r="C1352" s="11" t="str">
        <x:v>פברואר 26</x:v>
      </x:c>
      <x:c r="D1352" s="15" t="n">
        <x:v>42</x:v>
      </x:c>
      <x:c r="E1352" s="11" t="str">
        <x:v>13.02</x:v>
      </x:c>
      <x:c r="F1352" s="11" t="str">
        <x:v>סופר</x:v>
      </x:c>
      <x:c r="G1352" s="17" t="n">
        <x:v>34</x:v>
      </x:c>
      <x:c r="H1352" s="18" t="str">
        <x:v>מזון לבית</x:v>
      </x:c>
      <x:c r="I1352" s="19" t="str">
        <x:f>IFERROR(INDEX('מיפוי ומקורות'!$C$7:$C$33,MATCH(H1352,'מיפוי ומקורות'!$B$7:$B$33,0)),"לא מסווג")</x:f>
        <x:v>מזון לבית</x:v>
      </x:c>
      <x:c r="J1352" s="19" t="str">
        <x:f>IFERROR(INDEX('מיפוי ומקורות'!$D$7:$D$33,MATCH(H1352,'מיפוי ומקורות'!$B$7:$B$33,0)),"שוטף")</x:f>
        <x:v>שוטף</x:v>
      </x:c>
      <x:c r="K1352" s="19" t="str">
        <x:f>IF(OR(H1352="ריביות",AND(H1352="דירה כצנלסון",G1352&lt;0,ISNUMBER(SEARCH("הכנסה",F1352)))),"הכנסה שסווגה מחדש",J1352)</x:f>
        <x:v>שוטף</x:v>
      </x:c>
      <x:c r="L1352" s="19" t="str">
        <x:v>מאושר</x:v>
      </x:c>
      <x:c r="M1352" s="20" t="n">
        <x:f>IF(L1352="מאושר",IF(K1352="הכנסה שסווגה מחדש",0,G1352),0)</x:f>
        <x:v>34</x:v>
      </x:c>
      <x:c r="N1352" s="20" t="n">
        <x:f>IF(K1352="שוטף",M1352,0)</x:f>
        <x:v>34</x:v>
      </x:c>
      <x:c r="O1352" s="20" t="n">
        <x:f>IF(K1352="הכנסה שסווגה מחדש",-G1352,0)</x:f>
        <x:v>0</x:v>
      </x:c>
      <x:c r="P1352" s="11" t="str">
        <x:v>אמקס - זיו</x:v>
      </x:c>
      <x:c r="Q1352" s="11" t="str"/>
      <x:c r="R1352" s="11" t="str">
        <x:v>לא</x:v>
      </x:c>
    </x:row>
    <x:row r="1353">
      <x:c r="A1353" s="14" t="n">
        <x:v>46054</x:v>
      </x:c>
      <x:c r="B1353" s="11" t="str">
        <x:v>2026-02</x:v>
      </x:c>
      <x:c r="C1353" s="11" t="str">
        <x:v>פברואר 26</x:v>
      </x:c>
      <x:c r="D1353" s="15" t="n">
        <x:v>43</x:v>
      </x:c>
      <x:c r="E1353" s="11" t="str">
        <x:v>14.02</x:v>
      </x:c>
      <x:c r="F1353" s="11" t="str">
        <x:v>מסעדה</x:v>
      </x:c>
      <x:c r="G1353" s="17" t="n">
        <x:v>32</x:v>
      </x:c>
      <x:c r="H1353" s="18" t="str">
        <x:v>אוכל בחוץ</x:v>
      </x:c>
      <x:c r="I1353" s="19" t="str">
        <x:f>IFERROR(INDEX('מיפוי ומקורות'!$C$7:$C$33,MATCH(H1353,'מיפוי ומקורות'!$B$7:$B$33,0)),"לא מסווג")</x:f>
        <x:v>אוכל בחוץ</x:v>
      </x:c>
      <x:c r="J1353" s="19" t="str">
        <x:f>IFERROR(INDEX('מיפוי ומקורות'!$D$7:$D$33,MATCH(H1353,'מיפוי ומקורות'!$B$7:$B$33,0)),"שוטף")</x:f>
        <x:v>שוטף</x:v>
      </x:c>
      <x:c r="K1353" s="19" t="str">
        <x:f>IF(OR(H1353="ריביות",AND(H1353="דירה כצנלסון",G1353&lt;0,ISNUMBER(SEARCH("הכנסה",F1353)))),"הכנסה שסווגה מחדש",J1353)</x:f>
        <x:v>שוטף</x:v>
      </x:c>
      <x:c r="L1353" s="19" t="str">
        <x:v>מאושר</x:v>
      </x:c>
      <x:c r="M1353" s="20" t="n">
        <x:f>IF(L1353="מאושר",IF(K1353="הכנסה שסווגה מחדש",0,G1353),0)</x:f>
        <x:v>32</x:v>
      </x:c>
      <x:c r="N1353" s="20" t="n">
        <x:f>IF(K1353="שוטף",M1353,0)</x:f>
        <x:v>32</x:v>
      </x:c>
      <x:c r="O1353" s="20" t="n">
        <x:f>IF(K1353="הכנסה שסווגה מחדש",-G1353,0)</x:f>
        <x:v>0</x:v>
      </x:c>
      <x:c r="P1353" s="11" t="str">
        <x:v>אמקס - זיו</x:v>
      </x:c>
      <x:c r="Q1353" s="11" t="str"/>
      <x:c r="R1353" s="11" t="str">
        <x:v>לא</x:v>
      </x:c>
    </x:row>
    <x:row r="1354">
      <x:c r="A1354" s="14" t="n">
        <x:v>46054</x:v>
      </x:c>
      <x:c r="B1354" s="11" t="str">
        <x:v>2026-02</x:v>
      </x:c>
      <x:c r="C1354" s="11" t="str">
        <x:v>פברואר 26</x:v>
      </x:c>
      <x:c r="D1354" s="15" t="n">
        <x:v>44</x:v>
      </x:c>
      <x:c r="E1354" s="11" t="str">
        <x:v>14.02</x:v>
      </x:c>
      <x:c r="F1354" s="11" t="str">
        <x:v>מסעדה</x:v>
      </x:c>
      <x:c r="G1354" s="17" t="n">
        <x:v>32</x:v>
      </x:c>
      <x:c r="H1354" s="18" t="str">
        <x:v>אוכל בחוץ</x:v>
      </x:c>
      <x:c r="I1354" s="19" t="str">
        <x:f>IFERROR(INDEX('מיפוי ומקורות'!$C$7:$C$33,MATCH(H1354,'מיפוי ומקורות'!$B$7:$B$33,0)),"לא מסווג")</x:f>
        <x:v>אוכל בחוץ</x:v>
      </x:c>
      <x:c r="J1354" s="19" t="str">
        <x:f>IFERROR(INDEX('מיפוי ומקורות'!$D$7:$D$33,MATCH(H1354,'מיפוי ומקורות'!$B$7:$B$33,0)),"שוטף")</x:f>
        <x:v>שוטף</x:v>
      </x:c>
      <x:c r="K1354" s="19" t="str">
        <x:f>IF(OR(H1354="ריביות",AND(H1354="דירה כצנלסון",G1354&lt;0,ISNUMBER(SEARCH("הכנסה",F1354)))),"הכנסה שסווגה מחדש",J1354)</x:f>
        <x:v>שוטף</x:v>
      </x:c>
      <x:c r="L1354" s="19" t="str">
        <x:v>מאושר</x:v>
      </x:c>
      <x:c r="M1354" s="20" t="n">
        <x:f>IF(L1354="מאושר",IF(K1354="הכנסה שסווגה מחדש",0,G1354),0)</x:f>
        <x:v>32</x:v>
      </x:c>
      <x:c r="N1354" s="20" t="n">
        <x:f>IF(K1354="שוטף",M1354,0)</x:f>
        <x:v>32</x:v>
      </x:c>
      <x:c r="O1354" s="20" t="n">
        <x:f>IF(K1354="הכנסה שסווגה מחדש",-G1354,0)</x:f>
        <x:v>0</x:v>
      </x:c>
      <x:c r="P1354" s="11" t="str">
        <x:v>אמקס - זיו</x:v>
      </x:c>
      <x:c r="Q1354" s="11" t="str"/>
      <x:c r="R1354" s="11" t="str">
        <x:v>לא</x:v>
      </x:c>
    </x:row>
    <x:row r="1355">
      <x:c r="A1355" s="14" t="n">
        <x:v>46054</x:v>
      </x:c>
      <x:c r="B1355" s="11" t="str">
        <x:v>2026-02</x:v>
      </x:c>
      <x:c r="C1355" s="11" t="str">
        <x:v>פברואר 26</x:v>
      </x:c>
      <x:c r="D1355" s="15" t="n">
        <x:v>45</x:v>
      </x:c>
      <x:c r="E1355" s="11" t="str">
        <x:v>14.02</x:v>
      </x:c>
      <x:c r="F1355" s="11" t="str">
        <x:v>דלק</x:v>
      </x:c>
      <x:c r="G1355" s="17" t="n">
        <x:v>218</x:v>
      </x:c>
      <x:c r="H1355" s="18" t="str">
        <x:v>תחבורה</x:v>
      </x:c>
      <x:c r="I1355" s="19" t="str">
        <x:f>IFERROR(INDEX('מיפוי ומקורות'!$C$7:$C$33,MATCH(H1355,'מיפוי ומקורות'!$B$7:$B$33,0)),"לא מסווג")</x:f>
        <x:v>תחבורה</x:v>
      </x:c>
      <x:c r="J1355" s="19" t="str">
        <x:f>IFERROR(INDEX('מיפוי ומקורות'!$D$7:$D$33,MATCH(H1355,'מיפוי ומקורות'!$B$7:$B$33,0)),"שוטף")</x:f>
        <x:v>שוטף</x:v>
      </x:c>
      <x:c r="K1355" s="19" t="str">
        <x:f>IF(OR(H1355="ריביות",AND(H1355="דירה כצנלסון",G1355&lt;0,ISNUMBER(SEARCH("הכנסה",F1355)))),"הכנסה שסווגה מחדש",J1355)</x:f>
        <x:v>שוטף</x:v>
      </x:c>
      <x:c r="L1355" s="19" t="str">
        <x:v>מאושר</x:v>
      </x:c>
      <x:c r="M1355" s="20" t="n">
        <x:f>IF(L1355="מאושר",IF(K1355="הכנסה שסווגה מחדש",0,G1355),0)</x:f>
        <x:v>218</x:v>
      </x:c>
      <x:c r="N1355" s="20" t="n">
        <x:f>IF(K1355="שוטף",M1355,0)</x:f>
        <x:v>218</x:v>
      </x:c>
      <x:c r="O1355" s="20" t="n">
        <x:f>IF(K1355="הכנסה שסווגה מחדש",-G1355,0)</x:f>
        <x:v>0</x:v>
      </x:c>
      <x:c r="P1355" s="11" t="str">
        <x:v>אמקס - זיו</x:v>
      </x:c>
      <x:c r="Q1355" s="11" t="str"/>
      <x:c r="R1355" s="11" t="str">
        <x:v>לא</x:v>
      </x:c>
    </x:row>
    <x:row r="1356">
      <x:c r="A1356" s="14" t="n">
        <x:v>46054</x:v>
      </x:c>
      <x:c r="B1356" s="11" t="str">
        <x:v>2026-02</x:v>
      </x:c>
      <x:c r="C1356" s="11" t="str">
        <x:v>פברואר 26</x:v>
      </x:c>
      <x:c r="D1356" s="15" t="n">
        <x:v>46</x:v>
      </x:c>
      <x:c r="E1356" s="11" t="str">
        <x:v>15/02</x:v>
      </x:c>
      <x:c r="F1356" s="11" t="str">
        <x:v>DIZZYFRISHDONBAR-יצי</x:v>
      </x:c>
      <x:c r="G1356" s="17" t="n">
        <x:v>72</x:v>
      </x:c>
      <x:c r="H1356" s="18" t="str">
        <x:v>אוכל בחוץ</x:v>
      </x:c>
      <x:c r="I1356" s="19" t="str">
        <x:f>IFERROR(INDEX('מיפוי ומקורות'!$C$7:$C$33,MATCH(H1356,'מיפוי ומקורות'!$B$7:$B$33,0)),"לא מסווג")</x:f>
        <x:v>אוכל בחוץ</x:v>
      </x:c>
      <x:c r="J1356" s="19" t="str">
        <x:f>IFERROR(INDEX('מיפוי ומקורות'!$D$7:$D$33,MATCH(H1356,'מיפוי ומקורות'!$B$7:$B$33,0)),"שוטף")</x:f>
        <x:v>שוטף</x:v>
      </x:c>
      <x:c r="K1356" s="19" t="str">
        <x:f>IF(OR(H1356="ריביות",AND(H1356="דירה כצנלסון",G1356&lt;0,ISNUMBER(SEARCH("הכנסה",F1356)))),"הכנסה שסווגה מחדש",J1356)</x:f>
        <x:v>שוטף</x:v>
      </x:c>
      <x:c r="L1356" s="19" t="str">
        <x:v>מאושר</x:v>
      </x:c>
      <x:c r="M1356" s="20" t="n">
        <x:f>IF(L1356="מאושר",IF(K1356="הכנסה שסווגה מחדש",0,G1356),0)</x:f>
        <x:v>72</x:v>
      </x:c>
      <x:c r="N1356" s="20" t="n">
        <x:f>IF(K1356="שוטף",M1356,0)</x:f>
        <x:v>72</x:v>
      </x:c>
      <x:c r="O1356" s="20" t="n">
        <x:f>IF(K1356="הכנסה שסווגה מחדש",-G1356,0)</x:f>
        <x:v>0</x:v>
      </x:c>
      <x:c r="P1356" s="11" t="str">
        <x:v>אמקס - זיו</x:v>
      </x:c>
      <x:c r="Q1356" s="11" t="str"/>
      <x:c r="R1356" s="11" t="str">
        <x:v>לא</x:v>
      </x:c>
    </x:row>
    <x:row r="1357">
      <x:c r="A1357" s="14" t="n">
        <x:v>46054</x:v>
      </x:c>
      <x:c r="B1357" s="11" t="str">
        <x:v>2026-02</x:v>
      </x:c>
      <x:c r="C1357" s="11" t="str">
        <x:v>פברואר 26</x:v>
      </x:c>
      <x:c r="D1357" s="15" t="n">
        <x:v>47</x:v>
      </x:c>
      <x:c r="E1357" s="11" t="str">
        <x:v>15.02</x:v>
      </x:c>
      <x:c r="F1357" s="11" t="str">
        <x:v>סופר</x:v>
      </x:c>
      <x:c r="G1357" s="17" t="n">
        <x:v>579</x:v>
      </x:c>
      <x:c r="H1357" s="18" t="str">
        <x:v>מזון לבית</x:v>
      </x:c>
      <x:c r="I1357" s="19" t="str">
        <x:f>IFERROR(INDEX('מיפוי ומקורות'!$C$7:$C$33,MATCH(H1357,'מיפוי ומקורות'!$B$7:$B$33,0)),"לא מסווג")</x:f>
        <x:v>מזון לבית</x:v>
      </x:c>
      <x:c r="J1357" s="19" t="str">
        <x:f>IFERROR(INDEX('מיפוי ומקורות'!$D$7:$D$33,MATCH(H1357,'מיפוי ומקורות'!$B$7:$B$33,0)),"שוטף")</x:f>
        <x:v>שוטף</x:v>
      </x:c>
      <x:c r="K1357" s="19" t="str">
        <x:f>IF(OR(H1357="ריביות",AND(H1357="דירה כצנלסון",G1357&lt;0,ISNUMBER(SEARCH("הכנסה",F1357)))),"הכנסה שסווגה מחדש",J1357)</x:f>
        <x:v>שוטף</x:v>
      </x:c>
      <x:c r="L1357" s="19" t="str">
        <x:v>מאושר</x:v>
      </x:c>
      <x:c r="M1357" s="20" t="n">
        <x:f>IF(L1357="מאושר",IF(K1357="הכנסה שסווגה מחדש",0,G1357),0)</x:f>
        <x:v>579</x:v>
      </x:c>
      <x:c r="N1357" s="20" t="n">
        <x:f>IF(K1357="שוטף",M1357,0)</x:f>
        <x:v>579</x:v>
      </x:c>
      <x:c r="O1357" s="20" t="n">
        <x:f>IF(K1357="הכנסה שסווגה מחדש",-G1357,0)</x:f>
        <x:v>0</x:v>
      </x:c>
      <x:c r="P1357" s="11" t="str">
        <x:v>אמקס - זיו</x:v>
      </x:c>
      <x:c r="Q1357" s="11" t="str"/>
      <x:c r="R1357" s="11" t="str">
        <x:v>לא</x:v>
      </x:c>
    </x:row>
    <x:row r="1358">
      <x:c r="A1358" s="14" t="n">
        <x:v>46054</x:v>
      </x:c>
      <x:c r="B1358" s="11" t="str">
        <x:v>2026-02</x:v>
      </x:c>
      <x:c r="C1358" s="11" t="str">
        <x:v>פברואר 26</x:v>
      </x:c>
      <x:c r="D1358" s="15" t="n">
        <x:v>48</x:v>
      </x:c>
      <x:c r="E1358" s="11" t="str">
        <x:v>17.02</x:v>
      </x:c>
      <x:c r="F1358" s="11" t="str">
        <x:v>ירקן</x:v>
      </x:c>
      <x:c r="G1358" s="17" t="n">
        <x:v>16</x:v>
      </x:c>
      <x:c r="H1358" s="18" t="str">
        <x:v>מזון לבית</x:v>
      </x:c>
      <x:c r="I1358" s="19" t="str">
        <x:f>IFERROR(INDEX('מיפוי ומקורות'!$C$7:$C$33,MATCH(H1358,'מיפוי ומקורות'!$B$7:$B$33,0)),"לא מסווג")</x:f>
        <x:v>מזון לבית</x:v>
      </x:c>
      <x:c r="J1358" s="19" t="str">
        <x:f>IFERROR(INDEX('מיפוי ומקורות'!$D$7:$D$33,MATCH(H1358,'מיפוי ומקורות'!$B$7:$B$33,0)),"שוטף")</x:f>
        <x:v>שוטף</x:v>
      </x:c>
      <x:c r="K1358" s="19" t="str">
        <x:f>IF(OR(H1358="ריביות",AND(H1358="דירה כצנלסון",G1358&lt;0,ISNUMBER(SEARCH("הכנסה",F1358)))),"הכנסה שסווגה מחדש",J1358)</x:f>
        <x:v>שוטף</x:v>
      </x:c>
      <x:c r="L1358" s="19" t="str">
        <x:v>מאושר</x:v>
      </x:c>
      <x:c r="M1358" s="20" t="n">
        <x:f>IF(L1358="מאושר",IF(K1358="הכנסה שסווגה מחדש",0,G1358),0)</x:f>
        <x:v>16</x:v>
      </x:c>
      <x:c r="N1358" s="20" t="n">
        <x:f>IF(K1358="שוטף",M1358,0)</x:f>
        <x:v>16</x:v>
      </x:c>
      <x:c r="O1358" s="20" t="n">
        <x:f>IF(K1358="הכנסה שסווגה מחדש",-G1358,0)</x:f>
        <x:v>0</x:v>
      </x:c>
      <x:c r="P1358" s="11" t="str">
        <x:v>אמקס - זיו</x:v>
      </x:c>
      <x:c r="Q1358" s="11" t="str"/>
      <x:c r="R1358" s="11" t="str">
        <x:v>לא</x:v>
      </x:c>
    </x:row>
    <x:row r="1359">
      <x:c r="A1359" s="14" t="n">
        <x:v>46054</x:v>
      </x:c>
      <x:c r="B1359" s="11" t="str">
        <x:v>2026-02</x:v>
      </x:c>
      <x:c r="C1359" s="11" t="str">
        <x:v>פברואר 26</x:v>
      </x:c>
      <x:c r="D1359" s="15" t="n">
        <x:v>49</x:v>
      </x:c>
      <x:c r="E1359" s="11" t="str">
        <x:v>17.02</x:v>
      </x:c>
      <x:c r="F1359" s="11" t="str">
        <x:v>מסעדה</x:v>
      </x:c>
      <x:c r="G1359" s="17" t="n">
        <x:v>82</x:v>
      </x:c>
      <x:c r="H1359" s="18" t="str">
        <x:v>אוכל בחוץ</x:v>
      </x:c>
      <x:c r="I1359" s="19" t="str">
        <x:f>IFERROR(INDEX('מיפוי ומקורות'!$C$7:$C$33,MATCH(H1359,'מיפוי ומקורות'!$B$7:$B$33,0)),"לא מסווג")</x:f>
        <x:v>אוכל בחוץ</x:v>
      </x:c>
      <x:c r="J1359" s="19" t="str">
        <x:f>IFERROR(INDEX('מיפוי ומקורות'!$D$7:$D$33,MATCH(H1359,'מיפוי ומקורות'!$B$7:$B$33,0)),"שוטף")</x:f>
        <x:v>שוטף</x:v>
      </x:c>
      <x:c r="K1359" s="19" t="str">
        <x:f>IF(OR(H1359="ריביות",AND(H1359="דירה כצנלסון",G1359&lt;0,ISNUMBER(SEARCH("הכנסה",F1359)))),"הכנסה שסווגה מחדש",J1359)</x:f>
        <x:v>שוטף</x:v>
      </x:c>
      <x:c r="L1359" s="19" t="str">
        <x:v>מאושר</x:v>
      </x:c>
      <x:c r="M1359" s="20" t="n">
        <x:f>IF(L1359="מאושר",IF(K1359="הכנסה שסווגה מחדש",0,G1359),0)</x:f>
        <x:v>82</x:v>
      </x:c>
      <x:c r="N1359" s="20" t="n">
        <x:f>IF(K1359="שוטף",M1359,0)</x:f>
        <x:v>82</x:v>
      </x:c>
      <x:c r="O1359" s="20" t="n">
        <x:f>IF(K1359="הכנסה שסווגה מחדש",-G1359,0)</x:f>
        <x:v>0</x:v>
      </x:c>
      <x:c r="P1359" s="11" t="str">
        <x:v>אמקס - זיו</x:v>
      </x:c>
      <x:c r="Q1359" s="11" t="str"/>
      <x:c r="R1359" s="11" t="str">
        <x:v>לא</x:v>
      </x:c>
    </x:row>
    <x:row r="1360">
      <x:c r="A1360" s="14" t="n">
        <x:v>46054</x:v>
      </x:c>
      <x:c r="B1360" s="11" t="str">
        <x:v>2026-02</x:v>
      </x:c>
      <x:c r="C1360" s="11" t="str">
        <x:v>פברואר 26</x:v>
      </x:c>
      <x:c r="D1360" s="15" t="n">
        <x:v>50</x:v>
      </x:c>
      <x:c r="E1360" s="11" t="str">
        <x:v>17.02</x:v>
      </x:c>
      <x:c r="F1360" s="11" t="str">
        <x:v>מסעדה</x:v>
      </x:c>
      <x:c r="G1360" s="17" t="n">
        <x:v>69</x:v>
      </x:c>
      <x:c r="H1360" s="18" t="str">
        <x:v>אוכל בחוץ</x:v>
      </x:c>
      <x:c r="I1360" s="19" t="str">
        <x:f>IFERROR(INDEX('מיפוי ומקורות'!$C$7:$C$33,MATCH(H1360,'מיפוי ומקורות'!$B$7:$B$33,0)),"לא מסווג")</x:f>
        <x:v>אוכל בחוץ</x:v>
      </x:c>
      <x:c r="J1360" s="19" t="str">
        <x:f>IFERROR(INDEX('מיפוי ומקורות'!$D$7:$D$33,MATCH(H1360,'מיפוי ומקורות'!$B$7:$B$33,0)),"שוטף")</x:f>
        <x:v>שוטף</x:v>
      </x:c>
      <x:c r="K1360" s="19" t="str">
        <x:f>IF(OR(H1360="ריביות",AND(H1360="דירה כצנלסון",G1360&lt;0,ISNUMBER(SEARCH("הכנסה",F1360)))),"הכנסה שסווגה מחדש",J1360)</x:f>
        <x:v>שוטף</x:v>
      </x:c>
      <x:c r="L1360" s="19" t="str">
        <x:v>מאושר</x:v>
      </x:c>
      <x:c r="M1360" s="20" t="n">
        <x:f>IF(L1360="מאושר",IF(K1360="הכנסה שסווגה מחדש",0,G1360),0)</x:f>
        <x:v>69</x:v>
      </x:c>
      <x:c r="N1360" s="20" t="n">
        <x:f>IF(K1360="שוטף",M1360,0)</x:f>
        <x:v>69</x:v>
      </x:c>
      <x:c r="O1360" s="20" t="n">
        <x:f>IF(K1360="הכנסה שסווגה מחדש",-G1360,0)</x:f>
        <x:v>0</x:v>
      </x:c>
      <x:c r="P1360" s="11" t="str">
        <x:v>אמקס - זיו</x:v>
      </x:c>
      <x:c r="Q1360" s="11" t="str"/>
      <x:c r="R1360" s="11" t="str">
        <x:v>לא</x:v>
      </x:c>
    </x:row>
    <x:row r="1361">
      <x:c r="A1361" s="14" t="n">
        <x:v>46054</x:v>
      </x:c>
      <x:c r="B1361" s="11" t="str">
        <x:v>2026-02</x:v>
      </x:c>
      <x:c r="C1361" s="11" t="str">
        <x:v>פברואר 26</x:v>
      </x:c>
      <x:c r="D1361" s="15" t="n">
        <x:v>51</x:v>
      </x:c>
      <x:c r="E1361" s="11" t="str">
        <x:v>19/02</x:v>
      </x:c>
      <x:c r="F1361" s="11" t="str">
        <x:v>העברה ב BIT בנה"פ</x:v>
      </x:c>
      <x:c r="G1361" s="17" t="n">
        <x:v>73</x:v>
      </x:c>
      <x:c r="H1361" s="18" t="str">
        <x:v>אוכל בחוץ</x:v>
      </x:c>
      <x:c r="I1361" s="19" t="str">
        <x:f>IFERROR(INDEX('מיפוי ומקורות'!$C$7:$C$33,MATCH(H1361,'מיפוי ומקורות'!$B$7:$B$33,0)),"לא מסווג")</x:f>
        <x:v>אוכל בחוץ</x:v>
      </x:c>
      <x:c r="J1361" s="19" t="str">
        <x:f>IFERROR(INDEX('מיפוי ומקורות'!$D$7:$D$33,MATCH(H1361,'מיפוי ומקורות'!$B$7:$B$33,0)),"שוטף")</x:f>
        <x:v>שוטף</x:v>
      </x:c>
      <x:c r="K1361" s="19" t="str">
        <x:f>IF(OR(H1361="ריביות",AND(H1361="דירה כצנלסון",G1361&lt;0,ISNUMBER(SEARCH("הכנסה",F1361)))),"הכנסה שסווגה מחדש",J1361)</x:f>
        <x:v>שוטף</x:v>
      </x:c>
      <x:c r="L1361" s="19" t="str">
        <x:v>מאושר</x:v>
      </x:c>
      <x:c r="M1361" s="20" t="n">
        <x:f>IF(L1361="מאושר",IF(K1361="הכנסה שסווגה מחדש",0,G1361),0)</x:f>
        <x:v>73</x:v>
      </x:c>
      <x:c r="N1361" s="20" t="n">
        <x:f>IF(K1361="שוטף",M1361,0)</x:f>
        <x:v>73</x:v>
      </x:c>
      <x:c r="O1361" s="20" t="n">
        <x:f>IF(K1361="הכנסה שסווגה מחדש",-G1361,0)</x:f>
        <x:v>0</x:v>
      </x:c>
      <x:c r="P1361" s="11" t="str">
        <x:v>אמקס - זיו</x:v>
      </x:c>
      <x:c r="Q1361" s="11" t="str"/>
      <x:c r="R1361" s="11" t="str">
        <x:v>לא</x:v>
      </x:c>
    </x:row>
    <x:row r="1362">
      <x:c r="A1362" s="14" t="n">
        <x:v>46054</x:v>
      </x:c>
      <x:c r="B1362" s="11" t="str">
        <x:v>2026-02</x:v>
      </x:c>
      <x:c r="C1362" s="11" t="str">
        <x:v>פברואר 26</x:v>
      </x:c>
      <x:c r="D1362" s="15" t="n">
        <x:v>52</x:v>
      </x:c>
      <x:c r="E1362" s="11" t="str">
        <x:v>19.02</x:v>
      </x:c>
      <x:c r="F1362" s="11" t="str">
        <x:v>פיצוציה</x:v>
      </x:c>
      <x:c r="G1362" s="17" t="n">
        <x:v>7</x:v>
      </x:c>
      <x:c r="H1362" s="18" t="str">
        <x:v>אוכל בחוץ</x:v>
      </x:c>
      <x:c r="I1362" s="19" t="str">
        <x:f>IFERROR(INDEX('מיפוי ומקורות'!$C$7:$C$33,MATCH(H1362,'מיפוי ומקורות'!$B$7:$B$33,0)),"לא מסווג")</x:f>
        <x:v>אוכל בחוץ</x:v>
      </x:c>
      <x:c r="J1362" s="19" t="str">
        <x:f>IFERROR(INDEX('מיפוי ומקורות'!$D$7:$D$33,MATCH(H1362,'מיפוי ומקורות'!$B$7:$B$33,0)),"שוטף")</x:f>
        <x:v>שוטף</x:v>
      </x:c>
      <x:c r="K1362" s="19" t="str">
        <x:f>IF(OR(H1362="ריביות",AND(H1362="דירה כצנלסון",G1362&lt;0,ISNUMBER(SEARCH("הכנסה",F1362)))),"הכנסה שסווגה מחדש",J1362)</x:f>
        <x:v>שוטף</x:v>
      </x:c>
      <x:c r="L1362" s="19" t="str">
        <x:v>מאושר</x:v>
      </x:c>
      <x:c r="M1362" s="20" t="n">
        <x:f>IF(L1362="מאושר",IF(K1362="הכנסה שסווגה מחדש",0,G1362),0)</x:f>
        <x:v>7</x:v>
      </x:c>
      <x:c r="N1362" s="20" t="n">
        <x:f>IF(K1362="שוטף",M1362,0)</x:f>
        <x:v>7</x:v>
      </x:c>
      <x:c r="O1362" s="20" t="n">
        <x:f>IF(K1362="הכנסה שסווגה מחדש",-G1362,0)</x:f>
        <x:v>0</x:v>
      </x:c>
      <x:c r="P1362" s="11" t="str">
        <x:v>אמקס - זיו</x:v>
      </x:c>
      <x:c r="Q1362" s="11" t="str"/>
      <x:c r="R1362" s="11" t="str">
        <x:v>לא</x:v>
      </x:c>
    </x:row>
    <x:row r="1363">
      <x:c r="A1363" s="14" t="n">
        <x:v>46054</x:v>
      </x:c>
      <x:c r="B1363" s="11" t="str">
        <x:v>2026-02</x:v>
      </x:c>
      <x:c r="C1363" s="11" t="str">
        <x:v>פברואר 26</x:v>
      </x:c>
      <x:c r="D1363" s="15" t="n">
        <x:v>53</x:v>
      </x:c>
      <x:c r="E1363" s="11" t="str">
        <x:v>22.02</x:v>
      </x:c>
      <x:c r="F1363" s="11" t="str">
        <x:v>מסעדה</x:v>
      </x:c>
      <x:c r="G1363" s="17" t="n">
        <x:v>40</x:v>
      </x:c>
      <x:c r="H1363" s="18" t="str">
        <x:v>אוכל בחוץ</x:v>
      </x:c>
      <x:c r="I1363" s="19" t="str">
        <x:f>IFERROR(INDEX('מיפוי ומקורות'!$C$7:$C$33,MATCH(H1363,'מיפוי ומקורות'!$B$7:$B$33,0)),"לא מסווג")</x:f>
        <x:v>אוכל בחוץ</x:v>
      </x:c>
      <x:c r="J1363" s="19" t="str">
        <x:f>IFERROR(INDEX('מיפוי ומקורות'!$D$7:$D$33,MATCH(H1363,'מיפוי ומקורות'!$B$7:$B$33,0)),"שוטף")</x:f>
        <x:v>שוטף</x:v>
      </x:c>
      <x:c r="K1363" s="19" t="str">
        <x:f>IF(OR(H1363="ריביות",AND(H1363="דירה כצנלסון",G1363&lt;0,ISNUMBER(SEARCH("הכנסה",F1363)))),"הכנסה שסווגה מחדש",J1363)</x:f>
        <x:v>שוטף</x:v>
      </x:c>
      <x:c r="L1363" s="19" t="str">
        <x:v>מאושר</x:v>
      </x:c>
      <x:c r="M1363" s="20" t="n">
        <x:f>IF(L1363="מאושר",IF(K1363="הכנסה שסווגה מחדש",0,G1363),0)</x:f>
        <x:v>40</x:v>
      </x:c>
      <x:c r="N1363" s="20" t="n">
        <x:f>IF(K1363="שוטף",M1363,0)</x:f>
        <x:v>40</x:v>
      </x:c>
      <x:c r="O1363" s="20" t="n">
        <x:f>IF(K1363="הכנסה שסווגה מחדש",-G1363,0)</x:f>
        <x:v>0</x:v>
      </x:c>
      <x:c r="P1363" s="11" t="str">
        <x:v>אמקס - זיו</x:v>
      </x:c>
      <x:c r="Q1363" s="11" t="str"/>
      <x:c r="R1363" s="11" t="str">
        <x:v>לא</x:v>
      </x:c>
    </x:row>
    <x:row r="1364">
      <x:c r="A1364" s="14" t="n">
        <x:v>46054</x:v>
      </x:c>
      <x:c r="B1364" s="11" t="str">
        <x:v>2026-02</x:v>
      </x:c>
      <x:c r="C1364" s="11" t="str">
        <x:v>פברואר 26</x:v>
      </x:c>
      <x:c r="D1364" s="15" t="n">
        <x:v>54</x:v>
      </x:c>
      <x:c r="E1364" s="11" t="str">
        <x:v>23/02</x:v>
      </x:c>
      <x:c r="F1364" s="11" t="str">
        <x:v>ריספשיין</x:v>
      </x:c>
      <x:c r="G1364" s="17" t="n">
        <x:v>92</x:v>
      </x:c>
      <x:c r="H1364" s="18" t="str">
        <x:v>אוכל בחוץ</x:v>
      </x:c>
      <x:c r="I1364" s="19" t="str">
        <x:f>IFERROR(INDEX('מיפוי ומקורות'!$C$7:$C$33,MATCH(H1364,'מיפוי ומקורות'!$B$7:$B$33,0)),"לא מסווג")</x:f>
        <x:v>אוכל בחוץ</x:v>
      </x:c>
      <x:c r="J1364" s="19" t="str">
        <x:f>IFERROR(INDEX('מיפוי ומקורות'!$D$7:$D$33,MATCH(H1364,'מיפוי ומקורות'!$B$7:$B$33,0)),"שוטף")</x:f>
        <x:v>שוטף</x:v>
      </x:c>
      <x:c r="K1364" s="19" t="str">
        <x:f>IF(OR(H1364="ריביות",AND(H1364="דירה כצנלסון",G1364&lt;0,ISNUMBER(SEARCH("הכנסה",F1364)))),"הכנסה שסווגה מחדש",J1364)</x:f>
        <x:v>שוטף</x:v>
      </x:c>
      <x:c r="L1364" s="19" t="str">
        <x:v>מאושר</x:v>
      </x:c>
      <x:c r="M1364" s="20" t="n">
        <x:f>IF(L1364="מאושר",IF(K1364="הכנסה שסווגה מחדש",0,G1364),0)</x:f>
        <x:v>92</x:v>
      </x:c>
      <x:c r="N1364" s="20" t="n">
        <x:f>IF(K1364="שוטף",M1364,0)</x:f>
        <x:v>92</x:v>
      </x:c>
      <x:c r="O1364" s="20" t="n">
        <x:f>IF(K1364="הכנסה שסווגה מחדש",-G1364,0)</x:f>
        <x:v>0</x:v>
      </x:c>
      <x:c r="P1364" s="11" t="str">
        <x:v>אמקס - זיו</x:v>
      </x:c>
      <x:c r="Q1364" s="11" t="str"/>
      <x:c r="R1364" s="11" t="str">
        <x:v>לא</x:v>
      </x:c>
    </x:row>
    <x:row r="1365">
      <x:c r="A1365" s="14" t="n">
        <x:v>46054</x:v>
      </x:c>
      <x:c r="B1365" s="11" t="str">
        <x:v>2026-02</x:v>
      </x:c>
      <x:c r="C1365" s="11" t="str">
        <x:v>פברואר 26</x:v>
      </x:c>
      <x:c r="D1365" s="15" t="n">
        <x:v>55</x:v>
      </x:c>
      <x:c r="E1365" s="11" t="str">
        <x:v>24/02</x:v>
      </x:c>
      <x:c r="F1365" s="11" t="str">
        <x:v>ידיד בר יין</x:v>
      </x:c>
      <x:c r="G1365" s="17" t="n">
        <x:v>81</x:v>
      </x:c>
      <x:c r="H1365" s="18" t="str">
        <x:v>אוכל בחוץ</x:v>
      </x:c>
      <x:c r="I1365" s="19" t="str">
        <x:f>IFERROR(INDEX('מיפוי ומקורות'!$C$7:$C$33,MATCH(H1365,'מיפוי ומקורות'!$B$7:$B$33,0)),"לא מסווג")</x:f>
        <x:v>אוכל בחוץ</x:v>
      </x:c>
      <x:c r="J1365" s="19" t="str">
        <x:f>IFERROR(INDEX('מיפוי ומקורות'!$D$7:$D$33,MATCH(H1365,'מיפוי ומקורות'!$B$7:$B$33,0)),"שוטף")</x:f>
        <x:v>שוטף</x:v>
      </x:c>
      <x:c r="K1365" s="19" t="str">
        <x:f>IF(OR(H1365="ריביות",AND(H1365="דירה כצנלסון",G1365&lt;0,ISNUMBER(SEARCH("הכנסה",F1365)))),"הכנסה שסווגה מחדש",J1365)</x:f>
        <x:v>שוטף</x:v>
      </x:c>
      <x:c r="L1365" s="19" t="str">
        <x:v>מאושר</x:v>
      </x:c>
      <x:c r="M1365" s="20" t="n">
        <x:f>IF(L1365="מאושר",IF(K1365="הכנסה שסווגה מחדש",0,G1365),0)</x:f>
        <x:v>81</x:v>
      </x:c>
      <x:c r="N1365" s="20" t="n">
        <x:f>IF(K1365="שוטף",M1365,0)</x:f>
        <x:v>81</x:v>
      </x:c>
      <x:c r="O1365" s="20" t="n">
        <x:f>IF(K1365="הכנסה שסווגה מחדש",-G1365,0)</x:f>
        <x:v>0</x:v>
      </x:c>
      <x:c r="P1365" s="11" t="str">
        <x:v>אמקס - זיו</x:v>
      </x:c>
      <x:c r="Q1365" s="11" t="str"/>
      <x:c r="R1365" s="11" t="str">
        <x:v>לא</x:v>
      </x:c>
    </x:row>
    <x:row r="1366">
      <x:c r="A1366" s="14" t="n">
        <x:v>46054</x:v>
      </x:c>
      <x:c r="B1366" s="11" t="str">
        <x:v>2026-02</x:v>
      </x:c>
      <x:c r="C1366" s="11" t="str">
        <x:v>פברואר 26</x:v>
      </x:c>
      <x:c r="D1366" s="15" t="n">
        <x:v>56</x:v>
      </x:c>
      <x:c r="E1366" s="11" t="str">
        <x:v>25.02</x:v>
      </x:c>
      <x:c r="F1366" s="11" t="str">
        <x:v>פיצוציה</x:v>
      </x:c>
      <x:c r="G1366" s="17" t="n">
        <x:v>26</x:v>
      </x:c>
      <x:c r="H1366" s="18" t="str">
        <x:v>אוכל בחוץ</x:v>
      </x:c>
      <x:c r="I1366" s="19" t="str">
        <x:f>IFERROR(INDEX('מיפוי ומקורות'!$C$7:$C$33,MATCH(H1366,'מיפוי ומקורות'!$B$7:$B$33,0)),"לא מסווג")</x:f>
        <x:v>אוכל בחוץ</x:v>
      </x:c>
      <x:c r="J1366" s="19" t="str">
        <x:f>IFERROR(INDEX('מיפוי ומקורות'!$D$7:$D$33,MATCH(H1366,'מיפוי ומקורות'!$B$7:$B$33,0)),"שוטף")</x:f>
        <x:v>שוטף</x:v>
      </x:c>
      <x:c r="K1366" s="19" t="str">
        <x:f>IF(OR(H1366="ריביות",AND(H1366="דירה כצנלסון",G1366&lt;0,ISNUMBER(SEARCH("הכנסה",F1366)))),"הכנסה שסווגה מחדש",J1366)</x:f>
        <x:v>שוטף</x:v>
      </x:c>
      <x:c r="L1366" s="19" t="str">
        <x:v>מאושר</x:v>
      </x:c>
      <x:c r="M1366" s="20" t="n">
        <x:f>IF(L1366="מאושר",IF(K1366="הכנסה שסווגה מחדש",0,G1366),0)</x:f>
        <x:v>26</x:v>
      </x:c>
      <x:c r="N1366" s="20" t="n">
        <x:f>IF(K1366="שוטף",M1366,0)</x:f>
        <x:v>26</x:v>
      </x:c>
      <x:c r="O1366" s="20" t="n">
        <x:f>IF(K1366="הכנסה שסווגה מחדש",-G1366,0)</x:f>
        <x:v>0</x:v>
      </x:c>
      <x:c r="P1366" s="11" t="str">
        <x:v>אמקס - זיו</x:v>
      </x:c>
      <x:c r="Q1366" s="11" t="str"/>
      <x:c r="R1366" s="11" t="str">
        <x:v>לא</x:v>
      </x:c>
    </x:row>
    <x:row r="1367">
      <x:c r="A1367" s="14" t="n">
        <x:v>46054</x:v>
      </x:c>
      <x:c r="B1367" s="11" t="str">
        <x:v>2026-02</x:v>
      </x:c>
      <x:c r="C1367" s="11" t="str">
        <x:v>פברואר 26</x:v>
      </x:c>
      <x:c r="D1367" s="15" t="n">
        <x:v>57</x:v>
      </x:c>
      <x:c r="E1367" s="11" t="str">
        <x:v>25/02</x:v>
      </x:c>
      <x:c r="F1367" s="11" t="str">
        <x:v>ביטוח מקיף</x:v>
      </x:c>
      <x:c r="G1367" s="17" t="n">
        <x:v>1576</x:v>
      </x:c>
      <x:c r="H1367" s="18" t="str">
        <x:v>תחבורה</x:v>
      </x:c>
      <x:c r="I1367" s="19" t="str">
        <x:f>IFERROR(INDEX('מיפוי ומקורות'!$C$7:$C$33,MATCH(H1367,'מיפוי ומקורות'!$B$7:$B$33,0)),"לא מסווג")</x:f>
        <x:v>תחבורה</x:v>
      </x:c>
      <x:c r="J1367" s="19" t="str">
        <x:f>IFERROR(INDEX('מיפוי ומקורות'!$D$7:$D$33,MATCH(H1367,'מיפוי ומקורות'!$B$7:$B$33,0)),"שוטף")</x:f>
        <x:v>שוטף</x:v>
      </x:c>
      <x:c r="K1367" s="19" t="str">
        <x:f>IF(OR(H1367="ריביות",AND(H1367="דירה כצנלסון",G1367&lt;0,ISNUMBER(SEARCH("הכנסה",F1367)))),"הכנסה שסווגה מחדש",J1367)</x:f>
        <x:v>שוטף</x:v>
      </x:c>
      <x:c r="L1367" s="19" t="str">
        <x:v>מאושר</x:v>
      </x:c>
      <x:c r="M1367" s="20" t="n">
        <x:f>IF(L1367="מאושר",IF(K1367="הכנסה שסווגה מחדש",0,G1367),0)</x:f>
        <x:v>1576</x:v>
      </x:c>
      <x:c r="N1367" s="20" t="n">
        <x:f>IF(K1367="שוטף",M1367,0)</x:f>
        <x:v>1576</x:v>
      </x:c>
      <x:c r="O1367" s="20" t="n">
        <x:f>IF(K1367="הכנסה שסווגה מחדש",-G1367,0)</x:f>
        <x:v>0</x:v>
      </x:c>
      <x:c r="P1367" s="11" t="str">
        <x:v>אמקס - זיו</x:v>
      </x:c>
      <x:c r="Q1367" s="11" t="str"/>
      <x:c r="R1367" s="11" t="str">
        <x:v>לא</x:v>
      </x:c>
    </x:row>
    <x:row r="1368">
      <x:c r="A1368" s="14" t="n">
        <x:v>46054</x:v>
      </x:c>
      <x:c r="B1368" s="11" t="str">
        <x:v>2026-02</x:v>
      </x:c>
      <x:c r="C1368" s="11" t="str">
        <x:v>פברואר 26</x:v>
      </x:c>
      <x:c r="D1368" s="15" t="n">
        <x:v>58</x:v>
      </x:c>
      <x:c r="E1368" s="11" t="str">
        <x:v>25.02</x:v>
      </x:c>
      <x:c r="F1368" s="11" t="str">
        <x:v>פארם</x:v>
      </x:c>
      <x:c r="G1368" s="17" t="n">
        <x:v>32</x:v>
      </x:c>
      <x:c r="H1368" s="18" t="str">
        <x:v>בריאות</x:v>
      </x:c>
      <x:c r="I1368" s="19" t="str">
        <x:f>IFERROR(INDEX('מיפוי ומקורות'!$C$7:$C$33,MATCH(H1368,'מיפוי ומקורות'!$B$7:$B$33,0)),"לא מסווג")</x:f>
        <x:v>בריאות וטיפולים</x:v>
      </x:c>
      <x:c r="J1368" s="19" t="str">
        <x:f>IFERROR(INDEX('מיפוי ומקורות'!$D$7:$D$33,MATCH(H1368,'מיפוי ומקורות'!$B$7:$B$33,0)),"שוטף")</x:f>
        <x:v>שוטף</x:v>
      </x:c>
      <x:c r="K1368" s="19" t="str">
        <x:f>IF(OR(H1368="ריביות",AND(H1368="דירה כצנלסון",G1368&lt;0,ISNUMBER(SEARCH("הכנסה",F1368)))),"הכנסה שסווגה מחדש",J1368)</x:f>
        <x:v>שוטף</x:v>
      </x:c>
      <x:c r="L1368" s="19" t="str">
        <x:v>מאושר</x:v>
      </x:c>
      <x:c r="M1368" s="20" t="n">
        <x:f>IF(L1368="מאושר",IF(K1368="הכנסה שסווגה מחדש",0,G1368),0)</x:f>
        <x:v>32</x:v>
      </x:c>
      <x:c r="N1368" s="20" t="n">
        <x:f>IF(K1368="שוטף",M1368,0)</x:f>
        <x:v>32</x:v>
      </x:c>
      <x:c r="O1368" s="20" t="n">
        <x:f>IF(K1368="הכנסה שסווגה מחדש",-G1368,0)</x:f>
        <x:v>0</x:v>
      </x:c>
      <x:c r="P1368" s="11" t="str">
        <x:v>אמקס - זיו</x:v>
      </x:c>
      <x:c r="Q1368" s="11" t="str"/>
      <x:c r="R1368" s="11" t="str">
        <x:v>לא</x:v>
      </x:c>
    </x:row>
    <x:row r="1369">
      <x:c r="A1369" s="14" t="n">
        <x:v>46054</x:v>
      </x:c>
      <x:c r="B1369" s="11" t="str">
        <x:v>2026-02</x:v>
      </x:c>
      <x:c r="C1369" s="11" t="str">
        <x:v>פברואר 26</x:v>
      </x:c>
      <x:c r="D1369" s="15" t="n">
        <x:v>59</x:v>
      </x:c>
      <x:c r="E1369" s="11" t="str">
        <x:v>28/02</x:v>
      </x:c>
      <x:c r="F1369" s="11" t="str">
        <x:v>דלק</x:v>
      </x:c>
      <x:c r="G1369" s="17" t="n">
        <x:v>141</x:v>
      </x:c>
      <x:c r="H1369" s="18" t="str">
        <x:v>תחבורה</x:v>
      </x:c>
      <x:c r="I1369" s="19" t="str">
        <x:f>IFERROR(INDEX('מיפוי ומקורות'!$C$7:$C$33,MATCH(H1369,'מיפוי ומקורות'!$B$7:$B$33,0)),"לא מסווג")</x:f>
        <x:v>תחבורה</x:v>
      </x:c>
      <x:c r="J1369" s="19" t="str">
        <x:f>IFERROR(INDEX('מיפוי ומקורות'!$D$7:$D$33,MATCH(H1369,'מיפוי ומקורות'!$B$7:$B$33,0)),"שוטף")</x:f>
        <x:v>שוטף</x:v>
      </x:c>
      <x:c r="K1369" s="19" t="str">
        <x:f>IF(OR(H1369="ריביות",AND(H1369="דירה כצנלסון",G1369&lt;0,ISNUMBER(SEARCH("הכנסה",F1369)))),"הכנסה שסווגה מחדש",J1369)</x:f>
        <x:v>שוטף</x:v>
      </x:c>
      <x:c r="L1369" s="19" t="str">
        <x:v>מאושר</x:v>
      </x:c>
      <x:c r="M1369" s="20" t="n">
        <x:f>IF(L1369="מאושר",IF(K1369="הכנסה שסווגה מחדש",0,G1369),0)</x:f>
        <x:v>141</x:v>
      </x:c>
      <x:c r="N1369" s="20" t="n">
        <x:f>IF(K1369="שוטף",M1369,0)</x:f>
        <x:v>141</x:v>
      </x:c>
      <x:c r="O1369" s="20" t="n">
        <x:f>IF(K1369="הכנסה שסווגה מחדש",-G1369,0)</x:f>
        <x:v>0</x:v>
      </x:c>
      <x:c r="P1369" s="11" t="str">
        <x:v>אמקס - זיו</x:v>
      </x:c>
      <x:c r="Q1369" s="11" t="str"/>
      <x:c r="R1369" s="11" t="str">
        <x:v>לא</x:v>
      </x:c>
    </x:row>
    <x:row r="1370">
      <x:c r="A1370" s="14" t="n">
        <x:v>46054</x:v>
      </x:c>
      <x:c r="B1370" s="11" t="str">
        <x:v>2026-02</x:v>
      </x:c>
      <x:c r="C1370" s="11" t="str">
        <x:v>פברואר 26</x:v>
      </x:c>
      <x:c r="D1370" s="15" t="n">
        <x:v>60</x:v>
      </x:c>
      <x:c r="E1370" s="11" t="str">
        <x:v>28.02</x:v>
      </x:c>
      <x:c r="F1370" s="11" t="str">
        <x:v>סופר</x:v>
      </x:c>
      <x:c r="G1370" s="17" t="n">
        <x:v>157</x:v>
      </x:c>
      <x:c r="H1370" s="18" t="str">
        <x:v>מזון לבית</x:v>
      </x:c>
      <x:c r="I1370" s="19" t="str">
        <x:f>IFERROR(INDEX('מיפוי ומקורות'!$C$7:$C$33,MATCH(H1370,'מיפוי ומקורות'!$B$7:$B$33,0)),"לא מסווג")</x:f>
        <x:v>מזון לבית</x:v>
      </x:c>
      <x:c r="J1370" s="19" t="str">
        <x:f>IFERROR(INDEX('מיפוי ומקורות'!$D$7:$D$33,MATCH(H1370,'מיפוי ומקורות'!$B$7:$B$33,0)),"שוטף")</x:f>
        <x:v>שוטף</x:v>
      </x:c>
      <x:c r="K1370" s="19" t="str">
        <x:f>IF(OR(H1370="ריביות",AND(H1370="דירה כצנלסון",G1370&lt;0,ISNUMBER(SEARCH("הכנסה",F1370)))),"הכנסה שסווגה מחדש",J1370)</x:f>
        <x:v>שוטף</x:v>
      </x:c>
      <x:c r="L1370" s="19" t="str">
        <x:v>מאושר</x:v>
      </x:c>
      <x:c r="M1370" s="20" t="n">
        <x:f>IF(L1370="מאושר",IF(K1370="הכנסה שסווגה מחדש",0,G1370),0)</x:f>
        <x:v>157</x:v>
      </x:c>
      <x:c r="N1370" s="20" t="n">
        <x:f>IF(K1370="שוטף",M1370,0)</x:f>
        <x:v>157</x:v>
      </x:c>
      <x:c r="O1370" s="20" t="n">
        <x:f>IF(K1370="הכנסה שסווגה מחדש",-G1370,0)</x:f>
        <x:v>0</x:v>
      </x:c>
      <x:c r="P1370" s="11" t="str">
        <x:v>אמקס - זיו</x:v>
      </x:c>
      <x:c r="Q1370" s="11" t="str"/>
      <x:c r="R1370" s="11" t="str">
        <x:v>לא</x:v>
      </x:c>
    </x:row>
    <x:row r="1371">
      <x:c r="A1371" s="14" t="n">
        <x:v>46054</x:v>
      </x:c>
      <x:c r="B1371" s="11" t="str">
        <x:v>2026-02</x:v>
      </x:c>
      <x:c r="C1371" s="11" t="str">
        <x:v>פברואר 26</x:v>
      </x:c>
      <x:c r="D1371" s="15" t="n">
        <x:v>61</x:v>
      </x:c>
      <x:c r="E1371" s="11" t="str">
        <x:v>25/2</x:v>
      </x:c>
      <x:c r="F1371" s="11" t="str">
        <x:v>תחבץ</x:v>
      </x:c>
      <x:c r="G1371" s="17" t="n">
        <x:v>88</x:v>
      </x:c>
      <x:c r="H1371" s="18" t="str">
        <x:v>תחבורה</x:v>
      </x:c>
      <x:c r="I1371" s="19" t="str">
        <x:f>IFERROR(INDEX('מיפוי ומקורות'!$C$7:$C$33,MATCH(H1371,'מיפוי ומקורות'!$B$7:$B$33,0)),"לא מסווג")</x:f>
        <x:v>תחבורה</x:v>
      </x:c>
      <x:c r="J1371" s="19" t="str">
        <x:f>IFERROR(INDEX('מיפוי ומקורות'!$D$7:$D$33,MATCH(H1371,'מיפוי ומקורות'!$B$7:$B$33,0)),"שוטף")</x:f>
        <x:v>שוטף</x:v>
      </x:c>
      <x:c r="K1371" s="19" t="str">
        <x:f>IF(OR(H1371="ריביות",AND(H1371="דירה כצנלסון",G1371&lt;0,ISNUMBER(SEARCH("הכנסה",F1371)))),"הכנסה שסווגה מחדש",J1371)</x:f>
        <x:v>שוטף</x:v>
      </x:c>
      <x:c r="L1371" s="19" t="str">
        <x:v>מאושר</x:v>
      </x:c>
      <x:c r="M1371" s="20" t="n">
        <x:f>IF(L1371="מאושר",IF(K1371="הכנסה שסווגה מחדש",0,G1371),0)</x:f>
        <x:v>88</x:v>
      </x:c>
      <x:c r="N1371" s="20" t="n">
        <x:f>IF(K1371="שוטף",M1371,0)</x:f>
        <x:v>88</x:v>
      </x:c>
      <x:c r="O1371" s="20" t="n">
        <x:f>IF(K1371="הכנסה שסווגה מחדש",-G1371,0)</x:f>
        <x:v>0</x:v>
      </x:c>
      <x:c r="P1371" s="11" t="str">
        <x:v>one zero - זיו</x:v>
      </x:c>
      <x:c r="Q1371" s="11" t="str"/>
      <x:c r="R1371" s="11" t="str">
        <x:v>לא</x:v>
      </x:c>
    </x:row>
    <x:row r="1372">
      <x:c r="A1372" s="14" t="n">
        <x:v>46054</x:v>
      </x:c>
      <x:c r="B1372" s="11" t="str">
        <x:v>2026-02</x:v>
      </x:c>
      <x:c r="C1372" s="11" t="str">
        <x:v>פברואר 26</x:v>
      </x:c>
      <x:c r="D1372" s="15" t="n">
        <x:v>62</x:v>
      </x:c>
      <x:c r="E1372" s="11" t="str">
        <x:v>16/2</x:v>
      </x:c>
      <x:c r="F1372" s="11" t="str">
        <x:v>מאפיה</x:v>
      </x:c>
      <x:c r="G1372" s="17" t="n">
        <x:v>39</x:v>
      </x:c>
      <x:c r="H1372" s="18" t="str">
        <x:v>אוכל בחוץ</x:v>
      </x:c>
      <x:c r="I1372" s="19" t="str">
        <x:f>IFERROR(INDEX('מיפוי ומקורות'!$C$7:$C$33,MATCH(H1372,'מיפוי ומקורות'!$B$7:$B$33,0)),"לא מסווג")</x:f>
        <x:v>אוכל בחוץ</x:v>
      </x:c>
      <x:c r="J1372" s="19" t="str">
        <x:f>IFERROR(INDEX('מיפוי ומקורות'!$D$7:$D$33,MATCH(H1372,'מיפוי ומקורות'!$B$7:$B$33,0)),"שוטף")</x:f>
        <x:v>שוטף</x:v>
      </x:c>
      <x:c r="K1372" s="19" t="str">
        <x:f>IF(OR(H1372="ריביות",AND(H1372="דירה כצנלסון",G1372&lt;0,ISNUMBER(SEARCH("הכנסה",F1372)))),"הכנסה שסווגה מחדש",J1372)</x:f>
        <x:v>שוטף</x:v>
      </x:c>
      <x:c r="L1372" s="19" t="str">
        <x:v>מאושר</x:v>
      </x:c>
      <x:c r="M1372" s="20" t="n">
        <x:f>IF(L1372="מאושר",IF(K1372="הכנסה שסווגה מחדש",0,G1372),0)</x:f>
        <x:v>39</x:v>
      </x:c>
      <x:c r="N1372" s="20" t="n">
        <x:f>IF(K1372="שוטף",M1372,0)</x:f>
        <x:v>39</x:v>
      </x:c>
      <x:c r="O1372" s="20" t="n">
        <x:f>IF(K1372="הכנסה שסווגה מחדש",-G1372,0)</x:f>
        <x:v>0</x:v>
      </x:c>
      <x:c r="P1372" s="11" t="str">
        <x:v>one zero - זיו</x:v>
      </x:c>
      <x:c r="Q1372" s="11" t="str"/>
      <x:c r="R1372" s="11" t="str">
        <x:v>לא</x:v>
      </x:c>
    </x:row>
    <x:row r="1373">
      <x:c r="A1373" s="14" t="n">
        <x:v>46054</x:v>
      </x:c>
      <x:c r="B1373" s="11" t="str">
        <x:v>2026-02</x:v>
      </x:c>
      <x:c r="C1373" s="11" t="str">
        <x:v>פברואר 26</x:v>
      </x:c>
      <x:c r="D1373" s="15" t="n">
        <x:v>63</x:v>
      </x:c>
      <x:c r="E1373" s="11" t="str">
        <x:v>14/2</x:v>
      </x:c>
      <x:c r="F1373" s="11" t="str">
        <x:v>אוכל בחוץ</x:v>
      </x:c>
      <x:c r="G1373" s="17" t="n">
        <x:v>55</x:v>
      </x:c>
      <x:c r="H1373" s="18" t="str">
        <x:v>אוכל בחוץ</x:v>
      </x:c>
      <x:c r="I1373" s="19" t="str">
        <x:f>IFERROR(INDEX('מיפוי ומקורות'!$C$7:$C$33,MATCH(H1373,'מיפוי ומקורות'!$B$7:$B$33,0)),"לא מסווג")</x:f>
        <x:v>אוכל בחוץ</x:v>
      </x:c>
      <x:c r="J1373" s="19" t="str">
        <x:f>IFERROR(INDEX('מיפוי ומקורות'!$D$7:$D$33,MATCH(H1373,'מיפוי ומקורות'!$B$7:$B$33,0)),"שוטף")</x:f>
        <x:v>שוטף</x:v>
      </x:c>
      <x:c r="K1373" s="19" t="str">
        <x:f>IF(OR(H1373="ריביות",AND(H1373="דירה כצנלסון",G1373&lt;0,ISNUMBER(SEARCH("הכנסה",F1373)))),"הכנסה שסווגה מחדש",J1373)</x:f>
        <x:v>שוטף</x:v>
      </x:c>
      <x:c r="L1373" s="19" t="str">
        <x:v>מאושר</x:v>
      </x:c>
      <x:c r="M1373" s="20" t="n">
        <x:f>IF(L1373="מאושר",IF(K1373="הכנסה שסווגה מחדש",0,G1373),0)</x:f>
        <x:v>55</x:v>
      </x:c>
      <x:c r="N1373" s="20" t="n">
        <x:f>IF(K1373="שוטף",M1373,0)</x:f>
        <x:v>55</x:v>
      </x:c>
      <x:c r="O1373" s="20" t="n">
        <x:f>IF(K1373="הכנסה שסווגה מחדש",-G1373,0)</x:f>
        <x:v>0</x:v>
      </x:c>
      <x:c r="P1373" s="11" t="str">
        <x:v>one zero - זיו</x:v>
      </x:c>
      <x:c r="Q1373" s="11" t="str"/>
      <x:c r="R1373" s="11" t="str">
        <x:v>לא</x:v>
      </x:c>
    </x:row>
    <x:row r="1374">
      <x:c r="A1374" s="14" t="n">
        <x:v>46054</x:v>
      </x:c>
      <x:c r="B1374" s="11" t="str">
        <x:v>2026-02</x:v>
      </x:c>
      <x:c r="C1374" s="11" t="str">
        <x:v>פברואר 26</x:v>
      </x:c>
      <x:c r="D1374" s="15" t="n">
        <x:v>64</x:v>
      </x:c>
      <x:c r="E1374" s="11" t="str">
        <x:v>25/2</x:v>
      </x:c>
      <x:c r="F1374" s="11" t="str">
        <x:v>תחבץ</x:v>
      </x:c>
      <x:c r="G1374" s="17" t="n">
        <x:v>32</x:v>
      </x:c>
      <x:c r="H1374" s="18" t="str">
        <x:v>תחבורה</x:v>
      </x:c>
      <x:c r="I1374" s="19" t="str">
        <x:f>IFERROR(INDEX('מיפוי ומקורות'!$C$7:$C$33,MATCH(H1374,'מיפוי ומקורות'!$B$7:$B$33,0)),"לא מסווג")</x:f>
        <x:v>תחבורה</x:v>
      </x:c>
      <x:c r="J1374" s="19" t="str">
        <x:f>IFERROR(INDEX('מיפוי ומקורות'!$D$7:$D$33,MATCH(H1374,'מיפוי ומקורות'!$B$7:$B$33,0)),"שוטף")</x:f>
        <x:v>שוטף</x:v>
      </x:c>
      <x:c r="K1374" s="19" t="str">
        <x:f>IF(OR(H1374="ריביות",AND(H1374="דירה כצנלסון",G1374&lt;0,ISNUMBER(SEARCH("הכנסה",F1374)))),"הכנסה שסווגה מחדש",J1374)</x:f>
        <x:v>שוטף</x:v>
      </x:c>
      <x:c r="L1374" s="19" t="str">
        <x:v>מאושר</x:v>
      </x:c>
      <x:c r="M1374" s="20" t="n">
        <x:f>IF(L1374="מאושר",IF(K1374="הכנסה שסווגה מחדש",0,G1374),0)</x:f>
        <x:v>32</x:v>
      </x:c>
      <x:c r="N1374" s="20" t="n">
        <x:f>IF(K1374="שוטף",M1374,0)</x:f>
        <x:v>32</x:v>
      </x:c>
      <x:c r="O1374" s="20" t="n">
        <x:f>IF(K1374="הכנסה שסווגה מחדש",-G1374,0)</x:f>
        <x:v>0</x:v>
      </x:c>
      <x:c r="P1374" s="11" t="str">
        <x:v>one zero - עינור</x:v>
      </x:c>
      <x:c r="Q1374" s="11" t="str"/>
      <x:c r="R1374" s="11" t="str">
        <x:v>לא</x:v>
      </x:c>
    </x:row>
    <x:row r="1375">
      <x:c r="A1375" s="14" t="n">
        <x:v>46054</x:v>
      </x:c>
      <x:c r="B1375" s="11" t="str">
        <x:v>2026-02</x:v>
      </x:c>
      <x:c r="C1375" s="11" t="str">
        <x:v>פברואר 26</x:v>
      </x:c>
      <x:c r="D1375" s="15" t="n">
        <x:v>65</x:v>
      </x:c>
      <x:c r="E1375" s="11" t="str">
        <x:v>6/2</x:v>
      </x:c>
      <x:c r="F1375" s="11" t="str">
        <x:v>האקדמיה האורגזמית</x:v>
      </x:c>
      <x:c r="G1375" s="17" t="n">
        <x:v>97</x:v>
      </x:c>
      <x:c r="H1375" s="18" t="str">
        <x:v>טיפולים</x:v>
      </x:c>
      <x:c r="I1375" s="19" t="str">
        <x:f>IFERROR(INDEX('מיפוי ומקורות'!$C$7:$C$33,MATCH(H1375,'מיפוי ומקורות'!$B$7:$B$33,0)),"לא מסווג")</x:f>
        <x:v>בריאות וטיפולים</x:v>
      </x:c>
      <x:c r="J1375" s="19" t="str">
        <x:f>IFERROR(INDEX('מיפוי ומקורות'!$D$7:$D$33,MATCH(H1375,'מיפוי ומקורות'!$B$7:$B$33,0)),"שוטף")</x:f>
        <x:v>שוטף</x:v>
      </x:c>
      <x:c r="K1375" s="19" t="str">
        <x:f>IF(OR(H1375="ריביות",AND(H1375="דירה כצנלסון",G1375&lt;0,ISNUMBER(SEARCH("הכנסה",F1375)))),"הכנסה שסווגה מחדש",J1375)</x:f>
        <x:v>שוטף</x:v>
      </x:c>
      <x:c r="L1375" s="19" t="str">
        <x:v>מאושר</x:v>
      </x:c>
      <x:c r="M1375" s="20" t="n">
        <x:f>IF(L1375="מאושר",IF(K1375="הכנסה שסווגה מחדש",0,G1375),0)</x:f>
        <x:v>97</x:v>
      </x:c>
      <x:c r="N1375" s="20" t="n">
        <x:f>IF(K1375="שוטף",M1375,0)</x:f>
        <x:v>97</x:v>
      </x:c>
      <x:c r="O1375" s="20" t="n">
        <x:f>IF(K1375="הכנסה שסווגה מחדש",-G1375,0)</x:f>
        <x:v>0</x:v>
      </x:c>
      <x:c r="P1375" s="11" t="str">
        <x:v>מקס - עינור</x:v>
      </x:c>
      <x:c r="Q1375" s="11" t="str"/>
      <x:c r="R1375" s="11" t="str">
        <x:v>לא</x:v>
      </x:c>
    </x:row>
    <x:row r="1376">
      <x:c r="A1376" s="14" t="n">
        <x:v>46054</x:v>
      </x:c>
      <x:c r="B1376" s="11" t="str">
        <x:v>2026-02</x:v>
      </x:c>
      <x:c r="C1376" s="11" t="str">
        <x:v>פברואר 26</x:v>
      </x:c>
      <x:c r="D1376" s="15" t="n">
        <x:v>66</x:v>
      </x:c>
      <x:c r="E1376" s="11" t="str">
        <x:v>10/2</x:v>
      </x:c>
      <x:c r="F1376" s="11" t="str">
        <x:v>נשים אורגזמיות</x:v>
      </x:c>
      <x:c r="G1376" s="17" t="n">
        <x:v>1650</x:v>
      </x:c>
      <x:c r="H1376" s="18" t="str">
        <x:v>טיפולים</x:v>
      </x:c>
      <x:c r="I1376" s="19" t="str">
        <x:f>IFERROR(INDEX('מיפוי ומקורות'!$C$7:$C$33,MATCH(H1376,'מיפוי ומקורות'!$B$7:$B$33,0)),"לא מסווג")</x:f>
        <x:v>בריאות וטיפולים</x:v>
      </x:c>
      <x:c r="J1376" s="19" t="str">
        <x:f>IFERROR(INDEX('מיפוי ומקורות'!$D$7:$D$33,MATCH(H1376,'מיפוי ומקורות'!$B$7:$B$33,0)),"שוטף")</x:f>
        <x:v>שוטף</x:v>
      </x:c>
      <x:c r="K1376" s="19" t="str">
        <x:f>IF(OR(H1376="ריביות",AND(H1376="דירה כצנלסון",G1376&lt;0,ISNUMBER(SEARCH("הכנסה",F1376)))),"הכנסה שסווגה מחדש",J1376)</x:f>
        <x:v>שוטף</x:v>
      </x:c>
      <x:c r="L1376" s="19" t="str">
        <x:v>מאושר</x:v>
      </x:c>
      <x:c r="M1376" s="20" t="n">
        <x:f>IF(L1376="מאושר",IF(K1376="הכנסה שסווגה מחדש",0,G1376),0)</x:f>
        <x:v>1650</x:v>
      </x:c>
      <x:c r="N1376" s="20" t="n">
        <x:f>IF(K1376="שוטף",M1376,0)</x:f>
        <x:v>1650</x:v>
      </x:c>
      <x:c r="O1376" s="20" t="n">
        <x:f>IF(K1376="הכנסה שסווגה מחדש",-G1376,0)</x:f>
        <x:v>0</x:v>
      </x:c>
      <x:c r="P1376" s="11" t="str">
        <x:v>מקס - עינור</x:v>
      </x:c>
      <x:c r="Q1376" s="11" t="str"/>
      <x:c r="R1376" s="11" t="str">
        <x:v>לא</x:v>
      </x:c>
    </x:row>
    <x:row r="1377">
      <x:c r="A1377" s="14" t="n">
        <x:v>46054</x:v>
      </x:c>
      <x:c r="B1377" s="11" t="str">
        <x:v>2026-02</x:v>
      </x:c>
      <x:c r="C1377" s="11" t="str">
        <x:v>פברואר 26</x:v>
      </x:c>
      <x:c r="D1377" s="15" t="n">
        <x:v>67</x:v>
      </x:c>
      <x:c r="E1377" s="11" t="str">
        <x:v>12/2</x:v>
      </x:c>
      <x:c r="F1377" s="11" t="str">
        <x:v>לק</x:v>
      </x:c>
      <x:c r="G1377" s="17" t="n">
        <x:v>120</x:v>
      </x:c>
      <x:c r="H1377" s="18" t="str">
        <x:v>קוסמטיקה</x:v>
      </x:c>
      <x:c r="I1377" s="19" t="str">
        <x:f>IFERROR(INDEX('מיפוי ומקורות'!$C$7:$C$33,MATCH(H1377,'מיפוי ומקורות'!$B$7:$B$33,0)),"לא מסווג")</x:f>
        <x:v>קוסמטיקה</x:v>
      </x:c>
      <x:c r="J1377" s="19" t="str">
        <x:f>IFERROR(INDEX('מיפוי ומקורות'!$D$7:$D$33,MATCH(H1377,'מיפוי ומקורות'!$B$7:$B$33,0)),"שוטף")</x:f>
        <x:v>שוטף</x:v>
      </x:c>
      <x:c r="K1377" s="19" t="str">
        <x:f>IF(OR(H1377="ריביות",AND(H1377="דירה כצנלסון",G1377&lt;0,ISNUMBER(SEARCH("הכנסה",F1377)))),"הכנסה שסווגה מחדש",J1377)</x:f>
        <x:v>שוטף</x:v>
      </x:c>
      <x:c r="L1377" s="19" t="str">
        <x:v>מאושר</x:v>
      </x:c>
      <x:c r="M1377" s="20" t="n">
        <x:f>IF(L1377="מאושר",IF(K1377="הכנסה שסווגה מחדש",0,G1377),0)</x:f>
        <x:v>120</x:v>
      </x:c>
      <x:c r="N1377" s="20" t="n">
        <x:f>IF(K1377="שוטף",M1377,0)</x:f>
        <x:v>120</x:v>
      </x:c>
      <x:c r="O1377" s="20" t="n">
        <x:f>IF(K1377="הכנסה שסווגה מחדש",-G1377,0)</x:f>
        <x:v>0</x:v>
      </x:c>
      <x:c r="P1377" s="11" t="str">
        <x:v>מקס - עינור</x:v>
      </x:c>
      <x:c r="Q1377" s="11" t="str"/>
      <x:c r="R1377" s="11" t="str">
        <x:v>לא</x:v>
      </x:c>
    </x:row>
    <x:row r="1378">
      <x:c r="A1378" s="14" t="n">
        <x:v>46054</x:v>
      </x:c>
      <x:c r="B1378" s="11" t="str">
        <x:v>2026-02</x:v>
      </x:c>
      <x:c r="C1378" s="11" t="str">
        <x:v>פברואר 26</x:v>
      </x:c>
      <x:c r="D1378" s="15" t="n">
        <x:v>68</x:v>
      </x:c>
      <x:c r="E1378" s="11" t="str">
        <x:v>13/2</x:v>
      </x:c>
      <x:c r="F1378" s="11" t="str">
        <x:v>הגן הבוטני</x:v>
      </x:c>
      <x:c r="G1378" s="17" t="n">
        <x:v>80</x:v>
      </x:c>
      <x:c r="H1378" s="18" t="str">
        <x:v>פנאי</x:v>
      </x:c>
      <x:c r="I1378" s="19" t="str">
        <x:f>IFERROR(INDEX('מיפוי ומקורות'!$C$7:$C$33,MATCH(H1378,'מיפוי ומקורות'!$B$7:$B$33,0)),"לא מסווג")</x:f>
        <x:v>פנאי</x:v>
      </x:c>
      <x:c r="J1378" s="19" t="str">
        <x:f>IFERROR(INDEX('מיפוי ומקורות'!$D$7:$D$33,MATCH(H1378,'מיפוי ומקורות'!$B$7:$B$33,0)),"שוטף")</x:f>
        <x:v>שוטף</x:v>
      </x:c>
      <x:c r="K1378" s="19" t="str">
        <x:f>IF(OR(H1378="ריביות",AND(H1378="דירה כצנלסון",G1378&lt;0,ISNUMBER(SEARCH("הכנסה",F1378)))),"הכנסה שסווגה מחדש",J1378)</x:f>
        <x:v>שוטף</x:v>
      </x:c>
      <x:c r="L1378" s="19" t="str">
        <x:v>מאושר</x:v>
      </x:c>
      <x:c r="M1378" s="20" t="n">
        <x:f>IF(L1378="מאושר",IF(K1378="הכנסה שסווגה מחדש",0,G1378),0)</x:f>
        <x:v>80</x:v>
      </x:c>
      <x:c r="N1378" s="20" t="n">
        <x:f>IF(K1378="שוטף",M1378,0)</x:f>
        <x:v>80</x:v>
      </x:c>
      <x:c r="O1378" s="20" t="n">
        <x:f>IF(K1378="הכנסה שסווגה מחדש",-G1378,0)</x:f>
        <x:v>0</x:v>
      </x:c>
      <x:c r="P1378" s="11" t="str">
        <x:v>מקס - עינור</x:v>
      </x:c>
      <x:c r="Q1378" s="11" t="str"/>
      <x:c r="R1378" s="11" t="str">
        <x:v>לא</x:v>
      </x:c>
    </x:row>
    <x:row r="1379">
      <x:c r="A1379" s="14" t="n">
        <x:v>46054</x:v>
      </x:c>
      <x:c r="B1379" s="11" t="str">
        <x:v>2026-02</x:v>
      </x:c>
      <x:c r="C1379" s="11" t="str">
        <x:v>פברואר 26</x:v>
      </x:c>
      <x:c r="D1379" s="15" t="n">
        <x:v>69</x:v>
      </x:c>
      <x:c r="E1379" s="11" t="str">
        <x:v>14/2</x:v>
      </x:c>
      <x:c r="F1379" s="11" t="str">
        <x:v>מסעדה</x:v>
      </x:c>
      <x:c r="G1379" s="17" t="n">
        <x:v>174</x:v>
      </x:c>
      <x:c r="H1379" s="18" t="str">
        <x:v>אוכל בחוץ</x:v>
      </x:c>
      <x:c r="I1379" s="19" t="str">
        <x:f>IFERROR(INDEX('מיפוי ומקורות'!$C$7:$C$33,MATCH(H1379,'מיפוי ומקורות'!$B$7:$B$33,0)),"לא מסווג")</x:f>
        <x:v>אוכל בחוץ</x:v>
      </x:c>
      <x:c r="J1379" s="19" t="str">
        <x:f>IFERROR(INDEX('מיפוי ומקורות'!$D$7:$D$33,MATCH(H1379,'מיפוי ומקורות'!$B$7:$B$33,0)),"שוטף")</x:f>
        <x:v>שוטף</x:v>
      </x:c>
      <x:c r="K1379" s="19" t="str">
        <x:f>IF(OR(H1379="ריביות",AND(H1379="דירה כצנלסון",G1379&lt;0,ISNUMBER(SEARCH("הכנסה",F1379)))),"הכנסה שסווגה מחדש",J1379)</x:f>
        <x:v>שוטף</x:v>
      </x:c>
      <x:c r="L1379" s="19" t="str">
        <x:v>מאושר</x:v>
      </x:c>
      <x:c r="M1379" s="20" t="n">
        <x:f>IF(L1379="מאושר",IF(K1379="הכנסה שסווגה מחדש",0,G1379),0)</x:f>
        <x:v>174</x:v>
      </x:c>
      <x:c r="N1379" s="20" t="n">
        <x:f>IF(K1379="שוטף",M1379,0)</x:f>
        <x:v>174</x:v>
      </x:c>
      <x:c r="O1379" s="20" t="n">
        <x:f>IF(K1379="הכנסה שסווגה מחדש",-G1379,0)</x:f>
        <x:v>0</x:v>
      </x:c>
      <x:c r="P1379" s="11" t="str">
        <x:v>מקס - עינור</x:v>
      </x:c>
      <x:c r="Q1379" s="11" t="str"/>
      <x:c r="R1379" s="11" t="str">
        <x:v>לא</x:v>
      </x:c>
    </x:row>
    <x:row r="1380">
      <x:c r="A1380" s="14" t="n">
        <x:v>46054</x:v>
      </x:c>
      <x:c r="B1380" s="11" t="str">
        <x:v>2026-02</x:v>
      </x:c>
      <x:c r="C1380" s="11" t="str">
        <x:v>פברואר 26</x:v>
      </x:c>
      <x:c r="D1380" s="15" t="n">
        <x:v>70</x:v>
      </x:c>
      <x:c r="E1380" s="11" t="str">
        <x:v>1/2</x:v>
      </x:c>
      <x:c r="F1380" s="11" t="str">
        <x:v>ליאת</x:v>
      </x:c>
      <x:c r="G1380" s="17" t="n">
        <x:v>1350</x:v>
      </x:c>
      <x:c r="H1380" s="18" t="str">
        <x:v>טיפולים</x:v>
      </x:c>
      <x:c r="I1380" s="19" t="str">
        <x:f>IFERROR(INDEX('מיפוי ומקורות'!$C$7:$C$33,MATCH(H1380,'מיפוי ומקורות'!$B$7:$B$33,0)),"לא מסווג")</x:f>
        <x:v>בריאות וטיפולים</x:v>
      </x:c>
      <x:c r="J1380" s="19" t="str">
        <x:f>IFERROR(INDEX('מיפוי ומקורות'!$D$7:$D$33,MATCH(H1380,'מיפוי ומקורות'!$B$7:$B$33,0)),"שוטף")</x:f>
        <x:v>שוטף</x:v>
      </x:c>
      <x:c r="K1380" s="19" t="str">
        <x:f>IF(OR(H1380="ריביות",AND(H1380="דירה כצנלסון",G1380&lt;0,ISNUMBER(SEARCH("הכנסה",F1380)))),"הכנסה שסווגה מחדש",J1380)</x:f>
        <x:v>שוטף</x:v>
      </x:c>
      <x:c r="L1380" s="19" t="str">
        <x:v>מאושר</x:v>
      </x:c>
      <x:c r="M1380" s="20" t="n">
        <x:f>IF(L1380="מאושר",IF(K1380="הכנסה שסווגה מחדש",0,G1380),0)</x:f>
        <x:v>1350</x:v>
      </x:c>
      <x:c r="N1380" s="20" t="n">
        <x:f>IF(K1380="שוטף",M1380,0)</x:f>
        <x:v>1350</x:v>
      </x:c>
      <x:c r="O1380" s="20" t="n">
        <x:f>IF(K1380="הכנסה שסווגה מחדש",-G1380,0)</x:f>
        <x:v>0</x:v>
      </x:c>
      <x:c r="P1380" s="11" t="str">
        <x:v>one zero</x:v>
      </x:c>
      <x:c r="Q1380" s="11" t="str"/>
      <x:c r="R1380" s="11" t="str">
        <x:v>לא</x:v>
      </x:c>
    </x:row>
    <x:row r="1381">
      <x:c r="A1381" s="14" t="n">
        <x:v>46054</x:v>
      </x:c>
      <x:c r="B1381" s="11" t="str">
        <x:v>2026-02</x:v>
      </x:c>
      <x:c r="C1381" s="11" t="str">
        <x:v>פברואר 26</x:v>
      </x:c>
      <x:c r="D1381" s="15" t="n">
        <x:v>71</x:v>
      </x:c>
      <x:c r="E1381" s="11" t="str">
        <x:v>2/2</x:v>
      </x:c>
      <x:c r="F1381" s="11" t="str">
        <x:v>קש בק</x:v>
      </x:c>
      <x:c r="G1381" s="17" t="n">
        <x:v>-167</x:v>
      </x:c>
      <x:c r="H1381" s="18" t="str">
        <x:v>חופשה</x:v>
      </x:c>
      <x:c r="I1381" s="19" t="str">
        <x:f>IFERROR(INDEX('מיפוי ומקורות'!$C$7:$C$33,MATCH(H1381,'מיפוי ומקורות'!$B$7:$B$33,0)),"לא מסווג")</x:f>
        <x:v>נסיעות וחופשות</x:v>
      </x:c>
      <x:c r="J1381" s="19" t="str">
        <x:f>IFERROR(INDEX('מיפוי ומקורות'!$D$7:$D$33,MATCH(H1381,'מיפוי ומקורות'!$B$7:$B$33,0)),"שוטף")</x:f>
        <x:v>חריג</x:v>
      </x:c>
      <x:c r="K1381" s="19" t="str">
        <x:f>IF(OR(H1381="ריביות",AND(H1381="דירה כצנלסון",G1381&lt;0,ISNUMBER(SEARCH("הכנסה",F1381)))),"הכנסה שסווגה מחדש",J1381)</x:f>
        <x:v>חריג</x:v>
      </x:c>
      <x:c r="L1381" s="19" t="str">
        <x:v>מאושר</x:v>
      </x:c>
      <x:c r="M1381" s="20" t="n">
        <x:f>IF(L1381="מאושר",IF(K1381="הכנסה שסווגה מחדש",0,G1381),0)</x:f>
        <x:v>-167</x:v>
      </x:c>
      <x:c r="N1381" s="20" t="n">
        <x:f>IF(K1381="שוטף",M1381,0)</x:f>
        <x:v>0</x:v>
      </x:c>
      <x:c r="O1381" s="20" t="n">
        <x:f>IF(K1381="הכנסה שסווגה מחדש",-G1381,0)</x:f>
        <x:v>0</x:v>
      </x:c>
      <x:c r="P1381" s="11" t="str">
        <x:v>one zero</x:v>
      </x:c>
      <x:c r="Q1381" s="11" t="str"/>
      <x:c r="R1381" s="11" t="str">
        <x:v>לא</x:v>
      </x:c>
    </x:row>
    <x:row r="1382">
      <x:c r="A1382" s="14" t="n">
        <x:v>46054</x:v>
      </x:c>
      <x:c r="B1382" s="11" t="str">
        <x:v>2026-02</x:v>
      </x:c>
      <x:c r="C1382" s="11" t="str">
        <x:v>פברואר 26</x:v>
      </x:c>
      <x:c r="D1382" s="15" t="n">
        <x:v>72</x:v>
      </x:c>
      <x:c r="E1382" s="11" t="str">
        <x:v>01/02</x:v>
      </x:c>
      <x:c r="F1382" s="11" t="str">
        <x:v>אלוהה שרונה - תל אביב יפו</x:v>
      </x:c>
      <x:c r="G1382" s="17" t="n">
        <x:v>83</x:v>
      </x:c>
      <x:c r="H1382" s="18" t="str">
        <x:v>אוכל בחוץ</x:v>
      </x:c>
      <x:c r="I1382" s="19" t="str">
        <x:f>IFERROR(INDEX('מיפוי ומקורות'!$C$7:$C$33,MATCH(H1382,'מיפוי ומקורות'!$B$7:$B$33,0)),"לא מסווג")</x:f>
        <x:v>אוכל בחוץ</x:v>
      </x:c>
      <x:c r="J1382" s="19" t="str">
        <x:f>IFERROR(INDEX('מיפוי ומקורות'!$D$7:$D$33,MATCH(H1382,'מיפוי ומקורות'!$B$7:$B$33,0)),"שוטף")</x:f>
        <x:v>שוטף</x:v>
      </x:c>
      <x:c r="K1382" s="19" t="str">
        <x:f>IF(OR(H1382="ריביות",AND(H1382="דירה כצנלסון",G1382&lt;0,ISNUMBER(SEARCH("הכנסה",F1382)))),"הכנסה שסווגה מחדש",J1382)</x:f>
        <x:v>שוטף</x:v>
      </x:c>
      <x:c r="L1382" s="19" t="str">
        <x:v>מאושר</x:v>
      </x:c>
      <x:c r="M1382" s="20" t="n">
        <x:f>IF(L1382="מאושר",IF(K1382="הכנסה שסווגה מחדש",0,G1382),0)</x:f>
        <x:v>83</x:v>
      </x:c>
      <x:c r="N1382" s="20" t="n">
        <x:f>IF(K1382="שוטף",M1382,0)</x:f>
        <x:v>83</x:v>
      </x:c>
      <x:c r="O1382" s="20" t="n">
        <x:f>IF(K1382="הכנסה שסווגה מחדש",-G1382,0)</x:f>
        <x:v>0</x:v>
      </x:c>
      <x:c r="P1382" s="11" t="str">
        <x:v>סיבוס - עינור</x:v>
      </x:c>
      <x:c r="Q1382" s="11" t="str"/>
      <x:c r="R1382" s="11" t="str">
        <x:v>לא</x:v>
      </x:c>
    </x:row>
    <x:row r="1383">
      <x:c r="A1383" s="14" t="n">
        <x:v>46054</x:v>
      </x:c>
      <x:c r="B1383" s="11" t="str">
        <x:v>2026-02</x:v>
      </x:c>
      <x:c r="C1383" s="11" t="str">
        <x:v>פברואר 26</x:v>
      </x:c>
      <x:c r="D1383" s="15" t="n">
        <x:v>73</x:v>
      </x:c>
      <x:c r="E1383" s="11" t="str">
        <x:v>4.02</x:v>
      </x:c>
      <x:c r="F1383" s="11" t="str">
        <x:v>סופר</x:v>
      </x:c>
      <x:c r="G1383" s="17" t="n">
        <x:v>70</x:v>
      </x:c>
      <x:c r="H1383" s="18" t="str">
        <x:v>מזון לבית</x:v>
      </x:c>
      <x:c r="I1383" s="19" t="str">
        <x:f>IFERROR(INDEX('מיפוי ומקורות'!$C$7:$C$33,MATCH(H1383,'מיפוי ומקורות'!$B$7:$B$33,0)),"לא מסווג")</x:f>
        <x:v>מזון לבית</x:v>
      </x:c>
      <x:c r="J1383" s="19" t="str">
        <x:f>IFERROR(INDEX('מיפוי ומקורות'!$D$7:$D$33,MATCH(H1383,'מיפוי ומקורות'!$B$7:$B$33,0)),"שוטף")</x:f>
        <x:v>שוטף</x:v>
      </x:c>
      <x:c r="K1383" s="19" t="str">
        <x:f>IF(OR(H1383="ריביות",AND(H1383="דירה כצנלסון",G1383&lt;0,ISNUMBER(SEARCH("הכנסה",F1383)))),"הכנסה שסווגה מחדש",J1383)</x:f>
        <x:v>שוטף</x:v>
      </x:c>
      <x:c r="L1383" s="19" t="str">
        <x:v>מאושר</x:v>
      </x:c>
      <x:c r="M1383" s="20" t="n">
        <x:f>IF(L1383="מאושר",IF(K1383="הכנסה שסווגה מחדש",0,G1383),0)</x:f>
        <x:v>70</x:v>
      </x:c>
      <x:c r="N1383" s="20" t="n">
        <x:f>IF(K1383="שוטף",M1383,0)</x:f>
        <x:v>70</x:v>
      </x:c>
      <x:c r="O1383" s="20" t="n">
        <x:f>IF(K1383="הכנסה שסווגה מחדש",-G1383,0)</x:f>
        <x:v>0</x:v>
      </x:c>
      <x:c r="P1383" s="11" t="str">
        <x:v>סיבוס - עינור</x:v>
      </x:c>
      <x:c r="Q1383" s="11" t="str"/>
      <x:c r="R1383" s="11" t="str">
        <x:v>לא</x:v>
      </x:c>
    </x:row>
    <x:row r="1384">
      <x:c r="A1384" s="14" t="n">
        <x:v>46054</x:v>
      </x:c>
      <x:c r="B1384" s="11" t="str">
        <x:v>2026-02</x:v>
      </x:c>
      <x:c r="C1384" s="11" t="str">
        <x:v>פברואר 26</x:v>
      </x:c>
      <x:c r="D1384" s="15" t="n">
        <x:v>74</x:v>
      </x:c>
      <x:c r="E1384" s="11" t="str">
        <x:v>4.02</x:v>
      </x:c>
      <x:c r="F1384" s="11" t="str">
        <x:v>מסעדה</x:v>
      </x:c>
      <x:c r="G1384" s="17" t="n">
        <x:v>78</x:v>
      </x:c>
      <x:c r="H1384" s="18" t="str">
        <x:v>אוכל בחוץ</x:v>
      </x:c>
      <x:c r="I1384" s="19" t="str">
        <x:f>IFERROR(INDEX('מיפוי ומקורות'!$C$7:$C$33,MATCH(H1384,'מיפוי ומקורות'!$B$7:$B$33,0)),"לא מסווג")</x:f>
        <x:v>אוכל בחוץ</x:v>
      </x:c>
      <x:c r="J1384" s="19" t="str">
        <x:f>IFERROR(INDEX('מיפוי ומקורות'!$D$7:$D$33,MATCH(H1384,'מיפוי ומקורות'!$B$7:$B$33,0)),"שוטף")</x:f>
        <x:v>שוטף</x:v>
      </x:c>
      <x:c r="K1384" s="19" t="str">
        <x:f>IF(OR(H1384="ריביות",AND(H1384="דירה כצנלסון",G1384&lt;0,ISNUMBER(SEARCH("הכנסה",F1384)))),"הכנסה שסווגה מחדש",J1384)</x:f>
        <x:v>שוטף</x:v>
      </x:c>
      <x:c r="L1384" s="19" t="str">
        <x:v>מאושר</x:v>
      </x:c>
      <x:c r="M1384" s="20" t="n">
        <x:f>IF(L1384="מאושר",IF(K1384="הכנסה שסווגה מחדש",0,G1384),0)</x:f>
        <x:v>78</x:v>
      </x:c>
      <x:c r="N1384" s="20" t="n">
        <x:f>IF(K1384="שוטף",M1384,0)</x:f>
        <x:v>78</x:v>
      </x:c>
      <x:c r="O1384" s="20" t="n">
        <x:f>IF(K1384="הכנסה שסווגה מחדש",-G1384,0)</x:f>
        <x:v>0</x:v>
      </x:c>
      <x:c r="P1384" s="11" t="str">
        <x:v>סיבוס - עינור</x:v>
      </x:c>
      <x:c r="Q1384" s="11" t="str"/>
      <x:c r="R1384" s="11" t="str">
        <x:v>לא</x:v>
      </x:c>
    </x:row>
    <x:row r="1385">
      <x:c r="A1385" s="14" t="n">
        <x:v>46054</x:v>
      </x:c>
      <x:c r="B1385" s="11" t="str">
        <x:v>2026-02</x:v>
      </x:c>
      <x:c r="C1385" s="11" t="str">
        <x:v>פברואר 26</x:v>
      </x:c>
      <x:c r="D1385" s="15" t="n">
        <x:v>75</x:v>
      </x:c>
      <x:c r="E1385" s="11" t="str">
        <x:v>06/02</x:v>
      </x:c>
      <x:c r="F1385" s="11" t="str">
        <x:v>מסעדה</x:v>
      </x:c>
      <x:c r="G1385" s="17" t="n">
        <x:v>110</x:v>
      </x:c>
      <x:c r="H1385" s="18" t="str">
        <x:v>אוכל בחוץ</x:v>
      </x:c>
      <x:c r="I1385" s="19" t="str">
        <x:f>IFERROR(INDEX('מיפוי ומקורות'!$C$7:$C$33,MATCH(H1385,'מיפוי ומקורות'!$B$7:$B$33,0)),"לא מסווג")</x:f>
        <x:v>אוכל בחוץ</x:v>
      </x:c>
      <x:c r="J1385" s="19" t="str">
        <x:f>IFERROR(INDEX('מיפוי ומקורות'!$D$7:$D$33,MATCH(H1385,'מיפוי ומקורות'!$B$7:$B$33,0)),"שוטף")</x:f>
        <x:v>שוטף</x:v>
      </x:c>
      <x:c r="K1385" s="19" t="str">
        <x:f>IF(OR(H1385="ריביות",AND(H1385="דירה כצנלסון",G1385&lt;0,ISNUMBER(SEARCH("הכנסה",F1385)))),"הכנסה שסווגה מחדש",J1385)</x:f>
        <x:v>שוטף</x:v>
      </x:c>
      <x:c r="L1385" s="19" t="str">
        <x:v>מאושר</x:v>
      </x:c>
      <x:c r="M1385" s="20" t="n">
        <x:f>IF(L1385="מאושר",IF(K1385="הכנסה שסווגה מחדש",0,G1385),0)</x:f>
        <x:v>110</x:v>
      </x:c>
      <x:c r="N1385" s="20" t="n">
        <x:f>IF(K1385="שוטף",M1385,0)</x:f>
        <x:v>110</x:v>
      </x:c>
      <x:c r="O1385" s="20" t="n">
        <x:f>IF(K1385="הכנסה שסווגה מחדש",-G1385,0)</x:f>
        <x:v>0</x:v>
      </x:c>
      <x:c r="P1385" s="11" t="str">
        <x:v>סיבוס - עינור</x:v>
      </x:c>
      <x:c r="Q1385" s="11" t="str"/>
      <x:c r="R1385" s="11" t="str">
        <x:v>לא</x:v>
      </x:c>
    </x:row>
    <x:row r="1386">
      <x:c r="A1386" s="14" t="n">
        <x:v>46054</x:v>
      </x:c>
      <x:c r="B1386" s="11" t="str">
        <x:v>2026-02</x:v>
      </x:c>
      <x:c r="C1386" s="11" t="str">
        <x:v>פברואר 26</x:v>
      </x:c>
      <x:c r="D1386" s="15" t="n">
        <x:v>76</x:v>
      </x:c>
      <x:c r="E1386" s="11" t="str">
        <x:v>8.02</x:v>
      </x:c>
      <x:c r="F1386" s="11" t="str">
        <x:v>מקדונלדס - מגדלי תל אביב</x:v>
      </x:c>
      <x:c r="G1386" s="17" t="n">
        <x:v>20</x:v>
      </x:c>
      <x:c r="H1386" s="18" t="str">
        <x:v>אוכל בחוץ</x:v>
      </x:c>
      <x:c r="I1386" s="19" t="str">
        <x:f>IFERROR(INDEX('מיפוי ומקורות'!$C$7:$C$33,MATCH(H1386,'מיפוי ומקורות'!$B$7:$B$33,0)),"לא מסווג")</x:f>
        <x:v>אוכל בחוץ</x:v>
      </x:c>
      <x:c r="J1386" s="19" t="str">
        <x:f>IFERROR(INDEX('מיפוי ומקורות'!$D$7:$D$33,MATCH(H1386,'מיפוי ומקורות'!$B$7:$B$33,0)),"שוטף")</x:f>
        <x:v>שוטף</x:v>
      </x:c>
      <x:c r="K1386" s="19" t="str">
        <x:f>IF(OR(H1386="ריביות",AND(H1386="דירה כצנלסון",G1386&lt;0,ISNUMBER(SEARCH("הכנסה",F1386)))),"הכנסה שסווגה מחדש",J1386)</x:f>
        <x:v>שוטף</x:v>
      </x:c>
      <x:c r="L1386" s="19" t="str">
        <x:v>מאושר</x:v>
      </x:c>
      <x:c r="M1386" s="20" t="n">
        <x:f>IF(L1386="מאושר",IF(K1386="הכנסה שסווגה מחדש",0,G1386),0)</x:f>
        <x:v>20</x:v>
      </x:c>
      <x:c r="N1386" s="20" t="n">
        <x:f>IF(K1386="שוטף",M1386,0)</x:f>
        <x:v>20</x:v>
      </x:c>
      <x:c r="O1386" s="20" t="n">
        <x:f>IF(K1386="הכנסה שסווגה מחדש",-G1386,0)</x:f>
        <x:v>0</x:v>
      </x:c>
      <x:c r="P1386" s="11" t="str">
        <x:v>סיבוס - עינור</x:v>
      </x:c>
      <x:c r="Q1386" s="11" t="str"/>
      <x:c r="R1386" s="11" t="str">
        <x:v>לא</x:v>
      </x:c>
    </x:row>
    <x:row r="1387">
      <x:c r="A1387" s="14" t="n">
        <x:v>46054</x:v>
      </x:c>
      <x:c r="B1387" s="11" t="str">
        <x:v>2026-02</x:v>
      </x:c>
      <x:c r="C1387" s="11" t="str">
        <x:v>פברואר 26</x:v>
      </x:c>
      <x:c r="D1387" s="15" t="n">
        <x:v>77</x:v>
      </x:c>
      <x:c r="E1387" s="11" t="str">
        <x:v>9.02</x:v>
      </x:c>
      <x:c r="F1387" s="11" t="str">
        <x:v>סופר</x:v>
      </x:c>
      <x:c r="G1387" s="17" t="n">
        <x:v>84</x:v>
      </x:c>
      <x:c r="H1387" s="18" t="str">
        <x:v>מזון לבית</x:v>
      </x:c>
      <x:c r="I1387" s="19" t="str">
        <x:f>IFERROR(INDEX('מיפוי ומקורות'!$C$7:$C$33,MATCH(H1387,'מיפוי ומקורות'!$B$7:$B$33,0)),"לא מסווג")</x:f>
        <x:v>מזון לבית</x:v>
      </x:c>
      <x:c r="J1387" s="19" t="str">
        <x:f>IFERROR(INDEX('מיפוי ומקורות'!$D$7:$D$33,MATCH(H1387,'מיפוי ומקורות'!$B$7:$B$33,0)),"שוטף")</x:f>
        <x:v>שוטף</x:v>
      </x:c>
      <x:c r="K1387" s="19" t="str">
        <x:f>IF(OR(H1387="ריביות",AND(H1387="דירה כצנלסון",G1387&lt;0,ISNUMBER(SEARCH("הכנסה",F1387)))),"הכנסה שסווגה מחדש",J1387)</x:f>
        <x:v>שוטף</x:v>
      </x:c>
      <x:c r="L1387" s="19" t="str">
        <x:v>מאושר</x:v>
      </x:c>
      <x:c r="M1387" s="20" t="n">
        <x:f>IF(L1387="מאושר",IF(K1387="הכנסה שסווגה מחדש",0,G1387),0)</x:f>
        <x:v>84</x:v>
      </x:c>
      <x:c r="N1387" s="20" t="n">
        <x:f>IF(K1387="שוטף",M1387,0)</x:f>
        <x:v>84</x:v>
      </x:c>
      <x:c r="O1387" s="20" t="n">
        <x:f>IF(K1387="הכנסה שסווגה מחדש",-G1387,0)</x:f>
        <x:v>0</x:v>
      </x:c>
      <x:c r="P1387" s="11" t="str">
        <x:v>סיבוס - עינור</x:v>
      </x:c>
      <x:c r="Q1387" s="11" t="str"/>
      <x:c r="R1387" s="11" t="str">
        <x:v>לא</x:v>
      </x:c>
    </x:row>
    <x:row r="1388">
      <x:c r="A1388" s="14" t="n">
        <x:v>46054</x:v>
      </x:c>
      <x:c r="B1388" s="11" t="str">
        <x:v>2026-02</x:v>
      </x:c>
      <x:c r="C1388" s="11" t="str">
        <x:v>פברואר 26</x:v>
      </x:c>
      <x:c r="D1388" s="15" t="n">
        <x:v>78</x:v>
      </x:c>
      <x:c r="E1388" s="11" t="str">
        <x:v>11.02</x:v>
      </x:c>
      <x:c r="F1388" s="11" t="str">
        <x:v>מאפיה</x:v>
      </x:c>
      <x:c r="G1388" s="17" t="n">
        <x:v>11</x:v>
      </x:c>
      <x:c r="H1388" s="18" t="str">
        <x:v>אוכל בחוץ</x:v>
      </x:c>
      <x:c r="I1388" s="19" t="str">
        <x:f>IFERROR(INDEX('מיפוי ומקורות'!$C$7:$C$33,MATCH(H1388,'מיפוי ומקורות'!$B$7:$B$33,0)),"לא מסווג")</x:f>
        <x:v>אוכל בחוץ</x:v>
      </x:c>
      <x:c r="J1388" s="19" t="str">
        <x:f>IFERROR(INDEX('מיפוי ומקורות'!$D$7:$D$33,MATCH(H1388,'מיפוי ומקורות'!$B$7:$B$33,0)),"שוטף")</x:f>
        <x:v>שוטף</x:v>
      </x:c>
      <x:c r="K1388" s="19" t="str">
        <x:f>IF(OR(H1388="ריביות",AND(H1388="דירה כצנלסון",G1388&lt;0,ISNUMBER(SEARCH("הכנסה",F1388)))),"הכנסה שסווגה מחדש",J1388)</x:f>
        <x:v>שוטף</x:v>
      </x:c>
      <x:c r="L1388" s="19" t="str">
        <x:v>מאושר</x:v>
      </x:c>
      <x:c r="M1388" s="20" t="n">
        <x:f>IF(L1388="מאושר",IF(K1388="הכנסה שסווגה מחדש",0,G1388),0)</x:f>
        <x:v>11</x:v>
      </x:c>
      <x:c r="N1388" s="20" t="n">
        <x:f>IF(K1388="שוטף",M1388,0)</x:f>
        <x:v>11</x:v>
      </x:c>
      <x:c r="O1388" s="20" t="n">
        <x:f>IF(K1388="הכנסה שסווגה מחדש",-G1388,0)</x:f>
        <x:v>0</x:v>
      </x:c>
      <x:c r="P1388" s="11" t="str">
        <x:v>סיבוס - עינור</x:v>
      </x:c>
      <x:c r="Q1388" s="11" t="str"/>
      <x:c r="R1388" s="11" t="str">
        <x:v>לא</x:v>
      </x:c>
    </x:row>
    <x:row r="1389">
      <x:c r="A1389" s="14" t="n">
        <x:v>46054</x:v>
      </x:c>
      <x:c r="B1389" s="11" t="str">
        <x:v>2026-02</x:v>
      </x:c>
      <x:c r="C1389" s="11" t="str">
        <x:v>פברואר 26</x:v>
      </x:c>
      <x:c r="D1389" s="15" t="n">
        <x:v>79</x:v>
      </x:c>
      <x:c r="E1389" s="11" t="str">
        <x:v>12/02</x:v>
      </x:c>
      <x:c r="F1389" s="11" t="str">
        <x:v>נוצ - רמת השרון</x:v>
      </x:c>
      <x:c r="G1389" s="17" t="n">
        <x:v>205</x:v>
      </x:c>
      <x:c r="H1389" s="18" t="str">
        <x:v>אוכל בחוץ</x:v>
      </x:c>
      <x:c r="I1389" s="19" t="str">
        <x:f>IFERROR(INDEX('מיפוי ומקורות'!$C$7:$C$33,MATCH(H1389,'מיפוי ומקורות'!$B$7:$B$33,0)),"לא מסווג")</x:f>
        <x:v>אוכל בחוץ</x:v>
      </x:c>
      <x:c r="J1389" s="19" t="str">
        <x:f>IFERROR(INDEX('מיפוי ומקורות'!$D$7:$D$33,MATCH(H1389,'מיפוי ומקורות'!$B$7:$B$33,0)),"שוטף")</x:f>
        <x:v>שוטף</x:v>
      </x:c>
      <x:c r="K1389" s="19" t="str">
        <x:f>IF(OR(H1389="ריביות",AND(H1389="דירה כצנלסון",G1389&lt;0,ISNUMBER(SEARCH("הכנסה",F1389)))),"הכנסה שסווגה מחדש",J1389)</x:f>
        <x:v>שוטף</x:v>
      </x:c>
      <x:c r="L1389" s="19" t="str">
        <x:v>מאושר</x:v>
      </x:c>
      <x:c r="M1389" s="20" t="n">
        <x:f>IF(L1389="מאושר",IF(K1389="הכנסה שסווגה מחדש",0,G1389),0)</x:f>
        <x:v>205</x:v>
      </x:c>
      <x:c r="N1389" s="20" t="n">
        <x:f>IF(K1389="שוטף",M1389,0)</x:f>
        <x:v>205</x:v>
      </x:c>
      <x:c r="O1389" s="20" t="n">
        <x:f>IF(K1389="הכנסה שסווגה מחדש",-G1389,0)</x:f>
        <x:v>0</x:v>
      </x:c>
      <x:c r="P1389" s="11" t="str">
        <x:v>סיבוס - עינור</x:v>
      </x:c>
      <x:c r="Q1389" s="11" t="str"/>
      <x:c r="R1389" s="11" t="str">
        <x:v>לא</x:v>
      </x:c>
    </x:row>
    <x:row r="1390">
      <x:c r="A1390" s="14" t="n">
        <x:v>46054</x:v>
      </x:c>
      <x:c r="B1390" s="11" t="str">
        <x:v>2026-02</x:v>
      </x:c>
      <x:c r="C1390" s="11" t="str">
        <x:v>פברואר 26</x:v>
      </x:c>
      <x:c r="D1390" s="15" t="n">
        <x:v>81</x:v>
      </x:c>
      <x:c r="E1390" s="11" t="str">
        <x:v>20.02</x:v>
      </x:c>
      <x:c r="F1390" s="11" t="str">
        <x:v>מסעדה</x:v>
      </x:c>
      <x:c r="G1390" s="17" t="n">
        <x:v>77</x:v>
      </x:c>
      <x:c r="H1390" s="18" t="str">
        <x:v>אוכל בחוץ</x:v>
      </x:c>
      <x:c r="I1390" s="19" t="str">
        <x:f>IFERROR(INDEX('מיפוי ומקורות'!$C$7:$C$33,MATCH(H1390,'מיפוי ומקורות'!$B$7:$B$33,0)),"לא מסווג")</x:f>
        <x:v>אוכל בחוץ</x:v>
      </x:c>
      <x:c r="J1390" s="19" t="str">
        <x:f>IFERROR(INDEX('מיפוי ומקורות'!$D$7:$D$33,MATCH(H1390,'מיפוי ומקורות'!$B$7:$B$33,0)),"שוטף")</x:f>
        <x:v>שוטף</x:v>
      </x:c>
      <x:c r="K1390" s="19" t="str">
        <x:f>IF(OR(H1390="ריביות",AND(H1390="דירה כצנלסון",G1390&lt;0,ISNUMBER(SEARCH("הכנסה",F1390)))),"הכנסה שסווגה מחדש",J1390)</x:f>
        <x:v>שוטף</x:v>
      </x:c>
      <x:c r="L1390" s="19" t="str">
        <x:v>מאושר</x:v>
      </x:c>
      <x:c r="M1390" s="20" t="n">
        <x:f>IF(L1390="מאושר",IF(K1390="הכנסה שסווגה מחדש",0,G1390),0)</x:f>
        <x:v>77</x:v>
      </x:c>
      <x:c r="N1390" s="20" t="n">
        <x:f>IF(K1390="שוטף",M1390,0)</x:f>
        <x:v>77</x:v>
      </x:c>
      <x:c r="O1390" s="20" t="n">
        <x:f>IF(K1390="הכנסה שסווגה מחדש",-G1390,0)</x:f>
        <x:v>0</x:v>
      </x:c>
      <x:c r="P1390" s="11" t="str">
        <x:v>סיבוס - עינור</x:v>
      </x:c>
      <x:c r="Q1390" s="11" t="str"/>
      <x:c r="R1390" s="11" t="str">
        <x:v>לא</x:v>
      </x:c>
    </x:row>
    <x:row r="1391">
      <x:c r="A1391" s="14" t="n">
        <x:v>46054</x:v>
      </x:c>
      <x:c r="B1391" s="11" t="str">
        <x:v>2026-02</x:v>
      </x:c>
      <x:c r="C1391" s="11" t="str">
        <x:v>פברואר 26</x:v>
      </x:c>
      <x:c r="D1391" s="15" t="n">
        <x:v>82</x:v>
      </x:c>
      <x:c r="E1391" s="11" t="str">
        <x:v>26.02</x:v>
      </x:c>
      <x:c r="F1391" s="11" t="str">
        <x:v>סופר</x:v>
      </x:c>
      <x:c r="G1391" s="17" t="n">
        <x:v>41</x:v>
      </x:c>
      <x:c r="H1391" s="18" t="str">
        <x:v>מזון לבית</x:v>
      </x:c>
      <x:c r="I1391" s="19" t="str">
        <x:f>IFERROR(INDEX('מיפוי ומקורות'!$C$7:$C$33,MATCH(H1391,'מיפוי ומקורות'!$B$7:$B$33,0)),"לא מסווג")</x:f>
        <x:v>מזון לבית</x:v>
      </x:c>
      <x:c r="J1391" s="19" t="str">
        <x:f>IFERROR(INDEX('מיפוי ומקורות'!$D$7:$D$33,MATCH(H1391,'מיפוי ומקורות'!$B$7:$B$33,0)),"שוטף")</x:f>
        <x:v>שוטף</x:v>
      </x:c>
      <x:c r="K1391" s="19" t="str">
        <x:f>IF(OR(H1391="ריביות",AND(H1391="דירה כצנלסון",G1391&lt;0,ISNUMBER(SEARCH("הכנסה",F1391)))),"הכנסה שסווגה מחדש",J1391)</x:f>
        <x:v>שוטף</x:v>
      </x:c>
      <x:c r="L1391" s="19" t="str">
        <x:v>מאושר</x:v>
      </x:c>
      <x:c r="M1391" s="20" t="n">
        <x:f>IF(L1391="מאושר",IF(K1391="הכנסה שסווגה מחדש",0,G1391),0)</x:f>
        <x:v>41</x:v>
      </x:c>
      <x:c r="N1391" s="20" t="n">
        <x:f>IF(K1391="שוטף",M1391,0)</x:f>
        <x:v>41</x:v>
      </x:c>
      <x:c r="O1391" s="20" t="n">
        <x:f>IF(K1391="הכנסה שסווגה מחדש",-G1391,0)</x:f>
        <x:v>0</x:v>
      </x:c>
      <x:c r="P1391" s="11" t="str">
        <x:v>סיבוס - עינור</x:v>
      </x:c>
      <x:c r="Q1391" s="11" t="str"/>
      <x:c r="R1391" s="11" t="str">
        <x:v>לא</x:v>
      </x:c>
    </x:row>
    <x:row r="1392">
      <x:c r="A1392" s="14" t="n">
        <x:v>46054</x:v>
      </x:c>
      <x:c r="B1392" s="11" t="str">
        <x:v>2026-02</x:v>
      </x:c>
      <x:c r="C1392" s="11" t="str">
        <x:v>פברואר 26</x:v>
      </x:c>
      <x:c r="D1392" s="15" t="n">
        <x:v>83</x:v>
      </x:c>
      <x:c r="E1392" s="11" t="str">
        <x:v>27.02</x:v>
      </x:c>
      <x:c r="F1392" s="11" t="str">
        <x:v>נאו סושי בר - גבעתיים</x:v>
      </x:c>
      <x:c r="G1392" s="17" t="n">
        <x:v>119</x:v>
      </x:c>
      <x:c r="H1392" s="18" t="str">
        <x:v>אוכל בחוץ</x:v>
      </x:c>
      <x:c r="I1392" s="19" t="str">
        <x:f>IFERROR(INDEX('מיפוי ומקורות'!$C$7:$C$33,MATCH(H1392,'מיפוי ומקורות'!$B$7:$B$33,0)),"לא מסווג")</x:f>
        <x:v>אוכל בחוץ</x:v>
      </x:c>
      <x:c r="J1392" s="19" t="str">
        <x:f>IFERROR(INDEX('מיפוי ומקורות'!$D$7:$D$33,MATCH(H1392,'מיפוי ומקורות'!$B$7:$B$33,0)),"שוטף")</x:f>
        <x:v>שוטף</x:v>
      </x:c>
      <x:c r="K1392" s="19" t="str">
        <x:f>IF(OR(H1392="ריביות",AND(H1392="דירה כצנלסון",G1392&lt;0,ISNUMBER(SEARCH("הכנסה",F1392)))),"הכנסה שסווגה מחדש",J1392)</x:f>
        <x:v>שוטף</x:v>
      </x:c>
      <x:c r="L1392" s="19" t="str">
        <x:v>מאושר</x:v>
      </x:c>
      <x:c r="M1392" s="20" t="n">
        <x:f>IF(L1392="מאושר",IF(K1392="הכנסה שסווגה מחדש",0,G1392),0)</x:f>
        <x:v>119</x:v>
      </x:c>
      <x:c r="N1392" s="20" t="n">
        <x:f>IF(K1392="שוטף",M1392,0)</x:f>
        <x:v>119</x:v>
      </x:c>
      <x:c r="O1392" s="20" t="n">
        <x:f>IF(K1392="הכנסה שסווגה מחדש",-G1392,0)</x:f>
        <x:v>0</x:v>
      </x:c>
      <x:c r="P1392" s="11" t="str">
        <x:v>סיבוס - עינור</x:v>
      </x:c>
      <x:c r="Q1392" s="11" t="str"/>
      <x:c r="R1392" s="11" t="str">
        <x:v>לא</x:v>
      </x:c>
    </x:row>
    <x:row r="1393">
      <x:c r="A1393" s="14" t="n">
        <x:v>46082</x:v>
      </x:c>
      <x:c r="B1393" s="11" t="str">
        <x:v>2026-03</x:v>
      </x:c>
      <x:c r="C1393" s="11" t="str">
        <x:v>מרץ 26</x:v>
      </x:c>
      <x:c r="D1393" s="15" t="n">
        <x:v>2</x:v>
      </x:c>
      <x:c r="E1393" s="11" t="str"/>
      <x:c r="F1393" s="11" t="str">
        <x:v>שכר דירה</x:v>
      </x:c>
      <x:c r="G1393" s="17" t="n">
        <x:v>8000</x:v>
      </x:c>
      <x:c r="H1393" s="18" t="str">
        <x:v>מגורים</x:v>
      </x:c>
      <x:c r="I1393" s="19" t="str">
        <x:f>IFERROR(INDEX('מיפוי ומקורות'!$C$7:$C$33,MATCH(H1393,'מיפוי ומקורות'!$B$7:$B$33,0)),"לא מסווג")</x:f>
        <x:v>דיור – בית מגורים</x:v>
      </x:c>
      <x:c r="J1393" s="19" t="str">
        <x:f>IFERROR(INDEX('מיפוי ומקורות'!$D$7:$D$33,MATCH(H1393,'מיפוי ומקורות'!$B$7:$B$33,0)),"שוטף")</x:f>
        <x:v>שוטף</x:v>
      </x:c>
      <x:c r="K1393" s="19" t="str">
        <x:f>IF(OR(H1393="ריביות",AND(H1393="דירה כצנלסון",G1393&lt;0,ISNUMBER(SEARCH("הכנסה",F1393)))),"הכנסה שסווגה מחדש",J1393)</x:f>
        <x:v>שוטף</x:v>
      </x:c>
      <x:c r="L1393" s="19" t="str">
        <x:v>מאושר</x:v>
      </x:c>
      <x:c r="M1393" s="20" t="n">
        <x:f>IF(L1393="מאושר",IF(K1393="הכנסה שסווגה מחדש",0,G1393),0)</x:f>
        <x:v>8000</x:v>
      </x:c>
      <x:c r="N1393" s="20" t="n">
        <x:f>IF(K1393="שוטף",M1393,0)</x:f>
        <x:v>8000</x:v>
      </x:c>
      <x:c r="O1393" s="20" t="n">
        <x:f>IF(K1393="הכנסה שסווגה מחדש",-G1393,0)</x:f>
        <x:v>0</x:v>
      </x:c>
      <x:c r="P1393" s="11" t="str">
        <x:v>דיסקונט</x:v>
      </x:c>
      <x:c r="Q1393" s="11" t="str"/>
      <x:c r="R1393" s="11" t="str">
        <x:v>לא</x:v>
      </x:c>
    </x:row>
    <x:row r="1394">
      <x:c r="A1394" s="14" t="n">
        <x:v>46082</x:v>
      </x:c>
      <x:c r="B1394" s="11" t="str">
        <x:v>2026-03</x:v>
      </x:c>
      <x:c r="C1394" s="11" t="str">
        <x:v>מרץ 26</x:v>
      </x:c>
      <x:c r="D1394" s="15" t="n">
        <x:v>3</x:v>
      </x:c>
      <x:c r="E1394" s="11" t="str"/>
      <x:c r="F1394" s="11" t="str">
        <x:v>משכנתא</x:v>
      </x:c>
      <x:c r="G1394" s="17" t="n">
        <x:v>6140</x:v>
      </x:c>
      <x:c r="H1394" s="18" t="str">
        <x:v>דירה כצנלסון</x:v>
      </x:c>
      <x:c r="I1394" s="19" t="str">
        <x:f>IFERROR(INDEX('מיפוי ומקורות'!$C$7:$C$33,MATCH(H1394,'מיפוי ומקורות'!$B$7:$B$33,0)),"לא מסווג")</x:f>
        <x:v>נכס להשקעה</x:v>
      </x:c>
      <x:c r="J1394" s="19" t="str">
        <x:f>IFERROR(INDEX('מיפוי ומקורות'!$D$7:$D$33,MATCH(H1394,'מיפוי ומקורות'!$B$7:$B$33,0)),"שוטף")</x:f>
        <x:v>חריג/נכס</x:v>
      </x:c>
      <x:c r="K1394" s="19" t="str">
        <x:f>IF(OR(H1394="ריביות",AND(H1394="דירה כצנלסון",G1394&lt;0,ISNUMBER(SEARCH("הכנסה",F1394)))),"הכנסה שסווגה מחדש",J1394)</x:f>
        <x:v>חריג/נכס</x:v>
      </x:c>
      <x:c r="L1394" s="19" t="str">
        <x:v>מאושר</x:v>
      </x:c>
      <x:c r="M1394" s="20" t="n">
        <x:f>IF(L1394="מאושר",IF(K1394="הכנסה שסווגה מחדש",0,G1394),0)</x:f>
        <x:v>6140</x:v>
      </x:c>
      <x:c r="N1394" s="20" t="n">
        <x:f>IF(K1394="שוטף",M1394,0)</x:f>
        <x:v>0</x:v>
      </x:c>
      <x:c r="O1394" s="20" t="n">
        <x:f>IF(K1394="הכנסה שסווגה מחדש",-G1394,0)</x:f>
        <x:v>0</x:v>
      </x:c>
      <x:c r="P1394" s="11" t="str">
        <x:v>דיסקונט</x:v>
      </x:c>
      <x:c r="Q1394" s="11" t="str"/>
      <x:c r="R1394" s="11" t="str">
        <x:v>לא</x:v>
      </x:c>
    </x:row>
    <x:row r="1395">
      <x:c r="A1395" s="14" t="n">
        <x:v>46082</x:v>
      </x:c>
      <x:c r="B1395" s="11" t="str">
        <x:v>2026-03</x:v>
      </x:c>
      <x:c r="C1395" s="11" t="str">
        <x:v>מרץ 26</x:v>
      </x:c>
      <x:c r="D1395" s="15" t="n">
        <x:v>4</x:v>
      </x:c>
      <x:c r="E1395" s="11" t="str">
        <x:v>12.03</x:v>
      </x:c>
      <x:c r="F1395" s="11" t="str">
        <x:v>ארנונה</x:v>
      </x:c>
      <x:c r="G1395" s="17" t="n">
        <x:v>1054</x:v>
      </x:c>
      <x:c r="H1395" s="18" t="str">
        <x:v>מגורים</x:v>
      </x:c>
      <x:c r="I1395" s="19" t="str">
        <x:f>IFERROR(INDEX('מיפוי ומקורות'!$C$7:$C$33,MATCH(H1395,'מיפוי ומקורות'!$B$7:$B$33,0)),"לא מסווג")</x:f>
        <x:v>דיור – בית מגורים</x:v>
      </x:c>
      <x:c r="J1395" s="19" t="str">
        <x:f>IFERROR(INDEX('מיפוי ומקורות'!$D$7:$D$33,MATCH(H1395,'מיפוי ומקורות'!$B$7:$B$33,0)),"שוטף")</x:f>
        <x:v>שוטף</x:v>
      </x:c>
      <x:c r="K1395" s="19" t="str">
        <x:f>IF(OR(H1395="ריביות",AND(H1395="דירה כצנלסון",G1395&lt;0,ISNUMBER(SEARCH("הכנסה",F1395)))),"הכנסה שסווגה מחדש",J1395)</x:f>
        <x:v>שוטף</x:v>
      </x:c>
      <x:c r="L1395" s="19" t="str">
        <x:v>מאושר</x:v>
      </x:c>
      <x:c r="M1395" s="20" t="n">
        <x:f>IF(L1395="מאושר",IF(K1395="הכנסה שסווגה מחדש",0,G1395),0)</x:f>
        <x:v>1054</x:v>
      </x:c>
      <x:c r="N1395" s="20" t="n">
        <x:f>IF(K1395="שוטף",M1395,0)</x:f>
        <x:v>1054</x:v>
      </x:c>
      <x:c r="O1395" s="20" t="n">
        <x:f>IF(K1395="הכנסה שסווגה מחדש",-G1395,0)</x:f>
        <x:v>0</x:v>
      </x:c>
      <x:c r="P1395" s="11" t="str">
        <x:v>אמקס - זיו</x:v>
      </x:c>
      <x:c r="Q1395" s="11" t="str"/>
      <x:c r="R1395" s="11" t="str">
        <x:v>לא</x:v>
      </x:c>
    </x:row>
    <x:row r="1396">
      <x:c r="A1396" s="14" t="n">
        <x:v>46082</x:v>
      </x:c>
      <x:c r="B1396" s="11" t="str">
        <x:v>2026-03</x:v>
      </x:c>
      <x:c r="C1396" s="11" t="str">
        <x:v>מרץ 26</x:v>
      </x:c>
      <x:c r="D1396" s="15" t="n">
        <x:v>5</x:v>
      </x:c>
      <x:c r="E1396" s="11" t="str">
        <x:v>5.03</x:v>
      </x:c>
      <x:c r="F1396" s="11" t="str">
        <x:v>חשמל</x:v>
      </x:c>
      <x:c r="G1396" s="17" t="n">
        <x:v>320</x:v>
      </x:c>
      <x:c r="H1396" s="18" t="str">
        <x:v>מגורים</x:v>
      </x:c>
      <x:c r="I1396" s="19" t="str">
        <x:f>IFERROR(INDEX('מיפוי ומקורות'!$C$7:$C$33,MATCH(H1396,'מיפוי ומקורות'!$B$7:$B$33,0)),"לא מסווג")</x:f>
        <x:v>דיור – בית מגורים</x:v>
      </x:c>
      <x:c r="J1396" s="19" t="str">
        <x:f>IFERROR(INDEX('מיפוי ומקורות'!$D$7:$D$33,MATCH(H1396,'מיפוי ומקורות'!$B$7:$B$33,0)),"שוטף")</x:f>
        <x:v>שוטף</x:v>
      </x:c>
      <x:c r="K1396" s="19" t="str">
        <x:f>IF(OR(H1396="ריביות",AND(H1396="דירה כצנלסון",G1396&lt;0,ISNUMBER(SEARCH("הכנסה",F1396)))),"הכנסה שסווגה מחדש",J1396)</x:f>
        <x:v>שוטף</x:v>
      </x:c>
      <x:c r="L1396" s="19" t="str">
        <x:v>מאושר</x:v>
      </x:c>
      <x:c r="M1396" s="20" t="n">
        <x:f>IF(L1396="מאושר",IF(K1396="הכנסה שסווגה מחדש",0,G1396),0)</x:f>
        <x:v>320</x:v>
      </x:c>
      <x:c r="N1396" s="20" t="n">
        <x:f>IF(K1396="שוטף",M1396,0)</x:f>
        <x:v>320</x:v>
      </x:c>
      <x:c r="O1396" s="20" t="n">
        <x:f>IF(K1396="הכנסה שסווגה מחדש",-G1396,0)</x:f>
        <x:v>0</x:v>
      </x:c>
      <x:c r="P1396" s="11" t="str">
        <x:v>אמקס - זיו</x:v>
      </x:c>
      <x:c r="Q1396" s="11" t="str"/>
      <x:c r="R1396" s="11" t="str">
        <x:v>לא</x:v>
      </x:c>
    </x:row>
    <x:row r="1397">
      <x:c r="A1397" s="14" t="n">
        <x:v>46082</x:v>
      </x:c>
      <x:c r="B1397" s="11" t="str">
        <x:v>2026-03</x:v>
      </x:c>
      <x:c r="C1397" s="11" t="str">
        <x:v>מרץ 26</x:v>
      </x:c>
      <x:c r="D1397" s="15" t="n">
        <x:v>6</x:v>
      </x:c>
      <x:c r="E1397" s="11" t="str">
        <x:v>12.03</x:v>
      </x:c>
      <x:c r="F1397" s="11" t="str">
        <x:v>גז</x:v>
      </x:c>
      <x:c r="G1397" s="17" t="n">
        <x:v>45</x:v>
      </x:c>
      <x:c r="H1397" s="18" t="str">
        <x:v>מגורים</x:v>
      </x:c>
      <x:c r="I1397" s="19" t="str">
        <x:f>IFERROR(INDEX('מיפוי ומקורות'!$C$7:$C$33,MATCH(H1397,'מיפוי ומקורות'!$B$7:$B$33,0)),"לא מסווג")</x:f>
        <x:v>דיור – בית מגורים</x:v>
      </x:c>
      <x:c r="J1397" s="19" t="str">
        <x:f>IFERROR(INDEX('מיפוי ומקורות'!$D$7:$D$33,MATCH(H1397,'מיפוי ומקורות'!$B$7:$B$33,0)),"שוטף")</x:f>
        <x:v>שוטף</x:v>
      </x:c>
      <x:c r="K1397" s="19" t="str">
        <x:f>IF(OR(H1397="ריביות",AND(H1397="דירה כצנלסון",G1397&lt;0,ISNUMBER(SEARCH("הכנסה",F1397)))),"הכנסה שסווגה מחדש",J1397)</x:f>
        <x:v>שוטף</x:v>
      </x:c>
      <x:c r="L1397" s="19" t="str">
        <x:v>מאושר</x:v>
      </x:c>
      <x:c r="M1397" s="20" t="n">
        <x:f>IF(L1397="מאושר",IF(K1397="הכנסה שסווגה מחדש",0,G1397),0)</x:f>
        <x:v>45</x:v>
      </x:c>
      <x:c r="N1397" s="20" t="n">
        <x:f>IF(K1397="שוטף",M1397,0)</x:f>
        <x:v>45</x:v>
      </x:c>
      <x:c r="O1397" s="20" t="n">
        <x:f>IF(K1397="הכנסה שסווגה מחדש",-G1397,0)</x:f>
        <x:v>0</x:v>
      </x:c>
      <x:c r="P1397" s="11" t="str">
        <x:v>אמקס - זיו</x:v>
      </x:c>
      <x:c r="Q1397" s="11" t="str"/>
      <x:c r="R1397" s="11" t="str">
        <x:v>לא</x:v>
      </x:c>
    </x:row>
    <x:row r="1398">
      <x:c r="A1398" s="14" t="n">
        <x:v>46082</x:v>
      </x:c>
      <x:c r="B1398" s="11" t="str">
        <x:v>2026-03</x:v>
      </x:c>
      <x:c r="C1398" s="11" t="str">
        <x:v>מרץ 26</x:v>
      </x:c>
      <x:c r="D1398" s="15" t="n">
        <x:v>7</x:v>
      </x:c>
      <x:c r="E1398" s="11" t="str"/>
      <x:c r="F1398" s="11" t="str">
        <x:v>ועד בית</x:v>
      </x:c>
      <x:c r="G1398" s="17" t="n">
        <x:v>0</x:v>
      </x:c>
      <x:c r="H1398" s="18" t="str">
        <x:v>מגורים</x:v>
      </x:c>
      <x:c r="I1398" s="19" t="str">
        <x:f>IFERROR(INDEX('מיפוי ומקורות'!$C$7:$C$33,MATCH(H1398,'מיפוי ומקורות'!$B$7:$B$33,0)),"לא מסווג")</x:f>
        <x:v>דיור – בית מגורים</x:v>
      </x:c>
      <x:c r="J1398" s="19" t="str">
        <x:f>IFERROR(INDEX('מיפוי ומקורות'!$D$7:$D$33,MATCH(H1398,'מיפוי ומקורות'!$B$7:$B$33,0)),"שוטף")</x:f>
        <x:v>שוטף</x:v>
      </x:c>
      <x:c r="K1398" s="19" t="str">
        <x:f>IF(OR(H1398="ריביות",AND(H1398="דירה כצנלסון",G1398&lt;0,ISNUMBER(SEARCH("הכנסה",F1398)))),"הכנסה שסווגה מחדש",J1398)</x:f>
        <x:v>שוטף</x:v>
      </x:c>
      <x:c r="L1398" s="19" t="str">
        <x:v>מאושר</x:v>
      </x:c>
      <x:c r="M1398" s="20" t="n">
        <x:f>IF(L1398="מאושר",IF(K1398="הכנסה שסווגה מחדש",0,G1398),0)</x:f>
        <x:v>0</x:v>
      </x:c>
      <x:c r="N1398" s="20" t="n">
        <x:f>IF(K1398="שוטף",M1398,0)</x:f>
        <x:v>0</x:v>
      </x:c>
      <x:c r="O1398" s="20" t="n">
        <x:f>IF(K1398="הכנסה שסווגה מחדש",-G1398,0)</x:f>
        <x:v>0</x:v>
      </x:c>
      <x:c r="P1398" s="11" t="str">
        <x:v>מזומן</x:v>
      </x:c>
      <x:c r="Q1398" s="11" t="str"/>
      <x:c r="R1398" s="11" t="str">
        <x:v>לא</x:v>
      </x:c>
    </x:row>
    <x:row r="1399">
      <x:c r="A1399" s="14" t="n">
        <x:v>46082</x:v>
      </x:c>
      <x:c r="B1399" s="11" t="str">
        <x:v>2026-03</x:v>
      </x:c>
      <x:c r="C1399" s="11" t="str">
        <x:v>מרץ 26</x:v>
      </x:c>
      <x:c r="D1399" s="15" t="n">
        <x:v>8</x:v>
      </x:c>
      <x:c r="E1399" s="11" t="str"/>
      <x:c r="F1399" s="11" t="str">
        <x:v>מנקה</x:v>
      </x:c>
      <x:c r="G1399" s="17" t="n">
        <x:v>800</x:v>
      </x:c>
      <x:c r="H1399" s="18" t="str">
        <x:v>מגורים</x:v>
      </x:c>
      <x:c r="I1399" s="19" t="str">
        <x:f>IFERROR(INDEX('מיפוי ומקורות'!$C$7:$C$33,MATCH(H1399,'מיפוי ומקורות'!$B$7:$B$33,0)),"לא מסווג")</x:f>
        <x:v>דיור – בית מגורים</x:v>
      </x:c>
      <x:c r="J1399" s="19" t="str">
        <x:f>IFERROR(INDEX('מיפוי ומקורות'!$D$7:$D$33,MATCH(H1399,'מיפוי ומקורות'!$B$7:$B$33,0)),"שוטף")</x:f>
        <x:v>שוטף</x:v>
      </x:c>
      <x:c r="K1399" s="19" t="str">
        <x:f>IF(OR(H1399="ריביות",AND(H1399="דירה כצנלסון",G1399&lt;0,ISNUMBER(SEARCH("הכנסה",F1399)))),"הכנסה שסווגה מחדש",J1399)</x:f>
        <x:v>שוטף</x:v>
      </x:c>
      <x:c r="L1399" s="19" t="str">
        <x:v>מאושר</x:v>
      </x:c>
      <x:c r="M1399" s="20" t="n">
        <x:f>IF(L1399="מאושר",IF(K1399="הכנסה שסווגה מחדש",0,G1399),0)</x:f>
        <x:v>800</x:v>
      </x:c>
      <x:c r="N1399" s="20" t="n">
        <x:f>IF(K1399="שוטף",M1399,0)</x:f>
        <x:v>800</x:v>
      </x:c>
      <x:c r="O1399" s="20" t="n">
        <x:f>IF(K1399="הכנסה שסווגה מחדש",-G1399,0)</x:f>
        <x:v>0</x:v>
      </x:c>
      <x:c r="P1399" s="11" t="str">
        <x:v>מזומן</x:v>
      </x:c>
      <x:c r="Q1399" s="11" t="str"/>
      <x:c r="R1399" s="11" t="str">
        <x:v>לא</x:v>
      </x:c>
    </x:row>
    <x:row r="1400">
      <x:c r="A1400" s="14" t="n">
        <x:v>46082</x:v>
      </x:c>
      <x:c r="B1400" s="11" t="str">
        <x:v>2026-03</x:v>
      </x:c>
      <x:c r="C1400" s="11" t="str">
        <x:v>מרץ 26</x:v>
      </x:c>
      <x:c r="D1400" s="15" t="n">
        <x:v>9</x:v>
      </x:c>
      <x:c r="E1400" s="11" t="str">
        <x:v>24.03</x:v>
      </x:c>
      <x:c r="F1400" s="11" t="str">
        <x:v>אינטרנט</x:v>
      </x:c>
      <x:c r="G1400" s="17" t="n">
        <x:v>79</x:v>
      </x:c>
      <x:c r="H1400" s="18" t="str">
        <x:v>מגורים</x:v>
      </x:c>
      <x:c r="I1400" s="19" t="str">
        <x:f>IFERROR(INDEX('מיפוי ומקורות'!$C$7:$C$33,MATCH(H1400,'מיפוי ומקורות'!$B$7:$B$33,0)),"לא מסווג")</x:f>
        <x:v>דיור – בית מגורים</x:v>
      </x:c>
      <x:c r="J1400" s="19" t="str">
        <x:f>IFERROR(INDEX('מיפוי ומקורות'!$D$7:$D$33,MATCH(H1400,'מיפוי ומקורות'!$B$7:$B$33,0)),"שוטף")</x:f>
        <x:v>שוטף</x:v>
      </x:c>
      <x:c r="K1400" s="19" t="str">
        <x:f>IF(OR(H1400="ריביות",AND(H1400="דירה כצנלסון",G1400&lt;0,ISNUMBER(SEARCH("הכנסה",F1400)))),"הכנסה שסווגה מחדש",J1400)</x:f>
        <x:v>שוטף</x:v>
      </x:c>
      <x:c r="L1400" s="19" t="str">
        <x:v>מאושר</x:v>
      </x:c>
      <x:c r="M1400" s="20" t="n">
        <x:f>IF(L1400="מאושר",IF(K1400="הכנסה שסווגה מחדש",0,G1400),0)</x:f>
        <x:v>79</x:v>
      </x:c>
      <x:c r="N1400" s="20" t="n">
        <x:f>IF(K1400="שוטף",M1400,0)</x:f>
        <x:v>79</x:v>
      </x:c>
      <x:c r="O1400" s="20" t="n">
        <x:f>IF(K1400="הכנסה שסווגה מחדש",-G1400,0)</x:f>
        <x:v>0</x:v>
      </x:c>
      <x:c r="P1400" s="11" t="str">
        <x:v>אמקס - זיו</x:v>
      </x:c>
      <x:c r="Q1400" s="11" t="str"/>
      <x:c r="R1400" s="11" t="str">
        <x:v>לא</x:v>
      </x:c>
    </x:row>
    <x:row r="1401">
      <x:c r="A1401" s="14" t="n">
        <x:v>46082</x:v>
      </x:c>
      <x:c r="B1401" s="11" t="str">
        <x:v>2026-03</x:v>
      </x:c>
      <x:c r="C1401" s="11" t="str">
        <x:v>מרץ 26</x:v>
      </x:c>
      <x:c r="D1401" s="15" t="n">
        <x:v>10</x:v>
      </x:c>
      <x:c r="E1401" s="11" t="str">
        <x:v>15.03</x:v>
      </x:c>
      <x:c r="F1401" s="11" t="str">
        <x:v>סלולר</x:v>
      </x:c>
      <x:c r="G1401" s="17" t="n">
        <x:v>59</x:v>
      </x:c>
      <x:c r="H1401" s="18" t="str">
        <x:v>מגורים</x:v>
      </x:c>
      <x:c r="I1401" s="19" t="str">
        <x:f>IFERROR(INDEX('מיפוי ומקורות'!$C$7:$C$33,MATCH(H1401,'מיפוי ומקורות'!$B$7:$B$33,0)),"לא מסווג")</x:f>
        <x:v>דיור – בית מגורים</x:v>
      </x:c>
      <x:c r="J1401" s="19" t="str">
        <x:f>IFERROR(INDEX('מיפוי ומקורות'!$D$7:$D$33,MATCH(H1401,'מיפוי ומקורות'!$B$7:$B$33,0)),"שוטף")</x:f>
        <x:v>שוטף</x:v>
      </x:c>
      <x:c r="K1401" s="19" t="str">
        <x:f>IF(OR(H1401="ריביות",AND(H1401="דירה כצנלסון",G1401&lt;0,ISNUMBER(SEARCH("הכנסה",F1401)))),"הכנסה שסווגה מחדש",J1401)</x:f>
        <x:v>שוטף</x:v>
      </x:c>
      <x:c r="L1401" s="19" t="str">
        <x:v>מאושר</x:v>
      </x:c>
      <x:c r="M1401" s="20" t="n">
        <x:f>IF(L1401="מאושר",IF(K1401="הכנסה שסווגה מחדש",0,G1401),0)</x:f>
        <x:v>59</x:v>
      </x:c>
      <x:c r="N1401" s="20" t="n">
        <x:f>IF(K1401="שוטף",M1401,0)</x:f>
        <x:v>59</x:v>
      </x:c>
      <x:c r="O1401" s="20" t="n">
        <x:f>IF(K1401="הכנסה שסווגה מחדש",-G1401,0)</x:f>
        <x:v>0</x:v>
      </x:c>
      <x:c r="P1401" s="11" t="str">
        <x:v>אמקס - זיו</x:v>
      </x:c>
      <x:c r="Q1401" s="11" t="str"/>
      <x:c r="R1401" s="11" t="str">
        <x:v>לא</x:v>
      </x:c>
    </x:row>
    <x:row r="1402">
      <x:c r="A1402" s="14" t="n">
        <x:v>46082</x:v>
      </x:c>
      <x:c r="B1402" s="11" t="str">
        <x:v>2026-03</x:v>
      </x:c>
      <x:c r="C1402" s="11" t="str">
        <x:v>מרץ 26</x:v>
      </x:c>
      <x:c r="D1402" s="15" t="n">
        <x:v>11</x:v>
      </x:c>
      <x:c r="E1402" s="11" t="str">
        <x:v>26.03</x:v>
      </x:c>
      <x:c r="F1402" s="11" t="str">
        <x:v>ביטוח מבנה</x:v>
      </x:c>
      <x:c r="G1402" s="17" t="n">
        <x:v>71</x:v>
      </x:c>
      <x:c r="H1402" s="18" t="str">
        <x:v>דירה כצנלסון</x:v>
      </x:c>
      <x:c r="I1402" s="19" t="str">
        <x:f>IFERROR(INDEX('מיפוי ומקורות'!$C$7:$C$33,MATCH(H1402,'מיפוי ומקורות'!$B$7:$B$33,0)),"לא מסווג")</x:f>
        <x:v>נכס להשקעה</x:v>
      </x:c>
      <x:c r="J1402" s="19" t="str">
        <x:f>IFERROR(INDEX('מיפוי ומקורות'!$D$7:$D$33,MATCH(H1402,'מיפוי ומקורות'!$B$7:$B$33,0)),"שוטף")</x:f>
        <x:v>חריג/נכס</x:v>
      </x:c>
      <x:c r="K1402" s="19" t="str">
        <x:f>IF(OR(H1402="ריביות",AND(H1402="דירה כצנלסון",G1402&lt;0,ISNUMBER(SEARCH("הכנסה",F1402)))),"הכנסה שסווגה מחדש",J1402)</x:f>
        <x:v>חריג/נכס</x:v>
      </x:c>
      <x:c r="L1402" s="19" t="str">
        <x:v>מאושר</x:v>
      </x:c>
      <x:c r="M1402" s="20" t="n">
        <x:f>IF(L1402="מאושר",IF(K1402="הכנסה שסווגה מחדש",0,G1402),0)</x:f>
        <x:v>71</x:v>
      </x:c>
      <x:c r="N1402" s="20" t="n">
        <x:f>IF(K1402="שוטף",M1402,0)</x:f>
        <x:v>0</x:v>
      </x:c>
      <x:c r="O1402" s="20" t="n">
        <x:f>IF(K1402="הכנסה שסווגה מחדש",-G1402,0)</x:f>
        <x:v>0</x:v>
      </x:c>
      <x:c r="P1402" s="11" t="str">
        <x:v>אמקס - זיו</x:v>
      </x:c>
      <x:c r="Q1402" s="11" t="str"/>
      <x:c r="R1402" s="11" t="str">
        <x:v>לא</x:v>
      </x:c>
    </x:row>
    <x:row r="1403">
      <x:c r="A1403" s="14" t="n">
        <x:v>46082</x:v>
      </x:c>
      <x:c r="B1403" s="11" t="str">
        <x:v>2026-03</x:v>
      </x:c>
      <x:c r="C1403" s="11" t="str">
        <x:v>מרץ 26</x:v>
      </x:c>
      <x:c r="D1403" s="15" t="n">
        <x:v>12</x:v>
      </x:c>
      <x:c r="E1403" s="11" t="str">
        <x:v>29.03</x:v>
      </x:c>
      <x:c r="F1403" s="11" t="str">
        <x:v>ביטוח חיים</x:v>
      </x:c>
      <x:c r="G1403" s="17" t="n">
        <x:v>36</x:v>
      </x:c>
      <x:c r="H1403" s="18" t="str">
        <x:v>דירה כצנלסון</x:v>
      </x:c>
      <x:c r="I1403" s="19" t="str">
        <x:f>IFERROR(INDEX('מיפוי ומקורות'!$C$7:$C$33,MATCH(H1403,'מיפוי ומקורות'!$B$7:$B$33,0)),"לא מסווג")</x:f>
        <x:v>נכס להשקעה</x:v>
      </x:c>
      <x:c r="J1403" s="19" t="str">
        <x:f>IFERROR(INDEX('מיפוי ומקורות'!$D$7:$D$33,MATCH(H1403,'מיפוי ומקורות'!$B$7:$B$33,0)),"שוטף")</x:f>
        <x:v>חריג/נכס</x:v>
      </x:c>
      <x:c r="K1403" s="19" t="str">
        <x:f>IF(OR(H1403="ריביות",AND(H1403="דירה כצנלסון",G1403&lt;0,ISNUMBER(SEARCH("הכנסה",F1403)))),"הכנסה שסווגה מחדש",J1403)</x:f>
        <x:v>חריג/נכס</x:v>
      </x:c>
      <x:c r="L1403" s="19" t="str">
        <x:v>מאושר</x:v>
      </x:c>
      <x:c r="M1403" s="20" t="n">
        <x:f>IF(L1403="מאושר",IF(K1403="הכנסה שסווגה מחדש",0,G1403),0)</x:f>
        <x:v>36</x:v>
      </x:c>
      <x:c r="N1403" s="20" t="n">
        <x:f>IF(K1403="שוטף",M1403,0)</x:f>
        <x:v>0</x:v>
      </x:c>
      <x:c r="O1403" s="20" t="n">
        <x:f>IF(K1403="הכנסה שסווגה מחדש",-G1403,0)</x:f>
        <x:v>0</x:v>
      </x:c>
      <x:c r="P1403" s="11" t="str">
        <x:v>אמקס - זיו</x:v>
      </x:c>
      <x:c r="Q1403" s="11" t="str"/>
      <x:c r="R1403" s="11" t="str">
        <x:v>לא</x:v>
      </x:c>
    </x:row>
    <x:row r="1404">
      <x:c r="A1404" s="14" t="n">
        <x:v>46082</x:v>
      </x:c>
      <x:c r="B1404" s="11" t="str">
        <x:v>2026-03</x:v>
      </x:c>
      <x:c r="C1404" s="11" t="str">
        <x:v>מרץ 26</x:v>
      </x:c>
      <x:c r="D1404" s="15" t="n">
        <x:v>13</x:v>
      </x:c>
      <x:c r="E1404" s="11" t="str">
        <x:v>26.03</x:v>
      </x:c>
      <x:c r="F1404" s="11" t="str">
        <x:v>ביטוח בריאות</x:v>
      </x:c>
      <x:c r="G1404" s="17" t="n">
        <x:v>115</x:v>
      </x:c>
      <x:c r="H1404" s="18" t="str">
        <x:v>ביטוח</x:v>
      </x:c>
      <x:c r="I1404" s="19" t="str">
        <x:f>IFERROR(INDEX('מיפוי ומקורות'!$C$7:$C$33,MATCH(H1404,'מיפוי ומקורות'!$B$7:$B$33,0)),"לא מסווג")</x:f>
        <x:v>ביטוח</x:v>
      </x:c>
      <x:c r="J1404" s="19" t="str">
        <x:f>IFERROR(INDEX('מיפוי ומקורות'!$D$7:$D$33,MATCH(H1404,'מיפוי ומקורות'!$B$7:$B$33,0)),"שוטף")</x:f>
        <x:v>שוטף</x:v>
      </x:c>
      <x:c r="K1404" s="19" t="str">
        <x:f>IF(OR(H1404="ריביות",AND(H1404="דירה כצנלסון",G1404&lt;0,ISNUMBER(SEARCH("הכנסה",F1404)))),"הכנסה שסווגה מחדש",J1404)</x:f>
        <x:v>שוטף</x:v>
      </x:c>
      <x:c r="L1404" s="19" t="str">
        <x:v>מאושר</x:v>
      </x:c>
      <x:c r="M1404" s="20" t="n">
        <x:f>IF(L1404="מאושר",IF(K1404="הכנסה שסווגה מחדש",0,G1404),0)</x:f>
        <x:v>115</x:v>
      </x:c>
      <x:c r="N1404" s="20" t="n">
        <x:f>IF(K1404="שוטף",M1404,0)</x:f>
        <x:v>115</x:v>
      </x:c>
      <x:c r="O1404" s="20" t="n">
        <x:f>IF(K1404="הכנסה שסווגה מחדש",-G1404,0)</x:f>
        <x:v>0</x:v>
      </x:c>
      <x:c r="P1404" s="11" t="str">
        <x:v>אמקס - עינור</x:v>
      </x:c>
      <x:c r="Q1404" s="11" t="str"/>
      <x:c r="R1404" s="11" t="str">
        <x:v>לא</x:v>
      </x:c>
    </x:row>
    <x:row r="1405">
      <x:c r="A1405" s="14" t="n">
        <x:v>46082</x:v>
      </x:c>
      <x:c r="B1405" s="11" t="str">
        <x:v>2026-03</x:v>
      </x:c>
      <x:c r="C1405" s="11" t="str">
        <x:v>מרץ 26</x:v>
      </x:c>
      <x:c r="D1405" s="15" t="n">
        <x:v>14</x:v>
      </x:c>
      <x:c r="E1405" s="11" t="str">
        <x:v>2.03</x:v>
      </x:c>
      <x:c r="F1405" s="11" t="str">
        <x:v>מכבי עינור</x:v>
      </x:c>
      <x:c r="G1405" s="17" t="n">
        <x:v>162</x:v>
      </x:c>
      <x:c r="H1405" s="18" t="str">
        <x:v>בריאות</x:v>
      </x:c>
      <x:c r="I1405" s="19" t="str">
        <x:f>IFERROR(INDEX('מיפוי ומקורות'!$C$7:$C$33,MATCH(H1405,'מיפוי ומקורות'!$B$7:$B$33,0)),"לא מסווג")</x:f>
        <x:v>בריאות וטיפולים</x:v>
      </x:c>
      <x:c r="J1405" s="19" t="str">
        <x:f>IFERROR(INDEX('מיפוי ומקורות'!$D$7:$D$33,MATCH(H1405,'מיפוי ומקורות'!$B$7:$B$33,0)),"שוטף")</x:f>
        <x:v>שוטף</x:v>
      </x:c>
      <x:c r="K1405" s="19" t="str">
        <x:f>IF(OR(H1405="ריביות",AND(H1405="דירה כצנלסון",G1405&lt;0,ISNUMBER(SEARCH("הכנסה",F1405)))),"הכנסה שסווגה מחדש",J1405)</x:f>
        <x:v>שוטף</x:v>
      </x:c>
      <x:c r="L1405" s="19" t="str">
        <x:v>מאושר</x:v>
      </x:c>
      <x:c r="M1405" s="20" t="n">
        <x:f>IF(L1405="מאושר",IF(K1405="הכנסה שסווגה מחדש",0,G1405),0)</x:f>
        <x:v>162</x:v>
      </x:c>
      <x:c r="N1405" s="20" t="n">
        <x:f>IF(K1405="שוטף",M1405,0)</x:f>
        <x:v>162</x:v>
      </x:c>
      <x:c r="O1405" s="20" t="n">
        <x:f>IF(K1405="הכנסה שסווגה מחדש",-G1405,0)</x:f>
        <x:v>0</x:v>
      </x:c>
      <x:c r="P1405" s="11" t="str">
        <x:v>אמקס - עינור</x:v>
      </x:c>
      <x:c r="Q1405" s="11" t="str"/>
      <x:c r="R1405" s="11" t="str">
        <x:v>לא</x:v>
      </x:c>
    </x:row>
    <x:row r="1406">
      <x:c r="A1406" s="14" t="n">
        <x:v>46082</x:v>
      </x:c>
      <x:c r="B1406" s="11" t="str">
        <x:v>2026-03</x:v>
      </x:c>
      <x:c r="C1406" s="11" t="str">
        <x:v>מרץ 26</x:v>
      </x:c>
      <x:c r="D1406" s="15" t="n">
        <x:v>15</x:v>
      </x:c>
      <x:c r="E1406" s="11" t="str">
        <x:v>2.03</x:v>
      </x:c>
      <x:c r="F1406" s="11" t="str">
        <x:v>מכבי זיו</x:v>
      </x:c>
      <x:c r="G1406" s="17" t="n">
        <x:v>56</x:v>
      </x:c>
      <x:c r="H1406" s="18" t="str">
        <x:v>בריאות</x:v>
      </x:c>
      <x:c r="I1406" s="19" t="str">
        <x:f>IFERROR(INDEX('מיפוי ומקורות'!$C$7:$C$33,MATCH(H1406,'מיפוי ומקורות'!$B$7:$B$33,0)),"לא מסווג")</x:f>
        <x:v>בריאות וטיפולים</x:v>
      </x:c>
      <x:c r="J1406" s="19" t="str">
        <x:f>IFERROR(INDEX('מיפוי ומקורות'!$D$7:$D$33,MATCH(H1406,'מיפוי ומקורות'!$B$7:$B$33,0)),"שוטף")</x:f>
        <x:v>שוטף</x:v>
      </x:c>
      <x:c r="K1406" s="19" t="str">
        <x:f>IF(OR(H1406="ריביות",AND(H1406="דירה כצנלסון",G1406&lt;0,ISNUMBER(SEARCH("הכנסה",F1406)))),"הכנסה שסווגה מחדש",J1406)</x:f>
        <x:v>שוטף</x:v>
      </x:c>
      <x:c r="L1406" s="19" t="str">
        <x:v>מאושר</x:v>
      </x:c>
      <x:c r="M1406" s="20" t="n">
        <x:f>IF(L1406="מאושר",IF(K1406="הכנסה שסווגה מחדש",0,G1406),0)</x:f>
        <x:v>56</x:v>
      </x:c>
      <x:c r="N1406" s="20" t="n">
        <x:f>IF(K1406="שוטף",M1406,0)</x:f>
        <x:v>56</x:v>
      </x:c>
      <x:c r="O1406" s="20" t="n">
        <x:f>IF(K1406="הכנסה שסווגה מחדש",-G1406,0)</x:f>
        <x:v>0</x:v>
      </x:c>
      <x:c r="P1406" s="11" t="str">
        <x:v>אמקס - זיו</x:v>
      </x:c>
      <x:c r="Q1406" s="11" t="str"/>
      <x:c r="R1406" s="11" t="str">
        <x:v>לא</x:v>
      </x:c>
    </x:row>
    <x:row r="1407">
      <x:c r="A1407" s="14" t="n">
        <x:v>46082</x:v>
      </x:c>
      <x:c r="B1407" s="11" t="str">
        <x:v>2026-03</x:v>
      </x:c>
      <x:c r="C1407" s="11" t="str">
        <x:v>מרץ 26</x:v>
      </x:c>
      <x:c r="D1407" s="15" t="n">
        <x:v>16</x:v>
      </x:c>
      <x:c r="E1407" s="11" t="str">
        <x:v>15.01</x:v>
      </x:c>
      <x:c r="F1407" s="11" t="str">
        <x:v>קאנטרי</x:v>
      </x:c>
      <x:c r="G1407" s="17" t="n">
        <x:v>632</x:v>
      </x:c>
      <x:c r="H1407" s="18" t="str">
        <x:v>ספורט</x:v>
      </x:c>
      <x:c r="I1407" s="19" t="str">
        <x:f>IFERROR(INDEX('מיפוי ומקורות'!$C$7:$C$33,MATCH(H1407,'מיפוי ומקורות'!$B$7:$B$33,0)),"לא מסווג")</x:f>
        <x:v>ספורט</x:v>
      </x:c>
      <x:c r="J1407" s="19" t="str">
        <x:f>IFERROR(INDEX('מיפוי ומקורות'!$D$7:$D$33,MATCH(H1407,'מיפוי ומקורות'!$B$7:$B$33,0)),"שוטף")</x:f>
        <x:v>שוטף</x:v>
      </x:c>
      <x:c r="K1407" s="19" t="str">
        <x:f>IF(OR(H1407="ריביות",AND(H1407="דירה כצנלסון",G1407&lt;0,ISNUMBER(SEARCH("הכנסה",F1407)))),"הכנסה שסווגה מחדש",J1407)</x:f>
        <x:v>שוטף</x:v>
      </x:c>
      <x:c r="L1407" s="19" t="str">
        <x:v>מאושר</x:v>
      </x:c>
      <x:c r="M1407" s="20" t="n">
        <x:f>IF(L1407="מאושר",IF(K1407="הכנסה שסווגה מחדש",0,G1407),0)</x:f>
        <x:v>632</x:v>
      </x:c>
      <x:c r="N1407" s="20" t="n">
        <x:f>IF(K1407="שוטף",M1407,0)</x:f>
        <x:v>632</x:v>
      </x:c>
      <x:c r="O1407" s="20" t="n">
        <x:f>IF(K1407="הכנסה שסווגה מחדש",-G1407,0)</x:f>
        <x:v>0</x:v>
      </x:c>
      <x:c r="P1407" s="11" t="str">
        <x:v>אמקס - זיו</x:v>
      </x:c>
      <x:c r="Q1407" s="11" t="str"/>
      <x:c r="R1407" s="11" t="str">
        <x:v>לא</x:v>
      </x:c>
    </x:row>
    <x:row r="1408">
      <x:c r="A1408" s="14" t="n">
        <x:v>46082</x:v>
      </x:c>
      <x:c r="B1408" s="11" t="str">
        <x:v>2026-03</x:v>
      </x:c>
      <x:c r="C1408" s="11" t="str">
        <x:v>מרץ 26</x:v>
      </x:c>
      <x:c r="D1408" s="15" t="n">
        <x:v>17</x:v>
      </x:c>
      <x:c r="E1408" s="11" t="str">
        <x:v>26.01</x:v>
      </x:c>
      <x:c r="F1408" s="11" t="str">
        <x:v>ביטוח רכב חובה</x:v>
      </x:c>
      <x:c r="G1408" s="17" t="n">
        <x:v>130</x:v>
      </x:c>
      <x:c r="H1408" s="18" t="str">
        <x:v>תחבורה</x:v>
      </x:c>
      <x:c r="I1408" s="19" t="str">
        <x:f>IFERROR(INDEX('מיפוי ומקורות'!$C$7:$C$33,MATCH(H1408,'מיפוי ומקורות'!$B$7:$B$33,0)),"לא מסווג")</x:f>
        <x:v>תחבורה</x:v>
      </x:c>
      <x:c r="J1408" s="19" t="str">
        <x:f>IFERROR(INDEX('מיפוי ומקורות'!$D$7:$D$33,MATCH(H1408,'מיפוי ומקורות'!$B$7:$B$33,0)),"שוטף")</x:f>
        <x:v>שוטף</x:v>
      </x:c>
      <x:c r="K1408" s="19" t="str">
        <x:f>IF(OR(H1408="ריביות",AND(H1408="דירה כצנלסון",G1408&lt;0,ISNUMBER(SEARCH("הכנסה",F1408)))),"הכנסה שסווגה מחדש",J1408)</x:f>
        <x:v>שוטף</x:v>
      </x:c>
      <x:c r="L1408" s="19" t="str">
        <x:v>מאושר</x:v>
      </x:c>
      <x:c r="M1408" s="20" t="n">
        <x:f>IF(L1408="מאושר",IF(K1408="הכנסה שסווגה מחדש",0,G1408),0)</x:f>
        <x:v>130</x:v>
      </x:c>
      <x:c r="N1408" s="20" t="n">
        <x:f>IF(K1408="שוטף",M1408,0)</x:f>
        <x:v>130</x:v>
      </x:c>
      <x:c r="O1408" s="20" t="n">
        <x:f>IF(K1408="הכנסה שסווגה מחדש",-G1408,0)</x:f>
        <x:v>0</x:v>
      </x:c>
      <x:c r="P1408" s="11" t="str">
        <x:v>אמקס - זיו</x:v>
      </x:c>
      <x:c r="Q1408" s="11" t="str"/>
      <x:c r="R1408" s="11" t="str">
        <x:v>לא</x:v>
      </x:c>
    </x:row>
    <x:row r="1409">
      <x:c r="A1409" s="14" t="n">
        <x:v>46082</x:v>
      </x:c>
      <x:c r="B1409" s="11" t="str">
        <x:v>2026-03</x:v>
      </x:c>
      <x:c r="C1409" s="11" t="str">
        <x:v>מרץ 26</x:v>
      </x:c>
      <x:c r="D1409" s="15" t="n">
        <x:v>18</x:v>
      </x:c>
      <x:c r="E1409" s="11" t="str"/>
      <x:c r="F1409" s="11" t="str">
        <x:v>האקדמיה האורגזמית</x:v>
      </x:c>
      <x:c r="G1409" s="17" t="n">
        <x:v>97</x:v>
      </x:c>
      <x:c r="H1409" s="18" t="str">
        <x:v>טיפולים</x:v>
      </x:c>
      <x:c r="I1409" s="19" t="str">
        <x:f>IFERROR(INDEX('מיפוי ומקורות'!$C$7:$C$33,MATCH(H1409,'מיפוי ומקורות'!$B$7:$B$33,0)),"לא מסווג")</x:f>
        <x:v>בריאות וטיפולים</x:v>
      </x:c>
      <x:c r="J1409" s="19" t="str">
        <x:f>IFERROR(INDEX('מיפוי ומקורות'!$D$7:$D$33,MATCH(H1409,'מיפוי ומקורות'!$B$7:$B$33,0)),"שוטף")</x:f>
        <x:v>שוטף</x:v>
      </x:c>
      <x:c r="K1409" s="19" t="str">
        <x:f>IF(OR(H1409="ריביות",AND(H1409="דירה כצנלסון",G1409&lt;0,ISNUMBER(SEARCH("הכנסה",F1409)))),"הכנסה שסווגה מחדש",J1409)</x:f>
        <x:v>שוטף</x:v>
      </x:c>
      <x:c r="L1409" s="19" t="str">
        <x:v>מאושר</x:v>
      </x:c>
      <x:c r="M1409" s="20" t="n">
        <x:f>IF(L1409="מאושר",IF(K1409="הכנסה שסווגה מחדש",0,G1409),0)</x:f>
        <x:v>97</x:v>
      </x:c>
      <x:c r="N1409" s="20" t="n">
        <x:f>IF(K1409="שוטף",M1409,0)</x:f>
        <x:v>97</x:v>
      </x:c>
      <x:c r="O1409" s="20" t="n">
        <x:f>IF(K1409="הכנסה שסווגה מחדש",-G1409,0)</x:f>
        <x:v>0</x:v>
      </x:c>
      <x:c r="P1409" s="11" t="str">
        <x:v>מקס - עינור</x:v>
      </x:c>
      <x:c r="Q1409" s="11" t="str"/>
      <x:c r="R1409" s="11" t="str">
        <x:v>לא</x:v>
      </x:c>
    </x:row>
    <x:row r="1410">
      <x:c r="A1410" s="14" t="n">
        <x:v>46082</x:v>
      </x:c>
      <x:c r="B1410" s="11" t="str">
        <x:v>2026-03</x:v>
      </x:c>
      <x:c r="C1410" s="11" t="str">
        <x:v>מרץ 26</x:v>
      </x:c>
      <x:c r="D1410" s="15" t="n">
        <x:v>20</x:v>
      </x:c>
      <x:c r="E1410" s="11" t="str">
        <x:v>2/3</x:v>
      </x:c>
      <x:c r="F1410" s="11" t="str">
        <x:v>ליאת</x:v>
      </x:c>
      <x:c r="G1410" s="17" t="n">
        <x:v>1800</x:v>
      </x:c>
      <x:c r="H1410" s="18" t="str">
        <x:v>טיפולים</x:v>
      </x:c>
      <x:c r="I1410" s="19" t="str">
        <x:f>IFERROR(INDEX('מיפוי ומקורות'!$C$7:$C$33,MATCH(H1410,'מיפוי ומקורות'!$B$7:$B$33,0)),"לא מסווג")</x:f>
        <x:v>בריאות וטיפולים</x:v>
      </x:c>
      <x:c r="J1410" s="19" t="str">
        <x:f>IFERROR(INDEX('מיפוי ומקורות'!$D$7:$D$33,MATCH(H1410,'מיפוי ומקורות'!$B$7:$B$33,0)),"שוטף")</x:f>
        <x:v>שוטף</x:v>
      </x:c>
      <x:c r="K1410" s="19" t="str">
        <x:f>IF(OR(H1410="ריביות",AND(H1410="דירה כצנלסון",G1410&lt;0,ISNUMBER(SEARCH("הכנסה",F1410)))),"הכנסה שסווגה מחדש",J1410)</x:f>
        <x:v>שוטף</x:v>
      </x:c>
      <x:c r="L1410" s="19" t="str">
        <x:v>מאושר</x:v>
      </x:c>
      <x:c r="M1410" s="20" t="n">
        <x:f>IF(L1410="מאושר",IF(K1410="הכנסה שסווגה מחדש",0,G1410),0)</x:f>
        <x:v>1800</x:v>
      </x:c>
      <x:c r="N1410" s="20" t="n">
        <x:f>IF(K1410="שוטף",M1410,0)</x:f>
        <x:v>1800</x:v>
      </x:c>
      <x:c r="O1410" s="20" t="n">
        <x:f>IF(K1410="הכנסה שסווגה מחדש",-G1410,0)</x:f>
        <x:v>0</x:v>
      </x:c>
      <x:c r="P1410" s="11" t="str">
        <x:v>one zero</x:v>
      </x:c>
      <x:c r="Q1410" s="11" t="str"/>
      <x:c r="R1410" s="11" t="str">
        <x:v>לא</x:v>
      </x:c>
    </x:row>
    <x:row r="1411">
      <x:c r="A1411" s="14" t="n">
        <x:v>46082</x:v>
      </x:c>
      <x:c r="B1411" s="11" t="str">
        <x:v>2026-03</x:v>
      </x:c>
      <x:c r="C1411" s="11" t="str">
        <x:v>מרץ 26</x:v>
      </x:c>
      <x:c r="D1411" s="15" t="n">
        <x:v>21</x:v>
      </x:c>
      <x:c r="E1411" s="11" t="str">
        <x:v>9/3</x:v>
      </x:c>
      <x:c r="F1411" s="11" t="str">
        <x:v>יעל</x:v>
      </x:c>
      <x:c r="G1411" s="17" t="n">
        <x:v>4500</x:v>
      </x:c>
      <x:c r="H1411" s="18" t="str">
        <x:v>ספורט</x:v>
      </x:c>
      <x:c r="I1411" s="19" t="str">
        <x:f>IFERROR(INDEX('מיפוי ומקורות'!$C$7:$C$33,MATCH(H1411,'מיפוי ומקורות'!$B$7:$B$33,0)),"לא מסווג")</x:f>
        <x:v>ספורט</x:v>
      </x:c>
      <x:c r="J1411" s="19" t="str">
        <x:f>IFERROR(INDEX('מיפוי ומקורות'!$D$7:$D$33,MATCH(H1411,'מיפוי ומקורות'!$B$7:$B$33,0)),"שוטף")</x:f>
        <x:v>שוטף</x:v>
      </x:c>
      <x:c r="K1411" s="19" t="str">
        <x:f>IF(OR(H1411="ריביות",AND(H1411="דירה כצנלסון",G1411&lt;0,ISNUMBER(SEARCH("הכנסה",F1411)))),"הכנסה שסווגה מחדש",J1411)</x:f>
        <x:v>שוטף</x:v>
      </x:c>
      <x:c r="L1411" s="19" t="str">
        <x:v>מאושר</x:v>
      </x:c>
      <x:c r="M1411" s="20" t="n">
        <x:f>IF(L1411="מאושר",IF(K1411="הכנסה שסווגה מחדש",0,G1411),0)</x:f>
        <x:v>4500</x:v>
      </x:c>
      <x:c r="N1411" s="20" t="n">
        <x:f>IF(K1411="שוטף",M1411,0)</x:f>
        <x:v>4500</x:v>
      </x:c>
      <x:c r="O1411" s="20" t="n">
        <x:f>IF(K1411="הכנסה שסווגה מחדש",-G1411,0)</x:f>
        <x:v>0</x:v>
      </x:c>
      <x:c r="P1411" s="11" t="str">
        <x:v>one zero</x:v>
      </x:c>
      <x:c r="Q1411" s="11" t="str"/>
      <x:c r="R1411" s="11" t="str">
        <x:v>לא</x:v>
      </x:c>
    </x:row>
    <x:row r="1412">
      <x:c r="A1412" s="14" t="n">
        <x:v>46082</x:v>
      </x:c>
      <x:c r="B1412" s="11" t="str">
        <x:v>2026-03</x:v>
      </x:c>
      <x:c r="C1412" s="11" t="str">
        <x:v>מרץ 26</x:v>
      </x:c>
      <x:c r="D1412" s="15" t="n">
        <x:v>22</x:v>
      </x:c>
      <x:c r="E1412" s="11" t="str">
        <x:v>12/3</x:v>
      </x:c>
      <x:c r="F1412" s="11" t="str">
        <x:v>החזר שיין</x:v>
      </x:c>
      <x:c r="G1412" s="17" t="n">
        <x:v>-142</x:v>
      </x:c>
      <x:c r="H1412" s="18" t="str">
        <x:v>אופנה</x:v>
      </x:c>
      <x:c r="I1412" s="19" t="str">
        <x:f>IFERROR(INDEX('מיפוי ומקורות'!$C$7:$C$33,MATCH(H1412,'מיפוי ומקורות'!$B$7:$B$33,0)),"לא מסווג")</x:f>
        <x:v>אופנה</x:v>
      </x:c>
      <x:c r="J1412" s="19" t="str">
        <x:f>IFERROR(INDEX('מיפוי ומקורות'!$D$7:$D$33,MATCH(H1412,'מיפוי ומקורות'!$B$7:$B$33,0)),"שוטף")</x:f>
        <x:v>שוטף</x:v>
      </x:c>
      <x:c r="K1412" s="19" t="str">
        <x:f>IF(OR(H1412="ריביות",AND(H1412="דירה כצנלסון",G1412&lt;0,ISNUMBER(SEARCH("הכנסה",F1412)))),"הכנסה שסווגה מחדש",J1412)</x:f>
        <x:v>שוטף</x:v>
      </x:c>
      <x:c r="L1412" s="19" t="str">
        <x:v>מאושר</x:v>
      </x:c>
      <x:c r="M1412" s="20" t="n">
        <x:f>IF(L1412="מאושר",IF(K1412="הכנסה שסווגה מחדש",0,G1412),0)</x:f>
        <x:v>-142</x:v>
      </x:c>
      <x:c r="N1412" s="20" t="n">
        <x:f>IF(K1412="שוטף",M1412,0)</x:f>
        <x:v>-142</x:v>
      </x:c>
      <x:c r="O1412" s="20" t="n">
        <x:f>IF(K1412="הכנסה שסווגה מחדש",-G1412,0)</x:f>
        <x:v>0</x:v>
      </x:c>
      <x:c r="P1412" s="11" t="str">
        <x:v>one zero</x:v>
      </x:c>
      <x:c r="Q1412" s="11" t="str"/>
      <x:c r="R1412" s="11" t="str">
        <x:v>לא</x:v>
      </x:c>
    </x:row>
    <x:row r="1413">
      <x:c r="A1413" s="14" t="n">
        <x:v>46082</x:v>
      </x:c>
      <x:c r="B1413" s="11" t="str">
        <x:v>2026-03</x:v>
      </x:c>
      <x:c r="C1413" s="11" t="str">
        <x:v>מרץ 26</x:v>
      </x:c>
      <x:c r="D1413" s="15" t="n">
        <x:v>23</x:v>
      </x:c>
      <x:c r="E1413" s="11" t="str">
        <x:v>25/3</x:v>
      </x:c>
      <x:c r="F1413" s="11" t="str">
        <x:v>תחבץ</x:v>
      </x:c>
      <x:c r="G1413" s="17" t="n">
        <x:v>8</x:v>
      </x:c>
      <x:c r="H1413" s="18" t="str">
        <x:v>תחבורה</x:v>
      </x:c>
      <x:c r="I1413" s="19" t="str">
        <x:f>IFERROR(INDEX('מיפוי ומקורות'!$C$7:$C$33,MATCH(H1413,'מיפוי ומקורות'!$B$7:$B$33,0)),"לא מסווג")</x:f>
        <x:v>תחבורה</x:v>
      </x:c>
      <x:c r="J1413" s="19" t="str">
        <x:f>IFERROR(INDEX('מיפוי ומקורות'!$D$7:$D$33,MATCH(H1413,'מיפוי ומקורות'!$B$7:$B$33,0)),"שוטף")</x:f>
        <x:v>שוטף</x:v>
      </x:c>
      <x:c r="K1413" s="19" t="str">
        <x:f>IF(OR(H1413="ריביות",AND(H1413="דירה כצנלסון",G1413&lt;0,ISNUMBER(SEARCH("הכנסה",F1413)))),"הכנסה שסווגה מחדש",J1413)</x:f>
        <x:v>שוטף</x:v>
      </x:c>
      <x:c r="L1413" s="19" t="str">
        <x:v>מאושר</x:v>
      </x:c>
      <x:c r="M1413" s="20" t="n">
        <x:f>IF(L1413="מאושר",IF(K1413="הכנסה שסווגה מחדש",0,G1413),0)</x:f>
        <x:v>8</x:v>
      </x:c>
      <x:c r="N1413" s="20" t="n">
        <x:f>IF(K1413="שוטף",M1413,0)</x:f>
        <x:v>8</x:v>
      </x:c>
      <x:c r="O1413" s="20" t="n">
        <x:f>IF(K1413="הכנסה שסווגה מחדש",-G1413,0)</x:f>
        <x:v>0</x:v>
      </x:c>
      <x:c r="P1413" s="11" t="str">
        <x:v>one zero - זיו</x:v>
      </x:c>
      <x:c r="Q1413" s="11" t="str"/>
      <x:c r="R1413" s="11" t="str">
        <x:v>לא</x:v>
      </x:c>
    </x:row>
    <x:row r="1414">
      <x:c r="A1414" s="14" t="n">
        <x:v>46082</x:v>
      </x:c>
      <x:c r="B1414" s="11" t="str">
        <x:v>2026-03</x:v>
      </x:c>
      <x:c r="C1414" s="11" t="str">
        <x:v>מרץ 26</x:v>
      </x:c>
      <x:c r="D1414" s="15" t="n">
        <x:v>24</x:v>
      </x:c>
      <x:c r="E1414" s="11" t="str">
        <x:v>22/3</x:v>
      </x:c>
      <x:c r="F1414" s="11" t="str">
        <x:v>מסעדה</x:v>
      </x:c>
      <x:c r="G1414" s="17" t="n">
        <x:v>225</x:v>
      </x:c>
      <x:c r="H1414" s="18" t="str">
        <x:v>אוכל בחוץ</x:v>
      </x:c>
      <x:c r="I1414" s="19" t="str">
        <x:f>IFERROR(INDEX('מיפוי ומקורות'!$C$7:$C$33,MATCH(H1414,'מיפוי ומקורות'!$B$7:$B$33,0)),"לא מסווג")</x:f>
        <x:v>אוכל בחוץ</x:v>
      </x:c>
      <x:c r="J1414" s="19" t="str">
        <x:f>IFERROR(INDEX('מיפוי ומקורות'!$D$7:$D$33,MATCH(H1414,'מיפוי ומקורות'!$B$7:$B$33,0)),"שוטף")</x:f>
        <x:v>שוטף</x:v>
      </x:c>
      <x:c r="K1414" s="19" t="str">
        <x:f>IF(OR(H1414="ריביות",AND(H1414="דירה כצנלסון",G1414&lt;0,ISNUMBER(SEARCH("הכנסה",F1414)))),"הכנסה שסווגה מחדש",J1414)</x:f>
        <x:v>שוטף</x:v>
      </x:c>
      <x:c r="L1414" s="19" t="str">
        <x:v>מאושר</x:v>
      </x:c>
      <x:c r="M1414" s="20" t="n">
        <x:f>IF(L1414="מאושר",IF(K1414="הכנסה שסווגה מחדש",0,G1414),0)</x:f>
        <x:v>225</x:v>
      </x:c>
      <x:c r="N1414" s="20" t="n">
        <x:f>IF(K1414="שוטף",M1414,0)</x:f>
        <x:v>225</x:v>
      </x:c>
      <x:c r="O1414" s="20" t="n">
        <x:f>IF(K1414="הכנסה שסווגה מחדש",-G1414,0)</x:f>
        <x:v>0</x:v>
      </x:c>
      <x:c r="P1414" s="11" t="str">
        <x:v>one zero - זיו</x:v>
      </x:c>
      <x:c r="Q1414" s="11" t="str"/>
      <x:c r="R1414" s="11" t="str">
        <x:v>לא</x:v>
      </x:c>
    </x:row>
    <x:row r="1415">
      <x:c r="A1415" s="14" t="n">
        <x:v>46082</x:v>
      </x:c>
      <x:c r="B1415" s="11" t="str">
        <x:v>2026-03</x:v>
      </x:c>
      <x:c r="C1415" s="11" t="str">
        <x:v>מרץ 26</x:v>
      </x:c>
      <x:c r="D1415" s="15" t="n">
        <x:v>25</x:v>
      </x:c>
      <x:c r="E1415" s="11" t="str">
        <x:v>17/3</x:v>
      </x:c>
      <x:c r="F1415" s="11" t="str">
        <x:v>ספר</x:v>
      </x:c>
      <x:c r="G1415" s="17" t="n">
        <x:v>80</x:v>
      </x:c>
      <x:c r="H1415" s="18" t="str">
        <x:v>קוסמטיקה</x:v>
      </x:c>
      <x:c r="I1415" s="19" t="str">
        <x:f>IFERROR(INDEX('מיפוי ומקורות'!$C$7:$C$33,MATCH(H1415,'מיפוי ומקורות'!$B$7:$B$33,0)),"לא מסווג")</x:f>
        <x:v>קוסמטיקה</x:v>
      </x:c>
      <x:c r="J1415" s="19" t="str">
        <x:f>IFERROR(INDEX('מיפוי ומקורות'!$D$7:$D$33,MATCH(H1415,'מיפוי ומקורות'!$B$7:$B$33,0)),"שוטף")</x:f>
        <x:v>שוטף</x:v>
      </x:c>
      <x:c r="K1415" s="19" t="str">
        <x:f>IF(OR(H1415="ריביות",AND(H1415="דירה כצנלסון",G1415&lt;0,ISNUMBER(SEARCH("הכנסה",F1415)))),"הכנסה שסווגה מחדש",J1415)</x:f>
        <x:v>שוטף</x:v>
      </x:c>
      <x:c r="L1415" s="19" t="str">
        <x:v>מאושר</x:v>
      </x:c>
      <x:c r="M1415" s="20" t="n">
        <x:f>IF(L1415="מאושר",IF(K1415="הכנסה שסווגה מחדש",0,G1415),0)</x:f>
        <x:v>80</x:v>
      </x:c>
      <x:c r="N1415" s="20" t="n">
        <x:f>IF(K1415="שוטף",M1415,0)</x:f>
        <x:v>80</x:v>
      </x:c>
      <x:c r="O1415" s="20" t="n">
        <x:f>IF(K1415="הכנסה שסווגה מחדש",-G1415,0)</x:f>
        <x:v>0</x:v>
      </x:c>
      <x:c r="P1415" s="11" t="str">
        <x:v>one zero - זיו</x:v>
      </x:c>
      <x:c r="Q1415" s="11" t="str"/>
      <x:c r="R1415" s="11" t="str">
        <x:v>לא</x:v>
      </x:c>
    </x:row>
    <x:row r="1416">
      <x:c r="A1416" s="14" t="n">
        <x:v>46082</x:v>
      </x:c>
      <x:c r="B1416" s="11" t="str">
        <x:v>2026-03</x:v>
      </x:c>
      <x:c r="C1416" s="11" t="str">
        <x:v>מרץ 26</x:v>
      </x:c>
      <x:c r="D1416" s="15" t="n">
        <x:v>26</x:v>
      </x:c>
      <x:c r="E1416" s="11" t="str">
        <x:v>7/3</x:v>
      </x:c>
      <x:c r="F1416" s="11" t="str">
        <x:v>מסעדה</x:v>
      </x:c>
      <x:c r="G1416" s="17" t="n">
        <x:v>20</x:v>
      </x:c>
      <x:c r="H1416" s="18" t="str">
        <x:v>אוכל בחוץ</x:v>
      </x:c>
      <x:c r="I1416" s="19" t="str">
        <x:f>IFERROR(INDEX('מיפוי ומקורות'!$C$7:$C$33,MATCH(H1416,'מיפוי ומקורות'!$B$7:$B$33,0)),"לא מסווג")</x:f>
        <x:v>אוכל בחוץ</x:v>
      </x:c>
      <x:c r="J1416" s="19" t="str">
        <x:f>IFERROR(INDEX('מיפוי ומקורות'!$D$7:$D$33,MATCH(H1416,'מיפוי ומקורות'!$B$7:$B$33,0)),"שוטף")</x:f>
        <x:v>שוטף</x:v>
      </x:c>
      <x:c r="K1416" s="19" t="str">
        <x:f>IF(OR(H1416="ריביות",AND(H1416="דירה כצנלסון",G1416&lt;0,ISNUMBER(SEARCH("הכנסה",F1416)))),"הכנסה שסווגה מחדש",J1416)</x:f>
        <x:v>שוטף</x:v>
      </x:c>
      <x:c r="L1416" s="19" t="str">
        <x:v>מאושר</x:v>
      </x:c>
      <x:c r="M1416" s="20" t="n">
        <x:f>IF(L1416="מאושר",IF(K1416="הכנסה שסווגה מחדש",0,G1416),0)</x:f>
        <x:v>20</x:v>
      </x:c>
      <x:c r="N1416" s="20" t="n">
        <x:f>IF(K1416="שוטף",M1416,0)</x:f>
        <x:v>20</x:v>
      </x:c>
      <x:c r="O1416" s="20" t="n">
        <x:f>IF(K1416="הכנסה שסווגה מחדש",-G1416,0)</x:f>
        <x:v>0</x:v>
      </x:c>
      <x:c r="P1416" s="11" t="str">
        <x:v>one zero - זיו</x:v>
      </x:c>
      <x:c r="Q1416" s="11" t="str"/>
      <x:c r="R1416" s="11" t="str">
        <x:v>לא</x:v>
      </x:c>
    </x:row>
    <x:row r="1417">
      <x:c r="A1417" s="14" t="n">
        <x:v>46082</x:v>
      </x:c>
      <x:c r="B1417" s="11" t="str">
        <x:v>2026-03</x:v>
      </x:c>
      <x:c r="C1417" s="11" t="str">
        <x:v>מרץ 26</x:v>
      </x:c>
      <x:c r="D1417" s="15" t="n">
        <x:v>27</x:v>
      </x:c>
      <x:c r="E1417" s="11" t="str">
        <x:v>2/3</x:v>
      </x:c>
      <x:c r="F1417" s="11" t="str">
        <x:v>מאפיה</x:v>
      </x:c>
      <x:c r="G1417" s="17" t="n">
        <x:v>4</x:v>
      </x:c>
      <x:c r="H1417" s="18" t="str">
        <x:v>אוכל בחוץ</x:v>
      </x:c>
      <x:c r="I1417" s="19" t="str">
        <x:f>IFERROR(INDEX('מיפוי ומקורות'!$C$7:$C$33,MATCH(H1417,'מיפוי ומקורות'!$B$7:$B$33,0)),"לא מסווג")</x:f>
        <x:v>אוכל בחוץ</x:v>
      </x:c>
      <x:c r="J1417" s="19" t="str">
        <x:f>IFERROR(INDEX('מיפוי ומקורות'!$D$7:$D$33,MATCH(H1417,'מיפוי ומקורות'!$B$7:$B$33,0)),"שוטף")</x:f>
        <x:v>שוטף</x:v>
      </x:c>
      <x:c r="K1417" s="19" t="str">
        <x:f>IF(OR(H1417="ריביות",AND(H1417="דירה כצנלסון",G1417&lt;0,ISNUMBER(SEARCH("הכנסה",F1417)))),"הכנסה שסווגה מחדש",J1417)</x:f>
        <x:v>שוטף</x:v>
      </x:c>
      <x:c r="L1417" s="19" t="str">
        <x:v>מאושר</x:v>
      </x:c>
      <x:c r="M1417" s="20" t="n">
        <x:f>IF(L1417="מאושר",IF(K1417="הכנסה שסווגה מחדש",0,G1417),0)</x:f>
        <x:v>4</x:v>
      </x:c>
      <x:c r="N1417" s="20" t="n">
        <x:f>IF(K1417="שוטף",M1417,0)</x:f>
        <x:v>4</x:v>
      </x:c>
      <x:c r="O1417" s="20" t="n">
        <x:f>IF(K1417="הכנסה שסווגה מחדש",-G1417,0)</x:f>
        <x:v>0</x:v>
      </x:c>
      <x:c r="P1417" s="11" t="str">
        <x:v>one zero - זיו</x:v>
      </x:c>
      <x:c r="Q1417" s="11" t="str"/>
      <x:c r="R1417" s="11" t="str">
        <x:v>לא</x:v>
      </x:c>
    </x:row>
    <x:row r="1418">
      <x:c r="A1418" s="14" t="n">
        <x:v>46082</x:v>
      </x:c>
      <x:c r="B1418" s="11" t="str">
        <x:v>2026-03</x:v>
      </x:c>
      <x:c r="C1418" s="11" t="str">
        <x:v>מרץ 26</x:v>
      </x:c>
      <x:c r="D1418" s="15" t="n">
        <x:v>28</x:v>
      </x:c>
      <x:c r="E1418" s="11" t="str">
        <x:v>25/3</x:v>
      </x:c>
      <x:c r="F1418" s="11" t="str">
        <x:v>תחבץ</x:v>
      </x:c>
      <x:c r="G1418" s="17" t="n">
        <x:v>8</x:v>
      </x:c>
      <x:c r="H1418" s="18" t="str">
        <x:v>תחבורה</x:v>
      </x:c>
      <x:c r="I1418" s="19" t="str">
        <x:f>IFERROR(INDEX('מיפוי ומקורות'!$C$7:$C$33,MATCH(H1418,'מיפוי ומקורות'!$B$7:$B$33,0)),"לא מסווג")</x:f>
        <x:v>תחבורה</x:v>
      </x:c>
      <x:c r="J1418" s="19" t="str">
        <x:f>IFERROR(INDEX('מיפוי ומקורות'!$D$7:$D$33,MATCH(H1418,'מיפוי ומקורות'!$B$7:$B$33,0)),"שוטף")</x:f>
        <x:v>שוטף</x:v>
      </x:c>
      <x:c r="K1418" s="19" t="str">
        <x:f>IF(OR(H1418="ריביות",AND(H1418="דירה כצנלסון",G1418&lt;0,ISNUMBER(SEARCH("הכנסה",F1418)))),"הכנסה שסווגה מחדש",J1418)</x:f>
        <x:v>שוטף</x:v>
      </x:c>
      <x:c r="L1418" s="19" t="str">
        <x:v>מאושר</x:v>
      </x:c>
      <x:c r="M1418" s="20" t="n">
        <x:f>IF(L1418="מאושר",IF(K1418="הכנסה שסווגה מחדש",0,G1418),0)</x:f>
        <x:v>8</x:v>
      </x:c>
      <x:c r="N1418" s="20" t="n">
        <x:f>IF(K1418="שוטף",M1418,0)</x:f>
        <x:v>8</x:v>
      </x:c>
      <x:c r="O1418" s="20" t="n">
        <x:f>IF(K1418="הכנסה שסווגה מחדש",-G1418,0)</x:f>
        <x:v>0</x:v>
      </x:c>
      <x:c r="P1418" s="11" t="str">
        <x:v>one zero - עינור</x:v>
      </x:c>
      <x:c r="Q1418" s="11" t="str"/>
      <x:c r="R1418" s="11" t="str">
        <x:v>לא</x:v>
      </x:c>
    </x:row>
    <x:row r="1419">
      <x:c r="A1419" s="14" t="n">
        <x:v>46082</x:v>
      </x:c>
      <x:c r="B1419" s="11" t="str">
        <x:v>2026-03</x:v>
      </x:c>
      <x:c r="C1419" s="11" t="str">
        <x:v>מרץ 26</x:v>
      </x:c>
      <x:c r="D1419" s="15" t="n">
        <x:v>29</x:v>
      </x:c>
      <x:c r="E1419" s="11" t="str">
        <x:v>03/03</x:v>
      </x:c>
      <x:c r="F1419" s="11" t="str">
        <x:v>הטענת כסף ליאמי</x:v>
      </x:c>
      <x:c r="G1419" s="17" t="n">
        <x:v>15</x:v>
      </x:c>
      <x:c r="H1419" s="18" t="str">
        <x:v>אלקטרוניקה</x:v>
      </x:c>
      <x:c r="I1419" s="19" t="str">
        <x:f>IFERROR(INDEX('מיפוי ומקורות'!$C$7:$C$33,MATCH(H1419,'מיפוי ומקורות'!$B$7:$B$33,0)),"לא מסווג")</x:f>
        <x:v>אלקטרוניקה</x:v>
      </x:c>
      <x:c r="J1419" s="19" t="str">
        <x:f>IFERROR(INDEX('מיפוי ומקורות'!$D$7:$D$33,MATCH(H1419,'מיפוי ומקורות'!$B$7:$B$33,0)),"שוטף")</x:f>
        <x:v>שוטף</x:v>
      </x:c>
      <x:c r="K1419" s="19" t="str">
        <x:f>IF(OR(H1419="ריביות",AND(H1419="דירה כצנלסון",G1419&lt;0,ISNUMBER(SEARCH("הכנסה",F1419)))),"הכנסה שסווגה מחדש",J1419)</x:f>
        <x:v>שוטף</x:v>
      </x:c>
      <x:c r="L1419" s="19" t="str">
        <x:v>מאושר</x:v>
      </x:c>
      <x:c r="M1419" s="20" t="n">
        <x:f>IF(L1419="מאושר",IF(K1419="הכנסה שסווגה מחדש",0,G1419),0)</x:f>
        <x:v>15</x:v>
      </x:c>
      <x:c r="N1419" s="20" t="n">
        <x:f>IF(K1419="שוטף",M1419,0)</x:f>
        <x:v>15</x:v>
      </x:c>
      <x:c r="O1419" s="20" t="n">
        <x:f>IF(K1419="הכנסה שסווגה מחדש",-G1419,0)</x:f>
        <x:v>0</x:v>
      </x:c>
      <x:c r="P1419" s="11" t="str">
        <x:v>אמקס - עינור</x:v>
      </x:c>
      <x:c r="Q1419" s="11" t="str"/>
      <x:c r="R1419" s="11" t="str">
        <x:v>לא</x:v>
      </x:c>
    </x:row>
    <x:row r="1420">
      <x:c r="A1420" s="14" t="n">
        <x:v>46082</x:v>
      </x:c>
      <x:c r="B1420" s="11" t="str">
        <x:v>2026-03</x:v>
      </x:c>
      <x:c r="C1420" s="11" t="str">
        <x:v>מרץ 26</x:v>
      </x:c>
      <x:c r="D1420" s="15" t="n">
        <x:v>32</x:v>
      </x:c>
      <x:c r="E1420" s="11" t="str">
        <x:v>11/03</x:v>
      </x:c>
      <x:c r="F1420" s="11" t="str">
        <x:v>סיבוס פלאקסי</x:v>
      </x:c>
      <x:c r="G1420" s="17" t="n">
        <x:v>163</x:v>
      </x:c>
      <x:c r="H1420" s="18" t="str">
        <x:v>אוכל בחוץ</x:v>
      </x:c>
      <x:c r="I1420" s="19" t="str">
        <x:f>IFERROR(INDEX('מיפוי ומקורות'!$C$7:$C$33,MATCH(H1420,'מיפוי ומקורות'!$B$7:$B$33,0)),"לא מסווג")</x:f>
        <x:v>אוכל בחוץ</x:v>
      </x:c>
      <x:c r="J1420" s="19" t="str">
        <x:f>IFERROR(INDEX('מיפוי ומקורות'!$D$7:$D$33,MATCH(H1420,'מיפוי ומקורות'!$B$7:$B$33,0)),"שוטף")</x:f>
        <x:v>שוטף</x:v>
      </x:c>
      <x:c r="K1420" s="19" t="str">
        <x:f>IF(OR(H1420="ריביות",AND(H1420="דירה כצנלסון",G1420&lt;0,ISNUMBER(SEARCH("הכנסה",F1420)))),"הכנסה שסווגה מחדש",J1420)</x:f>
        <x:v>שוטף</x:v>
      </x:c>
      <x:c r="L1420" s="19" t="str">
        <x:v>מאושר</x:v>
      </x:c>
      <x:c r="M1420" s="20" t="n">
        <x:f>IF(L1420="מאושר",IF(K1420="הכנסה שסווגה מחדש",0,G1420),0)</x:f>
        <x:v>163</x:v>
      </x:c>
      <x:c r="N1420" s="20" t="n">
        <x:f>IF(K1420="שוטף",M1420,0)</x:f>
        <x:v>163</x:v>
      </x:c>
      <x:c r="O1420" s="20" t="n">
        <x:f>IF(K1420="הכנסה שסווגה מחדש",-G1420,0)</x:f>
        <x:v>0</x:v>
      </x:c>
      <x:c r="P1420" s="11" t="str">
        <x:v>אמקס - עינור</x:v>
      </x:c>
      <x:c r="Q1420" s="11" t="str"/>
      <x:c r="R1420" s="11" t="str">
        <x:v>לא</x:v>
      </x:c>
    </x:row>
    <x:row r="1421">
      <x:c r="A1421" s="14" t="n">
        <x:v>46082</x:v>
      </x:c>
      <x:c r="B1421" s="11" t="str">
        <x:v>2026-03</x:v>
      </x:c>
      <x:c r="C1421" s="11" t="str">
        <x:v>מרץ 26</x:v>
      </x:c>
      <x:c r="D1421" s="15" t="n">
        <x:v>33</x:v>
      </x:c>
      <x:c r="E1421" s="11" t="str">
        <x:v>12.03</x:v>
      </x:c>
      <x:c r="F1421" s="11" t="str">
        <x:v>קלוד קוד</x:v>
      </x:c>
      <x:c r="G1421" s="17" t="n">
        <x:v>63</x:v>
      </x:c>
      <x:c r="H1421" s="18" t="str">
        <x:v>אלקטרוניקה</x:v>
      </x:c>
      <x:c r="I1421" s="19" t="str">
        <x:f>IFERROR(INDEX('מיפוי ומקורות'!$C$7:$C$33,MATCH(H1421,'מיפוי ומקורות'!$B$7:$B$33,0)),"לא מסווג")</x:f>
        <x:v>אלקטרוניקה</x:v>
      </x:c>
      <x:c r="J1421" s="19" t="str">
        <x:f>IFERROR(INDEX('מיפוי ומקורות'!$D$7:$D$33,MATCH(H1421,'מיפוי ומקורות'!$B$7:$B$33,0)),"שוטף")</x:f>
        <x:v>שוטף</x:v>
      </x:c>
      <x:c r="K1421" s="19" t="str">
        <x:f>IF(OR(H1421="ריביות",AND(H1421="דירה כצנלסון",G1421&lt;0,ISNUMBER(SEARCH("הכנסה",F1421)))),"הכנסה שסווגה מחדש",J1421)</x:f>
        <x:v>שוטף</x:v>
      </x:c>
      <x:c r="L1421" s="19" t="str">
        <x:v>מאושר</x:v>
      </x:c>
      <x:c r="M1421" s="20" t="n">
        <x:f>IF(L1421="מאושר",IF(K1421="הכנסה שסווגה מחדש",0,G1421),0)</x:f>
        <x:v>63</x:v>
      </x:c>
      <x:c r="N1421" s="20" t="n">
        <x:f>IF(K1421="שוטף",M1421,0)</x:f>
        <x:v>63</x:v>
      </x:c>
      <x:c r="O1421" s="20" t="n">
        <x:f>IF(K1421="הכנסה שסווגה מחדש",-G1421,0)</x:f>
        <x:v>0</x:v>
      </x:c>
      <x:c r="P1421" s="11" t="str">
        <x:v>אמקס - עינור</x:v>
      </x:c>
      <x:c r="Q1421" s="11" t="str"/>
      <x:c r="R1421" s="11" t="str">
        <x:v>לא</x:v>
      </x:c>
    </x:row>
    <x:row r="1422">
      <x:c r="A1422" s="14" t="n">
        <x:v>46082</x:v>
      </x:c>
      <x:c r="B1422" s="11" t="str">
        <x:v>2026-03</x:v>
      </x:c>
      <x:c r="C1422" s="11" t="str">
        <x:v>מרץ 26</x:v>
      </x:c>
      <x:c r="D1422" s="15" t="n">
        <x:v>34</x:v>
      </x:c>
      <x:c r="E1422" s="11" t="str">
        <x:v>12.03</x:v>
      </x:c>
      <x:c r="F1422" s="11" t="str">
        <x:v>סופר</x:v>
      </x:c>
      <x:c r="G1422" s="17" t="n">
        <x:v>855</x:v>
      </x:c>
      <x:c r="H1422" s="18" t="str">
        <x:v>מזון לבית</x:v>
      </x:c>
      <x:c r="I1422" s="19" t="str">
        <x:f>IFERROR(INDEX('מיפוי ומקורות'!$C$7:$C$33,MATCH(H1422,'מיפוי ומקורות'!$B$7:$B$33,0)),"לא מסווג")</x:f>
        <x:v>מזון לבית</x:v>
      </x:c>
      <x:c r="J1422" s="19" t="str">
        <x:f>IFERROR(INDEX('מיפוי ומקורות'!$D$7:$D$33,MATCH(H1422,'מיפוי ומקורות'!$B$7:$B$33,0)),"שוטף")</x:f>
        <x:v>שוטף</x:v>
      </x:c>
      <x:c r="K1422" s="19" t="str">
        <x:f>IF(OR(H1422="ריביות",AND(H1422="דירה כצנלסון",G1422&lt;0,ISNUMBER(SEARCH("הכנסה",F1422)))),"הכנסה שסווגה מחדש",J1422)</x:f>
        <x:v>שוטף</x:v>
      </x:c>
      <x:c r="L1422" s="19" t="str">
        <x:v>מאושר</x:v>
      </x:c>
      <x:c r="M1422" s="20" t="n">
        <x:f>IF(L1422="מאושר",IF(K1422="הכנסה שסווגה מחדש",0,G1422),0)</x:f>
        <x:v>855</x:v>
      </x:c>
      <x:c r="N1422" s="20" t="n">
        <x:f>IF(K1422="שוטף",M1422,0)</x:f>
        <x:v>855</x:v>
      </x:c>
      <x:c r="O1422" s="20" t="n">
        <x:f>IF(K1422="הכנסה שסווגה מחדש",-G1422,0)</x:f>
        <x:v>0</x:v>
      </x:c>
      <x:c r="P1422" s="11" t="str">
        <x:v>אמקס - עינור</x:v>
      </x:c>
      <x:c r="Q1422" s="11" t="str"/>
      <x:c r="R1422" s="11" t="str">
        <x:v>לא</x:v>
      </x:c>
    </x:row>
    <x:row r="1423">
      <x:c r="A1423" s="14" t="n">
        <x:v>46082</x:v>
      </x:c>
      <x:c r="B1423" s="11" t="str">
        <x:v>2026-03</x:v>
      </x:c>
      <x:c r="C1423" s="11" t="str">
        <x:v>מרץ 26</x:v>
      </x:c>
      <x:c r="D1423" s="15" t="n">
        <x:v>36</x:v>
      </x:c>
      <x:c r="E1423" s="11" t="str">
        <x:v>13.03</x:v>
      </x:c>
      <x:c r="F1423" s="11" t="str">
        <x:v>ירקן</x:v>
      </x:c>
      <x:c r="G1423" s="17" t="n">
        <x:v>30</x:v>
      </x:c>
      <x:c r="H1423" s="18" t="str">
        <x:v>מזון לבית</x:v>
      </x:c>
      <x:c r="I1423" s="19" t="str">
        <x:f>IFERROR(INDEX('מיפוי ומקורות'!$C$7:$C$33,MATCH(H1423,'מיפוי ומקורות'!$B$7:$B$33,0)),"לא מסווג")</x:f>
        <x:v>מזון לבית</x:v>
      </x:c>
      <x:c r="J1423" s="19" t="str">
        <x:f>IFERROR(INDEX('מיפוי ומקורות'!$D$7:$D$33,MATCH(H1423,'מיפוי ומקורות'!$B$7:$B$33,0)),"שוטף")</x:f>
        <x:v>שוטף</x:v>
      </x:c>
      <x:c r="K1423" s="19" t="str">
        <x:f>IF(OR(H1423="ריביות",AND(H1423="דירה כצנלסון",G1423&lt;0,ISNUMBER(SEARCH("הכנסה",F1423)))),"הכנסה שסווגה מחדש",J1423)</x:f>
        <x:v>שוטף</x:v>
      </x:c>
      <x:c r="L1423" s="19" t="str">
        <x:v>מאושר</x:v>
      </x:c>
      <x:c r="M1423" s="20" t="n">
        <x:f>IF(L1423="מאושר",IF(K1423="הכנסה שסווגה מחדש",0,G1423),0)</x:f>
        <x:v>30</x:v>
      </x:c>
      <x:c r="N1423" s="20" t="n">
        <x:f>IF(K1423="שוטף",M1423,0)</x:f>
        <x:v>30</x:v>
      </x:c>
      <x:c r="O1423" s="20" t="n">
        <x:f>IF(K1423="הכנסה שסווגה מחדש",-G1423,0)</x:f>
        <x:v>0</x:v>
      </x:c>
      <x:c r="P1423" s="11" t="str">
        <x:v>אמקס - עינור</x:v>
      </x:c>
      <x:c r="Q1423" s="11" t="str"/>
      <x:c r="R1423" s="11" t="str">
        <x:v>לא</x:v>
      </x:c>
    </x:row>
    <x:row r="1424">
      <x:c r="A1424" s="14" t="n">
        <x:v>46082</x:v>
      </x:c>
      <x:c r="B1424" s="11" t="str">
        <x:v>2026-03</x:v>
      </x:c>
      <x:c r="C1424" s="11" t="str">
        <x:v>מרץ 26</x:v>
      </x:c>
      <x:c r="D1424" s="15" t="n">
        <x:v>38</x:v>
      </x:c>
      <x:c r="E1424" s="11" t="str">
        <x:v>18.03</x:v>
      </x:c>
      <x:c r="F1424" s="11" t="str">
        <x:v>סופר</x:v>
      </x:c>
      <x:c r="G1424" s="17" t="n">
        <x:v>75</x:v>
      </x:c>
      <x:c r="H1424" s="18" t="str">
        <x:v>מזון לבית</x:v>
      </x:c>
      <x:c r="I1424" s="19" t="str">
        <x:f>IFERROR(INDEX('מיפוי ומקורות'!$C$7:$C$33,MATCH(H1424,'מיפוי ומקורות'!$B$7:$B$33,0)),"לא מסווג")</x:f>
        <x:v>מזון לבית</x:v>
      </x:c>
      <x:c r="J1424" s="19" t="str">
        <x:f>IFERROR(INDEX('מיפוי ומקורות'!$D$7:$D$33,MATCH(H1424,'מיפוי ומקורות'!$B$7:$B$33,0)),"שוטף")</x:f>
        <x:v>שוטף</x:v>
      </x:c>
      <x:c r="K1424" s="19" t="str">
        <x:f>IF(OR(H1424="ריביות",AND(H1424="דירה כצנלסון",G1424&lt;0,ISNUMBER(SEARCH("הכנסה",F1424)))),"הכנסה שסווגה מחדש",J1424)</x:f>
        <x:v>שוטף</x:v>
      </x:c>
      <x:c r="L1424" s="19" t="str">
        <x:v>מאושר</x:v>
      </x:c>
      <x:c r="M1424" s="20" t="n">
        <x:f>IF(L1424="מאושר",IF(K1424="הכנסה שסווגה מחדש",0,G1424),0)</x:f>
        <x:v>75</x:v>
      </x:c>
      <x:c r="N1424" s="20" t="n">
        <x:f>IF(K1424="שוטף",M1424,0)</x:f>
        <x:v>75</x:v>
      </x:c>
      <x:c r="O1424" s="20" t="n">
        <x:f>IF(K1424="הכנסה שסווגה מחדש",-G1424,0)</x:f>
        <x:v>0</x:v>
      </x:c>
      <x:c r="P1424" s="11" t="str">
        <x:v>אמקס - עינור</x:v>
      </x:c>
      <x:c r="Q1424" s="11" t="str"/>
      <x:c r="R1424" s="11" t="str">
        <x:v>לא</x:v>
      </x:c>
    </x:row>
    <x:row r="1425">
      <x:c r="A1425" s="14" t="n">
        <x:v>46082</x:v>
      </x:c>
      <x:c r="B1425" s="11" t="str">
        <x:v>2026-03</x:v>
      </x:c>
      <x:c r="C1425" s="11" t="str">
        <x:v>מרץ 26</x:v>
      </x:c>
      <x:c r="D1425" s="15" t="n">
        <x:v>39</x:v>
      </x:c>
      <x:c r="E1425" s="11" t="str">
        <x:v>20.03</x:v>
      </x:c>
      <x:c r="F1425" s="11" t="str">
        <x:v>ירקן</x:v>
      </x:c>
      <x:c r="G1425" s="17" t="n">
        <x:v>85</x:v>
      </x:c>
      <x:c r="H1425" s="18" t="str">
        <x:v>מזון לבית</x:v>
      </x:c>
      <x:c r="I1425" s="19" t="str">
        <x:f>IFERROR(INDEX('מיפוי ומקורות'!$C$7:$C$33,MATCH(H1425,'מיפוי ומקורות'!$B$7:$B$33,0)),"לא מסווג")</x:f>
        <x:v>מזון לבית</x:v>
      </x:c>
      <x:c r="J1425" s="19" t="str">
        <x:f>IFERROR(INDEX('מיפוי ומקורות'!$D$7:$D$33,MATCH(H1425,'מיפוי ומקורות'!$B$7:$B$33,0)),"שוטף")</x:f>
        <x:v>שוטף</x:v>
      </x:c>
      <x:c r="K1425" s="19" t="str">
        <x:f>IF(OR(H1425="ריביות",AND(H1425="דירה כצנלסון",G1425&lt;0,ISNUMBER(SEARCH("הכנסה",F1425)))),"הכנסה שסווגה מחדש",J1425)</x:f>
        <x:v>שוטף</x:v>
      </x:c>
      <x:c r="L1425" s="19" t="str">
        <x:v>מאושר</x:v>
      </x:c>
      <x:c r="M1425" s="20" t="n">
        <x:f>IF(L1425="מאושר",IF(K1425="הכנסה שסווגה מחדש",0,G1425),0)</x:f>
        <x:v>85</x:v>
      </x:c>
      <x:c r="N1425" s="20" t="n">
        <x:f>IF(K1425="שוטף",M1425,0)</x:f>
        <x:v>85</x:v>
      </x:c>
      <x:c r="O1425" s="20" t="n">
        <x:f>IF(K1425="הכנסה שסווגה מחדש",-G1425,0)</x:f>
        <x:v>0</x:v>
      </x:c>
      <x:c r="P1425" s="11" t="str">
        <x:v>אמקס - עינור</x:v>
      </x:c>
      <x:c r="Q1425" s="11" t="str"/>
      <x:c r="R1425" s="11" t="str">
        <x:v>לא</x:v>
      </x:c>
    </x:row>
    <x:row r="1426">
      <x:c r="A1426" s="14" t="n">
        <x:v>46082</x:v>
      </x:c>
      <x:c r="B1426" s="11" t="str">
        <x:v>2026-03</x:v>
      </x:c>
      <x:c r="C1426" s="11" t="str">
        <x:v>מרץ 26</x:v>
      </x:c>
      <x:c r="D1426" s="15" t="n">
        <x:v>40</x:v>
      </x:c>
      <x:c r="E1426" s="11" t="str">
        <x:v>22/03</x:v>
      </x:c>
      <x:c r="F1426" s="11" t="str">
        <x:v>קיי.אס.פי מחשבים-גמא</x:v>
      </x:c>
      <x:c r="G1426" s="17" t="n">
        <x:v>45</x:v>
      </x:c>
      <x:c r="H1426" s="18" t="str">
        <x:v>קניות לבית</x:v>
      </x:c>
      <x:c r="I1426" s="19" t="str">
        <x:f>IFERROR(INDEX('מיפוי ומקורות'!$C$7:$C$33,MATCH(H1426,'מיפוי ומקורות'!$B$7:$B$33,0)),"לא מסווג")</x:f>
        <x:v>קניות לבית</x:v>
      </x:c>
      <x:c r="J1426" s="19" t="str">
        <x:f>IFERROR(INDEX('מיפוי ומקורות'!$D$7:$D$33,MATCH(H1426,'מיפוי ומקורות'!$B$7:$B$33,0)),"שוטף")</x:f>
        <x:v>שוטף</x:v>
      </x:c>
      <x:c r="K1426" s="19" t="str">
        <x:f>IF(OR(H1426="ריביות",AND(H1426="דירה כצנלסון",G1426&lt;0,ISNUMBER(SEARCH("הכנסה",F1426)))),"הכנסה שסווגה מחדש",J1426)</x:f>
        <x:v>שוטף</x:v>
      </x:c>
      <x:c r="L1426" s="19" t="str">
        <x:v>מאושר</x:v>
      </x:c>
      <x:c r="M1426" s="20" t="n">
        <x:f>IF(L1426="מאושר",IF(K1426="הכנסה שסווגה מחדש",0,G1426),0)</x:f>
        <x:v>45</x:v>
      </x:c>
      <x:c r="N1426" s="20" t="n">
        <x:f>IF(K1426="שוטף",M1426,0)</x:f>
        <x:v>45</x:v>
      </x:c>
      <x:c r="O1426" s="20" t="n">
        <x:f>IF(K1426="הכנסה שסווגה מחדש",-G1426,0)</x:f>
        <x:v>0</x:v>
      </x:c>
      <x:c r="P1426" s="11" t="str">
        <x:v>אמקס - עינור</x:v>
      </x:c>
      <x:c r="Q1426" s="11" t="str"/>
      <x:c r="R1426" s="11" t="str">
        <x:v>לא</x:v>
      </x:c>
    </x:row>
    <x:row r="1427">
      <x:c r="A1427" s="14" t="n">
        <x:v>46082</x:v>
      </x:c>
      <x:c r="B1427" s="11" t="str">
        <x:v>2026-03</x:v>
      </x:c>
      <x:c r="C1427" s="11" t="str">
        <x:v>מרץ 26</x:v>
      </x:c>
      <x:c r="D1427" s="15" t="n">
        <x:v>41</x:v>
      </x:c>
      <x:c r="E1427" s="11" t="str">
        <x:v>24/03</x:v>
      </x:c>
      <x:c r="F1427" s="11" t="str">
        <x:v>אלי</x:v>
      </x:c>
      <x:c r="G1427" s="17" t="n">
        <x:v>47</x:v>
      </x:c>
      <x:c r="H1427" s="18" t="str">
        <x:v>קניות לבית</x:v>
      </x:c>
      <x:c r="I1427" s="19" t="str">
        <x:f>IFERROR(INDEX('מיפוי ומקורות'!$C$7:$C$33,MATCH(H1427,'מיפוי ומקורות'!$B$7:$B$33,0)),"לא מסווג")</x:f>
        <x:v>קניות לבית</x:v>
      </x:c>
      <x:c r="J1427" s="19" t="str">
        <x:f>IFERROR(INDEX('מיפוי ומקורות'!$D$7:$D$33,MATCH(H1427,'מיפוי ומקורות'!$B$7:$B$33,0)),"שוטף")</x:f>
        <x:v>שוטף</x:v>
      </x:c>
      <x:c r="K1427" s="19" t="str">
        <x:f>IF(OR(H1427="ריביות",AND(H1427="דירה כצנלסון",G1427&lt;0,ISNUMBER(SEARCH("הכנסה",F1427)))),"הכנסה שסווגה מחדש",J1427)</x:f>
        <x:v>שוטף</x:v>
      </x:c>
      <x:c r="L1427" s="19" t="str">
        <x:v>מאושר</x:v>
      </x:c>
      <x:c r="M1427" s="20" t="n">
        <x:f>IF(L1427="מאושר",IF(K1427="הכנסה שסווגה מחדש",0,G1427),0)</x:f>
        <x:v>47</x:v>
      </x:c>
      <x:c r="N1427" s="20" t="n">
        <x:f>IF(K1427="שוטף",M1427,0)</x:f>
        <x:v>47</x:v>
      </x:c>
      <x:c r="O1427" s="20" t="n">
        <x:f>IF(K1427="הכנסה שסווגה מחדש",-G1427,0)</x:f>
        <x:v>0</x:v>
      </x:c>
      <x:c r="P1427" s="11" t="str">
        <x:v>אמקס - עינור</x:v>
      </x:c>
      <x:c r="Q1427" s="11" t="str"/>
      <x:c r="R1427" s="11" t="str">
        <x:v>לא</x:v>
      </x:c>
    </x:row>
    <x:row r="1428">
      <x:c r="A1428" s="14" t="n">
        <x:v>46082</x:v>
      </x:c>
      <x:c r="B1428" s="11" t="str">
        <x:v>2026-03</x:v>
      </x:c>
      <x:c r="C1428" s="11" t="str">
        <x:v>מרץ 26</x:v>
      </x:c>
      <x:c r="D1428" s="15" t="n">
        <x:v>42</x:v>
      </x:c>
      <x:c r="E1428" s="11" t="str">
        <x:v>27.03</x:v>
      </x:c>
      <x:c r="F1428" s="11" t="str">
        <x:v>סופר</x:v>
      </x:c>
      <x:c r="G1428" s="17" t="n">
        <x:v>-9</x:v>
      </x:c>
      <x:c r="H1428" s="18" t="str">
        <x:v>מזון לבית</x:v>
      </x:c>
      <x:c r="I1428" s="19" t="str">
        <x:f>IFERROR(INDEX('מיפוי ומקורות'!$C$7:$C$33,MATCH(H1428,'מיפוי ומקורות'!$B$7:$B$33,0)),"לא מסווג")</x:f>
        <x:v>מזון לבית</x:v>
      </x:c>
      <x:c r="J1428" s="19" t="str">
        <x:f>IFERROR(INDEX('מיפוי ומקורות'!$D$7:$D$33,MATCH(H1428,'מיפוי ומקורות'!$B$7:$B$33,0)),"שוטף")</x:f>
        <x:v>שוטף</x:v>
      </x:c>
      <x:c r="K1428" s="19" t="str">
        <x:f>IF(OR(H1428="ריביות",AND(H1428="דירה כצנלסון",G1428&lt;0,ISNUMBER(SEARCH("הכנסה",F1428)))),"הכנסה שסווגה מחדש",J1428)</x:f>
        <x:v>שוטף</x:v>
      </x:c>
      <x:c r="L1428" s="19" t="str">
        <x:v>מאושר</x:v>
      </x:c>
      <x:c r="M1428" s="20" t="n">
        <x:f>IF(L1428="מאושר",IF(K1428="הכנסה שסווגה מחדש",0,G1428),0)</x:f>
        <x:v>-9</x:v>
      </x:c>
      <x:c r="N1428" s="20" t="n">
        <x:f>IF(K1428="שוטף",M1428,0)</x:f>
        <x:v>-9</x:v>
      </x:c>
      <x:c r="O1428" s="20" t="n">
        <x:f>IF(K1428="הכנסה שסווגה מחדש",-G1428,0)</x:f>
        <x:v>0</x:v>
      </x:c>
      <x:c r="P1428" s="11" t="str">
        <x:v>אמקס - עינור</x:v>
      </x:c>
      <x:c r="Q1428" s="11" t="str"/>
      <x:c r="R1428" s="11" t="str">
        <x:v>לא</x:v>
      </x:c>
    </x:row>
    <x:row r="1429">
      <x:c r="A1429" s="14" t="n">
        <x:v>46082</x:v>
      </x:c>
      <x:c r="B1429" s="11" t="str">
        <x:v>2026-03</x:v>
      </x:c>
      <x:c r="C1429" s="11" t="str">
        <x:v>מרץ 26</x:v>
      </x:c>
      <x:c r="D1429" s="15" t="n">
        <x:v>43</x:v>
      </x:c>
      <x:c r="E1429" s="11" t="str">
        <x:v>29/03</x:v>
      </x:c>
      <x:c r="F1429" s="11" t="str">
        <x:v>שרויטמן לחם-יציל</x:v>
      </x:c>
      <x:c r="G1429" s="17" t="n">
        <x:v>60</x:v>
      </x:c>
      <x:c r="H1429" s="18" t="str">
        <x:v>אוכל בחוץ</x:v>
      </x:c>
      <x:c r="I1429" s="19" t="str">
        <x:f>IFERROR(INDEX('מיפוי ומקורות'!$C$7:$C$33,MATCH(H1429,'מיפוי ומקורות'!$B$7:$B$33,0)),"לא מסווג")</x:f>
        <x:v>אוכל בחוץ</x:v>
      </x:c>
      <x:c r="J1429" s="19" t="str">
        <x:f>IFERROR(INDEX('מיפוי ומקורות'!$D$7:$D$33,MATCH(H1429,'מיפוי ומקורות'!$B$7:$B$33,0)),"שוטף")</x:f>
        <x:v>שוטף</x:v>
      </x:c>
      <x:c r="K1429" s="19" t="str">
        <x:f>IF(OR(H1429="ריביות",AND(H1429="דירה כצנלסון",G1429&lt;0,ISNUMBER(SEARCH("הכנסה",F1429)))),"הכנסה שסווגה מחדש",J1429)</x:f>
        <x:v>שוטף</x:v>
      </x:c>
      <x:c r="L1429" s="19" t="str">
        <x:v>מאושר</x:v>
      </x:c>
      <x:c r="M1429" s="20" t="n">
        <x:f>IF(L1429="מאושר",IF(K1429="הכנסה שסווגה מחדש",0,G1429),0)</x:f>
        <x:v>60</x:v>
      </x:c>
      <x:c r="N1429" s="20" t="n">
        <x:f>IF(K1429="שוטף",M1429,0)</x:f>
        <x:v>60</x:v>
      </x:c>
      <x:c r="O1429" s="20" t="n">
        <x:f>IF(K1429="הכנסה שסווגה מחדש",-G1429,0)</x:f>
        <x:v>0</x:v>
      </x:c>
      <x:c r="P1429" s="11" t="str">
        <x:v>אמקס - עינור</x:v>
      </x:c>
      <x:c r="Q1429" s="11" t="str"/>
      <x:c r="R1429" s="11" t="str">
        <x:v>לא</x:v>
      </x:c>
    </x:row>
    <x:row r="1430">
      <x:c r="A1430" s="14" t="n">
        <x:v>46082</x:v>
      </x:c>
      <x:c r="B1430" s="11" t="str">
        <x:v>2026-03</x:v>
      </x:c>
      <x:c r="C1430" s="11" t="str">
        <x:v>מרץ 26</x:v>
      </x:c>
      <x:c r="D1430" s="15" t="n">
        <x:v>45</x:v>
      </x:c>
      <x:c r="E1430" s="11" t="str">
        <x:v>31/03</x:v>
      </x:c>
      <x:c r="F1430" s="11" t="str">
        <x:v>גבות</x:v>
      </x:c>
      <x:c r="G1430" s="17" t="n">
        <x:v>60</x:v>
      </x:c>
      <x:c r="H1430" s="18" t="str">
        <x:v>קוסמטיקה</x:v>
      </x:c>
      <x:c r="I1430" s="19" t="str">
        <x:f>IFERROR(INDEX('מיפוי ומקורות'!$C$7:$C$33,MATCH(H1430,'מיפוי ומקורות'!$B$7:$B$33,0)),"לא מסווג")</x:f>
        <x:v>קוסמטיקה</x:v>
      </x:c>
      <x:c r="J1430" s="19" t="str">
        <x:f>IFERROR(INDEX('מיפוי ומקורות'!$D$7:$D$33,MATCH(H1430,'מיפוי ומקורות'!$B$7:$B$33,0)),"שוטף")</x:f>
        <x:v>שוטף</x:v>
      </x:c>
      <x:c r="K1430" s="19" t="str">
        <x:f>IF(OR(H1430="ריביות",AND(H1430="דירה כצנלסון",G1430&lt;0,ISNUMBER(SEARCH("הכנסה",F1430)))),"הכנסה שסווגה מחדש",J1430)</x:f>
        <x:v>שוטף</x:v>
      </x:c>
      <x:c r="L1430" s="19" t="str">
        <x:v>מאושר</x:v>
      </x:c>
      <x:c r="M1430" s="20" t="n">
        <x:f>IF(L1430="מאושר",IF(K1430="הכנסה שסווגה מחדש",0,G1430),0)</x:f>
        <x:v>60</x:v>
      </x:c>
      <x:c r="N1430" s="20" t="n">
        <x:f>IF(K1430="שוטף",M1430,0)</x:f>
        <x:v>60</x:v>
      </x:c>
      <x:c r="O1430" s="20" t="n">
        <x:f>IF(K1430="הכנסה שסווגה מחדש",-G1430,0)</x:f>
        <x:v>0</x:v>
      </x:c>
      <x:c r="P1430" s="11" t="str">
        <x:v>אמקס - עינור</x:v>
      </x:c>
      <x:c r="Q1430" s="11" t="str"/>
      <x:c r="R1430" s="11" t="str">
        <x:v>לא</x:v>
      </x:c>
    </x:row>
    <x:row r="1431">
      <x:c r="A1431" s="14" t="n">
        <x:v>46082</x:v>
      </x:c>
      <x:c r="B1431" s="11" t="str">
        <x:v>2026-03</x:v>
      </x:c>
      <x:c r="C1431" s="11" t="str">
        <x:v>מרץ 26</x:v>
      </x:c>
      <x:c r="D1431" s="15" t="n">
        <x:v>51</x:v>
      </x:c>
      <x:c r="E1431" s="11" t="str">
        <x:v>05/03</x:v>
      </x:c>
      <x:c r="F1431" s="11" t="str">
        <x:v>תמרה יוגורט</x:v>
      </x:c>
      <x:c r="G1431" s="17" t="n">
        <x:v>25</x:v>
      </x:c>
      <x:c r="H1431" s="18" t="str">
        <x:v>אוכל בחוץ</x:v>
      </x:c>
      <x:c r="I1431" s="19" t="str">
        <x:f>IFERROR(INDEX('מיפוי ומקורות'!$C$7:$C$33,MATCH(H1431,'מיפוי ומקורות'!$B$7:$B$33,0)),"לא מסווג")</x:f>
        <x:v>אוכל בחוץ</x:v>
      </x:c>
      <x:c r="J1431" s="19" t="str">
        <x:f>IFERROR(INDEX('מיפוי ומקורות'!$D$7:$D$33,MATCH(H1431,'מיפוי ומקורות'!$B$7:$B$33,0)),"שוטף")</x:f>
        <x:v>שוטף</x:v>
      </x:c>
      <x:c r="K1431" s="19" t="str">
        <x:f>IF(OR(H1431="ריביות",AND(H1431="דירה כצנלסון",G1431&lt;0,ISNUMBER(SEARCH("הכנסה",F1431)))),"הכנסה שסווגה מחדש",J1431)</x:f>
        <x:v>שוטף</x:v>
      </x:c>
      <x:c r="L1431" s="19" t="str">
        <x:v>מאושר</x:v>
      </x:c>
      <x:c r="M1431" s="20" t="n">
        <x:f>IF(L1431="מאושר",IF(K1431="הכנסה שסווגה מחדש",0,G1431),0)</x:f>
        <x:v>25</x:v>
      </x:c>
      <x:c r="N1431" s="20" t="n">
        <x:f>IF(K1431="שוטף",M1431,0)</x:f>
        <x:v>25</x:v>
      </x:c>
      <x:c r="O1431" s="20" t="n">
        <x:f>IF(K1431="הכנסה שסווגה מחדש",-G1431,0)</x:f>
        <x:v>0</x:v>
      </x:c>
      <x:c r="P1431" s="11" t="str">
        <x:v>אמקס - זיו</x:v>
      </x:c>
      <x:c r="Q1431" s="11" t="str"/>
      <x:c r="R1431" s="11" t="str">
        <x:v>לא</x:v>
      </x:c>
    </x:row>
    <x:row r="1432">
      <x:c r="A1432" s="14" t="n">
        <x:v>46082</x:v>
      </x:c>
      <x:c r="B1432" s="11" t="str">
        <x:v>2026-03</x:v>
      </x:c>
      <x:c r="C1432" s="11" t="str">
        <x:v>מרץ 26</x:v>
      </x:c>
      <x:c r="D1432" s="15" t="n">
        <x:v>52</x:v>
      </x:c>
      <x:c r="E1432" s="11" t="str"/>
      <x:c r="F1432" s="11" t="str">
        <x:v>לונדון 26</x:v>
      </x:c>
      <x:c r="G1432" s="17" t="n">
        <x:v>134</x:v>
      </x:c>
      <x:c r="H1432" s="18" t="str">
        <x:v>חופשה</x:v>
      </x:c>
      <x:c r="I1432" s="19" t="str">
        <x:f>IFERROR(INDEX('מיפוי ומקורות'!$C$7:$C$33,MATCH(H1432,'מיפוי ומקורות'!$B$7:$B$33,0)),"לא מסווג")</x:f>
        <x:v>נסיעות וחופשות</x:v>
      </x:c>
      <x:c r="J1432" s="19" t="str">
        <x:f>IFERROR(INDEX('מיפוי ומקורות'!$D$7:$D$33,MATCH(H1432,'מיפוי ומקורות'!$B$7:$B$33,0)),"שוטף")</x:f>
        <x:v>חריג</x:v>
      </x:c>
      <x:c r="K1432" s="19" t="str">
        <x:f>IF(OR(H1432="ריביות",AND(H1432="דירה כצנלסון",G1432&lt;0,ISNUMBER(SEARCH("הכנסה",F1432)))),"הכנסה שסווגה מחדש",J1432)</x:f>
        <x:v>חריג</x:v>
      </x:c>
      <x:c r="L1432" s="19" t="str">
        <x:v>מאושר</x:v>
      </x:c>
      <x:c r="M1432" s="20" t="n">
        <x:f>IF(L1432="מאושר",IF(K1432="הכנסה שסווגה מחדש",0,G1432),0)</x:f>
        <x:v>134</x:v>
      </x:c>
      <x:c r="N1432" s="20" t="n">
        <x:f>IF(K1432="שוטף",M1432,0)</x:f>
        <x:v>0</x:v>
      </x:c>
      <x:c r="O1432" s="20" t="n">
        <x:f>IF(K1432="הכנסה שסווגה מחדש",-G1432,0)</x:f>
        <x:v>0</x:v>
      </x:c>
      <x:c r="P1432" s="11" t="str"/>
      <x:c r="Q1432" s="11" t="str">
        <x:v>auto:vacation:לונדון 26</x:v>
      </x:c>
      <x:c r="R1432" s="11" t="str">
        <x:v>כן</x:v>
      </x:c>
    </x:row>
    <x:row r="1433">
      <x:c r="A1433" s="14" t="n">
        <x:v>46082</x:v>
      </x:c>
      <x:c r="B1433" s="11" t="str">
        <x:v>2026-03</x:v>
      </x:c>
      <x:c r="C1433" s="11" t="str">
        <x:v>מרץ 26</x:v>
      </x:c>
      <x:c r="D1433" s="15" t="n">
        <x:v>55</x:v>
      </x:c>
      <x:c r="E1433" s="11" t="str">
        <x:v>1.03</x:v>
      </x:c>
      <x:c r="F1433" s="11" t="str">
        <x:v>ירקן</x:v>
      </x:c>
      <x:c r="G1433" s="17" t="n">
        <x:v>24</x:v>
      </x:c>
      <x:c r="H1433" s="18" t="str">
        <x:v>מזון לבית</x:v>
      </x:c>
      <x:c r="I1433" s="19" t="str">
        <x:f>IFERROR(INDEX('מיפוי ומקורות'!$C$7:$C$33,MATCH(H1433,'מיפוי ומקורות'!$B$7:$B$33,0)),"לא מסווג")</x:f>
        <x:v>מזון לבית</x:v>
      </x:c>
      <x:c r="J1433" s="19" t="str">
        <x:f>IFERROR(INDEX('מיפוי ומקורות'!$D$7:$D$33,MATCH(H1433,'מיפוי ומקורות'!$B$7:$B$33,0)),"שוטף")</x:f>
        <x:v>שוטף</x:v>
      </x:c>
      <x:c r="K1433" s="19" t="str">
        <x:f>IF(OR(H1433="ריביות",AND(H1433="דירה כצנלסון",G1433&lt;0,ISNUMBER(SEARCH("הכנסה",F1433)))),"הכנסה שסווגה מחדש",J1433)</x:f>
        <x:v>שוטף</x:v>
      </x:c>
      <x:c r="L1433" s="19" t="str">
        <x:v>מאושר</x:v>
      </x:c>
      <x:c r="M1433" s="20" t="n">
        <x:f>IF(L1433="מאושר",IF(K1433="הכנסה שסווגה מחדש",0,G1433),0)</x:f>
        <x:v>24</x:v>
      </x:c>
      <x:c r="N1433" s="20" t="n">
        <x:f>IF(K1433="שוטף",M1433,0)</x:f>
        <x:v>24</x:v>
      </x:c>
      <x:c r="O1433" s="20" t="n">
        <x:f>IF(K1433="הכנסה שסווגה מחדש",-G1433,0)</x:f>
        <x:v>0</x:v>
      </x:c>
      <x:c r="P1433" s="11" t="str">
        <x:v>אמקס - זיו</x:v>
      </x:c>
      <x:c r="Q1433" s="11" t="str"/>
      <x:c r="R1433" s="11" t="str">
        <x:v>לא</x:v>
      </x:c>
    </x:row>
    <x:row r="1434">
      <x:c r="A1434" s="14" t="n">
        <x:v>46082</x:v>
      </x:c>
      <x:c r="B1434" s="11" t="str">
        <x:v>2026-03</x:v>
      </x:c>
      <x:c r="C1434" s="11" t="str">
        <x:v>מרץ 26</x:v>
      </x:c>
      <x:c r="D1434" s="15" t="n">
        <x:v>56</x:v>
      </x:c>
      <x:c r="E1434" s="11" t="str">
        <x:v>1.03</x:v>
      </x:c>
      <x:c r="F1434" s="11" t="str">
        <x:v>ירקן</x:v>
      </x:c>
      <x:c r="G1434" s="17" t="n">
        <x:v>9</x:v>
      </x:c>
      <x:c r="H1434" s="18" t="str">
        <x:v>מזון לבית</x:v>
      </x:c>
      <x:c r="I1434" s="19" t="str">
        <x:f>IFERROR(INDEX('מיפוי ומקורות'!$C$7:$C$33,MATCH(H1434,'מיפוי ומקורות'!$B$7:$B$33,0)),"לא מסווג")</x:f>
        <x:v>מזון לבית</x:v>
      </x:c>
      <x:c r="J1434" s="19" t="str">
        <x:f>IFERROR(INDEX('מיפוי ומקורות'!$D$7:$D$33,MATCH(H1434,'מיפוי ומקורות'!$B$7:$B$33,0)),"שוטף")</x:f>
        <x:v>שוטף</x:v>
      </x:c>
      <x:c r="K1434" s="19" t="str">
        <x:f>IF(OR(H1434="ריביות",AND(H1434="דירה כצנלסון",G1434&lt;0,ISNUMBER(SEARCH("הכנסה",F1434)))),"הכנסה שסווגה מחדש",J1434)</x:f>
        <x:v>שוטף</x:v>
      </x:c>
      <x:c r="L1434" s="19" t="str">
        <x:v>מאושר</x:v>
      </x:c>
      <x:c r="M1434" s="20" t="n">
        <x:f>IF(L1434="מאושר",IF(K1434="הכנסה שסווגה מחדש",0,G1434),0)</x:f>
        <x:v>9</x:v>
      </x:c>
      <x:c r="N1434" s="20" t="n">
        <x:f>IF(K1434="שוטף",M1434,0)</x:f>
        <x:v>9</x:v>
      </x:c>
      <x:c r="O1434" s="20" t="n">
        <x:f>IF(K1434="הכנסה שסווגה מחדש",-G1434,0)</x:f>
        <x:v>0</x:v>
      </x:c>
      <x:c r="P1434" s="11" t="str">
        <x:v>אמקס - זיו</x:v>
      </x:c>
      <x:c r="Q1434" s="11" t="str"/>
      <x:c r="R1434" s="11" t="str">
        <x:v>לא</x:v>
      </x:c>
    </x:row>
    <x:row r="1435">
      <x:c r="A1435" s="14" t="n">
        <x:v>46082</x:v>
      </x:c>
      <x:c r="B1435" s="11" t="str">
        <x:v>2026-03</x:v>
      </x:c>
      <x:c r="C1435" s="11" t="str">
        <x:v>מרץ 26</x:v>
      </x:c>
      <x:c r="D1435" s="15" t="n">
        <x:v>57</x:v>
      </x:c>
      <x:c r="E1435" s="11" t="str">
        <x:v>3.03</x:v>
      </x:c>
      <x:c r="F1435" s="11" t="str">
        <x:v>פארם</x:v>
      </x:c>
      <x:c r="G1435" s="17" t="n">
        <x:v>12</x:v>
      </x:c>
      <x:c r="H1435" s="18" t="str">
        <x:v>בריאות</x:v>
      </x:c>
      <x:c r="I1435" s="19" t="str">
        <x:f>IFERROR(INDEX('מיפוי ומקורות'!$C$7:$C$33,MATCH(H1435,'מיפוי ומקורות'!$B$7:$B$33,0)),"לא מסווג")</x:f>
        <x:v>בריאות וטיפולים</x:v>
      </x:c>
      <x:c r="J1435" s="19" t="str">
        <x:f>IFERROR(INDEX('מיפוי ומקורות'!$D$7:$D$33,MATCH(H1435,'מיפוי ומקורות'!$B$7:$B$33,0)),"שוטף")</x:f>
        <x:v>שוטף</x:v>
      </x:c>
      <x:c r="K1435" s="19" t="str">
        <x:f>IF(OR(H1435="ריביות",AND(H1435="דירה כצנלסון",G1435&lt;0,ISNUMBER(SEARCH("הכנסה",F1435)))),"הכנסה שסווגה מחדש",J1435)</x:f>
        <x:v>שוטף</x:v>
      </x:c>
      <x:c r="L1435" s="19" t="str">
        <x:v>מאושר</x:v>
      </x:c>
      <x:c r="M1435" s="20" t="n">
        <x:f>IF(L1435="מאושר",IF(K1435="הכנסה שסווגה מחדש",0,G1435),0)</x:f>
        <x:v>12</x:v>
      </x:c>
      <x:c r="N1435" s="20" t="n">
        <x:f>IF(K1435="שוטף",M1435,0)</x:f>
        <x:v>12</x:v>
      </x:c>
      <x:c r="O1435" s="20" t="n">
        <x:f>IF(K1435="הכנסה שסווגה מחדש",-G1435,0)</x:f>
        <x:v>0</x:v>
      </x:c>
      <x:c r="P1435" s="11" t="str">
        <x:v>אמקס - זיו</x:v>
      </x:c>
      <x:c r="Q1435" s="11" t="str"/>
      <x:c r="R1435" s="11" t="str">
        <x:v>לא</x:v>
      </x:c>
    </x:row>
    <x:row r="1436">
      <x:c r="A1436" s="14" t="n">
        <x:v>46082</x:v>
      </x:c>
      <x:c r="B1436" s="11" t="str">
        <x:v>2026-03</x:v>
      </x:c>
      <x:c r="C1436" s="11" t="str">
        <x:v>מרץ 26</x:v>
      </x:c>
      <x:c r="D1436" s="15" t="n">
        <x:v>58</x:v>
      </x:c>
      <x:c r="E1436" s="11" t="str">
        <x:v>05/03</x:v>
      </x:c>
      <x:c r="F1436" s="11" t="str">
        <x:v>תמרה יוגורט</x:v>
      </x:c>
      <x:c r="G1436" s="17" t="n">
        <x:v>25</x:v>
      </x:c>
      <x:c r="H1436" s="18" t="str">
        <x:v>אוכל בחוץ</x:v>
      </x:c>
      <x:c r="I1436" s="19" t="str">
        <x:f>IFERROR(INDEX('מיפוי ומקורות'!$C$7:$C$33,MATCH(H1436,'מיפוי ומקורות'!$B$7:$B$33,0)),"לא מסווג")</x:f>
        <x:v>אוכל בחוץ</x:v>
      </x:c>
      <x:c r="J1436" s="19" t="str">
        <x:f>IFERROR(INDEX('מיפוי ומקורות'!$D$7:$D$33,MATCH(H1436,'מיפוי ומקורות'!$B$7:$B$33,0)),"שוטף")</x:f>
        <x:v>שוטף</x:v>
      </x:c>
      <x:c r="K1436" s="19" t="str">
        <x:f>IF(OR(H1436="ריביות",AND(H1436="דירה כצנלסון",G1436&lt;0,ISNUMBER(SEARCH("הכנסה",F1436)))),"הכנסה שסווגה מחדש",J1436)</x:f>
        <x:v>שוטף</x:v>
      </x:c>
      <x:c r="L1436" s="19" t="str">
        <x:v>מאושר</x:v>
      </x:c>
      <x:c r="M1436" s="20" t="n">
        <x:f>IF(L1436="מאושר",IF(K1436="הכנסה שסווגה מחדש",0,G1436),0)</x:f>
        <x:v>25</x:v>
      </x:c>
      <x:c r="N1436" s="20" t="n">
        <x:f>IF(K1436="שוטף",M1436,0)</x:f>
        <x:v>25</x:v>
      </x:c>
      <x:c r="O1436" s="20" t="n">
        <x:f>IF(K1436="הכנסה שסווגה מחדש",-G1436,0)</x:f>
        <x:v>0</x:v>
      </x:c>
      <x:c r="P1436" s="11" t="str">
        <x:v>אמקס - זיו</x:v>
      </x:c>
      <x:c r="Q1436" s="11" t="str"/>
      <x:c r="R1436" s="11" t="str">
        <x:v>לא</x:v>
      </x:c>
    </x:row>
    <x:row r="1437">
      <x:c r="A1437" s="14" t="n">
        <x:v>46082</x:v>
      </x:c>
      <x:c r="B1437" s="11" t="str">
        <x:v>2026-03</x:v>
      </x:c>
      <x:c r="C1437" s="11" t="str">
        <x:v>מרץ 26</x:v>
      </x:c>
      <x:c r="D1437" s="15" t="n">
        <x:v>59</x:v>
      </x:c>
      <x:c r="E1437" s="11" t="str">
        <x:v>6.03</x:v>
      </x:c>
      <x:c r="F1437" s="11" t="str">
        <x:v>פיצוציה</x:v>
      </x:c>
      <x:c r="G1437" s="17" t="n">
        <x:v>14</x:v>
      </x:c>
      <x:c r="H1437" s="18" t="str">
        <x:v>אוכל בחוץ</x:v>
      </x:c>
      <x:c r="I1437" s="19" t="str">
        <x:f>IFERROR(INDEX('מיפוי ומקורות'!$C$7:$C$33,MATCH(H1437,'מיפוי ומקורות'!$B$7:$B$33,0)),"לא מסווג")</x:f>
        <x:v>אוכל בחוץ</x:v>
      </x:c>
      <x:c r="J1437" s="19" t="str">
        <x:f>IFERROR(INDEX('מיפוי ומקורות'!$D$7:$D$33,MATCH(H1437,'מיפוי ומקורות'!$B$7:$B$33,0)),"שוטף")</x:f>
        <x:v>שוטף</x:v>
      </x:c>
      <x:c r="K1437" s="19" t="str">
        <x:f>IF(OR(H1437="ריביות",AND(H1437="דירה כצנלסון",G1437&lt;0,ISNUMBER(SEARCH("הכנסה",F1437)))),"הכנסה שסווגה מחדש",J1437)</x:f>
        <x:v>שוטף</x:v>
      </x:c>
      <x:c r="L1437" s="19" t="str">
        <x:v>מאושר</x:v>
      </x:c>
      <x:c r="M1437" s="20" t="n">
        <x:f>IF(L1437="מאושר",IF(K1437="הכנסה שסווגה מחדש",0,G1437),0)</x:f>
        <x:v>14</x:v>
      </x:c>
      <x:c r="N1437" s="20" t="n">
        <x:f>IF(K1437="שוטף",M1437,0)</x:f>
        <x:v>14</x:v>
      </x:c>
      <x:c r="O1437" s="20" t="n">
        <x:f>IF(K1437="הכנסה שסווגה מחדש",-G1437,0)</x:f>
        <x:v>0</x:v>
      </x:c>
      <x:c r="P1437" s="11" t="str">
        <x:v>אמקס - זיו</x:v>
      </x:c>
      <x:c r="Q1437" s="11" t="str"/>
      <x:c r="R1437" s="11" t="str">
        <x:v>לא</x:v>
      </x:c>
    </x:row>
    <x:row r="1438">
      <x:c r="A1438" s="14" t="n">
        <x:v>46082</x:v>
      </x:c>
      <x:c r="B1438" s="11" t="str">
        <x:v>2026-03</x:v>
      </x:c>
      <x:c r="C1438" s="11" t="str">
        <x:v>מרץ 26</x:v>
      </x:c>
      <x:c r="D1438" s="15" t="n">
        <x:v>60</x:v>
      </x:c>
      <x:c r="E1438" s="11" t="str">
        <x:v>9.03</x:v>
      </x:c>
      <x:c r="F1438" s="11" t="str">
        <x:v>סופר</x:v>
      </x:c>
      <x:c r="G1438" s="17" t="n">
        <x:v>475</x:v>
      </x:c>
      <x:c r="H1438" s="18" t="str">
        <x:v>מזון לבית</x:v>
      </x:c>
      <x:c r="I1438" s="19" t="str">
        <x:f>IFERROR(INDEX('מיפוי ומקורות'!$C$7:$C$33,MATCH(H1438,'מיפוי ומקורות'!$B$7:$B$33,0)),"לא מסווג")</x:f>
        <x:v>מזון לבית</x:v>
      </x:c>
      <x:c r="J1438" s="19" t="str">
        <x:f>IFERROR(INDEX('מיפוי ומקורות'!$D$7:$D$33,MATCH(H1438,'מיפוי ומקורות'!$B$7:$B$33,0)),"שוטף")</x:f>
        <x:v>שוטף</x:v>
      </x:c>
      <x:c r="K1438" s="19" t="str">
        <x:f>IF(OR(H1438="ריביות",AND(H1438="דירה כצנלסון",G1438&lt;0,ISNUMBER(SEARCH("הכנסה",F1438)))),"הכנסה שסווגה מחדש",J1438)</x:f>
        <x:v>שוטף</x:v>
      </x:c>
      <x:c r="L1438" s="19" t="str">
        <x:v>מאושר</x:v>
      </x:c>
      <x:c r="M1438" s="20" t="n">
        <x:f>IF(L1438="מאושר",IF(K1438="הכנסה שסווגה מחדש",0,G1438),0)</x:f>
        <x:v>475</x:v>
      </x:c>
      <x:c r="N1438" s="20" t="n">
        <x:f>IF(K1438="שוטף",M1438,0)</x:f>
        <x:v>475</x:v>
      </x:c>
      <x:c r="O1438" s="20" t="n">
        <x:f>IF(K1438="הכנסה שסווגה מחדש",-G1438,0)</x:f>
        <x:v>0</x:v>
      </x:c>
      <x:c r="P1438" s="11" t="str">
        <x:v>אמקס - זיו</x:v>
      </x:c>
      <x:c r="Q1438" s="11" t="str"/>
      <x:c r="R1438" s="11" t="str">
        <x:v>לא</x:v>
      </x:c>
    </x:row>
    <x:row r="1439">
      <x:c r="A1439" s="14" t="n">
        <x:v>46082</x:v>
      </x:c>
      <x:c r="B1439" s="11" t="str">
        <x:v>2026-03</x:v>
      </x:c>
      <x:c r="C1439" s="11" t="str">
        <x:v>מרץ 26</x:v>
      </x:c>
      <x:c r="D1439" s="15" t="n">
        <x:v>61</x:v>
      </x:c>
      <x:c r="E1439" s="11" t="str">
        <x:v>15.03</x:v>
      </x:c>
      <x:c r="F1439" s="11" t="str">
        <x:v>פיצוציה</x:v>
      </x:c>
      <x:c r="G1439" s="17" t="n">
        <x:v>3</x:v>
      </x:c>
      <x:c r="H1439" s="18" t="str">
        <x:v>אוכל בחוץ</x:v>
      </x:c>
      <x:c r="I1439" s="19" t="str">
        <x:f>IFERROR(INDEX('מיפוי ומקורות'!$C$7:$C$33,MATCH(H1439,'מיפוי ומקורות'!$B$7:$B$33,0)),"לא מסווג")</x:f>
        <x:v>אוכל בחוץ</x:v>
      </x:c>
      <x:c r="J1439" s="19" t="str">
        <x:f>IFERROR(INDEX('מיפוי ומקורות'!$D$7:$D$33,MATCH(H1439,'מיפוי ומקורות'!$B$7:$B$33,0)),"שוטף")</x:f>
        <x:v>שוטף</x:v>
      </x:c>
      <x:c r="K1439" s="19" t="str">
        <x:f>IF(OR(H1439="ריביות",AND(H1439="דירה כצנלסון",G1439&lt;0,ISNUMBER(SEARCH("הכנסה",F1439)))),"הכנסה שסווגה מחדש",J1439)</x:f>
        <x:v>שוטף</x:v>
      </x:c>
      <x:c r="L1439" s="19" t="str">
        <x:v>מאושר</x:v>
      </x:c>
      <x:c r="M1439" s="20" t="n">
        <x:f>IF(L1439="מאושר",IF(K1439="הכנסה שסווגה מחדש",0,G1439),0)</x:f>
        <x:v>3</x:v>
      </x:c>
      <x:c r="N1439" s="20" t="n">
        <x:f>IF(K1439="שוטף",M1439,0)</x:f>
        <x:v>3</x:v>
      </x:c>
      <x:c r="O1439" s="20" t="n">
        <x:f>IF(K1439="הכנסה שסווגה מחדש",-G1439,0)</x:f>
        <x:v>0</x:v>
      </x:c>
      <x:c r="P1439" s="11" t="str">
        <x:v>אמקס - זיו</x:v>
      </x:c>
      <x:c r="Q1439" s="11" t="str"/>
      <x:c r="R1439" s="11" t="str">
        <x:v>לא</x:v>
      </x:c>
    </x:row>
    <x:row r="1440">
      <x:c r="A1440" s="14" t="n">
        <x:v>46082</x:v>
      </x:c>
      <x:c r="B1440" s="11" t="str">
        <x:v>2026-03</x:v>
      </x:c>
      <x:c r="C1440" s="11" t="str">
        <x:v>מרץ 26</x:v>
      </x:c>
      <x:c r="D1440" s="15" t="n">
        <x:v>62</x:v>
      </x:c>
      <x:c r="E1440" s="11" t="str">
        <x:v>15.03</x:v>
      </x:c>
      <x:c r="F1440" s="11" t="str">
        <x:v>פיצוציה</x:v>
      </x:c>
      <x:c r="G1440" s="17" t="n">
        <x:v>4</x:v>
      </x:c>
      <x:c r="H1440" s="18" t="str">
        <x:v>אוכל בחוץ</x:v>
      </x:c>
      <x:c r="I1440" s="19" t="str">
        <x:f>IFERROR(INDEX('מיפוי ומקורות'!$C$7:$C$33,MATCH(H1440,'מיפוי ומקורות'!$B$7:$B$33,0)),"לא מסווג")</x:f>
        <x:v>אוכל בחוץ</x:v>
      </x:c>
      <x:c r="J1440" s="19" t="str">
        <x:f>IFERROR(INDEX('מיפוי ומקורות'!$D$7:$D$33,MATCH(H1440,'מיפוי ומקורות'!$B$7:$B$33,0)),"שוטף")</x:f>
        <x:v>שוטף</x:v>
      </x:c>
      <x:c r="K1440" s="19" t="str">
        <x:f>IF(OR(H1440="ריביות",AND(H1440="דירה כצנלסון",G1440&lt;0,ISNUMBER(SEARCH("הכנסה",F1440)))),"הכנסה שסווגה מחדש",J1440)</x:f>
        <x:v>שוטף</x:v>
      </x:c>
      <x:c r="L1440" s="19" t="str">
        <x:v>מאושר</x:v>
      </x:c>
      <x:c r="M1440" s="20" t="n">
        <x:f>IF(L1440="מאושר",IF(K1440="הכנסה שסווגה מחדש",0,G1440),0)</x:f>
        <x:v>4</x:v>
      </x:c>
      <x:c r="N1440" s="20" t="n">
        <x:f>IF(K1440="שוטף",M1440,0)</x:f>
        <x:v>4</x:v>
      </x:c>
      <x:c r="O1440" s="20" t="n">
        <x:f>IF(K1440="הכנסה שסווגה מחדש",-G1440,0)</x:f>
        <x:v>0</x:v>
      </x:c>
      <x:c r="P1440" s="11" t="str">
        <x:v>אמקס - זיו</x:v>
      </x:c>
      <x:c r="Q1440" s="11" t="str"/>
      <x:c r="R1440" s="11" t="str">
        <x:v>לא</x:v>
      </x:c>
    </x:row>
    <x:row r="1441">
      <x:c r="A1441" s="14" t="n">
        <x:v>46082</x:v>
      </x:c>
      <x:c r="B1441" s="11" t="str">
        <x:v>2026-03</x:v>
      </x:c>
      <x:c r="C1441" s="11" t="str">
        <x:v>מרץ 26</x:v>
      </x:c>
      <x:c r="D1441" s="15" t="n">
        <x:v>63</x:v>
      </x:c>
      <x:c r="E1441" s="11" t="str">
        <x:v>18.03</x:v>
      </x:c>
      <x:c r="F1441" s="11" t="str">
        <x:v>פארם</x:v>
      </x:c>
      <x:c r="G1441" s="17" t="n">
        <x:v>23</x:v>
      </x:c>
      <x:c r="H1441" s="18" t="str">
        <x:v>בריאות</x:v>
      </x:c>
      <x:c r="I1441" s="19" t="str">
        <x:f>IFERROR(INDEX('מיפוי ומקורות'!$C$7:$C$33,MATCH(H1441,'מיפוי ומקורות'!$B$7:$B$33,0)),"לא מסווג")</x:f>
        <x:v>בריאות וטיפולים</x:v>
      </x:c>
      <x:c r="J1441" s="19" t="str">
        <x:f>IFERROR(INDEX('מיפוי ומקורות'!$D$7:$D$33,MATCH(H1441,'מיפוי ומקורות'!$B$7:$B$33,0)),"שוטף")</x:f>
        <x:v>שוטף</x:v>
      </x:c>
      <x:c r="K1441" s="19" t="str">
        <x:f>IF(OR(H1441="ריביות",AND(H1441="דירה כצנלסון",G1441&lt;0,ISNUMBER(SEARCH("הכנסה",F1441)))),"הכנסה שסווגה מחדש",J1441)</x:f>
        <x:v>שוטף</x:v>
      </x:c>
      <x:c r="L1441" s="19" t="str">
        <x:v>מאושר</x:v>
      </x:c>
      <x:c r="M1441" s="20" t="n">
        <x:f>IF(L1441="מאושר",IF(K1441="הכנסה שסווגה מחדש",0,G1441),0)</x:f>
        <x:v>23</x:v>
      </x:c>
      <x:c r="N1441" s="20" t="n">
        <x:f>IF(K1441="שוטף",M1441,0)</x:f>
        <x:v>23</x:v>
      </x:c>
      <x:c r="O1441" s="20" t="n">
        <x:f>IF(K1441="הכנסה שסווגה מחדש",-G1441,0)</x:f>
        <x:v>0</x:v>
      </x:c>
      <x:c r="P1441" s="11" t="str">
        <x:v>אמקס - זיו</x:v>
      </x:c>
      <x:c r="Q1441" s="11" t="str"/>
      <x:c r="R1441" s="11" t="str">
        <x:v>לא</x:v>
      </x:c>
    </x:row>
    <x:row r="1442">
      <x:c r="A1442" s="14" t="n">
        <x:v>46082</x:v>
      </x:c>
      <x:c r="B1442" s="11" t="str">
        <x:v>2026-03</x:v>
      </x:c>
      <x:c r="C1442" s="11" t="str">
        <x:v>מרץ 26</x:v>
      </x:c>
      <x:c r="D1442" s="15" t="n">
        <x:v>64</x:v>
      </x:c>
      <x:c r="E1442" s="11" t="str">
        <x:v>18.03</x:v>
      </x:c>
      <x:c r="F1442" s="11" t="str">
        <x:v>פארם</x:v>
      </x:c>
      <x:c r="G1442" s="17" t="n">
        <x:v>133</x:v>
      </x:c>
      <x:c r="H1442" s="18" t="str">
        <x:v>בריאות</x:v>
      </x:c>
      <x:c r="I1442" s="19" t="str">
        <x:f>IFERROR(INDEX('מיפוי ומקורות'!$C$7:$C$33,MATCH(H1442,'מיפוי ומקורות'!$B$7:$B$33,0)),"לא מסווג")</x:f>
        <x:v>בריאות וטיפולים</x:v>
      </x:c>
      <x:c r="J1442" s="19" t="str">
        <x:f>IFERROR(INDEX('מיפוי ומקורות'!$D$7:$D$33,MATCH(H1442,'מיפוי ומקורות'!$B$7:$B$33,0)),"שוטף")</x:f>
        <x:v>שוטף</x:v>
      </x:c>
      <x:c r="K1442" s="19" t="str">
        <x:f>IF(OR(H1442="ריביות",AND(H1442="דירה כצנלסון",G1442&lt;0,ISNUMBER(SEARCH("הכנסה",F1442)))),"הכנסה שסווגה מחדש",J1442)</x:f>
        <x:v>שוטף</x:v>
      </x:c>
      <x:c r="L1442" s="19" t="str">
        <x:v>מאושר</x:v>
      </x:c>
      <x:c r="M1442" s="20" t="n">
        <x:f>IF(L1442="מאושר",IF(K1442="הכנסה שסווגה מחדש",0,G1442),0)</x:f>
        <x:v>133</x:v>
      </x:c>
      <x:c r="N1442" s="20" t="n">
        <x:f>IF(K1442="שוטף",M1442,0)</x:f>
        <x:v>133</x:v>
      </x:c>
      <x:c r="O1442" s="20" t="n">
        <x:f>IF(K1442="הכנסה שסווגה מחדש",-G1442,0)</x:f>
        <x:v>0</x:v>
      </x:c>
      <x:c r="P1442" s="11" t="str">
        <x:v>אמקס - זיו</x:v>
      </x:c>
      <x:c r="Q1442" s="11" t="str"/>
      <x:c r="R1442" s="11" t="str">
        <x:v>לא</x:v>
      </x:c>
    </x:row>
    <x:row r="1443">
      <x:c r="A1443" s="14" t="n">
        <x:v>46082</x:v>
      </x:c>
      <x:c r="B1443" s="11" t="str">
        <x:v>2026-03</x:v>
      </x:c>
      <x:c r="C1443" s="11" t="str">
        <x:v>מרץ 26</x:v>
      </x:c>
      <x:c r="D1443" s="15" t="n">
        <x:v>65</x:v>
      </x:c>
      <x:c r="E1443" s="11" t="str">
        <x:v>19/03</x:v>
      </x:c>
      <x:c r="F1443" s="11" t="str">
        <x:v>אי.אם.פי אם-לינקולן</x:v>
      </x:c>
      <x:c r="G1443" s="17" t="n">
        <x:v>14</x:v>
      </x:c>
      <x:c r="H1443" s="18" t="str">
        <x:v>מזון לבית</x:v>
      </x:c>
      <x:c r="I1443" s="19" t="str">
        <x:f>IFERROR(INDEX('מיפוי ומקורות'!$C$7:$C$33,MATCH(H1443,'מיפוי ומקורות'!$B$7:$B$33,0)),"לא מסווג")</x:f>
        <x:v>מזון לבית</x:v>
      </x:c>
      <x:c r="J1443" s="19" t="str">
        <x:f>IFERROR(INDEX('מיפוי ומקורות'!$D$7:$D$33,MATCH(H1443,'מיפוי ומקורות'!$B$7:$B$33,0)),"שוטף")</x:f>
        <x:v>שוטף</x:v>
      </x:c>
      <x:c r="K1443" s="19" t="str">
        <x:f>IF(OR(H1443="ריביות",AND(H1443="דירה כצנלסון",G1443&lt;0,ISNUMBER(SEARCH("הכנסה",F1443)))),"הכנסה שסווגה מחדש",J1443)</x:f>
        <x:v>שוטף</x:v>
      </x:c>
      <x:c r="L1443" s="19" t="str">
        <x:v>מאושר</x:v>
      </x:c>
      <x:c r="M1443" s="20" t="n">
        <x:f>IF(L1443="מאושר",IF(K1443="הכנסה שסווגה מחדש",0,G1443),0)</x:f>
        <x:v>14</x:v>
      </x:c>
      <x:c r="N1443" s="20" t="n">
        <x:f>IF(K1443="שוטף",M1443,0)</x:f>
        <x:v>14</x:v>
      </x:c>
      <x:c r="O1443" s="20" t="n">
        <x:f>IF(K1443="הכנסה שסווגה מחדש",-G1443,0)</x:f>
        <x:v>0</x:v>
      </x:c>
      <x:c r="P1443" s="11" t="str">
        <x:v>אמקס - זיו</x:v>
      </x:c>
      <x:c r="Q1443" s="11" t="str"/>
      <x:c r="R1443" s="11" t="str">
        <x:v>לא</x:v>
      </x:c>
    </x:row>
    <x:row r="1444">
      <x:c r="A1444" s="14" t="n">
        <x:v>46082</x:v>
      </x:c>
      <x:c r="B1444" s="11" t="str">
        <x:v>2026-03</x:v>
      </x:c>
      <x:c r="C1444" s="11" t="str">
        <x:v>מרץ 26</x:v>
      </x:c>
      <x:c r="D1444" s="15" t="n">
        <x:v>66</x:v>
      </x:c>
      <x:c r="E1444" s="11" t="str">
        <x:v>20.03</x:v>
      </x:c>
      <x:c r="F1444" s="11" t="str">
        <x:v>סופר</x:v>
      </x:c>
      <x:c r="G1444" s="17" t="n">
        <x:v>4</x:v>
      </x:c>
      <x:c r="H1444" s="18" t="str">
        <x:v>מזון לבית</x:v>
      </x:c>
      <x:c r="I1444" s="19" t="str">
        <x:f>IFERROR(INDEX('מיפוי ומקורות'!$C$7:$C$33,MATCH(H1444,'מיפוי ומקורות'!$B$7:$B$33,0)),"לא מסווג")</x:f>
        <x:v>מזון לבית</x:v>
      </x:c>
      <x:c r="J1444" s="19" t="str">
        <x:f>IFERROR(INDEX('מיפוי ומקורות'!$D$7:$D$33,MATCH(H1444,'מיפוי ומקורות'!$B$7:$B$33,0)),"שוטף")</x:f>
        <x:v>שוטף</x:v>
      </x:c>
      <x:c r="K1444" s="19" t="str">
        <x:f>IF(OR(H1444="ריביות",AND(H1444="דירה כצנלסון",G1444&lt;0,ISNUMBER(SEARCH("הכנסה",F1444)))),"הכנסה שסווגה מחדש",J1444)</x:f>
        <x:v>שוטף</x:v>
      </x:c>
      <x:c r="L1444" s="19" t="str">
        <x:v>מאושר</x:v>
      </x:c>
      <x:c r="M1444" s="20" t="n">
        <x:f>IF(L1444="מאושר",IF(K1444="הכנסה שסווגה מחדש",0,G1444),0)</x:f>
        <x:v>4</x:v>
      </x:c>
      <x:c r="N1444" s="20" t="n">
        <x:f>IF(K1444="שוטף",M1444,0)</x:f>
        <x:v>4</x:v>
      </x:c>
      <x:c r="O1444" s="20" t="n">
        <x:f>IF(K1444="הכנסה שסווגה מחדש",-G1444,0)</x:f>
        <x:v>0</x:v>
      </x:c>
      <x:c r="P1444" s="11" t="str">
        <x:v>אמקס - זיו</x:v>
      </x:c>
      <x:c r="Q1444" s="11" t="str"/>
      <x:c r="R1444" s="11" t="str">
        <x:v>לא</x:v>
      </x:c>
    </x:row>
    <x:row r="1445">
      <x:c r="A1445" s="14" t="n">
        <x:v>46082</x:v>
      </x:c>
      <x:c r="B1445" s="11" t="str">
        <x:v>2026-03</x:v>
      </x:c>
      <x:c r="C1445" s="11" t="str">
        <x:v>מרץ 26</x:v>
      </x:c>
      <x:c r="D1445" s="15" t="n">
        <x:v>67</x:v>
      </x:c>
      <x:c r="E1445" s="11" t="str">
        <x:v>22.03</x:v>
      </x:c>
      <x:c r="F1445" s="11" t="str">
        <x:v>סופר</x:v>
      </x:c>
      <x:c r="G1445" s="17" t="n">
        <x:v>329</x:v>
      </x:c>
      <x:c r="H1445" s="18" t="str">
        <x:v>מזון לבית</x:v>
      </x:c>
      <x:c r="I1445" s="19" t="str">
        <x:f>IFERROR(INDEX('מיפוי ומקורות'!$C$7:$C$33,MATCH(H1445,'מיפוי ומקורות'!$B$7:$B$33,0)),"לא מסווג")</x:f>
        <x:v>מזון לבית</x:v>
      </x:c>
      <x:c r="J1445" s="19" t="str">
        <x:f>IFERROR(INDEX('מיפוי ומקורות'!$D$7:$D$33,MATCH(H1445,'מיפוי ומקורות'!$B$7:$B$33,0)),"שוטף")</x:f>
        <x:v>שוטף</x:v>
      </x:c>
      <x:c r="K1445" s="19" t="str">
        <x:f>IF(OR(H1445="ריביות",AND(H1445="דירה כצנלסון",G1445&lt;0,ISNUMBER(SEARCH("הכנסה",F1445)))),"הכנסה שסווגה מחדש",J1445)</x:f>
        <x:v>שוטף</x:v>
      </x:c>
      <x:c r="L1445" s="19" t="str">
        <x:v>מאושר</x:v>
      </x:c>
      <x:c r="M1445" s="20" t="n">
        <x:f>IF(L1445="מאושר",IF(K1445="הכנסה שסווגה מחדש",0,G1445),0)</x:f>
        <x:v>329</x:v>
      </x:c>
      <x:c r="N1445" s="20" t="n">
        <x:f>IF(K1445="שוטף",M1445,0)</x:f>
        <x:v>329</x:v>
      </x:c>
      <x:c r="O1445" s="20" t="n">
        <x:f>IF(K1445="הכנסה שסווגה מחדש",-G1445,0)</x:f>
        <x:v>0</x:v>
      </x:c>
      <x:c r="P1445" s="11" t="str">
        <x:v>אמקס - זיו</x:v>
      </x:c>
      <x:c r="Q1445" s="11" t="str"/>
      <x:c r="R1445" s="11" t="str">
        <x:v>לא</x:v>
      </x:c>
    </x:row>
    <x:row r="1446">
      <x:c r="A1446" s="14" t="n">
        <x:v>46082</x:v>
      </x:c>
      <x:c r="B1446" s="11" t="str">
        <x:v>2026-03</x:v>
      </x:c>
      <x:c r="C1446" s="11" t="str">
        <x:v>מרץ 26</x:v>
      </x:c>
      <x:c r="D1446" s="15" t="n">
        <x:v>68</x:v>
      </x:c>
      <x:c r="E1446" s="11" t="str">
        <x:v>24.03</x:v>
      </x:c>
      <x:c r="F1446" s="11" t="str">
        <x:v>מסעדה</x:v>
      </x:c>
      <x:c r="G1446" s="17" t="n">
        <x:v>48</x:v>
      </x:c>
      <x:c r="H1446" s="18" t="str">
        <x:v>אוכל בחוץ</x:v>
      </x:c>
      <x:c r="I1446" s="19" t="str">
        <x:f>IFERROR(INDEX('מיפוי ומקורות'!$C$7:$C$33,MATCH(H1446,'מיפוי ומקורות'!$B$7:$B$33,0)),"לא מסווג")</x:f>
        <x:v>אוכל בחוץ</x:v>
      </x:c>
      <x:c r="J1446" s="19" t="str">
        <x:f>IFERROR(INDEX('מיפוי ומקורות'!$D$7:$D$33,MATCH(H1446,'מיפוי ומקורות'!$B$7:$B$33,0)),"שוטף")</x:f>
        <x:v>שוטף</x:v>
      </x:c>
      <x:c r="K1446" s="19" t="str">
        <x:f>IF(OR(H1446="ריביות",AND(H1446="דירה כצנלסון",G1446&lt;0,ISNUMBER(SEARCH("הכנסה",F1446)))),"הכנסה שסווגה מחדש",J1446)</x:f>
        <x:v>שוטף</x:v>
      </x:c>
      <x:c r="L1446" s="19" t="str">
        <x:v>מאושר</x:v>
      </x:c>
      <x:c r="M1446" s="20" t="n">
        <x:f>IF(L1446="מאושר",IF(K1446="הכנסה שסווגה מחדש",0,G1446),0)</x:f>
        <x:v>48</x:v>
      </x:c>
      <x:c r="N1446" s="20" t="n">
        <x:f>IF(K1446="שוטף",M1446,0)</x:f>
        <x:v>48</x:v>
      </x:c>
      <x:c r="O1446" s="20" t="n">
        <x:f>IF(K1446="הכנסה שסווגה מחדש",-G1446,0)</x:f>
        <x:v>0</x:v>
      </x:c>
      <x:c r="P1446" s="11" t="str">
        <x:v>אמקס - זיו</x:v>
      </x:c>
      <x:c r="Q1446" s="11" t="str"/>
      <x:c r="R1446" s="11" t="str">
        <x:v>לא</x:v>
      </x:c>
    </x:row>
    <x:row r="1447">
      <x:c r="A1447" s="14" t="n">
        <x:v>46082</x:v>
      </x:c>
      <x:c r="B1447" s="11" t="str">
        <x:v>2026-03</x:v>
      </x:c>
      <x:c r="C1447" s="11" t="str">
        <x:v>מרץ 26</x:v>
      </x:c>
      <x:c r="D1447" s="15" t="n">
        <x:v>69</x:v>
      </x:c>
      <x:c r="E1447" s="11" t="str">
        <x:v>26.03</x:v>
      </x:c>
      <x:c r="F1447" s="11" t="str">
        <x:v>תמרה יוגורט</x:v>
      </x:c>
      <x:c r="G1447" s="17" t="n">
        <x:v>25</x:v>
      </x:c>
      <x:c r="H1447" s="18" t="str">
        <x:v>אוכל בחוץ</x:v>
      </x:c>
      <x:c r="I1447" s="19" t="str">
        <x:f>IFERROR(INDEX('מיפוי ומקורות'!$C$7:$C$33,MATCH(H1447,'מיפוי ומקורות'!$B$7:$B$33,0)),"לא מסווג")</x:f>
        <x:v>אוכל בחוץ</x:v>
      </x:c>
      <x:c r="J1447" s="19" t="str">
        <x:f>IFERROR(INDEX('מיפוי ומקורות'!$D$7:$D$33,MATCH(H1447,'מיפוי ומקורות'!$B$7:$B$33,0)),"שוטף")</x:f>
        <x:v>שוטף</x:v>
      </x:c>
      <x:c r="K1447" s="19" t="str">
        <x:f>IF(OR(H1447="ריביות",AND(H1447="דירה כצנלסון",G1447&lt;0,ISNUMBER(SEARCH("הכנסה",F1447)))),"הכנסה שסווגה מחדש",J1447)</x:f>
        <x:v>שוטף</x:v>
      </x:c>
      <x:c r="L1447" s="19" t="str">
        <x:v>מאושר</x:v>
      </x:c>
      <x:c r="M1447" s="20" t="n">
        <x:f>IF(L1447="מאושר",IF(K1447="הכנסה שסווגה מחדש",0,G1447),0)</x:f>
        <x:v>25</x:v>
      </x:c>
      <x:c r="N1447" s="20" t="n">
        <x:f>IF(K1447="שוטף",M1447,0)</x:f>
        <x:v>25</x:v>
      </x:c>
      <x:c r="O1447" s="20" t="n">
        <x:f>IF(K1447="הכנסה שסווגה מחדש",-G1447,0)</x:f>
        <x:v>0</x:v>
      </x:c>
      <x:c r="P1447" s="11" t="str">
        <x:v>אמקס - זיו</x:v>
      </x:c>
      <x:c r="Q1447" s="11" t="str"/>
      <x:c r="R1447" s="11" t="str">
        <x:v>לא</x:v>
      </x:c>
    </x:row>
    <x:row r="1448">
      <x:c r="A1448" s="14" t="n">
        <x:v>46082</x:v>
      </x:c>
      <x:c r="B1448" s="11" t="str">
        <x:v>2026-03</x:v>
      </x:c>
      <x:c r="C1448" s="11" t="str">
        <x:v>מרץ 26</x:v>
      </x:c>
      <x:c r="D1448" s="15" t="n">
        <x:v>70</x:v>
      </x:c>
      <x:c r="E1448" s="11" t="str">
        <x:v>26.03</x:v>
      </x:c>
      <x:c r="F1448" s="11" t="str">
        <x:v>דלק</x:v>
      </x:c>
      <x:c r="G1448" s="17" t="n">
        <x:v>211</x:v>
      </x:c>
      <x:c r="H1448" s="18" t="str">
        <x:v>תחבורה</x:v>
      </x:c>
      <x:c r="I1448" s="19" t="str">
        <x:f>IFERROR(INDEX('מיפוי ומקורות'!$C$7:$C$33,MATCH(H1448,'מיפוי ומקורות'!$B$7:$B$33,0)),"לא מסווג")</x:f>
        <x:v>תחבורה</x:v>
      </x:c>
      <x:c r="J1448" s="19" t="str">
        <x:f>IFERROR(INDEX('מיפוי ומקורות'!$D$7:$D$33,MATCH(H1448,'מיפוי ומקורות'!$B$7:$B$33,0)),"שוטף")</x:f>
        <x:v>שוטף</x:v>
      </x:c>
      <x:c r="K1448" s="19" t="str">
        <x:f>IF(OR(H1448="ריביות",AND(H1448="דירה כצנלסון",G1448&lt;0,ISNUMBER(SEARCH("הכנסה",F1448)))),"הכנסה שסווגה מחדש",J1448)</x:f>
        <x:v>שוטף</x:v>
      </x:c>
      <x:c r="L1448" s="19" t="str">
        <x:v>מאושר</x:v>
      </x:c>
      <x:c r="M1448" s="20" t="n">
        <x:f>IF(L1448="מאושר",IF(K1448="הכנסה שסווגה מחדש",0,G1448),0)</x:f>
        <x:v>211</x:v>
      </x:c>
      <x:c r="N1448" s="20" t="n">
        <x:f>IF(K1448="שוטף",M1448,0)</x:f>
        <x:v>211</x:v>
      </x:c>
      <x:c r="O1448" s="20" t="n">
        <x:f>IF(K1448="הכנסה שסווגה מחדש",-G1448,0)</x:f>
        <x:v>0</x:v>
      </x:c>
      <x:c r="P1448" s="11" t="str">
        <x:v>אמקס - זיו</x:v>
      </x:c>
      <x:c r="Q1448" s="11" t="str"/>
      <x:c r="R1448" s="11" t="str">
        <x:v>לא</x:v>
      </x:c>
    </x:row>
    <x:row r="1449">
      <x:c r="A1449" s="14" t="n">
        <x:v>46082</x:v>
      </x:c>
      <x:c r="B1449" s="11" t="str">
        <x:v>2026-03</x:v>
      </x:c>
      <x:c r="C1449" s="11" t="str">
        <x:v>מרץ 26</x:v>
      </x:c>
      <x:c r="D1449" s="15" t="n">
        <x:v>71</x:v>
      </x:c>
      <x:c r="E1449" s="11" t="str">
        <x:v>26.03</x:v>
      </x:c>
      <x:c r="F1449" s="11" t="str">
        <x:v>אבולעפיה נחלת בנימין</x:v>
      </x:c>
      <x:c r="G1449" s="17" t="n">
        <x:v>23</x:v>
      </x:c>
      <x:c r="H1449" s="18" t="str">
        <x:v>אוכל בחוץ</x:v>
      </x:c>
      <x:c r="I1449" s="19" t="str">
        <x:f>IFERROR(INDEX('מיפוי ומקורות'!$C$7:$C$33,MATCH(H1449,'מיפוי ומקורות'!$B$7:$B$33,0)),"לא מסווג")</x:f>
        <x:v>אוכל בחוץ</x:v>
      </x:c>
      <x:c r="J1449" s="19" t="str">
        <x:f>IFERROR(INDEX('מיפוי ומקורות'!$D$7:$D$33,MATCH(H1449,'מיפוי ומקורות'!$B$7:$B$33,0)),"שוטף")</x:f>
        <x:v>שוטף</x:v>
      </x:c>
      <x:c r="K1449" s="19" t="str">
        <x:f>IF(OR(H1449="ריביות",AND(H1449="דירה כצנלסון",G1449&lt;0,ISNUMBER(SEARCH("הכנסה",F1449)))),"הכנסה שסווגה מחדש",J1449)</x:f>
        <x:v>שוטף</x:v>
      </x:c>
      <x:c r="L1449" s="19" t="str">
        <x:v>מאושר</x:v>
      </x:c>
      <x:c r="M1449" s="20" t="n">
        <x:f>IF(L1449="מאושר",IF(K1449="הכנסה שסווגה מחדש",0,G1449),0)</x:f>
        <x:v>23</x:v>
      </x:c>
      <x:c r="N1449" s="20" t="n">
        <x:f>IF(K1449="שוטף",M1449,0)</x:f>
        <x:v>23</x:v>
      </x:c>
      <x:c r="O1449" s="20" t="n">
        <x:f>IF(K1449="הכנסה שסווגה מחדש",-G1449,0)</x:f>
        <x:v>0</x:v>
      </x:c>
      <x:c r="P1449" s="11" t="str">
        <x:v>אמקס - זיו</x:v>
      </x:c>
      <x:c r="Q1449" s="11" t="str"/>
      <x:c r="R1449" s="11" t="str">
        <x:v>לא</x:v>
      </x:c>
    </x:row>
    <x:row r="1450">
      <x:c r="A1450" s="14" t="n">
        <x:v>46082</x:v>
      </x:c>
      <x:c r="B1450" s="11" t="str">
        <x:v>2026-03</x:v>
      </x:c>
      <x:c r="C1450" s="11" t="str">
        <x:v>מרץ 26</x:v>
      </x:c>
      <x:c r="D1450" s="15" t="n">
        <x:v>72</x:v>
      </x:c>
      <x:c r="E1450" s="11" t="str">
        <x:v>26.03</x:v>
      </x:c>
      <x:c r="F1450" s="11" t="str">
        <x:v>לבונטין 7</x:v>
      </x:c>
      <x:c r="G1450" s="17" t="n">
        <x:v>35</x:v>
      </x:c>
      <x:c r="H1450" s="18" t="str">
        <x:v>אוכל בחוץ</x:v>
      </x:c>
      <x:c r="I1450" s="19" t="str">
        <x:f>IFERROR(INDEX('מיפוי ומקורות'!$C$7:$C$33,MATCH(H1450,'מיפוי ומקורות'!$B$7:$B$33,0)),"לא מסווג")</x:f>
        <x:v>אוכל בחוץ</x:v>
      </x:c>
      <x:c r="J1450" s="19" t="str">
        <x:f>IFERROR(INDEX('מיפוי ומקורות'!$D$7:$D$33,MATCH(H1450,'מיפוי ומקורות'!$B$7:$B$33,0)),"שוטף")</x:f>
        <x:v>שוטף</x:v>
      </x:c>
      <x:c r="K1450" s="19" t="str">
        <x:f>IF(OR(H1450="ריביות",AND(H1450="דירה כצנלסון",G1450&lt;0,ISNUMBER(SEARCH("הכנסה",F1450)))),"הכנסה שסווגה מחדש",J1450)</x:f>
        <x:v>שוטף</x:v>
      </x:c>
      <x:c r="L1450" s="19" t="str">
        <x:v>מאושר</x:v>
      </x:c>
      <x:c r="M1450" s="20" t="n">
        <x:f>IF(L1450="מאושר",IF(K1450="הכנסה שסווגה מחדש",0,G1450),0)</x:f>
        <x:v>35</x:v>
      </x:c>
      <x:c r="N1450" s="20" t="n">
        <x:f>IF(K1450="שוטף",M1450,0)</x:f>
        <x:v>35</x:v>
      </x:c>
      <x:c r="O1450" s="20" t="n">
        <x:f>IF(K1450="הכנסה שסווגה מחדש",-G1450,0)</x:f>
        <x:v>0</x:v>
      </x:c>
      <x:c r="P1450" s="11" t="str">
        <x:v>אמקס - זיו</x:v>
      </x:c>
      <x:c r="Q1450" s="11" t="str"/>
      <x:c r="R1450" s="11" t="str">
        <x:v>לא</x:v>
      </x:c>
    </x:row>
    <x:row r="1451">
      <x:c r="A1451" s="14" t="n">
        <x:v>46082</x:v>
      </x:c>
      <x:c r="B1451" s="11" t="str">
        <x:v>2026-03</x:v>
      </x:c>
      <x:c r="C1451" s="11" t="str">
        <x:v>מרץ 26</x:v>
      </x:c>
      <x:c r="D1451" s="15" t="n">
        <x:v>73</x:v>
      </x:c>
      <x:c r="E1451" s="11" t="str">
        <x:v>27.03</x:v>
      </x:c>
      <x:c r="F1451" s="11" t="str">
        <x:v>ירקן</x:v>
      </x:c>
      <x:c r="G1451" s="17" t="n">
        <x:v>91</x:v>
      </x:c>
      <x:c r="H1451" s="18" t="str">
        <x:v>מזון לבית</x:v>
      </x:c>
      <x:c r="I1451" s="19" t="str">
        <x:f>IFERROR(INDEX('מיפוי ומקורות'!$C$7:$C$33,MATCH(H1451,'מיפוי ומקורות'!$B$7:$B$33,0)),"לא מסווג")</x:f>
        <x:v>מזון לבית</x:v>
      </x:c>
      <x:c r="J1451" s="19" t="str">
        <x:f>IFERROR(INDEX('מיפוי ומקורות'!$D$7:$D$33,MATCH(H1451,'מיפוי ומקורות'!$B$7:$B$33,0)),"שוטף")</x:f>
        <x:v>שוטף</x:v>
      </x:c>
      <x:c r="K1451" s="19" t="str">
        <x:f>IF(OR(H1451="ריביות",AND(H1451="דירה כצנלסון",G1451&lt;0,ISNUMBER(SEARCH("הכנסה",F1451)))),"הכנסה שסווגה מחדש",J1451)</x:f>
        <x:v>שוטף</x:v>
      </x:c>
      <x:c r="L1451" s="19" t="str">
        <x:v>מאושר</x:v>
      </x:c>
      <x:c r="M1451" s="20" t="n">
        <x:f>IF(L1451="מאושר",IF(K1451="הכנסה שסווגה מחדש",0,G1451),0)</x:f>
        <x:v>91</x:v>
      </x:c>
      <x:c r="N1451" s="20" t="n">
        <x:f>IF(K1451="שוטף",M1451,0)</x:f>
        <x:v>91</x:v>
      </x:c>
      <x:c r="O1451" s="20" t="n">
        <x:f>IF(K1451="הכנסה שסווגה מחדש",-G1451,0)</x:f>
        <x:v>0</x:v>
      </x:c>
      <x:c r="P1451" s="11" t="str">
        <x:v>אמקס - זיו</x:v>
      </x:c>
      <x:c r="Q1451" s="11" t="str"/>
      <x:c r="R1451" s="11" t="str">
        <x:v>לא</x:v>
      </x:c>
    </x:row>
    <x:row r="1452">
      <x:c r="A1452" s="14" t="n">
        <x:v>46082</x:v>
      </x:c>
      <x:c r="B1452" s="11" t="str">
        <x:v>2026-03</x:v>
      </x:c>
      <x:c r="C1452" s="11" t="str">
        <x:v>מרץ 26</x:v>
      </x:c>
      <x:c r="D1452" s="15" t="n">
        <x:v>74</x:v>
      </x:c>
      <x:c r="E1452" s="11" t="str">
        <x:v>28.03</x:v>
      </x:c>
      <x:c r="F1452" s="11" t="str">
        <x:v>דלק</x:v>
      </x:c>
      <x:c r="G1452" s="17" t="n">
        <x:v>85</x:v>
      </x:c>
      <x:c r="H1452" s="18" t="str">
        <x:v>תחבורה</x:v>
      </x:c>
      <x:c r="I1452" s="19" t="str">
        <x:f>IFERROR(INDEX('מיפוי ומקורות'!$C$7:$C$33,MATCH(H1452,'מיפוי ומקורות'!$B$7:$B$33,0)),"לא מסווג")</x:f>
        <x:v>תחבורה</x:v>
      </x:c>
      <x:c r="J1452" s="19" t="str">
        <x:f>IFERROR(INDEX('מיפוי ומקורות'!$D$7:$D$33,MATCH(H1452,'מיפוי ומקורות'!$B$7:$B$33,0)),"שוטף")</x:f>
        <x:v>שוטף</x:v>
      </x:c>
      <x:c r="K1452" s="19" t="str">
        <x:f>IF(OR(H1452="ריביות",AND(H1452="דירה כצנלסון",G1452&lt;0,ISNUMBER(SEARCH("הכנסה",F1452)))),"הכנסה שסווגה מחדש",J1452)</x:f>
        <x:v>שוטף</x:v>
      </x:c>
      <x:c r="L1452" s="19" t="str">
        <x:v>מאושר</x:v>
      </x:c>
      <x:c r="M1452" s="20" t="n">
        <x:f>IF(L1452="מאושר",IF(K1452="הכנסה שסווגה מחדש",0,G1452),0)</x:f>
        <x:v>85</x:v>
      </x:c>
      <x:c r="N1452" s="20" t="n">
        <x:f>IF(K1452="שוטף",M1452,0)</x:f>
        <x:v>85</x:v>
      </x:c>
      <x:c r="O1452" s="20" t="n">
        <x:f>IF(K1452="הכנסה שסווגה מחדש",-G1452,0)</x:f>
        <x:v>0</x:v>
      </x:c>
      <x:c r="P1452" s="11" t="str">
        <x:v>אמקס - זיו</x:v>
      </x:c>
      <x:c r="Q1452" s="11" t="str"/>
      <x:c r="R1452" s="11" t="str">
        <x:v>לא</x:v>
      </x:c>
    </x:row>
    <x:row r="1453">
      <x:c r="A1453" s="14" t="n">
        <x:v>46082</x:v>
      </x:c>
      <x:c r="B1453" s="11" t="str">
        <x:v>2026-03</x:v>
      </x:c>
      <x:c r="C1453" s="11" t="str">
        <x:v>מרץ 26</x:v>
      </x:c>
      <x:c r="D1453" s="15" t="n">
        <x:v>75</x:v>
      </x:c>
      <x:c r="E1453" s="11" t="str">
        <x:v>29.03</x:v>
      </x:c>
      <x:c r="F1453" s="11" t="str">
        <x:v>סופר</x:v>
      </x:c>
      <x:c r="G1453" s="17" t="n">
        <x:v>46</x:v>
      </x:c>
      <x:c r="H1453" s="18" t="str">
        <x:v>מזון לבית</x:v>
      </x:c>
      <x:c r="I1453" s="19" t="str">
        <x:f>IFERROR(INDEX('מיפוי ומקורות'!$C$7:$C$33,MATCH(H1453,'מיפוי ומקורות'!$B$7:$B$33,0)),"לא מסווג")</x:f>
        <x:v>מזון לבית</x:v>
      </x:c>
      <x:c r="J1453" s="19" t="str">
        <x:f>IFERROR(INDEX('מיפוי ומקורות'!$D$7:$D$33,MATCH(H1453,'מיפוי ומקורות'!$B$7:$B$33,0)),"שוטף")</x:f>
        <x:v>שוטף</x:v>
      </x:c>
      <x:c r="K1453" s="19" t="str">
        <x:f>IF(OR(H1453="ריביות",AND(H1453="דירה כצנלסון",G1453&lt;0,ISNUMBER(SEARCH("הכנסה",F1453)))),"הכנסה שסווגה מחדש",J1453)</x:f>
        <x:v>שוטף</x:v>
      </x:c>
      <x:c r="L1453" s="19" t="str">
        <x:v>מאושר</x:v>
      </x:c>
      <x:c r="M1453" s="20" t="n">
        <x:f>IF(L1453="מאושר",IF(K1453="הכנסה שסווגה מחדש",0,G1453),0)</x:f>
        <x:v>46</x:v>
      </x:c>
      <x:c r="N1453" s="20" t="n">
        <x:f>IF(K1453="שוטף",M1453,0)</x:f>
        <x:v>46</x:v>
      </x:c>
      <x:c r="O1453" s="20" t="n">
        <x:f>IF(K1453="הכנסה שסווגה מחדש",-G1453,0)</x:f>
        <x:v>0</x:v>
      </x:c>
      <x:c r="P1453" s="11" t="str">
        <x:v>אמקס - זיו</x:v>
      </x:c>
      <x:c r="Q1453" s="11" t="str"/>
      <x:c r="R1453" s="11" t="str">
        <x:v>לא</x:v>
      </x:c>
    </x:row>
    <x:row r="1454">
      <x:c r="A1454" s="14" t="n">
        <x:v>46082</x:v>
      </x:c>
      <x:c r="B1454" s="11" t="str">
        <x:v>2026-03</x:v>
      </x:c>
      <x:c r="C1454" s="11" t="str">
        <x:v>מרץ 26</x:v>
      </x:c>
      <x:c r="D1454" s="15" t="n">
        <x:v>76</x:v>
      </x:c>
      <x:c r="E1454" s="11" t="str">
        <x:v>31.03</x:v>
      </x:c>
      <x:c r="F1454" s="11" t="str">
        <x:v>ירקן</x:v>
      </x:c>
      <x:c r="G1454" s="17" t="n">
        <x:v>15</x:v>
      </x:c>
      <x:c r="H1454" s="18" t="str">
        <x:v>מזון לבית</x:v>
      </x:c>
      <x:c r="I1454" s="19" t="str">
        <x:f>IFERROR(INDEX('מיפוי ומקורות'!$C$7:$C$33,MATCH(H1454,'מיפוי ומקורות'!$B$7:$B$33,0)),"לא מסווג")</x:f>
        <x:v>מזון לבית</x:v>
      </x:c>
      <x:c r="J1454" s="19" t="str">
        <x:f>IFERROR(INDEX('מיפוי ומקורות'!$D$7:$D$33,MATCH(H1454,'מיפוי ומקורות'!$B$7:$B$33,0)),"שוטף")</x:f>
        <x:v>שוטף</x:v>
      </x:c>
      <x:c r="K1454" s="19" t="str">
        <x:f>IF(OR(H1454="ריביות",AND(H1454="דירה כצנלסון",G1454&lt;0,ISNUMBER(SEARCH("הכנסה",F1454)))),"הכנסה שסווגה מחדש",J1454)</x:f>
        <x:v>שוטף</x:v>
      </x:c>
      <x:c r="L1454" s="19" t="str">
        <x:v>מאושר</x:v>
      </x:c>
      <x:c r="M1454" s="20" t="n">
        <x:f>IF(L1454="מאושר",IF(K1454="הכנסה שסווגה מחדש",0,G1454),0)</x:f>
        <x:v>15</x:v>
      </x:c>
      <x:c r="N1454" s="20" t="n">
        <x:f>IF(K1454="שוטף",M1454,0)</x:f>
        <x:v>15</x:v>
      </x:c>
      <x:c r="O1454" s="20" t="n">
        <x:f>IF(K1454="הכנסה שסווגה מחדש",-G1454,0)</x:f>
        <x:v>0</x:v>
      </x:c>
      <x:c r="P1454" s="11" t="str">
        <x:v>אמקס - זיו</x:v>
      </x:c>
      <x:c r="Q1454" s="11" t="str"/>
      <x:c r="R1454" s="11" t="str">
        <x:v>לא</x:v>
      </x:c>
    </x:row>
    <x:row r="1455">
      <x:c r="A1455" s="14" t="n">
        <x:v>46082</x:v>
      </x:c>
      <x:c r="B1455" s="11" t="str">
        <x:v>2026-03</x:v>
      </x:c>
      <x:c r="C1455" s="11" t="str">
        <x:v>מרץ 26</x:v>
      </x:c>
      <x:c r="D1455" s="15" t="n">
        <x:v>77</x:v>
      </x:c>
      <x:c r="E1455" s="11" t="str"/>
      <x:c r="F1455" s="11" t="str">
        <x:v>קפריסין 26</x:v>
      </x:c>
      <x:c r="G1455" s="17" t="n">
        <x:v>622</x:v>
      </x:c>
      <x:c r="H1455" s="18" t="str">
        <x:v>חופשה</x:v>
      </x:c>
      <x:c r="I1455" s="19" t="str">
        <x:f>IFERROR(INDEX('מיפוי ומקורות'!$C$7:$C$33,MATCH(H1455,'מיפוי ומקורות'!$B$7:$B$33,0)),"לא מסווג")</x:f>
        <x:v>נסיעות וחופשות</x:v>
      </x:c>
      <x:c r="J1455" s="19" t="str">
        <x:f>IFERROR(INDEX('מיפוי ומקורות'!$D$7:$D$33,MATCH(H1455,'מיפוי ומקורות'!$B$7:$B$33,0)),"שוטף")</x:f>
        <x:v>חריג</x:v>
      </x:c>
      <x:c r="K1455" s="19" t="str">
        <x:f>IF(OR(H1455="ריביות",AND(H1455="דירה כצנלסון",G1455&lt;0,ISNUMBER(SEARCH("הכנסה",F1455)))),"הכנסה שסווגה מחדש",J1455)</x:f>
        <x:v>חריג</x:v>
      </x:c>
      <x:c r="L1455" s="19" t="str">
        <x:v>מאושר</x:v>
      </x:c>
      <x:c r="M1455" s="20" t="n">
        <x:f>IF(L1455="מאושר",IF(K1455="הכנסה שסווגה מחדש",0,G1455),0)</x:f>
        <x:v>622</x:v>
      </x:c>
      <x:c r="N1455" s="20" t="n">
        <x:f>IF(K1455="שוטף",M1455,0)</x:f>
        <x:v>0</x:v>
      </x:c>
      <x:c r="O1455" s="20" t="n">
        <x:f>IF(K1455="הכנסה שסווגה מחדש",-G1455,0)</x:f>
        <x:v>0</x:v>
      </x:c>
      <x:c r="P1455" s="11" t="str"/>
      <x:c r="Q1455" s="11" t="str">
        <x:v>auto:vacation:קפריסין 26</x:v>
      </x:c>
      <x:c r="R1455" s="11" t="str">
        <x:v>כן</x:v>
      </x:c>
    </x:row>
    <x:row r="1456">
      <x:c r="A1456" s="14" t="n">
        <x:v>46082</x:v>
      </x:c>
      <x:c r="B1456" s="11" t="str">
        <x:v>2026-03</x:v>
      </x:c>
      <x:c r="C1456" s="11" t="str">
        <x:v>מרץ 26</x:v>
      </x:c>
      <x:c r="D1456" s="15" t="n">
        <x:v>78</x:v>
      </x:c>
      <x:c r="E1456" s="11" t="str">
        <x:v>2026.03</x:v>
      </x:c>
      <x:c r="F1456" s="11" t="str">
        <x:v>סופר</x:v>
      </x:c>
      <x:c r="G1456" s="17" t="n">
        <x:v>26</x:v>
      </x:c>
      <x:c r="H1456" s="18" t="str">
        <x:v>מזון לבית</x:v>
      </x:c>
      <x:c r="I1456" s="19" t="str">
        <x:f>IFERROR(INDEX('מיפוי ומקורות'!$C$7:$C$33,MATCH(H1456,'מיפוי ומקורות'!$B$7:$B$33,0)),"לא מסווג")</x:f>
        <x:v>מזון לבית</x:v>
      </x:c>
      <x:c r="J1456" s="19" t="str">
        <x:f>IFERROR(INDEX('מיפוי ומקורות'!$D$7:$D$33,MATCH(H1456,'מיפוי ומקורות'!$B$7:$B$33,0)),"שוטף")</x:f>
        <x:v>שוטף</x:v>
      </x:c>
      <x:c r="K1456" s="19" t="str">
        <x:f>IF(OR(H1456="ריביות",AND(H1456="דירה כצנלסון",G1456&lt;0,ISNUMBER(SEARCH("הכנסה",F1456)))),"הכנסה שסווגה מחדש",J1456)</x:f>
        <x:v>שוטף</x:v>
      </x:c>
      <x:c r="L1456" s="19" t="str">
        <x:v>מאושר</x:v>
      </x:c>
      <x:c r="M1456" s="20" t="n">
        <x:f>IF(L1456="מאושר",IF(K1456="הכנסה שסווגה מחדש",0,G1456),0)</x:f>
        <x:v>26</x:v>
      </x:c>
      <x:c r="N1456" s="20" t="n">
        <x:f>IF(K1456="שוטף",M1456,0)</x:f>
        <x:v>26</x:v>
      </x:c>
      <x:c r="O1456" s="20" t="n">
        <x:f>IF(K1456="הכנסה שסווגה מחדש",-G1456,0)</x:f>
        <x:v>0</x:v>
      </x:c>
      <x:c r="P1456" s="11" t="str">
        <x:v>סיבוס - עינור</x:v>
      </x:c>
      <x:c r="Q1456" s="11" t="str"/>
      <x:c r="R1456" s="11" t="str">
        <x:v>לא</x:v>
      </x:c>
    </x:row>
    <x:row r="1457">
      <x:c r="A1457" s="14" t="n">
        <x:v>46082</x:v>
      </x:c>
      <x:c r="B1457" s="11" t="str">
        <x:v>2026-03</x:v>
      </x:c>
      <x:c r="C1457" s="11" t="str">
        <x:v>מרץ 26</x:v>
      </x:c>
      <x:c r="D1457" s="15" t="n">
        <x:v>79</x:v>
      </x:c>
      <x:c r="E1457" s="11" t="str">
        <x:v>2026.03</x:v>
      </x:c>
      <x:c r="F1457" s="11" t="str">
        <x:v>סופר</x:v>
      </x:c>
      <x:c r="G1457" s="17" t="n">
        <x:v>74</x:v>
      </x:c>
      <x:c r="H1457" s="18" t="str">
        <x:v>מזון לבית</x:v>
      </x:c>
      <x:c r="I1457" s="19" t="str">
        <x:f>IFERROR(INDEX('מיפוי ומקורות'!$C$7:$C$33,MATCH(H1457,'מיפוי ומקורות'!$B$7:$B$33,0)),"לא מסווג")</x:f>
        <x:v>מזון לבית</x:v>
      </x:c>
      <x:c r="J1457" s="19" t="str">
        <x:f>IFERROR(INDEX('מיפוי ומקורות'!$D$7:$D$33,MATCH(H1457,'מיפוי ומקורות'!$B$7:$B$33,0)),"שוטף")</x:f>
        <x:v>שוטף</x:v>
      </x:c>
      <x:c r="K1457" s="19" t="str">
        <x:f>IF(OR(H1457="ריביות",AND(H1457="דירה כצנלסון",G1457&lt;0,ISNUMBER(SEARCH("הכנסה",F1457)))),"הכנסה שסווגה מחדש",J1457)</x:f>
        <x:v>שוטף</x:v>
      </x:c>
      <x:c r="L1457" s="19" t="str">
        <x:v>מאושר</x:v>
      </x:c>
      <x:c r="M1457" s="20" t="n">
        <x:f>IF(L1457="מאושר",IF(K1457="הכנסה שסווגה מחדש",0,G1457),0)</x:f>
        <x:v>74</x:v>
      </x:c>
      <x:c r="N1457" s="20" t="n">
        <x:f>IF(K1457="שוטף",M1457,0)</x:f>
        <x:v>74</x:v>
      </x:c>
      <x:c r="O1457" s="20" t="n">
        <x:f>IF(K1457="הכנסה שסווגה מחדש",-G1457,0)</x:f>
        <x:v>0</x:v>
      </x:c>
      <x:c r="P1457" s="11" t="str">
        <x:v>סיבוס - עינור</x:v>
      </x:c>
      <x:c r="Q1457" s="11" t="str"/>
      <x:c r="R1457" s="11" t="str">
        <x:v>לא</x:v>
      </x:c>
    </x:row>
    <x:row r="1458">
      <x:c r="A1458" s="14" t="n">
        <x:v>46082</x:v>
      </x:c>
      <x:c r="B1458" s="11" t="str">
        <x:v>2026-03</x:v>
      </x:c>
      <x:c r="C1458" s="11" t="str">
        <x:v>מרץ 26</x:v>
      </x:c>
      <x:c r="D1458" s="15" t="n">
        <x:v>80</x:v>
      </x:c>
      <x:c r="E1458" s="11" t="str">
        <x:v>2026.03</x:v>
      </x:c>
      <x:c r="F1458" s="11" t="str">
        <x:v>מסעדה</x:v>
      </x:c>
      <x:c r="G1458" s="17" t="n">
        <x:v>222</x:v>
      </x:c>
      <x:c r="H1458" s="18" t="str">
        <x:v>אוכל בחוץ</x:v>
      </x:c>
      <x:c r="I1458" s="19" t="str">
        <x:f>IFERROR(INDEX('מיפוי ומקורות'!$C$7:$C$33,MATCH(H1458,'מיפוי ומקורות'!$B$7:$B$33,0)),"לא מסווג")</x:f>
        <x:v>אוכל בחוץ</x:v>
      </x:c>
      <x:c r="J1458" s="19" t="str">
        <x:f>IFERROR(INDEX('מיפוי ומקורות'!$D$7:$D$33,MATCH(H1458,'מיפוי ומקורות'!$B$7:$B$33,0)),"שוטף")</x:f>
        <x:v>שוטף</x:v>
      </x:c>
      <x:c r="K1458" s="19" t="str">
        <x:f>IF(OR(H1458="ריביות",AND(H1458="דירה כצנלסון",G1458&lt;0,ISNUMBER(SEARCH("הכנסה",F1458)))),"הכנסה שסווגה מחדש",J1458)</x:f>
        <x:v>שוטף</x:v>
      </x:c>
      <x:c r="L1458" s="19" t="str">
        <x:v>מאושר</x:v>
      </x:c>
      <x:c r="M1458" s="20" t="n">
        <x:f>IF(L1458="מאושר",IF(K1458="הכנסה שסווגה מחדש",0,G1458),0)</x:f>
        <x:v>222</x:v>
      </x:c>
      <x:c r="N1458" s="20" t="n">
        <x:f>IF(K1458="שוטף",M1458,0)</x:f>
        <x:v>222</x:v>
      </x:c>
      <x:c r="O1458" s="20" t="n">
        <x:f>IF(K1458="הכנסה שסווגה מחדש",-G1458,0)</x:f>
        <x:v>0</x:v>
      </x:c>
      <x:c r="P1458" s="11" t="str">
        <x:v>סיבוס - עינור</x:v>
      </x:c>
      <x:c r="Q1458" s="11" t="str"/>
      <x:c r="R1458" s="11" t="str">
        <x:v>לא</x:v>
      </x:c>
    </x:row>
    <x:row r="1459">
      <x:c r="A1459" s="14" t="n">
        <x:v>46082</x:v>
      </x:c>
      <x:c r="B1459" s="11" t="str">
        <x:v>2026-03</x:v>
      </x:c>
      <x:c r="C1459" s="11" t="str">
        <x:v>מרץ 26</x:v>
      </x:c>
      <x:c r="D1459" s="15" t="n">
        <x:v>81</x:v>
      </x:c>
      <x:c r="E1459" s="11" t="str">
        <x:v>2026.03</x:v>
      </x:c>
      <x:c r="F1459" s="11" t="str">
        <x:v>סופר</x:v>
      </x:c>
      <x:c r="G1459" s="17" t="n">
        <x:v>155</x:v>
      </x:c>
      <x:c r="H1459" s="18" t="str">
        <x:v>מזון לבית</x:v>
      </x:c>
      <x:c r="I1459" s="19" t="str">
        <x:f>IFERROR(INDEX('מיפוי ומקורות'!$C$7:$C$33,MATCH(H1459,'מיפוי ומקורות'!$B$7:$B$33,0)),"לא מסווג")</x:f>
        <x:v>מזון לבית</x:v>
      </x:c>
      <x:c r="J1459" s="19" t="str">
        <x:f>IFERROR(INDEX('מיפוי ומקורות'!$D$7:$D$33,MATCH(H1459,'מיפוי ומקורות'!$B$7:$B$33,0)),"שוטף")</x:f>
        <x:v>שוטף</x:v>
      </x:c>
      <x:c r="K1459" s="19" t="str">
        <x:f>IF(OR(H1459="ריביות",AND(H1459="דירה כצנלסון",G1459&lt;0,ISNUMBER(SEARCH("הכנסה",F1459)))),"הכנסה שסווגה מחדש",J1459)</x:f>
        <x:v>שוטף</x:v>
      </x:c>
      <x:c r="L1459" s="19" t="str">
        <x:v>מאושר</x:v>
      </x:c>
      <x:c r="M1459" s="20" t="n">
        <x:f>IF(L1459="מאושר",IF(K1459="הכנסה שסווגה מחדש",0,G1459),0)</x:f>
        <x:v>155</x:v>
      </x:c>
      <x:c r="N1459" s="20" t="n">
        <x:f>IF(K1459="שוטף",M1459,0)</x:f>
        <x:v>155</x:v>
      </x:c>
      <x:c r="O1459" s="20" t="n">
        <x:f>IF(K1459="הכנסה שסווגה מחדש",-G1459,0)</x:f>
        <x:v>0</x:v>
      </x:c>
      <x:c r="P1459" s="11" t="str">
        <x:v>סיבוס - עינור</x:v>
      </x:c>
      <x:c r="Q1459" s="11" t="str"/>
      <x:c r="R1459" s="11" t="str">
        <x:v>לא</x:v>
      </x:c>
    </x:row>
    <x:row r="1460">
      <x:c r="A1460" s="14" t="n">
        <x:v>46082</x:v>
      </x:c>
      <x:c r="B1460" s="11" t="str">
        <x:v>2026-03</x:v>
      </x:c>
      <x:c r="C1460" s="11" t="str">
        <x:v>מרץ 26</x:v>
      </x:c>
      <x:c r="D1460" s="15" t="n">
        <x:v>82</x:v>
      </x:c>
      <x:c r="E1460" s="11" t="str">
        <x:v>2026.03</x:v>
      </x:c>
      <x:c r="F1460" s="11" t="str">
        <x:v>סופר</x:v>
      </x:c>
      <x:c r="G1460" s="17" t="n">
        <x:v>76</x:v>
      </x:c>
      <x:c r="H1460" s="18" t="str">
        <x:v>מזון לבית</x:v>
      </x:c>
      <x:c r="I1460" s="19" t="str">
        <x:f>IFERROR(INDEX('מיפוי ומקורות'!$C$7:$C$33,MATCH(H1460,'מיפוי ומקורות'!$B$7:$B$33,0)),"לא מסווג")</x:f>
        <x:v>מזון לבית</x:v>
      </x:c>
      <x:c r="J1460" s="19" t="str">
        <x:f>IFERROR(INDEX('מיפוי ומקורות'!$D$7:$D$33,MATCH(H1460,'מיפוי ומקורות'!$B$7:$B$33,0)),"שוטף")</x:f>
        <x:v>שוטף</x:v>
      </x:c>
      <x:c r="K1460" s="19" t="str">
        <x:f>IF(OR(H1460="ריביות",AND(H1460="דירה כצנלסון",G1460&lt;0,ISNUMBER(SEARCH("הכנסה",F1460)))),"הכנסה שסווגה מחדש",J1460)</x:f>
        <x:v>שוטף</x:v>
      </x:c>
      <x:c r="L1460" s="19" t="str">
        <x:v>מאושר</x:v>
      </x:c>
      <x:c r="M1460" s="20" t="n">
        <x:f>IF(L1460="מאושר",IF(K1460="הכנסה שסווגה מחדש",0,G1460),0)</x:f>
        <x:v>76</x:v>
      </x:c>
      <x:c r="N1460" s="20" t="n">
        <x:f>IF(K1460="שוטף",M1460,0)</x:f>
        <x:v>76</x:v>
      </x:c>
      <x:c r="O1460" s="20" t="n">
        <x:f>IF(K1460="הכנסה שסווגה מחדש",-G1460,0)</x:f>
        <x:v>0</x:v>
      </x:c>
      <x:c r="P1460" s="11" t="str">
        <x:v>סיבוס - עינור</x:v>
      </x:c>
      <x:c r="Q1460" s="11" t="str"/>
      <x:c r="R1460" s="11" t="str">
        <x:v>לא</x:v>
      </x:c>
    </x:row>
    <x:row r="1461">
      <x:c r="A1461" s="14" t="n">
        <x:v>46082</x:v>
      </x:c>
      <x:c r="B1461" s="11" t="str">
        <x:v>2026-03</x:v>
      </x:c>
      <x:c r="C1461" s="11" t="str">
        <x:v>מרץ 26</x:v>
      </x:c>
      <x:c r="D1461" s="15" t="n">
        <x:v>83</x:v>
      </x:c>
      <x:c r="E1461" s="11" t="str">
        <x:v>2026.03</x:v>
      </x:c>
      <x:c r="F1461" s="11" t="str">
        <x:v>סופר</x:v>
      </x:c>
      <x:c r="G1461" s="17" t="n">
        <x:v>59</x:v>
      </x:c>
      <x:c r="H1461" s="18" t="str">
        <x:v>מזון לבית</x:v>
      </x:c>
      <x:c r="I1461" s="19" t="str">
        <x:f>IFERROR(INDEX('מיפוי ומקורות'!$C$7:$C$33,MATCH(H1461,'מיפוי ומקורות'!$B$7:$B$33,0)),"לא מסווג")</x:f>
        <x:v>מזון לבית</x:v>
      </x:c>
      <x:c r="J1461" s="19" t="str">
        <x:f>IFERROR(INDEX('מיפוי ומקורות'!$D$7:$D$33,MATCH(H1461,'מיפוי ומקורות'!$B$7:$B$33,0)),"שוטף")</x:f>
        <x:v>שוטף</x:v>
      </x:c>
      <x:c r="K1461" s="19" t="str">
        <x:f>IF(OR(H1461="ריביות",AND(H1461="דירה כצנלסון",G1461&lt;0,ISNUMBER(SEARCH("הכנסה",F1461)))),"הכנסה שסווגה מחדש",J1461)</x:f>
        <x:v>שוטף</x:v>
      </x:c>
      <x:c r="L1461" s="19" t="str">
        <x:v>מאושר</x:v>
      </x:c>
      <x:c r="M1461" s="20" t="n">
        <x:f>IF(L1461="מאושר",IF(K1461="הכנסה שסווגה מחדש",0,G1461),0)</x:f>
        <x:v>59</x:v>
      </x:c>
      <x:c r="N1461" s="20" t="n">
        <x:f>IF(K1461="שוטף",M1461,0)</x:f>
        <x:v>59</x:v>
      </x:c>
      <x:c r="O1461" s="20" t="n">
        <x:f>IF(K1461="הכנסה שסווגה מחדש",-G1461,0)</x:f>
        <x:v>0</x:v>
      </x:c>
      <x:c r="P1461" s="11" t="str">
        <x:v>סיבוס - עינור</x:v>
      </x:c>
      <x:c r="Q1461" s="11" t="str"/>
      <x:c r="R1461" s="11" t="str">
        <x:v>לא</x:v>
      </x:c>
    </x:row>
    <x:row r="1462">
      <x:c r="A1462" s="14" t="n">
        <x:v>46082</x:v>
      </x:c>
      <x:c r="B1462" s="11" t="str">
        <x:v>2026-03</x:v>
      </x:c>
      <x:c r="C1462" s="11" t="str">
        <x:v>מרץ 26</x:v>
      </x:c>
      <x:c r="D1462" s="15" t="n">
        <x:v>84</x:v>
      </x:c>
      <x:c r="E1462" s="11" t="str">
        <x:v>2026.03</x:v>
      </x:c>
      <x:c r="F1462" s="11" t="str">
        <x:v>סופר</x:v>
      </x:c>
      <x:c r="G1462" s="17" t="n">
        <x:v>52</x:v>
      </x:c>
      <x:c r="H1462" s="18" t="str">
        <x:v>מזון לבית</x:v>
      </x:c>
      <x:c r="I1462" s="19" t="str">
        <x:f>IFERROR(INDEX('מיפוי ומקורות'!$C$7:$C$33,MATCH(H1462,'מיפוי ומקורות'!$B$7:$B$33,0)),"לא מסווג")</x:f>
        <x:v>מזון לבית</x:v>
      </x:c>
      <x:c r="J1462" s="19" t="str">
        <x:f>IFERROR(INDEX('מיפוי ומקורות'!$D$7:$D$33,MATCH(H1462,'מיפוי ומקורות'!$B$7:$B$33,0)),"שוטף")</x:f>
        <x:v>שוטף</x:v>
      </x:c>
      <x:c r="K1462" s="19" t="str">
        <x:f>IF(OR(H1462="ריביות",AND(H1462="דירה כצנלסון",G1462&lt;0,ISNUMBER(SEARCH("הכנסה",F1462)))),"הכנסה שסווגה מחדש",J1462)</x:f>
        <x:v>שוטף</x:v>
      </x:c>
      <x:c r="L1462" s="19" t="str">
        <x:v>מאושר</x:v>
      </x:c>
      <x:c r="M1462" s="20" t="n">
        <x:f>IF(L1462="מאושר",IF(K1462="הכנסה שסווגה מחדש",0,G1462),0)</x:f>
        <x:v>52</x:v>
      </x:c>
      <x:c r="N1462" s="20" t="n">
        <x:f>IF(K1462="שוטף",M1462,0)</x:f>
        <x:v>52</x:v>
      </x:c>
      <x:c r="O1462" s="20" t="n">
        <x:f>IF(K1462="הכנסה שסווגה מחדש",-G1462,0)</x:f>
        <x:v>0</x:v>
      </x:c>
      <x:c r="P1462" s="11" t="str">
        <x:v>סיבוס - עינור</x:v>
      </x:c>
      <x:c r="Q1462" s="11" t="str"/>
      <x:c r="R1462" s="11" t="str">
        <x:v>לא</x:v>
      </x:c>
    </x:row>
    <x:row r="1463">
      <x:c r="A1463" s="14" t="n">
        <x:v>46082</x:v>
      </x:c>
      <x:c r="B1463" s="11" t="str">
        <x:v>2026-03</x:v>
      </x:c>
      <x:c r="C1463" s="11" t="str">
        <x:v>מרץ 26</x:v>
      </x:c>
      <x:c r="D1463" s="15" t="n">
        <x:v>85</x:v>
      </x:c>
      <x:c r="E1463" s="11" t="str">
        <x:v>2026.03</x:v>
      </x:c>
      <x:c r="F1463" s="11" t="str">
        <x:v>מסעדה</x:v>
      </x:c>
      <x:c r="G1463" s="17" t="n">
        <x:v>147</x:v>
      </x:c>
      <x:c r="H1463" s="18" t="str">
        <x:v>אוכל בחוץ</x:v>
      </x:c>
      <x:c r="I1463" s="19" t="str">
        <x:f>IFERROR(INDEX('מיפוי ומקורות'!$C$7:$C$33,MATCH(H1463,'מיפוי ומקורות'!$B$7:$B$33,0)),"לא מסווג")</x:f>
        <x:v>אוכל בחוץ</x:v>
      </x:c>
      <x:c r="J1463" s="19" t="str">
        <x:f>IFERROR(INDEX('מיפוי ומקורות'!$D$7:$D$33,MATCH(H1463,'מיפוי ומקורות'!$B$7:$B$33,0)),"שוטף")</x:f>
        <x:v>שוטף</x:v>
      </x:c>
      <x:c r="K1463" s="19" t="str">
        <x:f>IF(OR(H1463="ריביות",AND(H1463="דירה כצנלסון",G1463&lt;0,ISNUMBER(SEARCH("הכנסה",F1463)))),"הכנסה שסווגה מחדש",J1463)</x:f>
        <x:v>שוטף</x:v>
      </x:c>
      <x:c r="L1463" s="19" t="str">
        <x:v>מאושר</x:v>
      </x:c>
      <x:c r="M1463" s="20" t="n">
        <x:f>IF(L1463="מאושר",IF(K1463="הכנסה שסווגה מחדש",0,G1463),0)</x:f>
        <x:v>147</x:v>
      </x:c>
      <x:c r="N1463" s="20" t="n">
        <x:f>IF(K1463="שוטף",M1463,0)</x:f>
        <x:v>147</x:v>
      </x:c>
      <x:c r="O1463" s="20" t="n">
        <x:f>IF(K1463="הכנסה שסווגה מחדש",-G1463,0)</x:f>
        <x:v>0</x:v>
      </x:c>
      <x:c r="P1463" s="11" t="str">
        <x:v>סיבוס - עינור</x:v>
      </x:c>
      <x:c r="Q1463" s="11" t="str"/>
      <x:c r="R1463" s="11" t="str">
        <x:v>לא</x:v>
      </x:c>
    </x:row>
    <x:row r="1464">
      <x:c r="A1464" s="14" t="n">
        <x:v>46082</x:v>
      </x:c>
      <x:c r="B1464" s="11" t="str">
        <x:v>2026-03</x:v>
      </x:c>
      <x:c r="C1464" s="11" t="str">
        <x:v>מרץ 26</x:v>
      </x:c>
      <x:c r="D1464" s="15" t="n">
        <x:v>86</x:v>
      </x:c>
      <x:c r="E1464" s="11" t="str">
        <x:v>2026.03/3</x:v>
      </x:c>
      <x:c r="F1464" s="11" t="str">
        <x:v>NayLon - הוד השרון</x:v>
      </x:c>
      <x:c r="G1464" s="17" t="n">
        <x:v>262</x:v>
      </x:c>
      <x:c r="H1464" s="18" t="str">
        <x:v>אוכל בחוץ</x:v>
      </x:c>
      <x:c r="I1464" s="19" t="str">
        <x:f>IFERROR(INDEX('מיפוי ומקורות'!$C$7:$C$33,MATCH(H1464,'מיפוי ומקורות'!$B$7:$B$33,0)),"לא מסווג")</x:f>
        <x:v>אוכל בחוץ</x:v>
      </x:c>
      <x:c r="J1464" s="19" t="str">
        <x:f>IFERROR(INDEX('מיפוי ומקורות'!$D$7:$D$33,MATCH(H1464,'מיפוי ומקורות'!$B$7:$B$33,0)),"שוטף")</x:f>
        <x:v>שוטף</x:v>
      </x:c>
      <x:c r="K1464" s="19" t="str">
        <x:f>IF(OR(H1464="ריביות",AND(H1464="דירה כצנלסון",G1464&lt;0,ISNUMBER(SEARCH("הכנסה",F1464)))),"הכנסה שסווגה מחדש",J1464)</x:f>
        <x:v>שוטף</x:v>
      </x:c>
      <x:c r="L1464" s="19" t="str">
        <x:v>מאושר</x:v>
      </x:c>
      <x:c r="M1464" s="20" t="n">
        <x:f>IF(L1464="מאושר",IF(K1464="הכנסה שסווגה מחדש",0,G1464),0)</x:f>
        <x:v>262</x:v>
      </x:c>
      <x:c r="N1464" s="20" t="n">
        <x:f>IF(K1464="שוטף",M1464,0)</x:f>
        <x:v>262</x:v>
      </x:c>
      <x:c r="O1464" s="20" t="n">
        <x:f>IF(K1464="הכנסה שסווגה מחדש",-G1464,0)</x:f>
        <x:v>0</x:v>
      </x:c>
      <x:c r="P1464" s="11" t="str">
        <x:v>סיבוס - עינור</x:v>
      </x:c>
      <x:c r="Q1464" s="11" t="str"/>
      <x:c r="R1464" s="11" t="str">
        <x:v>לא</x:v>
      </x:c>
    </x:row>
    <x:row r="1465">
      <x:c r="A1465" s="14" t="n">
        <x:v>46082</x:v>
      </x:c>
      <x:c r="B1465" s="11" t="str">
        <x:v>2026-03</x:v>
      </x:c>
      <x:c r="C1465" s="11" t="str">
        <x:v>מרץ 26</x:v>
      </x:c>
      <x:c r="D1465" s="15" t="n">
        <x:v>87</x:v>
      </x:c>
      <x:c r="E1465" s="11" t="str">
        <x:v>2026.03/3</x:v>
      </x:c>
      <x:c r="F1465" s="11" t="str">
        <x:v>מנטנטן - תל אביב יפו</x:v>
      </x:c>
      <x:c r="G1465" s="17" t="n">
        <x:v>148</x:v>
      </x:c>
      <x:c r="H1465" s="18" t="str">
        <x:v>אוכל בחוץ</x:v>
      </x:c>
      <x:c r="I1465" s="19" t="str">
        <x:f>IFERROR(INDEX('מיפוי ומקורות'!$C$7:$C$33,MATCH(H1465,'מיפוי ומקורות'!$B$7:$B$33,0)),"לא מסווג")</x:f>
        <x:v>אוכל בחוץ</x:v>
      </x:c>
      <x:c r="J1465" s="19" t="str">
        <x:f>IFERROR(INDEX('מיפוי ומקורות'!$D$7:$D$33,MATCH(H1465,'מיפוי ומקורות'!$B$7:$B$33,0)),"שוטף")</x:f>
        <x:v>שוטף</x:v>
      </x:c>
      <x:c r="K1465" s="19" t="str">
        <x:f>IF(OR(H1465="ריביות",AND(H1465="דירה כצנלסון",G1465&lt;0,ISNUMBER(SEARCH("הכנסה",F1465)))),"הכנסה שסווגה מחדש",J1465)</x:f>
        <x:v>שוטף</x:v>
      </x:c>
      <x:c r="L1465" s="19" t="str">
        <x:v>מאושר</x:v>
      </x:c>
      <x:c r="M1465" s="20" t="n">
        <x:f>IF(L1465="מאושר",IF(K1465="הכנסה שסווגה מחדש",0,G1465),0)</x:f>
        <x:v>148</x:v>
      </x:c>
      <x:c r="N1465" s="20" t="n">
        <x:f>IF(K1465="שוטף",M1465,0)</x:f>
        <x:v>148</x:v>
      </x:c>
      <x:c r="O1465" s="20" t="n">
        <x:f>IF(K1465="הכנסה שסווגה מחדש",-G1465,0)</x:f>
        <x:v>0</x:v>
      </x:c>
      <x:c r="P1465" s="11" t="str">
        <x:v>סיבוס - עינור</x:v>
      </x:c>
      <x:c r="Q1465" s="11" t="str"/>
      <x:c r="R1465" s="11" t="str">
        <x:v>לא</x:v>
      </x:c>
    </x:row>
    <x:row r="1466">
      <x:c r="A1466" s="14" t="n">
        <x:v>46082</x:v>
      </x:c>
      <x:c r="B1466" s="11" t="str">
        <x:v>2026-03</x:v>
      </x:c>
      <x:c r="C1466" s="11" t="str">
        <x:v>מרץ 26</x:v>
      </x:c>
      <x:c r="D1466" s="15" t="n">
        <x:v>88</x:v>
      </x:c>
      <x:c r="E1466" s="11" t="str">
        <x:v>2026.03</x:v>
      </x:c>
      <x:c r="F1466" s="11" t="str">
        <x:v>סופר</x:v>
      </x:c>
      <x:c r="G1466" s="17" t="n">
        <x:v>30</x:v>
      </x:c>
      <x:c r="H1466" s="18" t="str">
        <x:v>מזון לבית</x:v>
      </x:c>
      <x:c r="I1466" s="19" t="str">
        <x:f>IFERROR(INDEX('מיפוי ומקורות'!$C$7:$C$33,MATCH(H1466,'מיפוי ומקורות'!$B$7:$B$33,0)),"לא מסווג")</x:f>
        <x:v>מזון לבית</x:v>
      </x:c>
      <x:c r="J1466" s="19" t="str">
        <x:f>IFERROR(INDEX('מיפוי ומקורות'!$D$7:$D$33,MATCH(H1466,'מיפוי ומקורות'!$B$7:$B$33,0)),"שוטף")</x:f>
        <x:v>שוטף</x:v>
      </x:c>
      <x:c r="K1466" s="19" t="str">
        <x:f>IF(OR(H1466="ריביות",AND(H1466="דירה כצנלסון",G1466&lt;0,ISNUMBER(SEARCH("הכנסה",F1466)))),"הכנסה שסווגה מחדש",J1466)</x:f>
        <x:v>שוטף</x:v>
      </x:c>
      <x:c r="L1466" s="19" t="str">
        <x:v>מאושר</x:v>
      </x:c>
      <x:c r="M1466" s="20" t="n">
        <x:f>IF(L1466="מאושר",IF(K1466="הכנסה שסווגה מחדש",0,G1466),0)</x:f>
        <x:v>30</x:v>
      </x:c>
      <x:c r="N1466" s="20" t="n">
        <x:f>IF(K1466="שוטף",M1466,0)</x:f>
        <x:v>30</x:v>
      </x:c>
      <x:c r="O1466" s="20" t="n">
        <x:f>IF(K1466="הכנסה שסווגה מחדש",-G1466,0)</x:f>
        <x:v>0</x:v>
      </x:c>
      <x:c r="P1466" s="11" t="str">
        <x:v>סיבוס - עינור</x:v>
      </x:c>
      <x:c r="Q1466" s="11" t="str"/>
      <x:c r="R1466" s="11" t="str">
        <x:v>לא</x:v>
      </x:c>
    </x:row>
    <x:row r="1467">
      <x:c r="A1467" s="14" t="n">
        <x:v>46082</x:v>
      </x:c>
      <x:c r="B1467" s="11" t="str">
        <x:v>2026-03</x:v>
      </x:c>
      <x:c r="C1467" s="11" t="str">
        <x:v>מרץ 26</x:v>
      </x:c>
      <x:c r="D1467" s="15" t="n">
        <x:v>89</x:v>
      </x:c>
      <x:c r="E1467" s="11" t="str">
        <x:v>2026.03</x:v>
      </x:c>
      <x:c r="F1467" s="11" t="str">
        <x:v>מסעדה</x:v>
      </x:c>
      <x:c r="G1467" s="17" t="n">
        <x:v>231</x:v>
      </x:c>
      <x:c r="H1467" s="18" t="str">
        <x:v>אוכל בחוץ</x:v>
      </x:c>
      <x:c r="I1467" s="19" t="str">
        <x:f>IFERROR(INDEX('מיפוי ומקורות'!$C$7:$C$33,MATCH(H1467,'מיפוי ומקורות'!$B$7:$B$33,0)),"לא מסווג")</x:f>
        <x:v>אוכל בחוץ</x:v>
      </x:c>
      <x:c r="J1467" s="19" t="str">
        <x:f>IFERROR(INDEX('מיפוי ומקורות'!$D$7:$D$33,MATCH(H1467,'מיפוי ומקורות'!$B$7:$B$33,0)),"שוטף")</x:f>
        <x:v>שוטף</x:v>
      </x:c>
      <x:c r="K1467" s="19" t="str">
        <x:f>IF(OR(H1467="ריביות",AND(H1467="דירה כצנלסון",G1467&lt;0,ISNUMBER(SEARCH("הכנסה",F1467)))),"הכנסה שסווגה מחדש",J1467)</x:f>
        <x:v>שוטף</x:v>
      </x:c>
      <x:c r="L1467" s="19" t="str">
        <x:v>מאושר</x:v>
      </x:c>
      <x:c r="M1467" s="20" t="n">
        <x:f>IF(L1467="מאושר",IF(K1467="הכנסה שסווגה מחדש",0,G1467),0)</x:f>
        <x:v>231</x:v>
      </x:c>
      <x:c r="N1467" s="20" t="n">
        <x:f>IF(K1467="שוטף",M1467,0)</x:f>
        <x:v>231</x:v>
      </x:c>
      <x:c r="O1467" s="20" t="n">
        <x:f>IF(K1467="הכנסה שסווגה מחדש",-G1467,0)</x:f>
        <x:v>0</x:v>
      </x:c>
      <x:c r="P1467" s="11" t="str">
        <x:v>סיבוס - עינור</x:v>
      </x:c>
      <x:c r="Q1467" s="11" t="str"/>
      <x:c r="R1467" s="11" t="str">
        <x:v>לא</x:v>
      </x:c>
    </x:row>
    <x:row r="1468">
      <x:c r="A1468" s="14" t="n">
        <x:v>46082</x:v>
      </x:c>
      <x:c r="B1468" s="11" t="str">
        <x:v>2026-03</x:v>
      </x:c>
      <x:c r="C1468" s="11" t="str">
        <x:v>מרץ 26</x:v>
      </x:c>
      <x:c r="D1468" s="15" t="n">
        <x:v>90</x:v>
      </x:c>
      <x:c r="E1468" s="11" t="str">
        <x:v>2026.03</x:v>
      </x:c>
      <x:c r="F1468" s="11" t="str">
        <x:v>סופר</x:v>
      </x:c>
      <x:c r="G1468" s="17" t="n">
        <x:v>35</x:v>
      </x:c>
      <x:c r="H1468" s="18" t="str">
        <x:v>מזון לבית</x:v>
      </x:c>
      <x:c r="I1468" s="19" t="str">
        <x:f>IFERROR(INDEX('מיפוי ומקורות'!$C$7:$C$33,MATCH(H1468,'מיפוי ומקורות'!$B$7:$B$33,0)),"לא מסווג")</x:f>
        <x:v>מזון לבית</x:v>
      </x:c>
      <x:c r="J1468" s="19" t="str">
        <x:f>IFERROR(INDEX('מיפוי ומקורות'!$D$7:$D$33,MATCH(H1468,'מיפוי ומקורות'!$B$7:$B$33,0)),"שוטף")</x:f>
        <x:v>שוטף</x:v>
      </x:c>
      <x:c r="K1468" s="19" t="str">
        <x:f>IF(OR(H1468="ריביות",AND(H1468="דירה כצנלסון",G1468&lt;0,ISNUMBER(SEARCH("הכנסה",F1468)))),"הכנסה שסווגה מחדש",J1468)</x:f>
        <x:v>שוטף</x:v>
      </x:c>
      <x:c r="L1468" s="19" t="str">
        <x:v>מאושר</x:v>
      </x:c>
      <x:c r="M1468" s="20" t="n">
        <x:f>IF(L1468="מאושר",IF(K1468="הכנסה שסווגה מחדש",0,G1468),0)</x:f>
        <x:v>35</x:v>
      </x:c>
      <x:c r="N1468" s="20" t="n">
        <x:f>IF(K1468="שוטף",M1468,0)</x:f>
        <x:v>35</x:v>
      </x:c>
      <x:c r="O1468" s="20" t="n">
        <x:f>IF(K1468="הכנסה שסווגה מחדש",-G1468,0)</x:f>
        <x:v>0</x:v>
      </x:c>
      <x:c r="P1468" s="11" t="str">
        <x:v>סיבוס - עינור</x:v>
      </x:c>
      <x:c r="Q1468" s="11" t="str"/>
      <x:c r="R1468" s="11" t="str">
        <x:v>לא</x:v>
      </x:c>
    </x:row>
    <x:row r="1469">
      <x:c r="A1469" s="14" t="n">
        <x:v>46082</x:v>
      </x:c>
      <x:c r="B1469" s="11" t="str">
        <x:v>2026-03</x:v>
      </x:c>
      <x:c r="C1469" s="11" t="str">
        <x:v>מרץ 26</x:v>
      </x:c>
      <x:c r="D1469" s="15" t="n">
        <x:v>91</x:v>
      </x:c>
      <x:c r="E1469" s="11" t="str">
        <x:v>4/3</x:v>
      </x:c>
      <x:c r="F1469" s="11" t="str">
        <x:v>מים</x:v>
      </x:c>
      <x:c r="G1469" s="17" t="n">
        <x:v>153</x:v>
      </x:c>
      <x:c r="H1469" s="18" t="str">
        <x:v>מגורים</x:v>
      </x:c>
      <x:c r="I1469" s="19" t="str">
        <x:f>IFERROR(INDEX('מיפוי ומקורות'!$C$7:$C$33,MATCH(H1469,'מיפוי ומקורות'!$B$7:$B$33,0)),"לא מסווג")</x:f>
        <x:v>דיור – בית מגורים</x:v>
      </x:c>
      <x:c r="J1469" s="19" t="str">
        <x:f>IFERROR(INDEX('מיפוי ומקורות'!$D$7:$D$33,MATCH(H1469,'מיפוי ומקורות'!$B$7:$B$33,0)),"שוטף")</x:f>
        <x:v>שוטף</x:v>
      </x:c>
      <x:c r="K1469" s="19" t="str">
        <x:f>IF(OR(H1469="ריביות",AND(H1469="דירה כצנלסון",G1469&lt;0,ISNUMBER(SEARCH("הכנסה",F1469)))),"הכנסה שסווגה מחדש",J1469)</x:f>
        <x:v>שוטף</x:v>
      </x:c>
      <x:c r="L1469" s="19" t="str">
        <x:v>מאושר</x:v>
      </x:c>
      <x:c r="M1469" s="20" t="n">
        <x:f>IF(L1469="מאושר",IF(K1469="הכנסה שסווגה מחדש",0,G1469),0)</x:f>
        <x:v>153</x:v>
      </x:c>
      <x:c r="N1469" s="20" t="n">
        <x:f>IF(K1469="שוטף",M1469,0)</x:f>
        <x:v>153</x:v>
      </x:c>
      <x:c r="O1469" s="20" t="n">
        <x:f>IF(K1469="הכנסה שסווגה מחדש",-G1469,0)</x:f>
        <x:v>0</x:v>
      </x:c>
      <x:c r="P1469" s="11" t="str">
        <x:v>מקס - עינור</x:v>
      </x:c>
      <x:c r="Q1469" s="11" t="str"/>
      <x:c r="R1469" s="11" t="str">
        <x:v>לא</x:v>
      </x:c>
    </x:row>
    <x:row r="1470">
      <x:c r="A1470" s="14" t="n">
        <x:v>46082</x:v>
      </x:c>
      <x:c r="B1470" s="11" t="str">
        <x:v>2026-03</x:v>
      </x:c>
      <x:c r="C1470" s="11" t="str">
        <x:v>מרץ 26</x:v>
      </x:c>
      <x:c r="D1470" s="15" t="n">
        <x:v>92</x:v>
      </x:c>
      <x:c r="E1470" s="11" t="str">
        <x:v>13/3</x:v>
      </x:c>
      <x:c r="F1470" s="11" t="str">
        <x:v>לק</x:v>
      </x:c>
      <x:c r="G1470" s="17" t="n">
        <x:v>120</x:v>
      </x:c>
      <x:c r="H1470" s="18" t="str">
        <x:v>קוסמטיקה</x:v>
      </x:c>
      <x:c r="I1470" s="19" t="str">
        <x:f>IFERROR(INDEX('מיפוי ומקורות'!$C$7:$C$33,MATCH(H1470,'מיפוי ומקורות'!$B$7:$B$33,0)),"לא מסווג")</x:f>
        <x:v>קוסמטיקה</x:v>
      </x:c>
      <x:c r="J1470" s="19" t="str">
        <x:f>IFERROR(INDEX('מיפוי ומקורות'!$D$7:$D$33,MATCH(H1470,'מיפוי ומקורות'!$B$7:$B$33,0)),"שוטף")</x:f>
        <x:v>שוטף</x:v>
      </x:c>
      <x:c r="K1470" s="19" t="str">
        <x:f>IF(OR(H1470="ריביות",AND(H1470="דירה כצנלסון",G1470&lt;0,ISNUMBER(SEARCH("הכנסה",F1470)))),"הכנסה שסווגה מחדש",J1470)</x:f>
        <x:v>שוטף</x:v>
      </x:c>
      <x:c r="L1470" s="19" t="str">
        <x:v>מאושר</x:v>
      </x:c>
      <x:c r="M1470" s="20" t="n">
        <x:f>IF(L1470="מאושר",IF(K1470="הכנסה שסווגה מחדש",0,G1470),0)</x:f>
        <x:v>120</x:v>
      </x:c>
      <x:c r="N1470" s="20" t="n">
        <x:f>IF(K1470="שוטף",M1470,0)</x:f>
        <x:v>120</x:v>
      </x:c>
      <x:c r="O1470" s="20" t="n">
        <x:f>IF(K1470="הכנסה שסווגה מחדש",-G1470,0)</x:f>
        <x:v>0</x:v>
      </x:c>
      <x:c r="P1470" s="11" t="str">
        <x:v>מקס - עינור</x:v>
      </x:c>
      <x:c r="Q1470" s="11" t="str"/>
      <x:c r="R1470" s="11" t="str">
        <x:v>לא</x:v>
      </x:c>
    </x:row>
    <x:row r="1471">
      <x:c r="A1471" s="14" t="n">
        <x:v>46082</x:v>
      </x:c>
      <x:c r="B1471" s="11" t="str">
        <x:v>2026-03</x:v>
      </x:c>
      <x:c r="C1471" s="11" t="str">
        <x:v>מרץ 26</x:v>
      </x:c>
      <x:c r="D1471" s="15" t="n">
        <x:v>93</x:v>
      </x:c>
      <x:c r="E1471" s="11" t="str">
        <x:v>22/3</x:v>
      </x:c>
      <x:c r="F1471" s="11" t="str">
        <x:v>מגן מסך</x:v>
      </x:c>
      <x:c r="G1471" s="17" t="n">
        <x:v>119</x:v>
      </x:c>
      <x:c r="H1471" s="18" t="str">
        <x:v>אלקטרוניקה</x:v>
      </x:c>
      <x:c r="I1471" s="19" t="str">
        <x:f>IFERROR(INDEX('מיפוי ומקורות'!$C$7:$C$33,MATCH(H1471,'מיפוי ומקורות'!$B$7:$B$33,0)),"לא מסווג")</x:f>
        <x:v>אלקטרוניקה</x:v>
      </x:c>
      <x:c r="J1471" s="19" t="str">
        <x:f>IFERROR(INDEX('מיפוי ומקורות'!$D$7:$D$33,MATCH(H1471,'מיפוי ומקורות'!$B$7:$B$33,0)),"שוטף")</x:f>
        <x:v>שוטף</x:v>
      </x:c>
      <x:c r="K1471" s="19" t="str">
        <x:f>IF(OR(H1471="ריביות",AND(H1471="דירה כצנלסון",G1471&lt;0,ISNUMBER(SEARCH("הכנסה",F1471)))),"הכנסה שסווגה מחדש",J1471)</x:f>
        <x:v>שוטף</x:v>
      </x:c>
      <x:c r="L1471" s="19" t="str">
        <x:v>מאושר</x:v>
      </x:c>
      <x:c r="M1471" s="20" t="n">
        <x:f>IF(L1471="מאושר",IF(K1471="הכנסה שסווגה מחדש",0,G1471),0)</x:f>
        <x:v>119</x:v>
      </x:c>
      <x:c r="N1471" s="20" t="n">
        <x:f>IF(K1471="שוטף",M1471,0)</x:f>
        <x:v>119</x:v>
      </x:c>
      <x:c r="O1471" s="20" t="n">
        <x:f>IF(K1471="הכנסה שסווגה מחדש",-G1471,0)</x:f>
        <x:v>0</x:v>
      </x:c>
      <x:c r="P1471" s="11" t="str">
        <x:v>מקס - עינור</x:v>
      </x:c>
      <x:c r="Q1471" s="11" t="str"/>
      <x:c r="R1471" s="11" t="str">
        <x:v>לא</x:v>
      </x:c>
    </x:row>
    <x:row r="1472">
      <x:c r="A1472" s="14" t="n">
        <x:v>46082</x:v>
      </x:c>
      <x:c r="B1472" s="11" t="str">
        <x:v>2026-03</x:v>
      </x:c>
      <x:c r="C1472" s="11" t="str">
        <x:v>מרץ 26</x:v>
      </x:c>
      <x:c r="D1472" s="15" t="n">
        <x:v>94</x:v>
      </x:c>
      <x:c r="E1472" s="11" t="str">
        <x:v>31/3</x:v>
      </x:c>
      <x:c r="F1472" s="11" t="str">
        <x:v>מאפיה</x:v>
      </x:c>
      <x:c r="G1472" s="17" t="n">
        <x:v>21</x:v>
      </x:c>
      <x:c r="H1472" s="18" t="str">
        <x:v>אוכל בחוץ</x:v>
      </x:c>
      <x:c r="I1472" s="19" t="str">
        <x:f>IFERROR(INDEX('מיפוי ומקורות'!$C$7:$C$33,MATCH(H1472,'מיפוי ומקורות'!$B$7:$B$33,0)),"לא מסווג")</x:f>
        <x:v>אוכל בחוץ</x:v>
      </x:c>
      <x:c r="J1472" s="19" t="str">
        <x:f>IFERROR(INDEX('מיפוי ומקורות'!$D$7:$D$33,MATCH(H1472,'מיפוי ומקורות'!$B$7:$B$33,0)),"שוטף")</x:f>
        <x:v>שוטף</x:v>
      </x:c>
      <x:c r="K1472" s="19" t="str">
        <x:f>IF(OR(H1472="ריביות",AND(H1472="דירה כצנלסון",G1472&lt;0,ISNUMBER(SEARCH("הכנסה",F1472)))),"הכנסה שסווגה מחדש",J1472)</x:f>
        <x:v>שוטף</x:v>
      </x:c>
      <x:c r="L1472" s="19" t="str">
        <x:v>מאושר</x:v>
      </x:c>
      <x:c r="M1472" s="20" t="n">
        <x:f>IF(L1472="מאושר",IF(K1472="הכנסה שסווגה מחדש",0,G1472),0)</x:f>
        <x:v>21</x:v>
      </x:c>
      <x:c r="N1472" s="20" t="n">
        <x:f>IF(K1472="שוטף",M1472,0)</x:f>
        <x:v>21</x:v>
      </x:c>
      <x:c r="O1472" s="20" t="n">
        <x:f>IF(K1472="הכנסה שסווגה מחדש",-G1472,0)</x:f>
        <x:v>0</x:v>
      </x:c>
      <x:c r="P1472" s="11" t="str">
        <x:v>מקס - עינור</x:v>
      </x:c>
      <x:c r="Q1472" s="11" t="str"/>
      <x:c r="R1472" s="11" t="str">
        <x:v>לא</x:v>
      </x:c>
    </x:row>
    <x:row r="1473">
      <x:c r="A1473" s="14" t="n">
        <x:v>46113</x:v>
      </x:c>
      <x:c r="B1473" s="11" t="str">
        <x:v>2026-04</x:v>
      </x:c>
      <x:c r="C1473" s="11" t="str">
        <x:v>אפריל 26</x:v>
      </x:c>
      <x:c r="D1473" s="15" t="n">
        <x:v>2</x:v>
      </x:c>
      <x:c r="E1473" s="11" t="str"/>
      <x:c r="F1473" s="11" t="str">
        <x:v>שכר דירה</x:v>
      </x:c>
      <x:c r="G1473" s="17" t="n">
        <x:v>8000</x:v>
      </x:c>
      <x:c r="H1473" s="18" t="str">
        <x:v>מגורים</x:v>
      </x:c>
      <x:c r="I1473" s="19" t="str">
        <x:f>IFERROR(INDEX('מיפוי ומקורות'!$C$7:$C$33,MATCH(H1473,'מיפוי ומקורות'!$B$7:$B$33,0)),"לא מסווג")</x:f>
        <x:v>דיור – בית מגורים</x:v>
      </x:c>
      <x:c r="J1473" s="19" t="str">
        <x:f>IFERROR(INDEX('מיפוי ומקורות'!$D$7:$D$33,MATCH(H1473,'מיפוי ומקורות'!$B$7:$B$33,0)),"שוטף")</x:f>
        <x:v>שוטף</x:v>
      </x:c>
      <x:c r="K1473" s="19" t="str">
        <x:f>IF(OR(H1473="ריביות",AND(H1473="דירה כצנלסון",G1473&lt;0,ISNUMBER(SEARCH("הכנסה",F1473)))),"הכנסה שסווגה מחדש",J1473)</x:f>
        <x:v>שוטף</x:v>
      </x:c>
      <x:c r="L1473" s="19" t="str">
        <x:v>מאושר</x:v>
      </x:c>
      <x:c r="M1473" s="20" t="n">
        <x:f>IF(L1473="מאושר",IF(K1473="הכנסה שסווגה מחדש",0,G1473),0)</x:f>
        <x:v>8000</x:v>
      </x:c>
      <x:c r="N1473" s="20" t="n">
        <x:f>IF(K1473="שוטף",M1473,0)</x:f>
        <x:v>8000</x:v>
      </x:c>
      <x:c r="O1473" s="20" t="n">
        <x:f>IF(K1473="הכנסה שסווגה מחדש",-G1473,0)</x:f>
        <x:v>0</x:v>
      </x:c>
      <x:c r="P1473" s="11" t="str">
        <x:v>דיסקונט</x:v>
      </x:c>
      <x:c r="Q1473" s="11" t="str"/>
      <x:c r="R1473" s="11" t="str">
        <x:v>לא</x:v>
      </x:c>
    </x:row>
    <x:row r="1474">
      <x:c r="A1474" s="14" t="n">
        <x:v>46113</x:v>
      </x:c>
      <x:c r="B1474" s="11" t="str">
        <x:v>2026-04</x:v>
      </x:c>
      <x:c r="C1474" s="11" t="str">
        <x:v>אפריל 26</x:v>
      </x:c>
      <x:c r="D1474" s="15" t="n">
        <x:v>3</x:v>
      </x:c>
      <x:c r="E1474" s="11" t="str"/>
      <x:c r="F1474" s="11" t="str">
        <x:v>משכנתא</x:v>
      </x:c>
      <x:c r="G1474" s="17" t="n">
        <x:v>6142</x:v>
      </x:c>
      <x:c r="H1474" s="18" t="str">
        <x:v>דירה כצנלסון</x:v>
      </x:c>
      <x:c r="I1474" s="19" t="str">
        <x:f>IFERROR(INDEX('מיפוי ומקורות'!$C$7:$C$33,MATCH(H1474,'מיפוי ומקורות'!$B$7:$B$33,0)),"לא מסווג")</x:f>
        <x:v>נכס להשקעה</x:v>
      </x:c>
      <x:c r="J1474" s="19" t="str">
        <x:f>IFERROR(INDEX('מיפוי ומקורות'!$D$7:$D$33,MATCH(H1474,'מיפוי ומקורות'!$B$7:$B$33,0)),"שוטף")</x:f>
        <x:v>חריג/נכס</x:v>
      </x:c>
      <x:c r="K1474" s="19" t="str">
        <x:f>IF(OR(H1474="ריביות",AND(H1474="דירה כצנלסון",G1474&lt;0,ISNUMBER(SEARCH("הכנסה",F1474)))),"הכנסה שסווגה מחדש",J1474)</x:f>
        <x:v>חריג/נכס</x:v>
      </x:c>
      <x:c r="L1474" s="19" t="str">
        <x:v>מאושר</x:v>
      </x:c>
      <x:c r="M1474" s="20" t="n">
        <x:f>IF(L1474="מאושר",IF(K1474="הכנסה שסווגה מחדש",0,G1474),0)</x:f>
        <x:v>6142</x:v>
      </x:c>
      <x:c r="N1474" s="20" t="n">
        <x:f>IF(K1474="שוטף",M1474,0)</x:f>
        <x:v>0</x:v>
      </x:c>
      <x:c r="O1474" s="20" t="n">
        <x:f>IF(K1474="הכנסה שסווגה מחדש",-G1474,0)</x:f>
        <x:v>0</x:v>
      </x:c>
      <x:c r="P1474" s="11" t="str">
        <x:v>דיסקונט</x:v>
      </x:c>
      <x:c r="Q1474" s="11" t="str"/>
      <x:c r="R1474" s="11" t="str">
        <x:v>לא</x:v>
      </x:c>
    </x:row>
    <x:row r="1475">
      <x:c r="A1475" s="14" t="n">
        <x:v>46113</x:v>
      </x:c>
      <x:c r="B1475" s="11" t="str">
        <x:v>2026-04</x:v>
      </x:c>
      <x:c r="C1475" s="11" t="str">
        <x:v>אפריל 26</x:v>
      </x:c>
      <x:c r="D1475" s="15" t="n">
        <x:v>4</x:v>
      </x:c>
      <x:c r="E1475" s="11" t="str">
        <x:v>22.04</x:v>
      </x:c>
      <x:c r="F1475" s="11" t="str">
        <x:v>ארנונה</x:v>
      </x:c>
      <x:c r="G1475" s="17" t="n">
        <x:v>1024</x:v>
      </x:c>
      <x:c r="H1475" s="18" t="str">
        <x:v>מגורים</x:v>
      </x:c>
      <x:c r="I1475" s="19" t="str">
        <x:f>IFERROR(INDEX('מיפוי ומקורות'!$C$7:$C$33,MATCH(H1475,'מיפוי ומקורות'!$B$7:$B$33,0)),"לא מסווג")</x:f>
        <x:v>דיור – בית מגורים</x:v>
      </x:c>
      <x:c r="J1475" s="19" t="str">
        <x:f>IFERROR(INDEX('מיפוי ומקורות'!$D$7:$D$33,MATCH(H1475,'מיפוי ומקורות'!$B$7:$B$33,0)),"שוטף")</x:f>
        <x:v>שוטף</x:v>
      </x:c>
      <x:c r="K1475" s="19" t="str">
        <x:f>IF(OR(H1475="ריביות",AND(H1475="דירה כצנלסון",G1475&lt;0,ISNUMBER(SEARCH("הכנסה",F1475)))),"הכנסה שסווגה מחדש",J1475)</x:f>
        <x:v>שוטף</x:v>
      </x:c>
      <x:c r="L1475" s="19" t="str">
        <x:v>מאושר</x:v>
      </x:c>
      <x:c r="M1475" s="20" t="n">
        <x:f>IF(L1475="מאושר",IF(K1475="הכנסה שסווגה מחדש",0,G1475),0)</x:f>
        <x:v>1024</x:v>
      </x:c>
      <x:c r="N1475" s="20" t="n">
        <x:f>IF(K1475="שוטף",M1475,0)</x:f>
        <x:v>1024</x:v>
      </x:c>
      <x:c r="O1475" s="20" t="n">
        <x:f>IF(K1475="הכנסה שסווגה מחדש",-G1475,0)</x:f>
        <x:v>0</x:v>
      </x:c>
      <x:c r="P1475" s="11" t="str">
        <x:v>אמקס - זיו</x:v>
      </x:c>
      <x:c r="Q1475" s="11" t="str"/>
      <x:c r="R1475" s="11" t="str">
        <x:v>לא</x:v>
      </x:c>
    </x:row>
    <x:row r="1476">
      <x:c r="A1476" s="14" t="n">
        <x:v>46113</x:v>
      </x:c>
      <x:c r="B1476" s="11" t="str">
        <x:v>2026-04</x:v>
      </x:c>
      <x:c r="C1476" s="11" t="str">
        <x:v>אפריל 26</x:v>
      </x:c>
      <x:c r="D1476" s="15" t="n">
        <x:v>5</x:v>
      </x:c>
      <x:c r="E1476" s="11" t="str">
        <x:v>2.04</x:v>
      </x:c>
      <x:c r="F1476" s="11" t="str">
        <x:v>חשמל</x:v>
      </x:c>
      <x:c r="G1476" s="17" t="n">
        <x:v>385</x:v>
      </x:c>
      <x:c r="H1476" s="18" t="str">
        <x:v>מגורים</x:v>
      </x:c>
      <x:c r="I1476" s="19" t="str">
        <x:f>IFERROR(INDEX('מיפוי ומקורות'!$C$7:$C$33,MATCH(H1476,'מיפוי ומקורות'!$B$7:$B$33,0)),"לא מסווג")</x:f>
        <x:v>דיור – בית מגורים</x:v>
      </x:c>
      <x:c r="J1476" s="19" t="str">
        <x:f>IFERROR(INDEX('מיפוי ומקורות'!$D$7:$D$33,MATCH(H1476,'מיפוי ומקורות'!$B$7:$B$33,0)),"שוטף")</x:f>
        <x:v>שוטף</x:v>
      </x:c>
      <x:c r="K1476" s="19" t="str">
        <x:f>IF(OR(H1476="ריביות",AND(H1476="דירה כצנלסון",G1476&lt;0,ISNUMBER(SEARCH("הכנסה",F1476)))),"הכנסה שסווגה מחדש",J1476)</x:f>
        <x:v>שוטף</x:v>
      </x:c>
      <x:c r="L1476" s="19" t="str">
        <x:v>מאושר</x:v>
      </x:c>
      <x:c r="M1476" s="20" t="n">
        <x:f>IF(L1476="מאושר",IF(K1476="הכנסה שסווגה מחדש",0,G1476),0)</x:f>
        <x:v>385</x:v>
      </x:c>
      <x:c r="N1476" s="20" t="n">
        <x:f>IF(K1476="שוטף",M1476,0)</x:f>
        <x:v>385</x:v>
      </x:c>
      <x:c r="O1476" s="20" t="n">
        <x:f>IF(K1476="הכנסה שסווגה מחדש",-G1476,0)</x:f>
        <x:v>0</x:v>
      </x:c>
      <x:c r="P1476" s="11" t="str">
        <x:v>אמקס - זיו</x:v>
      </x:c>
      <x:c r="Q1476" s="11" t="str"/>
      <x:c r="R1476" s="11" t="str">
        <x:v>לא</x:v>
      </x:c>
    </x:row>
    <x:row r="1477">
      <x:c r="A1477" s="14" t="n">
        <x:v>46113</x:v>
      </x:c>
      <x:c r="B1477" s="11" t="str">
        <x:v>2026-04</x:v>
      </x:c>
      <x:c r="C1477" s="11" t="str">
        <x:v>אפריל 26</x:v>
      </x:c>
      <x:c r="D1477" s="15" t="n">
        <x:v>6</x:v>
      </x:c>
      <x:c r="E1477" s="11" t="str">
        <x:v>30/04</x:v>
      </x:c>
      <x:c r="F1477" s="11" t="str">
        <x:v>מים</x:v>
      </x:c>
      <x:c r="G1477" s="17" t="n">
        <x:v>173</x:v>
      </x:c>
      <x:c r="H1477" s="18" t="str">
        <x:v>מגורים</x:v>
      </x:c>
      <x:c r="I1477" s="19" t="str">
        <x:f>IFERROR(INDEX('מיפוי ומקורות'!$C$7:$C$33,MATCH(H1477,'מיפוי ומקורות'!$B$7:$B$33,0)),"לא מסווג")</x:f>
        <x:v>דיור – בית מגורים</x:v>
      </x:c>
      <x:c r="J1477" s="19" t="str">
        <x:f>IFERROR(INDEX('מיפוי ומקורות'!$D$7:$D$33,MATCH(H1477,'מיפוי ומקורות'!$B$7:$B$33,0)),"שוטף")</x:f>
        <x:v>שוטף</x:v>
      </x:c>
      <x:c r="K1477" s="19" t="str">
        <x:f>IF(OR(H1477="ריביות",AND(H1477="דירה כצנלסון",G1477&lt;0,ISNUMBER(SEARCH("הכנסה",F1477)))),"הכנסה שסווגה מחדש",J1477)</x:f>
        <x:v>שוטף</x:v>
      </x:c>
      <x:c r="L1477" s="19" t="str">
        <x:v>מאושר</x:v>
      </x:c>
      <x:c r="M1477" s="20" t="n">
        <x:f>IF(L1477="מאושר",IF(K1477="הכנסה שסווגה מחדש",0,G1477),0)</x:f>
        <x:v>173</x:v>
      </x:c>
      <x:c r="N1477" s="20" t="n">
        <x:f>IF(K1477="שוטף",M1477,0)</x:f>
        <x:v>173</x:v>
      </x:c>
      <x:c r="O1477" s="20" t="n">
        <x:f>IF(K1477="הכנסה שסווגה מחדש",-G1477,0)</x:f>
        <x:v>0</x:v>
      </x:c>
      <x:c r="P1477" s="11" t="str">
        <x:v>מקס - עינור</x:v>
      </x:c>
      <x:c r="Q1477" s="11" t="str"/>
      <x:c r="R1477" s="11" t="str">
        <x:v>לא</x:v>
      </x:c>
    </x:row>
    <x:row r="1478">
      <x:c r="A1478" s="14" t="n">
        <x:v>46113</x:v>
      </x:c>
      <x:c r="B1478" s="11" t="str">
        <x:v>2026-04</x:v>
      </x:c>
      <x:c r="C1478" s="11" t="str">
        <x:v>אפריל 26</x:v>
      </x:c>
      <x:c r="D1478" s="15" t="n">
        <x:v>7</x:v>
      </x:c>
      <x:c r="E1478" s="11" t="str"/>
      <x:c r="F1478" s="11" t="str">
        <x:v>גז</x:v>
      </x:c>
      <x:c r="G1478" s="17" t="n">
        <x:v>0</x:v>
      </x:c>
      <x:c r="H1478" s="18" t="str">
        <x:v>מגורים</x:v>
      </x:c>
      <x:c r="I1478" s="19" t="str">
        <x:f>IFERROR(INDEX('מיפוי ומקורות'!$C$7:$C$33,MATCH(H1478,'מיפוי ומקורות'!$B$7:$B$33,0)),"לא מסווג")</x:f>
        <x:v>דיור – בית מגורים</x:v>
      </x:c>
      <x:c r="J1478" s="19" t="str">
        <x:f>IFERROR(INDEX('מיפוי ומקורות'!$D$7:$D$33,MATCH(H1478,'מיפוי ומקורות'!$B$7:$B$33,0)),"שוטף")</x:f>
        <x:v>שוטף</x:v>
      </x:c>
      <x:c r="K1478" s="19" t="str">
        <x:f>IF(OR(H1478="ריביות",AND(H1478="דירה כצנלסון",G1478&lt;0,ISNUMBER(SEARCH("הכנסה",F1478)))),"הכנסה שסווגה מחדש",J1478)</x:f>
        <x:v>שוטף</x:v>
      </x:c>
      <x:c r="L1478" s="19" t="str">
        <x:v>מאושר</x:v>
      </x:c>
      <x:c r="M1478" s="20" t="n">
        <x:f>IF(L1478="מאושר",IF(K1478="הכנסה שסווגה מחדש",0,G1478),0)</x:f>
        <x:v>0</x:v>
      </x:c>
      <x:c r="N1478" s="20" t="n">
        <x:f>IF(K1478="שוטף",M1478,0)</x:f>
        <x:v>0</x:v>
      </x:c>
      <x:c r="O1478" s="20" t="n">
        <x:f>IF(K1478="הכנסה שסווגה מחדש",-G1478,0)</x:f>
        <x:v>0</x:v>
      </x:c>
      <x:c r="P1478" s="11" t="str">
        <x:v>אמקס - זיו</x:v>
      </x:c>
      <x:c r="Q1478" s="11" t="str"/>
      <x:c r="R1478" s="11" t="str">
        <x:v>לא</x:v>
      </x:c>
    </x:row>
    <x:row r="1479">
      <x:c r="A1479" s="14" t="n">
        <x:v>46113</x:v>
      </x:c>
      <x:c r="B1479" s="11" t="str">
        <x:v>2026-04</x:v>
      </x:c>
      <x:c r="C1479" s="11" t="str">
        <x:v>אפריל 26</x:v>
      </x:c>
      <x:c r="D1479" s="15" t="n">
        <x:v>8</x:v>
      </x:c>
      <x:c r="E1479" s="11" t="str"/>
      <x:c r="F1479" s="11" t="str">
        <x:v>ועד בית</x:v>
      </x:c>
      <x:c r="G1479" s="17" t="n">
        <x:v>600</x:v>
      </x:c>
      <x:c r="H1479" s="18" t="str">
        <x:v>מגורים</x:v>
      </x:c>
      <x:c r="I1479" s="19" t="str">
        <x:f>IFERROR(INDEX('מיפוי ומקורות'!$C$7:$C$33,MATCH(H1479,'מיפוי ומקורות'!$B$7:$B$33,0)),"לא מסווג")</x:f>
        <x:v>דיור – בית מגורים</x:v>
      </x:c>
      <x:c r="J1479" s="19" t="str">
        <x:f>IFERROR(INDEX('מיפוי ומקורות'!$D$7:$D$33,MATCH(H1479,'מיפוי ומקורות'!$B$7:$B$33,0)),"שוטף")</x:f>
        <x:v>שוטף</x:v>
      </x:c>
      <x:c r="K1479" s="19" t="str">
        <x:f>IF(OR(H1479="ריביות",AND(H1479="דירה כצנלסון",G1479&lt;0,ISNUMBER(SEARCH("הכנסה",F1479)))),"הכנסה שסווגה מחדש",J1479)</x:f>
        <x:v>שוטף</x:v>
      </x:c>
      <x:c r="L1479" s="19" t="str">
        <x:v>מאושר</x:v>
      </x:c>
      <x:c r="M1479" s="20" t="n">
        <x:f>IF(L1479="מאושר",IF(K1479="הכנסה שסווגה מחדש",0,G1479),0)</x:f>
        <x:v>600</x:v>
      </x:c>
      <x:c r="N1479" s="20" t="n">
        <x:f>IF(K1479="שוטף",M1479,0)</x:f>
        <x:v>600</x:v>
      </x:c>
      <x:c r="O1479" s="20" t="n">
        <x:f>IF(K1479="הכנסה שסווגה מחדש",-G1479,0)</x:f>
        <x:v>0</x:v>
      </x:c>
      <x:c r="P1479" s="11" t="str">
        <x:v>מזומן</x:v>
      </x:c>
      <x:c r="Q1479" s="11" t="str"/>
      <x:c r="R1479" s="11" t="str">
        <x:v>לא</x:v>
      </x:c>
    </x:row>
    <x:row r="1480">
      <x:c r="A1480" s="14" t="n">
        <x:v>46113</x:v>
      </x:c>
      <x:c r="B1480" s="11" t="str">
        <x:v>2026-04</x:v>
      </x:c>
      <x:c r="C1480" s="11" t="str">
        <x:v>אפריל 26</x:v>
      </x:c>
      <x:c r="D1480" s="15" t="n">
        <x:v>9</x:v>
      </x:c>
      <x:c r="E1480" s="11" t="str"/>
      <x:c r="F1480" s="11" t="str">
        <x:v>מנקה</x:v>
      </x:c>
      <x:c r="G1480" s="17" t="n">
        <x:v>1000</x:v>
      </x:c>
      <x:c r="H1480" s="18" t="str">
        <x:v>מגורים</x:v>
      </x:c>
      <x:c r="I1480" s="19" t="str">
        <x:f>IFERROR(INDEX('מיפוי ומקורות'!$C$7:$C$33,MATCH(H1480,'מיפוי ומקורות'!$B$7:$B$33,0)),"לא מסווג")</x:f>
        <x:v>דיור – בית מגורים</x:v>
      </x:c>
      <x:c r="J1480" s="19" t="str">
        <x:f>IFERROR(INDEX('מיפוי ומקורות'!$D$7:$D$33,MATCH(H1480,'מיפוי ומקורות'!$B$7:$B$33,0)),"שוטף")</x:f>
        <x:v>שוטף</x:v>
      </x:c>
      <x:c r="K1480" s="19" t="str">
        <x:f>IF(OR(H1480="ריביות",AND(H1480="דירה כצנלסון",G1480&lt;0,ISNUMBER(SEARCH("הכנסה",F1480)))),"הכנסה שסווגה מחדש",J1480)</x:f>
        <x:v>שוטף</x:v>
      </x:c>
      <x:c r="L1480" s="19" t="str">
        <x:v>מאושר</x:v>
      </x:c>
      <x:c r="M1480" s="20" t="n">
        <x:f>IF(L1480="מאושר",IF(K1480="הכנסה שסווגה מחדש",0,G1480),0)</x:f>
        <x:v>1000</x:v>
      </x:c>
      <x:c r="N1480" s="20" t="n">
        <x:f>IF(K1480="שוטף",M1480,0)</x:f>
        <x:v>1000</x:v>
      </x:c>
      <x:c r="O1480" s="20" t="n">
        <x:f>IF(K1480="הכנסה שסווגה מחדש",-G1480,0)</x:f>
        <x:v>0</x:v>
      </x:c>
      <x:c r="P1480" s="11" t="str">
        <x:v>מזומן</x:v>
      </x:c>
      <x:c r="Q1480" s="11" t="str"/>
      <x:c r="R1480" s="11" t="str">
        <x:v>לא</x:v>
      </x:c>
    </x:row>
    <x:row r="1481">
      <x:c r="A1481" s="14" t="n">
        <x:v>46113</x:v>
      </x:c>
      <x:c r="B1481" s="11" t="str">
        <x:v>2026-04</x:v>
      </x:c>
      <x:c r="C1481" s="11" t="str">
        <x:v>אפריל 26</x:v>
      </x:c>
      <x:c r="D1481" s="15" t="n">
        <x:v>10</x:v>
      </x:c>
      <x:c r="E1481" s="11" t="str">
        <x:v>26.04</x:v>
      </x:c>
      <x:c r="F1481" s="11" t="str">
        <x:v>אינטרנט</x:v>
      </x:c>
      <x:c r="G1481" s="17" t="n">
        <x:v>79</x:v>
      </x:c>
      <x:c r="H1481" s="18" t="str">
        <x:v>מגורים</x:v>
      </x:c>
      <x:c r="I1481" s="19" t="str">
        <x:f>IFERROR(INDEX('מיפוי ומקורות'!$C$7:$C$33,MATCH(H1481,'מיפוי ומקורות'!$B$7:$B$33,0)),"לא מסווג")</x:f>
        <x:v>דיור – בית מגורים</x:v>
      </x:c>
      <x:c r="J1481" s="19" t="str">
        <x:f>IFERROR(INDEX('מיפוי ומקורות'!$D$7:$D$33,MATCH(H1481,'מיפוי ומקורות'!$B$7:$B$33,0)),"שוטף")</x:f>
        <x:v>שוטף</x:v>
      </x:c>
      <x:c r="K1481" s="19" t="str">
        <x:f>IF(OR(H1481="ריביות",AND(H1481="דירה כצנלסון",G1481&lt;0,ISNUMBER(SEARCH("הכנסה",F1481)))),"הכנסה שסווגה מחדש",J1481)</x:f>
        <x:v>שוטף</x:v>
      </x:c>
      <x:c r="L1481" s="19" t="str">
        <x:v>מאושר</x:v>
      </x:c>
      <x:c r="M1481" s="20" t="n">
        <x:f>IF(L1481="מאושר",IF(K1481="הכנסה שסווגה מחדש",0,G1481),0)</x:f>
        <x:v>79</x:v>
      </x:c>
      <x:c r="N1481" s="20" t="n">
        <x:f>IF(K1481="שוטף",M1481,0)</x:f>
        <x:v>79</x:v>
      </x:c>
      <x:c r="O1481" s="20" t="n">
        <x:f>IF(K1481="הכנסה שסווגה מחדש",-G1481,0)</x:f>
        <x:v>0</x:v>
      </x:c>
      <x:c r="P1481" s="11" t="str">
        <x:v>אמקס - זיו</x:v>
      </x:c>
      <x:c r="Q1481" s="11" t="str"/>
      <x:c r="R1481" s="11" t="str">
        <x:v>לא</x:v>
      </x:c>
    </x:row>
    <x:row r="1482">
      <x:c r="A1482" s="14" t="n">
        <x:v>46113</x:v>
      </x:c>
      <x:c r="B1482" s="11" t="str">
        <x:v>2026-04</x:v>
      </x:c>
      <x:c r="C1482" s="11" t="str">
        <x:v>אפריל 26</x:v>
      </x:c>
      <x:c r="D1482" s="15" t="n">
        <x:v>11</x:v>
      </x:c>
      <x:c r="E1482" s="11" t="str">
        <x:v>12.04</x:v>
      </x:c>
      <x:c r="F1482" s="11" t="str">
        <x:v>סלולר</x:v>
      </x:c>
      <x:c r="G1482" s="17" t="n">
        <x:v>59</x:v>
      </x:c>
      <x:c r="H1482" s="18" t="str">
        <x:v>מגורים</x:v>
      </x:c>
      <x:c r="I1482" s="19" t="str">
        <x:f>IFERROR(INDEX('מיפוי ומקורות'!$C$7:$C$33,MATCH(H1482,'מיפוי ומקורות'!$B$7:$B$33,0)),"לא מסווג")</x:f>
        <x:v>דיור – בית מגורים</x:v>
      </x:c>
      <x:c r="J1482" s="19" t="str">
        <x:f>IFERROR(INDEX('מיפוי ומקורות'!$D$7:$D$33,MATCH(H1482,'מיפוי ומקורות'!$B$7:$B$33,0)),"שוטף")</x:f>
        <x:v>שוטף</x:v>
      </x:c>
      <x:c r="K1482" s="19" t="str">
        <x:f>IF(OR(H1482="ריביות",AND(H1482="דירה כצנלסון",G1482&lt;0,ISNUMBER(SEARCH("הכנסה",F1482)))),"הכנסה שסווגה מחדש",J1482)</x:f>
        <x:v>שוטף</x:v>
      </x:c>
      <x:c r="L1482" s="19" t="str">
        <x:v>מאושר</x:v>
      </x:c>
      <x:c r="M1482" s="20" t="n">
        <x:f>IF(L1482="מאושר",IF(K1482="הכנסה שסווגה מחדש",0,G1482),0)</x:f>
        <x:v>59</x:v>
      </x:c>
      <x:c r="N1482" s="20" t="n">
        <x:f>IF(K1482="שוטף",M1482,0)</x:f>
        <x:v>59</x:v>
      </x:c>
      <x:c r="O1482" s="20" t="n">
        <x:f>IF(K1482="הכנסה שסווגה מחדש",-G1482,0)</x:f>
        <x:v>0</x:v>
      </x:c>
      <x:c r="P1482" s="11" t="str">
        <x:v>אמקס - זיו</x:v>
      </x:c>
      <x:c r="Q1482" s="11" t="str"/>
      <x:c r="R1482" s="11" t="str">
        <x:v>לא</x:v>
      </x:c>
    </x:row>
    <x:row r="1483">
      <x:c r="A1483" s="14" t="n">
        <x:v>46113</x:v>
      </x:c>
      <x:c r="B1483" s="11" t="str">
        <x:v>2026-04</x:v>
      </x:c>
      <x:c r="C1483" s="11" t="str">
        <x:v>אפריל 26</x:v>
      </x:c>
      <x:c r="D1483" s="15" t="n">
        <x:v>12</x:v>
      </x:c>
      <x:c r="E1483" s="11" t="str">
        <x:v>27.04</x:v>
      </x:c>
      <x:c r="F1483" s="11" t="str">
        <x:v>ביטוח מבנה</x:v>
      </x:c>
      <x:c r="G1483" s="17" t="n">
        <x:v>71</x:v>
      </x:c>
      <x:c r="H1483" s="18" t="str">
        <x:v>דירה כצנלסון</x:v>
      </x:c>
      <x:c r="I1483" s="19" t="str">
        <x:f>IFERROR(INDEX('מיפוי ומקורות'!$C$7:$C$33,MATCH(H1483,'מיפוי ומקורות'!$B$7:$B$33,0)),"לא מסווג")</x:f>
        <x:v>נכס להשקעה</x:v>
      </x:c>
      <x:c r="J1483" s="19" t="str">
        <x:f>IFERROR(INDEX('מיפוי ומקורות'!$D$7:$D$33,MATCH(H1483,'מיפוי ומקורות'!$B$7:$B$33,0)),"שוטף")</x:f>
        <x:v>חריג/נכס</x:v>
      </x:c>
      <x:c r="K1483" s="19" t="str">
        <x:f>IF(OR(H1483="ריביות",AND(H1483="דירה כצנלסון",G1483&lt;0,ISNUMBER(SEARCH("הכנסה",F1483)))),"הכנסה שסווגה מחדש",J1483)</x:f>
        <x:v>חריג/נכס</x:v>
      </x:c>
      <x:c r="L1483" s="19" t="str">
        <x:v>מאושר</x:v>
      </x:c>
      <x:c r="M1483" s="20" t="n">
        <x:f>IF(L1483="מאושר",IF(K1483="הכנסה שסווגה מחדש",0,G1483),0)</x:f>
        <x:v>71</x:v>
      </x:c>
      <x:c r="N1483" s="20" t="n">
        <x:f>IF(K1483="שוטף",M1483,0)</x:f>
        <x:v>0</x:v>
      </x:c>
      <x:c r="O1483" s="20" t="n">
        <x:f>IF(K1483="הכנסה שסווגה מחדש",-G1483,0)</x:f>
        <x:v>0</x:v>
      </x:c>
      <x:c r="P1483" s="11" t="str">
        <x:v>אמקס - זיו</x:v>
      </x:c>
      <x:c r="Q1483" s="11" t="str"/>
      <x:c r="R1483" s="11" t="str">
        <x:v>לא</x:v>
      </x:c>
    </x:row>
    <x:row r="1484">
      <x:c r="A1484" s="14" t="n">
        <x:v>46113</x:v>
      </x:c>
      <x:c r="B1484" s="11" t="str">
        <x:v>2026-04</x:v>
      </x:c>
      <x:c r="C1484" s="11" t="str">
        <x:v>אפריל 26</x:v>
      </x:c>
      <x:c r="D1484" s="15" t="n">
        <x:v>13</x:v>
      </x:c>
      <x:c r="E1484" s="11" t="str">
        <x:v>28.04</x:v>
      </x:c>
      <x:c r="F1484" s="11" t="str">
        <x:v>ביטוח חיים</x:v>
      </x:c>
      <x:c r="G1484" s="17" t="n">
        <x:v>36</x:v>
      </x:c>
      <x:c r="H1484" s="18" t="str">
        <x:v>דירה כצנלסון</x:v>
      </x:c>
      <x:c r="I1484" s="19" t="str">
        <x:f>IFERROR(INDEX('מיפוי ומקורות'!$C$7:$C$33,MATCH(H1484,'מיפוי ומקורות'!$B$7:$B$33,0)),"לא מסווג")</x:f>
        <x:v>נכס להשקעה</x:v>
      </x:c>
      <x:c r="J1484" s="19" t="str">
        <x:f>IFERROR(INDEX('מיפוי ומקורות'!$D$7:$D$33,MATCH(H1484,'מיפוי ומקורות'!$B$7:$B$33,0)),"שוטף")</x:f>
        <x:v>חריג/נכס</x:v>
      </x:c>
      <x:c r="K1484" s="19" t="str">
        <x:f>IF(OR(H1484="ריביות",AND(H1484="דירה כצנלסון",G1484&lt;0,ISNUMBER(SEARCH("הכנסה",F1484)))),"הכנסה שסווגה מחדש",J1484)</x:f>
        <x:v>חריג/נכס</x:v>
      </x:c>
      <x:c r="L1484" s="19" t="str">
        <x:v>מאושר</x:v>
      </x:c>
      <x:c r="M1484" s="20" t="n">
        <x:f>IF(L1484="מאושר",IF(K1484="הכנסה שסווגה מחדש",0,G1484),0)</x:f>
        <x:v>36</x:v>
      </x:c>
      <x:c r="N1484" s="20" t="n">
        <x:f>IF(K1484="שוטף",M1484,0)</x:f>
        <x:v>0</x:v>
      </x:c>
      <x:c r="O1484" s="20" t="n">
        <x:f>IF(K1484="הכנסה שסווגה מחדש",-G1484,0)</x:f>
        <x:v>0</x:v>
      </x:c>
      <x:c r="P1484" s="11" t="str">
        <x:v>אמקס - זיו</x:v>
      </x:c>
      <x:c r="Q1484" s="11" t="str"/>
      <x:c r="R1484" s="11" t="str">
        <x:v>לא</x:v>
      </x:c>
    </x:row>
    <x:row r="1485">
      <x:c r="A1485" s="14" t="n">
        <x:v>46113</x:v>
      </x:c>
      <x:c r="B1485" s="11" t="str">
        <x:v>2026-04</x:v>
      </x:c>
      <x:c r="C1485" s="11" t="str">
        <x:v>אפריל 26</x:v>
      </x:c>
      <x:c r="D1485" s="15" t="n">
        <x:v>14</x:v>
      </x:c>
      <x:c r="E1485" s="11" t="str">
        <x:v>26.04</x:v>
      </x:c>
      <x:c r="F1485" s="11" t="str">
        <x:v>ביטוח בריאות</x:v>
      </x:c>
      <x:c r="G1485" s="17" t="n">
        <x:v>115</x:v>
      </x:c>
      <x:c r="H1485" s="18" t="str">
        <x:v>ביטוח</x:v>
      </x:c>
      <x:c r="I1485" s="19" t="str">
        <x:f>IFERROR(INDEX('מיפוי ומקורות'!$C$7:$C$33,MATCH(H1485,'מיפוי ומקורות'!$B$7:$B$33,0)),"לא מסווג")</x:f>
        <x:v>ביטוח</x:v>
      </x:c>
      <x:c r="J1485" s="19" t="str">
        <x:f>IFERROR(INDEX('מיפוי ומקורות'!$D$7:$D$33,MATCH(H1485,'מיפוי ומקורות'!$B$7:$B$33,0)),"שוטף")</x:f>
        <x:v>שוטף</x:v>
      </x:c>
      <x:c r="K1485" s="19" t="str">
        <x:f>IF(OR(H1485="ריביות",AND(H1485="דירה כצנלסון",G1485&lt;0,ISNUMBER(SEARCH("הכנסה",F1485)))),"הכנסה שסווגה מחדש",J1485)</x:f>
        <x:v>שוטף</x:v>
      </x:c>
      <x:c r="L1485" s="19" t="str">
        <x:v>מאושר</x:v>
      </x:c>
      <x:c r="M1485" s="20" t="n">
        <x:f>IF(L1485="מאושר",IF(K1485="הכנסה שסווגה מחדש",0,G1485),0)</x:f>
        <x:v>115</x:v>
      </x:c>
      <x:c r="N1485" s="20" t="n">
        <x:f>IF(K1485="שוטף",M1485,0)</x:f>
        <x:v>115</x:v>
      </x:c>
      <x:c r="O1485" s="20" t="n">
        <x:f>IF(K1485="הכנסה שסווגה מחדש",-G1485,0)</x:f>
        <x:v>0</x:v>
      </x:c>
      <x:c r="P1485" s="11" t="str">
        <x:v>אמקס - עינור</x:v>
      </x:c>
      <x:c r="Q1485" s="11" t="str"/>
      <x:c r="R1485" s="11" t="str">
        <x:v>לא</x:v>
      </x:c>
    </x:row>
    <x:row r="1486">
      <x:c r="A1486" s="14" t="n">
        <x:v>46113</x:v>
      </x:c>
      <x:c r="B1486" s="11" t="str">
        <x:v>2026-04</x:v>
      </x:c>
      <x:c r="C1486" s="11" t="str">
        <x:v>אפריל 26</x:v>
      </x:c>
      <x:c r="D1486" s="15" t="n">
        <x:v>15</x:v>
      </x:c>
      <x:c r="E1486" s="11" t="str">
        <x:v>3.04</x:v>
      </x:c>
      <x:c r="F1486" s="11" t="str">
        <x:v>מכבי עינור</x:v>
      </x:c>
      <x:c r="G1486" s="17" t="n">
        <x:v>96</x:v>
      </x:c>
      <x:c r="H1486" s="18" t="str">
        <x:v>בריאות</x:v>
      </x:c>
      <x:c r="I1486" s="19" t="str">
        <x:f>IFERROR(INDEX('מיפוי ומקורות'!$C$7:$C$33,MATCH(H1486,'מיפוי ומקורות'!$B$7:$B$33,0)),"לא מסווג")</x:f>
        <x:v>בריאות וטיפולים</x:v>
      </x:c>
      <x:c r="J1486" s="19" t="str">
        <x:f>IFERROR(INDEX('מיפוי ומקורות'!$D$7:$D$33,MATCH(H1486,'מיפוי ומקורות'!$B$7:$B$33,0)),"שוטף")</x:f>
        <x:v>שוטף</x:v>
      </x:c>
      <x:c r="K1486" s="19" t="str">
        <x:f>IF(OR(H1486="ריביות",AND(H1486="דירה כצנלסון",G1486&lt;0,ISNUMBER(SEARCH("הכנסה",F1486)))),"הכנסה שסווגה מחדש",J1486)</x:f>
        <x:v>שוטף</x:v>
      </x:c>
      <x:c r="L1486" s="19" t="str">
        <x:v>מאושר</x:v>
      </x:c>
      <x:c r="M1486" s="20" t="n">
        <x:f>IF(L1486="מאושר",IF(K1486="הכנסה שסווגה מחדש",0,G1486),0)</x:f>
        <x:v>96</x:v>
      </x:c>
      <x:c r="N1486" s="20" t="n">
        <x:f>IF(K1486="שוטף",M1486,0)</x:f>
        <x:v>96</x:v>
      </x:c>
      <x:c r="O1486" s="20" t="n">
        <x:f>IF(K1486="הכנסה שסווגה מחדש",-G1486,0)</x:f>
        <x:v>0</x:v>
      </x:c>
      <x:c r="P1486" s="11" t="str">
        <x:v>אמקס - עינור</x:v>
      </x:c>
      <x:c r="Q1486" s="11" t="str"/>
      <x:c r="R1486" s="11" t="str">
        <x:v>לא</x:v>
      </x:c>
    </x:row>
    <x:row r="1487">
      <x:c r="A1487" s="14" t="n">
        <x:v>46113</x:v>
      </x:c>
      <x:c r="B1487" s="11" t="str">
        <x:v>2026-04</x:v>
      </x:c>
      <x:c r="C1487" s="11" t="str">
        <x:v>אפריל 26</x:v>
      </x:c>
      <x:c r="D1487" s="15" t="n">
        <x:v>16</x:v>
      </x:c>
      <x:c r="E1487" s="11" t="str">
        <x:v>3.04</x:v>
      </x:c>
      <x:c r="F1487" s="11" t="str">
        <x:v>מכבי זיו</x:v>
      </x:c>
      <x:c r="G1487" s="17" t="n">
        <x:v>89</x:v>
      </x:c>
      <x:c r="H1487" s="18" t="str">
        <x:v>בריאות</x:v>
      </x:c>
      <x:c r="I1487" s="19" t="str">
        <x:f>IFERROR(INDEX('מיפוי ומקורות'!$C$7:$C$33,MATCH(H1487,'מיפוי ומקורות'!$B$7:$B$33,0)),"לא מסווג")</x:f>
        <x:v>בריאות וטיפולים</x:v>
      </x:c>
      <x:c r="J1487" s="19" t="str">
        <x:f>IFERROR(INDEX('מיפוי ומקורות'!$D$7:$D$33,MATCH(H1487,'מיפוי ומקורות'!$B$7:$B$33,0)),"שוטף")</x:f>
        <x:v>שוטף</x:v>
      </x:c>
      <x:c r="K1487" s="19" t="str">
        <x:f>IF(OR(H1487="ריביות",AND(H1487="דירה כצנלסון",G1487&lt;0,ISNUMBER(SEARCH("הכנסה",F1487)))),"הכנסה שסווגה מחדש",J1487)</x:f>
        <x:v>שוטף</x:v>
      </x:c>
      <x:c r="L1487" s="19" t="str">
        <x:v>מאושר</x:v>
      </x:c>
      <x:c r="M1487" s="20" t="n">
        <x:f>IF(L1487="מאושר",IF(K1487="הכנסה שסווגה מחדש",0,G1487),0)</x:f>
        <x:v>89</x:v>
      </x:c>
      <x:c r="N1487" s="20" t="n">
        <x:f>IF(K1487="שוטף",M1487,0)</x:f>
        <x:v>89</x:v>
      </x:c>
      <x:c r="O1487" s="20" t="n">
        <x:f>IF(K1487="הכנסה שסווגה מחדש",-G1487,0)</x:f>
        <x:v>0</x:v>
      </x:c>
      <x:c r="P1487" s="11" t="str">
        <x:v>אמקס - זיו</x:v>
      </x:c>
      <x:c r="Q1487" s="11" t="str"/>
      <x:c r="R1487" s="11" t="str">
        <x:v>לא</x:v>
      </x:c>
    </x:row>
    <x:row r="1488">
      <x:c r="A1488" s="14" t="n">
        <x:v>46113</x:v>
      </x:c>
      <x:c r="B1488" s="11" t="str">
        <x:v>2026-04</x:v>
      </x:c>
      <x:c r="C1488" s="11" t="str">
        <x:v>אפריל 26</x:v>
      </x:c>
      <x:c r="D1488" s="15" t="n">
        <x:v>17</x:v>
      </x:c>
      <x:c r="E1488" s="11" t="str">
        <x:v>15.01</x:v>
      </x:c>
      <x:c r="F1488" s="11" t="str">
        <x:v>קאנטרי</x:v>
      </x:c>
      <x:c r="G1488" s="17" t="n">
        <x:v>632</x:v>
      </x:c>
      <x:c r="H1488" s="18" t="str">
        <x:v>ספורט</x:v>
      </x:c>
      <x:c r="I1488" s="19" t="str">
        <x:f>IFERROR(INDEX('מיפוי ומקורות'!$C$7:$C$33,MATCH(H1488,'מיפוי ומקורות'!$B$7:$B$33,0)),"לא מסווג")</x:f>
        <x:v>ספורט</x:v>
      </x:c>
      <x:c r="J1488" s="19" t="str">
        <x:f>IFERROR(INDEX('מיפוי ומקורות'!$D$7:$D$33,MATCH(H1488,'מיפוי ומקורות'!$B$7:$B$33,0)),"שוטף")</x:f>
        <x:v>שוטף</x:v>
      </x:c>
      <x:c r="K1488" s="19" t="str">
        <x:f>IF(OR(H1488="ריביות",AND(H1488="דירה כצנלסון",G1488&lt;0,ISNUMBER(SEARCH("הכנסה",F1488)))),"הכנסה שסווגה מחדש",J1488)</x:f>
        <x:v>שוטף</x:v>
      </x:c>
      <x:c r="L1488" s="19" t="str">
        <x:v>מאושר</x:v>
      </x:c>
      <x:c r="M1488" s="20" t="n">
        <x:f>IF(L1488="מאושר",IF(K1488="הכנסה שסווגה מחדש",0,G1488),0)</x:f>
        <x:v>632</x:v>
      </x:c>
      <x:c r="N1488" s="20" t="n">
        <x:f>IF(K1488="שוטף",M1488,0)</x:f>
        <x:v>632</x:v>
      </x:c>
      <x:c r="O1488" s="20" t="n">
        <x:f>IF(K1488="הכנסה שסווגה מחדש",-G1488,0)</x:f>
        <x:v>0</x:v>
      </x:c>
      <x:c r="P1488" s="11" t="str">
        <x:v>אמקס - זיו</x:v>
      </x:c>
      <x:c r="Q1488" s="11" t="str"/>
      <x:c r="R1488" s="11" t="str">
        <x:v>לא</x:v>
      </x:c>
    </x:row>
    <x:row r="1489">
      <x:c r="A1489" s="14" t="n">
        <x:v>46113</x:v>
      </x:c>
      <x:c r="B1489" s="11" t="str">
        <x:v>2026-04</x:v>
      </x:c>
      <x:c r="C1489" s="11" t="str">
        <x:v>אפריל 26</x:v>
      </x:c>
      <x:c r="D1489" s="15" t="n">
        <x:v>18</x:v>
      </x:c>
      <x:c r="E1489" s="11" t="str">
        <x:v>26.01</x:v>
      </x:c>
      <x:c r="F1489" s="11" t="str">
        <x:v>ביטוח רכב חובה</x:v>
      </x:c>
      <x:c r="G1489" s="17" t="n">
        <x:v>130</x:v>
      </x:c>
      <x:c r="H1489" s="18" t="str">
        <x:v>תחבורה</x:v>
      </x:c>
      <x:c r="I1489" s="19" t="str">
        <x:f>IFERROR(INDEX('מיפוי ומקורות'!$C$7:$C$33,MATCH(H1489,'מיפוי ומקורות'!$B$7:$B$33,0)),"לא מסווג")</x:f>
        <x:v>תחבורה</x:v>
      </x:c>
      <x:c r="J1489" s="19" t="str">
        <x:f>IFERROR(INDEX('מיפוי ומקורות'!$D$7:$D$33,MATCH(H1489,'מיפוי ומקורות'!$B$7:$B$33,0)),"שוטף")</x:f>
        <x:v>שוטף</x:v>
      </x:c>
      <x:c r="K1489" s="19" t="str">
        <x:f>IF(OR(H1489="ריביות",AND(H1489="דירה כצנלסון",G1489&lt;0,ISNUMBER(SEARCH("הכנסה",F1489)))),"הכנסה שסווגה מחדש",J1489)</x:f>
        <x:v>שוטף</x:v>
      </x:c>
      <x:c r="L1489" s="19" t="str">
        <x:v>מאושר</x:v>
      </x:c>
      <x:c r="M1489" s="20" t="n">
        <x:f>IF(L1489="מאושר",IF(K1489="הכנסה שסווגה מחדש",0,G1489),0)</x:f>
        <x:v>130</x:v>
      </x:c>
      <x:c r="N1489" s="20" t="n">
        <x:f>IF(K1489="שוטף",M1489,0)</x:f>
        <x:v>130</x:v>
      </x:c>
      <x:c r="O1489" s="20" t="n">
        <x:f>IF(K1489="הכנסה שסווגה מחדש",-G1489,0)</x:f>
        <x:v>0</x:v>
      </x:c>
      <x:c r="P1489" s="11" t="str">
        <x:v>אמקס - זיו</x:v>
      </x:c>
      <x:c r="Q1489" s="11" t="str"/>
      <x:c r="R1489" s="11" t="str">
        <x:v>לא</x:v>
      </x:c>
    </x:row>
    <x:row r="1490">
      <x:c r="A1490" s="14" t="n">
        <x:v>46113</x:v>
      </x:c>
      <x:c r="B1490" s="11" t="str">
        <x:v>2026-04</x:v>
      </x:c>
      <x:c r="C1490" s="11" t="str">
        <x:v>אפריל 26</x:v>
      </x:c>
      <x:c r="D1490" s="15" t="n">
        <x:v>19</x:v>
      </x:c>
      <x:c r="E1490" s="11" t="str"/>
      <x:c r="F1490" s="11" t="str">
        <x:v>האקדמיה האורגזמית</x:v>
      </x:c>
      <x:c r="G1490" s="17" t="n">
        <x:v>97</x:v>
      </x:c>
      <x:c r="H1490" s="18" t="str">
        <x:v>טיפולים</x:v>
      </x:c>
      <x:c r="I1490" s="19" t="str">
        <x:f>IFERROR(INDEX('מיפוי ומקורות'!$C$7:$C$33,MATCH(H1490,'מיפוי ומקורות'!$B$7:$B$33,0)),"לא מסווג")</x:f>
        <x:v>בריאות וטיפולים</x:v>
      </x:c>
      <x:c r="J1490" s="19" t="str">
        <x:f>IFERROR(INDEX('מיפוי ומקורות'!$D$7:$D$33,MATCH(H1490,'מיפוי ומקורות'!$B$7:$B$33,0)),"שוטף")</x:f>
        <x:v>שוטף</x:v>
      </x:c>
      <x:c r="K1490" s="19" t="str">
        <x:f>IF(OR(H1490="ריביות",AND(H1490="דירה כצנלסון",G1490&lt;0,ISNUMBER(SEARCH("הכנסה",F1490)))),"הכנסה שסווגה מחדש",J1490)</x:f>
        <x:v>שוטף</x:v>
      </x:c>
      <x:c r="L1490" s="19" t="str">
        <x:v>מאושר</x:v>
      </x:c>
      <x:c r="M1490" s="20" t="n">
        <x:f>IF(L1490="מאושר",IF(K1490="הכנסה שסווגה מחדש",0,G1490),0)</x:f>
        <x:v>97</x:v>
      </x:c>
      <x:c r="N1490" s="20" t="n">
        <x:f>IF(K1490="שוטף",M1490,0)</x:f>
        <x:v>97</x:v>
      </x:c>
      <x:c r="O1490" s="20" t="n">
        <x:f>IF(K1490="הכנסה שסווגה מחדש",-G1490,0)</x:f>
        <x:v>0</x:v>
      </x:c>
      <x:c r="P1490" s="11" t="str">
        <x:v>מקס - עינור</x:v>
      </x:c>
      <x:c r="Q1490" s="11" t="str"/>
      <x:c r="R1490" s="11" t="str">
        <x:v>לא</x:v>
      </x:c>
    </x:row>
    <x:row r="1491">
      <x:c r="A1491" s="14" t="n">
        <x:v>46113</x:v>
      </x:c>
      <x:c r="B1491" s="11" t="str">
        <x:v>2026-04</x:v>
      </x:c>
      <x:c r="C1491" s="11" t="str">
        <x:v>אפריל 26</x:v>
      </x:c>
      <x:c r="D1491" s="15" t="n">
        <x:v>20</x:v>
      </x:c>
      <x:c r="E1491" s="11" t="str">
        <x:v>3/4</x:v>
      </x:c>
      <x:c r="F1491" s="11" t="str">
        <x:v>ליאת</x:v>
      </x:c>
      <x:c r="G1491" s="17" t="n">
        <x:v>1800</x:v>
      </x:c>
      <x:c r="H1491" s="18" t="str">
        <x:v>טיפולים</x:v>
      </x:c>
      <x:c r="I1491" s="19" t="str">
        <x:f>IFERROR(INDEX('מיפוי ומקורות'!$C$7:$C$33,MATCH(H1491,'מיפוי ומקורות'!$B$7:$B$33,0)),"לא מסווג")</x:f>
        <x:v>בריאות וטיפולים</x:v>
      </x:c>
      <x:c r="J1491" s="19" t="str">
        <x:f>IFERROR(INDEX('מיפוי ומקורות'!$D$7:$D$33,MATCH(H1491,'מיפוי ומקורות'!$B$7:$B$33,0)),"שוטף")</x:f>
        <x:v>שוטף</x:v>
      </x:c>
      <x:c r="K1491" s="19" t="str">
        <x:f>IF(OR(H1491="ריביות",AND(H1491="דירה כצנלסון",G1491&lt;0,ISNUMBER(SEARCH("הכנסה",F1491)))),"הכנסה שסווגה מחדש",J1491)</x:f>
        <x:v>שוטף</x:v>
      </x:c>
      <x:c r="L1491" s="19" t="str">
        <x:v>מאושר</x:v>
      </x:c>
      <x:c r="M1491" s="20" t="n">
        <x:f>IF(L1491="מאושר",IF(K1491="הכנסה שסווגה מחדש",0,G1491),0)</x:f>
        <x:v>1800</x:v>
      </x:c>
      <x:c r="N1491" s="20" t="n">
        <x:f>IF(K1491="שוטף",M1491,0)</x:f>
        <x:v>1800</x:v>
      </x:c>
      <x:c r="O1491" s="20" t="n">
        <x:f>IF(K1491="הכנסה שסווגה מחדש",-G1491,0)</x:f>
        <x:v>0</x:v>
      </x:c>
      <x:c r="P1491" s="11" t="str">
        <x:v>one zero</x:v>
      </x:c>
      <x:c r="Q1491" s="11" t="str"/>
      <x:c r="R1491" s="11" t="str">
        <x:v>לא</x:v>
      </x:c>
    </x:row>
    <x:row r="1492">
      <x:c r="A1492" s="14" t="n">
        <x:v>46113</x:v>
      </x:c>
      <x:c r="B1492" s="11" t="str">
        <x:v>2026-04</x:v>
      </x:c>
      <x:c r="C1492" s="11" t="str">
        <x:v>אפריל 26</x:v>
      </x:c>
      <x:c r="D1492" s="15" t="n">
        <x:v>21</x:v>
      </x:c>
      <x:c r="E1492" s="11" t="str">
        <x:v>10/4</x:v>
      </x:c>
      <x:c r="F1492" s="11" t="str">
        <x:v>נוריות</x:v>
      </x:c>
      <x:c r="G1492" s="17" t="n">
        <x:v>120</x:v>
      </x:c>
      <x:c r="H1492" s="18" t="str">
        <x:v>פנאי</x:v>
      </x:c>
      <x:c r="I1492" s="19" t="str">
        <x:f>IFERROR(INDEX('מיפוי ומקורות'!$C$7:$C$33,MATCH(H1492,'מיפוי ומקורות'!$B$7:$B$33,0)),"לא מסווג")</x:f>
        <x:v>פנאי</x:v>
      </x:c>
      <x:c r="J1492" s="19" t="str">
        <x:f>IFERROR(INDEX('מיפוי ומקורות'!$D$7:$D$33,MATCH(H1492,'מיפוי ומקורות'!$B$7:$B$33,0)),"שוטף")</x:f>
        <x:v>שוטף</x:v>
      </x:c>
      <x:c r="K1492" s="19" t="str">
        <x:f>IF(OR(H1492="ריביות",AND(H1492="דירה כצנלסון",G1492&lt;0,ISNUMBER(SEARCH("הכנסה",F1492)))),"הכנסה שסווגה מחדש",J1492)</x:f>
        <x:v>שוטף</x:v>
      </x:c>
      <x:c r="L1492" s="19" t="str">
        <x:v>מאושר</x:v>
      </x:c>
      <x:c r="M1492" s="20" t="n">
        <x:f>IF(L1492="מאושר",IF(K1492="הכנסה שסווגה מחדש",0,G1492),0)</x:f>
        <x:v>120</x:v>
      </x:c>
      <x:c r="N1492" s="20" t="n">
        <x:f>IF(K1492="שוטף",M1492,0)</x:f>
        <x:v>120</x:v>
      </x:c>
      <x:c r="O1492" s="20" t="n">
        <x:f>IF(K1492="הכנסה שסווגה מחדש",-G1492,0)</x:f>
        <x:v>0</x:v>
      </x:c>
      <x:c r="P1492" s="11" t="str">
        <x:v>one zero - זיו</x:v>
      </x:c>
      <x:c r="Q1492" s="11" t="str"/>
      <x:c r="R1492" s="11" t="str">
        <x:v>לא</x:v>
      </x:c>
    </x:row>
    <x:row r="1493">
      <x:c r="A1493" s="14" t="n">
        <x:v>46113</x:v>
      </x:c>
      <x:c r="B1493" s="11" t="str">
        <x:v>2026-04</x:v>
      </x:c>
      <x:c r="C1493" s="11" t="str">
        <x:v>אפריל 26</x:v>
      </x:c>
      <x:c r="D1493" s="15" t="n">
        <x:v>22</x:v>
      </x:c>
      <x:c r="E1493" s="11" t="str">
        <x:v>10/4</x:v>
      </x:c>
      <x:c r="F1493" s="11" t="str">
        <x:v>מאפיה</x:v>
      </x:c>
      <x:c r="G1493" s="17" t="n">
        <x:v>33</x:v>
      </x:c>
      <x:c r="H1493" s="18" t="str">
        <x:v>אוכל בחוץ</x:v>
      </x:c>
      <x:c r="I1493" s="19" t="str">
        <x:f>IFERROR(INDEX('מיפוי ומקורות'!$C$7:$C$33,MATCH(H1493,'מיפוי ומקורות'!$B$7:$B$33,0)),"לא מסווג")</x:f>
        <x:v>אוכל בחוץ</x:v>
      </x:c>
      <x:c r="J1493" s="19" t="str">
        <x:f>IFERROR(INDEX('מיפוי ומקורות'!$D$7:$D$33,MATCH(H1493,'מיפוי ומקורות'!$B$7:$B$33,0)),"שוטף")</x:f>
        <x:v>שוטף</x:v>
      </x:c>
      <x:c r="K1493" s="19" t="str">
        <x:f>IF(OR(H1493="ריביות",AND(H1493="דירה כצנלסון",G1493&lt;0,ISNUMBER(SEARCH("הכנסה",F1493)))),"הכנסה שסווגה מחדש",J1493)</x:f>
        <x:v>שוטף</x:v>
      </x:c>
      <x:c r="L1493" s="19" t="str">
        <x:v>מאושר</x:v>
      </x:c>
      <x:c r="M1493" s="20" t="n">
        <x:f>IF(L1493="מאושר",IF(K1493="הכנסה שסווגה מחדש",0,G1493),0)</x:f>
        <x:v>33</x:v>
      </x:c>
      <x:c r="N1493" s="20" t="n">
        <x:f>IF(K1493="שוטף",M1493,0)</x:f>
        <x:v>33</x:v>
      </x:c>
      <x:c r="O1493" s="20" t="n">
        <x:f>IF(K1493="הכנסה שסווגה מחדש",-G1493,0)</x:f>
        <x:v>0</x:v>
      </x:c>
      <x:c r="P1493" s="11" t="str">
        <x:v>one zero - זיו</x:v>
      </x:c>
      <x:c r="Q1493" s="11" t="str"/>
      <x:c r="R1493" s="11" t="str">
        <x:v>לא</x:v>
      </x:c>
    </x:row>
    <x:row r="1494">
      <x:c r="A1494" s="14" t="n">
        <x:v>46113</x:v>
      </x:c>
      <x:c r="B1494" s="11" t="str">
        <x:v>2026-04</x:v>
      </x:c>
      <x:c r="C1494" s="11" t="str">
        <x:v>אפריל 26</x:v>
      </x:c>
      <x:c r="D1494" s="15" t="n">
        <x:v>23</x:v>
      </x:c>
      <x:c r="E1494" s="11" t="str">
        <x:v>25/4</x:v>
      </x:c>
      <x:c r="F1494" s="11" t="str">
        <x:v>תחבץ</x:v>
      </x:c>
      <x:c r="G1494" s="17" t="n">
        <x:v>8</x:v>
      </x:c>
      <x:c r="H1494" s="18" t="str">
        <x:v>תחבורה</x:v>
      </x:c>
      <x:c r="I1494" s="19" t="str">
        <x:f>IFERROR(INDEX('מיפוי ומקורות'!$C$7:$C$33,MATCH(H1494,'מיפוי ומקורות'!$B$7:$B$33,0)),"לא מסווג")</x:f>
        <x:v>תחבורה</x:v>
      </x:c>
      <x:c r="J1494" s="19" t="str">
        <x:f>IFERROR(INDEX('מיפוי ומקורות'!$D$7:$D$33,MATCH(H1494,'מיפוי ומקורות'!$B$7:$B$33,0)),"שוטף")</x:f>
        <x:v>שוטף</x:v>
      </x:c>
      <x:c r="K1494" s="19" t="str">
        <x:f>IF(OR(H1494="ריביות",AND(H1494="דירה כצנלסון",G1494&lt;0,ISNUMBER(SEARCH("הכנסה",F1494)))),"הכנסה שסווגה מחדש",J1494)</x:f>
        <x:v>שוטף</x:v>
      </x:c>
      <x:c r="L1494" s="19" t="str">
        <x:v>מאושר</x:v>
      </x:c>
      <x:c r="M1494" s="20" t="n">
        <x:f>IF(L1494="מאושר",IF(K1494="הכנסה שסווגה מחדש",0,G1494),0)</x:f>
        <x:v>8</x:v>
      </x:c>
      <x:c r="N1494" s="20" t="n">
        <x:f>IF(K1494="שוטף",M1494,0)</x:f>
        <x:v>8</x:v>
      </x:c>
      <x:c r="O1494" s="20" t="n">
        <x:f>IF(K1494="הכנסה שסווגה מחדש",-G1494,0)</x:f>
        <x:v>0</x:v>
      </x:c>
      <x:c r="P1494" s="11" t="str">
        <x:v>one zero - זיו</x:v>
      </x:c>
      <x:c r="Q1494" s="11" t="str"/>
      <x:c r="R1494" s="11" t="str">
        <x:v>לא</x:v>
      </x:c>
    </x:row>
    <x:row r="1495">
      <x:c r="A1495" s="14" t="n">
        <x:v>46113</x:v>
      </x:c>
      <x:c r="B1495" s="11" t="str">
        <x:v>2026-04</x:v>
      </x:c>
      <x:c r="C1495" s="11" t="str">
        <x:v>אפריל 26</x:v>
      </x:c>
      <x:c r="D1495" s="15" t="n">
        <x:v>24</x:v>
      </x:c>
      <x:c r="E1495" s="11" t="str">
        <x:v>28/4</x:v>
      </x:c>
      <x:c r="F1495" s="11" t="str">
        <x:v>ספר</x:v>
      </x:c>
      <x:c r="G1495" s="17" t="n">
        <x:v>90</x:v>
      </x:c>
      <x:c r="H1495" s="18" t="str">
        <x:v>קוסמטיקה</x:v>
      </x:c>
      <x:c r="I1495" s="19" t="str">
        <x:f>IFERROR(INDEX('מיפוי ומקורות'!$C$7:$C$33,MATCH(H1495,'מיפוי ומקורות'!$B$7:$B$33,0)),"לא מסווג")</x:f>
        <x:v>קוסמטיקה</x:v>
      </x:c>
      <x:c r="J1495" s="19" t="str">
        <x:f>IFERROR(INDEX('מיפוי ומקורות'!$D$7:$D$33,MATCH(H1495,'מיפוי ומקורות'!$B$7:$B$33,0)),"שוטף")</x:f>
        <x:v>שוטף</x:v>
      </x:c>
      <x:c r="K1495" s="19" t="str">
        <x:f>IF(OR(H1495="ריביות",AND(H1495="דירה כצנלסון",G1495&lt;0,ISNUMBER(SEARCH("הכנסה",F1495)))),"הכנסה שסווגה מחדש",J1495)</x:f>
        <x:v>שוטף</x:v>
      </x:c>
      <x:c r="L1495" s="19" t="str">
        <x:v>מאושר</x:v>
      </x:c>
      <x:c r="M1495" s="20" t="n">
        <x:f>IF(L1495="מאושר",IF(K1495="הכנסה שסווגה מחדש",0,G1495),0)</x:f>
        <x:v>90</x:v>
      </x:c>
      <x:c r="N1495" s="20" t="n">
        <x:f>IF(K1495="שוטף",M1495,0)</x:f>
        <x:v>90</x:v>
      </x:c>
      <x:c r="O1495" s="20" t="n">
        <x:f>IF(K1495="הכנסה שסווגה מחדש",-G1495,0)</x:f>
        <x:v>0</x:v>
      </x:c>
      <x:c r="P1495" s="11" t="str">
        <x:v>one zero - זיו</x:v>
      </x:c>
      <x:c r="Q1495" s="11" t="str"/>
      <x:c r="R1495" s="11" t="str">
        <x:v>לא</x:v>
      </x:c>
    </x:row>
    <x:row r="1496">
      <x:c r="A1496" s="14" t="n">
        <x:v>46113</x:v>
      </x:c>
      <x:c r="B1496" s="11" t="str">
        <x:v>2026-04</x:v>
      </x:c>
      <x:c r="C1496" s="11" t="str">
        <x:v>אפריל 26</x:v>
      </x:c>
      <x:c r="D1496" s="15" t="n">
        <x:v>25</x:v>
      </x:c>
      <x:c r="E1496" s="11" t="str">
        <x:v>25/4</x:v>
      </x:c>
      <x:c r="F1496" s="11" t="str">
        <x:v>תחבץ</x:v>
      </x:c>
      <x:c r="G1496" s="17" t="n">
        <x:v>8</x:v>
      </x:c>
      <x:c r="H1496" s="18" t="str">
        <x:v>תחבורה</x:v>
      </x:c>
      <x:c r="I1496" s="19" t="str">
        <x:f>IFERROR(INDEX('מיפוי ומקורות'!$C$7:$C$33,MATCH(H1496,'מיפוי ומקורות'!$B$7:$B$33,0)),"לא מסווג")</x:f>
        <x:v>תחבורה</x:v>
      </x:c>
      <x:c r="J1496" s="19" t="str">
        <x:f>IFERROR(INDEX('מיפוי ומקורות'!$D$7:$D$33,MATCH(H1496,'מיפוי ומקורות'!$B$7:$B$33,0)),"שוטף")</x:f>
        <x:v>שוטף</x:v>
      </x:c>
      <x:c r="K1496" s="19" t="str">
        <x:f>IF(OR(H1496="ריביות",AND(H1496="דירה כצנלסון",G1496&lt;0,ISNUMBER(SEARCH("הכנסה",F1496)))),"הכנסה שסווגה מחדש",J1496)</x:f>
        <x:v>שוטף</x:v>
      </x:c>
      <x:c r="L1496" s="19" t="str">
        <x:v>מאושר</x:v>
      </x:c>
      <x:c r="M1496" s="20" t="n">
        <x:f>IF(L1496="מאושר",IF(K1496="הכנסה שסווגה מחדש",0,G1496),0)</x:f>
        <x:v>8</x:v>
      </x:c>
      <x:c r="N1496" s="20" t="n">
        <x:f>IF(K1496="שוטף",M1496,0)</x:f>
        <x:v>8</x:v>
      </x:c>
      <x:c r="O1496" s="20" t="n">
        <x:f>IF(K1496="הכנסה שסווגה מחדש",-G1496,0)</x:f>
        <x:v>0</x:v>
      </x:c>
      <x:c r="P1496" s="11" t="str">
        <x:v>one zero - עינור</x:v>
      </x:c>
      <x:c r="Q1496" s="11" t="str"/>
      <x:c r="R1496" s="11" t="str">
        <x:v>לא</x:v>
      </x:c>
    </x:row>
    <x:row r="1497">
      <x:c r="A1497" s="14" t="n">
        <x:v>46113</x:v>
      </x:c>
      <x:c r="B1497" s="11" t="str">
        <x:v>2026-04</x:v>
      </x:c>
      <x:c r="C1497" s="11" t="str">
        <x:v>אפריל 26</x:v>
      </x:c>
      <x:c r="D1497" s="15" t="n">
        <x:v>26</x:v>
      </x:c>
      <x:c r="E1497" s="11" t="str">
        <x:v>06/04</x:v>
      </x:c>
      <x:c r="F1497" s="11" t="str">
        <x:v>מקס 20 גבעתיים</x:v>
      </x:c>
      <x:c r="G1497" s="17" t="n">
        <x:v>21</x:v>
      </x:c>
      <x:c r="H1497" s="18" t="str">
        <x:v>קניות לבית</x:v>
      </x:c>
      <x:c r="I1497" s="19" t="str">
        <x:f>IFERROR(INDEX('מיפוי ומקורות'!$C$7:$C$33,MATCH(H1497,'מיפוי ומקורות'!$B$7:$B$33,0)),"לא מסווג")</x:f>
        <x:v>קניות לבית</x:v>
      </x:c>
      <x:c r="J1497" s="19" t="str">
        <x:f>IFERROR(INDEX('מיפוי ומקורות'!$D$7:$D$33,MATCH(H1497,'מיפוי ומקורות'!$B$7:$B$33,0)),"שוטף")</x:f>
        <x:v>שוטף</x:v>
      </x:c>
      <x:c r="K1497" s="19" t="str">
        <x:f>IF(OR(H1497="ריביות",AND(H1497="דירה כצנלסון",G1497&lt;0,ISNUMBER(SEARCH("הכנסה",F1497)))),"הכנסה שסווגה מחדש",J1497)</x:f>
        <x:v>שוטף</x:v>
      </x:c>
      <x:c r="L1497" s="19" t="str">
        <x:v>מאושר</x:v>
      </x:c>
      <x:c r="M1497" s="20" t="n">
        <x:f>IF(L1497="מאושר",IF(K1497="הכנסה שסווגה מחדש",0,G1497),0)</x:f>
        <x:v>21</x:v>
      </x:c>
      <x:c r="N1497" s="20" t="n">
        <x:f>IF(K1497="שוטף",M1497,0)</x:f>
        <x:v>21</x:v>
      </x:c>
      <x:c r="O1497" s="20" t="n">
        <x:f>IF(K1497="הכנסה שסווגה מחדש",-G1497,0)</x:f>
        <x:v>0</x:v>
      </x:c>
      <x:c r="P1497" s="11" t="str">
        <x:v>אמקס - זיו</x:v>
      </x:c>
      <x:c r="Q1497" s="11" t="str"/>
      <x:c r="R1497" s="11" t="str">
        <x:v>לא</x:v>
      </x:c>
    </x:row>
    <x:row r="1498">
      <x:c r="A1498" s="14" t="n">
        <x:v>46113</x:v>
      </x:c>
      <x:c r="B1498" s="11" t="str">
        <x:v>2026-04</x:v>
      </x:c>
      <x:c r="C1498" s="11" t="str">
        <x:v>אפריל 26</x:v>
      </x:c>
      <x:c r="D1498" s="15" t="n">
        <x:v>27</x:v>
      </x:c>
      <x:c r="E1498" s="11" t="str">
        <x:v>6.04</x:v>
      </x:c>
      <x:c r="F1498" s="11" t="str">
        <x:v>ירקן</x:v>
      </x:c>
      <x:c r="G1498" s="17" t="n">
        <x:v>31</x:v>
      </x:c>
      <x:c r="H1498" s="18" t="str">
        <x:v>מזון לבית</x:v>
      </x:c>
      <x:c r="I1498" s="19" t="str">
        <x:f>IFERROR(INDEX('מיפוי ומקורות'!$C$7:$C$33,MATCH(H1498,'מיפוי ומקורות'!$B$7:$B$33,0)),"לא מסווג")</x:f>
        <x:v>מזון לבית</x:v>
      </x:c>
      <x:c r="J1498" s="19" t="str">
        <x:f>IFERROR(INDEX('מיפוי ומקורות'!$D$7:$D$33,MATCH(H1498,'מיפוי ומקורות'!$B$7:$B$33,0)),"שוטף")</x:f>
        <x:v>שוטף</x:v>
      </x:c>
      <x:c r="K1498" s="19" t="str">
        <x:f>IF(OR(H1498="ריביות",AND(H1498="דירה כצנלסון",G1498&lt;0,ISNUMBER(SEARCH("הכנסה",F1498)))),"הכנסה שסווגה מחדש",J1498)</x:f>
        <x:v>שוטף</x:v>
      </x:c>
      <x:c r="L1498" s="19" t="str">
        <x:v>מאושר</x:v>
      </x:c>
      <x:c r="M1498" s="20" t="n">
        <x:f>IF(L1498="מאושר",IF(K1498="הכנסה שסווגה מחדש",0,G1498),0)</x:f>
        <x:v>31</x:v>
      </x:c>
      <x:c r="N1498" s="20" t="n">
        <x:f>IF(K1498="שוטף",M1498,0)</x:f>
        <x:v>31</x:v>
      </x:c>
      <x:c r="O1498" s="20" t="n">
        <x:f>IF(K1498="הכנסה שסווגה מחדש",-G1498,0)</x:f>
        <x:v>0</x:v>
      </x:c>
      <x:c r="P1498" s="11" t="str">
        <x:v>אמקס - זיו</x:v>
      </x:c>
      <x:c r="Q1498" s="11" t="str"/>
      <x:c r="R1498" s="11" t="str">
        <x:v>לא</x:v>
      </x:c>
    </x:row>
    <x:row r="1499">
      <x:c r="A1499" s="14" t="n">
        <x:v>46113</x:v>
      </x:c>
      <x:c r="B1499" s="11" t="str">
        <x:v>2026-04</x:v>
      </x:c>
      <x:c r="C1499" s="11" t="str">
        <x:v>אפריל 26</x:v>
      </x:c>
      <x:c r="D1499" s="15" t="n">
        <x:v>28</x:v>
      </x:c>
      <x:c r="E1499" s="11" t="str">
        <x:v>6.04</x:v>
      </x:c>
      <x:c r="F1499" s="11" t="str">
        <x:v>פיצוציה</x:v>
      </x:c>
      <x:c r="G1499" s="17" t="n">
        <x:v>6</x:v>
      </x:c>
      <x:c r="H1499" s="18" t="str">
        <x:v>אוכל בחוץ</x:v>
      </x:c>
      <x:c r="I1499" s="19" t="str">
        <x:f>IFERROR(INDEX('מיפוי ומקורות'!$C$7:$C$33,MATCH(H1499,'מיפוי ומקורות'!$B$7:$B$33,0)),"לא מסווג")</x:f>
        <x:v>אוכל בחוץ</x:v>
      </x:c>
      <x:c r="J1499" s="19" t="str">
        <x:f>IFERROR(INDEX('מיפוי ומקורות'!$D$7:$D$33,MATCH(H1499,'מיפוי ומקורות'!$B$7:$B$33,0)),"שוטף")</x:f>
        <x:v>שוטף</x:v>
      </x:c>
      <x:c r="K1499" s="19" t="str">
        <x:f>IF(OR(H1499="ריביות",AND(H1499="דירה כצנלסון",G1499&lt;0,ISNUMBER(SEARCH("הכנסה",F1499)))),"הכנסה שסווגה מחדש",J1499)</x:f>
        <x:v>שוטף</x:v>
      </x:c>
      <x:c r="L1499" s="19" t="str">
        <x:v>מאושר</x:v>
      </x:c>
      <x:c r="M1499" s="20" t="n">
        <x:f>IF(L1499="מאושר",IF(K1499="הכנסה שסווגה מחדש",0,G1499),0)</x:f>
        <x:v>6</x:v>
      </x:c>
      <x:c r="N1499" s="20" t="n">
        <x:f>IF(K1499="שוטף",M1499,0)</x:f>
        <x:v>6</x:v>
      </x:c>
      <x:c r="O1499" s="20" t="n">
        <x:f>IF(K1499="הכנסה שסווגה מחדש",-G1499,0)</x:f>
        <x:v>0</x:v>
      </x:c>
      <x:c r="P1499" s="11" t="str">
        <x:v>אמקס - זיו</x:v>
      </x:c>
      <x:c r="Q1499" s="11" t="str"/>
      <x:c r="R1499" s="11" t="str">
        <x:v>לא</x:v>
      </x:c>
    </x:row>
    <x:row r="1500">
      <x:c r="A1500" s="14" t="n">
        <x:v>46113</x:v>
      </x:c>
      <x:c r="B1500" s="11" t="str">
        <x:v>2026-04</x:v>
      </x:c>
      <x:c r="C1500" s="11" t="str">
        <x:v>אפריל 26</x:v>
      </x:c>
      <x:c r="D1500" s="15" t="n">
        <x:v>30</x:v>
      </x:c>
      <x:c r="E1500" s="11" t="str">
        <x:v>09/04</x:v>
      </x:c>
      <x:c r="F1500" s="11" t="str">
        <x:v>קיי.אס.פי מחשבים-גמא</x:v>
      </x:c>
      <x:c r="G1500" s="17" t="n">
        <x:v>45</x:v>
      </x:c>
      <x:c r="H1500" s="18" t="str">
        <x:v>קניות לבית</x:v>
      </x:c>
      <x:c r="I1500" s="19" t="str">
        <x:f>IFERROR(INDEX('מיפוי ומקורות'!$C$7:$C$33,MATCH(H1500,'מיפוי ומקורות'!$B$7:$B$33,0)),"לא מסווג")</x:f>
        <x:v>קניות לבית</x:v>
      </x:c>
      <x:c r="J1500" s="19" t="str">
        <x:f>IFERROR(INDEX('מיפוי ומקורות'!$D$7:$D$33,MATCH(H1500,'מיפוי ומקורות'!$B$7:$B$33,0)),"שוטף")</x:f>
        <x:v>שוטף</x:v>
      </x:c>
      <x:c r="K1500" s="19" t="str">
        <x:f>IF(OR(H1500="ריביות",AND(H1500="דירה כצנלסון",G1500&lt;0,ISNUMBER(SEARCH("הכנסה",F1500)))),"הכנסה שסווגה מחדש",J1500)</x:f>
        <x:v>שוטף</x:v>
      </x:c>
      <x:c r="L1500" s="19" t="str">
        <x:v>מאושר</x:v>
      </x:c>
      <x:c r="M1500" s="20" t="n">
        <x:f>IF(L1500="מאושר",IF(K1500="הכנסה שסווגה מחדש",0,G1500),0)</x:f>
        <x:v>45</x:v>
      </x:c>
      <x:c r="N1500" s="20" t="n">
        <x:f>IF(K1500="שוטף",M1500,0)</x:f>
        <x:v>45</x:v>
      </x:c>
      <x:c r="O1500" s="20" t="n">
        <x:f>IF(K1500="הכנסה שסווגה מחדש",-G1500,0)</x:f>
        <x:v>0</x:v>
      </x:c>
      <x:c r="P1500" s="11" t="str">
        <x:v>אמקס - זיו</x:v>
      </x:c>
      <x:c r="Q1500" s="11" t="str"/>
      <x:c r="R1500" s="11" t="str">
        <x:v>לא</x:v>
      </x:c>
    </x:row>
    <x:row r="1501">
      <x:c r="A1501" s="14" t="n">
        <x:v>46113</x:v>
      </x:c>
      <x:c r="B1501" s="11" t="str">
        <x:v>2026-04</x:v>
      </x:c>
      <x:c r="C1501" s="11" t="str">
        <x:v>אפריל 26</x:v>
      </x:c>
      <x:c r="D1501" s="15" t="n">
        <x:v>31</x:v>
      </x:c>
      <x:c r="E1501" s="11" t="str">
        <x:v>09/04</x:v>
      </x:c>
      <x:c r="F1501" s="11" t="str">
        <x:v>מכבידנט- פאיימי</x:v>
      </x:c>
      <x:c r="G1501" s="17" t="n">
        <x:v>90</x:v>
      </x:c>
      <x:c r="H1501" s="18" t="str">
        <x:v>בריאות</x:v>
      </x:c>
      <x:c r="I1501" s="19" t="str">
        <x:f>IFERROR(INDEX('מיפוי ומקורות'!$C$7:$C$33,MATCH(H1501,'מיפוי ומקורות'!$B$7:$B$33,0)),"לא מסווג")</x:f>
        <x:v>בריאות וטיפולים</x:v>
      </x:c>
      <x:c r="J1501" s="19" t="str">
        <x:f>IFERROR(INDEX('מיפוי ומקורות'!$D$7:$D$33,MATCH(H1501,'מיפוי ומקורות'!$B$7:$B$33,0)),"שוטף")</x:f>
        <x:v>שוטף</x:v>
      </x:c>
      <x:c r="K1501" s="19" t="str">
        <x:f>IF(OR(H1501="ריביות",AND(H1501="דירה כצנלסון",G1501&lt;0,ISNUMBER(SEARCH("הכנסה",F1501)))),"הכנסה שסווגה מחדש",J1501)</x:f>
        <x:v>שוטף</x:v>
      </x:c>
      <x:c r="L1501" s="19" t="str">
        <x:v>מאושר</x:v>
      </x:c>
      <x:c r="M1501" s="20" t="n">
        <x:f>IF(L1501="מאושר",IF(K1501="הכנסה שסווגה מחדש",0,G1501),0)</x:f>
        <x:v>90</x:v>
      </x:c>
      <x:c r="N1501" s="20" t="n">
        <x:f>IF(K1501="שוטף",M1501,0)</x:f>
        <x:v>90</x:v>
      </x:c>
      <x:c r="O1501" s="20" t="n">
        <x:f>IF(K1501="הכנסה שסווגה מחדש",-G1501,0)</x:f>
        <x:v>0</x:v>
      </x:c>
      <x:c r="P1501" s="11" t="str">
        <x:v>אמקס - זיו</x:v>
      </x:c>
      <x:c r="Q1501" s="11" t="str"/>
      <x:c r="R1501" s="11" t="str">
        <x:v>לא</x:v>
      </x:c>
    </x:row>
    <x:row r="1502">
      <x:c r="A1502" s="14" t="n">
        <x:v>46113</x:v>
      </x:c>
      <x:c r="B1502" s="11" t="str">
        <x:v>2026-04</x:v>
      </x:c>
      <x:c r="C1502" s="11" t="str">
        <x:v>אפריל 26</x:v>
      </x:c>
      <x:c r="D1502" s="15" t="n">
        <x:v>32</x:v>
      </x:c>
      <x:c r="E1502" s="11" t="str">
        <x:v>09/04</x:v>
      </x:c>
      <x:c r="F1502" s="11" t="str">
        <x:v>חוות נעמי - ת"א-צמרת</x:v>
      </x:c>
      <x:c r="G1502" s="17" t="n">
        <x:v>191</x:v>
      </x:c>
      <x:c r="H1502" s="18" t="str">
        <x:v>אוכל בחוץ</x:v>
      </x:c>
      <x:c r="I1502" s="19" t="str">
        <x:f>IFERROR(INDEX('מיפוי ומקורות'!$C$7:$C$33,MATCH(H1502,'מיפוי ומקורות'!$B$7:$B$33,0)),"לא מסווג")</x:f>
        <x:v>אוכל בחוץ</x:v>
      </x:c>
      <x:c r="J1502" s="19" t="str">
        <x:f>IFERROR(INDEX('מיפוי ומקורות'!$D$7:$D$33,MATCH(H1502,'מיפוי ומקורות'!$B$7:$B$33,0)),"שוטף")</x:f>
        <x:v>שוטף</x:v>
      </x:c>
      <x:c r="K1502" s="19" t="str">
        <x:f>IF(OR(H1502="ריביות",AND(H1502="דירה כצנלסון",G1502&lt;0,ISNUMBER(SEARCH("הכנסה",F1502)))),"הכנסה שסווגה מחדש",J1502)</x:f>
        <x:v>שוטף</x:v>
      </x:c>
      <x:c r="L1502" s="19" t="str">
        <x:v>מאושר</x:v>
      </x:c>
      <x:c r="M1502" s="20" t="n">
        <x:f>IF(L1502="מאושר",IF(K1502="הכנסה שסווגה מחדש",0,G1502),0)</x:f>
        <x:v>191</x:v>
      </x:c>
      <x:c r="N1502" s="20" t="n">
        <x:f>IF(K1502="שוטף",M1502,0)</x:f>
        <x:v>191</x:v>
      </x:c>
      <x:c r="O1502" s="20" t="n">
        <x:f>IF(K1502="הכנסה שסווגה מחדש",-G1502,0)</x:f>
        <x:v>0</x:v>
      </x:c>
      <x:c r="P1502" s="11" t="str">
        <x:v>אמקס - זיו</x:v>
      </x:c>
      <x:c r="Q1502" s="11" t="str"/>
      <x:c r="R1502" s="11" t="str">
        <x:v>לא</x:v>
      </x:c>
    </x:row>
    <x:row r="1503">
      <x:c r="A1503" s="14" t="n">
        <x:v>46113</x:v>
      </x:c>
      <x:c r="B1503" s="11" t="str">
        <x:v>2026-04</x:v>
      </x:c>
      <x:c r="C1503" s="11" t="str">
        <x:v>אפריל 26</x:v>
      </x:c>
      <x:c r="D1503" s="15" t="n">
        <x:v>33</x:v>
      </x:c>
      <x:c r="E1503" s="11" t="str">
        <x:v>9.04</x:v>
      </x:c>
      <x:c r="F1503" s="11" t="str">
        <x:v>סופר</x:v>
      </x:c>
      <x:c r="G1503" s="17" t="n">
        <x:v>14</x:v>
      </x:c>
      <x:c r="H1503" s="18" t="str">
        <x:v>מזון לבית</x:v>
      </x:c>
      <x:c r="I1503" s="19" t="str">
        <x:f>IFERROR(INDEX('מיפוי ומקורות'!$C$7:$C$33,MATCH(H1503,'מיפוי ומקורות'!$B$7:$B$33,0)),"לא מסווג")</x:f>
        <x:v>מזון לבית</x:v>
      </x:c>
      <x:c r="J1503" s="19" t="str">
        <x:f>IFERROR(INDEX('מיפוי ומקורות'!$D$7:$D$33,MATCH(H1503,'מיפוי ומקורות'!$B$7:$B$33,0)),"שוטף")</x:f>
        <x:v>שוטף</x:v>
      </x:c>
      <x:c r="K1503" s="19" t="str">
        <x:f>IF(OR(H1503="ריביות",AND(H1503="דירה כצנלסון",G1503&lt;0,ISNUMBER(SEARCH("הכנסה",F1503)))),"הכנסה שסווגה מחדש",J1503)</x:f>
        <x:v>שוטף</x:v>
      </x:c>
      <x:c r="L1503" s="19" t="str">
        <x:v>מאושר</x:v>
      </x:c>
      <x:c r="M1503" s="20" t="n">
        <x:f>IF(L1503="מאושר",IF(K1503="הכנסה שסווגה מחדש",0,G1503),0)</x:f>
        <x:v>14</x:v>
      </x:c>
      <x:c r="N1503" s="20" t="n">
        <x:f>IF(K1503="שוטף",M1503,0)</x:f>
        <x:v>14</x:v>
      </x:c>
      <x:c r="O1503" s="20" t="n">
        <x:f>IF(K1503="הכנסה שסווגה מחדש",-G1503,0)</x:f>
        <x:v>0</x:v>
      </x:c>
      <x:c r="P1503" s="11" t="str">
        <x:v>אמקס - זיו</x:v>
      </x:c>
      <x:c r="Q1503" s="11" t="str"/>
      <x:c r="R1503" s="11" t="str">
        <x:v>לא</x:v>
      </x:c>
    </x:row>
    <x:row r="1504">
      <x:c r="A1504" s="14" t="n">
        <x:v>46113</x:v>
      </x:c>
      <x:c r="B1504" s="11" t="str">
        <x:v>2026-04</x:v>
      </x:c>
      <x:c r="C1504" s="11" t="str">
        <x:v>אפריל 26</x:v>
      </x:c>
      <x:c r="D1504" s="15" t="n">
        <x:v>34</x:v>
      </x:c>
      <x:c r="E1504" s="11" t="str">
        <x:v>10/04</x:v>
      </x:c>
      <x:c r="F1504" s="11" t="str">
        <x:v>פרו פקטורי</x:v>
      </x:c>
      <x:c r="G1504" s="17" t="n">
        <x:v>71</x:v>
      </x:c>
      <x:c r="H1504" s="18" t="str">
        <x:v>ספורט</x:v>
      </x:c>
      <x:c r="I1504" s="19" t="str">
        <x:f>IFERROR(INDEX('מיפוי ומקורות'!$C$7:$C$33,MATCH(H1504,'מיפוי ומקורות'!$B$7:$B$33,0)),"לא מסווג")</x:f>
        <x:v>ספורט</x:v>
      </x:c>
      <x:c r="J1504" s="19" t="str">
        <x:f>IFERROR(INDEX('מיפוי ומקורות'!$D$7:$D$33,MATCH(H1504,'מיפוי ומקורות'!$B$7:$B$33,0)),"שוטף")</x:f>
        <x:v>שוטף</x:v>
      </x:c>
      <x:c r="K1504" s="19" t="str">
        <x:f>IF(OR(H1504="ריביות",AND(H1504="דירה כצנלסון",G1504&lt;0,ISNUMBER(SEARCH("הכנסה",F1504)))),"הכנסה שסווגה מחדש",J1504)</x:f>
        <x:v>שוטף</x:v>
      </x:c>
      <x:c r="L1504" s="19" t="str">
        <x:v>מאושר</x:v>
      </x:c>
      <x:c r="M1504" s="20" t="n">
        <x:f>IF(L1504="מאושר",IF(K1504="הכנסה שסווגה מחדש",0,G1504),0)</x:f>
        <x:v>71</x:v>
      </x:c>
      <x:c r="N1504" s="20" t="n">
        <x:f>IF(K1504="שוטף",M1504,0)</x:f>
        <x:v>71</x:v>
      </x:c>
      <x:c r="O1504" s="20" t="n">
        <x:f>IF(K1504="הכנסה שסווגה מחדש",-G1504,0)</x:f>
        <x:v>0</x:v>
      </x:c>
      <x:c r="P1504" s="11" t="str">
        <x:v>אמקס - זיו</x:v>
      </x:c>
      <x:c r="Q1504" s="11" t="str"/>
      <x:c r="R1504" s="11" t="str">
        <x:v>לא</x:v>
      </x:c>
    </x:row>
    <x:row r="1505">
      <x:c r="A1505" s="14" t="n">
        <x:v>46113</x:v>
      </x:c>
      <x:c r="B1505" s="11" t="str">
        <x:v>2026-04</x:v>
      </x:c>
      <x:c r="C1505" s="11" t="str">
        <x:v>אפריל 26</x:v>
      </x:c>
      <x:c r="D1505" s="15" t="n">
        <x:v>35</x:v>
      </x:c>
      <x:c r="E1505" s="11" t="str">
        <x:v>10.04</x:v>
      </x:c>
      <x:c r="F1505" s="11" t="str">
        <x:v>דלק</x:v>
      </x:c>
      <x:c r="G1505" s="17" t="n">
        <x:v>204</x:v>
      </x:c>
      <x:c r="H1505" s="18" t="str">
        <x:v>תחבורה</x:v>
      </x:c>
      <x:c r="I1505" s="19" t="str">
        <x:f>IFERROR(INDEX('מיפוי ומקורות'!$C$7:$C$33,MATCH(H1505,'מיפוי ומקורות'!$B$7:$B$33,0)),"לא מסווג")</x:f>
        <x:v>תחבורה</x:v>
      </x:c>
      <x:c r="J1505" s="19" t="str">
        <x:f>IFERROR(INDEX('מיפוי ומקורות'!$D$7:$D$33,MATCH(H1505,'מיפוי ומקורות'!$B$7:$B$33,0)),"שוטף")</x:f>
        <x:v>שוטף</x:v>
      </x:c>
      <x:c r="K1505" s="19" t="str">
        <x:f>IF(OR(H1505="ריביות",AND(H1505="דירה כצנלסון",G1505&lt;0,ISNUMBER(SEARCH("הכנסה",F1505)))),"הכנסה שסווגה מחדש",J1505)</x:f>
        <x:v>שוטף</x:v>
      </x:c>
      <x:c r="L1505" s="19" t="str">
        <x:v>מאושר</x:v>
      </x:c>
      <x:c r="M1505" s="20" t="n">
        <x:f>IF(L1505="מאושר",IF(K1505="הכנסה שסווגה מחדש",0,G1505),0)</x:f>
        <x:v>204</x:v>
      </x:c>
      <x:c r="N1505" s="20" t="n">
        <x:f>IF(K1505="שוטף",M1505,0)</x:f>
        <x:v>204</x:v>
      </x:c>
      <x:c r="O1505" s="20" t="n">
        <x:f>IF(K1505="הכנסה שסווגה מחדש",-G1505,0)</x:f>
        <x:v>0</x:v>
      </x:c>
      <x:c r="P1505" s="11" t="str">
        <x:v>אמקס - זיו</x:v>
      </x:c>
      <x:c r="Q1505" s="11" t="str"/>
      <x:c r="R1505" s="11" t="str">
        <x:v>לא</x:v>
      </x:c>
    </x:row>
    <x:row r="1506">
      <x:c r="A1506" s="14" t="n">
        <x:v>46113</x:v>
      </x:c>
      <x:c r="B1506" s="11" t="str">
        <x:v>2026-04</x:v>
      </x:c>
      <x:c r="C1506" s="11" t="str">
        <x:v>אפריל 26</x:v>
      </x:c>
      <x:c r="D1506" s="15" t="n">
        <x:v>36</x:v>
      </x:c>
      <x:c r="E1506" s="11" t="str">
        <x:v>11.04</x:v>
      </x:c>
      <x:c r="F1506" s="11" t="str">
        <x:v>סופר</x:v>
      </x:c>
      <x:c r="G1506" s="17" t="n">
        <x:v>17</x:v>
      </x:c>
      <x:c r="H1506" s="18" t="str">
        <x:v>מזון לבית</x:v>
      </x:c>
      <x:c r="I1506" s="19" t="str">
        <x:f>IFERROR(INDEX('מיפוי ומקורות'!$C$7:$C$33,MATCH(H1506,'מיפוי ומקורות'!$B$7:$B$33,0)),"לא מסווג")</x:f>
        <x:v>מזון לבית</x:v>
      </x:c>
      <x:c r="J1506" s="19" t="str">
        <x:f>IFERROR(INDEX('מיפוי ומקורות'!$D$7:$D$33,MATCH(H1506,'מיפוי ומקורות'!$B$7:$B$33,0)),"שוטף")</x:f>
        <x:v>שוטף</x:v>
      </x:c>
      <x:c r="K1506" s="19" t="str">
        <x:f>IF(OR(H1506="ריביות",AND(H1506="דירה כצנלסון",G1506&lt;0,ISNUMBER(SEARCH("הכנסה",F1506)))),"הכנסה שסווגה מחדש",J1506)</x:f>
        <x:v>שוטף</x:v>
      </x:c>
      <x:c r="L1506" s="19" t="str">
        <x:v>מאושר</x:v>
      </x:c>
      <x:c r="M1506" s="20" t="n">
        <x:f>IF(L1506="מאושר",IF(K1506="הכנסה שסווגה מחדש",0,G1506),0)</x:f>
        <x:v>17</x:v>
      </x:c>
      <x:c r="N1506" s="20" t="n">
        <x:f>IF(K1506="שוטף",M1506,0)</x:f>
        <x:v>17</x:v>
      </x:c>
      <x:c r="O1506" s="20" t="n">
        <x:f>IF(K1506="הכנסה שסווגה מחדש",-G1506,0)</x:f>
        <x:v>0</x:v>
      </x:c>
      <x:c r="P1506" s="11" t="str">
        <x:v>אמקס - זיו</x:v>
      </x:c>
      <x:c r="Q1506" s="11" t="str"/>
      <x:c r="R1506" s="11" t="str">
        <x:v>לא</x:v>
      </x:c>
    </x:row>
    <x:row r="1507">
      <x:c r="A1507" s="14" t="n">
        <x:v>46113</x:v>
      </x:c>
      <x:c r="B1507" s="11" t="str">
        <x:v>2026-04</x:v>
      </x:c>
      <x:c r="C1507" s="11" t="str">
        <x:v>אפריל 26</x:v>
      </x:c>
      <x:c r="D1507" s="15" t="n">
        <x:v>37</x:v>
      </x:c>
      <x:c r="E1507" s="11" t="str">
        <x:v>12/04</x:v>
      </x:c>
      <x:c r="F1507" s="11" t="str">
        <x:v>SPAREEAT-גמא</x:v>
      </x:c>
      <x:c r="G1507" s="17" t="n">
        <x:v>30</x:v>
      </x:c>
      <x:c r="H1507" s="18" t="str">
        <x:v>אוכל בחוץ</x:v>
      </x:c>
      <x:c r="I1507" s="19" t="str">
        <x:f>IFERROR(INDEX('מיפוי ומקורות'!$C$7:$C$33,MATCH(H1507,'מיפוי ומקורות'!$B$7:$B$33,0)),"לא מסווג")</x:f>
        <x:v>אוכל בחוץ</x:v>
      </x:c>
      <x:c r="J1507" s="19" t="str">
        <x:f>IFERROR(INDEX('מיפוי ומקורות'!$D$7:$D$33,MATCH(H1507,'מיפוי ומקורות'!$B$7:$B$33,0)),"שוטף")</x:f>
        <x:v>שוטף</x:v>
      </x:c>
      <x:c r="K1507" s="19" t="str">
        <x:f>IF(OR(H1507="ריביות",AND(H1507="דירה כצנלסון",G1507&lt;0,ISNUMBER(SEARCH("הכנסה",F1507)))),"הכנסה שסווגה מחדש",J1507)</x:f>
        <x:v>שוטף</x:v>
      </x:c>
      <x:c r="L1507" s="19" t="str">
        <x:v>מאושר</x:v>
      </x:c>
      <x:c r="M1507" s="20" t="n">
        <x:f>IF(L1507="מאושר",IF(K1507="הכנסה שסווגה מחדש",0,G1507),0)</x:f>
        <x:v>30</x:v>
      </x:c>
      <x:c r="N1507" s="20" t="n">
        <x:f>IF(K1507="שוטף",M1507,0)</x:f>
        <x:v>30</x:v>
      </x:c>
      <x:c r="O1507" s="20" t="n">
        <x:f>IF(K1507="הכנסה שסווגה מחדש",-G1507,0)</x:f>
        <x:v>0</x:v>
      </x:c>
      <x:c r="P1507" s="11" t="str">
        <x:v>אמקס - זיו</x:v>
      </x:c>
      <x:c r="Q1507" s="11" t="str"/>
      <x:c r="R1507" s="11" t="str">
        <x:v>לא</x:v>
      </x:c>
    </x:row>
    <x:row r="1508">
      <x:c r="A1508" s="14" t="n">
        <x:v>46113</x:v>
      </x:c>
      <x:c r="B1508" s="11" t="str">
        <x:v>2026-04</x:v>
      </x:c>
      <x:c r="C1508" s="11" t="str">
        <x:v>אפריל 26</x:v>
      </x:c>
      <x:c r="D1508" s="15" t="n">
        <x:v>38</x:v>
      </x:c>
      <x:c r="E1508" s="11" t="str">
        <x:v>12/04</x:v>
      </x:c>
      <x:c r="F1508" s="11" t="str">
        <x:v>מדפסת תלת מימד</x:v>
      </x:c>
      <x:c r="G1508" s="17" t="n">
        <x:v>1844</x:v>
      </x:c>
      <x:c r="H1508" s="18" t="str">
        <x:v>מיג'י</x:v>
      </x:c>
      <x:c r="I1508" s="19" t="str">
        <x:f>IFERROR(INDEX('מיפוי ומקורות'!$C$7:$C$33,MATCH(H1508,'מיפוי ומקורות'!$B$7:$B$33,0)),"לא מסווג")</x:f>
        <x:v>תחביבים ומיג'י</x:v>
      </x:c>
      <x:c r="J1508" s="19" t="str">
        <x:f>IFERROR(INDEX('מיפוי ומקורות'!$D$7:$D$33,MATCH(H1508,'מיפוי ומקורות'!$B$7:$B$33,0)),"שוטף")</x:f>
        <x:v>שוטף</x:v>
      </x:c>
      <x:c r="K1508" s="19" t="str">
        <x:f>IF(OR(H1508="ריביות",AND(H1508="דירה כצנלסון",G1508&lt;0,ISNUMBER(SEARCH("הכנסה",F1508)))),"הכנסה שסווגה מחדש",J1508)</x:f>
        <x:v>שוטף</x:v>
      </x:c>
      <x:c r="L1508" s="19" t="str">
        <x:v>מאושר</x:v>
      </x:c>
      <x:c r="M1508" s="20" t="n">
        <x:f>IF(L1508="מאושר",IF(K1508="הכנסה שסווגה מחדש",0,G1508),0)</x:f>
        <x:v>1844</x:v>
      </x:c>
      <x:c r="N1508" s="20" t="n">
        <x:f>IF(K1508="שוטף",M1508,0)</x:f>
        <x:v>1844</x:v>
      </x:c>
      <x:c r="O1508" s="20" t="n">
        <x:f>IF(K1508="הכנסה שסווגה מחדש",-G1508,0)</x:f>
        <x:v>0</x:v>
      </x:c>
      <x:c r="P1508" s="11" t="str">
        <x:v>אמקס - זיו</x:v>
      </x:c>
      <x:c r="Q1508" s="11" t="str"/>
      <x:c r="R1508" s="11" t="str">
        <x:v>לא</x:v>
      </x:c>
    </x:row>
    <x:row r="1509">
      <x:c r="A1509" s="14" t="n">
        <x:v>46113</x:v>
      </x:c>
      <x:c r="B1509" s="11" t="str">
        <x:v>2026-04</x:v>
      </x:c>
      <x:c r="C1509" s="11" t="str">
        <x:v>אפריל 26</x:v>
      </x:c>
      <x:c r="D1509" s="15" t="n">
        <x:v>39</x:v>
      </x:c>
      <x:c r="E1509" s="11" t="str">
        <x:v>14.04</x:v>
      </x:c>
      <x:c r="F1509" s="11" t="str">
        <x:v>סופר</x:v>
      </x:c>
      <x:c r="G1509" s="17" t="n">
        <x:v>293</x:v>
      </x:c>
      <x:c r="H1509" s="18" t="str">
        <x:v>מזון לבית</x:v>
      </x:c>
      <x:c r="I1509" s="19" t="str">
        <x:f>IFERROR(INDEX('מיפוי ומקורות'!$C$7:$C$33,MATCH(H1509,'מיפוי ומקורות'!$B$7:$B$33,0)),"לא מסווג")</x:f>
        <x:v>מזון לבית</x:v>
      </x:c>
      <x:c r="J1509" s="19" t="str">
        <x:f>IFERROR(INDEX('מיפוי ומקורות'!$D$7:$D$33,MATCH(H1509,'מיפוי ומקורות'!$B$7:$B$33,0)),"שוטף")</x:f>
        <x:v>שוטף</x:v>
      </x:c>
      <x:c r="K1509" s="19" t="str">
        <x:f>IF(OR(H1509="ריביות",AND(H1509="דירה כצנלסון",G1509&lt;0,ISNUMBER(SEARCH("הכנסה",F1509)))),"הכנסה שסווגה מחדש",J1509)</x:f>
        <x:v>שוטף</x:v>
      </x:c>
      <x:c r="L1509" s="19" t="str">
        <x:v>מאושר</x:v>
      </x:c>
      <x:c r="M1509" s="20" t="n">
        <x:f>IF(L1509="מאושר",IF(K1509="הכנסה שסווגה מחדש",0,G1509),0)</x:f>
        <x:v>293</x:v>
      </x:c>
      <x:c r="N1509" s="20" t="n">
        <x:f>IF(K1509="שוטף",M1509,0)</x:f>
        <x:v>293</x:v>
      </x:c>
      <x:c r="O1509" s="20" t="n">
        <x:f>IF(K1509="הכנסה שסווגה מחדש",-G1509,0)</x:f>
        <x:v>0</x:v>
      </x:c>
      <x:c r="P1509" s="11" t="str">
        <x:v>אמקס - זיו</x:v>
      </x:c>
      <x:c r="Q1509" s="11" t="str"/>
      <x:c r="R1509" s="11" t="str">
        <x:v>לא</x:v>
      </x:c>
    </x:row>
    <x:row r="1510">
      <x:c r="A1510" s="14" t="n">
        <x:v>46113</x:v>
      </x:c>
      <x:c r="B1510" s="11" t="str">
        <x:v>2026-04</x:v>
      </x:c>
      <x:c r="C1510" s="11" t="str">
        <x:v>אפריל 26</x:v>
      </x:c>
      <x:c r="D1510" s="15" t="n">
        <x:v>40</x:v>
      </x:c>
      <x:c r="E1510" s="11" t="str">
        <x:v>16/04</x:v>
      </x:c>
      <x:c r="F1510" s="11" t="str">
        <x:v>העברה ב BIT בנה"פ</x:v>
      </x:c>
      <x:c r="G1510" s="17" t="n">
        <x:v>20</x:v>
      </x:c>
      <x:c r="H1510" s="18" t="str">
        <x:v>מתנה</x:v>
      </x:c>
      <x:c r="I1510" s="19" t="str">
        <x:f>IFERROR(INDEX('מיפוי ומקורות'!$C$7:$C$33,MATCH(H1510,'מיפוי ומקורות'!$B$7:$B$33,0)),"לא מסווג")</x:f>
        <x:v>מתנה</x:v>
      </x:c>
      <x:c r="J1510" s="19" t="str">
        <x:f>IFERROR(INDEX('מיפוי ומקורות'!$D$7:$D$33,MATCH(H1510,'מיפוי ומקורות'!$B$7:$B$33,0)),"שוטף")</x:f>
        <x:v>שוטף</x:v>
      </x:c>
      <x:c r="K1510" s="19" t="str">
        <x:f>IF(OR(H1510="ריביות",AND(H1510="דירה כצנלסון",G1510&lt;0,ISNUMBER(SEARCH("הכנסה",F1510)))),"הכנסה שסווגה מחדש",J1510)</x:f>
        <x:v>שוטף</x:v>
      </x:c>
      <x:c r="L1510" s="19" t="str">
        <x:v>מאושר</x:v>
      </x:c>
      <x:c r="M1510" s="20" t="n">
        <x:f>IF(L1510="מאושר",IF(K1510="הכנסה שסווגה מחדש",0,G1510),0)</x:f>
        <x:v>20</x:v>
      </x:c>
      <x:c r="N1510" s="20" t="n">
        <x:f>IF(K1510="שוטף",M1510,0)</x:f>
        <x:v>20</x:v>
      </x:c>
      <x:c r="O1510" s="20" t="n">
        <x:f>IF(K1510="הכנסה שסווגה מחדש",-G1510,0)</x:f>
        <x:v>0</x:v>
      </x:c>
      <x:c r="P1510" s="11" t="str">
        <x:v>אמקס - זיו</x:v>
      </x:c>
      <x:c r="Q1510" s="11" t="str"/>
      <x:c r="R1510" s="11" t="str">
        <x:v>לא</x:v>
      </x:c>
    </x:row>
    <x:row r="1511">
      <x:c r="A1511" s="14" t="n">
        <x:v>46113</x:v>
      </x:c>
      <x:c r="B1511" s="11" t="str">
        <x:v>2026-04</x:v>
      </x:c>
      <x:c r="C1511" s="11" t="str">
        <x:v>אפריל 26</x:v>
      </x:c>
      <x:c r="D1511" s="15" t="n">
        <x:v>41</x:v>
      </x:c>
      <x:c r="E1511" s="11" t="str">
        <x:v>16/04</x:v>
      </x:c>
      <x:c r="F1511" s="11" t="str">
        <x:v>צ'יקן סטיישן המסגר</x:v>
      </x:c>
      <x:c r="G1511" s="17" t="n">
        <x:v>65</x:v>
      </x:c>
      <x:c r="H1511" s="18" t="str">
        <x:v>אוכל בחוץ</x:v>
      </x:c>
      <x:c r="I1511" s="19" t="str">
        <x:f>IFERROR(INDEX('מיפוי ומקורות'!$C$7:$C$33,MATCH(H1511,'מיפוי ומקורות'!$B$7:$B$33,0)),"לא מסווג")</x:f>
        <x:v>אוכל בחוץ</x:v>
      </x:c>
      <x:c r="J1511" s="19" t="str">
        <x:f>IFERROR(INDEX('מיפוי ומקורות'!$D$7:$D$33,MATCH(H1511,'מיפוי ומקורות'!$B$7:$B$33,0)),"שוטף")</x:f>
        <x:v>שוטף</x:v>
      </x:c>
      <x:c r="K1511" s="19" t="str">
        <x:f>IF(OR(H1511="ריביות",AND(H1511="דירה כצנלסון",G1511&lt;0,ISNUMBER(SEARCH("הכנסה",F1511)))),"הכנסה שסווגה מחדש",J1511)</x:f>
        <x:v>שוטף</x:v>
      </x:c>
      <x:c r="L1511" s="19" t="str">
        <x:v>מאושר</x:v>
      </x:c>
      <x:c r="M1511" s="20" t="n">
        <x:f>IF(L1511="מאושר",IF(K1511="הכנסה שסווגה מחדש",0,G1511),0)</x:f>
        <x:v>65</x:v>
      </x:c>
      <x:c r="N1511" s="20" t="n">
        <x:f>IF(K1511="שוטף",M1511,0)</x:f>
        <x:v>65</x:v>
      </x:c>
      <x:c r="O1511" s="20" t="n">
        <x:f>IF(K1511="הכנסה שסווגה מחדש",-G1511,0)</x:f>
        <x:v>0</x:v>
      </x:c>
      <x:c r="P1511" s="11" t="str">
        <x:v>אמקס - זיו</x:v>
      </x:c>
      <x:c r="Q1511" s="11" t="str"/>
      <x:c r="R1511" s="11" t="str">
        <x:v>לא</x:v>
      </x:c>
    </x:row>
    <x:row r="1512">
      <x:c r="A1512" s="14" t="n">
        <x:v>46113</x:v>
      </x:c>
      <x:c r="B1512" s="11" t="str">
        <x:v>2026-04</x:v>
      </x:c>
      <x:c r="C1512" s="11" t="str">
        <x:v>אפריל 26</x:v>
      </x:c>
      <x:c r="D1512" s="15" t="n">
        <x:v>42</x:v>
      </x:c>
      <x:c r="E1512" s="11" t="str">
        <x:v>16/04</x:v>
      </x:c>
      <x:c r="F1512" s="11" t="str">
        <x:v>דקאתלון</x:v>
      </x:c>
      <x:c r="G1512" s="17" t="n">
        <x:v>360</x:v>
      </x:c>
      <x:c r="H1512" s="18" t="str">
        <x:v>אופנה</x:v>
      </x:c>
      <x:c r="I1512" s="19" t="str">
        <x:f>IFERROR(INDEX('מיפוי ומקורות'!$C$7:$C$33,MATCH(H1512,'מיפוי ומקורות'!$B$7:$B$33,0)),"לא מסווג")</x:f>
        <x:v>אופנה</x:v>
      </x:c>
      <x:c r="J1512" s="19" t="str">
        <x:f>IFERROR(INDEX('מיפוי ומקורות'!$D$7:$D$33,MATCH(H1512,'מיפוי ומקורות'!$B$7:$B$33,0)),"שוטף")</x:f>
        <x:v>שוטף</x:v>
      </x:c>
      <x:c r="K1512" s="19" t="str">
        <x:f>IF(OR(H1512="ריביות",AND(H1512="דירה כצנלסון",G1512&lt;0,ISNUMBER(SEARCH("הכנסה",F1512)))),"הכנסה שסווגה מחדש",J1512)</x:f>
        <x:v>שוטף</x:v>
      </x:c>
      <x:c r="L1512" s="19" t="str">
        <x:v>מאושר</x:v>
      </x:c>
      <x:c r="M1512" s="20" t="n">
        <x:f>IF(L1512="מאושר",IF(K1512="הכנסה שסווגה מחדש",0,G1512),0)</x:f>
        <x:v>360</x:v>
      </x:c>
      <x:c r="N1512" s="20" t="n">
        <x:f>IF(K1512="שוטף",M1512,0)</x:f>
        <x:v>360</x:v>
      </x:c>
      <x:c r="O1512" s="20" t="n">
        <x:f>IF(K1512="הכנסה שסווגה מחדש",-G1512,0)</x:f>
        <x:v>0</x:v>
      </x:c>
      <x:c r="P1512" s="11" t="str">
        <x:v>אמקס - זיו</x:v>
      </x:c>
      <x:c r="Q1512" s="11" t="str"/>
      <x:c r="R1512" s="11" t="str">
        <x:v>לא</x:v>
      </x:c>
    </x:row>
    <x:row r="1513">
      <x:c r="A1513" s="14" t="n">
        <x:v>46113</x:v>
      </x:c>
      <x:c r="B1513" s="11" t="str">
        <x:v>2026-04</x:v>
      </x:c>
      <x:c r="C1513" s="11" t="str">
        <x:v>אפריל 26</x:v>
      </x:c>
      <x:c r="D1513" s="15" t="n">
        <x:v>43</x:v>
      </x:c>
      <x:c r="E1513" s="11" t="str">
        <x:v>18.04</x:v>
      </x:c>
      <x:c r="F1513" s="11" t="str">
        <x:v>מסעדה</x:v>
      </x:c>
      <x:c r="G1513" s="17" t="n">
        <x:v>40</x:v>
      </x:c>
      <x:c r="H1513" s="18" t="str">
        <x:v>אוכל בחוץ</x:v>
      </x:c>
      <x:c r="I1513" s="19" t="str">
        <x:f>IFERROR(INDEX('מיפוי ומקורות'!$C$7:$C$33,MATCH(H1513,'מיפוי ומקורות'!$B$7:$B$33,0)),"לא מסווג")</x:f>
        <x:v>אוכל בחוץ</x:v>
      </x:c>
      <x:c r="J1513" s="19" t="str">
        <x:f>IFERROR(INDEX('מיפוי ומקורות'!$D$7:$D$33,MATCH(H1513,'מיפוי ומקורות'!$B$7:$B$33,0)),"שוטף")</x:f>
        <x:v>שוטף</x:v>
      </x:c>
      <x:c r="K1513" s="19" t="str">
        <x:f>IF(OR(H1513="ריביות",AND(H1513="דירה כצנלסון",G1513&lt;0,ISNUMBER(SEARCH("הכנסה",F1513)))),"הכנסה שסווגה מחדש",J1513)</x:f>
        <x:v>שוטף</x:v>
      </x:c>
      <x:c r="L1513" s="19" t="str">
        <x:v>מאושר</x:v>
      </x:c>
      <x:c r="M1513" s="20" t="n">
        <x:f>IF(L1513="מאושר",IF(K1513="הכנסה שסווגה מחדש",0,G1513),0)</x:f>
        <x:v>40</x:v>
      </x:c>
      <x:c r="N1513" s="20" t="n">
        <x:f>IF(K1513="שוטף",M1513,0)</x:f>
        <x:v>40</x:v>
      </x:c>
      <x:c r="O1513" s="20" t="n">
        <x:f>IF(K1513="הכנסה שסווגה מחדש",-G1513,0)</x:f>
        <x:v>0</x:v>
      </x:c>
      <x:c r="P1513" s="11" t="str">
        <x:v>אמקס - זיו</x:v>
      </x:c>
      <x:c r="Q1513" s="11" t="str"/>
      <x:c r="R1513" s="11" t="str">
        <x:v>לא</x:v>
      </x:c>
    </x:row>
    <x:row r="1514">
      <x:c r="A1514" s="14" t="n">
        <x:v>46113</x:v>
      </x:c>
      <x:c r="B1514" s="11" t="str">
        <x:v>2026-04</x:v>
      </x:c>
      <x:c r="C1514" s="11" t="str">
        <x:v>אפריל 26</x:v>
      </x:c>
      <x:c r="D1514" s="15" t="n">
        <x:v>44</x:v>
      </x:c>
      <x:c r="E1514" s="11" t="str">
        <x:v>19/04</x:v>
      </x:c>
      <x:c r="F1514" s="11" t="str">
        <x:v>אדון ליאון כצנלסון</x:v>
      </x:c>
      <x:c r="G1514" s="17" t="n">
        <x:v>6</x:v>
      </x:c>
      <x:c r="H1514" s="18" t="str">
        <x:v>מזון לבית</x:v>
      </x:c>
      <x:c r="I1514" s="19" t="str">
        <x:f>IFERROR(INDEX('מיפוי ומקורות'!$C$7:$C$33,MATCH(H1514,'מיפוי ומקורות'!$B$7:$B$33,0)),"לא מסווג")</x:f>
        <x:v>מזון לבית</x:v>
      </x:c>
      <x:c r="J1514" s="19" t="str">
        <x:f>IFERROR(INDEX('מיפוי ומקורות'!$D$7:$D$33,MATCH(H1514,'מיפוי ומקורות'!$B$7:$B$33,0)),"שוטף")</x:f>
        <x:v>שוטף</x:v>
      </x:c>
      <x:c r="K1514" s="19" t="str">
        <x:f>IF(OR(H1514="ריביות",AND(H1514="דירה כצנלסון",G1514&lt;0,ISNUMBER(SEARCH("הכנסה",F1514)))),"הכנסה שסווגה מחדש",J1514)</x:f>
        <x:v>שוטף</x:v>
      </x:c>
      <x:c r="L1514" s="19" t="str">
        <x:v>מאושר</x:v>
      </x:c>
      <x:c r="M1514" s="20" t="n">
        <x:f>IF(L1514="מאושר",IF(K1514="הכנסה שסווגה מחדש",0,G1514),0)</x:f>
        <x:v>6</x:v>
      </x:c>
      <x:c r="N1514" s="20" t="n">
        <x:f>IF(K1514="שוטף",M1514,0)</x:f>
        <x:v>6</x:v>
      </x:c>
      <x:c r="O1514" s="20" t="n">
        <x:f>IF(K1514="הכנסה שסווגה מחדש",-G1514,0)</x:f>
        <x:v>0</x:v>
      </x:c>
      <x:c r="P1514" s="11" t="str">
        <x:v>אמקס - זיו</x:v>
      </x:c>
      <x:c r="Q1514" s="11" t="str"/>
      <x:c r="R1514" s="11" t="str">
        <x:v>לא</x:v>
      </x:c>
    </x:row>
    <x:row r="1515">
      <x:c r="A1515" s="14" t="n">
        <x:v>46113</x:v>
      </x:c>
      <x:c r="B1515" s="11" t="str">
        <x:v>2026-04</x:v>
      </x:c>
      <x:c r="C1515" s="11" t="str">
        <x:v>אפריל 26</x:v>
      </x:c>
      <x:c r="D1515" s="15" t="n">
        <x:v>45</x:v>
      </x:c>
      <x:c r="E1515" s="11" t="str">
        <x:v>19.04</x:v>
      </x:c>
      <x:c r="F1515" s="11" t="str">
        <x:v>סופר</x:v>
      </x:c>
      <x:c r="G1515" s="17" t="n">
        <x:v>548</x:v>
      </x:c>
      <x:c r="H1515" s="18" t="str">
        <x:v>מזון לבית</x:v>
      </x:c>
      <x:c r="I1515" s="19" t="str">
        <x:f>IFERROR(INDEX('מיפוי ומקורות'!$C$7:$C$33,MATCH(H1515,'מיפוי ומקורות'!$B$7:$B$33,0)),"לא מסווג")</x:f>
        <x:v>מזון לבית</x:v>
      </x:c>
      <x:c r="J1515" s="19" t="str">
        <x:f>IFERROR(INDEX('מיפוי ומקורות'!$D$7:$D$33,MATCH(H1515,'מיפוי ומקורות'!$B$7:$B$33,0)),"שוטף")</x:f>
        <x:v>שוטף</x:v>
      </x:c>
      <x:c r="K1515" s="19" t="str">
        <x:f>IF(OR(H1515="ריביות",AND(H1515="דירה כצנלסון",G1515&lt;0,ISNUMBER(SEARCH("הכנסה",F1515)))),"הכנסה שסווגה מחדש",J1515)</x:f>
        <x:v>שוטף</x:v>
      </x:c>
      <x:c r="L1515" s="19" t="str">
        <x:v>מאושר</x:v>
      </x:c>
      <x:c r="M1515" s="20" t="n">
        <x:f>IF(L1515="מאושר",IF(K1515="הכנסה שסווגה מחדש",0,G1515),0)</x:f>
        <x:v>548</x:v>
      </x:c>
      <x:c r="N1515" s="20" t="n">
        <x:f>IF(K1515="שוטף",M1515,0)</x:f>
        <x:v>548</x:v>
      </x:c>
      <x:c r="O1515" s="20" t="n">
        <x:f>IF(K1515="הכנסה שסווגה מחדש",-G1515,0)</x:f>
        <x:v>0</x:v>
      </x:c>
      <x:c r="P1515" s="11" t="str">
        <x:v>אמקס - זיו</x:v>
      </x:c>
      <x:c r="Q1515" s="11" t="str"/>
      <x:c r="R1515" s="11" t="str">
        <x:v>לא</x:v>
      </x:c>
    </x:row>
    <x:row r="1516">
      <x:c r="A1516" s="14" t="n">
        <x:v>46113</x:v>
      </x:c>
      <x:c r="B1516" s="11" t="str">
        <x:v>2026-04</x:v>
      </x:c>
      <x:c r="C1516" s="11" t="str">
        <x:v>אפריל 26</x:v>
      </x:c>
      <x:c r="D1516" s="15" t="n">
        <x:v>47</x:v>
      </x:c>
      <x:c r="E1516" s="11" t="str">
        <x:v>20.04</x:v>
      </x:c>
      <x:c r="F1516" s="11" t="str">
        <x:v>סופר</x:v>
      </x:c>
      <x:c r="G1516" s="17" t="n">
        <x:v>24</x:v>
      </x:c>
      <x:c r="H1516" s="18" t="str">
        <x:v>מזון לבית</x:v>
      </x:c>
      <x:c r="I1516" s="19" t="str">
        <x:f>IFERROR(INDEX('מיפוי ומקורות'!$C$7:$C$33,MATCH(H1516,'מיפוי ומקורות'!$B$7:$B$33,0)),"לא מסווג")</x:f>
        <x:v>מזון לבית</x:v>
      </x:c>
      <x:c r="J1516" s="19" t="str">
        <x:f>IFERROR(INDEX('מיפוי ומקורות'!$D$7:$D$33,MATCH(H1516,'מיפוי ומקורות'!$B$7:$B$33,0)),"שוטף")</x:f>
        <x:v>שוטף</x:v>
      </x:c>
      <x:c r="K1516" s="19" t="str">
        <x:f>IF(OR(H1516="ריביות",AND(H1516="דירה כצנלסון",G1516&lt;0,ISNUMBER(SEARCH("הכנסה",F1516)))),"הכנסה שסווגה מחדש",J1516)</x:f>
        <x:v>שוטף</x:v>
      </x:c>
      <x:c r="L1516" s="19" t="str">
        <x:v>מאושר</x:v>
      </x:c>
      <x:c r="M1516" s="20" t="n">
        <x:f>IF(L1516="מאושר",IF(K1516="הכנסה שסווגה מחדש",0,G1516),0)</x:f>
        <x:v>24</x:v>
      </x:c>
      <x:c r="N1516" s="20" t="n">
        <x:f>IF(K1516="שוטף",M1516,0)</x:f>
        <x:v>24</x:v>
      </x:c>
      <x:c r="O1516" s="20" t="n">
        <x:f>IF(K1516="הכנסה שסווגה מחדש",-G1516,0)</x:f>
        <x:v>0</x:v>
      </x:c>
      <x:c r="P1516" s="11" t="str">
        <x:v>אמקס - זיו</x:v>
      </x:c>
      <x:c r="Q1516" s="11" t="str"/>
      <x:c r="R1516" s="11" t="str">
        <x:v>לא</x:v>
      </x:c>
    </x:row>
    <x:row r="1517">
      <x:c r="A1517" s="14" t="n">
        <x:v>46113</x:v>
      </x:c>
      <x:c r="B1517" s="11" t="str">
        <x:v>2026-04</x:v>
      </x:c>
      <x:c r="C1517" s="11" t="str">
        <x:v>אפריל 26</x:v>
      </x:c>
      <x:c r="D1517" s="15" t="n">
        <x:v>48</x:v>
      </x:c>
      <x:c r="E1517" s="11" t="str">
        <x:v>21.04</x:v>
      </x:c>
      <x:c r="F1517" s="11" t="str">
        <x:v>סופר</x:v>
      </x:c>
      <x:c r="G1517" s="17" t="n">
        <x:v>-24</x:v>
      </x:c>
      <x:c r="H1517" s="18" t="str">
        <x:v>מזון לבית</x:v>
      </x:c>
      <x:c r="I1517" s="19" t="str">
        <x:f>IFERROR(INDEX('מיפוי ומקורות'!$C$7:$C$33,MATCH(H1517,'מיפוי ומקורות'!$B$7:$B$33,0)),"לא מסווג")</x:f>
        <x:v>מזון לבית</x:v>
      </x:c>
      <x:c r="J1517" s="19" t="str">
        <x:f>IFERROR(INDEX('מיפוי ומקורות'!$D$7:$D$33,MATCH(H1517,'מיפוי ומקורות'!$B$7:$B$33,0)),"שוטף")</x:f>
        <x:v>שוטף</x:v>
      </x:c>
      <x:c r="K1517" s="19" t="str">
        <x:f>IF(OR(H1517="ריביות",AND(H1517="דירה כצנלסון",G1517&lt;0,ISNUMBER(SEARCH("הכנסה",F1517)))),"הכנסה שסווגה מחדש",J1517)</x:f>
        <x:v>שוטף</x:v>
      </x:c>
      <x:c r="L1517" s="19" t="str">
        <x:v>מאושר</x:v>
      </x:c>
      <x:c r="M1517" s="20" t="n">
        <x:f>IF(L1517="מאושר",IF(K1517="הכנסה שסווגה מחדש",0,G1517),0)</x:f>
        <x:v>-24</x:v>
      </x:c>
      <x:c r="N1517" s="20" t="n">
        <x:f>IF(K1517="שוטף",M1517,0)</x:f>
        <x:v>-24</x:v>
      </x:c>
      <x:c r="O1517" s="20" t="n">
        <x:f>IF(K1517="הכנסה שסווגה מחדש",-G1517,0)</x:f>
        <x:v>0</x:v>
      </x:c>
      <x:c r="P1517" s="11" t="str">
        <x:v>אמקס - זיו</x:v>
      </x:c>
      <x:c r="Q1517" s="11" t="str"/>
      <x:c r="R1517" s="11" t="str">
        <x:v>לא</x:v>
      </x:c>
    </x:row>
    <x:row r="1518">
      <x:c r="A1518" s="14" t="n">
        <x:v>46113</x:v>
      </x:c>
      <x:c r="B1518" s="11" t="str">
        <x:v>2026-04</x:v>
      </x:c>
      <x:c r="C1518" s="11" t="str">
        <x:v>אפריל 26</x:v>
      </x:c>
      <x:c r="D1518" s="15" t="n">
        <x:v>49</x:v>
      </x:c>
      <x:c r="E1518" s="11" t="str">
        <x:v>21.04</x:v>
      </x:c>
      <x:c r="F1518" s="11" t="str">
        <x:v>פארם</x:v>
      </x:c>
      <x:c r="G1518" s="17" t="n">
        <x:v>13</x:v>
      </x:c>
      <x:c r="H1518" s="18" t="str">
        <x:v>בריאות</x:v>
      </x:c>
      <x:c r="I1518" s="19" t="str">
        <x:f>IFERROR(INDEX('מיפוי ומקורות'!$C$7:$C$33,MATCH(H1518,'מיפוי ומקורות'!$B$7:$B$33,0)),"לא מסווג")</x:f>
        <x:v>בריאות וטיפולים</x:v>
      </x:c>
      <x:c r="J1518" s="19" t="str">
        <x:f>IFERROR(INDEX('מיפוי ומקורות'!$D$7:$D$33,MATCH(H1518,'מיפוי ומקורות'!$B$7:$B$33,0)),"שוטף")</x:f>
        <x:v>שוטף</x:v>
      </x:c>
      <x:c r="K1518" s="19" t="str">
        <x:f>IF(OR(H1518="ריביות",AND(H1518="דירה כצנלסון",G1518&lt;0,ISNUMBER(SEARCH("הכנסה",F1518)))),"הכנסה שסווגה מחדש",J1518)</x:f>
        <x:v>שוטף</x:v>
      </x:c>
      <x:c r="L1518" s="19" t="str">
        <x:v>מאושר</x:v>
      </x:c>
      <x:c r="M1518" s="20" t="n">
        <x:f>IF(L1518="מאושר",IF(K1518="הכנסה שסווגה מחדש",0,G1518),0)</x:f>
        <x:v>13</x:v>
      </x:c>
      <x:c r="N1518" s="20" t="n">
        <x:f>IF(K1518="שוטף",M1518,0)</x:f>
        <x:v>13</x:v>
      </x:c>
      <x:c r="O1518" s="20" t="n">
        <x:f>IF(K1518="הכנסה שסווגה מחדש",-G1518,0)</x:f>
        <x:v>0</x:v>
      </x:c>
      <x:c r="P1518" s="11" t="str">
        <x:v>אמקס - זיו</x:v>
      </x:c>
      <x:c r="Q1518" s="11" t="str"/>
      <x:c r="R1518" s="11" t="str">
        <x:v>לא</x:v>
      </x:c>
    </x:row>
    <x:row r="1519">
      <x:c r="A1519" s="14" t="n">
        <x:v>46113</x:v>
      </x:c>
      <x:c r="B1519" s="11" t="str">
        <x:v>2026-04</x:v>
      </x:c>
      <x:c r="C1519" s="11" t="str">
        <x:v>אפריל 26</x:v>
      </x:c>
      <x:c r="D1519" s="15" t="n">
        <x:v>50</x:v>
      </x:c>
      <x:c r="E1519" s="11" t="str">
        <x:v>21/04</x:v>
      </x:c>
      <x:c r="F1519" s="11" t="str">
        <x:v>חלום יעקב רמת גן</x:v>
      </x:c>
      <x:c r="G1519" s="17" t="n">
        <x:v>11</x:v>
      </x:c>
      <x:c r="H1519" s="18" t="str">
        <x:v>אוכל בחוץ</x:v>
      </x:c>
      <x:c r="I1519" s="19" t="str">
        <x:f>IFERROR(INDEX('מיפוי ומקורות'!$C$7:$C$33,MATCH(H1519,'מיפוי ומקורות'!$B$7:$B$33,0)),"לא מסווג")</x:f>
        <x:v>אוכל בחוץ</x:v>
      </x:c>
      <x:c r="J1519" s="19" t="str">
        <x:f>IFERROR(INDEX('מיפוי ומקורות'!$D$7:$D$33,MATCH(H1519,'מיפוי ומקורות'!$B$7:$B$33,0)),"שוטף")</x:f>
        <x:v>שוטף</x:v>
      </x:c>
      <x:c r="K1519" s="19" t="str">
        <x:f>IF(OR(H1519="ריביות",AND(H1519="דירה כצנלסון",G1519&lt;0,ISNUMBER(SEARCH("הכנסה",F1519)))),"הכנסה שסווגה מחדש",J1519)</x:f>
        <x:v>שוטף</x:v>
      </x:c>
      <x:c r="L1519" s="19" t="str">
        <x:v>מאושר</x:v>
      </x:c>
      <x:c r="M1519" s="20" t="n">
        <x:f>IF(L1519="מאושר",IF(K1519="הכנסה שסווגה מחדש",0,G1519),0)</x:f>
        <x:v>11</x:v>
      </x:c>
      <x:c r="N1519" s="20" t="n">
        <x:f>IF(K1519="שוטף",M1519,0)</x:f>
        <x:v>11</x:v>
      </x:c>
      <x:c r="O1519" s="20" t="n">
        <x:f>IF(K1519="הכנסה שסווגה מחדש",-G1519,0)</x:f>
        <x:v>0</x:v>
      </x:c>
      <x:c r="P1519" s="11" t="str">
        <x:v>אמקס - זיו</x:v>
      </x:c>
      <x:c r="Q1519" s="11" t="str"/>
      <x:c r="R1519" s="11" t="str">
        <x:v>לא</x:v>
      </x:c>
    </x:row>
    <x:row r="1520">
      <x:c r="A1520" s="14" t="n">
        <x:v>46113</x:v>
      </x:c>
      <x:c r="B1520" s="11" t="str">
        <x:v>2026-04</x:v>
      </x:c>
      <x:c r="C1520" s="11" t="str">
        <x:v>אפריל 26</x:v>
      </x:c>
      <x:c r="D1520" s="15" t="n">
        <x:v>51</x:v>
      </x:c>
      <x:c r="E1520" s="11" t="str">
        <x:v>22.04</x:v>
      </x:c>
      <x:c r="F1520" s="11" t="str">
        <x:v>דלק</x:v>
      </x:c>
      <x:c r="G1520" s="17" t="n">
        <x:v>188</x:v>
      </x:c>
      <x:c r="H1520" s="18" t="str">
        <x:v>תחבורה</x:v>
      </x:c>
      <x:c r="I1520" s="19" t="str">
        <x:f>IFERROR(INDEX('מיפוי ומקורות'!$C$7:$C$33,MATCH(H1520,'מיפוי ומקורות'!$B$7:$B$33,0)),"לא מסווג")</x:f>
        <x:v>תחבורה</x:v>
      </x:c>
      <x:c r="J1520" s="19" t="str">
        <x:f>IFERROR(INDEX('מיפוי ומקורות'!$D$7:$D$33,MATCH(H1520,'מיפוי ומקורות'!$B$7:$B$33,0)),"שוטף")</x:f>
        <x:v>שוטף</x:v>
      </x:c>
      <x:c r="K1520" s="19" t="str">
        <x:f>IF(OR(H1520="ריביות",AND(H1520="דירה כצנלסון",G1520&lt;0,ISNUMBER(SEARCH("הכנסה",F1520)))),"הכנסה שסווגה מחדש",J1520)</x:f>
        <x:v>שוטף</x:v>
      </x:c>
      <x:c r="L1520" s="19" t="str">
        <x:v>מאושר</x:v>
      </x:c>
      <x:c r="M1520" s="20" t="n">
        <x:f>IF(L1520="מאושר",IF(K1520="הכנסה שסווגה מחדש",0,G1520),0)</x:f>
        <x:v>188</x:v>
      </x:c>
      <x:c r="N1520" s="20" t="n">
        <x:f>IF(K1520="שוטף",M1520,0)</x:f>
        <x:v>188</x:v>
      </x:c>
      <x:c r="O1520" s="20" t="n">
        <x:f>IF(K1520="הכנסה שסווגה מחדש",-G1520,0)</x:f>
        <x:v>0</x:v>
      </x:c>
      <x:c r="P1520" s="11" t="str">
        <x:v>אמקס - זיו</x:v>
      </x:c>
      <x:c r="Q1520" s="11" t="str"/>
      <x:c r="R1520" s="11" t="str">
        <x:v>לא</x:v>
      </x:c>
    </x:row>
    <x:row r="1521">
      <x:c r="A1521" s="14" t="n">
        <x:v>46113</x:v>
      </x:c>
      <x:c r="B1521" s="11" t="str">
        <x:v>2026-04</x:v>
      </x:c>
      <x:c r="C1521" s="11" t="str">
        <x:v>אפריל 26</x:v>
      </x:c>
      <x:c r="D1521" s="15" t="n">
        <x:v>52</x:v>
      </x:c>
      <x:c r="E1521" s="11" t="str">
        <x:v>23.04</x:v>
      </x:c>
      <x:c r="F1521" s="11" t="str">
        <x:v>סופר</x:v>
      </x:c>
      <x:c r="G1521" s="17" t="n">
        <x:v>16</x:v>
      </x:c>
      <x:c r="H1521" s="18" t="str">
        <x:v>מזון לבית</x:v>
      </x:c>
      <x:c r="I1521" s="19" t="str">
        <x:f>IFERROR(INDEX('מיפוי ומקורות'!$C$7:$C$33,MATCH(H1521,'מיפוי ומקורות'!$B$7:$B$33,0)),"לא מסווג")</x:f>
        <x:v>מזון לבית</x:v>
      </x:c>
      <x:c r="J1521" s="19" t="str">
        <x:f>IFERROR(INDEX('מיפוי ומקורות'!$D$7:$D$33,MATCH(H1521,'מיפוי ומקורות'!$B$7:$B$33,0)),"שוטף")</x:f>
        <x:v>שוטף</x:v>
      </x:c>
      <x:c r="K1521" s="19" t="str">
        <x:f>IF(OR(H1521="ריביות",AND(H1521="דירה כצנלסון",G1521&lt;0,ISNUMBER(SEARCH("הכנסה",F1521)))),"הכנסה שסווגה מחדש",J1521)</x:f>
        <x:v>שוטף</x:v>
      </x:c>
      <x:c r="L1521" s="19" t="str">
        <x:v>מאושר</x:v>
      </x:c>
      <x:c r="M1521" s="20" t="n">
        <x:f>IF(L1521="מאושר",IF(K1521="הכנסה שסווגה מחדש",0,G1521),0)</x:f>
        <x:v>16</x:v>
      </x:c>
      <x:c r="N1521" s="20" t="n">
        <x:f>IF(K1521="שוטף",M1521,0)</x:f>
        <x:v>16</x:v>
      </x:c>
      <x:c r="O1521" s="20" t="n">
        <x:f>IF(K1521="הכנסה שסווגה מחדש",-G1521,0)</x:f>
        <x:v>0</x:v>
      </x:c>
      <x:c r="P1521" s="11" t="str">
        <x:v>אמקס - זיו</x:v>
      </x:c>
      <x:c r="Q1521" s="11" t="str"/>
      <x:c r="R1521" s="11" t="str">
        <x:v>לא</x:v>
      </x:c>
    </x:row>
    <x:row r="1522">
      <x:c r="A1522" s="14" t="n">
        <x:v>46113</x:v>
      </x:c>
      <x:c r="B1522" s="11" t="str">
        <x:v>2026-04</x:v>
      </x:c>
      <x:c r="C1522" s="11" t="str">
        <x:v>אפריל 26</x:v>
      </x:c>
      <x:c r="D1522" s="15" t="n">
        <x:v>53</x:v>
      </x:c>
      <x:c r="E1522" s="11" t="str">
        <x:v>25/04</x:v>
      </x:c>
      <x:c r="F1522" s="11" t="str">
        <x:v>העברה ב BIT בנה"פ</x:v>
      </x:c>
      <x:c r="G1522" s="17" t="n">
        <x:v>42</x:v>
      </x:c>
      <x:c r="H1522" s="18" t="str">
        <x:v>אוכל בחוץ</x:v>
      </x:c>
      <x:c r="I1522" s="19" t="str">
        <x:f>IFERROR(INDEX('מיפוי ומקורות'!$C$7:$C$33,MATCH(H1522,'מיפוי ומקורות'!$B$7:$B$33,0)),"לא מסווג")</x:f>
        <x:v>אוכל בחוץ</x:v>
      </x:c>
      <x:c r="J1522" s="19" t="str">
        <x:f>IFERROR(INDEX('מיפוי ומקורות'!$D$7:$D$33,MATCH(H1522,'מיפוי ומקורות'!$B$7:$B$33,0)),"שוטף")</x:f>
        <x:v>שוטף</x:v>
      </x:c>
      <x:c r="K1522" s="19" t="str">
        <x:f>IF(OR(H1522="ריביות",AND(H1522="דירה כצנלסון",G1522&lt;0,ISNUMBER(SEARCH("הכנסה",F1522)))),"הכנסה שסווגה מחדש",J1522)</x:f>
        <x:v>שוטף</x:v>
      </x:c>
      <x:c r="L1522" s="19" t="str">
        <x:v>מאושר</x:v>
      </x:c>
      <x:c r="M1522" s="20" t="n">
        <x:f>IF(L1522="מאושר",IF(K1522="הכנסה שסווגה מחדש",0,G1522),0)</x:f>
        <x:v>42</x:v>
      </x:c>
      <x:c r="N1522" s="20" t="n">
        <x:f>IF(K1522="שוטף",M1522,0)</x:f>
        <x:v>42</x:v>
      </x:c>
      <x:c r="O1522" s="20" t="n">
        <x:f>IF(K1522="הכנסה שסווגה מחדש",-G1522,0)</x:f>
        <x:v>0</x:v>
      </x:c>
      <x:c r="P1522" s="11" t="str">
        <x:v>אמקס - זיו</x:v>
      </x:c>
      <x:c r="Q1522" s="11" t="str"/>
      <x:c r="R1522" s="11" t="str">
        <x:v>לא</x:v>
      </x:c>
    </x:row>
    <x:row r="1523">
      <x:c r="A1523" s="14" t="n">
        <x:v>46113</x:v>
      </x:c>
      <x:c r="B1523" s="11" t="str">
        <x:v>2026-04</x:v>
      </x:c>
      <x:c r="C1523" s="11" t="str">
        <x:v>אפריל 26</x:v>
      </x:c>
      <x:c r="D1523" s="15" t="n">
        <x:v>54</x:v>
      </x:c>
      <x:c r="E1523" s="11" t="str">
        <x:v>26.04</x:v>
      </x:c>
      <x:c r="F1523" s="11" t="str">
        <x:v>ירקן</x:v>
      </x:c>
      <x:c r="G1523" s="17" t="n">
        <x:v>60</x:v>
      </x:c>
      <x:c r="H1523" s="18" t="str">
        <x:v>מזון לבית</x:v>
      </x:c>
      <x:c r="I1523" s="19" t="str">
        <x:f>IFERROR(INDEX('מיפוי ומקורות'!$C$7:$C$33,MATCH(H1523,'מיפוי ומקורות'!$B$7:$B$33,0)),"לא מסווג")</x:f>
        <x:v>מזון לבית</x:v>
      </x:c>
      <x:c r="J1523" s="19" t="str">
        <x:f>IFERROR(INDEX('מיפוי ומקורות'!$D$7:$D$33,MATCH(H1523,'מיפוי ומקורות'!$B$7:$B$33,0)),"שוטף")</x:f>
        <x:v>שוטף</x:v>
      </x:c>
      <x:c r="K1523" s="19" t="str">
        <x:f>IF(OR(H1523="ריביות",AND(H1523="דירה כצנלסון",G1523&lt;0,ISNUMBER(SEARCH("הכנסה",F1523)))),"הכנסה שסווגה מחדש",J1523)</x:f>
        <x:v>שוטף</x:v>
      </x:c>
      <x:c r="L1523" s="19" t="str">
        <x:v>מאושר</x:v>
      </x:c>
      <x:c r="M1523" s="20" t="n">
        <x:f>IF(L1523="מאושר",IF(K1523="הכנסה שסווגה מחדש",0,G1523),0)</x:f>
        <x:v>60</x:v>
      </x:c>
      <x:c r="N1523" s="20" t="n">
        <x:f>IF(K1523="שוטף",M1523,0)</x:f>
        <x:v>60</x:v>
      </x:c>
      <x:c r="O1523" s="20" t="n">
        <x:f>IF(K1523="הכנסה שסווגה מחדש",-G1523,0)</x:f>
        <x:v>0</x:v>
      </x:c>
      <x:c r="P1523" s="11" t="str">
        <x:v>אמקס - זיו</x:v>
      </x:c>
      <x:c r="Q1523" s="11" t="str"/>
      <x:c r="R1523" s="11" t="str">
        <x:v>לא</x:v>
      </x:c>
    </x:row>
    <x:row r="1524">
      <x:c r="A1524" s="14" t="n">
        <x:v>46113</x:v>
      </x:c>
      <x:c r="B1524" s="11" t="str">
        <x:v>2026-04</x:v>
      </x:c>
      <x:c r="C1524" s="11" t="str">
        <x:v>אפריל 26</x:v>
      </x:c>
      <x:c r="D1524" s="15" t="n">
        <x:v>55</x:v>
      </x:c>
      <x:c r="E1524" s="11" t="str">
        <x:v>26/04</x:v>
      </x:c>
      <x:c r="F1524" s="11" t="str">
        <x:v>העברה ב BIT בנה"פ</x:v>
      </x:c>
      <x:c r="G1524" s="17" t="n">
        <x:v>20</x:v>
      </x:c>
      <x:c r="H1524" s="18" t="str">
        <x:v>מתנה</x:v>
      </x:c>
      <x:c r="I1524" s="19" t="str">
        <x:f>IFERROR(INDEX('מיפוי ומקורות'!$C$7:$C$33,MATCH(H1524,'מיפוי ומקורות'!$B$7:$B$33,0)),"לא מסווג")</x:f>
        <x:v>מתנה</x:v>
      </x:c>
      <x:c r="J1524" s="19" t="str">
        <x:f>IFERROR(INDEX('מיפוי ומקורות'!$D$7:$D$33,MATCH(H1524,'מיפוי ומקורות'!$B$7:$B$33,0)),"שוטף")</x:f>
        <x:v>שוטף</x:v>
      </x:c>
      <x:c r="K1524" s="19" t="str">
        <x:f>IF(OR(H1524="ריביות",AND(H1524="דירה כצנלסון",G1524&lt;0,ISNUMBER(SEARCH("הכנסה",F1524)))),"הכנסה שסווגה מחדש",J1524)</x:f>
        <x:v>שוטף</x:v>
      </x:c>
      <x:c r="L1524" s="19" t="str">
        <x:v>מאושר</x:v>
      </x:c>
      <x:c r="M1524" s="20" t="n">
        <x:f>IF(L1524="מאושר",IF(K1524="הכנסה שסווגה מחדש",0,G1524),0)</x:f>
        <x:v>20</x:v>
      </x:c>
      <x:c r="N1524" s="20" t="n">
        <x:f>IF(K1524="שוטף",M1524,0)</x:f>
        <x:v>20</x:v>
      </x:c>
      <x:c r="O1524" s="20" t="n">
        <x:f>IF(K1524="הכנסה שסווגה מחדש",-G1524,0)</x:f>
        <x:v>0</x:v>
      </x:c>
      <x:c r="P1524" s="11" t="str">
        <x:v>אמקס - זיו</x:v>
      </x:c>
      <x:c r="Q1524" s="11" t="str"/>
      <x:c r="R1524" s="11" t="str">
        <x:v>לא</x:v>
      </x:c>
    </x:row>
    <x:row r="1525">
      <x:c r="A1525" s="14" t="n">
        <x:v>46113</x:v>
      </x:c>
      <x:c r="B1525" s="11" t="str">
        <x:v>2026-04</x:v>
      </x:c>
      <x:c r="C1525" s="11" t="str">
        <x:v>אפריל 26</x:v>
      </x:c>
      <x:c r="D1525" s="15" t="n">
        <x:v>56</x:v>
      </x:c>
      <x:c r="E1525" s="11" t="str">
        <x:v>27/04</x:v>
      </x:c>
      <x:c r="F1525" s="11" t="str">
        <x:v>THE SANDO BOX</x:v>
      </x:c>
      <x:c r="G1525" s="17" t="n">
        <x:v>14</x:v>
      </x:c>
      <x:c r="H1525" s="18" t="str">
        <x:v>אוכל בחוץ</x:v>
      </x:c>
      <x:c r="I1525" s="19" t="str">
        <x:f>IFERROR(INDEX('מיפוי ומקורות'!$C$7:$C$33,MATCH(H1525,'מיפוי ומקורות'!$B$7:$B$33,0)),"לא מסווג")</x:f>
        <x:v>אוכל בחוץ</x:v>
      </x:c>
      <x:c r="J1525" s="19" t="str">
        <x:f>IFERROR(INDEX('מיפוי ומקורות'!$D$7:$D$33,MATCH(H1525,'מיפוי ומקורות'!$B$7:$B$33,0)),"שוטף")</x:f>
        <x:v>שוטף</x:v>
      </x:c>
      <x:c r="K1525" s="19" t="str">
        <x:f>IF(OR(H1525="ריביות",AND(H1525="דירה כצנלסון",G1525&lt;0,ISNUMBER(SEARCH("הכנסה",F1525)))),"הכנסה שסווגה מחדש",J1525)</x:f>
        <x:v>שוטף</x:v>
      </x:c>
      <x:c r="L1525" s="19" t="str">
        <x:v>מאושר</x:v>
      </x:c>
      <x:c r="M1525" s="20" t="n">
        <x:f>IF(L1525="מאושר",IF(K1525="הכנסה שסווגה מחדש",0,G1525),0)</x:f>
        <x:v>14</x:v>
      </x:c>
      <x:c r="N1525" s="20" t="n">
        <x:f>IF(K1525="שוטף",M1525,0)</x:f>
        <x:v>14</x:v>
      </x:c>
      <x:c r="O1525" s="20" t="n">
        <x:f>IF(K1525="הכנסה שסווגה מחדש",-G1525,0)</x:f>
        <x:v>0</x:v>
      </x:c>
      <x:c r="P1525" s="11" t="str">
        <x:v>אמקס - זיו</x:v>
      </x:c>
      <x:c r="Q1525" s="11" t="str"/>
      <x:c r="R1525" s="11" t="str">
        <x:v>לא</x:v>
      </x:c>
    </x:row>
    <x:row r="1526">
      <x:c r="A1526" s="14" t="n">
        <x:v>46113</x:v>
      </x:c>
      <x:c r="B1526" s="11" t="str">
        <x:v>2026-04</x:v>
      </x:c>
      <x:c r="C1526" s="11" t="str">
        <x:v>אפריל 26</x:v>
      </x:c>
      <x:c r="D1526" s="15" t="n">
        <x:v>57</x:v>
      </x:c>
      <x:c r="E1526" s="11" t="str"/>
      <x:c r="F1526" s="11" t="str">
        <x:v>קפריסין 26</x:v>
      </x:c>
      <x:c r="G1526" s="17" t="n">
        <x:v>-1212</x:v>
      </x:c>
      <x:c r="H1526" s="18" t="str">
        <x:v>חופשה</x:v>
      </x:c>
      <x:c r="I1526" s="19" t="str">
        <x:f>IFERROR(INDEX('מיפוי ומקורות'!$C$7:$C$33,MATCH(H1526,'מיפוי ומקורות'!$B$7:$B$33,0)),"לא מסווג")</x:f>
        <x:v>נסיעות וחופשות</x:v>
      </x:c>
      <x:c r="J1526" s="19" t="str">
        <x:f>IFERROR(INDEX('מיפוי ומקורות'!$D$7:$D$33,MATCH(H1526,'מיפוי ומקורות'!$B$7:$B$33,0)),"שוטף")</x:f>
        <x:v>חריג</x:v>
      </x:c>
      <x:c r="K1526" s="19" t="str">
        <x:f>IF(OR(H1526="ריביות",AND(H1526="דירה כצנלסון",G1526&lt;0,ISNUMBER(SEARCH("הכנסה",F1526)))),"הכנסה שסווגה מחדש",J1526)</x:f>
        <x:v>חריג</x:v>
      </x:c>
      <x:c r="L1526" s="19" t="str">
        <x:v>מאושר</x:v>
      </x:c>
      <x:c r="M1526" s="20" t="n">
        <x:f>IF(L1526="מאושר",IF(K1526="הכנסה שסווגה מחדש",0,G1526),0)</x:f>
        <x:v>-1212</x:v>
      </x:c>
      <x:c r="N1526" s="20" t="n">
        <x:f>IF(K1526="שוטף",M1526,0)</x:f>
        <x:v>0</x:v>
      </x:c>
      <x:c r="O1526" s="20" t="n">
        <x:f>IF(K1526="הכנסה שסווגה מחדש",-G1526,0)</x:f>
        <x:v>0</x:v>
      </x:c>
      <x:c r="P1526" s="11" t="str"/>
      <x:c r="Q1526" s="11" t="str">
        <x:v>auto:vacation:קפריסין 26</x:v>
      </x:c>
      <x:c r="R1526" s="11" t="str">
        <x:v>כן</x:v>
      </x:c>
    </x:row>
    <x:row r="1527">
      <x:c r="A1527" s="14" t="n">
        <x:v>46113</x:v>
      </x:c>
      <x:c r="B1527" s="11" t="str">
        <x:v>2026-04</x:v>
      </x:c>
      <x:c r="C1527" s="11" t="str">
        <x:v>אפריל 26</x:v>
      </x:c>
      <x:c r="D1527" s="15" t="n">
        <x:v>58</x:v>
      </x:c>
      <x:c r="E1527" s="11" t="str">
        <x:v>2.04</x:v>
      </x:c>
      <x:c r="F1527" s="11" t="str">
        <x:v>מסעדה</x:v>
      </x:c>
      <x:c r="G1527" s="17" t="n">
        <x:v>263</x:v>
      </x:c>
      <x:c r="H1527" s="18" t="str">
        <x:v>אוכל בחוץ</x:v>
      </x:c>
      <x:c r="I1527" s="19" t="str">
        <x:f>IFERROR(INDEX('מיפוי ומקורות'!$C$7:$C$33,MATCH(H1527,'מיפוי ומקורות'!$B$7:$B$33,0)),"לא מסווג")</x:f>
        <x:v>אוכל בחוץ</x:v>
      </x:c>
      <x:c r="J1527" s="19" t="str">
        <x:f>IFERROR(INDEX('מיפוי ומקורות'!$D$7:$D$33,MATCH(H1527,'מיפוי ומקורות'!$B$7:$B$33,0)),"שוטף")</x:f>
        <x:v>שוטף</x:v>
      </x:c>
      <x:c r="K1527" s="19" t="str">
        <x:f>IF(OR(H1527="ריביות",AND(H1527="דירה כצנלסון",G1527&lt;0,ISNUMBER(SEARCH("הכנסה",F1527)))),"הכנסה שסווגה מחדש",J1527)</x:f>
        <x:v>שוטף</x:v>
      </x:c>
      <x:c r="L1527" s="19" t="str">
        <x:v>מאושר</x:v>
      </x:c>
      <x:c r="M1527" s="20" t="n">
        <x:f>IF(L1527="מאושר",IF(K1527="הכנסה שסווגה מחדש",0,G1527),0)</x:f>
        <x:v>263</x:v>
      </x:c>
      <x:c r="N1527" s="20" t="n">
        <x:f>IF(K1527="שוטף",M1527,0)</x:f>
        <x:v>263</x:v>
      </x:c>
      <x:c r="O1527" s="20" t="n">
        <x:f>IF(K1527="הכנסה שסווגה מחדש",-G1527,0)</x:f>
        <x:v>0</x:v>
      </x:c>
      <x:c r="P1527" s="11" t="str">
        <x:v>אמקס - עינור</x:v>
      </x:c>
      <x:c r="Q1527" s="11" t="str"/>
      <x:c r="R1527" s="11" t="str">
        <x:v>לא</x:v>
      </x:c>
    </x:row>
    <x:row r="1528">
      <x:c r="A1528" s="14" t="n">
        <x:v>46113</x:v>
      </x:c>
      <x:c r="B1528" s="11" t="str">
        <x:v>2026-04</x:v>
      </x:c>
      <x:c r="C1528" s="11" t="str">
        <x:v>אפריל 26</x:v>
      </x:c>
      <x:c r="D1528" s="15" t="n">
        <x:v>59</x:v>
      </x:c>
      <x:c r="E1528" s="11" t="str">
        <x:v>3.04</x:v>
      </x:c>
      <x:c r="F1528" s="11" t="str">
        <x:v>קפה גן סיפור הוד השר</x:v>
      </x:c>
      <x:c r="G1528" s="17" t="n">
        <x:v>22</x:v>
      </x:c>
      <x:c r="H1528" s="18" t="str">
        <x:v>אוכל בחוץ</x:v>
      </x:c>
      <x:c r="I1528" s="19" t="str">
        <x:f>IFERROR(INDEX('מיפוי ומקורות'!$C$7:$C$33,MATCH(H1528,'מיפוי ומקורות'!$B$7:$B$33,0)),"לא מסווג")</x:f>
        <x:v>אוכל בחוץ</x:v>
      </x:c>
      <x:c r="J1528" s="19" t="str">
        <x:f>IFERROR(INDEX('מיפוי ומקורות'!$D$7:$D$33,MATCH(H1528,'מיפוי ומקורות'!$B$7:$B$33,0)),"שוטף")</x:f>
        <x:v>שוטף</x:v>
      </x:c>
      <x:c r="K1528" s="19" t="str">
        <x:f>IF(OR(H1528="ריביות",AND(H1528="דירה כצנלסון",G1528&lt;0,ISNUMBER(SEARCH("הכנסה",F1528)))),"הכנסה שסווגה מחדש",J1528)</x:f>
        <x:v>שוטף</x:v>
      </x:c>
      <x:c r="L1528" s="19" t="str">
        <x:v>מאושר</x:v>
      </x:c>
      <x:c r="M1528" s="20" t="n">
        <x:f>IF(L1528="מאושר",IF(K1528="הכנסה שסווגה מחדש",0,G1528),0)</x:f>
        <x:v>22</x:v>
      </x:c>
      <x:c r="N1528" s="20" t="n">
        <x:f>IF(K1528="שוטף",M1528,0)</x:f>
        <x:v>22</x:v>
      </x:c>
      <x:c r="O1528" s="20" t="n">
        <x:f>IF(K1528="הכנסה שסווגה מחדש",-G1528,0)</x:f>
        <x:v>0</x:v>
      </x:c>
      <x:c r="P1528" s="11" t="str">
        <x:v>אמקס - עינור</x:v>
      </x:c>
      <x:c r="Q1528" s="11" t="str"/>
      <x:c r="R1528" s="11" t="str">
        <x:v>לא</x:v>
      </x:c>
    </x:row>
    <x:row r="1529">
      <x:c r="A1529" s="14" t="n">
        <x:v>46113</x:v>
      </x:c>
      <x:c r="B1529" s="11" t="str">
        <x:v>2026-04</x:v>
      </x:c>
      <x:c r="C1529" s="11" t="str">
        <x:v>אפריל 26</x:v>
      </x:c>
      <x:c r="D1529" s="15" t="n">
        <x:v>63</x:v>
      </x:c>
      <x:c r="E1529" s="11" t="str">
        <x:v>09/04</x:v>
      </x:c>
      <x:c r="F1529" s="11" t="str">
        <x:v>אדיב חולצות מודפסות</x:v>
      </x:c>
      <x:c r="G1529" s="17" t="n">
        <x:v>306</x:v>
      </x:c>
      <x:c r="H1529" s="18" t="str">
        <x:v>מתנה</x:v>
      </x:c>
      <x:c r="I1529" s="19" t="str">
        <x:f>IFERROR(INDEX('מיפוי ומקורות'!$C$7:$C$33,MATCH(H1529,'מיפוי ומקורות'!$B$7:$B$33,0)),"לא מסווג")</x:f>
        <x:v>מתנה</x:v>
      </x:c>
      <x:c r="J1529" s="19" t="str">
        <x:f>IFERROR(INDEX('מיפוי ומקורות'!$D$7:$D$33,MATCH(H1529,'מיפוי ומקורות'!$B$7:$B$33,0)),"שוטף")</x:f>
        <x:v>שוטף</x:v>
      </x:c>
      <x:c r="K1529" s="19" t="str">
        <x:f>IF(OR(H1529="ריביות",AND(H1529="דירה כצנלסון",G1529&lt;0,ISNUMBER(SEARCH("הכנסה",F1529)))),"הכנסה שסווגה מחדש",J1529)</x:f>
        <x:v>שוטף</x:v>
      </x:c>
      <x:c r="L1529" s="19" t="str">
        <x:v>מאושר</x:v>
      </x:c>
      <x:c r="M1529" s="20" t="n">
        <x:f>IF(L1529="מאושר",IF(K1529="הכנסה שסווגה מחדש",0,G1529),0)</x:f>
        <x:v>306</x:v>
      </x:c>
      <x:c r="N1529" s="20" t="n">
        <x:f>IF(K1529="שוטף",M1529,0)</x:f>
        <x:v>306</x:v>
      </x:c>
      <x:c r="O1529" s="20" t="n">
        <x:f>IF(K1529="הכנסה שסווגה מחדש",-G1529,0)</x:f>
        <x:v>0</x:v>
      </x:c>
      <x:c r="P1529" s="11" t="str">
        <x:v>אמקס - עינור</x:v>
      </x:c>
      <x:c r="Q1529" s="11" t="str"/>
      <x:c r="R1529" s="11" t="str">
        <x:v>לא</x:v>
      </x:c>
    </x:row>
    <x:row r="1530">
      <x:c r="A1530" s="14" t="n">
        <x:v>46113</x:v>
      </x:c>
      <x:c r="B1530" s="11" t="str">
        <x:v>2026-04</x:v>
      </x:c>
      <x:c r="C1530" s="11" t="str">
        <x:v>אפריל 26</x:v>
      </x:c>
      <x:c r="D1530" s="15" t="n">
        <x:v>64</x:v>
      </x:c>
      <x:c r="E1530" s="11" t="str">
        <x:v>09/04</x:v>
      </x:c>
      <x:c r="F1530" s="11" t="str">
        <x:v>אלי</x:v>
      </x:c>
      <x:c r="G1530" s="17" t="n">
        <x:v>103</x:v>
      </x:c>
      <x:c r="H1530" s="18" t="str">
        <x:v>קניות לבית</x:v>
      </x:c>
      <x:c r="I1530" s="19" t="str">
        <x:f>IFERROR(INDEX('מיפוי ומקורות'!$C$7:$C$33,MATCH(H1530,'מיפוי ומקורות'!$B$7:$B$33,0)),"לא מסווג")</x:f>
        <x:v>קניות לבית</x:v>
      </x:c>
      <x:c r="J1530" s="19" t="str">
        <x:f>IFERROR(INDEX('מיפוי ומקורות'!$D$7:$D$33,MATCH(H1530,'מיפוי ומקורות'!$B$7:$B$33,0)),"שוטף")</x:f>
        <x:v>שוטף</x:v>
      </x:c>
      <x:c r="K1530" s="19" t="str">
        <x:f>IF(OR(H1530="ריביות",AND(H1530="דירה כצנלסון",G1530&lt;0,ISNUMBER(SEARCH("הכנסה",F1530)))),"הכנסה שסווגה מחדש",J1530)</x:f>
        <x:v>שוטף</x:v>
      </x:c>
      <x:c r="L1530" s="19" t="str">
        <x:v>מאושר</x:v>
      </x:c>
      <x:c r="M1530" s="20" t="n">
        <x:f>IF(L1530="מאושר",IF(K1530="הכנסה שסווגה מחדש",0,G1530),0)</x:f>
        <x:v>103</x:v>
      </x:c>
      <x:c r="N1530" s="20" t="n">
        <x:f>IF(K1530="שוטף",M1530,0)</x:f>
        <x:v>103</x:v>
      </x:c>
      <x:c r="O1530" s="20" t="n">
        <x:f>IF(K1530="הכנסה שסווגה מחדש",-G1530,0)</x:f>
        <x:v>0</x:v>
      </x:c>
      <x:c r="P1530" s="11" t="str">
        <x:v>אמקס - עינור</x:v>
      </x:c>
      <x:c r="Q1530" s="11" t="str"/>
      <x:c r="R1530" s="11" t="str">
        <x:v>לא</x:v>
      </x:c>
    </x:row>
    <x:row r="1531">
      <x:c r="A1531" s="14" t="n">
        <x:v>46113</x:v>
      </x:c>
      <x:c r="B1531" s="11" t="str">
        <x:v>2026-04</x:v>
      </x:c>
      <x:c r="C1531" s="11" t="str">
        <x:v>אפריל 26</x:v>
      </x:c>
      <x:c r="D1531" s="15" t="n">
        <x:v>65</x:v>
      </x:c>
      <x:c r="E1531" s="11" t="str">
        <x:v>09/04</x:v>
      </x:c>
      <x:c r="F1531" s="11" t="str">
        <x:v>IHERB IHERB.COM</x:v>
      </x:c>
      <x:c r="G1531" s="17" t="n">
        <x:v>210</x:v>
      </x:c>
      <x:c r="H1531" s="18" t="str">
        <x:v>קניות לבית</x:v>
      </x:c>
      <x:c r="I1531" s="19" t="str">
        <x:f>IFERROR(INDEX('מיפוי ומקורות'!$C$7:$C$33,MATCH(H1531,'מיפוי ומקורות'!$B$7:$B$33,0)),"לא מסווג")</x:f>
        <x:v>קניות לבית</x:v>
      </x:c>
      <x:c r="J1531" s="19" t="str">
        <x:f>IFERROR(INDEX('מיפוי ומקורות'!$D$7:$D$33,MATCH(H1531,'מיפוי ומקורות'!$B$7:$B$33,0)),"שוטף")</x:f>
        <x:v>שוטף</x:v>
      </x:c>
      <x:c r="K1531" s="19" t="str">
        <x:f>IF(OR(H1531="ריביות",AND(H1531="דירה כצנלסון",G1531&lt;0,ISNUMBER(SEARCH("הכנסה",F1531)))),"הכנסה שסווגה מחדש",J1531)</x:f>
        <x:v>שוטף</x:v>
      </x:c>
      <x:c r="L1531" s="19" t="str">
        <x:v>מאושר</x:v>
      </x:c>
      <x:c r="M1531" s="20" t="n">
        <x:f>IF(L1531="מאושר",IF(K1531="הכנסה שסווגה מחדש",0,G1531),0)</x:f>
        <x:v>210</x:v>
      </x:c>
      <x:c r="N1531" s="20" t="n">
        <x:f>IF(K1531="שוטף",M1531,0)</x:f>
        <x:v>210</x:v>
      </x:c>
      <x:c r="O1531" s="20" t="n">
        <x:f>IF(K1531="הכנסה שסווגה מחדש",-G1531,0)</x:f>
        <x:v>0</x:v>
      </x:c>
      <x:c r="P1531" s="11" t="str">
        <x:v>אמקס - עינור</x:v>
      </x:c>
      <x:c r="Q1531" s="11" t="str"/>
      <x:c r="R1531" s="11" t="str">
        <x:v>לא</x:v>
      </x:c>
    </x:row>
    <x:row r="1532">
      <x:c r="A1532" s="14" t="n">
        <x:v>46113</x:v>
      </x:c>
      <x:c r="B1532" s="11" t="str">
        <x:v>2026-04</x:v>
      </x:c>
      <x:c r="C1532" s="11" t="str">
        <x:v>אפריל 26</x:v>
      </x:c>
      <x:c r="D1532" s="15" t="n">
        <x:v>66</x:v>
      </x:c>
      <x:c r="E1532" s="11" t="str">
        <x:v>10/04</x:v>
      </x:c>
      <x:c r="F1532" s="11" t="str">
        <x:v>סיבוס פלאקסי</x:v>
      </x:c>
      <x:c r="G1532" s="17" t="n">
        <x:v>48</x:v>
      </x:c>
      <x:c r="H1532" s="18" t="str">
        <x:v>אוכל בחוץ</x:v>
      </x:c>
      <x:c r="I1532" s="19" t="str">
        <x:f>IFERROR(INDEX('מיפוי ומקורות'!$C$7:$C$33,MATCH(H1532,'מיפוי ומקורות'!$B$7:$B$33,0)),"לא מסווג")</x:f>
        <x:v>אוכל בחוץ</x:v>
      </x:c>
      <x:c r="J1532" s="19" t="str">
        <x:f>IFERROR(INDEX('מיפוי ומקורות'!$D$7:$D$33,MATCH(H1532,'מיפוי ומקורות'!$B$7:$B$33,0)),"שוטף")</x:f>
        <x:v>שוטף</x:v>
      </x:c>
      <x:c r="K1532" s="19" t="str">
        <x:f>IF(OR(H1532="ריביות",AND(H1532="דירה כצנלסון",G1532&lt;0,ISNUMBER(SEARCH("הכנסה",F1532)))),"הכנסה שסווגה מחדש",J1532)</x:f>
        <x:v>שוטף</x:v>
      </x:c>
      <x:c r="L1532" s="19" t="str">
        <x:v>מאושר</x:v>
      </x:c>
      <x:c r="M1532" s="20" t="n">
        <x:f>IF(L1532="מאושר",IF(K1532="הכנסה שסווגה מחדש",0,G1532),0)</x:f>
        <x:v>48</x:v>
      </x:c>
      <x:c r="N1532" s="20" t="n">
        <x:f>IF(K1532="שוטף",M1532,0)</x:f>
        <x:v>48</x:v>
      </x:c>
      <x:c r="O1532" s="20" t="n">
        <x:f>IF(K1532="הכנסה שסווגה מחדש",-G1532,0)</x:f>
        <x:v>0</x:v>
      </x:c>
      <x:c r="P1532" s="11" t="str">
        <x:v>אמקס - עינור</x:v>
      </x:c>
      <x:c r="Q1532" s="11" t="str"/>
      <x:c r="R1532" s="11" t="str">
        <x:v>לא</x:v>
      </x:c>
    </x:row>
    <x:row r="1533">
      <x:c r="A1533" s="14" t="n">
        <x:v>46113</x:v>
      </x:c>
      <x:c r="B1533" s="11" t="str">
        <x:v>2026-04</x:v>
      </x:c>
      <x:c r="C1533" s="11" t="str">
        <x:v>אפריל 26</x:v>
      </x:c>
      <x:c r="D1533" s="15" t="n">
        <x:v>68</x:v>
      </x:c>
      <x:c r="E1533" s="11" t="str">
        <x:v>11/04</x:v>
      </x:c>
      <x:c r="F1533" s="11" t="str">
        <x:v>אלי</x:v>
      </x:c>
      <x:c r="G1533" s="17" t="n">
        <x:v>140</x:v>
      </x:c>
      <x:c r="H1533" s="18" t="str">
        <x:v>קניות לבית</x:v>
      </x:c>
      <x:c r="I1533" s="19" t="str">
        <x:f>IFERROR(INDEX('מיפוי ומקורות'!$C$7:$C$33,MATCH(H1533,'מיפוי ומקורות'!$B$7:$B$33,0)),"לא מסווג")</x:f>
        <x:v>קניות לבית</x:v>
      </x:c>
      <x:c r="J1533" s="19" t="str">
        <x:f>IFERROR(INDEX('מיפוי ומקורות'!$D$7:$D$33,MATCH(H1533,'מיפוי ומקורות'!$B$7:$B$33,0)),"שוטף")</x:f>
        <x:v>שוטף</x:v>
      </x:c>
      <x:c r="K1533" s="19" t="str">
        <x:f>IF(OR(H1533="ריביות",AND(H1533="דירה כצנלסון",G1533&lt;0,ISNUMBER(SEARCH("הכנסה",F1533)))),"הכנסה שסווגה מחדש",J1533)</x:f>
        <x:v>שוטף</x:v>
      </x:c>
      <x:c r="L1533" s="19" t="str">
        <x:v>מאושר</x:v>
      </x:c>
      <x:c r="M1533" s="20" t="n">
        <x:f>IF(L1533="מאושר",IF(K1533="הכנסה שסווגה מחדש",0,G1533),0)</x:f>
        <x:v>140</x:v>
      </x:c>
      <x:c r="N1533" s="20" t="n">
        <x:f>IF(K1533="שוטף",M1533,0)</x:f>
        <x:v>140</x:v>
      </x:c>
      <x:c r="O1533" s="20" t="n">
        <x:f>IF(K1533="הכנסה שסווגה מחדש",-G1533,0)</x:f>
        <x:v>0</x:v>
      </x:c>
      <x:c r="P1533" s="11" t="str">
        <x:v>אמקס - עינור</x:v>
      </x:c>
      <x:c r="Q1533" s="11" t="str"/>
      <x:c r="R1533" s="11" t="str">
        <x:v>לא</x:v>
      </x:c>
    </x:row>
    <x:row r="1534">
      <x:c r="A1534" s="14" t="n">
        <x:v>46113</x:v>
      </x:c>
      <x:c r="B1534" s="11" t="str">
        <x:v>2026-04</x:v>
      </x:c>
      <x:c r="C1534" s="11" t="str">
        <x:v>אפריל 26</x:v>
      </x:c>
      <x:c r="D1534" s="15" t="n">
        <x:v>69</x:v>
      </x:c>
      <x:c r="E1534" s="11" t="str">
        <x:v>12.04</x:v>
      </x:c>
      <x:c r="F1534" s="11" t="str">
        <x:v>קלוד קוד</x:v>
      </x:c>
      <x:c r="G1534" s="17" t="n">
        <x:v>61</x:v>
      </x:c>
      <x:c r="H1534" s="18" t="str">
        <x:v>אלקטרוניקה</x:v>
      </x:c>
      <x:c r="I1534" s="19" t="str">
        <x:f>IFERROR(INDEX('מיפוי ומקורות'!$C$7:$C$33,MATCH(H1534,'מיפוי ומקורות'!$B$7:$B$33,0)),"לא מסווג")</x:f>
        <x:v>אלקטרוניקה</x:v>
      </x:c>
      <x:c r="J1534" s="19" t="str">
        <x:f>IFERROR(INDEX('מיפוי ומקורות'!$D$7:$D$33,MATCH(H1534,'מיפוי ומקורות'!$B$7:$B$33,0)),"שוטף")</x:f>
        <x:v>שוטף</x:v>
      </x:c>
      <x:c r="K1534" s="19" t="str">
        <x:f>IF(OR(H1534="ריביות",AND(H1534="דירה כצנלסון",G1534&lt;0,ISNUMBER(SEARCH("הכנסה",F1534)))),"הכנסה שסווגה מחדש",J1534)</x:f>
        <x:v>שוטף</x:v>
      </x:c>
      <x:c r="L1534" s="19" t="str">
        <x:v>מאושר</x:v>
      </x:c>
      <x:c r="M1534" s="20" t="n">
        <x:f>IF(L1534="מאושר",IF(K1534="הכנסה שסווגה מחדש",0,G1534),0)</x:f>
        <x:v>61</x:v>
      </x:c>
      <x:c r="N1534" s="20" t="n">
        <x:f>IF(K1534="שוטף",M1534,0)</x:f>
        <x:v>61</x:v>
      </x:c>
      <x:c r="O1534" s="20" t="n">
        <x:f>IF(K1534="הכנסה שסווגה מחדש",-G1534,0)</x:f>
        <x:v>0</x:v>
      </x:c>
      <x:c r="P1534" s="11" t="str">
        <x:v>אמקס - עינור</x:v>
      </x:c>
      <x:c r="Q1534" s="11" t="str"/>
      <x:c r="R1534" s="11" t="str">
        <x:v>לא</x:v>
      </x:c>
    </x:row>
    <x:row r="1535">
      <x:c r="A1535" s="14" t="n">
        <x:v>46113</x:v>
      </x:c>
      <x:c r="B1535" s="11" t="str">
        <x:v>2026-04</x:v>
      </x:c>
      <x:c r="C1535" s="11" t="str">
        <x:v>אפריל 26</x:v>
      </x:c>
      <x:c r="D1535" s="15" t="n">
        <x:v>70</x:v>
      </x:c>
      <x:c r="E1535" s="11" t="str">
        <x:v>13/04</x:v>
      </x:c>
      <x:c r="F1535" s="11" t="str">
        <x:v>אלי</x:v>
      </x:c>
      <x:c r="G1535" s="17" t="n">
        <x:v>82</x:v>
      </x:c>
      <x:c r="H1535" s="18" t="str">
        <x:v>מיג'י</x:v>
      </x:c>
      <x:c r="I1535" s="19" t="str">
        <x:f>IFERROR(INDEX('מיפוי ומקורות'!$C$7:$C$33,MATCH(H1535,'מיפוי ומקורות'!$B$7:$B$33,0)),"לא מסווג")</x:f>
        <x:v>תחביבים ומיג'י</x:v>
      </x:c>
      <x:c r="J1535" s="19" t="str">
        <x:f>IFERROR(INDEX('מיפוי ומקורות'!$D$7:$D$33,MATCH(H1535,'מיפוי ומקורות'!$B$7:$B$33,0)),"שוטף")</x:f>
        <x:v>שוטף</x:v>
      </x:c>
      <x:c r="K1535" s="19" t="str">
        <x:f>IF(OR(H1535="ריביות",AND(H1535="דירה כצנלסון",G1535&lt;0,ISNUMBER(SEARCH("הכנסה",F1535)))),"הכנסה שסווגה מחדש",J1535)</x:f>
        <x:v>שוטף</x:v>
      </x:c>
      <x:c r="L1535" s="19" t="str">
        <x:v>מאושר</x:v>
      </x:c>
      <x:c r="M1535" s="20" t="n">
        <x:f>IF(L1535="מאושר",IF(K1535="הכנסה שסווגה מחדש",0,G1535),0)</x:f>
        <x:v>82</x:v>
      </x:c>
      <x:c r="N1535" s="20" t="n">
        <x:f>IF(K1535="שוטף",M1535,0)</x:f>
        <x:v>82</x:v>
      </x:c>
      <x:c r="O1535" s="20" t="n">
        <x:f>IF(K1535="הכנסה שסווגה מחדש",-G1535,0)</x:f>
        <x:v>0</x:v>
      </x:c>
      <x:c r="P1535" s="11" t="str">
        <x:v>אמקס - עינור</x:v>
      </x:c>
      <x:c r="Q1535" s="11" t="str"/>
      <x:c r="R1535" s="11" t="str">
        <x:v>לא</x:v>
      </x:c>
    </x:row>
    <x:row r="1536">
      <x:c r="A1536" s="14" t="n">
        <x:v>46113</x:v>
      </x:c>
      <x:c r="B1536" s="11" t="str">
        <x:v>2026-04</x:v>
      </x:c>
      <x:c r="C1536" s="11" t="str">
        <x:v>אפריל 26</x:v>
      </x:c>
      <x:c r="D1536" s="15" t="n">
        <x:v>71</x:v>
      </x:c>
      <x:c r="E1536" s="11" t="str">
        <x:v>14/04</x:v>
      </x:c>
      <x:c r="F1536" s="11" t="str">
        <x:v>אלי</x:v>
      </x:c>
      <x:c r="G1536" s="17" t="n">
        <x:v>37</x:v>
      </x:c>
      <x:c r="H1536" s="18" t="str">
        <x:v>מיג'י</x:v>
      </x:c>
      <x:c r="I1536" s="19" t="str">
        <x:f>IFERROR(INDEX('מיפוי ומקורות'!$C$7:$C$33,MATCH(H1536,'מיפוי ומקורות'!$B$7:$B$33,0)),"לא מסווג")</x:f>
        <x:v>תחביבים ומיג'י</x:v>
      </x:c>
      <x:c r="J1536" s="19" t="str">
        <x:f>IFERROR(INDEX('מיפוי ומקורות'!$D$7:$D$33,MATCH(H1536,'מיפוי ומקורות'!$B$7:$B$33,0)),"שוטף")</x:f>
        <x:v>שוטף</x:v>
      </x:c>
      <x:c r="K1536" s="19" t="str">
        <x:f>IF(OR(H1536="ריביות",AND(H1536="דירה כצנלסון",G1536&lt;0,ISNUMBER(SEARCH("הכנסה",F1536)))),"הכנסה שסווגה מחדש",J1536)</x:f>
        <x:v>שוטף</x:v>
      </x:c>
      <x:c r="L1536" s="19" t="str">
        <x:v>מאושר</x:v>
      </x:c>
      <x:c r="M1536" s="20" t="n">
        <x:f>IF(L1536="מאושר",IF(K1536="הכנסה שסווגה מחדש",0,G1536),0)</x:f>
        <x:v>37</x:v>
      </x:c>
      <x:c r="N1536" s="20" t="n">
        <x:f>IF(K1536="שוטף",M1536,0)</x:f>
        <x:v>37</x:v>
      </x:c>
      <x:c r="O1536" s="20" t="n">
        <x:f>IF(K1536="הכנסה שסווגה מחדש",-G1536,0)</x:f>
        <x:v>0</x:v>
      </x:c>
      <x:c r="P1536" s="11" t="str">
        <x:v>אמקס - עינור</x:v>
      </x:c>
      <x:c r="Q1536" s="11" t="str"/>
      <x:c r="R1536" s="11" t="str">
        <x:v>לא</x:v>
      </x:c>
    </x:row>
    <x:row r="1537">
      <x:c r="A1537" s="14" t="n">
        <x:v>46113</x:v>
      </x:c>
      <x:c r="B1537" s="11" t="str">
        <x:v>2026-04</x:v>
      </x:c>
      <x:c r="C1537" s="11" t="str">
        <x:v>אפריל 26</x:v>
      </x:c>
      <x:c r="D1537" s="15" t="n">
        <x:v>72</x:v>
      </x:c>
      <x:c r="E1537" s="11" t="str">
        <x:v>15.04</x:v>
      </x:c>
      <x:c r="F1537" s="11" t="str">
        <x:v>מסעדה</x:v>
      </x:c>
      <x:c r="G1537" s="17" t="n">
        <x:v>16</x:v>
      </x:c>
      <x:c r="H1537" s="18" t="str">
        <x:v>אוכל בחוץ</x:v>
      </x:c>
      <x:c r="I1537" s="19" t="str">
        <x:f>IFERROR(INDEX('מיפוי ומקורות'!$C$7:$C$33,MATCH(H1537,'מיפוי ומקורות'!$B$7:$B$33,0)),"לא מסווג")</x:f>
        <x:v>אוכל בחוץ</x:v>
      </x:c>
      <x:c r="J1537" s="19" t="str">
        <x:f>IFERROR(INDEX('מיפוי ומקורות'!$D$7:$D$33,MATCH(H1537,'מיפוי ומקורות'!$B$7:$B$33,0)),"שוטף")</x:f>
        <x:v>שוטף</x:v>
      </x:c>
      <x:c r="K1537" s="19" t="str">
        <x:f>IF(OR(H1537="ריביות",AND(H1537="דירה כצנלסון",G1537&lt;0,ISNUMBER(SEARCH("הכנסה",F1537)))),"הכנסה שסווגה מחדש",J1537)</x:f>
        <x:v>שוטף</x:v>
      </x:c>
      <x:c r="L1537" s="19" t="str">
        <x:v>מאושר</x:v>
      </x:c>
      <x:c r="M1537" s="20" t="n">
        <x:f>IF(L1537="מאושר",IF(K1537="הכנסה שסווגה מחדש",0,G1537),0)</x:f>
        <x:v>16</x:v>
      </x:c>
      <x:c r="N1537" s="20" t="n">
        <x:f>IF(K1537="שוטף",M1537,0)</x:f>
        <x:v>16</x:v>
      </x:c>
      <x:c r="O1537" s="20" t="n">
        <x:f>IF(K1537="הכנסה שסווגה מחדש",-G1537,0)</x:f>
        <x:v>0</x:v>
      </x:c>
      <x:c r="P1537" s="11" t="str">
        <x:v>אמקס - עינור</x:v>
      </x:c>
      <x:c r="Q1537" s="11" t="str"/>
      <x:c r="R1537" s="11" t="str">
        <x:v>לא</x:v>
      </x:c>
    </x:row>
    <x:row r="1538">
      <x:c r="A1538" s="14" t="n">
        <x:v>46113</x:v>
      </x:c>
      <x:c r="B1538" s="11" t="str">
        <x:v>2026-04</x:v>
      </x:c>
      <x:c r="C1538" s="11" t="str">
        <x:v>אפריל 26</x:v>
      </x:c>
      <x:c r="D1538" s="15" t="n">
        <x:v>73</x:v>
      </x:c>
      <x:c r="E1538" s="11" t="str">
        <x:v>16.04</x:v>
      </x:c>
      <x:c r="F1538" s="11" t="str">
        <x:v>פארם</x:v>
      </x:c>
      <x:c r="G1538" s="17" t="n">
        <x:v>129</x:v>
      </x:c>
      <x:c r="H1538" s="18" t="str">
        <x:v>בריאות</x:v>
      </x:c>
      <x:c r="I1538" s="19" t="str">
        <x:f>IFERROR(INDEX('מיפוי ומקורות'!$C$7:$C$33,MATCH(H1538,'מיפוי ומקורות'!$B$7:$B$33,0)),"לא מסווג")</x:f>
        <x:v>בריאות וטיפולים</x:v>
      </x:c>
      <x:c r="J1538" s="19" t="str">
        <x:f>IFERROR(INDEX('מיפוי ומקורות'!$D$7:$D$33,MATCH(H1538,'מיפוי ומקורות'!$B$7:$B$33,0)),"שוטף")</x:f>
        <x:v>שוטף</x:v>
      </x:c>
      <x:c r="K1538" s="19" t="str">
        <x:f>IF(OR(H1538="ריביות",AND(H1538="דירה כצנלסון",G1538&lt;0,ISNUMBER(SEARCH("הכנסה",F1538)))),"הכנסה שסווגה מחדש",J1538)</x:f>
        <x:v>שוטף</x:v>
      </x:c>
      <x:c r="L1538" s="19" t="str">
        <x:v>מאושר</x:v>
      </x:c>
      <x:c r="M1538" s="20" t="n">
        <x:f>IF(L1538="מאושר",IF(K1538="הכנסה שסווגה מחדש",0,G1538),0)</x:f>
        <x:v>129</x:v>
      </x:c>
      <x:c r="N1538" s="20" t="n">
        <x:f>IF(K1538="שוטף",M1538,0)</x:f>
        <x:v>129</x:v>
      </x:c>
      <x:c r="O1538" s="20" t="n">
        <x:f>IF(K1538="הכנסה שסווגה מחדש",-G1538,0)</x:f>
        <x:v>0</x:v>
      </x:c>
      <x:c r="P1538" s="11" t="str">
        <x:v>אמקס - עינור</x:v>
      </x:c>
      <x:c r="Q1538" s="11" t="str"/>
      <x:c r="R1538" s="11" t="str">
        <x:v>לא</x:v>
      </x:c>
    </x:row>
    <x:row r="1539">
      <x:c r="A1539" s="14" t="n">
        <x:v>46113</x:v>
      </x:c>
      <x:c r="B1539" s="11" t="str">
        <x:v>2026-04</x:v>
      </x:c>
      <x:c r="C1539" s="11" t="str">
        <x:v>אפריל 26</x:v>
      </x:c>
      <x:c r="D1539" s="15" t="n">
        <x:v>74</x:v>
      </x:c>
      <x:c r="E1539" s="11" t="str">
        <x:v>16/04</x:v>
      </x:c>
      <x:c r="F1539" s="11" t="str">
        <x:v>העברה ב BIT שיעור טיסה לאבא</x:v>
      </x:c>
      <x:c r="G1539" s="17" t="n">
        <x:v>285</x:v>
      </x:c>
      <x:c r="H1539" s="18" t="str">
        <x:v>מתנה</x:v>
      </x:c>
      <x:c r="I1539" s="19" t="str">
        <x:f>IFERROR(INDEX('מיפוי ומקורות'!$C$7:$C$33,MATCH(H1539,'מיפוי ומקורות'!$B$7:$B$33,0)),"לא מסווג")</x:f>
        <x:v>מתנה</x:v>
      </x:c>
      <x:c r="J1539" s="19" t="str">
        <x:f>IFERROR(INDEX('מיפוי ומקורות'!$D$7:$D$33,MATCH(H1539,'מיפוי ומקורות'!$B$7:$B$33,0)),"שוטף")</x:f>
        <x:v>שוטף</x:v>
      </x:c>
      <x:c r="K1539" s="19" t="str">
        <x:f>IF(OR(H1539="ריביות",AND(H1539="דירה כצנלסון",G1539&lt;0,ISNUMBER(SEARCH("הכנסה",F1539)))),"הכנסה שסווגה מחדש",J1539)</x:f>
        <x:v>שוטף</x:v>
      </x:c>
      <x:c r="L1539" s="19" t="str">
        <x:v>מאושר</x:v>
      </x:c>
      <x:c r="M1539" s="20" t="n">
        <x:f>IF(L1539="מאושר",IF(K1539="הכנסה שסווגה מחדש",0,G1539),0)</x:f>
        <x:v>285</x:v>
      </x:c>
      <x:c r="N1539" s="20" t="n">
        <x:f>IF(K1539="שוטף",M1539,0)</x:f>
        <x:v>285</x:v>
      </x:c>
      <x:c r="O1539" s="20" t="n">
        <x:f>IF(K1539="הכנסה שסווגה מחדש",-G1539,0)</x:f>
        <x:v>0</x:v>
      </x:c>
      <x:c r="P1539" s="11" t="str">
        <x:v>אמקס - עינור</x:v>
      </x:c>
      <x:c r="Q1539" s="11" t="str"/>
      <x:c r="R1539" s="11" t="str">
        <x:v>לא</x:v>
      </x:c>
    </x:row>
    <x:row r="1540">
      <x:c r="A1540" s="14" t="n">
        <x:v>46113</x:v>
      </x:c>
      <x:c r="B1540" s="11" t="str">
        <x:v>2026-04</x:v>
      </x:c>
      <x:c r="C1540" s="11" t="str">
        <x:v>אפריל 26</x:v>
      </x:c>
      <x:c r="D1540" s="15" t="n">
        <x:v>75</x:v>
      </x:c>
      <x:c r="E1540" s="11" t="str">
        <x:v>17/04</x:v>
      </x:c>
      <x:c r="F1540" s="11" t="str">
        <x:v>מקס 20 גבעתיים</x:v>
      </x:c>
      <x:c r="G1540" s="17" t="n">
        <x:v>21</x:v>
      </x:c>
      <x:c r="H1540" s="18" t="str">
        <x:v>קניות לבית</x:v>
      </x:c>
      <x:c r="I1540" s="19" t="str">
        <x:f>IFERROR(INDEX('מיפוי ומקורות'!$C$7:$C$33,MATCH(H1540,'מיפוי ומקורות'!$B$7:$B$33,0)),"לא מסווג")</x:f>
        <x:v>קניות לבית</x:v>
      </x:c>
      <x:c r="J1540" s="19" t="str">
        <x:f>IFERROR(INDEX('מיפוי ומקורות'!$D$7:$D$33,MATCH(H1540,'מיפוי ומקורות'!$B$7:$B$33,0)),"שוטף")</x:f>
        <x:v>שוטף</x:v>
      </x:c>
      <x:c r="K1540" s="19" t="str">
        <x:f>IF(OR(H1540="ריביות",AND(H1540="דירה כצנלסון",G1540&lt;0,ISNUMBER(SEARCH("הכנסה",F1540)))),"הכנסה שסווגה מחדש",J1540)</x:f>
        <x:v>שוטף</x:v>
      </x:c>
      <x:c r="L1540" s="19" t="str">
        <x:v>מאושר</x:v>
      </x:c>
      <x:c r="M1540" s="20" t="n">
        <x:f>IF(L1540="מאושר",IF(K1540="הכנסה שסווגה מחדש",0,G1540),0)</x:f>
        <x:v>21</x:v>
      </x:c>
      <x:c r="N1540" s="20" t="n">
        <x:f>IF(K1540="שוטף",M1540,0)</x:f>
        <x:v>21</x:v>
      </x:c>
      <x:c r="O1540" s="20" t="n">
        <x:f>IF(K1540="הכנסה שסווגה מחדש",-G1540,0)</x:f>
        <x:v>0</x:v>
      </x:c>
      <x:c r="P1540" s="11" t="str">
        <x:v>אמקס - עינור</x:v>
      </x:c>
      <x:c r="Q1540" s="11" t="str"/>
      <x:c r="R1540" s="11" t="str">
        <x:v>לא</x:v>
      </x:c>
    </x:row>
    <x:row r="1541">
      <x:c r="A1541" s="14" t="n">
        <x:v>46113</x:v>
      </x:c>
      <x:c r="B1541" s="11" t="str">
        <x:v>2026-04</x:v>
      </x:c>
      <x:c r="C1541" s="11" t="str">
        <x:v>אפריל 26</x:v>
      </x:c>
      <x:c r="D1541" s="15" t="n">
        <x:v>76</x:v>
      </x:c>
      <x:c r="E1541" s="11" t="str">
        <x:v>18.04</x:v>
      </x:c>
      <x:c r="F1541" s="11" t="str">
        <x:v>בייקר הוד השרון</x:v>
      </x:c>
      <x:c r="G1541" s="17" t="n">
        <x:v>79</x:v>
      </x:c>
      <x:c r="H1541" s="18" t="str">
        <x:v>אוכל בחוץ</x:v>
      </x:c>
      <x:c r="I1541" s="19" t="str">
        <x:f>IFERROR(INDEX('מיפוי ומקורות'!$C$7:$C$33,MATCH(H1541,'מיפוי ומקורות'!$B$7:$B$33,0)),"לא מסווג")</x:f>
        <x:v>אוכל בחוץ</x:v>
      </x:c>
      <x:c r="J1541" s="19" t="str">
        <x:f>IFERROR(INDEX('מיפוי ומקורות'!$D$7:$D$33,MATCH(H1541,'מיפוי ומקורות'!$B$7:$B$33,0)),"שוטף")</x:f>
        <x:v>שוטף</x:v>
      </x:c>
      <x:c r="K1541" s="19" t="str">
        <x:f>IF(OR(H1541="ריביות",AND(H1541="דירה כצנלסון",G1541&lt;0,ISNUMBER(SEARCH("הכנסה",F1541)))),"הכנסה שסווגה מחדש",J1541)</x:f>
        <x:v>שוטף</x:v>
      </x:c>
      <x:c r="L1541" s="19" t="str">
        <x:v>מאושר</x:v>
      </x:c>
      <x:c r="M1541" s="20" t="n">
        <x:f>IF(L1541="מאושר",IF(K1541="הכנסה שסווגה מחדש",0,G1541),0)</x:f>
        <x:v>79</x:v>
      </x:c>
      <x:c r="N1541" s="20" t="n">
        <x:f>IF(K1541="שוטף",M1541,0)</x:f>
        <x:v>79</x:v>
      </x:c>
      <x:c r="O1541" s="20" t="n">
        <x:f>IF(K1541="הכנסה שסווגה מחדש",-G1541,0)</x:f>
        <x:v>0</x:v>
      </x:c>
      <x:c r="P1541" s="11" t="str">
        <x:v>אמקס - עינור</x:v>
      </x:c>
      <x:c r="Q1541" s="11" t="str"/>
      <x:c r="R1541" s="11" t="str">
        <x:v>לא</x:v>
      </x:c>
    </x:row>
    <x:row r="1542">
      <x:c r="A1542" s="14" t="n">
        <x:v>46113</x:v>
      </x:c>
      <x:c r="B1542" s="11" t="str">
        <x:v>2026-04</x:v>
      </x:c>
      <x:c r="C1542" s="11" t="str">
        <x:v>אפריל 26</x:v>
      </x:c>
      <x:c r="D1542" s="15" t="n">
        <x:v>77</x:v>
      </x:c>
      <x:c r="E1542" s="11" t="str">
        <x:v>22.04</x:v>
      </x:c>
      <x:c r="F1542" s="11" t="str">
        <x:v>מסעדה</x:v>
      </x:c>
      <x:c r="G1542" s="17" t="n">
        <x:v>65</x:v>
      </x:c>
      <x:c r="H1542" s="18" t="str">
        <x:v>אוכל בחוץ</x:v>
      </x:c>
      <x:c r="I1542" s="19" t="str">
        <x:f>IFERROR(INDEX('מיפוי ומקורות'!$C$7:$C$33,MATCH(H1542,'מיפוי ומקורות'!$B$7:$B$33,0)),"לא מסווג")</x:f>
        <x:v>אוכל בחוץ</x:v>
      </x:c>
      <x:c r="J1542" s="19" t="str">
        <x:f>IFERROR(INDEX('מיפוי ומקורות'!$D$7:$D$33,MATCH(H1542,'מיפוי ומקורות'!$B$7:$B$33,0)),"שוטף")</x:f>
        <x:v>שוטף</x:v>
      </x:c>
      <x:c r="K1542" s="19" t="str">
        <x:f>IF(OR(H1542="ריביות",AND(H1542="דירה כצנלסון",G1542&lt;0,ISNUMBER(SEARCH("הכנסה",F1542)))),"הכנסה שסווגה מחדש",J1542)</x:f>
        <x:v>שוטף</x:v>
      </x:c>
      <x:c r="L1542" s="19" t="str">
        <x:v>מאושר</x:v>
      </x:c>
      <x:c r="M1542" s="20" t="n">
        <x:f>IF(L1542="מאושר",IF(K1542="הכנסה שסווגה מחדש",0,G1542),0)</x:f>
        <x:v>65</x:v>
      </x:c>
      <x:c r="N1542" s="20" t="n">
        <x:f>IF(K1542="שוטף",M1542,0)</x:f>
        <x:v>65</x:v>
      </x:c>
      <x:c r="O1542" s="20" t="n">
        <x:f>IF(K1542="הכנסה שסווגה מחדש",-G1542,0)</x:f>
        <x:v>0</x:v>
      </x:c>
      <x:c r="P1542" s="11" t="str">
        <x:v>אמקס - עינור</x:v>
      </x:c>
      <x:c r="Q1542" s="11" t="str"/>
      <x:c r="R1542" s="11" t="str">
        <x:v>לא</x:v>
      </x:c>
    </x:row>
    <x:row r="1543">
      <x:c r="A1543" s="14" t="n">
        <x:v>46113</x:v>
      </x:c>
      <x:c r="B1543" s="11" t="str">
        <x:v>2026-04</x:v>
      </x:c>
      <x:c r="C1543" s="11" t="str">
        <x:v>אפריל 26</x:v>
      </x:c>
      <x:c r="D1543" s="15" t="n">
        <x:v>78</x:v>
      </x:c>
      <x:c r="E1543" s="11" t="str">
        <x:v>24/04</x:v>
      </x:c>
      <x:c r="F1543" s="11" t="str">
        <x:v>העברה ב BIT חתונה גל</x:v>
      </x:c>
      <x:c r="G1543" s="17" t="n">
        <x:v>500</x:v>
      </x:c>
      <x:c r="H1543" s="18" t="str">
        <x:v>מתנה</x:v>
      </x:c>
      <x:c r="I1543" s="19" t="str">
        <x:f>IFERROR(INDEX('מיפוי ומקורות'!$C$7:$C$33,MATCH(H1543,'מיפוי ומקורות'!$B$7:$B$33,0)),"לא מסווג")</x:f>
        <x:v>מתנה</x:v>
      </x:c>
      <x:c r="J1543" s="19" t="str">
        <x:f>IFERROR(INDEX('מיפוי ומקורות'!$D$7:$D$33,MATCH(H1543,'מיפוי ומקורות'!$B$7:$B$33,0)),"שוטף")</x:f>
        <x:v>שוטף</x:v>
      </x:c>
      <x:c r="K1543" s="19" t="str">
        <x:f>IF(OR(H1543="ריביות",AND(H1543="דירה כצנלסון",G1543&lt;0,ISNUMBER(SEARCH("הכנסה",F1543)))),"הכנסה שסווגה מחדש",J1543)</x:f>
        <x:v>שוטף</x:v>
      </x:c>
      <x:c r="L1543" s="19" t="str">
        <x:v>מאושר</x:v>
      </x:c>
      <x:c r="M1543" s="20" t="n">
        <x:f>IF(L1543="מאושר",IF(K1543="הכנסה שסווגה מחדש",0,G1543),0)</x:f>
        <x:v>500</x:v>
      </x:c>
      <x:c r="N1543" s="20" t="n">
        <x:f>IF(K1543="שוטף",M1543,0)</x:f>
        <x:v>500</x:v>
      </x:c>
      <x:c r="O1543" s="20" t="n">
        <x:f>IF(K1543="הכנסה שסווגה מחדש",-G1543,0)</x:f>
        <x:v>0</x:v>
      </x:c>
      <x:c r="P1543" s="11" t="str">
        <x:v>אמקס - עינור</x:v>
      </x:c>
      <x:c r="Q1543" s="11" t="str"/>
      <x:c r="R1543" s="11" t="str">
        <x:v>לא</x:v>
      </x:c>
    </x:row>
    <x:row r="1544">
      <x:c r="A1544" s="14" t="n">
        <x:v>46113</x:v>
      </x:c>
      <x:c r="B1544" s="11" t="str">
        <x:v>2026-04</x:v>
      </x:c>
      <x:c r="C1544" s="11" t="str">
        <x:v>אפריל 26</x:v>
      </x:c>
      <x:c r="D1544" s="15" t="n">
        <x:v>79</x:v>
      </x:c>
      <x:c r="E1544" s="11" t="str">
        <x:v>27.04</x:v>
      </x:c>
      <x:c r="F1544" s="11" t="str">
        <x:v>חזי זלאיט דגים בע''מ</x:v>
      </x:c>
      <x:c r="G1544" s="17" t="n">
        <x:v>61</x:v>
      </x:c>
      <x:c r="H1544" s="18" t="str">
        <x:v>אוכל בחוץ</x:v>
      </x:c>
      <x:c r="I1544" s="19" t="str">
        <x:f>IFERROR(INDEX('מיפוי ומקורות'!$C$7:$C$33,MATCH(H1544,'מיפוי ומקורות'!$B$7:$B$33,0)),"לא מסווג")</x:f>
        <x:v>אוכל בחוץ</x:v>
      </x:c>
      <x:c r="J1544" s="19" t="str">
        <x:f>IFERROR(INDEX('מיפוי ומקורות'!$D$7:$D$33,MATCH(H1544,'מיפוי ומקורות'!$B$7:$B$33,0)),"שוטף")</x:f>
        <x:v>שוטף</x:v>
      </x:c>
      <x:c r="K1544" s="19" t="str">
        <x:f>IF(OR(H1544="ריביות",AND(H1544="דירה כצנלסון",G1544&lt;0,ISNUMBER(SEARCH("הכנסה",F1544)))),"הכנסה שסווגה מחדש",J1544)</x:f>
        <x:v>שוטף</x:v>
      </x:c>
      <x:c r="L1544" s="19" t="str">
        <x:v>מאושר</x:v>
      </x:c>
      <x:c r="M1544" s="20" t="n">
        <x:f>IF(L1544="מאושר",IF(K1544="הכנסה שסווגה מחדש",0,G1544),0)</x:f>
        <x:v>61</x:v>
      </x:c>
      <x:c r="N1544" s="20" t="n">
        <x:f>IF(K1544="שוטף",M1544,0)</x:f>
        <x:v>61</x:v>
      </x:c>
      <x:c r="O1544" s="20" t="n">
        <x:f>IF(K1544="הכנסה שסווגה מחדש",-G1544,0)</x:f>
        <x:v>0</x:v>
      </x:c>
      <x:c r="P1544" s="11" t="str">
        <x:v>אמקס - עינור</x:v>
      </x:c>
      <x:c r="Q1544" s="11" t="str"/>
      <x:c r="R1544" s="11" t="str">
        <x:v>לא</x:v>
      </x:c>
    </x:row>
    <x:row r="1545">
      <x:c r="A1545" s="14" t="n">
        <x:v>46113</x:v>
      </x:c>
      <x:c r="B1545" s="11" t="str">
        <x:v>2026-04</x:v>
      </x:c>
      <x:c r="C1545" s="11" t="str">
        <x:v>אפריל 26</x:v>
      </x:c>
      <x:c r="D1545" s="15" t="n">
        <x:v>80</x:v>
      </x:c>
      <x:c r="E1545" s="11" t="str">
        <x:v>28.04</x:v>
      </x:c>
      <x:c r="F1545" s="11" t="str">
        <x:v>סופר</x:v>
      </x:c>
      <x:c r="G1545" s="17" t="n">
        <x:v>885</x:v>
      </x:c>
      <x:c r="H1545" s="18" t="str">
        <x:v>מזון לבית</x:v>
      </x:c>
      <x:c r="I1545" s="19" t="str">
        <x:f>IFERROR(INDEX('מיפוי ומקורות'!$C$7:$C$33,MATCH(H1545,'מיפוי ומקורות'!$B$7:$B$33,0)),"לא מסווג")</x:f>
        <x:v>מזון לבית</x:v>
      </x:c>
      <x:c r="J1545" s="19" t="str">
        <x:f>IFERROR(INDEX('מיפוי ומקורות'!$D$7:$D$33,MATCH(H1545,'מיפוי ומקורות'!$B$7:$B$33,0)),"שוטף")</x:f>
        <x:v>שוטף</x:v>
      </x:c>
      <x:c r="K1545" s="19" t="str">
        <x:f>IF(OR(H1545="ריביות",AND(H1545="דירה כצנלסון",G1545&lt;0,ISNUMBER(SEARCH("הכנסה",F1545)))),"הכנסה שסווגה מחדש",J1545)</x:f>
        <x:v>שוטף</x:v>
      </x:c>
      <x:c r="L1545" s="19" t="str">
        <x:v>מאושר</x:v>
      </x:c>
      <x:c r="M1545" s="20" t="n">
        <x:f>IF(L1545="מאושר",IF(K1545="הכנסה שסווגה מחדש",0,G1545),0)</x:f>
        <x:v>885</x:v>
      </x:c>
      <x:c r="N1545" s="20" t="n">
        <x:f>IF(K1545="שוטף",M1545,0)</x:f>
        <x:v>885</x:v>
      </x:c>
      <x:c r="O1545" s="20" t="n">
        <x:f>IF(K1545="הכנסה שסווגה מחדש",-G1545,0)</x:f>
        <x:v>0</x:v>
      </x:c>
      <x:c r="P1545" s="11" t="str">
        <x:v>אמקס - עינור</x:v>
      </x:c>
      <x:c r="Q1545" s="11" t="str"/>
      <x:c r="R1545" s="11" t="str">
        <x:v>לא</x:v>
      </x:c>
    </x:row>
    <x:row r="1546">
      <x:c r="A1546" s="14" t="n">
        <x:v>46113</x:v>
      </x:c>
      <x:c r="B1546" s="11" t="str">
        <x:v>2026-04</x:v>
      </x:c>
      <x:c r="C1546" s="11" t="str">
        <x:v>אפריל 26</x:v>
      </x:c>
      <x:c r="D1546" s="15" t="n">
        <x:v>81</x:v>
      </x:c>
      <x:c r="E1546" s="11" t="str">
        <x:v>30/04</x:v>
      </x:c>
      <x:c r="F1546" s="11" t="str">
        <x:v>העברה ב BIT בנה"פ</x:v>
      </x:c>
      <x:c r="G1546" s="17" t="n">
        <x:v>78</x:v>
      </x:c>
      <x:c r="H1546" s="18" t="str">
        <x:v>אוכל בחוץ</x:v>
      </x:c>
      <x:c r="I1546" s="19" t="str">
        <x:f>IFERROR(INDEX('מיפוי ומקורות'!$C$7:$C$33,MATCH(H1546,'מיפוי ומקורות'!$B$7:$B$33,0)),"לא מסווג")</x:f>
        <x:v>אוכל בחוץ</x:v>
      </x:c>
      <x:c r="J1546" s="19" t="str">
        <x:f>IFERROR(INDEX('מיפוי ומקורות'!$D$7:$D$33,MATCH(H1546,'מיפוי ומקורות'!$B$7:$B$33,0)),"שוטף")</x:f>
        <x:v>שוטף</x:v>
      </x:c>
      <x:c r="K1546" s="19" t="str">
        <x:f>IF(OR(H1546="ריביות",AND(H1546="דירה כצנלסון",G1546&lt;0,ISNUMBER(SEARCH("הכנסה",F1546)))),"הכנסה שסווגה מחדש",J1546)</x:f>
        <x:v>שוטף</x:v>
      </x:c>
      <x:c r="L1546" s="19" t="str">
        <x:v>מאושר</x:v>
      </x:c>
      <x:c r="M1546" s="20" t="n">
        <x:f>IF(L1546="מאושר",IF(K1546="הכנסה שסווגה מחדש",0,G1546),0)</x:f>
        <x:v>78</x:v>
      </x:c>
      <x:c r="N1546" s="20" t="n">
        <x:f>IF(K1546="שוטף",M1546,0)</x:f>
        <x:v>78</x:v>
      </x:c>
      <x:c r="O1546" s="20" t="n">
        <x:f>IF(K1546="הכנסה שסווגה מחדש",-G1546,0)</x:f>
        <x:v>0</x:v>
      </x:c>
      <x:c r="P1546" s="11" t="str">
        <x:v>אמקס - עינור</x:v>
      </x:c>
      <x:c r="Q1546" s="11" t="str"/>
      <x:c r="R1546" s="11" t="str">
        <x:v>לא</x:v>
      </x:c>
    </x:row>
    <x:row r="1547">
      <x:c r="A1547" s="14" t="n">
        <x:v>46113</x:v>
      </x:c>
      <x:c r="B1547" s="11" t="str">
        <x:v>2026-04</x:v>
      </x:c>
      <x:c r="C1547" s="11" t="str">
        <x:v>אפריל 26</x:v>
      </x:c>
      <x:c r="D1547" s="15" t="n">
        <x:v>82</x:v>
      </x:c>
      <x:c r="E1547" s="11" t="str"/>
      <x:c r="F1547" s="11" t="str">
        <x:v>שוויץ 26</x:v>
      </x:c>
      <x:c r="G1547" s="17" t="n">
        <x:v>2445</x:v>
      </x:c>
      <x:c r="H1547" s="18" t="str">
        <x:v>חופשה</x:v>
      </x:c>
      <x:c r="I1547" s="19" t="str">
        <x:f>IFERROR(INDEX('מיפוי ומקורות'!$C$7:$C$33,MATCH(H1547,'מיפוי ומקורות'!$B$7:$B$33,0)),"לא מסווג")</x:f>
        <x:v>נסיעות וחופשות</x:v>
      </x:c>
      <x:c r="J1547" s="19" t="str">
        <x:f>IFERROR(INDEX('מיפוי ומקורות'!$D$7:$D$33,MATCH(H1547,'מיפוי ומקורות'!$B$7:$B$33,0)),"שוטף")</x:f>
        <x:v>חריג</x:v>
      </x:c>
      <x:c r="K1547" s="19" t="str">
        <x:f>IF(OR(H1547="ריביות",AND(H1547="דירה כצנלסון",G1547&lt;0,ISNUMBER(SEARCH("הכנסה",F1547)))),"הכנסה שסווגה מחדש",J1547)</x:f>
        <x:v>חריג</x:v>
      </x:c>
      <x:c r="L1547" s="19" t="str">
        <x:v>מאושר</x:v>
      </x:c>
      <x:c r="M1547" s="20" t="n">
        <x:f>IF(L1547="מאושר",IF(K1547="הכנסה שסווגה מחדש",0,G1547),0)</x:f>
        <x:v>2445</x:v>
      </x:c>
      <x:c r="N1547" s="20" t="n">
        <x:f>IF(K1547="שוטף",M1547,0)</x:f>
        <x:v>0</x:v>
      </x:c>
      <x:c r="O1547" s="20" t="n">
        <x:f>IF(K1547="הכנסה שסווגה מחדש",-G1547,0)</x:f>
        <x:v>0</x:v>
      </x:c>
      <x:c r="P1547" s="11" t="str"/>
      <x:c r="Q1547" s="11" t="str">
        <x:v>auto:vacation:שוויץ 26</x:v>
      </x:c>
      <x:c r="R1547" s="11" t="str">
        <x:v>כן</x:v>
      </x:c>
    </x:row>
    <x:row r="1548">
      <x:c r="A1548" s="14" t="n">
        <x:v>46113</x:v>
      </x:c>
      <x:c r="B1548" s="11" t="str">
        <x:v>2026-04</x:v>
      </x:c>
      <x:c r="C1548" s="11" t="str">
        <x:v>אפריל 26</x:v>
      </x:c>
      <x:c r="D1548" s="15" t="n">
        <x:v>83</x:v>
      </x:c>
      <x:c r="E1548" s="11" t="str">
        <x:v>6/4</x:v>
      </x:c>
      <x:c r="F1548" s="11" t="str">
        <x:v>לירי</x:v>
      </x:c>
      <x:c r="G1548" s="17" t="n">
        <x:v>97</x:v>
      </x:c>
      <x:c r="H1548" s="18" t="str">
        <x:v>טיפולים</x:v>
      </x:c>
      <x:c r="I1548" s="19" t="str">
        <x:f>IFERROR(INDEX('מיפוי ומקורות'!$C$7:$C$33,MATCH(H1548,'מיפוי ומקורות'!$B$7:$B$33,0)),"לא מסווג")</x:f>
        <x:v>בריאות וטיפולים</x:v>
      </x:c>
      <x:c r="J1548" s="19" t="str">
        <x:f>IFERROR(INDEX('מיפוי ומקורות'!$D$7:$D$33,MATCH(H1548,'מיפוי ומקורות'!$B$7:$B$33,0)),"שוטף")</x:f>
        <x:v>שוטף</x:v>
      </x:c>
      <x:c r="K1548" s="19" t="str">
        <x:f>IF(OR(H1548="ריביות",AND(H1548="דירה כצנלסון",G1548&lt;0,ISNUMBER(SEARCH("הכנסה",F1548)))),"הכנסה שסווגה מחדש",J1548)</x:f>
        <x:v>שוטף</x:v>
      </x:c>
      <x:c r="L1548" s="19" t="str">
        <x:v>מאושר</x:v>
      </x:c>
      <x:c r="M1548" s="20" t="n">
        <x:f>IF(L1548="מאושר",IF(K1548="הכנסה שסווגה מחדש",0,G1548),0)</x:f>
        <x:v>97</x:v>
      </x:c>
      <x:c r="N1548" s="20" t="n">
        <x:f>IF(K1548="שוטף",M1548,0)</x:f>
        <x:v>97</x:v>
      </x:c>
      <x:c r="O1548" s="20" t="n">
        <x:f>IF(K1548="הכנסה שסווגה מחדש",-G1548,0)</x:f>
        <x:v>0</x:v>
      </x:c>
      <x:c r="P1548" s="11" t="str">
        <x:v>מקס - עינור</x:v>
      </x:c>
      <x:c r="Q1548" s="11" t="str"/>
      <x:c r="R1548" s="11" t="str">
        <x:v>לא</x:v>
      </x:c>
    </x:row>
    <x:row r="1549">
      <x:c r="A1549" s="14" t="n">
        <x:v>46113</x:v>
      </x:c>
      <x:c r="B1549" s="11" t="str">
        <x:v>2026-04</x:v>
      </x:c>
      <x:c r="C1549" s="11" t="str">
        <x:v>אפריל 26</x:v>
      </x:c>
      <x:c r="D1549" s="15" t="n">
        <x:v>84</x:v>
      </x:c>
      <x:c r="E1549" s="11" t="str">
        <x:v>12/4</x:v>
      </x:c>
      <x:c r="F1549" s="11" t="str">
        <x:v>ציפורנים</x:v>
      </x:c>
      <x:c r="G1549" s="17" t="n">
        <x:v>120</x:v>
      </x:c>
      <x:c r="H1549" s="18" t="str">
        <x:v>קוסמטיקה</x:v>
      </x:c>
      <x:c r="I1549" s="19" t="str">
        <x:f>IFERROR(INDEX('מיפוי ומקורות'!$C$7:$C$33,MATCH(H1549,'מיפוי ומקורות'!$B$7:$B$33,0)),"לא מסווג")</x:f>
        <x:v>קוסמטיקה</x:v>
      </x:c>
      <x:c r="J1549" s="19" t="str">
        <x:f>IFERROR(INDEX('מיפוי ומקורות'!$D$7:$D$33,MATCH(H1549,'מיפוי ומקורות'!$B$7:$B$33,0)),"שוטף")</x:f>
        <x:v>שוטף</x:v>
      </x:c>
      <x:c r="K1549" s="19" t="str">
        <x:f>IF(OR(H1549="ריביות",AND(H1549="דירה כצנלסון",G1549&lt;0,ISNUMBER(SEARCH("הכנסה",F1549)))),"הכנסה שסווגה מחדש",J1549)</x:f>
        <x:v>שוטף</x:v>
      </x:c>
      <x:c r="L1549" s="19" t="str">
        <x:v>מאושר</x:v>
      </x:c>
      <x:c r="M1549" s="20" t="n">
        <x:f>IF(L1549="מאושר",IF(K1549="הכנסה שסווגה מחדש",0,G1549),0)</x:f>
        <x:v>120</x:v>
      </x:c>
      <x:c r="N1549" s="20" t="n">
        <x:f>IF(K1549="שוטף",M1549,0)</x:f>
        <x:v>120</x:v>
      </x:c>
      <x:c r="O1549" s="20" t="n">
        <x:f>IF(K1549="הכנסה שסווגה מחדש",-G1549,0)</x:f>
        <x:v>0</x:v>
      </x:c>
      <x:c r="P1549" s="11" t="str">
        <x:v>מקס - עינור</x:v>
      </x:c>
      <x:c r="Q1549" s="11" t="str"/>
      <x:c r="R1549" s="11" t="str">
        <x:v>לא</x:v>
      </x:c>
    </x:row>
    <x:row r="1550">
      <x:c r="A1550" s="14" t="n">
        <x:v>46113</x:v>
      </x:c>
      <x:c r="B1550" s="11" t="str">
        <x:v>2026-04</x:v>
      </x:c>
      <x:c r="C1550" s="11" t="str">
        <x:v>אפריל 26</x:v>
      </x:c>
      <x:c r="D1550" s="15" t="n">
        <x:v>85</x:v>
      </x:c>
      <x:c r="E1550" s="11" t="str">
        <x:v>28/4</x:v>
      </x:c>
      <x:c r="F1550" s="11" t="str">
        <x:v>פילימנטים</x:v>
      </x:c>
      <x:c r="G1550" s="17" t="n">
        <x:v>316</x:v>
      </x:c>
      <x:c r="H1550" s="18" t="str">
        <x:v>מיג'י</x:v>
      </x:c>
      <x:c r="I1550" s="19" t="str">
        <x:f>IFERROR(INDEX('מיפוי ומקורות'!$C$7:$C$33,MATCH(H1550,'מיפוי ומקורות'!$B$7:$B$33,0)),"לא מסווג")</x:f>
        <x:v>תחביבים ומיג'י</x:v>
      </x:c>
      <x:c r="J1550" s="19" t="str">
        <x:f>IFERROR(INDEX('מיפוי ומקורות'!$D$7:$D$33,MATCH(H1550,'מיפוי ומקורות'!$B$7:$B$33,0)),"שוטף")</x:f>
        <x:v>שוטף</x:v>
      </x:c>
      <x:c r="K1550" s="19" t="str">
        <x:f>IF(OR(H1550="ריביות",AND(H1550="דירה כצנלסון",G1550&lt;0,ISNUMBER(SEARCH("הכנסה",F1550)))),"הכנסה שסווגה מחדש",J1550)</x:f>
        <x:v>שוטף</x:v>
      </x:c>
      <x:c r="L1550" s="19" t="str">
        <x:v>מאושר</x:v>
      </x:c>
      <x:c r="M1550" s="20" t="n">
        <x:f>IF(L1550="מאושר",IF(K1550="הכנסה שסווגה מחדש",0,G1550),0)</x:f>
        <x:v>316</x:v>
      </x:c>
      <x:c r="N1550" s="20" t="n">
        <x:f>IF(K1550="שוטף",M1550,0)</x:f>
        <x:v>316</x:v>
      </x:c>
      <x:c r="O1550" s="20" t="n">
        <x:f>IF(K1550="הכנסה שסווגה מחדש",-G1550,0)</x:f>
        <x:v>0</x:v>
      </x:c>
      <x:c r="P1550" s="11" t="str">
        <x:v>מקס - עינור</x:v>
      </x:c>
      <x:c r="Q1550" s="11" t="str"/>
      <x:c r="R1550" s="11" t="str">
        <x:v>לא</x:v>
      </x:c>
    </x:row>
    <x:row r="1551">
      <x:c r="A1551" s="14" t="n">
        <x:v>46113</x:v>
      </x:c>
      <x:c r="B1551" s="11" t="str">
        <x:v>2026-04</x:v>
      </x:c>
      <x:c r="C1551" s="11" t="str">
        <x:v>אפריל 26</x:v>
      </x:c>
      <x:c r="D1551" s="15" t="n">
        <x:v>86</x:v>
      </x:c>
      <x:c r="E1551" s="11" t="str">
        <x:v>16/4</x:v>
      </x:c>
      <x:c r="F1551" s="11" t="str">
        <x:v>סופר</x:v>
      </x:c>
      <x:c r="G1551" s="17" t="n">
        <x:v>140</x:v>
      </x:c>
      <x:c r="H1551" s="18" t="str">
        <x:v>מזון לבית</x:v>
      </x:c>
      <x:c r="I1551" s="19" t="str">
        <x:f>IFERROR(INDEX('מיפוי ומקורות'!$C$7:$C$33,MATCH(H1551,'מיפוי ומקורות'!$B$7:$B$33,0)),"לא מסווג")</x:f>
        <x:v>מזון לבית</x:v>
      </x:c>
      <x:c r="J1551" s="19" t="str">
        <x:f>IFERROR(INDEX('מיפוי ומקורות'!$D$7:$D$33,MATCH(H1551,'מיפוי ומקורות'!$B$7:$B$33,0)),"שוטף")</x:f>
        <x:v>שוטף</x:v>
      </x:c>
      <x:c r="K1551" s="19" t="str">
        <x:f>IF(OR(H1551="ריביות",AND(H1551="דירה כצנלסון",G1551&lt;0,ISNUMBER(SEARCH("הכנסה",F1551)))),"הכנסה שסווגה מחדש",J1551)</x:f>
        <x:v>שוטף</x:v>
      </x:c>
      <x:c r="L1551" s="19" t="str">
        <x:v>מאושר</x:v>
      </x:c>
      <x:c r="M1551" s="20" t="n">
        <x:f>IF(L1551="מאושר",IF(K1551="הכנסה שסווגה מחדש",0,G1551),0)</x:f>
        <x:v>140</x:v>
      </x:c>
      <x:c r="N1551" s="20" t="n">
        <x:f>IF(K1551="שוטף",M1551,0)</x:f>
        <x:v>140</x:v>
      </x:c>
      <x:c r="O1551" s="20" t="n">
        <x:f>IF(K1551="הכנסה שסווגה מחדש",-G1551,0)</x:f>
        <x:v>0</x:v>
      </x:c>
      <x:c r="P1551" s="11" t="str">
        <x:v>אמקס - עינור</x:v>
      </x:c>
      <x:c r="Q1551" s="11" t="str"/>
      <x:c r="R1551" s="11" t="str">
        <x:v>לא</x:v>
      </x:c>
    </x:row>
    <x:row r="1552">
      <x:c r="A1552" s="14" t="n">
        <x:v>46113</x:v>
      </x:c>
      <x:c r="B1552" s="11" t="str">
        <x:v>2026-04</x:v>
      </x:c>
      <x:c r="C1552" s="11" t="str">
        <x:v>אפריל 26</x:v>
      </x:c>
      <x:c r="D1552" s="15" t="n">
        <x:v>87</x:v>
      </x:c>
      <x:c r="E1552" s="11" t="str">
        <x:v>31/3</x:v>
      </x:c>
      <x:c r="F1552" s="11" t="str">
        <x:v>אלי</x:v>
      </x:c>
      <x:c r="G1552" s="17" t="n">
        <x:v>109</x:v>
      </x:c>
      <x:c r="H1552" s="18" t="str">
        <x:v>קניות לבית</x:v>
      </x:c>
      <x:c r="I1552" s="19" t="str">
        <x:f>IFERROR(INDEX('מיפוי ומקורות'!$C$7:$C$33,MATCH(H1552,'מיפוי ומקורות'!$B$7:$B$33,0)),"לא מסווג")</x:f>
        <x:v>קניות לבית</x:v>
      </x:c>
      <x:c r="J1552" s="19" t="str">
        <x:f>IFERROR(INDEX('מיפוי ומקורות'!$D$7:$D$33,MATCH(H1552,'מיפוי ומקורות'!$B$7:$B$33,0)),"שוטף")</x:f>
        <x:v>שוטף</x:v>
      </x:c>
      <x:c r="K1552" s="19" t="str">
        <x:f>IF(OR(H1552="ריביות",AND(H1552="דירה כצנלסון",G1552&lt;0,ISNUMBER(SEARCH("הכנסה",F1552)))),"הכנסה שסווגה מחדש",J1552)</x:f>
        <x:v>שוטף</x:v>
      </x:c>
      <x:c r="L1552" s="19" t="str">
        <x:v>מאושר</x:v>
      </x:c>
      <x:c r="M1552" s="20" t="n">
        <x:f>IF(L1552="מאושר",IF(K1552="הכנסה שסווגה מחדש",0,G1552),0)</x:f>
        <x:v>109</x:v>
      </x:c>
      <x:c r="N1552" s="20" t="n">
        <x:f>IF(K1552="שוטף",M1552,0)</x:f>
        <x:v>109</x:v>
      </x:c>
      <x:c r="O1552" s="20" t="n">
        <x:f>IF(K1552="הכנסה שסווגה מחדש",-G1552,0)</x:f>
        <x:v>0</x:v>
      </x:c>
      <x:c r="P1552" s="11" t="str">
        <x:v>קורפורייט - זיו</x:v>
      </x:c>
      <x:c r="Q1552" s="11" t="str"/>
      <x:c r="R1552" s="11" t="str">
        <x:v>לא</x:v>
      </x:c>
    </x:row>
    <x:row r="1553">
      <x:c r="A1553" s="14" t="n">
        <x:v>46113</x:v>
      </x:c>
      <x:c r="B1553" s="11" t="str">
        <x:v>2026-04</x:v>
      </x:c>
      <x:c r="C1553" s="11" t="str">
        <x:v>אפריל 26</x:v>
      </x:c>
      <x:c r="D1553" s="15" t="n">
        <x:v>88</x:v>
      </x:c>
      <x:c r="E1553" s="11" t="str">
        <x:v>13/4</x:v>
      </x:c>
      <x:c r="F1553" s="11" t="str">
        <x:v>פילמנטים</x:v>
      </x:c>
      <x:c r="G1553" s="17" t="n">
        <x:v>489</x:v>
      </x:c>
      <x:c r="H1553" s="18" t="str">
        <x:v>מיג'י</x:v>
      </x:c>
      <x:c r="I1553" s="19" t="str">
        <x:f>IFERROR(INDEX('מיפוי ומקורות'!$C$7:$C$33,MATCH(H1553,'מיפוי ומקורות'!$B$7:$B$33,0)),"לא מסווג")</x:f>
        <x:v>תחביבים ומיג'י</x:v>
      </x:c>
      <x:c r="J1553" s="19" t="str">
        <x:f>IFERROR(INDEX('מיפוי ומקורות'!$D$7:$D$33,MATCH(H1553,'מיפוי ומקורות'!$B$7:$B$33,0)),"שוטף")</x:f>
        <x:v>שוטף</x:v>
      </x:c>
      <x:c r="K1553" s="19" t="str">
        <x:f>IF(OR(H1553="ריביות",AND(H1553="דירה כצנלסון",G1553&lt;0,ISNUMBER(SEARCH("הכנסה",F1553)))),"הכנסה שסווגה מחדש",J1553)</x:f>
        <x:v>שוטף</x:v>
      </x:c>
      <x:c r="L1553" s="19" t="str">
        <x:v>מאושר</x:v>
      </x:c>
      <x:c r="M1553" s="20" t="n">
        <x:f>IF(L1553="מאושר",IF(K1553="הכנסה שסווגה מחדש",0,G1553),0)</x:f>
        <x:v>489</x:v>
      </x:c>
      <x:c r="N1553" s="20" t="n">
        <x:f>IF(K1553="שוטף",M1553,0)</x:f>
        <x:v>489</x:v>
      </x:c>
      <x:c r="O1553" s="20" t="n">
        <x:f>IF(K1553="הכנסה שסווגה מחדש",-G1553,0)</x:f>
        <x:v>0</x:v>
      </x:c>
      <x:c r="P1553" s="11" t="str">
        <x:v>קורפורייט - זיו</x:v>
      </x:c>
      <x:c r="Q1553" s="11" t="str"/>
      <x:c r="R1553" s="11" t="str">
        <x:v>לא</x:v>
      </x:c>
    </x:row>
    <x:row r="1554">
      <x:c r="A1554" s="14" t="n">
        <x:v>46113</x:v>
      </x:c>
      <x:c r="B1554" s="11" t="str">
        <x:v>2026-04</x:v>
      </x:c>
      <x:c r="C1554" s="11" t="str">
        <x:v>אפריל 26</x:v>
      </x:c>
      <x:c r="D1554" s="15" t="n">
        <x:v>89</x:v>
      </x:c>
      <x:c r="E1554" s="11" t="str">
        <x:v>18/4</x:v>
      </x:c>
      <x:c r="F1554" s="11" t="str">
        <x:v>פילמנטים</x:v>
      </x:c>
      <x:c r="G1554" s="17" t="n">
        <x:v>331</x:v>
      </x:c>
      <x:c r="H1554" s="18" t="str">
        <x:v>מיג'י</x:v>
      </x:c>
      <x:c r="I1554" s="19" t="str">
        <x:f>IFERROR(INDEX('מיפוי ומקורות'!$C$7:$C$33,MATCH(H1554,'מיפוי ומקורות'!$B$7:$B$33,0)),"לא מסווג")</x:f>
        <x:v>תחביבים ומיג'י</x:v>
      </x:c>
      <x:c r="J1554" s="19" t="str">
        <x:f>IFERROR(INDEX('מיפוי ומקורות'!$D$7:$D$33,MATCH(H1554,'מיפוי ומקורות'!$B$7:$B$33,0)),"שוטף")</x:f>
        <x:v>שוטף</x:v>
      </x:c>
      <x:c r="K1554" s="19" t="str">
        <x:f>IF(OR(H1554="ריביות",AND(H1554="דירה כצנלסון",G1554&lt;0,ISNUMBER(SEARCH("הכנסה",F1554)))),"הכנסה שסווגה מחדש",J1554)</x:f>
        <x:v>שוטף</x:v>
      </x:c>
      <x:c r="L1554" s="19" t="str">
        <x:v>מאושר</x:v>
      </x:c>
      <x:c r="M1554" s="20" t="n">
        <x:f>IF(L1554="מאושר",IF(K1554="הכנסה שסווגה מחדש",0,G1554),0)</x:f>
        <x:v>331</x:v>
      </x:c>
      <x:c r="N1554" s="20" t="n">
        <x:f>IF(K1554="שוטף",M1554,0)</x:f>
        <x:v>331</x:v>
      </x:c>
      <x:c r="O1554" s="20" t="n">
        <x:f>IF(K1554="הכנסה שסווגה מחדש",-G1554,0)</x:f>
        <x:v>0</x:v>
      </x:c>
      <x:c r="P1554" s="11" t="str">
        <x:v>קורפורייט - זיו</x:v>
      </x:c>
      <x:c r="Q1554" s="11" t="str"/>
      <x:c r="R1554" s="11" t="str">
        <x:v>לא</x:v>
      </x:c>
    </x:row>
    <x:row r="1555">
      <x:c r="A1555" s="14" t="n">
        <x:v>46113</x:v>
      </x:c>
      <x:c r="B1555" s="11" t="str">
        <x:v>2026-04</x:v>
      </x:c>
      <x:c r="C1555" s="11" t="str">
        <x:v>אפריל 26</x:v>
      </x:c>
      <x:c r="D1555" s="15" t="n">
        <x:v>90</x:v>
      </x:c>
      <x:c r="E1555" s="11" t="str">
        <x:v>16/4</x:v>
      </x:c>
      <x:c r="F1555" s="11" t="str">
        <x:v>כוננית מיג'י</x:v>
      </x:c>
      <x:c r="G1555" s="17" t="n">
        <x:v>524</x:v>
      </x:c>
      <x:c r="H1555" s="18" t="str">
        <x:v>מיג'י</x:v>
      </x:c>
      <x:c r="I1555" s="19" t="str">
        <x:f>IFERROR(INDEX('מיפוי ומקורות'!$C$7:$C$33,MATCH(H1555,'מיפוי ומקורות'!$B$7:$B$33,0)),"לא מסווג")</x:f>
        <x:v>תחביבים ומיג'י</x:v>
      </x:c>
      <x:c r="J1555" s="19" t="str">
        <x:f>IFERROR(INDEX('מיפוי ומקורות'!$D$7:$D$33,MATCH(H1555,'מיפוי ומקורות'!$B$7:$B$33,0)),"שוטף")</x:f>
        <x:v>שוטף</x:v>
      </x:c>
      <x:c r="K1555" s="19" t="str">
        <x:f>IF(OR(H1555="ריביות",AND(H1555="דירה כצנלסון",G1555&lt;0,ISNUMBER(SEARCH("הכנסה",F1555)))),"הכנסה שסווגה מחדש",J1555)</x:f>
        <x:v>שוטף</x:v>
      </x:c>
      <x:c r="L1555" s="19" t="str">
        <x:v>מאושר</x:v>
      </x:c>
      <x:c r="M1555" s="20" t="n">
        <x:f>IF(L1555="מאושר",IF(K1555="הכנסה שסווגה מחדש",0,G1555),0)</x:f>
        <x:v>524</x:v>
      </x:c>
      <x:c r="N1555" s="20" t="n">
        <x:f>IF(K1555="שוטף",M1555,0)</x:f>
        <x:v>524</x:v>
      </x:c>
      <x:c r="O1555" s="20" t="n">
        <x:f>IF(K1555="הכנסה שסווגה מחדש",-G1555,0)</x:f>
        <x:v>0</x:v>
      </x:c>
      <x:c r="P1555" s="11" t="str"/>
      <x:c r="Q1555" s="11" t="str"/>
      <x:c r="R1555" s="11" t="str">
        <x:v>לא</x:v>
      </x:c>
    </x:row>
    <x:row r="1556">
      <x:c r="A1556" s="14" t="n">
        <x:v>46113</x:v>
      </x:c>
      <x:c r="B1556" s="11" t="str">
        <x:v>2026-04</x:v>
      </x:c>
      <x:c r="C1556" s="11" t="str">
        <x:v>אפריל 26</x:v>
      </x:c>
      <x:c r="D1556" s="15" t="n">
        <x:v>91</x:v>
      </x:c>
      <x:c r="E1556" s="11" t="str">
        <x:v>4.04</x:v>
      </x:c>
      <x:c r="F1556" s="11" t="str">
        <x:v>מסעדה</x:v>
      </x:c>
      <x:c r="G1556" s="17" t="n">
        <x:v>76</x:v>
      </x:c>
      <x:c r="H1556" s="18" t="str">
        <x:v>אוכל בחוץ</x:v>
      </x:c>
      <x:c r="I1556" s="19" t="str">
        <x:f>IFERROR(INDEX('מיפוי ומקורות'!$C$7:$C$33,MATCH(H1556,'מיפוי ומקורות'!$B$7:$B$33,0)),"לא מסווג")</x:f>
        <x:v>אוכל בחוץ</x:v>
      </x:c>
      <x:c r="J1556" s="19" t="str">
        <x:f>IFERROR(INDEX('מיפוי ומקורות'!$D$7:$D$33,MATCH(H1556,'מיפוי ומקורות'!$B$7:$B$33,0)),"שוטף")</x:f>
        <x:v>שוטף</x:v>
      </x:c>
      <x:c r="K1556" s="19" t="str">
        <x:f>IF(OR(H1556="ריביות",AND(H1556="דירה כצנלסון",G1556&lt;0,ISNUMBER(SEARCH("הכנסה",F1556)))),"הכנסה שסווגה מחדש",J1556)</x:f>
        <x:v>שוטף</x:v>
      </x:c>
      <x:c r="L1556" s="19" t="str">
        <x:v>מאושר</x:v>
      </x:c>
      <x:c r="M1556" s="20" t="n">
        <x:f>IF(L1556="מאושר",IF(K1556="הכנסה שסווגה מחדש",0,G1556),0)</x:f>
        <x:v>76</x:v>
      </x:c>
      <x:c r="N1556" s="20" t="n">
        <x:f>IF(K1556="שוטף",M1556,0)</x:f>
        <x:v>76</x:v>
      </x:c>
      <x:c r="O1556" s="20" t="n">
        <x:f>IF(K1556="הכנסה שסווגה מחדש",-G1556,0)</x:f>
        <x:v>0</x:v>
      </x:c>
      <x:c r="P1556" s="11" t="str">
        <x:v>סיבוס - עינור</x:v>
      </x:c>
      <x:c r="Q1556" s="11" t="str"/>
      <x:c r="R1556" s="11" t="str">
        <x:v>לא</x:v>
      </x:c>
    </x:row>
    <x:row r="1557">
      <x:c r="A1557" s="14" t="n">
        <x:v>46113</x:v>
      </x:c>
      <x:c r="B1557" s="11" t="str">
        <x:v>2026-04</x:v>
      </x:c>
      <x:c r="C1557" s="11" t="str">
        <x:v>אפריל 26</x:v>
      </x:c>
      <x:c r="D1557" s="15" t="n">
        <x:v>92</x:v>
      </x:c>
      <x:c r="E1557" s="11" t="str">
        <x:v>6.04</x:v>
      </x:c>
      <x:c r="F1557" s="11" t="str">
        <x:v>סופר</x:v>
      </x:c>
      <x:c r="G1557" s="17" t="n">
        <x:v>46</x:v>
      </x:c>
      <x:c r="H1557" s="18" t="str">
        <x:v>מזון לבית</x:v>
      </x:c>
      <x:c r="I1557" s="19" t="str">
        <x:f>IFERROR(INDEX('מיפוי ומקורות'!$C$7:$C$33,MATCH(H1557,'מיפוי ומקורות'!$B$7:$B$33,0)),"לא מסווג")</x:f>
        <x:v>מזון לבית</x:v>
      </x:c>
      <x:c r="J1557" s="19" t="str">
        <x:f>IFERROR(INDEX('מיפוי ומקורות'!$D$7:$D$33,MATCH(H1557,'מיפוי ומקורות'!$B$7:$B$33,0)),"שוטף")</x:f>
        <x:v>שוטף</x:v>
      </x:c>
      <x:c r="K1557" s="19" t="str">
        <x:f>IF(OR(H1557="ריביות",AND(H1557="דירה כצנלסון",G1557&lt;0,ISNUMBER(SEARCH("הכנסה",F1557)))),"הכנסה שסווגה מחדש",J1557)</x:f>
        <x:v>שוטף</x:v>
      </x:c>
      <x:c r="L1557" s="19" t="str">
        <x:v>מאושר</x:v>
      </x:c>
      <x:c r="M1557" s="20" t="n">
        <x:f>IF(L1557="מאושר",IF(K1557="הכנסה שסווגה מחדש",0,G1557),0)</x:f>
        <x:v>46</x:v>
      </x:c>
      <x:c r="N1557" s="20" t="n">
        <x:f>IF(K1557="שוטף",M1557,0)</x:f>
        <x:v>46</x:v>
      </x:c>
      <x:c r="O1557" s="20" t="n">
        <x:f>IF(K1557="הכנסה שסווגה מחדש",-G1557,0)</x:f>
        <x:v>0</x:v>
      </x:c>
      <x:c r="P1557" s="11" t="str">
        <x:v>סיבוס - עינור</x:v>
      </x:c>
      <x:c r="Q1557" s="11" t="str"/>
      <x:c r="R1557" s="11" t="str">
        <x:v>לא</x:v>
      </x:c>
    </x:row>
    <x:row r="1558">
      <x:c r="A1558" s="14" t="n">
        <x:v>46113</x:v>
      </x:c>
      <x:c r="B1558" s="11" t="str">
        <x:v>2026-04</x:v>
      </x:c>
      <x:c r="C1558" s="11" t="str">
        <x:v>אפריל 26</x:v>
      </x:c>
      <x:c r="D1558" s="15" t="n">
        <x:v>93</x:v>
      </x:c>
      <x:c r="E1558" s="11" t="str">
        <x:v>9.04</x:v>
      </x:c>
      <x:c r="F1558" s="11" t="str">
        <x:v>סופר</x:v>
      </x:c>
      <x:c r="G1558" s="17" t="n">
        <x:v>60</x:v>
      </x:c>
      <x:c r="H1558" s="18" t="str">
        <x:v>מזון לבית</x:v>
      </x:c>
      <x:c r="I1558" s="19" t="str">
        <x:f>IFERROR(INDEX('מיפוי ומקורות'!$C$7:$C$33,MATCH(H1558,'מיפוי ומקורות'!$B$7:$B$33,0)),"לא מסווג")</x:f>
        <x:v>מזון לבית</x:v>
      </x:c>
      <x:c r="J1558" s="19" t="str">
        <x:f>IFERROR(INDEX('מיפוי ומקורות'!$D$7:$D$33,MATCH(H1558,'מיפוי ומקורות'!$B$7:$B$33,0)),"שוטף")</x:f>
        <x:v>שוטף</x:v>
      </x:c>
      <x:c r="K1558" s="19" t="str">
        <x:f>IF(OR(H1558="ריביות",AND(H1558="דירה כצנלסון",G1558&lt;0,ISNUMBER(SEARCH("הכנסה",F1558)))),"הכנסה שסווגה מחדש",J1558)</x:f>
        <x:v>שוטף</x:v>
      </x:c>
      <x:c r="L1558" s="19" t="str">
        <x:v>מאושר</x:v>
      </x:c>
      <x:c r="M1558" s="20" t="n">
        <x:f>IF(L1558="מאושר",IF(K1558="הכנסה שסווגה מחדש",0,G1558),0)</x:f>
        <x:v>60</x:v>
      </x:c>
      <x:c r="N1558" s="20" t="n">
        <x:f>IF(K1558="שוטף",M1558,0)</x:f>
        <x:v>60</x:v>
      </x:c>
      <x:c r="O1558" s="20" t="n">
        <x:f>IF(K1558="הכנסה שסווגה מחדש",-G1558,0)</x:f>
        <x:v>0</x:v>
      </x:c>
      <x:c r="P1558" s="11" t="str">
        <x:v>סיבוס - עינור</x:v>
      </x:c>
      <x:c r="Q1558" s="11" t="str"/>
      <x:c r="R1558" s="11" t="str">
        <x:v>לא</x:v>
      </x:c>
    </x:row>
    <x:row r="1559">
      <x:c r="A1559" s="14" t="n">
        <x:v>46113</x:v>
      </x:c>
      <x:c r="B1559" s="11" t="str">
        <x:v>2026-04</x:v>
      </x:c>
      <x:c r="C1559" s="11" t="str">
        <x:v>אפריל 26</x:v>
      </x:c>
      <x:c r="D1559" s="15" t="n">
        <x:v>94</x:v>
      </x:c>
      <x:c r="E1559" s="11" t="str">
        <x:v>16.04</x:v>
      </x:c>
      <x:c r="F1559" s="11" t="str">
        <x:v>מסעדה</x:v>
      </x:c>
      <x:c r="G1559" s="17" t="n">
        <x:v>60</x:v>
      </x:c>
      <x:c r="H1559" s="18" t="str">
        <x:v>אוכל בחוץ</x:v>
      </x:c>
      <x:c r="I1559" s="19" t="str">
        <x:f>IFERROR(INDEX('מיפוי ומקורות'!$C$7:$C$33,MATCH(H1559,'מיפוי ומקורות'!$B$7:$B$33,0)),"לא מסווג")</x:f>
        <x:v>אוכל בחוץ</x:v>
      </x:c>
      <x:c r="J1559" s="19" t="str">
        <x:f>IFERROR(INDEX('מיפוי ומקורות'!$D$7:$D$33,MATCH(H1559,'מיפוי ומקורות'!$B$7:$B$33,0)),"שוטף")</x:f>
        <x:v>שוטף</x:v>
      </x:c>
      <x:c r="K1559" s="19" t="str">
        <x:f>IF(OR(H1559="ריביות",AND(H1559="דירה כצנלסון",G1559&lt;0,ISNUMBER(SEARCH("הכנסה",F1559)))),"הכנסה שסווגה מחדש",J1559)</x:f>
        <x:v>שוטף</x:v>
      </x:c>
      <x:c r="L1559" s="19" t="str">
        <x:v>מאושר</x:v>
      </x:c>
      <x:c r="M1559" s="20" t="n">
        <x:f>IF(L1559="מאושר",IF(K1559="הכנסה שסווגה מחדש",0,G1559),0)</x:f>
        <x:v>60</x:v>
      </x:c>
      <x:c r="N1559" s="20" t="n">
        <x:f>IF(K1559="שוטף",M1559,0)</x:f>
        <x:v>60</x:v>
      </x:c>
      <x:c r="O1559" s="20" t="n">
        <x:f>IF(K1559="הכנסה שסווגה מחדש",-G1559,0)</x:f>
        <x:v>0</x:v>
      </x:c>
      <x:c r="P1559" s="11" t="str">
        <x:v>סיבוס - עינור</x:v>
      </x:c>
      <x:c r="Q1559" s="11" t="str"/>
      <x:c r="R1559" s="11" t="str">
        <x:v>לא</x:v>
      </x:c>
    </x:row>
    <x:row r="1560">
      <x:c r="A1560" s="14" t="n">
        <x:v>46113</x:v>
      </x:c>
      <x:c r="B1560" s="11" t="str">
        <x:v>2026-04</x:v>
      </x:c>
      <x:c r="C1560" s="11" t="str">
        <x:v>אפריל 26</x:v>
      </x:c>
      <x:c r="D1560" s="15" t="n">
        <x:v>95</x:v>
      </x:c>
      <x:c r="E1560" s="11" t="str">
        <x:v>20.04</x:v>
      </x:c>
      <x:c r="F1560" s="11" t="str">
        <x:v>מסעדה</x:v>
      </x:c>
      <x:c r="G1560" s="17" t="n">
        <x:v>105</x:v>
      </x:c>
      <x:c r="H1560" s="18" t="str">
        <x:v>אוכל בחוץ</x:v>
      </x:c>
      <x:c r="I1560" s="19" t="str">
        <x:f>IFERROR(INDEX('מיפוי ומקורות'!$C$7:$C$33,MATCH(H1560,'מיפוי ומקורות'!$B$7:$B$33,0)),"לא מסווג")</x:f>
        <x:v>אוכל בחוץ</x:v>
      </x:c>
      <x:c r="J1560" s="19" t="str">
        <x:f>IFERROR(INDEX('מיפוי ומקורות'!$D$7:$D$33,MATCH(H1560,'מיפוי ומקורות'!$B$7:$B$33,0)),"שוטף")</x:f>
        <x:v>שוטף</x:v>
      </x:c>
      <x:c r="K1560" s="19" t="str">
        <x:f>IF(OR(H1560="ריביות",AND(H1560="דירה כצנלסון",G1560&lt;0,ISNUMBER(SEARCH("הכנסה",F1560)))),"הכנסה שסווגה מחדש",J1560)</x:f>
        <x:v>שוטף</x:v>
      </x:c>
      <x:c r="L1560" s="19" t="str">
        <x:v>מאושר</x:v>
      </x:c>
      <x:c r="M1560" s="20" t="n">
        <x:f>IF(L1560="מאושר",IF(K1560="הכנסה שסווגה מחדש",0,G1560),0)</x:f>
        <x:v>105</x:v>
      </x:c>
      <x:c r="N1560" s="20" t="n">
        <x:f>IF(K1560="שוטף",M1560,0)</x:f>
        <x:v>105</x:v>
      </x:c>
      <x:c r="O1560" s="20" t="n">
        <x:f>IF(K1560="הכנסה שסווגה מחדש",-G1560,0)</x:f>
        <x:v>0</x:v>
      </x:c>
      <x:c r="P1560" s="11" t="str">
        <x:v>סיבוס - עינור</x:v>
      </x:c>
      <x:c r="Q1560" s="11" t="str"/>
      <x:c r="R1560" s="11" t="str">
        <x:v>לא</x:v>
      </x:c>
    </x:row>
    <x:row r="1561">
      <x:c r="A1561" s="14" t="n">
        <x:v>46113</x:v>
      </x:c>
      <x:c r="B1561" s="11" t="str">
        <x:v>2026-04</x:v>
      </x:c>
      <x:c r="C1561" s="11" t="str">
        <x:v>אפריל 26</x:v>
      </x:c>
      <x:c r="D1561" s="15" t="n">
        <x:v>97</x:v>
      </x:c>
      <x:c r="E1561" s="11" t="str">
        <x:v>24.04</x:v>
      </x:c>
      <x:c r="F1561" s="11" t="str">
        <x:v>סופר</x:v>
      </x:c>
      <x:c r="G1561" s="17" t="n">
        <x:v>55</x:v>
      </x:c>
      <x:c r="H1561" s="18" t="str">
        <x:v>מזון לבית</x:v>
      </x:c>
      <x:c r="I1561" s="19" t="str">
        <x:f>IFERROR(INDEX('מיפוי ומקורות'!$C$7:$C$33,MATCH(H1561,'מיפוי ומקורות'!$B$7:$B$33,0)),"לא מסווג")</x:f>
        <x:v>מזון לבית</x:v>
      </x:c>
      <x:c r="J1561" s="19" t="str">
        <x:f>IFERROR(INDEX('מיפוי ומקורות'!$D$7:$D$33,MATCH(H1561,'מיפוי ומקורות'!$B$7:$B$33,0)),"שוטף")</x:f>
        <x:v>שוטף</x:v>
      </x:c>
      <x:c r="K1561" s="19" t="str">
        <x:f>IF(OR(H1561="ריביות",AND(H1561="דירה כצנלסון",G1561&lt;0,ISNUMBER(SEARCH("הכנסה",F1561)))),"הכנסה שסווגה מחדש",J1561)</x:f>
        <x:v>שוטף</x:v>
      </x:c>
      <x:c r="L1561" s="19" t="str">
        <x:v>מאושר</x:v>
      </x:c>
      <x:c r="M1561" s="20" t="n">
        <x:f>IF(L1561="מאושר",IF(K1561="הכנסה שסווגה מחדש",0,G1561),0)</x:f>
        <x:v>55</x:v>
      </x:c>
      <x:c r="N1561" s="20" t="n">
        <x:f>IF(K1561="שוטף",M1561,0)</x:f>
        <x:v>55</x:v>
      </x:c>
      <x:c r="O1561" s="20" t="n">
        <x:f>IF(K1561="הכנסה שסווגה מחדש",-G1561,0)</x:f>
        <x:v>0</x:v>
      </x:c>
      <x:c r="P1561" s="11" t="str">
        <x:v>סיבוס - עינור</x:v>
      </x:c>
      <x:c r="Q1561" s="11" t="str"/>
      <x:c r="R1561" s="11" t="str">
        <x:v>לא</x:v>
      </x:c>
    </x:row>
    <x:row r="1562">
      <x:c r="A1562" s="14" t="n">
        <x:v>46113</x:v>
      </x:c>
      <x:c r="B1562" s="11" t="str">
        <x:v>2026-04</x:v>
      </x:c>
      <x:c r="C1562" s="11" t="str">
        <x:v>אפריל 26</x:v>
      </x:c>
      <x:c r="D1562" s="15" t="n">
        <x:v>98</x:v>
      </x:c>
      <x:c r="E1562" s="11" t="str">
        <x:v>26.04</x:v>
      </x:c>
      <x:c r="F1562" s="11" t="str">
        <x:v>סופר</x:v>
      </x:c>
      <x:c r="G1562" s="17" t="n">
        <x:v>24</x:v>
      </x:c>
      <x:c r="H1562" s="18" t="str">
        <x:v>מזון לבית</x:v>
      </x:c>
      <x:c r="I1562" s="19" t="str">
        <x:f>IFERROR(INDEX('מיפוי ומקורות'!$C$7:$C$33,MATCH(H1562,'מיפוי ומקורות'!$B$7:$B$33,0)),"לא מסווג")</x:f>
        <x:v>מזון לבית</x:v>
      </x:c>
      <x:c r="J1562" s="19" t="str">
        <x:f>IFERROR(INDEX('מיפוי ומקורות'!$D$7:$D$33,MATCH(H1562,'מיפוי ומקורות'!$B$7:$B$33,0)),"שוטף")</x:f>
        <x:v>שוטף</x:v>
      </x:c>
      <x:c r="K1562" s="19" t="str">
        <x:f>IF(OR(H1562="ריביות",AND(H1562="דירה כצנלסון",G1562&lt;0,ISNUMBER(SEARCH("הכנסה",F1562)))),"הכנסה שסווגה מחדש",J1562)</x:f>
        <x:v>שוטף</x:v>
      </x:c>
      <x:c r="L1562" s="19" t="str">
        <x:v>מאושר</x:v>
      </x:c>
      <x:c r="M1562" s="20" t="n">
        <x:f>IF(L1562="מאושר",IF(K1562="הכנסה שסווגה מחדש",0,G1562),0)</x:f>
        <x:v>24</x:v>
      </x:c>
      <x:c r="N1562" s="20" t="n">
        <x:f>IF(K1562="שוטף",M1562,0)</x:f>
        <x:v>24</x:v>
      </x:c>
      <x:c r="O1562" s="20" t="n">
        <x:f>IF(K1562="הכנסה שסווגה מחדש",-G1562,0)</x:f>
        <x:v>0</x:v>
      </x:c>
      <x:c r="P1562" s="11" t="str">
        <x:v>סיבוס - עינור</x:v>
      </x:c>
      <x:c r="Q1562" s="11" t="str"/>
      <x:c r="R1562" s="11" t="str">
        <x:v>לא</x:v>
      </x:c>
    </x:row>
    <x:row r="1563">
      <x:c r="A1563" s="14" t="n">
        <x:v>46113</x:v>
      </x:c>
      <x:c r="B1563" s="11" t="str">
        <x:v>2026-04</x:v>
      </x:c>
      <x:c r="C1563" s="11" t="str">
        <x:v>אפריל 26</x:v>
      </x:c>
      <x:c r="D1563" s="15" t="n">
        <x:v>99</x:v>
      </x:c>
      <x:c r="E1563" s="11" t="str">
        <x:v>27.04</x:v>
      </x:c>
      <x:c r="F1563" s="11" t="str">
        <x:v>סופר</x:v>
      </x:c>
      <x:c r="G1563" s="17" t="n">
        <x:v>16</x:v>
      </x:c>
      <x:c r="H1563" s="18" t="str">
        <x:v>מזון לבית</x:v>
      </x:c>
      <x:c r="I1563" s="19" t="str">
        <x:f>IFERROR(INDEX('מיפוי ומקורות'!$C$7:$C$33,MATCH(H1563,'מיפוי ומקורות'!$B$7:$B$33,0)),"לא מסווג")</x:f>
        <x:v>מזון לבית</x:v>
      </x:c>
      <x:c r="J1563" s="19" t="str">
        <x:f>IFERROR(INDEX('מיפוי ומקורות'!$D$7:$D$33,MATCH(H1563,'מיפוי ומקורות'!$B$7:$B$33,0)),"שוטף")</x:f>
        <x:v>שוטף</x:v>
      </x:c>
      <x:c r="K1563" s="19" t="str">
        <x:f>IF(OR(H1563="ריביות",AND(H1563="דירה כצנלסון",G1563&lt;0,ISNUMBER(SEARCH("הכנסה",F1563)))),"הכנסה שסווגה מחדש",J1563)</x:f>
        <x:v>שוטף</x:v>
      </x:c>
      <x:c r="L1563" s="19" t="str">
        <x:v>מאושר</x:v>
      </x:c>
      <x:c r="M1563" s="20" t="n">
        <x:f>IF(L1563="מאושר",IF(K1563="הכנסה שסווגה מחדש",0,G1563),0)</x:f>
        <x:v>16</x:v>
      </x:c>
      <x:c r="N1563" s="20" t="n">
        <x:f>IF(K1563="שוטף",M1563,0)</x:f>
        <x:v>16</x:v>
      </x:c>
      <x:c r="O1563" s="20" t="n">
        <x:f>IF(K1563="הכנסה שסווגה מחדש",-G1563,0)</x:f>
        <x:v>0</x:v>
      </x:c>
      <x:c r="P1563" s="11" t="str">
        <x:v>סיבוס - עינור</x:v>
      </x:c>
      <x:c r="Q1563" s="11" t="str"/>
      <x:c r="R1563" s="11" t="str">
        <x:v>לא</x:v>
      </x:c>
    </x:row>
    <x:row r="1564">
      <x:c r="A1564" s="14" t="n">
        <x:v>46113</x:v>
      </x:c>
      <x:c r="B1564" s="11" t="str">
        <x:v>2026-04</x:v>
      </x:c>
      <x:c r="C1564" s="11" t="str">
        <x:v>אפריל 26</x:v>
      </x:c>
      <x:c r="D1564" s="15" t="n">
        <x:v>100</x:v>
      </x:c>
      <x:c r="E1564" s="11" t="str">
        <x:v>30.04</x:v>
      </x:c>
      <x:c r="F1564" s="11" t="str">
        <x:v>סופר</x:v>
      </x:c>
      <x:c r="G1564" s="17" t="n">
        <x:v>145</x:v>
      </x:c>
      <x:c r="H1564" s="18" t="str">
        <x:v>מזון לבית</x:v>
      </x:c>
      <x:c r="I1564" s="19" t="str">
        <x:f>IFERROR(INDEX('מיפוי ומקורות'!$C$7:$C$33,MATCH(H1564,'מיפוי ומקורות'!$B$7:$B$33,0)),"לא מסווג")</x:f>
        <x:v>מזון לבית</x:v>
      </x:c>
      <x:c r="J1564" s="19" t="str">
        <x:f>IFERROR(INDEX('מיפוי ומקורות'!$D$7:$D$33,MATCH(H1564,'מיפוי ומקורות'!$B$7:$B$33,0)),"שוטף")</x:f>
        <x:v>שוטף</x:v>
      </x:c>
      <x:c r="K1564" s="19" t="str">
        <x:f>IF(OR(H1564="ריביות",AND(H1564="דירה כצנלסון",G1564&lt;0,ISNUMBER(SEARCH("הכנסה",F1564)))),"הכנסה שסווגה מחדש",J1564)</x:f>
        <x:v>שוטף</x:v>
      </x:c>
      <x:c r="L1564" s="19" t="str">
        <x:v>מאושר</x:v>
      </x:c>
      <x:c r="M1564" s="20" t="n">
        <x:f>IF(L1564="מאושר",IF(K1564="הכנסה שסווגה מחדש",0,G1564),0)</x:f>
        <x:v>145</x:v>
      </x:c>
      <x:c r="N1564" s="20" t="n">
        <x:f>IF(K1564="שוטף",M1564,0)</x:f>
        <x:v>145</x:v>
      </x:c>
      <x:c r="O1564" s="20" t="n">
        <x:f>IF(K1564="הכנסה שסווגה מחדש",-G1564,0)</x:f>
        <x:v>0</x:v>
      </x:c>
      <x:c r="P1564" s="11" t="str">
        <x:v>סיבוס - עינור</x:v>
      </x:c>
      <x:c r="Q1564" s="11" t="str"/>
      <x:c r="R1564" s="11" t="str">
        <x:v>לא</x:v>
      </x:c>
    </x:row>
    <x:row r="1565">
      <x:c r="A1565" s="14" t="n">
        <x:v>46113</x:v>
      </x:c>
      <x:c r="B1565" s="11" t="str">
        <x:v>2026-04</x:v>
      </x:c>
      <x:c r="C1565" s="11" t="str">
        <x:v>אפריל 26</x:v>
      </x:c>
      <x:c r="D1565" s="15" t="n">
        <x:v>101</x:v>
      </x:c>
      <x:c r="E1565" s="11" t="str"/>
      <x:c r="F1565" s="11" t="str">
        <x:v>יקב אסף 26</x:v>
      </x:c>
      <x:c r="G1565" s="17" t="n">
        <x:v>300</x:v>
      </x:c>
      <x:c r="H1565" s="18" t="str">
        <x:v>חופשה</x:v>
      </x:c>
      <x:c r="I1565" s="19" t="str">
        <x:f>IFERROR(INDEX('מיפוי ומקורות'!$C$7:$C$33,MATCH(H1565,'מיפוי ומקורות'!$B$7:$B$33,0)),"לא מסווג")</x:f>
        <x:v>נסיעות וחופשות</x:v>
      </x:c>
      <x:c r="J1565" s="19" t="str">
        <x:f>IFERROR(INDEX('מיפוי ומקורות'!$D$7:$D$33,MATCH(H1565,'מיפוי ומקורות'!$B$7:$B$33,0)),"שוטף")</x:f>
        <x:v>חריג</x:v>
      </x:c>
      <x:c r="K1565" s="19" t="str">
        <x:f>IF(OR(H1565="ריביות",AND(H1565="דירה כצנלסון",G1565&lt;0,ISNUMBER(SEARCH("הכנסה",F1565)))),"הכנסה שסווגה מחדש",J1565)</x:f>
        <x:v>חריג</x:v>
      </x:c>
      <x:c r="L1565" s="19" t="str">
        <x:v>מאושר</x:v>
      </x:c>
      <x:c r="M1565" s="20" t="n">
        <x:f>IF(L1565="מאושר",IF(K1565="הכנסה שסווגה מחדש",0,G1565),0)</x:f>
        <x:v>300</x:v>
      </x:c>
      <x:c r="N1565" s="20" t="n">
        <x:f>IF(K1565="שוטף",M1565,0)</x:f>
        <x:v>0</x:v>
      </x:c>
      <x:c r="O1565" s="20" t="n">
        <x:f>IF(K1565="הכנסה שסווגה מחדש",-G1565,0)</x:f>
        <x:v>0</x:v>
      </x:c>
      <x:c r="P1565" s="11" t="str"/>
      <x:c r="Q1565" s="11" t="str">
        <x:v>auto:vacation:יקב אסף 26</x:v>
      </x:c>
      <x:c r="R1565" s="11" t="str">
        <x:v>כן</x:v>
      </x:c>
    </x:row>
    <x:row r="1566">
      <x:c r="A1566" s="14" t="n">
        <x:v>46143</x:v>
      </x:c>
      <x:c r="B1566" s="11" t="str">
        <x:v>2026-05</x:v>
      </x:c>
      <x:c r="C1566" s="11" t="str">
        <x:v>מאי 26</x:v>
      </x:c>
      <x:c r="D1566" s="15" t="n">
        <x:v>2</x:v>
      </x:c>
      <x:c r="E1566" s="11" t="str"/>
      <x:c r="F1566" s="11" t="str">
        <x:v>שכר דירה</x:v>
      </x:c>
      <x:c r="G1566" s="17" t="n">
        <x:v>8000</x:v>
      </x:c>
      <x:c r="H1566" s="18" t="str">
        <x:v>מגורים</x:v>
      </x:c>
      <x:c r="I1566" s="19" t="str">
        <x:f>IFERROR(INDEX('מיפוי ומקורות'!$C$7:$C$33,MATCH(H1566,'מיפוי ומקורות'!$B$7:$B$33,0)),"לא מסווג")</x:f>
        <x:v>דיור – בית מגורים</x:v>
      </x:c>
      <x:c r="J1566" s="19" t="str">
        <x:f>IFERROR(INDEX('מיפוי ומקורות'!$D$7:$D$33,MATCH(H1566,'מיפוי ומקורות'!$B$7:$B$33,0)),"שוטף")</x:f>
        <x:v>שוטף</x:v>
      </x:c>
      <x:c r="K1566" s="19" t="str">
        <x:f>IF(OR(H1566="ריביות",AND(H1566="דירה כצנלסון",G1566&lt;0,ISNUMBER(SEARCH("הכנסה",F1566)))),"הכנסה שסווגה מחדש",J1566)</x:f>
        <x:v>שוטף</x:v>
      </x:c>
      <x:c r="L1566" s="19" t="str">
        <x:v>מאושר</x:v>
      </x:c>
      <x:c r="M1566" s="20" t="n">
        <x:f>IF(L1566="מאושר",IF(K1566="הכנסה שסווגה מחדש",0,G1566),0)</x:f>
        <x:v>8000</x:v>
      </x:c>
      <x:c r="N1566" s="20" t="n">
        <x:f>IF(K1566="שוטף",M1566,0)</x:f>
        <x:v>8000</x:v>
      </x:c>
      <x:c r="O1566" s="20" t="n">
        <x:f>IF(K1566="הכנסה שסווגה מחדש",-G1566,0)</x:f>
        <x:v>0</x:v>
      </x:c>
      <x:c r="P1566" s="11" t="str">
        <x:v>דיסקונט</x:v>
      </x:c>
      <x:c r="Q1566" s="11" t="str"/>
      <x:c r="R1566" s="11" t="str">
        <x:v>לא</x:v>
      </x:c>
    </x:row>
    <x:row r="1567">
      <x:c r="A1567" s="14" t="n">
        <x:v>46143</x:v>
      </x:c>
      <x:c r="B1567" s="11" t="str">
        <x:v>2026-05</x:v>
      </x:c>
      <x:c r="C1567" s="11" t="str">
        <x:v>מאי 26</x:v>
      </x:c>
      <x:c r="D1567" s="15" t="n">
        <x:v>3</x:v>
      </x:c>
      <x:c r="E1567" s="11" t="str"/>
      <x:c r="F1567" s="11" t="str">
        <x:v>משכנתא</x:v>
      </x:c>
      <x:c r="G1567" s="17" t="n">
        <x:v>6145</x:v>
      </x:c>
      <x:c r="H1567" s="18" t="str">
        <x:v>דירה כצנלסון</x:v>
      </x:c>
      <x:c r="I1567" s="19" t="str">
        <x:f>IFERROR(INDEX('מיפוי ומקורות'!$C$7:$C$33,MATCH(H1567,'מיפוי ומקורות'!$B$7:$B$33,0)),"לא מסווג")</x:f>
        <x:v>נכס להשקעה</x:v>
      </x:c>
      <x:c r="J1567" s="19" t="str">
        <x:f>IFERROR(INDEX('מיפוי ומקורות'!$D$7:$D$33,MATCH(H1567,'מיפוי ומקורות'!$B$7:$B$33,0)),"שוטף")</x:f>
        <x:v>חריג/נכס</x:v>
      </x:c>
      <x:c r="K1567" s="19" t="str">
        <x:f>IF(OR(H1567="ריביות",AND(H1567="דירה כצנלסון",G1567&lt;0,ISNUMBER(SEARCH("הכנסה",F1567)))),"הכנסה שסווגה מחדש",J1567)</x:f>
        <x:v>חריג/נכס</x:v>
      </x:c>
      <x:c r="L1567" s="19" t="str">
        <x:v>מאושר</x:v>
      </x:c>
      <x:c r="M1567" s="20" t="n">
        <x:f>IF(L1567="מאושר",IF(K1567="הכנסה שסווגה מחדש",0,G1567),0)</x:f>
        <x:v>6145</x:v>
      </x:c>
      <x:c r="N1567" s="20" t="n">
        <x:f>IF(K1567="שוטף",M1567,0)</x:f>
        <x:v>0</x:v>
      </x:c>
      <x:c r="O1567" s="20" t="n">
        <x:f>IF(K1567="הכנסה שסווגה מחדש",-G1567,0)</x:f>
        <x:v>0</x:v>
      </x:c>
      <x:c r="P1567" s="11" t="str">
        <x:v>דיסקונט</x:v>
      </x:c>
      <x:c r="Q1567" s="11" t="str"/>
      <x:c r="R1567" s="11" t="str">
        <x:v>לא</x:v>
      </x:c>
    </x:row>
    <x:row r="1568">
      <x:c r="A1568" s="14" t="n">
        <x:v>46143</x:v>
      </x:c>
      <x:c r="B1568" s="11" t="str">
        <x:v>2026-05</x:v>
      </x:c>
      <x:c r="C1568" s="11" t="str">
        <x:v>מאי 26</x:v>
      </x:c>
      <x:c r="D1568" s="15" t="n">
        <x:v>4</x:v>
      </x:c>
      <x:c r="E1568" s="11" t="str"/>
      <x:c r="F1568" s="11" t="str">
        <x:v>ארנונה</x:v>
      </x:c>
      <x:c r="G1568" s="17" t="n">
        <x:v>0</x:v>
      </x:c>
      <x:c r="H1568" s="18" t="str">
        <x:v>מגורים</x:v>
      </x:c>
      <x:c r="I1568" s="19" t="str">
        <x:f>IFERROR(INDEX('מיפוי ומקורות'!$C$7:$C$33,MATCH(H1568,'מיפוי ומקורות'!$B$7:$B$33,0)),"לא מסווג")</x:f>
        <x:v>דיור – בית מגורים</x:v>
      </x:c>
      <x:c r="J1568" s="19" t="str">
        <x:f>IFERROR(INDEX('מיפוי ומקורות'!$D$7:$D$33,MATCH(H1568,'מיפוי ומקורות'!$B$7:$B$33,0)),"שוטף")</x:f>
        <x:v>שוטף</x:v>
      </x:c>
      <x:c r="K1568" s="19" t="str">
        <x:f>IF(OR(H1568="ריביות",AND(H1568="דירה כצנלסון",G1568&lt;0,ISNUMBER(SEARCH("הכנסה",F1568)))),"הכנסה שסווגה מחדש",J1568)</x:f>
        <x:v>שוטף</x:v>
      </x:c>
      <x:c r="L1568" s="19" t="str">
        <x:v>מאושר</x:v>
      </x:c>
      <x:c r="M1568" s="20" t="n">
        <x:f>IF(L1568="מאושר",IF(K1568="הכנסה שסווגה מחדש",0,G1568),0)</x:f>
        <x:v>0</x:v>
      </x:c>
      <x:c r="N1568" s="20" t="n">
        <x:f>IF(K1568="שוטף",M1568,0)</x:f>
        <x:v>0</x:v>
      </x:c>
      <x:c r="O1568" s="20" t="n">
        <x:f>IF(K1568="הכנסה שסווגה מחדש",-G1568,0)</x:f>
        <x:v>0</x:v>
      </x:c>
      <x:c r="P1568" s="11" t="str"/>
      <x:c r="Q1568" s="11" t="str"/>
      <x:c r="R1568" s="11" t="str">
        <x:v>לא</x:v>
      </x:c>
    </x:row>
    <x:row r="1569">
      <x:c r="A1569" s="14" t="n">
        <x:v>46143</x:v>
      </x:c>
      <x:c r="B1569" s="11" t="str">
        <x:v>2026-05</x:v>
      </x:c>
      <x:c r="C1569" s="11" t="str">
        <x:v>מאי 26</x:v>
      </x:c>
      <x:c r="D1569" s="15" t="n">
        <x:v>5</x:v>
      </x:c>
      <x:c r="E1569" s="11" t="str">
        <x:v>6.05</x:v>
      </x:c>
      <x:c r="F1569" s="11" t="str">
        <x:v>חשמל</x:v>
      </x:c>
      <x:c r="G1569" s="17" t="n">
        <x:v>260</x:v>
      </x:c>
      <x:c r="H1569" s="18" t="str">
        <x:v>מגורים</x:v>
      </x:c>
      <x:c r="I1569" s="19" t="str">
        <x:f>IFERROR(INDEX('מיפוי ומקורות'!$C$7:$C$33,MATCH(H1569,'מיפוי ומקורות'!$B$7:$B$33,0)),"לא מסווג")</x:f>
        <x:v>דיור – בית מגורים</x:v>
      </x:c>
      <x:c r="J1569" s="19" t="str">
        <x:f>IFERROR(INDEX('מיפוי ומקורות'!$D$7:$D$33,MATCH(H1569,'מיפוי ומקורות'!$B$7:$B$33,0)),"שוטף")</x:f>
        <x:v>שוטף</x:v>
      </x:c>
      <x:c r="K1569" s="19" t="str">
        <x:f>IF(OR(H1569="ריביות",AND(H1569="דירה כצנלסון",G1569&lt;0,ISNUMBER(SEARCH("הכנסה",F1569)))),"הכנסה שסווגה מחדש",J1569)</x:f>
        <x:v>שוטף</x:v>
      </x:c>
      <x:c r="L1569" s="19" t="str">
        <x:v>מאושר</x:v>
      </x:c>
      <x:c r="M1569" s="20" t="n">
        <x:f>IF(L1569="מאושר",IF(K1569="הכנסה שסווגה מחדש",0,G1569),0)</x:f>
        <x:v>260</x:v>
      </x:c>
      <x:c r="N1569" s="20" t="n">
        <x:f>IF(K1569="שוטף",M1569,0)</x:f>
        <x:v>260</x:v>
      </x:c>
      <x:c r="O1569" s="20" t="n">
        <x:f>IF(K1569="הכנסה שסווגה מחדש",-G1569,0)</x:f>
        <x:v>0</x:v>
      </x:c>
      <x:c r="P1569" s="11" t="str">
        <x:v>אמקס - זיו</x:v>
      </x:c>
      <x:c r="Q1569" s="11" t="str"/>
      <x:c r="R1569" s="11" t="str">
        <x:v>לא</x:v>
      </x:c>
    </x:row>
    <x:row r="1570">
      <x:c r="A1570" s="14" t="n">
        <x:v>46143</x:v>
      </x:c>
      <x:c r="B1570" s="11" t="str">
        <x:v>2026-05</x:v>
      </x:c>
      <x:c r="C1570" s="11" t="str">
        <x:v>מאי 26</x:v>
      </x:c>
      <x:c r="D1570" s="15" t="n">
        <x:v>6</x:v>
      </x:c>
      <x:c r="E1570" s="11" t="str"/>
      <x:c r="F1570" s="11" t="str">
        <x:v>מים</x:v>
      </x:c>
      <x:c r="G1570" s="17" t="n">
        <x:v>0</x:v>
      </x:c>
      <x:c r="H1570" s="18" t="str">
        <x:v>מגורים</x:v>
      </x:c>
      <x:c r="I1570" s="19" t="str">
        <x:f>IFERROR(INDEX('מיפוי ומקורות'!$C$7:$C$33,MATCH(H1570,'מיפוי ומקורות'!$B$7:$B$33,0)),"לא מסווג")</x:f>
        <x:v>דיור – בית מגורים</x:v>
      </x:c>
      <x:c r="J1570" s="19" t="str">
        <x:f>IFERROR(INDEX('מיפוי ומקורות'!$D$7:$D$33,MATCH(H1570,'מיפוי ומקורות'!$B$7:$B$33,0)),"שוטף")</x:f>
        <x:v>שוטף</x:v>
      </x:c>
      <x:c r="K1570" s="19" t="str">
        <x:f>IF(OR(H1570="ריביות",AND(H1570="דירה כצנלסון",G1570&lt;0,ISNUMBER(SEARCH("הכנסה",F1570)))),"הכנסה שסווגה מחדש",J1570)</x:f>
        <x:v>שוטף</x:v>
      </x:c>
      <x:c r="L1570" s="19" t="str">
        <x:v>מאושר</x:v>
      </x:c>
      <x:c r="M1570" s="20" t="n">
        <x:f>IF(L1570="מאושר",IF(K1570="הכנסה שסווגה מחדש",0,G1570),0)</x:f>
        <x:v>0</x:v>
      </x:c>
      <x:c r="N1570" s="20" t="n">
        <x:f>IF(K1570="שוטף",M1570,0)</x:f>
        <x:v>0</x:v>
      </x:c>
      <x:c r="O1570" s="20" t="n">
        <x:f>IF(K1570="הכנסה שסווגה מחדש",-G1570,0)</x:f>
        <x:v>0</x:v>
      </x:c>
      <x:c r="P1570" s="11" t="str"/>
      <x:c r="Q1570" s="11" t="str"/>
      <x:c r="R1570" s="11" t="str">
        <x:v>לא</x:v>
      </x:c>
    </x:row>
    <x:row r="1571">
      <x:c r="A1571" s="14" t="n">
        <x:v>46143</x:v>
      </x:c>
      <x:c r="B1571" s="11" t="str">
        <x:v>2026-05</x:v>
      </x:c>
      <x:c r="C1571" s="11" t="str">
        <x:v>מאי 26</x:v>
      </x:c>
      <x:c r="D1571" s="15" t="n">
        <x:v>7</x:v>
      </x:c>
      <x:c r="E1571" s="11" t="str">
        <x:v>18.05</x:v>
      </x:c>
      <x:c r="F1571" s="11" t="str">
        <x:v>גז</x:v>
      </x:c>
      <x:c r="G1571" s="17" t="n">
        <x:v>42</x:v>
      </x:c>
      <x:c r="H1571" s="18" t="str">
        <x:v>מגורים</x:v>
      </x:c>
      <x:c r="I1571" s="19" t="str">
        <x:f>IFERROR(INDEX('מיפוי ומקורות'!$C$7:$C$33,MATCH(H1571,'מיפוי ומקורות'!$B$7:$B$33,0)),"לא מסווג")</x:f>
        <x:v>דיור – בית מגורים</x:v>
      </x:c>
      <x:c r="J1571" s="19" t="str">
        <x:f>IFERROR(INDEX('מיפוי ומקורות'!$D$7:$D$33,MATCH(H1571,'מיפוי ומקורות'!$B$7:$B$33,0)),"שוטף")</x:f>
        <x:v>שוטף</x:v>
      </x:c>
      <x:c r="K1571" s="19" t="str">
        <x:f>IF(OR(H1571="ריביות",AND(H1571="דירה כצנלסון",G1571&lt;0,ISNUMBER(SEARCH("הכנסה",F1571)))),"הכנסה שסווגה מחדש",J1571)</x:f>
        <x:v>שוטף</x:v>
      </x:c>
      <x:c r="L1571" s="19" t="str">
        <x:v>מאושר</x:v>
      </x:c>
      <x:c r="M1571" s="20" t="n">
        <x:f>IF(L1571="מאושר",IF(K1571="הכנסה שסווגה מחדש",0,G1571),0)</x:f>
        <x:v>42</x:v>
      </x:c>
      <x:c r="N1571" s="20" t="n">
        <x:f>IF(K1571="שוטף",M1571,0)</x:f>
        <x:v>42</x:v>
      </x:c>
      <x:c r="O1571" s="20" t="n">
        <x:f>IF(K1571="הכנסה שסווגה מחדש",-G1571,0)</x:f>
        <x:v>0</x:v>
      </x:c>
      <x:c r="P1571" s="11" t="str">
        <x:v>אמקס - זיו</x:v>
      </x:c>
      <x:c r="Q1571" s="11" t="str"/>
      <x:c r="R1571" s="11" t="str">
        <x:v>לא</x:v>
      </x:c>
    </x:row>
    <x:row r="1572">
      <x:c r="A1572" s="14" t="n">
        <x:v>46143</x:v>
      </x:c>
      <x:c r="B1572" s="11" t="str">
        <x:v>2026-05</x:v>
      </x:c>
      <x:c r="C1572" s="11" t="str">
        <x:v>מאי 26</x:v>
      </x:c>
      <x:c r="D1572" s="15" t="n">
        <x:v>8</x:v>
      </x:c>
      <x:c r="E1572" s="11" t="str"/>
      <x:c r="F1572" s="11" t="str">
        <x:v>ועד בית</x:v>
      </x:c>
      <x:c r="G1572" s="17" t="n">
        <x:v>0</x:v>
      </x:c>
      <x:c r="H1572" s="18" t="str">
        <x:v>מגורים</x:v>
      </x:c>
      <x:c r="I1572" s="19" t="str">
        <x:f>IFERROR(INDEX('מיפוי ומקורות'!$C$7:$C$33,MATCH(H1572,'מיפוי ומקורות'!$B$7:$B$33,0)),"לא מסווג")</x:f>
        <x:v>דיור – בית מגורים</x:v>
      </x:c>
      <x:c r="J1572" s="19" t="str">
        <x:f>IFERROR(INDEX('מיפוי ומקורות'!$D$7:$D$33,MATCH(H1572,'מיפוי ומקורות'!$B$7:$B$33,0)),"שוטף")</x:f>
        <x:v>שוטף</x:v>
      </x:c>
      <x:c r="K1572" s="19" t="str">
        <x:f>IF(OR(H1572="ריביות",AND(H1572="דירה כצנלסון",G1572&lt;0,ISNUMBER(SEARCH("הכנסה",F1572)))),"הכנסה שסווגה מחדש",J1572)</x:f>
        <x:v>שוטף</x:v>
      </x:c>
      <x:c r="L1572" s="19" t="str">
        <x:v>מאושר</x:v>
      </x:c>
      <x:c r="M1572" s="20" t="n">
        <x:f>IF(L1572="מאושר",IF(K1572="הכנסה שסווגה מחדש",0,G1572),0)</x:f>
        <x:v>0</x:v>
      </x:c>
      <x:c r="N1572" s="20" t="n">
        <x:f>IF(K1572="שוטף",M1572,0)</x:f>
        <x:v>0</x:v>
      </x:c>
      <x:c r="O1572" s="20" t="n">
        <x:f>IF(K1572="הכנסה שסווגה מחדש",-G1572,0)</x:f>
        <x:v>0</x:v>
      </x:c>
      <x:c r="P1572" s="11" t="str">
        <x:v>מזומן</x:v>
      </x:c>
      <x:c r="Q1572" s="11" t="str"/>
      <x:c r="R1572" s="11" t="str">
        <x:v>לא</x:v>
      </x:c>
    </x:row>
    <x:row r="1573">
      <x:c r="A1573" s="14" t="n">
        <x:v>46143</x:v>
      </x:c>
      <x:c r="B1573" s="11" t="str">
        <x:v>2026-05</x:v>
      </x:c>
      <x:c r="C1573" s="11" t="str">
        <x:v>מאי 26</x:v>
      </x:c>
      <x:c r="D1573" s="15" t="n">
        <x:v>9</x:v>
      </x:c>
      <x:c r="E1573" s="11" t="str"/>
      <x:c r="F1573" s="11" t="str">
        <x:v>מנקה</x:v>
      </x:c>
      <x:c r="G1573" s="17" t="n">
        <x:v>800</x:v>
      </x:c>
      <x:c r="H1573" s="18" t="str">
        <x:v>מגורים</x:v>
      </x:c>
      <x:c r="I1573" s="19" t="str">
        <x:f>IFERROR(INDEX('מיפוי ומקורות'!$C$7:$C$33,MATCH(H1573,'מיפוי ומקורות'!$B$7:$B$33,0)),"לא מסווג")</x:f>
        <x:v>דיור – בית מגורים</x:v>
      </x:c>
      <x:c r="J1573" s="19" t="str">
        <x:f>IFERROR(INDEX('מיפוי ומקורות'!$D$7:$D$33,MATCH(H1573,'מיפוי ומקורות'!$B$7:$B$33,0)),"שוטף")</x:f>
        <x:v>שוטף</x:v>
      </x:c>
      <x:c r="K1573" s="19" t="str">
        <x:f>IF(OR(H1573="ריביות",AND(H1573="דירה כצנלסון",G1573&lt;0,ISNUMBER(SEARCH("הכנסה",F1573)))),"הכנסה שסווגה מחדש",J1573)</x:f>
        <x:v>שוטף</x:v>
      </x:c>
      <x:c r="L1573" s="19" t="str">
        <x:v>מאושר</x:v>
      </x:c>
      <x:c r="M1573" s="20" t="n">
        <x:f>IF(L1573="מאושר",IF(K1573="הכנסה שסווגה מחדש",0,G1573),0)</x:f>
        <x:v>800</x:v>
      </x:c>
      <x:c r="N1573" s="20" t="n">
        <x:f>IF(K1573="שוטף",M1573,0)</x:f>
        <x:v>800</x:v>
      </x:c>
      <x:c r="O1573" s="20" t="n">
        <x:f>IF(K1573="הכנסה שסווגה מחדש",-G1573,0)</x:f>
        <x:v>0</x:v>
      </x:c>
      <x:c r="P1573" s="11" t="str">
        <x:v>מזומן</x:v>
      </x:c>
      <x:c r="Q1573" s="11" t="str"/>
      <x:c r="R1573" s="11" t="str">
        <x:v>לא</x:v>
      </x:c>
    </x:row>
    <x:row r="1574">
      <x:c r="A1574" s="14" t="n">
        <x:v>46143</x:v>
      </x:c>
      <x:c r="B1574" s="11" t="str">
        <x:v>2026-05</x:v>
      </x:c>
      <x:c r="C1574" s="11" t="str">
        <x:v>מאי 26</x:v>
      </x:c>
      <x:c r="D1574" s="15" t="n">
        <x:v>10</x:v>
      </x:c>
      <x:c r="E1574" s="11" t="str">
        <x:v>26.05</x:v>
      </x:c>
      <x:c r="F1574" s="11" t="str">
        <x:v>אינטרנט</x:v>
      </x:c>
      <x:c r="G1574" s="17" t="n">
        <x:v>79</x:v>
      </x:c>
      <x:c r="H1574" s="18" t="str">
        <x:v>מגורים</x:v>
      </x:c>
      <x:c r="I1574" s="19" t="str">
        <x:f>IFERROR(INDEX('מיפוי ומקורות'!$C$7:$C$33,MATCH(H1574,'מיפוי ומקורות'!$B$7:$B$33,0)),"לא מסווג")</x:f>
        <x:v>דיור – בית מגורים</x:v>
      </x:c>
      <x:c r="J1574" s="19" t="str">
        <x:f>IFERROR(INDEX('מיפוי ומקורות'!$D$7:$D$33,MATCH(H1574,'מיפוי ומקורות'!$B$7:$B$33,0)),"שוטף")</x:f>
        <x:v>שוטף</x:v>
      </x:c>
      <x:c r="K1574" s="19" t="str">
        <x:f>IF(OR(H1574="ריביות",AND(H1574="דירה כצנלסון",G1574&lt;0,ISNUMBER(SEARCH("הכנסה",F1574)))),"הכנסה שסווגה מחדש",J1574)</x:f>
        <x:v>שוטף</x:v>
      </x:c>
      <x:c r="L1574" s="19" t="str">
        <x:v>מאושר</x:v>
      </x:c>
      <x:c r="M1574" s="20" t="n">
        <x:f>IF(L1574="מאושר",IF(K1574="הכנסה שסווגה מחדש",0,G1574),0)</x:f>
        <x:v>79</x:v>
      </x:c>
      <x:c r="N1574" s="20" t="n">
        <x:f>IF(K1574="שוטף",M1574,0)</x:f>
        <x:v>79</x:v>
      </x:c>
      <x:c r="O1574" s="20" t="n">
        <x:f>IF(K1574="הכנסה שסווגה מחדש",-G1574,0)</x:f>
        <x:v>0</x:v>
      </x:c>
      <x:c r="P1574" s="11" t="str">
        <x:v>אמקס - זיו</x:v>
      </x:c>
      <x:c r="Q1574" s="11" t="str"/>
      <x:c r="R1574" s="11" t="str">
        <x:v>לא</x:v>
      </x:c>
    </x:row>
    <x:row r="1575">
      <x:c r="A1575" s="14" t="n">
        <x:v>46143</x:v>
      </x:c>
      <x:c r="B1575" s="11" t="str">
        <x:v>2026-05</x:v>
      </x:c>
      <x:c r="C1575" s="11" t="str">
        <x:v>מאי 26</x:v>
      </x:c>
      <x:c r="D1575" s="15" t="n">
        <x:v>11</x:v>
      </x:c>
      <x:c r="E1575" s="11" t="str">
        <x:v>12.05</x:v>
      </x:c>
      <x:c r="F1575" s="11" t="str">
        <x:v>סלולר</x:v>
      </x:c>
      <x:c r="G1575" s="17" t="n">
        <x:v>59</x:v>
      </x:c>
      <x:c r="H1575" s="18" t="str">
        <x:v>מגורים</x:v>
      </x:c>
      <x:c r="I1575" s="19" t="str">
        <x:f>IFERROR(INDEX('מיפוי ומקורות'!$C$7:$C$33,MATCH(H1575,'מיפוי ומקורות'!$B$7:$B$33,0)),"לא מסווג")</x:f>
        <x:v>דיור – בית מגורים</x:v>
      </x:c>
      <x:c r="J1575" s="19" t="str">
        <x:f>IFERROR(INDEX('מיפוי ומקורות'!$D$7:$D$33,MATCH(H1575,'מיפוי ומקורות'!$B$7:$B$33,0)),"שוטף")</x:f>
        <x:v>שוטף</x:v>
      </x:c>
      <x:c r="K1575" s="19" t="str">
        <x:f>IF(OR(H1575="ריביות",AND(H1575="דירה כצנלסון",G1575&lt;0,ISNUMBER(SEARCH("הכנסה",F1575)))),"הכנסה שסווגה מחדש",J1575)</x:f>
        <x:v>שוטף</x:v>
      </x:c>
      <x:c r="L1575" s="19" t="str">
        <x:v>מאושר</x:v>
      </x:c>
      <x:c r="M1575" s="20" t="n">
        <x:f>IF(L1575="מאושר",IF(K1575="הכנסה שסווגה מחדש",0,G1575),0)</x:f>
        <x:v>59</x:v>
      </x:c>
      <x:c r="N1575" s="20" t="n">
        <x:f>IF(K1575="שוטף",M1575,0)</x:f>
        <x:v>59</x:v>
      </x:c>
      <x:c r="O1575" s="20" t="n">
        <x:f>IF(K1575="הכנסה שסווגה מחדש",-G1575,0)</x:f>
        <x:v>0</x:v>
      </x:c>
      <x:c r="P1575" s="11" t="str">
        <x:v>אמקס - זיו</x:v>
      </x:c>
      <x:c r="Q1575" s="11" t="str"/>
      <x:c r="R1575" s="11" t="str">
        <x:v>לא</x:v>
      </x:c>
    </x:row>
    <x:row r="1576">
      <x:c r="A1576" s="14" t="n">
        <x:v>46143</x:v>
      </x:c>
      <x:c r="B1576" s="11" t="str">
        <x:v>2026-05</x:v>
      </x:c>
      <x:c r="C1576" s="11" t="str">
        <x:v>מאי 26</x:v>
      </x:c>
      <x:c r="D1576" s="15" t="n">
        <x:v>12</x:v>
      </x:c>
      <x:c r="E1576" s="11" t="str">
        <x:v>27.05</x:v>
      </x:c>
      <x:c r="F1576" s="11" t="str">
        <x:v>ביטוח מבנה</x:v>
      </x:c>
      <x:c r="G1576" s="17" t="n">
        <x:v>71</x:v>
      </x:c>
      <x:c r="H1576" s="18" t="str">
        <x:v>דירה כצנלסון</x:v>
      </x:c>
      <x:c r="I1576" s="19" t="str">
        <x:f>IFERROR(INDEX('מיפוי ומקורות'!$C$7:$C$33,MATCH(H1576,'מיפוי ומקורות'!$B$7:$B$33,0)),"לא מסווג")</x:f>
        <x:v>נכס להשקעה</x:v>
      </x:c>
      <x:c r="J1576" s="19" t="str">
        <x:f>IFERROR(INDEX('מיפוי ומקורות'!$D$7:$D$33,MATCH(H1576,'מיפוי ומקורות'!$B$7:$B$33,0)),"שוטף")</x:f>
        <x:v>חריג/נכס</x:v>
      </x:c>
      <x:c r="K1576" s="19" t="str">
        <x:f>IF(OR(H1576="ריביות",AND(H1576="דירה כצנלסון",G1576&lt;0,ISNUMBER(SEARCH("הכנסה",F1576)))),"הכנסה שסווגה מחדש",J1576)</x:f>
        <x:v>חריג/נכס</x:v>
      </x:c>
      <x:c r="L1576" s="19" t="str">
        <x:v>מאושר</x:v>
      </x:c>
      <x:c r="M1576" s="20" t="n">
        <x:f>IF(L1576="מאושר",IF(K1576="הכנסה שסווגה מחדש",0,G1576),0)</x:f>
        <x:v>71</x:v>
      </x:c>
      <x:c r="N1576" s="20" t="n">
        <x:f>IF(K1576="שוטף",M1576,0)</x:f>
        <x:v>0</x:v>
      </x:c>
      <x:c r="O1576" s="20" t="n">
        <x:f>IF(K1576="הכנסה שסווגה מחדש",-G1576,0)</x:f>
        <x:v>0</x:v>
      </x:c>
      <x:c r="P1576" s="11" t="str">
        <x:v>אמקס - זיו</x:v>
      </x:c>
      <x:c r="Q1576" s="11" t="str"/>
      <x:c r="R1576" s="11" t="str">
        <x:v>לא</x:v>
      </x:c>
    </x:row>
    <x:row r="1577">
      <x:c r="A1577" s="14" t="n">
        <x:v>46143</x:v>
      </x:c>
      <x:c r="B1577" s="11" t="str">
        <x:v>2026-05</x:v>
      </x:c>
      <x:c r="C1577" s="11" t="str">
        <x:v>מאי 26</x:v>
      </x:c>
      <x:c r="D1577" s="15" t="n">
        <x:v>13</x:v>
      </x:c>
      <x:c r="E1577" s="11" t="str">
        <x:v>28.05</x:v>
      </x:c>
      <x:c r="F1577" s="11" t="str">
        <x:v>ביטוח חיים</x:v>
      </x:c>
      <x:c r="G1577" s="17" t="n">
        <x:v>36</x:v>
      </x:c>
      <x:c r="H1577" s="18" t="str">
        <x:v>דירה כצנלסון</x:v>
      </x:c>
      <x:c r="I1577" s="19" t="str">
        <x:f>IFERROR(INDEX('מיפוי ומקורות'!$C$7:$C$33,MATCH(H1577,'מיפוי ומקורות'!$B$7:$B$33,0)),"לא מסווג")</x:f>
        <x:v>נכס להשקעה</x:v>
      </x:c>
      <x:c r="J1577" s="19" t="str">
        <x:f>IFERROR(INDEX('מיפוי ומקורות'!$D$7:$D$33,MATCH(H1577,'מיפוי ומקורות'!$B$7:$B$33,0)),"שוטף")</x:f>
        <x:v>חריג/נכס</x:v>
      </x:c>
      <x:c r="K1577" s="19" t="str">
        <x:f>IF(OR(H1577="ריביות",AND(H1577="דירה כצנלסון",G1577&lt;0,ISNUMBER(SEARCH("הכנסה",F1577)))),"הכנסה שסווגה מחדש",J1577)</x:f>
        <x:v>חריג/נכס</x:v>
      </x:c>
      <x:c r="L1577" s="19" t="str">
        <x:v>מאושר</x:v>
      </x:c>
      <x:c r="M1577" s="20" t="n">
        <x:f>IF(L1577="מאושר",IF(K1577="הכנסה שסווגה מחדש",0,G1577),0)</x:f>
        <x:v>36</x:v>
      </x:c>
      <x:c r="N1577" s="20" t="n">
        <x:f>IF(K1577="שוטף",M1577,0)</x:f>
        <x:v>0</x:v>
      </x:c>
      <x:c r="O1577" s="20" t="n">
        <x:f>IF(K1577="הכנסה שסווגה מחדש",-G1577,0)</x:f>
        <x:v>0</x:v>
      </x:c>
      <x:c r="P1577" s="11" t="str">
        <x:v>אמקס - זיו</x:v>
      </x:c>
      <x:c r="Q1577" s="11" t="str"/>
      <x:c r="R1577" s="11" t="str">
        <x:v>לא</x:v>
      </x:c>
    </x:row>
    <x:row r="1578">
      <x:c r="A1578" s="14" t="n">
        <x:v>46143</x:v>
      </x:c>
      <x:c r="B1578" s="11" t="str">
        <x:v>2026-05</x:v>
      </x:c>
      <x:c r="C1578" s="11" t="str">
        <x:v>מאי 26</x:v>
      </x:c>
      <x:c r="D1578" s="15" t="n">
        <x:v>14</x:v>
      </x:c>
      <x:c r="E1578" s="11" t="str">
        <x:v>26.05</x:v>
      </x:c>
      <x:c r="F1578" s="11" t="str">
        <x:v>ביטוח בריאות</x:v>
      </x:c>
      <x:c r="G1578" s="17" t="n">
        <x:v>116</x:v>
      </x:c>
      <x:c r="H1578" s="18" t="str">
        <x:v>ביטוח</x:v>
      </x:c>
      <x:c r="I1578" s="19" t="str">
        <x:f>IFERROR(INDEX('מיפוי ומקורות'!$C$7:$C$33,MATCH(H1578,'מיפוי ומקורות'!$B$7:$B$33,0)),"לא מסווג")</x:f>
        <x:v>ביטוח</x:v>
      </x:c>
      <x:c r="J1578" s="19" t="str">
        <x:f>IFERROR(INDEX('מיפוי ומקורות'!$D$7:$D$33,MATCH(H1578,'מיפוי ומקורות'!$B$7:$B$33,0)),"שוטף")</x:f>
        <x:v>שוטף</x:v>
      </x:c>
      <x:c r="K1578" s="19" t="str">
        <x:f>IF(OR(H1578="ריביות",AND(H1578="דירה כצנלסון",G1578&lt;0,ISNUMBER(SEARCH("הכנסה",F1578)))),"הכנסה שסווגה מחדש",J1578)</x:f>
        <x:v>שוטף</x:v>
      </x:c>
      <x:c r="L1578" s="19" t="str">
        <x:v>מאושר</x:v>
      </x:c>
      <x:c r="M1578" s="20" t="n">
        <x:f>IF(L1578="מאושר",IF(K1578="הכנסה שסווגה מחדש",0,G1578),0)</x:f>
        <x:v>116</x:v>
      </x:c>
      <x:c r="N1578" s="20" t="n">
        <x:f>IF(K1578="שוטף",M1578,0)</x:f>
        <x:v>116</x:v>
      </x:c>
      <x:c r="O1578" s="20" t="n">
        <x:f>IF(K1578="הכנסה שסווגה מחדש",-G1578,0)</x:f>
        <x:v>0</x:v>
      </x:c>
      <x:c r="P1578" s="11" t="str">
        <x:v>אמקס - עינור</x:v>
      </x:c>
      <x:c r="Q1578" s="11" t="str"/>
      <x:c r="R1578" s="11" t="str">
        <x:v>לא</x:v>
      </x:c>
    </x:row>
    <x:row r="1579">
      <x:c r="A1579" s="14" t="n">
        <x:v>46143</x:v>
      </x:c>
      <x:c r="B1579" s="11" t="str">
        <x:v>2026-05</x:v>
      </x:c>
      <x:c r="C1579" s="11" t="str">
        <x:v>מאי 26</x:v>
      </x:c>
      <x:c r="D1579" s="15" t="n">
        <x:v>15</x:v>
      </x:c>
      <x:c r="E1579" s="11" t="str">
        <x:v>4.05</x:v>
      </x:c>
      <x:c r="F1579" s="11" t="str">
        <x:v>מכבי עינור</x:v>
      </x:c>
      <x:c r="G1579" s="17" t="n">
        <x:v>97</x:v>
      </x:c>
      <x:c r="H1579" s="18" t="str">
        <x:v>בריאות</x:v>
      </x:c>
      <x:c r="I1579" s="19" t="str">
        <x:f>IFERROR(INDEX('מיפוי ומקורות'!$C$7:$C$33,MATCH(H1579,'מיפוי ומקורות'!$B$7:$B$33,0)),"לא מסווג")</x:f>
        <x:v>בריאות וטיפולים</x:v>
      </x:c>
      <x:c r="J1579" s="19" t="str">
        <x:f>IFERROR(INDEX('מיפוי ומקורות'!$D$7:$D$33,MATCH(H1579,'מיפוי ומקורות'!$B$7:$B$33,0)),"שוטף")</x:f>
        <x:v>שוטף</x:v>
      </x:c>
      <x:c r="K1579" s="19" t="str">
        <x:f>IF(OR(H1579="ריביות",AND(H1579="דירה כצנלסון",G1579&lt;0,ISNUMBER(SEARCH("הכנסה",F1579)))),"הכנסה שסווגה מחדש",J1579)</x:f>
        <x:v>שוטף</x:v>
      </x:c>
      <x:c r="L1579" s="19" t="str">
        <x:v>מאושר</x:v>
      </x:c>
      <x:c r="M1579" s="20" t="n">
        <x:f>IF(L1579="מאושר",IF(K1579="הכנסה שסווגה מחדש",0,G1579),0)</x:f>
        <x:v>97</x:v>
      </x:c>
      <x:c r="N1579" s="20" t="n">
        <x:f>IF(K1579="שוטף",M1579,0)</x:f>
        <x:v>97</x:v>
      </x:c>
      <x:c r="O1579" s="20" t="n">
        <x:f>IF(K1579="הכנסה שסווגה מחדש",-G1579,0)</x:f>
        <x:v>0</x:v>
      </x:c>
      <x:c r="P1579" s="11" t="str">
        <x:v>אמקס - עינור</x:v>
      </x:c>
      <x:c r="Q1579" s="11" t="str"/>
      <x:c r="R1579" s="11" t="str">
        <x:v>לא</x:v>
      </x:c>
    </x:row>
    <x:row r="1580">
      <x:c r="A1580" s="14" t="n">
        <x:v>46143</x:v>
      </x:c>
      <x:c r="B1580" s="11" t="str">
        <x:v>2026-05</x:v>
      </x:c>
      <x:c r="C1580" s="11" t="str">
        <x:v>מאי 26</x:v>
      </x:c>
      <x:c r="D1580" s="15" t="n">
        <x:v>16</x:v>
      </x:c>
      <x:c r="E1580" s="11" t="str">
        <x:v>4.05</x:v>
      </x:c>
      <x:c r="F1580" s="11" t="str">
        <x:v>מכבי זיו</x:v>
      </x:c>
      <x:c r="G1580" s="17" t="n">
        <x:v>57</x:v>
      </x:c>
      <x:c r="H1580" s="18" t="str">
        <x:v>בריאות</x:v>
      </x:c>
      <x:c r="I1580" s="19" t="str">
        <x:f>IFERROR(INDEX('מיפוי ומקורות'!$C$7:$C$33,MATCH(H1580,'מיפוי ומקורות'!$B$7:$B$33,0)),"לא מסווג")</x:f>
        <x:v>בריאות וטיפולים</x:v>
      </x:c>
      <x:c r="J1580" s="19" t="str">
        <x:f>IFERROR(INDEX('מיפוי ומקורות'!$D$7:$D$33,MATCH(H1580,'מיפוי ומקורות'!$B$7:$B$33,0)),"שוטף")</x:f>
        <x:v>שוטף</x:v>
      </x:c>
      <x:c r="K1580" s="19" t="str">
        <x:f>IF(OR(H1580="ריביות",AND(H1580="דירה כצנלסון",G1580&lt;0,ISNUMBER(SEARCH("הכנסה",F1580)))),"הכנסה שסווגה מחדש",J1580)</x:f>
        <x:v>שוטף</x:v>
      </x:c>
      <x:c r="L1580" s="19" t="str">
        <x:v>מאושר</x:v>
      </x:c>
      <x:c r="M1580" s="20" t="n">
        <x:f>IF(L1580="מאושר",IF(K1580="הכנסה שסווגה מחדש",0,G1580),0)</x:f>
        <x:v>57</x:v>
      </x:c>
      <x:c r="N1580" s="20" t="n">
        <x:f>IF(K1580="שוטף",M1580,0)</x:f>
        <x:v>57</x:v>
      </x:c>
      <x:c r="O1580" s="20" t="n">
        <x:f>IF(K1580="הכנסה שסווגה מחדש",-G1580,0)</x:f>
        <x:v>0</x:v>
      </x:c>
      <x:c r="P1580" s="11" t="str">
        <x:v>אמקס - זיו</x:v>
      </x:c>
      <x:c r="Q1580" s="11" t="str"/>
      <x:c r="R1580" s="11" t="str">
        <x:v>לא</x:v>
      </x:c>
    </x:row>
    <x:row r="1581">
      <x:c r="A1581" s="14" t="n">
        <x:v>46143</x:v>
      </x:c>
      <x:c r="B1581" s="11" t="str">
        <x:v>2026-05</x:v>
      </x:c>
      <x:c r="C1581" s="11" t="str">
        <x:v>מאי 26</x:v>
      </x:c>
      <x:c r="D1581" s="15" t="n">
        <x:v>17</x:v>
      </x:c>
      <x:c r="E1581" s="11" t="str">
        <x:v>15.01</x:v>
      </x:c>
      <x:c r="F1581" s="11" t="str">
        <x:v>קאנטרי</x:v>
      </x:c>
      <x:c r="G1581" s="17" t="n">
        <x:v>632</x:v>
      </x:c>
      <x:c r="H1581" s="18" t="str">
        <x:v>ספורט</x:v>
      </x:c>
      <x:c r="I1581" s="19" t="str">
        <x:f>IFERROR(INDEX('מיפוי ומקורות'!$C$7:$C$33,MATCH(H1581,'מיפוי ומקורות'!$B$7:$B$33,0)),"לא מסווג")</x:f>
        <x:v>ספורט</x:v>
      </x:c>
      <x:c r="J1581" s="19" t="str">
        <x:f>IFERROR(INDEX('מיפוי ומקורות'!$D$7:$D$33,MATCH(H1581,'מיפוי ומקורות'!$B$7:$B$33,0)),"שוטף")</x:f>
        <x:v>שוטף</x:v>
      </x:c>
      <x:c r="K1581" s="19" t="str">
        <x:f>IF(OR(H1581="ריביות",AND(H1581="דירה כצנלסון",G1581&lt;0,ISNUMBER(SEARCH("הכנסה",F1581)))),"הכנסה שסווגה מחדש",J1581)</x:f>
        <x:v>שוטף</x:v>
      </x:c>
      <x:c r="L1581" s="19" t="str">
        <x:v>מאושר</x:v>
      </x:c>
      <x:c r="M1581" s="20" t="n">
        <x:f>IF(L1581="מאושר",IF(K1581="הכנסה שסווגה מחדש",0,G1581),0)</x:f>
        <x:v>632</x:v>
      </x:c>
      <x:c r="N1581" s="20" t="n">
        <x:f>IF(K1581="שוטף",M1581,0)</x:f>
        <x:v>632</x:v>
      </x:c>
      <x:c r="O1581" s="20" t="n">
        <x:f>IF(K1581="הכנסה שסווגה מחדש",-G1581,0)</x:f>
        <x:v>0</x:v>
      </x:c>
      <x:c r="P1581" s="11" t="str">
        <x:v>אמקס - זיו</x:v>
      </x:c>
      <x:c r="Q1581" s="11" t="str"/>
      <x:c r="R1581" s="11" t="str">
        <x:v>לא</x:v>
      </x:c>
    </x:row>
    <x:row r="1582">
      <x:c r="A1582" s="14" t="n">
        <x:v>46143</x:v>
      </x:c>
      <x:c r="B1582" s="11" t="str">
        <x:v>2026-05</x:v>
      </x:c>
      <x:c r="C1582" s="11" t="str">
        <x:v>מאי 26</x:v>
      </x:c>
      <x:c r="D1582" s="15" t="n">
        <x:v>18</x:v>
      </x:c>
      <x:c r="E1582" s="11" t="str">
        <x:v>26.01</x:v>
      </x:c>
      <x:c r="F1582" s="11" t="str">
        <x:v>ביטוח רכב חובה</x:v>
      </x:c>
      <x:c r="G1582" s="17" t="n">
        <x:v>130</x:v>
      </x:c>
      <x:c r="H1582" s="18" t="str">
        <x:v>תחבורה</x:v>
      </x:c>
      <x:c r="I1582" s="19" t="str">
        <x:f>IFERROR(INDEX('מיפוי ומקורות'!$C$7:$C$33,MATCH(H1582,'מיפוי ומקורות'!$B$7:$B$33,0)),"לא מסווג")</x:f>
        <x:v>תחבורה</x:v>
      </x:c>
      <x:c r="J1582" s="19" t="str">
        <x:f>IFERROR(INDEX('מיפוי ומקורות'!$D$7:$D$33,MATCH(H1582,'מיפוי ומקורות'!$B$7:$B$33,0)),"שוטף")</x:f>
        <x:v>שוטף</x:v>
      </x:c>
      <x:c r="K1582" s="19" t="str">
        <x:f>IF(OR(H1582="ריביות",AND(H1582="דירה כצנלסון",G1582&lt;0,ISNUMBER(SEARCH("הכנסה",F1582)))),"הכנסה שסווגה מחדש",J1582)</x:f>
        <x:v>שוטף</x:v>
      </x:c>
      <x:c r="L1582" s="19" t="str">
        <x:v>מאושר</x:v>
      </x:c>
      <x:c r="M1582" s="20" t="n">
        <x:f>IF(L1582="מאושר",IF(K1582="הכנסה שסווגה מחדש",0,G1582),0)</x:f>
        <x:v>130</x:v>
      </x:c>
      <x:c r="N1582" s="20" t="n">
        <x:f>IF(K1582="שוטף",M1582,0)</x:f>
        <x:v>130</x:v>
      </x:c>
      <x:c r="O1582" s="20" t="n">
        <x:f>IF(K1582="הכנסה שסווגה מחדש",-G1582,0)</x:f>
        <x:v>0</x:v>
      </x:c>
      <x:c r="P1582" s="11" t="str">
        <x:v>אמקס - זיו</x:v>
      </x:c>
      <x:c r="Q1582" s="11" t="str"/>
      <x:c r="R1582" s="11" t="str">
        <x:v>לא</x:v>
      </x:c>
    </x:row>
    <x:row r="1583">
      <x:c r="A1583" s="14" t="n">
        <x:v>46143</x:v>
      </x:c>
      <x:c r="B1583" s="11" t="str">
        <x:v>2026-05</x:v>
      </x:c>
      <x:c r="C1583" s="11" t="str">
        <x:v>מאי 26</x:v>
      </x:c>
      <x:c r="D1583" s="15" t="n">
        <x:v>19</x:v>
      </x:c>
      <x:c r="E1583" s="11" t="str"/>
      <x:c r="F1583" s="11" t="str">
        <x:v>האקדמיה האורגזמית</x:v>
      </x:c>
      <x:c r="G1583" s="17" t="n">
        <x:v>97</x:v>
      </x:c>
      <x:c r="H1583" s="18" t="str">
        <x:v>טיפולים</x:v>
      </x:c>
      <x:c r="I1583" s="19" t="str">
        <x:f>IFERROR(INDEX('מיפוי ומקורות'!$C$7:$C$33,MATCH(H1583,'מיפוי ומקורות'!$B$7:$B$33,0)),"לא מסווג")</x:f>
        <x:v>בריאות וטיפולים</x:v>
      </x:c>
      <x:c r="J1583" s="19" t="str">
        <x:f>IFERROR(INDEX('מיפוי ומקורות'!$D$7:$D$33,MATCH(H1583,'מיפוי ומקורות'!$B$7:$B$33,0)),"שוטף")</x:f>
        <x:v>שוטף</x:v>
      </x:c>
      <x:c r="K1583" s="19" t="str">
        <x:f>IF(OR(H1583="ריביות",AND(H1583="דירה כצנלסון",G1583&lt;0,ISNUMBER(SEARCH("הכנסה",F1583)))),"הכנסה שסווגה מחדש",J1583)</x:f>
        <x:v>שוטף</x:v>
      </x:c>
      <x:c r="L1583" s="19" t="str">
        <x:v>מאושר</x:v>
      </x:c>
      <x:c r="M1583" s="20" t="n">
        <x:f>IF(L1583="מאושר",IF(K1583="הכנסה שסווגה מחדש",0,G1583),0)</x:f>
        <x:v>97</x:v>
      </x:c>
      <x:c r="N1583" s="20" t="n">
        <x:f>IF(K1583="שוטף",M1583,0)</x:f>
        <x:v>97</x:v>
      </x:c>
      <x:c r="O1583" s="20" t="n">
        <x:f>IF(K1583="הכנסה שסווגה מחדש",-G1583,0)</x:f>
        <x:v>0</x:v>
      </x:c>
      <x:c r="P1583" s="11" t="str">
        <x:v>מקס - עינור</x:v>
      </x:c>
      <x:c r="Q1583" s="11" t="str"/>
      <x:c r="R1583" s="11" t="str">
        <x:v>לא</x:v>
      </x:c>
    </x:row>
    <x:row r="1584">
      <x:c r="A1584" s="14" t="n">
        <x:v>46143</x:v>
      </x:c>
      <x:c r="B1584" s="11" t="str">
        <x:v>2026-05</x:v>
      </x:c>
      <x:c r="C1584" s="11" t="str">
        <x:v>מאי 26</x:v>
      </x:c>
      <x:c r="D1584" s="15" t="n">
        <x:v>20</x:v>
      </x:c>
      <x:c r="E1584" s="11" t="str">
        <x:v>1/5</x:v>
      </x:c>
      <x:c r="F1584" s="11" t="str">
        <x:v>מדביר</x:v>
      </x:c>
      <x:c r="G1584" s="17" t="n">
        <x:v>180</x:v>
      </x:c>
      <x:c r="H1584" s="18" t="str">
        <x:v>מגורים</x:v>
      </x:c>
      <x:c r="I1584" s="19" t="str">
        <x:f>IFERROR(INDEX('מיפוי ומקורות'!$C$7:$C$33,MATCH(H1584,'מיפוי ומקורות'!$B$7:$B$33,0)),"לא מסווג")</x:f>
        <x:v>דיור – בית מגורים</x:v>
      </x:c>
      <x:c r="J1584" s="19" t="str">
        <x:f>IFERROR(INDEX('מיפוי ומקורות'!$D$7:$D$33,MATCH(H1584,'מיפוי ומקורות'!$B$7:$B$33,0)),"שוטף")</x:f>
        <x:v>שוטף</x:v>
      </x:c>
      <x:c r="K1584" s="19" t="str">
        <x:f>IF(OR(H1584="ריביות",AND(H1584="דירה כצנלסון",G1584&lt;0,ISNUMBER(SEARCH("הכנסה",F1584)))),"הכנסה שסווגה מחדש",J1584)</x:f>
        <x:v>שוטף</x:v>
      </x:c>
      <x:c r="L1584" s="19" t="str">
        <x:v>מאושר</x:v>
      </x:c>
      <x:c r="M1584" s="20" t="n">
        <x:f>IF(L1584="מאושר",IF(K1584="הכנסה שסווגה מחדש",0,G1584),0)</x:f>
        <x:v>180</x:v>
      </x:c>
      <x:c r="N1584" s="20" t="n">
        <x:f>IF(K1584="שוטף",M1584,0)</x:f>
        <x:v>180</x:v>
      </x:c>
      <x:c r="O1584" s="20" t="n">
        <x:f>IF(K1584="הכנסה שסווגה מחדש",-G1584,0)</x:f>
        <x:v>0</x:v>
      </x:c>
      <x:c r="P1584" s="11" t="str">
        <x:v>מזומן</x:v>
      </x:c>
      <x:c r="Q1584" s="11" t="str"/>
      <x:c r="R1584" s="11" t="str">
        <x:v>לא</x:v>
      </x:c>
    </x:row>
    <x:row r="1585">
      <x:c r="A1585" s="14" t="n">
        <x:v>46143</x:v>
      </x:c>
      <x:c r="B1585" s="11" t="str">
        <x:v>2026-05</x:v>
      </x:c>
      <x:c r="C1585" s="11" t="str">
        <x:v>מאי 26</x:v>
      </x:c>
      <x:c r="D1585" s="15" t="n">
        <x:v>21</x:v>
      </x:c>
      <x:c r="E1585" s="11" t="str"/>
      <x:c r="F1585" s="11" t="str">
        <x:v>שוויץ 26</x:v>
      </x:c>
      <x:c r="G1585" s="17" t="n">
        <x:v>4606</x:v>
      </x:c>
      <x:c r="H1585" s="18" t="str">
        <x:v>חופשה</x:v>
      </x:c>
      <x:c r="I1585" s="19" t="str">
        <x:f>IFERROR(INDEX('מיפוי ומקורות'!$C$7:$C$33,MATCH(H1585,'מיפוי ומקורות'!$B$7:$B$33,0)),"לא מסווג")</x:f>
        <x:v>נסיעות וחופשות</x:v>
      </x:c>
      <x:c r="J1585" s="19" t="str">
        <x:f>IFERROR(INDEX('מיפוי ומקורות'!$D$7:$D$33,MATCH(H1585,'מיפוי ומקורות'!$B$7:$B$33,0)),"שוטף")</x:f>
        <x:v>חריג</x:v>
      </x:c>
      <x:c r="K1585" s="19" t="str">
        <x:f>IF(OR(H1585="ריביות",AND(H1585="דירה כצנלסון",G1585&lt;0,ISNUMBER(SEARCH("הכנסה",F1585)))),"הכנסה שסווגה מחדש",J1585)</x:f>
        <x:v>חריג</x:v>
      </x:c>
      <x:c r="L1585" s="19" t="str">
        <x:v>מאושר</x:v>
      </x:c>
      <x:c r="M1585" s="20" t="n">
        <x:f>IF(L1585="מאושר",IF(K1585="הכנסה שסווגה מחדש",0,G1585),0)</x:f>
        <x:v>4606</x:v>
      </x:c>
      <x:c r="N1585" s="20" t="n">
        <x:f>IF(K1585="שוטף",M1585,0)</x:f>
        <x:v>0</x:v>
      </x:c>
      <x:c r="O1585" s="20" t="n">
        <x:f>IF(K1585="הכנסה שסווגה מחדש",-G1585,0)</x:f>
        <x:v>0</x:v>
      </x:c>
      <x:c r="P1585" s="11" t="str"/>
      <x:c r="Q1585" s="11" t="str">
        <x:v>auto:vacation:שוויץ 26</x:v>
      </x:c>
      <x:c r="R1585" s="11" t="str">
        <x:v>כן</x:v>
      </x:c>
    </x:row>
    <x:row r="1586">
      <x:c r="A1586" s="14" t="n">
        <x:v>46143</x:v>
      </x:c>
      <x:c r="B1586" s="11" t="str">
        <x:v>2026-05</x:v>
      </x:c>
      <x:c r="C1586" s="11" t="str">
        <x:v>מאי 26</x:v>
      </x:c>
      <x:c r="D1586" s="15" t="n">
        <x:v>22</x:v>
      </x:c>
      <x:c r="E1586" s="11" t="str">
        <x:v>3/5</x:v>
      </x:c>
      <x:c r="F1586" s="11" t="str">
        <x:v>ליאת</x:v>
      </x:c>
      <x:c r="G1586" s="17" t="n">
        <x:v>1800</x:v>
      </x:c>
      <x:c r="H1586" s="18" t="str"/>
      <x:c r="I1586" s="19" t="str">
        <x:f>IFERROR(INDEX('מיפוי ומקורות'!$C$7:$C$33,MATCH(H1586,'מיפוי ומקורות'!$B$7:$B$33,0)),"לא מסווג")</x:f>
        <x:v>לא מסווג</x:v>
      </x:c>
      <x:c r="J1586" s="19" t="str">
        <x:f>IFERROR(INDEX('מיפוי ומקורות'!$D$7:$D$33,MATCH(H1586,'מיפוי ומקורות'!$B$7:$B$33,0)),"שוטף")</x:f>
        <x:v>שוטף</x:v>
      </x:c>
      <x:c r="K1586" s="19" t="str">
        <x:f>IF(OR(H1586="ריביות",AND(H1586="דירה כצנלסון",G1586&lt;0,ISNUMBER(SEARCH("הכנסה",F1586)))),"הכנסה שסווגה מחדש",J1586)</x:f>
        <x:v>שוטף</x:v>
      </x:c>
      <x:c r="L1586" s="19" t="str">
        <x:v>מאושר</x:v>
      </x:c>
      <x:c r="M1586" s="20" t="n">
        <x:f>IF(L1586="מאושר",IF(K1586="הכנסה שסווגה מחדש",0,G1586),0)</x:f>
        <x:v>1800</x:v>
      </x:c>
      <x:c r="N1586" s="20" t="n">
        <x:f>IF(K1586="שוטף",M1586,0)</x:f>
        <x:v>1800</x:v>
      </x:c>
      <x:c r="O1586" s="20" t="n">
        <x:f>IF(K1586="הכנסה שסווגה מחדש",-G1586,0)</x:f>
        <x:v>0</x:v>
      </x:c>
      <x:c r="P1586" s="11" t="str">
        <x:v>one zero</x:v>
      </x:c>
      <x:c r="Q1586" s="11" t="str"/>
      <x:c r="R1586" s="11" t="str">
        <x:v>לא</x:v>
      </x:c>
    </x:row>
    <x:row r="1587">
      <x:c r="A1587" s="14" t="n">
        <x:v>46143</x:v>
      </x:c>
      <x:c r="B1587" s="11" t="str">
        <x:v>2026-05</x:v>
      </x:c>
      <x:c r="C1587" s="11" t="str">
        <x:v>מאי 26</x:v>
      </x:c>
      <x:c r="D1587" s="15" t="n">
        <x:v>24</x:v>
      </x:c>
      <x:c r="E1587" s="11" t="str">
        <x:v>25/5</x:v>
      </x:c>
      <x:c r="F1587" s="11" t="str">
        <x:v>תחבץ</x:v>
      </x:c>
      <x:c r="G1587" s="17" t="n">
        <x:v>16</x:v>
      </x:c>
      <x:c r="H1587" s="18" t="str">
        <x:v>תחבורה</x:v>
      </x:c>
      <x:c r="I1587" s="19" t="str">
        <x:f>IFERROR(INDEX('מיפוי ומקורות'!$C$7:$C$33,MATCH(H1587,'מיפוי ומקורות'!$B$7:$B$33,0)),"לא מסווג")</x:f>
        <x:v>תחבורה</x:v>
      </x:c>
      <x:c r="J1587" s="19" t="str">
        <x:f>IFERROR(INDEX('מיפוי ומקורות'!$D$7:$D$33,MATCH(H1587,'מיפוי ומקורות'!$B$7:$B$33,0)),"שוטף")</x:f>
        <x:v>שוטף</x:v>
      </x:c>
      <x:c r="K1587" s="19" t="str">
        <x:f>IF(OR(H1587="ריביות",AND(H1587="דירה כצנלסון",G1587&lt;0,ISNUMBER(SEARCH("הכנסה",F1587)))),"הכנסה שסווגה מחדש",J1587)</x:f>
        <x:v>שוטף</x:v>
      </x:c>
      <x:c r="L1587" s="19" t="str">
        <x:v>מאושר</x:v>
      </x:c>
      <x:c r="M1587" s="20" t="n">
        <x:f>IF(L1587="מאושר",IF(K1587="הכנסה שסווגה מחדש",0,G1587),0)</x:f>
        <x:v>16</x:v>
      </x:c>
      <x:c r="N1587" s="20" t="n">
        <x:f>IF(K1587="שוטף",M1587,0)</x:f>
        <x:v>16</x:v>
      </x:c>
      <x:c r="O1587" s="20" t="n">
        <x:f>IF(K1587="הכנסה שסווגה מחדש",-G1587,0)</x:f>
        <x:v>0</x:v>
      </x:c>
      <x:c r="P1587" s="11" t="str">
        <x:v>one zero - זיו</x:v>
      </x:c>
      <x:c r="Q1587" s="11" t="str"/>
      <x:c r="R1587" s="11" t="str">
        <x:v>לא</x:v>
      </x:c>
    </x:row>
    <x:row r="1588">
      <x:c r="A1588" s="14" t="n">
        <x:v>46143</x:v>
      </x:c>
      <x:c r="B1588" s="11" t="str">
        <x:v>2026-05</x:v>
      </x:c>
      <x:c r="C1588" s="11" t="str">
        <x:v>מאי 26</x:v>
      </x:c>
      <x:c r="D1588" s="15" t="n">
        <x:v>25</x:v>
      </x:c>
      <x:c r="E1588" s="11" t="str">
        <x:v>27/5</x:v>
      </x:c>
      <x:c r="F1588" s="11" t="str">
        <x:v>חדר אוכל</x:v>
      </x:c>
      <x:c r="G1588" s="17" t="n">
        <x:v>45</x:v>
      </x:c>
      <x:c r="H1588" s="18" t="str">
        <x:v>אוכל בחוץ</x:v>
      </x:c>
      <x:c r="I1588" s="19" t="str">
        <x:f>IFERROR(INDEX('מיפוי ומקורות'!$C$7:$C$33,MATCH(H1588,'מיפוי ומקורות'!$B$7:$B$33,0)),"לא מסווג")</x:f>
        <x:v>אוכל בחוץ</x:v>
      </x:c>
      <x:c r="J1588" s="19" t="str">
        <x:f>IFERROR(INDEX('מיפוי ומקורות'!$D$7:$D$33,MATCH(H1588,'מיפוי ומקורות'!$B$7:$B$33,0)),"שוטף")</x:f>
        <x:v>שוטף</x:v>
      </x:c>
      <x:c r="K1588" s="19" t="str">
        <x:f>IF(OR(H1588="ריביות",AND(H1588="דירה כצנלסון",G1588&lt;0,ISNUMBER(SEARCH("הכנסה",F1588)))),"הכנסה שסווגה מחדש",J1588)</x:f>
        <x:v>שוטף</x:v>
      </x:c>
      <x:c r="L1588" s="19" t="str">
        <x:v>מאושר</x:v>
      </x:c>
      <x:c r="M1588" s="20" t="n">
        <x:f>IF(L1588="מאושר",IF(K1588="הכנסה שסווגה מחדש",0,G1588),0)</x:f>
        <x:v>45</x:v>
      </x:c>
      <x:c r="N1588" s="20" t="n">
        <x:f>IF(K1588="שוטף",M1588,0)</x:f>
        <x:v>45</x:v>
      </x:c>
      <x:c r="O1588" s="20" t="n">
        <x:f>IF(K1588="הכנסה שסווגה מחדש",-G1588,0)</x:f>
        <x:v>0</x:v>
      </x:c>
      <x:c r="P1588" s="11" t="str">
        <x:v>one zero - זיו</x:v>
      </x:c>
      <x:c r="Q1588" s="11" t="str"/>
      <x:c r="R1588" s="11" t="str">
        <x:v>לא</x:v>
      </x:c>
    </x:row>
    <x:row r="1589">
      <x:c r="A1589" s="14" t="n">
        <x:v>46143</x:v>
      </x:c>
      <x:c r="B1589" s="11" t="str">
        <x:v>2026-05</x:v>
      </x:c>
      <x:c r="C1589" s="11" t="str">
        <x:v>מאי 26</x:v>
      </x:c>
      <x:c r="D1589" s="15" t="n">
        <x:v>26</x:v>
      </x:c>
      <x:c r="E1589" s="11" t="str">
        <x:v>25/5</x:v>
      </x:c>
      <x:c r="F1589" s="11" t="str">
        <x:v>תחבץ</x:v>
      </x:c>
      <x:c r="G1589" s="17" t="n">
        <x:v>24</x:v>
      </x:c>
      <x:c r="H1589" s="18" t="str">
        <x:v>תחבורה</x:v>
      </x:c>
      <x:c r="I1589" s="19" t="str">
        <x:f>IFERROR(INDEX('מיפוי ומקורות'!$C$7:$C$33,MATCH(H1589,'מיפוי ומקורות'!$B$7:$B$33,0)),"לא מסווג")</x:f>
        <x:v>תחבורה</x:v>
      </x:c>
      <x:c r="J1589" s="19" t="str">
        <x:f>IFERROR(INDEX('מיפוי ומקורות'!$D$7:$D$33,MATCH(H1589,'מיפוי ומקורות'!$B$7:$B$33,0)),"שוטף")</x:f>
        <x:v>שוטף</x:v>
      </x:c>
      <x:c r="K1589" s="19" t="str">
        <x:f>IF(OR(H1589="ריביות",AND(H1589="דירה כצנלסון",G1589&lt;0,ISNUMBER(SEARCH("הכנסה",F1589)))),"הכנסה שסווגה מחדש",J1589)</x:f>
        <x:v>שוטף</x:v>
      </x:c>
      <x:c r="L1589" s="19" t="str">
        <x:v>מאושר</x:v>
      </x:c>
      <x:c r="M1589" s="20" t="n">
        <x:f>IF(L1589="מאושר",IF(K1589="הכנסה שסווגה מחדש",0,G1589),0)</x:f>
        <x:v>24</x:v>
      </x:c>
      <x:c r="N1589" s="20" t="n">
        <x:f>IF(K1589="שוטף",M1589,0)</x:f>
        <x:v>24</x:v>
      </x:c>
      <x:c r="O1589" s="20" t="n">
        <x:f>IF(K1589="הכנסה שסווגה מחדש",-G1589,0)</x:f>
        <x:v>0</x:v>
      </x:c>
      <x:c r="P1589" s="11" t="str">
        <x:v>one zero - עינור</x:v>
      </x:c>
      <x:c r="Q1589" s="11" t="str"/>
      <x:c r="R1589" s="11" t="str">
        <x:v>לא</x:v>
      </x:c>
    </x:row>
    <x:row r="1590">
      <x:c r="A1590" s="14" t="n">
        <x:v>46143</x:v>
      </x:c>
      <x:c r="B1590" s="11" t="str">
        <x:v>2026-05</x:v>
      </x:c>
      <x:c r="C1590" s="11" t="str">
        <x:v>מאי 26</x:v>
      </x:c>
      <x:c r="D1590" s="15" t="n">
        <x:v>27</x:v>
      </x:c>
      <x:c r="E1590" s="11" t="str">
        <x:v>02/05</x:v>
      </x:c>
      <x:c r="F1590" s="11" t="str">
        <x:v>אלי</x:v>
      </x:c>
      <x:c r="G1590" s="17" t="n">
        <x:v>276</x:v>
      </x:c>
      <x:c r="H1590" s="18" t="str">
        <x:v>מיג'י</x:v>
      </x:c>
      <x:c r="I1590" s="19" t="str">
        <x:f>IFERROR(INDEX('מיפוי ומקורות'!$C$7:$C$33,MATCH(H1590,'מיפוי ומקורות'!$B$7:$B$33,0)),"לא מסווג")</x:f>
        <x:v>תחביבים ומיג'י</x:v>
      </x:c>
      <x:c r="J1590" s="19" t="str">
        <x:f>IFERROR(INDEX('מיפוי ומקורות'!$D$7:$D$33,MATCH(H1590,'מיפוי ומקורות'!$B$7:$B$33,0)),"שוטף")</x:f>
        <x:v>שוטף</x:v>
      </x:c>
      <x:c r="K1590" s="19" t="str">
        <x:f>IF(OR(H1590="ריביות",AND(H1590="דירה כצנלסון",G1590&lt;0,ISNUMBER(SEARCH("הכנסה",F1590)))),"הכנסה שסווגה מחדש",J1590)</x:f>
        <x:v>שוטף</x:v>
      </x:c>
      <x:c r="L1590" s="19" t="str">
        <x:v>מאושר</x:v>
      </x:c>
      <x:c r="M1590" s="20" t="n">
        <x:f>IF(L1590="מאושר",IF(K1590="הכנסה שסווגה מחדש",0,G1590),0)</x:f>
        <x:v>276</x:v>
      </x:c>
      <x:c r="N1590" s="20" t="n">
        <x:f>IF(K1590="שוטף",M1590,0)</x:f>
        <x:v>276</x:v>
      </x:c>
      <x:c r="O1590" s="20" t="n">
        <x:f>IF(K1590="הכנסה שסווגה מחדש",-G1590,0)</x:f>
        <x:v>0</x:v>
      </x:c>
      <x:c r="P1590" s="11" t="str">
        <x:v>אמקס - עינור</x:v>
      </x:c>
      <x:c r="Q1590" s="11" t="str"/>
      <x:c r="R1590" s="11" t="str">
        <x:v>לא</x:v>
      </x:c>
    </x:row>
    <x:row r="1591">
      <x:c r="A1591" s="14" t="n">
        <x:v>46143</x:v>
      </x:c>
      <x:c r="B1591" s="11" t="str">
        <x:v>2026-05</x:v>
      </x:c>
      <x:c r="C1591" s="11" t="str">
        <x:v>מאי 26</x:v>
      </x:c>
      <x:c r="D1591" s="15" t="n">
        <x:v>28</x:v>
      </x:c>
      <x:c r="E1591" s="11" t="str">
        <x:v>4.05</x:v>
      </x:c>
      <x:c r="F1591" s="11" t="str">
        <x:v>סופר</x:v>
      </x:c>
      <x:c r="G1591" s="17" t="n">
        <x:v>52</x:v>
      </x:c>
      <x:c r="H1591" s="18" t="str">
        <x:v>מזון לבית</x:v>
      </x:c>
      <x:c r="I1591" s="19" t="str">
        <x:f>IFERROR(INDEX('מיפוי ומקורות'!$C$7:$C$33,MATCH(H1591,'מיפוי ומקורות'!$B$7:$B$33,0)),"לא מסווג")</x:f>
        <x:v>מזון לבית</x:v>
      </x:c>
      <x:c r="J1591" s="19" t="str">
        <x:f>IFERROR(INDEX('מיפוי ומקורות'!$D$7:$D$33,MATCH(H1591,'מיפוי ומקורות'!$B$7:$B$33,0)),"שוטף")</x:f>
        <x:v>שוטף</x:v>
      </x:c>
      <x:c r="K1591" s="19" t="str">
        <x:f>IF(OR(H1591="ריביות",AND(H1591="דירה כצנלסון",G1591&lt;0,ISNUMBER(SEARCH("הכנסה",F1591)))),"הכנסה שסווגה מחדש",J1591)</x:f>
        <x:v>שוטף</x:v>
      </x:c>
      <x:c r="L1591" s="19" t="str">
        <x:v>מאושר</x:v>
      </x:c>
      <x:c r="M1591" s="20" t="n">
        <x:f>IF(L1591="מאושר",IF(K1591="הכנסה שסווגה מחדש",0,G1591),0)</x:f>
        <x:v>52</x:v>
      </x:c>
      <x:c r="N1591" s="20" t="n">
        <x:f>IF(K1591="שוטף",M1591,0)</x:f>
        <x:v>52</x:v>
      </x:c>
      <x:c r="O1591" s="20" t="n">
        <x:f>IF(K1591="הכנסה שסווגה מחדש",-G1591,0)</x:f>
        <x:v>0</x:v>
      </x:c>
      <x:c r="P1591" s="11" t="str">
        <x:v>אמקס - עינור</x:v>
      </x:c>
      <x:c r="Q1591" s="11" t="str"/>
      <x:c r="R1591" s="11" t="str">
        <x:v>לא</x:v>
      </x:c>
    </x:row>
    <x:row r="1592">
      <x:c r="A1592" s="14" t="n">
        <x:v>46143</x:v>
      </x:c>
      <x:c r="B1592" s="11" t="str">
        <x:v>2026-05</x:v>
      </x:c>
      <x:c r="C1592" s="11" t="str">
        <x:v>מאי 26</x:v>
      </x:c>
      <x:c r="D1592" s="15" t="n">
        <x:v>29</x:v>
      </x:c>
      <x:c r="E1592" s="11" t="str">
        <x:v>08/05</x:v>
      </x:c>
      <x:c r="F1592" s="11" t="str">
        <x:v>פילימנט</x:v>
      </x:c>
      <x:c r="G1592" s="17" t="n">
        <x:v>392</x:v>
      </x:c>
      <x:c r="H1592" s="18" t="str">
        <x:v>מיג'י</x:v>
      </x:c>
      <x:c r="I1592" s="19" t="str">
        <x:f>IFERROR(INDEX('מיפוי ומקורות'!$C$7:$C$33,MATCH(H1592,'מיפוי ומקורות'!$B$7:$B$33,0)),"לא מסווג")</x:f>
        <x:v>תחביבים ומיג'י</x:v>
      </x:c>
      <x:c r="J1592" s="19" t="str">
        <x:f>IFERROR(INDEX('מיפוי ומקורות'!$D$7:$D$33,MATCH(H1592,'מיפוי ומקורות'!$B$7:$B$33,0)),"שוטף")</x:f>
        <x:v>שוטף</x:v>
      </x:c>
      <x:c r="K1592" s="19" t="str">
        <x:f>IF(OR(H1592="ריביות",AND(H1592="דירה כצנלסון",G1592&lt;0,ISNUMBER(SEARCH("הכנסה",F1592)))),"הכנסה שסווגה מחדש",J1592)</x:f>
        <x:v>שוטף</x:v>
      </x:c>
      <x:c r="L1592" s="19" t="str">
        <x:v>מאושר</x:v>
      </x:c>
      <x:c r="M1592" s="20" t="n">
        <x:f>IF(L1592="מאושר",IF(K1592="הכנסה שסווגה מחדש",0,G1592),0)</x:f>
        <x:v>392</x:v>
      </x:c>
      <x:c r="N1592" s="20" t="n">
        <x:f>IF(K1592="שוטף",M1592,0)</x:f>
        <x:v>392</x:v>
      </x:c>
      <x:c r="O1592" s="20" t="n">
        <x:f>IF(K1592="הכנסה שסווגה מחדש",-G1592,0)</x:f>
        <x:v>0</x:v>
      </x:c>
      <x:c r="P1592" s="11" t="str">
        <x:v>אמקס - עינור</x:v>
      </x:c>
      <x:c r="Q1592" s="11" t="str"/>
      <x:c r="R1592" s="11" t="str">
        <x:v>לא</x:v>
      </x:c>
    </x:row>
    <x:row r="1593">
      <x:c r="A1593" s="14" t="n">
        <x:v>46143</x:v>
      </x:c>
      <x:c r="B1593" s="11" t="str">
        <x:v>2026-05</x:v>
      </x:c>
      <x:c r="C1593" s="11" t="str">
        <x:v>מאי 26</x:v>
      </x:c>
      <x:c r="D1593" s="15" t="n">
        <x:v>30</x:v>
      </x:c>
      <x:c r="E1593" s="11" t="str">
        <x:v>09/05</x:v>
      </x:c>
      <x:c r="F1593" s="11" t="str">
        <x:v>אמריקן איגל ראשל"צ-ג</x:v>
      </x:c>
      <x:c r="G1593" s="17" t="n">
        <x:v>130</x:v>
      </x:c>
      <x:c r="H1593" s="18" t="str">
        <x:v>אופנה</x:v>
      </x:c>
      <x:c r="I1593" s="19" t="str">
        <x:f>IFERROR(INDEX('מיפוי ומקורות'!$C$7:$C$33,MATCH(H1593,'מיפוי ומקורות'!$B$7:$B$33,0)),"לא מסווג")</x:f>
        <x:v>אופנה</x:v>
      </x:c>
      <x:c r="J1593" s="19" t="str">
        <x:f>IFERROR(INDEX('מיפוי ומקורות'!$D$7:$D$33,MATCH(H1593,'מיפוי ומקורות'!$B$7:$B$33,0)),"שוטף")</x:f>
        <x:v>שוטף</x:v>
      </x:c>
      <x:c r="K1593" s="19" t="str">
        <x:f>IF(OR(H1593="ריביות",AND(H1593="דירה כצנלסון",G1593&lt;0,ISNUMBER(SEARCH("הכנסה",F1593)))),"הכנסה שסווגה מחדש",J1593)</x:f>
        <x:v>שוטף</x:v>
      </x:c>
      <x:c r="L1593" s="19" t="str">
        <x:v>מאושר</x:v>
      </x:c>
      <x:c r="M1593" s="20" t="n">
        <x:f>IF(L1593="מאושר",IF(K1593="הכנסה שסווגה מחדש",0,G1593),0)</x:f>
        <x:v>130</x:v>
      </x:c>
      <x:c r="N1593" s="20" t="n">
        <x:f>IF(K1593="שוטף",M1593,0)</x:f>
        <x:v>130</x:v>
      </x:c>
      <x:c r="O1593" s="20" t="n">
        <x:f>IF(K1593="הכנסה שסווגה מחדש",-G1593,0)</x:f>
        <x:v>0</x:v>
      </x:c>
      <x:c r="P1593" s="11" t="str">
        <x:v>אמקס - עינור</x:v>
      </x:c>
      <x:c r="Q1593" s="11" t="str"/>
      <x:c r="R1593" s="11" t="str">
        <x:v>לא</x:v>
      </x:c>
    </x:row>
    <x:row r="1594">
      <x:c r="A1594" s="14" t="n">
        <x:v>46143</x:v>
      </x:c>
      <x:c r="B1594" s="11" t="str">
        <x:v>2026-05</x:v>
      </x:c>
      <x:c r="C1594" s="11" t="str">
        <x:v>מאי 26</x:v>
      </x:c>
      <x:c r="D1594" s="15" t="n">
        <x:v>32</x:v>
      </x:c>
      <x:c r="E1594" s="11" t="str">
        <x:v>12.05</x:v>
      </x:c>
      <x:c r="F1594" s="11" t="str">
        <x:v>פיצוציה</x:v>
      </x:c>
      <x:c r="G1594" s="17" t="n">
        <x:v>6</x:v>
      </x:c>
      <x:c r="H1594" s="18" t="str">
        <x:v>אוכל בחוץ</x:v>
      </x:c>
      <x:c r="I1594" s="19" t="str">
        <x:f>IFERROR(INDEX('מיפוי ומקורות'!$C$7:$C$33,MATCH(H1594,'מיפוי ומקורות'!$B$7:$B$33,0)),"לא מסווג")</x:f>
        <x:v>אוכל בחוץ</x:v>
      </x:c>
      <x:c r="J1594" s="19" t="str">
        <x:f>IFERROR(INDEX('מיפוי ומקורות'!$D$7:$D$33,MATCH(H1594,'מיפוי ומקורות'!$B$7:$B$33,0)),"שוטף")</x:f>
        <x:v>שוטף</x:v>
      </x:c>
      <x:c r="K1594" s="19" t="str">
        <x:f>IF(OR(H1594="ריביות",AND(H1594="דירה כצנלסון",G1594&lt;0,ISNUMBER(SEARCH("הכנסה",F1594)))),"הכנסה שסווגה מחדש",J1594)</x:f>
        <x:v>שוטף</x:v>
      </x:c>
      <x:c r="L1594" s="19" t="str">
        <x:v>מאושר</x:v>
      </x:c>
      <x:c r="M1594" s="20" t="n">
        <x:f>IF(L1594="מאושר",IF(K1594="הכנסה שסווגה מחדש",0,G1594),0)</x:f>
        <x:v>6</x:v>
      </x:c>
      <x:c r="N1594" s="20" t="n">
        <x:f>IF(K1594="שוטף",M1594,0)</x:f>
        <x:v>6</x:v>
      </x:c>
      <x:c r="O1594" s="20" t="n">
        <x:f>IF(K1594="הכנסה שסווגה מחדש",-G1594,0)</x:f>
        <x:v>0</x:v>
      </x:c>
      <x:c r="P1594" s="11" t="str">
        <x:v>אמקס - עינור</x:v>
      </x:c>
      <x:c r="Q1594" s="11" t="str"/>
      <x:c r="R1594" s="11" t="str">
        <x:v>לא</x:v>
      </x:c>
    </x:row>
    <x:row r="1595">
      <x:c r="A1595" s="14" t="n">
        <x:v>46143</x:v>
      </x:c>
      <x:c r="B1595" s="11" t="str">
        <x:v>2026-05</x:v>
      </x:c>
      <x:c r="C1595" s="11" t="str">
        <x:v>מאי 26</x:v>
      </x:c>
      <x:c r="D1595" s="15" t="n">
        <x:v>33</x:v>
      </x:c>
      <x:c r="E1595" s="11" t="str">
        <x:v>12.05</x:v>
      </x:c>
      <x:c r="F1595" s="11" t="str">
        <x:v>קלוד קוד</x:v>
      </x:c>
      <x:c r="G1595" s="17" t="n">
        <x:v>58</x:v>
      </x:c>
      <x:c r="H1595" s="18" t="str">
        <x:v>אלקטרוניקה</x:v>
      </x:c>
      <x:c r="I1595" s="19" t="str">
        <x:f>IFERROR(INDEX('מיפוי ומקורות'!$C$7:$C$33,MATCH(H1595,'מיפוי ומקורות'!$B$7:$B$33,0)),"לא מסווג")</x:f>
        <x:v>אלקטרוניקה</x:v>
      </x:c>
      <x:c r="J1595" s="19" t="str">
        <x:f>IFERROR(INDEX('מיפוי ומקורות'!$D$7:$D$33,MATCH(H1595,'מיפוי ומקורות'!$B$7:$B$33,0)),"שוטף")</x:f>
        <x:v>שוטף</x:v>
      </x:c>
      <x:c r="K1595" s="19" t="str">
        <x:f>IF(OR(H1595="ריביות",AND(H1595="דירה כצנלסון",G1595&lt;0,ISNUMBER(SEARCH("הכנסה",F1595)))),"הכנסה שסווגה מחדש",J1595)</x:f>
        <x:v>שוטף</x:v>
      </x:c>
      <x:c r="L1595" s="19" t="str">
        <x:v>מאושר</x:v>
      </x:c>
      <x:c r="M1595" s="20" t="n">
        <x:f>IF(L1595="מאושר",IF(K1595="הכנסה שסווגה מחדש",0,G1595),0)</x:f>
        <x:v>58</x:v>
      </x:c>
      <x:c r="N1595" s="20" t="n">
        <x:f>IF(K1595="שוטף",M1595,0)</x:f>
        <x:v>58</x:v>
      </x:c>
      <x:c r="O1595" s="20" t="n">
        <x:f>IF(K1595="הכנסה שסווגה מחדש",-G1595,0)</x:f>
        <x:v>0</x:v>
      </x:c>
      <x:c r="P1595" s="11" t="str">
        <x:v>אמקס - עינור</x:v>
      </x:c>
      <x:c r="Q1595" s="11" t="str"/>
      <x:c r="R1595" s="11" t="str">
        <x:v>לא</x:v>
      </x:c>
    </x:row>
    <x:row r="1596">
      <x:c r="A1596" s="14" t="n">
        <x:v>46143</x:v>
      </x:c>
      <x:c r="B1596" s="11" t="str">
        <x:v>2026-05</x:v>
      </x:c>
      <x:c r="C1596" s="11" t="str">
        <x:v>מאי 26</x:v>
      </x:c>
      <x:c r="D1596" s="15" t="n">
        <x:v>34</x:v>
      </x:c>
      <x:c r="E1596" s="11" t="str">
        <x:v>12/05</x:v>
      </x:c>
      <x:c r="F1596" s="11" t="str">
        <x:v>נונומימי גבעתיים</x:v>
      </x:c>
      <x:c r="G1596" s="17" t="n">
        <x:v>16</x:v>
      </x:c>
      <x:c r="H1596" s="18" t="str">
        <x:v>אוכל בחוץ</x:v>
      </x:c>
      <x:c r="I1596" s="19" t="str">
        <x:f>IFERROR(INDEX('מיפוי ומקורות'!$C$7:$C$33,MATCH(H1596,'מיפוי ומקורות'!$B$7:$B$33,0)),"לא מסווג")</x:f>
        <x:v>אוכל בחוץ</x:v>
      </x:c>
      <x:c r="J1596" s="19" t="str">
        <x:f>IFERROR(INDEX('מיפוי ומקורות'!$D$7:$D$33,MATCH(H1596,'מיפוי ומקורות'!$B$7:$B$33,0)),"שוטף")</x:f>
        <x:v>שוטף</x:v>
      </x:c>
      <x:c r="K1596" s="19" t="str">
        <x:f>IF(OR(H1596="ריביות",AND(H1596="דירה כצנלסון",G1596&lt;0,ISNUMBER(SEARCH("הכנסה",F1596)))),"הכנסה שסווגה מחדש",J1596)</x:f>
        <x:v>שוטף</x:v>
      </x:c>
      <x:c r="L1596" s="19" t="str">
        <x:v>מאושר</x:v>
      </x:c>
      <x:c r="M1596" s="20" t="n">
        <x:f>IF(L1596="מאושר",IF(K1596="הכנסה שסווגה מחדש",0,G1596),0)</x:f>
        <x:v>16</x:v>
      </x:c>
      <x:c r="N1596" s="20" t="n">
        <x:f>IF(K1596="שוטף",M1596,0)</x:f>
        <x:v>16</x:v>
      </x:c>
      <x:c r="O1596" s="20" t="n">
        <x:f>IF(K1596="הכנסה שסווגה מחדש",-G1596,0)</x:f>
        <x:v>0</x:v>
      </x:c>
      <x:c r="P1596" s="11" t="str">
        <x:v>אמקס - עינור</x:v>
      </x:c>
      <x:c r="Q1596" s="11" t="str"/>
      <x:c r="R1596" s="11" t="str">
        <x:v>לא</x:v>
      </x:c>
    </x:row>
    <x:row r="1597">
      <x:c r="A1597" s="14" t="n">
        <x:v>46143</x:v>
      </x:c>
      <x:c r="B1597" s="11" t="str">
        <x:v>2026-05</x:v>
      </x:c>
      <x:c r="C1597" s="11" t="str">
        <x:v>מאי 26</x:v>
      </x:c>
      <x:c r="D1597" s="15" t="n">
        <x:v>35</x:v>
      </x:c>
      <x:c r="E1597" s="11" t="str">
        <x:v>14.05</x:v>
      </x:c>
      <x:c r="F1597" s="11" t="str">
        <x:v>סופר</x:v>
      </x:c>
      <x:c r="G1597" s="17" t="n">
        <x:v>548</x:v>
      </x:c>
      <x:c r="H1597" s="18" t="str">
        <x:v>מזון לבית</x:v>
      </x:c>
      <x:c r="I1597" s="19" t="str">
        <x:f>IFERROR(INDEX('מיפוי ומקורות'!$C$7:$C$33,MATCH(H1597,'מיפוי ומקורות'!$B$7:$B$33,0)),"לא מסווג")</x:f>
        <x:v>מזון לבית</x:v>
      </x:c>
      <x:c r="J1597" s="19" t="str">
        <x:f>IFERROR(INDEX('מיפוי ומקורות'!$D$7:$D$33,MATCH(H1597,'מיפוי ומקורות'!$B$7:$B$33,0)),"שוטף")</x:f>
        <x:v>שוטף</x:v>
      </x:c>
      <x:c r="K1597" s="19" t="str">
        <x:f>IF(OR(H1597="ריביות",AND(H1597="דירה כצנלסון",G1597&lt;0,ISNUMBER(SEARCH("הכנסה",F1597)))),"הכנסה שסווגה מחדש",J1597)</x:f>
        <x:v>שוטף</x:v>
      </x:c>
      <x:c r="L1597" s="19" t="str">
        <x:v>מאושר</x:v>
      </x:c>
      <x:c r="M1597" s="20" t="n">
        <x:f>IF(L1597="מאושר",IF(K1597="הכנסה שסווגה מחדש",0,G1597),0)</x:f>
        <x:v>548</x:v>
      </x:c>
      <x:c r="N1597" s="20" t="n">
        <x:f>IF(K1597="שוטף",M1597,0)</x:f>
        <x:v>548</x:v>
      </x:c>
      <x:c r="O1597" s="20" t="n">
        <x:f>IF(K1597="הכנסה שסווגה מחדש",-G1597,0)</x:f>
        <x:v>0</x:v>
      </x:c>
      <x:c r="P1597" s="11" t="str">
        <x:v>אמקס - עינור</x:v>
      </x:c>
      <x:c r="Q1597" s="11" t="str"/>
      <x:c r="R1597" s="11" t="str">
        <x:v>לא</x:v>
      </x:c>
    </x:row>
    <x:row r="1598">
      <x:c r="A1598" s="14" t="n">
        <x:v>46143</x:v>
      </x:c>
      <x:c r="B1598" s="11" t="str">
        <x:v>2026-05</x:v>
      </x:c>
      <x:c r="C1598" s="11" t="str">
        <x:v>מאי 26</x:v>
      </x:c>
      <x:c r="D1598" s="15" t="n">
        <x:v>36</x:v>
      </x:c>
      <x:c r="E1598" s="11" t="str">
        <x:v>17.05</x:v>
      </x:c>
      <x:c r="F1598" s="11" t="str">
        <x:v>אלי</x:v>
      </x:c>
      <x:c r="G1598" s="17" t="n">
        <x:v>313</x:v>
      </x:c>
      <x:c r="H1598" s="18" t="str">
        <x:v>מיג'י</x:v>
      </x:c>
      <x:c r="I1598" s="19" t="str">
        <x:f>IFERROR(INDEX('מיפוי ומקורות'!$C$7:$C$33,MATCH(H1598,'מיפוי ומקורות'!$B$7:$B$33,0)),"לא מסווג")</x:f>
        <x:v>תחביבים ומיג'י</x:v>
      </x:c>
      <x:c r="J1598" s="19" t="str">
        <x:f>IFERROR(INDEX('מיפוי ומקורות'!$D$7:$D$33,MATCH(H1598,'מיפוי ומקורות'!$B$7:$B$33,0)),"שוטף")</x:f>
        <x:v>שוטף</x:v>
      </x:c>
      <x:c r="K1598" s="19" t="str">
        <x:f>IF(OR(H1598="ריביות",AND(H1598="דירה כצנלסון",G1598&lt;0,ISNUMBER(SEARCH("הכנסה",F1598)))),"הכנסה שסווגה מחדש",J1598)</x:f>
        <x:v>שוטף</x:v>
      </x:c>
      <x:c r="L1598" s="19" t="str">
        <x:v>מאושר</x:v>
      </x:c>
      <x:c r="M1598" s="20" t="n">
        <x:f>IF(L1598="מאושר",IF(K1598="הכנסה שסווגה מחדש",0,G1598),0)</x:f>
        <x:v>313</x:v>
      </x:c>
      <x:c r="N1598" s="20" t="n">
        <x:f>IF(K1598="שוטף",M1598,0)</x:f>
        <x:v>313</x:v>
      </x:c>
      <x:c r="O1598" s="20" t="n">
        <x:f>IF(K1598="הכנסה שסווגה מחדש",-G1598,0)</x:f>
        <x:v>0</x:v>
      </x:c>
      <x:c r="P1598" s="11" t="str">
        <x:v>אמקס - עינור</x:v>
      </x:c>
      <x:c r="Q1598" s="11" t="str"/>
      <x:c r="R1598" s="11" t="str">
        <x:v>לא</x:v>
      </x:c>
    </x:row>
    <x:row r="1599">
      <x:c r="A1599" s="14" t="n">
        <x:v>46143</x:v>
      </x:c>
      <x:c r="B1599" s="11" t="str">
        <x:v>2026-05</x:v>
      </x:c>
      <x:c r="C1599" s="11" t="str">
        <x:v>מאי 26</x:v>
      </x:c>
      <x:c r="D1599" s="15" t="n">
        <x:v>37</x:v>
      </x:c>
      <x:c r="E1599" s="11" t="str">
        <x:v>17.05</x:v>
      </x:c>
      <x:c r="F1599" s="11" t="str">
        <x:v>אלי</x:v>
      </x:c>
      <x:c r="G1599" s="17" t="n">
        <x:v>357</x:v>
      </x:c>
      <x:c r="H1599" s="18" t="str">
        <x:v>מיג'י</x:v>
      </x:c>
      <x:c r="I1599" s="19" t="str">
        <x:f>IFERROR(INDEX('מיפוי ומקורות'!$C$7:$C$33,MATCH(H1599,'מיפוי ומקורות'!$B$7:$B$33,0)),"לא מסווג")</x:f>
        <x:v>תחביבים ומיג'י</x:v>
      </x:c>
      <x:c r="J1599" s="19" t="str">
        <x:f>IFERROR(INDEX('מיפוי ומקורות'!$D$7:$D$33,MATCH(H1599,'מיפוי ומקורות'!$B$7:$B$33,0)),"שוטף")</x:f>
        <x:v>שוטף</x:v>
      </x:c>
      <x:c r="K1599" s="19" t="str">
        <x:f>IF(OR(H1599="ריביות",AND(H1599="דירה כצנלסון",G1599&lt;0,ISNUMBER(SEARCH("הכנסה",F1599)))),"הכנסה שסווגה מחדש",J1599)</x:f>
        <x:v>שוטף</x:v>
      </x:c>
      <x:c r="L1599" s="19" t="str">
        <x:v>מאושר</x:v>
      </x:c>
      <x:c r="M1599" s="20" t="n">
        <x:f>IF(L1599="מאושר",IF(K1599="הכנסה שסווגה מחדש",0,G1599),0)</x:f>
        <x:v>357</x:v>
      </x:c>
      <x:c r="N1599" s="20" t="n">
        <x:f>IF(K1599="שוטף",M1599,0)</x:f>
        <x:v>357</x:v>
      </x:c>
      <x:c r="O1599" s="20" t="n">
        <x:f>IF(K1599="הכנסה שסווגה מחדש",-G1599,0)</x:f>
        <x:v>0</x:v>
      </x:c>
      <x:c r="P1599" s="11" t="str">
        <x:v>אמקס - עינור</x:v>
      </x:c>
      <x:c r="Q1599" s="11" t="str"/>
      <x:c r="R1599" s="11" t="str">
        <x:v>לא</x:v>
      </x:c>
    </x:row>
    <x:row r="1600">
      <x:c r="A1600" s="14" t="n">
        <x:v>46143</x:v>
      </x:c>
      <x:c r="B1600" s="11" t="str">
        <x:v>2026-05</x:v>
      </x:c>
      <x:c r="C1600" s="11" t="str">
        <x:v>מאי 26</x:v>
      </x:c>
      <x:c r="D1600" s="15" t="n">
        <x:v>38</x:v>
      </x:c>
      <x:c r="E1600" s="11" t="str">
        <x:v>17.05</x:v>
      </x:c>
      <x:c r="F1600" s="11" t="str">
        <x:v>יין שרונה תל אביב ב'</x:v>
      </x:c>
      <x:c r="G1600" s="17" t="n">
        <x:v>134</x:v>
      </x:c>
      <x:c r="H1600" s="18" t="str">
        <x:v>אוכל בחוץ</x:v>
      </x:c>
      <x:c r="I1600" s="19" t="str">
        <x:f>IFERROR(INDEX('מיפוי ומקורות'!$C$7:$C$33,MATCH(H1600,'מיפוי ומקורות'!$B$7:$B$33,0)),"לא מסווג")</x:f>
        <x:v>אוכל בחוץ</x:v>
      </x:c>
      <x:c r="J1600" s="19" t="str">
        <x:f>IFERROR(INDEX('מיפוי ומקורות'!$D$7:$D$33,MATCH(H1600,'מיפוי ומקורות'!$B$7:$B$33,0)),"שוטף")</x:f>
        <x:v>שוטף</x:v>
      </x:c>
      <x:c r="K1600" s="19" t="str">
        <x:f>IF(OR(H1600="ריביות",AND(H1600="דירה כצנלסון",G1600&lt;0,ISNUMBER(SEARCH("הכנסה",F1600)))),"הכנסה שסווגה מחדש",J1600)</x:f>
        <x:v>שוטף</x:v>
      </x:c>
      <x:c r="L1600" s="19" t="str">
        <x:v>מאושר</x:v>
      </x:c>
      <x:c r="M1600" s="20" t="n">
        <x:f>IF(L1600="מאושר",IF(K1600="הכנסה שסווגה מחדש",0,G1600),0)</x:f>
        <x:v>134</x:v>
      </x:c>
      <x:c r="N1600" s="20" t="n">
        <x:f>IF(K1600="שוטף",M1600,0)</x:f>
        <x:v>134</x:v>
      </x:c>
      <x:c r="O1600" s="20" t="n">
        <x:f>IF(K1600="הכנסה שסווגה מחדש",-G1600,0)</x:f>
        <x:v>0</x:v>
      </x:c>
      <x:c r="P1600" s="11" t="str">
        <x:v>אמקס - עינור</x:v>
      </x:c>
      <x:c r="Q1600" s="11" t="str"/>
      <x:c r="R1600" s="11" t="str">
        <x:v>לא</x:v>
      </x:c>
    </x:row>
    <x:row r="1601">
      <x:c r="A1601" s="14" t="n">
        <x:v>46143</x:v>
      </x:c>
      <x:c r="B1601" s="11" t="str">
        <x:v>2026-05</x:v>
      </x:c>
      <x:c r="C1601" s="11" t="str">
        <x:v>מאי 26</x:v>
      </x:c>
      <x:c r="D1601" s="15" t="n">
        <x:v>39</x:v>
      </x:c>
      <x:c r="E1601" s="11" t="str">
        <x:v>18.05</x:v>
      </x:c>
      <x:c r="F1601" s="11" t="str">
        <x:v>פיצה קרינה</x:v>
      </x:c>
      <x:c r="G1601" s="17" t="n">
        <x:v>100</x:v>
      </x:c>
      <x:c r="H1601" s="18" t="str">
        <x:v>אוכל בחוץ</x:v>
      </x:c>
      <x:c r="I1601" s="19" t="str">
        <x:f>IFERROR(INDEX('מיפוי ומקורות'!$C$7:$C$33,MATCH(H1601,'מיפוי ומקורות'!$B$7:$B$33,0)),"לא מסווג")</x:f>
        <x:v>אוכל בחוץ</x:v>
      </x:c>
      <x:c r="J1601" s="19" t="str">
        <x:f>IFERROR(INDEX('מיפוי ומקורות'!$D$7:$D$33,MATCH(H1601,'מיפוי ומקורות'!$B$7:$B$33,0)),"שוטף")</x:f>
        <x:v>שוטף</x:v>
      </x:c>
      <x:c r="K1601" s="19" t="str">
        <x:f>IF(OR(H1601="ריביות",AND(H1601="דירה כצנלסון",G1601&lt;0,ISNUMBER(SEARCH("הכנסה",F1601)))),"הכנסה שסווגה מחדש",J1601)</x:f>
        <x:v>שוטף</x:v>
      </x:c>
      <x:c r="L1601" s="19" t="str">
        <x:v>מאושר</x:v>
      </x:c>
      <x:c r="M1601" s="20" t="n">
        <x:f>IF(L1601="מאושר",IF(K1601="הכנסה שסווגה מחדש",0,G1601),0)</x:f>
        <x:v>100</x:v>
      </x:c>
      <x:c r="N1601" s="20" t="n">
        <x:f>IF(K1601="שוטף",M1601,0)</x:f>
        <x:v>100</x:v>
      </x:c>
      <x:c r="O1601" s="20" t="n">
        <x:f>IF(K1601="הכנסה שסווגה מחדש",-G1601,0)</x:f>
        <x:v>0</x:v>
      </x:c>
      <x:c r="P1601" s="11" t="str">
        <x:v>אמקס - עינור</x:v>
      </x:c>
      <x:c r="Q1601" s="11" t="str"/>
      <x:c r="R1601" s="11" t="str">
        <x:v>לא</x:v>
      </x:c>
    </x:row>
    <x:row r="1602">
      <x:c r="A1602" s="14" t="n">
        <x:v>46143</x:v>
      </x:c>
      <x:c r="B1602" s="11" t="str">
        <x:v>2026-05</x:v>
      </x:c>
      <x:c r="C1602" s="11" t="str">
        <x:v>מאי 26</x:v>
      </x:c>
      <x:c r="D1602" s="15" t="n">
        <x:v>40</x:v>
      </x:c>
      <x:c r="E1602" s="11" t="str">
        <x:v>19/05</x:v>
      </x:c>
      <x:c r="F1602" s="11" t="str">
        <x:v>גבות</x:v>
      </x:c>
      <x:c r="G1602" s="17" t="n">
        <x:v>60</x:v>
      </x:c>
      <x:c r="H1602" s="18" t="str">
        <x:v>קוסמטיקה</x:v>
      </x:c>
      <x:c r="I1602" s="19" t="str">
        <x:f>IFERROR(INDEX('מיפוי ומקורות'!$C$7:$C$33,MATCH(H1602,'מיפוי ומקורות'!$B$7:$B$33,0)),"לא מסווג")</x:f>
        <x:v>קוסמטיקה</x:v>
      </x:c>
      <x:c r="J1602" s="19" t="str">
        <x:f>IFERROR(INDEX('מיפוי ומקורות'!$D$7:$D$33,MATCH(H1602,'מיפוי ומקורות'!$B$7:$B$33,0)),"שוטף")</x:f>
        <x:v>שוטף</x:v>
      </x:c>
      <x:c r="K1602" s="19" t="str">
        <x:f>IF(OR(H1602="ריביות",AND(H1602="דירה כצנלסון",G1602&lt;0,ISNUMBER(SEARCH("הכנסה",F1602)))),"הכנסה שסווגה מחדש",J1602)</x:f>
        <x:v>שוטף</x:v>
      </x:c>
      <x:c r="L1602" s="19" t="str">
        <x:v>מאושר</x:v>
      </x:c>
      <x:c r="M1602" s="20" t="n">
        <x:f>IF(L1602="מאושר",IF(K1602="הכנסה שסווגה מחדש",0,G1602),0)</x:f>
        <x:v>60</x:v>
      </x:c>
      <x:c r="N1602" s="20" t="n">
        <x:f>IF(K1602="שוטף",M1602,0)</x:f>
        <x:v>60</x:v>
      </x:c>
      <x:c r="O1602" s="20" t="n">
        <x:f>IF(K1602="הכנסה שסווגה מחדש",-G1602,0)</x:f>
        <x:v>0</x:v>
      </x:c>
      <x:c r="P1602" s="11" t="str">
        <x:v>אמקס - עינור</x:v>
      </x:c>
      <x:c r="Q1602" s="11" t="str"/>
      <x:c r="R1602" s="11" t="str">
        <x:v>לא</x:v>
      </x:c>
    </x:row>
    <x:row r="1603">
      <x:c r="A1603" s="14" t="n">
        <x:v>46143</x:v>
      </x:c>
      <x:c r="B1603" s="11" t="str">
        <x:v>2026-05</x:v>
      </x:c>
      <x:c r="C1603" s="11" t="str">
        <x:v>מאי 26</x:v>
      </x:c>
      <x:c r="D1603" s="15" t="n">
        <x:v>41</x:v>
      </x:c>
      <x:c r="E1603" s="11" t="str">
        <x:v>19.05</x:v>
      </x:c>
      <x:c r="F1603" s="11" t="str">
        <x:v>פארם</x:v>
      </x:c>
      <x:c r="G1603" s="17" t="n">
        <x:v>168</x:v>
      </x:c>
      <x:c r="H1603" s="18" t="str">
        <x:v>בריאות</x:v>
      </x:c>
      <x:c r="I1603" s="19" t="str">
        <x:f>IFERROR(INDEX('מיפוי ומקורות'!$C$7:$C$33,MATCH(H1603,'מיפוי ומקורות'!$B$7:$B$33,0)),"לא מסווג")</x:f>
        <x:v>בריאות וטיפולים</x:v>
      </x:c>
      <x:c r="J1603" s="19" t="str">
        <x:f>IFERROR(INDEX('מיפוי ומקורות'!$D$7:$D$33,MATCH(H1603,'מיפוי ומקורות'!$B$7:$B$33,0)),"שוטף")</x:f>
        <x:v>שוטף</x:v>
      </x:c>
      <x:c r="K1603" s="19" t="str">
        <x:f>IF(OR(H1603="ריביות",AND(H1603="דירה כצנלסון",G1603&lt;0,ISNUMBER(SEARCH("הכנסה",F1603)))),"הכנסה שסווגה מחדש",J1603)</x:f>
        <x:v>שוטף</x:v>
      </x:c>
      <x:c r="L1603" s="19" t="str">
        <x:v>מאושר</x:v>
      </x:c>
      <x:c r="M1603" s="20" t="n">
        <x:f>IF(L1603="מאושר",IF(K1603="הכנסה שסווגה מחדש",0,G1603),0)</x:f>
        <x:v>168</x:v>
      </x:c>
      <x:c r="N1603" s="20" t="n">
        <x:f>IF(K1603="שוטף",M1603,0)</x:f>
        <x:v>168</x:v>
      </x:c>
      <x:c r="O1603" s="20" t="n">
        <x:f>IF(K1603="הכנסה שסווגה מחדש",-G1603,0)</x:f>
        <x:v>0</x:v>
      </x:c>
      <x:c r="P1603" s="11" t="str">
        <x:v>אמקס - עינור</x:v>
      </x:c>
      <x:c r="Q1603" s="11" t="str"/>
      <x:c r="R1603" s="11" t="str">
        <x:v>לא</x:v>
      </x:c>
    </x:row>
    <x:row r="1604">
      <x:c r="A1604" s="14" t="n">
        <x:v>46143</x:v>
      </x:c>
      <x:c r="B1604" s="11" t="str">
        <x:v>2026-05</x:v>
      </x:c>
      <x:c r="C1604" s="11" t="str">
        <x:v>מאי 26</x:v>
      </x:c>
      <x:c r="D1604" s="15" t="n">
        <x:v>42</x:v>
      </x:c>
      <x:c r="E1604" s="11" t="str">
        <x:v>20.05</x:v>
      </x:c>
      <x:c r="F1604" s="11" t="str">
        <x:v>סופר</x:v>
      </x:c>
      <x:c r="G1604" s="17" t="n">
        <x:v>16</x:v>
      </x:c>
      <x:c r="H1604" s="18" t="str">
        <x:v>מזון לבית</x:v>
      </x:c>
      <x:c r="I1604" s="19" t="str">
        <x:f>IFERROR(INDEX('מיפוי ומקורות'!$C$7:$C$33,MATCH(H1604,'מיפוי ומקורות'!$B$7:$B$33,0)),"לא מסווג")</x:f>
        <x:v>מזון לבית</x:v>
      </x:c>
      <x:c r="J1604" s="19" t="str">
        <x:f>IFERROR(INDEX('מיפוי ומקורות'!$D$7:$D$33,MATCH(H1604,'מיפוי ומקורות'!$B$7:$B$33,0)),"שוטף")</x:f>
        <x:v>שוטף</x:v>
      </x:c>
      <x:c r="K1604" s="19" t="str">
        <x:f>IF(OR(H1604="ריביות",AND(H1604="דירה כצנלסון",G1604&lt;0,ISNUMBER(SEARCH("הכנסה",F1604)))),"הכנסה שסווגה מחדש",J1604)</x:f>
        <x:v>שוטף</x:v>
      </x:c>
      <x:c r="L1604" s="19" t="str">
        <x:v>מאושר</x:v>
      </x:c>
      <x:c r="M1604" s="20" t="n">
        <x:f>IF(L1604="מאושר",IF(K1604="הכנסה שסווגה מחדש",0,G1604),0)</x:f>
        <x:v>16</x:v>
      </x:c>
      <x:c r="N1604" s="20" t="n">
        <x:f>IF(K1604="שוטף",M1604,0)</x:f>
        <x:v>16</x:v>
      </x:c>
      <x:c r="O1604" s="20" t="n">
        <x:f>IF(K1604="הכנסה שסווגה מחדש",-G1604,0)</x:f>
        <x:v>0</x:v>
      </x:c>
      <x:c r="P1604" s="11" t="str">
        <x:v>אמקס - עינור</x:v>
      </x:c>
      <x:c r="Q1604" s="11" t="str"/>
      <x:c r="R1604" s="11" t="str">
        <x:v>לא</x:v>
      </x:c>
    </x:row>
    <x:row r="1605">
      <x:c r="A1605" s="14" t="n">
        <x:v>46143</x:v>
      </x:c>
      <x:c r="B1605" s="11" t="str">
        <x:v>2026-05</x:v>
      </x:c>
      <x:c r="C1605" s="11" t="str">
        <x:v>מאי 26</x:v>
      </x:c>
      <x:c r="D1605" s="15" t="n">
        <x:v>43</x:v>
      </x:c>
      <x:c r="E1605" s="11" t="str">
        <x:v>24.05</x:v>
      </x:c>
      <x:c r="F1605" s="11" t="str">
        <x:v>סופר</x:v>
      </x:c>
      <x:c r="G1605" s="17" t="n">
        <x:v>21</x:v>
      </x:c>
      <x:c r="H1605" s="18" t="str">
        <x:v>מזון לבית</x:v>
      </x:c>
      <x:c r="I1605" s="19" t="str">
        <x:f>IFERROR(INDEX('מיפוי ומקורות'!$C$7:$C$33,MATCH(H1605,'מיפוי ומקורות'!$B$7:$B$33,0)),"לא מסווג")</x:f>
        <x:v>מזון לבית</x:v>
      </x:c>
      <x:c r="J1605" s="19" t="str">
        <x:f>IFERROR(INDEX('מיפוי ומקורות'!$D$7:$D$33,MATCH(H1605,'מיפוי ומקורות'!$B$7:$B$33,0)),"שוטף")</x:f>
        <x:v>שוטף</x:v>
      </x:c>
      <x:c r="K1605" s="19" t="str">
        <x:f>IF(OR(H1605="ריביות",AND(H1605="דירה כצנלסון",G1605&lt;0,ISNUMBER(SEARCH("הכנסה",F1605)))),"הכנסה שסווגה מחדש",J1605)</x:f>
        <x:v>שוטף</x:v>
      </x:c>
      <x:c r="L1605" s="19" t="str">
        <x:v>מאושר</x:v>
      </x:c>
      <x:c r="M1605" s="20" t="n">
        <x:f>IF(L1605="מאושר",IF(K1605="הכנסה שסווגה מחדש",0,G1605),0)</x:f>
        <x:v>21</x:v>
      </x:c>
      <x:c r="N1605" s="20" t="n">
        <x:f>IF(K1605="שוטף",M1605,0)</x:f>
        <x:v>21</x:v>
      </x:c>
      <x:c r="O1605" s="20" t="n">
        <x:f>IF(K1605="הכנסה שסווגה מחדש",-G1605,0)</x:f>
        <x:v>0</x:v>
      </x:c>
      <x:c r="P1605" s="11" t="str">
        <x:v>אמקס - עינור</x:v>
      </x:c>
      <x:c r="Q1605" s="11" t="str"/>
      <x:c r="R1605" s="11" t="str">
        <x:v>לא</x:v>
      </x:c>
    </x:row>
    <x:row r="1606">
      <x:c r="A1606" s="14" t="n">
        <x:v>46143</x:v>
      </x:c>
      <x:c r="B1606" s="11" t="str">
        <x:v>2026-05</x:v>
      </x:c>
      <x:c r="C1606" s="11" t="str">
        <x:v>מאי 26</x:v>
      </x:c>
      <x:c r="D1606" s="15" t="n">
        <x:v>44</x:v>
      </x:c>
      <x:c r="E1606" s="11" t="str">
        <x:v>24.05</x:v>
      </x:c>
      <x:c r="F1606" s="11" t="str">
        <x:v>סופר</x:v>
      </x:c>
      <x:c r="G1606" s="17" t="n">
        <x:v>149</x:v>
      </x:c>
      <x:c r="H1606" s="18" t="str">
        <x:v>מזון לבית</x:v>
      </x:c>
      <x:c r="I1606" s="19" t="str">
        <x:f>IFERROR(INDEX('מיפוי ומקורות'!$C$7:$C$33,MATCH(H1606,'מיפוי ומקורות'!$B$7:$B$33,0)),"לא מסווג")</x:f>
        <x:v>מזון לבית</x:v>
      </x:c>
      <x:c r="J1606" s="19" t="str">
        <x:f>IFERROR(INDEX('מיפוי ומקורות'!$D$7:$D$33,MATCH(H1606,'מיפוי ומקורות'!$B$7:$B$33,0)),"שוטף")</x:f>
        <x:v>שוטף</x:v>
      </x:c>
      <x:c r="K1606" s="19" t="str">
        <x:f>IF(OR(H1606="ריביות",AND(H1606="דירה כצנלסון",G1606&lt;0,ISNUMBER(SEARCH("הכנסה",F1606)))),"הכנסה שסווגה מחדש",J1606)</x:f>
        <x:v>שוטף</x:v>
      </x:c>
      <x:c r="L1606" s="19" t="str">
        <x:v>מאושר</x:v>
      </x:c>
      <x:c r="M1606" s="20" t="n">
        <x:f>IF(L1606="מאושר",IF(K1606="הכנסה שסווגה מחדש",0,G1606),0)</x:f>
        <x:v>149</x:v>
      </x:c>
      <x:c r="N1606" s="20" t="n">
        <x:f>IF(K1606="שוטף",M1606,0)</x:f>
        <x:v>149</x:v>
      </x:c>
      <x:c r="O1606" s="20" t="n">
        <x:f>IF(K1606="הכנסה שסווגה מחדש",-G1606,0)</x:f>
        <x:v>0</x:v>
      </x:c>
      <x:c r="P1606" s="11" t="str">
        <x:v>אמקס - עינור</x:v>
      </x:c>
      <x:c r="Q1606" s="11" t="str"/>
      <x:c r="R1606" s="11" t="str">
        <x:v>לא</x:v>
      </x:c>
    </x:row>
    <x:row r="1607">
      <x:c r="A1607" s="14" t="n">
        <x:v>46143</x:v>
      </x:c>
      <x:c r="B1607" s="11" t="str">
        <x:v>2026-05</x:v>
      </x:c>
      <x:c r="C1607" s="11" t="str">
        <x:v>מאי 26</x:v>
      </x:c>
      <x:c r="D1607" s="15" t="n">
        <x:v>45</x:v>
      </x:c>
      <x:c r="E1607" s="11" t="str">
        <x:v>27.05</x:v>
      </x:c>
      <x:c r="F1607" s="11" t="str">
        <x:v>סופר</x:v>
      </x:c>
      <x:c r="G1607" s="17" t="n">
        <x:v>22</x:v>
      </x:c>
      <x:c r="H1607" s="18" t="str">
        <x:v>מזון לבית</x:v>
      </x:c>
      <x:c r="I1607" s="19" t="str">
        <x:f>IFERROR(INDEX('מיפוי ומקורות'!$C$7:$C$33,MATCH(H1607,'מיפוי ומקורות'!$B$7:$B$33,0)),"לא מסווג")</x:f>
        <x:v>מזון לבית</x:v>
      </x:c>
      <x:c r="J1607" s="19" t="str">
        <x:f>IFERROR(INDEX('מיפוי ומקורות'!$D$7:$D$33,MATCH(H1607,'מיפוי ומקורות'!$B$7:$B$33,0)),"שוטף")</x:f>
        <x:v>שוטף</x:v>
      </x:c>
      <x:c r="K1607" s="19" t="str">
        <x:f>IF(OR(H1607="ריביות",AND(H1607="דירה כצנלסון",G1607&lt;0,ISNUMBER(SEARCH("הכנסה",F1607)))),"הכנסה שסווגה מחדש",J1607)</x:f>
        <x:v>שוטף</x:v>
      </x:c>
      <x:c r="L1607" s="19" t="str">
        <x:v>מאושר</x:v>
      </x:c>
      <x:c r="M1607" s="20" t="n">
        <x:f>IF(L1607="מאושר",IF(K1607="הכנסה שסווגה מחדש",0,G1607),0)</x:f>
        <x:v>22</x:v>
      </x:c>
      <x:c r="N1607" s="20" t="n">
        <x:f>IF(K1607="שוטף",M1607,0)</x:f>
        <x:v>22</x:v>
      </x:c>
      <x:c r="O1607" s="20" t="n">
        <x:f>IF(K1607="הכנסה שסווגה מחדש",-G1607,0)</x:f>
        <x:v>0</x:v>
      </x:c>
      <x:c r="P1607" s="11" t="str">
        <x:v>אמקס - עינור</x:v>
      </x:c>
      <x:c r="Q1607" s="11" t="str"/>
      <x:c r="R1607" s="11" t="str">
        <x:v>לא</x:v>
      </x:c>
    </x:row>
    <x:row r="1608">
      <x:c r="A1608" s="14" t="n">
        <x:v>46143</x:v>
      </x:c>
      <x:c r="B1608" s="11" t="str">
        <x:v>2026-05</x:v>
      </x:c>
      <x:c r="C1608" s="11" t="str">
        <x:v>מאי 26</x:v>
      </x:c>
      <x:c r="D1608" s="15" t="n">
        <x:v>46</x:v>
      </x:c>
      <x:c r="E1608" s="11" t="str">
        <x:v>03/04</x:v>
      </x:c>
      <x:c r="F1608" s="11" t="str">
        <x:v>חלבון</x:v>
      </x:c>
      <x:c r="G1608" s="17" t="n">
        <x:v>346</x:v>
      </x:c>
      <x:c r="H1608" s="18" t="str">
        <x:v>מזון לבית</x:v>
      </x:c>
      <x:c r="I1608" s="19" t="str">
        <x:f>IFERROR(INDEX('מיפוי ומקורות'!$C$7:$C$33,MATCH(H1608,'מיפוי ומקורות'!$B$7:$B$33,0)),"לא מסווג")</x:f>
        <x:v>מזון לבית</x:v>
      </x:c>
      <x:c r="J1608" s="19" t="str">
        <x:f>IFERROR(INDEX('מיפוי ומקורות'!$D$7:$D$33,MATCH(H1608,'מיפוי ומקורות'!$B$7:$B$33,0)),"שוטף")</x:f>
        <x:v>שוטף</x:v>
      </x:c>
      <x:c r="K1608" s="19" t="str">
        <x:f>IF(OR(H1608="ריביות",AND(H1608="דירה כצנלסון",G1608&lt;0,ISNUMBER(SEARCH("הכנסה",F1608)))),"הכנסה שסווגה מחדש",J1608)</x:f>
        <x:v>שוטף</x:v>
      </x:c>
      <x:c r="L1608" s="19" t="str">
        <x:v>מאושר</x:v>
      </x:c>
      <x:c r="M1608" s="20" t="n">
        <x:f>IF(L1608="מאושר",IF(K1608="הכנסה שסווגה מחדש",0,G1608),0)</x:f>
        <x:v>346</x:v>
      </x:c>
      <x:c r="N1608" s="20" t="n">
        <x:f>IF(K1608="שוטף",M1608,0)</x:f>
        <x:v>346</x:v>
      </x:c>
      <x:c r="O1608" s="20" t="n">
        <x:f>IF(K1608="הכנסה שסווגה מחדש",-G1608,0)</x:f>
        <x:v>0</x:v>
      </x:c>
      <x:c r="P1608" s="11" t="str">
        <x:v>אמקס - זיו</x:v>
      </x:c>
      <x:c r="Q1608" s="11" t="str"/>
      <x:c r="R1608" s="11" t="str">
        <x:v>לא</x:v>
      </x:c>
    </x:row>
    <x:row r="1609">
      <x:c r="A1609" s="14" t="n">
        <x:v>46143</x:v>
      </x:c>
      <x:c r="B1609" s="11" t="str">
        <x:v>2026-05</x:v>
      </x:c>
      <x:c r="C1609" s="11" t="str">
        <x:v>מאי 26</x:v>
      </x:c>
      <x:c r="D1609" s="15" t="n">
        <x:v>47</x:v>
      </x:c>
      <x:c r="E1609" s="11" t="str">
        <x:v>23/04</x:v>
      </x:c>
      <x:c r="F1609" s="11" t="str">
        <x:v>אלי</x:v>
      </x:c>
      <x:c r="G1609" s="17" t="n">
        <x:v>169</x:v>
      </x:c>
      <x:c r="H1609" s="18" t="str">
        <x:v>מיג'י</x:v>
      </x:c>
      <x:c r="I1609" s="19" t="str">
        <x:f>IFERROR(INDEX('מיפוי ומקורות'!$C$7:$C$33,MATCH(H1609,'מיפוי ומקורות'!$B$7:$B$33,0)),"לא מסווג")</x:f>
        <x:v>תחביבים ומיג'י</x:v>
      </x:c>
      <x:c r="J1609" s="19" t="str">
        <x:f>IFERROR(INDEX('מיפוי ומקורות'!$D$7:$D$33,MATCH(H1609,'מיפוי ומקורות'!$B$7:$B$33,0)),"שוטף")</x:f>
        <x:v>שוטף</x:v>
      </x:c>
      <x:c r="K1609" s="19" t="str">
        <x:f>IF(OR(H1609="ריביות",AND(H1609="דירה כצנלסון",G1609&lt;0,ISNUMBER(SEARCH("הכנסה",F1609)))),"הכנסה שסווגה מחדש",J1609)</x:f>
        <x:v>שוטף</x:v>
      </x:c>
      <x:c r="L1609" s="19" t="str">
        <x:v>מאושר</x:v>
      </x:c>
      <x:c r="M1609" s="20" t="n">
        <x:f>IF(L1609="מאושר",IF(K1609="הכנסה שסווגה מחדש",0,G1609),0)</x:f>
        <x:v>169</x:v>
      </x:c>
      <x:c r="N1609" s="20" t="n">
        <x:f>IF(K1609="שוטף",M1609,0)</x:f>
        <x:v>169</x:v>
      </x:c>
      <x:c r="O1609" s="20" t="n">
        <x:f>IF(K1609="הכנסה שסווגה מחדש",-G1609,0)</x:f>
        <x:v>0</x:v>
      </x:c>
      <x:c r="P1609" s="11" t="str">
        <x:v>אמקס - זיו</x:v>
      </x:c>
      <x:c r="Q1609" s="11" t="str"/>
      <x:c r="R1609" s="11" t="str">
        <x:v>לא</x:v>
      </x:c>
    </x:row>
    <x:row r="1610">
      <x:c r="A1610" s="14" t="n">
        <x:v>46143</x:v>
      </x:c>
      <x:c r="B1610" s="11" t="str">
        <x:v>2026-05</x:v>
      </x:c>
      <x:c r="C1610" s="11" t="str">
        <x:v>מאי 26</x:v>
      </x:c>
      <x:c r="D1610" s="15" t="n">
        <x:v>48</x:v>
      </x:c>
      <x:c r="E1610" s="11" t="str">
        <x:v>30.04</x:v>
      </x:c>
      <x:c r="F1610" s="11" t="str">
        <x:v>קורקינט</x:v>
      </x:c>
      <x:c r="G1610" s="17" t="n">
        <x:v>19</x:v>
      </x:c>
      <x:c r="H1610" s="18" t="str">
        <x:v>תחבורה</x:v>
      </x:c>
      <x:c r="I1610" s="19" t="str">
        <x:f>IFERROR(INDEX('מיפוי ומקורות'!$C$7:$C$33,MATCH(H1610,'מיפוי ומקורות'!$B$7:$B$33,0)),"לא מסווג")</x:f>
        <x:v>תחבורה</x:v>
      </x:c>
      <x:c r="J1610" s="19" t="str">
        <x:f>IFERROR(INDEX('מיפוי ומקורות'!$D$7:$D$33,MATCH(H1610,'מיפוי ומקורות'!$B$7:$B$33,0)),"שוטף")</x:f>
        <x:v>שוטף</x:v>
      </x:c>
      <x:c r="K1610" s="19" t="str">
        <x:f>IF(OR(H1610="ריביות",AND(H1610="דירה כצנלסון",G1610&lt;0,ISNUMBER(SEARCH("הכנסה",F1610)))),"הכנסה שסווגה מחדש",J1610)</x:f>
        <x:v>שוטף</x:v>
      </x:c>
      <x:c r="L1610" s="19" t="str">
        <x:v>מאושר</x:v>
      </x:c>
      <x:c r="M1610" s="20" t="n">
        <x:f>IF(L1610="מאושר",IF(K1610="הכנסה שסווגה מחדש",0,G1610),0)</x:f>
        <x:v>19</x:v>
      </x:c>
      <x:c r="N1610" s="20" t="n">
        <x:f>IF(K1610="שוטף",M1610,0)</x:f>
        <x:v>19</x:v>
      </x:c>
      <x:c r="O1610" s="20" t="n">
        <x:f>IF(K1610="הכנסה שסווגה מחדש",-G1610,0)</x:f>
        <x:v>0</x:v>
      </x:c>
      <x:c r="P1610" s="11" t="str">
        <x:v>אמקס - זיו</x:v>
      </x:c>
      <x:c r="Q1610" s="11" t="str"/>
      <x:c r="R1610" s="11" t="str">
        <x:v>לא</x:v>
      </x:c>
    </x:row>
    <x:row r="1611">
      <x:c r="A1611" s="14" t="n">
        <x:v>46143</x:v>
      </x:c>
      <x:c r="B1611" s="11" t="str">
        <x:v>2026-05</x:v>
      </x:c>
      <x:c r="C1611" s="11" t="str">
        <x:v>מאי 26</x:v>
      </x:c>
      <x:c r="D1611" s="15" t="n">
        <x:v>49</x:v>
      </x:c>
      <x:c r="E1611" s="11" t="str">
        <x:v>1.05</x:v>
      </x:c>
      <x:c r="F1611" s="11" t="str">
        <x:v>BOTTE</x:v>
      </x:c>
      <x:c r="G1611" s="17" t="n">
        <x:v>210</x:v>
      </x:c>
      <x:c r="H1611" s="18" t="str">
        <x:v>אוכל בחוץ</x:v>
      </x:c>
      <x:c r="I1611" s="19" t="str">
        <x:f>IFERROR(INDEX('מיפוי ומקורות'!$C$7:$C$33,MATCH(H1611,'מיפוי ומקורות'!$B$7:$B$33,0)),"לא מסווג")</x:f>
        <x:v>אוכל בחוץ</x:v>
      </x:c>
      <x:c r="J1611" s="19" t="str">
        <x:f>IFERROR(INDEX('מיפוי ומקורות'!$D$7:$D$33,MATCH(H1611,'מיפוי ומקורות'!$B$7:$B$33,0)),"שוטף")</x:f>
        <x:v>שוטף</x:v>
      </x:c>
      <x:c r="K1611" s="19" t="str">
        <x:f>IF(OR(H1611="ריביות",AND(H1611="דירה כצנלסון",G1611&lt;0,ISNUMBER(SEARCH("הכנסה",F1611)))),"הכנסה שסווגה מחדש",J1611)</x:f>
        <x:v>שוטף</x:v>
      </x:c>
      <x:c r="L1611" s="19" t="str">
        <x:v>מאושר</x:v>
      </x:c>
      <x:c r="M1611" s="20" t="n">
        <x:f>IF(L1611="מאושר",IF(K1611="הכנסה שסווגה מחדש",0,G1611),0)</x:f>
        <x:v>210</x:v>
      </x:c>
      <x:c r="N1611" s="20" t="n">
        <x:f>IF(K1611="שוטף",M1611,0)</x:f>
        <x:v>210</x:v>
      </x:c>
      <x:c r="O1611" s="20" t="n">
        <x:f>IF(K1611="הכנסה שסווגה מחדש",-G1611,0)</x:f>
        <x:v>0</x:v>
      </x:c>
      <x:c r="P1611" s="11" t="str">
        <x:v>אמקס - זיו</x:v>
      </x:c>
      <x:c r="Q1611" s="11" t="str"/>
      <x:c r="R1611" s="11" t="str">
        <x:v>לא</x:v>
      </x:c>
    </x:row>
    <x:row r="1612">
      <x:c r="A1612" s="14" t="n">
        <x:v>46143</x:v>
      </x:c>
      <x:c r="B1612" s="11" t="str">
        <x:v>2026-05</x:v>
      </x:c>
      <x:c r="C1612" s="11" t="str">
        <x:v>מאי 26</x:v>
      </x:c>
      <x:c r="D1612" s="15" t="n">
        <x:v>50</x:v>
      </x:c>
      <x:c r="E1612" s="11" t="str">
        <x:v>02/05</x:v>
      </x:c>
      <x:c r="F1612" s="11" t="str">
        <x:v>KSP אקספרס-גמא</x:v>
      </x:c>
      <x:c r="G1612" s="17" t="n">
        <x:v>1670</x:v>
      </x:c>
      <x:c r="H1612" s="18" t="str">
        <x:v>קניות לבית</x:v>
      </x:c>
      <x:c r="I1612" s="19" t="str">
        <x:f>IFERROR(INDEX('מיפוי ומקורות'!$C$7:$C$33,MATCH(H1612,'מיפוי ומקורות'!$B$7:$B$33,0)),"לא מסווג")</x:f>
        <x:v>קניות לבית</x:v>
      </x:c>
      <x:c r="J1612" s="19" t="str">
        <x:f>IFERROR(INDEX('מיפוי ומקורות'!$D$7:$D$33,MATCH(H1612,'מיפוי ומקורות'!$B$7:$B$33,0)),"שוטף")</x:f>
        <x:v>שוטף</x:v>
      </x:c>
      <x:c r="K1612" s="19" t="str">
        <x:f>IF(OR(H1612="ריביות",AND(H1612="דירה כצנלסון",G1612&lt;0,ISNUMBER(SEARCH("הכנסה",F1612)))),"הכנסה שסווגה מחדש",J1612)</x:f>
        <x:v>שוטף</x:v>
      </x:c>
      <x:c r="L1612" s="19" t="str">
        <x:v>מאושר</x:v>
      </x:c>
      <x:c r="M1612" s="20" t="n">
        <x:f>IF(L1612="מאושר",IF(K1612="הכנסה שסווגה מחדש",0,G1612),0)</x:f>
        <x:v>1670</x:v>
      </x:c>
      <x:c r="N1612" s="20" t="n">
        <x:f>IF(K1612="שוטף",M1612,0)</x:f>
        <x:v>1670</x:v>
      </x:c>
      <x:c r="O1612" s="20" t="n">
        <x:f>IF(K1612="הכנסה שסווגה מחדש",-G1612,0)</x:f>
        <x:v>0</x:v>
      </x:c>
      <x:c r="P1612" s="11" t="str">
        <x:v>אמקס - זיו</x:v>
      </x:c>
      <x:c r="Q1612" s="11" t="str"/>
      <x:c r="R1612" s="11" t="str">
        <x:v>לא</x:v>
      </x:c>
    </x:row>
    <x:row r="1613">
      <x:c r="A1613" s="14" t="n">
        <x:v>46143</x:v>
      </x:c>
      <x:c r="B1613" s="11" t="str">
        <x:v>2026-05</x:v>
      </x:c>
      <x:c r="C1613" s="11" t="str">
        <x:v>מאי 26</x:v>
      </x:c>
      <x:c r="D1613" s="15" t="n">
        <x:v>51</x:v>
      </x:c>
      <x:c r="E1613" s="11" t="str">
        <x:v>03/05</x:v>
      </x:c>
      <x:c r="F1613" s="11" t="str">
        <x:v>PAYBOX</x:v>
      </x:c>
      <x:c r="G1613" s="17" t="n">
        <x:v>20</x:v>
      </x:c>
      <x:c r="H1613" s="18" t="str">
        <x:v>מתנה</x:v>
      </x:c>
      <x:c r="I1613" s="19" t="str">
        <x:f>IFERROR(INDEX('מיפוי ומקורות'!$C$7:$C$33,MATCH(H1613,'מיפוי ומקורות'!$B$7:$B$33,0)),"לא מסווג")</x:f>
        <x:v>מתנה</x:v>
      </x:c>
      <x:c r="J1613" s="19" t="str">
        <x:f>IFERROR(INDEX('מיפוי ומקורות'!$D$7:$D$33,MATCH(H1613,'מיפוי ומקורות'!$B$7:$B$33,0)),"שוטף")</x:f>
        <x:v>שוטף</x:v>
      </x:c>
      <x:c r="K1613" s="19" t="str">
        <x:f>IF(OR(H1613="ריביות",AND(H1613="דירה כצנלסון",G1613&lt;0,ISNUMBER(SEARCH("הכנסה",F1613)))),"הכנסה שסווגה מחדש",J1613)</x:f>
        <x:v>שוטף</x:v>
      </x:c>
      <x:c r="L1613" s="19" t="str">
        <x:v>מאושר</x:v>
      </x:c>
      <x:c r="M1613" s="20" t="n">
        <x:f>IF(L1613="מאושר",IF(K1613="הכנסה שסווגה מחדש",0,G1613),0)</x:f>
        <x:v>20</x:v>
      </x:c>
      <x:c r="N1613" s="20" t="n">
        <x:f>IF(K1613="שוטף",M1613,0)</x:f>
        <x:v>20</x:v>
      </x:c>
      <x:c r="O1613" s="20" t="n">
        <x:f>IF(K1613="הכנסה שסווגה מחדש",-G1613,0)</x:f>
        <x:v>0</x:v>
      </x:c>
      <x:c r="P1613" s="11" t="str">
        <x:v>אמקס - זיו</x:v>
      </x:c>
      <x:c r="Q1613" s="11" t="str"/>
      <x:c r="R1613" s="11" t="str">
        <x:v>לא</x:v>
      </x:c>
    </x:row>
    <x:row r="1614">
      <x:c r="A1614" s="14" t="n">
        <x:v>46143</x:v>
      </x:c>
      <x:c r="B1614" s="11" t="str">
        <x:v>2026-05</x:v>
      </x:c>
      <x:c r="C1614" s="11" t="str">
        <x:v>מאי 26</x:v>
      </x:c>
      <x:c r="D1614" s="15" t="n">
        <x:v>52</x:v>
      </x:c>
      <x:c r="E1614" s="11" t="str">
        <x:v>05/05</x:v>
      </x:c>
      <x:c r="F1614" s="11" t="str">
        <x:v>סוד ירוק בע''מ</x:v>
      </x:c>
      <x:c r="G1614" s="17" t="n">
        <x:v>320</x:v>
      </x:c>
      <x:c r="H1614" s="18" t="str">
        <x:v>מתנה</x:v>
      </x:c>
      <x:c r="I1614" s="19" t="str">
        <x:f>IFERROR(INDEX('מיפוי ומקורות'!$C$7:$C$33,MATCH(H1614,'מיפוי ומקורות'!$B$7:$B$33,0)),"לא מסווג")</x:f>
        <x:v>מתנה</x:v>
      </x:c>
      <x:c r="J1614" s="19" t="str">
        <x:f>IFERROR(INDEX('מיפוי ומקורות'!$D$7:$D$33,MATCH(H1614,'מיפוי ומקורות'!$B$7:$B$33,0)),"שוטף")</x:f>
        <x:v>שוטף</x:v>
      </x:c>
      <x:c r="K1614" s="19" t="str">
        <x:f>IF(OR(H1614="ריביות",AND(H1614="דירה כצנלסון",G1614&lt;0,ISNUMBER(SEARCH("הכנסה",F1614)))),"הכנסה שסווגה מחדש",J1614)</x:f>
        <x:v>שוטף</x:v>
      </x:c>
      <x:c r="L1614" s="19" t="str">
        <x:v>מאושר</x:v>
      </x:c>
      <x:c r="M1614" s="20" t="n">
        <x:f>IF(L1614="מאושר",IF(K1614="הכנסה שסווגה מחדש",0,G1614),0)</x:f>
        <x:v>320</x:v>
      </x:c>
      <x:c r="N1614" s="20" t="n">
        <x:f>IF(K1614="שוטף",M1614,0)</x:f>
        <x:v>320</x:v>
      </x:c>
      <x:c r="O1614" s="20" t="n">
        <x:f>IF(K1614="הכנסה שסווגה מחדש",-G1614,0)</x:f>
        <x:v>0</x:v>
      </x:c>
      <x:c r="P1614" s="11" t="str">
        <x:v>אמקס - זיו</x:v>
      </x:c>
      <x:c r="Q1614" s="11" t="str"/>
      <x:c r="R1614" s="11" t="str">
        <x:v>לא</x:v>
      </x:c>
    </x:row>
    <x:row r="1615">
      <x:c r="A1615" s="14" t="n">
        <x:v>46143</x:v>
      </x:c>
      <x:c r="B1615" s="11" t="str">
        <x:v>2026-05</x:v>
      </x:c>
      <x:c r="C1615" s="11" t="str">
        <x:v>מאי 26</x:v>
      </x:c>
      <x:c r="D1615" s="15" t="n">
        <x:v>53</x:v>
      </x:c>
      <x:c r="E1615" s="11" t="str">
        <x:v>7.05</x:v>
      </x:c>
      <x:c r="F1615" s="11" t="str">
        <x:v>ירקן</x:v>
      </x:c>
      <x:c r="G1615" s="17" t="n">
        <x:v>26</x:v>
      </x:c>
      <x:c r="H1615" s="18" t="str">
        <x:v>מזון לבית</x:v>
      </x:c>
      <x:c r="I1615" s="19" t="str">
        <x:f>IFERROR(INDEX('מיפוי ומקורות'!$C$7:$C$33,MATCH(H1615,'מיפוי ומקורות'!$B$7:$B$33,0)),"לא מסווג")</x:f>
        <x:v>מזון לבית</x:v>
      </x:c>
      <x:c r="J1615" s="19" t="str">
        <x:f>IFERROR(INDEX('מיפוי ומקורות'!$D$7:$D$33,MATCH(H1615,'מיפוי ומקורות'!$B$7:$B$33,0)),"שוטף")</x:f>
        <x:v>שוטף</x:v>
      </x:c>
      <x:c r="K1615" s="19" t="str">
        <x:f>IF(OR(H1615="ריביות",AND(H1615="דירה כצנלסון",G1615&lt;0,ISNUMBER(SEARCH("הכנסה",F1615)))),"הכנסה שסווגה מחדש",J1615)</x:f>
        <x:v>שוטף</x:v>
      </x:c>
      <x:c r="L1615" s="19" t="str">
        <x:v>מאושר</x:v>
      </x:c>
      <x:c r="M1615" s="20" t="n">
        <x:f>IF(L1615="מאושר",IF(K1615="הכנסה שסווגה מחדש",0,G1615),0)</x:f>
        <x:v>26</x:v>
      </x:c>
      <x:c r="N1615" s="20" t="n">
        <x:f>IF(K1615="שוטף",M1615,0)</x:f>
        <x:v>26</x:v>
      </x:c>
      <x:c r="O1615" s="20" t="n">
        <x:f>IF(K1615="הכנסה שסווגה מחדש",-G1615,0)</x:f>
        <x:v>0</x:v>
      </x:c>
      <x:c r="P1615" s="11" t="str">
        <x:v>אמקס - זיו</x:v>
      </x:c>
      <x:c r="Q1615" s="11" t="str"/>
      <x:c r="R1615" s="11" t="str">
        <x:v>לא</x:v>
      </x:c>
    </x:row>
    <x:row r="1616">
      <x:c r="A1616" s="14" t="n">
        <x:v>46143</x:v>
      </x:c>
      <x:c r="B1616" s="11" t="str">
        <x:v>2026-05</x:v>
      </x:c>
      <x:c r="C1616" s="11" t="str">
        <x:v>מאי 26</x:v>
      </x:c>
      <x:c r="D1616" s="15" t="n">
        <x:v>54</x:v>
      </x:c>
      <x:c r="E1616" s="11" t="str">
        <x:v>07/05</x:v>
      </x:c>
      <x:c r="F1616" s="11" t="str">
        <x:v>צייט פור ברוט</x:v>
      </x:c>
      <x:c r="G1616" s="17" t="n">
        <x:v>29</x:v>
      </x:c>
      <x:c r="H1616" s="18" t="str">
        <x:v>אוכל בחוץ</x:v>
      </x:c>
      <x:c r="I1616" s="19" t="str">
        <x:f>IFERROR(INDEX('מיפוי ומקורות'!$C$7:$C$33,MATCH(H1616,'מיפוי ומקורות'!$B$7:$B$33,0)),"לא מסווג")</x:f>
        <x:v>אוכל בחוץ</x:v>
      </x:c>
      <x:c r="J1616" s="19" t="str">
        <x:f>IFERROR(INDEX('מיפוי ומקורות'!$D$7:$D$33,MATCH(H1616,'מיפוי ומקורות'!$B$7:$B$33,0)),"שוטף")</x:f>
        <x:v>שוטף</x:v>
      </x:c>
      <x:c r="K1616" s="19" t="str">
        <x:f>IF(OR(H1616="ריביות",AND(H1616="דירה כצנלסון",G1616&lt;0,ISNUMBER(SEARCH("הכנסה",F1616)))),"הכנסה שסווגה מחדש",J1616)</x:f>
        <x:v>שוטף</x:v>
      </x:c>
      <x:c r="L1616" s="19" t="str">
        <x:v>מאושר</x:v>
      </x:c>
      <x:c r="M1616" s="20" t="n">
        <x:f>IF(L1616="מאושר",IF(K1616="הכנסה שסווגה מחדש",0,G1616),0)</x:f>
        <x:v>29</x:v>
      </x:c>
      <x:c r="N1616" s="20" t="n">
        <x:f>IF(K1616="שוטף",M1616,0)</x:f>
        <x:v>29</x:v>
      </x:c>
      <x:c r="O1616" s="20" t="n">
        <x:f>IF(K1616="הכנסה שסווגה מחדש",-G1616,0)</x:f>
        <x:v>0</x:v>
      </x:c>
      <x:c r="P1616" s="11" t="str">
        <x:v>אמקס - זיו</x:v>
      </x:c>
      <x:c r="Q1616" s="11" t="str"/>
      <x:c r="R1616" s="11" t="str">
        <x:v>לא</x:v>
      </x:c>
    </x:row>
    <x:row r="1617">
      <x:c r="A1617" s="14" t="n">
        <x:v>46143</x:v>
      </x:c>
      <x:c r="B1617" s="11" t="str">
        <x:v>2026-05</x:v>
      </x:c>
      <x:c r="C1617" s="11" t="str">
        <x:v>מאי 26</x:v>
      </x:c>
      <x:c r="D1617" s="15" t="n">
        <x:v>55</x:v>
      </x:c>
      <x:c r="E1617" s="11" t="str">
        <x:v>09/05</x:v>
      </x:c>
      <x:c r="F1617" s="11" t="str">
        <x:v>אייס ראשל צ-צמרת</x:v>
      </x:c>
      <x:c r="G1617" s="17" t="n">
        <x:v>165</x:v>
      </x:c>
      <x:c r="H1617" s="18" t="str">
        <x:v>קניות לבית</x:v>
      </x:c>
      <x:c r="I1617" s="19" t="str">
        <x:f>IFERROR(INDEX('מיפוי ומקורות'!$C$7:$C$33,MATCH(H1617,'מיפוי ומקורות'!$B$7:$B$33,0)),"לא מסווג")</x:f>
        <x:v>קניות לבית</x:v>
      </x:c>
      <x:c r="J1617" s="19" t="str">
        <x:f>IFERROR(INDEX('מיפוי ומקורות'!$D$7:$D$33,MATCH(H1617,'מיפוי ומקורות'!$B$7:$B$33,0)),"שוטף")</x:f>
        <x:v>שוטף</x:v>
      </x:c>
      <x:c r="K1617" s="19" t="str">
        <x:f>IF(OR(H1617="ריביות",AND(H1617="דירה כצנלסון",G1617&lt;0,ISNUMBER(SEARCH("הכנסה",F1617)))),"הכנסה שסווגה מחדש",J1617)</x:f>
        <x:v>שוטף</x:v>
      </x:c>
      <x:c r="L1617" s="19" t="str">
        <x:v>מאושר</x:v>
      </x:c>
      <x:c r="M1617" s="20" t="n">
        <x:f>IF(L1617="מאושר",IF(K1617="הכנסה שסווגה מחדש",0,G1617),0)</x:f>
        <x:v>165</x:v>
      </x:c>
      <x:c r="N1617" s="20" t="n">
        <x:f>IF(K1617="שוטף",M1617,0)</x:f>
        <x:v>165</x:v>
      </x:c>
      <x:c r="O1617" s="20" t="n">
        <x:f>IF(K1617="הכנסה שסווגה מחדש",-G1617,0)</x:f>
        <x:v>0</x:v>
      </x:c>
      <x:c r="P1617" s="11" t="str">
        <x:v>אמקס - זיו</x:v>
      </x:c>
      <x:c r="Q1617" s="11" t="str"/>
      <x:c r="R1617" s="11" t="str">
        <x:v>לא</x:v>
      </x:c>
    </x:row>
    <x:row r="1618">
      <x:c r="A1618" s="14" t="n">
        <x:v>46143</x:v>
      </x:c>
      <x:c r="B1618" s="11" t="str">
        <x:v>2026-05</x:v>
      </x:c>
      <x:c r="C1618" s="11" t="str">
        <x:v>מאי 26</x:v>
      </x:c>
      <x:c r="D1618" s="15" t="n">
        <x:v>56</x:v>
      </x:c>
      <x:c r="E1618" s="11" t="str">
        <x:v>09/05</x:v>
      </x:c>
      <x:c r="F1618" s="11" t="str">
        <x:v>פליינג טייגר סינמה</x:v>
      </x:c>
      <x:c r="G1618" s="17" t="n">
        <x:v>106</x:v>
      </x:c>
      <x:c r="H1618" s="18" t="str">
        <x:v>קניות לבית</x:v>
      </x:c>
      <x:c r="I1618" s="19" t="str">
        <x:f>IFERROR(INDEX('מיפוי ומקורות'!$C$7:$C$33,MATCH(H1618,'מיפוי ומקורות'!$B$7:$B$33,0)),"לא מסווג")</x:f>
        <x:v>קניות לבית</x:v>
      </x:c>
      <x:c r="J1618" s="19" t="str">
        <x:f>IFERROR(INDEX('מיפוי ומקורות'!$D$7:$D$33,MATCH(H1618,'מיפוי ומקורות'!$B$7:$B$33,0)),"שוטף")</x:f>
        <x:v>שוטף</x:v>
      </x:c>
      <x:c r="K1618" s="19" t="str">
        <x:f>IF(OR(H1618="ריביות",AND(H1618="דירה כצנלסון",G1618&lt;0,ISNUMBER(SEARCH("הכנסה",F1618)))),"הכנסה שסווגה מחדש",J1618)</x:f>
        <x:v>שוטף</x:v>
      </x:c>
      <x:c r="L1618" s="19" t="str">
        <x:v>מאושר</x:v>
      </x:c>
      <x:c r="M1618" s="20" t="n">
        <x:f>IF(L1618="מאושר",IF(K1618="הכנסה שסווגה מחדש",0,G1618),0)</x:f>
        <x:v>106</x:v>
      </x:c>
      <x:c r="N1618" s="20" t="n">
        <x:f>IF(K1618="שוטף",M1618,0)</x:f>
        <x:v>106</x:v>
      </x:c>
      <x:c r="O1618" s="20" t="n">
        <x:f>IF(K1618="הכנסה שסווגה מחדש",-G1618,0)</x:f>
        <x:v>0</x:v>
      </x:c>
      <x:c r="P1618" s="11" t="str">
        <x:v>אמקס - זיו</x:v>
      </x:c>
      <x:c r="Q1618" s="11" t="str"/>
      <x:c r="R1618" s="11" t="str">
        <x:v>לא</x:v>
      </x:c>
    </x:row>
    <x:row r="1619">
      <x:c r="A1619" s="14" t="n">
        <x:v>46143</x:v>
      </x:c>
      <x:c r="B1619" s="11" t="str">
        <x:v>2026-05</x:v>
      </x:c>
      <x:c r="C1619" s="11" t="str">
        <x:v>מאי 26</x:v>
      </x:c>
      <x:c r="D1619" s="15" t="n">
        <x:v>57</x:v>
      </x:c>
      <x:c r="E1619" s="11" t="str">
        <x:v>12.05</x:v>
      </x:c>
      <x:c r="F1619" s="11" t="str">
        <x:v>דלק</x:v>
      </x:c>
      <x:c r="G1619" s="17" t="n">
        <x:v>242</x:v>
      </x:c>
      <x:c r="H1619" s="18" t="str">
        <x:v>תחבורה</x:v>
      </x:c>
      <x:c r="I1619" s="19" t="str">
        <x:f>IFERROR(INDEX('מיפוי ומקורות'!$C$7:$C$33,MATCH(H1619,'מיפוי ומקורות'!$B$7:$B$33,0)),"לא מסווג")</x:f>
        <x:v>תחבורה</x:v>
      </x:c>
      <x:c r="J1619" s="19" t="str">
        <x:f>IFERROR(INDEX('מיפוי ומקורות'!$D$7:$D$33,MATCH(H1619,'מיפוי ומקורות'!$B$7:$B$33,0)),"שוטף")</x:f>
        <x:v>שוטף</x:v>
      </x:c>
      <x:c r="K1619" s="19" t="str">
        <x:f>IF(OR(H1619="ריביות",AND(H1619="דירה כצנלסון",G1619&lt;0,ISNUMBER(SEARCH("הכנסה",F1619)))),"הכנסה שסווגה מחדש",J1619)</x:f>
        <x:v>שוטף</x:v>
      </x:c>
      <x:c r="L1619" s="19" t="str">
        <x:v>מאושר</x:v>
      </x:c>
      <x:c r="M1619" s="20" t="n">
        <x:f>IF(L1619="מאושר",IF(K1619="הכנסה שסווגה מחדש",0,G1619),0)</x:f>
        <x:v>242</x:v>
      </x:c>
      <x:c r="N1619" s="20" t="n">
        <x:f>IF(K1619="שוטף",M1619,0)</x:f>
        <x:v>242</x:v>
      </x:c>
      <x:c r="O1619" s="20" t="n">
        <x:f>IF(K1619="הכנסה שסווגה מחדש",-G1619,0)</x:f>
        <x:v>0</x:v>
      </x:c>
      <x:c r="P1619" s="11" t="str">
        <x:v>אמקס - זיו</x:v>
      </x:c>
      <x:c r="Q1619" s="11" t="str"/>
      <x:c r="R1619" s="11" t="str">
        <x:v>לא</x:v>
      </x:c>
    </x:row>
    <x:row r="1620">
      <x:c r="A1620" s="14" t="n">
        <x:v>46143</x:v>
      </x:c>
      <x:c r="B1620" s="11" t="str">
        <x:v>2026-05</x:v>
      </x:c>
      <x:c r="C1620" s="11" t="str">
        <x:v>מאי 26</x:v>
      </x:c>
      <x:c r="D1620" s="15" t="n">
        <x:v>58</x:v>
      </x:c>
      <x:c r="E1620" s="11" t="str">
        <x:v>12.05</x:v>
      </x:c>
      <x:c r="F1620" s="11" t="str">
        <x:v>מסעדה</x:v>
      </x:c>
      <x:c r="G1620" s="17" t="n">
        <x:v>299</x:v>
      </x:c>
      <x:c r="H1620" s="18" t="str">
        <x:v>אוכל בחוץ</x:v>
      </x:c>
      <x:c r="I1620" s="19" t="str">
        <x:f>IFERROR(INDEX('מיפוי ומקורות'!$C$7:$C$33,MATCH(H1620,'מיפוי ומקורות'!$B$7:$B$33,0)),"לא מסווג")</x:f>
        <x:v>אוכל בחוץ</x:v>
      </x:c>
      <x:c r="J1620" s="19" t="str">
        <x:f>IFERROR(INDEX('מיפוי ומקורות'!$D$7:$D$33,MATCH(H1620,'מיפוי ומקורות'!$B$7:$B$33,0)),"שוטף")</x:f>
        <x:v>שוטף</x:v>
      </x:c>
      <x:c r="K1620" s="19" t="str">
        <x:f>IF(OR(H1620="ריביות",AND(H1620="דירה כצנלסון",G1620&lt;0,ISNUMBER(SEARCH("הכנסה",F1620)))),"הכנסה שסווגה מחדש",J1620)</x:f>
        <x:v>שוטף</x:v>
      </x:c>
      <x:c r="L1620" s="19" t="str">
        <x:v>מאושר</x:v>
      </x:c>
      <x:c r="M1620" s="20" t="n">
        <x:f>IF(L1620="מאושר",IF(K1620="הכנסה שסווגה מחדש",0,G1620),0)</x:f>
        <x:v>299</x:v>
      </x:c>
      <x:c r="N1620" s="20" t="n">
        <x:f>IF(K1620="שוטף",M1620,0)</x:f>
        <x:v>299</x:v>
      </x:c>
      <x:c r="O1620" s="20" t="n">
        <x:f>IF(K1620="הכנסה שסווגה מחדש",-G1620,0)</x:f>
        <x:v>0</x:v>
      </x:c>
      <x:c r="P1620" s="11" t="str">
        <x:v>אמקס - זיו</x:v>
      </x:c>
      <x:c r="Q1620" s="11" t="str"/>
      <x:c r="R1620" s="11" t="str">
        <x:v>לא</x:v>
      </x:c>
    </x:row>
    <x:row r="1621">
      <x:c r="A1621" s="14" t="n">
        <x:v>46143</x:v>
      </x:c>
      <x:c r="B1621" s="11" t="str">
        <x:v>2026-05</x:v>
      </x:c>
      <x:c r="C1621" s="11" t="str">
        <x:v>מאי 26</x:v>
      </x:c>
      <x:c r="D1621" s="15" t="n">
        <x:v>59</x:v>
      </x:c>
      <x:c r="E1621" s="11" t="str">
        <x:v>13/05</x:v>
      </x:c>
      <x:c r="F1621" s="11" t="str">
        <x:v>סנוקר</x:v>
      </x:c>
      <x:c r="G1621" s="17" t="n">
        <x:v>26</x:v>
      </x:c>
      <x:c r="H1621" s="18" t="str">
        <x:v>פנאי</x:v>
      </x:c>
      <x:c r="I1621" s="19" t="str">
        <x:f>IFERROR(INDEX('מיפוי ומקורות'!$C$7:$C$33,MATCH(H1621,'מיפוי ומקורות'!$B$7:$B$33,0)),"לא מסווג")</x:f>
        <x:v>פנאי</x:v>
      </x:c>
      <x:c r="J1621" s="19" t="str">
        <x:f>IFERROR(INDEX('מיפוי ומקורות'!$D$7:$D$33,MATCH(H1621,'מיפוי ומקורות'!$B$7:$B$33,0)),"שוטף")</x:f>
        <x:v>שוטף</x:v>
      </x:c>
      <x:c r="K1621" s="19" t="str">
        <x:f>IF(OR(H1621="ריביות",AND(H1621="דירה כצנלסון",G1621&lt;0,ISNUMBER(SEARCH("הכנסה",F1621)))),"הכנסה שסווגה מחדש",J1621)</x:f>
        <x:v>שוטף</x:v>
      </x:c>
      <x:c r="L1621" s="19" t="str">
        <x:v>מאושר</x:v>
      </x:c>
      <x:c r="M1621" s="20" t="n">
        <x:f>IF(L1621="מאושר",IF(K1621="הכנסה שסווגה מחדש",0,G1621),0)</x:f>
        <x:v>26</x:v>
      </x:c>
      <x:c r="N1621" s="20" t="n">
        <x:f>IF(K1621="שוטף",M1621,0)</x:f>
        <x:v>26</x:v>
      </x:c>
      <x:c r="O1621" s="20" t="n">
        <x:f>IF(K1621="הכנסה שסווגה מחדש",-G1621,0)</x:f>
        <x:v>0</x:v>
      </x:c>
      <x:c r="P1621" s="11" t="str">
        <x:v>אמקס - זיו</x:v>
      </x:c>
      <x:c r="Q1621" s="11" t="str"/>
      <x:c r="R1621" s="11" t="str">
        <x:v>לא</x:v>
      </x:c>
    </x:row>
    <x:row r="1622">
      <x:c r="A1622" s="14" t="n">
        <x:v>46143</x:v>
      </x:c>
      <x:c r="B1622" s="11" t="str">
        <x:v>2026-05</x:v>
      </x:c>
      <x:c r="C1622" s="11" t="str">
        <x:v>מאי 26</x:v>
      </x:c>
      <x:c r="D1622" s="15" t="n">
        <x:v>60</x:v>
      </x:c>
      <x:c r="E1622" s="11" t="str">
        <x:v>14.05</x:v>
      </x:c>
      <x:c r="F1622" s="11" t="str">
        <x:v>סופר</x:v>
      </x:c>
      <x:c r="G1622" s="17" t="n">
        <x:v>14</x:v>
      </x:c>
      <x:c r="H1622" s="18" t="str">
        <x:v>מזון לבית</x:v>
      </x:c>
      <x:c r="I1622" s="19" t="str">
        <x:f>IFERROR(INDEX('מיפוי ומקורות'!$C$7:$C$33,MATCH(H1622,'מיפוי ומקורות'!$B$7:$B$33,0)),"לא מסווג")</x:f>
        <x:v>מזון לבית</x:v>
      </x:c>
      <x:c r="J1622" s="19" t="str">
        <x:f>IFERROR(INDEX('מיפוי ומקורות'!$D$7:$D$33,MATCH(H1622,'מיפוי ומקורות'!$B$7:$B$33,0)),"שוטף")</x:f>
        <x:v>שוטף</x:v>
      </x:c>
      <x:c r="K1622" s="19" t="str">
        <x:f>IF(OR(H1622="ריביות",AND(H1622="דירה כצנלסון",G1622&lt;0,ISNUMBER(SEARCH("הכנסה",F1622)))),"הכנסה שסווגה מחדש",J1622)</x:f>
        <x:v>שוטף</x:v>
      </x:c>
      <x:c r="L1622" s="19" t="str">
        <x:v>מאושר</x:v>
      </x:c>
      <x:c r="M1622" s="20" t="n">
        <x:f>IF(L1622="מאושר",IF(K1622="הכנסה שסווגה מחדש",0,G1622),0)</x:f>
        <x:v>14</x:v>
      </x:c>
      <x:c r="N1622" s="20" t="n">
        <x:f>IF(K1622="שוטף",M1622,0)</x:f>
        <x:v>14</x:v>
      </x:c>
      <x:c r="O1622" s="20" t="n">
        <x:f>IF(K1622="הכנסה שסווגה מחדש",-G1622,0)</x:f>
        <x:v>0</x:v>
      </x:c>
      <x:c r="P1622" s="11" t="str">
        <x:v>אמקס - זיו</x:v>
      </x:c>
      <x:c r="Q1622" s="11" t="str"/>
      <x:c r="R1622" s="11" t="str">
        <x:v>לא</x:v>
      </x:c>
    </x:row>
    <x:row r="1623">
      <x:c r="A1623" s="14" t="n">
        <x:v>46143</x:v>
      </x:c>
      <x:c r="B1623" s="11" t="str">
        <x:v>2026-05</x:v>
      </x:c>
      <x:c r="C1623" s="11" t="str">
        <x:v>מאי 26</x:v>
      </x:c>
      <x:c r="D1623" s="15" t="n">
        <x:v>61</x:v>
      </x:c>
      <x:c r="E1623" s="11" t="str">
        <x:v>15.05</x:v>
      </x:c>
      <x:c r="F1623" s="11" t="str">
        <x:v>סופר</x:v>
      </x:c>
      <x:c r="G1623" s="17" t="n">
        <x:v>145</x:v>
      </x:c>
      <x:c r="H1623" s="18" t="str">
        <x:v>מזון לבית</x:v>
      </x:c>
      <x:c r="I1623" s="19" t="str">
        <x:f>IFERROR(INDEX('מיפוי ומקורות'!$C$7:$C$33,MATCH(H1623,'מיפוי ומקורות'!$B$7:$B$33,0)),"לא מסווג")</x:f>
        <x:v>מזון לבית</x:v>
      </x:c>
      <x:c r="J1623" s="19" t="str">
        <x:f>IFERROR(INDEX('מיפוי ומקורות'!$D$7:$D$33,MATCH(H1623,'מיפוי ומקורות'!$B$7:$B$33,0)),"שוטף")</x:f>
        <x:v>שוטף</x:v>
      </x:c>
      <x:c r="K1623" s="19" t="str">
        <x:f>IF(OR(H1623="ריביות",AND(H1623="דירה כצנלסון",G1623&lt;0,ISNUMBER(SEARCH("הכנסה",F1623)))),"הכנסה שסווגה מחדש",J1623)</x:f>
        <x:v>שוטף</x:v>
      </x:c>
      <x:c r="L1623" s="19" t="str">
        <x:v>מאושר</x:v>
      </x:c>
      <x:c r="M1623" s="20" t="n">
        <x:f>IF(L1623="מאושר",IF(K1623="הכנסה שסווגה מחדש",0,G1623),0)</x:f>
        <x:v>145</x:v>
      </x:c>
      <x:c r="N1623" s="20" t="n">
        <x:f>IF(K1623="שוטף",M1623,0)</x:f>
        <x:v>145</x:v>
      </x:c>
      <x:c r="O1623" s="20" t="n">
        <x:f>IF(K1623="הכנסה שסווגה מחדש",-G1623,0)</x:f>
        <x:v>0</x:v>
      </x:c>
      <x:c r="P1623" s="11" t="str">
        <x:v>אמקס - זיו</x:v>
      </x:c>
      <x:c r="Q1623" s="11" t="str"/>
      <x:c r="R1623" s="11" t="str">
        <x:v>לא</x:v>
      </x:c>
    </x:row>
    <x:row r="1624">
      <x:c r="A1624" s="14" t="n">
        <x:v>46143</x:v>
      </x:c>
      <x:c r="B1624" s="11" t="str">
        <x:v>2026-05</x:v>
      </x:c>
      <x:c r="C1624" s="11" t="str">
        <x:v>מאי 26</x:v>
      </x:c>
      <x:c r="D1624" s="15" t="n">
        <x:v>62</x:v>
      </x:c>
      <x:c r="E1624" s="11" t="str">
        <x:v>18/05</x:v>
      </x:c>
      <x:c r="F1624" s="11" t="str">
        <x:v>מקס 20 גבעתיים</x:v>
      </x:c>
      <x:c r="G1624" s="17" t="n">
        <x:v>14</x:v>
      </x:c>
      <x:c r="H1624" s="18" t="str">
        <x:v>קניות לבית</x:v>
      </x:c>
      <x:c r="I1624" s="19" t="str">
        <x:f>IFERROR(INDEX('מיפוי ומקורות'!$C$7:$C$33,MATCH(H1624,'מיפוי ומקורות'!$B$7:$B$33,0)),"לא מסווג")</x:f>
        <x:v>קניות לבית</x:v>
      </x:c>
      <x:c r="J1624" s="19" t="str">
        <x:f>IFERROR(INDEX('מיפוי ומקורות'!$D$7:$D$33,MATCH(H1624,'מיפוי ומקורות'!$B$7:$B$33,0)),"שוטף")</x:f>
        <x:v>שוטף</x:v>
      </x:c>
      <x:c r="K1624" s="19" t="str">
        <x:f>IF(OR(H1624="ריביות",AND(H1624="דירה כצנלסון",G1624&lt;0,ISNUMBER(SEARCH("הכנסה",F1624)))),"הכנסה שסווגה מחדש",J1624)</x:f>
        <x:v>שוטף</x:v>
      </x:c>
      <x:c r="L1624" s="19" t="str">
        <x:v>מאושר</x:v>
      </x:c>
      <x:c r="M1624" s="20" t="n">
        <x:f>IF(L1624="מאושר",IF(K1624="הכנסה שסווגה מחדש",0,G1624),0)</x:f>
        <x:v>14</x:v>
      </x:c>
      <x:c r="N1624" s="20" t="n">
        <x:f>IF(K1624="שוטף",M1624,0)</x:f>
        <x:v>14</x:v>
      </x:c>
      <x:c r="O1624" s="20" t="n">
        <x:f>IF(K1624="הכנסה שסווגה מחדש",-G1624,0)</x:f>
        <x:v>0</x:v>
      </x:c>
      <x:c r="P1624" s="11" t="str">
        <x:v>אמקס - זיו</x:v>
      </x:c>
      <x:c r="Q1624" s="11" t="str"/>
      <x:c r="R1624" s="11" t="str">
        <x:v>לא</x:v>
      </x:c>
    </x:row>
    <x:row r="1625">
      <x:c r="A1625" s="14" t="n">
        <x:v>46143</x:v>
      </x:c>
      <x:c r="B1625" s="11" t="str">
        <x:v>2026-05</x:v>
      </x:c>
      <x:c r="C1625" s="11" t="str">
        <x:v>מאי 26</x:v>
      </x:c>
      <x:c r="D1625" s="15" t="n">
        <x:v>63</x:v>
      </x:c>
      <x:c r="E1625" s="11" t="str">
        <x:v>19.05</x:v>
      </x:c>
      <x:c r="F1625" s="11" t="str">
        <x:v>ירקן</x:v>
      </x:c>
      <x:c r="G1625" s="17" t="n">
        <x:v>19</x:v>
      </x:c>
      <x:c r="H1625" s="18" t="str">
        <x:v>מזון לבית</x:v>
      </x:c>
      <x:c r="I1625" s="19" t="str">
        <x:f>IFERROR(INDEX('מיפוי ומקורות'!$C$7:$C$33,MATCH(H1625,'מיפוי ומקורות'!$B$7:$B$33,0)),"לא מסווג")</x:f>
        <x:v>מזון לבית</x:v>
      </x:c>
      <x:c r="J1625" s="19" t="str">
        <x:f>IFERROR(INDEX('מיפוי ומקורות'!$D$7:$D$33,MATCH(H1625,'מיפוי ומקורות'!$B$7:$B$33,0)),"שוטף")</x:f>
        <x:v>שוטף</x:v>
      </x:c>
      <x:c r="K1625" s="19" t="str">
        <x:f>IF(OR(H1625="ריביות",AND(H1625="דירה כצנלסון",G1625&lt;0,ISNUMBER(SEARCH("הכנסה",F1625)))),"הכנסה שסווגה מחדש",J1625)</x:f>
        <x:v>שוטף</x:v>
      </x:c>
      <x:c r="L1625" s="19" t="str">
        <x:v>מאושר</x:v>
      </x:c>
      <x:c r="M1625" s="20" t="n">
        <x:f>IF(L1625="מאושר",IF(K1625="הכנסה שסווגה מחדש",0,G1625),0)</x:f>
        <x:v>19</x:v>
      </x:c>
      <x:c r="N1625" s="20" t="n">
        <x:f>IF(K1625="שוטף",M1625,0)</x:f>
        <x:v>19</x:v>
      </x:c>
      <x:c r="O1625" s="20" t="n">
        <x:f>IF(K1625="הכנסה שסווגה מחדש",-G1625,0)</x:f>
        <x:v>0</x:v>
      </x:c>
      <x:c r="P1625" s="11" t="str">
        <x:v>אמקס - זיו</x:v>
      </x:c>
      <x:c r="Q1625" s="11" t="str"/>
      <x:c r="R1625" s="11" t="str">
        <x:v>לא</x:v>
      </x:c>
    </x:row>
    <x:row r="1626">
      <x:c r="A1626" s="14" t="n">
        <x:v>46143</x:v>
      </x:c>
      <x:c r="B1626" s="11" t="str">
        <x:v>2026-05</x:v>
      </x:c>
      <x:c r="C1626" s="11" t="str">
        <x:v>מאי 26</x:v>
      </x:c>
      <x:c r="D1626" s="15" t="n">
        <x:v>64</x:v>
      </x:c>
      <x:c r="E1626" s="11" t="str">
        <x:v>24.05</x:v>
      </x:c>
      <x:c r="F1626" s="11" t="str">
        <x:v>סופר</x:v>
      </x:c>
      <x:c r="G1626" s="17" t="n">
        <x:v>16</x:v>
      </x:c>
      <x:c r="H1626" s="18" t="str">
        <x:v>מזון לבית</x:v>
      </x:c>
      <x:c r="I1626" s="19" t="str">
        <x:f>IFERROR(INDEX('מיפוי ומקורות'!$C$7:$C$33,MATCH(H1626,'מיפוי ומקורות'!$B$7:$B$33,0)),"לא מסווג")</x:f>
        <x:v>מזון לבית</x:v>
      </x:c>
      <x:c r="J1626" s="19" t="str">
        <x:f>IFERROR(INDEX('מיפוי ומקורות'!$D$7:$D$33,MATCH(H1626,'מיפוי ומקורות'!$B$7:$B$33,0)),"שוטף")</x:f>
        <x:v>שוטף</x:v>
      </x:c>
      <x:c r="K1626" s="19" t="str">
        <x:f>IF(OR(H1626="ריביות",AND(H1626="דירה כצנלסון",G1626&lt;0,ISNUMBER(SEARCH("הכנסה",F1626)))),"הכנסה שסווגה מחדש",J1626)</x:f>
        <x:v>שוטף</x:v>
      </x:c>
      <x:c r="L1626" s="19" t="str">
        <x:v>מאושר</x:v>
      </x:c>
      <x:c r="M1626" s="20" t="n">
        <x:f>IF(L1626="מאושר",IF(K1626="הכנסה שסווגה מחדש",0,G1626),0)</x:f>
        <x:v>16</x:v>
      </x:c>
      <x:c r="N1626" s="20" t="n">
        <x:f>IF(K1626="שוטף",M1626,0)</x:f>
        <x:v>16</x:v>
      </x:c>
      <x:c r="O1626" s="20" t="n">
        <x:f>IF(K1626="הכנסה שסווגה מחדש",-G1626,0)</x:f>
        <x:v>0</x:v>
      </x:c>
      <x:c r="P1626" s="11" t="str">
        <x:v>אמקס - זיו</x:v>
      </x:c>
      <x:c r="Q1626" s="11" t="str"/>
      <x:c r="R1626" s="11" t="str">
        <x:v>לא</x:v>
      </x:c>
    </x:row>
    <x:row r="1627">
      <x:c r="A1627" s="14" t="n">
        <x:v>46143</x:v>
      </x:c>
      <x:c r="B1627" s="11" t="str">
        <x:v>2026-05</x:v>
      </x:c>
      <x:c r="C1627" s="11" t="str">
        <x:v>מאי 26</x:v>
      </x:c>
      <x:c r="D1627" s="15" t="n">
        <x:v>65</x:v>
      </x:c>
      <x:c r="E1627" s="11" t="str">
        <x:v>25/05</x:v>
      </x:c>
      <x:c r="F1627" s="11" t="str">
        <x:v>PAYBOX</x:v>
      </x:c>
      <x:c r="G1627" s="17" t="n">
        <x:v>25</x:v>
      </x:c>
      <x:c r="H1627" s="18" t="str">
        <x:v>מתנה</x:v>
      </x:c>
      <x:c r="I1627" s="19" t="str">
        <x:f>IFERROR(INDEX('מיפוי ומקורות'!$C$7:$C$33,MATCH(H1627,'מיפוי ומקורות'!$B$7:$B$33,0)),"לא מסווג")</x:f>
        <x:v>מתנה</x:v>
      </x:c>
      <x:c r="J1627" s="19" t="str">
        <x:f>IFERROR(INDEX('מיפוי ומקורות'!$D$7:$D$33,MATCH(H1627,'מיפוי ומקורות'!$B$7:$B$33,0)),"שוטף")</x:f>
        <x:v>שוטף</x:v>
      </x:c>
      <x:c r="K1627" s="19" t="str">
        <x:f>IF(OR(H1627="ריביות",AND(H1627="דירה כצנלסון",G1627&lt;0,ISNUMBER(SEARCH("הכנסה",F1627)))),"הכנסה שסווגה מחדש",J1627)</x:f>
        <x:v>שוטף</x:v>
      </x:c>
      <x:c r="L1627" s="19" t="str">
        <x:v>מאושר</x:v>
      </x:c>
      <x:c r="M1627" s="20" t="n">
        <x:f>IF(L1627="מאושר",IF(K1627="הכנסה שסווגה מחדש",0,G1627),0)</x:f>
        <x:v>25</x:v>
      </x:c>
      <x:c r="N1627" s="20" t="n">
        <x:f>IF(K1627="שוטף",M1627,0)</x:f>
        <x:v>25</x:v>
      </x:c>
      <x:c r="O1627" s="20" t="n">
        <x:f>IF(K1627="הכנסה שסווגה מחדש",-G1627,0)</x:f>
        <x:v>0</x:v>
      </x:c>
      <x:c r="P1627" s="11" t="str">
        <x:v>אמקס - זיו</x:v>
      </x:c>
      <x:c r="Q1627" s="11" t="str"/>
      <x:c r="R1627" s="11" t="str">
        <x:v>לא</x:v>
      </x:c>
    </x:row>
    <x:row r="1628">
      <x:c r="A1628" s="14" t="n">
        <x:v>46143</x:v>
      </x:c>
      <x:c r="B1628" s="11" t="str">
        <x:v>2026-05</x:v>
      </x:c>
      <x:c r="C1628" s="11" t="str">
        <x:v>מאי 26</x:v>
      </x:c>
      <x:c r="D1628" s="15" t="n">
        <x:v>66</x:v>
      </x:c>
      <x:c r="E1628" s="11" t="str">
        <x:v>25/05</x:v>
      </x:c>
      <x:c r="F1628" s="11" t="str">
        <x:v>העברה ב BIT בנה"פ</x:v>
      </x:c>
      <x:c r="G1628" s="17" t="n">
        <x:v>1000</x:v>
      </x:c>
      <x:c r="H1628" s="18" t="str">
        <x:v>מתנה</x:v>
      </x:c>
      <x:c r="I1628" s="19" t="str">
        <x:f>IFERROR(INDEX('מיפוי ומקורות'!$C$7:$C$33,MATCH(H1628,'מיפוי ומקורות'!$B$7:$B$33,0)),"לא מסווג")</x:f>
        <x:v>מתנה</x:v>
      </x:c>
      <x:c r="J1628" s="19" t="str">
        <x:f>IFERROR(INDEX('מיפוי ומקורות'!$D$7:$D$33,MATCH(H1628,'מיפוי ומקורות'!$B$7:$B$33,0)),"שוטף")</x:f>
        <x:v>שוטף</x:v>
      </x:c>
      <x:c r="K1628" s="19" t="str">
        <x:f>IF(OR(H1628="ריביות",AND(H1628="דירה כצנלסון",G1628&lt;0,ISNUMBER(SEARCH("הכנסה",F1628)))),"הכנסה שסווגה מחדש",J1628)</x:f>
        <x:v>שוטף</x:v>
      </x:c>
      <x:c r="L1628" s="19" t="str">
        <x:v>מאושר</x:v>
      </x:c>
      <x:c r="M1628" s="20" t="n">
        <x:f>IF(L1628="מאושר",IF(K1628="הכנסה שסווגה מחדש",0,G1628),0)</x:f>
        <x:v>1000</x:v>
      </x:c>
      <x:c r="N1628" s="20" t="n">
        <x:f>IF(K1628="שוטף",M1628,0)</x:f>
        <x:v>1000</x:v>
      </x:c>
      <x:c r="O1628" s="20" t="n">
        <x:f>IF(K1628="הכנסה שסווגה מחדש",-G1628,0)</x:f>
        <x:v>0</x:v>
      </x:c>
      <x:c r="P1628" s="11" t="str">
        <x:v>אמקס - זיו</x:v>
      </x:c>
      <x:c r="Q1628" s="11" t="str"/>
      <x:c r="R1628" s="11" t="str">
        <x:v>לא</x:v>
      </x:c>
    </x:row>
    <x:row r="1629">
      <x:c r="A1629" s="14" t="n">
        <x:v>46143</x:v>
      </x:c>
      <x:c r="B1629" s="11" t="str">
        <x:v>2026-05</x:v>
      </x:c>
      <x:c r="C1629" s="11" t="str">
        <x:v>מאי 26</x:v>
      </x:c>
      <x:c r="D1629" s="15" t="n">
        <x:v>68</x:v>
      </x:c>
      <x:c r="E1629" s="11" t="str">
        <x:v>27.05</x:v>
      </x:c>
      <x:c r="F1629" s="11" t="str">
        <x:v>ירקן</x:v>
      </x:c>
      <x:c r="G1629" s="17" t="n">
        <x:v>30</x:v>
      </x:c>
      <x:c r="H1629" s="18" t="str">
        <x:v>מזון לבית</x:v>
      </x:c>
      <x:c r="I1629" s="19" t="str">
        <x:f>IFERROR(INDEX('מיפוי ומקורות'!$C$7:$C$33,MATCH(H1629,'מיפוי ומקורות'!$B$7:$B$33,0)),"לא מסווג")</x:f>
        <x:v>מזון לבית</x:v>
      </x:c>
      <x:c r="J1629" s="19" t="str">
        <x:f>IFERROR(INDEX('מיפוי ומקורות'!$D$7:$D$33,MATCH(H1629,'מיפוי ומקורות'!$B$7:$B$33,0)),"שוטף")</x:f>
        <x:v>שוטף</x:v>
      </x:c>
      <x:c r="K1629" s="19" t="str">
        <x:f>IF(OR(H1629="ריביות",AND(H1629="דירה כצנלסון",G1629&lt;0,ISNUMBER(SEARCH("הכנסה",F1629)))),"הכנסה שסווגה מחדש",J1629)</x:f>
        <x:v>שוטף</x:v>
      </x:c>
      <x:c r="L1629" s="19" t="str">
        <x:v>מאושר</x:v>
      </x:c>
      <x:c r="M1629" s="20" t="n">
        <x:f>IF(L1629="מאושר",IF(K1629="הכנסה שסווגה מחדש",0,G1629),0)</x:f>
        <x:v>30</x:v>
      </x:c>
      <x:c r="N1629" s="20" t="n">
        <x:f>IF(K1629="שוטף",M1629,0)</x:f>
        <x:v>30</x:v>
      </x:c>
      <x:c r="O1629" s="20" t="n">
        <x:f>IF(K1629="הכנסה שסווגה מחדש",-G1629,0)</x:f>
        <x:v>0</x:v>
      </x:c>
      <x:c r="P1629" s="11" t="str">
        <x:v>אמקס - זיו</x:v>
      </x:c>
      <x:c r="Q1629" s="11" t="str"/>
      <x:c r="R1629" s="11" t="str">
        <x:v>לא</x:v>
      </x:c>
    </x:row>
    <x:row r="1630">
      <x:c r="A1630" s="14" t="n">
        <x:v>46143</x:v>
      </x:c>
      <x:c r="B1630" s="11" t="str">
        <x:v>2026-05</x:v>
      </x:c>
      <x:c r="C1630" s="11" t="str">
        <x:v>מאי 26</x:v>
      </x:c>
      <x:c r="D1630" s="15" t="n">
        <x:v>69</x:v>
      </x:c>
      <x:c r="E1630" s="11" t="str">
        <x:v>28.05</x:v>
      </x:c>
      <x:c r="F1630" s="11" t="str">
        <x:v>גלידנית</x:v>
      </x:c>
      <x:c r="G1630" s="17" t="n">
        <x:v>12</x:v>
      </x:c>
      <x:c r="H1630" s="18" t="str">
        <x:v>אוכל בחוץ</x:v>
      </x:c>
      <x:c r="I1630" s="19" t="str">
        <x:f>IFERROR(INDEX('מיפוי ומקורות'!$C$7:$C$33,MATCH(H1630,'מיפוי ומקורות'!$B$7:$B$33,0)),"לא מסווג")</x:f>
        <x:v>אוכל בחוץ</x:v>
      </x:c>
      <x:c r="J1630" s="19" t="str">
        <x:f>IFERROR(INDEX('מיפוי ומקורות'!$D$7:$D$33,MATCH(H1630,'מיפוי ומקורות'!$B$7:$B$33,0)),"שוטף")</x:f>
        <x:v>שוטף</x:v>
      </x:c>
      <x:c r="K1630" s="19" t="str">
        <x:f>IF(OR(H1630="ריביות",AND(H1630="דירה כצנלסון",G1630&lt;0,ISNUMBER(SEARCH("הכנסה",F1630)))),"הכנסה שסווגה מחדש",J1630)</x:f>
        <x:v>שוטף</x:v>
      </x:c>
      <x:c r="L1630" s="19" t="str">
        <x:v>מאושר</x:v>
      </x:c>
      <x:c r="M1630" s="20" t="n">
        <x:f>IF(L1630="מאושר",IF(K1630="הכנסה שסווגה מחדש",0,G1630),0)</x:f>
        <x:v>12</x:v>
      </x:c>
      <x:c r="N1630" s="20" t="n">
        <x:f>IF(K1630="שוטף",M1630,0)</x:f>
        <x:v>12</x:v>
      </x:c>
      <x:c r="O1630" s="20" t="n">
        <x:f>IF(K1630="הכנסה שסווגה מחדש",-G1630,0)</x:f>
        <x:v>0</x:v>
      </x:c>
      <x:c r="P1630" s="11" t="str">
        <x:v>אמקס - זיו</x:v>
      </x:c>
      <x:c r="Q1630" s="11" t="str"/>
      <x:c r="R1630" s="11" t="str">
        <x:v>לא</x:v>
      </x:c>
    </x:row>
    <x:row r="1631">
      <x:c r="A1631" s="14" t="n">
        <x:v>46143</x:v>
      </x:c>
      <x:c r="B1631" s="11" t="str">
        <x:v>2026-05</x:v>
      </x:c>
      <x:c r="C1631" s="11" t="str">
        <x:v>מאי 26</x:v>
      </x:c>
      <x:c r="D1631" s="15" t="n">
        <x:v>70</x:v>
      </x:c>
      <x:c r="E1631" s="11" t="str">
        <x:v>28.05</x:v>
      </x:c>
      <x:c r="F1631" s="11" t="str">
        <x:v>מאפיה</x:v>
      </x:c>
      <x:c r="G1631" s="17" t="n">
        <x:v>35</x:v>
      </x:c>
      <x:c r="H1631" s="18" t="str">
        <x:v>אוכל בחוץ</x:v>
      </x:c>
      <x:c r="I1631" s="19" t="str">
        <x:f>IFERROR(INDEX('מיפוי ומקורות'!$C$7:$C$33,MATCH(H1631,'מיפוי ומקורות'!$B$7:$B$33,0)),"לא מסווג")</x:f>
        <x:v>אוכל בחוץ</x:v>
      </x:c>
      <x:c r="J1631" s="19" t="str">
        <x:f>IFERROR(INDEX('מיפוי ומקורות'!$D$7:$D$33,MATCH(H1631,'מיפוי ומקורות'!$B$7:$B$33,0)),"שוטף")</x:f>
        <x:v>שוטף</x:v>
      </x:c>
      <x:c r="K1631" s="19" t="str">
        <x:f>IF(OR(H1631="ריביות",AND(H1631="דירה כצנלסון",G1631&lt;0,ISNUMBER(SEARCH("הכנסה",F1631)))),"הכנסה שסווגה מחדש",J1631)</x:f>
        <x:v>שוטף</x:v>
      </x:c>
      <x:c r="L1631" s="19" t="str">
        <x:v>מאושר</x:v>
      </x:c>
      <x:c r="M1631" s="20" t="n">
        <x:f>IF(L1631="מאושר",IF(K1631="הכנסה שסווגה מחדש",0,G1631),0)</x:f>
        <x:v>35</x:v>
      </x:c>
      <x:c r="N1631" s="20" t="n">
        <x:f>IF(K1631="שוטף",M1631,0)</x:f>
        <x:v>35</x:v>
      </x:c>
      <x:c r="O1631" s="20" t="n">
        <x:f>IF(K1631="הכנסה שסווגה מחדש",-G1631,0)</x:f>
        <x:v>0</x:v>
      </x:c>
      <x:c r="P1631" s="11" t="str">
        <x:v>אמקס - זיו</x:v>
      </x:c>
      <x:c r="Q1631" s="11" t="str"/>
      <x:c r="R1631" s="11" t="str">
        <x:v>לא</x:v>
      </x:c>
    </x:row>
    <x:row r="1632">
      <x:c r="A1632" s="14" t="n">
        <x:v>46143</x:v>
      </x:c>
      <x:c r="B1632" s="11" t="str">
        <x:v>2026-05</x:v>
      </x:c>
      <x:c r="C1632" s="11" t="str">
        <x:v>מאי 26</x:v>
      </x:c>
      <x:c r="D1632" s="15" t="n">
        <x:v>71</x:v>
      </x:c>
      <x:c r="E1632" s="11" t="str">
        <x:v>28.05</x:v>
      </x:c>
      <x:c r="F1632" s="11" t="str">
        <x:v>ירקן</x:v>
      </x:c>
      <x:c r="G1632" s="17" t="n">
        <x:v>39</x:v>
      </x:c>
      <x:c r="H1632" s="18" t="str">
        <x:v>מזון לבית</x:v>
      </x:c>
      <x:c r="I1632" s="19" t="str">
        <x:f>IFERROR(INDEX('מיפוי ומקורות'!$C$7:$C$33,MATCH(H1632,'מיפוי ומקורות'!$B$7:$B$33,0)),"לא מסווג")</x:f>
        <x:v>מזון לבית</x:v>
      </x:c>
      <x:c r="J1632" s="19" t="str">
        <x:f>IFERROR(INDEX('מיפוי ומקורות'!$D$7:$D$33,MATCH(H1632,'מיפוי ומקורות'!$B$7:$B$33,0)),"שוטף")</x:f>
        <x:v>שוטף</x:v>
      </x:c>
      <x:c r="K1632" s="19" t="str">
        <x:f>IF(OR(H1632="ריביות",AND(H1632="דירה כצנלסון",G1632&lt;0,ISNUMBER(SEARCH("הכנסה",F1632)))),"הכנסה שסווגה מחדש",J1632)</x:f>
        <x:v>שוטף</x:v>
      </x:c>
      <x:c r="L1632" s="19" t="str">
        <x:v>מאושר</x:v>
      </x:c>
      <x:c r="M1632" s="20" t="n">
        <x:f>IF(L1632="מאושר",IF(K1632="הכנסה שסווגה מחדש",0,G1632),0)</x:f>
        <x:v>39</x:v>
      </x:c>
      <x:c r="N1632" s="20" t="n">
        <x:f>IF(K1632="שוטף",M1632,0)</x:f>
        <x:v>39</x:v>
      </x:c>
      <x:c r="O1632" s="20" t="n">
        <x:f>IF(K1632="הכנסה שסווגה מחדש",-G1632,0)</x:f>
        <x:v>0</x:v>
      </x:c>
      <x:c r="P1632" s="11" t="str">
        <x:v>אמקס - זיו</x:v>
      </x:c>
      <x:c r="Q1632" s="11" t="str"/>
      <x:c r="R1632" s="11" t="str">
        <x:v>לא</x:v>
      </x:c>
    </x:row>
    <x:row r="1633">
      <x:c r="A1633" s="14" t="n">
        <x:v>46143</x:v>
      </x:c>
      <x:c r="B1633" s="11" t="str">
        <x:v>2026-05</x:v>
      </x:c>
      <x:c r="C1633" s="11" t="str">
        <x:v>מאי 26</x:v>
      </x:c>
      <x:c r="D1633" s="15" t="n">
        <x:v>72</x:v>
      </x:c>
      <x:c r="E1633" s="11" t="str">
        <x:v>29/05</x:v>
      </x:c>
      <x:c r="F1633" s="11" t="str">
        <x:v>כגן הירק</x:v>
      </x:c>
      <x:c r="G1633" s="17" t="n">
        <x:v>23</x:v>
      </x:c>
      <x:c r="H1633" s="18" t="str">
        <x:v>מזון לבית</x:v>
      </x:c>
      <x:c r="I1633" s="19" t="str">
        <x:f>IFERROR(INDEX('מיפוי ומקורות'!$C$7:$C$33,MATCH(H1633,'מיפוי ומקורות'!$B$7:$B$33,0)),"לא מסווג")</x:f>
        <x:v>מזון לבית</x:v>
      </x:c>
      <x:c r="J1633" s="19" t="str">
        <x:f>IFERROR(INDEX('מיפוי ומקורות'!$D$7:$D$33,MATCH(H1633,'מיפוי ומקורות'!$B$7:$B$33,0)),"שוטף")</x:f>
        <x:v>שוטף</x:v>
      </x:c>
      <x:c r="K1633" s="19" t="str">
        <x:f>IF(OR(H1633="ריביות",AND(H1633="דירה כצנלסון",G1633&lt;0,ISNUMBER(SEARCH("הכנסה",F1633)))),"הכנסה שסווגה מחדש",J1633)</x:f>
        <x:v>שוטף</x:v>
      </x:c>
      <x:c r="L1633" s="19" t="str">
        <x:v>מאושר</x:v>
      </x:c>
      <x:c r="M1633" s="20" t="n">
        <x:f>IF(L1633="מאושר",IF(K1633="הכנסה שסווגה מחדש",0,G1633),0)</x:f>
        <x:v>23</x:v>
      </x:c>
      <x:c r="N1633" s="20" t="n">
        <x:f>IF(K1633="שוטף",M1633,0)</x:f>
        <x:v>23</x:v>
      </x:c>
      <x:c r="O1633" s="20" t="n">
        <x:f>IF(K1633="הכנסה שסווגה מחדש",-G1633,0)</x:f>
        <x:v>0</x:v>
      </x:c>
      <x:c r="P1633" s="11" t="str">
        <x:v>אמקס - זיו</x:v>
      </x:c>
      <x:c r="Q1633" s="11" t="str"/>
      <x:c r="R1633" s="11" t="str">
        <x:v>לא</x:v>
      </x:c>
    </x:row>
    <x:row r="1634">
      <x:c r="A1634" s="14" t="n">
        <x:v>46143</x:v>
      </x:c>
      <x:c r="B1634" s="11" t="str">
        <x:v>2026-05</x:v>
      </x:c>
      <x:c r="C1634" s="11" t="str">
        <x:v>מאי 26</x:v>
      </x:c>
      <x:c r="D1634" s="15" t="n">
        <x:v>73</x:v>
      </x:c>
      <x:c r="E1634" s="11" t="str">
        <x:v>29/05</x:v>
      </x:c>
      <x:c r="F1634" s="11" t="str">
        <x:v>נורה לרכב</x:v>
      </x:c>
      <x:c r="G1634" s="17" t="n">
        <x:v>70</x:v>
      </x:c>
      <x:c r="H1634" s="18" t="str">
        <x:v>תחבורה</x:v>
      </x:c>
      <x:c r="I1634" s="19" t="str">
        <x:f>IFERROR(INDEX('מיפוי ומקורות'!$C$7:$C$33,MATCH(H1634,'מיפוי ומקורות'!$B$7:$B$33,0)),"לא מסווג")</x:f>
        <x:v>תחבורה</x:v>
      </x:c>
      <x:c r="J1634" s="19" t="str">
        <x:f>IFERROR(INDEX('מיפוי ומקורות'!$D$7:$D$33,MATCH(H1634,'מיפוי ומקורות'!$B$7:$B$33,0)),"שוטף")</x:f>
        <x:v>שוטף</x:v>
      </x:c>
      <x:c r="K1634" s="19" t="str">
        <x:f>IF(OR(H1634="ריביות",AND(H1634="דירה כצנלסון",G1634&lt;0,ISNUMBER(SEARCH("הכנסה",F1634)))),"הכנסה שסווגה מחדש",J1634)</x:f>
        <x:v>שוטף</x:v>
      </x:c>
      <x:c r="L1634" s="19" t="str">
        <x:v>מאושר</x:v>
      </x:c>
      <x:c r="M1634" s="20" t="n">
        <x:f>IF(L1634="מאושר",IF(K1634="הכנסה שסווגה מחדש",0,G1634),0)</x:f>
        <x:v>70</x:v>
      </x:c>
      <x:c r="N1634" s="20" t="n">
        <x:f>IF(K1634="שוטף",M1634,0)</x:f>
        <x:v>70</x:v>
      </x:c>
      <x:c r="O1634" s="20" t="n">
        <x:f>IF(K1634="הכנסה שסווגה מחדש",-G1634,0)</x:f>
        <x:v>0</x:v>
      </x:c>
      <x:c r="P1634" s="11" t="str">
        <x:v>אמקס - זיו</x:v>
      </x:c>
      <x:c r="Q1634" s="11" t="str"/>
      <x:c r="R1634" s="11" t="str">
        <x:v>לא</x:v>
      </x:c>
    </x:row>
    <x:row r="1635">
      <x:c r="A1635" s="14" t="n">
        <x:v>46143</x:v>
      </x:c>
      <x:c r="B1635" s="11" t="str">
        <x:v>2026-05</x:v>
      </x:c>
      <x:c r="C1635" s="11" t="str">
        <x:v>מאי 26</x:v>
      </x:c>
      <x:c r="D1635" s="15" t="n">
        <x:v>74</x:v>
      </x:c>
      <x:c r="E1635" s="11" t="str">
        <x:v>30.05</x:v>
      </x:c>
      <x:c r="F1635" s="11" t="str">
        <x:v>דלק</x:v>
      </x:c>
      <x:c r="G1635" s="17" t="n">
        <x:v>228</x:v>
      </x:c>
      <x:c r="H1635" s="18" t="str">
        <x:v>תחבורה</x:v>
      </x:c>
      <x:c r="I1635" s="19" t="str">
        <x:f>IFERROR(INDEX('מיפוי ומקורות'!$C$7:$C$33,MATCH(H1635,'מיפוי ומקורות'!$B$7:$B$33,0)),"לא מסווג")</x:f>
        <x:v>תחבורה</x:v>
      </x:c>
      <x:c r="J1635" s="19" t="str">
        <x:f>IFERROR(INDEX('מיפוי ומקורות'!$D$7:$D$33,MATCH(H1635,'מיפוי ומקורות'!$B$7:$B$33,0)),"שוטף")</x:f>
        <x:v>שוטף</x:v>
      </x:c>
      <x:c r="K1635" s="19" t="str">
        <x:f>IF(OR(H1635="ריביות",AND(H1635="דירה כצנלסון",G1635&lt;0,ISNUMBER(SEARCH("הכנסה",F1635)))),"הכנסה שסווגה מחדש",J1635)</x:f>
        <x:v>שוטף</x:v>
      </x:c>
      <x:c r="L1635" s="19" t="str">
        <x:v>מאושר</x:v>
      </x:c>
      <x:c r="M1635" s="20" t="n">
        <x:f>IF(L1635="מאושר",IF(K1635="הכנסה שסווגה מחדש",0,G1635),0)</x:f>
        <x:v>228</x:v>
      </x:c>
      <x:c r="N1635" s="20" t="n">
        <x:f>IF(K1635="שוטף",M1635,0)</x:f>
        <x:v>228</x:v>
      </x:c>
      <x:c r="O1635" s="20" t="n">
        <x:f>IF(K1635="הכנסה שסווגה מחדש",-G1635,0)</x:f>
        <x:v>0</x:v>
      </x:c>
      <x:c r="P1635" s="11" t="str">
        <x:v>אמקס - זיו</x:v>
      </x:c>
      <x:c r="Q1635" s="11" t="str"/>
      <x:c r="R1635" s="11" t="str">
        <x:v>לא</x:v>
      </x:c>
    </x:row>
    <x:row r="1636">
      <x:c r="A1636" s="14" t="n">
        <x:v>46143</x:v>
      </x:c>
      <x:c r="B1636" s="11" t="str">
        <x:v>2026-05</x:v>
      </x:c>
      <x:c r="C1636" s="11" t="str">
        <x:v>מאי 26</x:v>
      </x:c>
      <x:c r="D1636" s="15" t="n">
        <x:v>75</x:v>
      </x:c>
      <x:c r="E1636" s="11" t="str">
        <x:v>31.05</x:v>
      </x:c>
      <x:c r="F1636" s="11" t="str">
        <x:v>דיקסי גריל בר בעמ</x:v>
      </x:c>
      <x:c r="G1636" s="17" t="n">
        <x:v>20</x:v>
      </x:c>
      <x:c r="H1636" s="18" t="str">
        <x:v>אוכל בחוץ</x:v>
      </x:c>
      <x:c r="I1636" s="19" t="str">
        <x:f>IFERROR(INDEX('מיפוי ומקורות'!$C$7:$C$33,MATCH(H1636,'מיפוי ומקורות'!$B$7:$B$33,0)),"לא מסווג")</x:f>
        <x:v>אוכל בחוץ</x:v>
      </x:c>
      <x:c r="J1636" s="19" t="str">
        <x:f>IFERROR(INDEX('מיפוי ומקורות'!$D$7:$D$33,MATCH(H1636,'מיפוי ומקורות'!$B$7:$B$33,0)),"שוטף")</x:f>
        <x:v>שוטף</x:v>
      </x:c>
      <x:c r="K1636" s="19" t="str">
        <x:f>IF(OR(H1636="ריביות",AND(H1636="דירה כצנלסון",G1636&lt;0,ISNUMBER(SEARCH("הכנסה",F1636)))),"הכנסה שסווגה מחדש",J1636)</x:f>
        <x:v>שוטף</x:v>
      </x:c>
      <x:c r="L1636" s="19" t="str">
        <x:v>מאושר</x:v>
      </x:c>
      <x:c r="M1636" s="20" t="n">
        <x:f>IF(L1636="מאושר",IF(K1636="הכנסה שסווגה מחדש",0,G1636),0)</x:f>
        <x:v>20</x:v>
      </x:c>
      <x:c r="N1636" s="20" t="n">
        <x:f>IF(K1636="שוטף",M1636,0)</x:f>
        <x:v>20</x:v>
      </x:c>
      <x:c r="O1636" s="20" t="n">
        <x:f>IF(K1636="הכנסה שסווגה מחדש",-G1636,0)</x:f>
        <x:v>0</x:v>
      </x:c>
      <x:c r="P1636" s="11" t="str">
        <x:v>אמקס - זיו</x:v>
      </x:c>
      <x:c r="Q1636" s="11" t="str"/>
      <x:c r="R1636" s="11" t="str">
        <x:v>לא</x:v>
      </x:c>
    </x:row>
    <x:row r="1637">
      <x:c r="A1637" s="14" t="n">
        <x:v>46143</x:v>
      </x:c>
      <x:c r="B1637" s="11" t="str">
        <x:v>2026-05</x:v>
      </x:c>
      <x:c r="C1637" s="11" t="str">
        <x:v>מאי 26</x:v>
      </x:c>
      <x:c r="D1637" s="15" t="n">
        <x:v>77</x:v>
      </x:c>
      <x:c r="E1637" s="11" t="str">
        <x:v>7/5</x:v>
      </x:c>
      <x:c r="F1637" s="11" t="str">
        <x:v>לק</x:v>
      </x:c>
      <x:c r="G1637" s="17" t="n">
        <x:v>120</x:v>
      </x:c>
      <x:c r="H1637" s="18" t="str">
        <x:v>קוסמטיקה</x:v>
      </x:c>
      <x:c r="I1637" s="19" t="str">
        <x:f>IFERROR(INDEX('מיפוי ומקורות'!$C$7:$C$33,MATCH(H1637,'מיפוי ומקורות'!$B$7:$B$33,0)),"לא מסווג")</x:f>
        <x:v>קוסמטיקה</x:v>
      </x:c>
      <x:c r="J1637" s="19" t="str">
        <x:f>IFERROR(INDEX('מיפוי ומקורות'!$D$7:$D$33,MATCH(H1637,'מיפוי ומקורות'!$B$7:$B$33,0)),"שוטף")</x:f>
        <x:v>שוטף</x:v>
      </x:c>
      <x:c r="K1637" s="19" t="str">
        <x:f>IF(OR(H1637="ריביות",AND(H1637="דירה כצנלסון",G1637&lt;0,ISNUMBER(SEARCH("הכנסה",F1637)))),"הכנסה שסווגה מחדש",J1637)</x:f>
        <x:v>שוטף</x:v>
      </x:c>
      <x:c r="L1637" s="19" t="str">
        <x:v>מאושר</x:v>
      </x:c>
      <x:c r="M1637" s="20" t="n">
        <x:f>IF(L1637="מאושר",IF(K1637="הכנסה שסווגה מחדש",0,G1637),0)</x:f>
        <x:v>120</x:v>
      </x:c>
      <x:c r="N1637" s="20" t="n">
        <x:f>IF(K1637="שוטף",M1637,0)</x:f>
        <x:v>120</x:v>
      </x:c>
      <x:c r="O1637" s="20" t="n">
        <x:f>IF(K1637="הכנסה שסווגה מחדש",-G1637,0)</x:f>
        <x:v>0</x:v>
      </x:c>
      <x:c r="P1637" s="11" t="str">
        <x:v>מקס - עינור</x:v>
      </x:c>
      <x:c r="Q1637" s="11" t="str"/>
      <x:c r="R1637" s="11" t="str">
        <x:v>לא</x:v>
      </x:c>
    </x:row>
    <x:row r="1638">
      <x:c r="A1638" s="14" t="n">
        <x:v>46143</x:v>
      </x:c>
      <x:c r="B1638" s="11" t="str">
        <x:v>2026-05</x:v>
      </x:c>
      <x:c r="C1638" s="11" t="str">
        <x:v>מאי 26</x:v>
      </x:c>
      <x:c r="D1638" s="15" t="n">
        <x:v>78</x:v>
      </x:c>
      <x:c r="E1638" s="11" t="str">
        <x:v>23/5</x:v>
      </x:c>
      <x:c r="F1638" s="11" t="str">
        <x:v>המבורגר</x:v>
      </x:c>
      <x:c r="G1638" s="17" t="n">
        <x:v>86</x:v>
      </x:c>
      <x:c r="H1638" s="18" t="str">
        <x:v>אוכל בחוץ</x:v>
      </x:c>
      <x:c r="I1638" s="19" t="str">
        <x:f>IFERROR(INDEX('מיפוי ומקורות'!$C$7:$C$33,MATCH(H1638,'מיפוי ומקורות'!$B$7:$B$33,0)),"לא מסווג")</x:f>
        <x:v>אוכל בחוץ</x:v>
      </x:c>
      <x:c r="J1638" s="19" t="str">
        <x:f>IFERROR(INDEX('מיפוי ומקורות'!$D$7:$D$33,MATCH(H1638,'מיפוי ומקורות'!$B$7:$B$33,0)),"שוטף")</x:f>
        <x:v>שוטף</x:v>
      </x:c>
      <x:c r="K1638" s="19" t="str">
        <x:f>IF(OR(H1638="ריביות",AND(H1638="דירה כצנלסון",G1638&lt;0,ISNUMBER(SEARCH("הכנסה",F1638)))),"הכנסה שסווגה מחדש",J1638)</x:f>
        <x:v>שוטף</x:v>
      </x:c>
      <x:c r="L1638" s="19" t="str">
        <x:v>מאושר</x:v>
      </x:c>
      <x:c r="M1638" s="20" t="n">
        <x:f>IF(L1638="מאושר",IF(K1638="הכנסה שסווגה מחדש",0,G1638),0)</x:f>
        <x:v>86</x:v>
      </x:c>
      <x:c r="N1638" s="20" t="n">
        <x:f>IF(K1638="שוטף",M1638,0)</x:f>
        <x:v>86</x:v>
      </x:c>
      <x:c r="O1638" s="20" t="n">
        <x:f>IF(K1638="הכנסה שסווגה מחדש",-G1638,0)</x:f>
        <x:v>0</x:v>
      </x:c>
      <x:c r="P1638" s="11" t="str">
        <x:v>מקס - עינור</x:v>
      </x:c>
      <x:c r="Q1638" s="11" t="str"/>
      <x:c r="R1638" s="11" t="str">
        <x:v>לא</x:v>
      </x:c>
    </x:row>
    <x:row r="1639">
      <x:c r="A1639" s="14" t="n">
        <x:v>46143</x:v>
      </x:c>
      <x:c r="B1639" s="11" t="str">
        <x:v>2026-05</x:v>
      </x:c>
      <x:c r="C1639" s="11" t="str">
        <x:v>מאי 26</x:v>
      </x:c>
      <x:c r="D1639" s="15" t="n">
        <x:v>79</x:v>
      </x:c>
      <x:c r="E1639" s="11" t="str">
        <x:v>26/5</x:v>
      </x:c>
      <x:c r="F1639" s="11" t="str">
        <x:v>משחק</x:v>
      </x:c>
      <x:c r="G1639" s="17" t="n">
        <x:v>11</x:v>
      </x:c>
      <x:c r="H1639" s="18" t="str">
        <x:v>פנאי</x:v>
      </x:c>
      <x:c r="I1639" s="19" t="str">
        <x:f>IFERROR(INDEX('מיפוי ומקורות'!$C$7:$C$33,MATCH(H1639,'מיפוי ומקורות'!$B$7:$B$33,0)),"לא מסווג")</x:f>
        <x:v>פנאי</x:v>
      </x:c>
      <x:c r="J1639" s="19" t="str">
        <x:f>IFERROR(INDEX('מיפוי ומקורות'!$D$7:$D$33,MATCH(H1639,'מיפוי ומקורות'!$B$7:$B$33,0)),"שוטף")</x:f>
        <x:v>שוטף</x:v>
      </x:c>
      <x:c r="K1639" s="19" t="str">
        <x:f>IF(OR(H1639="ריביות",AND(H1639="דירה כצנלסון",G1639&lt;0,ISNUMBER(SEARCH("הכנסה",F1639)))),"הכנסה שסווגה מחדש",J1639)</x:f>
        <x:v>שוטף</x:v>
      </x:c>
      <x:c r="L1639" s="19" t="str">
        <x:v>מאושר</x:v>
      </x:c>
      <x:c r="M1639" s="20" t="n">
        <x:f>IF(L1639="מאושר",IF(K1639="הכנסה שסווגה מחדש",0,G1639),0)</x:f>
        <x:v>11</x:v>
      </x:c>
      <x:c r="N1639" s="20" t="n">
        <x:f>IF(K1639="שוטף",M1639,0)</x:f>
        <x:v>11</x:v>
      </x:c>
      <x:c r="O1639" s="20" t="n">
        <x:f>IF(K1639="הכנסה שסווגה מחדש",-G1639,0)</x:f>
        <x:v>0</x:v>
      </x:c>
      <x:c r="P1639" s="11" t="str">
        <x:v>מקס - עינור</x:v>
      </x:c>
      <x:c r="Q1639" s="11" t="str"/>
      <x:c r="R1639" s="11" t="str">
        <x:v>לא</x:v>
      </x:c>
    </x:row>
    <x:row r="1640">
      <x:c r="A1640" s="14" t="n">
        <x:v>46143</x:v>
      </x:c>
      <x:c r="B1640" s="11" t="str">
        <x:v>2026-05</x:v>
      </x:c>
      <x:c r="C1640" s="11" t="str">
        <x:v>מאי 26</x:v>
      </x:c>
      <x:c r="D1640" s="15" t="n">
        <x:v>80</x:v>
      </x:c>
      <x:c r="E1640" s="11" t="str">
        <x:v>26/5</x:v>
      </x:c>
      <x:c r="F1640" s="11" t="str">
        <x:v>משחק</x:v>
      </x:c>
      <x:c r="G1640" s="17" t="n">
        <x:v>7</x:v>
      </x:c>
      <x:c r="H1640" s="18" t="str">
        <x:v>פנאי</x:v>
      </x:c>
      <x:c r="I1640" s="19" t="str">
        <x:f>IFERROR(INDEX('מיפוי ומקורות'!$C$7:$C$33,MATCH(H1640,'מיפוי ומקורות'!$B$7:$B$33,0)),"לא מסווג")</x:f>
        <x:v>פנאי</x:v>
      </x:c>
      <x:c r="J1640" s="19" t="str">
        <x:f>IFERROR(INDEX('מיפוי ומקורות'!$D$7:$D$33,MATCH(H1640,'מיפוי ומקורות'!$B$7:$B$33,0)),"שוטף")</x:f>
        <x:v>שוטף</x:v>
      </x:c>
      <x:c r="K1640" s="19" t="str">
        <x:f>IF(OR(H1640="ריביות",AND(H1640="דירה כצנלסון",G1640&lt;0,ISNUMBER(SEARCH("הכנסה",F1640)))),"הכנסה שסווגה מחדש",J1640)</x:f>
        <x:v>שוטף</x:v>
      </x:c>
      <x:c r="L1640" s="19" t="str">
        <x:v>מאושר</x:v>
      </x:c>
      <x:c r="M1640" s="20" t="n">
        <x:f>IF(L1640="מאושר",IF(K1640="הכנסה שסווגה מחדש",0,G1640),0)</x:f>
        <x:v>7</x:v>
      </x:c>
      <x:c r="N1640" s="20" t="n">
        <x:f>IF(K1640="שוטף",M1640,0)</x:f>
        <x:v>7</x:v>
      </x:c>
      <x:c r="O1640" s="20" t="n">
        <x:f>IF(K1640="הכנסה שסווגה מחדש",-G1640,0)</x:f>
        <x:v>0</x:v>
      </x:c>
      <x:c r="P1640" s="11" t="str">
        <x:v>מקס - עינור</x:v>
      </x:c>
      <x:c r="Q1640" s="11" t="str"/>
      <x:c r="R1640" s="11" t="str">
        <x:v>לא</x:v>
      </x:c>
    </x:row>
    <x:row r="1641">
      <x:c r="A1641" s="14" t="n">
        <x:v>46143</x:v>
      </x:c>
      <x:c r="B1641" s="11" t="str">
        <x:v>2026-05</x:v>
      </x:c>
      <x:c r="C1641" s="11" t="str">
        <x:v>מאי 26</x:v>
      </x:c>
      <x:c r="D1641" s="15" t="n">
        <x:v>81</x:v>
      </x:c>
      <x:c r="E1641" s="11" t="str">
        <x:v>26/5</x:v>
      </x:c>
      <x:c r="F1641" s="11" t="str">
        <x:v>משחק</x:v>
      </x:c>
      <x:c r="G1641" s="17" t="n">
        <x:v>14</x:v>
      </x:c>
      <x:c r="H1641" s="18" t="str">
        <x:v>פנאי</x:v>
      </x:c>
      <x:c r="I1641" s="19" t="str">
        <x:f>IFERROR(INDEX('מיפוי ומקורות'!$C$7:$C$33,MATCH(H1641,'מיפוי ומקורות'!$B$7:$B$33,0)),"לא מסווג")</x:f>
        <x:v>פנאי</x:v>
      </x:c>
      <x:c r="J1641" s="19" t="str">
        <x:f>IFERROR(INDEX('מיפוי ומקורות'!$D$7:$D$33,MATCH(H1641,'מיפוי ומקורות'!$B$7:$B$33,0)),"שוטף")</x:f>
        <x:v>שוטף</x:v>
      </x:c>
      <x:c r="K1641" s="19" t="str">
        <x:f>IF(OR(H1641="ריביות",AND(H1641="דירה כצנלסון",G1641&lt;0,ISNUMBER(SEARCH("הכנסה",F1641)))),"הכנסה שסווגה מחדש",J1641)</x:f>
        <x:v>שוטף</x:v>
      </x:c>
      <x:c r="L1641" s="19" t="str">
        <x:v>מאושר</x:v>
      </x:c>
      <x:c r="M1641" s="20" t="n">
        <x:f>IF(L1641="מאושר",IF(K1641="הכנסה שסווגה מחדש",0,G1641),0)</x:f>
        <x:v>14</x:v>
      </x:c>
      <x:c r="N1641" s="20" t="n">
        <x:f>IF(K1641="שוטף",M1641,0)</x:f>
        <x:v>14</x:v>
      </x:c>
      <x:c r="O1641" s="20" t="n">
        <x:f>IF(K1641="הכנסה שסווגה מחדש",-G1641,0)</x:f>
        <x:v>0</x:v>
      </x:c>
      <x:c r="P1641" s="11" t="str">
        <x:v>מקס - עינור</x:v>
      </x:c>
      <x:c r="Q1641" s="11" t="str"/>
      <x:c r="R1641" s="11" t="str">
        <x:v>לא</x:v>
      </x:c>
    </x:row>
    <x:row r="1642">
      <x:c r="A1642" s="14" t="n">
        <x:v>46143</x:v>
      </x:c>
      <x:c r="B1642" s="11" t="str">
        <x:v>2026-05</x:v>
      </x:c>
      <x:c r="C1642" s="11" t="str">
        <x:v>מאי 26</x:v>
      </x:c>
      <x:c r="D1642" s="15" t="n">
        <x:v>82</x:v>
      </x:c>
      <x:c r="E1642" s="11" t="str">
        <x:v>28/5</x:v>
      </x:c>
      <x:c r="F1642" s="11" t="str">
        <x:v>משחק</x:v>
      </x:c>
      <x:c r="G1642" s="17" t="n">
        <x:v>43</x:v>
      </x:c>
      <x:c r="H1642" s="18" t="str">
        <x:v>פנאי</x:v>
      </x:c>
      <x:c r="I1642" s="19" t="str">
        <x:f>IFERROR(INDEX('מיפוי ומקורות'!$C$7:$C$33,MATCH(H1642,'מיפוי ומקורות'!$B$7:$B$33,0)),"לא מסווג")</x:f>
        <x:v>פנאי</x:v>
      </x:c>
      <x:c r="J1642" s="19" t="str">
        <x:f>IFERROR(INDEX('מיפוי ומקורות'!$D$7:$D$33,MATCH(H1642,'מיפוי ומקורות'!$B$7:$B$33,0)),"שוטף")</x:f>
        <x:v>שוטף</x:v>
      </x:c>
      <x:c r="K1642" s="19" t="str">
        <x:f>IF(OR(H1642="ריביות",AND(H1642="דירה כצנלסון",G1642&lt;0,ISNUMBER(SEARCH("הכנסה",F1642)))),"הכנסה שסווגה מחדש",J1642)</x:f>
        <x:v>שוטף</x:v>
      </x:c>
      <x:c r="L1642" s="19" t="str">
        <x:v>מאושר</x:v>
      </x:c>
      <x:c r="M1642" s="20" t="n">
        <x:f>IF(L1642="מאושר",IF(K1642="הכנסה שסווגה מחדש",0,G1642),0)</x:f>
        <x:v>43</x:v>
      </x:c>
      <x:c r="N1642" s="20" t="n">
        <x:f>IF(K1642="שוטף",M1642,0)</x:f>
        <x:v>43</x:v>
      </x:c>
      <x:c r="O1642" s="20" t="n">
        <x:f>IF(K1642="הכנסה שסווגה מחדש",-G1642,0)</x:f>
        <x:v>0</x:v>
      </x:c>
      <x:c r="P1642" s="11" t="str">
        <x:v>מקס - עינור</x:v>
      </x:c>
      <x:c r="Q1642" s="11" t="str"/>
      <x:c r="R1642" s="11" t="str">
        <x:v>לא</x:v>
      </x:c>
    </x:row>
    <x:row r="1643">
      <x:c r="A1643" s="14" t="n">
        <x:v>46143</x:v>
      </x:c>
      <x:c r="B1643" s="11" t="str">
        <x:v>2026-05</x:v>
      </x:c>
      <x:c r="C1643" s="11" t="str">
        <x:v>מאי 26</x:v>
      </x:c>
      <x:c r="D1643" s="15" t="n">
        <x:v>83</x:v>
      </x:c>
      <x:c r="E1643" s="11" t="str">
        <x:v>13/5</x:v>
      </x:c>
      <x:c r="F1643" s="11" t="str">
        <x:v>אוזניות</x:v>
      </x:c>
      <x:c r="G1643" s="17" t="n">
        <x:v>319</x:v>
      </x:c>
      <x:c r="H1643" s="18" t="str">
        <x:v>אלקטרוניקה</x:v>
      </x:c>
      <x:c r="I1643" s="19" t="str">
        <x:f>IFERROR(INDEX('מיפוי ומקורות'!$C$7:$C$33,MATCH(H1643,'מיפוי ומקורות'!$B$7:$B$33,0)),"לא מסווג")</x:f>
        <x:v>אלקטרוניקה</x:v>
      </x:c>
      <x:c r="J1643" s="19" t="str">
        <x:f>IFERROR(INDEX('מיפוי ומקורות'!$D$7:$D$33,MATCH(H1643,'מיפוי ומקורות'!$B$7:$B$33,0)),"שוטף")</x:f>
        <x:v>שוטף</x:v>
      </x:c>
      <x:c r="K1643" s="19" t="str">
        <x:f>IF(OR(H1643="ריביות",AND(H1643="דירה כצנלסון",G1643&lt;0,ISNUMBER(SEARCH("הכנסה",F1643)))),"הכנסה שסווגה מחדש",J1643)</x:f>
        <x:v>שוטף</x:v>
      </x:c>
      <x:c r="L1643" s="19" t="str">
        <x:v>מאושר</x:v>
      </x:c>
      <x:c r="M1643" s="20" t="n">
        <x:f>IF(L1643="מאושר",IF(K1643="הכנסה שסווגה מחדש",0,G1643),0)</x:f>
        <x:v>319</x:v>
      </x:c>
      <x:c r="N1643" s="20" t="n">
        <x:f>IF(K1643="שוטף",M1643,0)</x:f>
        <x:v>319</x:v>
      </x:c>
      <x:c r="O1643" s="20" t="n">
        <x:f>IF(K1643="הכנסה שסווגה מחדש",-G1643,0)</x:f>
        <x:v>0</x:v>
      </x:c>
      <x:c r="P1643" s="11" t="str">
        <x:v>בהצדעה - זיו</x:v>
      </x:c>
      <x:c r="Q1643" s="11" t="str"/>
      <x:c r="R1643" s="11" t="str">
        <x:v>לא</x:v>
      </x:c>
    </x:row>
    <x:row r="1644">
      <x:c r="A1644" s="14" t="n">
        <x:v>46143</x:v>
      </x:c>
      <x:c r="B1644" s="11" t="str">
        <x:v>2026-05</x:v>
      </x:c>
      <x:c r="C1644" s="11" t="str">
        <x:v>מאי 26</x:v>
      </x:c>
      <x:c r="D1644" s="15" t="n">
        <x:v>84</x:v>
      </x:c>
      <x:c r="E1644" s="11" t="str">
        <x:v>24/5</x:v>
      </x:c>
      <x:c r="F1644" s="11" t="str">
        <x:v>חדר אוכל</x:v>
      </x:c>
      <x:c r="G1644" s="17" t="n">
        <x:v>45</x:v>
      </x:c>
      <x:c r="H1644" s="18" t="str">
        <x:v>אוכל בחוץ</x:v>
      </x:c>
      <x:c r="I1644" s="19" t="str">
        <x:f>IFERROR(INDEX('מיפוי ומקורות'!$C$7:$C$33,MATCH(H1644,'מיפוי ומקורות'!$B$7:$B$33,0)),"לא מסווג")</x:f>
        <x:v>אוכל בחוץ</x:v>
      </x:c>
      <x:c r="J1644" s="19" t="str">
        <x:f>IFERROR(INDEX('מיפוי ומקורות'!$D$7:$D$33,MATCH(H1644,'מיפוי ומקורות'!$B$7:$B$33,0)),"שוטף")</x:f>
        <x:v>שוטף</x:v>
      </x:c>
      <x:c r="K1644" s="19" t="str">
        <x:f>IF(OR(H1644="ריביות",AND(H1644="דירה כצנלסון",G1644&lt;0,ISNUMBER(SEARCH("הכנסה",F1644)))),"הכנסה שסווגה מחדש",J1644)</x:f>
        <x:v>שוטף</x:v>
      </x:c>
      <x:c r="L1644" s="19" t="str">
        <x:v>מאושר</x:v>
      </x:c>
      <x:c r="M1644" s="20" t="n">
        <x:f>IF(L1644="מאושר",IF(K1644="הכנסה שסווגה מחדש",0,G1644),0)</x:f>
        <x:v>45</x:v>
      </x:c>
      <x:c r="N1644" s="20" t="n">
        <x:f>IF(K1644="שוטף",M1644,0)</x:f>
        <x:v>45</x:v>
      </x:c>
      <x:c r="O1644" s="20" t="n">
        <x:f>IF(K1644="הכנסה שסווגה מחדש",-G1644,0)</x:f>
        <x:v>0</x:v>
      </x:c>
      <x:c r="P1644" s="11" t="str">
        <x:v>בהצדעה - זיו</x:v>
      </x:c>
      <x:c r="Q1644" s="11" t="str"/>
      <x:c r="R1644" s="11" t="str">
        <x:v>לא</x:v>
      </x:c>
    </x:row>
    <x:row r="1645">
      <x:c r="A1645" s="14" t="n">
        <x:v>46143</x:v>
      </x:c>
      <x:c r="B1645" s="11" t="str">
        <x:v>2026-05</x:v>
      </x:c>
      <x:c r="C1645" s="11" t="str">
        <x:v>מאי 26</x:v>
      </x:c>
      <x:c r="D1645" s="15" t="n">
        <x:v>85</x:v>
      </x:c>
      <x:c r="E1645" s="11" t="str"/>
      <x:c r="F1645" s="11" t="str">
        <x:v>יקב אסף 26</x:v>
      </x:c>
      <x:c r="G1645" s="17" t="n">
        <x:v>124</x:v>
      </x:c>
      <x:c r="H1645" s="18" t="str">
        <x:v>חופשה</x:v>
      </x:c>
      <x:c r="I1645" s="19" t="str">
        <x:f>IFERROR(INDEX('מיפוי ומקורות'!$C$7:$C$33,MATCH(H1645,'מיפוי ומקורות'!$B$7:$B$33,0)),"לא מסווג")</x:f>
        <x:v>נסיעות וחופשות</x:v>
      </x:c>
      <x:c r="J1645" s="19" t="str">
        <x:f>IFERROR(INDEX('מיפוי ומקורות'!$D$7:$D$33,MATCH(H1645,'מיפוי ומקורות'!$B$7:$B$33,0)),"שוטף")</x:f>
        <x:v>חריג</x:v>
      </x:c>
      <x:c r="K1645" s="19" t="str">
        <x:f>IF(OR(H1645="ריביות",AND(H1645="דירה כצנלסון",G1645&lt;0,ISNUMBER(SEARCH("הכנסה",F1645)))),"הכנסה שסווגה מחדש",J1645)</x:f>
        <x:v>חריג</x:v>
      </x:c>
      <x:c r="L1645" s="19" t="str">
        <x:v>מאושר</x:v>
      </x:c>
      <x:c r="M1645" s="20" t="n">
        <x:f>IF(L1645="מאושר",IF(K1645="הכנסה שסווגה מחדש",0,G1645),0)</x:f>
        <x:v>124</x:v>
      </x:c>
      <x:c r="N1645" s="20" t="n">
        <x:f>IF(K1645="שוטף",M1645,0)</x:f>
        <x:v>0</x:v>
      </x:c>
      <x:c r="O1645" s="20" t="n">
        <x:f>IF(K1645="הכנסה שסווגה מחדש",-G1645,0)</x:f>
        <x:v>0</x:v>
      </x:c>
      <x:c r="P1645" s="11" t="str"/>
      <x:c r="Q1645" s="11" t="str">
        <x:v>auto:vacation:יקב אסף 26</x:v>
      </x:c>
      <x:c r="R1645" s="11" t="str">
        <x:v>כן</x:v>
      </x:c>
    </x:row>
    <x:row r="1646">
      <x:c r="A1646" s="14" t="n">
        <x:v>46143</x:v>
      </x:c>
      <x:c r="B1646" s="11" t="str">
        <x:v>2026-05</x:v>
      </x:c>
      <x:c r="C1646" s="11" t="str">
        <x:v>מאי 26</x:v>
      </x:c>
      <x:c r="D1646" s="15" t="n">
        <x:v>86</x:v>
      </x:c>
      <x:c r="E1646" s="11" t="str">
        <x:v>15/5</x:v>
      </x:c>
      <x:c r="F1646" s="11" t="str">
        <x:v>מתנה לנוגה</x:v>
      </x:c>
      <x:c r="G1646" s="17" t="n">
        <x:v>196</x:v>
      </x:c>
      <x:c r="H1646" s="18" t="str">
        <x:v>מתנה</x:v>
      </x:c>
      <x:c r="I1646" s="19" t="str">
        <x:f>IFERROR(INDEX('מיפוי ומקורות'!$C$7:$C$33,MATCH(H1646,'מיפוי ומקורות'!$B$7:$B$33,0)),"לא מסווג")</x:f>
        <x:v>מתנה</x:v>
      </x:c>
      <x:c r="J1646" s="19" t="str">
        <x:f>IFERROR(INDEX('מיפוי ומקורות'!$D$7:$D$33,MATCH(H1646,'מיפוי ומקורות'!$B$7:$B$33,0)),"שוטף")</x:f>
        <x:v>שוטף</x:v>
      </x:c>
      <x:c r="K1646" s="19" t="str">
        <x:f>IF(OR(H1646="ריביות",AND(H1646="דירה כצנלסון",G1646&lt;0,ISNUMBER(SEARCH("הכנסה",F1646)))),"הכנסה שסווגה מחדש",J1646)</x:f>
        <x:v>שוטף</x:v>
      </x:c>
      <x:c r="L1646" s="19" t="str">
        <x:v>מאושר</x:v>
      </x:c>
      <x:c r="M1646" s="20" t="n">
        <x:f>IF(L1646="מאושר",IF(K1646="הכנסה שסווגה מחדש",0,G1646),0)</x:f>
        <x:v>196</x:v>
      </x:c>
      <x:c r="N1646" s="20" t="n">
        <x:f>IF(K1646="שוטף",M1646,0)</x:f>
        <x:v>196</x:v>
      </x:c>
      <x:c r="O1646" s="20" t="n">
        <x:f>IF(K1646="הכנסה שסווגה מחדש",-G1646,0)</x:f>
        <x:v>0</x:v>
      </x:c>
      <x:c r="P1646" s="11" t="str">
        <x:v>בהצדעה - זיו</x:v>
      </x:c>
      <x:c r="Q1646" s="11" t="str"/>
      <x:c r="R1646" s="11" t="str">
        <x:v>לא</x:v>
      </x:c>
    </x:row>
    <x:row r="1647">
      <x:c r="A1647" s="14" t="n">
        <x:v>46143</x:v>
      </x:c>
      <x:c r="B1647" s="11" t="str">
        <x:v>2026-05</x:v>
      </x:c>
      <x:c r="C1647" s="11" t="str">
        <x:v>מאי 26</x:v>
      </x:c>
      <x:c r="D1647" s="15" t="n">
        <x:v>87</x:v>
      </x:c>
      <x:c r="E1647" s="11" t="str">
        <x:v>1.05</x:v>
      </x:c>
      <x:c r="F1647" s="11" t="str">
        <x:v>נונו מימי - גבעתיים</x:v>
      </x:c>
      <x:c r="G1647" s="17" t="n">
        <x:v>47</x:v>
      </x:c>
      <x:c r="H1647" s="18" t="str">
        <x:v>אוכל בחוץ</x:v>
      </x:c>
      <x:c r="I1647" s="19" t="str">
        <x:f>IFERROR(INDEX('מיפוי ומקורות'!$C$7:$C$33,MATCH(H1647,'מיפוי ומקורות'!$B$7:$B$33,0)),"לא מסווג")</x:f>
        <x:v>אוכל בחוץ</x:v>
      </x:c>
      <x:c r="J1647" s="19" t="str">
        <x:f>IFERROR(INDEX('מיפוי ומקורות'!$D$7:$D$33,MATCH(H1647,'מיפוי ומקורות'!$B$7:$B$33,0)),"שוטף")</x:f>
        <x:v>שוטף</x:v>
      </x:c>
      <x:c r="K1647" s="19" t="str">
        <x:f>IF(OR(H1647="ריביות",AND(H1647="דירה כצנלסון",G1647&lt;0,ISNUMBER(SEARCH("הכנסה",F1647)))),"הכנסה שסווגה מחדש",J1647)</x:f>
        <x:v>שוטף</x:v>
      </x:c>
      <x:c r="L1647" s="19" t="str">
        <x:v>מאושר</x:v>
      </x:c>
      <x:c r="M1647" s="20" t="n">
        <x:f>IF(L1647="מאושר",IF(K1647="הכנסה שסווגה מחדש",0,G1647),0)</x:f>
        <x:v>47</x:v>
      </x:c>
      <x:c r="N1647" s="20" t="n">
        <x:f>IF(K1647="שוטף",M1647,0)</x:f>
        <x:v>47</x:v>
      </x:c>
      <x:c r="O1647" s="20" t="n">
        <x:f>IF(K1647="הכנסה שסווגה מחדש",-G1647,0)</x:f>
        <x:v>0</x:v>
      </x:c>
      <x:c r="P1647" s="11" t="str">
        <x:v>סיבוס - עינור</x:v>
      </x:c>
      <x:c r="Q1647" s="11" t="str"/>
      <x:c r="R1647" s="11" t="str">
        <x:v>לא</x:v>
      </x:c>
    </x:row>
    <x:row r="1648">
      <x:c r="A1648" s="14" t="n">
        <x:v>46143</x:v>
      </x:c>
      <x:c r="B1648" s="11" t="str">
        <x:v>2026-05</x:v>
      </x:c>
      <x:c r="C1648" s="11" t="str">
        <x:v>מאי 26</x:v>
      </x:c>
      <x:c r="D1648" s="15" t="n">
        <x:v>88</x:v>
      </x:c>
      <x:c r="E1648" s="11" t="str">
        <x:v>7.05</x:v>
      </x:c>
      <x:c r="F1648" s="11" t="str">
        <x:v>סופר</x:v>
      </x:c>
      <x:c r="G1648" s="17" t="n">
        <x:v>19</x:v>
      </x:c>
      <x:c r="H1648" s="18" t="str">
        <x:v>מזון לבית</x:v>
      </x:c>
      <x:c r="I1648" s="19" t="str">
        <x:f>IFERROR(INDEX('מיפוי ומקורות'!$C$7:$C$33,MATCH(H1648,'מיפוי ומקורות'!$B$7:$B$33,0)),"לא מסווג")</x:f>
        <x:v>מזון לבית</x:v>
      </x:c>
      <x:c r="J1648" s="19" t="str">
        <x:f>IFERROR(INDEX('מיפוי ומקורות'!$D$7:$D$33,MATCH(H1648,'מיפוי ומקורות'!$B$7:$B$33,0)),"שוטף")</x:f>
        <x:v>שוטף</x:v>
      </x:c>
      <x:c r="K1648" s="19" t="str">
        <x:f>IF(OR(H1648="ריביות",AND(H1648="דירה כצנלסון",G1648&lt;0,ISNUMBER(SEARCH("הכנסה",F1648)))),"הכנסה שסווגה מחדש",J1648)</x:f>
        <x:v>שוטף</x:v>
      </x:c>
      <x:c r="L1648" s="19" t="str">
        <x:v>מאושר</x:v>
      </x:c>
      <x:c r="M1648" s="20" t="n">
        <x:f>IF(L1648="מאושר",IF(K1648="הכנסה שסווגה מחדש",0,G1648),0)</x:f>
        <x:v>19</x:v>
      </x:c>
      <x:c r="N1648" s="20" t="n">
        <x:f>IF(K1648="שוטף",M1648,0)</x:f>
        <x:v>19</x:v>
      </x:c>
      <x:c r="O1648" s="20" t="n">
        <x:f>IF(K1648="הכנסה שסווגה מחדש",-G1648,0)</x:f>
        <x:v>0</x:v>
      </x:c>
      <x:c r="P1648" s="11" t="str">
        <x:v>סיבוס - עינור</x:v>
      </x:c>
      <x:c r="Q1648" s="11" t="str"/>
      <x:c r="R1648" s="11" t="str">
        <x:v>לא</x:v>
      </x:c>
    </x:row>
    <x:row r="1649">
      <x:c r="A1649" s="14" t="n">
        <x:v>46143</x:v>
      </x:c>
      <x:c r="B1649" s="11" t="str">
        <x:v>2026-05</x:v>
      </x:c>
      <x:c r="C1649" s="11" t="str">
        <x:v>מאי 26</x:v>
      </x:c>
      <x:c r="D1649" s="15" t="n">
        <x:v>89</x:v>
      </x:c>
      <x:c r="E1649" s="11" t="str">
        <x:v>8.05</x:v>
      </x:c>
      <x:c r="F1649" s="11" t="str">
        <x:v>סופר</x:v>
      </x:c>
      <x:c r="G1649" s="17" t="n">
        <x:v>25</x:v>
      </x:c>
      <x:c r="H1649" s="18" t="str">
        <x:v>מזון לבית</x:v>
      </x:c>
      <x:c r="I1649" s="19" t="str">
        <x:f>IFERROR(INDEX('מיפוי ומקורות'!$C$7:$C$33,MATCH(H1649,'מיפוי ומקורות'!$B$7:$B$33,0)),"לא מסווג")</x:f>
        <x:v>מזון לבית</x:v>
      </x:c>
      <x:c r="J1649" s="19" t="str">
        <x:f>IFERROR(INDEX('מיפוי ומקורות'!$D$7:$D$33,MATCH(H1649,'מיפוי ומקורות'!$B$7:$B$33,0)),"שוטף")</x:f>
        <x:v>שוטף</x:v>
      </x:c>
      <x:c r="K1649" s="19" t="str">
        <x:f>IF(OR(H1649="ריביות",AND(H1649="דירה כצנלסון",G1649&lt;0,ISNUMBER(SEARCH("הכנסה",F1649)))),"הכנסה שסווגה מחדש",J1649)</x:f>
        <x:v>שוטף</x:v>
      </x:c>
      <x:c r="L1649" s="19" t="str">
        <x:v>מאושר</x:v>
      </x:c>
      <x:c r="M1649" s="20" t="n">
        <x:f>IF(L1649="מאושר",IF(K1649="הכנסה שסווגה מחדש",0,G1649),0)</x:f>
        <x:v>25</x:v>
      </x:c>
      <x:c r="N1649" s="20" t="n">
        <x:f>IF(K1649="שוטף",M1649,0)</x:f>
        <x:v>25</x:v>
      </x:c>
      <x:c r="O1649" s="20" t="n">
        <x:f>IF(K1649="הכנסה שסווגה מחדש",-G1649,0)</x:f>
        <x:v>0</x:v>
      </x:c>
      <x:c r="P1649" s="11" t="str">
        <x:v>סיבוס - עינור</x:v>
      </x:c>
      <x:c r="Q1649" s="11" t="str"/>
      <x:c r="R1649" s="11" t="str">
        <x:v>לא</x:v>
      </x:c>
    </x:row>
    <x:row r="1650">
      <x:c r="A1650" s="14" t="n">
        <x:v>46143</x:v>
      </x:c>
      <x:c r="B1650" s="11" t="str">
        <x:v>2026-05</x:v>
      </x:c>
      <x:c r="C1650" s="11" t="str">
        <x:v>מאי 26</x:v>
      </x:c>
      <x:c r="D1650" s="15" t="n">
        <x:v>90</x:v>
      </x:c>
      <x:c r="E1650" s="11" t="str">
        <x:v>8.05</x:v>
      </x:c>
      <x:c r="F1650" s="11" t="str">
        <x:v>סופר</x:v>
      </x:c>
      <x:c r="G1650" s="17" t="n">
        <x:v>52</x:v>
      </x:c>
      <x:c r="H1650" s="18" t="str">
        <x:v>מזון לבית</x:v>
      </x:c>
      <x:c r="I1650" s="19" t="str">
        <x:f>IFERROR(INDEX('מיפוי ומקורות'!$C$7:$C$33,MATCH(H1650,'מיפוי ומקורות'!$B$7:$B$33,0)),"לא מסווג")</x:f>
        <x:v>מזון לבית</x:v>
      </x:c>
      <x:c r="J1650" s="19" t="str">
        <x:f>IFERROR(INDEX('מיפוי ומקורות'!$D$7:$D$33,MATCH(H1650,'מיפוי ומקורות'!$B$7:$B$33,0)),"שוטף")</x:f>
        <x:v>שוטף</x:v>
      </x:c>
      <x:c r="K1650" s="19" t="str">
        <x:f>IF(OR(H1650="ריביות",AND(H1650="דירה כצנלסון",G1650&lt;0,ISNUMBER(SEARCH("הכנסה",F1650)))),"הכנסה שסווגה מחדש",J1650)</x:f>
        <x:v>שוטף</x:v>
      </x:c>
      <x:c r="L1650" s="19" t="str">
        <x:v>מאושר</x:v>
      </x:c>
      <x:c r="M1650" s="20" t="n">
        <x:f>IF(L1650="מאושר",IF(K1650="הכנסה שסווגה מחדש",0,G1650),0)</x:f>
        <x:v>52</x:v>
      </x:c>
      <x:c r="N1650" s="20" t="n">
        <x:f>IF(K1650="שוטף",M1650,0)</x:f>
        <x:v>52</x:v>
      </x:c>
      <x:c r="O1650" s="20" t="n">
        <x:f>IF(K1650="הכנסה שסווגה מחדש",-G1650,0)</x:f>
        <x:v>0</x:v>
      </x:c>
      <x:c r="P1650" s="11" t="str">
        <x:v>סיבוס - עינור</x:v>
      </x:c>
      <x:c r="Q1650" s="11" t="str"/>
      <x:c r="R1650" s="11" t="str">
        <x:v>לא</x:v>
      </x:c>
    </x:row>
    <x:row r="1651">
      <x:c r="A1651" s="14" t="n">
        <x:v>46143</x:v>
      </x:c>
      <x:c r="B1651" s="11" t="str">
        <x:v>2026-05</x:v>
      </x:c>
      <x:c r="C1651" s="11" t="str">
        <x:v>מאי 26</x:v>
      </x:c>
      <x:c r="D1651" s="15" t="n">
        <x:v>91</x:v>
      </x:c>
      <x:c r="E1651" s="11" t="str">
        <x:v>10.05</x:v>
      </x:c>
      <x:c r="F1651" s="11" t="str">
        <x:v>סופר</x:v>
      </x:c>
      <x:c r="G1651" s="17" t="n">
        <x:v>19</x:v>
      </x:c>
      <x:c r="H1651" s="18" t="str">
        <x:v>מזון לבית</x:v>
      </x:c>
      <x:c r="I1651" s="19" t="str">
        <x:f>IFERROR(INDEX('מיפוי ומקורות'!$C$7:$C$33,MATCH(H1651,'מיפוי ומקורות'!$B$7:$B$33,0)),"לא מסווג")</x:f>
        <x:v>מזון לבית</x:v>
      </x:c>
      <x:c r="J1651" s="19" t="str">
        <x:f>IFERROR(INDEX('מיפוי ומקורות'!$D$7:$D$33,MATCH(H1651,'מיפוי ומקורות'!$B$7:$B$33,0)),"שוטף")</x:f>
        <x:v>שוטף</x:v>
      </x:c>
      <x:c r="K1651" s="19" t="str">
        <x:f>IF(OR(H1651="ריביות",AND(H1651="דירה כצנלסון",G1651&lt;0,ISNUMBER(SEARCH("הכנסה",F1651)))),"הכנסה שסווגה מחדש",J1651)</x:f>
        <x:v>שוטף</x:v>
      </x:c>
      <x:c r="L1651" s="19" t="str">
        <x:v>מאושר</x:v>
      </x:c>
      <x:c r="M1651" s="20" t="n">
        <x:f>IF(L1651="מאושר",IF(K1651="הכנסה שסווגה מחדש",0,G1651),0)</x:f>
        <x:v>19</x:v>
      </x:c>
      <x:c r="N1651" s="20" t="n">
        <x:f>IF(K1651="שוטף",M1651,0)</x:f>
        <x:v>19</x:v>
      </x:c>
      <x:c r="O1651" s="20" t="n">
        <x:f>IF(K1651="הכנסה שסווגה מחדש",-G1651,0)</x:f>
        <x:v>0</x:v>
      </x:c>
      <x:c r="P1651" s="11" t="str">
        <x:v>סיבוס - עינור</x:v>
      </x:c>
      <x:c r="Q1651" s="11" t="str"/>
      <x:c r="R1651" s="11" t="str">
        <x:v>לא</x:v>
      </x:c>
    </x:row>
    <x:row r="1652">
      <x:c r="A1652" s="14" t="n">
        <x:v>46143</x:v>
      </x:c>
      <x:c r="B1652" s="11" t="str">
        <x:v>2026-05</x:v>
      </x:c>
      <x:c r="C1652" s="11" t="str">
        <x:v>מאי 26</x:v>
      </x:c>
      <x:c r="D1652" s="15" t="n">
        <x:v>92</x:v>
      </x:c>
      <x:c r="E1652" s="11" t="str">
        <x:v>12.05</x:v>
      </x:c>
      <x:c r="F1652" s="11" t="str">
        <x:v>נונו מימי - גבעתיים</x:v>
      </x:c>
      <x:c r="G1652" s="17" t="n">
        <x:v>49</x:v>
      </x:c>
      <x:c r="H1652" s="18" t="str">
        <x:v>אוכל בחוץ</x:v>
      </x:c>
      <x:c r="I1652" s="19" t="str">
        <x:f>IFERROR(INDEX('מיפוי ומקורות'!$C$7:$C$33,MATCH(H1652,'מיפוי ומקורות'!$B$7:$B$33,0)),"לא מסווג")</x:f>
        <x:v>אוכל בחוץ</x:v>
      </x:c>
      <x:c r="J1652" s="19" t="str">
        <x:f>IFERROR(INDEX('מיפוי ומקורות'!$D$7:$D$33,MATCH(H1652,'מיפוי ומקורות'!$B$7:$B$33,0)),"שוטף")</x:f>
        <x:v>שוטף</x:v>
      </x:c>
      <x:c r="K1652" s="19" t="str">
        <x:f>IF(OR(H1652="ריביות",AND(H1652="דירה כצנלסון",G1652&lt;0,ISNUMBER(SEARCH("הכנסה",F1652)))),"הכנסה שסווגה מחדש",J1652)</x:f>
        <x:v>שוטף</x:v>
      </x:c>
      <x:c r="L1652" s="19" t="str">
        <x:v>מאושר</x:v>
      </x:c>
      <x:c r="M1652" s="20" t="n">
        <x:f>IF(L1652="מאושר",IF(K1652="הכנסה שסווגה מחדש",0,G1652),0)</x:f>
        <x:v>49</x:v>
      </x:c>
      <x:c r="N1652" s="20" t="n">
        <x:f>IF(K1652="שוטף",M1652,0)</x:f>
        <x:v>49</x:v>
      </x:c>
      <x:c r="O1652" s="20" t="n">
        <x:f>IF(K1652="הכנסה שסווגה מחדש",-G1652,0)</x:f>
        <x:v>0</x:v>
      </x:c>
      <x:c r="P1652" s="11" t="str">
        <x:v>סיבוס - עינור</x:v>
      </x:c>
      <x:c r="Q1652" s="11" t="str"/>
      <x:c r="R1652" s="11" t="str">
        <x:v>לא</x:v>
      </x:c>
    </x:row>
    <x:row r="1653">
      <x:c r="A1653" s="14" t="n">
        <x:v>46143</x:v>
      </x:c>
      <x:c r="B1653" s="11" t="str">
        <x:v>2026-05</x:v>
      </x:c>
      <x:c r="C1653" s="11" t="str">
        <x:v>מאי 26</x:v>
      </x:c>
      <x:c r="D1653" s="15" t="n">
        <x:v>93</x:v>
      </x:c>
      <x:c r="E1653" s="11" t="str">
        <x:v>19.05</x:v>
      </x:c>
      <x:c r="F1653" s="11" t="str">
        <x:v>סופר</x:v>
      </x:c>
      <x:c r="G1653" s="17" t="n">
        <x:v>35</x:v>
      </x:c>
      <x:c r="H1653" s="18" t="str">
        <x:v>מזון לבית</x:v>
      </x:c>
      <x:c r="I1653" s="19" t="str">
        <x:f>IFERROR(INDEX('מיפוי ומקורות'!$C$7:$C$33,MATCH(H1653,'מיפוי ומקורות'!$B$7:$B$33,0)),"לא מסווג")</x:f>
        <x:v>מזון לבית</x:v>
      </x:c>
      <x:c r="J1653" s="19" t="str">
        <x:f>IFERROR(INDEX('מיפוי ומקורות'!$D$7:$D$33,MATCH(H1653,'מיפוי ומקורות'!$B$7:$B$33,0)),"שוטף")</x:f>
        <x:v>שוטף</x:v>
      </x:c>
      <x:c r="K1653" s="19" t="str">
        <x:f>IF(OR(H1653="ריביות",AND(H1653="דירה כצנלסון",G1653&lt;0,ISNUMBER(SEARCH("הכנסה",F1653)))),"הכנסה שסווגה מחדש",J1653)</x:f>
        <x:v>שוטף</x:v>
      </x:c>
      <x:c r="L1653" s="19" t="str">
        <x:v>מאושר</x:v>
      </x:c>
      <x:c r="M1653" s="20" t="n">
        <x:f>IF(L1653="מאושר",IF(K1653="הכנסה שסווגה מחדש",0,G1653),0)</x:f>
        <x:v>35</x:v>
      </x:c>
      <x:c r="N1653" s="20" t="n">
        <x:f>IF(K1653="שוטף",M1653,0)</x:f>
        <x:v>35</x:v>
      </x:c>
      <x:c r="O1653" s="20" t="n">
        <x:f>IF(K1653="הכנסה שסווגה מחדש",-G1653,0)</x:f>
        <x:v>0</x:v>
      </x:c>
      <x:c r="P1653" s="11" t="str">
        <x:v>סיבוס - עינור</x:v>
      </x:c>
      <x:c r="Q1653" s="11" t="str"/>
      <x:c r="R1653" s="11" t="str">
        <x:v>לא</x:v>
      </x:c>
    </x:row>
    <x:row r="1654">
      <x:c r="A1654" s="14" t="n">
        <x:v>46143</x:v>
      </x:c>
      <x:c r="B1654" s="11" t="str">
        <x:v>2026-05</x:v>
      </x:c>
      <x:c r="C1654" s="11" t="str">
        <x:v>מאי 26</x:v>
      </x:c>
      <x:c r="D1654" s="15" t="n">
        <x:v>94</x:v>
      </x:c>
      <x:c r="E1654" s="11" t="str">
        <x:v>20.05</x:v>
      </x:c>
      <x:c r="F1654" s="11" t="str">
        <x:v>מסעדה</x:v>
      </x:c>
      <x:c r="G1654" s="17" t="n">
        <x:v>32</x:v>
      </x:c>
      <x:c r="H1654" s="18" t="str">
        <x:v>אוכל בחוץ</x:v>
      </x:c>
      <x:c r="I1654" s="19" t="str">
        <x:f>IFERROR(INDEX('מיפוי ומקורות'!$C$7:$C$33,MATCH(H1654,'מיפוי ומקורות'!$B$7:$B$33,0)),"לא מסווג")</x:f>
        <x:v>אוכל בחוץ</x:v>
      </x:c>
      <x:c r="J1654" s="19" t="str">
        <x:f>IFERROR(INDEX('מיפוי ומקורות'!$D$7:$D$33,MATCH(H1654,'מיפוי ומקורות'!$B$7:$B$33,0)),"שוטף")</x:f>
        <x:v>שוטף</x:v>
      </x:c>
      <x:c r="K1654" s="19" t="str">
        <x:f>IF(OR(H1654="ריביות",AND(H1654="דירה כצנלסון",G1654&lt;0,ISNUMBER(SEARCH("הכנסה",F1654)))),"הכנסה שסווגה מחדש",J1654)</x:f>
        <x:v>שוטף</x:v>
      </x:c>
      <x:c r="L1654" s="19" t="str">
        <x:v>מאושר</x:v>
      </x:c>
      <x:c r="M1654" s="20" t="n">
        <x:f>IF(L1654="מאושר",IF(K1654="הכנסה שסווגה מחדש",0,G1654),0)</x:f>
        <x:v>32</x:v>
      </x:c>
      <x:c r="N1654" s="20" t="n">
        <x:f>IF(K1654="שוטף",M1654,0)</x:f>
        <x:v>32</x:v>
      </x:c>
      <x:c r="O1654" s="20" t="n">
        <x:f>IF(K1654="הכנסה שסווגה מחדש",-G1654,0)</x:f>
        <x:v>0</x:v>
      </x:c>
      <x:c r="P1654" s="11" t="str">
        <x:v>סיבוס - עינור</x:v>
      </x:c>
      <x:c r="Q1654" s="11" t="str"/>
      <x:c r="R1654" s="11" t="str">
        <x:v>לא</x:v>
      </x:c>
    </x:row>
    <x:row r="1655">
      <x:c r="A1655" s="14" t="n">
        <x:v>46143</x:v>
      </x:c>
      <x:c r="B1655" s="11" t="str">
        <x:v>2026-05</x:v>
      </x:c>
      <x:c r="C1655" s="11" t="str">
        <x:v>מאי 26</x:v>
      </x:c>
      <x:c r="D1655" s="15" t="n">
        <x:v>95</x:v>
      </x:c>
      <x:c r="E1655" s="11" t="str">
        <x:v>20.05</x:v>
      </x:c>
      <x:c r="F1655" s="11" t="str">
        <x:v>מסעדה</x:v>
      </x:c>
      <x:c r="G1655" s="17" t="n">
        <x:v>83</x:v>
      </x:c>
      <x:c r="H1655" s="18" t="str">
        <x:v>אוכל בחוץ</x:v>
      </x:c>
      <x:c r="I1655" s="19" t="str">
        <x:f>IFERROR(INDEX('מיפוי ומקורות'!$C$7:$C$33,MATCH(H1655,'מיפוי ומקורות'!$B$7:$B$33,0)),"לא מסווג")</x:f>
        <x:v>אוכל בחוץ</x:v>
      </x:c>
      <x:c r="J1655" s="19" t="str">
        <x:f>IFERROR(INDEX('מיפוי ומקורות'!$D$7:$D$33,MATCH(H1655,'מיפוי ומקורות'!$B$7:$B$33,0)),"שוטף")</x:f>
        <x:v>שוטף</x:v>
      </x:c>
      <x:c r="K1655" s="19" t="str">
        <x:f>IF(OR(H1655="ריביות",AND(H1655="דירה כצנלסון",G1655&lt;0,ISNUMBER(SEARCH("הכנסה",F1655)))),"הכנסה שסווגה מחדש",J1655)</x:f>
        <x:v>שוטף</x:v>
      </x:c>
      <x:c r="L1655" s="19" t="str">
        <x:v>מאושר</x:v>
      </x:c>
      <x:c r="M1655" s="20" t="n">
        <x:f>IF(L1655="מאושר",IF(K1655="הכנסה שסווגה מחדש",0,G1655),0)</x:f>
        <x:v>83</x:v>
      </x:c>
      <x:c r="N1655" s="20" t="n">
        <x:f>IF(K1655="שוטף",M1655,0)</x:f>
        <x:v>83</x:v>
      </x:c>
      <x:c r="O1655" s="20" t="n">
        <x:f>IF(K1655="הכנסה שסווגה מחדש",-G1655,0)</x:f>
        <x:v>0</x:v>
      </x:c>
      <x:c r="P1655" s="11" t="str">
        <x:v>סיבוס - עינור</x:v>
      </x:c>
      <x:c r="Q1655" s="11" t="str"/>
      <x:c r="R1655" s="11" t="str">
        <x:v>לא</x:v>
      </x:c>
    </x:row>
    <x:row r="1656">
      <x:c r="A1656" s="14" t="n">
        <x:v>46143</x:v>
      </x:c>
      <x:c r="B1656" s="11" t="str">
        <x:v>2026-05</x:v>
      </x:c>
      <x:c r="C1656" s="11" t="str">
        <x:v>מאי 26</x:v>
      </x:c>
      <x:c r="D1656" s="15" t="n">
        <x:v>96</x:v>
      </x:c>
      <x:c r="E1656" s="11" t="str">
        <x:v>26.05</x:v>
      </x:c>
      <x:c r="F1656" s="11" t="str">
        <x:v>סופר</x:v>
      </x:c>
      <x:c r="G1656" s="17" t="n">
        <x:v>24</x:v>
      </x:c>
      <x:c r="H1656" s="18" t="str">
        <x:v>מזון לבית</x:v>
      </x:c>
      <x:c r="I1656" s="19" t="str">
        <x:f>IFERROR(INDEX('מיפוי ומקורות'!$C$7:$C$33,MATCH(H1656,'מיפוי ומקורות'!$B$7:$B$33,0)),"לא מסווג")</x:f>
        <x:v>מזון לבית</x:v>
      </x:c>
      <x:c r="J1656" s="19" t="str">
        <x:f>IFERROR(INDEX('מיפוי ומקורות'!$D$7:$D$33,MATCH(H1656,'מיפוי ומקורות'!$B$7:$B$33,0)),"שוטף")</x:f>
        <x:v>שוטף</x:v>
      </x:c>
      <x:c r="K1656" s="19" t="str">
        <x:f>IF(OR(H1656="ריביות",AND(H1656="דירה כצנלסון",G1656&lt;0,ISNUMBER(SEARCH("הכנסה",F1656)))),"הכנסה שסווגה מחדש",J1656)</x:f>
        <x:v>שוטף</x:v>
      </x:c>
      <x:c r="L1656" s="19" t="str">
        <x:v>מאושר</x:v>
      </x:c>
      <x:c r="M1656" s="20" t="n">
        <x:f>IF(L1656="מאושר",IF(K1656="הכנסה שסווגה מחדש",0,G1656),0)</x:f>
        <x:v>24</x:v>
      </x:c>
      <x:c r="N1656" s="20" t="n">
        <x:f>IF(K1656="שוטף",M1656,0)</x:f>
        <x:v>24</x:v>
      </x:c>
      <x:c r="O1656" s="20" t="n">
        <x:f>IF(K1656="הכנסה שסווגה מחדש",-G1656,0)</x:f>
        <x:v>0</x:v>
      </x:c>
      <x:c r="P1656" s="11" t="str">
        <x:v>סיבוס - עינור</x:v>
      </x:c>
      <x:c r="Q1656" s="11" t="str"/>
      <x:c r="R1656" s="11" t="str">
        <x:v>לא</x:v>
      </x:c>
    </x:row>
    <x:row r="1657">
      <x:c r="A1657" s="14" t="n">
        <x:v>46143</x:v>
      </x:c>
      <x:c r="B1657" s="11" t="str">
        <x:v>2026-05</x:v>
      </x:c>
      <x:c r="C1657" s="11" t="str">
        <x:v>מאי 26</x:v>
      </x:c>
      <x:c r="D1657" s="15" t="n">
        <x:v>97</x:v>
      </x:c>
      <x:c r="E1657" s="11" t="str">
        <x:v>26.05</x:v>
      </x:c>
      <x:c r="F1657" s="11" t="str">
        <x:v>סופר</x:v>
      </x:c>
      <x:c r="G1657" s="17" t="n">
        <x:v>26</x:v>
      </x:c>
      <x:c r="H1657" s="18" t="str">
        <x:v>מזון לבית</x:v>
      </x:c>
      <x:c r="I1657" s="19" t="str">
        <x:f>IFERROR(INDEX('מיפוי ומקורות'!$C$7:$C$33,MATCH(H1657,'מיפוי ומקורות'!$B$7:$B$33,0)),"לא מסווג")</x:f>
        <x:v>מזון לבית</x:v>
      </x:c>
      <x:c r="J1657" s="19" t="str">
        <x:f>IFERROR(INDEX('מיפוי ומקורות'!$D$7:$D$33,MATCH(H1657,'מיפוי ומקורות'!$B$7:$B$33,0)),"שוטף")</x:f>
        <x:v>שוטף</x:v>
      </x:c>
      <x:c r="K1657" s="19" t="str">
        <x:f>IF(OR(H1657="ריביות",AND(H1657="דירה כצנלסון",G1657&lt;0,ISNUMBER(SEARCH("הכנסה",F1657)))),"הכנסה שסווגה מחדש",J1657)</x:f>
        <x:v>שוטף</x:v>
      </x:c>
      <x:c r="L1657" s="19" t="str">
        <x:v>מאושר</x:v>
      </x:c>
      <x:c r="M1657" s="20" t="n">
        <x:f>IF(L1657="מאושר",IF(K1657="הכנסה שסווגה מחדש",0,G1657),0)</x:f>
        <x:v>26</x:v>
      </x:c>
      <x:c r="N1657" s="20" t="n">
        <x:f>IF(K1657="שוטף",M1657,0)</x:f>
        <x:v>26</x:v>
      </x:c>
      <x:c r="O1657" s="20" t="n">
        <x:f>IF(K1657="הכנסה שסווגה מחדש",-G1657,0)</x:f>
        <x:v>0</x:v>
      </x:c>
      <x:c r="P1657" s="11" t="str">
        <x:v>סיבוס - עינור</x:v>
      </x:c>
      <x:c r="Q1657" s="11" t="str"/>
      <x:c r="R1657" s="11" t="str">
        <x:v>לא</x:v>
      </x:c>
    </x:row>
    <x:row r="1658">
      <x:c r="A1658" s="14" t="n">
        <x:v>46143</x:v>
      </x:c>
      <x:c r="B1658" s="11" t="str">
        <x:v>2026-05</x:v>
      </x:c>
      <x:c r="C1658" s="11" t="str">
        <x:v>מאי 26</x:v>
      </x:c>
      <x:c r="D1658" s="15" t="n">
        <x:v>98</x:v>
      </x:c>
      <x:c r="E1658" s="11" t="str">
        <x:v>28.05</x:v>
      </x:c>
      <x:c r="F1658" s="11" t="str">
        <x:v>סופר</x:v>
      </x:c>
      <x:c r="G1658" s="17" t="n">
        <x:v>32</x:v>
      </x:c>
      <x:c r="H1658" s="18" t="str">
        <x:v>מזון לבית</x:v>
      </x:c>
      <x:c r="I1658" s="19" t="str">
        <x:f>IFERROR(INDEX('מיפוי ומקורות'!$C$7:$C$33,MATCH(H1658,'מיפוי ומקורות'!$B$7:$B$33,0)),"לא מסווג")</x:f>
        <x:v>מזון לבית</x:v>
      </x:c>
      <x:c r="J1658" s="19" t="str">
        <x:f>IFERROR(INDEX('מיפוי ומקורות'!$D$7:$D$33,MATCH(H1658,'מיפוי ומקורות'!$B$7:$B$33,0)),"שוטף")</x:f>
        <x:v>שוטף</x:v>
      </x:c>
      <x:c r="K1658" s="19" t="str">
        <x:f>IF(OR(H1658="ריביות",AND(H1658="דירה כצנלסון",G1658&lt;0,ISNUMBER(SEARCH("הכנסה",F1658)))),"הכנסה שסווגה מחדש",J1658)</x:f>
        <x:v>שוטף</x:v>
      </x:c>
      <x:c r="L1658" s="19" t="str">
        <x:v>מאושר</x:v>
      </x:c>
      <x:c r="M1658" s="20" t="n">
        <x:f>IF(L1658="מאושר",IF(K1658="הכנסה שסווגה מחדש",0,G1658),0)</x:f>
        <x:v>32</x:v>
      </x:c>
      <x:c r="N1658" s="20" t="n">
        <x:f>IF(K1658="שוטף",M1658,0)</x:f>
        <x:v>32</x:v>
      </x:c>
      <x:c r="O1658" s="20" t="n">
        <x:f>IF(K1658="הכנסה שסווגה מחדש",-G1658,0)</x:f>
        <x:v>0</x:v>
      </x:c>
      <x:c r="P1658" s="11" t="str">
        <x:v>סיבוס - עינור</x:v>
      </x:c>
      <x:c r="Q1658" s="11" t="str"/>
      <x:c r="R1658" s="11" t="str">
        <x:v>לא</x:v>
      </x:c>
    </x:row>
    <x:row r="1659">
      <x:c r="A1659" s="14" t="n">
        <x:v>46143</x:v>
      </x:c>
      <x:c r="B1659" s="11" t="str">
        <x:v>2026-05</x:v>
      </x:c>
      <x:c r="C1659" s="11" t="str">
        <x:v>מאי 26</x:v>
      </x:c>
      <x:c r="D1659" s="15" t="n">
        <x:v>99</x:v>
      </x:c>
      <x:c r="E1659" s="11" t="str">
        <x:v>28.05</x:v>
      </x:c>
      <x:c r="F1659" s="11" t="str">
        <x:v>חומוס יום טוב - תל אביב</x:v>
      </x:c>
      <x:c r="G1659" s="17" t="n">
        <x:v>51</x:v>
      </x:c>
      <x:c r="H1659" s="18" t="str">
        <x:v>אוכל בחוץ</x:v>
      </x:c>
      <x:c r="I1659" s="19" t="str">
        <x:f>IFERROR(INDEX('מיפוי ומקורות'!$C$7:$C$33,MATCH(H1659,'מיפוי ומקורות'!$B$7:$B$33,0)),"לא מסווג")</x:f>
        <x:v>אוכל בחוץ</x:v>
      </x:c>
      <x:c r="J1659" s="19" t="str">
        <x:f>IFERROR(INDEX('מיפוי ומקורות'!$D$7:$D$33,MATCH(H1659,'מיפוי ומקורות'!$B$7:$B$33,0)),"שוטף")</x:f>
        <x:v>שוטף</x:v>
      </x:c>
      <x:c r="K1659" s="19" t="str">
        <x:f>IF(OR(H1659="ריביות",AND(H1659="דירה כצנלסון",G1659&lt;0,ISNUMBER(SEARCH("הכנסה",F1659)))),"הכנסה שסווגה מחדש",J1659)</x:f>
        <x:v>שוטף</x:v>
      </x:c>
      <x:c r="L1659" s="19" t="str">
        <x:v>מאושר</x:v>
      </x:c>
      <x:c r="M1659" s="20" t="n">
        <x:f>IF(L1659="מאושר",IF(K1659="הכנסה שסווגה מחדש",0,G1659),0)</x:f>
        <x:v>51</x:v>
      </x:c>
      <x:c r="N1659" s="20" t="n">
        <x:f>IF(K1659="שוטף",M1659,0)</x:f>
        <x:v>51</x:v>
      </x:c>
      <x:c r="O1659" s="20" t="n">
        <x:f>IF(K1659="הכנסה שסווגה מחדש",-G1659,0)</x:f>
        <x:v>0</x:v>
      </x:c>
      <x:c r="P1659" s="11" t="str">
        <x:v>סיבוס - עינור</x:v>
      </x:c>
      <x:c r="Q1659" s="11" t="str"/>
      <x:c r="R1659" s="11" t="str">
        <x:v>לא</x:v>
      </x:c>
    </x:row>
    <x:row r="1660">
      <x:c r="A1660" s="14" t="n">
        <x:v>46143</x:v>
      </x:c>
      <x:c r="B1660" s="11" t="str">
        <x:v>2026-05</x:v>
      </x:c>
      <x:c r="C1660" s="11" t="str">
        <x:v>מאי 26</x:v>
      </x:c>
      <x:c r="D1660" s="15" t="n">
        <x:v>100</x:v>
      </x:c>
      <x:c r="E1660" s="11" t="str">
        <x:v>30.05</x:v>
      </x:c>
      <x:c r="F1660" s="11" t="str">
        <x:v>מסעדה</x:v>
      </x:c>
      <x:c r="G1660" s="17" t="n">
        <x:v>122</x:v>
      </x:c>
      <x:c r="H1660" s="18" t="str">
        <x:v>אוכל בחוץ</x:v>
      </x:c>
      <x:c r="I1660" s="19" t="str">
        <x:f>IFERROR(INDEX('מיפוי ומקורות'!$C$7:$C$33,MATCH(H1660,'מיפוי ומקורות'!$B$7:$B$33,0)),"לא מסווג")</x:f>
        <x:v>אוכל בחוץ</x:v>
      </x:c>
      <x:c r="J1660" s="19" t="str">
        <x:f>IFERROR(INDEX('מיפוי ומקורות'!$D$7:$D$33,MATCH(H1660,'מיפוי ומקורות'!$B$7:$B$33,0)),"שוטף")</x:f>
        <x:v>שוטף</x:v>
      </x:c>
      <x:c r="K1660" s="19" t="str">
        <x:f>IF(OR(H1660="ריביות",AND(H1660="דירה כצנלסון",G1660&lt;0,ISNUMBER(SEARCH("הכנסה",F1660)))),"הכנסה שסווגה מחדש",J1660)</x:f>
        <x:v>שוטף</x:v>
      </x:c>
      <x:c r="L1660" s="19" t="str">
        <x:v>מאושר</x:v>
      </x:c>
      <x:c r="M1660" s="20" t="n">
        <x:f>IF(L1660="מאושר",IF(K1660="הכנסה שסווגה מחדש",0,G1660),0)</x:f>
        <x:v>122</x:v>
      </x:c>
      <x:c r="N1660" s="20" t="n">
        <x:f>IF(K1660="שוטף",M1660,0)</x:f>
        <x:v>122</x:v>
      </x:c>
      <x:c r="O1660" s="20" t="n">
        <x:f>IF(K1660="הכנסה שסווגה מחדש",-G1660,0)</x:f>
        <x:v>0</x:v>
      </x:c>
      <x:c r="P1660" s="11" t="str">
        <x:v>סיבוס - עינור</x:v>
      </x:c>
      <x:c r="Q1660" s="11" t="str"/>
      <x:c r="R1660" s="11" t="str">
        <x:v>לא</x:v>
      </x:c>
    </x:row>
    <x:row r="1661">
      <x:c r="A1661" s="14" t="n">
        <x:v>46143</x:v>
      </x:c>
      <x:c r="B1661" s="11" t="str">
        <x:v>2026-05</x:v>
      </x:c>
      <x:c r="C1661" s="11" t="str">
        <x:v>מאי 26</x:v>
      </x:c>
      <x:c r="D1661" s="15" t="n">
        <x:v>101</x:v>
      </x:c>
      <x:c r="E1661" s="11" t="str">
        <x:v>31.05</x:v>
      </x:c>
      <x:c r="F1661" s="11" t="str">
        <x:v>דיקסי - תל אביב</x:v>
      </x:c>
      <x:c r="G1661" s="17" t="n">
        <x:v>183</x:v>
      </x:c>
      <x:c r="H1661" s="18" t="str">
        <x:v>אוכל בחוץ</x:v>
      </x:c>
      <x:c r="I1661" s="19" t="str">
        <x:f>IFERROR(INDEX('מיפוי ומקורות'!$C$7:$C$33,MATCH(H1661,'מיפוי ומקורות'!$B$7:$B$33,0)),"לא מסווג")</x:f>
        <x:v>אוכל בחוץ</x:v>
      </x:c>
      <x:c r="J1661" s="19" t="str">
        <x:f>IFERROR(INDEX('מיפוי ומקורות'!$D$7:$D$33,MATCH(H1661,'מיפוי ומקורות'!$B$7:$B$33,0)),"שוטף")</x:f>
        <x:v>שוטף</x:v>
      </x:c>
      <x:c r="K1661" s="19" t="str">
        <x:f>IF(OR(H1661="ריביות",AND(H1661="דירה כצנלסון",G1661&lt;0,ISNUMBER(SEARCH("הכנסה",F1661)))),"הכנסה שסווגה מחדש",J1661)</x:f>
        <x:v>שוטף</x:v>
      </x:c>
      <x:c r="L1661" s="19" t="str">
        <x:v>מאושר</x:v>
      </x:c>
      <x:c r="M1661" s="20" t="n">
        <x:f>IF(L1661="מאושר",IF(K1661="הכנסה שסווגה מחדש",0,G1661),0)</x:f>
        <x:v>183</x:v>
      </x:c>
      <x:c r="N1661" s="20" t="n">
        <x:f>IF(K1661="שוטף",M1661,0)</x:f>
        <x:v>183</x:v>
      </x:c>
      <x:c r="O1661" s="20" t="n">
        <x:f>IF(K1661="הכנסה שסווגה מחדש",-G1661,0)</x:f>
        <x:v>0</x:v>
      </x:c>
      <x:c r="P1661" s="11" t="str">
        <x:v>סיבוס - עינור</x:v>
      </x:c>
      <x:c r="Q1661" s="11" t="str"/>
      <x:c r="R1661" s="11" t="str">
        <x:v>לא</x:v>
      </x:c>
    </x:row>
    <x:row r="1662">
      <x:c r="A1662" s="14" t="n">
        <x:v>46143</x:v>
      </x:c>
      <x:c r="B1662" s="11" t="str">
        <x:v>2026-05</x:v>
      </x:c>
      <x:c r="C1662" s="11" t="str">
        <x:v>מאי 26</x:v>
      </x:c>
      <x:c r="D1662" s="15" t="n">
        <x:v>102</x:v>
      </x:c>
      <x:c r="E1662" s="11" t="str">
        <x:v>31.05</x:v>
      </x:c>
      <x:c r="F1662" s="11" t="str">
        <x:v>חומוס יום טוב - תל אביב</x:v>
      </x:c>
      <x:c r="G1662" s="17" t="n">
        <x:v>109</x:v>
      </x:c>
      <x:c r="H1662" s="18" t="str">
        <x:v>אוכל בחוץ</x:v>
      </x:c>
      <x:c r="I1662" s="19" t="str">
        <x:f>IFERROR(INDEX('מיפוי ומקורות'!$C$7:$C$33,MATCH(H1662,'מיפוי ומקורות'!$B$7:$B$33,0)),"לא מסווג")</x:f>
        <x:v>אוכל בחוץ</x:v>
      </x:c>
      <x:c r="J1662" s="19" t="str">
        <x:f>IFERROR(INDEX('מיפוי ומקורות'!$D$7:$D$33,MATCH(H1662,'מיפוי ומקורות'!$B$7:$B$33,0)),"שוטף")</x:f>
        <x:v>שוטף</x:v>
      </x:c>
      <x:c r="K1662" s="19" t="str">
        <x:f>IF(OR(H1662="ריביות",AND(H1662="דירה כצנלסון",G1662&lt;0,ISNUMBER(SEARCH("הכנסה",F1662)))),"הכנסה שסווגה מחדש",J1662)</x:f>
        <x:v>שוטף</x:v>
      </x:c>
      <x:c r="L1662" s="19" t="str">
        <x:v>מאושר</x:v>
      </x:c>
      <x:c r="M1662" s="20" t="n">
        <x:f>IF(L1662="מאושר",IF(K1662="הכנסה שסווגה מחדש",0,G1662),0)</x:f>
        <x:v>109</x:v>
      </x:c>
      <x:c r="N1662" s="20" t="n">
        <x:f>IF(K1662="שוטף",M1662,0)</x:f>
        <x:v>109</x:v>
      </x:c>
      <x:c r="O1662" s="20" t="n">
        <x:f>IF(K1662="הכנסה שסווגה מחדש",-G1662,0)</x:f>
        <x:v>0</x:v>
      </x:c>
      <x:c r="P1662" s="11" t="str">
        <x:v>סיבוס - עינור</x:v>
      </x:c>
      <x:c r="Q1662" s="11" t="str"/>
      <x:c r="R1662" s="11" t="str">
        <x:v>לא</x:v>
      </x:c>
    </x:row>
    <x:row r="1663">
      <x:c r="A1663" s="14" t="n">
        <x:v>46174</x:v>
      </x:c>
      <x:c r="B1663" s="11" t="str">
        <x:v>2026-06</x:v>
      </x:c>
      <x:c r="C1663" s="11" t="str">
        <x:v>יוני 26</x:v>
      </x:c>
      <x:c r="D1663" s="15" t="n">
        <x:v>2</x:v>
      </x:c>
      <x:c r="E1663" s="11" t="str"/>
      <x:c r="F1663" s="11" t="str">
        <x:v>שכר דירה</x:v>
      </x:c>
      <x:c r="G1663" s="17" t="n">
        <x:v>8000</x:v>
      </x:c>
      <x:c r="H1663" s="18" t="str">
        <x:v>מגורים</x:v>
      </x:c>
      <x:c r="I1663" s="19" t="str">
        <x:f>IFERROR(INDEX('מיפוי ומקורות'!$C$7:$C$33,MATCH(H1663,'מיפוי ומקורות'!$B$7:$B$33,0)),"לא מסווג")</x:f>
        <x:v>דיור – בית מגורים</x:v>
      </x:c>
      <x:c r="J1663" s="19" t="str">
        <x:f>IFERROR(INDEX('מיפוי ומקורות'!$D$7:$D$33,MATCH(H1663,'מיפוי ומקורות'!$B$7:$B$33,0)),"שוטף")</x:f>
        <x:v>שוטף</x:v>
      </x:c>
      <x:c r="K1663" s="19" t="str">
        <x:f>IF(OR(H1663="ריביות",AND(H1663="דירה כצנלסון",G1663&lt;0,ISNUMBER(SEARCH("הכנסה",F1663)))),"הכנסה שסווגה מחדש",J1663)</x:f>
        <x:v>שוטף</x:v>
      </x:c>
      <x:c r="L1663" s="19" t="str">
        <x:v>מאושר</x:v>
      </x:c>
      <x:c r="M1663" s="20" t="n">
        <x:f>IF(L1663="מאושר",IF(K1663="הכנסה שסווגה מחדש",0,G1663),0)</x:f>
        <x:v>8000</x:v>
      </x:c>
      <x:c r="N1663" s="20" t="n">
        <x:f>IF(K1663="שוטף",M1663,0)</x:f>
        <x:v>8000</x:v>
      </x:c>
      <x:c r="O1663" s="20" t="n">
        <x:f>IF(K1663="הכנסה שסווגה מחדש",-G1663,0)</x:f>
        <x:v>0</x:v>
      </x:c>
      <x:c r="P1663" s="11" t="str">
        <x:v>דיסקונט</x:v>
      </x:c>
      <x:c r="Q1663" s="11" t="str"/>
      <x:c r="R1663" s="11" t="str">
        <x:v>לא</x:v>
      </x:c>
    </x:row>
    <x:row r="1664">
      <x:c r="A1664" s="14" t="n">
        <x:v>46174</x:v>
      </x:c>
      <x:c r="B1664" s="11" t="str">
        <x:v>2026-06</x:v>
      </x:c>
      <x:c r="C1664" s="11" t="str">
        <x:v>יוני 26</x:v>
      </x:c>
      <x:c r="D1664" s="15" t="n">
        <x:v>3</x:v>
      </x:c>
      <x:c r="E1664" s="11" t="str"/>
      <x:c r="F1664" s="11" t="str">
        <x:v>משכנתא</x:v>
      </x:c>
      <x:c r="G1664" s="17" t="n">
        <x:v>6155</x:v>
      </x:c>
      <x:c r="H1664" s="18" t="str">
        <x:v>דירה כצנלסון</x:v>
      </x:c>
      <x:c r="I1664" s="19" t="str">
        <x:f>IFERROR(INDEX('מיפוי ומקורות'!$C$7:$C$33,MATCH(H1664,'מיפוי ומקורות'!$B$7:$B$33,0)),"לא מסווג")</x:f>
        <x:v>נכס להשקעה</x:v>
      </x:c>
      <x:c r="J1664" s="19" t="str">
        <x:f>IFERROR(INDEX('מיפוי ומקורות'!$D$7:$D$33,MATCH(H1664,'מיפוי ומקורות'!$B$7:$B$33,0)),"שוטף")</x:f>
        <x:v>חריג/נכס</x:v>
      </x:c>
      <x:c r="K1664" s="19" t="str">
        <x:f>IF(OR(H1664="ריביות",AND(H1664="דירה כצנלסון",G1664&lt;0,ISNUMBER(SEARCH("הכנסה",F1664)))),"הכנסה שסווגה מחדש",J1664)</x:f>
        <x:v>חריג/נכס</x:v>
      </x:c>
      <x:c r="L1664" s="19" t="str">
        <x:v>מאושר</x:v>
      </x:c>
      <x:c r="M1664" s="20" t="n">
        <x:f>IF(L1664="מאושר",IF(K1664="הכנסה שסווגה מחדש",0,G1664),0)</x:f>
        <x:v>6155</x:v>
      </x:c>
      <x:c r="N1664" s="20" t="n">
        <x:f>IF(K1664="שוטף",M1664,0)</x:f>
        <x:v>0</x:v>
      </x:c>
      <x:c r="O1664" s="20" t="n">
        <x:f>IF(K1664="הכנסה שסווגה מחדש",-G1664,0)</x:f>
        <x:v>0</x:v>
      </x:c>
      <x:c r="P1664" s="11" t="str">
        <x:v>דיסקונט</x:v>
      </x:c>
      <x:c r="Q1664" s="11" t="str"/>
      <x:c r="R1664" s="11" t="str">
        <x:v>לא</x:v>
      </x:c>
    </x:row>
    <x:row r="1665">
      <x:c r="A1665" s="14" t="n">
        <x:v>46174</x:v>
      </x:c>
      <x:c r="B1665" s="11" t="str">
        <x:v>2026-06</x:v>
      </x:c>
      <x:c r="C1665" s="11" t="str">
        <x:v>יוני 26</x:v>
      </x:c>
      <x:c r="D1665" s="15" t="n">
        <x:v>4</x:v>
      </x:c>
      <x:c r="E1665" s="11" t="str"/>
      <x:c r="F1665" s="11" t="str">
        <x:v>ארנונה</x:v>
      </x:c>
      <x:c r="G1665" s="17" t="n">
        <x:v>0</x:v>
      </x:c>
      <x:c r="H1665" s="18" t="str">
        <x:v>מגורים</x:v>
      </x:c>
      <x:c r="I1665" s="19" t="str">
        <x:f>IFERROR(INDEX('מיפוי ומקורות'!$C$7:$C$33,MATCH(H1665,'מיפוי ומקורות'!$B$7:$B$33,0)),"לא מסווג")</x:f>
        <x:v>דיור – בית מגורים</x:v>
      </x:c>
      <x:c r="J1665" s="19" t="str">
        <x:f>IFERROR(INDEX('מיפוי ומקורות'!$D$7:$D$33,MATCH(H1665,'מיפוי ומקורות'!$B$7:$B$33,0)),"שוטף")</x:f>
        <x:v>שוטף</x:v>
      </x:c>
      <x:c r="K1665" s="19" t="str">
        <x:f>IF(OR(H1665="ריביות",AND(H1665="דירה כצנלסון",G1665&lt;0,ISNUMBER(SEARCH("הכנסה",F1665)))),"הכנסה שסווגה מחדש",J1665)</x:f>
        <x:v>שוטף</x:v>
      </x:c>
      <x:c r="L1665" s="19" t="str">
        <x:v>מאושר</x:v>
      </x:c>
      <x:c r="M1665" s="20" t="n">
        <x:f>IF(L1665="מאושר",IF(K1665="הכנסה שסווגה מחדש",0,G1665),0)</x:f>
        <x:v>0</x:v>
      </x:c>
      <x:c r="N1665" s="20" t="n">
        <x:f>IF(K1665="שוטף",M1665,0)</x:f>
        <x:v>0</x:v>
      </x:c>
      <x:c r="O1665" s="20" t="n">
        <x:f>IF(K1665="הכנסה שסווגה מחדש",-G1665,0)</x:f>
        <x:v>0</x:v>
      </x:c>
      <x:c r="P1665" s="11" t="str"/>
      <x:c r="Q1665" s="11" t="str"/>
      <x:c r="R1665" s="11" t="str">
        <x:v>לא</x:v>
      </x:c>
    </x:row>
    <x:row r="1666">
      <x:c r="A1666" s="14" t="n">
        <x:v>46174</x:v>
      </x:c>
      <x:c r="B1666" s="11" t="str">
        <x:v>2026-06</x:v>
      </x:c>
      <x:c r="C1666" s="11" t="str">
        <x:v>יוני 26</x:v>
      </x:c>
      <x:c r="D1666" s="15" t="n">
        <x:v>5</x:v>
      </x:c>
      <x:c r="E1666" s="11" t="str">
        <x:v>4.06</x:v>
      </x:c>
      <x:c r="F1666" s="11" t="str">
        <x:v>חשמל</x:v>
      </x:c>
      <x:c r="G1666" s="17" t="n">
        <x:v>211</x:v>
      </x:c>
      <x:c r="H1666" s="18" t="str">
        <x:v>מגורים</x:v>
      </x:c>
      <x:c r="I1666" s="19" t="str">
        <x:f>IFERROR(INDEX('מיפוי ומקורות'!$C$7:$C$33,MATCH(H1666,'מיפוי ומקורות'!$B$7:$B$33,0)),"לא מסווג")</x:f>
        <x:v>דיור – בית מגורים</x:v>
      </x:c>
      <x:c r="J1666" s="19" t="str">
        <x:f>IFERROR(INDEX('מיפוי ומקורות'!$D$7:$D$33,MATCH(H1666,'מיפוי ומקורות'!$B$7:$B$33,0)),"שוטף")</x:f>
        <x:v>שוטף</x:v>
      </x:c>
      <x:c r="K1666" s="19" t="str">
        <x:f>IF(OR(H1666="ריביות",AND(H1666="דירה כצנלסון",G1666&lt;0,ISNUMBER(SEARCH("הכנסה",F1666)))),"הכנסה שסווגה מחדש",J1666)</x:f>
        <x:v>שוטף</x:v>
      </x:c>
      <x:c r="L1666" s="19" t="str">
        <x:v>מאושר</x:v>
      </x:c>
      <x:c r="M1666" s="20" t="n">
        <x:f>IF(L1666="מאושר",IF(K1666="הכנסה שסווגה מחדש",0,G1666),0)</x:f>
        <x:v>211</x:v>
      </x:c>
      <x:c r="N1666" s="20" t="n">
        <x:f>IF(K1666="שוטף",M1666,0)</x:f>
        <x:v>211</x:v>
      </x:c>
      <x:c r="O1666" s="20" t="n">
        <x:f>IF(K1666="הכנסה שסווגה מחדש",-G1666,0)</x:f>
        <x:v>0</x:v>
      </x:c>
      <x:c r="P1666" s="11" t="str">
        <x:v>אמקס - זיו</x:v>
      </x:c>
      <x:c r="Q1666" s="11" t="str"/>
      <x:c r="R1666" s="11" t="str">
        <x:v>לא</x:v>
      </x:c>
    </x:row>
    <x:row r="1667">
      <x:c r="A1667" s="14" t="n">
        <x:v>46174</x:v>
      </x:c>
      <x:c r="B1667" s="11" t="str">
        <x:v>2026-06</x:v>
      </x:c>
      <x:c r="C1667" s="11" t="str">
        <x:v>יוני 26</x:v>
      </x:c>
      <x:c r="D1667" s="15" t="n">
        <x:v>6</x:v>
      </x:c>
      <x:c r="E1667" s="11" t="str"/>
      <x:c r="F1667" s="11" t="str">
        <x:v>מים</x:v>
      </x:c>
      <x:c r="G1667" s="17" t="n">
        <x:v>0</x:v>
      </x:c>
      <x:c r="H1667" s="18" t="str">
        <x:v>מגורים</x:v>
      </x:c>
      <x:c r="I1667" s="19" t="str">
        <x:f>IFERROR(INDEX('מיפוי ומקורות'!$C$7:$C$33,MATCH(H1667,'מיפוי ומקורות'!$B$7:$B$33,0)),"לא מסווג")</x:f>
        <x:v>דיור – בית מגורים</x:v>
      </x:c>
      <x:c r="J1667" s="19" t="str">
        <x:f>IFERROR(INDEX('מיפוי ומקורות'!$D$7:$D$33,MATCH(H1667,'מיפוי ומקורות'!$B$7:$B$33,0)),"שוטף")</x:f>
        <x:v>שוטף</x:v>
      </x:c>
      <x:c r="K1667" s="19" t="str">
        <x:f>IF(OR(H1667="ריביות",AND(H1667="דירה כצנלסון",G1667&lt;0,ISNUMBER(SEARCH("הכנסה",F1667)))),"הכנסה שסווגה מחדש",J1667)</x:f>
        <x:v>שוטף</x:v>
      </x:c>
      <x:c r="L1667" s="19" t="str">
        <x:v>מאושר</x:v>
      </x:c>
      <x:c r="M1667" s="20" t="n">
        <x:f>IF(L1667="מאושר",IF(K1667="הכנסה שסווגה מחדש",0,G1667),0)</x:f>
        <x:v>0</x:v>
      </x:c>
      <x:c r="N1667" s="20" t="n">
        <x:f>IF(K1667="שוטף",M1667,0)</x:f>
        <x:v>0</x:v>
      </x:c>
      <x:c r="O1667" s="20" t="n">
        <x:f>IF(K1667="הכנסה שסווגה מחדש",-G1667,0)</x:f>
        <x:v>0</x:v>
      </x:c>
      <x:c r="P1667" s="11" t="str"/>
      <x:c r="Q1667" s="11" t="str"/>
      <x:c r="R1667" s="11" t="str">
        <x:v>לא</x:v>
      </x:c>
    </x:row>
    <x:row r="1668">
      <x:c r="A1668" s="14" t="n">
        <x:v>46174</x:v>
      </x:c>
      <x:c r="B1668" s="11" t="str">
        <x:v>2026-06</x:v>
      </x:c>
      <x:c r="C1668" s="11" t="str">
        <x:v>יוני 26</x:v>
      </x:c>
      <x:c r="D1668" s="15" t="n">
        <x:v>7</x:v>
      </x:c>
      <x:c r="E1668" s="11" t="str"/>
      <x:c r="F1668" s="11" t="str">
        <x:v>גז</x:v>
      </x:c>
      <x:c r="G1668" s="17" t="n">
        <x:v>0</x:v>
      </x:c>
      <x:c r="H1668" s="18" t="str">
        <x:v>מגורים</x:v>
      </x:c>
      <x:c r="I1668" s="19" t="str">
        <x:f>IFERROR(INDEX('מיפוי ומקורות'!$C$7:$C$33,MATCH(H1668,'מיפוי ומקורות'!$B$7:$B$33,0)),"לא מסווג")</x:f>
        <x:v>דיור – בית מגורים</x:v>
      </x:c>
      <x:c r="J1668" s="19" t="str">
        <x:f>IFERROR(INDEX('מיפוי ומקורות'!$D$7:$D$33,MATCH(H1668,'מיפוי ומקורות'!$B$7:$B$33,0)),"שוטף")</x:f>
        <x:v>שוטף</x:v>
      </x:c>
      <x:c r="K1668" s="19" t="str">
        <x:f>IF(OR(H1668="ריביות",AND(H1668="דירה כצנלסון",G1668&lt;0,ISNUMBER(SEARCH("הכנסה",F1668)))),"הכנסה שסווגה מחדש",J1668)</x:f>
        <x:v>שוטף</x:v>
      </x:c>
      <x:c r="L1668" s="19" t="str">
        <x:v>מאושר</x:v>
      </x:c>
      <x:c r="M1668" s="20" t="n">
        <x:f>IF(L1668="מאושר",IF(K1668="הכנסה שסווגה מחדש",0,G1668),0)</x:f>
        <x:v>0</x:v>
      </x:c>
      <x:c r="N1668" s="20" t="n">
        <x:f>IF(K1668="שוטף",M1668,0)</x:f>
        <x:v>0</x:v>
      </x:c>
      <x:c r="O1668" s="20" t="n">
        <x:f>IF(K1668="הכנסה שסווגה מחדש",-G1668,0)</x:f>
        <x:v>0</x:v>
      </x:c>
      <x:c r="P1668" s="11" t="str">
        <x:v>אמקס - זיו</x:v>
      </x:c>
      <x:c r="Q1668" s="11" t="str"/>
      <x:c r="R1668" s="11" t="str">
        <x:v>לא</x:v>
      </x:c>
    </x:row>
    <x:row r="1669">
      <x:c r="A1669" s="14" t="n">
        <x:v>46174</x:v>
      </x:c>
      <x:c r="B1669" s="11" t="str">
        <x:v>2026-06</x:v>
      </x:c>
      <x:c r="C1669" s="11" t="str">
        <x:v>יוני 26</x:v>
      </x:c>
      <x:c r="D1669" s="15" t="n">
        <x:v>8</x:v>
      </x:c>
      <x:c r="E1669" s="11" t="str"/>
      <x:c r="F1669" s="11" t="str">
        <x:v>ועד בית</x:v>
      </x:c>
      <x:c r="G1669" s="17" t="n">
        <x:v>0</x:v>
      </x:c>
      <x:c r="H1669" s="18" t="str">
        <x:v>מגורים</x:v>
      </x:c>
      <x:c r="I1669" s="19" t="str">
        <x:f>IFERROR(INDEX('מיפוי ומקורות'!$C$7:$C$33,MATCH(H1669,'מיפוי ומקורות'!$B$7:$B$33,0)),"לא מסווג")</x:f>
        <x:v>דיור – בית מגורים</x:v>
      </x:c>
      <x:c r="J1669" s="19" t="str">
        <x:f>IFERROR(INDEX('מיפוי ומקורות'!$D$7:$D$33,MATCH(H1669,'מיפוי ומקורות'!$B$7:$B$33,0)),"שוטף")</x:f>
        <x:v>שוטף</x:v>
      </x:c>
      <x:c r="K1669" s="19" t="str">
        <x:f>IF(OR(H1669="ריביות",AND(H1669="דירה כצנלסון",G1669&lt;0,ISNUMBER(SEARCH("הכנסה",F1669)))),"הכנסה שסווגה מחדש",J1669)</x:f>
        <x:v>שוטף</x:v>
      </x:c>
      <x:c r="L1669" s="19" t="str">
        <x:v>מאושר</x:v>
      </x:c>
      <x:c r="M1669" s="20" t="n">
        <x:f>IF(L1669="מאושר",IF(K1669="הכנסה שסווגה מחדש",0,G1669),0)</x:f>
        <x:v>0</x:v>
      </x:c>
      <x:c r="N1669" s="20" t="n">
        <x:f>IF(K1669="שוטף",M1669,0)</x:f>
        <x:v>0</x:v>
      </x:c>
      <x:c r="O1669" s="20" t="n">
        <x:f>IF(K1669="הכנסה שסווגה מחדש",-G1669,0)</x:f>
        <x:v>0</x:v>
      </x:c>
      <x:c r="P1669" s="11" t="str">
        <x:v>מזומן</x:v>
      </x:c>
      <x:c r="Q1669" s="11" t="str"/>
      <x:c r="R1669" s="11" t="str">
        <x:v>לא</x:v>
      </x:c>
    </x:row>
    <x:row r="1670">
      <x:c r="A1670" s="14" t="n">
        <x:v>46174</x:v>
      </x:c>
      <x:c r="B1670" s="11" t="str">
        <x:v>2026-06</x:v>
      </x:c>
      <x:c r="C1670" s="11" t="str">
        <x:v>יוני 26</x:v>
      </x:c>
      <x:c r="D1670" s="15" t="n">
        <x:v>9</x:v>
      </x:c>
      <x:c r="E1670" s="11" t="str"/>
      <x:c r="F1670" s="11" t="str">
        <x:v>מנקה</x:v>
      </x:c>
      <x:c r="G1670" s="17" t="n">
        <x:v>600</x:v>
      </x:c>
      <x:c r="H1670" s="18" t="str">
        <x:v>מגורים</x:v>
      </x:c>
      <x:c r="I1670" s="19" t="str">
        <x:f>IFERROR(INDEX('מיפוי ומקורות'!$C$7:$C$33,MATCH(H1670,'מיפוי ומקורות'!$B$7:$B$33,0)),"לא מסווג")</x:f>
        <x:v>דיור – בית מגורים</x:v>
      </x:c>
      <x:c r="J1670" s="19" t="str">
        <x:f>IFERROR(INDEX('מיפוי ומקורות'!$D$7:$D$33,MATCH(H1670,'מיפוי ומקורות'!$B$7:$B$33,0)),"שוטף")</x:f>
        <x:v>שוטף</x:v>
      </x:c>
      <x:c r="K1670" s="19" t="str">
        <x:f>IF(OR(H1670="ריביות",AND(H1670="דירה כצנלסון",G1670&lt;0,ISNUMBER(SEARCH("הכנסה",F1670)))),"הכנסה שסווגה מחדש",J1670)</x:f>
        <x:v>שוטף</x:v>
      </x:c>
      <x:c r="L1670" s="19" t="str">
        <x:v>מאושר</x:v>
      </x:c>
      <x:c r="M1670" s="20" t="n">
        <x:f>IF(L1670="מאושר",IF(K1670="הכנסה שסווגה מחדש",0,G1670),0)</x:f>
        <x:v>600</x:v>
      </x:c>
      <x:c r="N1670" s="20" t="n">
        <x:f>IF(K1670="שוטף",M1670,0)</x:f>
        <x:v>600</x:v>
      </x:c>
      <x:c r="O1670" s="20" t="n">
        <x:f>IF(K1670="הכנסה שסווגה מחדש",-G1670,0)</x:f>
        <x:v>0</x:v>
      </x:c>
      <x:c r="P1670" s="11" t="str">
        <x:v>מזומן</x:v>
      </x:c>
      <x:c r="Q1670" s="11" t="str"/>
      <x:c r="R1670" s="11" t="str">
        <x:v>לא</x:v>
      </x:c>
    </x:row>
    <x:row r="1671">
      <x:c r="A1671" s="14" t="n">
        <x:v>46174</x:v>
      </x:c>
      <x:c r="B1671" s="11" t="str">
        <x:v>2026-06</x:v>
      </x:c>
      <x:c r="C1671" s="11" t="str">
        <x:v>יוני 26</x:v>
      </x:c>
      <x:c r="D1671" s="15" t="n">
        <x:v>10</x:v>
      </x:c>
      <x:c r="E1671" s="11" t="str">
        <x:v>24.06</x:v>
      </x:c>
      <x:c r="F1671" s="11" t="str">
        <x:v>אינטרנט</x:v>
      </x:c>
      <x:c r="G1671" s="17" t="n">
        <x:v>79</x:v>
      </x:c>
      <x:c r="H1671" s="18" t="str">
        <x:v>מגורים</x:v>
      </x:c>
      <x:c r="I1671" s="19" t="str">
        <x:f>IFERROR(INDEX('מיפוי ומקורות'!$C$7:$C$33,MATCH(H1671,'מיפוי ומקורות'!$B$7:$B$33,0)),"לא מסווג")</x:f>
        <x:v>דיור – בית מגורים</x:v>
      </x:c>
      <x:c r="J1671" s="19" t="str">
        <x:f>IFERROR(INDEX('מיפוי ומקורות'!$D$7:$D$33,MATCH(H1671,'מיפוי ומקורות'!$B$7:$B$33,0)),"שוטף")</x:f>
        <x:v>שוטף</x:v>
      </x:c>
      <x:c r="K1671" s="19" t="str">
        <x:f>IF(OR(H1671="ריביות",AND(H1671="דירה כצנלסון",G1671&lt;0,ISNUMBER(SEARCH("הכנסה",F1671)))),"הכנסה שסווגה מחדש",J1671)</x:f>
        <x:v>שוטף</x:v>
      </x:c>
      <x:c r="L1671" s="19" t="str">
        <x:v>מאושר</x:v>
      </x:c>
      <x:c r="M1671" s="20" t="n">
        <x:f>IF(L1671="מאושר",IF(K1671="הכנסה שסווגה מחדש",0,G1671),0)</x:f>
        <x:v>79</x:v>
      </x:c>
      <x:c r="N1671" s="20" t="n">
        <x:f>IF(K1671="שוטף",M1671,0)</x:f>
        <x:v>79</x:v>
      </x:c>
      <x:c r="O1671" s="20" t="n">
        <x:f>IF(K1671="הכנסה שסווגה מחדש",-G1671,0)</x:f>
        <x:v>0</x:v>
      </x:c>
      <x:c r="P1671" s="11" t="str">
        <x:v>אמקס - זיו</x:v>
      </x:c>
      <x:c r="Q1671" s="11" t="str"/>
      <x:c r="R1671" s="11" t="str">
        <x:v>לא</x:v>
      </x:c>
    </x:row>
    <x:row r="1672">
      <x:c r="A1672" s="14" t="n">
        <x:v>46174</x:v>
      </x:c>
      <x:c r="B1672" s="11" t="str">
        <x:v>2026-06</x:v>
      </x:c>
      <x:c r="C1672" s="11" t="str">
        <x:v>יוני 26</x:v>
      </x:c>
      <x:c r="D1672" s="15" t="n">
        <x:v>11</x:v>
      </x:c>
      <x:c r="E1672" s="11" t="str">
        <x:v>11.06</x:v>
      </x:c>
      <x:c r="F1672" s="11" t="str">
        <x:v>סלולר</x:v>
      </x:c>
      <x:c r="G1672" s="17" t="n">
        <x:v>59</x:v>
      </x:c>
      <x:c r="H1672" s="18" t="str">
        <x:v>מגורים</x:v>
      </x:c>
      <x:c r="I1672" s="19" t="str">
        <x:f>IFERROR(INDEX('מיפוי ומקורות'!$C$7:$C$33,MATCH(H1672,'מיפוי ומקורות'!$B$7:$B$33,0)),"לא מסווג")</x:f>
        <x:v>דיור – בית מגורים</x:v>
      </x:c>
      <x:c r="J1672" s="19" t="str">
        <x:f>IFERROR(INDEX('מיפוי ומקורות'!$D$7:$D$33,MATCH(H1672,'מיפוי ומקורות'!$B$7:$B$33,0)),"שוטף")</x:f>
        <x:v>שוטף</x:v>
      </x:c>
      <x:c r="K1672" s="19" t="str">
        <x:f>IF(OR(H1672="ריביות",AND(H1672="דירה כצנלסון",G1672&lt;0,ISNUMBER(SEARCH("הכנסה",F1672)))),"הכנסה שסווגה מחדש",J1672)</x:f>
        <x:v>שוטף</x:v>
      </x:c>
      <x:c r="L1672" s="19" t="str">
        <x:v>מאושר</x:v>
      </x:c>
      <x:c r="M1672" s="20" t="n">
        <x:f>IF(L1672="מאושר",IF(K1672="הכנסה שסווגה מחדש",0,G1672),0)</x:f>
        <x:v>59</x:v>
      </x:c>
      <x:c r="N1672" s="20" t="n">
        <x:f>IF(K1672="שוטף",M1672,0)</x:f>
        <x:v>59</x:v>
      </x:c>
      <x:c r="O1672" s="20" t="n">
        <x:f>IF(K1672="הכנסה שסווגה מחדש",-G1672,0)</x:f>
        <x:v>0</x:v>
      </x:c>
      <x:c r="P1672" s="11" t="str">
        <x:v>אמקס - זיו</x:v>
      </x:c>
      <x:c r="Q1672" s="11" t="str"/>
      <x:c r="R1672" s="11" t="str">
        <x:v>לא</x:v>
      </x:c>
    </x:row>
    <x:row r="1673">
      <x:c r="A1673" s="14" t="n">
        <x:v>46174</x:v>
      </x:c>
      <x:c r="B1673" s="11" t="str">
        <x:v>2026-06</x:v>
      </x:c>
      <x:c r="C1673" s="11" t="str">
        <x:v>יוני 26</x:v>
      </x:c>
      <x:c r="D1673" s="15" t="n">
        <x:v>12</x:v>
      </x:c>
      <x:c r="E1673" s="11" t="str">
        <x:v>28.06</x:v>
      </x:c>
      <x:c r="F1673" s="11" t="str">
        <x:v>ביטוח מבנה</x:v>
      </x:c>
      <x:c r="G1673" s="17" t="n">
        <x:v>71</x:v>
      </x:c>
      <x:c r="H1673" s="18" t="str">
        <x:v>דירה כצנלסון</x:v>
      </x:c>
      <x:c r="I1673" s="19" t="str">
        <x:f>IFERROR(INDEX('מיפוי ומקורות'!$C$7:$C$33,MATCH(H1673,'מיפוי ומקורות'!$B$7:$B$33,0)),"לא מסווג")</x:f>
        <x:v>נכס להשקעה</x:v>
      </x:c>
      <x:c r="J1673" s="19" t="str">
        <x:f>IFERROR(INDEX('מיפוי ומקורות'!$D$7:$D$33,MATCH(H1673,'מיפוי ומקורות'!$B$7:$B$33,0)),"שוטף")</x:f>
        <x:v>חריג/נכס</x:v>
      </x:c>
      <x:c r="K1673" s="19" t="str">
        <x:f>IF(OR(H1673="ריביות",AND(H1673="דירה כצנלסון",G1673&lt;0,ISNUMBER(SEARCH("הכנסה",F1673)))),"הכנסה שסווגה מחדש",J1673)</x:f>
        <x:v>חריג/נכס</x:v>
      </x:c>
      <x:c r="L1673" s="19" t="str">
        <x:v>מאושר</x:v>
      </x:c>
      <x:c r="M1673" s="20" t="n">
        <x:f>IF(L1673="מאושר",IF(K1673="הכנסה שסווגה מחדש",0,G1673),0)</x:f>
        <x:v>71</x:v>
      </x:c>
      <x:c r="N1673" s="20" t="n">
        <x:f>IF(K1673="שוטף",M1673,0)</x:f>
        <x:v>0</x:v>
      </x:c>
      <x:c r="O1673" s="20" t="n">
        <x:f>IF(K1673="הכנסה שסווגה מחדש",-G1673,0)</x:f>
        <x:v>0</x:v>
      </x:c>
      <x:c r="P1673" s="11" t="str">
        <x:v>אמקס - זיו</x:v>
      </x:c>
      <x:c r="Q1673" s="11" t="str"/>
      <x:c r="R1673" s="11" t="str">
        <x:v>לא</x:v>
      </x:c>
    </x:row>
    <x:row r="1674">
      <x:c r="A1674" s="14" t="n">
        <x:v>46174</x:v>
      </x:c>
      <x:c r="B1674" s="11" t="str">
        <x:v>2026-06</x:v>
      </x:c>
      <x:c r="C1674" s="11" t="str">
        <x:v>יוני 26</x:v>
      </x:c>
      <x:c r="D1674" s="15" t="n">
        <x:v>13</x:v>
      </x:c>
      <x:c r="E1674" s="11" t="str">
        <x:v>28.06</x:v>
      </x:c>
      <x:c r="F1674" s="11" t="str">
        <x:v>ביטוח חיים</x:v>
      </x:c>
      <x:c r="G1674" s="17" t="n">
        <x:v>36</x:v>
      </x:c>
      <x:c r="H1674" s="18" t="str">
        <x:v>דירה כצנלסון</x:v>
      </x:c>
      <x:c r="I1674" s="19" t="str">
        <x:f>IFERROR(INDEX('מיפוי ומקורות'!$C$7:$C$33,MATCH(H1674,'מיפוי ומקורות'!$B$7:$B$33,0)),"לא מסווג")</x:f>
        <x:v>נכס להשקעה</x:v>
      </x:c>
      <x:c r="J1674" s="19" t="str">
        <x:f>IFERROR(INDEX('מיפוי ומקורות'!$D$7:$D$33,MATCH(H1674,'מיפוי ומקורות'!$B$7:$B$33,0)),"שוטף")</x:f>
        <x:v>חריג/נכס</x:v>
      </x:c>
      <x:c r="K1674" s="19" t="str">
        <x:f>IF(OR(H1674="ריביות",AND(H1674="דירה כצנלסון",G1674&lt;0,ISNUMBER(SEARCH("הכנסה",F1674)))),"הכנסה שסווגה מחדש",J1674)</x:f>
        <x:v>חריג/נכס</x:v>
      </x:c>
      <x:c r="L1674" s="19" t="str">
        <x:v>מאושר</x:v>
      </x:c>
      <x:c r="M1674" s="20" t="n">
        <x:f>IF(L1674="מאושר",IF(K1674="הכנסה שסווגה מחדש",0,G1674),0)</x:f>
        <x:v>36</x:v>
      </x:c>
      <x:c r="N1674" s="20" t="n">
        <x:f>IF(K1674="שוטף",M1674,0)</x:f>
        <x:v>0</x:v>
      </x:c>
      <x:c r="O1674" s="20" t="n">
        <x:f>IF(K1674="הכנסה שסווגה מחדש",-G1674,0)</x:f>
        <x:v>0</x:v>
      </x:c>
      <x:c r="P1674" s="11" t="str">
        <x:v>אמקס - זיו</x:v>
      </x:c>
      <x:c r="Q1674" s="11" t="str"/>
      <x:c r="R1674" s="11" t="str">
        <x:v>לא</x:v>
      </x:c>
    </x:row>
    <x:row r="1675">
      <x:c r="A1675" s="14" t="n">
        <x:v>46174</x:v>
      </x:c>
      <x:c r="B1675" s="11" t="str">
        <x:v>2026-06</x:v>
      </x:c>
      <x:c r="C1675" s="11" t="str">
        <x:v>יוני 26</x:v>
      </x:c>
      <x:c r="D1675" s="15" t="n">
        <x:v>14</x:v>
      </x:c>
      <x:c r="E1675" s="11" t="str">
        <x:v>26.06</x:v>
      </x:c>
      <x:c r="F1675" s="11" t="str">
        <x:v>ביטוח בריאות</x:v>
      </x:c>
      <x:c r="G1675" s="17" t="n">
        <x:v>117</x:v>
      </x:c>
      <x:c r="H1675" s="18" t="str">
        <x:v>ביטוח</x:v>
      </x:c>
      <x:c r="I1675" s="19" t="str">
        <x:f>IFERROR(INDEX('מיפוי ומקורות'!$C$7:$C$33,MATCH(H1675,'מיפוי ומקורות'!$B$7:$B$33,0)),"לא מסווג")</x:f>
        <x:v>ביטוח</x:v>
      </x:c>
      <x:c r="J1675" s="19" t="str">
        <x:f>IFERROR(INDEX('מיפוי ומקורות'!$D$7:$D$33,MATCH(H1675,'מיפוי ומקורות'!$B$7:$B$33,0)),"שוטף")</x:f>
        <x:v>שוטף</x:v>
      </x:c>
      <x:c r="K1675" s="19" t="str">
        <x:f>IF(OR(H1675="ריביות",AND(H1675="דירה כצנלסון",G1675&lt;0,ISNUMBER(SEARCH("הכנסה",F1675)))),"הכנסה שסווגה מחדש",J1675)</x:f>
        <x:v>שוטף</x:v>
      </x:c>
      <x:c r="L1675" s="19" t="str">
        <x:v>מאושר</x:v>
      </x:c>
      <x:c r="M1675" s="20" t="n">
        <x:f>IF(L1675="מאושר",IF(K1675="הכנסה שסווגה מחדש",0,G1675),0)</x:f>
        <x:v>117</x:v>
      </x:c>
      <x:c r="N1675" s="20" t="n">
        <x:f>IF(K1675="שוטף",M1675,0)</x:f>
        <x:v>117</x:v>
      </x:c>
      <x:c r="O1675" s="20" t="n">
        <x:f>IF(K1675="הכנסה שסווגה מחדש",-G1675,0)</x:f>
        <x:v>0</x:v>
      </x:c>
      <x:c r="P1675" s="11" t="str">
        <x:v>אמקס - עינור</x:v>
      </x:c>
      <x:c r="Q1675" s="11" t="str"/>
      <x:c r="R1675" s="11" t="str">
        <x:v>לא</x:v>
      </x:c>
    </x:row>
    <x:row r="1676">
      <x:c r="A1676" s="14" t="n">
        <x:v>46174</x:v>
      </x:c>
      <x:c r="B1676" s="11" t="str">
        <x:v>2026-06</x:v>
      </x:c>
      <x:c r="C1676" s="11" t="str">
        <x:v>יוני 26</x:v>
      </x:c>
      <x:c r="D1676" s="15" t="n">
        <x:v>15</x:v>
      </x:c>
      <x:c r="E1676" s="11" t="str">
        <x:v>2.06</x:v>
      </x:c>
      <x:c r="F1676" s="11" t="str">
        <x:v>מכבי עינור</x:v>
      </x:c>
      <x:c r="G1676" s="17" t="n">
        <x:v>98</x:v>
      </x:c>
      <x:c r="H1676" s="18" t="str">
        <x:v>בריאות</x:v>
      </x:c>
      <x:c r="I1676" s="19" t="str">
        <x:f>IFERROR(INDEX('מיפוי ומקורות'!$C$7:$C$33,MATCH(H1676,'מיפוי ומקורות'!$B$7:$B$33,0)),"לא מסווג")</x:f>
        <x:v>בריאות וטיפולים</x:v>
      </x:c>
      <x:c r="J1676" s="19" t="str">
        <x:f>IFERROR(INDEX('מיפוי ומקורות'!$D$7:$D$33,MATCH(H1676,'מיפוי ומקורות'!$B$7:$B$33,0)),"שוטף")</x:f>
        <x:v>שוטף</x:v>
      </x:c>
      <x:c r="K1676" s="19" t="str">
        <x:f>IF(OR(H1676="ריביות",AND(H1676="דירה כצנלסון",G1676&lt;0,ISNUMBER(SEARCH("הכנסה",F1676)))),"הכנסה שסווגה מחדש",J1676)</x:f>
        <x:v>שוטף</x:v>
      </x:c>
      <x:c r="L1676" s="19" t="str">
        <x:v>מאושר</x:v>
      </x:c>
      <x:c r="M1676" s="20" t="n">
        <x:f>IF(L1676="מאושר",IF(K1676="הכנסה שסווגה מחדש",0,G1676),0)</x:f>
        <x:v>98</x:v>
      </x:c>
      <x:c r="N1676" s="20" t="n">
        <x:f>IF(K1676="שוטף",M1676,0)</x:f>
        <x:v>98</x:v>
      </x:c>
      <x:c r="O1676" s="20" t="n">
        <x:f>IF(K1676="הכנסה שסווגה מחדש",-G1676,0)</x:f>
        <x:v>0</x:v>
      </x:c>
      <x:c r="P1676" s="11" t="str">
        <x:v>אמקס - עינור</x:v>
      </x:c>
      <x:c r="Q1676" s="11" t="str"/>
      <x:c r="R1676" s="11" t="str">
        <x:v>לא</x:v>
      </x:c>
    </x:row>
    <x:row r="1677">
      <x:c r="A1677" s="14" t="n">
        <x:v>46174</x:v>
      </x:c>
      <x:c r="B1677" s="11" t="str">
        <x:v>2026-06</x:v>
      </x:c>
      <x:c r="C1677" s="11" t="str">
        <x:v>יוני 26</x:v>
      </x:c>
      <x:c r="D1677" s="15" t="n">
        <x:v>16</x:v>
      </x:c>
      <x:c r="E1677" s="11" t="str">
        <x:v>2.06</x:v>
      </x:c>
      <x:c r="F1677" s="11" t="str">
        <x:v>מכבי זיו</x:v>
      </x:c>
      <x:c r="G1677" s="17" t="n">
        <x:v>57</x:v>
      </x:c>
      <x:c r="H1677" s="18" t="str">
        <x:v>בריאות</x:v>
      </x:c>
      <x:c r="I1677" s="19" t="str">
        <x:f>IFERROR(INDEX('מיפוי ומקורות'!$C$7:$C$33,MATCH(H1677,'מיפוי ומקורות'!$B$7:$B$33,0)),"לא מסווג")</x:f>
        <x:v>בריאות וטיפולים</x:v>
      </x:c>
      <x:c r="J1677" s="19" t="str">
        <x:f>IFERROR(INDEX('מיפוי ומקורות'!$D$7:$D$33,MATCH(H1677,'מיפוי ומקורות'!$B$7:$B$33,0)),"שוטף")</x:f>
        <x:v>שוטף</x:v>
      </x:c>
      <x:c r="K1677" s="19" t="str">
        <x:f>IF(OR(H1677="ריביות",AND(H1677="דירה כצנלסון",G1677&lt;0,ISNUMBER(SEARCH("הכנסה",F1677)))),"הכנסה שסווגה מחדש",J1677)</x:f>
        <x:v>שוטף</x:v>
      </x:c>
      <x:c r="L1677" s="19" t="str">
        <x:v>מאושר</x:v>
      </x:c>
      <x:c r="M1677" s="20" t="n">
        <x:f>IF(L1677="מאושר",IF(K1677="הכנסה שסווגה מחדש",0,G1677),0)</x:f>
        <x:v>57</x:v>
      </x:c>
      <x:c r="N1677" s="20" t="n">
        <x:f>IF(K1677="שוטף",M1677,0)</x:f>
        <x:v>57</x:v>
      </x:c>
      <x:c r="O1677" s="20" t="n">
        <x:f>IF(K1677="הכנסה שסווגה מחדש",-G1677,0)</x:f>
        <x:v>0</x:v>
      </x:c>
      <x:c r="P1677" s="11" t="str">
        <x:v>אמקס - זיו</x:v>
      </x:c>
      <x:c r="Q1677" s="11" t="str"/>
      <x:c r="R1677" s="11" t="str">
        <x:v>לא</x:v>
      </x:c>
    </x:row>
    <x:row r="1678">
      <x:c r="A1678" s="14" t="n">
        <x:v>46174</x:v>
      </x:c>
      <x:c r="B1678" s="11" t="str">
        <x:v>2026-06</x:v>
      </x:c>
      <x:c r="C1678" s="11" t="str">
        <x:v>יוני 26</x:v>
      </x:c>
      <x:c r="D1678" s="15" t="n">
        <x:v>17</x:v>
      </x:c>
      <x:c r="E1678" s="11" t="str">
        <x:v>15.01</x:v>
      </x:c>
      <x:c r="F1678" s="11" t="str">
        <x:v>קאנטרי</x:v>
      </x:c>
      <x:c r="G1678" s="17" t="n">
        <x:v>632</x:v>
      </x:c>
      <x:c r="H1678" s="18" t="str">
        <x:v>ספורט</x:v>
      </x:c>
      <x:c r="I1678" s="19" t="str">
        <x:f>IFERROR(INDEX('מיפוי ומקורות'!$C$7:$C$33,MATCH(H1678,'מיפוי ומקורות'!$B$7:$B$33,0)),"לא מסווג")</x:f>
        <x:v>ספורט</x:v>
      </x:c>
      <x:c r="J1678" s="19" t="str">
        <x:f>IFERROR(INDEX('מיפוי ומקורות'!$D$7:$D$33,MATCH(H1678,'מיפוי ומקורות'!$B$7:$B$33,0)),"שוטף")</x:f>
        <x:v>שוטף</x:v>
      </x:c>
      <x:c r="K1678" s="19" t="str">
        <x:f>IF(OR(H1678="ריביות",AND(H1678="דירה כצנלסון",G1678&lt;0,ISNUMBER(SEARCH("הכנסה",F1678)))),"הכנסה שסווגה מחדש",J1678)</x:f>
        <x:v>שוטף</x:v>
      </x:c>
      <x:c r="L1678" s="19" t="str">
        <x:v>מאושר</x:v>
      </x:c>
      <x:c r="M1678" s="20" t="n">
        <x:f>IF(L1678="מאושר",IF(K1678="הכנסה שסווגה מחדש",0,G1678),0)</x:f>
        <x:v>632</x:v>
      </x:c>
      <x:c r="N1678" s="20" t="n">
        <x:f>IF(K1678="שוטף",M1678,0)</x:f>
        <x:v>632</x:v>
      </x:c>
      <x:c r="O1678" s="20" t="n">
        <x:f>IF(K1678="הכנסה שסווגה מחדש",-G1678,0)</x:f>
        <x:v>0</x:v>
      </x:c>
      <x:c r="P1678" s="11" t="str">
        <x:v>אמקס - זיו</x:v>
      </x:c>
      <x:c r="Q1678" s="11" t="str"/>
      <x:c r="R1678" s="11" t="str">
        <x:v>לא</x:v>
      </x:c>
    </x:row>
    <x:row r="1679">
      <x:c r="A1679" s="14" t="n">
        <x:v>46174</x:v>
      </x:c>
      <x:c r="B1679" s="11" t="str">
        <x:v>2026-06</x:v>
      </x:c>
      <x:c r="C1679" s="11" t="str">
        <x:v>יוני 26</x:v>
      </x:c>
      <x:c r="D1679" s="15" t="n">
        <x:v>18</x:v>
      </x:c>
      <x:c r="E1679" s="11" t="str">
        <x:v>26.01</x:v>
      </x:c>
      <x:c r="F1679" s="11" t="str">
        <x:v>ביטוח רכב חובה</x:v>
      </x:c>
      <x:c r="G1679" s="17" t="n">
        <x:v>130</x:v>
      </x:c>
      <x:c r="H1679" s="18" t="str">
        <x:v>תחבורה</x:v>
      </x:c>
      <x:c r="I1679" s="19" t="str">
        <x:f>IFERROR(INDEX('מיפוי ומקורות'!$C$7:$C$33,MATCH(H1679,'מיפוי ומקורות'!$B$7:$B$33,0)),"לא מסווג")</x:f>
        <x:v>תחבורה</x:v>
      </x:c>
      <x:c r="J1679" s="19" t="str">
        <x:f>IFERROR(INDEX('מיפוי ומקורות'!$D$7:$D$33,MATCH(H1679,'מיפוי ומקורות'!$B$7:$B$33,0)),"שוטף")</x:f>
        <x:v>שוטף</x:v>
      </x:c>
      <x:c r="K1679" s="19" t="str">
        <x:f>IF(OR(H1679="ריביות",AND(H1679="דירה כצנלסון",G1679&lt;0,ISNUMBER(SEARCH("הכנסה",F1679)))),"הכנסה שסווגה מחדש",J1679)</x:f>
        <x:v>שוטף</x:v>
      </x:c>
      <x:c r="L1679" s="19" t="str">
        <x:v>מאושר</x:v>
      </x:c>
      <x:c r="M1679" s="20" t="n">
        <x:f>IF(L1679="מאושר",IF(K1679="הכנסה שסווגה מחדש",0,G1679),0)</x:f>
        <x:v>130</x:v>
      </x:c>
      <x:c r="N1679" s="20" t="n">
        <x:f>IF(K1679="שוטף",M1679,0)</x:f>
        <x:v>130</x:v>
      </x:c>
      <x:c r="O1679" s="20" t="n">
        <x:f>IF(K1679="הכנסה שסווגה מחדש",-G1679,0)</x:f>
        <x:v>0</x:v>
      </x:c>
      <x:c r="P1679" s="11" t="str">
        <x:v>אמקס - זיו</x:v>
      </x:c>
      <x:c r="Q1679" s="11" t="str"/>
      <x:c r="R1679" s="11" t="str">
        <x:v>לא</x:v>
      </x:c>
    </x:row>
    <x:row r="1680">
      <x:c r="A1680" s="14" t="n">
        <x:v>46174</x:v>
      </x:c>
      <x:c r="B1680" s="11" t="str">
        <x:v>2026-06</x:v>
      </x:c>
      <x:c r="C1680" s="11" t="str">
        <x:v>יוני 26</x:v>
      </x:c>
      <x:c r="D1680" s="15" t="n">
        <x:v>19</x:v>
      </x:c>
      <x:c r="E1680" s="11" t="str"/>
      <x:c r="F1680" s="11" t="str">
        <x:v>האקדמיה האורגזמית</x:v>
      </x:c>
      <x:c r="G1680" s="17" t="n">
        <x:v>97</x:v>
      </x:c>
      <x:c r="H1680" s="18" t="str">
        <x:v>טיפולים</x:v>
      </x:c>
      <x:c r="I1680" s="19" t="str">
        <x:f>IFERROR(INDEX('מיפוי ומקורות'!$C$7:$C$33,MATCH(H1680,'מיפוי ומקורות'!$B$7:$B$33,0)),"לא מסווג")</x:f>
        <x:v>בריאות וטיפולים</x:v>
      </x:c>
      <x:c r="J1680" s="19" t="str">
        <x:f>IFERROR(INDEX('מיפוי ומקורות'!$D$7:$D$33,MATCH(H1680,'מיפוי ומקורות'!$B$7:$B$33,0)),"שוטף")</x:f>
        <x:v>שוטף</x:v>
      </x:c>
      <x:c r="K1680" s="19" t="str">
        <x:f>IF(OR(H1680="ריביות",AND(H1680="דירה כצנלסון",G1680&lt;0,ISNUMBER(SEARCH("הכנסה",F1680)))),"הכנסה שסווגה מחדש",J1680)</x:f>
        <x:v>שוטף</x:v>
      </x:c>
      <x:c r="L1680" s="19" t="str">
        <x:v>מאושר</x:v>
      </x:c>
      <x:c r="M1680" s="20" t="n">
        <x:f>IF(L1680="מאושר",IF(K1680="הכנסה שסווגה מחדש",0,G1680),0)</x:f>
        <x:v>97</x:v>
      </x:c>
      <x:c r="N1680" s="20" t="n">
        <x:f>IF(K1680="שוטף",M1680,0)</x:f>
        <x:v>97</x:v>
      </x:c>
      <x:c r="O1680" s="20" t="n">
        <x:f>IF(K1680="הכנסה שסווגה מחדש",-G1680,0)</x:f>
        <x:v>0</x:v>
      </x:c>
      <x:c r="P1680" s="11" t="str">
        <x:v>מקס - עינור</x:v>
      </x:c>
      <x:c r="Q1680" s="11" t="str"/>
      <x:c r="R1680" s="11" t="str">
        <x:v>לא</x:v>
      </x:c>
    </x:row>
    <x:row r="1681">
      <x:c r="A1681" s="14" t="n">
        <x:v>46174</x:v>
      </x:c>
      <x:c r="B1681" s="11" t="str">
        <x:v>2026-06</x:v>
      </x:c>
      <x:c r="C1681" s="11" t="str">
        <x:v>יוני 26</x:v>
      </x:c>
      <x:c r="D1681" s="15" t="n">
        <x:v>20</x:v>
      </x:c>
      <x:c r="E1681" s="11" t="str"/>
      <x:c r="F1681" s="11" t="str">
        <x:v>שוויץ 26</x:v>
      </x:c>
      <x:c r="G1681" s="17" t="n">
        <x:v>8435</x:v>
      </x:c>
      <x:c r="H1681" s="18" t="str">
        <x:v>חופשה</x:v>
      </x:c>
      <x:c r="I1681" s="19" t="str">
        <x:f>IFERROR(INDEX('מיפוי ומקורות'!$C$7:$C$33,MATCH(H1681,'מיפוי ומקורות'!$B$7:$B$33,0)),"לא מסווג")</x:f>
        <x:v>נסיעות וחופשות</x:v>
      </x:c>
      <x:c r="J1681" s="19" t="str">
        <x:f>IFERROR(INDEX('מיפוי ומקורות'!$D$7:$D$33,MATCH(H1681,'מיפוי ומקורות'!$B$7:$B$33,0)),"שוטף")</x:f>
        <x:v>חריג</x:v>
      </x:c>
      <x:c r="K1681" s="19" t="str">
        <x:f>IF(OR(H1681="ריביות",AND(H1681="דירה כצנלסון",G1681&lt;0,ISNUMBER(SEARCH("הכנסה",F1681)))),"הכנסה שסווגה מחדש",J1681)</x:f>
        <x:v>חריג</x:v>
      </x:c>
      <x:c r="L1681" s="19" t="str">
        <x:v>מאושר</x:v>
      </x:c>
      <x:c r="M1681" s="20" t="n">
        <x:f>IF(L1681="מאושר",IF(K1681="הכנסה שסווגה מחדש",0,G1681),0)</x:f>
        <x:v>8435</x:v>
      </x:c>
      <x:c r="N1681" s="20" t="n">
        <x:f>IF(K1681="שוטף",M1681,0)</x:f>
        <x:v>0</x:v>
      </x:c>
      <x:c r="O1681" s="20" t="n">
        <x:f>IF(K1681="הכנסה שסווגה מחדש",-G1681,0)</x:f>
        <x:v>0</x:v>
      </x:c>
      <x:c r="P1681" s="11" t="str"/>
      <x:c r="Q1681" s="11" t="str">
        <x:v>auto:vacation:שוויץ 26</x:v>
      </x:c>
      <x:c r="R1681" s="11" t="str">
        <x:v>כן</x:v>
      </x:c>
    </x:row>
    <x:row r="1682">
      <x:c r="A1682" s="14" t="n">
        <x:v>46174</x:v>
      </x:c>
      <x:c r="B1682" s="11" t="str">
        <x:v>2026-06</x:v>
      </x:c>
      <x:c r="C1682" s="11" t="str">
        <x:v>יוני 26</x:v>
      </x:c>
      <x:c r="D1682" s="15" t="n">
        <x:v>21</x:v>
      </x:c>
      <x:c r="E1682" s="11" t="str">
        <x:v>2.06</x:v>
      </x:c>
      <x:c r="F1682" s="11" t="str">
        <x:v>מכבידנט גבעתיים</x:v>
      </x:c>
      <x:c r="G1682" s="17" t="n">
        <x:v>186</x:v>
      </x:c>
      <x:c r="H1682" s="18" t="str">
        <x:v>בריאות</x:v>
      </x:c>
      <x:c r="I1682" s="19" t="str">
        <x:f>IFERROR(INDEX('מיפוי ומקורות'!$C$7:$C$33,MATCH(H1682,'מיפוי ומקורות'!$B$7:$B$33,0)),"לא מסווג")</x:f>
        <x:v>בריאות וטיפולים</x:v>
      </x:c>
      <x:c r="J1682" s="19" t="str">
        <x:f>IFERROR(INDEX('מיפוי ומקורות'!$D$7:$D$33,MATCH(H1682,'מיפוי ומקורות'!$B$7:$B$33,0)),"שוטף")</x:f>
        <x:v>שוטף</x:v>
      </x:c>
      <x:c r="K1682" s="19" t="str">
        <x:f>IF(OR(H1682="ריביות",AND(H1682="דירה כצנלסון",G1682&lt;0,ISNUMBER(SEARCH("הכנסה",F1682)))),"הכנסה שסווגה מחדש",J1682)</x:f>
        <x:v>שוטף</x:v>
      </x:c>
      <x:c r="L1682" s="19" t="str">
        <x:v>מאושר</x:v>
      </x:c>
      <x:c r="M1682" s="20" t="n">
        <x:f>IF(L1682="מאושר",IF(K1682="הכנסה שסווגה מחדש",0,G1682),0)</x:f>
        <x:v>186</x:v>
      </x:c>
      <x:c r="N1682" s="20" t="n">
        <x:f>IF(K1682="שוטף",M1682,0)</x:f>
        <x:v>186</x:v>
      </x:c>
      <x:c r="O1682" s="20" t="n">
        <x:f>IF(K1682="הכנסה שסווגה מחדש",-G1682,0)</x:f>
        <x:v>0</x:v>
      </x:c>
      <x:c r="P1682" s="11" t="str">
        <x:v>אמקס - עינור</x:v>
      </x:c>
      <x:c r="Q1682" s="11" t="str"/>
      <x:c r="R1682" s="11" t="str">
        <x:v>לא</x:v>
      </x:c>
    </x:row>
    <x:row r="1683">
      <x:c r="A1683" s="14" t="n">
        <x:v>46174</x:v>
      </x:c>
      <x:c r="B1683" s="11" t="str">
        <x:v>2026-06</x:v>
      </x:c>
      <x:c r="C1683" s="11" t="str">
        <x:v>יוני 26</x:v>
      </x:c>
      <x:c r="D1683" s="15" t="n">
        <x:v>22</x:v>
      </x:c>
      <x:c r="E1683" s="11" t="str">
        <x:v>3.06</x:v>
      </x:c>
      <x:c r="F1683" s="11" t="str">
        <x:v>סופר</x:v>
      </x:c>
      <x:c r="G1683" s="17" t="n">
        <x:v>9</x:v>
      </x:c>
      <x:c r="H1683" s="18" t="str">
        <x:v>מזון לבית</x:v>
      </x:c>
      <x:c r="I1683" s="19" t="str">
        <x:f>IFERROR(INDEX('מיפוי ומקורות'!$C$7:$C$33,MATCH(H1683,'מיפוי ומקורות'!$B$7:$B$33,0)),"לא מסווג")</x:f>
        <x:v>מזון לבית</x:v>
      </x:c>
      <x:c r="J1683" s="19" t="str">
        <x:f>IFERROR(INDEX('מיפוי ומקורות'!$D$7:$D$33,MATCH(H1683,'מיפוי ומקורות'!$B$7:$B$33,0)),"שוטף")</x:f>
        <x:v>שוטף</x:v>
      </x:c>
      <x:c r="K1683" s="19" t="str">
        <x:f>IF(OR(H1683="ריביות",AND(H1683="דירה כצנלסון",G1683&lt;0,ISNUMBER(SEARCH("הכנסה",F1683)))),"הכנסה שסווגה מחדש",J1683)</x:f>
        <x:v>שוטף</x:v>
      </x:c>
      <x:c r="L1683" s="19" t="str">
        <x:v>מאושר</x:v>
      </x:c>
      <x:c r="M1683" s="20" t="n">
        <x:f>IF(L1683="מאושר",IF(K1683="הכנסה שסווגה מחדש",0,G1683),0)</x:f>
        <x:v>9</x:v>
      </x:c>
      <x:c r="N1683" s="20" t="n">
        <x:f>IF(K1683="שוטף",M1683,0)</x:f>
        <x:v>9</x:v>
      </x:c>
      <x:c r="O1683" s="20" t="n">
        <x:f>IF(K1683="הכנסה שסווגה מחדש",-G1683,0)</x:f>
        <x:v>0</x:v>
      </x:c>
      <x:c r="P1683" s="11" t="str">
        <x:v>אמקס - עינור</x:v>
      </x:c>
      <x:c r="Q1683" s="11" t="str"/>
      <x:c r="R1683" s="11" t="str">
        <x:v>לא</x:v>
      </x:c>
    </x:row>
    <x:row r="1684">
      <x:c r="A1684" s="14" t="n">
        <x:v>46174</x:v>
      </x:c>
      <x:c r="B1684" s="11" t="str">
        <x:v>2026-06</x:v>
      </x:c>
      <x:c r="C1684" s="11" t="str">
        <x:v>יוני 26</x:v>
      </x:c>
      <x:c r="D1684" s="15" t="n">
        <x:v>23</x:v>
      </x:c>
      <x:c r="E1684" s="11" t="str">
        <x:v>4.06</x:v>
      </x:c>
      <x:c r="F1684" s="11" t="str">
        <x:v>סופר</x:v>
      </x:c>
      <x:c r="G1684" s="17" t="n">
        <x:v>24</x:v>
      </x:c>
      <x:c r="H1684" s="18" t="str">
        <x:v>מזון לבית</x:v>
      </x:c>
      <x:c r="I1684" s="19" t="str">
        <x:f>IFERROR(INDEX('מיפוי ומקורות'!$C$7:$C$33,MATCH(H1684,'מיפוי ומקורות'!$B$7:$B$33,0)),"לא מסווג")</x:f>
        <x:v>מזון לבית</x:v>
      </x:c>
      <x:c r="J1684" s="19" t="str">
        <x:f>IFERROR(INDEX('מיפוי ומקורות'!$D$7:$D$33,MATCH(H1684,'מיפוי ומקורות'!$B$7:$B$33,0)),"שוטף")</x:f>
        <x:v>שוטף</x:v>
      </x:c>
      <x:c r="K1684" s="19" t="str">
        <x:f>IF(OR(H1684="ריביות",AND(H1684="דירה כצנלסון",G1684&lt;0,ISNUMBER(SEARCH("הכנסה",F1684)))),"הכנסה שסווגה מחדש",J1684)</x:f>
        <x:v>שוטף</x:v>
      </x:c>
      <x:c r="L1684" s="19" t="str">
        <x:v>מאושר</x:v>
      </x:c>
      <x:c r="M1684" s="20" t="n">
        <x:f>IF(L1684="מאושר",IF(K1684="הכנסה שסווגה מחדש",0,G1684),0)</x:f>
        <x:v>24</x:v>
      </x:c>
      <x:c r="N1684" s="20" t="n">
        <x:f>IF(K1684="שוטף",M1684,0)</x:f>
        <x:v>24</x:v>
      </x:c>
      <x:c r="O1684" s="20" t="n">
        <x:f>IF(K1684="הכנסה שסווגה מחדש",-G1684,0)</x:f>
        <x:v>0</x:v>
      </x:c>
      <x:c r="P1684" s="11" t="str">
        <x:v>אמקס - עינור</x:v>
      </x:c>
      <x:c r="Q1684" s="11" t="str"/>
      <x:c r="R1684" s="11" t="str">
        <x:v>לא</x:v>
      </x:c>
    </x:row>
    <x:row r="1685">
      <x:c r="A1685" s="14" t="n">
        <x:v>46174</x:v>
      </x:c>
      <x:c r="B1685" s="11" t="str">
        <x:v>2026-06</x:v>
      </x:c>
      <x:c r="C1685" s="11" t="str">
        <x:v>יוני 26</x:v>
      </x:c>
      <x:c r="D1685" s="15" t="n">
        <x:v>24</x:v>
      </x:c>
      <x:c r="E1685" s="11" t="str">
        <x:v>10/06</x:v>
      </x:c>
      <x:c r="F1685" s="11" t="str">
        <x:v>סיבוס פלאקסי</x:v>
      </x:c>
      <x:c r="G1685" s="17" t="n">
        <x:v>1</x:v>
      </x:c>
      <x:c r="H1685" s="18" t="str">
        <x:v>אוכל בחוץ</x:v>
      </x:c>
      <x:c r="I1685" s="19" t="str">
        <x:f>IFERROR(INDEX('מיפוי ומקורות'!$C$7:$C$33,MATCH(H1685,'מיפוי ומקורות'!$B$7:$B$33,0)),"לא מסווג")</x:f>
        <x:v>אוכל בחוץ</x:v>
      </x:c>
      <x:c r="J1685" s="19" t="str">
        <x:f>IFERROR(INDEX('מיפוי ומקורות'!$D$7:$D$33,MATCH(H1685,'מיפוי ומקורות'!$B$7:$B$33,0)),"שוטף")</x:f>
        <x:v>שוטף</x:v>
      </x:c>
      <x:c r="K1685" s="19" t="str">
        <x:f>IF(OR(H1685="ריביות",AND(H1685="דירה כצנלסון",G1685&lt;0,ISNUMBER(SEARCH("הכנסה",F1685)))),"הכנסה שסווגה מחדש",J1685)</x:f>
        <x:v>שוטף</x:v>
      </x:c>
      <x:c r="L1685" s="19" t="str">
        <x:v>מאושר</x:v>
      </x:c>
      <x:c r="M1685" s="20" t="n">
        <x:f>IF(L1685="מאושר",IF(K1685="הכנסה שסווגה מחדש",0,G1685),0)</x:f>
        <x:v>1</x:v>
      </x:c>
      <x:c r="N1685" s="20" t="n">
        <x:f>IF(K1685="שוטף",M1685,0)</x:f>
        <x:v>1</x:v>
      </x:c>
      <x:c r="O1685" s="20" t="n">
        <x:f>IF(K1685="הכנסה שסווגה מחדש",-G1685,0)</x:f>
        <x:v>0</x:v>
      </x:c>
      <x:c r="P1685" s="11" t="str">
        <x:v>אמקס - עינור</x:v>
      </x:c>
      <x:c r="Q1685" s="11" t="str"/>
      <x:c r="R1685" s="11" t="str">
        <x:v>לא</x:v>
      </x:c>
    </x:row>
    <x:row r="1686">
      <x:c r="A1686" s="14" t="n">
        <x:v>46174</x:v>
      </x:c>
      <x:c r="B1686" s="11" t="str">
        <x:v>2026-06</x:v>
      </x:c>
      <x:c r="C1686" s="11" t="str">
        <x:v>יוני 26</x:v>
      </x:c>
      <x:c r="D1686" s="15" t="n">
        <x:v>25</x:v>
      </x:c>
      <x:c r="E1686" s="11" t="str">
        <x:v>13/06</x:v>
      </x:c>
      <x:c r="F1686" s="11" t="str">
        <x:v>אלי</x:v>
      </x:c>
      <x:c r="G1686" s="17" t="n">
        <x:v>147</x:v>
      </x:c>
      <x:c r="H1686" s="18" t="str">
        <x:v>קניות לבית</x:v>
      </x:c>
      <x:c r="I1686" s="19" t="str">
        <x:f>IFERROR(INDEX('מיפוי ומקורות'!$C$7:$C$33,MATCH(H1686,'מיפוי ומקורות'!$B$7:$B$33,0)),"לא מסווג")</x:f>
        <x:v>קניות לבית</x:v>
      </x:c>
      <x:c r="J1686" s="19" t="str">
        <x:f>IFERROR(INDEX('מיפוי ומקורות'!$D$7:$D$33,MATCH(H1686,'מיפוי ומקורות'!$B$7:$B$33,0)),"שוטף")</x:f>
        <x:v>שוטף</x:v>
      </x:c>
      <x:c r="K1686" s="19" t="str">
        <x:f>IF(OR(H1686="ריביות",AND(H1686="דירה כצנלסון",G1686&lt;0,ISNUMBER(SEARCH("הכנסה",F1686)))),"הכנסה שסווגה מחדש",J1686)</x:f>
        <x:v>שוטף</x:v>
      </x:c>
      <x:c r="L1686" s="19" t="str">
        <x:v>מאושר</x:v>
      </x:c>
      <x:c r="M1686" s="20" t="n">
        <x:f>IF(L1686="מאושר",IF(K1686="הכנסה שסווגה מחדש",0,G1686),0)</x:f>
        <x:v>147</x:v>
      </x:c>
      <x:c r="N1686" s="20" t="n">
        <x:f>IF(K1686="שוטף",M1686,0)</x:f>
        <x:v>147</x:v>
      </x:c>
      <x:c r="O1686" s="20" t="n">
        <x:f>IF(K1686="הכנסה שסווגה מחדש",-G1686,0)</x:f>
        <x:v>0</x:v>
      </x:c>
      <x:c r="P1686" s="11" t="str">
        <x:v>אמקס - עינור</x:v>
      </x:c>
      <x:c r="Q1686" s="11" t="str"/>
      <x:c r="R1686" s="11" t="str">
        <x:v>לא</x:v>
      </x:c>
    </x:row>
    <x:row r="1687">
      <x:c r="A1687" s="14" t="n">
        <x:v>46174</x:v>
      </x:c>
      <x:c r="B1687" s="11" t="str">
        <x:v>2026-06</x:v>
      </x:c>
      <x:c r="C1687" s="11" t="str">
        <x:v>יוני 26</x:v>
      </x:c>
      <x:c r="D1687" s="15" t="n">
        <x:v>26</x:v>
      </x:c>
      <x:c r="E1687" s="11" t="str">
        <x:v>13/06</x:v>
      </x:c>
      <x:c r="F1687" s="11" t="str">
        <x:v>לוכד לחות</x:v>
      </x:c>
      <x:c r="G1687" s="17" t="n">
        <x:v>650</x:v>
      </x:c>
      <x:c r="H1687" s="18" t="str">
        <x:v>קניות לבית</x:v>
      </x:c>
      <x:c r="I1687" s="19" t="str">
        <x:f>IFERROR(INDEX('מיפוי ומקורות'!$C$7:$C$33,MATCH(H1687,'מיפוי ומקורות'!$B$7:$B$33,0)),"לא מסווג")</x:f>
        <x:v>קניות לבית</x:v>
      </x:c>
      <x:c r="J1687" s="19" t="str">
        <x:f>IFERROR(INDEX('מיפוי ומקורות'!$D$7:$D$33,MATCH(H1687,'מיפוי ומקורות'!$B$7:$B$33,0)),"שוטף")</x:f>
        <x:v>שוטף</x:v>
      </x:c>
      <x:c r="K1687" s="19" t="str">
        <x:f>IF(OR(H1687="ריביות",AND(H1687="דירה כצנלסון",G1687&lt;0,ISNUMBER(SEARCH("הכנסה",F1687)))),"הכנסה שסווגה מחדש",J1687)</x:f>
        <x:v>שוטף</x:v>
      </x:c>
      <x:c r="L1687" s="19" t="str">
        <x:v>מאושר</x:v>
      </x:c>
      <x:c r="M1687" s="20" t="n">
        <x:f>IF(L1687="מאושר",IF(K1687="הכנסה שסווגה מחדש",0,G1687),0)</x:f>
        <x:v>650</x:v>
      </x:c>
      <x:c r="N1687" s="20" t="n">
        <x:f>IF(K1687="שוטף",M1687,0)</x:f>
        <x:v>650</x:v>
      </x:c>
      <x:c r="O1687" s="20" t="n">
        <x:f>IF(K1687="הכנסה שסווגה מחדש",-G1687,0)</x:f>
        <x:v>0</x:v>
      </x:c>
      <x:c r="P1687" s="11" t="str">
        <x:v>אמקס - עינור</x:v>
      </x:c>
      <x:c r="Q1687" s="11" t="str"/>
      <x:c r="R1687" s="11" t="str">
        <x:v>לא</x:v>
      </x:c>
    </x:row>
    <x:row r="1688">
      <x:c r="A1688" s="14" t="n">
        <x:v>46174</x:v>
      </x:c>
      <x:c r="B1688" s="11" t="str">
        <x:v>2026-06</x:v>
      </x:c>
      <x:c r="C1688" s="11" t="str">
        <x:v>יוני 26</x:v>
      </x:c>
      <x:c r="D1688" s="15" t="n">
        <x:v>27</x:v>
      </x:c>
      <x:c r="E1688" s="11" t="str">
        <x:v>14.06</x:v>
      </x:c>
      <x:c r="F1688" s="11" t="str">
        <x:v>SHEIN.COM</x:v>
      </x:c>
      <x:c r="G1688" s="17" t="n">
        <x:v>566</x:v>
      </x:c>
      <x:c r="H1688" s="18" t="str">
        <x:v>אופנה</x:v>
      </x:c>
      <x:c r="I1688" s="19" t="str">
        <x:f>IFERROR(INDEX('מיפוי ומקורות'!$C$7:$C$33,MATCH(H1688,'מיפוי ומקורות'!$B$7:$B$33,0)),"לא מסווג")</x:f>
        <x:v>אופנה</x:v>
      </x:c>
      <x:c r="J1688" s="19" t="str">
        <x:f>IFERROR(INDEX('מיפוי ומקורות'!$D$7:$D$33,MATCH(H1688,'מיפוי ומקורות'!$B$7:$B$33,0)),"שוטף")</x:f>
        <x:v>שוטף</x:v>
      </x:c>
      <x:c r="K1688" s="19" t="str">
        <x:f>IF(OR(H1688="ריביות",AND(H1688="דירה כצנלסון",G1688&lt;0,ISNUMBER(SEARCH("הכנסה",F1688)))),"הכנסה שסווגה מחדש",J1688)</x:f>
        <x:v>שוטף</x:v>
      </x:c>
      <x:c r="L1688" s="19" t="str">
        <x:v>מאושר</x:v>
      </x:c>
      <x:c r="M1688" s="20" t="n">
        <x:f>IF(L1688="מאושר",IF(K1688="הכנסה שסווגה מחדש",0,G1688),0)</x:f>
        <x:v>566</x:v>
      </x:c>
      <x:c r="N1688" s="20" t="n">
        <x:f>IF(K1688="שוטף",M1688,0)</x:f>
        <x:v>566</x:v>
      </x:c>
      <x:c r="O1688" s="20" t="n">
        <x:f>IF(K1688="הכנסה שסווגה מחדש",-G1688,0)</x:f>
        <x:v>0</x:v>
      </x:c>
      <x:c r="P1688" s="11" t="str">
        <x:v>אמקס - עינור</x:v>
      </x:c>
      <x:c r="Q1688" s="11" t="str"/>
      <x:c r="R1688" s="11" t="str">
        <x:v>לא</x:v>
      </x:c>
    </x:row>
    <x:row r="1689">
      <x:c r="A1689" s="14" t="n">
        <x:v>46174</x:v>
      </x:c>
      <x:c r="B1689" s="11" t="str">
        <x:v>2026-06</x:v>
      </x:c>
      <x:c r="C1689" s="11" t="str">
        <x:v>יוני 26</x:v>
      </x:c>
      <x:c r="D1689" s="15" t="n">
        <x:v>28</x:v>
      </x:c>
      <x:c r="E1689" s="11" t="str">
        <x:v>15.06</x:v>
      </x:c>
      <x:c r="F1689" s="11" t="str">
        <x:v>פארם</x:v>
      </x:c>
      <x:c r="G1689" s="17" t="n">
        <x:v>36</x:v>
      </x:c>
      <x:c r="H1689" s="18" t="str">
        <x:v>בריאות</x:v>
      </x:c>
      <x:c r="I1689" s="19" t="str">
        <x:f>IFERROR(INDEX('מיפוי ומקורות'!$C$7:$C$33,MATCH(H1689,'מיפוי ומקורות'!$B$7:$B$33,0)),"לא מסווג")</x:f>
        <x:v>בריאות וטיפולים</x:v>
      </x:c>
      <x:c r="J1689" s="19" t="str">
        <x:f>IFERROR(INDEX('מיפוי ומקורות'!$D$7:$D$33,MATCH(H1689,'מיפוי ומקורות'!$B$7:$B$33,0)),"שוטף")</x:f>
        <x:v>שוטף</x:v>
      </x:c>
      <x:c r="K1689" s="19" t="str">
        <x:f>IF(OR(H1689="ריביות",AND(H1689="דירה כצנלסון",G1689&lt;0,ISNUMBER(SEARCH("הכנסה",F1689)))),"הכנסה שסווגה מחדש",J1689)</x:f>
        <x:v>שוטף</x:v>
      </x:c>
      <x:c r="L1689" s="19" t="str">
        <x:v>מאושר</x:v>
      </x:c>
      <x:c r="M1689" s="20" t="n">
        <x:f>IF(L1689="מאושר",IF(K1689="הכנסה שסווגה מחדש",0,G1689),0)</x:f>
        <x:v>36</x:v>
      </x:c>
      <x:c r="N1689" s="20" t="n">
        <x:f>IF(K1689="שוטף",M1689,0)</x:f>
        <x:v>36</x:v>
      </x:c>
      <x:c r="O1689" s="20" t="n">
        <x:f>IF(K1689="הכנסה שסווגה מחדש",-G1689,0)</x:f>
        <x:v>0</x:v>
      </x:c>
      <x:c r="P1689" s="11" t="str">
        <x:v>אמקס - עינור</x:v>
      </x:c>
      <x:c r="Q1689" s="11" t="str"/>
      <x:c r="R1689" s="11" t="str">
        <x:v>לא</x:v>
      </x:c>
    </x:row>
    <x:row r="1690">
      <x:c r="A1690" s="14" t="n">
        <x:v>46174</x:v>
      </x:c>
      <x:c r="B1690" s="11" t="str">
        <x:v>2026-06</x:v>
      </x:c>
      <x:c r="C1690" s="11" t="str">
        <x:v>יוני 26</x:v>
      </x:c>
      <x:c r="D1690" s="15" t="n">
        <x:v>29</x:v>
      </x:c>
      <x:c r="E1690" s="11" t="str">
        <x:v>16.06</x:v>
      </x:c>
      <x:c r="F1690" s="11" t="str">
        <x:v>מכבידנט גבעתיים</x:v>
      </x:c>
      <x:c r="G1690" s="17" t="n">
        <x:v>90</x:v>
      </x:c>
      <x:c r="H1690" s="18" t="str">
        <x:v>בריאות</x:v>
      </x:c>
      <x:c r="I1690" s="19" t="str">
        <x:f>IFERROR(INDEX('מיפוי ומקורות'!$C$7:$C$33,MATCH(H1690,'מיפוי ומקורות'!$B$7:$B$33,0)),"לא מסווג")</x:f>
        <x:v>בריאות וטיפולים</x:v>
      </x:c>
      <x:c r="J1690" s="19" t="str">
        <x:f>IFERROR(INDEX('מיפוי ומקורות'!$D$7:$D$33,MATCH(H1690,'מיפוי ומקורות'!$B$7:$B$33,0)),"שוטף")</x:f>
        <x:v>שוטף</x:v>
      </x:c>
      <x:c r="K1690" s="19" t="str">
        <x:f>IF(OR(H1690="ריביות",AND(H1690="דירה כצנלסון",G1690&lt;0,ISNUMBER(SEARCH("הכנסה",F1690)))),"הכנסה שסווגה מחדש",J1690)</x:f>
        <x:v>שוטף</x:v>
      </x:c>
      <x:c r="L1690" s="19" t="str">
        <x:v>מאושר</x:v>
      </x:c>
      <x:c r="M1690" s="20" t="n">
        <x:f>IF(L1690="מאושר",IF(K1690="הכנסה שסווגה מחדש",0,G1690),0)</x:f>
        <x:v>90</x:v>
      </x:c>
      <x:c r="N1690" s="20" t="n">
        <x:f>IF(K1690="שוטף",M1690,0)</x:f>
        <x:v>90</x:v>
      </x:c>
      <x:c r="O1690" s="20" t="n">
        <x:f>IF(K1690="הכנסה שסווגה מחדש",-G1690,0)</x:f>
        <x:v>0</x:v>
      </x:c>
      <x:c r="P1690" s="11" t="str">
        <x:v>אמקס - עינור</x:v>
      </x:c>
      <x:c r="Q1690" s="11" t="str"/>
      <x:c r="R1690" s="11" t="str">
        <x:v>לא</x:v>
      </x:c>
    </x:row>
    <x:row r="1691">
      <x:c r="A1691" s="14" t="n">
        <x:v>46174</x:v>
      </x:c>
      <x:c r="B1691" s="11" t="str">
        <x:v>2026-06</x:v>
      </x:c>
      <x:c r="C1691" s="11" t="str">
        <x:v>יוני 26</x:v>
      </x:c>
      <x:c r="D1691" s="15" t="n">
        <x:v>30</x:v>
      </x:c>
      <x:c r="E1691" s="11" t="str">
        <x:v>16/06</x:v>
      </x:c>
      <x:c r="F1691" s="11" t="str">
        <x:v>חניון עזריאלי גבעתיי</x:v>
      </x:c>
      <x:c r="G1691" s="17" t="n">
        <x:v>6</x:v>
      </x:c>
      <x:c r="H1691" s="18" t="str">
        <x:v>תחבורה</x:v>
      </x:c>
      <x:c r="I1691" s="19" t="str">
        <x:f>IFERROR(INDEX('מיפוי ומקורות'!$C$7:$C$33,MATCH(H1691,'מיפוי ומקורות'!$B$7:$B$33,0)),"לא מסווג")</x:f>
        <x:v>תחבורה</x:v>
      </x:c>
      <x:c r="J1691" s="19" t="str">
        <x:f>IFERROR(INDEX('מיפוי ומקורות'!$D$7:$D$33,MATCH(H1691,'מיפוי ומקורות'!$B$7:$B$33,0)),"שוטף")</x:f>
        <x:v>שוטף</x:v>
      </x:c>
      <x:c r="K1691" s="19" t="str">
        <x:f>IF(OR(H1691="ריביות",AND(H1691="דירה כצנלסון",G1691&lt;0,ISNUMBER(SEARCH("הכנסה",F1691)))),"הכנסה שסווגה מחדש",J1691)</x:f>
        <x:v>שוטף</x:v>
      </x:c>
      <x:c r="L1691" s="19" t="str">
        <x:v>מאושר</x:v>
      </x:c>
      <x:c r="M1691" s="20" t="n">
        <x:f>IF(L1691="מאושר",IF(K1691="הכנסה שסווגה מחדש",0,G1691),0)</x:f>
        <x:v>6</x:v>
      </x:c>
      <x:c r="N1691" s="20" t="n">
        <x:f>IF(K1691="שוטף",M1691,0)</x:f>
        <x:v>6</x:v>
      </x:c>
      <x:c r="O1691" s="20" t="n">
        <x:f>IF(K1691="הכנסה שסווגה מחדש",-G1691,0)</x:f>
        <x:v>0</x:v>
      </x:c>
      <x:c r="P1691" s="11" t="str">
        <x:v>אמקס - עינור</x:v>
      </x:c>
      <x:c r="Q1691" s="11" t="str"/>
      <x:c r="R1691" s="11" t="str">
        <x:v>לא</x:v>
      </x:c>
    </x:row>
    <x:row r="1692">
      <x:c r="A1692" s="14" t="n">
        <x:v>46174</x:v>
      </x:c>
      <x:c r="B1692" s="11" t="str">
        <x:v>2026-06</x:v>
      </x:c>
      <x:c r="C1692" s="11" t="str">
        <x:v>יוני 26</x:v>
      </x:c>
      <x:c r="D1692" s="15" t="n">
        <x:v>31</x:v>
      </x:c>
      <x:c r="E1692" s="11" t="str">
        <x:v>17/06</x:v>
      </x:c>
      <x:c r="F1692" s="11" t="str">
        <x:v>אלי</x:v>
      </x:c>
      <x:c r="G1692" s="17" t="n">
        <x:v>-108</x:v>
      </x:c>
      <x:c r="H1692" s="18" t="str">
        <x:v>מיג'י</x:v>
      </x:c>
      <x:c r="I1692" s="19" t="str">
        <x:f>IFERROR(INDEX('מיפוי ומקורות'!$C$7:$C$33,MATCH(H1692,'מיפוי ומקורות'!$B$7:$B$33,0)),"לא מסווג")</x:f>
        <x:v>תחביבים ומיג'י</x:v>
      </x:c>
      <x:c r="J1692" s="19" t="str">
        <x:f>IFERROR(INDEX('מיפוי ומקורות'!$D$7:$D$33,MATCH(H1692,'מיפוי ומקורות'!$B$7:$B$33,0)),"שוטף")</x:f>
        <x:v>שוטף</x:v>
      </x:c>
      <x:c r="K1692" s="19" t="str">
        <x:f>IF(OR(H1692="ריביות",AND(H1692="דירה כצנלסון",G1692&lt;0,ISNUMBER(SEARCH("הכנסה",F1692)))),"הכנסה שסווגה מחדש",J1692)</x:f>
        <x:v>שוטף</x:v>
      </x:c>
      <x:c r="L1692" s="19" t="str">
        <x:v>מאושר</x:v>
      </x:c>
      <x:c r="M1692" s="20" t="n">
        <x:f>IF(L1692="מאושר",IF(K1692="הכנסה שסווגה מחדש",0,G1692),0)</x:f>
        <x:v>-108</x:v>
      </x:c>
      <x:c r="N1692" s="20" t="n">
        <x:f>IF(K1692="שוטף",M1692,0)</x:f>
        <x:v>-108</x:v>
      </x:c>
      <x:c r="O1692" s="20" t="n">
        <x:f>IF(K1692="הכנסה שסווגה מחדש",-G1692,0)</x:f>
        <x:v>0</x:v>
      </x:c>
      <x:c r="P1692" s="11" t="str">
        <x:v>אמקס - עינור</x:v>
      </x:c>
      <x:c r="Q1692" s="11" t="str"/>
      <x:c r="R1692" s="11" t="str">
        <x:v>לא</x:v>
      </x:c>
    </x:row>
    <x:row r="1693">
      <x:c r="A1693" s="14" t="n">
        <x:v>46174</x:v>
      </x:c>
      <x:c r="B1693" s="11" t="str">
        <x:v>2026-06</x:v>
      </x:c>
      <x:c r="C1693" s="11" t="str">
        <x:v>יוני 26</x:v>
      </x:c>
      <x:c r="D1693" s="15" t="n">
        <x:v>32</x:v>
      </x:c>
      <x:c r="E1693" s="11" t="str">
        <x:v>17.06</x:v>
      </x:c>
      <x:c r="F1693" s="11" t="str">
        <x:v>סופר</x:v>
      </x:c>
      <x:c r="G1693" s="17" t="n">
        <x:v>9</x:v>
      </x:c>
      <x:c r="H1693" s="18" t="str">
        <x:v>מזון לבית</x:v>
      </x:c>
      <x:c r="I1693" s="19" t="str">
        <x:f>IFERROR(INDEX('מיפוי ומקורות'!$C$7:$C$33,MATCH(H1693,'מיפוי ומקורות'!$B$7:$B$33,0)),"לא מסווג")</x:f>
        <x:v>מזון לבית</x:v>
      </x:c>
      <x:c r="J1693" s="19" t="str">
        <x:f>IFERROR(INDEX('מיפוי ומקורות'!$D$7:$D$33,MATCH(H1693,'מיפוי ומקורות'!$B$7:$B$33,0)),"שוטף")</x:f>
        <x:v>שוטף</x:v>
      </x:c>
      <x:c r="K1693" s="19" t="str">
        <x:f>IF(OR(H1693="ריביות",AND(H1693="דירה כצנלסון",G1693&lt;0,ISNUMBER(SEARCH("הכנסה",F1693)))),"הכנסה שסווגה מחדש",J1693)</x:f>
        <x:v>שוטף</x:v>
      </x:c>
      <x:c r="L1693" s="19" t="str">
        <x:v>מאושר</x:v>
      </x:c>
      <x:c r="M1693" s="20" t="n">
        <x:f>IF(L1693="מאושר",IF(K1693="הכנסה שסווגה מחדש",0,G1693),0)</x:f>
        <x:v>9</x:v>
      </x:c>
      <x:c r="N1693" s="20" t="n">
        <x:f>IF(K1693="שוטף",M1693,0)</x:f>
        <x:v>9</x:v>
      </x:c>
      <x:c r="O1693" s="20" t="n">
        <x:f>IF(K1693="הכנסה שסווגה מחדש",-G1693,0)</x:f>
        <x:v>0</x:v>
      </x:c>
      <x:c r="P1693" s="11" t="str">
        <x:v>אמקס - עינור</x:v>
      </x:c>
      <x:c r="Q1693" s="11" t="str"/>
      <x:c r="R1693" s="11" t="str">
        <x:v>לא</x:v>
      </x:c>
    </x:row>
    <x:row r="1694">
      <x:c r="A1694" s="14" t="n">
        <x:v>46174</x:v>
      </x:c>
      <x:c r="B1694" s="11" t="str">
        <x:v>2026-06</x:v>
      </x:c>
      <x:c r="C1694" s="11" t="str">
        <x:v>יוני 26</x:v>
      </x:c>
      <x:c r="D1694" s="15" t="n">
        <x:v>33</x:v>
      </x:c>
      <x:c r="E1694" s="11" t="str">
        <x:v>20.06</x:v>
      </x:c>
      <x:c r="F1694" s="11" t="str">
        <x:v>אוכל</x:v>
      </x:c>
      <x:c r="G1694" s="17" t="n">
        <x:v>32</x:v>
      </x:c>
      <x:c r="H1694" s="18" t="str">
        <x:v>אוכל בחוץ</x:v>
      </x:c>
      <x:c r="I1694" s="19" t="str">
        <x:f>IFERROR(INDEX('מיפוי ומקורות'!$C$7:$C$33,MATCH(H1694,'מיפוי ומקורות'!$B$7:$B$33,0)),"לא מסווג")</x:f>
        <x:v>אוכל בחוץ</x:v>
      </x:c>
      <x:c r="J1694" s="19" t="str">
        <x:f>IFERROR(INDEX('מיפוי ומקורות'!$D$7:$D$33,MATCH(H1694,'מיפוי ומקורות'!$B$7:$B$33,0)),"שוטף")</x:f>
        <x:v>שוטף</x:v>
      </x:c>
      <x:c r="K1694" s="19" t="str">
        <x:f>IF(OR(H1694="ריביות",AND(H1694="דירה כצנלסון",G1694&lt;0,ISNUMBER(SEARCH("הכנסה",F1694)))),"הכנסה שסווגה מחדש",J1694)</x:f>
        <x:v>שוטף</x:v>
      </x:c>
      <x:c r="L1694" s="19" t="str">
        <x:v>מאושר</x:v>
      </x:c>
      <x:c r="M1694" s="20" t="n">
        <x:f>IF(L1694="מאושר",IF(K1694="הכנסה שסווגה מחדש",0,G1694),0)</x:f>
        <x:v>32</x:v>
      </x:c>
      <x:c r="N1694" s="20" t="n">
        <x:f>IF(K1694="שוטף",M1694,0)</x:f>
        <x:v>32</x:v>
      </x:c>
      <x:c r="O1694" s="20" t="n">
        <x:f>IF(K1694="הכנסה שסווגה מחדש",-G1694,0)</x:f>
        <x:v>0</x:v>
      </x:c>
      <x:c r="P1694" s="11" t="str">
        <x:v>אמקס - עינור</x:v>
      </x:c>
      <x:c r="Q1694" s="11" t="str"/>
      <x:c r="R1694" s="11" t="str">
        <x:v>לא</x:v>
      </x:c>
    </x:row>
    <x:row r="1695">
      <x:c r="A1695" s="14" t="n">
        <x:v>46174</x:v>
      </x:c>
      <x:c r="B1695" s="11" t="str">
        <x:v>2026-06</x:v>
      </x:c>
      <x:c r="C1695" s="11" t="str">
        <x:v>יוני 26</x:v>
      </x:c>
      <x:c r="D1695" s="15" t="n">
        <x:v>34</x:v>
      </x:c>
      <x:c r="E1695" s="11" t="str">
        <x:v>21.06</x:v>
      </x:c>
      <x:c r="F1695" s="11" t="str">
        <x:v>שחר חסון</x:v>
      </x:c>
      <x:c r="G1695" s="17" t="n">
        <x:v>295</x:v>
      </x:c>
      <x:c r="H1695" s="18" t="str">
        <x:v>פנאי</x:v>
      </x:c>
      <x:c r="I1695" s="19" t="str">
        <x:f>IFERROR(INDEX('מיפוי ומקורות'!$C$7:$C$33,MATCH(H1695,'מיפוי ומקורות'!$B$7:$B$33,0)),"לא מסווג")</x:f>
        <x:v>פנאי</x:v>
      </x:c>
      <x:c r="J1695" s="19" t="str">
        <x:f>IFERROR(INDEX('מיפוי ומקורות'!$D$7:$D$33,MATCH(H1695,'מיפוי ומקורות'!$B$7:$B$33,0)),"שוטף")</x:f>
        <x:v>שוטף</x:v>
      </x:c>
      <x:c r="K1695" s="19" t="str">
        <x:f>IF(OR(H1695="ריביות",AND(H1695="דירה כצנלסון",G1695&lt;0,ISNUMBER(SEARCH("הכנסה",F1695)))),"הכנסה שסווגה מחדש",J1695)</x:f>
        <x:v>שוטף</x:v>
      </x:c>
      <x:c r="L1695" s="19" t="str">
        <x:v>מאושר</x:v>
      </x:c>
      <x:c r="M1695" s="20" t="n">
        <x:f>IF(L1695="מאושר",IF(K1695="הכנסה שסווגה מחדש",0,G1695),0)</x:f>
        <x:v>295</x:v>
      </x:c>
      <x:c r="N1695" s="20" t="n">
        <x:f>IF(K1695="שוטף",M1695,0)</x:f>
        <x:v>295</x:v>
      </x:c>
      <x:c r="O1695" s="20" t="n">
        <x:f>IF(K1695="הכנסה שסווגה מחדש",-G1695,0)</x:f>
        <x:v>0</x:v>
      </x:c>
      <x:c r="P1695" s="11" t="str">
        <x:v>אמקס - עינור</x:v>
      </x:c>
      <x:c r="Q1695" s="11" t="str"/>
      <x:c r="R1695" s="11" t="str">
        <x:v>לא</x:v>
      </x:c>
    </x:row>
    <x:row r="1696">
      <x:c r="A1696" s="14" t="n">
        <x:v>46174</x:v>
      </x:c>
      <x:c r="B1696" s="11" t="str">
        <x:v>2026-06</x:v>
      </x:c>
      <x:c r="C1696" s="11" t="str">
        <x:v>יוני 26</x:v>
      </x:c>
      <x:c r="D1696" s="15" t="n">
        <x:v>35</x:v>
      </x:c>
      <x:c r="E1696" s="11" t="str">
        <x:v>21.06</x:v>
      </x:c>
      <x:c r="F1696" s="11" t="str">
        <x:v>אדיר מילר</x:v>
      </x:c>
      <x:c r="G1696" s="17" t="n">
        <x:v>328</x:v>
      </x:c>
      <x:c r="H1696" s="18" t="str">
        <x:v>פנאי</x:v>
      </x:c>
      <x:c r="I1696" s="19" t="str">
        <x:f>IFERROR(INDEX('מיפוי ומקורות'!$C$7:$C$33,MATCH(H1696,'מיפוי ומקורות'!$B$7:$B$33,0)),"לא מסווג")</x:f>
        <x:v>פנאי</x:v>
      </x:c>
      <x:c r="J1696" s="19" t="str">
        <x:f>IFERROR(INDEX('מיפוי ומקורות'!$D$7:$D$33,MATCH(H1696,'מיפוי ומקורות'!$B$7:$B$33,0)),"שוטף")</x:f>
        <x:v>שוטף</x:v>
      </x:c>
      <x:c r="K1696" s="19" t="str">
        <x:f>IF(OR(H1696="ריביות",AND(H1696="דירה כצנלסון",G1696&lt;0,ISNUMBER(SEARCH("הכנסה",F1696)))),"הכנסה שסווגה מחדש",J1696)</x:f>
        <x:v>שוטף</x:v>
      </x:c>
      <x:c r="L1696" s="19" t="str">
        <x:v>מאושר</x:v>
      </x:c>
      <x:c r="M1696" s="20" t="n">
        <x:f>IF(L1696="מאושר",IF(K1696="הכנסה שסווגה מחדש",0,G1696),0)</x:f>
        <x:v>328</x:v>
      </x:c>
      <x:c r="N1696" s="20" t="n">
        <x:f>IF(K1696="שוטף",M1696,0)</x:f>
        <x:v>328</x:v>
      </x:c>
      <x:c r="O1696" s="20" t="n">
        <x:f>IF(K1696="הכנסה שסווגה מחדש",-G1696,0)</x:f>
        <x:v>0</x:v>
      </x:c>
      <x:c r="P1696" s="11" t="str">
        <x:v>אמקס - עינור</x:v>
      </x:c>
      <x:c r="Q1696" s="11" t="str"/>
      <x:c r="R1696" s="11" t="str">
        <x:v>לא</x:v>
      </x:c>
    </x:row>
    <x:row r="1697">
      <x:c r="A1697" s="14" t="n">
        <x:v>46174</x:v>
      </x:c>
      <x:c r="B1697" s="11" t="str">
        <x:v>2026-06</x:v>
      </x:c>
      <x:c r="C1697" s="11" t="str">
        <x:v>יוני 26</x:v>
      </x:c>
      <x:c r="D1697" s="15" t="n">
        <x:v>36</x:v>
      </x:c>
      <x:c r="E1697" s="11" t="str">
        <x:v>23.06</x:v>
      </x:c>
      <x:c r="F1697" s="11" t="str">
        <x:v>מינה שרונה בע"מ</x:v>
      </x:c>
      <x:c r="G1697" s="17" t="n">
        <x:v>70</x:v>
      </x:c>
      <x:c r="H1697" s="18" t="str">
        <x:v>אוכל בחוץ</x:v>
      </x:c>
      <x:c r="I1697" s="19" t="str">
        <x:f>IFERROR(INDEX('מיפוי ומקורות'!$C$7:$C$33,MATCH(H1697,'מיפוי ומקורות'!$B$7:$B$33,0)),"לא מסווג")</x:f>
        <x:v>אוכל בחוץ</x:v>
      </x:c>
      <x:c r="J1697" s="19" t="str">
        <x:f>IFERROR(INDEX('מיפוי ומקורות'!$D$7:$D$33,MATCH(H1697,'מיפוי ומקורות'!$B$7:$B$33,0)),"שוטף")</x:f>
        <x:v>שוטף</x:v>
      </x:c>
      <x:c r="K1697" s="19" t="str">
        <x:f>IF(OR(H1697="ריביות",AND(H1697="דירה כצנלסון",G1697&lt;0,ISNUMBER(SEARCH("הכנסה",F1697)))),"הכנסה שסווגה מחדש",J1697)</x:f>
        <x:v>שוטף</x:v>
      </x:c>
      <x:c r="L1697" s="19" t="str">
        <x:v>מאושר</x:v>
      </x:c>
      <x:c r="M1697" s="20" t="n">
        <x:f>IF(L1697="מאושר",IF(K1697="הכנסה שסווגה מחדש",0,G1697),0)</x:f>
        <x:v>70</x:v>
      </x:c>
      <x:c r="N1697" s="20" t="n">
        <x:f>IF(K1697="שוטף",M1697,0)</x:f>
        <x:v>70</x:v>
      </x:c>
      <x:c r="O1697" s="20" t="n">
        <x:f>IF(K1697="הכנסה שסווגה מחדש",-G1697,0)</x:f>
        <x:v>0</x:v>
      </x:c>
      <x:c r="P1697" s="11" t="str">
        <x:v>אמקס - עינור</x:v>
      </x:c>
      <x:c r="Q1697" s="11" t="str"/>
      <x:c r="R1697" s="11" t="str">
        <x:v>לא</x:v>
      </x:c>
    </x:row>
    <x:row r="1698">
      <x:c r="A1698" s="14" t="n">
        <x:v>46174</x:v>
      </x:c>
      <x:c r="B1698" s="11" t="str">
        <x:v>2026-06</x:v>
      </x:c>
      <x:c r="C1698" s="11" t="str">
        <x:v>יוני 26</x:v>
      </x:c>
      <x:c r="D1698" s="15" t="n">
        <x:v>37</x:v>
      </x:c>
      <x:c r="E1698" s="11" t="str">
        <x:v>25.06</x:v>
      </x:c>
      <x:c r="F1698" s="11" t="str">
        <x:v>סופר</x:v>
      </x:c>
      <x:c r="G1698" s="17" t="n">
        <x:v>6</x:v>
      </x:c>
      <x:c r="H1698" s="18" t="str">
        <x:v>מזון לבית</x:v>
      </x:c>
      <x:c r="I1698" s="19" t="str">
        <x:f>IFERROR(INDEX('מיפוי ומקורות'!$C$7:$C$33,MATCH(H1698,'מיפוי ומקורות'!$B$7:$B$33,0)),"לא מסווג")</x:f>
        <x:v>מזון לבית</x:v>
      </x:c>
      <x:c r="J1698" s="19" t="str">
        <x:f>IFERROR(INDEX('מיפוי ומקורות'!$D$7:$D$33,MATCH(H1698,'מיפוי ומקורות'!$B$7:$B$33,0)),"שוטף")</x:f>
        <x:v>שוטף</x:v>
      </x:c>
      <x:c r="K1698" s="19" t="str">
        <x:f>IF(OR(H1698="ריביות",AND(H1698="דירה כצנלסון",G1698&lt;0,ISNUMBER(SEARCH("הכנסה",F1698)))),"הכנסה שסווגה מחדש",J1698)</x:f>
        <x:v>שוטף</x:v>
      </x:c>
      <x:c r="L1698" s="19" t="str">
        <x:v>מאושר</x:v>
      </x:c>
      <x:c r="M1698" s="20" t="n">
        <x:f>IF(L1698="מאושר",IF(K1698="הכנסה שסווגה מחדש",0,G1698),0)</x:f>
        <x:v>6</x:v>
      </x:c>
      <x:c r="N1698" s="20" t="n">
        <x:f>IF(K1698="שוטף",M1698,0)</x:f>
        <x:v>6</x:v>
      </x:c>
      <x:c r="O1698" s="20" t="n">
        <x:f>IF(K1698="הכנסה שסווגה מחדש",-G1698,0)</x:f>
        <x:v>0</x:v>
      </x:c>
      <x:c r="P1698" s="11" t="str">
        <x:v>אמקס - עינור</x:v>
      </x:c>
      <x:c r="Q1698" s="11" t="str"/>
      <x:c r="R1698" s="11" t="str">
        <x:v>לא</x:v>
      </x:c>
    </x:row>
    <x:row r="1699">
      <x:c r="A1699" s="14" t="n">
        <x:v>46174</x:v>
      </x:c>
      <x:c r="B1699" s="11" t="str">
        <x:v>2026-06</x:v>
      </x:c>
      <x:c r="C1699" s="11" t="str">
        <x:v>יוני 26</x:v>
      </x:c>
      <x:c r="D1699" s="15" t="n">
        <x:v>38</x:v>
      </x:c>
      <x:c r="E1699" s="11" t="str">
        <x:v>27/06</x:v>
      </x:c>
      <x:c r="F1699" s="11" t="str">
        <x:v>אלי</x:v>
      </x:c>
      <x:c r="G1699" s="17" t="n">
        <x:v>202</x:v>
      </x:c>
      <x:c r="H1699" s="18" t="str">
        <x:v>מיג'י</x:v>
      </x:c>
      <x:c r="I1699" s="19" t="str">
        <x:f>IFERROR(INDEX('מיפוי ומקורות'!$C$7:$C$33,MATCH(H1699,'מיפוי ומקורות'!$B$7:$B$33,0)),"לא מסווג")</x:f>
        <x:v>תחביבים ומיג'י</x:v>
      </x:c>
      <x:c r="J1699" s="19" t="str">
        <x:f>IFERROR(INDEX('מיפוי ומקורות'!$D$7:$D$33,MATCH(H1699,'מיפוי ומקורות'!$B$7:$B$33,0)),"שוטף")</x:f>
        <x:v>שוטף</x:v>
      </x:c>
      <x:c r="K1699" s="19" t="str">
        <x:f>IF(OR(H1699="ריביות",AND(H1699="דירה כצנלסון",G1699&lt;0,ISNUMBER(SEARCH("הכנסה",F1699)))),"הכנסה שסווגה מחדש",J1699)</x:f>
        <x:v>שוטף</x:v>
      </x:c>
      <x:c r="L1699" s="19" t="str">
        <x:v>מאושר</x:v>
      </x:c>
      <x:c r="M1699" s="20" t="n">
        <x:f>IF(L1699="מאושר",IF(K1699="הכנסה שסווגה מחדש",0,G1699),0)</x:f>
        <x:v>202</x:v>
      </x:c>
      <x:c r="N1699" s="20" t="n">
        <x:f>IF(K1699="שוטף",M1699,0)</x:f>
        <x:v>202</x:v>
      </x:c>
      <x:c r="O1699" s="20" t="n">
        <x:f>IF(K1699="הכנסה שסווגה מחדש",-G1699,0)</x:f>
        <x:v>0</x:v>
      </x:c>
      <x:c r="P1699" s="11" t="str">
        <x:v>אמקס - עינור</x:v>
      </x:c>
      <x:c r="Q1699" s="11" t="str"/>
      <x:c r="R1699" s="11" t="str">
        <x:v>לא</x:v>
      </x:c>
    </x:row>
    <x:row r="1700">
      <x:c r="A1700" s="14" t="n">
        <x:v>46174</x:v>
      </x:c>
      <x:c r="B1700" s="11" t="str">
        <x:v>2026-06</x:v>
      </x:c>
      <x:c r="C1700" s="11" t="str">
        <x:v>יוני 26</x:v>
      </x:c>
      <x:c r="D1700" s="15" t="n">
        <x:v>39</x:v>
      </x:c>
      <x:c r="E1700" s="11" t="str">
        <x:v>29.06</x:v>
      </x:c>
      <x:c r="F1700" s="11" t="str">
        <x:v>אדון ליאון כצנלסון</x:v>
      </x:c>
      <x:c r="G1700" s="17" t="n">
        <x:v>3</x:v>
      </x:c>
      <x:c r="H1700" s="18" t="str">
        <x:v>מזון לבית</x:v>
      </x:c>
      <x:c r="I1700" s="19" t="str">
        <x:f>IFERROR(INDEX('מיפוי ומקורות'!$C$7:$C$33,MATCH(H1700,'מיפוי ומקורות'!$B$7:$B$33,0)),"לא מסווג")</x:f>
        <x:v>מזון לבית</x:v>
      </x:c>
      <x:c r="J1700" s="19" t="str">
        <x:f>IFERROR(INDEX('מיפוי ומקורות'!$D$7:$D$33,MATCH(H1700,'מיפוי ומקורות'!$B$7:$B$33,0)),"שוטף")</x:f>
        <x:v>שוטף</x:v>
      </x:c>
      <x:c r="K1700" s="19" t="str">
        <x:f>IF(OR(H1700="ריביות",AND(H1700="דירה כצנלסון",G1700&lt;0,ISNUMBER(SEARCH("הכנסה",F1700)))),"הכנסה שסווגה מחדש",J1700)</x:f>
        <x:v>שוטף</x:v>
      </x:c>
      <x:c r="L1700" s="19" t="str">
        <x:v>מאושר</x:v>
      </x:c>
      <x:c r="M1700" s="20" t="n">
        <x:f>IF(L1700="מאושר",IF(K1700="הכנסה שסווגה מחדש",0,G1700),0)</x:f>
        <x:v>3</x:v>
      </x:c>
      <x:c r="N1700" s="20" t="n">
        <x:f>IF(K1700="שוטף",M1700,0)</x:f>
        <x:v>3</x:v>
      </x:c>
      <x:c r="O1700" s="20" t="n">
        <x:f>IF(K1700="הכנסה שסווגה מחדש",-G1700,0)</x:f>
        <x:v>0</x:v>
      </x:c>
      <x:c r="P1700" s="11" t="str">
        <x:v>אמקס - עינור</x:v>
      </x:c>
      <x:c r="Q1700" s="11" t="str"/>
      <x:c r="R1700" s="11" t="str">
        <x:v>לא</x:v>
      </x:c>
    </x:row>
    <x:row r="1701">
      <x:c r="A1701" s="14" t="n">
        <x:v>46174</x:v>
      </x:c>
      <x:c r="B1701" s="11" t="str">
        <x:v>2026-06</x:v>
      </x:c>
      <x:c r="C1701" s="11" t="str">
        <x:v>יוני 26</x:v>
      </x:c>
      <x:c r="D1701" s="15" t="n">
        <x:v>40</x:v>
      </x:c>
      <x:c r="E1701" s="11" t="str">
        <x:v>30.06</x:v>
      </x:c>
      <x:c r="F1701" s="11" t="str">
        <x:v>סופר</x:v>
      </x:c>
      <x:c r="G1701" s="17" t="n">
        <x:v>1024</x:v>
      </x:c>
      <x:c r="H1701" s="18" t="str">
        <x:v>מזון לבית</x:v>
      </x:c>
      <x:c r="I1701" s="19" t="str">
        <x:f>IFERROR(INDEX('מיפוי ומקורות'!$C$7:$C$33,MATCH(H1701,'מיפוי ומקורות'!$B$7:$B$33,0)),"לא מסווג")</x:f>
        <x:v>מזון לבית</x:v>
      </x:c>
      <x:c r="J1701" s="19" t="str">
        <x:f>IFERROR(INDEX('מיפוי ומקורות'!$D$7:$D$33,MATCH(H1701,'מיפוי ומקורות'!$B$7:$B$33,0)),"שוטף")</x:f>
        <x:v>שוטף</x:v>
      </x:c>
      <x:c r="K1701" s="19" t="str">
        <x:f>IF(OR(H1701="ריביות",AND(H1701="דירה כצנלסון",G1701&lt;0,ISNUMBER(SEARCH("הכנסה",F1701)))),"הכנסה שסווגה מחדש",J1701)</x:f>
        <x:v>שוטף</x:v>
      </x:c>
      <x:c r="L1701" s="19" t="str">
        <x:v>מאושר</x:v>
      </x:c>
      <x:c r="M1701" s="20" t="n">
        <x:f>IF(L1701="מאושר",IF(K1701="הכנסה שסווגה מחדש",0,G1701),0)</x:f>
        <x:v>1024</x:v>
      </x:c>
      <x:c r="N1701" s="20" t="n">
        <x:f>IF(K1701="שוטף",M1701,0)</x:f>
        <x:v>1024</x:v>
      </x:c>
      <x:c r="O1701" s="20" t="n">
        <x:f>IF(K1701="הכנסה שסווגה מחדש",-G1701,0)</x:f>
        <x:v>0</x:v>
      </x:c>
      <x:c r="P1701" s="11" t="str">
        <x:v>אמקס - עינור</x:v>
      </x:c>
      <x:c r="Q1701" s="11" t="str"/>
      <x:c r="R1701" s="11" t="str">
        <x:v>לא</x:v>
      </x:c>
    </x:row>
    <x:row r="1702">
      <x:c r="A1702" s="14" t="n">
        <x:v>46174</x:v>
      </x:c>
      <x:c r="B1702" s="11" t="str">
        <x:v>2026-06</x:v>
      </x:c>
      <x:c r="C1702" s="11" t="str">
        <x:v>יוני 26</x:v>
      </x:c>
      <x:c r="D1702" s="15" t="n">
        <x:v>41</x:v>
      </x:c>
      <x:c r="E1702" s="11" t="str">
        <x:v>23.05</x:v>
      </x:c>
      <x:c r="F1702" s="11" t="str">
        <x:v>חלבון</x:v>
      </x:c>
      <x:c r="G1702" s="17" t="n">
        <x:v>330</x:v>
      </x:c>
      <x:c r="H1702" s="18" t="str">
        <x:v>מזון לבית</x:v>
      </x:c>
      <x:c r="I1702" s="19" t="str">
        <x:f>IFERROR(INDEX('מיפוי ומקורות'!$C$7:$C$33,MATCH(H1702,'מיפוי ומקורות'!$B$7:$B$33,0)),"לא מסווג")</x:f>
        <x:v>מזון לבית</x:v>
      </x:c>
      <x:c r="J1702" s="19" t="str">
        <x:f>IFERROR(INDEX('מיפוי ומקורות'!$D$7:$D$33,MATCH(H1702,'מיפוי ומקורות'!$B$7:$B$33,0)),"שוטף")</x:f>
        <x:v>שוטף</x:v>
      </x:c>
      <x:c r="K1702" s="19" t="str">
        <x:f>IF(OR(H1702="ריביות",AND(H1702="דירה כצנלסון",G1702&lt;0,ISNUMBER(SEARCH("הכנסה",F1702)))),"הכנסה שסווגה מחדש",J1702)</x:f>
        <x:v>שוטף</x:v>
      </x:c>
      <x:c r="L1702" s="19" t="str">
        <x:v>מאושר</x:v>
      </x:c>
      <x:c r="M1702" s="20" t="n">
        <x:f>IF(L1702="מאושר",IF(K1702="הכנסה שסווגה מחדש",0,G1702),0)</x:f>
        <x:v>330</x:v>
      </x:c>
      <x:c r="N1702" s="20" t="n">
        <x:f>IF(K1702="שוטף",M1702,0)</x:f>
        <x:v>330</x:v>
      </x:c>
      <x:c r="O1702" s="20" t="n">
        <x:f>IF(K1702="הכנסה שסווגה מחדש",-G1702,0)</x:f>
        <x:v>0</x:v>
      </x:c>
      <x:c r="P1702" s="11" t="str">
        <x:v>אמקס - זיו</x:v>
      </x:c>
      <x:c r="Q1702" s="11" t="str"/>
      <x:c r="R1702" s="11" t="str">
        <x:v>לא</x:v>
      </x:c>
    </x:row>
    <x:row r="1703">
      <x:c r="A1703" s="14" t="n">
        <x:v>46174</x:v>
      </x:c>
      <x:c r="B1703" s="11" t="str">
        <x:v>2026-06</x:v>
      </x:c>
      <x:c r="C1703" s="11" t="str">
        <x:v>יוני 26</x:v>
      </x:c>
      <x:c r="D1703" s="15" t="n">
        <x:v>42</x:v>
      </x:c>
      <x:c r="E1703" s="11" t="str">
        <x:v>1.06</x:v>
      </x:c>
      <x:c r="F1703" s="11" t="str">
        <x:v>אוכל</x:v>
      </x:c>
      <x:c r="G1703" s="17" t="n">
        <x:v>135</x:v>
      </x:c>
      <x:c r="H1703" s="18" t="str">
        <x:v>אוכל בחוץ</x:v>
      </x:c>
      <x:c r="I1703" s="19" t="str">
        <x:f>IFERROR(INDEX('מיפוי ומקורות'!$C$7:$C$33,MATCH(H1703,'מיפוי ומקורות'!$B$7:$B$33,0)),"לא מסווג")</x:f>
        <x:v>אוכל בחוץ</x:v>
      </x:c>
      <x:c r="J1703" s="19" t="str">
        <x:f>IFERROR(INDEX('מיפוי ומקורות'!$D$7:$D$33,MATCH(H1703,'מיפוי ומקורות'!$B$7:$B$33,0)),"שוטף")</x:f>
        <x:v>שוטף</x:v>
      </x:c>
      <x:c r="K1703" s="19" t="str">
        <x:f>IF(OR(H1703="ריביות",AND(H1703="דירה כצנלסון",G1703&lt;0,ISNUMBER(SEARCH("הכנסה",F1703)))),"הכנסה שסווגה מחדש",J1703)</x:f>
        <x:v>שוטף</x:v>
      </x:c>
      <x:c r="L1703" s="19" t="str">
        <x:v>מאושר</x:v>
      </x:c>
      <x:c r="M1703" s="20" t="n">
        <x:f>IF(L1703="מאושר",IF(K1703="הכנסה שסווגה מחדש",0,G1703),0)</x:f>
        <x:v>135</x:v>
      </x:c>
      <x:c r="N1703" s="20" t="n">
        <x:f>IF(K1703="שוטף",M1703,0)</x:f>
        <x:v>135</x:v>
      </x:c>
      <x:c r="O1703" s="20" t="n">
        <x:f>IF(K1703="הכנסה שסווגה מחדש",-G1703,0)</x:f>
        <x:v>0</x:v>
      </x:c>
      <x:c r="P1703" s="11" t="str">
        <x:v>אמקס - זיו</x:v>
      </x:c>
      <x:c r="Q1703" s="11" t="str"/>
      <x:c r="R1703" s="11" t="str">
        <x:v>לא</x:v>
      </x:c>
    </x:row>
    <x:row r="1704">
      <x:c r="A1704" s="14" t="n">
        <x:v>46174</x:v>
      </x:c>
      <x:c r="B1704" s="11" t="str">
        <x:v>2026-06</x:v>
      </x:c>
      <x:c r="C1704" s="11" t="str">
        <x:v>יוני 26</x:v>
      </x:c>
      <x:c r="D1704" s="15" t="n">
        <x:v>43</x:v>
      </x:c>
      <x:c r="E1704" s="11" t="str">
        <x:v>14.06</x:v>
      </x:c>
      <x:c r="F1704" s="11" t="str">
        <x:v>סופר</x:v>
      </x:c>
      <x:c r="G1704" s="17" t="n">
        <x:v>587</x:v>
      </x:c>
      <x:c r="H1704" s="18" t="str">
        <x:v>מזון לבית</x:v>
      </x:c>
      <x:c r="I1704" s="19" t="str">
        <x:f>IFERROR(INDEX('מיפוי ומקורות'!$C$7:$C$33,MATCH(H1704,'מיפוי ומקורות'!$B$7:$B$33,0)),"לא מסווג")</x:f>
        <x:v>מזון לבית</x:v>
      </x:c>
      <x:c r="J1704" s="19" t="str">
        <x:f>IFERROR(INDEX('מיפוי ומקורות'!$D$7:$D$33,MATCH(H1704,'מיפוי ומקורות'!$B$7:$B$33,0)),"שוטף")</x:f>
        <x:v>שוטף</x:v>
      </x:c>
      <x:c r="K1704" s="19" t="str">
        <x:f>IF(OR(H1704="ריביות",AND(H1704="דירה כצנלסון",G1704&lt;0,ISNUMBER(SEARCH("הכנסה",F1704)))),"הכנסה שסווגה מחדש",J1704)</x:f>
        <x:v>שוטף</x:v>
      </x:c>
      <x:c r="L1704" s="19" t="str">
        <x:v>מאושר</x:v>
      </x:c>
      <x:c r="M1704" s="20" t="n">
        <x:f>IF(L1704="מאושר",IF(K1704="הכנסה שסווגה מחדש",0,G1704),0)</x:f>
        <x:v>587</x:v>
      </x:c>
      <x:c r="N1704" s="20" t="n">
        <x:f>IF(K1704="שוטף",M1704,0)</x:f>
        <x:v>587</x:v>
      </x:c>
      <x:c r="O1704" s="20" t="n">
        <x:f>IF(K1704="הכנסה שסווגה מחדש",-G1704,0)</x:f>
        <x:v>0</x:v>
      </x:c>
      <x:c r="P1704" s="11" t="str">
        <x:v>אמקס - זיו</x:v>
      </x:c>
      <x:c r="Q1704" s="11" t="str"/>
      <x:c r="R1704" s="11" t="str">
        <x:v>לא</x:v>
      </x:c>
    </x:row>
    <x:row r="1705">
      <x:c r="A1705" s="14" t="n">
        <x:v>46174</x:v>
      </x:c>
      <x:c r="B1705" s="11" t="str">
        <x:v>2026-06</x:v>
      </x:c>
      <x:c r="C1705" s="11" t="str">
        <x:v>יוני 26</x:v>
      </x:c>
      <x:c r="D1705" s="15" t="n">
        <x:v>44</x:v>
      </x:c>
      <x:c r="E1705" s="11" t="str">
        <x:v>16/06</x:v>
      </x:c>
      <x:c r="F1705" s="11" t="str">
        <x:v>מקס 20 גבעתיים</x:v>
      </x:c>
      <x:c r="G1705" s="17" t="n">
        <x:v>11</x:v>
      </x:c>
      <x:c r="H1705" s="18" t="str">
        <x:v>קניות לבית</x:v>
      </x:c>
      <x:c r="I1705" s="19" t="str">
        <x:f>IFERROR(INDEX('מיפוי ומקורות'!$C$7:$C$33,MATCH(H1705,'מיפוי ומקורות'!$B$7:$B$33,0)),"לא מסווג")</x:f>
        <x:v>קניות לבית</x:v>
      </x:c>
      <x:c r="J1705" s="19" t="str">
        <x:f>IFERROR(INDEX('מיפוי ומקורות'!$D$7:$D$33,MATCH(H1705,'מיפוי ומקורות'!$B$7:$B$33,0)),"שוטף")</x:f>
        <x:v>שוטף</x:v>
      </x:c>
      <x:c r="K1705" s="19" t="str">
        <x:f>IF(OR(H1705="ריביות",AND(H1705="דירה כצנלסון",G1705&lt;0,ISNUMBER(SEARCH("הכנסה",F1705)))),"הכנסה שסווגה מחדש",J1705)</x:f>
        <x:v>שוטף</x:v>
      </x:c>
      <x:c r="L1705" s="19" t="str">
        <x:v>מאושר</x:v>
      </x:c>
      <x:c r="M1705" s="20" t="n">
        <x:f>IF(L1705="מאושר",IF(K1705="הכנסה שסווגה מחדש",0,G1705),0)</x:f>
        <x:v>11</x:v>
      </x:c>
      <x:c r="N1705" s="20" t="n">
        <x:f>IF(K1705="שוטף",M1705,0)</x:f>
        <x:v>11</x:v>
      </x:c>
      <x:c r="O1705" s="20" t="n">
        <x:f>IF(K1705="הכנסה שסווגה מחדש",-G1705,0)</x:f>
        <x:v>0</x:v>
      </x:c>
      <x:c r="P1705" s="11" t="str">
        <x:v>אמקס - זיו</x:v>
      </x:c>
      <x:c r="Q1705" s="11" t="str"/>
      <x:c r="R1705" s="11" t="str">
        <x:v>לא</x:v>
      </x:c>
    </x:row>
    <x:row r="1706">
      <x:c r="A1706" s="14" t="n">
        <x:v>46174</x:v>
      </x:c>
      <x:c r="B1706" s="11" t="str">
        <x:v>2026-06</x:v>
      </x:c>
      <x:c r="C1706" s="11" t="str">
        <x:v>יוני 26</x:v>
      </x:c>
      <x:c r="D1706" s="15" t="n">
        <x:v>45</x:v>
      </x:c>
      <x:c r="E1706" s="11" t="str">
        <x:v>18.06</x:v>
      </x:c>
      <x:c r="F1706" s="11" t="str">
        <x:v>תמרה יוגורט</x:v>
      </x:c>
      <x:c r="G1706" s="17" t="n">
        <x:v>25</x:v>
      </x:c>
      <x:c r="H1706" s="18" t="str">
        <x:v>אוכל בחוץ</x:v>
      </x:c>
      <x:c r="I1706" s="19" t="str">
        <x:f>IFERROR(INDEX('מיפוי ומקורות'!$C$7:$C$33,MATCH(H1706,'מיפוי ומקורות'!$B$7:$B$33,0)),"לא מסווג")</x:f>
        <x:v>אוכל בחוץ</x:v>
      </x:c>
      <x:c r="J1706" s="19" t="str">
        <x:f>IFERROR(INDEX('מיפוי ומקורות'!$D$7:$D$33,MATCH(H1706,'מיפוי ומקורות'!$B$7:$B$33,0)),"שוטף")</x:f>
        <x:v>שוטף</x:v>
      </x:c>
      <x:c r="K1706" s="19" t="str">
        <x:f>IF(OR(H1706="ריביות",AND(H1706="דירה כצנלסון",G1706&lt;0,ISNUMBER(SEARCH("הכנסה",F1706)))),"הכנסה שסווגה מחדש",J1706)</x:f>
        <x:v>שוטף</x:v>
      </x:c>
      <x:c r="L1706" s="19" t="str">
        <x:v>מאושר</x:v>
      </x:c>
      <x:c r="M1706" s="20" t="n">
        <x:f>IF(L1706="מאושר",IF(K1706="הכנסה שסווגה מחדש",0,G1706),0)</x:f>
        <x:v>25</x:v>
      </x:c>
      <x:c r="N1706" s="20" t="n">
        <x:f>IF(K1706="שוטף",M1706,0)</x:f>
        <x:v>25</x:v>
      </x:c>
      <x:c r="O1706" s="20" t="n">
        <x:f>IF(K1706="הכנסה שסווגה מחדש",-G1706,0)</x:f>
        <x:v>0</x:v>
      </x:c>
      <x:c r="P1706" s="11" t="str">
        <x:v>אמקס - זיו</x:v>
      </x:c>
      <x:c r="Q1706" s="11" t="str"/>
      <x:c r="R1706" s="11" t="str">
        <x:v>לא</x:v>
      </x:c>
    </x:row>
    <x:row r="1707">
      <x:c r="A1707" s="14" t="n">
        <x:v>46174</x:v>
      </x:c>
      <x:c r="B1707" s="11" t="str">
        <x:v>2026-06</x:v>
      </x:c>
      <x:c r="C1707" s="11" t="str">
        <x:v>יוני 26</x:v>
      </x:c>
      <x:c r="D1707" s="15" t="n">
        <x:v>46</x:v>
      </x:c>
      <x:c r="E1707" s="11" t="str">
        <x:v>19.06</x:v>
      </x:c>
      <x:c r="F1707" s="11" t="str">
        <x:v>ירקן</x:v>
      </x:c>
      <x:c r="G1707" s="17" t="n">
        <x:v>36</x:v>
      </x:c>
      <x:c r="H1707" s="18" t="str">
        <x:v>מזון לבית</x:v>
      </x:c>
      <x:c r="I1707" s="19" t="str">
        <x:f>IFERROR(INDEX('מיפוי ומקורות'!$C$7:$C$33,MATCH(H1707,'מיפוי ומקורות'!$B$7:$B$33,0)),"לא מסווג")</x:f>
        <x:v>מזון לבית</x:v>
      </x:c>
      <x:c r="J1707" s="19" t="str">
        <x:f>IFERROR(INDEX('מיפוי ומקורות'!$D$7:$D$33,MATCH(H1707,'מיפוי ומקורות'!$B$7:$B$33,0)),"שוטף")</x:f>
        <x:v>שוטף</x:v>
      </x:c>
      <x:c r="K1707" s="19" t="str">
        <x:f>IF(OR(H1707="ריביות",AND(H1707="דירה כצנלסון",G1707&lt;0,ISNUMBER(SEARCH("הכנסה",F1707)))),"הכנסה שסווגה מחדש",J1707)</x:f>
        <x:v>שוטף</x:v>
      </x:c>
      <x:c r="L1707" s="19" t="str">
        <x:v>מאושר</x:v>
      </x:c>
      <x:c r="M1707" s="20" t="n">
        <x:f>IF(L1707="מאושר",IF(K1707="הכנסה שסווגה מחדש",0,G1707),0)</x:f>
        <x:v>36</x:v>
      </x:c>
      <x:c r="N1707" s="20" t="n">
        <x:f>IF(K1707="שוטף",M1707,0)</x:f>
        <x:v>36</x:v>
      </x:c>
      <x:c r="O1707" s="20" t="n">
        <x:f>IF(K1707="הכנסה שסווגה מחדש",-G1707,0)</x:f>
        <x:v>0</x:v>
      </x:c>
      <x:c r="P1707" s="11" t="str">
        <x:v>אמקס - זיו</x:v>
      </x:c>
      <x:c r="Q1707" s="11" t="str"/>
      <x:c r="R1707" s="11" t="str">
        <x:v>לא</x:v>
      </x:c>
    </x:row>
    <x:row r="1708">
      <x:c r="A1708" s="14" t="n">
        <x:v>46174</x:v>
      </x:c>
      <x:c r="B1708" s="11" t="str">
        <x:v>2026-06</x:v>
      </x:c>
      <x:c r="C1708" s="11" t="str">
        <x:v>יוני 26</x:v>
      </x:c>
      <x:c r="D1708" s="15" t="n">
        <x:v>47</x:v>
      </x:c>
      <x:c r="E1708" s="11" t="str">
        <x:v>20.06</x:v>
      </x:c>
      <x:c r="F1708" s="11" t="str">
        <x:v>מקדונלד'ס מגדלי ת"א</x:v>
      </x:c>
      <x:c r="G1708" s="17" t="n">
        <x:v>79</x:v>
      </x:c>
      <x:c r="H1708" s="18" t="str">
        <x:v>אוכל בחוץ</x:v>
      </x:c>
      <x:c r="I1708" s="19" t="str">
        <x:f>IFERROR(INDEX('מיפוי ומקורות'!$C$7:$C$33,MATCH(H1708,'מיפוי ומקורות'!$B$7:$B$33,0)),"לא מסווג")</x:f>
        <x:v>אוכל בחוץ</x:v>
      </x:c>
      <x:c r="J1708" s="19" t="str">
        <x:f>IFERROR(INDEX('מיפוי ומקורות'!$D$7:$D$33,MATCH(H1708,'מיפוי ומקורות'!$B$7:$B$33,0)),"שוטף")</x:f>
        <x:v>שוטף</x:v>
      </x:c>
      <x:c r="K1708" s="19" t="str">
        <x:f>IF(OR(H1708="ריביות",AND(H1708="דירה כצנלסון",G1708&lt;0,ISNUMBER(SEARCH("הכנסה",F1708)))),"הכנסה שסווגה מחדש",J1708)</x:f>
        <x:v>שוטף</x:v>
      </x:c>
      <x:c r="L1708" s="19" t="str">
        <x:v>מאושר</x:v>
      </x:c>
      <x:c r="M1708" s="20" t="n">
        <x:f>IF(L1708="מאושר",IF(K1708="הכנסה שסווגה מחדש",0,G1708),0)</x:f>
        <x:v>79</x:v>
      </x:c>
      <x:c r="N1708" s="20" t="n">
        <x:f>IF(K1708="שוטף",M1708,0)</x:f>
        <x:v>79</x:v>
      </x:c>
      <x:c r="O1708" s="20" t="n">
        <x:f>IF(K1708="הכנסה שסווגה מחדש",-G1708,0)</x:f>
        <x:v>0</x:v>
      </x:c>
      <x:c r="P1708" s="11" t="str">
        <x:v>אמקס - זיו</x:v>
      </x:c>
      <x:c r="Q1708" s="11" t="str"/>
      <x:c r="R1708" s="11" t="str">
        <x:v>לא</x:v>
      </x:c>
    </x:row>
    <x:row r="1709">
      <x:c r="A1709" s="14" t="n">
        <x:v>46174</x:v>
      </x:c>
      <x:c r="B1709" s="11" t="str">
        <x:v>2026-06</x:v>
      </x:c>
      <x:c r="C1709" s="11" t="str">
        <x:v>יוני 26</x:v>
      </x:c>
      <x:c r="D1709" s="15" t="n">
        <x:v>48</x:v>
      </x:c>
      <x:c r="E1709" s="11" t="str">
        <x:v>20.06</x:v>
      </x:c>
      <x:c r="F1709" s="11" t="str">
        <x:v>סופר</x:v>
      </x:c>
      <x:c r="G1709" s="17" t="n">
        <x:v>26</x:v>
      </x:c>
      <x:c r="H1709" s="18" t="str">
        <x:v>מזון לבית</x:v>
      </x:c>
      <x:c r="I1709" s="19" t="str">
        <x:f>IFERROR(INDEX('מיפוי ומקורות'!$C$7:$C$33,MATCH(H1709,'מיפוי ומקורות'!$B$7:$B$33,0)),"לא מסווג")</x:f>
        <x:v>מזון לבית</x:v>
      </x:c>
      <x:c r="J1709" s="19" t="str">
        <x:f>IFERROR(INDEX('מיפוי ומקורות'!$D$7:$D$33,MATCH(H1709,'מיפוי ומקורות'!$B$7:$B$33,0)),"שוטף")</x:f>
        <x:v>שוטף</x:v>
      </x:c>
      <x:c r="K1709" s="19" t="str">
        <x:f>IF(OR(H1709="ריביות",AND(H1709="דירה כצנלסון",G1709&lt;0,ISNUMBER(SEARCH("הכנסה",F1709)))),"הכנסה שסווגה מחדש",J1709)</x:f>
        <x:v>שוטף</x:v>
      </x:c>
      <x:c r="L1709" s="19" t="str">
        <x:v>מאושר</x:v>
      </x:c>
      <x:c r="M1709" s="20" t="n">
        <x:f>IF(L1709="מאושר",IF(K1709="הכנסה שסווגה מחדש",0,G1709),0)</x:f>
        <x:v>26</x:v>
      </x:c>
      <x:c r="N1709" s="20" t="n">
        <x:f>IF(K1709="שוטף",M1709,0)</x:f>
        <x:v>26</x:v>
      </x:c>
      <x:c r="O1709" s="20" t="n">
        <x:f>IF(K1709="הכנסה שסווגה מחדש",-G1709,0)</x:f>
        <x:v>0</x:v>
      </x:c>
      <x:c r="P1709" s="11" t="str">
        <x:v>אמקס - זיו</x:v>
      </x:c>
      <x:c r="Q1709" s="11" t="str"/>
      <x:c r="R1709" s="11" t="str">
        <x:v>לא</x:v>
      </x:c>
    </x:row>
    <x:row r="1710">
      <x:c r="A1710" s="14" t="n">
        <x:v>46174</x:v>
      </x:c>
      <x:c r="B1710" s="11" t="str">
        <x:v>2026-06</x:v>
      </x:c>
      <x:c r="C1710" s="11" t="str">
        <x:v>יוני 26</x:v>
      </x:c>
      <x:c r="D1710" s="15" t="n">
        <x:v>49</x:v>
      </x:c>
      <x:c r="E1710" s="11" t="str">
        <x:v>21.06</x:v>
      </x:c>
      <x:c r="F1710" s="11" t="str">
        <x:v>ירקן</x:v>
      </x:c>
      <x:c r="G1710" s="17" t="n">
        <x:v>35</x:v>
      </x:c>
      <x:c r="H1710" s="18" t="str">
        <x:v>מזון לבית</x:v>
      </x:c>
      <x:c r="I1710" s="19" t="str">
        <x:f>IFERROR(INDEX('מיפוי ומקורות'!$C$7:$C$33,MATCH(H1710,'מיפוי ומקורות'!$B$7:$B$33,0)),"לא מסווג")</x:f>
        <x:v>מזון לבית</x:v>
      </x:c>
      <x:c r="J1710" s="19" t="str">
        <x:f>IFERROR(INDEX('מיפוי ומקורות'!$D$7:$D$33,MATCH(H1710,'מיפוי ומקורות'!$B$7:$B$33,0)),"שוטף")</x:f>
        <x:v>שוטף</x:v>
      </x:c>
      <x:c r="K1710" s="19" t="str">
        <x:f>IF(OR(H1710="ריביות",AND(H1710="דירה כצנלסון",G1710&lt;0,ISNUMBER(SEARCH("הכנסה",F1710)))),"הכנסה שסווגה מחדש",J1710)</x:f>
        <x:v>שוטף</x:v>
      </x:c>
      <x:c r="L1710" s="19" t="str">
        <x:v>מאושר</x:v>
      </x:c>
      <x:c r="M1710" s="20" t="n">
        <x:f>IF(L1710="מאושר",IF(K1710="הכנסה שסווגה מחדש",0,G1710),0)</x:f>
        <x:v>35</x:v>
      </x:c>
      <x:c r="N1710" s="20" t="n">
        <x:f>IF(K1710="שוטף",M1710,0)</x:f>
        <x:v>35</x:v>
      </x:c>
      <x:c r="O1710" s="20" t="n">
        <x:f>IF(K1710="הכנסה שסווגה מחדש",-G1710,0)</x:f>
        <x:v>0</x:v>
      </x:c>
      <x:c r="P1710" s="11" t="str">
        <x:v>אמקס - זיו</x:v>
      </x:c>
      <x:c r="Q1710" s="11" t="str"/>
      <x:c r="R1710" s="11" t="str">
        <x:v>לא</x:v>
      </x:c>
    </x:row>
    <x:row r="1711">
      <x:c r="A1711" s="14" t="n">
        <x:v>46174</x:v>
      </x:c>
      <x:c r="B1711" s="11" t="str">
        <x:v>2026-06</x:v>
      </x:c>
      <x:c r="C1711" s="11" t="str">
        <x:v>יוני 26</x:v>
      </x:c>
      <x:c r="D1711" s="15" t="n">
        <x:v>50</x:v>
      </x:c>
      <x:c r="E1711" s="11" t="str">
        <x:v>22.06</x:v>
      </x:c>
      <x:c r="F1711" s="11" t="str">
        <x:v>ספייס אינביידרז</x:v>
      </x:c>
      <x:c r="G1711" s="17" t="n">
        <x:v>12</x:v>
      </x:c>
      <x:c r="H1711" s="18" t="str">
        <x:v>אוכל בחוץ</x:v>
      </x:c>
      <x:c r="I1711" s="19" t="str">
        <x:f>IFERROR(INDEX('מיפוי ומקורות'!$C$7:$C$33,MATCH(H1711,'מיפוי ומקורות'!$B$7:$B$33,0)),"לא מסווג")</x:f>
        <x:v>אוכל בחוץ</x:v>
      </x:c>
      <x:c r="J1711" s="19" t="str">
        <x:f>IFERROR(INDEX('מיפוי ומקורות'!$D$7:$D$33,MATCH(H1711,'מיפוי ומקורות'!$B$7:$B$33,0)),"שוטף")</x:f>
        <x:v>שוטף</x:v>
      </x:c>
      <x:c r="K1711" s="19" t="str">
        <x:f>IF(OR(H1711="ריביות",AND(H1711="דירה כצנלסון",G1711&lt;0,ISNUMBER(SEARCH("הכנסה",F1711)))),"הכנסה שסווגה מחדש",J1711)</x:f>
        <x:v>שוטף</x:v>
      </x:c>
      <x:c r="L1711" s="19" t="str">
        <x:v>מאושר</x:v>
      </x:c>
      <x:c r="M1711" s="20" t="n">
        <x:f>IF(L1711="מאושר",IF(K1711="הכנסה שסווגה מחדש",0,G1711),0)</x:f>
        <x:v>12</x:v>
      </x:c>
      <x:c r="N1711" s="20" t="n">
        <x:f>IF(K1711="שוטף",M1711,0)</x:f>
        <x:v>12</x:v>
      </x:c>
      <x:c r="O1711" s="20" t="n">
        <x:f>IF(K1711="הכנסה שסווגה מחדש",-G1711,0)</x:f>
        <x:v>0</x:v>
      </x:c>
      <x:c r="P1711" s="11" t="str">
        <x:v>אמקס - זיו</x:v>
      </x:c>
      <x:c r="Q1711" s="11" t="str"/>
      <x:c r="R1711" s="11" t="str">
        <x:v>לא</x:v>
      </x:c>
    </x:row>
    <x:row r="1712">
      <x:c r="A1712" s="14" t="n">
        <x:v>46174</x:v>
      </x:c>
      <x:c r="B1712" s="11" t="str">
        <x:v>2026-06</x:v>
      </x:c>
      <x:c r="C1712" s="11" t="str">
        <x:v>יוני 26</x:v>
      </x:c>
      <x:c r="D1712" s="15" t="n">
        <x:v>51</x:v>
      </x:c>
      <x:c r="E1712" s="11" t="str">
        <x:v>23.06</x:v>
      </x:c>
      <x:c r="F1712" s="11" t="str">
        <x:v>דלק</x:v>
      </x:c>
      <x:c r="G1712" s="17" t="n">
        <x:v>233</x:v>
      </x:c>
      <x:c r="H1712" s="18" t="str">
        <x:v>תחבורה</x:v>
      </x:c>
      <x:c r="I1712" s="19" t="str">
        <x:f>IFERROR(INDEX('מיפוי ומקורות'!$C$7:$C$33,MATCH(H1712,'מיפוי ומקורות'!$B$7:$B$33,0)),"לא מסווג")</x:f>
        <x:v>תחבורה</x:v>
      </x:c>
      <x:c r="J1712" s="19" t="str">
        <x:f>IFERROR(INDEX('מיפוי ומקורות'!$D$7:$D$33,MATCH(H1712,'מיפוי ומקורות'!$B$7:$B$33,0)),"שוטף")</x:f>
        <x:v>שוטף</x:v>
      </x:c>
      <x:c r="K1712" s="19" t="str">
        <x:f>IF(OR(H1712="ריביות",AND(H1712="דירה כצנלסון",G1712&lt;0,ISNUMBER(SEARCH("הכנסה",F1712)))),"הכנסה שסווגה מחדש",J1712)</x:f>
        <x:v>שוטף</x:v>
      </x:c>
      <x:c r="L1712" s="19" t="str">
        <x:v>מאושר</x:v>
      </x:c>
      <x:c r="M1712" s="20" t="n">
        <x:f>IF(L1712="מאושר",IF(K1712="הכנסה שסווגה מחדש",0,G1712),0)</x:f>
        <x:v>233</x:v>
      </x:c>
      <x:c r="N1712" s="20" t="n">
        <x:f>IF(K1712="שוטף",M1712,0)</x:f>
        <x:v>233</x:v>
      </x:c>
      <x:c r="O1712" s="20" t="n">
        <x:f>IF(K1712="הכנסה שסווגה מחדש",-G1712,0)</x:f>
        <x:v>0</x:v>
      </x:c>
      <x:c r="P1712" s="11" t="str">
        <x:v>אמקס - זיו</x:v>
      </x:c>
      <x:c r="Q1712" s="11" t="str"/>
      <x:c r="R1712" s="11" t="str">
        <x:v>לא</x:v>
      </x:c>
    </x:row>
    <x:row r="1713">
      <x:c r="A1713" s="14" t="n">
        <x:v>46174</x:v>
      </x:c>
      <x:c r="B1713" s="11" t="str">
        <x:v>2026-06</x:v>
      </x:c>
      <x:c r="C1713" s="11" t="str">
        <x:v>יוני 26</x:v>
      </x:c>
      <x:c r="D1713" s="15" t="n">
        <x:v>52</x:v>
      </x:c>
      <x:c r="E1713" s="11" t="str">
        <x:v>24.06</x:v>
      </x:c>
      <x:c r="F1713" s="11" t="str">
        <x:v>ספייס אינביידרז</x:v>
      </x:c>
      <x:c r="G1713" s="17" t="n">
        <x:v>9</x:v>
      </x:c>
      <x:c r="H1713" s="18" t="str">
        <x:v>אוכל בחוץ</x:v>
      </x:c>
      <x:c r="I1713" s="19" t="str">
        <x:f>IFERROR(INDEX('מיפוי ומקורות'!$C$7:$C$33,MATCH(H1713,'מיפוי ומקורות'!$B$7:$B$33,0)),"לא מסווג")</x:f>
        <x:v>אוכל בחוץ</x:v>
      </x:c>
      <x:c r="J1713" s="19" t="str">
        <x:f>IFERROR(INDEX('מיפוי ומקורות'!$D$7:$D$33,MATCH(H1713,'מיפוי ומקורות'!$B$7:$B$33,0)),"שוטף")</x:f>
        <x:v>שוטף</x:v>
      </x:c>
      <x:c r="K1713" s="19" t="str">
        <x:f>IF(OR(H1713="ריביות",AND(H1713="דירה כצנלסון",G1713&lt;0,ISNUMBER(SEARCH("הכנסה",F1713)))),"הכנסה שסווגה מחדש",J1713)</x:f>
        <x:v>שוטף</x:v>
      </x:c>
      <x:c r="L1713" s="19" t="str">
        <x:v>מאושר</x:v>
      </x:c>
      <x:c r="M1713" s="20" t="n">
        <x:f>IF(L1713="מאושר",IF(K1713="הכנסה שסווגה מחדש",0,G1713),0)</x:f>
        <x:v>9</x:v>
      </x:c>
      <x:c r="N1713" s="20" t="n">
        <x:f>IF(K1713="שוטף",M1713,0)</x:f>
        <x:v>9</x:v>
      </x:c>
      <x:c r="O1713" s="20" t="n">
        <x:f>IF(K1713="הכנסה שסווגה מחדש",-G1713,0)</x:f>
        <x:v>0</x:v>
      </x:c>
      <x:c r="P1713" s="11" t="str">
        <x:v>אמקס - זיו</x:v>
      </x:c>
      <x:c r="Q1713" s="11" t="str"/>
      <x:c r="R1713" s="11" t="str">
        <x:v>לא</x:v>
      </x:c>
    </x:row>
    <x:row r="1714">
      <x:c r="A1714" s="14" t="n">
        <x:v>46174</x:v>
      </x:c>
      <x:c r="B1714" s="11" t="str">
        <x:v>2026-06</x:v>
      </x:c>
      <x:c r="C1714" s="11" t="str">
        <x:v>יוני 26</x:v>
      </x:c>
      <x:c r="D1714" s="15" t="n">
        <x:v>53</x:v>
      </x:c>
      <x:c r="E1714" s="11" t="str">
        <x:v>25.06</x:v>
      </x:c>
      <x:c r="F1714" s="11" t="str">
        <x:v>סופר</x:v>
      </x:c>
      <x:c r="G1714" s="17" t="n">
        <x:v>13</x:v>
      </x:c>
      <x:c r="H1714" s="18" t="str">
        <x:v>מזון לבית</x:v>
      </x:c>
      <x:c r="I1714" s="19" t="str">
        <x:f>IFERROR(INDEX('מיפוי ומקורות'!$C$7:$C$33,MATCH(H1714,'מיפוי ומקורות'!$B$7:$B$33,0)),"לא מסווג")</x:f>
        <x:v>מזון לבית</x:v>
      </x:c>
      <x:c r="J1714" s="19" t="str">
        <x:f>IFERROR(INDEX('מיפוי ומקורות'!$D$7:$D$33,MATCH(H1714,'מיפוי ומקורות'!$B$7:$B$33,0)),"שוטף")</x:f>
        <x:v>שוטף</x:v>
      </x:c>
      <x:c r="K1714" s="19" t="str">
        <x:f>IF(OR(H1714="ריביות",AND(H1714="דירה כצנלסון",G1714&lt;0,ISNUMBER(SEARCH("הכנסה",F1714)))),"הכנסה שסווגה מחדש",J1714)</x:f>
        <x:v>שוטף</x:v>
      </x:c>
      <x:c r="L1714" s="19" t="str">
        <x:v>מאושר</x:v>
      </x:c>
      <x:c r="M1714" s="20" t="n">
        <x:f>IF(L1714="מאושר",IF(K1714="הכנסה שסווגה מחדש",0,G1714),0)</x:f>
        <x:v>13</x:v>
      </x:c>
      <x:c r="N1714" s="20" t="n">
        <x:f>IF(K1714="שוטף",M1714,0)</x:f>
        <x:v>13</x:v>
      </x:c>
      <x:c r="O1714" s="20" t="n">
        <x:f>IF(K1714="הכנסה שסווגה מחדש",-G1714,0)</x:f>
        <x:v>0</x:v>
      </x:c>
      <x:c r="P1714" s="11" t="str">
        <x:v>אמקס - זיו</x:v>
      </x:c>
      <x:c r="Q1714" s="11" t="str"/>
      <x:c r="R1714" s="11" t="str">
        <x:v>לא</x:v>
      </x:c>
    </x:row>
    <x:row r="1715">
      <x:c r="A1715" s="14" t="n">
        <x:v>46174</x:v>
      </x:c>
      <x:c r="B1715" s="11" t="str">
        <x:v>2026-06</x:v>
      </x:c>
      <x:c r="C1715" s="11" t="str">
        <x:v>יוני 26</x:v>
      </x:c>
      <x:c r="D1715" s="15" t="n">
        <x:v>54</x:v>
      </x:c>
      <x:c r="E1715" s="11" t="str">
        <x:v>25.06</x:v>
      </x:c>
      <x:c r="F1715" s="11" t="str">
        <x:v>ספייס אינביידרז</x:v>
      </x:c>
      <x:c r="G1715" s="17" t="n">
        <x:v>9</x:v>
      </x:c>
      <x:c r="H1715" s="18" t="str">
        <x:v>אוכל בחוץ</x:v>
      </x:c>
      <x:c r="I1715" s="19" t="str">
        <x:f>IFERROR(INDEX('מיפוי ומקורות'!$C$7:$C$33,MATCH(H1715,'מיפוי ומקורות'!$B$7:$B$33,0)),"לא מסווג")</x:f>
        <x:v>אוכל בחוץ</x:v>
      </x:c>
      <x:c r="J1715" s="19" t="str">
        <x:f>IFERROR(INDEX('מיפוי ומקורות'!$D$7:$D$33,MATCH(H1715,'מיפוי ומקורות'!$B$7:$B$33,0)),"שוטף")</x:f>
        <x:v>שוטף</x:v>
      </x:c>
      <x:c r="K1715" s="19" t="str">
        <x:f>IF(OR(H1715="ריביות",AND(H1715="דירה כצנלסון",G1715&lt;0,ISNUMBER(SEARCH("הכנסה",F1715)))),"הכנסה שסווגה מחדש",J1715)</x:f>
        <x:v>שוטף</x:v>
      </x:c>
      <x:c r="L1715" s="19" t="str">
        <x:v>מאושר</x:v>
      </x:c>
      <x:c r="M1715" s="20" t="n">
        <x:f>IF(L1715="מאושר",IF(K1715="הכנסה שסווגה מחדש",0,G1715),0)</x:f>
        <x:v>9</x:v>
      </x:c>
      <x:c r="N1715" s="20" t="n">
        <x:f>IF(K1715="שוטף",M1715,0)</x:f>
        <x:v>9</x:v>
      </x:c>
      <x:c r="O1715" s="20" t="n">
        <x:f>IF(K1715="הכנסה שסווגה מחדש",-G1715,0)</x:f>
        <x:v>0</x:v>
      </x:c>
      <x:c r="P1715" s="11" t="str">
        <x:v>אמקס - זיו</x:v>
      </x:c>
      <x:c r="Q1715" s="11" t="str"/>
      <x:c r="R1715" s="11" t="str">
        <x:v>לא</x:v>
      </x:c>
    </x:row>
    <x:row r="1716">
      <x:c r="A1716" s="14" t="n">
        <x:v>46174</x:v>
      </x:c>
      <x:c r="B1716" s="11" t="str">
        <x:v>2026-06</x:v>
      </x:c>
      <x:c r="C1716" s="11" t="str">
        <x:v>יוני 26</x:v>
      </x:c>
      <x:c r="D1716" s="15" t="n">
        <x:v>55</x:v>
      </x:c>
      <x:c r="E1716" s="11" t="str">
        <x:v>26.06</x:v>
      </x:c>
      <x:c r="F1716" s="11" t="str">
        <x:v>ירקן</x:v>
      </x:c>
      <x:c r="G1716" s="17" t="n">
        <x:v>48</x:v>
      </x:c>
      <x:c r="H1716" s="18" t="str">
        <x:v>מזון לבית</x:v>
      </x:c>
      <x:c r="I1716" s="19" t="str">
        <x:f>IFERROR(INDEX('מיפוי ומקורות'!$C$7:$C$33,MATCH(H1716,'מיפוי ומקורות'!$B$7:$B$33,0)),"לא מסווג")</x:f>
        <x:v>מזון לבית</x:v>
      </x:c>
      <x:c r="J1716" s="19" t="str">
        <x:f>IFERROR(INDEX('מיפוי ומקורות'!$D$7:$D$33,MATCH(H1716,'מיפוי ומקורות'!$B$7:$B$33,0)),"שוטף")</x:f>
        <x:v>שוטף</x:v>
      </x:c>
      <x:c r="K1716" s="19" t="str">
        <x:f>IF(OR(H1716="ריביות",AND(H1716="דירה כצנלסון",G1716&lt;0,ISNUMBER(SEARCH("הכנסה",F1716)))),"הכנסה שסווגה מחדש",J1716)</x:f>
        <x:v>שוטף</x:v>
      </x:c>
      <x:c r="L1716" s="19" t="str">
        <x:v>מאושר</x:v>
      </x:c>
      <x:c r="M1716" s="20" t="n">
        <x:f>IF(L1716="מאושר",IF(K1716="הכנסה שסווגה מחדש",0,G1716),0)</x:f>
        <x:v>48</x:v>
      </x:c>
      <x:c r="N1716" s="20" t="n">
        <x:f>IF(K1716="שוטף",M1716,0)</x:f>
        <x:v>48</x:v>
      </x:c>
      <x:c r="O1716" s="20" t="n">
        <x:f>IF(K1716="הכנסה שסווגה מחדש",-G1716,0)</x:f>
        <x:v>0</x:v>
      </x:c>
      <x:c r="P1716" s="11" t="str">
        <x:v>אמקס - זיו</x:v>
      </x:c>
      <x:c r="Q1716" s="11" t="str"/>
      <x:c r="R1716" s="11" t="str">
        <x:v>לא</x:v>
      </x:c>
    </x:row>
    <x:row r="1717">
      <x:c r="A1717" s="14" t="n">
        <x:v>46174</x:v>
      </x:c>
      <x:c r="B1717" s="11" t="str">
        <x:v>2026-06</x:v>
      </x:c>
      <x:c r="C1717" s="11" t="str">
        <x:v>יוני 26</x:v>
      </x:c>
      <x:c r="D1717" s="15" t="n">
        <x:v>56</x:v>
      </x:c>
      <x:c r="E1717" s="11" t="str">
        <x:v>26.06</x:v>
      </x:c>
      <x:c r="F1717" s="11" t="str">
        <x:v>סטופמרקט השרון</x:v>
      </x:c>
      <x:c r="G1717" s="17" t="n">
        <x:v>35</x:v>
      </x:c>
      <x:c r="H1717" s="18" t="str">
        <x:v>מזון לבית</x:v>
      </x:c>
      <x:c r="I1717" s="19" t="str">
        <x:f>IFERROR(INDEX('מיפוי ומקורות'!$C$7:$C$33,MATCH(H1717,'מיפוי ומקורות'!$B$7:$B$33,0)),"לא מסווג")</x:f>
        <x:v>מזון לבית</x:v>
      </x:c>
      <x:c r="J1717" s="19" t="str">
        <x:f>IFERROR(INDEX('מיפוי ומקורות'!$D$7:$D$33,MATCH(H1717,'מיפוי ומקורות'!$B$7:$B$33,0)),"שוטף")</x:f>
        <x:v>שוטף</x:v>
      </x:c>
      <x:c r="K1717" s="19" t="str">
        <x:f>IF(OR(H1717="ריביות",AND(H1717="דירה כצנלסון",G1717&lt;0,ISNUMBER(SEARCH("הכנסה",F1717)))),"הכנסה שסווגה מחדש",J1717)</x:f>
        <x:v>שוטף</x:v>
      </x:c>
      <x:c r="L1717" s="19" t="str">
        <x:v>מאושר</x:v>
      </x:c>
      <x:c r="M1717" s="20" t="n">
        <x:f>IF(L1717="מאושר",IF(K1717="הכנסה שסווגה מחדש",0,G1717),0)</x:f>
        <x:v>35</x:v>
      </x:c>
      <x:c r="N1717" s="20" t="n">
        <x:f>IF(K1717="שוטף",M1717,0)</x:f>
        <x:v>35</x:v>
      </x:c>
      <x:c r="O1717" s="20" t="n">
        <x:f>IF(K1717="הכנסה שסווגה מחדש",-G1717,0)</x:f>
        <x:v>0</x:v>
      </x:c>
      <x:c r="P1717" s="11" t="str">
        <x:v>אמקס - זיו</x:v>
      </x:c>
      <x:c r="Q1717" s="11" t="str"/>
      <x:c r="R1717" s="11" t="str">
        <x:v>לא</x:v>
      </x:c>
    </x:row>
    <x:row r="1718">
      <x:c r="A1718" s="14" t="n">
        <x:v>46174</x:v>
      </x:c>
      <x:c r="B1718" s="11" t="str">
        <x:v>2026-06</x:v>
      </x:c>
      <x:c r="C1718" s="11" t="str">
        <x:v>יוני 26</x:v>
      </x:c>
      <x:c r="D1718" s="15" t="n">
        <x:v>57</x:v>
      </x:c>
      <x:c r="E1718" s="11" t="str">
        <x:v>26.06</x:v>
      </x:c>
      <x:c r="F1718" s="11" t="str">
        <x:v>פיצה רומא</x:v>
      </x:c>
      <x:c r="G1718" s="17" t="n">
        <x:v>14</x:v>
      </x:c>
      <x:c r="H1718" s="18" t="str">
        <x:v>אוכל בחוץ</x:v>
      </x:c>
      <x:c r="I1718" s="19" t="str">
        <x:f>IFERROR(INDEX('מיפוי ומקורות'!$C$7:$C$33,MATCH(H1718,'מיפוי ומקורות'!$B$7:$B$33,0)),"לא מסווג")</x:f>
        <x:v>אוכל בחוץ</x:v>
      </x:c>
      <x:c r="J1718" s="19" t="str">
        <x:f>IFERROR(INDEX('מיפוי ומקורות'!$D$7:$D$33,MATCH(H1718,'מיפוי ומקורות'!$B$7:$B$33,0)),"שוטף")</x:f>
        <x:v>שוטף</x:v>
      </x:c>
      <x:c r="K1718" s="19" t="str">
        <x:f>IF(OR(H1718="ריביות",AND(H1718="דירה כצנלסון",G1718&lt;0,ISNUMBER(SEARCH("הכנסה",F1718)))),"הכנסה שסווגה מחדש",J1718)</x:f>
        <x:v>שוטף</x:v>
      </x:c>
      <x:c r="L1718" s="19" t="str">
        <x:v>מאושר</x:v>
      </x:c>
      <x:c r="M1718" s="20" t="n">
        <x:f>IF(L1718="מאושר",IF(K1718="הכנסה שסווגה מחדש",0,G1718),0)</x:f>
        <x:v>14</x:v>
      </x:c>
      <x:c r="N1718" s="20" t="n">
        <x:f>IF(K1718="שוטף",M1718,0)</x:f>
        <x:v>14</x:v>
      </x:c>
      <x:c r="O1718" s="20" t="n">
        <x:f>IF(K1718="הכנסה שסווגה מחדש",-G1718,0)</x:f>
        <x:v>0</x:v>
      </x:c>
      <x:c r="P1718" s="11" t="str">
        <x:v>אמקס - זיו</x:v>
      </x:c>
      <x:c r="Q1718" s="11" t="str"/>
      <x:c r="R1718" s="11" t="str">
        <x:v>לא</x:v>
      </x:c>
    </x:row>
    <x:row r="1719">
      <x:c r="A1719" s="14" t="n">
        <x:v>46174</x:v>
      </x:c>
      <x:c r="B1719" s="11" t="str">
        <x:v>2026-06</x:v>
      </x:c>
      <x:c r="C1719" s="11" t="str">
        <x:v>יוני 26</x:v>
      </x:c>
      <x:c r="D1719" s="15" t="n">
        <x:v>58</x:v>
      </x:c>
      <x:c r="E1719" s="11" t="str">
        <x:v>27.06</x:v>
      </x:c>
      <x:c r="F1719" s="11" t="str">
        <x:v>אלמה מרקט גבעתיים</x:v>
      </x:c>
      <x:c r="G1719" s="17" t="n">
        <x:v>53</x:v>
      </x:c>
      <x:c r="H1719" s="18" t="str">
        <x:v>מזון לבית</x:v>
      </x:c>
      <x:c r="I1719" s="19" t="str">
        <x:f>IFERROR(INDEX('מיפוי ומקורות'!$C$7:$C$33,MATCH(H1719,'מיפוי ומקורות'!$B$7:$B$33,0)),"לא מסווג")</x:f>
        <x:v>מזון לבית</x:v>
      </x:c>
      <x:c r="J1719" s="19" t="str">
        <x:f>IFERROR(INDEX('מיפוי ומקורות'!$D$7:$D$33,MATCH(H1719,'מיפוי ומקורות'!$B$7:$B$33,0)),"שוטף")</x:f>
        <x:v>שוטף</x:v>
      </x:c>
      <x:c r="K1719" s="19" t="str">
        <x:f>IF(OR(H1719="ריביות",AND(H1719="דירה כצנלסון",G1719&lt;0,ISNUMBER(SEARCH("הכנסה",F1719)))),"הכנסה שסווגה מחדש",J1719)</x:f>
        <x:v>שוטף</x:v>
      </x:c>
      <x:c r="L1719" s="19" t="str">
        <x:v>מאושר</x:v>
      </x:c>
      <x:c r="M1719" s="20" t="n">
        <x:f>IF(L1719="מאושר",IF(K1719="הכנסה שסווגה מחדש",0,G1719),0)</x:f>
        <x:v>53</x:v>
      </x:c>
      <x:c r="N1719" s="20" t="n">
        <x:f>IF(K1719="שוטף",M1719,0)</x:f>
        <x:v>53</x:v>
      </x:c>
      <x:c r="O1719" s="20" t="n">
        <x:f>IF(K1719="הכנסה שסווגה מחדש",-G1719,0)</x:f>
        <x:v>0</x:v>
      </x:c>
      <x:c r="P1719" s="11" t="str">
        <x:v>אמקס - זיו</x:v>
      </x:c>
      <x:c r="Q1719" s="11" t="str"/>
      <x:c r="R1719" s="11" t="str">
        <x:v>לא</x:v>
      </x:c>
    </x:row>
    <x:row r="1720">
      <x:c r="A1720" s="14" t="n">
        <x:v>46174</x:v>
      </x:c>
      <x:c r="B1720" s="11" t="str">
        <x:v>2026-06</x:v>
      </x:c>
      <x:c r="C1720" s="11" t="str">
        <x:v>יוני 26</x:v>
      </x:c>
      <x:c r="D1720" s="15" t="n">
        <x:v>59</x:v>
      </x:c>
      <x:c r="E1720" s="11" t="str">
        <x:v>28/06</x:v>
      </x:c>
      <x:c r="F1720" s="11" t="str">
        <x:v>מכבי דנט מרפ"ש רמת ג</x:v>
      </x:c>
      <x:c r="G1720" s="17" t="n">
        <x:v>68</x:v>
      </x:c>
      <x:c r="H1720" s="18" t="str">
        <x:v>בריאות</x:v>
      </x:c>
      <x:c r="I1720" s="19" t="str">
        <x:f>IFERROR(INDEX('מיפוי ומקורות'!$C$7:$C$33,MATCH(H1720,'מיפוי ומקורות'!$B$7:$B$33,0)),"לא מסווג")</x:f>
        <x:v>בריאות וטיפולים</x:v>
      </x:c>
      <x:c r="J1720" s="19" t="str">
        <x:f>IFERROR(INDEX('מיפוי ומקורות'!$D$7:$D$33,MATCH(H1720,'מיפוי ומקורות'!$B$7:$B$33,0)),"שוטף")</x:f>
        <x:v>שוטף</x:v>
      </x:c>
      <x:c r="K1720" s="19" t="str">
        <x:f>IF(OR(H1720="ריביות",AND(H1720="דירה כצנלסון",G1720&lt;0,ISNUMBER(SEARCH("הכנסה",F1720)))),"הכנסה שסווגה מחדש",J1720)</x:f>
        <x:v>שוטף</x:v>
      </x:c>
      <x:c r="L1720" s="19" t="str">
        <x:v>מאושר</x:v>
      </x:c>
      <x:c r="M1720" s="20" t="n">
        <x:f>IF(L1720="מאושר",IF(K1720="הכנסה שסווגה מחדש",0,G1720),0)</x:f>
        <x:v>68</x:v>
      </x:c>
      <x:c r="N1720" s="20" t="n">
        <x:f>IF(K1720="שוטף",M1720,0)</x:f>
        <x:v>68</x:v>
      </x:c>
      <x:c r="O1720" s="20" t="n">
        <x:f>IF(K1720="הכנסה שסווגה מחדש",-G1720,0)</x:f>
        <x:v>0</x:v>
      </x:c>
      <x:c r="P1720" s="11" t="str">
        <x:v>אמקס - זיו</x:v>
      </x:c>
      <x:c r="Q1720" s="11" t="str"/>
      <x:c r="R1720" s="11" t="str">
        <x:v>לא</x:v>
      </x:c>
    </x:row>
    <x:row r="1721">
      <x:c r="A1721" s="14" t="n">
        <x:v>46174</x:v>
      </x:c>
      <x:c r="B1721" s="11" t="str">
        <x:v>2026-06</x:v>
      </x:c>
      <x:c r="C1721" s="11" t="str">
        <x:v>יוני 26</x:v>
      </x:c>
      <x:c r="D1721" s="15" t="n">
        <x:v>60</x:v>
      </x:c>
      <x:c r="E1721" s="11" t="str">
        <x:v>13/6</x:v>
      </x:c>
      <x:c r="F1721" s="11" t="str">
        <x:v>סופר</x:v>
      </x:c>
      <x:c r="G1721" s="17" t="n">
        <x:v>40</x:v>
      </x:c>
      <x:c r="H1721" s="18" t="str">
        <x:v>מזון לבית</x:v>
      </x:c>
      <x:c r="I1721" s="19" t="str">
        <x:f>IFERROR(INDEX('מיפוי ומקורות'!$C$7:$C$33,MATCH(H1721,'מיפוי ומקורות'!$B$7:$B$33,0)),"לא מסווג")</x:f>
        <x:v>מזון לבית</x:v>
      </x:c>
      <x:c r="J1721" s="19" t="str">
        <x:f>IFERROR(INDEX('מיפוי ומקורות'!$D$7:$D$33,MATCH(H1721,'מיפוי ומקורות'!$B$7:$B$33,0)),"שוטף")</x:f>
        <x:v>שוטף</x:v>
      </x:c>
      <x:c r="K1721" s="19" t="str">
        <x:f>IF(OR(H1721="ריביות",AND(H1721="דירה כצנלסון",G1721&lt;0,ISNUMBER(SEARCH("הכנסה",F1721)))),"הכנסה שסווגה מחדש",J1721)</x:f>
        <x:v>שוטף</x:v>
      </x:c>
      <x:c r="L1721" s="19" t="str">
        <x:v>מאושר</x:v>
      </x:c>
      <x:c r="M1721" s="20" t="n">
        <x:f>IF(L1721="מאושר",IF(K1721="הכנסה שסווגה מחדש",0,G1721),0)</x:f>
        <x:v>40</x:v>
      </x:c>
      <x:c r="N1721" s="20" t="n">
        <x:f>IF(K1721="שוטף",M1721,0)</x:f>
        <x:v>40</x:v>
      </x:c>
      <x:c r="O1721" s="20" t="n">
        <x:f>IF(K1721="הכנסה שסווגה מחדש",-G1721,0)</x:f>
        <x:v>0</x:v>
      </x:c>
      <x:c r="P1721" s="11" t="str">
        <x:v>קורפורייט - זיו</x:v>
      </x:c>
      <x:c r="Q1721" s="11" t="str"/>
      <x:c r="R1721" s="11" t="str">
        <x:v>לא</x:v>
      </x:c>
    </x:row>
    <x:row r="1722">
      <x:c r="A1722" s="14" t="n">
        <x:v>46174</x:v>
      </x:c>
      <x:c r="B1722" s="11" t="str">
        <x:v>2026-06</x:v>
      </x:c>
      <x:c r="C1722" s="11" t="str">
        <x:v>יוני 26</x:v>
      </x:c>
      <x:c r="D1722" s="15" t="n">
        <x:v>61</x:v>
      </x:c>
      <x:c r="E1722" s="11" t="str">
        <x:v>17/6</x:v>
      </x:c>
      <x:c r="F1722" s="11" t="str">
        <x:v>מסעדה</x:v>
      </x:c>
      <x:c r="G1722" s="17" t="n">
        <x:v>45</x:v>
      </x:c>
      <x:c r="H1722" s="18" t="str">
        <x:v>אוכל בחוץ</x:v>
      </x:c>
      <x:c r="I1722" s="19" t="str">
        <x:f>IFERROR(INDEX('מיפוי ומקורות'!$C$7:$C$33,MATCH(H1722,'מיפוי ומקורות'!$B$7:$B$33,0)),"לא מסווג")</x:f>
        <x:v>אוכל בחוץ</x:v>
      </x:c>
      <x:c r="J1722" s="19" t="str">
        <x:f>IFERROR(INDEX('מיפוי ומקורות'!$D$7:$D$33,MATCH(H1722,'מיפוי ומקורות'!$B$7:$B$33,0)),"שוטף")</x:f>
        <x:v>שוטף</x:v>
      </x:c>
      <x:c r="K1722" s="19" t="str">
        <x:f>IF(OR(H1722="ריביות",AND(H1722="דירה כצנלסון",G1722&lt;0,ISNUMBER(SEARCH("הכנסה",F1722)))),"הכנסה שסווגה מחדש",J1722)</x:f>
        <x:v>שוטף</x:v>
      </x:c>
      <x:c r="L1722" s="19" t="str">
        <x:v>מאושר</x:v>
      </x:c>
      <x:c r="M1722" s="20" t="n">
        <x:f>IF(L1722="מאושר",IF(K1722="הכנסה שסווגה מחדש",0,G1722),0)</x:f>
        <x:v>45</x:v>
      </x:c>
      <x:c r="N1722" s="20" t="n">
        <x:f>IF(K1722="שוטף",M1722,0)</x:f>
        <x:v>45</x:v>
      </x:c>
      <x:c r="O1722" s="20" t="n">
        <x:f>IF(K1722="הכנסה שסווגה מחדש",-G1722,0)</x:f>
        <x:v>0</x:v>
      </x:c>
      <x:c r="P1722" s="11" t="str">
        <x:v>one zero - זיו</x:v>
      </x:c>
      <x:c r="Q1722" s="11" t="str"/>
      <x:c r="R1722" s="11" t="str">
        <x:v>לא</x:v>
      </x:c>
    </x:row>
    <x:row r="1723">
      <x:c r="A1723" s="14" t="n">
        <x:v>46174</x:v>
      </x:c>
      <x:c r="B1723" s="11" t="str">
        <x:v>2026-06</x:v>
      </x:c>
      <x:c r="C1723" s="11" t="str">
        <x:v>יוני 26</x:v>
      </x:c>
      <x:c r="D1723" s="15" t="n">
        <x:v>62</x:v>
      </x:c>
      <x:c r="E1723" s="11" t="str">
        <x:v>21/6</x:v>
      </x:c>
      <x:c r="F1723" s="11" t="str">
        <x:v>ספר</x:v>
      </x:c>
      <x:c r="G1723" s="17" t="n">
        <x:v>90</x:v>
      </x:c>
      <x:c r="H1723" s="18" t="str"/>
      <x:c r="I1723" s="19" t="str">
        <x:f>IFERROR(INDEX('מיפוי ומקורות'!$C$7:$C$33,MATCH(H1723,'מיפוי ומקורות'!$B$7:$B$33,0)),"לא מסווג")</x:f>
        <x:v>לא מסווג</x:v>
      </x:c>
      <x:c r="J1723" s="19" t="str">
        <x:f>IFERROR(INDEX('מיפוי ומקורות'!$D$7:$D$33,MATCH(H1723,'מיפוי ומקורות'!$B$7:$B$33,0)),"שוטף")</x:f>
        <x:v>שוטף</x:v>
      </x:c>
      <x:c r="K1723" s="19" t="str">
        <x:f>IF(OR(H1723="ריביות",AND(H1723="דירה כצנלסון",G1723&lt;0,ISNUMBER(SEARCH("הכנסה",F1723)))),"הכנסה שסווגה מחדש",J1723)</x:f>
        <x:v>שוטף</x:v>
      </x:c>
      <x:c r="L1723" s="19" t="str">
        <x:v>מאושר</x:v>
      </x:c>
      <x:c r="M1723" s="20" t="n">
        <x:f>IF(L1723="מאושר",IF(K1723="הכנסה שסווגה מחדש",0,G1723),0)</x:f>
        <x:v>90</x:v>
      </x:c>
      <x:c r="N1723" s="20" t="n">
        <x:f>IF(K1723="שוטף",M1723,0)</x:f>
        <x:v>90</x:v>
      </x:c>
      <x:c r="O1723" s="20" t="n">
        <x:f>IF(K1723="הכנסה שסווגה מחדש",-G1723,0)</x:f>
        <x:v>0</x:v>
      </x:c>
      <x:c r="P1723" s="11" t="str">
        <x:v>one zero - זיו</x:v>
      </x:c>
      <x:c r="Q1723" s="11" t="str"/>
      <x:c r="R1723" s="11" t="str">
        <x:v>לא</x:v>
      </x:c>
    </x:row>
    <x:row r="1724">
      <x:c r="A1724" s="14" t="n">
        <x:v>46174</x:v>
      </x:c>
      <x:c r="B1724" s="11" t="str">
        <x:v>2026-06</x:v>
      </x:c>
      <x:c r="C1724" s="11" t="str">
        <x:v>יוני 26</x:v>
      </x:c>
      <x:c r="D1724" s="15" t="n">
        <x:v>63</x:v>
      </x:c>
      <x:c r="E1724" s="11" t="str">
        <x:v>25/6</x:v>
      </x:c>
      <x:c r="F1724" s="11" t="str">
        <x:v>תחבץ</x:v>
      </x:c>
      <x:c r="G1724" s="17" t="n">
        <x:v>24</x:v>
      </x:c>
      <x:c r="H1724" s="18" t="str">
        <x:v>תחבורה</x:v>
      </x:c>
      <x:c r="I1724" s="19" t="str">
        <x:f>IFERROR(INDEX('מיפוי ומקורות'!$C$7:$C$33,MATCH(H1724,'מיפוי ומקורות'!$B$7:$B$33,0)),"לא מסווג")</x:f>
        <x:v>תחבורה</x:v>
      </x:c>
      <x:c r="J1724" s="19" t="str">
        <x:f>IFERROR(INDEX('מיפוי ומקורות'!$D$7:$D$33,MATCH(H1724,'מיפוי ומקורות'!$B$7:$B$33,0)),"שוטף")</x:f>
        <x:v>שוטף</x:v>
      </x:c>
      <x:c r="K1724" s="19" t="str">
        <x:f>IF(OR(H1724="ריביות",AND(H1724="דירה כצנלסון",G1724&lt;0,ISNUMBER(SEARCH("הכנסה",F1724)))),"הכנסה שסווגה מחדש",J1724)</x:f>
        <x:v>שוטף</x:v>
      </x:c>
      <x:c r="L1724" s="19" t="str">
        <x:v>מאושר</x:v>
      </x:c>
      <x:c r="M1724" s="20" t="n">
        <x:f>IF(L1724="מאושר",IF(K1724="הכנסה שסווגה מחדש",0,G1724),0)</x:f>
        <x:v>24</x:v>
      </x:c>
      <x:c r="N1724" s="20" t="n">
        <x:f>IF(K1724="שוטף",M1724,0)</x:f>
        <x:v>24</x:v>
      </x:c>
      <x:c r="O1724" s="20" t="n">
        <x:f>IF(K1724="הכנסה שסווגה מחדש",-G1724,0)</x:f>
        <x:v>0</x:v>
      </x:c>
      <x:c r="P1724" s="11" t="str">
        <x:v>one zero - זיו</x:v>
      </x:c>
      <x:c r="Q1724" s="11" t="str"/>
      <x:c r="R1724" s="11" t="str">
        <x:v>לא</x:v>
      </x:c>
    </x:row>
    <x:row r="1725">
      <x:c r="A1725" s="14" t="n">
        <x:v>46174</x:v>
      </x:c>
      <x:c r="B1725" s="11" t="str">
        <x:v>2026-06</x:v>
      </x:c>
      <x:c r="C1725" s="11" t="str">
        <x:v>יוני 26</x:v>
      </x:c>
      <x:c r="D1725" s="15" t="n">
        <x:v>64</x:v>
      </x:c>
      <x:c r="E1725" s="11" t="str">
        <x:v>28/6</x:v>
      </x:c>
      <x:c r="F1725" s="11" t="str">
        <x:v>פיצוציה</x:v>
      </x:c>
      <x:c r="G1725" s="17" t="n">
        <x:v>8</x:v>
      </x:c>
      <x:c r="H1725" s="18" t="str">
        <x:v>אוכל בחוץ</x:v>
      </x:c>
      <x:c r="I1725" s="19" t="str">
        <x:f>IFERROR(INDEX('מיפוי ומקורות'!$C$7:$C$33,MATCH(H1725,'מיפוי ומקורות'!$B$7:$B$33,0)),"לא מסווג")</x:f>
        <x:v>אוכל בחוץ</x:v>
      </x:c>
      <x:c r="J1725" s="19" t="str">
        <x:f>IFERROR(INDEX('מיפוי ומקורות'!$D$7:$D$33,MATCH(H1725,'מיפוי ומקורות'!$B$7:$B$33,0)),"שוטף")</x:f>
        <x:v>שוטף</x:v>
      </x:c>
      <x:c r="K1725" s="19" t="str">
        <x:f>IF(OR(H1725="ריביות",AND(H1725="דירה כצנלסון",G1725&lt;0,ISNUMBER(SEARCH("הכנסה",F1725)))),"הכנסה שסווגה מחדש",J1725)</x:f>
        <x:v>שוטף</x:v>
      </x:c>
      <x:c r="L1725" s="19" t="str">
        <x:v>מאושר</x:v>
      </x:c>
      <x:c r="M1725" s="20" t="n">
        <x:f>IF(L1725="מאושר",IF(K1725="הכנסה שסווגה מחדש",0,G1725),0)</x:f>
        <x:v>8</x:v>
      </x:c>
      <x:c r="N1725" s="20" t="n">
        <x:f>IF(K1725="שוטף",M1725,0)</x:f>
        <x:v>8</x:v>
      </x:c>
      <x:c r="O1725" s="20" t="n">
        <x:f>IF(K1725="הכנסה שסווגה מחדש",-G1725,0)</x:f>
        <x:v>0</x:v>
      </x:c>
      <x:c r="P1725" s="11" t="str">
        <x:v>one zero - זיו</x:v>
      </x:c>
      <x:c r="Q1725" s="11" t="str"/>
      <x:c r="R1725" s="11" t="str">
        <x:v>לא</x:v>
      </x:c>
    </x:row>
    <x:row r="1726">
      <x:c r="A1726" s="14" t="n">
        <x:v>46174</x:v>
      </x:c>
      <x:c r="B1726" s="11" t="str">
        <x:v>2026-06</x:v>
      </x:c>
      <x:c r="C1726" s="11" t="str">
        <x:v>יוני 26</x:v>
      </x:c>
      <x:c r="D1726" s="15" t="n">
        <x:v>65</x:v>
      </x:c>
      <x:c r="E1726" s="11" t="str">
        <x:v>2/6</x:v>
      </x:c>
      <x:c r="F1726" s="11" t="str">
        <x:v>ליאת</x:v>
      </x:c>
      <x:c r="G1726" s="17" t="n">
        <x:v>1800</x:v>
      </x:c>
      <x:c r="H1726" s="18" t="str">
        <x:v>טיפולים</x:v>
      </x:c>
      <x:c r="I1726" s="19" t="str">
        <x:f>IFERROR(INDEX('מיפוי ומקורות'!$C$7:$C$33,MATCH(H1726,'מיפוי ומקורות'!$B$7:$B$33,0)),"לא מסווג")</x:f>
        <x:v>בריאות וטיפולים</x:v>
      </x:c>
      <x:c r="J1726" s="19" t="str">
        <x:f>IFERROR(INDEX('מיפוי ומקורות'!$D$7:$D$33,MATCH(H1726,'מיפוי ומקורות'!$B$7:$B$33,0)),"שוטף")</x:f>
        <x:v>שוטף</x:v>
      </x:c>
      <x:c r="K1726" s="19" t="str">
        <x:f>IF(OR(H1726="ריביות",AND(H1726="דירה כצנלסון",G1726&lt;0,ISNUMBER(SEARCH("הכנסה",F1726)))),"הכנסה שסווגה מחדש",J1726)</x:f>
        <x:v>שוטף</x:v>
      </x:c>
      <x:c r="L1726" s="19" t="str">
        <x:v>מאושר</x:v>
      </x:c>
      <x:c r="M1726" s="20" t="n">
        <x:f>IF(L1726="מאושר",IF(K1726="הכנסה שסווגה מחדש",0,G1726),0)</x:f>
        <x:v>1800</x:v>
      </x:c>
      <x:c r="N1726" s="20" t="n">
        <x:f>IF(K1726="שוטף",M1726,0)</x:f>
        <x:v>1800</x:v>
      </x:c>
      <x:c r="O1726" s="20" t="n">
        <x:f>IF(K1726="הכנסה שסווגה מחדש",-G1726,0)</x:f>
        <x:v>0</x:v>
      </x:c>
      <x:c r="P1726" s="11" t="str">
        <x:v>one zero</x:v>
      </x:c>
      <x:c r="Q1726" s="11" t="str"/>
      <x:c r="R1726" s="11" t="str">
        <x:v>לא</x:v>
      </x:c>
    </x:row>
    <x:row r="1727">
      <x:c r="A1727" s="14" t="n">
        <x:v>46174</x:v>
      </x:c>
      <x:c r="B1727" s="11" t="str">
        <x:v>2026-06</x:v>
      </x:c>
      <x:c r="C1727" s="11" t="str">
        <x:v>יוני 26</x:v>
      </x:c>
      <x:c r="D1727" s="15" t="n">
        <x:v>66</x:v>
      </x:c>
      <x:c r="E1727" s="11" t="str">
        <x:v>16/6</x:v>
      </x:c>
      <x:c r="F1727" s="11" t="str">
        <x:v>בניין כצלנסון</x:v>
      </x:c>
      <x:c r="G1727" s="17" t="n">
        <x:v>2900</x:v>
      </x:c>
      <x:c r="H1727" s="18" t="str">
        <x:v>דירה כצנלסון</x:v>
      </x:c>
      <x:c r="I1727" s="19" t="str">
        <x:f>IFERROR(INDEX('מיפוי ומקורות'!$C$7:$C$33,MATCH(H1727,'מיפוי ומקורות'!$B$7:$B$33,0)),"לא מסווג")</x:f>
        <x:v>נכס להשקעה</x:v>
      </x:c>
      <x:c r="J1727" s="19" t="str">
        <x:f>IFERROR(INDEX('מיפוי ומקורות'!$D$7:$D$33,MATCH(H1727,'מיפוי ומקורות'!$B$7:$B$33,0)),"שוטף")</x:f>
        <x:v>חריג/נכס</x:v>
      </x:c>
      <x:c r="K1727" s="19" t="str">
        <x:f>IF(OR(H1727="ריביות",AND(H1727="דירה כצנלסון",G1727&lt;0,ISNUMBER(SEARCH("הכנסה",F1727)))),"הכנסה שסווגה מחדש",J1727)</x:f>
        <x:v>חריג/נכס</x:v>
      </x:c>
      <x:c r="L1727" s="19" t="str">
        <x:v>מאושר</x:v>
      </x:c>
      <x:c r="M1727" s="20" t="n">
        <x:f>IF(L1727="מאושר",IF(K1727="הכנסה שסווגה מחדש",0,G1727),0)</x:f>
        <x:v>2900</x:v>
      </x:c>
      <x:c r="N1727" s="20" t="n">
        <x:f>IF(K1727="שוטף",M1727,0)</x:f>
        <x:v>0</x:v>
      </x:c>
      <x:c r="O1727" s="20" t="n">
        <x:f>IF(K1727="הכנסה שסווגה מחדש",-G1727,0)</x:f>
        <x:v>0</x:v>
      </x:c>
      <x:c r="P1727" s="11" t="str">
        <x:v>one zero</x:v>
      </x:c>
      <x:c r="Q1727" s="11" t="str"/>
      <x:c r="R1727" s="11" t="str">
        <x:v>לא</x:v>
      </x:c>
    </x:row>
    <x:row r="1728">
      <x:c r="A1728" s="14" t="n">
        <x:v>46174</x:v>
      </x:c>
      <x:c r="B1728" s="11" t="str">
        <x:v>2026-06</x:v>
      </x:c>
      <x:c r="C1728" s="11" t="str">
        <x:v>יוני 26</x:v>
      </x:c>
      <x:c r="D1728" s="15" t="n">
        <x:v>67</x:v>
      </x:c>
      <x:c r="E1728" s="11" t="str">
        <x:v>16/6</x:v>
      </x:c>
      <x:c r="F1728" s="11" t="str">
        <x:v>רואה חשבון</x:v>
      </x:c>
      <x:c r="G1728" s="17" t="n">
        <x:v>708</x:v>
      </x:c>
      <x:c r="H1728" s="18" t="str">
        <x:v>מס הכנסה</x:v>
      </x:c>
      <x:c r="I1728" s="19" t="str">
        <x:f>IFERROR(INDEX('מיפוי ומקורות'!$C$7:$C$33,MATCH(H1728,'מיפוי ומקורות'!$B$7:$B$33,0)),"לא מסווג")</x:f>
        <x:v>מסים</x:v>
      </x:c>
      <x:c r="J1728" s="19" t="str">
        <x:f>IFERROR(INDEX('מיפוי ומקורות'!$D$7:$D$33,MATCH(H1728,'מיפוי ומקורות'!$B$7:$B$33,0)),"שוטף")</x:f>
        <x:v>חריג</x:v>
      </x:c>
      <x:c r="K1728" s="19" t="str">
        <x:f>IF(OR(H1728="ריביות",AND(H1728="דירה כצנלסון",G1728&lt;0,ISNUMBER(SEARCH("הכנסה",F1728)))),"הכנסה שסווגה מחדש",J1728)</x:f>
        <x:v>חריג</x:v>
      </x:c>
      <x:c r="L1728" s="19" t="str">
        <x:v>מאושר</x:v>
      </x:c>
      <x:c r="M1728" s="20" t="n">
        <x:f>IF(L1728="מאושר",IF(K1728="הכנסה שסווגה מחדש",0,G1728),0)</x:f>
        <x:v>708</x:v>
      </x:c>
      <x:c r="N1728" s="20" t="n">
        <x:f>IF(K1728="שוטף",M1728,0)</x:f>
        <x:v>0</x:v>
      </x:c>
      <x:c r="O1728" s="20" t="n">
        <x:f>IF(K1728="הכנסה שסווגה מחדש",-G1728,0)</x:f>
        <x:v>0</x:v>
      </x:c>
      <x:c r="P1728" s="11" t="str">
        <x:v>one zero</x:v>
      </x:c>
      <x:c r="Q1728" s="11" t="str"/>
      <x:c r="R1728" s="11" t="str">
        <x:v>לא</x:v>
      </x:c>
    </x:row>
    <x:row r="1729">
      <x:c r="A1729" s="14" t="n">
        <x:v>46174</x:v>
      </x:c>
      <x:c r="B1729" s="11" t="str">
        <x:v>2026-06</x:v>
      </x:c>
      <x:c r="C1729" s="11" t="str">
        <x:v>יוני 26</x:v>
      </x:c>
      <x:c r="D1729" s="15" t="n">
        <x:v>68</x:v>
      </x:c>
      <x:c r="E1729" s="11" t="str">
        <x:v>30/6</x:v>
      </x:c>
      <x:c r="F1729" s="11" t="str">
        <x:v>רואה חשבון</x:v>
      </x:c>
      <x:c r="G1729" s="17" t="n">
        <x:v>1179</x:v>
      </x:c>
      <x:c r="H1729" s="18" t="str">
        <x:v>מס הכנסה</x:v>
      </x:c>
      <x:c r="I1729" s="19" t="str">
        <x:f>IFERROR(INDEX('מיפוי ומקורות'!$C$7:$C$33,MATCH(H1729,'מיפוי ומקורות'!$B$7:$B$33,0)),"לא מסווג")</x:f>
        <x:v>מסים</x:v>
      </x:c>
      <x:c r="J1729" s="19" t="str">
        <x:f>IFERROR(INDEX('מיפוי ומקורות'!$D$7:$D$33,MATCH(H1729,'מיפוי ומקורות'!$B$7:$B$33,0)),"שוטף")</x:f>
        <x:v>חריג</x:v>
      </x:c>
      <x:c r="K1729" s="19" t="str">
        <x:f>IF(OR(H1729="ריביות",AND(H1729="דירה כצנלסון",G1729&lt;0,ISNUMBER(SEARCH("הכנסה",F1729)))),"הכנסה שסווגה מחדש",J1729)</x:f>
        <x:v>חריג</x:v>
      </x:c>
      <x:c r="L1729" s="19" t="str">
        <x:v>מאושר</x:v>
      </x:c>
      <x:c r="M1729" s="20" t="n">
        <x:f>IF(L1729="מאושר",IF(K1729="הכנסה שסווגה מחדש",0,G1729),0)</x:f>
        <x:v>1179</x:v>
      </x:c>
      <x:c r="N1729" s="20" t="n">
        <x:f>IF(K1729="שוטף",M1729,0)</x:f>
        <x:v>0</x:v>
      </x:c>
      <x:c r="O1729" s="20" t="n">
        <x:f>IF(K1729="הכנסה שסווגה מחדש",-G1729,0)</x:f>
        <x:v>0</x:v>
      </x:c>
      <x:c r="P1729" s="11" t="str">
        <x:v>one zero</x:v>
      </x:c>
      <x:c r="Q1729" s="11" t="str"/>
      <x:c r="R1729" s="11" t="str">
        <x:v>לא</x:v>
      </x:c>
    </x:row>
    <x:row r="1730">
      <x:c r="A1730" s="14" t="n">
        <x:v>46174</x:v>
      </x:c>
      <x:c r="B1730" s="11" t="str">
        <x:v>2026-06</x:v>
      </x:c>
      <x:c r="C1730" s="11" t="str">
        <x:v>יוני 26</x:v>
      </x:c>
      <x:c r="D1730" s="15" t="n">
        <x:v>69</x:v>
      </x:c>
      <x:c r="E1730" s="11" t="str">
        <x:v>25/6</x:v>
      </x:c>
      <x:c r="F1730" s="11" t="str">
        <x:v>תחבץ</x:v>
      </x:c>
      <x:c r="G1730" s="17" t="n">
        <x:v>8</x:v>
      </x:c>
      <x:c r="H1730" s="18" t="str">
        <x:v>תחבורה</x:v>
      </x:c>
      <x:c r="I1730" s="19" t="str">
        <x:f>IFERROR(INDEX('מיפוי ומקורות'!$C$7:$C$33,MATCH(H1730,'מיפוי ומקורות'!$B$7:$B$33,0)),"לא מסווג")</x:f>
        <x:v>תחבורה</x:v>
      </x:c>
      <x:c r="J1730" s="19" t="str">
        <x:f>IFERROR(INDEX('מיפוי ומקורות'!$D$7:$D$33,MATCH(H1730,'מיפוי ומקורות'!$B$7:$B$33,0)),"שוטף")</x:f>
        <x:v>שוטף</x:v>
      </x:c>
      <x:c r="K1730" s="19" t="str">
        <x:f>IF(OR(H1730="ריביות",AND(H1730="דירה כצנלסון",G1730&lt;0,ISNUMBER(SEARCH("הכנסה",F1730)))),"הכנסה שסווגה מחדש",J1730)</x:f>
        <x:v>שוטף</x:v>
      </x:c>
      <x:c r="L1730" s="19" t="str">
        <x:v>מאושר</x:v>
      </x:c>
      <x:c r="M1730" s="20" t="n">
        <x:f>IF(L1730="מאושר",IF(K1730="הכנסה שסווגה מחדש",0,G1730),0)</x:f>
        <x:v>8</x:v>
      </x:c>
      <x:c r="N1730" s="20" t="n">
        <x:f>IF(K1730="שוטף",M1730,0)</x:f>
        <x:v>8</x:v>
      </x:c>
      <x:c r="O1730" s="20" t="n">
        <x:f>IF(K1730="הכנסה שסווגה מחדש",-G1730,0)</x:f>
        <x:v>0</x:v>
      </x:c>
      <x:c r="P1730" s="11" t="str">
        <x:v>one zero - עינור</x:v>
      </x:c>
      <x:c r="Q1730" s="11" t="str"/>
      <x:c r="R1730" s="11" t="str">
        <x:v>לא</x:v>
      </x:c>
    </x:row>
    <x:row r="1731">
      <x:c r="A1731" s="14" t="n">
        <x:v>46174</x:v>
      </x:c>
      <x:c r="B1731" s="11" t="str">
        <x:v>2026-06</x:v>
      </x:c>
      <x:c r="C1731" s="11" t="str">
        <x:v>יוני 26</x:v>
      </x:c>
      <x:c r="D1731" s="15" t="n">
        <x:v>70</x:v>
      </x:c>
      <x:c r="E1731" s="11" t="str">
        <x:v>4/6</x:v>
      </x:c>
      <x:c r="F1731" s="11" t="str">
        <x:v>לק</x:v>
      </x:c>
      <x:c r="G1731" s="17" t="n">
        <x:v>130</x:v>
      </x:c>
      <x:c r="H1731" s="18" t="str">
        <x:v>קוסמטיקה</x:v>
      </x:c>
      <x:c r="I1731" s="19" t="str">
        <x:f>IFERROR(INDEX('מיפוי ומקורות'!$C$7:$C$33,MATCH(H1731,'מיפוי ומקורות'!$B$7:$B$33,0)),"לא מסווג")</x:f>
        <x:v>קוסמטיקה</x:v>
      </x:c>
      <x:c r="J1731" s="19" t="str">
        <x:f>IFERROR(INDEX('מיפוי ומקורות'!$D$7:$D$33,MATCH(H1731,'מיפוי ומקורות'!$B$7:$B$33,0)),"שוטף")</x:f>
        <x:v>שוטף</x:v>
      </x:c>
      <x:c r="K1731" s="19" t="str">
        <x:f>IF(OR(H1731="ריביות",AND(H1731="דירה כצנלסון",G1731&lt;0,ISNUMBER(SEARCH("הכנסה",F1731)))),"הכנסה שסווגה מחדש",J1731)</x:f>
        <x:v>שוטף</x:v>
      </x:c>
      <x:c r="L1731" s="19" t="str">
        <x:v>מאושר</x:v>
      </x:c>
      <x:c r="M1731" s="20" t="n">
        <x:f>IF(L1731="מאושר",IF(K1731="הכנסה שסווגה מחדש",0,G1731),0)</x:f>
        <x:v>130</x:v>
      </x:c>
      <x:c r="N1731" s="20" t="n">
        <x:f>IF(K1731="שוטף",M1731,0)</x:f>
        <x:v>130</x:v>
      </x:c>
      <x:c r="O1731" s="20" t="n">
        <x:f>IF(K1731="הכנסה שסווגה מחדש",-G1731,0)</x:f>
        <x:v>0</x:v>
      </x:c>
      <x:c r="P1731" s="11" t="str">
        <x:v>מקס - עינור</x:v>
      </x:c>
      <x:c r="Q1731" s="11" t="str"/>
      <x:c r="R1731" s="11" t="str">
        <x:v>לא</x:v>
      </x:c>
    </x:row>
    <x:row r="1732">
      <x:c r="A1732" s="14" t="n">
        <x:v>46174</x:v>
      </x:c>
      <x:c r="B1732" s="11" t="str">
        <x:v>2026-06</x:v>
      </x:c>
      <x:c r="C1732" s="11" t="str">
        <x:v>יוני 26</x:v>
      </x:c>
      <x:c r="D1732" s="15" t="n">
        <x:v>71</x:v>
      </x:c>
      <x:c r="E1732" s="11" t="str">
        <x:v>6/6</x:v>
      </x:c>
      <x:c r="F1732" s="11" t="str">
        <x:v>לירי</x:v>
      </x:c>
      <x:c r="G1732" s="17" t="n">
        <x:v>97</x:v>
      </x:c>
      <x:c r="H1732" s="18" t="str">
        <x:v>טיפולים</x:v>
      </x:c>
      <x:c r="I1732" s="19" t="str">
        <x:f>IFERROR(INDEX('מיפוי ומקורות'!$C$7:$C$33,MATCH(H1732,'מיפוי ומקורות'!$B$7:$B$33,0)),"לא מסווג")</x:f>
        <x:v>בריאות וטיפולים</x:v>
      </x:c>
      <x:c r="J1732" s="19" t="str">
        <x:f>IFERROR(INDEX('מיפוי ומקורות'!$D$7:$D$33,MATCH(H1732,'מיפוי ומקורות'!$B$7:$B$33,0)),"שוטף")</x:f>
        <x:v>שוטף</x:v>
      </x:c>
      <x:c r="K1732" s="19" t="str">
        <x:f>IF(OR(H1732="ריביות",AND(H1732="דירה כצנלסון",G1732&lt;0,ISNUMBER(SEARCH("הכנסה",F1732)))),"הכנסה שסווגה מחדש",J1732)</x:f>
        <x:v>שוטף</x:v>
      </x:c>
      <x:c r="L1732" s="19" t="str">
        <x:v>מאושר</x:v>
      </x:c>
      <x:c r="M1732" s="20" t="n">
        <x:f>IF(L1732="מאושר",IF(K1732="הכנסה שסווגה מחדש",0,G1732),0)</x:f>
        <x:v>97</x:v>
      </x:c>
      <x:c r="N1732" s="20" t="n">
        <x:f>IF(K1732="שוטף",M1732,0)</x:f>
        <x:v>97</x:v>
      </x:c>
      <x:c r="O1732" s="20" t="n">
        <x:f>IF(K1732="הכנסה שסווגה מחדש",-G1732,0)</x:f>
        <x:v>0</x:v>
      </x:c>
      <x:c r="P1732" s="11" t="str">
        <x:v>מקס - עינור</x:v>
      </x:c>
      <x:c r="Q1732" s="11" t="str"/>
      <x:c r="R1732" s="11" t="str">
        <x:v>לא</x:v>
      </x:c>
    </x:row>
    <x:row r="1733">
      <x:c r="A1733" s="14" t="n">
        <x:v>46174</x:v>
      </x:c>
      <x:c r="B1733" s="11" t="str">
        <x:v>2026-06</x:v>
      </x:c>
      <x:c r="C1733" s="11" t="str">
        <x:v>יוני 26</x:v>
      </x:c>
      <x:c r="D1733" s="15" t="n">
        <x:v>72</x:v>
      </x:c>
      <x:c r="E1733" s="11" t="str">
        <x:v>19/6</x:v>
      </x:c>
      <x:c r="F1733" s="11" t="str">
        <x:v>גלידה</x:v>
      </x:c>
      <x:c r="G1733" s="17" t="n">
        <x:v>26</x:v>
      </x:c>
      <x:c r="H1733" s="18" t="str">
        <x:v>אוכל בחוץ</x:v>
      </x:c>
      <x:c r="I1733" s="19" t="str">
        <x:f>IFERROR(INDEX('מיפוי ומקורות'!$C$7:$C$33,MATCH(H1733,'מיפוי ומקורות'!$B$7:$B$33,0)),"לא מסווג")</x:f>
        <x:v>אוכל בחוץ</x:v>
      </x:c>
      <x:c r="J1733" s="19" t="str">
        <x:f>IFERROR(INDEX('מיפוי ומקורות'!$D$7:$D$33,MATCH(H1733,'מיפוי ומקורות'!$B$7:$B$33,0)),"שוטף")</x:f>
        <x:v>שוטף</x:v>
      </x:c>
      <x:c r="K1733" s="19" t="str">
        <x:f>IF(OR(H1733="ריביות",AND(H1733="דירה כצנלסון",G1733&lt;0,ISNUMBER(SEARCH("הכנסה",F1733)))),"הכנסה שסווגה מחדש",J1733)</x:f>
        <x:v>שוטף</x:v>
      </x:c>
      <x:c r="L1733" s="19" t="str">
        <x:v>מאושר</x:v>
      </x:c>
      <x:c r="M1733" s="20" t="n">
        <x:f>IF(L1733="מאושר",IF(K1733="הכנסה שסווגה מחדש",0,G1733),0)</x:f>
        <x:v>26</x:v>
      </x:c>
      <x:c r="N1733" s="20" t="n">
        <x:f>IF(K1733="שוטף",M1733,0)</x:f>
        <x:v>26</x:v>
      </x:c>
      <x:c r="O1733" s="20" t="n">
        <x:f>IF(K1733="הכנסה שסווגה מחדש",-G1733,0)</x:f>
        <x:v>0</x:v>
      </x:c>
      <x:c r="P1733" s="11" t="str">
        <x:v>מקס - עינור</x:v>
      </x:c>
      <x:c r="Q1733" s="11" t="str"/>
      <x:c r="R1733" s="11" t="str">
        <x:v>לא</x:v>
      </x:c>
    </x:row>
    <x:row r="1734">
      <x:c r="A1734" s="14" t="n">
        <x:v>46174</x:v>
      </x:c>
      <x:c r="B1734" s="11" t="str">
        <x:v>2026-06</x:v>
      </x:c>
      <x:c r="C1734" s="11" t="str">
        <x:v>יוני 26</x:v>
      </x:c>
      <x:c r="D1734" s="15" t="n">
        <x:v>73</x:v>
      </x:c>
      <x:c r="E1734" s="11" t="str">
        <x:v>25/6</x:v>
      </x:c>
      <x:c r="F1734" s="11" t="str">
        <x:v>תמונה</x:v>
      </x:c>
      <x:c r="G1734" s="17" t="n">
        <x:v>20</x:v>
      </x:c>
      <x:c r="H1734" s="18" t="str">
        <x:v>פנאי</x:v>
      </x:c>
      <x:c r="I1734" s="19" t="str">
        <x:f>IFERROR(INDEX('מיפוי ומקורות'!$C$7:$C$33,MATCH(H1734,'מיפוי ומקורות'!$B$7:$B$33,0)),"לא מסווג")</x:f>
        <x:v>פנאי</x:v>
      </x:c>
      <x:c r="J1734" s="19" t="str">
        <x:f>IFERROR(INDEX('מיפוי ומקורות'!$D$7:$D$33,MATCH(H1734,'מיפוי ומקורות'!$B$7:$B$33,0)),"שוטף")</x:f>
        <x:v>שוטף</x:v>
      </x:c>
      <x:c r="K1734" s="19" t="str">
        <x:f>IF(OR(H1734="ריביות",AND(H1734="דירה כצנלסון",G1734&lt;0,ISNUMBER(SEARCH("הכנסה",F1734)))),"הכנסה שסווגה מחדש",J1734)</x:f>
        <x:v>שוטף</x:v>
      </x:c>
      <x:c r="L1734" s="19" t="str">
        <x:v>מאושר</x:v>
      </x:c>
      <x:c r="M1734" s="20" t="n">
        <x:f>IF(L1734="מאושר",IF(K1734="הכנסה שסווגה מחדש",0,G1734),0)</x:f>
        <x:v>20</x:v>
      </x:c>
      <x:c r="N1734" s="20" t="n">
        <x:f>IF(K1734="שוטף",M1734,0)</x:f>
        <x:v>20</x:v>
      </x:c>
      <x:c r="O1734" s="20" t="n">
        <x:f>IF(K1734="הכנסה שסווגה מחדש",-G1734,0)</x:f>
        <x:v>0</x:v>
      </x:c>
      <x:c r="P1734" s="11" t="str">
        <x:v>מקס - עינור</x:v>
      </x:c>
      <x:c r="Q1734" s="11" t="str"/>
      <x:c r="R1734" s="11" t="str">
        <x:v>לא</x:v>
      </x:c>
    </x:row>
    <x:row r="1735">
      <x:c r="A1735" s="14" t="n">
        <x:v>46174</x:v>
      </x:c>
      <x:c r="B1735" s="11" t="str">
        <x:v>2026-06</x:v>
      </x:c>
      <x:c r="C1735" s="11" t="str">
        <x:v>יוני 26</x:v>
      </x:c>
      <x:c r="D1735" s="15" t="n">
        <x:v>74</x:v>
      </x:c>
      <x:c r="E1735" s="11" t="str">
        <x:v>29/6</x:v>
      </x:c>
      <x:c r="F1735" s="11" t="str">
        <x:v>מאפיה</x:v>
      </x:c>
      <x:c r="G1735" s="17" t="n">
        <x:v>7</x:v>
      </x:c>
      <x:c r="H1735" s="18" t="str">
        <x:v>אוכל בחוץ</x:v>
      </x:c>
      <x:c r="I1735" s="19" t="str">
        <x:f>IFERROR(INDEX('מיפוי ומקורות'!$C$7:$C$33,MATCH(H1735,'מיפוי ומקורות'!$B$7:$B$33,0)),"לא מסווג")</x:f>
        <x:v>אוכל בחוץ</x:v>
      </x:c>
      <x:c r="J1735" s="19" t="str">
        <x:f>IFERROR(INDEX('מיפוי ומקורות'!$D$7:$D$33,MATCH(H1735,'מיפוי ומקורות'!$B$7:$B$33,0)),"שוטף")</x:f>
        <x:v>שוטף</x:v>
      </x:c>
      <x:c r="K1735" s="19" t="str">
        <x:f>IF(OR(H1735="ריביות",AND(H1735="דירה כצנלסון",G1735&lt;0,ISNUMBER(SEARCH("הכנסה",F1735)))),"הכנסה שסווגה מחדש",J1735)</x:f>
        <x:v>שוטף</x:v>
      </x:c>
      <x:c r="L1735" s="19" t="str">
        <x:v>מאושר</x:v>
      </x:c>
      <x:c r="M1735" s="20" t="n">
        <x:f>IF(L1735="מאושר",IF(K1735="הכנסה שסווגה מחדש",0,G1735),0)</x:f>
        <x:v>7</x:v>
      </x:c>
      <x:c r="N1735" s="20" t="n">
        <x:f>IF(K1735="שוטף",M1735,0)</x:f>
        <x:v>7</x:v>
      </x:c>
      <x:c r="O1735" s="20" t="n">
        <x:f>IF(K1735="הכנסה שסווגה מחדש",-G1735,0)</x:f>
        <x:v>0</x:v>
      </x:c>
      <x:c r="P1735" s="11" t="str">
        <x:v>מקס - עינור</x:v>
      </x:c>
      <x:c r="Q1735" s="11" t="str"/>
      <x:c r="R1735" s="11" t="str">
        <x:v>לא</x:v>
      </x:c>
    </x:row>
    <x:row r="1736">
      <x:c r="A1736" s="14" t="n">
        <x:v>46174</x:v>
      </x:c>
      <x:c r="B1736" s="11" t="str">
        <x:v>2026-06</x:v>
      </x:c>
      <x:c r="C1736" s="11" t="str">
        <x:v>יוני 26</x:v>
      </x:c>
      <x:c r="D1736" s="15" t="n">
        <x:v>75</x:v>
      </x:c>
      <x:c r="E1736" s="11" t="str"/>
      <x:c r="F1736" s="11" t="str">
        <x:v>משחק</x:v>
      </x:c>
      <x:c r="G1736" s="17" t="n">
        <x:v>98</x:v>
      </x:c>
      <x:c r="H1736" s="18" t="str">
        <x:v>פנאי</x:v>
      </x:c>
      <x:c r="I1736" s="19" t="str">
        <x:f>IFERROR(INDEX('מיפוי ומקורות'!$C$7:$C$33,MATCH(H1736,'מיפוי ומקורות'!$B$7:$B$33,0)),"לא מסווג")</x:f>
        <x:v>פנאי</x:v>
      </x:c>
      <x:c r="J1736" s="19" t="str">
        <x:f>IFERROR(INDEX('מיפוי ומקורות'!$D$7:$D$33,MATCH(H1736,'מיפוי ומקורות'!$B$7:$B$33,0)),"שוטף")</x:f>
        <x:v>שוטף</x:v>
      </x:c>
      <x:c r="K1736" s="19" t="str">
        <x:f>IF(OR(H1736="ריביות",AND(H1736="דירה כצנלסון",G1736&lt;0,ISNUMBER(SEARCH("הכנסה",F1736)))),"הכנסה שסווגה מחדש",J1736)</x:f>
        <x:v>שוטף</x:v>
      </x:c>
      <x:c r="L1736" s="19" t="str">
        <x:v>מאושר</x:v>
      </x:c>
      <x:c r="M1736" s="20" t="n">
        <x:f>IF(L1736="מאושר",IF(K1736="הכנסה שסווגה מחדש",0,G1736),0)</x:f>
        <x:v>98</x:v>
      </x:c>
      <x:c r="N1736" s="20" t="n">
        <x:f>IF(K1736="שוטף",M1736,0)</x:f>
        <x:v>98</x:v>
      </x:c>
      <x:c r="O1736" s="20" t="n">
        <x:f>IF(K1736="הכנסה שסווגה מחדש",-G1736,0)</x:f>
        <x:v>0</x:v>
      </x:c>
      <x:c r="P1736" s="11" t="str">
        <x:v>מקס - עינור</x:v>
      </x:c>
      <x:c r="Q1736" s="11" t="str"/>
      <x:c r="R1736" s="11" t="str">
        <x:v>לא</x:v>
      </x:c>
    </x:row>
    <x:row r="1737">
      <x:c r="A1737" s="14" t="n">
        <x:v>46174</x:v>
      </x:c>
      <x:c r="B1737" s="11" t="str">
        <x:v>2026-06</x:v>
      </x:c>
      <x:c r="C1737" s="11" t="str">
        <x:v>יוני 26</x:v>
      </x:c>
      <x:c r="D1737" s="15" t="n">
        <x:v>76</x:v>
      </x:c>
      <x:c r="E1737" s="11" t="str">
        <x:v>29/6</x:v>
      </x:c>
      <x:c r="F1737" s="11" t="str">
        <x:v>מסעדה</x:v>
      </x:c>
      <x:c r="G1737" s="17" t="n">
        <x:v>19</x:v>
      </x:c>
      <x:c r="H1737" s="18" t="str">
        <x:v>אוכל בחוץ</x:v>
      </x:c>
      <x:c r="I1737" s="19" t="str">
        <x:f>IFERROR(INDEX('מיפוי ומקורות'!$C$7:$C$33,MATCH(H1737,'מיפוי ומקורות'!$B$7:$B$33,0)),"לא מסווג")</x:f>
        <x:v>אוכל בחוץ</x:v>
      </x:c>
      <x:c r="J1737" s="19" t="str">
        <x:f>IFERROR(INDEX('מיפוי ומקורות'!$D$7:$D$33,MATCH(H1737,'מיפוי ומקורות'!$B$7:$B$33,0)),"שוטף")</x:f>
        <x:v>שוטף</x:v>
      </x:c>
      <x:c r="K1737" s="19" t="str">
        <x:f>IF(OR(H1737="ריביות",AND(H1737="דירה כצנלסון",G1737&lt;0,ISNUMBER(SEARCH("הכנסה",F1737)))),"הכנסה שסווגה מחדש",J1737)</x:f>
        <x:v>שוטף</x:v>
      </x:c>
      <x:c r="L1737" s="19" t="str">
        <x:v>מאושר</x:v>
      </x:c>
      <x:c r="M1737" s="20" t="n">
        <x:f>IF(L1737="מאושר",IF(K1737="הכנסה שסווגה מחדש",0,G1737),0)</x:f>
        <x:v>19</x:v>
      </x:c>
      <x:c r="N1737" s="20" t="n">
        <x:f>IF(K1737="שוטף",M1737,0)</x:f>
        <x:v>19</x:v>
      </x:c>
      <x:c r="O1737" s="20" t="n">
        <x:f>IF(K1737="הכנסה שסווגה מחדש",-G1737,0)</x:f>
        <x:v>0</x:v>
      </x:c>
      <x:c r="P1737" s="11" t="str">
        <x:v>אמקס - זיו</x:v>
      </x:c>
      <x:c r="Q1737" s="11" t="str"/>
      <x:c r="R1737" s="11" t="str">
        <x:v>לא</x:v>
      </x:c>
    </x:row>
    <x:row r="1738">
      <x:c r="A1738" s="14" t="n">
        <x:v>46174</x:v>
      </x:c>
      <x:c r="B1738" s="11" t="str">
        <x:v>2026-06</x:v>
      </x:c>
      <x:c r="C1738" s="11" t="str">
        <x:v>יוני 26</x:v>
      </x:c>
      <x:c r="D1738" s="15" t="n">
        <x:v>77</x:v>
      </x:c>
      <x:c r="E1738" s="11" t="str">
        <x:v>4.06</x:v>
      </x:c>
      <x:c r="F1738" s="11" t="str">
        <x:v>מסעדה</x:v>
      </x:c>
      <x:c r="G1738" s="17" t="n">
        <x:v>200</x:v>
      </x:c>
      <x:c r="H1738" s="18" t="str">
        <x:v>אוכל בחוץ</x:v>
      </x:c>
      <x:c r="I1738" s="19" t="str">
        <x:f>IFERROR(INDEX('מיפוי ומקורות'!$C$7:$C$33,MATCH(H1738,'מיפוי ומקורות'!$B$7:$B$33,0)),"לא מסווג")</x:f>
        <x:v>אוכל בחוץ</x:v>
      </x:c>
      <x:c r="J1738" s="19" t="str">
        <x:f>IFERROR(INDEX('מיפוי ומקורות'!$D$7:$D$33,MATCH(H1738,'מיפוי ומקורות'!$B$7:$B$33,0)),"שוטף")</x:f>
        <x:v>שוטף</x:v>
      </x:c>
      <x:c r="K1738" s="19" t="str">
        <x:f>IF(OR(H1738="ריביות",AND(H1738="דירה כצנלסון",G1738&lt;0,ISNUMBER(SEARCH("הכנסה",F1738)))),"הכנסה שסווגה מחדש",J1738)</x:f>
        <x:v>שוטף</x:v>
      </x:c>
      <x:c r="L1738" s="19" t="str">
        <x:v>מאושר</x:v>
      </x:c>
      <x:c r="M1738" s="20" t="n">
        <x:f>IF(L1738="מאושר",IF(K1738="הכנסה שסווגה מחדש",0,G1738),0)</x:f>
        <x:v>200</x:v>
      </x:c>
      <x:c r="N1738" s="20" t="n">
        <x:f>IF(K1738="שוטף",M1738,0)</x:f>
        <x:v>200</x:v>
      </x:c>
      <x:c r="O1738" s="20" t="n">
        <x:f>IF(K1738="הכנסה שסווגה מחדש",-G1738,0)</x:f>
        <x:v>0</x:v>
      </x:c>
      <x:c r="P1738" s="11" t="str">
        <x:v>סיבוס - עינור</x:v>
      </x:c>
      <x:c r="Q1738" s="11" t="str"/>
      <x:c r="R1738" s="11" t="str">
        <x:v>לא</x:v>
      </x:c>
    </x:row>
    <x:row r="1739">
      <x:c r="A1739" s="14" t="n">
        <x:v>46174</x:v>
      </x:c>
      <x:c r="B1739" s="11" t="str">
        <x:v>2026-06</x:v>
      </x:c>
      <x:c r="C1739" s="11" t="str">
        <x:v>יוני 26</x:v>
      </x:c>
      <x:c r="D1739" s="15" t="n">
        <x:v>78</x:v>
      </x:c>
      <x:c r="E1739" s="11" t="str">
        <x:v>12.06</x:v>
      </x:c>
      <x:c r="F1739" s="11" t="str">
        <x:v>מסעדה</x:v>
      </x:c>
      <x:c r="G1739" s="17" t="n">
        <x:v>196</x:v>
      </x:c>
      <x:c r="H1739" s="18" t="str">
        <x:v>אוכל בחוץ</x:v>
      </x:c>
      <x:c r="I1739" s="19" t="str">
        <x:f>IFERROR(INDEX('מיפוי ומקורות'!$C$7:$C$33,MATCH(H1739,'מיפוי ומקורות'!$B$7:$B$33,0)),"לא מסווג")</x:f>
        <x:v>אוכל בחוץ</x:v>
      </x:c>
      <x:c r="J1739" s="19" t="str">
        <x:f>IFERROR(INDEX('מיפוי ומקורות'!$D$7:$D$33,MATCH(H1739,'מיפוי ומקורות'!$B$7:$B$33,0)),"שוטף")</x:f>
        <x:v>שוטף</x:v>
      </x:c>
      <x:c r="K1739" s="19" t="str">
        <x:f>IF(OR(H1739="ריביות",AND(H1739="דירה כצנלסון",G1739&lt;0,ISNUMBER(SEARCH("הכנסה",F1739)))),"הכנסה שסווגה מחדש",J1739)</x:f>
        <x:v>שוטף</x:v>
      </x:c>
      <x:c r="L1739" s="19" t="str">
        <x:v>מאושר</x:v>
      </x:c>
      <x:c r="M1739" s="20" t="n">
        <x:f>IF(L1739="מאושר",IF(K1739="הכנסה שסווגה מחדש",0,G1739),0)</x:f>
        <x:v>196</x:v>
      </x:c>
      <x:c r="N1739" s="20" t="n">
        <x:f>IF(K1739="שוטף",M1739,0)</x:f>
        <x:v>196</x:v>
      </x:c>
      <x:c r="O1739" s="20" t="n">
        <x:f>IF(K1739="הכנסה שסווגה מחדש",-G1739,0)</x:f>
        <x:v>0</x:v>
      </x:c>
      <x:c r="P1739" s="11" t="str">
        <x:v>סיבוס - עינור</x:v>
      </x:c>
      <x:c r="Q1739" s="11" t="str"/>
      <x:c r="R1739" s="11" t="str">
        <x:v>לא</x:v>
      </x:c>
    </x:row>
    <x:row r="1740">
      <x:c r="A1740" s="14" t="n">
        <x:v>46174</x:v>
      </x:c>
      <x:c r="B1740" s="11" t="str">
        <x:v>2026-06</x:v>
      </x:c>
      <x:c r="C1740" s="11" t="str">
        <x:v>יוני 26</x:v>
      </x:c>
      <x:c r="D1740" s="15" t="n">
        <x:v>79</x:v>
      </x:c>
      <x:c r="E1740" s="11" t="str">
        <x:v>19.06</x:v>
      </x:c>
      <x:c r="F1740" s="11" t="str">
        <x:v>סופר</x:v>
      </x:c>
      <x:c r="G1740" s="17" t="n">
        <x:v>106</x:v>
      </x:c>
      <x:c r="H1740" s="18" t="str">
        <x:v>מזון לבית</x:v>
      </x:c>
      <x:c r="I1740" s="19" t="str">
        <x:f>IFERROR(INDEX('מיפוי ומקורות'!$C$7:$C$33,MATCH(H1740,'מיפוי ומקורות'!$B$7:$B$33,0)),"לא מסווג")</x:f>
        <x:v>מזון לבית</x:v>
      </x:c>
      <x:c r="J1740" s="19" t="str">
        <x:f>IFERROR(INDEX('מיפוי ומקורות'!$D$7:$D$33,MATCH(H1740,'מיפוי ומקורות'!$B$7:$B$33,0)),"שוטף")</x:f>
        <x:v>שוטף</x:v>
      </x:c>
      <x:c r="K1740" s="19" t="str">
        <x:f>IF(OR(H1740="ריביות",AND(H1740="דירה כצנלסון",G1740&lt;0,ISNUMBER(SEARCH("הכנסה",F1740)))),"הכנסה שסווגה מחדש",J1740)</x:f>
        <x:v>שוטף</x:v>
      </x:c>
      <x:c r="L1740" s="19" t="str">
        <x:v>מאושר</x:v>
      </x:c>
      <x:c r="M1740" s="20" t="n">
        <x:f>IF(L1740="מאושר",IF(K1740="הכנסה שסווגה מחדש",0,G1740),0)</x:f>
        <x:v>106</x:v>
      </x:c>
      <x:c r="N1740" s="20" t="n">
        <x:f>IF(K1740="שוטף",M1740,0)</x:f>
        <x:v>106</x:v>
      </x:c>
      <x:c r="O1740" s="20" t="n">
        <x:f>IF(K1740="הכנסה שסווגה מחדש",-G1740,0)</x:f>
        <x:v>0</x:v>
      </x:c>
      <x:c r="P1740" s="11" t="str">
        <x:v>סיבוס - עינור</x:v>
      </x:c>
      <x:c r="Q1740" s="11" t="str"/>
      <x:c r="R1740" s="11" t="str">
        <x:v>לא</x:v>
      </x:c>
    </x:row>
    <x:row r="1741">
      <x:c r="A1741" s="14" t="n">
        <x:v>46174</x:v>
      </x:c>
      <x:c r="B1741" s="11" t="str">
        <x:v>2026-06</x:v>
      </x:c>
      <x:c r="C1741" s="11" t="str">
        <x:v>יוני 26</x:v>
      </x:c>
      <x:c r="D1741" s="15" t="n">
        <x:v>80</x:v>
      </x:c>
      <x:c r="E1741" s="11" t="str">
        <x:v>20.06</x:v>
      </x:c>
      <x:c r="F1741" s="11" t="str">
        <x:v>מסעדה</x:v>
      </x:c>
      <x:c r="G1741" s="17" t="n">
        <x:v>51</x:v>
      </x:c>
      <x:c r="H1741" s="18" t="str">
        <x:v>אוכל בחוץ</x:v>
      </x:c>
      <x:c r="I1741" s="19" t="str">
        <x:f>IFERROR(INDEX('מיפוי ומקורות'!$C$7:$C$33,MATCH(H1741,'מיפוי ומקורות'!$B$7:$B$33,0)),"לא מסווג")</x:f>
        <x:v>אוכל בחוץ</x:v>
      </x:c>
      <x:c r="J1741" s="19" t="str">
        <x:f>IFERROR(INDEX('מיפוי ומקורות'!$D$7:$D$33,MATCH(H1741,'מיפוי ומקורות'!$B$7:$B$33,0)),"שוטף")</x:f>
        <x:v>שוטף</x:v>
      </x:c>
      <x:c r="K1741" s="19" t="str">
        <x:f>IF(OR(H1741="ריביות",AND(H1741="דירה כצנלסון",G1741&lt;0,ISNUMBER(SEARCH("הכנסה",F1741)))),"הכנסה שסווגה מחדש",J1741)</x:f>
        <x:v>שוטף</x:v>
      </x:c>
      <x:c r="L1741" s="19" t="str">
        <x:v>מאושר</x:v>
      </x:c>
      <x:c r="M1741" s="20" t="n">
        <x:f>IF(L1741="מאושר",IF(K1741="הכנסה שסווגה מחדש",0,G1741),0)</x:f>
        <x:v>51</x:v>
      </x:c>
      <x:c r="N1741" s="20" t="n">
        <x:f>IF(K1741="שוטף",M1741,0)</x:f>
        <x:v>51</x:v>
      </x:c>
      <x:c r="O1741" s="20" t="n">
        <x:f>IF(K1741="הכנסה שסווגה מחדש",-G1741,0)</x:f>
        <x:v>0</x:v>
      </x:c>
      <x:c r="P1741" s="11" t="str">
        <x:v>סיבוס - עינור</x:v>
      </x:c>
      <x:c r="Q1741" s="11" t="str"/>
      <x:c r="R1741" s="11" t="str">
        <x:v>לא</x:v>
      </x:c>
    </x:row>
    <x:row r="1742">
      <x:c r="A1742" s="14" t="n">
        <x:v>46174</x:v>
      </x:c>
      <x:c r="B1742" s="11" t="str">
        <x:v>2026-06</x:v>
      </x:c>
      <x:c r="C1742" s="11" t="str">
        <x:v>יוני 26</x:v>
      </x:c>
      <x:c r="D1742" s="15" t="n">
        <x:v>81</x:v>
      </x:c>
      <x:c r="E1742" s="11" t="str">
        <x:v>21.06</x:v>
      </x:c>
      <x:c r="F1742" s="11" t="str">
        <x:v>סופר</x:v>
      </x:c>
      <x:c r="G1742" s="17" t="n">
        <x:v>34</x:v>
      </x:c>
      <x:c r="H1742" s="18" t="str">
        <x:v>מזון לבית</x:v>
      </x:c>
      <x:c r="I1742" s="19" t="str">
        <x:f>IFERROR(INDEX('מיפוי ומקורות'!$C$7:$C$33,MATCH(H1742,'מיפוי ומקורות'!$B$7:$B$33,0)),"לא מסווג")</x:f>
        <x:v>מזון לבית</x:v>
      </x:c>
      <x:c r="J1742" s="19" t="str">
        <x:f>IFERROR(INDEX('מיפוי ומקורות'!$D$7:$D$33,MATCH(H1742,'מיפוי ומקורות'!$B$7:$B$33,0)),"שוטף")</x:f>
        <x:v>שוטף</x:v>
      </x:c>
      <x:c r="K1742" s="19" t="str">
        <x:f>IF(OR(H1742="ריביות",AND(H1742="דירה כצנלסון",G1742&lt;0,ISNUMBER(SEARCH("הכנסה",F1742)))),"הכנסה שסווגה מחדש",J1742)</x:f>
        <x:v>שוטף</x:v>
      </x:c>
      <x:c r="L1742" s="19" t="str">
        <x:v>מאושר</x:v>
      </x:c>
      <x:c r="M1742" s="20" t="n">
        <x:f>IF(L1742="מאושר",IF(K1742="הכנסה שסווגה מחדש",0,G1742),0)</x:f>
        <x:v>34</x:v>
      </x:c>
      <x:c r="N1742" s="20" t="n">
        <x:f>IF(K1742="שוטף",M1742,0)</x:f>
        <x:v>34</x:v>
      </x:c>
      <x:c r="O1742" s="20" t="n">
        <x:f>IF(K1742="הכנסה שסווגה מחדש",-G1742,0)</x:f>
        <x:v>0</x:v>
      </x:c>
      <x:c r="P1742" s="11" t="str">
        <x:v>סיבוס - עינור</x:v>
      </x:c>
      <x:c r="Q1742" s="11" t="str"/>
      <x:c r="R1742" s="11" t="str">
        <x:v>לא</x:v>
      </x:c>
    </x:row>
    <x:row r="1743">
      <x:c r="A1743" s="14" t="n">
        <x:v>46174</x:v>
      </x:c>
      <x:c r="B1743" s="11" t="str">
        <x:v>2026-06</x:v>
      </x:c>
      <x:c r="C1743" s="11" t="str">
        <x:v>יוני 26</x:v>
      </x:c>
      <x:c r="D1743" s="15" t="n">
        <x:v>82</x:v>
      </x:c>
      <x:c r="E1743" s="11" t="str">
        <x:v>21.06</x:v>
      </x:c>
      <x:c r="F1743" s="11" t="str">
        <x:v>סופר</x:v>
      </x:c>
      <x:c r="G1743" s="17" t="n">
        <x:v>20</x:v>
      </x:c>
      <x:c r="H1743" s="18" t="str">
        <x:v>מזון לבית</x:v>
      </x:c>
      <x:c r="I1743" s="19" t="str">
        <x:f>IFERROR(INDEX('מיפוי ומקורות'!$C$7:$C$33,MATCH(H1743,'מיפוי ומקורות'!$B$7:$B$33,0)),"לא מסווג")</x:f>
        <x:v>מזון לבית</x:v>
      </x:c>
      <x:c r="J1743" s="19" t="str">
        <x:f>IFERROR(INDEX('מיפוי ומקורות'!$D$7:$D$33,MATCH(H1743,'מיפוי ומקורות'!$B$7:$B$33,0)),"שוטף")</x:f>
        <x:v>שוטף</x:v>
      </x:c>
      <x:c r="K1743" s="19" t="str">
        <x:f>IF(OR(H1743="ריביות",AND(H1743="דירה כצנלסון",G1743&lt;0,ISNUMBER(SEARCH("הכנסה",F1743)))),"הכנסה שסווגה מחדש",J1743)</x:f>
        <x:v>שוטף</x:v>
      </x:c>
      <x:c r="L1743" s="19" t="str">
        <x:v>מאושר</x:v>
      </x:c>
      <x:c r="M1743" s="20" t="n">
        <x:f>IF(L1743="מאושר",IF(K1743="הכנסה שסווגה מחדש",0,G1743),0)</x:f>
        <x:v>20</x:v>
      </x:c>
      <x:c r="N1743" s="20" t="n">
        <x:f>IF(K1743="שוטף",M1743,0)</x:f>
        <x:v>20</x:v>
      </x:c>
      <x:c r="O1743" s="20" t="n">
        <x:f>IF(K1743="הכנסה שסווגה מחדש",-G1743,0)</x:f>
        <x:v>0</x:v>
      </x:c>
      <x:c r="P1743" s="11" t="str">
        <x:v>סיבוס - עינור</x:v>
      </x:c>
      <x:c r="Q1743" s="11" t="str"/>
      <x:c r="R1743" s="11" t="str">
        <x:v>לא</x:v>
      </x:c>
    </x:row>
    <x:row r="1744">
      <x:c r="A1744" s="14" t="n">
        <x:v>46174</x:v>
      </x:c>
      <x:c r="B1744" s="11" t="str">
        <x:v>2026-06</x:v>
      </x:c>
      <x:c r="C1744" s="11" t="str">
        <x:v>יוני 26</x:v>
      </x:c>
      <x:c r="D1744" s="15" t="n">
        <x:v>83</x:v>
      </x:c>
      <x:c r="E1744" s="11" t="str">
        <x:v>26.06</x:v>
      </x:c>
      <x:c r="F1744" s="11" t="str">
        <x:v>סופר</x:v>
      </x:c>
      <x:c r="G1744" s="17" t="n">
        <x:v>59</x:v>
      </x:c>
      <x:c r="H1744" s="18" t="str">
        <x:v>מזון לבית</x:v>
      </x:c>
      <x:c r="I1744" s="19" t="str">
        <x:f>IFERROR(INDEX('מיפוי ומקורות'!$C$7:$C$33,MATCH(H1744,'מיפוי ומקורות'!$B$7:$B$33,0)),"לא מסווג")</x:f>
        <x:v>מזון לבית</x:v>
      </x:c>
      <x:c r="J1744" s="19" t="str">
        <x:f>IFERROR(INDEX('מיפוי ומקורות'!$D$7:$D$33,MATCH(H1744,'מיפוי ומקורות'!$B$7:$B$33,0)),"שוטף")</x:f>
        <x:v>שוטף</x:v>
      </x:c>
      <x:c r="K1744" s="19" t="str">
        <x:f>IF(OR(H1744="ריביות",AND(H1744="דירה כצנלסון",G1744&lt;0,ISNUMBER(SEARCH("הכנסה",F1744)))),"הכנסה שסווגה מחדש",J1744)</x:f>
        <x:v>שוטף</x:v>
      </x:c>
      <x:c r="L1744" s="19" t="str">
        <x:v>מאושר</x:v>
      </x:c>
      <x:c r="M1744" s="20" t="n">
        <x:f>IF(L1744="מאושר",IF(K1744="הכנסה שסווגה מחדש",0,G1744),0)</x:f>
        <x:v>59</x:v>
      </x:c>
      <x:c r="N1744" s="20" t="n">
        <x:f>IF(K1744="שוטף",M1744,0)</x:f>
        <x:v>59</x:v>
      </x:c>
      <x:c r="O1744" s="20" t="n">
        <x:f>IF(K1744="הכנסה שסווגה מחדש",-G1744,0)</x:f>
        <x:v>0</x:v>
      </x:c>
      <x:c r="P1744" s="11" t="str">
        <x:v>סיבוס - עינור</x:v>
      </x:c>
      <x:c r="Q1744" s="11" t="str"/>
      <x:c r="R1744" s="11" t="str">
        <x:v>לא</x:v>
      </x:c>
    </x:row>
    <x:row r="1745">
      <x:c r="A1745" s="14" t="n">
        <x:v>46174</x:v>
      </x:c>
      <x:c r="B1745" s="11" t="str">
        <x:v>2026-06</x:v>
      </x:c>
      <x:c r="C1745" s="11" t="str">
        <x:v>יוני 26</x:v>
      </x:c>
      <x:c r="D1745" s="15" t="n">
        <x:v>84</x:v>
      </x:c>
      <x:c r="E1745" s="11" t="str">
        <x:v>29.06</x:v>
      </x:c>
      <x:c r="F1745" s="11" t="str">
        <x:v>מסעדה</x:v>
      </x:c>
      <x:c r="G1745" s="17" t="n">
        <x:v>79</x:v>
      </x:c>
      <x:c r="H1745" s="18" t="str">
        <x:v>אוכל בחוץ</x:v>
      </x:c>
      <x:c r="I1745" s="19" t="str">
        <x:f>IFERROR(INDEX('מיפוי ומקורות'!$C$7:$C$33,MATCH(H1745,'מיפוי ומקורות'!$B$7:$B$33,0)),"לא מסווג")</x:f>
        <x:v>אוכל בחוץ</x:v>
      </x:c>
      <x:c r="J1745" s="19" t="str">
        <x:f>IFERROR(INDEX('מיפוי ומקורות'!$D$7:$D$33,MATCH(H1745,'מיפוי ומקורות'!$B$7:$B$33,0)),"שוטף")</x:f>
        <x:v>שוטף</x:v>
      </x:c>
      <x:c r="K1745" s="19" t="str">
        <x:f>IF(OR(H1745="ריביות",AND(H1745="דירה כצנלסון",G1745&lt;0,ISNUMBER(SEARCH("הכנסה",F1745)))),"הכנסה שסווגה מחדש",J1745)</x:f>
        <x:v>שוטף</x:v>
      </x:c>
      <x:c r="L1745" s="19" t="str">
        <x:v>מאושר</x:v>
      </x:c>
      <x:c r="M1745" s="20" t="n">
        <x:f>IF(L1745="מאושר",IF(K1745="הכנסה שסווגה מחדש",0,G1745),0)</x:f>
        <x:v>79</x:v>
      </x:c>
      <x:c r="N1745" s="20" t="n">
        <x:f>IF(K1745="שוטף",M1745,0)</x:f>
        <x:v>79</x:v>
      </x:c>
      <x:c r="O1745" s="20" t="n">
        <x:f>IF(K1745="הכנסה שסווגה מחדש",-G1745,0)</x:f>
        <x:v>0</x:v>
      </x:c>
      <x:c r="P1745" s="11" t="str">
        <x:v>סיבוס - עינור</x:v>
      </x:c>
      <x:c r="Q1745" s="11" t="str"/>
      <x:c r="R1745" s="11" t="str">
        <x:v>לא</x:v>
      </x:c>
    </x:row>
    <x:row r="1746">
      <x:c r="A1746" s="14" t="n">
        <x:v>46174</x:v>
      </x:c>
      <x:c r="B1746" s="11" t="str">
        <x:v>2026-06</x:v>
      </x:c>
      <x:c r="C1746" s="11" t="str">
        <x:v>יוני 26</x:v>
      </x:c>
      <x:c r="D1746" s="15" t="n">
        <x:v>85</x:v>
      </x:c>
      <x:c r="E1746" s="11" t="str">
        <x:v>15/6</x:v>
      </x:c>
      <x:c r="F1746" s="11" t="str">
        <x:v>מס יסף</x:v>
      </x:c>
      <x:c r="G1746" s="17" t="n">
        <x:v>16703</x:v>
      </x:c>
      <x:c r="H1746" s="18" t="str">
        <x:v>מס הכנסה</x:v>
      </x:c>
      <x:c r="I1746" s="19" t="str">
        <x:f>IFERROR(INDEX('מיפוי ומקורות'!$C$7:$C$33,MATCH(H1746,'מיפוי ומקורות'!$B$7:$B$33,0)),"לא מסווג")</x:f>
        <x:v>מסים</x:v>
      </x:c>
      <x:c r="J1746" s="19" t="str">
        <x:f>IFERROR(INDEX('מיפוי ומקורות'!$D$7:$D$33,MATCH(H1746,'מיפוי ומקורות'!$B$7:$B$33,0)),"שוטף")</x:f>
        <x:v>חריג</x:v>
      </x:c>
      <x:c r="K1746" s="19" t="str">
        <x:f>IF(OR(H1746="ריביות",AND(H1746="דירה כצנלסון",G1746&lt;0,ISNUMBER(SEARCH("הכנסה",F1746)))),"הכנסה שסווגה מחדש",J1746)</x:f>
        <x:v>חריג</x:v>
      </x:c>
      <x:c r="L1746" s="19" t="str">
        <x:v>מאושר</x:v>
      </x:c>
      <x:c r="M1746" s="20" t="n">
        <x:f>IF(L1746="מאושר",IF(K1746="הכנסה שסווגה מחדש",0,G1746),0)</x:f>
        <x:v>16703</x:v>
      </x:c>
      <x:c r="N1746" s="20" t="n">
        <x:f>IF(K1746="שוטף",M1746,0)</x:f>
        <x:v>0</x:v>
      </x:c>
      <x:c r="O1746" s="20" t="n">
        <x:f>IF(K1746="הכנסה שסווגה מחדש",-G1746,0)</x:f>
        <x:v>0</x:v>
      </x:c>
      <x:c r="P1746" s="11" t="str">
        <x:v>דיסקונט</x:v>
      </x:c>
      <x:c r="Q1746" s="11" t="str"/>
      <x:c r="R1746" s="11" t="str">
        <x:v>לא</x:v>
      </x:c>
    </x:row>
    <x:row r="1747">
      <x:c r="A1747" s="14" t="n">
        <x:v>46204</x:v>
      </x:c>
      <x:c r="B1747" s="11" t="str">
        <x:v>2026-07</x:v>
      </x:c>
      <x:c r="C1747" s="11" t="str">
        <x:v>יולי 26</x:v>
      </x:c>
      <x:c r="D1747" s="15" t="n">
        <x:v>2</x:v>
      </x:c>
      <x:c r="E1747" s="11" t="str"/>
      <x:c r="F1747" s="11" t="str">
        <x:v>שכר דירה</x:v>
      </x:c>
      <x:c r="G1747" s="17" t="n">
        <x:v>8000</x:v>
      </x:c>
      <x:c r="H1747" s="18" t="str">
        <x:v>מגורים</x:v>
      </x:c>
      <x:c r="I1747" s="19" t="str">
        <x:f>IFERROR(INDEX('מיפוי ומקורות'!$C$7:$C$33,MATCH(H1747,'מיפוי ומקורות'!$B$7:$B$33,0)),"לא מסווג")</x:f>
        <x:v>דיור – בית מגורים</x:v>
      </x:c>
      <x:c r="J1747" s="19" t="str">
        <x:f>IFERROR(INDEX('מיפוי ומקורות'!$D$7:$D$33,MATCH(H1747,'מיפוי ומקורות'!$B$7:$B$33,0)),"שוטף")</x:f>
        <x:v>שוטף</x:v>
      </x:c>
      <x:c r="K1747" s="19" t="str">
        <x:f>IF(OR(H1747="ריביות",AND(H1747="דירה כצנלסון",G1747&lt;0,ISNUMBER(SEARCH("הכנסה",F1747)))),"הכנסה שסווגה מחדש",J1747)</x:f>
        <x:v>שוטף</x:v>
      </x:c>
      <x:c r="L1747" s="19" t="str">
        <x:v>מאושר</x:v>
      </x:c>
      <x:c r="M1747" s="20" t="n">
        <x:f>IF(L1747="מאושר",IF(K1747="הכנסה שסווגה מחדש",0,G1747),0)</x:f>
        <x:v>8000</x:v>
      </x:c>
      <x:c r="N1747" s="20" t="n">
        <x:f>IF(K1747="שוטף",M1747,0)</x:f>
        <x:v>8000</x:v>
      </x:c>
      <x:c r="O1747" s="20" t="n">
        <x:f>IF(K1747="הכנסה שסווגה מחדש",-G1747,0)</x:f>
        <x:v>0</x:v>
      </x:c>
      <x:c r="P1747" s="11" t="str">
        <x:v>דיסקונט</x:v>
      </x:c>
      <x:c r="Q1747" s="11" t="str"/>
      <x:c r="R1747" s="11" t="str">
        <x:v>לא</x:v>
      </x:c>
    </x:row>
    <x:row r="1748">
      <x:c r="A1748" s="14" t="n">
        <x:v>46204</x:v>
      </x:c>
      <x:c r="B1748" s="11" t="str">
        <x:v>2026-07</x:v>
      </x:c>
      <x:c r="C1748" s="11" t="str">
        <x:v>יולי 26</x:v>
      </x:c>
      <x:c r="D1748" s="15" t="n">
        <x:v>3</x:v>
      </x:c>
      <x:c r="E1748" s="11" t="str"/>
      <x:c r="F1748" s="11" t="str">
        <x:v>משכנתא</x:v>
      </x:c>
      <x:c r="G1748" s="17" t="n">
        <x:v>6153</x:v>
      </x:c>
      <x:c r="H1748" s="18" t="str">
        <x:v>דירה כצנלסון</x:v>
      </x:c>
      <x:c r="I1748" s="19" t="str">
        <x:f>IFERROR(INDEX('מיפוי ומקורות'!$C$7:$C$33,MATCH(H1748,'מיפוי ומקורות'!$B$7:$B$33,0)),"לא מסווג")</x:f>
        <x:v>נכס להשקעה</x:v>
      </x:c>
      <x:c r="J1748" s="19" t="str">
        <x:f>IFERROR(INDEX('מיפוי ומקורות'!$D$7:$D$33,MATCH(H1748,'מיפוי ומקורות'!$B$7:$B$33,0)),"שוטף")</x:f>
        <x:v>חריג/נכס</x:v>
      </x:c>
      <x:c r="K1748" s="19" t="str">
        <x:f>IF(OR(H1748="ריביות",AND(H1748="דירה כצנלסון",G1748&lt;0,ISNUMBER(SEARCH("הכנסה",F1748)))),"הכנסה שסווגה מחדש",J1748)</x:f>
        <x:v>חריג/נכס</x:v>
      </x:c>
      <x:c r="L1748" s="19" t="str">
        <x:v>מאושר</x:v>
      </x:c>
      <x:c r="M1748" s="20" t="n">
        <x:f>IF(L1748="מאושר",IF(K1748="הכנסה שסווגה מחדש",0,G1748),0)</x:f>
        <x:v>6153</x:v>
      </x:c>
      <x:c r="N1748" s="20" t="n">
        <x:f>IF(K1748="שוטף",M1748,0)</x:f>
        <x:v>0</x:v>
      </x:c>
      <x:c r="O1748" s="20" t="n">
        <x:f>IF(K1748="הכנסה שסווגה מחדש",-G1748,0)</x:f>
        <x:v>0</x:v>
      </x:c>
      <x:c r="P1748" s="11" t="str">
        <x:v>דיסקונט</x:v>
      </x:c>
      <x:c r="Q1748" s="11" t="str"/>
      <x:c r="R1748" s="11" t="str">
        <x:v>לא</x:v>
      </x:c>
    </x:row>
    <x:row r="1749">
      <x:c r="A1749" s="14" t="n">
        <x:v>46204</x:v>
      </x:c>
      <x:c r="B1749" s="11" t="str">
        <x:v>2026-07</x:v>
      </x:c>
      <x:c r="C1749" s="11" t="str">
        <x:v>יולי 26</x:v>
      </x:c>
      <x:c r="D1749" s="15" t="n">
        <x:v>4</x:v>
      </x:c>
      <x:c r="E1749" s="11" t="str"/>
      <x:c r="F1749" s="11" t="str">
        <x:v>ארנונה</x:v>
      </x:c>
      <x:c r="G1749" s="17" t="n">
        <x:v>0</x:v>
      </x:c>
      <x:c r="H1749" s="18" t="str">
        <x:v>מגורים</x:v>
      </x:c>
      <x:c r="I1749" s="19" t="str">
        <x:f>IFERROR(INDEX('מיפוי ומקורות'!$C$7:$C$33,MATCH(H1749,'מיפוי ומקורות'!$B$7:$B$33,0)),"לא מסווג")</x:f>
        <x:v>דיור – בית מגורים</x:v>
      </x:c>
      <x:c r="J1749" s="19" t="str">
        <x:f>IFERROR(INDEX('מיפוי ומקורות'!$D$7:$D$33,MATCH(H1749,'מיפוי ומקורות'!$B$7:$B$33,0)),"שוטף")</x:f>
        <x:v>שוטף</x:v>
      </x:c>
      <x:c r="K1749" s="19" t="str">
        <x:f>IF(OR(H1749="ריביות",AND(H1749="דירה כצנלסון",G1749&lt;0,ISNUMBER(SEARCH("הכנסה",F1749)))),"הכנסה שסווגה מחדש",J1749)</x:f>
        <x:v>שוטף</x:v>
      </x:c>
      <x:c r="L1749" s="19" t="str">
        <x:v>מאושר</x:v>
      </x:c>
      <x:c r="M1749" s="20" t="n">
        <x:f>IF(L1749="מאושר",IF(K1749="הכנסה שסווגה מחדש",0,G1749),0)</x:f>
        <x:v>0</x:v>
      </x:c>
      <x:c r="N1749" s="20" t="n">
        <x:f>IF(K1749="שוטף",M1749,0)</x:f>
        <x:v>0</x:v>
      </x:c>
      <x:c r="O1749" s="20" t="n">
        <x:f>IF(K1749="הכנסה שסווגה מחדש",-G1749,0)</x:f>
        <x:v>0</x:v>
      </x:c>
      <x:c r="P1749" s="11" t="str"/>
      <x:c r="Q1749" s="11" t="str"/>
      <x:c r="R1749" s="11" t="str">
        <x:v>לא</x:v>
      </x:c>
    </x:row>
    <x:row r="1750">
      <x:c r="A1750" s="14" t="n">
        <x:v>46204</x:v>
      </x:c>
      <x:c r="B1750" s="11" t="str">
        <x:v>2026-07</x:v>
      </x:c>
      <x:c r="C1750" s="11" t="str">
        <x:v>יולי 26</x:v>
      </x:c>
      <x:c r="D1750" s="15" t="n">
        <x:v>5</x:v>
      </x:c>
      <x:c r="E1750" s="11" t="str">
        <x:v>2.07</x:v>
      </x:c>
      <x:c r="F1750" s="11" t="str">
        <x:v>חשמל</x:v>
      </x:c>
      <x:c r="G1750" s="17" t="n">
        <x:v>197</x:v>
      </x:c>
      <x:c r="H1750" s="18" t="str">
        <x:v>מגורים</x:v>
      </x:c>
      <x:c r="I1750" s="19" t="str">
        <x:f>IFERROR(INDEX('מיפוי ומקורות'!$C$7:$C$33,MATCH(H1750,'מיפוי ומקורות'!$B$7:$B$33,0)),"לא מסווג")</x:f>
        <x:v>דיור – בית מגורים</x:v>
      </x:c>
      <x:c r="J1750" s="19" t="str">
        <x:f>IFERROR(INDEX('מיפוי ומקורות'!$D$7:$D$33,MATCH(H1750,'מיפוי ומקורות'!$B$7:$B$33,0)),"שוטף")</x:f>
        <x:v>שוטף</x:v>
      </x:c>
      <x:c r="K1750" s="19" t="str">
        <x:f>IF(OR(H1750="ריביות",AND(H1750="דירה כצנלסון",G1750&lt;0,ISNUMBER(SEARCH("הכנסה",F1750)))),"הכנסה שסווגה מחדש",J1750)</x:f>
        <x:v>שוטף</x:v>
      </x:c>
      <x:c r="L1750" s="19" t="str">
        <x:v>מאושר</x:v>
      </x:c>
      <x:c r="M1750" s="20" t="n">
        <x:f>IF(L1750="מאושר",IF(K1750="הכנסה שסווגה מחדש",0,G1750),0)</x:f>
        <x:v>197</x:v>
      </x:c>
      <x:c r="N1750" s="20" t="n">
        <x:f>IF(K1750="שוטף",M1750,0)</x:f>
        <x:v>197</x:v>
      </x:c>
      <x:c r="O1750" s="20" t="n">
        <x:f>IF(K1750="הכנסה שסווגה מחדש",-G1750,0)</x:f>
        <x:v>0</x:v>
      </x:c>
      <x:c r="P1750" s="11" t="str">
        <x:v>אמקס - זיו</x:v>
      </x:c>
      <x:c r="Q1750" s="11" t="str"/>
      <x:c r="R1750" s="11" t="str">
        <x:v>לא</x:v>
      </x:c>
    </x:row>
    <x:row r="1751">
      <x:c r="A1751" s="14" t="n">
        <x:v>46204</x:v>
      </x:c>
      <x:c r="B1751" s="11" t="str">
        <x:v>2026-07</x:v>
      </x:c>
      <x:c r="C1751" s="11" t="str">
        <x:v>יולי 26</x:v>
      </x:c>
      <x:c r="D1751" s="15" t="n">
        <x:v>6</x:v>
      </x:c>
      <x:c r="E1751" s="11" t="str">
        <x:v>5/7</x:v>
      </x:c>
      <x:c r="F1751" s="11" t="str">
        <x:v>מים</x:v>
      </x:c>
      <x:c r="G1751" s="17" t="n">
        <x:v>166</x:v>
      </x:c>
      <x:c r="H1751" s="18" t="str">
        <x:v>מגורים</x:v>
      </x:c>
      <x:c r="I1751" s="19" t="str">
        <x:f>IFERROR(INDEX('מיפוי ומקורות'!$C$7:$C$33,MATCH(H1751,'מיפוי ומקורות'!$B$7:$B$33,0)),"לא מסווג")</x:f>
        <x:v>דיור – בית מגורים</x:v>
      </x:c>
      <x:c r="J1751" s="19" t="str">
        <x:f>IFERROR(INDEX('מיפוי ומקורות'!$D$7:$D$33,MATCH(H1751,'מיפוי ומקורות'!$B$7:$B$33,0)),"שוטף")</x:f>
        <x:v>שוטף</x:v>
      </x:c>
      <x:c r="K1751" s="19" t="str">
        <x:f>IF(OR(H1751="ריביות",AND(H1751="דירה כצנלסון",G1751&lt;0,ISNUMBER(SEARCH("הכנסה",F1751)))),"הכנסה שסווגה מחדש",J1751)</x:f>
        <x:v>שוטף</x:v>
      </x:c>
      <x:c r="L1751" s="19" t="str">
        <x:v>מאושר</x:v>
      </x:c>
      <x:c r="M1751" s="20" t="n">
        <x:f>IF(L1751="מאושר",IF(K1751="הכנסה שסווגה מחדש",0,G1751),0)</x:f>
        <x:v>166</x:v>
      </x:c>
      <x:c r="N1751" s="20" t="n">
        <x:f>IF(K1751="שוטף",M1751,0)</x:f>
        <x:v>166</x:v>
      </x:c>
      <x:c r="O1751" s="20" t="n">
        <x:f>IF(K1751="הכנסה שסווגה מחדש",-G1751,0)</x:f>
        <x:v>0</x:v>
      </x:c>
      <x:c r="P1751" s="11" t="str">
        <x:v>מקס - עינור</x:v>
      </x:c>
      <x:c r="Q1751" s="11" t="str"/>
      <x:c r="R1751" s="11" t="str">
        <x:v>לא</x:v>
      </x:c>
    </x:row>
    <x:row r="1752">
      <x:c r="A1752" s="14" t="n">
        <x:v>46204</x:v>
      </x:c>
      <x:c r="B1752" s="11" t="str">
        <x:v>2026-07</x:v>
      </x:c>
      <x:c r="C1752" s="11" t="str">
        <x:v>יולי 26</x:v>
      </x:c>
      <x:c r="D1752" s="15" t="n">
        <x:v>7</x:v>
      </x:c>
      <x:c r="E1752" s="11" t="str">
        <x:v>7.07</x:v>
      </x:c>
      <x:c r="F1752" s="11" t="str">
        <x:v>גז</x:v>
      </x:c>
      <x:c r="G1752" s="17" t="n">
        <x:v>36</x:v>
      </x:c>
      <x:c r="H1752" s="18" t="str">
        <x:v>מגורים</x:v>
      </x:c>
      <x:c r="I1752" s="19" t="str">
        <x:f>IFERROR(INDEX('מיפוי ומקורות'!$C$7:$C$33,MATCH(H1752,'מיפוי ומקורות'!$B$7:$B$33,0)),"לא מסווג")</x:f>
        <x:v>דיור – בית מגורים</x:v>
      </x:c>
      <x:c r="J1752" s="19" t="str">
        <x:f>IFERROR(INDEX('מיפוי ומקורות'!$D$7:$D$33,MATCH(H1752,'מיפוי ומקורות'!$B$7:$B$33,0)),"שוטף")</x:f>
        <x:v>שוטף</x:v>
      </x:c>
      <x:c r="K1752" s="19" t="str">
        <x:f>IF(OR(H1752="ריביות",AND(H1752="דירה כצנלסון",G1752&lt;0,ISNUMBER(SEARCH("הכנסה",F1752)))),"הכנסה שסווגה מחדש",J1752)</x:f>
        <x:v>שוטף</x:v>
      </x:c>
      <x:c r="L1752" s="19" t="str">
        <x:v>מאושר</x:v>
      </x:c>
      <x:c r="M1752" s="20" t="n">
        <x:f>IF(L1752="מאושר",IF(K1752="הכנסה שסווגה מחדש",0,G1752),0)</x:f>
        <x:v>36</x:v>
      </x:c>
      <x:c r="N1752" s="20" t="n">
        <x:f>IF(K1752="שוטף",M1752,0)</x:f>
        <x:v>36</x:v>
      </x:c>
      <x:c r="O1752" s="20" t="n">
        <x:f>IF(K1752="הכנסה שסווגה מחדש",-G1752,0)</x:f>
        <x:v>0</x:v>
      </x:c>
      <x:c r="P1752" s="11" t="str">
        <x:v>אמקס - זיו</x:v>
      </x:c>
      <x:c r="Q1752" s="11" t="str"/>
      <x:c r="R1752" s="11" t="str">
        <x:v>לא</x:v>
      </x:c>
    </x:row>
    <x:row r="1753">
      <x:c r="A1753" s="14" t="n">
        <x:v>46204</x:v>
      </x:c>
      <x:c r="B1753" s="11" t="str">
        <x:v>2026-07</x:v>
      </x:c>
      <x:c r="C1753" s="11" t="str">
        <x:v>יולי 26</x:v>
      </x:c>
      <x:c r="D1753" s="15" t="n">
        <x:v>8</x:v>
      </x:c>
      <x:c r="E1753" s="11" t="str"/>
      <x:c r="F1753" s="11" t="str">
        <x:v>ועד בית</x:v>
      </x:c>
      <x:c r="G1753" s="17" t="n">
        <x:v>600</x:v>
      </x:c>
      <x:c r="H1753" s="18" t="str">
        <x:v>מגורים</x:v>
      </x:c>
      <x:c r="I1753" s="19" t="str">
        <x:f>IFERROR(INDEX('מיפוי ומקורות'!$C$7:$C$33,MATCH(H1753,'מיפוי ומקורות'!$B$7:$B$33,0)),"לא מסווג")</x:f>
        <x:v>דיור – בית מגורים</x:v>
      </x:c>
      <x:c r="J1753" s="19" t="str">
        <x:f>IFERROR(INDEX('מיפוי ומקורות'!$D$7:$D$33,MATCH(H1753,'מיפוי ומקורות'!$B$7:$B$33,0)),"שוטף")</x:f>
        <x:v>שוטף</x:v>
      </x:c>
      <x:c r="K1753" s="19" t="str">
        <x:f>IF(OR(H1753="ריביות",AND(H1753="דירה כצנלסון",G1753&lt;0,ISNUMBER(SEARCH("הכנסה",F1753)))),"הכנסה שסווגה מחדש",J1753)</x:f>
        <x:v>שוטף</x:v>
      </x:c>
      <x:c r="L1753" s="19" t="str">
        <x:v>מאושר</x:v>
      </x:c>
      <x:c r="M1753" s="20" t="n">
        <x:f>IF(L1753="מאושר",IF(K1753="הכנסה שסווגה מחדש",0,G1753),0)</x:f>
        <x:v>600</x:v>
      </x:c>
      <x:c r="N1753" s="20" t="n">
        <x:f>IF(K1753="שוטף",M1753,0)</x:f>
        <x:v>600</x:v>
      </x:c>
      <x:c r="O1753" s="20" t="n">
        <x:f>IF(K1753="הכנסה שסווגה מחדש",-G1753,0)</x:f>
        <x:v>0</x:v>
      </x:c>
      <x:c r="P1753" s="11" t="str">
        <x:v>מזומן</x:v>
      </x:c>
      <x:c r="Q1753" s="11" t="str"/>
      <x:c r="R1753" s="11" t="str">
        <x:v>לא</x:v>
      </x:c>
    </x:row>
    <x:row r="1754">
      <x:c r="A1754" s="14" t="n">
        <x:v>46204</x:v>
      </x:c>
      <x:c r="B1754" s="11" t="str">
        <x:v>2026-07</x:v>
      </x:c>
      <x:c r="C1754" s="11" t="str">
        <x:v>יולי 26</x:v>
      </x:c>
      <x:c r="D1754" s="15" t="n">
        <x:v>9</x:v>
      </x:c>
      <x:c r="E1754" s="11" t="str"/>
      <x:c r="F1754" s="11" t="str">
        <x:v>מנקה</x:v>
      </x:c>
      <x:c r="G1754" s="17" t="n">
        <x:v>1000</x:v>
      </x:c>
      <x:c r="H1754" s="18" t="str">
        <x:v>מגורים</x:v>
      </x:c>
      <x:c r="I1754" s="19" t="str">
        <x:f>IFERROR(INDEX('מיפוי ומקורות'!$C$7:$C$33,MATCH(H1754,'מיפוי ומקורות'!$B$7:$B$33,0)),"לא מסווג")</x:f>
        <x:v>דיור – בית מגורים</x:v>
      </x:c>
      <x:c r="J1754" s="19" t="str">
        <x:f>IFERROR(INDEX('מיפוי ומקורות'!$D$7:$D$33,MATCH(H1754,'מיפוי ומקורות'!$B$7:$B$33,0)),"שוטף")</x:f>
        <x:v>שוטף</x:v>
      </x:c>
      <x:c r="K1754" s="19" t="str">
        <x:f>IF(OR(H1754="ריביות",AND(H1754="דירה כצנלסון",G1754&lt;0,ISNUMBER(SEARCH("הכנסה",F1754)))),"הכנסה שסווגה מחדש",J1754)</x:f>
        <x:v>שוטף</x:v>
      </x:c>
      <x:c r="L1754" s="19" t="str">
        <x:v>מאושר</x:v>
      </x:c>
      <x:c r="M1754" s="20" t="n">
        <x:f>IF(L1754="מאושר",IF(K1754="הכנסה שסווגה מחדש",0,G1754),0)</x:f>
        <x:v>1000</x:v>
      </x:c>
      <x:c r="N1754" s="20" t="n">
        <x:f>IF(K1754="שוטף",M1754,0)</x:f>
        <x:v>1000</x:v>
      </x:c>
      <x:c r="O1754" s="20" t="n">
        <x:f>IF(K1754="הכנסה שסווגה מחדש",-G1754,0)</x:f>
        <x:v>0</x:v>
      </x:c>
      <x:c r="P1754" s="11" t="str">
        <x:v>מזומן</x:v>
      </x:c>
      <x:c r="Q1754" s="11" t="str"/>
      <x:c r="R1754" s="11" t="str">
        <x:v>לא</x:v>
      </x:c>
    </x:row>
    <x:row r="1755">
      <x:c r="A1755" s="14" t="n">
        <x:v>46204</x:v>
      </x:c>
      <x:c r="B1755" s="11" t="str">
        <x:v>2026-07</x:v>
      </x:c>
      <x:c r="C1755" s="11" t="str">
        <x:v>יולי 26</x:v>
      </x:c>
      <x:c r="D1755" s="15" t="n">
        <x:v>10</x:v>
      </x:c>
      <x:c r="E1755" s="11" t="str">
        <x:v>26.07</x:v>
      </x:c>
      <x:c r="F1755" s="11" t="str">
        <x:v>אינטרנט</x:v>
      </x:c>
      <x:c r="G1755" s="17" t="n">
        <x:v>79</x:v>
      </x:c>
      <x:c r="H1755" s="18" t="str">
        <x:v>מגורים</x:v>
      </x:c>
      <x:c r="I1755" s="19" t="str">
        <x:f>IFERROR(INDEX('מיפוי ומקורות'!$C$7:$C$33,MATCH(H1755,'מיפוי ומקורות'!$B$7:$B$33,0)),"לא מסווג")</x:f>
        <x:v>דיור – בית מגורים</x:v>
      </x:c>
      <x:c r="J1755" s="19" t="str">
        <x:f>IFERROR(INDEX('מיפוי ומקורות'!$D$7:$D$33,MATCH(H1755,'מיפוי ומקורות'!$B$7:$B$33,0)),"שוטף")</x:f>
        <x:v>שוטף</x:v>
      </x:c>
      <x:c r="K1755" s="19" t="str">
        <x:f>IF(OR(H1755="ריביות",AND(H1755="דירה כצנלסון",G1755&lt;0,ISNUMBER(SEARCH("הכנסה",F1755)))),"הכנסה שסווגה מחדש",J1755)</x:f>
        <x:v>שוטף</x:v>
      </x:c>
      <x:c r="L1755" s="19" t="str">
        <x:v>מאושר</x:v>
      </x:c>
      <x:c r="M1755" s="20" t="n">
        <x:f>IF(L1755="מאושר",IF(K1755="הכנסה שסווגה מחדש",0,G1755),0)</x:f>
        <x:v>79</x:v>
      </x:c>
      <x:c r="N1755" s="20" t="n">
        <x:f>IF(K1755="שוטף",M1755,0)</x:f>
        <x:v>79</x:v>
      </x:c>
      <x:c r="O1755" s="20" t="n">
        <x:f>IF(K1755="הכנסה שסווגה מחדש",-G1755,0)</x:f>
        <x:v>0</x:v>
      </x:c>
      <x:c r="P1755" s="11" t="str">
        <x:v>אמקס - זיו</x:v>
      </x:c>
      <x:c r="Q1755" s="11" t="str"/>
      <x:c r="R1755" s="11" t="str">
        <x:v>לא</x:v>
      </x:c>
    </x:row>
    <x:row r="1756">
      <x:c r="A1756" s="14" t="n">
        <x:v>46204</x:v>
      </x:c>
      <x:c r="B1756" s="11" t="str">
        <x:v>2026-07</x:v>
      </x:c>
      <x:c r="C1756" s="11" t="str">
        <x:v>יולי 26</x:v>
      </x:c>
      <x:c r="D1756" s="15" t="n">
        <x:v>11</x:v>
      </x:c>
      <x:c r="E1756" s="11" t="str">
        <x:v>12.07</x:v>
      </x:c>
      <x:c r="F1756" s="11" t="str">
        <x:v>סלולר</x:v>
      </x:c>
      <x:c r="G1756" s="17" t="n">
        <x:v>59</x:v>
      </x:c>
      <x:c r="H1756" s="18" t="str">
        <x:v>מגורים</x:v>
      </x:c>
      <x:c r="I1756" s="19" t="str">
        <x:f>IFERROR(INDEX('מיפוי ומקורות'!$C$7:$C$33,MATCH(H1756,'מיפוי ומקורות'!$B$7:$B$33,0)),"לא מסווג")</x:f>
        <x:v>דיור – בית מגורים</x:v>
      </x:c>
      <x:c r="J1756" s="19" t="str">
        <x:f>IFERROR(INDEX('מיפוי ומקורות'!$D$7:$D$33,MATCH(H1756,'מיפוי ומקורות'!$B$7:$B$33,0)),"שוטף")</x:f>
        <x:v>שוטף</x:v>
      </x:c>
      <x:c r="K1756" s="19" t="str">
        <x:f>IF(OR(H1756="ריביות",AND(H1756="דירה כצנלסון",G1756&lt;0,ISNUMBER(SEARCH("הכנסה",F1756)))),"הכנסה שסווגה מחדש",J1756)</x:f>
        <x:v>שוטף</x:v>
      </x:c>
      <x:c r="L1756" s="19" t="str">
        <x:v>מאושר</x:v>
      </x:c>
      <x:c r="M1756" s="20" t="n">
        <x:f>IF(L1756="מאושר",IF(K1756="הכנסה שסווגה מחדש",0,G1756),0)</x:f>
        <x:v>59</x:v>
      </x:c>
      <x:c r="N1756" s="20" t="n">
        <x:f>IF(K1756="שוטף",M1756,0)</x:f>
        <x:v>59</x:v>
      </x:c>
      <x:c r="O1756" s="20" t="n">
        <x:f>IF(K1756="הכנסה שסווגה מחדש",-G1756,0)</x:f>
        <x:v>0</x:v>
      </x:c>
      <x:c r="P1756" s="11" t="str">
        <x:v>אמקס - זיו</x:v>
      </x:c>
      <x:c r="Q1756" s="11" t="str"/>
      <x:c r="R1756" s="11" t="str">
        <x:v>לא</x:v>
      </x:c>
    </x:row>
    <x:row r="1757">
      <x:c r="A1757" s="14" t="n">
        <x:v>46204</x:v>
      </x:c>
      <x:c r="B1757" s="11" t="str">
        <x:v>2026-07</x:v>
      </x:c>
      <x:c r="C1757" s="11" t="str">
        <x:v>יולי 26</x:v>
      </x:c>
      <x:c r="D1757" s="15" t="n">
        <x:v>12</x:v>
      </x:c>
      <x:c r="E1757" s="11" t="str">
        <x:v>27.07</x:v>
      </x:c>
      <x:c r="F1757" s="11" t="str">
        <x:v>ביטוח מבנה</x:v>
      </x:c>
      <x:c r="G1757" s="17" t="n">
        <x:v>71</x:v>
      </x:c>
      <x:c r="H1757" s="18" t="str">
        <x:v>דירה כצנלסון</x:v>
      </x:c>
      <x:c r="I1757" s="19" t="str">
        <x:f>IFERROR(INDEX('מיפוי ומקורות'!$C$7:$C$33,MATCH(H1757,'מיפוי ומקורות'!$B$7:$B$33,0)),"לא מסווג")</x:f>
        <x:v>נכס להשקעה</x:v>
      </x:c>
      <x:c r="J1757" s="19" t="str">
        <x:f>IFERROR(INDEX('מיפוי ומקורות'!$D$7:$D$33,MATCH(H1757,'מיפוי ומקורות'!$B$7:$B$33,0)),"שוטף")</x:f>
        <x:v>חריג/נכס</x:v>
      </x:c>
      <x:c r="K1757" s="19" t="str">
        <x:f>IF(OR(H1757="ריביות",AND(H1757="דירה כצנלסון",G1757&lt;0,ISNUMBER(SEARCH("הכנסה",F1757)))),"הכנסה שסווגה מחדש",J1757)</x:f>
        <x:v>חריג/נכס</x:v>
      </x:c>
      <x:c r="L1757" s="19" t="str">
        <x:v>מאושר</x:v>
      </x:c>
      <x:c r="M1757" s="20" t="n">
        <x:f>IF(L1757="מאושר",IF(K1757="הכנסה שסווגה מחדש",0,G1757),0)</x:f>
        <x:v>71</x:v>
      </x:c>
      <x:c r="N1757" s="20" t="n">
        <x:f>IF(K1757="שוטף",M1757,0)</x:f>
        <x:v>0</x:v>
      </x:c>
      <x:c r="O1757" s="20" t="n">
        <x:f>IF(K1757="הכנסה שסווגה מחדש",-G1757,0)</x:f>
        <x:v>0</x:v>
      </x:c>
      <x:c r="P1757" s="11" t="str">
        <x:v>אמקס - זיו</x:v>
      </x:c>
      <x:c r="Q1757" s="11" t="str"/>
      <x:c r="R1757" s="11" t="str">
        <x:v>לא</x:v>
      </x:c>
    </x:row>
    <x:row r="1758">
      <x:c r="A1758" s="14" t="n">
        <x:v>46204</x:v>
      </x:c>
      <x:c r="B1758" s="11" t="str">
        <x:v>2026-07</x:v>
      </x:c>
      <x:c r="C1758" s="11" t="str">
        <x:v>יולי 26</x:v>
      </x:c>
      <x:c r="D1758" s="15" t="n">
        <x:v>13</x:v>
      </x:c>
      <x:c r="E1758" s="11" t="str">
        <x:v>29.07</x:v>
      </x:c>
      <x:c r="F1758" s="11" t="str">
        <x:v>ביטוח חיים</x:v>
      </x:c>
      <x:c r="G1758" s="17" t="n">
        <x:v>36</x:v>
      </x:c>
      <x:c r="H1758" s="18" t="str">
        <x:v>דירה כצנלסון</x:v>
      </x:c>
      <x:c r="I1758" s="19" t="str">
        <x:f>IFERROR(INDEX('מיפוי ומקורות'!$C$7:$C$33,MATCH(H1758,'מיפוי ומקורות'!$B$7:$B$33,0)),"לא מסווג")</x:f>
        <x:v>נכס להשקעה</x:v>
      </x:c>
      <x:c r="J1758" s="19" t="str">
        <x:f>IFERROR(INDEX('מיפוי ומקורות'!$D$7:$D$33,MATCH(H1758,'מיפוי ומקורות'!$B$7:$B$33,0)),"שוטף")</x:f>
        <x:v>חריג/נכס</x:v>
      </x:c>
      <x:c r="K1758" s="19" t="str">
        <x:f>IF(OR(H1758="ריביות",AND(H1758="דירה כצנלסון",G1758&lt;0,ISNUMBER(SEARCH("הכנסה",F1758)))),"הכנסה שסווגה מחדש",J1758)</x:f>
        <x:v>חריג/נכס</x:v>
      </x:c>
      <x:c r="L1758" s="19" t="str">
        <x:v>מאושר</x:v>
      </x:c>
      <x:c r="M1758" s="20" t="n">
        <x:f>IF(L1758="מאושר",IF(K1758="הכנסה שסווגה מחדש",0,G1758),0)</x:f>
        <x:v>36</x:v>
      </x:c>
      <x:c r="N1758" s="20" t="n">
        <x:f>IF(K1758="שוטף",M1758,0)</x:f>
        <x:v>0</x:v>
      </x:c>
      <x:c r="O1758" s="20" t="n">
        <x:f>IF(K1758="הכנסה שסווגה מחדש",-G1758,0)</x:f>
        <x:v>0</x:v>
      </x:c>
      <x:c r="P1758" s="11" t="str">
        <x:v>אמקס - זיו</x:v>
      </x:c>
      <x:c r="Q1758" s="11" t="str"/>
      <x:c r="R1758" s="11" t="str">
        <x:v>לא</x:v>
      </x:c>
    </x:row>
    <x:row r="1759">
      <x:c r="A1759" s="14" t="n">
        <x:v>46204</x:v>
      </x:c>
      <x:c r="B1759" s="11" t="str">
        <x:v>2026-07</x:v>
      </x:c>
      <x:c r="C1759" s="11" t="str">
        <x:v>יולי 26</x:v>
      </x:c>
      <x:c r="D1759" s="15" t="n">
        <x:v>14</x:v>
      </x:c>
      <x:c r="E1759" s="11" t="str">
        <x:v>26.07</x:v>
      </x:c>
      <x:c r="F1759" s="11" t="str">
        <x:v>ביטוח בריאות</x:v>
      </x:c>
      <x:c r="G1759" s="17" t="n">
        <x:v>117</x:v>
      </x:c>
      <x:c r="H1759" s="18" t="str">
        <x:v>ביטוח</x:v>
      </x:c>
      <x:c r="I1759" s="19" t="str">
        <x:f>IFERROR(INDEX('מיפוי ומקורות'!$C$7:$C$33,MATCH(H1759,'מיפוי ומקורות'!$B$7:$B$33,0)),"לא מסווג")</x:f>
        <x:v>ביטוח</x:v>
      </x:c>
      <x:c r="J1759" s="19" t="str">
        <x:f>IFERROR(INDEX('מיפוי ומקורות'!$D$7:$D$33,MATCH(H1759,'מיפוי ומקורות'!$B$7:$B$33,0)),"שוטף")</x:f>
        <x:v>שוטף</x:v>
      </x:c>
      <x:c r="K1759" s="19" t="str">
        <x:f>IF(OR(H1759="ריביות",AND(H1759="דירה כצנלסון",G1759&lt;0,ISNUMBER(SEARCH("הכנסה",F1759)))),"הכנסה שסווגה מחדש",J1759)</x:f>
        <x:v>שוטף</x:v>
      </x:c>
      <x:c r="L1759" s="19" t="str">
        <x:v>מאושר</x:v>
      </x:c>
      <x:c r="M1759" s="20" t="n">
        <x:f>IF(L1759="מאושר",IF(K1759="הכנסה שסווגה מחדש",0,G1759),0)</x:f>
        <x:v>117</x:v>
      </x:c>
      <x:c r="N1759" s="20" t="n">
        <x:f>IF(K1759="שוטף",M1759,0)</x:f>
        <x:v>117</x:v>
      </x:c>
      <x:c r="O1759" s="20" t="n">
        <x:f>IF(K1759="הכנסה שסווגה מחדש",-G1759,0)</x:f>
        <x:v>0</x:v>
      </x:c>
      <x:c r="P1759" s="11" t="str">
        <x:v>אמקס - עינור</x:v>
      </x:c>
      <x:c r="Q1759" s="11" t="str"/>
      <x:c r="R1759" s="11" t="str">
        <x:v>לא</x:v>
      </x:c>
    </x:row>
    <x:row r="1760">
      <x:c r="A1760" s="14" t="n">
        <x:v>46204</x:v>
      </x:c>
      <x:c r="B1760" s="11" t="str">
        <x:v>2026-07</x:v>
      </x:c>
      <x:c r="C1760" s="11" t="str">
        <x:v>יולי 26</x:v>
      </x:c>
      <x:c r="D1760" s="15" t="n">
        <x:v>15</x:v>
      </x:c>
      <x:c r="E1760" s="11" t="str">
        <x:v>2.07</x:v>
      </x:c>
      <x:c r="F1760" s="11" t="str">
        <x:v>מכבי עינור</x:v>
      </x:c>
      <x:c r="G1760" s="17" t="n">
        <x:v>131</x:v>
      </x:c>
      <x:c r="H1760" s="18" t="str">
        <x:v>בריאות</x:v>
      </x:c>
      <x:c r="I1760" s="19" t="str">
        <x:f>IFERROR(INDEX('מיפוי ומקורות'!$C$7:$C$33,MATCH(H1760,'מיפוי ומקורות'!$B$7:$B$33,0)),"לא מסווג")</x:f>
        <x:v>בריאות וטיפולים</x:v>
      </x:c>
      <x:c r="J1760" s="19" t="str">
        <x:f>IFERROR(INDEX('מיפוי ומקורות'!$D$7:$D$33,MATCH(H1760,'מיפוי ומקורות'!$B$7:$B$33,0)),"שוטף")</x:f>
        <x:v>שוטף</x:v>
      </x:c>
      <x:c r="K1760" s="19" t="str">
        <x:f>IF(OR(H1760="ריביות",AND(H1760="דירה כצנלסון",G1760&lt;0,ISNUMBER(SEARCH("הכנסה",F1760)))),"הכנסה שסווגה מחדש",J1760)</x:f>
        <x:v>שוטף</x:v>
      </x:c>
      <x:c r="L1760" s="19" t="str">
        <x:v>מאושר</x:v>
      </x:c>
      <x:c r="M1760" s="20" t="n">
        <x:f>IF(L1760="מאושר",IF(K1760="הכנסה שסווגה מחדש",0,G1760),0)</x:f>
        <x:v>131</x:v>
      </x:c>
      <x:c r="N1760" s="20" t="n">
        <x:f>IF(K1760="שוטף",M1760,0)</x:f>
        <x:v>131</x:v>
      </x:c>
      <x:c r="O1760" s="20" t="n">
        <x:f>IF(K1760="הכנסה שסווגה מחדש",-G1760,0)</x:f>
        <x:v>0</x:v>
      </x:c>
      <x:c r="P1760" s="11" t="str">
        <x:v>אמקס - עינור</x:v>
      </x:c>
      <x:c r="Q1760" s="11" t="str"/>
      <x:c r="R1760" s="11" t="str">
        <x:v>לא</x:v>
      </x:c>
    </x:row>
    <x:row r="1761">
      <x:c r="A1761" s="14" t="n">
        <x:v>46204</x:v>
      </x:c>
      <x:c r="B1761" s="11" t="str">
        <x:v>2026-07</x:v>
      </x:c>
      <x:c r="C1761" s="11" t="str">
        <x:v>יולי 26</x:v>
      </x:c>
      <x:c r="D1761" s="15" t="n">
        <x:v>16</x:v>
      </x:c>
      <x:c r="E1761" s="11" t="str">
        <x:v>2.07</x:v>
      </x:c>
      <x:c r="F1761" s="11" t="str">
        <x:v>מכבי זיו</x:v>
      </x:c>
      <x:c r="G1761" s="17" t="n">
        <x:v>57</x:v>
      </x:c>
      <x:c r="H1761" s="18" t="str">
        <x:v>בריאות</x:v>
      </x:c>
      <x:c r="I1761" s="19" t="str">
        <x:f>IFERROR(INDEX('מיפוי ומקורות'!$C$7:$C$33,MATCH(H1761,'מיפוי ומקורות'!$B$7:$B$33,0)),"לא מסווג")</x:f>
        <x:v>בריאות וטיפולים</x:v>
      </x:c>
      <x:c r="J1761" s="19" t="str">
        <x:f>IFERROR(INDEX('מיפוי ומקורות'!$D$7:$D$33,MATCH(H1761,'מיפוי ומקורות'!$B$7:$B$33,0)),"שוטף")</x:f>
        <x:v>שוטף</x:v>
      </x:c>
      <x:c r="K1761" s="19" t="str">
        <x:f>IF(OR(H1761="ריביות",AND(H1761="דירה כצנלסון",G1761&lt;0,ISNUMBER(SEARCH("הכנסה",F1761)))),"הכנסה שסווגה מחדש",J1761)</x:f>
        <x:v>שוטף</x:v>
      </x:c>
      <x:c r="L1761" s="19" t="str">
        <x:v>מאושר</x:v>
      </x:c>
      <x:c r="M1761" s="20" t="n">
        <x:f>IF(L1761="מאושר",IF(K1761="הכנסה שסווגה מחדש",0,G1761),0)</x:f>
        <x:v>57</x:v>
      </x:c>
      <x:c r="N1761" s="20" t="n">
        <x:f>IF(K1761="שוטף",M1761,0)</x:f>
        <x:v>57</x:v>
      </x:c>
      <x:c r="O1761" s="20" t="n">
        <x:f>IF(K1761="הכנסה שסווגה מחדש",-G1761,0)</x:f>
        <x:v>0</x:v>
      </x:c>
      <x:c r="P1761" s="11" t="str">
        <x:v>אמקס - זיו</x:v>
      </x:c>
      <x:c r="Q1761" s="11" t="str"/>
      <x:c r="R1761" s="11" t="str">
        <x:v>לא</x:v>
      </x:c>
    </x:row>
    <x:row r="1762">
      <x:c r="A1762" s="14" t="n">
        <x:v>46204</x:v>
      </x:c>
      <x:c r="B1762" s="11" t="str">
        <x:v>2026-07</x:v>
      </x:c>
      <x:c r="C1762" s="11" t="str">
        <x:v>יולי 26</x:v>
      </x:c>
      <x:c r="D1762" s="15" t="n">
        <x:v>17</x:v>
      </x:c>
      <x:c r="E1762" s="11" t="str">
        <x:v>15.01</x:v>
      </x:c>
      <x:c r="F1762" s="11" t="str">
        <x:v>קאנטרי</x:v>
      </x:c>
      <x:c r="G1762" s="17" t="n">
        <x:v>632</x:v>
      </x:c>
      <x:c r="H1762" s="18" t="str">
        <x:v>ספורט</x:v>
      </x:c>
      <x:c r="I1762" s="19" t="str">
        <x:f>IFERROR(INDEX('מיפוי ומקורות'!$C$7:$C$33,MATCH(H1762,'מיפוי ומקורות'!$B$7:$B$33,0)),"לא מסווג")</x:f>
        <x:v>ספורט</x:v>
      </x:c>
      <x:c r="J1762" s="19" t="str">
        <x:f>IFERROR(INDEX('מיפוי ומקורות'!$D$7:$D$33,MATCH(H1762,'מיפוי ומקורות'!$B$7:$B$33,0)),"שוטף")</x:f>
        <x:v>שוטף</x:v>
      </x:c>
      <x:c r="K1762" s="19" t="str">
        <x:f>IF(OR(H1762="ריביות",AND(H1762="דירה כצנלסון",G1762&lt;0,ISNUMBER(SEARCH("הכנסה",F1762)))),"הכנסה שסווגה מחדש",J1762)</x:f>
        <x:v>שוטף</x:v>
      </x:c>
      <x:c r="L1762" s="19" t="str">
        <x:v>מאושר</x:v>
      </x:c>
      <x:c r="M1762" s="20" t="n">
        <x:f>IF(L1762="מאושר",IF(K1762="הכנסה שסווגה מחדש",0,G1762),0)</x:f>
        <x:v>632</x:v>
      </x:c>
      <x:c r="N1762" s="20" t="n">
        <x:f>IF(K1762="שוטף",M1762,0)</x:f>
        <x:v>632</x:v>
      </x:c>
      <x:c r="O1762" s="20" t="n">
        <x:f>IF(K1762="הכנסה שסווגה מחדש",-G1762,0)</x:f>
        <x:v>0</x:v>
      </x:c>
      <x:c r="P1762" s="11" t="str">
        <x:v>אמקס - זיו</x:v>
      </x:c>
      <x:c r="Q1762" s="11" t="str"/>
      <x:c r="R1762" s="11" t="str">
        <x:v>לא</x:v>
      </x:c>
    </x:row>
    <x:row r="1763">
      <x:c r="A1763" s="14" t="n">
        <x:v>46204</x:v>
      </x:c>
      <x:c r="B1763" s="11" t="str">
        <x:v>2026-07</x:v>
      </x:c>
      <x:c r="C1763" s="11" t="str">
        <x:v>יולי 26</x:v>
      </x:c>
      <x:c r="D1763" s="15" t="n">
        <x:v>18</x:v>
      </x:c>
      <x:c r="E1763" s="11" t="str">
        <x:v>26.01</x:v>
      </x:c>
      <x:c r="F1763" s="11" t="str">
        <x:v>ביטוח רכב חובה</x:v>
      </x:c>
      <x:c r="G1763" s="17" t="n">
        <x:v>130</x:v>
      </x:c>
      <x:c r="H1763" s="18" t="str">
        <x:v>תחבורה</x:v>
      </x:c>
      <x:c r="I1763" s="19" t="str">
        <x:f>IFERROR(INDEX('מיפוי ומקורות'!$C$7:$C$33,MATCH(H1763,'מיפוי ומקורות'!$B$7:$B$33,0)),"לא מסווג")</x:f>
        <x:v>תחבורה</x:v>
      </x:c>
      <x:c r="J1763" s="19" t="str">
        <x:f>IFERROR(INDEX('מיפוי ומקורות'!$D$7:$D$33,MATCH(H1763,'מיפוי ומקורות'!$B$7:$B$33,0)),"שוטף")</x:f>
        <x:v>שוטף</x:v>
      </x:c>
      <x:c r="K1763" s="19" t="str">
        <x:f>IF(OR(H1763="ריביות",AND(H1763="דירה כצנלסון",G1763&lt;0,ISNUMBER(SEARCH("הכנסה",F1763)))),"הכנסה שסווגה מחדש",J1763)</x:f>
        <x:v>שוטף</x:v>
      </x:c>
      <x:c r="L1763" s="19" t="str">
        <x:v>מאושר</x:v>
      </x:c>
      <x:c r="M1763" s="20" t="n">
        <x:f>IF(L1763="מאושר",IF(K1763="הכנסה שסווגה מחדש",0,G1763),0)</x:f>
        <x:v>130</x:v>
      </x:c>
      <x:c r="N1763" s="20" t="n">
        <x:f>IF(K1763="שוטף",M1763,0)</x:f>
        <x:v>130</x:v>
      </x:c>
      <x:c r="O1763" s="20" t="n">
        <x:f>IF(K1763="הכנסה שסווגה מחדש",-G1763,0)</x:f>
        <x:v>0</x:v>
      </x:c>
      <x:c r="P1763" s="11" t="str">
        <x:v>אמקס - זיו</x:v>
      </x:c>
      <x:c r="Q1763" s="11" t="str"/>
      <x:c r="R1763" s="11" t="str">
        <x:v>לא</x:v>
      </x:c>
    </x:row>
    <x:row r="1764">
      <x:c r="A1764" s="14" t="n">
        <x:v>46204</x:v>
      </x:c>
      <x:c r="B1764" s="11" t="str">
        <x:v>2026-07</x:v>
      </x:c>
      <x:c r="C1764" s="11" t="str">
        <x:v>יולי 26</x:v>
      </x:c>
      <x:c r="D1764" s="15" t="n">
        <x:v>19</x:v>
      </x:c>
      <x:c r="E1764" s="11" t="str"/>
      <x:c r="F1764" s="11" t="str">
        <x:v>האקדמיה האורגזמית</x:v>
      </x:c>
      <x:c r="G1764" s="17" t="n">
        <x:v>97</x:v>
      </x:c>
      <x:c r="H1764" s="18" t="str">
        <x:v>טיפולים</x:v>
      </x:c>
      <x:c r="I1764" s="19" t="str">
        <x:f>IFERROR(INDEX('מיפוי ומקורות'!$C$7:$C$33,MATCH(H1764,'מיפוי ומקורות'!$B$7:$B$33,0)),"לא מסווג")</x:f>
        <x:v>בריאות וטיפולים</x:v>
      </x:c>
      <x:c r="J1764" s="19" t="str">
        <x:f>IFERROR(INDEX('מיפוי ומקורות'!$D$7:$D$33,MATCH(H1764,'מיפוי ומקורות'!$B$7:$B$33,0)),"שוטף")</x:f>
        <x:v>שוטף</x:v>
      </x:c>
      <x:c r="K1764" s="19" t="str">
        <x:f>IF(OR(H1764="ריביות",AND(H1764="דירה כצנלסון",G1764&lt;0,ISNUMBER(SEARCH("הכנסה",F1764)))),"הכנסה שסווגה מחדש",J1764)</x:f>
        <x:v>שוטף</x:v>
      </x:c>
      <x:c r="L1764" s="19" t="str">
        <x:v>מאושר</x:v>
      </x:c>
      <x:c r="M1764" s="20" t="n">
        <x:f>IF(L1764="מאושר",IF(K1764="הכנסה שסווגה מחדש",0,G1764),0)</x:f>
        <x:v>97</x:v>
      </x:c>
      <x:c r="N1764" s="20" t="n">
        <x:f>IF(K1764="שוטף",M1764,0)</x:f>
        <x:v>97</x:v>
      </x:c>
      <x:c r="O1764" s="20" t="n">
        <x:f>IF(K1764="הכנסה שסווגה מחדש",-G1764,0)</x:f>
        <x:v>0</x:v>
      </x:c>
      <x:c r="P1764" s="11" t="str">
        <x:v>מקס - עינור</x:v>
      </x:c>
      <x:c r="Q1764" s="11" t="str"/>
      <x:c r="R1764" s="11" t="str">
        <x:v>לא</x:v>
      </x:c>
    </x:row>
    <x:row r="1765">
      <x:c r="A1765" s="14" t="n">
        <x:v>46204</x:v>
      </x:c>
      <x:c r="B1765" s="11" t="str">
        <x:v>2026-07</x:v>
      </x:c>
      <x:c r="C1765" s="11" t="str">
        <x:v>יולי 26</x:v>
      </x:c>
      <x:c r="D1765" s="15" t="n">
        <x:v>20</x:v>
      </x:c>
      <x:c r="E1765" s="11" t="str">
        <x:v>1/7</x:v>
      </x:c>
      <x:c r="F1765" s="11" t="str">
        <x:v>ליאת</x:v>
      </x:c>
      <x:c r="G1765" s="17" t="n">
        <x:v>1350</x:v>
      </x:c>
      <x:c r="H1765" s="18" t="str">
        <x:v>טיפולים</x:v>
      </x:c>
      <x:c r="I1765" s="19" t="str">
        <x:f>IFERROR(INDEX('מיפוי ומקורות'!$C$7:$C$33,MATCH(H1765,'מיפוי ומקורות'!$B$7:$B$33,0)),"לא מסווג")</x:f>
        <x:v>בריאות וטיפולים</x:v>
      </x:c>
      <x:c r="J1765" s="19" t="str">
        <x:f>IFERROR(INDEX('מיפוי ומקורות'!$D$7:$D$33,MATCH(H1765,'מיפוי ומקורות'!$B$7:$B$33,0)),"שוטף")</x:f>
        <x:v>שוטף</x:v>
      </x:c>
      <x:c r="K1765" s="19" t="str">
        <x:f>IF(OR(H1765="ריביות",AND(H1765="דירה כצנלסון",G1765&lt;0,ISNUMBER(SEARCH("הכנסה",F1765)))),"הכנסה שסווגה מחדש",J1765)</x:f>
        <x:v>שוטף</x:v>
      </x:c>
      <x:c r="L1765" s="19" t="str">
        <x:v>מאושר</x:v>
      </x:c>
      <x:c r="M1765" s="20" t="n">
        <x:f>IF(L1765="מאושר",IF(K1765="הכנסה שסווגה מחדש",0,G1765),0)</x:f>
        <x:v>1350</x:v>
      </x:c>
      <x:c r="N1765" s="20" t="n">
        <x:f>IF(K1765="שוטף",M1765,0)</x:f>
        <x:v>1350</x:v>
      </x:c>
      <x:c r="O1765" s="20" t="n">
        <x:f>IF(K1765="הכנסה שסווגה מחדש",-G1765,0)</x:f>
        <x:v>0</x:v>
      </x:c>
      <x:c r="P1765" s="11" t="str">
        <x:v>one zero</x:v>
      </x:c>
      <x:c r="Q1765" s="11" t="str"/>
      <x:c r="R1765" s="11" t="str">
        <x:v>לא</x:v>
      </x:c>
    </x:row>
    <x:row r="1766">
      <x:c r="A1766" s="14" t="n">
        <x:v>46204</x:v>
      </x:c>
      <x:c r="B1766" s="11" t="str">
        <x:v>2026-07</x:v>
      </x:c>
      <x:c r="C1766" s="11" t="str">
        <x:v>יולי 26</x:v>
      </x:c>
      <x:c r="D1766" s="15" t="n">
        <x:v>21</x:v>
      </x:c>
      <x:c r="E1766" s="11" t="str">
        <x:v>11/7</x:v>
      </x:c>
      <x:c r="F1766" s="11" t="str">
        <x:v>החזר שיין</x:v>
      </x:c>
      <x:c r="G1766" s="17" t="n">
        <x:v>-376</x:v>
      </x:c>
      <x:c r="H1766" s="18" t="str">
        <x:v>אופנה</x:v>
      </x:c>
      <x:c r="I1766" s="19" t="str">
        <x:f>IFERROR(INDEX('מיפוי ומקורות'!$C$7:$C$33,MATCH(H1766,'מיפוי ומקורות'!$B$7:$B$33,0)),"לא מסווג")</x:f>
        <x:v>אופנה</x:v>
      </x:c>
      <x:c r="J1766" s="19" t="str">
        <x:f>IFERROR(INDEX('מיפוי ומקורות'!$D$7:$D$33,MATCH(H1766,'מיפוי ומקורות'!$B$7:$B$33,0)),"שוטף")</x:f>
        <x:v>שוטף</x:v>
      </x:c>
      <x:c r="K1766" s="19" t="str">
        <x:f>IF(OR(H1766="ריביות",AND(H1766="דירה כצנלסון",G1766&lt;0,ISNUMBER(SEARCH("הכנסה",F1766)))),"הכנסה שסווגה מחדש",J1766)</x:f>
        <x:v>שוטף</x:v>
      </x:c>
      <x:c r="L1766" s="19" t="str">
        <x:v>מאושר</x:v>
      </x:c>
      <x:c r="M1766" s="20" t="n">
        <x:f>IF(L1766="מאושר",IF(K1766="הכנסה שסווגה מחדש",0,G1766),0)</x:f>
        <x:v>-376</x:v>
      </x:c>
      <x:c r="N1766" s="20" t="n">
        <x:f>IF(K1766="שוטף",M1766,0)</x:f>
        <x:v>-376</x:v>
      </x:c>
      <x:c r="O1766" s="20" t="n">
        <x:f>IF(K1766="הכנסה שסווגה מחדש",-G1766,0)</x:f>
        <x:v>0</x:v>
      </x:c>
      <x:c r="P1766" s="11" t="str">
        <x:v>אמקס - עינור</x:v>
      </x:c>
      <x:c r="Q1766" s="11" t="str"/>
      <x:c r="R1766" s="11" t="str">
        <x:v>לא</x:v>
      </x:c>
    </x:row>
    <x:row r="1767">
      <x:c r="A1767" s="14" t="n">
        <x:v>46204</x:v>
      </x:c>
      <x:c r="B1767" s="11" t="str">
        <x:v>2026-07</x:v>
      </x:c>
      <x:c r="C1767" s="11" t="str">
        <x:v>יולי 26</x:v>
      </x:c>
      <x:c r="D1767" s="15" t="n">
        <x:v>22</x:v>
      </x:c>
      <x:c r="E1767" s="11" t="str">
        <x:v>21/7</x:v>
      </x:c>
      <x:c r="F1767" s="11" t="str">
        <x:v>החזר פילימנט</x:v>
      </x:c>
      <x:c r="G1767" s="17" t="n">
        <x:v>-112</x:v>
      </x:c>
      <x:c r="H1767" s="18" t="str">
        <x:v>מיג'י</x:v>
      </x:c>
      <x:c r="I1767" s="19" t="str">
        <x:f>IFERROR(INDEX('מיפוי ומקורות'!$C$7:$C$33,MATCH(H1767,'מיפוי ומקורות'!$B$7:$B$33,0)),"לא מסווג")</x:f>
        <x:v>תחביבים ומיג'י</x:v>
      </x:c>
      <x:c r="J1767" s="19" t="str">
        <x:f>IFERROR(INDEX('מיפוי ומקורות'!$D$7:$D$33,MATCH(H1767,'מיפוי ומקורות'!$B$7:$B$33,0)),"שוטף")</x:f>
        <x:v>שוטף</x:v>
      </x:c>
      <x:c r="K1767" s="19" t="str">
        <x:f>IF(OR(H1767="ריביות",AND(H1767="דירה כצנלסון",G1767&lt;0,ISNUMBER(SEARCH("הכנסה",F1767)))),"הכנסה שסווגה מחדש",J1767)</x:f>
        <x:v>שוטף</x:v>
      </x:c>
      <x:c r="L1767" s="19" t="str">
        <x:v>מאושר</x:v>
      </x:c>
      <x:c r="M1767" s="20" t="n">
        <x:f>IF(L1767="מאושר",IF(K1767="הכנסה שסווגה מחדש",0,G1767),0)</x:f>
        <x:v>-112</x:v>
      </x:c>
      <x:c r="N1767" s="20" t="n">
        <x:f>IF(K1767="שוטף",M1767,0)</x:f>
        <x:v>-112</x:v>
      </x:c>
      <x:c r="O1767" s="20" t="n">
        <x:f>IF(K1767="הכנסה שסווגה מחדש",-G1767,0)</x:f>
        <x:v>0</x:v>
      </x:c>
      <x:c r="P1767" s="11" t="str">
        <x:v>אמקס - עינור</x:v>
      </x:c>
      <x:c r="Q1767" s="11" t="str"/>
      <x:c r="R1767" s="11" t="str">
        <x:v>לא</x:v>
      </x:c>
    </x:row>
    <x:row r="1768">
      <x:c r="A1768" s="14" t="n">
        <x:v>46204</x:v>
      </x:c>
      <x:c r="B1768" s="11" t="str">
        <x:v>2026-07</x:v>
      </x:c>
      <x:c r="C1768" s="11" t="str">
        <x:v>יולי 26</x:v>
      </x:c>
      <x:c r="D1768" s="15" t="n">
        <x:v>23</x:v>
      </x:c>
      <x:c r="E1768" s="11" t="str">
        <x:v>22/7</x:v>
      </x:c>
      <x:c r="F1768" s="11" t="str">
        <x:v>אימונים</x:v>
      </x:c>
      <x:c r="G1768" s="17" t="n">
        <x:v>3000</x:v>
      </x:c>
      <x:c r="H1768" s="18" t="str">
        <x:v>ספורט</x:v>
      </x:c>
      <x:c r="I1768" s="19" t="str">
        <x:f>IFERROR(INDEX('מיפוי ומקורות'!$C$7:$C$33,MATCH(H1768,'מיפוי ומקורות'!$B$7:$B$33,0)),"לא מסווג")</x:f>
        <x:v>ספורט</x:v>
      </x:c>
      <x:c r="J1768" s="19" t="str">
        <x:f>IFERROR(INDEX('מיפוי ומקורות'!$D$7:$D$33,MATCH(H1768,'מיפוי ומקורות'!$B$7:$B$33,0)),"שוטף")</x:f>
        <x:v>שוטף</x:v>
      </x:c>
      <x:c r="K1768" s="19" t="str">
        <x:f>IF(OR(H1768="ריביות",AND(H1768="דירה כצנלסון",G1768&lt;0,ISNUMBER(SEARCH("הכנסה",F1768)))),"הכנסה שסווגה מחדש",J1768)</x:f>
        <x:v>שוטף</x:v>
      </x:c>
      <x:c r="L1768" s="19" t="str">
        <x:v>מאושר</x:v>
      </x:c>
      <x:c r="M1768" s="20" t="n">
        <x:f>IF(L1768="מאושר",IF(K1768="הכנסה שסווגה מחדש",0,G1768),0)</x:f>
        <x:v>3000</x:v>
      </x:c>
      <x:c r="N1768" s="20" t="n">
        <x:f>IF(K1768="שוטף",M1768,0)</x:f>
        <x:v>3000</x:v>
      </x:c>
      <x:c r="O1768" s="20" t="n">
        <x:f>IF(K1768="הכנסה שסווגה מחדש",-G1768,0)</x:f>
        <x:v>0</x:v>
      </x:c>
      <x:c r="P1768" s="11" t="str">
        <x:v>אמקס - עינור</x:v>
      </x:c>
      <x:c r="Q1768" s="11" t="str"/>
      <x:c r="R1768" s="11" t="str">
        <x:v>לא</x:v>
      </x:c>
    </x:row>
    <x:row r="1769">
      <x:c r="A1769" s="14" t="n">
        <x:v>46204</x:v>
      </x:c>
      <x:c r="B1769" s="11" t="str">
        <x:v>2026-07</x:v>
      </x:c>
      <x:c r="C1769" s="11" t="str">
        <x:v>יולי 26</x:v>
      </x:c>
      <x:c r="D1769" s="15" t="n">
        <x:v>24</x:v>
      </x:c>
      <x:c r="E1769" s="11" t="str">
        <x:v>19/7</x:v>
      </x:c>
      <x:c r="F1769" s="11" t="str">
        <x:v>איי הארב</x:v>
      </x:c>
      <x:c r="G1769" s="17" t="n">
        <x:v>114</x:v>
      </x:c>
      <x:c r="H1769" s="18" t="str">
        <x:v>קוסמטיקה</x:v>
      </x:c>
      <x:c r="I1769" s="19" t="str">
        <x:f>IFERROR(INDEX('מיפוי ומקורות'!$C$7:$C$33,MATCH(H1769,'מיפוי ומקורות'!$B$7:$B$33,0)),"לא מסווג")</x:f>
        <x:v>קוסמטיקה</x:v>
      </x:c>
      <x:c r="J1769" s="19" t="str">
        <x:f>IFERROR(INDEX('מיפוי ומקורות'!$D$7:$D$33,MATCH(H1769,'מיפוי ומקורות'!$B$7:$B$33,0)),"שוטף")</x:f>
        <x:v>שוטף</x:v>
      </x:c>
      <x:c r="K1769" s="19" t="str">
        <x:f>IF(OR(H1769="ריביות",AND(H1769="דירה כצנלסון",G1769&lt;0,ISNUMBER(SEARCH("הכנסה",F1769)))),"הכנסה שסווגה מחדש",J1769)</x:f>
        <x:v>שוטף</x:v>
      </x:c>
      <x:c r="L1769" s="19" t="str">
        <x:v>מאושר</x:v>
      </x:c>
      <x:c r="M1769" s="20" t="n">
        <x:f>IF(L1769="מאושר",IF(K1769="הכנסה שסווגה מחדש",0,G1769),0)</x:f>
        <x:v>114</x:v>
      </x:c>
      <x:c r="N1769" s="20" t="n">
        <x:f>IF(K1769="שוטף",M1769,0)</x:f>
        <x:v>114</x:v>
      </x:c>
      <x:c r="O1769" s="20" t="n">
        <x:f>IF(K1769="הכנסה שסווגה מחדש",-G1769,0)</x:f>
        <x:v>0</x:v>
      </x:c>
      <x:c r="P1769" s="11" t="str">
        <x:v>מקס - עינור</x:v>
      </x:c>
      <x:c r="Q1769" s="11" t="str"/>
      <x:c r="R1769" s="11" t="str">
        <x:v>לא</x:v>
      </x:c>
    </x:row>
    <x:row r="1770">
      <x:c r="A1770" s="14" t="n">
        <x:v>46204</x:v>
      </x:c>
      <x:c r="B1770" s="11" t="str">
        <x:v>2026-07</x:v>
      </x:c>
      <x:c r="C1770" s="11" t="str">
        <x:v>יולי 26</x:v>
      </x:c>
      <x:c r="D1770" s="15" t="n">
        <x:v>25</x:v>
      </x:c>
      <x:c r="E1770" s="11" t="str">
        <x:v>25/7</x:v>
      </x:c>
      <x:c r="F1770" s="11" t="str">
        <x:v>תחבץ</x:v>
      </x:c>
      <x:c r="G1770" s="17" t="n">
        <x:v>96</x:v>
      </x:c>
      <x:c r="H1770" s="18" t="str">
        <x:v>תחבורה</x:v>
      </x:c>
      <x:c r="I1770" s="19" t="str">
        <x:f>IFERROR(INDEX('מיפוי ומקורות'!$C$7:$C$33,MATCH(H1770,'מיפוי ומקורות'!$B$7:$B$33,0)),"לא מסווג")</x:f>
        <x:v>תחבורה</x:v>
      </x:c>
      <x:c r="J1770" s="19" t="str">
        <x:f>IFERROR(INDEX('מיפוי ומקורות'!$D$7:$D$33,MATCH(H1770,'מיפוי ומקורות'!$B$7:$B$33,0)),"שוטף")</x:f>
        <x:v>שוטף</x:v>
      </x:c>
      <x:c r="K1770" s="19" t="str">
        <x:f>IF(OR(H1770="ריביות",AND(H1770="דירה כצנלסון",G1770&lt;0,ISNUMBER(SEARCH("הכנסה",F1770)))),"הכנסה שסווגה מחדש",J1770)</x:f>
        <x:v>שוטף</x:v>
      </x:c>
      <x:c r="L1770" s="19" t="str">
        <x:v>מאושר</x:v>
      </x:c>
      <x:c r="M1770" s="20" t="n">
        <x:f>IF(L1770="מאושר",IF(K1770="הכנסה שסווגה מחדש",0,G1770),0)</x:f>
        <x:v>96</x:v>
      </x:c>
      <x:c r="N1770" s="20" t="n">
        <x:f>IF(K1770="שוטף",M1770,0)</x:f>
        <x:v>96</x:v>
      </x:c>
      <x:c r="O1770" s="20" t="n">
        <x:f>IF(K1770="הכנסה שסווגה מחדש",-G1770,0)</x:f>
        <x:v>0</x:v>
      </x:c>
      <x:c r="P1770" s="11" t="str">
        <x:v>one zero - עינור</x:v>
      </x:c>
      <x:c r="Q1770" s="11" t="str"/>
      <x:c r="R1770" s="11" t="str">
        <x:v>לא</x:v>
      </x:c>
    </x:row>
    <x:row r="1771">
      <x:c r="A1771" s="14" t="n">
        <x:v>46204</x:v>
      </x:c>
      <x:c r="B1771" s="11" t="str">
        <x:v>2026-07</x:v>
      </x:c>
      <x:c r="C1771" s="11" t="str">
        <x:v>יולי 26</x:v>
      </x:c>
      <x:c r="D1771" s="15" t="n">
        <x:v>26</x:v>
      </x:c>
      <x:c r="E1771" s="11" t="str">
        <x:v>26/7</x:v>
      </x:c>
      <x:c r="F1771" s="11" t="str">
        <x:v>רמיקוב תלת מימד</x:v>
      </x:c>
      <x:c r="G1771" s="17" t="n">
        <x:v>48</x:v>
      </x:c>
      <x:c r="H1771" s="18" t="str">
        <x:v>מיג'י</x:v>
      </x:c>
      <x:c r="I1771" s="19" t="str">
        <x:f>IFERROR(INDEX('מיפוי ומקורות'!$C$7:$C$33,MATCH(H1771,'מיפוי ומקורות'!$B$7:$B$33,0)),"לא מסווג")</x:f>
        <x:v>תחביבים ומיג'י</x:v>
      </x:c>
      <x:c r="J1771" s="19" t="str">
        <x:f>IFERROR(INDEX('מיפוי ומקורות'!$D$7:$D$33,MATCH(H1771,'מיפוי ומקורות'!$B$7:$B$33,0)),"שוטף")</x:f>
        <x:v>שוטף</x:v>
      </x:c>
      <x:c r="K1771" s="19" t="str">
        <x:f>IF(OR(H1771="ריביות",AND(H1771="דירה כצנלסון",G1771&lt;0,ISNUMBER(SEARCH("הכנסה",F1771)))),"הכנסה שסווגה מחדש",J1771)</x:f>
        <x:v>שוטף</x:v>
      </x:c>
      <x:c r="L1771" s="19" t="str">
        <x:v>מאושר</x:v>
      </x:c>
      <x:c r="M1771" s="20" t="n">
        <x:f>IF(L1771="מאושר",IF(K1771="הכנסה שסווגה מחדש",0,G1771),0)</x:f>
        <x:v>48</x:v>
      </x:c>
      <x:c r="N1771" s="20" t="n">
        <x:f>IF(K1771="שוטף",M1771,0)</x:f>
        <x:v>48</x:v>
      </x:c>
      <x:c r="O1771" s="20" t="n">
        <x:f>IF(K1771="הכנסה שסווגה מחדש",-G1771,0)</x:f>
        <x:v>0</x:v>
      </x:c>
      <x:c r="P1771" s="11" t="str">
        <x:v>one zero - עינור</x:v>
      </x:c>
      <x:c r="Q1771" s="11" t="str"/>
      <x:c r="R1771" s="11" t="str">
        <x:v>לא</x:v>
      </x:c>
    </x:row>
    <x:row r="1772">
      <x:c r="A1772" s="14" t="n">
        <x:v>46204</x:v>
      </x:c>
      <x:c r="B1772" s="11" t="str">
        <x:v>2026-07</x:v>
      </x:c>
      <x:c r="C1772" s="11" t="str">
        <x:v>יולי 26</x:v>
      </x:c>
      <x:c r="D1772" s="15" t="n">
        <x:v>27</x:v>
      </x:c>
      <x:c r="E1772" s="11" t="str">
        <x:v>2/7</x:v>
      </x:c>
      <x:c r="F1772" s="11" t="str">
        <x:v>לק</x:v>
      </x:c>
      <x:c r="G1772" s="17" t="n">
        <x:v>130</x:v>
      </x:c>
      <x:c r="H1772" s="18" t="str">
        <x:v>קוסמטיקה</x:v>
      </x:c>
      <x:c r="I1772" s="19" t="str">
        <x:f>IFERROR(INDEX('מיפוי ומקורות'!$C$7:$C$33,MATCH(H1772,'מיפוי ומקורות'!$B$7:$B$33,0)),"לא מסווג")</x:f>
        <x:v>קוסמטיקה</x:v>
      </x:c>
      <x:c r="J1772" s="19" t="str">
        <x:f>IFERROR(INDEX('מיפוי ומקורות'!$D$7:$D$33,MATCH(H1772,'מיפוי ומקורות'!$B$7:$B$33,0)),"שוטף")</x:f>
        <x:v>שוטף</x:v>
      </x:c>
      <x:c r="K1772" s="19" t="str">
        <x:f>IF(OR(H1772="ריביות",AND(H1772="דירה כצנלסון",G1772&lt;0,ISNUMBER(SEARCH("הכנסה",F1772)))),"הכנסה שסווגה מחדש",J1772)</x:f>
        <x:v>שוטף</x:v>
      </x:c>
      <x:c r="L1772" s="19" t="str">
        <x:v>מאושר</x:v>
      </x:c>
      <x:c r="M1772" s="20" t="n">
        <x:f>IF(L1772="מאושר",IF(K1772="הכנסה שסווגה מחדש",0,G1772),0)</x:f>
        <x:v>130</x:v>
      </x:c>
      <x:c r="N1772" s="20" t="n">
        <x:f>IF(K1772="שוטף",M1772,0)</x:f>
        <x:v>130</x:v>
      </x:c>
      <x:c r="O1772" s="20" t="n">
        <x:f>IF(K1772="הכנסה שסווגה מחדש",-G1772,0)</x:f>
        <x:v>0</x:v>
      </x:c>
      <x:c r="P1772" s="11" t="str">
        <x:v>מקס - עינור</x:v>
      </x:c>
      <x:c r="Q1772" s="11" t="str"/>
      <x:c r="R1772" s="11" t="str">
        <x:v>לא</x:v>
      </x:c>
    </x:row>
    <x:row r="1773">
      <x:c r="A1773" s="14" t="n">
        <x:v>46204</x:v>
      </x:c>
      <x:c r="B1773" s="11" t="str">
        <x:v>2026-07</x:v>
      </x:c>
      <x:c r="C1773" s="11" t="str">
        <x:v>יולי 26</x:v>
      </x:c>
      <x:c r="D1773" s="15" t="n">
        <x:v>28</x:v>
      </x:c>
      <x:c r="E1773" s="11" t="str">
        <x:v>4/7</x:v>
      </x:c>
      <x:c r="F1773" s="11" t="str">
        <x:v>סרט</x:v>
      </x:c>
      <x:c r="G1773" s="17" t="n">
        <x:v>60</x:v>
      </x:c>
      <x:c r="H1773" s="18" t="str">
        <x:v>פנאי</x:v>
      </x:c>
      <x:c r="I1773" s="19" t="str">
        <x:f>IFERROR(INDEX('מיפוי ומקורות'!$C$7:$C$33,MATCH(H1773,'מיפוי ומקורות'!$B$7:$B$33,0)),"לא מסווג")</x:f>
        <x:v>פנאי</x:v>
      </x:c>
      <x:c r="J1773" s="19" t="str">
        <x:f>IFERROR(INDEX('מיפוי ומקורות'!$D$7:$D$33,MATCH(H1773,'מיפוי ומקורות'!$B$7:$B$33,0)),"שוטף")</x:f>
        <x:v>שוטף</x:v>
      </x:c>
      <x:c r="K1773" s="19" t="str">
        <x:f>IF(OR(H1773="ריביות",AND(H1773="דירה כצנלסון",G1773&lt;0,ISNUMBER(SEARCH("הכנסה",F1773)))),"הכנסה שסווגה מחדש",J1773)</x:f>
        <x:v>שוטף</x:v>
      </x:c>
      <x:c r="L1773" s="19" t="str">
        <x:v>מאושר</x:v>
      </x:c>
      <x:c r="M1773" s="20" t="n">
        <x:f>IF(L1773="מאושר",IF(K1773="הכנסה שסווגה מחדש",0,G1773),0)</x:f>
        <x:v>60</x:v>
      </x:c>
      <x:c r="N1773" s="20" t="n">
        <x:f>IF(K1773="שוטף",M1773,0)</x:f>
        <x:v>60</x:v>
      </x:c>
      <x:c r="O1773" s="20" t="n">
        <x:f>IF(K1773="הכנסה שסווגה מחדש",-G1773,0)</x:f>
        <x:v>0</x:v>
      </x:c>
      <x:c r="P1773" s="11" t="str">
        <x:v>מקס - זיו</x:v>
      </x:c>
      <x:c r="Q1773" s="11" t="str"/>
      <x:c r="R1773" s="11" t="str">
        <x:v>לא</x:v>
      </x:c>
    </x:row>
    <x:row r="1774">
      <x:c r="A1774" s="14" t="n">
        <x:v>46204</x:v>
      </x:c>
      <x:c r="B1774" s="11" t="str">
        <x:v>2026-07</x:v>
      </x:c>
      <x:c r="C1774" s="11" t="str">
        <x:v>יולי 26</x:v>
      </x:c>
      <x:c r="D1774" s="15" t="n">
        <x:v>29</x:v>
      </x:c>
      <x:c r="E1774" s="11" t="str">
        <x:v>13/7</x:v>
      </x:c>
      <x:c r="F1774" s="11" t="str">
        <x:v>אוכל</x:v>
      </x:c>
      <x:c r="G1774" s="17" t="n">
        <x:v>23</x:v>
      </x:c>
      <x:c r="H1774" s="18" t="str">
        <x:v>אוכל בחוץ</x:v>
      </x:c>
      <x:c r="I1774" s="19" t="str">
        <x:f>IFERROR(INDEX('מיפוי ומקורות'!$C$7:$C$33,MATCH(H1774,'מיפוי ומקורות'!$B$7:$B$33,0)),"לא מסווג")</x:f>
        <x:v>אוכל בחוץ</x:v>
      </x:c>
      <x:c r="J1774" s="19" t="str">
        <x:f>IFERROR(INDEX('מיפוי ומקורות'!$D$7:$D$33,MATCH(H1774,'מיפוי ומקורות'!$B$7:$B$33,0)),"שוטף")</x:f>
        <x:v>שוטף</x:v>
      </x:c>
      <x:c r="K1774" s="19" t="str">
        <x:f>IF(OR(H1774="ריביות",AND(H1774="דירה כצנלסון",G1774&lt;0,ISNUMBER(SEARCH("הכנסה",F1774)))),"הכנסה שסווגה מחדש",J1774)</x:f>
        <x:v>שוטף</x:v>
      </x:c>
      <x:c r="L1774" s="19" t="str">
        <x:v>מאושר</x:v>
      </x:c>
      <x:c r="M1774" s="20" t="n">
        <x:f>IF(L1774="מאושר",IF(K1774="הכנסה שסווגה מחדש",0,G1774),0)</x:f>
        <x:v>23</x:v>
      </x:c>
      <x:c r="N1774" s="20" t="n">
        <x:f>IF(K1774="שוטף",M1774,0)</x:f>
        <x:v>23</x:v>
      </x:c>
      <x:c r="O1774" s="20" t="n">
        <x:f>IF(K1774="הכנסה שסווגה מחדש",-G1774,0)</x:f>
        <x:v>0</x:v>
      </x:c>
      <x:c r="P1774" s="11" t="str">
        <x:v>מקס - עינור</x:v>
      </x:c>
      <x:c r="Q1774" s="11" t="str"/>
      <x:c r="R1774" s="11" t="str">
        <x:v>לא</x:v>
      </x:c>
    </x:row>
    <x:row r="1775">
      <x:c r="A1775" s="14" t="n">
        <x:v>46204</x:v>
      </x:c>
      <x:c r="B1775" s="11" t="str">
        <x:v>2026-07</x:v>
      </x:c>
      <x:c r="C1775" s="11" t="str">
        <x:v>יולי 26</x:v>
      </x:c>
      <x:c r="D1775" s="15" t="n">
        <x:v>30</x:v>
      </x:c>
      <x:c r="E1775" s="11" t="str">
        <x:v>14/7</x:v>
      </x:c>
      <x:c r="F1775" s="11" t="str">
        <x:v>גלידה</x:v>
      </x:c>
      <x:c r="G1775" s="17" t="n">
        <x:v>13</x:v>
      </x:c>
      <x:c r="H1775" s="18" t="str">
        <x:v>אוכל בחוץ</x:v>
      </x:c>
      <x:c r="I1775" s="19" t="str">
        <x:f>IFERROR(INDEX('מיפוי ומקורות'!$C$7:$C$33,MATCH(H1775,'מיפוי ומקורות'!$B$7:$B$33,0)),"לא מסווג")</x:f>
        <x:v>אוכל בחוץ</x:v>
      </x:c>
      <x:c r="J1775" s="19" t="str">
        <x:f>IFERROR(INDEX('מיפוי ומקורות'!$D$7:$D$33,MATCH(H1775,'מיפוי ומקורות'!$B$7:$B$33,0)),"שוטף")</x:f>
        <x:v>שוטף</x:v>
      </x:c>
      <x:c r="K1775" s="19" t="str">
        <x:f>IF(OR(H1775="ריביות",AND(H1775="דירה כצנלסון",G1775&lt;0,ISNUMBER(SEARCH("הכנסה",F1775)))),"הכנסה שסווגה מחדש",J1775)</x:f>
        <x:v>שוטף</x:v>
      </x:c>
      <x:c r="L1775" s="19" t="str">
        <x:v>מאושר</x:v>
      </x:c>
      <x:c r="M1775" s="20" t="n">
        <x:f>IF(L1775="מאושר",IF(K1775="הכנסה שסווגה מחדש",0,G1775),0)</x:f>
        <x:v>13</x:v>
      </x:c>
      <x:c r="N1775" s="20" t="n">
        <x:f>IF(K1775="שוטף",M1775,0)</x:f>
        <x:v>13</x:v>
      </x:c>
      <x:c r="O1775" s="20" t="n">
        <x:f>IF(K1775="הכנסה שסווגה מחדש",-G1775,0)</x:f>
        <x:v>0</x:v>
      </x:c>
      <x:c r="P1775" s="11" t="str">
        <x:v>מקס - עינור</x:v>
      </x:c>
      <x:c r="Q1775" s="11" t="str"/>
      <x:c r="R1775" s="11" t="str">
        <x:v>לא</x:v>
      </x:c>
    </x:row>
    <x:row r="1776">
      <x:c r="A1776" s="14" t="n">
        <x:v>46204</x:v>
      </x:c>
      <x:c r="B1776" s="11" t="str">
        <x:v>2026-07</x:v>
      </x:c>
      <x:c r="C1776" s="11" t="str">
        <x:v>יולי 26</x:v>
      </x:c>
      <x:c r="D1776" s="15" t="n">
        <x:v>31</x:v>
      </x:c>
      <x:c r="E1776" s="11" t="str">
        <x:v>20/7</x:v>
      </x:c>
      <x:c r="F1776" s="11" t="str">
        <x:v>מאפיה</x:v>
      </x:c>
      <x:c r="G1776" s="17" t="n">
        <x:v>49</x:v>
      </x:c>
      <x:c r="H1776" s="18" t="str">
        <x:v>אוכל בחוץ</x:v>
      </x:c>
      <x:c r="I1776" s="19" t="str">
        <x:f>IFERROR(INDEX('מיפוי ומקורות'!$C$7:$C$33,MATCH(H1776,'מיפוי ומקורות'!$B$7:$B$33,0)),"לא מסווג")</x:f>
        <x:v>אוכל בחוץ</x:v>
      </x:c>
      <x:c r="J1776" s="19" t="str">
        <x:f>IFERROR(INDEX('מיפוי ומקורות'!$D$7:$D$33,MATCH(H1776,'מיפוי ומקורות'!$B$7:$B$33,0)),"שוטף")</x:f>
        <x:v>שוטף</x:v>
      </x:c>
      <x:c r="K1776" s="19" t="str">
        <x:f>IF(OR(H1776="ריביות",AND(H1776="דירה כצנלסון",G1776&lt;0,ISNUMBER(SEARCH("הכנסה",F1776)))),"הכנסה שסווגה מחדש",J1776)</x:f>
        <x:v>שוטף</x:v>
      </x:c>
      <x:c r="L1776" s="19" t="str">
        <x:v>מאושר</x:v>
      </x:c>
      <x:c r="M1776" s="20" t="n">
        <x:f>IF(L1776="מאושר",IF(K1776="הכנסה שסווגה מחדש",0,G1776),0)</x:f>
        <x:v>49</x:v>
      </x:c>
      <x:c r="N1776" s="20" t="n">
        <x:f>IF(K1776="שוטף",M1776,0)</x:f>
        <x:v>49</x:v>
      </x:c>
      <x:c r="O1776" s="20" t="n">
        <x:f>IF(K1776="הכנסה שסווגה מחדש",-G1776,0)</x:f>
        <x:v>0</x:v>
      </x:c>
      <x:c r="P1776" s="11" t="str">
        <x:v>מקס - עינור</x:v>
      </x:c>
      <x:c r="Q1776" s="11" t="str"/>
      <x:c r="R1776" s="11" t="str">
        <x:v>לא</x:v>
      </x:c>
    </x:row>
    <x:row r="1777">
      <x:c r="A1777" s="14" t="n">
        <x:v>46204</x:v>
      </x:c>
      <x:c r="B1777" s="11" t="str">
        <x:v>2026-07</x:v>
      </x:c>
      <x:c r="C1777" s="11" t="str">
        <x:v>יולי 26</x:v>
      </x:c>
      <x:c r="D1777" s="15" t="n">
        <x:v>32</x:v>
      </x:c>
      <x:c r="E1777" s="11" t="str">
        <x:v>25/7</x:v>
      </x:c>
      <x:c r="F1777" s="11" t="str">
        <x:v>פילימנטים</x:v>
      </x:c>
      <x:c r="G1777" s="17" t="n">
        <x:v>385</x:v>
      </x:c>
      <x:c r="H1777" s="18" t="str">
        <x:v>מיג'י</x:v>
      </x:c>
      <x:c r="I1777" s="19" t="str">
        <x:f>IFERROR(INDEX('מיפוי ומקורות'!$C$7:$C$33,MATCH(H1777,'מיפוי ומקורות'!$B$7:$B$33,0)),"לא מסווג")</x:f>
        <x:v>תחביבים ומיג'י</x:v>
      </x:c>
      <x:c r="J1777" s="19" t="str">
        <x:f>IFERROR(INDEX('מיפוי ומקורות'!$D$7:$D$33,MATCH(H1777,'מיפוי ומקורות'!$B$7:$B$33,0)),"שוטף")</x:f>
        <x:v>שוטף</x:v>
      </x:c>
      <x:c r="K1777" s="19" t="str">
        <x:f>IF(OR(H1777="ריביות",AND(H1777="דירה כצנלסון",G1777&lt;0,ISNUMBER(SEARCH("הכנסה",F1777)))),"הכנסה שסווגה מחדש",J1777)</x:f>
        <x:v>שוטף</x:v>
      </x:c>
      <x:c r="L1777" s="19" t="str">
        <x:v>מאושר</x:v>
      </x:c>
      <x:c r="M1777" s="20" t="n">
        <x:f>IF(L1777="מאושר",IF(K1777="הכנסה שסווגה מחדש",0,G1777),0)</x:f>
        <x:v>385</x:v>
      </x:c>
      <x:c r="N1777" s="20" t="n">
        <x:f>IF(K1777="שוטף",M1777,0)</x:f>
        <x:v>385</x:v>
      </x:c>
      <x:c r="O1777" s="20" t="n">
        <x:f>IF(K1777="הכנסה שסווגה מחדש",-G1777,0)</x:f>
        <x:v>0</x:v>
      </x:c>
      <x:c r="P1777" s="11" t="str">
        <x:v>מקס - עינור</x:v>
      </x:c>
      <x:c r="Q1777" s="11" t="str"/>
      <x:c r="R1777" s="11" t="str">
        <x:v>לא</x:v>
      </x:c>
    </x:row>
    <x:row r="1778">
      <x:c r="A1778" s="14" t="n">
        <x:v>46204</x:v>
      </x:c>
      <x:c r="B1778" s="11" t="str">
        <x:v>2026-07</x:v>
      </x:c>
      <x:c r="C1778" s="11" t="str">
        <x:v>יולי 26</x:v>
      </x:c>
      <x:c r="D1778" s="15" t="n">
        <x:v>33</x:v>
      </x:c>
      <x:c r="E1778" s="11" t="str">
        <x:v>30/7</x:v>
      </x:c>
      <x:c r="F1778" s="11" t="str">
        <x:v>לק</x:v>
      </x:c>
      <x:c r="G1778" s="17" t="n">
        <x:v>130</x:v>
      </x:c>
      <x:c r="H1778" s="18" t="str">
        <x:v>קוסמטיקה</x:v>
      </x:c>
      <x:c r="I1778" s="19" t="str">
        <x:f>IFERROR(INDEX('מיפוי ומקורות'!$C$7:$C$33,MATCH(H1778,'מיפוי ומקורות'!$B$7:$B$33,0)),"לא מסווג")</x:f>
        <x:v>קוסמטיקה</x:v>
      </x:c>
      <x:c r="J1778" s="19" t="str">
        <x:f>IFERROR(INDEX('מיפוי ומקורות'!$D$7:$D$33,MATCH(H1778,'מיפוי ומקורות'!$B$7:$B$33,0)),"שוטף")</x:f>
        <x:v>שוטף</x:v>
      </x:c>
      <x:c r="K1778" s="19" t="str">
        <x:f>IF(OR(H1778="ריביות",AND(H1778="דירה כצנלסון",G1778&lt;0,ISNUMBER(SEARCH("הכנסה",F1778)))),"הכנסה שסווגה מחדש",J1778)</x:f>
        <x:v>שוטף</x:v>
      </x:c>
      <x:c r="L1778" s="19" t="str">
        <x:v>מאושר</x:v>
      </x:c>
      <x:c r="M1778" s="20" t="n">
        <x:f>IF(L1778="מאושר",IF(K1778="הכנסה שסווגה מחדש",0,G1778),0)</x:f>
        <x:v>130</x:v>
      </x:c>
      <x:c r="N1778" s="20" t="n">
        <x:f>IF(K1778="שוטף",M1778,0)</x:f>
        <x:v>130</x:v>
      </x:c>
      <x:c r="O1778" s="20" t="n">
        <x:f>IF(K1778="הכנסה שסווגה מחדש",-G1778,0)</x:f>
        <x:v>0</x:v>
      </x:c>
      <x:c r="P1778" s="11" t="str">
        <x:v>מקס - עינור</x:v>
      </x:c>
      <x:c r="Q1778" s="11" t="str"/>
      <x:c r="R1778" s="11" t="str">
        <x:v>לא</x:v>
      </x:c>
    </x:row>
    <x:row r="1779">
      <x:c r="A1779" s="14" t="n">
        <x:v>46204</x:v>
      </x:c>
      <x:c r="B1779" s="11" t="str">
        <x:v>2026-07</x:v>
      </x:c>
      <x:c r="C1779" s="11" t="str">
        <x:v>יולי 26</x:v>
      </x:c>
      <x:c r="D1779" s="15" t="n">
        <x:v>34</x:v>
      </x:c>
      <x:c r="E1779" s="11" t="str">
        <x:v>30/7</x:v>
      </x:c>
      <x:c r="F1779" s="11" t="str">
        <x:v>החזר ביט אוכל</x:v>
      </x:c>
      <x:c r="G1779" s="17" t="n">
        <x:v>-138</x:v>
      </x:c>
      <x:c r="H1779" s="18" t="str">
        <x:v>אוכל בחוץ</x:v>
      </x:c>
      <x:c r="I1779" s="19" t="str">
        <x:f>IFERROR(INDEX('מיפוי ומקורות'!$C$7:$C$33,MATCH(H1779,'מיפוי ומקורות'!$B$7:$B$33,0)),"לא מסווג")</x:f>
        <x:v>אוכל בחוץ</x:v>
      </x:c>
      <x:c r="J1779" s="19" t="str">
        <x:f>IFERROR(INDEX('מיפוי ומקורות'!$D$7:$D$33,MATCH(H1779,'מיפוי ומקורות'!$B$7:$B$33,0)),"שוטף")</x:f>
        <x:v>שוטף</x:v>
      </x:c>
      <x:c r="K1779" s="19" t="str">
        <x:f>IF(OR(H1779="ריביות",AND(H1779="דירה כצנלסון",G1779&lt;0,ISNUMBER(SEARCH("הכנסה",F1779)))),"הכנסה שסווגה מחדש",J1779)</x:f>
        <x:v>שוטף</x:v>
      </x:c>
      <x:c r="L1779" s="19" t="str">
        <x:v>מאושר</x:v>
      </x:c>
      <x:c r="M1779" s="20" t="n">
        <x:f>IF(L1779="מאושר",IF(K1779="הכנסה שסווגה מחדש",0,G1779),0)</x:f>
        <x:v>-138</x:v>
      </x:c>
      <x:c r="N1779" s="20" t="n">
        <x:f>IF(K1779="שוטף",M1779,0)</x:f>
        <x:v>-138</x:v>
      </x:c>
      <x:c r="O1779" s="20" t="n">
        <x:f>IF(K1779="הכנסה שסווגה מחדש",-G1779,0)</x:f>
        <x:v>0</x:v>
      </x:c>
      <x:c r="P1779" s="11" t="str">
        <x:v>דיסקונט</x:v>
      </x:c>
      <x:c r="Q1779" s="11" t="str"/>
      <x:c r="R1779" s="11" t="str">
        <x:v>לא</x:v>
      </x:c>
    </x:row>
    <x:row r="1780">
      <x:c r="A1780" s="14" t="n">
        <x:v>46204</x:v>
      </x:c>
      <x:c r="B1780" s="11" t="str">
        <x:v>2026-07</x:v>
      </x:c>
      <x:c r="C1780" s="11" t="str">
        <x:v>יולי 26</x:v>
      </x:c>
      <x:c r="D1780" s="15" t="n">
        <x:v>35</x:v>
      </x:c>
      <x:c r="E1780" s="11" t="str">
        <x:v>02/07</x:v>
      </x:c>
      <x:c r="F1780" s="11" t="str">
        <x:v>מכבידנט גבעתיים</x:v>
      </x:c>
      <x:c r="G1780" s="17" t="n">
        <x:v>150</x:v>
      </x:c>
      <x:c r="H1780" s="18" t="str">
        <x:v>בריאות</x:v>
      </x:c>
      <x:c r="I1780" s="19" t="str">
        <x:f>IFERROR(INDEX('מיפוי ומקורות'!$C$7:$C$33,MATCH(H1780,'מיפוי ומקורות'!$B$7:$B$33,0)),"לא מסווג")</x:f>
        <x:v>בריאות וטיפולים</x:v>
      </x:c>
      <x:c r="J1780" s="19" t="str">
        <x:f>IFERROR(INDEX('מיפוי ומקורות'!$D$7:$D$33,MATCH(H1780,'מיפוי ומקורות'!$B$7:$B$33,0)),"שוטף")</x:f>
        <x:v>שוטף</x:v>
      </x:c>
      <x:c r="K1780" s="19" t="str">
        <x:f>IF(OR(H1780="ריביות",AND(H1780="דירה כצנלסון",G1780&lt;0,ISNUMBER(SEARCH("הכנסה",F1780)))),"הכנסה שסווגה מחדש",J1780)</x:f>
        <x:v>שוטף</x:v>
      </x:c>
      <x:c r="L1780" s="19" t="str">
        <x:v>מאושר</x:v>
      </x:c>
      <x:c r="M1780" s="20" t="n">
        <x:f>IF(L1780="מאושר",IF(K1780="הכנסה שסווגה מחדש",0,G1780),0)</x:f>
        <x:v>150</x:v>
      </x:c>
      <x:c r="N1780" s="20" t="n">
        <x:f>IF(K1780="שוטף",M1780,0)</x:f>
        <x:v>150</x:v>
      </x:c>
      <x:c r="O1780" s="20" t="n">
        <x:f>IF(K1780="הכנסה שסווגה מחדש",-G1780,0)</x:f>
        <x:v>0</x:v>
      </x:c>
      <x:c r="P1780" s="11" t="str">
        <x:v>אמקס - עינור</x:v>
      </x:c>
      <x:c r="Q1780" s="11" t="str"/>
      <x:c r="R1780" s="11" t="str">
        <x:v>לא</x:v>
      </x:c>
    </x:row>
    <x:row r="1781">
      <x:c r="A1781" s="14" t="n">
        <x:v>46204</x:v>
      </x:c>
      <x:c r="B1781" s="11" t="str">
        <x:v>2026-07</x:v>
      </x:c>
      <x:c r="C1781" s="11" t="str">
        <x:v>יולי 26</x:v>
      </x:c>
      <x:c r="D1781" s="15" t="n">
        <x:v>36</x:v>
      </x:c>
      <x:c r="E1781" s="11" t="str">
        <x:v>2.07</x:v>
      </x:c>
      <x:c r="F1781" s="11" t="str">
        <x:v>ירקן</x:v>
      </x:c>
      <x:c r="G1781" s="17" t="n">
        <x:v>7</x:v>
      </x:c>
      <x:c r="H1781" s="18" t="str">
        <x:v>מזון לבית</x:v>
      </x:c>
      <x:c r="I1781" s="19" t="str">
        <x:f>IFERROR(INDEX('מיפוי ומקורות'!$C$7:$C$33,MATCH(H1781,'מיפוי ומקורות'!$B$7:$B$33,0)),"לא מסווג")</x:f>
        <x:v>מזון לבית</x:v>
      </x:c>
      <x:c r="J1781" s="19" t="str">
        <x:f>IFERROR(INDEX('מיפוי ומקורות'!$D$7:$D$33,MATCH(H1781,'מיפוי ומקורות'!$B$7:$B$33,0)),"שוטף")</x:f>
        <x:v>שוטף</x:v>
      </x:c>
      <x:c r="K1781" s="19" t="str">
        <x:f>IF(OR(H1781="ריביות",AND(H1781="דירה כצנלסון",G1781&lt;0,ISNUMBER(SEARCH("הכנסה",F1781)))),"הכנסה שסווגה מחדש",J1781)</x:f>
        <x:v>שוטף</x:v>
      </x:c>
      <x:c r="L1781" s="19" t="str">
        <x:v>מאושר</x:v>
      </x:c>
      <x:c r="M1781" s="20" t="n">
        <x:f>IF(L1781="מאושר",IF(K1781="הכנסה שסווגה מחדש",0,G1781),0)</x:f>
        <x:v>7</x:v>
      </x:c>
      <x:c r="N1781" s="20" t="n">
        <x:f>IF(K1781="שוטף",M1781,0)</x:f>
        <x:v>7</x:v>
      </x:c>
      <x:c r="O1781" s="20" t="n">
        <x:f>IF(K1781="הכנסה שסווגה מחדש",-G1781,0)</x:f>
        <x:v>0</x:v>
      </x:c>
      <x:c r="P1781" s="11" t="str">
        <x:v>אמקס - עינור</x:v>
      </x:c>
      <x:c r="Q1781" s="11" t="str"/>
      <x:c r="R1781" s="11" t="str">
        <x:v>לא</x:v>
      </x:c>
    </x:row>
    <x:row r="1782">
      <x:c r="A1782" s="14" t="n">
        <x:v>46204</x:v>
      </x:c>
      <x:c r="B1782" s="11" t="str">
        <x:v>2026-07</x:v>
      </x:c>
      <x:c r="C1782" s="11" t="str">
        <x:v>יולי 26</x:v>
      </x:c>
      <x:c r="D1782" s="15" t="n">
        <x:v>37</x:v>
      </x:c>
      <x:c r="E1782" s="11" t="str">
        <x:v>2.07</x:v>
      </x:c>
      <x:c r="F1782" s="11" t="str">
        <x:v>דלק</x:v>
      </x:c>
      <x:c r="G1782" s="17" t="n">
        <x:v>175</x:v>
      </x:c>
      <x:c r="H1782" s="18" t="str">
        <x:v>תחבורה</x:v>
      </x:c>
      <x:c r="I1782" s="19" t="str">
        <x:f>IFERROR(INDEX('מיפוי ומקורות'!$C$7:$C$33,MATCH(H1782,'מיפוי ומקורות'!$B$7:$B$33,0)),"לא מסווג")</x:f>
        <x:v>תחבורה</x:v>
      </x:c>
      <x:c r="J1782" s="19" t="str">
        <x:f>IFERROR(INDEX('מיפוי ומקורות'!$D$7:$D$33,MATCH(H1782,'מיפוי ומקורות'!$B$7:$B$33,0)),"שוטף")</x:f>
        <x:v>שוטף</x:v>
      </x:c>
      <x:c r="K1782" s="19" t="str">
        <x:f>IF(OR(H1782="ריביות",AND(H1782="דירה כצנלסון",G1782&lt;0,ISNUMBER(SEARCH("הכנסה",F1782)))),"הכנסה שסווגה מחדש",J1782)</x:f>
        <x:v>שוטף</x:v>
      </x:c>
      <x:c r="L1782" s="19" t="str">
        <x:v>מאושר</x:v>
      </x:c>
      <x:c r="M1782" s="20" t="n">
        <x:f>IF(L1782="מאושר",IF(K1782="הכנסה שסווגה מחדש",0,G1782),0)</x:f>
        <x:v>175</x:v>
      </x:c>
      <x:c r="N1782" s="20" t="n">
        <x:f>IF(K1782="שוטף",M1782,0)</x:f>
        <x:v>175</x:v>
      </x:c>
      <x:c r="O1782" s="20" t="n">
        <x:f>IF(K1782="הכנסה שסווגה מחדש",-G1782,0)</x:f>
        <x:v>0</x:v>
      </x:c>
      <x:c r="P1782" s="11" t="str">
        <x:v>אמקס - עינור</x:v>
      </x:c>
      <x:c r="Q1782" s="11" t="str"/>
      <x:c r="R1782" s="11" t="str">
        <x:v>לא</x:v>
      </x:c>
    </x:row>
    <x:row r="1783">
      <x:c r="A1783" s="14" t="n">
        <x:v>46204</x:v>
      </x:c>
      <x:c r="B1783" s="11" t="str">
        <x:v>2026-07</x:v>
      </x:c>
      <x:c r="C1783" s="11" t="str">
        <x:v>יולי 26</x:v>
      </x:c>
      <x:c r="D1783" s="15" t="n">
        <x:v>38</x:v>
      </x:c>
      <x:c r="E1783" s="11" t="str">
        <x:v>03/07</x:v>
      </x:c>
      <x:c r="F1783" s="11" t="str">
        <x:v>חתונה</x:v>
      </x:c>
      <x:c r="G1783" s="17" t="n">
        <x:v>500</x:v>
      </x:c>
      <x:c r="H1783" s="18" t="str">
        <x:v>מתנה</x:v>
      </x:c>
      <x:c r="I1783" s="19" t="str">
        <x:f>IFERROR(INDEX('מיפוי ומקורות'!$C$7:$C$33,MATCH(H1783,'מיפוי ומקורות'!$B$7:$B$33,0)),"לא מסווג")</x:f>
        <x:v>מתנה</x:v>
      </x:c>
      <x:c r="J1783" s="19" t="str">
        <x:f>IFERROR(INDEX('מיפוי ומקורות'!$D$7:$D$33,MATCH(H1783,'מיפוי ומקורות'!$B$7:$B$33,0)),"שוטף")</x:f>
        <x:v>שוטף</x:v>
      </x:c>
      <x:c r="K1783" s="19" t="str">
        <x:f>IF(OR(H1783="ריביות",AND(H1783="דירה כצנלסון",G1783&lt;0,ISNUMBER(SEARCH("הכנסה",F1783)))),"הכנסה שסווגה מחדש",J1783)</x:f>
        <x:v>שוטף</x:v>
      </x:c>
      <x:c r="L1783" s="19" t="str">
        <x:v>מאושר</x:v>
      </x:c>
      <x:c r="M1783" s="20" t="n">
        <x:f>IF(L1783="מאושר",IF(K1783="הכנסה שסווגה מחדש",0,G1783),0)</x:f>
        <x:v>500</x:v>
      </x:c>
      <x:c r="N1783" s="20" t="n">
        <x:f>IF(K1783="שוטף",M1783,0)</x:f>
        <x:v>500</x:v>
      </x:c>
      <x:c r="O1783" s="20" t="n">
        <x:f>IF(K1783="הכנסה שסווגה מחדש",-G1783,0)</x:f>
        <x:v>0</x:v>
      </x:c>
      <x:c r="P1783" s="11" t="str">
        <x:v>אמקס - עינור</x:v>
      </x:c>
      <x:c r="Q1783" s="11" t="str"/>
      <x:c r="R1783" s="11" t="str">
        <x:v>לא</x:v>
      </x:c>
    </x:row>
    <x:row r="1784">
      <x:c r="A1784" s="14" t="n">
        <x:v>46204</x:v>
      </x:c>
      <x:c r="B1784" s="11" t="str">
        <x:v>2026-07</x:v>
      </x:c>
      <x:c r="C1784" s="11" t="str">
        <x:v>יולי 26</x:v>
      </x:c>
      <x:c r="D1784" s="15" t="n">
        <x:v>39</x:v>
      </x:c>
      <x:c r="E1784" s="11" t="str">
        <x:v>04/07</x:v>
      </x:c>
      <x:c r="F1784" s="11" t="str">
        <x:v>אמריקן איגל גבעתיים-</x:v>
      </x:c>
      <x:c r="G1784" s="17" t="n">
        <x:v>520</x:v>
      </x:c>
      <x:c r="H1784" s="18" t="str">
        <x:v>אופנה</x:v>
      </x:c>
      <x:c r="I1784" s="19" t="str">
        <x:f>IFERROR(INDEX('מיפוי ומקורות'!$C$7:$C$33,MATCH(H1784,'מיפוי ומקורות'!$B$7:$B$33,0)),"לא מסווג")</x:f>
        <x:v>אופנה</x:v>
      </x:c>
      <x:c r="J1784" s="19" t="str">
        <x:f>IFERROR(INDEX('מיפוי ומקורות'!$D$7:$D$33,MATCH(H1784,'מיפוי ומקורות'!$B$7:$B$33,0)),"שוטף")</x:f>
        <x:v>שוטף</x:v>
      </x:c>
      <x:c r="K1784" s="19" t="str">
        <x:f>IF(OR(H1784="ריביות",AND(H1784="דירה כצנלסון",G1784&lt;0,ISNUMBER(SEARCH("הכנסה",F1784)))),"הכנסה שסווגה מחדש",J1784)</x:f>
        <x:v>שוטף</x:v>
      </x:c>
      <x:c r="L1784" s="19" t="str">
        <x:v>מאושר</x:v>
      </x:c>
      <x:c r="M1784" s="20" t="n">
        <x:f>IF(L1784="מאושר",IF(K1784="הכנסה שסווגה מחדש",0,G1784),0)</x:f>
        <x:v>520</x:v>
      </x:c>
      <x:c r="N1784" s="20" t="n">
        <x:f>IF(K1784="שוטף",M1784,0)</x:f>
        <x:v>520</x:v>
      </x:c>
      <x:c r="O1784" s="20" t="n">
        <x:f>IF(K1784="הכנסה שסווגה מחדש",-G1784,0)</x:f>
        <x:v>0</x:v>
      </x:c>
      <x:c r="P1784" s="11" t="str">
        <x:v>אמקס - עינור</x:v>
      </x:c>
      <x:c r="Q1784" s="11" t="str"/>
      <x:c r="R1784" s="11" t="str">
        <x:v>לא</x:v>
      </x:c>
    </x:row>
    <x:row r="1785">
      <x:c r="A1785" s="14" t="n">
        <x:v>46204</x:v>
      </x:c>
      <x:c r="B1785" s="11" t="str">
        <x:v>2026-07</x:v>
      </x:c>
      <x:c r="C1785" s="11" t="str">
        <x:v>יולי 26</x:v>
      </x:c>
      <x:c r="D1785" s="15" t="n">
        <x:v>40</x:v>
      </x:c>
      <x:c r="E1785" s="11" t="str">
        <x:v>5.07</x:v>
      </x:c>
      <x:c r="F1785" s="11" t="str">
        <x:v>פארם</x:v>
      </x:c>
      <x:c r="G1785" s="17" t="n">
        <x:v>39</x:v>
      </x:c>
      <x:c r="H1785" s="18" t="str">
        <x:v>בריאות</x:v>
      </x:c>
      <x:c r="I1785" s="19" t="str">
        <x:f>IFERROR(INDEX('מיפוי ומקורות'!$C$7:$C$33,MATCH(H1785,'מיפוי ומקורות'!$B$7:$B$33,0)),"לא מסווג")</x:f>
        <x:v>בריאות וטיפולים</x:v>
      </x:c>
      <x:c r="J1785" s="19" t="str">
        <x:f>IFERROR(INDEX('מיפוי ומקורות'!$D$7:$D$33,MATCH(H1785,'מיפוי ומקורות'!$B$7:$B$33,0)),"שוטף")</x:f>
        <x:v>שוטף</x:v>
      </x:c>
      <x:c r="K1785" s="19" t="str">
        <x:f>IF(OR(H1785="ריביות",AND(H1785="דירה כצנלסון",G1785&lt;0,ISNUMBER(SEARCH("הכנסה",F1785)))),"הכנסה שסווגה מחדש",J1785)</x:f>
        <x:v>שוטף</x:v>
      </x:c>
      <x:c r="L1785" s="19" t="str">
        <x:v>מאושר</x:v>
      </x:c>
      <x:c r="M1785" s="20" t="n">
        <x:f>IF(L1785="מאושר",IF(K1785="הכנסה שסווגה מחדש",0,G1785),0)</x:f>
        <x:v>39</x:v>
      </x:c>
      <x:c r="N1785" s="20" t="n">
        <x:f>IF(K1785="שוטף",M1785,0)</x:f>
        <x:v>39</x:v>
      </x:c>
      <x:c r="O1785" s="20" t="n">
        <x:f>IF(K1785="הכנסה שסווגה מחדש",-G1785,0)</x:f>
        <x:v>0</x:v>
      </x:c>
      <x:c r="P1785" s="11" t="str">
        <x:v>אמקס - עינור</x:v>
      </x:c>
      <x:c r="Q1785" s="11" t="str"/>
      <x:c r="R1785" s="11" t="str">
        <x:v>לא</x:v>
      </x:c>
    </x:row>
    <x:row r="1786">
      <x:c r="A1786" s="14" t="n">
        <x:v>46204</x:v>
      </x:c>
      <x:c r="B1786" s="11" t="str">
        <x:v>2026-07</x:v>
      </x:c>
      <x:c r="C1786" s="11" t="str">
        <x:v>יולי 26</x:v>
      </x:c>
      <x:c r="D1786" s="15" t="n">
        <x:v>41</x:v>
      </x:c>
      <x:c r="E1786" s="11" t="str">
        <x:v>8.07</x:v>
      </x:c>
      <x:c r="F1786" s="11" t="str">
        <x:v>בנדיקט שרונה</x:v>
      </x:c>
      <x:c r="G1786" s="17" t="n">
        <x:v>73</x:v>
      </x:c>
      <x:c r="H1786" s="18" t="str">
        <x:v>אוכל בחוץ</x:v>
      </x:c>
      <x:c r="I1786" s="19" t="str">
        <x:f>IFERROR(INDEX('מיפוי ומקורות'!$C$7:$C$33,MATCH(H1786,'מיפוי ומקורות'!$B$7:$B$33,0)),"לא מסווג")</x:f>
        <x:v>אוכל בחוץ</x:v>
      </x:c>
      <x:c r="J1786" s="19" t="str">
        <x:f>IFERROR(INDEX('מיפוי ומקורות'!$D$7:$D$33,MATCH(H1786,'מיפוי ומקורות'!$B$7:$B$33,0)),"שוטף")</x:f>
        <x:v>שוטף</x:v>
      </x:c>
      <x:c r="K1786" s="19" t="str">
        <x:f>IF(OR(H1786="ריביות",AND(H1786="דירה כצנלסון",G1786&lt;0,ISNUMBER(SEARCH("הכנסה",F1786)))),"הכנסה שסווגה מחדש",J1786)</x:f>
        <x:v>שוטף</x:v>
      </x:c>
      <x:c r="L1786" s="19" t="str">
        <x:v>מאושר</x:v>
      </x:c>
      <x:c r="M1786" s="20" t="n">
        <x:f>IF(L1786="מאושר",IF(K1786="הכנסה שסווגה מחדש",0,G1786),0)</x:f>
        <x:v>73</x:v>
      </x:c>
      <x:c r="N1786" s="20" t="n">
        <x:f>IF(K1786="שוטף",M1786,0)</x:f>
        <x:v>73</x:v>
      </x:c>
      <x:c r="O1786" s="20" t="n">
        <x:f>IF(K1786="הכנסה שסווגה מחדש",-G1786,0)</x:f>
        <x:v>0</x:v>
      </x:c>
      <x:c r="P1786" s="11" t="str">
        <x:v>אמקס - עינור</x:v>
      </x:c>
      <x:c r="Q1786" s="11" t="str"/>
      <x:c r="R1786" s="11" t="str">
        <x:v>לא</x:v>
      </x:c>
    </x:row>
    <x:row r="1787">
      <x:c r="A1787" s="14" t="n">
        <x:v>46204</x:v>
      </x:c>
      <x:c r="B1787" s="11" t="str">
        <x:v>2026-07</x:v>
      </x:c>
      <x:c r="C1787" s="11" t="str">
        <x:v>יולי 26</x:v>
      </x:c>
      <x:c r="D1787" s="15" t="n">
        <x:v>42</x:v>
      </x:c>
      <x:c r="E1787" s="11" t="str">
        <x:v>10.07</x:v>
      </x:c>
      <x:c r="F1787" s="11" t="str">
        <x:v>ירקן</x:v>
      </x:c>
      <x:c r="G1787" s="17" t="n">
        <x:v>45</x:v>
      </x:c>
      <x:c r="H1787" s="18" t="str">
        <x:v>מזון לבית</x:v>
      </x:c>
      <x:c r="I1787" s="19" t="str">
        <x:f>IFERROR(INDEX('מיפוי ומקורות'!$C$7:$C$33,MATCH(H1787,'מיפוי ומקורות'!$B$7:$B$33,0)),"לא מסווג")</x:f>
        <x:v>מזון לבית</x:v>
      </x:c>
      <x:c r="J1787" s="19" t="str">
        <x:f>IFERROR(INDEX('מיפוי ומקורות'!$D$7:$D$33,MATCH(H1787,'מיפוי ומקורות'!$B$7:$B$33,0)),"שוטף")</x:f>
        <x:v>שוטף</x:v>
      </x:c>
      <x:c r="K1787" s="19" t="str">
        <x:f>IF(OR(H1787="ריביות",AND(H1787="דירה כצנלסון",G1787&lt;0,ISNUMBER(SEARCH("הכנסה",F1787)))),"הכנסה שסווגה מחדש",J1787)</x:f>
        <x:v>שוטף</x:v>
      </x:c>
      <x:c r="L1787" s="19" t="str">
        <x:v>מאושר</x:v>
      </x:c>
      <x:c r="M1787" s="20" t="n">
        <x:f>IF(L1787="מאושר",IF(K1787="הכנסה שסווגה מחדש",0,G1787),0)</x:f>
        <x:v>45</x:v>
      </x:c>
      <x:c r="N1787" s="20" t="n">
        <x:f>IF(K1787="שוטף",M1787,0)</x:f>
        <x:v>45</x:v>
      </x:c>
      <x:c r="O1787" s="20" t="n">
        <x:f>IF(K1787="הכנסה שסווגה מחדש",-G1787,0)</x:f>
        <x:v>0</x:v>
      </x:c>
      <x:c r="P1787" s="11" t="str">
        <x:v>אמקס - עינור</x:v>
      </x:c>
      <x:c r="Q1787" s="11" t="str"/>
      <x:c r="R1787" s="11" t="str">
        <x:v>לא</x:v>
      </x:c>
    </x:row>
    <x:row r="1788">
      <x:c r="A1788" s="14" t="n">
        <x:v>46204</x:v>
      </x:c>
      <x:c r="B1788" s="11" t="str">
        <x:v>2026-07</x:v>
      </x:c>
      <x:c r="C1788" s="11" t="str">
        <x:v>יולי 26</x:v>
      </x:c>
      <x:c r="D1788" s="15" t="n">
        <x:v>43</x:v>
      </x:c>
      <x:c r="E1788" s="11" t="str">
        <x:v>11.07</x:v>
      </x:c>
      <x:c r="F1788" s="11" t="str">
        <x:v>סופר</x:v>
      </x:c>
      <x:c r="G1788" s="17" t="n">
        <x:v>9</x:v>
      </x:c>
      <x:c r="H1788" s="18" t="str">
        <x:v>מזון לבית</x:v>
      </x:c>
      <x:c r="I1788" s="19" t="str">
        <x:f>IFERROR(INDEX('מיפוי ומקורות'!$C$7:$C$33,MATCH(H1788,'מיפוי ומקורות'!$B$7:$B$33,0)),"לא מסווג")</x:f>
        <x:v>מזון לבית</x:v>
      </x:c>
      <x:c r="J1788" s="19" t="str">
        <x:f>IFERROR(INDEX('מיפוי ומקורות'!$D$7:$D$33,MATCH(H1788,'מיפוי ומקורות'!$B$7:$B$33,0)),"שוטף")</x:f>
        <x:v>שוטף</x:v>
      </x:c>
      <x:c r="K1788" s="19" t="str">
        <x:f>IF(OR(H1788="ריביות",AND(H1788="דירה כצנלסון",G1788&lt;0,ISNUMBER(SEARCH("הכנסה",F1788)))),"הכנסה שסווגה מחדש",J1788)</x:f>
        <x:v>שוטף</x:v>
      </x:c>
      <x:c r="L1788" s="19" t="str">
        <x:v>מאושר</x:v>
      </x:c>
      <x:c r="M1788" s="20" t="n">
        <x:f>IF(L1788="מאושר",IF(K1788="הכנסה שסווגה מחדש",0,G1788),0)</x:f>
        <x:v>9</x:v>
      </x:c>
      <x:c r="N1788" s="20" t="n">
        <x:f>IF(K1788="שוטף",M1788,0)</x:f>
        <x:v>9</x:v>
      </x:c>
      <x:c r="O1788" s="20" t="n">
        <x:f>IF(K1788="הכנסה שסווגה מחדש",-G1788,0)</x:f>
        <x:v>0</x:v>
      </x:c>
      <x:c r="P1788" s="11" t="str">
        <x:v>אמקס - עינור</x:v>
      </x:c>
      <x:c r="Q1788" s="11" t="str"/>
      <x:c r="R1788" s="11" t="str">
        <x:v>לא</x:v>
      </x:c>
    </x:row>
    <x:row r="1789">
      <x:c r="A1789" s="14" t="n">
        <x:v>46204</x:v>
      </x:c>
      <x:c r="B1789" s="11" t="str">
        <x:v>2026-07</x:v>
      </x:c>
      <x:c r="C1789" s="11" t="str">
        <x:v>יולי 26</x:v>
      </x:c>
      <x:c r="D1789" s="15" t="n">
        <x:v>44</x:v>
      </x:c>
      <x:c r="E1789" s="11" t="str">
        <x:v>13.07</x:v>
      </x:c>
      <x:c r="F1789" s="11" t="str">
        <x:v>ביצי'קלטה</x:v>
      </x:c>
      <x:c r="G1789" s="17" t="n">
        <x:v>150</x:v>
      </x:c>
      <x:c r="H1789" s="18" t="str">
        <x:v>אוכל בחוץ</x:v>
      </x:c>
      <x:c r="I1789" s="19" t="str">
        <x:f>IFERROR(INDEX('מיפוי ומקורות'!$C$7:$C$33,MATCH(H1789,'מיפוי ומקורות'!$B$7:$B$33,0)),"לא מסווג")</x:f>
        <x:v>אוכל בחוץ</x:v>
      </x:c>
      <x:c r="J1789" s="19" t="str">
        <x:f>IFERROR(INDEX('מיפוי ומקורות'!$D$7:$D$33,MATCH(H1789,'מיפוי ומקורות'!$B$7:$B$33,0)),"שוטף")</x:f>
        <x:v>שוטף</x:v>
      </x:c>
      <x:c r="K1789" s="19" t="str">
        <x:f>IF(OR(H1789="ריביות",AND(H1789="דירה כצנלסון",G1789&lt;0,ISNUMBER(SEARCH("הכנסה",F1789)))),"הכנסה שסווגה מחדש",J1789)</x:f>
        <x:v>שוטף</x:v>
      </x:c>
      <x:c r="L1789" s="19" t="str">
        <x:v>מאושר</x:v>
      </x:c>
      <x:c r="M1789" s="20" t="n">
        <x:f>IF(L1789="מאושר",IF(K1789="הכנסה שסווגה מחדש",0,G1789),0)</x:f>
        <x:v>150</x:v>
      </x:c>
      <x:c r="N1789" s="20" t="n">
        <x:f>IF(K1789="שוטף",M1789,0)</x:f>
        <x:v>150</x:v>
      </x:c>
      <x:c r="O1789" s="20" t="n">
        <x:f>IF(K1789="הכנסה שסווגה מחדש",-G1789,0)</x:f>
        <x:v>0</x:v>
      </x:c>
      <x:c r="P1789" s="11" t="str">
        <x:v>אמקס - עינור</x:v>
      </x:c>
      <x:c r="Q1789" s="11" t="str"/>
      <x:c r="R1789" s="11" t="str">
        <x:v>לא</x:v>
      </x:c>
    </x:row>
    <x:row r="1790">
      <x:c r="A1790" s="14" t="n">
        <x:v>46204</x:v>
      </x:c>
      <x:c r="B1790" s="11" t="str">
        <x:v>2026-07</x:v>
      </x:c>
      <x:c r="C1790" s="11" t="str">
        <x:v>יולי 26</x:v>
      </x:c>
      <x:c r="D1790" s="15" t="n">
        <x:v>45</x:v>
      </x:c>
      <x:c r="E1790" s="11" t="str">
        <x:v>15.07</x:v>
      </x:c>
      <x:c r="F1790" s="11" t="str">
        <x:v>סופר</x:v>
      </x:c>
      <x:c r="G1790" s="17" t="n">
        <x:v>6</x:v>
      </x:c>
      <x:c r="H1790" s="18" t="str">
        <x:v>מזון לבית</x:v>
      </x:c>
      <x:c r="I1790" s="19" t="str">
        <x:f>IFERROR(INDEX('מיפוי ומקורות'!$C$7:$C$33,MATCH(H1790,'מיפוי ומקורות'!$B$7:$B$33,0)),"לא מסווג")</x:f>
        <x:v>מזון לבית</x:v>
      </x:c>
      <x:c r="J1790" s="19" t="str">
        <x:f>IFERROR(INDEX('מיפוי ומקורות'!$D$7:$D$33,MATCH(H1790,'מיפוי ומקורות'!$B$7:$B$33,0)),"שוטף")</x:f>
        <x:v>שוטף</x:v>
      </x:c>
      <x:c r="K1790" s="19" t="str">
        <x:f>IF(OR(H1790="ריביות",AND(H1790="דירה כצנלסון",G1790&lt;0,ISNUMBER(SEARCH("הכנסה",F1790)))),"הכנסה שסווגה מחדש",J1790)</x:f>
        <x:v>שוטף</x:v>
      </x:c>
      <x:c r="L1790" s="19" t="str">
        <x:v>מאושר</x:v>
      </x:c>
      <x:c r="M1790" s="20" t="n">
        <x:f>IF(L1790="מאושר",IF(K1790="הכנסה שסווגה מחדש",0,G1790),0)</x:f>
        <x:v>6</x:v>
      </x:c>
      <x:c r="N1790" s="20" t="n">
        <x:f>IF(K1790="שוטף",M1790,0)</x:f>
        <x:v>6</x:v>
      </x:c>
      <x:c r="O1790" s="20" t="n">
        <x:f>IF(K1790="הכנסה שסווגה מחדש",-G1790,0)</x:f>
        <x:v>0</x:v>
      </x:c>
      <x:c r="P1790" s="11" t="str">
        <x:v>אמקס - עינור</x:v>
      </x:c>
      <x:c r="Q1790" s="11" t="str"/>
      <x:c r="R1790" s="11" t="str">
        <x:v>לא</x:v>
      </x:c>
    </x:row>
    <x:row r="1791">
      <x:c r="A1791" s="14" t="n">
        <x:v>46204</x:v>
      </x:c>
      <x:c r="B1791" s="11" t="str">
        <x:v>2026-07</x:v>
      </x:c>
      <x:c r="C1791" s="11" t="str">
        <x:v>יולי 26</x:v>
      </x:c>
      <x:c r="D1791" s="15" t="n">
        <x:v>46</x:v>
      </x:c>
      <x:c r="E1791" s="11" t="str">
        <x:v>16.07</x:v>
      </x:c>
      <x:c r="F1791" s="11" t="str">
        <x:v>חניון עזריאלי גבעתיי</x:v>
      </x:c>
      <x:c r="G1791" s="17" t="n">
        <x:v>6</x:v>
      </x:c>
      <x:c r="H1791" s="18" t="str">
        <x:v>תחבורה</x:v>
      </x:c>
      <x:c r="I1791" s="19" t="str">
        <x:f>IFERROR(INDEX('מיפוי ומקורות'!$C$7:$C$33,MATCH(H1791,'מיפוי ומקורות'!$B$7:$B$33,0)),"לא מסווג")</x:f>
        <x:v>תחבורה</x:v>
      </x:c>
      <x:c r="J1791" s="19" t="str">
        <x:f>IFERROR(INDEX('מיפוי ומקורות'!$D$7:$D$33,MATCH(H1791,'מיפוי ומקורות'!$B$7:$B$33,0)),"שוטף")</x:f>
        <x:v>שוטף</x:v>
      </x:c>
      <x:c r="K1791" s="19" t="str">
        <x:f>IF(OR(H1791="ריביות",AND(H1791="דירה כצנלסון",G1791&lt;0,ISNUMBER(SEARCH("הכנסה",F1791)))),"הכנסה שסווגה מחדש",J1791)</x:f>
        <x:v>שוטף</x:v>
      </x:c>
      <x:c r="L1791" s="19" t="str">
        <x:v>מאושר</x:v>
      </x:c>
      <x:c r="M1791" s="20" t="n">
        <x:f>IF(L1791="מאושר",IF(K1791="הכנסה שסווגה מחדש",0,G1791),0)</x:f>
        <x:v>6</x:v>
      </x:c>
      <x:c r="N1791" s="20" t="n">
        <x:f>IF(K1791="שוטף",M1791,0)</x:f>
        <x:v>6</x:v>
      </x:c>
      <x:c r="O1791" s="20" t="n">
        <x:f>IF(K1791="הכנסה שסווגה מחדש",-G1791,0)</x:f>
        <x:v>0</x:v>
      </x:c>
      <x:c r="P1791" s="11" t="str">
        <x:v>אמקס - עינור</x:v>
      </x:c>
      <x:c r="Q1791" s="11" t="str"/>
      <x:c r="R1791" s="11" t="str">
        <x:v>לא</x:v>
      </x:c>
    </x:row>
    <x:row r="1792">
      <x:c r="A1792" s="14" t="n">
        <x:v>46204</x:v>
      </x:c>
      <x:c r="B1792" s="11" t="str">
        <x:v>2026-07</x:v>
      </x:c>
      <x:c r="C1792" s="11" t="str">
        <x:v>יולי 26</x:v>
      </x:c>
      <x:c r="D1792" s="15" t="n">
        <x:v>47</x:v>
      </x:c>
      <x:c r="E1792" s="11" t="str">
        <x:v>24/07</x:v>
      </x:c>
      <x:c r="F1792" s="11" t="str">
        <x:v>אלי</x:v>
      </x:c>
      <x:c r="G1792" s="17" t="n">
        <x:v>30</x:v>
      </x:c>
      <x:c r="H1792" s="18" t="str">
        <x:v>תחבורה</x:v>
      </x:c>
      <x:c r="I1792" s="19" t="str">
        <x:f>IFERROR(INDEX('מיפוי ומקורות'!$C$7:$C$33,MATCH(H1792,'מיפוי ומקורות'!$B$7:$B$33,0)),"לא מסווג")</x:f>
        <x:v>תחבורה</x:v>
      </x:c>
      <x:c r="J1792" s="19" t="str">
        <x:f>IFERROR(INDEX('מיפוי ומקורות'!$D$7:$D$33,MATCH(H1792,'מיפוי ומקורות'!$B$7:$B$33,0)),"שוטף")</x:f>
        <x:v>שוטף</x:v>
      </x:c>
      <x:c r="K1792" s="19" t="str">
        <x:f>IF(OR(H1792="ריביות",AND(H1792="דירה כצנלסון",G1792&lt;0,ISNUMBER(SEARCH("הכנסה",F1792)))),"הכנסה שסווגה מחדש",J1792)</x:f>
        <x:v>שוטף</x:v>
      </x:c>
      <x:c r="L1792" s="19" t="str">
        <x:v>מאושר</x:v>
      </x:c>
      <x:c r="M1792" s="20" t="n">
        <x:f>IF(L1792="מאושר",IF(K1792="הכנסה שסווגה מחדש",0,G1792),0)</x:f>
        <x:v>30</x:v>
      </x:c>
      <x:c r="N1792" s="20" t="n">
        <x:f>IF(K1792="שוטף",M1792,0)</x:f>
        <x:v>30</x:v>
      </x:c>
      <x:c r="O1792" s="20" t="n">
        <x:f>IF(K1792="הכנסה שסווגה מחדש",-G1792,0)</x:f>
        <x:v>0</x:v>
      </x:c>
      <x:c r="P1792" s="11" t="str">
        <x:v>אמקס - עינור</x:v>
      </x:c>
      <x:c r="Q1792" s="11" t="str"/>
      <x:c r="R1792" s="11" t="str">
        <x:v>לא</x:v>
      </x:c>
    </x:row>
    <x:row r="1793">
      <x:c r="A1793" s="14" t="n">
        <x:v>46204</x:v>
      </x:c>
      <x:c r="B1793" s="11" t="str">
        <x:v>2026-07</x:v>
      </x:c>
      <x:c r="C1793" s="11" t="str">
        <x:v>יולי 26</x:v>
      </x:c>
      <x:c r="D1793" s="15" t="n">
        <x:v>48</x:v>
      </x:c>
      <x:c r="E1793" s="11" t="str">
        <x:v>25.07</x:v>
      </x:c>
      <x:c r="F1793" s="11" t="str">
        <x:v>סופר</x:v>
      </x:c>
      <x:c r="G1793" s="17" t="n">
        <x:v>9</x:v>
      </x:c>
      <x:c r="H1793" s="18" t="str">
        <x:v>מזון לבית</x:v>
      </x:c>
      <x:c r="I1793" s="19" t="str">
        <x:f>IFERROR(INDEX('מיפוי ומקורות'!$C$7:$C$33,MATCH(H1793,'מיפוי ומקורות'!$B$7:$B$33,0)),"לא מסווג")</x:f>
        <x:v>מזון לבית</x:v>
      </x:c>
      <x:c r="J1793" s="19" t="str">
        <x:f>IFERROR(INDEX('מיפוי ומקורות'!$D$7:$D$33,MATCH(H1793,'מיפוי ומקורות'!$B$7:$B$33,0)),"שוטף")</x:f>
        <x:v>שוטף</x:v>
      </x:c>
      <x:c r="K1793" s="19" t="str">
        <x:f>IF(OR(H1793="ריביות",AND(H1793="דירה כצנלסון",G1793&lt;0,ISNUMBER(SEARCH("הכנסה",F1793)))),"הכנסה שסווגה מחדש",J1793)</x:f>
        <x:v>שוטף</x:v>
      </x:c>
      <x:c r="L1793" s="19" t="str">
        <x:v>מאושר</x:v>
      </x:c>
      <x:c r="M1793" s="20" t="n">
        <x:f>IF(L1793="מאושר",IF(K1793="הכנסה שסווגה מחדש",0,G1793),0)</x:f>
        <x:v>9</x:v>
      </x:c>
      <x:c r="N1793" s="20" t="n">
        <x:f>IF(K1793="שוטף",M1793,0)</x:f>
        <x:v>9</x:v>
      </x:c>
      <x:c r="O1793" s="20" t="n">
        <x:f>IF(K1793="הכנסה שסווגה מחדש",-G1793,0)</x:f>
        <x:v>0</x:v>
      </x:c>
      <x:c r="P1793" s="11" t="str">
        <x:v>אמקס - עינור</x:v>
      </x:c>
      <x:c r="Q1793" s="11" t="str"/>
      <x:c r="R1793" s="11" t="str">
        <x:v>לא</x:v>
      </x:c>
    </x:row>
    <x:row r="1794">
      <x:c r="A1794" s="14" t="n">
        <x:v>46204</x:v>
      </x:c>
      <x:c r="B1794" s="11" t="str">
        <x:v>2026-07</x:v>
      </x:c>
      <x:c r="C1794" s="11" t="str">
        <x:v>יולי 26</x:v>
      </x:c>
      <x:c r="D1794" s="15" t="n">
        <x:v>49</x:v>
      </x:c>
      <x:c r="E1794" s="11" t="str">
        <x:v>25/07</x:v>
      </x:c>
      <x:c r="F1794" s="11" t="str">
        <x:v>באג מולטיסיסטם בע"מ-</x:v>
      </x:c>
      <x:c r="G1794" s="17" t="n">
        <x:v>109</x:v>
      </x:c>
      <x:c r="H1794" s="18" t="str">
        <x:v>מיג'י</x:v>
      </x:c>
      <x:c r="I1794" s="19" t="str">
        <x:f>IFERROR(INDEX('מיפוי ומקורות'!$C$7:$C$33,MATCH(H1794,'מיפוי ומקורות'!$B$7:$B$33,0)),"לא מסווג")</x:f>
        <x:v>תחביבים ומיג'י</x:v>
      </x:c>
      <x:c r="J1794" s="19" t="str">
        <x:f>IFERROR(INDEX('מיפוי ומקורות'!$D$7:$D$33,MATCH(H1794,'מיפוי ומקורות'!$B$7:$B$33,0)),"שוטף")</x:f>
        <x:v>שוטף</x:v>
      </x:c>
      <x:c r="K1794" s="19" t="str">
        <x:f>IF(OR(H1794="ריביות",AND(H1794="דירה כצנלסון",G1794&lt;0,ISNUMBER(SEARCH("הכנסה",F1794)))),"הכנסה שסווגה מחדש",J1794)</x:f>
        <x:v>שוטף</x:v>
      </x:c>
      <x:c r="L1794" s="19" t="str">
        <x:v>מאושר</x:v>
      </x:c>
      <x:c r="M1794" s="20" t="n">
        <x:f>IF(L1794="מאושר",IF(K1794="הכנסה שסווגה מחדש",0,G1794),0)</x:f>
        <x:v>109</x:v>
      </x:c>
      <x:c r="N1794" s="20" t="n">
        <x:f>IF(K1794="שוטף",M1794,0)</x:f>
        <x:v>109</x:v>
      </x:c>
      <x:c r="O1794" s="20" t="n">
        <x:f>IF(K1794="הכנסה שסווגה מחדש",-G1794,0)</x:f>
        <x:v>0</x:v>
      </x:c>
      <x:c r="P1794" s="11" t="str">
        <x:v>אמקס - עינור</x:v>
      </x:c>
      <x:c r="Q1794" s="11" t="str"/>
      <x:c r="R1794" s="11" t="str">
        <x:v>לא</x:v>
      </x:c>
    </x:row>
    <x:row r="1795">
      <x:c r="A1795" s="14" t="n">
        <x:v>46204</x:v>
      </x:c>
      <x:c r="B1795" s="11" t="str">
        <x:v>2026-07</x:v>
      </x:c>
      <x:c r="C1795" s="11" t="str">
        <x:v>יולי 26</x:v>
      </x:c>
      <x:c r="D1795" s="15" t="n">
        <x:v>50</x:v>
      </x:c>
      <x:c r="E1795" s="11" t="str">
        <x:v>26.07</x:v>
      </x:c>
      <x:c r="F1795" s="11" t="str">
        <x:v>אדון ליאון כצנלסון</x:v>
      </x:c>
      <x:c r="G1795" s="17" t="n">
        <x:v>9</x:v>
      </x:c>
      <x:c r="H1795" s="18" t="str">
        <x:v>מזון לבית</x:v>
      </x:c>
      <x:c r="I1795" s="19" t="str">
        <x:f>IFERROR(INDEX('מיפוי ומקורות'!$C$7:$C$33,MATCH(H1795,'מיפוי ומקורות'!$B$7:$B$33,0)),"לא מסווג")</x:f>
        <x:v>מזון לבית</x:v>
      </x:c>
      <x:c r="J1795" s="19" t="str">
        <x:f>IFERROR(INDEX('מיפוי ומקורות'!$D$7:$D$33,MATCH(H1795,'מיפוי ומקורות'!$B$7:$B$33,0)),"שוטף")</x:f>
        <x:v>שוטף</x:v>
      </x:c>
      <x:c r="K1795" s="19" t="str">
        <x:f>IF(OR(H1795="ריביות",AND(H1795="דירה כצנלסון",G1795&lt;0,ISNUMBER(SEARCH("הכנסה",F1795)))),"הכנסה שסווגה מחדש",J1795)</x:f>
        <x:v>שוטף</x:v>
      </x:c>
      <x:c r="L1795" s="19" t="str">
        <x:v>מאושר</x:v>
      </x:c>
      <x:c r="M1795" s="20" t="n">
        <x:f>IF(L1795="מאושר",IF(K1795="הכנסה שסווגה מחדש",0,G1795),0)</x:f>
        <x:v>9</x:v>
      </x:c>
      <x:c r="N1795" s="20" t="n">
        <x:f>IF(K1795="שוטף",M1795,0)</x:f>
        <x:v>9</x:v>
      </x:c>
      <x:c r="O1795" s="20" t="n">
        <x:f>IF(K1795="הכנסה שסווגה מחדש",-G1795,0)</x:f>
        <x:v>0</x:v>
      </x:c>
      <x:c r="P1795" s="11" t="str">
        <x:v>אמקס - עינור</x:v>
      </x:c>
      <x:c r="Q1795" s="11" t="str"/>
      <x:c r="R1795" s="11" t="str">
        <x:v>לא</x:v>
      </x:c>
    </x:row>
    <x:row r="1796">
      <x:c r="A1796" s="14" t="n">
        <x:v>46204</x:v>
      </x:c>
      <x:c r="B1796" s="11" t="str">
        <x:v>2026-07</x:v>
      </x:c>
      <x:c r="C1796" s="11" t="str">
        <x:v>יולי 26</x:v>
      </x:c>
      <x:c r="D1796" s="15" t="n">
        <x:v>51</x:v>
      </x:c>
      <x:c r="E1796" s="11" t="str">
        <x:v>27/07</x:v>
      </x:c>
      <x:c r="F1796" s="11" t="str">
        <x:v>הראל-ביטוח דירה</x:v>
      </x:c>
      <x:c r="G1796" s="17" t="n">
        <x:v>264</x:v>
      </x:c>
      <x:c r="H1796" s="18" t="str">
        <x:v>ביטוח</x:v>
      </x:c>
      <x:c r="I1796" s="19" t="str">
        <x:f>IFERROR(INDEX('מיפוי ומקורות'!$C$7:$C$33,MATCH(H1796,'מיפוי ומקורות'!$B$7:$B$33,0)),"לא מסווג")</x:f>
        <x:v>ביטוח</x:v>
      </x:c>
      <x:c r="J1796" s="19" t="str">
        <x:f>IFERROR(INDEX('מיפוי ומקורות'!$D$7:$D$33,MATCH(H1796,'מיפוי ומקורות'!$B$7:$B$33,0)),"שוטף")</x:f>
        <x:v>שוטף</x:v>
      </x:c>
      <x:c r="K1796" s="19" t="str">
        <x:f>IF(OR(H1796="ריביות",AND(H1796="דירה כצנלסון",G1796&lt;0,ISNUMBER(SEARCH("הכנסה",F1796)))),"הכנסה שסווגה מחדש",J1796)</x:f>
        <x:v>שוטף</x:v>
      </x:c>
      <x:c r="L1796" s="19" t="str">
        <x:v>מאושר</x:v>
      </x:c>
      <x:c r="M1796" s="20" t="n">
        <x:f>IF(L1796="מאושר",IF(K1796="הכנסה שסווגה מחדש",0,G1796),0)</x:f>
        <x:v>264</x:v>
      </x:c>
      <x:c r="N1796" s="20" t="n">
        <x:f>IF(K1796="שוטף",M1796,0)</x:f>
        <x:v>264</x:v>
      </x:c>
      <x:c r="O1796" s="20" t="n">
        <x:f>IF(K1796="הכנסה שסווגה מחדש",-G1796,0)</x:f>
        <x:v>0</x:v>
      </x:c>
      <x:c r="P1796" s="11" t="str">
        <x:v>אמקס - עינור</x:v>
      </x:c>
      <x:c r="Q1796" s="11" t="str"/>
      <x:c r="R1796" s="11" t="str">
        <x:v>לא</x:v>
      </x:c>
    </x:row>
    <x:row r="1797">
      <x:c r="A1797" s="14" t="n">
        <x:v>46204</x:v>
      </x:c>
      <x:c r="B1797" s="11" t="str">
        <x:v>2026-07</x:v>
      </x:c>
      <x:c r="C1797" s="11" t="str">
        <x:v>יולי 26</x:v>
      </x:c>
      <x:c r="D1797" s="15" t="n">
        <x:v>52</x:v>
      </x:c>
      <x:c r="E1797" s="11" t="str">
        <x:v>28.07</x:v>
      </x:c>
      <x:c r="F1797" s="11" t="str">
        <x:v>סופר</x:v>
      </x:c>
      <x:c r="G1797" s="17" t="n">
        <x:v>13</x:v>
      </x:c>
      <x:c r="H1797" s="18" t="str">
        <x:v>מזון לבית</x:v>
      </x:c>
      <x:c r="I1797" s="19" t="str">
        <x:f>IFERROR(INDEX('מיפוי ומקורות'!$C$7:$C$33,MATCH(H1797,'מיפוי ומקורות'!$B$7:$B$33,0)),"לא מסווג")</x:f>
        <x:v>מזון לבית</x:v>
      </x:c>
      <x:c r="J1797" s="19" t="str">
        <x:f>IFERROR(INDEX('מיפוי ומקורות'!$D$7:$D$33,MATCH(H1797,'מיפוי ומקורות'!$B$7:$B$33,0)),"שוטף")</x:f>
        <x:v>שוטף</x:v>
      </x:c>
      <x:c r="K1797" s="19" t="str">
        <x:f>IF(OR(H1797="ריביות",AND(H1797="דירה כצנלסון",G1797&lt;0,ISNUMBER(SEARCH("הכנסה",F1797)))),"הכנסה שסווגה מחדש",J1797)</x:f>
        <x:v>שוטף</x:v>
      </x:c>
      <x:c r="L1797" s="19" t="str">
        <x:v>מאושר</x:v>
      </x:c>
      <x:c r="M1797" s="20" t="n">
        <x:f>IF(L1797="מאושר",IF(K1797="הכנסה שסווגה מחדש",0,G1797),0)</x:f>
        <x:v>13</x:v>
      </x:c>
      <x:c r="N1797" s="20" t="n">
        <x:f>IF(K1797="שוטף",M1797,0)</x:f>
        <x:v>13</x:v>
      </x:c>
      <x:c r="O1797" s="20" t="n">
        <x:f>IF(K1797="הכנסה שסווגה מחדש",-G1797,0)</x:f>
        <x:v>0</x:v>
      </x:c>
      <x:c r="P1797" s="11" t="str">
        <x:v>אמקס - עינור</x:v>
      </x:c>
      <x:c r="Q1797" s="11" t="str"/>
      <x:c r="R1797" s="11" t="str">
        <x:v>לא</x:v>
      </x:c>
    </x:row>
    <x:row r="1798">
      <x:c r="A1798" s="14" t="n">
        <x:v>46204</x:v>
      </x:c>
      <x:c r="B1798" s="11" t="str">
        <x:v>2026-07</x:v>
      </x:c>
      <x:c r="C1798" s="11" t="str">
        <x:v>יולי 26</x:v>
      </x:c>
      <x:c r="D1798" s="15" t="n">
        <x:v>53</x:v>
      </x:c>
      <x:c r="E1798" s="11" t="str">
        <x:v>30.07</x:v>
      </x:c>
      <x:c r="F1798" s="11" t="str">
        <x:v>SHEIN.COM</x:v>
      </x:c>
      <x:c r="G1798" s="17" t="n">
        <x:v>319</x:v>
      </x:c>
      <x:c r="H1798" s="18" t="str">
        <x:v>אופנה</x:v>
      </x:c>
      <x:c r="I1798" s="19" t="str">
        <x:f>IFERROR(INDEX('מיפוי ומקורות'!$C$7:$C$33,MATCH(H1798,'מיפוי ומקורות'!$B$7:$B$33,0)),"לא מסווג")</x:f>
        <x:v>אופנה</x:v>
      </x:c>
      <x:c r="J1798" s="19" t="str">
        <x:f>IFERROR(INDEX('מיפוי ומקורות'!$D$7:$D$33,MATCH(H1798,'מיפוי ומקורות'!$B$7:$B$33,0)),"שוטף")</x:f>
        <x:v>שוטף</x:v>
      </x:c>
      <x:c r="K1798" s="19" t="str">
        <x:f>IF(OR(H1798="ריביות",AND(H1798="דירה כצנלסון",G1798&lt;0,ISNUMBER(SEARCH("הכנסה",F1798)))),"הכנסה שסווגה מחדש",J1798)</x:f>
        <x:v>שוטף</x:v>
      </x:c>
      <x:c r="L1798" s="19" t="str">
        <x:v>מאושר</x:v>
      </x:c>
      <x:c r="M1798" s="20" t="n">
        <x:f>IF(L1798="מאושר",IF(K1798="הכנסה שסווגה מחדש",0,G1798),0)</x:f>
        <x:v>319</x:v>
      </x:c>
      <x:c r="N1798" s="20" t="n">
        <x:f>IF(K1798="שוטף",M1798,0)</x:f>
        <x:v>319</x:v>
      </x:c>
      <x:c r="O1798" s="20" t="n">
        <x:f>IF(K1798="הכנסה שסווגה מחדש",-G1798,0)</x:f>
        <x:v>0</x:v>
      </x:c>
      <x:c r="P1798" s="11" t="str">
        <x:v>אמקס - עינור</x:v>
      </x:c>
      <x:c r="Q1798" s="11" t="str"/>
      <x:c r="R1798" s="11" t="str">
        <x:v>לא</x:v>
      </x:c>
    </x:row>
    <x:row r="1799">
      <x:c r="A1799" s="14" t="n">
        <x:v>46204</x:v>
      </x:c>
      <x:c r="B1799" s="11" t="str">
        <x:v>2026-07</x:v>
      </x:c>
      <x:c r="C1799" s="11" t="str">
        <x:v>יולי 26</x:v>
      </x:c>
      <x:c r="D1799" s="15" t="n">
        <x:v>54</x:v>
      </x:c>
      <x:c r="E1799" s="11" t="str">
        <x:v>30/07</x:v>
      </x:c>
      <x:c r="F1799" s="11" t="str">
        <x:v>אוכל</x:v>
      </x:c>
      <x:c r="G1799" s="17" t="n">
        <x:v>20</x:v>
      </x:c>
      <x:c r="H1799" s="18" t="str">
        <x:v>אוכל בחוץ</x:v>
      </x:c>
      <x:c r="I1799" s="19" t="str">
        <x:f>IFERROR(INDEX('מיפוי ומקורות'!$C$7:$C$33,MATCH(H1799,'מיפוי ומקורות'!$B$7:$B$33,0)),"לא מסווג")</x:f>
        <x:v>אוכל בחוץ</x:v>
      </x:c>
      <x:c r="J1799" s="19" t="str">
        <x:f>IFERROR(INDEX('מיפוי ומקורות'!$D$7:$D$33,MATCH(H1799,'מיפוי ומקורות'!$B$7:$B$33,0)),"שוטף")</x:f>
        <x:v>שוטף</x:v>
      </x:c>
      <x:c r="K1799" s="19" t="str">
        <x:f>IF(OR(H1799="ריביות",AND(H1799="דירה כצנלסון",G1799&lt;0,ISNUMBER(SEARCH("הכנסה",F1799)))),"הכנסה שסווגה מחדש",J1799)</x:f>
        <x:v>שוטף</x:v>
      </x:c>
      <x:c r="L1799" s="19" t="str">
        <x:v>מאושר</x:v>
      </x:c>
      <x:c r="M1799" s="20" t="n">
        <x:f>IF(L1799="מאושר",IF(K1799="הכנסה שסווגה מחדש",0,G1799),0)</x:f>
        <x:v>20</x:v>
      </x:c>
      <x:c r="N1799" s="20" t="n">
        <x:f>IF(K1799="שוטף",M1799,0)</x:f>
        <x:v>20</x:v>
      </x:c>
      <x:c r="O1799" s="20" t="n">
        <x:f>IF(K1799="הכנסה שסווגה מחדש",-G1799,0)</x:f>
        <x:v>0</x:v>
      </x:c>
      <x:c r="P1799" s="11" t="str">
        <x:v>אמקס - עינור</x:v>
      </x:c>
      <x:c r="Q1799" s="11" t="str"/>
      <x:c r="R1799" s="11" t="str">
        <x:v>לא</x:v>
      </x:c>
    </x:row>
    <x:row r="1800">
      <x:c r="A1800" s="14" t="n">
        <x:v>46204</x:v>
      </x:c>
      <x:c r="B1800" s="11" t="str">
        <x:v>2026-07</x:v>
      </x:c>
      <x:c r="C1800" s="11" t="str">
        <x:v>יולי 26</x:v>
      </x:c>
      <x:c r="D1800" s="15" t="n">
        <x:v>55</x:v>
      </x:c>
      <x:c r="E1800" s="11" t="str">
        <x:v>31.07</x:v>
      </x:c>
      <x:c r="F1800" s="11" t="str">
        <x:v>ניצת הדובדבן אבן גבי</x:v>
      </x:c>
      <x:c r="G1800" s="17" t="n">
        <x:v>30</x:v>
      </x:c>
      <x:c r="H1800" s="18" t="str">
        <x:v>מזון לבית</x:v>
      </x:c>
      <x:c r="I1800" s="19" t="str">
        <x:f>IFERROR(INDEX('מיפוי ומקורות'!$C$7:$C$33,MATCH(H1800,'מיפוי ומקורות'!$B$7:$B$33,0)),"לא מסווג")</x:f>
        <x:v>מזון לבית</x:v>
      </x:c>
      <x:c r="J1800" s="19" t="str">
        <x:f>IFERROR(INDEX('מיפוי ומקורות'!$D$7:$D$33,MATCH(H1800,'מיפוי ומקורות'!$B$7:$B$33,0)),"שוטף")</x:f>
        <x:v>שוטף</x:v>
      </x:c>
      <x:c r="K1800" s="19" t="str">
        <x:f>IF(OR(H1800="ריביות",AND(H1800="דירה כצנלסון",G1800&lt;0,ISNUMBER(SEARCH("הכנסה",F1800)))),"הכנסה שסווגה מחדש",J1800)</x:f>
        <x:v>שוטף</x:v>
      </x:c>
      <x:c r="L1800" s="19" t="str">
        <x:v>מאושר</x:v>
      </x:c>
      <x:c r="M1800" s="20" t="n">
        <x:f>IF(L1800="מאושר",IF(K1800="הכנסה שסווגה מחדש",0,G1800),0)</x:f>
        <x:v>30</x:v>
      </x:c>
      <x:c r="N1800" s="20" t="n">
        <x:f>IF(K1800="שוטף",M1800,0)</x:f>
        <x:v>30</x:v>
      </x:c>
      <x:c r="O1800" s="20" t="n">
        <x:f>IF(K1800="הכנסה שסווגה מחדש",-G1800,0)</x:f>
        <x:v>0</x:v>
      </x:c>
      <x:c r="P1800" s="11" t="str">
        <x:v>אמקס - עינור</x:v>
      </x:c>
      <x:c r="Q1800" s="11" t="str"/>
      <x:c r="R1800" s="11" t="str">
        <x:v>לא</x:v>
      </x:c>
    </x:row>
    <x:row r="1801">
      <x:c r="A1801" s="14" t="n">
        <x:v>46204</x:v>
      </x:c>
      <x:c r="B1801" s="11" t="str">
        <x:v>2026-07</x:v>
      </x:c>
      <x:c r="C1801" s="11" t="str">
        <x:v>יולי 26</x:v>
      </x:c>
      <x:c r="D1801" s="15" t="n">
        <x:v>56</x:v>
      </x:c>
      <x:c r="E1801" s="11" t="str"/>
      <x:c r="F1801" s="11" t="str">
        <x:v>קרוז + ניו יורק 26</x:v>
      </x:c>
      <x:c r="G1801" s="17" t="n">
        <x:v>16037</x:v>
      </x:c>
      <x:c r="H1801" s="18" t="str">
        <x:v>חופשה</x:v>
      </x:c>
      <x:c r="I1801" s="19" t="str">
        <x:f>IFERROR(INDEX('מיפוי ומקורות'!$C$7:$C$33,MATCH(H1801,'מיפוי ומקורות'!$B$7:$B$33,0)),"לא מסווג")</x:f>
        <x:v>נסיעות וחופשות</x:v>
      </x:c>
      <x:c r="J1801" s="19" t="str">
        <x:f>IFERROR(INDEX('מיפוי ומקורות'!$D$7:$D$33,MATCH(H1801,'מיפוי ומקורות'!$B$7:$B$33,0)),"שוטף")</x:f>
        <x:v>חריג</x:v>
      </x:c>
      <x:c r="K1801" s="19" t="str">
        <x:f>IF(OR(H1801="ריביות",AND(H1801="דירה כצנלסון",G1801&lt;0,ISNUMBER(SEARCH("הכנסה",F1801)))),"הכנסה שסווגה מחדש",J1801)</x:f>
        <x:v>חריג</x:v>
      </x:c>
      <x:c r="L1801" s="19" t="str">
        <x:v>מאושר</x:v>
      </x:c>
      <x:c r="M1801" s="20" t="n">
        <x:f>IF(L1801="מאושר",IF(K1801="הכנסה שסווגה מחדש",0,G1801),0)</x:f>
        <x:v>16037</x:v>
      </x:c>
      <x:c r="N1801" s="20" t="n">
        <x:f>IF(K1801="שוטף",M1801,0)</x:f>
        <x:v>0</x:v>
      </x:c>
      <x:c r="O1801" s="20" t="n">
        <x:f>IF(K1801="הכנסה שסווגה מחדש",-G1801,0)</x:f>
        <x:v>0</x:v>
      </x:c>
      <x:c r="P1801" s="11" t="str"/>
      <x:c r="Q1801" s="11" t="str">
        <x:v>auto:vacation:קרוז + ניו יורק 26</x:v>
      </x:c>
      <x:c r="R1801" s="11" t="str">
        <x:v>כן</x:v>
      </x:c>
    </x:row>
    <x:row r="1802">
      <x:c r="A1802" s="14" t="n">
        <x:v>46204</x:v>
      </x:c>
      <x:c r="B1802" s="11" t="str">
        <x:v>2026-07</x:v>
      </x:c>
      <x:c r="C1802" s="11" t="str">
        <x:v>יולי 26</x:v>
      </x:c>
      <x:c r="D1802" s="15" t="n">
        <x:v>57</x:v>
      </x:c>
      <x:c r="E1802" s="11" t="str">
        <x:v>30/06</x:v>
      </x:c>
      <x:c r="F1802" s="11" t="str">
        <x:v>חתונה</x:v>
      </x:c>
      <x:c r="G1802" s="17" t="n">
        <x:v>555</x:v>
      </x:c>
      <x:c r="H1802" s="18" t="str">
        <x:v>מתנה</x:v>
      </x:c>
      <x:c r="I1802" s="19" t="str">
        <x:f>IFERROR(INDEX('מיפוי ומקורות'!$C$7:$C$33,MATCH(H1802,'מיפוי ומקורות'!$B$7:$B$33,0)),"לא מסווג")</x:f>
        <x:v>מתנה</x:v>
      </x:c>
      <x:c r="J1802" s="19" t="str">
        <x:f>IFERROR(INDEX('מיפוי ומקורות'!$D$7:$D$33,MATCH(H1802,'מיפוי ומקורות'!$B$7:$B$33,0)),"שוטף")</x:f>
        <x:v>שוטף</x:v>
      </x:c>
      <x:c r="K1802" s="19" t="str">
        <x:f>IF(OR(H1802="ריביות",AND(H1802="דירה כצנלסון",G1802&lt;0,ISNUMBER(SEARCH("הכנסה",F1802)))),"הכנסה שסווגה מחדש",J1802)</x:f>
        <x:v>שוטף</x:v>
      </x:c>
      <x:c r="L1802" s="19" t="str">
        <x:v>מאושר</x:v>
      </x:c>
      <x:c r="M1802" s="20" t="n">
        <x:f>IF(L1802="מאושר",IF(K1802="הכנסה שסווגה מחדש",0,G1802),0)</x:f>
        <x:v>555</x:v>
      </x:c>
      <x:c r="N1802" s="20" t="n">
        <x:f>IF(K1802="שוטף",M1802,0)</x:f>
        <x:v>555</x:v>
      </x:c>
      <x:c r="O1802" s="20" t="n">
        <x:f>IF(K1802="הכנסה שסווגה מחדש",-G1802,0)</x:f>
        <x:v>0</x:v>
      </x:c>
      <x:c r="P1802" s="11" t="str">
        <x:v>אמקס - זיו</x:v>
      </x:c>
      <x:c r="Q1802" s="11" t="str"/>
      <x:c r="R1802" s="11" t="str">
        <x:v>לא</x:v>
      </x:c>
    </x:row>
    <x:row r="1803">
      <x:c r="A1803" s="14" t="n">
        <x:v>46204</x:v>
      </x:c>
      <x:c r="B1803" s="11" t="str">
        <x:v>2026-07</x:v>
      </x:c>
      <x:c r="C1803" s="11" t="str">
        <x:v>יולי 26</x:v>
      </x:c>
      <x:c r="D1803" s="15" t="n">
        <x:v>58</x:v>
      </x:c>
      <x:c r="E1803" s="11" t="str">
        <x:v>1.07</x:v>
      </x:c>
      <x:c r="F1803" s="11" t="str">
        <x:v>סופר</x:v>
      </x:c>
      <x:c r="G1803" s="17" t="n">
        <x:v>12</x:v>
      </x:c>
      <x:c r="H1803" s="18" t="str">
        <x:v>מזון לבית</x:v>
      </x:c>
      <x:c r="I1803" s="19" t="str">
        <x:f>IFERROR(INDEX('מיפוי ומקורות'!$C$7:$C$33,MATCH(H1803,'מיפוי ומקורות'!$B$7:$B$33,0)),"לא מסווג")</x:f>
        <x:v>מזון לבית</x:v>
      </x:c>
      <x:c r="J1803" s="19" t="str">
        <x:f>IFERROR(INDEX('מיפוי ומקורות'!$D$7:$D$33,MATCH(H1803,'מיפוי ומקורות'!$B$7:$B$33,0)),"שוטף")</x:f>
        <x:v>שוטף</x:v>
      </x:c>
      <x:c r="K1803" s="19" t="str">
        <x:f>IF(OR(H1803="ריביות",AND(H1803="דירה כצנלסון",G1803&lt;0,ISNUMBER(SEARCH("הכנסה",F1803)))),"הכנסה שסווגה מחדש",J1803)</x:f>
        <x:v>שוטף</x:v>
      </x:c>
      <x:c r="L1803" s="19" t="str">
        <x:v>מאושר</x:v>
      </x:c>
      <x:c r="M1803" s="20" t="n">
        <x:f>IF(L1803="מאושר",IF(K1803="הכנסה שסווגה מחדש",0,G1803),0)</x:f>
        <x:v>12</x:v>
      </x:c>
      <x:c r="N1803" s="20" t="n">
        <x:f>IF(K1803="שוטף",M1803,0)</x:f>
        <x:v>12</x:v>
      </x:c>
      <x:c r="O1803" s="20" t="n">
        <x:f>IF(K1803="הכנסה שסווגה מחדש",-G1803,0)</x:f>
        <x:v>0</x:v>
      </x:c>
      <x:c r="P1803" s="11" t="str">
        <x:v>אמקס - זיו</x:v>
      </x:c>
      <x:c r="Q1803" s="11" t="str"/>
      <x:c r="R1803" s="11" t="str">
        <x:v>לא</x:v>
      </x:c>
    </x:row>
    <x:row r="1804">
      <x:c r="A1804" s="14" t="n">
        <x:v>46204</x:v>
      </x:c>
      <x:c r="B1804" s="11" t="str">
        <x:v>2026-07</x:v>
      </x:c>
      <x:c r="C1804" s="11" t="str">
        <x:v>יולי 26</x:v>
      </x:c>
      <x:c r="D1804" s="15" t="n">
        <x:v>59</x:v>
      </x:c>
      <x:c r="E1804" s="11" t="str">
        <x:v>2.07</x:v>
      </x:c>
      <x:c r="F1804" s="11" t="str">
        <x:v>תמרה יוגורט</x:v>
      </x:c>
      <x:c r="G1804" s="17" t="n">
        <x:v>25</x:v>
      </x:c>
      <x:c r="H1804" s="18" t="str">
        <x:v>אוכל בחוץ</x:v>
      </x:c>
      <x:c r="I1804" s="19" t="str">
        <x:f>IFERROR(INDEX('מיפוי ומקורות'!$C$7:$C$33,MATCH(H1804,'מיפוי ומקורות'!$B$7:$B$33,0)),"לא מסווג")</x:f>
        <x:v>אוכל בחוץ</x:v>
      </x:c>
      <x:c r="J1804" s="19" t="str">
        <x:f>IFERROR(INDEX('מיפוי ומקורות'!$D$7:$D$33,MATCH(H1804,'מיפוי ומקורות'!$B$7:$B$33,0)),"שוטף")</x:f>
        <x:v>שוטף</x:v>
      </x:c>
      <x:c r="K1804" s="19" t="str">
        <x:f>IF(OR(H1804="ריביות",AND(H1804="דירה כצנלסון",G1804&lt;0,ISNUMBER(SEARCH("הכנסה",F1804)))),"הכנסה שסווגה מחדש",J1804)</x:f>
        <x:v>שוטף</x:v>
      </x:c>
      <x:c r="L1804" s="19" t="str">
        <x:v>מאושר</x:v>
      </x:c>
      <x:c r="M1804" s="20" t="n">
        <x:f>IF(L1804="מאושר",IF(K1804="הכנסה שסווגה מחדש",0,G1804),0)</x:f>
        <x:v>25</x:v>
      </x:c>
      <x:c r="N1804" s="20" t="n">
        <x:f>IF(K1804="שוטף",M1804,0)</x:f>
        <x:v>25</x:v>
      </x:c>
      <x:c r="O1804" s="20" t="n">
        <x:f>IF(K1804="הכנסה שסווגה מחדש",-G1804,0)</x:f>
        <x:v>0</x:v>
      </x:c>
      <x:c r="P1804" s="11" t="str">
        <x:v>אמקס - זיו</x:v>
      </x:c>
      <x:c r="Q1804" s="11" t="str"/>
      <x:c r="R1804" s="11" t="str">
        <x:v>לא</x:v>
      </x:c>
    </x:row>
    <x:row r="1805">
      <x:c r="A1805" s="14" t="n">
        <x:v>46204</x:v>
      </x:c>
      <x:c r="B1805" s="11" t="str">
        <x:v>2026-07</x:v>
      </x:c>
      <x:c r="C1805" s="11" t="str">
        <x:v>יולי 26</x:v>
      </x:c>
      <x:c r="D1805" s="15" t="n">
        <x:v>60</x:v>
      </x:c>
      <x:c r="E1805" s="11" t="str">
        <x:v>3.07</x:v>
      </x:c>
      <x:c r="F1805" s="11" t="str">
        <x:v>אחוזות החוף- חניון ס</x:v>
      </x:c>
      <x:c r="G1805" s="17" t="n">
        <x:v>44</x:v>
      </x:c>
      <x:c r="H1805" s="18" t="str">
        <x:v>תחבורה</x:v>
      </x:c>
      <x:c r="I1805" s="19" t="str">
        <x:f>IFERROR(INDEX('מיפוי ומקורות'!$C$7:$C$33,MATCH(H1805,'מיפוי ומקורות'!$B$7:$B$33,0)),"לא מסווג")</x:f>
        <x:v>תחבורה</x:v>
      </x:c>
      <x:c r="J1805" s="19" t="str">
        <x:f>IFERROR(INDEX('מיפוי ומקורות'!$D$7:$D$33,MATCH(H1805,'מיפוי ומקורות'!$B$7:$B$33,0)),"שוטף")</x:f>
        <x:v>שוטף</x:v>
      </x:c>
      <x:c r="K1805" s="19" t="str">
        <x:f>IF(OR(H1805="ריביות",AND(H1805="דירה כצנלסון",G1805&lt;0,ISNUMBER(SEARCH("הכנסה",F1805)))),"הכנסה שסווגה מחדש",J1805)</x:f>
        <x:v>שוטף</x:v>
      </x:c>
      <x:c r="L1805" s="19" t="str">
        <x:v>מאושר</x:v>
      </x:c>
      <x:c r="M1805" s="20" t="n">
        <x:f>IF(L1805="מאושר",IF(K1805="הכנסה שסווגה מחדש",0,G1805),0)</x:f>
        <x:v>44</x:v>
      </x:c>
      <x:c r="N1805" s="20" t="n">
        <x:f>IF(K1805="שוטף",M1805,0)</x:f>
        <x:v>44</x:v>
      </x:c>
      <x:c r="O1805" s="20" t="n">
        <x:f>IF(K1805="הכנסה שסווגה מחדש",-G1805,0)</x:f>
        <x:v>0</x:v>
      </x:c>
      <x:c r="P1805" s="11" t="str">
        <x:v>אמקס - זיו</x:v>
      </x:c>
      <x:c r="Q1805" s="11" t="str"/>
      <x:c r="R1805" s="11" t="str">
        <x:v>לא</x:v>
      </x:c>
    </x:row>
    <x:row r="1806">
      <x:c r="A1806" s="14" t="n">
        <x:v>46204</x:v>
      </x:c>
      <x:c r="B1806" s="11" t="str">
        <x:v>2026-07</x:v>
      </x:c>
      <x:c r="C1806" s="11" t="str">
        <x:v>יולי 26</x:v>
      </x:c>
      <x:c r="D1806" s="15" t="n">
        <x:v>61</x:v>
      </x:c>
      <x:c r="E1806" s="11" t="str">
        <x:v>03/07</x:v>
      </x:c>
      <x:c r="F1806" s="11" t="str">
        <x:v>מזגן כצנלסון</x:v>
      </x:c>
      <x:c r="G1806" s="17" t="n">
        <x:v>450</x:v>
      </x:c>
      <x:c r="H1806" s="18" t="str">
        <x:v>דירה כצנלסון</x:v>
      </x:c>
      <x:c r="I1806" s="19" t="str">
        <x:f>IFERROR(INDEX('מיפוי ומקורות'!$C$7:$C$33,MATCH(H1806,'מיפוי ומקורות'!$B$7:$B$33,0)),"לא מסווג")</x:f>
        <x:v>נכס להשקעה</x:v>
      </x:c>
      <x:c r="J1806" s="19" t="str">
        <x:f>IFERROR(INDEX('מיפוי ומקורות'!$D$7:$D$33,MATCH(H1806,'מיפוי ומקורות'!$B$7:$B$33,0)),"שוטף")</x:f>
        <x:v>חריג/נכס</x:v>
      </x:c>
      <x:c r="K1806" s="19" t="str">
        <x:f>IF(OR(H1806="ריביות",AND(H1806="דירה כצנלסון",G1806&lt;0,ISNUMBER(SEARCH("הכנסה",F1806)))),"הכנסה שסווגה מחדש",J1806)</x:f>
        <x:v>חריג/נכס</x:v>
      </x:c>
      <x:c r="L1806" s="19" t="str">
        <x:v>מאושר</x:v>
      </x:c>
      <x:c r="M1806" s="20" t="n">
        <x:f>IF(L1806="מאושר",IF(K1806="הכנסה שסווגה מחדש",0,G1806),0)</x:f>
        <x:v>450</x:v>
      </x:c>
      <x:c r="N1806" s="20" t="n">
        <x:f>IF(K1806="שוטף",M1806,0)</x:f>
        <x:v>0</x:v>
      </x:c>
      <x:c r="O1806" s="20" t="n">
        <x:f>IF(K1806="הכנסה שסווגה מחדש",-G1806,0)</x:f>
        <x:v>0</x:v>
      </x:c>
      <x:c r="P1806" s="11" t="str">
        <x:v>אמקס - זיו</x:v>
      </x:c>
      <x:c r="Q1806" s="11" t="str"/>
      <x:c r="R1806" s="11" t="str">
        <x:v>לא</x:v>
      </x:c>
    </x:row>
    <x:row r="1807">
      <x:c r="A1807" s="14" t="n">
        <x:v>46204</x:v>
      </x:c>
      <x:c r="B1807" s="11" t="str">
        <x:v>2026-07</x:v>
      </x:c>
      <x:c r="C1807" s="11" t="str">
        <x:v>יולי 26</x:v>
      </x:c>
      <x:c r="D1807" s="15" t="n">
        <x:v>62</x:v>
      </x:c>
      <x:c r="E1807" s="11" t="str">
        <x:v>04/07</x:v>
      </x:c>
      <x:c r="F1807" s="11" t="str">
        <x:v>רב חן גבעתיים-אינטרנ</x:v>
      </x:c>
      <x:c r="G1807" s="17" t="n">
        <x:v>9</x:v>
      </x:c>
      <x:c r="H1807" s="18" t="str">
        <x:v>פנאי</x:v>
      </x:c>
      <x:c r="I1807" s="19" t="str">
        <x:f>IFERROR(INDEX('מיפוי ומקורות'!$C$7:$C$33,MATCH(H1807,'מיפוי ומקורות'!$B$7:$B$33,0)),"לא מסווג")</x:f>
        <x:v>פנאי</x:v>
      </x:c>
      <x:c r="J1807" s="19" t="str">
        <x:f>IFERROR(INDEX('מיפוי ומקורות'!$D$7:$D$33,MATCH(H1807,'מיפוי ומקורות'!$B$7:$B$33,0)),"שוטף")</x:f>
        <x:v>שוטף</x:v>
      </x:c>
      <x:c r="K1807" s="19" t="str">
        <x:f>IF(OR(H1807="ריביות",AND(H1807="דירה כצנלסון",G1807&lt;0,ISNUMBER(SEARCH("הכנסה",F1807)))),"הכנסה שסווגה מחדש",J1807)</x:f>
        <x:v>שוטף</x:v>
      </x:c>
      <x:c r="L1807" s="19" t="str">
        <x:v>מאושר</x:v>
      </x:c>
      <x:c r="M1807" s="20" t="n">
        <x:f>IF(L1807="מאושר",IF(K1807="הכנסה שסווגה מחדש",0,G1807),0)</x:f>
        <x:v>9</x:v>
      </x:c>
      <x:c r="N1807" s="20" t="n">
        <x:f>IF(K1807="שוטף",M1807,0)</x:f>
        <x:v>9</x:v>
      </x:c>
      <x:c r="O1807" s="20" t="n">
        <x:f>IF(K1807="הכנסה שסווגה מחדש",-G1807,0)</x:f>
        <x:v>0</x:v>
      </x:c>
      <x:c r="P1807" s="11" t="str">
        <x:v>אמקס - זיו</x:v>
      </x:c>
      <x:c r="Q1807" s="11" t="str"/>
      <x:c r="R1807" s="11" t="str">
        <x:v>לא</x:v>
      </x:c>
    </x:row>
    <x:row r="1808">
      <x:c r="A1808" s="14" t="n">
        <x:v>46204</x:v>
      </x:c>
      <x:c r="B1808" s="11" t="str">
        <x:v>2026-07</x:v>
      </x:c>
      <x:c r="C1808" s="11" t="str">
        <x:v>יולי 26</x:v>
      </x:c>
      <x:c r="D1808" s="15" t="n">
        <x:v>63</x:v>
      </x:c>
      <x:c r="E1808" s="11" t="str">
        <x:v>6.07</x:v>
      </x:c>
      <x:c r="F1808" s="11" t="str">
        <x:v>ירקן</x:v>
      </x:c>
      <x:c r="G1808" s="17" t="n">
        <x:v>30</x:v>
      </x:c>
      <x:c r="H1808" s="18" t="str">
        <x:v>מזון לבית</x:v>
      </x:c>
      <x:c r="I1808" s="19" t="str">
        <x:f>IFERROR(INDEX('מיפוי ומקורות'!$C$7:$C$33,MATCH(H1808,'מיפוי ומקורות'!$B$7:$B$33,0)),"לא מסווג")</x:f>
        <x:v>מזון לבית</x:v>
      </x:c>
      <x:c r="J1808" s="19" t="str">
        <x:f>IFERROR(INDEX('מיפוי ומקורות'!$D$7:$D$33,MATCH(H1808,'מיפוי ומקורות'!$B$7:$B$33,0)),"שוטף")</x:f>
        <x:v>שוטף</x:v>
      </x:c>
      <x:c r="K1808" s="19" t="str">
        <x:f>IF(OR(H1808="ריביות",AND(H1808="דירה כצנלסון",G1808&lt;0,ISNUMBER(SEARCH("הכנסה",F1808)))),"הכנסה שסווגה מחדש",J1808)</x:f>
        <x:v>שוטף</x:v>
      </x:c>
      <x:c r="L1808" s="19" t="str">
        <x:v>מאושר</x:v>
      </x:c>
      <x:c r="M1808" s="20" t="n">
        <x:f>IF(L1808="מאושר",IF(K1808="הכנסה שסווגה מחדש",0,G1808),0)</x:f>
        <x:v>30</x:v>
      </x:c>
      <x:c r="N1808" s="20" t="n">
        <x:f>IF(K1808="שוטף",M1808,0)</x:f>
        <x:v>30</x:v>
      </x:c>
      <x:c r="O1808" s="20" t="n">
        <x:f>IF(K1808="הכנסה שסווגה מחדש",-G1808,0)</x:f>
        <x:v>0</x:v>
      </x:c>
      <x:c r="P1808" s="11" t="str">
        <x:v>אמקס - זיו</x:v>
      </x:c>
      <x:c r="Q1808" s="11" t="str"/>
      <x:c r="R1808" s="11" t="str">
        <x:v>לא</x:v>
      </x:c>
    </x:row>
    <x:row r="1809">
      <x:c r="A1809" s="14" t="n">
        <x:v>46204</x:v>
      </x:c>
      <x:c r="B1809" s="11" t="str">
        <x:v>2026-07</x:v>
      </x:c>
      <x:c r="C1809" s="11" t="str">
        <x:v>יולי 26</x:v>
      </x:c>
      <x:c r="D1809" s="15" t="n">
        <x:v>64</x:v>
      </x:c>
      <x:c r="E1809" s="11" t="str">
        <x:v>6.07</x:v>
      </x:c>
      <x:c r="F1809" s="11" t="str">
        <x:v>אוכל</x:v>
      </x:c>
      <x:c r="G1809" s="17" t="n">
        <x:v>19</x:v>
      </x:c>
      <x:c r="H1809" s="18" t="str">
        <x:v>אוכל בחוץ</x:v>
      </x:c>
      <x:c r="I1809" s="19" t="str">
        <x:f>IFERROR(INDEX('מיפוי ומקורות'!$C$7:$C$33,MATCH(H1809,'מיפוי ומקורות'!$B$7:$B$33,0)),"לא מסווג")</x:f>
        <x:v>אוכל בחוץ</x:v>
      </x:c>
      <x:c r="J1809" s="19" t="str">
        <x:f>IFERROR(INDEX('מיפוי ומקורות'!$D$7:$D$33,MATCH(H1809,'מיפוי ומקורות'!$B$7:$B$33,0)),"שוטף")</x:f>
        <x:v>שוטף</x:v>
      </x:c>
      <x:c r="K1809" s="19" t="str">
        <x:f>IF(OR(H1809="ריביות",AND(H1809="דירה כצנלסון",G1809&lt;0,ISNUMBER(SEARCH("הכנסה",F1809)))),"הכנסה שסווגה מחדש",J1809)</x:f>
        <x:v>שוטף</x:v>
      </x:c>
      <x:c r="L1809" s="19" t="str">
        <x:v>מאושר</x:v>
      </x:c>
      <x:c r="M1809" s="20" t="n">
        <x:f>IF(L1809="מאושר",IF(K1809="הכנסה שסווגה מחדש",0,G1809),0)</x:f>
        <x:v>19</x:v>
      </x:c>
      <x:c r="N1809" s="20" t="n">
        <x:f>IF(K1809="שוטף",M1809,0)</x:f>
        <x:v>19</x:v>
      </x:c>
      <x:c r="O1809" s="20" t="n">
        <x:f>IF(K1809="הכנסה שסווגה מחדש",-G1809,0)</x:f>
        <x:v>0</x:v>
      </x:c>
      <x:c r="P1809" s="11" t="str">
        <x:v>אמקס - זיו</x:v>
      </x:c>
      <x:c r="Q1809" s="11" t="str"/>
      <x:c r="R1809" s="11" t="str">
        <x:v>לא</x:v>
      </x:c>
    </x:row>
    <x:row r="1810">
      <x:c r="A1810" s="14" t="n">
        <x:v>46204</x:v>
      </x:c>
      <x:c r="B1810" s="11" t="str">
        <x:v>2026-07</x:v>
      </x:c>
      <x:c r="C1810" s="11" t="str">
        <x:v>יולי 26</x:v>
      </x:c>
      <x:c r="D1810" s="15" t="n">
        <x:v>65</x:v>
      </x:c>
      <x:c r="E1810" s="11" t="str">
        <x:v>7.07</x:v>
      </x:c>
      <x:c r="F1810" s="11" t="str">
        <x:v>אוכל</x:v>
      </x:c>
      <x:c r="G1810" s="17" t="n">
        <x:v>131</x:v>
      </x:c>
      <x:c r="H1810" s="18" t="str">
        <x:v>אוכל בחוץ</x:v>
      </x:c>
      <x:c r="I1810" s="19" t="str">
        <x:f>IFERROR(INDEX('מיפוי ומקורות'!$C$7:$C$33,MATCH(H1810,'מיפוי ומקורות'!$B$7:$B$33,0)),"לא מסווג")</x:f>
        <x:v>אוכל בחוץ</x:v>
      </x:c>
      <x:c r="J1810" s="19" t="str">
        <x:f>IFERROR(INDEX('מיפוי ומקורות'!$D$7:$D$33,MATCH(H1810,'מיפוי ומקורות'!$B$7:$B$33,0)),"שוטף")</x:f>
        <x:v>שוטף</x:v>
      </x:c>
      <x:c r="K1810" s="19" t="str">
        <x:f>IF(OR(H1810="ריביות",AND(H1810="דירה כצנלסון",G1810&lt;0,ISNUMBER(SEARCH("הכנסה",F1810)))),"הכנסה שסווגה מחדש",J1810)</x:f>
        <x:v>שוטף</x:v>
      </x:c>
      <x:c r="L1810" s="19" t="str">
        <x:v>מאושר</x:v>
      </x:c>
      <x:c r="M1810" s="20" t="n">
        <x:f>IF(L1810="מאושר",IF(K1810="הכנסה שסווגה מחדש",0,G1810),0)</x:f>
        <x:v>131</x:v>
      </x:c>
      <x:c r="N1810" s="20" t="n">
        <x:f>IF(K1810="שוטף",M1810,0)</x:f>
        <x:v>131</x:v>
      </x:c>
      <x:c r="O1810" s="20" t="n">
        <x:f>IF(K1810="הכנסה שסווגה מחדש",-G1810,0)</x:f>
        <x:v>0</x:v>
      </x:c>
      <x:c r="P1810" s="11" t="str">
        <x:v>אמקס - זיו</x:v>
      </x:c>
      <x:c r="Q1810" s="11" t="str"/>
      <x:c r="R1810" s="11" t="str">
        <x:v>לא</x:v>
      </x:c>
    </x:row>
    <x:row r="1811">
      <x:c r="A1811" s="14" t="n">
        <x:v>46204</x:v>
      </x:c>
      <x:c r="B1811" s="11" t="str">
        <x:v>2026-07</x:v>
      </x:c>
      <x:c r="C1811" s="11" t="str">
        <x:v>יולי 26</x:v>
      </x:c>
      <x:c r="D1811" s="15" t="n">
        <x:v>66</x:v>
      </x:c>
      <x:c r="E1811" s="11" t="str">
        <x:v>8.07</x:v>
      </x:c>
      <x:c r="F1811" s="11" t="str">
        <x:v>ירקן</x:v>
      </x:c>
      <x:c r="G1811" s="17" t="n">
        <x:v>17</x:v>
      </x:c>
      <x:c r="H1811" s="18" t="str">
        <x:v>מזון לבית</x:v>
      </x:c>
      <x:c r="I1811" s="19" t="str">
        <x:f>IFERROR(INDEX('מיפוי ומקורות'!$C$7:$C$33,MATCH(H1811,'מיפוי ומקורות'!$B$7:$B$33,0)),"לא מסווג")</x:f>
        <x:v>מזון לבית</x:v>
      </x:c>
      <x:c r="J1811" s="19" t="str">
        <x:f>IFERROR(INDEX('מיפוי ומקורות'!$D$7:$D$33,MATCH(H1811,'מיפוי ומקורות'!$B$7:$B$33,0)),"שוטף")</x:f>
        <x:v>שוטף</x:v>
      </x:c>
      <x:c r="K1811" s="19" t="str">
        <x:f>IF(OR(H1811="ריביות",AND(H1811="דירה כצנלסון",G1811&lt;0,ISNUMBER(SEARCH("הכנסה",F1811)))),"הכנסה שסווגה מחדש",J1811)</x:f>
        <x:v>שוטף</x:v>
      </x:c>
      <x:c r="L1811" s="19" t="str">
        <x:v>מאושר</x:v>
      </x:c>
      <x:c r="M1811" s="20" t="n">
        <x:f>IF(L1811="מאושר",IF(K1811="הכנסה שסווגה מחדש",0,G1811),0)</x:f>
        <x:v>17</x:v>
      </x:c>
      <x:c r="N1811" s="20" t="n">
        <x:f>IF(K1811="שוטף",M1811,0)</x:f>
        <x:v>17</x:v>
      </x:c>
      <x:c r="O1811" s="20" t="n">
        <x:f>IF(K1811="הכנסה שסווגה מחדש",-G1811,0)</x:f>
        <x:v>0</x:v>
      </x:c>
      <x:c r="P1811" s="11" t="str">
        <x:v>אמקס - זיו</x:v>
      </x:c>
      <x:c r="Q1811" s="11" t="str"/>
      <x:c r="R1811" s="11" t="str">
        <x:v>לא</x:v>
      </x:c>
    </x:row>
    <x:row r="1812">
      <x:c r="A1812" s="14" t="n">
        <x:v>46204</x:v>
      </x:c>
      <x:c r="B1812" s="11" t="str">
        <x:v>2026-07</x:v>
      </x:c>
      <x:c r="C1812" s="11" t="str">
        <x:v>יולי 26</x:v>
      </x:c>
      <x:c r="D1812" s="15" t="n">
        <x:v>67</x:v>
      </x:c>
      <x:c r="E1812" s="11" t="str">
        <x:v>9.07</x:v>
      </x:c>
      <x:c r="F1812" s="11" t="str">
        <x:v>מסעדה</x:v>
      </x:c>
      <x:c r="G1812" s="17" t="n">
        <x:v>15</x:v>
      </x:c>
      <x:c r="H1812" s="18" t="str">
        <x:v>אוכל בחוץ</x:v>
      </x:c>
      <x:c r="I1812" s="19" t="str">
        <x:f>IFERROR(INDEX('מיפוי ומקורות'!$C$7:$C$33,MATCH(H1812,'מיפוי ומקורות'!$B$7:$B$33,0)),"לא מסווג")</x:f>
        <x:v>אוכל בחוץ</x:v>
      </x:c>
      <x:c r="J1812" s="19" t="str">
        <x:f>IFERROR(INDEX('מיפוי ומקורות'!$D$7:$D$33,MATCH(H1812,'מיפוי ומקורות'!$B$7:$B$33,0)),"שוטף")</x:f>
        <x:v>שוטף</x:v>
      </x:c>
      <x:c r="K1812" s="19" t="str">
        <x:f>IF(OR(H1812="ריביות",AND(H1812="דירה כצנלסון",G1812&lt;0,ISNUMBER(SEARCH("הכנסה",F1812)))),"הכנסה שסווגה מחדש",J1812)</x:f>
        <x:v>שוטף</x:v>
      </x:c>
      <x:c r="L1812" s="19" t="str">
        <x:v>מאושר</x:v>
      </x:c>
      <x:c r="M1812" s="20" t="n">
        <x:f>IF(L1812="מאושר",IF(K1812="הכנסה שסווגה מחדש",0,G1812),0)</x:f>
        <x:v>15</x:v>
      </x:c>
      <x:c r="N1812" s="20" t="n">
        <x:f>IF(K1812="שוטף",M1812,0)</x:f>
        <x:v>15</x:v>
      </x:c>
      <x:c r="O1812" s="20" t="n">
        <x:f>IF(K1812="הכנסה שסווגה מחדש",-G1812,0)</x:f>
        <x:v>0</x:v>
      </x:c>
      <x:c r="P1812" s="11" t="str">
        <x:v>אמקס - זיו</x:v>
      </x:c>
      <x:c r="Q1812" s="11" t="str"/>
      <x:c r="R1812" s="11" t="str">
        <x:v>לא</x:v>
      </x:c>
    </x:row>
    <x:row r="1813">
      <x:c r="A1813" s="14" t="n">
        <x:v>46204</x:v>
      </x:c>
      <x:c r="B1813" s="11" t="str">
        <x:v>2026-07</x:v>
      </x:c>
      <x:c r="C1813" s="11" t="str">
        <x:v>יולי 26</x:v>
      </x:c>
      <x:c r="D1813" s="15" t="n">
        <x:v>68</x:v>
      </x:c>
      <x:c r="E1813" s="11" t="str">
        <x:v>9.07</x:v>
      </x:c>
      <x:c r="F1813" s="11" t="str">
        <x:v>סופר</x:v>
      </x:c>
      <x:c r="G1813" s="17" t="n">
        <x:v>25</x:v>
      </x:c>
      <x:c r="H1813" s="18" t="str">
        <x:v>מזון לבית</x:v>
      </x:c>
      <x:c r="I1813" s="19" t="str">
        <x:f>IFERROR(INDEX('מיפוי ומקורות'!$C$7:$C$33,MATCH(H1813,'מיפוי ומקורות'!$B$7:$B$33,0)),"לא מסווג")</x:f>
        <x:v>מזון לבית</x:v>
      </x:c>
      <x:c r="J1813" s="19" t="str">
        <x:f>IFERROR(INDEX('מיפוי ומקורות'!$D$7:$D$33,MATCH(H1813,'מיפוי ומקורות'!$B$7:$B$33,0)),"שוטף")</x:f>
        <x:v>שוטף</x:v>
      </x:c>
      <x:c r="K1813" s="19" t="str">
        <x:f>IF(OR(H1813="ריביות",AND(H1813="דירה כצנלסון",G1813&lt;0,ISNUMBER(SEARCH("הכנסה",F1813)))),"הכנסה שסווגה מחדש",J1813)</x:f>
        <x:v>שוטף</x:v>
      </x:c>
      <x:c r="L1813" s="19" t="str">
        <x:v>מאושר</x:v>
      </x:c>
      <x:c r="M1813" s="20" t="n">
        <x:f>IF(L1813="מאושר",IF(K1813="הכנסה שסווגה מחדש",0,G1813),0)</x:f>
        <x:v>25</x:v>
      </x:c>
      <x:c r="N1813" s="20" t="n">
        <x:f>IF(K1813="שוטף",M1813,0)</x:f>
        <x:v>25</x:v>
      </x:c>
      <x:c r="O1813" s="20" t="n">
        <x:f>IF(K1813="הכנסה שסווגה מחדש",-G1813,0)</x:f>
        <x:v>0</x:v>
      </x:c>
      <x:c r="P1813" s="11" t="str">
        <x:v>אמקס - זיו</x:v>
      </x:c>
      <x:c r="Q1813" s="11" t="str"/>
      <x:c r="R1813" s="11" t="str">
        <x:v>לא</x:v>
      </x:c>
    </x:row>
    <x:row r="1814">
      <x:c r="A1814" s="14" t="n">
        <x:v>46204</x:v>
      </x:c>
      <x:c r="B1814" s="11" t="str">
        <x:v>2026-07</x:v>
      </x:c>
      <x:c r="C1814" s="11" t="str">
        <x:v>יולי 26</x:v>
      </x:c>
      <x:c r="D1814" s="15" t="n">
        <x:v>69</x:v>
      </x:c>
      <x:c r="E1814" s="11" t="str">
        <x:v>9.07</x:v>
      </x:c>
      <x:c r="F1814" s="11" t="str">
        <x:v>סופר מאמא</x:v>
      </x:c>
      <x:c r="G1814" s="17" t="n">
        <x:v>24</x:v>
      </x:c>
      <x:c r="H1814" s="18" t="str">
        <x:v>מזון לבית</x:v>
      </x:c>
      <x:c r="I1814" s="19" t="str">
        <x:f>IFERROR(INDEX('מיפוי ומקורות'!$C$7:$C$33,MATCH(H1814,'מיפוי ומקורות'!$B$7:$B$33,0)),"לא מסווג")</x:f>
        <x:v>מזון לבית</x:v>
      </x:c>
      <x:c r="J1814" s="19" t="str">
        <x:f>IFERROR(INDEX('מיפוי ומקורות'!$D$7:$D$33,MATCH(H1814,'מיפוי ומקורות'!$B$7:$B$33,0)),"שוטף")</x:f>
        <x:v>שוטף</x:v>
      </x:c>
      <x:c r="K1814" s="19" t="str">
        <x:f>IF(OR(H1814="ריביות",AND(H1814="דירה כצנלסון",G1814&lt;0,ISNUMBER(SEARCH("הכנסה",F1814)))),"הכנסה שסווגה מחדש",J1814)</x:f>
        <x:v>שוטף</x:v>
      </x:c>
      <x:c r="L1814" s="19" t="str">
        <x:v>מאושר</x:v>
      </x:c>
      <x:c r="M1814" s="20" t="n">
        <x:f>IF(L1814="מאושר",IF(K1814="הכנסה שסווגה מחדש",0,G1814),0)</x:f>
        <x:v>24</x:v>
      </x:c>
      <x:c r="N1814" s="20" t="n">
        <x:f>IF(K1814="שוטף",M1814,0)</x:f>
        <x:v>24</x:v>
      </x:c>
      <x:c r="O1814" s="20" t="n">
        <x:f>IF(K1814="הכנסה שסווגה מחדש",-G1814,0)</x:f>
        <x:v>0</x:v>
      </x:c>
      <x:c r="P1814" s="11" t="str">
        <x:v>אמקס - זיו</x:v>
      </x:c>
      <x:c r="Q1814" s="11" t="str"/>
      <x:c r="R1814" s="11" t="str">
        <x:v>לא</x:v>
      </x:c>
    </x:row>
    <x:row r="1815">
      <x:c r="A1815" s="14" t="n">
        <x:v>46204</x:v>
      </x:c>
      <x:c r="B1815" s="11" t="str">
        <x:v>2026-07</x:v>
      </x:c>
      <x:c r="C1815" s="11" t="str">
        <x:v>יולי 26</x:v>
      </x:c>
      <x:c r="D1815" s="15" t="n">
        <x:v>70</x:v>
      </x:c>
      <x:c r="E1815" s="11" t="str">
        <x:v>10.07</x:v>
      </x:c>
      <x:c r="F1815" s="11" t="str">
        <x:v>אדון ליאון כצנלסון</x:v>
      </x:c>
      <x:c r="G1815" s="17" t="n">
        <x:v>1</x:v>
      </x:c>
      <x:c r="H1815" s="18" t="str">
        <x:v>מזון לבית</x:v>
      </x:c>
      <x:c r="I1815" s="19" t="str">
        <x:f>IFERROR(INDEX('מיפוי ומקורות'!$C$7:$C$33,MATCH(H1815,'מיפוי ומקורות'!$B$7:$B$33,0)),"לא מסווג")</x:f>
        <x:v>מזון לבית</x:v>
      </x:c>
      <x:c r="J1815" s="19" t="str">
        <x:f>IFERROR(INDEX('מיפוי ומקורות'!$D$7:$D$33,MATCH(H1815,'מיפוי ומקורות'!$B$7:$B$33,0)),"שוטף")</x:f>
        <x:v>שוטף</x:v>
      </x:c>
      <x:c r="K1815" s="19" t="str">
        <x:f>IF(OR(H1815="ריביות",AND(H1815="דירה כצנלסון",G1815&lt;0,ISNUMBER(SEARCH("הכנסה",F1815)))),"הכנסה שסווגה מחדש",J1815)</x:f>
        <x:v>שוטף</x:v>
      </x:c>
      <x:c r="L1815" s="19" t="str">
        <x:v>מאושר</x:v>
      </x:c>
      <x:c r="M1815" s="20" t="n">
        <x:f>IF(L1815="מאושר",IF(K1815="הכנסה שסווגה מחדש",0,G1815),0)</x:f>
        <x:v>1</x:v>
      </x:c>
      <x:c r="N1815" s="20" t="n">
        <x:f>IF(K1815="שוטף",M1815,0)</x:f>
        <x:v>1</x:v>
      </x:c>
      <x:c r="O1815" s="20" t="n">
        <x:f>IF(K1815="הכנסה שסווגה מחדש",-G1815,0)</x:f>
        <x:v>0</x:v>
      </x:c>
      <x:c r="P1815" s="11" t="str">
        <x:v>אמקס - זיו</x:v>
      </x:c>
      <x:c r="Q1815" s="11" t="str"/>
      <x:c r="R1815" s="11" t="str">
        <x:v>לא</x:v>
      </x:c>
    </x:row>
    <x:row r="1816">
      <x:c r="A1816" s="14" t="n">
        <x:v>46204</x:v>
      </x:c>
      <x:c r="B1816" s="11" t="str">
        <x:v>2026-07</x:v>
      </x:c>
      <x:c r="C1816" s="11" t="str">
        <x:v>יולי 26</x:v>
      </x:c>
      <x:c r="D1816" s="15" t="n">
        <x:v>71</x:v>
      </x:c>
      <x:c r="E1816" s="11" t="str">
        <x:v>10.07</x:v>
      </x:c>
      <x:c r="F1816" s="11" t="str">
        <x:v>דלק</x:v>
      </x:c>
      <x:c r="G1816" s="17" t="n">
        <x:v>184</x:v>
      </x:c>
      <x:c r="H1816" s="18" t="str">
        <x:v>תחבורה</x:v>
      </x:c>
      <x:c r="I1816" s="19" t="str">
        <x:f>IFERROR(INDEX('מיפוי ומקורות'!$C$7:$C$33,MATCH(H1816,'מיפוי ומקורות'!$B$7:$B$33,0)),"לא מסווג")</x:f>
        <x:v>תחבורה</x:v>
      </x:c>
      <x:c r="J1816" s="19" t="str">
        <x:f>IFERROR(INDEX('מיפוי ומקורות'!$D$7:$D$33,MATCH(H1816,'מיפוי ומקורות'!$B$7:$B$33,0)),"שוטף")</x:f>
        <x:v>שוטף</x:v>
      </x:c>
      <x:c r="K1816" s="19" t="str">
        <x:f>IF(OR(H1816="ריביות",AND(H1816="דירה כצנלסון",G1816&lt;0,ISNUMBER(SEARCH("הכנסה",F1816)))),"הכנסה שסווגה מחדש",J1816)</x:f>
        <x:v>שוטף</x:v>
      </x:c>
      <x:c r="L1816" s="19" t="str">
        <x:v>מאושר</x:v>
      </x:c>
      <x:c r="M1816" s="20" t="n">
        <x:f>IF(L1816="מאושר",IF(K1816="הכנסה שסווגה מחדש",0,G1816),0)</x:f>
        <x:v>184</x:v>
      </x:c>
      <x:c r="N1816" s="20" t="n">
        <x:f>IF(K1816="שוטף",M1816,0)</x:f>
        <x:v>184</x:v>
      </x:c>
      <x:c r="O1816" s="20" t="n">
        <x:f>IF(K1816="הכנסה שסווגה מחדש",-G1816,0)</x:f>
        <x:v>0</x:v>
      </x:c>
      <x:c r="P1816" s="11" t="str">
        <x:v>אמקס - זיו</x:v>
      </x:c>
      <x:c r="Q1816" s="11" t="str"/>
      <x:c r="R1816" s="11" t="str">
        <x:v>לא</x:v>
      </x:c>
    </x:row>
    <x:row r="1817">
      <x:c r="A1817" s="14" t="n">
        <x:v>46204</x:v>
      </x:c>
      <x:c r="B1817" s="11" t="str">
        <x:v>2026-07</x:v>
      </x:c>
      <x:c r="C1817" s="11" t="str">
        <x:v>יולי 26</x:v>
      </x:c>
      <x:c r="D1817" s="15" t="n">
        <x:v>72</x:v>
      </x:c>
      <x:c r="E1817" s="11" t="str">
        <x:v>12.07</x:v>
      </x:c>
      <x:c r="F1817" s="11" t="str">
        <x:v>לוחית רישוי לאור</x:v>
      </x:c>
      <x:c r="G1817" s="17" t="n">
        <x:v>70</x:v>
      </x:c>
      <x:c r="H1817" s="18" t="str">
        <x:v>תחבורה</x:v>
      </x:c>
      <x:c r="I1817" s="19" t="str">
        <x:f>IFERROR(INDEX('מיפוי ומקורות'!$C$7:$C$33,MATCH(H1817,'מיפוי ומקורות'!$B$7:$B$33,0)),"לא מסווג")</x:f>
        <x:v>תחבורה</x:v>
      </x:c>
      <x:c r="J1817" s="19" t="str">
        <x:f>IFERROR(INDEX('מיפוי ומקורות'!$D$7:$D$33,MATCH(H1817,'מיפוי ומקורות'!$B$7:$B$33,0)),"שוטף")</x:f>
        <x:v>שוטף</x:v>
      </x:c>
      <x:c r="K1817" s="19" t="str">
        <x:f>IF(OR(H1817="ריביות",AND(H1817="דירה כצנלסון",G1817&lt;0,ISNUMBER(SEARCH("הכנסה",F1817)))),"הכנסה שסווגה מחדש",J1817)</x:f>
        <x:v>שוטף</x:v>
      </x:c>
      <x:c r="L1817" s="19" t="str">
        <x:v>מאושר</x:v>
      </x:c>
      <x:c r="M1817" s="20" t="n">
        <x:f>IF(L1817="מאושר",IF(K1817="הכנסה שסווגה מחדש",0,G1817),0)</x:f>
        <x:v>70</x:v>
      </x:c>
      <x:c r="N1817" s="20" t="n">
        <x:f>IF(K1817="שוטף",M1817,0)</x:f>
        <x:v>70</x:v>
      </x:c>
      <x:c r="O1817" s="20" t="n">
        <x:f>IF(K1817="הכנסה שסווגה מחדש",-G1817,0)</x:f>
        <x:v>0</x:v>
      </x:c>
      <x:c r="P1817" s="11" t="str">
        <x:v>אמקס - זיו</x:v>
      </x:c>
      <x:c r="Q1817" s="11" t="str"/>
      <x:c r="R1817" s="11" t="str">
        <x:v>לא</x:v>
      </x:c>
    </x:row>
    <x:row r="1818">
      <x:c r="A1818" s="14" t="n">
        <x:v>46204</x:v>
      </x:c>
      <x:c r="B1818" s="11" t="str">
        <x:v>2026-07</x:v>
      </x:c>
      <x:c r="C1818" s="11" t="str">
        <x:v>יולי 26</x:v>
      </x:c>
      <x:c r="D1818" s="15" t="n">
        <x:v>73</x:v>
      </x:c>
      <x:c r="E1818" s="11" t="str">
        <x:v>12.07</x:v>
      </x:c>
      <x:c r="F1818" s="11" t="str">
        <x:v>חניון עזריאלי גבעתיי</x:v>
      </x:c>
      <x:c r="G1818" s="17" t="n">
        <x:v>6</x:v>
      </x:c>
      <x:c r="H1818" s="18" t="str">
        <x:v>תחבורה</x:v>
      </x:c>
      <x:c r="I1818" s="19" t="str">
        <x:f>IFERROR(INDEX('מיפוי ומקורות'!$C$7:$C$33,MATCH(H1818,'מיפוי ומקורות'!$B$7:$B$33,0)),"לא מסווג")</x:f>
        <x:v>תחבורה</x:v>
      </x:c>
      <x:c r="J1818" s="19" t="str">
        <x:f>IFERROR(INDEX('מיפוי ומקורות'!$D$7:$D$33,MATCH(H1818,'מיפוי ומקורות'!$B$7:$B$33,0)),"שוטף")</x:f>
        <x:v>שוטף</x:v>
      </x:c>
      <x:c r="K1818" s="19" t="str">
        <x:f>IF(OR(H1818="ריביות",AND(H1818="דירה כצנלסון",G1818&lt;0,ISNUMBER(SEARCH("הכנסה",F1818)))),"הכנסה שסווגה מחדש",J1818)</x:f>
        <x:v>שוטף</x:v>
      </x:c>
      <x:c r="L1818" s="19" t="str">
        <x:v>מאושר</x:v>
      </x:c>
      <x:c r="M1818" s="20" t="n">
        <x:f>IF(L1818="מאושר",IF(K1818="הכנסה שסווגה מחדש",0,G1818),0)</x:f>
        <x:v>6</x:v>
      </x:c>
      <x:c r="N1818" s="20" t="n">
        <x:f>IF(K1818="שוטף",M1818,0)</x:f>
        <x:v>6</x:v>
      </x:c>
      <x:c r="O1818" s="20" t="n">
        <x:f>IF(K1818="הכנסה שסווגה מחדש",-G1818,0)</x:f>
        <x:v>0</x:v>
      </x:c>
      <x:c r="P1818" s="11" t="str">
        <x:v>אמקס - זיו</x:v>
      </x:c>
      <x:c r="Q1818" s="11" t="str"/>
      <x:c r="R1818" s="11" t="str">
        <x:v>לא</x:v>
      </x:c>
    </x:row>
    <x:row r="1819">
      <x:c r="A1819" s="14" t="n">
        <x:v>46204</x:v>
      </x:c>
      <x:c r="B1819" s="11" t="str">
        <x:v>2026-07</x:v>
      </x:c>
      <x:c r="C1819" s="11" t="str">
        <x:v>יולי 26</x:v>
      </x:c>
      <x:c r="D1819" s="15" t="n">
        <x:v>74</x:v>
      </x:c>
      <x:c r="E1819" s="11" t="str">
        <x:v>12.07</x:v>
      </x:c>
      <x:c r="F1819" s="11" t="str">
        <x:v>חניון עזריאלי גבעתיי</x:v>
      </x:c>
      <x:c r="G1819" s="17" t="n">
        <x:v>6</x:v>
      </x:c>
      <x:c r="H1819" s="18" t="str">
        <x:v>תחבורה</x:v>
      </x:c>
      <x:c r="I1819" s="19" t="str">
        <x:f>IFERROR(INDEX('מיפוי ומקורות'!$C$7:$C$33,MATCH(H1819,'מיפוי ומקורות'!$B$7:$B$33,0)),"לא מסווג")</x:f>
        <x:v>תחבורה</x:v>
      </x:c>
      <x:c r="J1819" s="19" t="str">
        <x:f>IFERROR(INDEX('מיפוי ומקורות'!$D$7:$D$33,MATCH(H1819,'מיפוי ומקורות'!$B$7:$B$33,0)),"שוטף")</x:f>
        <x:v>שוטף</x:v>
      </x:c>
      <x:c r="K1819" s="19" t="str">
        <x:f>IF(OR(H1819="ריביות",AND(H1819="דירה כצנלסון",G1819&lt;0,ISNUMBER(SEARCH("הכנסה",F1819)))),"הכנסה שסווגה מחדש",J1819)</x:f>
        <x:v>שוטף</x:v>
      </x:c>
      <x:c r="L1819" s="19" t="str">
        <x:v>מאושר</x:v>
      </x:c>
      <x:c r="M1819" s="20" t="n">
        <x:f>IF(L1819="מאושר",IF(K1819="הכנסה שסווגה מחדש",0,G1819),0)</x:f>
        <x:v>6</x:v>
      </x:c>
      <x:c r="N1819" s="20" t="n">
        <x:f>IF(K1819="שוטף",M1819,0)</x:f>
        <x:v>6</x:v>
      </x:c>
      <x:c r="O1819" s="20" t="n">
        <x:f>IF(K1819="הכנסה שסווגה מחדש",-G1819,0)</x:f>
        <x:v>0</x:v>
      </x:c>
      <x:c r="P1819" s="11" t="str">
        <x:v>אמקס - זיו</x:v>
      </x:c>
      <x:c r="Q1819" s="11" t="str"/>
      <x:c r="R1819" s="11" t="str">
        <x:v>לא</x:v>
      </x:c>
    </x:row>
    <x:row r="1820">
      <x:c r="A1820" s="14" t="n">
        <x:v>46204</x:v>
      </x:c>
      <x:c r="B1820" s="11" t="str">
        <x:v>2026-07</x:v>
      </x:c>
      <x:c r="C1820" s="11" t="str">
        <x:v>יולי 26</x:v>
      </x:c>
      <x:c r="D1820" s="15" t="n">
        <x:v>75</x:v>
      </x:c>
      <x:c r="E1820" s="11" t="str">
        <x:v>12.07</x:v>
      </x:c>
      <x:c r="F1820" s="11" t="str">
        <x:v>סופר</x:v>
      </x:c>
      <x:c r="G1820" s="17" t="n">
        <x:v>13</x:v>
      </x:c>
      <x:c r="H1820" s="18" t="str">
        <x:v>מזון לבית</x:v>
      </x:c>
      <x:c r="I1820" s="19" t="str">
        <x:f>IFERROR(INDEX('מיפוי ומקורות'!$C$7:$C$33,MATCH(H1820,'מיפוי ומקורות'!$B$7:$B$33,0)),"לא מסווג")</x:f>
        <x:v>מזון לבית</x:v>
      </x:c>
      <x:c r="J1820" s="19" t="str">
        <x:f>IFERROR(INDEX('מיפוי ומקורות'!$D$7:$D$33,MATCH(H1820,'מיפוי ומקורות'!$B$7:$B$33,0)),"שוטף")</x:f>
        <x:v>שוטף</x:v>
      </x:c>
      <x:c r="K1820" s="19" t="str">
        <x:f>IF(OR(H1820="ריביות",AND(H1820="דירה כצנלסון",G1820&lt;0,ISNUMBER(SEARCH("הכנסה",F1820)))),"הכנסה שסווגה מחדש",J1820)</x:f>
        <x:v>שוטף</x:v>
      </x:c>
      <x:c r="L1820" s="19" t="str">
        <x:v>מאושר</x:v>
      </x:c>
      <x:c r="M1820" s="20" t="n">
        <x:f>IF(L1820="מאושר",IF(K1820="הכנסה שסווגה מחדש",0,G1820),0)</x:f>
        <x:v>13</x:v>
      </x:c>
      <x:c r="N1820" s="20" t="n">
        <x:f>IF(K1820="שוטף",M1820,0)</x:f>
        <x:v>13</x:v>
      </x:c>
      <x:c r="O1820" s="20" t="n">
        <x:f>IF(K1820="הכנסה שסווגה מחדש",-G1820,0)</x:f>
        <x:v>0</x:v>
      </x:c>
      <x:c r="P1820" s="11" t="str">
        <x:v>אמקס - זיו</x:v>
      </x:c>
      <x:c r="Q1820" s="11" t="str"/>
      <x:c r="R1820" s="11" t="str">
        <x:v>לא</x:v>
      </x:c>
    </x:row>
    <x:row r="1821">
      <x:c r="A1821" s="14" t="n">
        <x:v>46204</x:v>
      </x:c>
      <x:c r="B1821" s="11" t="str">
        <x:v>2026-07</x:v>
      </x:c>
      <x:c r="C1821" s="11" t="str">
        <x:v>יולי 26</x:v>
      </x:c>
      <x:c r="D1821" s="15" t="n">
        <x:v>76</x:v>
      </x:c>
      <x:c r="E1821" s="11" t="str">
        <x:v>12.07</x:v>
      </x:c>
      <x:c r="F1821" s="11" t="str">
        <x:v>WE WASH-צמרת</x:v>
      </x:c>
      <x:c r="G1821" s="17" t="n">
        <x:v>200</x:v>
      </x:c>
      <x:c r="H1821" s="18" t="str">
        <x:v>תחבורה</x:v>
      </x:c>
      <x:c r="I1821" s="19" t="str">
        <x:f>IFERROR(INDEX('מיפוי ומקורות'!$C$7:$C$33,MATCH(H1821,'מיפוי ומקורות'!$B$7:$B$33,0)),"לא מסווג")</x:f>
        <x:v>תחבורה</x:v>
      </x:c>
      <x:c r="J1821" s="19" t="str">
        <x:f>IFERROR(INDEX('מיפוי ומקורות'!$D$7:$D$33,MATCH(H1821,'מיפוי ומקורות'!$B$7:$B$33,0)),"שוטף")</x:f>
        <x:v>שוטף</x:v>
      </x:c>
      <x:c r="K1821" s="19" t="str">
        <x:f>IF(OR(H1821="ריביות",AND(H1821="דירה כצנלסון",G1821&lt;0,ISNUMBER(SEARCH("הכנסה",F1821)))),"הכנסה שסווגה מחדש",J1821)</x:f>
        <x:v>שוטף</x:v>
      </x:c>
      <x:c r="L1821" s="19" t="str">
        <x:v>מאושר</x:v>
      </x:c>
      <x:c r="M1821" s="20" t="n">
        <x:f>IF(L1821="מאושר",IF(K1821="הכנסה שסווגה מחדש",0,G1821),0)</x:f>
        <x:v>200</x:v>
      </x:c>
      <x:c r="N1821" s="20" t="n">
        <x:f>IF(K1821="שוטף",M1821,0)</x:f>
        <x:v>200</x:v>
      </x:c>
      <x:c r="O1821" s="20" t="n">
        <x:f>IF(K1821="הכנסה שסווגה מחדש",-G1821,0)</x:f>
        <x:v>0</x:v>
      </x:c>
      <x:c r="P1821" s="11" t="str">
        <x:v>אמקס - זיו</x:v>
      </x:c>
      <x:c r="Q1821" s="11" t="str"/>
      <x:c r="R1821" s="11" t="str">
        <x:v>לא</x:v>
      </x:c>
    </x:row>
    <x:row r="1822">
      <x:c r="A1822" s="14" t="n">
        <x:v>46204</x:v>
      </x:c>
      <x:c r="B1822" s="11" t="str">
        <x:v>2026-07</x:v>
      </x:c>
      <x:c r="C1822" s="11" t="str">
        <x:v>יולי 26</x:v>
      </x:c>
      <x:c r="D1822" s="15" t="n">
        <x:v>77</x:v>
      </x:c>
      <x:c r="E1822" s="11" t="str">
        <x:v>14/07</x:v>
      </x:c>
      <x:c r="F1822" s="11" t="str">
        <x:v>סוד ירוק בע''מ</x:v>
      </x:c>
      <x:c r="G1822" s="17" t="n">
        <x:v>62</x:v>
      </x:c>
      <x:c r="H1822" s="18" t="str">
        <x:v>מתנה</x:v>
      </x:c>
      <x:c r="I1822" s="19" t="str">
        <x:f>IFERROR(INDEX('מיפוי ומקורות'!$C$7:$C$33,MATCH(H1822,'מיפוי ומקורות'!$B$7:$B$33,0)),"לא מסווג")</x:f>
        <x:v>מתנה</x:v>
      </x:c>
      <x:c r="J1822" s="19" t="str">
        <x:f>IFERROR(INDEX('מיפוי ומקורות'!$D$7:$D$33,MATCH(H1822,'מיפוי ומקורות'!$B$7:$B$33,0)),"שוטף")</x:f>
        <x:v>שוטף</x:v>
      </x:c>
      <x:c r="K1822" s="19" t="str">
        <x:f>IF(OR(H1822="ריביות",AND(H1822="דירה כצנלסון",G1822&lt;0,ISNUMBER(SEARCH("הכנסה",F1822)))),"הכנסה שסווגה מחדש",J1822)</x:f>
        <x:v>שוטף</x:v>
      </x:c>
      <x:c r="L1822" s="19" t="str">
        <x:v>מאושר</x:v>
      </x:c>
      <x:c r="M1822" s="20" t="n">
        <x:f>IF(L1822="מאושר",IF(K1822="הכנסה שסווגה מחדש",0,G1822),0)</x:f>
        <x:v>62</x:v>
      </x:c>
      <x:c r="N1822" s="20" t="n">
        <x:f>IF(K1822="שוטף",M1822,0)</x:f>
        <x:v>62</x:v>
      </x:c>
      <x:c r="O1822" s="20" t="n">
        <x:f>IF(K1822="הכנסה שסווגה מחדש",-G1822,0)</x:f>
        <x:v>0</x:v>
      </x:c>
      <x:c r="P1822" s="11" t="str">
        <x:v>אמקס - זיו</x:v>
      </x:c>
      <x:c r="Q1822" s="11" t="str"/>
      <x:c r="R1822" s="11" t="str">
        <x:v>לא</x:v>
      </x:c>
    </x:row>
    <x:row r="1823">
      <x:c r="A1823" s="14" t="n">
        <x:v>46204</x:v>
      </x:c>
      <x:c r="B1823" s="11" t="str">
        <x:v>2026-07</x:v>
      </x:c>
      <x:c r="C1823" s="11" t="str">
        <x:v>יולי 26</x:v>
      </x:c>
      <x:c r="D1823" s="15" t="n">
        <x:v>78</x:v>
      </x:c>
      <x:c r="E1823" s="11" t="str">
        <x:v>14/07</x:v>
      </x:c>
      <x:c r="F1823" s="11" t="str">
        <x:v>מקס 20 גבעתיים</x:v>
      </x:c>
      <x:c r="G1823" s="17" t="n">
        <x:v>11</x:v>
      </x:c>
      <x:c r="H1823" s="18" t="str">
        <x:v>קניות לבית</x:v>
      </x:c>
      <x:c r="I1823" s="19" t="str">
        <x:f>IFERROR(INDEX('מיפוי ומקורות'!$C$7:$C$33,MATCH(H1823,'מיפוי ומקורות'!$B$7:$B$33,0)),"לא מסווג")</x:f>
        <x:v>קניות לבית</x:v>
      </x:c>
      <x:c r="J1823" s="19" t="str">
        <x:f>IFERROR(INDEX('מיפוי ומקורות'!$D$7:$D$33,MATCH(H1823,'מיפוי ומקורות'!$B$7:$B$33,0)),"שוטף")</x:f>
        <x:v>שוטף</x:v>
      </x:c>
      <x:c r="K1823" s="19" t="str">
        <x:f>IF(OR(H1823="ריביות",AND(H1823="דירה כצנלסון",G1823&lt;0,ISNUMBER(SEARCH("הכנסה",F1823)))),"הכנסה שסווגה מחדש",J1823)</x:f>
        <x:v>שוטף</x:v>
      </x:c>
      <x:c r="L1823" s="19" t="str">
        <x:v>מאושר</x:v>
      </x:c>
      <x:c r="M1823" s="20" t="n">
        <x:f>IF(L1823="מאושר",IF(K1823="הכנסה שסווגה מחדש",0,G1823),0)</x:f>
        <x:v>11</x:v>
      </x:c>
      <x:c r="N1823" s="20" t="n">
        <x:f>IF(K1823="שוטף",M1823,0)</x:f>
        <x:v>11</x:v>
      </x:c>
      <x:c r="O1823" s="20" t="n">
        <x:f>IF(K1823="הכנסה שסווגה מחדש",-G1823,0)</x:f>
        <x:v>0</x:v>
      </x:c>
      <x:c r="P1823" s="11" t="str">
        <x:v>אמקס - זיו</x:v>
      </x:c>
      <x:c r="Q1823" s="11" t="str"/>
      <x:c r="R1823" s="11" t="str">
        <x:v>לא</x:v>
      </x:c>
    </x:row>
    <x:row r="1824">
      <x:c r="A1824" s="14" t="n">
        <x:v>46204</x:v>
      </x:c>
      <x:c r="B1824" s="11" t="str">
        <x:v>2026-07</x:v>
      </x:c>
      <x:c r="C1824" s="11" t="str">
        <x:v>יולי 26</x:v>
      </x:c>
      <x:c r="D1824" s="15" t="n">
        <x:v>79</x:v>
      </x:c>
      <x:c r="E1824" s="11" t="str">
        <x:v>15.07</x:v>
      </x:c>
      <x:c r="F1824" s="11" t="str">
        <x:v>ירקן</x:v>
      </x:c>
      <x:c r="G1824" s="17" t="n">
        <x:v>37</x:v>
      </x:c>
      <x:c r="H1824" s="18" t="str">
        <x:v>מזון לבית</x:v>
      </x:c>
      <x:c r="I1824" s="19" t="str">
        <x:f>IFERROR(INDEX('מיפוי ומקורות'!$C$7:$C$33,MATCH(H1824,'מיפוי ומקורות'!$B$7:$B$33,0)),"לא מסווג")</x:f>
        <x:v>מזון לבית</x:v>
      </x:c>
      <x:c r="J1824" s="19" t="str">
        <x:f>IFERROR(INDEX('מיפוי ומקורות'!$D$7:$D$33,MATCH(H1824,'מיפוי ומקורות'!$B$7:$B$33,0)),"שוטף")</x:f>
        <x:v>שוטף</x:v>
      </x:c>
      <x:c r="K1824" s="19" t="str">
        <x:f>IF(OR(H1824="ריביות",AND(H1824="דירה כצנלסון",G1824&lt;0,ISNUMBER(SEARCH("הכנסה",F1824)))),"הכנסה שסווגה מחדש",J1824)</x:f>
        <x:v>שוטף</x:v>
      </x:c>
      <x:c r="L1824" s="19" t="str">
        <x:v>מאושר</x:v>
      </x:c>
      <x:c r="M1824" s="20" t="n">
        <x:f>IF(L1824="מאושר",IF(K1824="הכנסה שסווגה מחדש",0,G1824),0)</x:f>
        <x:v>37</x:v>
      </x:c>
      <x:c r="N1824" s="20" t="n">
        <x:f>IF(K1824="שוטף",M1824,0)</x:f>
        <x:v>37</x:v>
      </x:c>
      <x:c r="O1824" s="20" t="n">
        <x:f>IF(K1824="הכנסה שסווגה מחדש",-G1824,0)</x:f>
        <x:v>0</x:v>
      </x:c>
      <x:c r="P1824" s="11" t="str">
        <x:v>אמקס - זיו</x:v>
      </x:c>
      <x:c r="Q1824" s="11" t="str"/>
      <x:c r="R1824" s="11" t="str">
        <x:v>לא</x:v>
      </x:c>
    </x:row>
    <x:row r="1825">
      <x:c r="A1825" s="14" t="n">
        <x:v>46204</x:v>
      </x:c>
      <x:c r="B1825" s="11" t="str">
        <x:v>2026-07</x:v>
      </x:c>
      <x:c r="C1825" s="11" t="str">
        <x:v>יולי 26</x:v>
      </x:c>
      <x:c r="D1825" s="15" t="n">
        <x:v>80</x:v>
      </x:c>
      <x:c r="E1825" s="11" t="str">
        <x:v>16.07</x:v>
      </x:c>
      <x:c r="F1825" s="11" t="str">
        <x:v>תמרה יוגורט</x:v>
      </x:c>
      <x:c r="G1825" s="17" t="n">
        <x:v>25</x:v>
      </x:c>
      <x:c r="H1825" s="18" t="str">
        <x:v>אוכל בחוץ</x:v>
      </x:c>
      <x:c r="I1825" s="19" t="str">
        <x:f>IFERROR(INDEX('מיפוי ומקורות'!$C$7:$C$33,MATCH(H1825,'מיפוי ומקורות'!$B$7:$B$33,0)),"לא מסווג")</x:f>
        <x:v>אוכל בחוץ</x:v>
      </x:c>
      <x:c r="J1825" s="19" t="str">
        <x:f>IFERROR(INDEX('מיפוי ומקורות'!$D$7:$D$33,MATCH(H1825,'מיפוי ומקורות'!$B$7:$B$33,0)),"שוטף")</x:f>
        <x:v>שוטף</x:v>
      </x:c>
      <x:c r="K1825" s="19" t="str">
        <x:f>IF(OR(H1825="ריביות",AND(H1825="דירה כצנלסון",G1825&lt;0,ISNUMBER(SEARCH("הכנסה",F1825)))),"הכנסה שסווגה מחדש",J1825)</x:f>
        <x:v>שוטף</x:v>
      </x:c>
      <x:c r="L1825" s="19" t="str">
        <x:v>מאושר</x:v>
      </x:c>
      <x:c r="M1825" s="20" t="n">
        <x:f>IF(L1825="מאושר",IF(K1825="הכנסה שסווגה מחדש",0,G1825),0)</x:f>
        <x:v>25</x:v>
      </x:c>
      <x:c r="N1825" s="20" t="n">
        <x:f>IF(K1825="שוטף",M1825,0)</x:f>
        <x:v>25</x:v>
      </x:c>
      <x:c r="O1825" s="20" t="n">
        <x:f>IF(K1825="הכנסה שסווגה מחדש",-G1825,0)</x:f>
        <x:v>0</x:v>
      </x:c>
      <x:c r="P1825" s="11" t="str">
        <x:v>אמקס - זיו</x:v>
      </x:c>
      <x:c r="Q1825" s="11" t="str"/>
      <x:c r="R1825" s="11" t="str">
        <x:v>לא</x:v>
      </x:c>
    </x:row>
    <x:row r="1826">
      <x:c r="A1826" s="14" t="n">
        <x:v>46204</x:v>
      </x:c>
      <x:c r="B1826" s="11" t="str">
        <x:v>2026-07</x:v>
      </x:c>
      <x:c r="C1826" s="11" t="str">
        <x:v>יולי 26</x:v>
      </x:c>
      <x:c r="D1826" s="15" t="n">
        <x:v>81</x:v>
      </x:c>
      <x:c r="E1826" s="11" t="str">
        <x:v>16.07</x:v>
      </x:c>
      <x:c r="F1826" s="11" t="str">
        <x:v>אלמה מרקט גבעתיים</x:v>
      </x:c>
      <x:c r="G1826" s="17" t="n">
        <x:v>55</x:v>
      </x:c>
      <x:c r="H1826" s="18" t="str">
        <x:v>מזון לבית</x:v>
      </x:c>
      <x:c r="I1826" s="19" t="str">
        <x:f>IFERROR(INDEX('מיפוי ומקורות'!$C$7:$C$33,MATCH(H1826,'מיפוי ומקורות'!$B$7:$B$33,0)),"לא מסווג")</x:f>
        <x:v>מזון לבית</x:v>
      </x:c>
      <x:c r="J1826" s="19" t="str">
        <x:f>IFERROR(INDEX('מיפוי ומקורות'!$D$7:$D$33,MATCH(H1826,'מיפוי ומקורות'!$B$7:$B$33,0)),"שוטף")</x:f>
        <x:v>שוטף</x:v>
      </x:c>
      <x:c r="K1826" s="19" t="str">
        <x:f>IF(OR(H1826="ריביות",AND(H1826="דירה כצנלסון",G1826&lt;0,ISNUMBER(SEARCH("הכנסה",F1826)))),"הכנסה שסווגה מחדש",J1826)</x:f>
        <x:v>שוטף</x:v>
      </x:c>
      <x:c r="L1826" s="19" t="str">
        <x:v>מאושר</x:v>
      </x:c>
      <x:c r="M1826" s="20" t="n">
        <x:f>IF(L1826="מאושר",IF(K1826="הכנסה שסווגה מחדש",0,G1826),0)</x:f>
        <x:v>55</x:v>
      </x:c>
      <x:c r="N1826" s="20" t="n">
        <x:f>IF(K1826="שוטף",M1826,0)</x:f>
        <x:v>55</x:v>
      </x:c>
      <x:c r="O1826" s="20" t="n">
        <x:f>IF(K1826="הכנסה שסווגה מחדש",-G1826,0)</x:f>
        <x:v>0</x:v>
      </x:c>
      <x:c r="P1826" s="11" t="str">
        <x:v>אמקס - זיו</x:v>
      </x:c>
      <x:c r="Q1826" s="11" t="str"/>
      <x:c r="R1826" s="11" t="str">
        <x:v>לא</x:v>
      </x:c>
    </x:row>
    <x:row r="1827">
      <x:c r="A1827" s="14" t="n">
        <x:v>46204</x:v>
      </x:c>
      <x:c r="B1827" s="11" t="str">
        <x:v>2026-07</x:v>
      </x:c>
      <x:c r="C1827" s="11" t="str">
        <x:v>יולי 26</x:v>
      </x:c>
      <x:c r="D1827" s="15" t="n">
        <x:v>82</x:v>
      </x:c>
      <x:c r="E1827" s="11" t="str">
        <x:v>16.07</x:v>
      </x:c>
      <x:c r="F1827" s="11" t="str">
        <x:v>מעדני צדקיהו תל אביב</x:v>
      </x:c>
      <x:c r="G1827" s="17" t="n">
        <x:v>80</x:v>
      </x:c>
      <x:c r="H1827" s="18" t="str">
        <x:v>מזון לבית</x:v>
      </x:c>
      <x:c r="I1827" s="19" t="str">
        <x:f>IFERROR(INDEX('מיפוי ומקורות'!$C$7:$C$33,MATCH(H1827,'מיפוי ומקורות'!$B$7:$B$33,0)),"לא מסווג")</x:f>
        <x:v>מזון לבית</x:v>
      </x:c>
      <x:c r="J1827" s="19" t="str">
        <x:f>IFERROR(INDEX('מיפוי ומקורות'!$D$7:$D$33,MATCH(H1827,'מיפוי ומקורות'!$B$7:$B$33,0)),"שוטף")</x:f>
        <x:v>שוטף</x:v>
      </x:c>
      <x:c r="K1827" s="19" t="str">
        <x:f>IF(OR(H1827="ריביות",AND(H1827="דירה כצנלסון",G1827&lt;0,ISNUMBER(SEARCH("הכנסה",F1827)))),"הכנסה שסווגה מחדש",J1827)</x:f>
        <x:v>שוטף</x:v>
      </x:c>
      <x:c r="L1827" s="19" t="str">
        <x:v>מאושר</x:v>
      </x:c>
      <x:c r="M1827" s="20" t="n">
        <x:f>IF(L1827="מאושר",IF(K1827="הכנסה שסווגה מחדש",0,G1827),0)</x:f>
        <x:v>80</x:v>
      </x:c>
      <x:c r="N1827" s="20" t="n">
        <x:f>IF(K1827="שוטף",M1827,0)</x:f>
        <x:v>80</x:v>
      </x:c>
      <x:c r="O1827" s="20" t="n">
        <x:f>IF(K1827="הכנסה שסווגה מחדש",-G1827,0)</x:f>
        <x:v>0</x:v>
      </x:c>
      <x:c r="P1827" s="11" t="str">
        <x:v>אמקס - זיו</x:v>
      </x:c>
      <x:c r="Q1827" s="11" t="str"/>
      <x:c r="R1827" s="11" t="str">
        <x:v>לא</x:v>
      </x:c>
    </x:row>
    <x:row r="1828">
      <x:c r="A1828" s="14" t="n">
        <x:v>46204</x:v>
      </x:c>
      <x:c r="B1828" s="11" t="str">
        <x:v>2026-07</x:v>
      </x:c>
      <x:c r="C1828" s="11" t="str">
        <x:v>יולי 26</x:v>
      </x:c>
      <x:c r="D1828" s="15" t="n">
        <x:v>83</x:v>
      </x:c>
      <x:c r="E1828" s="11" t="str">
        <x:v>17.07</x:v>
      </x:c>
      <x:c r="F1828" s="11" t="str">
        <x:v>סופר</x:v>
      </x:c>
      <x:c r="G1828" s="17" t="n">
        <x:v>63</x:v>
      </x:c>
      <x:c r="H1828" s="18" t="str">
        <x:v>מזון לבית</x:v>
      </x:c>
      <x:c r="I1828" s="19" t="str">
        <x:f>IFERROR(INDEX('מיפוי ומקורות'!$C$7:$C$33,MATCH(H1828,'מיפוי ומקורות'!$B$7:$B$33,0)),"לא מסווג")</x:f>
        <x:v>מזון לבית</x:v>
      </x:c>
      <x:c r="J1828" s="19" t="str">
        <x:f>IFERROR(INDEX('מיפוי ומקורות'!$D$7:$D$33,MATCH(H1828,'מיפוי ומקורות'!$B$7:$B$33,0)),"שוטף")</x:f>
        <x:v>שוטף</x:v>
      </x:c>
      <x:c r="K1828" s="19" t="str">
        <x:f>IF(OR(H1828="ריביות",AND(H1828="דירה כצנלסון",G1828&lt;0,ISNUMBER(SEARCH("הכנסה",F1828)))),"הכנסה שסווגה מחדש",J1828)</x:f>
        <x:v>שוטף</x:v>
      </x:c>
      <x:c r="L1828" s="19" t="str">
        <x:v>מאושר</x:v>
      </x:c>
      <x:c r="M1828" s="20" t="n">
        <x:f>IF(L1828="מאושר",IF(K1828="הכנסה שסווגה מחדש",0,G1828),0)</x:f>
        <x:v>63</x:v>
      </x:c>
      <x:c r="N1828" s="20" t="n">
        <x:f>IF(K1828="שוטף",M1828,0)</x:f>
        <x:v>63</x:v>
      </x:c>
      <x:c r="O1828" s="20" t="n">
        <x:f>IF(K1828="הכנסה שסווגה מחדש",-G1828,0)</x:f>
        <x:v>0</x:v>
      </x:c>
      <x:c r="P1828" s="11" t="str">
        <x:v>אמקס - זיו</x:v>
      </x:c>
      <x:c r="Q1828" s="11" t="str"/>
      <x:c r="R1828" s="11" t="str">
        <x:v>לא</x:v>
      </x:c>
    </x:row>
    <x:row r="1829">
      <x:c r="A1829" s="14" t="n">
        <x:v>46204</x:v>
      </x:c>
      <x:c r="B1829" s="11" t="str">
        <x:v>2026-07</x:v>
      </x:c>
      <x:c r="C1829" s="11" t="str">
        <x:v>יולי 26</x:v>
      </x:c>
      <x:c r="D1829" s="15" t="n">
        <x:v>84</x:v>
      </x:c>
      <x:c r="E1829" s="11" t="str">
        <x:v>18.07</x:v>
      </x:c>
      <x:c r="F1829" s="11" t="str">
        <x:v>מסעדה</x:v>
      </x:c>
      <x:c r="G1829" s="17" t="n">
        <x:v>171</x:v>
      </x:c>
      <x:c r="H1829" s="18" t="str">
        <x:v>אוכל בחוץ</x:v>
      </x:c>
      <x:c r="I1829" s="19" t="str">
        <x:f>IFERROR(INDEX('מיפוי ומקורות'!$C$7:$C$33,MATCH(H1829,'מיפוי ומקורות'!$B$7:$B$33,0)),"לא מסווג")</x:f>
        <x:v>אוכל בחוץ</x:v>
      </x:c>
      <x:c r="J1829" s="19" t="str">
        <x:f>IFERROR(INDEX('מיפוי ומקורות'!$D$7:$D$33,MATCH(H1829,'מיפוי ומקורות'!$B$7:$B$33,0)),"שוטף")</x:f>
        <x:v>שוטף</x:v>
      </x:c>
      <x:c r="K1829" s="19" t="str">
        <x:f>IF(OR(H1829="ריביות",AND(H1829="דירה כצנלסון",G1829&lt;0,ISNUMBER(SEARCH("הכנסה",F1829)))),"הכנסה שסווגה מחדש",J1829)</x:f>
        <x:v>שוטף</x:v>
      </x:c>
      <x:c r="L1829" s="19" t="str">
        <x:v>מאושר</x:v>
      </x:c>
      <x:c r="M1829" s="20" t="n">
        <x:f>IF(L1829="מאושר",IF(K1829="הכנסה שסווגה מחדש",0,G1829),0)</x:f>
        <x:v>171</x:v>
      </x:c>
      <x:c r="N1829" s="20" t="n">
        <x:f>IF(K1829="שוטף",M1829,0)</x:f>
        <x:v>171</x:v>
      </x:c>
      <x:c r="O1829" s="20" t="n">
        <x:f>IF(K1829="הכנסה שסווגה מחדש",-G1829,0)</x:f>
        <x:v>0</x:v>
      </x:c>
      <x:c r="P1829" s="11" t="str">
        <x:v>אמקס - זיו</x:v>
      </x:c>
      <x:c r="Q1829" s="11" t="str"/>
      <x:c r="R1829" s="11" t="str">
        <x:v>לא</x:v>
      </x:c>
    </x:row>
    <x:row r="1830">
      <x:c r="A1830" s="14" t="n">
        <x:v>46204</x:v>
      </x:c>
      <x:c r="B1830" s="11" t="str">
        <x:v>2026-07</x:v>
      </x:c>
      <x:c r="C1830" s="11" t="str">
        <x:v>יולי 26</x:v>
      </x:c>
      <x:c r="D1830" s="15" t="n">
        <x:v>85</x:v>
      </x:c>
      <x:c r="E1830" s="11" t="str">
        <x:v>19.07</x:v>
      </x:c>
      <x:c r="F1830" s="11" t="str">
        <x:v>סופר</x:v>
      </x:c>
      <x:c r="G1830" s="17" t="n">
        <x:v>469</x:v>
      </x:c>
      <x:c r="H1830" s="18" t="str">
        <x:v>מזון לבית</x:v>
      </x:c>
      <x:c r="I1830" s="19" t="str">
        <x:f>IFERROR(INDEX('מיפוי ומקורות'!$C$7:$C$33,MATCH(H1830,'מיפוי ומקורות'!$B$7:$B$33,0)),"לא מסווג")</x:f>
        <x:v>מזון לבית</x:v>
      </x:c>
      <x:c r="J1830" s="19" t="str">
        <x:f>IFERROR(INDEX('מיפוי ומקורות'!$D$7:$D$33,MATCH(H1830,'מיפוי ומקורות'!$B$7:$B$33,0)),"שוטף")</x:f>
        <x:v>שוטף</x:v>
      </x:c>
      <x:c r="K1830" s="19" t="str">
        <x:f>IF(OR(H1830="ריביות",AND(H1830="דירה כצנלסון",G1830&lt;0,ISNUMBER(SEARCH("הכנסה",F1830)))),"הכנסה שסווגה מחדש",J1830)</x:f>
        <x:v>שוטף</x:v>
      </x:c>
      <x:c r="L1830" s="19" t="str">
        <x:v>מאושר</x:v>
      </x:c>
      <x:c r="M1830" s="20" t="n">
        <x:f>IF(L1830="מאושר",IF(K1830="הכנסה שסווגה מחדש",0,G1830),0)</x:f>
        <x:v>469</x:v>
      </x:c>
      <x:c r="N1830" s="20" t="n">
        <x:f>IF(K1830="שוטף",M1830,0)</x:f>
        <x:v>469</x:v>
      </x:c>
      <x:c r="O1830" s="20" t="n">
        <x:f>IF(K1830="הכנסה שסווגה מחדש",-G1830,0)</x:f>
        <x:v>0</x:v>
      </x:c>
      <x:c r="P1830" s="11" t="str">
        <x:v>אמקס - זיו</x:v>
      </x:c>
      <x:c r="Q1830" s="11" t="str"/>
      <x:c r="R1830" s="11" t="str">
        <x:v>לא</x:v>
      </x:c>
    </x:row>
    <x:row r="1831">
      <x:c r="A1831" s="14" t="n">
        <x:v>46204</x:v>
      </x:c>
      <x:c r="B1831" s="11" t="str">
        <x:v>2026-07</x:v>
      </x:c>
      <x:c r="C1831" s="11" t="str">
        <x:v>יולי 26</x:v>
      </x:c>
      <x:c r="D1831" s="15" t="n">
        <x:v>86</x:v>
      </x:c>
      <x:c r="E1831" s="11" t="str">
        <x:v>20.07</x:v>
      </x:c>
      <x:c r="F1831" s="11" t="str">
        <x:v>מסעדה</x:v>
      </x:c>
      <x:c r="G1831" s="17" t="n">
        <x:v>45</x:v>
      </x:c>
      <x:c r="H1831" s="18" t="str">
        <x:v>אוכל בחוץ</x:v>
      </x:c>
      <x:c r="I1831" s="19" t="str">
        <x:f>IFERROR(INDEX('מיפוי ומקורות'!$C$7:$C$33,MATCH(H1831,'מיפוי ומקורות'!$B$7:$B$33,0)),"לא מסווג")</x:f>
        <x:v>אוכל בחוץ</x:v>
      </x:c>
      <x:c r="J1831" s="19" t="str">
        <x:f>IFERROR(INDEX('מיפוי ומקורות'!$D$7:$D$33,MATCH(H1831,'מיפוי ומקורות'!$B$7:$B$33,0)),"שוטף")</x:f>
        <x:v>שוטף</x:v>
      </x:c>
      <x:c r="K1831" s="19" t="str">
        <x:f>IF(OR(H1831="ריביות",AND(H1831="דירה כצנלסון",G1831&lt;0,ISNUMBER(SEARCH("הכנסה",F1831)))),"הכנסה שסווגה מחדש",J1831)</x:f>
        <x:v>שוטף</x:v>
      </x:c>
      <x:c r="L1831" s="19" t="str">
        <x:v>מאושר</x:v>
      </x:c>
      <x:c r="M1831" s="20" t="n">
        <x:f>IF(L1831="מאושר",IF(K1831="הכנסה שסווגה מחדש",0,G1831),0)</x:f>
        <x:v>45</x:v>
      </x:c>
      <x:c r="N1831" s="20" t="n">
        <x:f>IF(K1831="שוטף",M1831,0)</x:f>
        <x:v>45</x:v>
      </x:c>
      <x:c r="O1831" s="20" t="n">
        <x:f>IF(K1831="הכנסה שסווגה מחדש",-G1831,0)</x:f>
        <x:v>0</x:v>
      </x:c>
      <x:c r="P1831" s="11" t="str">
        <x:v>אמקס - זיו</x:v>
      </x:c>
      <x:c r="Q1831" s="11" t="str"/>
      <x:c r="R1831" s="11" t="str">
        <x:v>לא</x:v>
      </x:c>
    </x:row>
    <x:row r="1832">
      <x:c r="A1832" s="14" t="n">
        <x:v>46204</x:v>
      </x:c>
      <x:c r="B1832" s="11" t="str">
        <x:v>2026-07</x:v>
      </x:c>
      <x:c r="C1832" s="11" t="str">
        <x:v>יולי 26</x:v>
      </x:c>
      <x:c r="D1832" s="15" t="n">
        <x:v>87</x:v>
      </x:c>
      <x:c r="E1832" s="11" t="str">
        <x:v>20.07</x:v>
      </x:c>
      <x:c r="F1832" s="11" t="str">
        <x:v>CAFE FLEUR-יציל</x:v>
      </x:c>
      <x:c r="G1832" s="17" t="n">
        <x:v>48</x:v>
      </x:c>
      <x:c r="H1832" s="18" t="str">
        <x:v>אוכל בחוץ</x:v>
      </x:c>
      <x:c r="I1832" s="19" t="str">
        <x:f>IFERROR(INDEX('מיפוי ומקורות'!$C$7:$C$33,MATCH(H1832,'מיפוי ומקורות'!$B$7:$B$33,0)),"לא מסווג")</x:f>
        <x:v>אוכל בחוץ</x:v>
      </x:c>
      <x:c r="J1832" s="19" t="str">
        <x:f>IFERROR(INDEX('מיפוי ומקורות'!$D$7:$D$33,MATCH(H1832,'מיפוי ומקורות'!$B$7:$B$33,0)),"שוטף")</x:f>
        <x:v>שוטף</x:v>
      </x:c>
      <x:c r="K1832" s="19" t="str">
        <x:f>IF(OR(H1832="ריביות",AND(H1832="דירה כצנלסון",G1832&lt;0,ISNUMBER(SEARCH("הכנסה",F1832)))),"הכנסה שסווגה מחדש",J1832)</x:f>
        <x:v>שוטף</x:v>
      </x:c>
      <x:c r="L1832" s="19" t="str">
        <x:v>מאושר</x:v>
      </x:c>
      <x:c r="M1832" s="20" t="n">
        <x:f>IF(L1832="מאושר",IF(K1832="הכנסה שסווגה מחדש",0,G1832),0)</x:f>
        <x:v>48</x:v>
      </x:c>
      <x:c r="N1832" s="20" t="n">
        <x:f>IF(K1832="שוטף",M1832,0)</x:f>
        <x:v>48</x:v>
      </x:c>
      <x:c r="O1832" s="20" t="n">
        <x:f>IF(K1832="הכנסה שסווגה מחדש",-G1832,0)</x:f>
        <x:v>0</x:v>
      </x:c>
      <x:c r="P1832" s="11" t="str">
        <x:v>אמקס - זיו</x:v>
      </x:c>
      <x:c r="Q1832" s="11" t="str"/>
      <x:c r="R1832" s="11" t="str">
        <x:v>לא</x:v>
      </x:c>
    </x:row>
    <x:row r="1833">
      <x:c r="A1833" s="14" t="n">
        <x:v>46204</x:v>
      </x:c>
      <x:c r="B1833" s="11" t="str">
        <x:v>2026-07</x:v>
      </x:c>
      <x:c r="C1833" s="11" t="str">
        <x:v>יולי 26</x:v>
      </x:c>
      <x:c r="D1833" s="15" t="n">
        <x:v>88</x:v>
      </x:c>
      <x:c r="E1833" s="11" t="str">
        <x:v>20.07</x:v>
      </x:c>
      <x:c r="F1833" s="11" t="str">
        <x:v>כגן הירק</x:v>
      </x:c>
      <x:c r="G1833" s="17" t="n">
        <x:v>14</x:v>
      </x:c>
      <x:c r="H1833" s="18" t="str">
        <x:v>מזון לבית</x:v>
      </x:c>
      <x:c r="I1833" s="19" t="str">
        <x:f>IFERROR(INDEX('מיפוי ומקורות'!$C$7:$C$33,MATCH(H1833,'מיפוי ומקורות'!$B$7:$B$33,0)),"לא מסווג")</x:f>
        <x:v>מזון לבית</x:v>
      </x:c>
      <x:c r="J1833" s="19" t="str">
        <x:f>IFERROR(INDEX('מיפוי ומקורות'!$D$7:$D$33,MATCH(H1833,'מיפוי ומקורות'!$B$7:$B$33,0)),"שוטף")</x:f>
        <x:v>שוטף</x:v>
      </x:c>
      <x:c r="K1833" s="19" t="str">
        <x:f>IF(OR(H1833="ריביות",AND(H1833="דירה כצנלסון",G1833&lt;0,ISNUMBER(SEARCH("הכנסה",F1833)))),"הכנסה שסווגה מחדש",J1833)</x:f>
        <x:v>שוטף</x:v>
      </x:c>
      <x:c r="L1833" s="19" t="str">
        <x:v>מאושר</x:v>
      </x:c>
      <x:c r="M1833" s="20" t="n">
        <x:f>IF(L1833="מאושר",IF(K1833="הכנסה שסווגה מחדש",0,G1833),0)</x:f>
        <x:v>14</x:v>
      </x:c>
      <x:c r="N1833" s="20" t="n">
        <x:f>IF(K1833="שוטף",M1833,0)</x:f>
        <x:v>14</x:v>
      </x:c>
      <x:c r="O1833" s="20" t="n">
        <x:f>IF(K1833="הכנסה שסווגה מחדש",-G1833,0)</x:f>
        <x:v>0</x:v>
      </x:c>
      <x:c r="P1833" s="11" t="str">
        <x:v>אמקס - זיו</x:v>
      </x:c>
      <x:c r="Q1833" s="11" t="str"/>
      <x:c r="R1833" s="11" t="str">
        <x:v>לא</x:v>
      </x:c>
    </x:row>
    <x:row r="1834">
      <x:c r="A1834" s="14" t="n">
        <x:v>46204</x:v>
      </x:c>
      <x:c r="B1834" s="11" t="str">
        <x:v>2026-07</x:v>
      </x:c>
      <x:c r="C1834" s="11" t="str">
        <x:v>יולי 26</x:v>
      </x:c>
      <x:c r="D1834" s="15" t="n">
        <x:v>89</x:v>
      </x:c>
      <x:c r="E1834" s="11" t="str">
        <x:v>23.07</x:v>
      </x:c>
      <x:c r="F1834" s="11" t="str">
        <x:v>מסעדה</x:v>
      </x:c>
      <x:c r="G1834" s="17" t="n">
        <x:v>23</x:v>
      </x:c>
      <x:c r="H1834" s="18" t="str">
        <x:v>אוכל בחוץ</x:v>
      </x:c>
      <x:c r="I1834" s="19" t="str">
        <x:f>IFERROR(INDEX('מיפוי ומקורות'!$C$7:$C$33,MATCH(H1834,'מיפוי ומקורות'!$B$7:$B$33,0)),"לא מסווג")</x:f>
        <x:v>אוכל בחוץ</x:v>
      </x:c>
      <x:c r="J1834" s="19" t="str">
        <x:f>IFERROR(INDEX('מיפוי ומקורות'!$D$7:$D$33,MATCH(H1834,'מיפוי ומקורות'!$B$7:$B$33,0)),"שוטף")</x:f>
        <x:v>שוטף</x:v>
      </x:c>
      <x:c r="K1834" s="19" t="str">
        <x:f>IF(OR(H1834="ריביות",AND(H1834="דירה כצנלסון",G1834&lt;0,ISNUMBER(SEARCH("הכנסה",F1834)))),"הכנסה שסווגה מחדש",J1834)</x:f>
        <x:v>שוטף</x:v>
      </x:c>
      <x:c r="L1834" s="19" t="str">
        <x:v>מאושר</x:v>
      </x:c>
      <x:c r="M1834" s="20" t="n">
        <x:f>IF(L1834="מאושר",IF(K1834="הכנסה שסווגה מחדש",0,G1834),0)</x:f>
        <x:v>23</x:v>
      </x:c>
      <x:c r="N1834" s="20" t="n">
        <x:f>IF(K1834="שוטף",M1834,0)</x:f>
        <x:v>23</x:v>
      </x:c>
      <x:c r="O1834" s="20" t="n">
        <x:f>IF(K1834="הכנסה שסווגה מחדש",-G1834,0)</x:f>
        <x:v>0</x:v>
      </x:c>
      <x:c r="P1834" s="11" t="str">
        <x:v>אמקס - זיו</x:v>
      </x:c>
      <x:c r="Q1834" s="11" t="str"/>
      <x:c r="R1834" s="11" t="str">
        <x:v>לא</x:v>
      </x:c>
    </x:row>
    <x:row r="1835">
      <x:c r="A1835" s="14" t="n">
        <x:v>46204</x:v>
      </x:c>
      <x:c r="B1835" s="11" t="str">
        <x:v>2026-07</x:v>
      </x:c>
      <x:c r="C1835" s="11" t="str">
        <x:v>יולי 26</x:v>
      </x:c>
      <x:c r="D1835" s="15" t="n">
        <x:v>90</x:v>
      </x:c>
      <x:c r="E1835" s="11" t="str">
        <x:v>24.07</x:v>
      </x:c>
      <x:c r="F1835" s="11" t="str">
        <x:v>דלק</x:v>
      </x:c>
      <x:c r="G1835" s="17" t="n">
        <x:v>245</x:v>
      </x:c>
      <x:c r="H1835" s="18" t="str">
        <x:v>תחבורה</x:v>
      </x:c>
      <x:c r="I1835" s="19" t="str">
        <x:f>IFERROR(INDEX('מיפוי ומקורות'!$C$7:$C$33,MATCH(H1835,'מיפוי ומקורות'!$B$7:$B$33,0)),"לא מסווג")</x:f>
        <x:v>תחבורה</x:v>
      </x:c>
      <x:c r="J1835" s="19" t="str">
        <x:f>IFERROR(INDEX('מיפוי ומקורות'!$D$7:$D$33,MATCH(H1835,'מיפוי ומקורות'!$B$7:$B$33,0)),"שוטף")</x:f>
        <x:v>שוטף</x:v>
      </x:c>
      <x:c r="K1835" s="19" t="str">
        <x:f>IF(OR(H1835="ריביות",AND(H1835="דירה כצנלסון",G1835&lt;0,ISNUMBER(SEARCH("הכנסה",F1835)))),"הכנסה שסווגה מחדש",J1835)</x:f>
        <x:v>שוטף</x:v>
      </x:c>
      <x:c r="L1835" s="19" t="str">
        <x:v>מאושר</x:v>
      </x:c>
      <x:c r="M1835" s="20" t="n">
        <x:f>IF(L1835="מאושר",IF(K1835="הכנסה שסווגה מחדש",0,G1835),0)</x:f>
        <x:v>245</x:v>
      </x:c>
      <x:c r="N1835" s="20" t="n">
        <x:f>IF(K1835="שוטף",M1835,0)</x:f>
        <x:v>245</x:v>
      </x:c>
      <x:c r="O1835" s="20" t="n">
        <x:f>IF(K1835="הכנסה שסווגה מחדש",-G1835,0)</x:f>
        <x:v>0</x:v>
      </x:c>
      <x:c r="P1835" s="11" t="str">
        <x:v>אמקס - זיו</x:v>
      </x:c>
      <x:c r="Q1835" s="11" t="str"/>
      <x:c r="R1835" s="11" t="str">
        <x:v>לא</x:v>
      </x:c>
    </x:row>
    <x:row r="1836">
      <x:c r="A1836" s="14" t="n">
        <x:v>46204</x:v>
      </x:c>
      <x:c r="B1836" s="11" t="str">
        <x:v>2026-07</x:v>
      </x:c>
      <x:c r="C1836" s="11" t="str">
        <x:v>יולי 26</x:v>
      </x:c>
      <x:c r="D1836" s="15" t="n">
        <x:v>91</x:v>
      </x:c>
      <x:c r="E1836" s="11" t="str">
        <x:v>28.07</x:v>
      </x:c>
      <x:c r="F1836" s="11" t="str">
        <x:v>כגן הירק</x:v>
      </x:c>
      <x:c r="G1836" s="17" t="n">
        <x:v>35</x:v>
      </x:c>
      <x:c r="H1836" s="18" t="str">
        <x:v>מזון לבית</x:v>
      </x:c>
      <x:c r="I1836" s="19" t="str">
        <x:f>IFERROR(INDEX('מיפוי ומקורות'!$C$7:$C$33,MATCH(H1836,'מיפוי ומקורות'!$B$7:$B$33,0)),"לא מסווג")</x:f>
        <x:v>מזון לבית</x:v>
      </x:c>
      <x:c r="J1836" s="19" t="str">
        <x:f>IFERROR(INDEX('מיפוי ומקורות'!$D$7:$D$33,MATCH(H1836,'מיפוי ומקורות'!$B$7:$B$33,0)),"שוטף")</x:f>
        <x:v>שוטף</x:v>
      </x:c>
      <x:c r="K1836" s="19" t="str">
        <x:f>IF(OR(H1836="ריביות",AND(H1836="דירה כצנלסון",G1836&lt;0,ISNUMBER(SEARCH("הכנסה",F1836)))),"הכנסה שסווגה מחדש",J1836)</x:f>
        <x:v>שוטף</x:v>
      </x:c>
      <x:c r="L1836" s="19" t="str">
        <x:v>מאושר</x:v>
      </x:c>
      <x:c r="M1836" s="20" t="n">
        <x:f>IF(L1836="מאושר",IF(K1836="הכנסה שסווגה מחדש",0,G1836),0)</x:f>
        <x:v>35</x:v>
      </x:c>
      <x:c r="N1836" s="20" t="n">
        <x:f>IF(K1836="שוטף",M1836,0)</x:f>
        <x:v>35</x:v>
      </x:c>
      <x:c r="O1836" s="20" t="n">
        <x:f>IF(K1836="הכנסה שסווגה מחדש",-G1836,0)</x:f>
        <x:v>0</x:v>
      </x:c>
      <x:c r="P1836" s="11" t="str">
        <x:v>אמקס - זיו</x:v>
      </x:c>
      <x:c r="Q1836" s="11" t="str"/>
      <x:c r="R1836" s="11" t="str">
        <x:v>לא</x:v>
      </x:c>
    </x:row>
    <x:row r="1837">
      <x:c r="A1837" s="14" t="n">
        <x:v>46204</x:v>
      </x:c>
      <x:c r="B1837" s="11" t="str">
        <x:v>2026-07</x:v>
      </x:c>
      <x:c r="C1837" s="11" t="str">
        <x:v>יולי 26</x:v>
      </x:c>
      <x:c r="D1837" s="15" t="n">
        <x:v>92</x:v>
      </x:c>
      <x:c r="E1837" s="11" t="str">
        <x:v>29.07</x:v>
      </x:c>
      <x:c r="F1837" s="11" t="str">
        <x:v>מסעדה</x:v>
      </x:c>
      <x:c r="G1837" s="17" t="n">
        <x:v>10</x:v>
      </x:c>
      <x:c r="H1837" s="18" t="str">
        <x:v>אוכל בחוץ</x:v>
      </x:c>
      <x:c r="I1837" s="19" t="str">
        <x:f>IFERROR(INDEX('מיפוי ומקורות'!$C$7:$C$33,MATCH(H1837,'מיפוי ומקורות'!$B$7:$B$33,0)),"לא מסווג")</x:f>
        <x:v>אוכל בחוץ</x:v>
      </x:c>
      <x:c r="J1837" s="19" t="str">
        <x:f>IFERROR(INDEX('מיפוי ומקורות'!$D$7:$D$33,MATCH(H1837,'מיפוי ומקורות'!$B$7:$B$33,0)),"שוטף")</x:f>
        <x:v>שוטף</x:v>
      </x:c>
      <x:c r="K1837" s="19" t="str">
        <x:f>IF(OR(H1837="ריביות",AND(H1837="דירה כצנלסון",G1837&lt;0,ISNUMBER(SEARCH("הכנסה",F1837)))),"הכנסה שסווגה מחדש",J1837)</x:f>
        <x:v>שוטף</x:v>
      </x:c>
      <x:c r="L1837" s="19" t="str">
        <x:v>מאושר</x:v>
      </x:c>
      <x:c r="M1837" s="20" t="n">
        <x:f>IF(L1837="מאושר",IF(K1837="הכנסה שסווגה מחדש",0,G1837),0)</x:f>
        <x:v>10</x:v>
      </x:c>
      <x:c r="N1837" s="20" t="n">
        <x:f>IF(K1837="שוטף",M1837,0)</x:f>
        <x:v>10</x:v>
      </x:c>
      <x:c r="O1837" s="20" t="n">
        <x:f>IF(K1837="הכנסה שסווגה מחדש",-G1837,0)</x:f>
        <x:v>0</x:v>
      </x:c>
      <x:c r="P1837" s="11" t="str">
        <x:v>אמקס - זיו</x:v>
      </x:c>
      <x:c r="Q1837" s="11" t="str"/>
      <x:c r="R1837" s="11" t="str">
        <x:v>לא</x:v>
      </x:c>
    </x:row>
    <x:row r="1838">
      <x:c r="A1838" s="14" t="n">
        <x:v>46204</x:v>
      </x:c>
      <x:c r="B1838" s="11" t="str">
        <x:v>2026-07</x:v>
      </x:c>
      <x:c r="C1838" s="11" t="str">
        <x:v>יולי 26</x:v>
      </x:c>
      <x:c r="D1838" s="15" t="n">
        <x:v>93</x:v>
      </x:c>
      <x:c r="E1838" s="11" t="str">
        <x:v>30.07</x:v>
      </x:c>
      <x:c r="F1838" s="11" t="str">
        <x:v>מסעדה</x:v>
      </x:c>
      <x:c r="G1838" s="17" t="n">
        <x:v>6</x:v>
      </x:c>
      <x:c r="H1838" s="18" t="str">
        <x:v>אוכל בחוץ</x:v>
      </x:c>
      <x:c r="I1838" s="19" t="str">
        <x:f>IFERROR(INDEX('מיפוי ומקורות'!$C$7:$C$33,MATCH(H1838,'מיפוי ומקורות'!$B$7:$B$33,0)),"לא מסווג")</x:f>
        <x:v>אוכל בחוץ</x:v>
      </x:c>
      <x:c r="J1838" s="19" t="str">
        <x:f>IFERROR(INDEX('מיפוי ומקורות'!$D$7:$D$33,MATCH(H1838,'מיפוי ומקורות'!$B$7:$B$33,0)),"שוטף")</x:f>
        <x:v>שוטף</x:v>
      </x:c>
      <x:c r="K1838" s="19" t="str">
        <x:f>IF(OR(H1838="ריביות",AND(H1838="דירה כצנלסון",G1838&lt;0,ISNUMBER(SEARCH("הכנסה",F1838)))),"הכנסה שסווגה מחדש",J1838)</x:f>
        <x:v>שוטף</x:v>
      </x:c>
      <x:c r="L1838" s="19" t="str">
        <x:v>מאושר</x:v>
      </x:c>
      <x:c r="M1838" s="20" t="n">
        <x:f>IF(L1838="מאושר",IF(K1838="הכנסה שסווגה מחדש",0,G1838),0)</x:f>
        <x:v>6</x:v>
      </x:c>
      <x:c r="N1838" s="20" t="n">
        <x:f>IF(K1838="שוטף",M1838,0)</x:f>
        <x:v>6</x:v>
      </x:c>
      <x:c r="O1838" s="20" t="n">
        <x:f>IF(K1838="הכנסה שסווגה מחדש",-G1838,0)</x:f>
        <x:v>0</x:v>
      </x:c>
      <x:c r="P1838" s="11" t="str">
        <x:v>אמקס - זיו</x:v>
      </x:c>
      <x:c r="Q1838" s="11" t="str"/>
      <x:c r="R1838" s="11" t="str">
        <x:v>לא</x:v>
      </x:c>
    </x:row>
    <x:row r="1839">
      <x:c r="A1839" s="14" t="n">
        <x:v>46204</x:v>
      </x:c>
      <x:c r="B1839" s="11" t="str">
        <x:v>2026-07</x:v>
      </x:c>
      <x:c r="C1839" s="11" t="str">
        <x:v>יולי 26</x:v>
      </x:c>
      <x:c r="D1839" s="15" t="n">
        <x:v>94</x:v>
      </x:c>
      <x:c r="E1839" s="11" t="str">
        <x:v>30.07</x:v>
      </x:c>
      <x:c r="F1839" s="11" t="str">
        <x:v>ירקן</x:v>
      </x:c>
      <x:c r="G1839" s="17" t="n">
        <x:v>13</x:v>
      </x:c>
      <x:c r="H1839" s="18" t="str">
        <x:v>מזון לבית</x:v>
      </x:c>
      <x:c r="I1839" s="19" t="str">
        <x:f>IFERROR(INDEX('מיפוי ומקורות'!$C$7:$C$33,MATCH(H1839,'מיפוי ומקורות'!$B$7:$B$33,0)),"לא מסווג")</x:f>
        <x:v>מזון לבית</x:v>
      </x:c>
      <x:c r="J1839" s="19" t="str">
        <x:f>IFERROR(INDEX('מיפוי ומקורות'!$D$7:$D$33,MATCH(H1839,'מיפוי ומקורות'!$B$7:$B$33,0)),"שוטף")</x:f>
        <x:v>שוטף</x:v>
      </x:c>
      <x:c r="K1839" s="19" t="str">
        <x:f>IF(OR(H1839="ריביות",AND(H1839="דירה כצנלסון",G1839&lt;0,ISNUMBER(SEARCH("הכנסה",F1839)))),"הכנסה שסווגה מחדש",J1839)</x:f>
        <x:v>שוטף</x:v>
      </x:c>
      <x:c r="L1839" s="19" t="str">
        <x:v>מאושר</x:v>
      </x:c>
      <x:c r="M1839" s="20" t="n">
        <x:f>IF(L1839="מאושר",IF(K1839="הכנסה שסווגה מחדש",0,G1839),0)</x:f>
        <x:v>13</x:v>
      </x:c>
      <x:c r="N1839" s="20" t="n">
        <x:f>IF(K1839="שוטף",M1839,0)</x:f>
        <x:v>13</x:v>
      </x:c>
      <x:c r="O1839" s="20" t="n">
        <x:f>IF(K1839="הכנסה שסווגה מחדש",-G1839,0)</x:f>
        <x:v>0</x:v>
      </x:c>
      <x:c r="P1839" s="11" t="str">
        <x:v>אמקס - זיו</x:v>
      </x:c>
      <x:c r="Q1839" s="11" t="str"/>
      <x:c r="R1839" s="11" t="str">
        <x:v>לא</x:v>
      </x:c>
    </x:row>
    <x:row r="1840">
      <x:c r="A1840" s="14" t="n">
        <x:v>46204</x:v>
      </x:c>
      <x:c r="B1840" s="11" t="str">
        <x:v>2026-07</x:v>
      </x:c>
      <x:c r="C1840" s="11" t="str">
        <x:v>יולי 26</x:v>
      </x:c>
      <x:c r="D1840" s="15" t="n">
        <x:v>95</x:v>
      </x:c>
      <x:c r="E1840" s="11" t="str">
        <x:v>30.07</x:v>
      </x:c>
      <x:c r="F1840" s="11" t="str">
        <x:v>פיצוציה</x:v>
      </x:c>
      <x:c r="G1840" s="17" t="n">
        <x:v>50</x:v>
      </x:c>
      <x:c r="H1840" s="18" t="str">
        <x:v>אוכל בחוץ</x:v>
      </x:c>
      <x:c r="I1840" s="19" t="str">
        <x:f>IFERROR(INDEX('מיפוי ומקורות'!$C$7:$C$33,MATCH(H1840,'מיפוי ומקורות'!$B$7:$B$33,0)),"לא מסווג")</x:f>
        <x:v>אוכל בחוץ</x:v>
      </x:c>
      <x:c r="J1840" s="19" t="str">
        <x:f>IFERROR(INDEX('מיפוי ומקורות'!$D$7:$D$33,MATCH(H1840,'מיפוי ומקורות'!$B$7:$B$33,0)),"שוטף")</x:f>
        <x:v>שוטף</x:v>
      </x:c>
      <x:c r="K1840" s="19" t="str">
        <x:f>IF(OR(H1840="ריביות",AND(H1840="דירה כצנלסון",G1840&lt;0,ISNUMBER(SEARCH("הכנסה",F1840)))),"הכנסה שסווגה מחדש",J1840)</x:f>
        <x:v>שוטף</x:v>
      </x:c>
      <x:c r="L1840" s="19" t="str">
        <x:v>מאושר</x:v>
      </x:c>
      <x:c r="M1840" s="20" t="n">
        <x:f>IF(L1840="מאושר",IF(K1840="הכנסה שסווגה מחדש",0,G1840),0)</x:f>
        <x:v>50</x:v>
      </x:c>
      <x:c r="N1840" s="20" t="n">
        <x:f>IF(K1840="שוטף",M1840,0)</x:f>
        <x:v>50</x:v>
      </x:c>
      <x:c r="O1840" s="20" t="n">
        <x:f>IF(K1840="הכנסה שסווגה מחדש",-G1840,0)</x:f>
        <x:v>0</x:v>
      </x:c>
      <x:c r="P1840" s="11" t="str">
        <x:v>אמקס - זיו</x:v>
      </x:c>
      <x:c r="Q1840" s="11" t="str"/>
      <x:c r="R1840" s="11" t="str">
        <x:v>לא</x:v>
      </x:c>
    </x:row>
    <x:row r="1841">
      <x:c r="A1841" s="14" t="n">
        <x:v>46204</x:v>
      </x:c>
      <x:c r="B1841" s="11" t="str">
        <x:v>2026-07</x:v>
      </x:c>
      <x:c r="C1841" s="11" t="str">
        <x:v>יולי 26</x:v>
      </x:c>
      <x:c r="D1841" s="15" t="n">
        <x:v>96</x:v>
      </x:c>
      <x:c r="E1841" s="11" t="str">
        <x:v>31.07</x:v>
      </x:c>
      <x:c r="F1841" s="11" t="str">
        <x:v>סופר</x:v>
      </x:c>
      <x:c r="G1841" s="17" t="n">
        <x:v>11</x:v>
      </x:c>
      <x:c r="H1841" s="18" t="str">
        <x:v>מזון לבית</x:v>
      </x:c>
      <x:c r="I1841" s="19" t="str">
        <x:f>IFERROR(INDEX('מיפוי ומקורות'!$C$7:$C$33,MATCH(H1841,'מיפוי ומקורות'!$B$7:$B$33,0)),"לא מסווג")</x:f>
        <x:v>מזון לבית</x:v>
      </x:c>
      <x:c r="J1841" s="19" t="str">
        <x:f>IFERROR(INDEX('מיפוי ומקורות'!$D$7:$D$33,MATCH(H1841,'מיפוי ומקורות'!$B$7:$B$33,0)),"שוטף")</x:f>
        <x:v>שוטף</x:v>
      </x:c>
      <x:c r="K1841" s="19" t="str">
        <x:f>IF(OR(H1841="ריביות",AND(H1841="דירה כצנלסון",G1841&lt;0,ISNUMBER(SEARCH("הכנסה",F1841)))),"הכנסה שסווגה מחדש",J1841)</x:f>
        <x:v>שוטף</x:v>
      </x:c>
      <x:c r="L1841" s="19" t="str">
        <x:v>מאושר</x:v>
      </x:c>
      <x:c r="M1841" s="20" t="n">
        <x:f>IF(L1841="מאושר",IF(K1841="הכנסה שסווגה מחדש",0,G1841),0)</x:f>
        <x:v>11</x:v>
      </x:c>
      <x:c r="N1841" s="20" t="n">
        <x:f>IF(K1841="שוטף",M1841,0)</x:f>
        <x:v>11</x:v>
      </x:c>
      <x:c r="O1841" s="20" t="n">
        <x:f>IF(K1841="הכנסה שסווגה מחדש",-G1841,0)</x:f>
        <x:v>0</x:v>
      </x:c>
      <x:c r="P1841" s="11" t="str">
        <x:v>אמקס - זיו</x:v>
      </x:c>
      <x:c r="Q1841" s="11" t="str"/>
      <x:c r="R1841" s="11" t="str">
        <x:v>לא</x:v>
      </x:c>
    </x:row>
    <x:row r="1842">
      <x:c r="A1842" s="14" t="n">
        <x:v>46204</x:v>
      </x:c>
      <x:c r="B1842" s="11" t="str">
        <x:v>2026-07</x:v>
      </x:c>
      <x:c r="C1842" s="11" t="str">
        <x:v>יולי 26</x:v>
      </x:c>
      <x:c r="D1842" s="15" t="n">
        <x:v>97</x:v>
      </x:c>
      <x:c r="E1842" s="11" t="str">
        <x:v>25/7</x:v>
      </x:c>
      <x:c r="F1842" s="11" t="str">
        <x:v>דקטלון</x:v>
      </x:c>
      <x:c r="G1842" s="17" t="n">
        <x:v>200</x:v>
      </x:c>
      <x:c r="H1842" s="18" t="str">
        <x:v>אופנה</x:v>
      </x:c>
      <x:c r="I1842" s="19" t="str">
        <x:f>IFERROR(INDEX('מיפוי ומקורות'!$C$7:$C$33,MATCH(H1842,'מיפוי ומקורות'!$B$7:$B$33,0)),"לא מסווג")</x:f>
        <x:v>אופנה</x:v>
      </x:c>
      <x:c r="J1842" s="19" t="str">
        <x:f>IFERROR(INDEX('מיפוי ומקורות'!$D$7:$D$33,MATCH(H1842,'מיפוי ומקורות'!$B$7:$B$33,0)),"שוטף")</x:f>
        <x:v>שוטף</x:v>
      </x:c>
      <x:c r="K1842" s="19" t="str">
        <x:f>IF(OR(H1842="ריביות",AND(H1842="דירה כצנלסון",G1842&lt;0,ISNUMBER(SEARCH("הכנסה",F1842)))),"הכנסה שסווגה מחדש",J1842)</x:f>
        <x:v>שוטף</x:v>
      </x:c>
      <x:c r="L1842" s="19" t="str">
        <x:v>מאושר</x:v>
      </x:c>
      <x:c r="M1842" s="20" t="n">
        <x:f>IF(L1842="מאושר",IF(K1842="הכנסה שסווגה מחדש",0,G1842),0)</x:f>
        <x:v>200</x:v>
      </x:c>
      <x:c r="N1842" s="20" t="n">
        <x:f>IF(K1842="שוטף",M1842,0)</x:f>
        <x:v>200</x:v>
      </x:c>
      <x:c r="O1842" s="20" t="n">
        <x:f>IF(K1842="הכנסה שסווגה מחדש",-G1842,0)</x:f>
        <x:v>0</x:v>
      </x:c>
      <x:c r="P1842" s="11" t="str">
        <x:v>אמקס - זיו</x:v>
      </x:c>
      <x:c r="Q1842" s="11" t="str"/>
      <x:c r="R1842" s="11" t="str">
        <x:v>לא</x:v>
      </x:c>
    </x:row>
    <x:row r="1843">
      <x:c r="A1843" s="14" t="n">
        <x:v>46204</x:v>
      </x:c>
      <x:c r="B1843" s="11" t="str">
        <x:v>2026-07</x:v>
      </x:c>
      <x:c r="C1843" s="11" t="str">
        <x:v>יולי 26</x:v>
      </x:c>
      <x:c r="D1843" s="15" t="n">
        <x:v>98</x:v>
      </x:c>
      <x:c r="E1843" s="11" t="str">
        <x:v>11/7</x:v>
      </x:c>
      <x:c r="F1843" s="11" t="str">
        <x:v>סופר</x:v>
      </x:c>
      <x:c r="G1843" s="17" t="n">
        <x:v>279</x:v>
      </x:c>
      <x:c r="H1843" s="18" t="str">
        <x:v>מזון לבית</x:v>
      </x:c>
      <x:c r="I1843" s="19" t="str">
        <x:f>IFERROR(INDEX('מיפוי ומקורות'!$C$7:$C$33,MATCH(H1843,'מיפוי ומקורות'!$B$7:$B$33,0)),"לא מסווג")</x:f>
        <x:v>מזון לבית</x:v>
      </x:c>
      <x:c r="J1843" s="19" t="str">
        <x:f>IFERROR(INDEX('מיפוי ומקורות'!$D$7:$D$33,MATCH(H1843,'מיפוי ומקורות'!$B$7:$B$33,0)),"שוטף")</x:f>
        <x:v>שוטף</x:v>
      </x:c>
      <x:c r="K1843" s="19" t="str">
        <x:f>IF(OR(H1843="ריביות",AND(H1843="דירה כצנלסון",G1843&lt;0,ISNUMBER(SEARCH("הכנסה",F1843)))),"הכנסה שסווגה מחדש",J1843)</x:f>
        <x:v>שוטף</x:v>
      </x:c>
      <x:c r="L1843" s="19" t="str">
        <x:v>מאושר</x:v>
      </x:c>
      <x:c r="M1843" s="20" t="n">
        <x:f>IF(L1843="מאושר",IF(K1843="הכנסה שסווגה מחדש",0,G1843),0)</x:f>
        <x:v>279</x:v>
      </x:c>
      <x:c r="N1843" s="20" t="n">
        <x:f>IF(K1843="שוטף",M1843,0)</x:f>
        <x:v>279</x:v>
      </x:c>
      <x:c r="O1843" s="20" t="n">
        <x:f>IF(K1843="הכנסה שסווגה מחדש",-G1843,0)</x:f>
        <x:v>0</x:v>
      </x:c>
      <x:c r="P1843" s="11" t="str">
        <x:v>הוט - זיו</x:v>
      </x:c>
      <x:c r="Q1843" s="11" t="str"/>
      <x:c r="R1843" s="11" t="str">
        <x:v>לא</x:v>
      </x:c>
    </x:row>
    <x:row r="1844">
      <x:c r="A1844" s="14" t="n">
        <x:v>46204</x:v>
      </x:c>
      <x:c r="B1844" s="11" t="str">
        <x:v>2026-07</x:v>
      </x:c>
      <x:c r="C1844" s="11" t="str">
        <x:v>יולי 26</x:v>
      </x:c>
      <x:c r="D1844" s="15" t="n">
        <x:v>99</x:v>
      </x:c>
      <x:c r="E1844" s="11" t="str">
        <x:v>1/7</x:v>
      </x:c>
      <x:c r="F1844" s="11" t="str">
        <x:v>משחקים אלי</x:v>
      </x:c>
      <x:c r="G1844" s="17" t="n">
        <x:v>149</x:v>
      </x:c>
      <x:c r="H1844" s="18" t="str">
        <x:v>פנאי</x:v>
      </x:c>
      <x:c r="I1844" s="19" t="str">
        <x:f>IFERROR(INDEX('מיפוי ומקורות'!$C$7:$C$33,MATCH(H1844,'מיפוי ומקורות'!$B$7:$B$33,0)),"לא מסווג")</x:f>
        <x:v>פנאי</x:v>
      </x:c>
      <x:c r="J1844" s="19" t="str">
        <x:f>IFERROR(INDEX('מיפוי ומקורות'!$D$7:$D$33,MATCH(H1844,'מיפוי ומקורות'!$B$7:$B$33,0)),"שוטף")</x:f>
        <x:v>שוטף</x:v>
      </x:c>
      <x:c r="K1844" s="19" t="str">
        <x:f>IF(OR(H1844="ריביות",AND(H1844="דירה כצנלסון",G1844&lt;0,ISNUMBER(SEARCH("הכנסה",F1844)))),"הכנסה שסווגה מחדש",J1844)</x:f>
        <x:v>שוטף</x:v>
      </x:c>
      <x:c r="L1844" s="19" t="str">
        <x:v>מאושר</x:v>
      </x:c>
      <x:c r="M1844" s="20" t="n">
        <x:f>IF(L1844="מאושר",IF(K1844="הכנסה שסווגה מחדש",0,G1844),0)</x:f>
        <x:v>149</x:v>
      </x:c>
      <x:c r="N1844" s="20" t="n">
        <x:f>IF(K1844="שוטף",M1844,0)</x:f>
        <x:v>149</x:v>
      </x:c>
      <x:c r="O1844" s="20" t="n">
        <x:f>IF(K1844="הכנסה שסווגה מחדש",-G1844,0)</x:f>
        <x:v>0</x:v>
      </x:c>
      <x:c r="P1844" s="11" t="str">
        <x:v>קורפורייט - זיו</x:v>
      </x:c>
      <x:c r="Q1844" s="11" t="str"/>
      <x:c r="R1844" s="11" t="str">
        <x:v>לא</x:v>
      </x:c>
    </x:row>
    <x:row r="1845">
      <x:c r="A1845" s="14" t="n">
        <x:v>46204</x:v>
      </x:c>
      <x:c r="B1845" s="11" t="str">
        <x:v>2026-07</x:v>
      </x:c>
      <x:c r="C1845" s="11" t="str">
        <x:v>יולי 26</x:v>
      </x:c>
      <x:c r="D1845" s="15" t="n">
        <x:v>100</x:v>
      </x:c>
      <x:c r="E1845" s="11" t="str">
        <x:v>4/7</x:v>
      </x:c>
      <x:c r="F1845" s="11" t="str">
        <x:v>פנקיק</x:v>
      </x:c>
      <x:c r="G1845" s="17" t="n">
        <x:v>45</x:v>
      </x:c>
      <x:c r="H1845" s="18" t="str">
        <x:v>אוכל בחוץ</x:v>
      </x:c>
      <x:c r="I1845" s="19" t="str">
        <x:f>IFERROR(INDEX('מיפוי ומקורות'!$C$7:$C$33,MATCH(H1845,'מיפוי ומקורות'!$B$7:$B$33,0)),"לא מסווג")</x:f>
        <x:v>אוכל בחוץ</x:v>
      </x:c>
      <x:c r="J1845" s="19" t="str">
        <x:f>IFERROR(INDEX('מיפוי ומקורות'!$D$7:$D$33,MATCH(H1845,'מיפוי ומקורות'!$B$7:$B$33,0)),"שוטף")</x:f>
        <x:v>שוטף</x:v>
      </x:c>
      <x:c r="K1845" s="19" t="str">
        <x:f>IF(OR(H1845="ריביות",AND(H1845="דירה כצנלסון",G1845&lt;0,ISNUMBER(SEARCH("הכנסה",F1845)))),"הכנסה שסווגה מחדש",J1845)</x:f>
        <x:v>שוטף</x:v>
      </x:c>
      <x:c r="L1845" s="19" t="str">
        <x:v>מאושר</x:v>
      </x:c>
      <x:c r="M1845" s="20" t="n">
        <x:f>IF(L1845="מאושר",IF(K1845="הכנסה שסווגה מחדש",0,G1845),0)</x:f>
        <x:v>45</x:v>
      </x:c>
      <x:c r="N1845" s="20" t="n">
        <x:f>IF(K1845="שוטף",M1845,0)</x:f>
        <x:v>45</x:v>
      </x:c>
      <x:c r="O1845" s="20" t="n">
        <x:f>IF(K1845="הכנסה שסווגה מחדש",-G1845,0)</x:f>
        <x:v>0</x:v>
      </x:c>
      <x:c r="P1845" s="11" t="str">
        <x:v>one zero - זיו</x:v>
      </x:c>
      <x:c r="Q1845" s="11" t="str"/>
      <x:c r="R1845" s="11" t="str">
        <x:v>לא</x:v>
      </x:c>
    </x:row>
    <x:row r="1846">
      <x:c r="A1846" s="14" t="n">
        <x:v>46204</x:v>
      </x:c>
      <x:c r="B1846" s="11" t="str">
        <x:v>2026-07</x:v>
      </x:c>
      <x:c r="C1846" s="11" t="str">
        <x:v>יולי 26</x:v>
      </x:c>
      <x:c r="D1846" s="15" t="n">
        <x:v>101</x:v>
      </x:c>
      <x:c r="E1846" s="11" t="str">
        <x:v>16/7</x:v>
      </x:c>
      <x:c r="F1846" s="11" t="str">
        <x:v>תמבוריה</x:v>
      </x:c>
      <x:c r="G1846" s="17" t="n">
        <x:v>35</x:v>
      </x:c>
      <x:c r="H1846" s="18" t="str">
        <x:v>קניות לבית</x:v>
      </x:c>
      <x:c r="I1846" s="19" t="str">
        <x:f>IFERROR(INDEX('מיפוי ומקורות'!$C$7:$C$33,MATCH(H1846,'מיפוי ומקורות'!$B$7:$B$33,0)),"לא מסווג")</x:f>
        <x:v>קניות לבית</x:v>
      </x:c>
      <x:c r="J1846" s="19" t="str">
        <x:f>IFERROR(INDEX('מיפוי ומקורות'!$D$7:$D$33,MATCH(H1846,'מיפוי ומקורות'!$B$7:$B$33,0)),"שוטף")</x:f>
        <x:v>שוטף</x:v>
      </x:c>
      <x:c r="K1846" s="19" t="str">
        <x:f>IF(OR(H1846="ריביות",AND(H1846="דירה כצנלסון",G1846&lt;0,ISNUMBER(SEARCH("הכנסה",F1846)))),"הכנסה שסווגה מחדש",J1846)</x:f>
        <x:v>שוטף</x:v>
      </x:c>
      <x:c r="L1846" s="19" t="str">
        <x:v>מאושר</x:v>
      </x:c>
      <x:c r="M1846" s="20" t="n">
        <x:f>IF(L1846="מאושר",IF(K1846="הכנסה שסווגה מחדש",0,G1846),0)</x:f>
        <x:v>35</x:v>
      </x:c>
      <x:c r="N1846" s="20" t="n">
        <x:f>IF(K1846="שוטף",M1846,0)</x:f>
        <x:v>35</x:v>
      </x:c>
      <x:c r="O1846" s="20" t="n">
        <x:f>IF(K1846="הכנסה שסווגה מחדש",-G1846,0)</x:f>
        <x:v>0</x:v>
      </x:c>
      <x:c r="P1846" s="11" t="str">
        <x:v>one zero - זיו</x:v>
      </x:c>
      <x:c r="Q1846" s="11" t="str"/>
      <x:c r="R1846" s="11" t="str">
        <x:v>לא</x:v>
      </x:c>
    </x:row>
    <x:row r="1847">
      <x:c r="A1847" s="14" t="n">
        <x:v>46204</x:v>
      </x:c>
      <x:c r="B1847" s="11" t="str">
        <x:v>2026-07</x:v>
      </x:c>
      <x:c r="C1847" s="11" t="str">
        <x:v>יולי 26</x:v>
      </x:c>
      <x:c r="D1847" s="15" t="n">
        <x:v>102</x:v>
      </x:c>
      <x:c r="E1847" s="11" t="str">
        <x:v>25/7</x:v>
      </x:c>
      <x:c r="F1847" s="11" t="str">
        <x:v>תחבץ</x:v>
      </x:c>
      <x:c r="G1847" s="17" t="n">
        <x:v>65</x:v>
      </x:c>
      <x:c r="H1847" s="18" t="str">
        <x:v>תחבורה</x:v>
      </x:c>
      <x:c r="I1847" s="19" t="str">
        <x:f>IFERROR(INDEX('מיפוי ומקורות'!$C$7:$C$33,MATCH(H1847,'מיפוי ומקורות'!$B$7:$B$33,0)),"לא מסווג")</x:f>
        <x:v>תחבורה</x:v>
      </x:c>
      <x:c r="J1847" s="19" t="str">
        <x:f>IFERROR(INDEX('מיפוי ומקורות'!$D$7:$D$33,MATCH(H1847,'מיפוי ומקורות'!$B$7:$B$33,0)),"שוטף")</x:f>
        <x:v>שוטף</x:v>
      </x:c>
      <x:c r="K1847" s="19" t="str">
        <x:f>IF(OR(H1847="ריביות",AND(H1847="דירה כצנלסון",G1847&lt;0,ISNUMBER(SEARCH("הכנסה",F1847)))),"הכנסה שסווגה מחדש",J1847)</x:f>
        <x:v>שוטף</x:v>
      </x:c>
      <x:c r="L1847" s="19" t="str">
        <x:v>מאושר</x:v>
      </x:c>
      <x:c r="M1847" s="20" t="n">
        <x:f>IF(L1847="מאושר",IF(K1847="הכנסה שסווגה מחדש",0,G1847),0)</x:f>
        <x:v>65</x:v>
      </x:c>
      <x:c r="N1847" s="20" t="n">
        <x:f>IF(K1847="שוטף",M1847,0)</x:f>
        <x:v>65</x:v>
      </x:c>
      <x:c r="O1847" s="20" t="n">
        <x:f>IF(K1847="הכנסה שסווגה מחדש",-G1847,0)</x:f>
        <x:v>0</x:v>
      </x:c>
      <x:c r="P1847" s="11" t="str">
        <x:v>one zero - זיו</x:v>
      </x:c>
      <x:c r="Q1847" s="11" t="str"/>
      <x:c r="R1847" s="11" t="str">
        <x:v>לא</x:v>
      </x:c>
    </x:row>
    <x:row r="1848">
      <x:c r="A1848" s="14" t="n">
        <x:v>46204</x:v>
      </x:c>
      <x:c r="B1848" s="11" t="str">
        <x:v>2026-07</x:v>
      </x:c>
      <x:c r="C1848" s="11" t="str">
        <x:v>יולי 26</x:v>
      </x:c>
      <x:c r="D1848" s="15" t="n">
        <x:v>103</x:v>
      </x:c>
      <x:c r="E1848" s="11" t="str">
        <x:v>28/7</x:v>
      </x:c>
      <x:c r="F1848" s="11" t="str">
        <x:v>תספורת</x:v>
      </x:c>
      <x:c r="G1848" s="17" t="n">
        <x:v>90</x:v>
      </x:c>
      <x:c r="H1848" s="18" t="str">
        <x:v>אופנה</x:v>
      </x:c>
      <x:c r="I1848" s="19" t="str">
        <x:f>IFERROR(INDEX('מיפוי ומקורות'!$C$7:$C$33,MATCH(H1848,'מיפוי ומקורות'!$B$7:$B$33,0)),"לא מסווג")</x:f>
        <x:v>אופנה</x:v>
      </x:c>
      <x:c r="J1848" s="19" t="str">
        <x:f>IFERROR(INDEX('מיפוי ומקורות'!$D$7:$D$33,MATCH(H1848,'מיפוי ומקורות'!$B$7:$B$33,0)),"שוטף")</x:f>
        <x:v>שוטף</x:v>
      </x:c>
      <x:c r="K1848" s="19" t="str">
        <x:f>IF(OR(H1848="ריביות",AND(H1848="דירה כצנלסון",G1848&lt;0,ISNUMBER(SEARCH("הכנסה",F1848)))),"הכנסה שסווגה מחדש",J1848)</x:f>
        <x:v>שוטף</x:v>
      </x:c>
      <x:c r="L1848" s="19" t="str">
        <x:v>מאושר</x:v>
      </x:c>
      <x:c r="M1848" s="20" t="n">
        <x:f>IF(L1848="מאושר",IF(K1848="הכנסה שסווגה מחדש",0,G1848),0)</x:f>
        <x:v>90</x:v>
      </x:c>
      <x:c r="N1848" s="20" t="n">
        <x:f>IF(K1848="שוטף",M1848,0)</x:f>
        <x:v>90</x:v>
      </x:c>
      <x:c r="O1848" s="20" t="n">
        <x:f>IF(K1848="הכנסה שסווגה מחדש",-G1848,0)</x:f>
        <x:v>0</x:v>
      </x:c>
      <x:c r="P1848" s="11" t="str">
        <x:v>one zero - זיו</x:v>
      </x:c>
      <x:c r="Q1848" s="11" t="str"/>
      <x:c r="R1848" s="11" t="str">
        <x:v>לא</x:v>
      </x:c>
    </x:row>
    <x:row r="1849">
      <x:c r="A1849" s="14" t="n">
        <x:v>46204</x:v>
      </x:c>
      <x:c r="B1849" s="11" t="str">
        <x:v>2026-07</x:v>
      </x:c>
      <x:c r="C1849" s="11" t="str">
        <x:v>יולי 26</x:v>
      </x:c>
      <x:c r="D1849" s="15" t="n">
        <x:v>104</x:v>
      </x:c>
      <x:c r="E1849" s="11" t="str">
        <x:v>1.07</x:v>
      </x:c>
      <x:c r="F1849" s="11" t="str">
        <x:v>מסעדה</x:v>
      </x:c>
      <x:c r="G1849" s="17" t="n">
        <x:v>71</x:v>
      </x:c>
      <x:c r="H1849" s="18" t="str">
        <x:v>אוכל בחוץ</x:v>
      </x:c>
      <x:c r="I1849" s="19" t="str">
        <x:f>IFERROR(INDEX('מיפוי ומקורות'!$C$7:$C$33,MATCH(H1849,'מיפוי ומקורות'!$B$7:$B$33,0)),"לא מסווג")</x:f>
        <x:v>אוכל בחוץ</x:v>
      </x:c>
      <x:c r="J1849" s="19" t="str">
        <x:f>IFERROR(INDEX('מיפוי ומקורות'!$D$7:$D$33,MATCH(H1849,'מיפוי ומקורות'!$B$7:$B$33,0)),"שוטף")</x:f>
        <x:v>שוטף</x:v>
      </x:c>
      <x:c r="K1849" s="19" t="str">
        <x:f>IF(OR(H1849="ריביות",AND(H1849="דירה כצנלסון",G1849&lt;0,ISNUMBER(SEARCH("הכנסה",F1849)))),"הכנסה שסווגה מחדש",J1849)</x:f>
        <x:v>שוטף</x:v>
      </x:c>
      <x:c r="L1849" s="19" t="str">
        <x:v>מאושר</x:v>
      </x:c>
      <x:c r="M1849" s="20" t="n">
        <x:f>IF(L1849="מאושר",IF(K1849="הכנסה שסווגה מחדש",0,G1849),0)</x:f>
        <x:v>71</x:v>
      </x:c>
      <x:c r="N1849" s="20" t="n">
        <x:f>IF(K1849="שוטף",M1849,0)</x:f>
        <x:v>71</x:v>
      </x:c>
      <x:c r="O1849" s="20" t="n">
        <x:f>IF(K1849="הכנסה שסווגה מחדש",-G1849,0)</x:f>
        <x:v>0</x:v>
      </x:c>
      <x:c r="P1849" s="11" t="str">
        <x:v>סיבוס - עינור</x:v>
      </x:c>
      <x:c r="Q1849" s="11" t="str"/>
      <x:c r="R1849" s="11" t="str">
        <x:v>לא</x:v>
      </x:c>
    </x:row>
    <x:row r="1850">
      <x:c r="A1850" s="14" t="n">
        <x:v>46204</x:v>
      </x:c>
      <x:c r="B1850" s="11" t="str">
        <x:v>2026-07</x:v>
      </x:c>
      <x:c r="C1850" s="11" t="str">
        <x:v>יולי 26</x:v>
      </x:c>
      <x:c r="D1850" s="15" t="n">
        <x:v>105</x:v>
      </x:c>
      <x:c r="E1850" s="11" t="str">
        <x:v>4.07</x:v>
      </x:c>
      <x:c r="F1850" s="11" t="str">
        <x:v>אוכל</x:v>
      </x:c>
      <x:c r="G1850" s="17" t="n">
        <x:v>97</x:v>
      </x:c>
      <x:c r="H1850" s="18" t="str">
        <x:v>אוכל בחוץ</x:v>
      </x:c>
      <x:c r="I1850" s="19" t="str">
        <x:f>IFERROR(INDEX('מיפוי ומקורות'!$C$7:$C$33,MATCH(H1850,'מיפוי ומקורות'!$B$7:$B$33,0)),"לא מסווג")</x:f>
        <x:v>אוכל בחוץ</x:v>
      </x:c>
      <x:c r="J1850" s="19" t="str">
        <x:f>IFERROR(INDEX('מיפוי ומקורות'!$D$7:$D$33,MATCH(H1850,'מיפוי ומקורות'!$B$7:$B$33,0)),"שוטף")</x:f>
        <x:v>שוטף</x:v>
      </x:c>
      <x:c r="K1850" s="19" t="str">
        <x:f>IF(OR(H1850="ריביות",AND(H1850="דירה כצנלסון",G1850&lt;0,ISNUMBER(SEARCH("הכנסה",F1850)))),"הכנסה שסווגה מחדש",J1850)</x:f>
        <x:v>שוטף</x:v>
      </x:c>
      <x:c r="L1850" s="19" t="str">
        <x:v>מאושר</x:v>
      </x:c>
      <x:c r="M1850" s="20" t="n">
        <x:f>IF(L1850="מאושר",IF(K1850="הכנסה שסווגה מחדש",0,G1850),0)</x:f>
        <x:v>97</x:v>
      </x:c>
      <x:c r="N1850" s="20" t="n">
        <x:f>IF(K1850="שוטף",M1850,0)</x:f>
        <x:v>97</x:v>
      </x:c>
      <x:c r="O1850" s="20" t="n">
        <x:f>IF(K1850="הכנסה שסווגה מחדש",-G1850,0)</x:f>
        <x:v>0</x:v>
      </x:c>
      <x:c r="P1850" s="11" t="str">
        <x:v>סיבוס - עינור</x:v>
      </x:c>
      <x:c r="Q1850" s="11" t="str"/>
      <x:c r="R1850" s="11" t="str">
        <x:v>לא</x:v>
      </x:c>
    </x:row>
    <x:row r="1851">
      <x:c r="A1851" s="14" t="n">
        <x:v>46204</x:v>
      </x:c>
      <x:c r="B1851" s="11" t="str">
        <x:v>2026-07</x:v>
      </x:c>
      <x:c r="C1851" s="11" t="str">
        <x:v>יולי 26</x:v>
      </x:c>
      <x:c r="D1851" s="15" t="n">
        <x:v>106</x:v>
      </x:c>
      <x:c r="E1851" s="11" t="str">
        <x:v>8.07</x:v>
      </x:c>
      <x:c r="F1851" s="11" t="str">
        <x:v>סופר</x:v>
      </x:c>
      <x:c r="G1851" s="17" t="n">
        <x:v>67</x:v>
      </x:c>
      <x:c r="H1851" s="18" t="str">
        <x:v>מזון לבית</x:v>
      </x:c>
      <x:c r="I1851" s="19" t="str">
        <x:f>IFERROR(INDEX('מיפוי ומקורות'!$C$7:$C$33,MATCH(H1851,'מיפוי ומקורות'!$B$7:$B$33,0)),"לא מסווג")</x:f>
        <x:v>מזון לבית</x:v>
      </x:c>
      <x:c r="J1851" s="19" t="str">
        <x:f>IFERROR(INDEX('מיפוי ומקורות'!$D$7:$D$33,MATCH(H1851,'מיפוי ומקורות'!$B$7:$B$33,0)),"שוטף")</x:f>
        <x:v>שוטף</x:v>
      </x:c>
      <x:c r="K1851" s="19" t="str">
        <x:f>IF(OR(H1851="ריביות",AND(H1851="דירה כצנלסון",G1851&lt;0,ISNUMBER(SEARCH("הכנסה",F1851)))),"הכנסה שסווגה מחדש",J1851)</x:f>
        <x:v>שוטף</x:v>
      </x:c>
      <x:c r="L1851" s="19" t="str">
        <x:v>מאושר</x:v>
      </x:c>
      <x:c r="M1851" s="20" t="n">
        <x:f>IF(L1851="מאושר",IF(K1851="הכנסה שסווגה מחדש",0,G1851),0)</x:f>
        <x:v>67</x:v>
      </x:c>
      <x:c r="N1851" s="20" t="n">
        <x:f>IF(K1851="שוטף",M1851,0)</x:f>
        <x:v>67</x:v>
      </x:c>
      <x:c r="O1851" s="20" t="n">
        <x:f>IF(K1851="הכנסה שסווגה מחדש",-G1851,0)</x:f>
        <x:v>0</x:v>
      </x:c>
      <x:c r="P1851" s="11" t="str">
        <x:v>סיבוס - עינור</x:v>
      </x:c>
      <x:c r="Q1851" s="11" t="str"/>
      <x:c r="R1851" s="11" t="str">
        <x:v>לא</x:v>
      </x:c>
    </x:row>
    <x:row r="1852">
      <x:c r="A1852" s="14" t="n">
        <x:v>46204</x:v>
      </x:c>
      <x:c r="B1852" s="11" t="str">
        <x:v>2026-07</x:v>
      </x:c>
      <x:c r="C1852" s="11" t="str">
        <x:v>יולי 26</x:v>
      </x:c>
      <x:c r="D1852" s="15" t="n">
        <x:v>107</x:v>
      </x:c>
      <x:c r="E1852" s="11" t="str">
        <x:v>12/07</x:v>
      </x:c>
      <x:c r="F1852" s="11" t="str">
        <x:v>אוכל</x:v>
      </x:c>
      <x:c r="G1852" s="17" t="n">
        <x:v>25</x:v>
      </x:c>
      <x:c r="H1852" s="18" t="str">
        <x:v>אוכל בחוץ</x:v>
      </x:c>
      <x:c r="I1852" s="19" t="str">
        <x:f>IFERROR(INDEX('מיפוי ומקורות'!$C$7:$C$33,MATCH(H1852,'מיפוי ומקורות'!$B$7:$B$33,0)),"לא מסווג")</x:f>
        <x:v>אוכל בחוץ</x:v>
      </x:c>
      <x:c r="J1852" s="19" t="str">
        <x:f>IFERROR(INDEX('מיפוי ומקורות'!$D$7:$D$33,MATCH(H1852,'מיפוי ומקורות'!$B$7:$B$33,0)),"שוטף")</x:f>
        <x:v>שוטף</x:v>
      </x:c>
      <x:c r="K1852" s="19" t="str">
        <x:f>IF(OR(H1852="ריביות",AND(H1852="דירה כצנלסון",G1852&lt;0,ISNUMBER(SEARCH("הכנסה",F1852)))),"הכנסה שסווגה מחדש",J1852)</x:f>
        <x:v>שוטף</x:v>
      </x:c>
      <x:c r="L1852" s="19" t="str">
        <x:v>מאושר</x:v>
      </x:c>
      <x:c r="M1852" s="20" t="n">
        <x:f>IF(L1852="מאושר",IF(K1852="הכנסה שסווגה מחדש",0,G1852),0)</x:f>
        <x:v>25</x:v>
      </x:c>
      <x:c r="N1852" s="20" t="n">
        <x:f>IF(K1852="שוטף",M1852,0)</x:f>
        <x:v>25</x:v>
      </x:c>
      <x:c r="O1852" s="20" t="n">
        <x:f>IF(K1852="הכנסה שסווגה מחדש",-G1852,0)</x:f>
        <x:v>0</x:v>
      </x:c>
      <x:c r="P1852" s="11" t="str">
        <x:v>סיבוס - עינור</x:v>
      </x:c>
      <x:c r="Q1852" s="11" t="str"/>
      <x:c r="R1852" s="11" t="str">
        <x:v>לא</x:v>
      </x:c>
    </x:row>
    <x:row r="1853">
      <x:c r="A1853" s="14" t="n">
        <x:v>46204</x:v>
      </x:c>
      <x:c r="B1853" s="11" t="str">
        <x:v>2026-07</x:v>
      </x:c>
      <x:c r="C1853" s="11" t="str">
        <x:v>יולי 26</x:v>
      </x:c>
      <x:c r="D1853" s="15" t="n">
        <x:v>108</x:v>
      </x:c>
      <x:c r="E1853" s="11" t="str">
        <x:v>14.07</x:v>
      </x:c>
      <x:c r="F1853" s="11" t="str">
        <x:v>סופר</x:v>
      </x:c>
      <x:c r="G1853" s="17" t="n">
        <x:v>55</x:v>
      </x:c>
      <x:c r="H1853" s="18" t="str">
        <x:v>מזון לבית</x:v>
      </x:c>
      <x:c r="I1853" s="19" t="str">
        <x:f>IFERROR(INDEX('מיפוי ומקורות'!$C$7:$C$33,MATCH(H1853,'מיפוי ומקורות'!$B$7:$B$33,0)),"לא מסווג")</x:f>
        <x:v>מזון לבית</x:v>
      </x:c>
      <x:c r="J1853" s="19" t="str">
        <x:f>IFERROR(INDEX('מיפוי ומקורות'!$D$7:$D$33,MATCH(H1853,'מיפוי ומקורות'!$B$7:$B$33,0)),"שוטף")</x:f>
        <x:v>שוטף</x:v>
      </x:c>
      <x:c r="K1853" s="19" t="str">
        <x:f>IF(OR(H1853="ריביות",AND(H1853="דירה כצנלסון",G1853&lt;0,ISNUMBER(SEARCH("הכנסה",F1853)))),"הכנסה שסווגה מחדש",J1853)</x:f>
        <x:v>שוטף</x:v>
      </x:c>
      <x:c r="L1853" s="19" t="str">
        <x:v>מאושר</x:v>
      </x:c>
      <x:c r="M1853" s="20" t="n">
        <x:f>IF(L1853="מאושר",IF(K1853="הכנסה שסווגה מחדש",0,G1853),0)</x:f>
        <x:v>55</x:v>
      </x:c>
      <x:c r="N1853" s="20" t="n">
        <x:f>IF(K1853="שוטף",M1853,0)</x:f>
        <x:v>55</x:v>
      </x:c>
      <x:c r="O1853" s="20" t="n">
        <x:f>IF(K1853="הכנסה שסווגה מחדש",-G1853,0)</x:f>
        <x:v>0</x:v>
      </x:c>
      <x:c r="P1853" s="11" t="str">
        <x:v>סיבוס - עינור</x:v>
      </x:c>
      <x:c r="Q1853" s="11" t="str"/>
      <x:c r="R1853" s="11" t="str">
        <x:v>לא</x:v>
      </x:c>
    </x:row>
    <x:row r="1854">
      <x:c r="A1854" s="14" t="n">
        <x:v>46204</x:v>
      </x:c>
      <x:c r="B1854" s="11" t="str">
        <x:v>2026-07</x:v>
      </x:c>
      <x:c r="C1854" s="11" t="str">
        <x:v>יולי 26</x:v>
      </x:c>
      <x:c r="D1854" s="15" t="n">
        <x:v>109</x:v>
      </x:c>
      <x:c r="E1854" s="11" t="str">
        <x:v>15.07</x:v>
      </x:c>
      <x:c r="F1854" s="11" t="str">
        <x:v>סופר</x:v>
      </x:c>
      <x:c r="G1854" s="17" t="n">
        <x:v>48</x:v>
      </x:c>
      <x:c r="H1854" s="18" t="str">
        <x:v>מזון לבית</x:v>
      </x:c>
      <x:c r="I1854" s="19" t="str">
        <x:f>IFERROR(INDEX('מיפוי ומקורות'!$C$7:$C$33,MATCH(H1854,'מיפוי ומקורות'!$B$7:$B$33,0)),"לא מסווג")</x:f>
        <x:v>מזון לבית</x:v>
      </x:c>
      <x:c r="J1854" s="19" t="str">
        <x:f>IFERROR(INDEX('מיפוי ומקורות'!$D$7:$D$33,MATCH(H1854,'מיפוי ומקורות'!$B$7:$B$33,0)),"שוטף")</x:f>
        <x:v>שוטף</x:v>
      </x:c>
      <x:c r="K1854" s="19" t="str">
        <x:f>IF(OR(H1854="ריביות",AND(H1854="דירה כצנלסון",G1854&lt;0,ISNUMBER(SEARCH("הכנסה",F1854)))),"הכנסה שסווגה מחדש",J1854)</x:f>
        <x:v>שוטף</x:v>
      </x:c>
      <x:c r="L1854" s="19" t="str">
        <x:v>מאושר</x:v>
      </x:c>
      <x:c r="M1854" s="20" t="n">
        <x:f>IF(L1854="מאושר",IF(K1854="הכנסה שסווגה מחדש",0,G1854),0)</x:f>
        <x:v>48</x:v>
      </x:c>
      <x:c r="N1854" s="20" t="n">
        <x:f>IF(K1854="שוטף",M1854,0)</x:f>
        <x:v>48</x:v>
      </x:c>
      <x:c r="O1854" s="20" t="n">
        <x:f>IF(K1854="הכנסה שסווגה מחדש",-G1854,0)</x:f>
        <x:v>0</x:v>
      </x:c>
      <x:c r="P1854" s="11" t="str">
        <x:v>סיבוס - עינור</x:v>
      </x:c>
      <x:c r="Q1854" s="11" t="str"/>
      <x:c r="R1854" s="11" t="str">
        <x:v>לא</x:v>
      </x:c>
    </x:row>
    <x:row r="1855">
      <x:c r="A1855" s="14" t="n">
        <x:v>46204</x:v>
      </x:c>
      <x:c r="B1855" s="11" t="str">
        <x:v>2026-07</x:v>
      </x:c>
      <x:c r="C1855" s="11" t="str">
        <x:v>יולי 26</x:v>
      </x:c>
      <x:c r="D1855" s="15" t="n">
        <x:v>110</x:v>
      </x:c>
      <x:c r="E1855" s="11" t="str">
        <x:v>18.07</x:v>
      </x:c>
      <x:c r="F1855" s="11" t="str">
        <x:v>מסעדה</x:v>
      </x:c>
      <x:c r="G1855" s="17" t="n">
        <x:v>73</x:v>
      </x:c>
      <x:c r="H1855" s="18" t="str">
        <x:v>אוכל בחוץ</x:v>
      </x:c>
      <x:c r="I1855" s="19" t="str">
        <x:f>IFERROR(INDEX('מיפוי ומקורות'!$C$7:$C$33,MATCH(H1855,'מיפוי ומקורות'!$B$7:$B$33,0)),"לא מסווג")</x:f>
        <x:v>אוכל בחוץ</x:v>
      </x:c>
      <x:c r="J1855" s="19" t="str">
        <x:f>IFERROR(INDEX('מיפוי ומקורות'!$D$7:$D$33,MATCH(H1855,'מיפוי ומקורות'!$B$7:$B$33,0)),"שוטף")</x:f>
        <x:v>שוטף</x:v>
      </x:c>
      <x:c r="K1855" s="19" t="str">
        <x:f>IF(OR(H1855="ריביות",AND(H1855="דירה כצנלסון",G1855&lt;0,ISNUMBER(SEARCH("הכנסה",F1855)))),"הכנסה שסווגה מחדש",J1855)</x:f>
        <x:v>שוטף</x:v>
      </x:c>
      <x:c r="L1855" s="19" t="str">
        <x:v>מאושר</x:v>
      </x:c>
      <x:c r="M1855" s="20" t="n">
        <x:f>IF(L1855="מאושר",IF(K1855="הכנסה שסווגה מחדש",0,G1855),0)</x:f>
        <x:v>73</x:v>
      </x:c>
      <x:c r="N1855" s="20" t="n">
        <x:f>IF(K1855="שוטף",M1855,0)</x:f>
        <x:v>73</x:v>
      </x:c>
      <x:c r="O1855" s="20" t="n">
        <x:f>IF(K1855="הכנסה שסווגה מחדש",-G1855,0)</x:f>
        <x:v>0</x:v>
      </x:c>
      <x:c r="P1855" s="11" t="str">
        <x:v>סיבוס - עינור</x:v>
      </x:c>
      <x:c r="Q1855" s="11" t="str"/>
      <x:c r="R1855" s="11" t="str">
        <x:v>לא</x:v>
      </x:c>
    </x:row>
    <x:row r="1856">
      <x:c r="A1856" s="14" t="n">
        <x:v>46204</x:v>
      </x:c>
      <x:c r="B1856" s="11" t="str">
        <x:v>2026-07</x:v>
      </x:c>
      <x:c r="C1856" s="11" t="str">
        <x:v>יולי 26</x:v>
      </x:c>
      <x:c r="D1856" s="15" t="n">
        <x:v>111</x:v>
      </x:c>
      <x:c r="E1856" s="11" t="str">
        <x:v>20.07</x:v>
      </x:c>
      <x:c r="F1856" s="11" t="str">
        <x:v>מסעדה</x:v>
      </x:c>
      <x:c r="G1856" s="17" t="n">
        <x:v>31</x:v>
      </x:c>
      <x:c r="H1856" s="18" t="str">
        <x:v>אוכל בחוץ</x:v>
      </x:c>
      <x:c r="I1856" s="19" t="str">
        <x:f>IFERROR(INDEX('מיפוי ומקורות'!$C$7:$C$33,MATCH(H1856,'מיפוי ומקורות'!$B$7:$B$33,0)),"לא מסווג")</x:f>
        <x:v>אוכל בחוץ</x:v>
      </x:c>
      <x:c r="J1856" s="19" t="str">
        <x:f>IFERROR(INDEX('מיפוי ומקורות'!$D$7:$D$33,MATCH(H1856,'מיפוי ומקורות'!$B$7:$B$33,0)),"שוטף")</x:f>
        <x:v>שוטף</x:v>
      </x:c>
      <x:c r="K1856" s="19" t="str">
        <x:f>IF(OR(H1856="ריביות",AND(H1856="דירה כצנלסון",G1856&lt;0,ISNUMBER(SEARCH("הכנסה",F1856)))),"הכנסה שסווגה מחדש",J1856)</x:f>
        <x:v>שוטף</x:v>
      </x:c>
      <x:c r="L1856" s="19" t="str">
        <x:v>מאושר</x:v>
      </x:c>
      <x:c r="M1856" s="20" t="n">
        <x:f>IF(L1856="מאושר",IF(K1856="הכנסה שסווגה מחדש",0,G1856),0)</x:f>
        <x:v>31</x:v>
      </x:c>
      <x:c r="N1856" s="20" t="n">
        <x:f>IF(K1856="שוטף",M1856,0)</x:f>
        <x:v>31</x:v>
      </x:c>
      <x:c r="O1856" s="20" t="n">
        <x:f>IF(K1856="הכנסה שסווגה מחדש",-G1856,0)</x:f>
        <x:v>0</x:v>
      </x:c>
      <x:c r="P1856" s="11" t="str">
        <x:v>סיבוס - עינור</x:v>
      </x:c>
      <x:c r="Q1856" s="11" t="str"/>
      <x:c r="R1856" s="11" t="str">
        <x:v>לא</x:v>
      </x:c>
    </x:row>
    <x:row r="1857">
      <x:c r="A1857" s="14" t="n">
        <x:v>46204</x:v>
      </x:c>
      <x:c r="B1857" s="11" t="str">
        <x:v>2026-07</x:v>
      </x:c>
      <x:c r="C1857" s="11" t="str">
        <x:v>יולי 26</x:v>
      </x:c>
      <x:c r="D1857" s="15" t="n">
        <x:v>112</x:v>
      </x:c>
      <x:c r="E1857" s="11" t="str">
        <x:v>20.07</x:v>
      </x:c>
      <x:c r="F1857" s="11" t="str">
        <x:v>מאפיה</x:v>
      </x:c>
      <x:c r="G1857" s="17" t="n">
        <x:v>42</x:v>
      </x:c>
      <x:c r="H1857" s="18" t="str">
        <x:v>אוכל בחוץ</x:v>
      </x:c>
      <x:c r="I1857" s="19" t="str">
        <x:f>IFERROR(INDEX('מיפוי ומקורות'!$C$7:$C$33,MATCH(H1857,'מיפוי ומקורות'!$B$7:$B$33,0)),"לא מסווג")</x:f>
        <x:v>אוכל בחוץ</x:v>
      </x:c>
      <x:c r="J1857" s="19" t="str">
        <x:f>IFERROR(INDEX('מיפוי ומקורות'!$D$7:$D$33,MATCH(H1857,'מיפוי ומקורות'!$B$7:$B$33,0)),"שוטף")</x:f>
        <x:v>שוטף</x:v>
      </x:c>
      <x:c r="K1857" s="19" t="str">
        <x:f>IF(OR(H1857="ריביות",AND(H1857="דירה כצנלסון",G1857&lt;0,ISNUMBER(SEARCH("הכנסה",F1857)))),"הכנסה שסווגה מחדש",J1857)</x:f>
        <x:v>שוטף</x:v>
      </x:c>
      <x:c r="L1857" s="19" t="str">
        <x:v>מאושר</x:v>
      </x:c>
      <x:c r="M1857" s="20" t="n">
        <x:f>IF(L1857="מאושר",IF(K1857="הכנסה שסווגה מחדש",0,G1857),0)</x:f>
        <x:v>42</x:v>
      </x:c>
      <x:c r="N1857" s="20" t="n">
        <x:f>IF(K1857="שוטף",M1857,0)</x:f>
        <x:v>42</x:v>
      </x:c>
      <x:c r="O1857" s="20" t="n">
        <x:f>IF(K1857="הכנסה שסווגה מחדש",-G1857,0)</x:f>
        <x:v>0</x:v>
      </x:c>
      <x:c r="P1857" s="11" t="str">
        <x:v>סיבוס - עינור</x:v>
      </x:c>
      <x:c r="Q1857" s="11" t="str"/>
      <x:c r="R1857" s="11" t="str">
        <x:v>לא</x:v>
      </x:c>
    </x:row>
    <x:row r="1858">
      <x:c r="A1858" s="14" t="n">
        <x:v>46204</x:v>
      </x:c>
      <x:c r="B1858" s="11" t="str">
        <x:v>2026-07</x:v>
      </x:c>
      <x:c r="C1858" s="11" t="str">
        <x:v>יולי 26</x:v>
      </x:c>
      <x:c r="D1858" s="15" t="n">
        <x:v>113</x:v>
      </x:c>
      <x:c r="E1858" s="11" t="str">
        <x:v>22.07</x:v>
      </x:c>
      <x:c r="F1858" s="11" t="str">
        <x:v>סופר</x:v>
      </x:c>
      <x:c r="G1858" s="17" t="n">
        <x:v>19</x:v>
      </x:c>
      <x:c r="H1858" s="18" t="str">
        <x:v>מזון לבית</x:v>
      </x:c>
      <x:c r="I1858" s="19" t="str">
        <x:f>IFERROR(INDEX('מיפוי ומקורות'!$C$7:$C$33,MATCH(H1858,'מיפוי ומקורות'!$B$7:$B$33,0)),"לא מסווג")</x:f>
        <x:v>מזון לבית</x:v>
      </x:c>
      <x:c r="J1858" s="19" t="str">
        <x:f>IFERROR(INDEX('מיפוי ומקורות'!$D$7:$D$33,MATCH(H1858,'מיפוי ומקורות'!$B$7:$B$33,0)),"שוטף")</x:f>
        <x:v>שוטף</x:v>
      </x:c>
      <x:c r="K1858" s="19" t="str">
        <x:f>IF(OR(H1858="ריביות",AND(H1858="דירה כצנלסון",G1858&lt;0,ISNUMBER(SEARCH("הכנסה",F1858)))),"הכנסה שסווגה מחדש",J1858)</x:f>
        <x:v>שוטף</x:v>
      </x:c>
      <x:c r="L1858" s="19" t="str">
        <x:v>מאושר</x:v>
      </x:c>
      <x:c r="M1858" s="20" t="n">
        <x:f>IF(L1858="מאושר",IF(K1858="הכנסה שסווגה מחדש",0,G1858),0)</x:f>
        <x:v>19</x:v>
      </x:c>
      <x:c r="N1858" s="20" t="n">
        <x:f>IF(K1858="שוטף",M1858,0)</x:f>
        <x:v>19</x:v>
      </x:c>
      <x:c r="O1858" s="20" t="n">
        <x:f>IF(K1858="הכנסה שסווגה מחדש",-G1858,0)</x:f>
        <x:v>0</x:v>
      </x:c>
      <x:c r="P1858" s="11" t="str">
        <x:v>סיבוס - עינור</x:v>
      </x:c>
      <x:c r="Q1858" s="11" t="str"/>
      <x:c r="R1858" s="11" t="str">
        <x:v>לא</x:v>
      </x:c>
    </x:row>
    <x:row r="1859">
      <x:c r="A1859" s="14" t="n">
        <x:v>46204</x:v>
      </x:c>
      <x:c r="B1859" s="11" t="str">
        <x:v>2026-07</x:v>
      </x:c>
      <x:c r="C1859" s="11" t="str">
        <x:v>יולי 26</x:v>
      </x:c>
      <x:c r="D1859" s="15" t="n">
        <x:v>114</x:v>
      </x:c>
      <x:c r="E1859" s="11" t="str">
        <x:v>27.07</x:v>
      </x:c>
      <x:c r="F1859" s="11" t="str">
        <x:v>מסעדה</x:v>
      </x:c>
      <x:c r="G1859" s="17" t="n">
        <x:v>71</x:v>
      </x:c>
      <x:c r="H1859" s="18" t="str">
        <x:v>אוכל בחוץ</x:v>
      </x:c>
      <x:c r="I1859" s="19" t="str">
        <x:f>IFERROR(INDEX('מיפוי ומקורות'!$C$7:$C$33,MATCH(H1859,'מיפוי ומקורות'!$B$7:$B$33,0)),"לא מסווג")</x:f>
        <x:v>אוכל בחוץ</x:v>
      </x:c>
      <x:c r="J1859" s="19" t="str">
        <x:f>IFERROR(INDEX('מיפוי ומקורות'!$D$7:$D$33,MATCH(H1859,'מיפוי ומקורות'!$B$7:$B$33,0)),"שוטף")</x:f>
        <x:v>שוטף</x:v>
      </x:c>
      <x:c r="K1859" s="19" t="str">
        <x:f>IF(OR(H1859="ריביות",AND(H1859="דירה כצנלסון",G1859&lt;0,ISNUMBER(SEARCH("הכנסה",F1859)))),"הכנסה שסווגה מחדש",J1859)</x:f>
        <x:v>שוטף</x:v>
      </x:c>
      <x:c r="L1859" s="19" t="str">
        <x:v>מאושר</x:v>
      </x:c>
      <x:c r="M1859" s="20" t="n">
        <x:f>IF(L1859="מאושר",IF(K1859="הכנסה שסווגה מחדש",0,G1859),0)</x:f>
        <x:v>71</x:v>
      </x:c>
      <x:c r="N1859" s="20" t="n">
        <x:f>IF(K1859="שוטף",M1859,0)</x:f>
        <x:v>71</x:v>
      </x:c>
      <x:c r="O1859" s="20" t="n">
        <x:f>IF(K1859="הכנסה שסווגה מחדש",-G1859,0)</x:f>
        <x:v>0</x:v>
      </x:c>
      <x:c r="P1859" s="11" t="str">
        <x:v>סיבוס - עינור</x:v>
      </x:c>
      <x:c r="Q1859" s="11" t="str"/>
      <x:c r="R1859" s="11" t="str">
        <x:v>לא</x:v>
      </x:c>
    </x:row>
    <x:row r="1860">
      <x:c r="A1860" s="14" t="n">
        <x:v>46204</x:v>
      </x:c>
      <x:c r="B1860" s="11" t="str">
        <x:v>2026-07</x:v>
      </x:c>
      <x:c r="C1860" s="11" t="str">
        <x:v>יולי 26</x:v>
      </x:c>
      <x:c r="D1860" s="15" t="n">
        <x:v>115</x:v>
      </x:c>
      <x:c r="E1860" s="11" t="str">
        <x:v>28.07</x:v>
      </x:c>
      <x:c r="F1860" s="11" t="str">
        <x:v>סופר</x:v>
      </x:c>
      <x:c r="G1860" s="17" t="n">
        <x:v>59</x:v>
      </x:c>
      <x:c r="H1860" s="18" t="str">
        <x:v>מזון לבית</x:v>
      </x:c>
      <x:c r="I1860" s="19" t="str">
        <x:f>IFERROR(INDEX('מיפוי ומקורות'!$C$7:$C$33,MATCH(H1860,'מיפוי ומקורות'!$B$7:$B$33,0)),"לא מסווג")</x:f>
        <x:v>מזון לבית</x:v>
      </x:c>
      <x:c r="J1860" s="19" t="str">
        <x:f>IFERROR(INDEX('מיפוי ומקורות'!$D$7:$D$33,MATCH(H1860,'מיפוי ומקורות'!$B$7:$B$33,0)),"שוטף")</x:f>
        <x:v>שוטף</x:v>
      </x:c>
      <x:c r="K1860" s="19" t="str">
        <x:f>IF(OR(H1860="ריביות",AND(H1860="דירה כצנלסון",G1860&lt;0,ISNUMBER(SEARCH("הכנסה",F1860)))),"הכנסה שסווגה מחדש",J1860)</x:f>
        <x:v>שוטף</x:v>
      </x:c>
      <x:c r="L1860" s="19" t="str">
        <x:v>מאושר</x:v>
      </x:c>
      <x:c r="M1860" s="20" t="n">
        <x:f>IF(L1860="מאושר",IF(K1860="הכנסה שסווגה מחדש",0,G1860),0)</x:f>
        <x:v>59</x:v>
      </x:c>
      <x:c r="N1860" s="20" t="n">
        <x:f>IF(K1860="שוטף",M1860,0)</x:f>
        <x:v>59</x:v>
      </x:c>
      <x:c r="O1860" s="20" t="n">
        <x:f>IF(K1860="הכנסה שסווגה מחדש",-G1860,0)</x:f>
        <x:v>0</x:v>
      </x:c>
      <x:c r="P1860" s="11" t="str">
        <x:v>סיבוס - עינור</x:v>
      </x:c>
      <x:c r="Q1860" s="11" t="str"/>
      <x:c r="R1860" s="11" t="str">
        <x:v>לא</x:v>
      </x:c>
    </x:row>
    <x:row r="1861">
      <x:c r="A1861" s="14" t="n">
        <x:v>46204</x:v>
      </x:c>
      <x:c r="B1861" s="11" t="str">
        <x:v>2026-07</x:v>
      </x:c>
      <x:c r="C1861" s="11" t="str">
        <x:v>יולי 26</x:v>
      </x:c>
      <x:c r="D1861" s="15" t="n">
        <x:v>116</x:v>
      </x:c>
      <x:c r="E1861" s="11" t="str">
        <x:v>29.07</x:v>
      </x:c>
      <x:c r="F1861" s="11" t="str">
        <x:v>מסעדה</x:v>
      </x:c>
      <x:c r="G1861" s="17" t="n">
        <x:v>176</x:v>
      </x:c>
      <x:c r="H1861" s="18" t="str">
        <x:v>אוכל בחוץ</x:v>
      </x:c>
      <x:c r="I1861" s="19" t="str">
        <x:f>IFERROR(INDEX('מיפוי ומקורות'!$C$7:$C$33,MATCH(H1861,'מיפוי ומקורות'!$B$7:$B$33,0)),"לא מסווג")</x:f>
        <x:v>אוכל בחוץ</x:v>
      </x:c>
      <x:c r="J1861" s="19" t="str">
        <x:f>IFERROR(INDEX('מיפוי ומקורות'!$D$7:$D$33,MATCH(H1861,'מיפוי ומקורות'!$B$7:$B$33,0)),"שוטף")</x:f>
        <x:v>שוטף</x:v>
      </x:c>
      <x:c r="K1861" s="19" t="str">
        <x:f>IF(OR(H1861="ריביות",AND(H1861="דירה כצנלסון",G1861&lt;0,ISNUMBER(SEARCH("הכנסה",F1861)))),"הכנסה שסווגה מחדש",J1861)</x:f>
        <x:v>שוטף</x:v>
      </x:c>
      <x:c r="L1861" s="19" t="str">
        <x:v>מאושר</x:v>
      </x:c>
      <x:c r="M1861" s="20" t="n">
        <x:f>IF(L1861="מאושר",IF(K1861="הכנסה שסווגה מחדש",0,G1861),0)</x:f>
        <x:v>176</x:v>
      </x:c>
      <x:c r="N1861" s="20" t="n">
        <x:f>IF(K1861="שוטף",M1861,0)</x:f>
        <x:v>176</x:v>
      </x:c>
      <x:c r="O1861" s="20" t="n">
        <x:f>IF(K1861="הכנסה שסווגה מחדש",-G1861,0)</x:f>
        <x:v>0</x:v>
      </x:c>
      <x:c r="P1861" s="11" t="str">
        <x:v>סיבוס - עינור</x:v>
      </x:c>
      <x:c r="Q1861" s="11" t="str"/>
      <x:c r="R1861" s="11" t="str">
        <x:v>לא</x:v>
      </x:c>
    </x:row>
    <x:row r="1862">
      <x:c r="A1862" s="14" t="n">
        <x:v>46204</x:v>
      </x:c>
      <x:c r="B1862" s="11" t="str">
        <x:v>2026-07</x:v>
      </x:c>
      <x:c r="C1862" s="11" t="str">
        <x:v>יולי 26</x:v>
      </x:c>
      <x:c r="D1862" s="15" t="n">
        <x:v>117</x:v>
      </x:c>
      <x:c r="E1862" s="11" t="str">
        <x:v>30.07</x:v>
      </x:c>
      <x:c r="F1862" s="11" t="str">
        <x:v>סופר</x:v>
      </x:c>
      <x:c r="G1862" s="17" t="n">
        <x:v>93</x:v>
      </x:c>
      <x:c r="H1862" s="18" t="str">
        <x:v>מזון לבית</x:v>
      </x:c>
      <x:c r="I1862" s="19" t="str">
        <x:f>IFERROR(INDEX('מיפוי ומקורות'!$C$7:$C$33,MATCH(H1862,'מיפוי ומקורות'!$B$7:$B$33,0)),"לא מסווג")</x:f>
        <x:v>מזון לבית</x:v>
      </x:c>
      <x:c r="J1862" s="19" t="str">
        <x:f>IFERROR(INDEX('מיפוי ומקורות'!$D$7:$D$33,MATCH(H1862,'מיפוי ומקורות'!$B$7:$B$33,0)),"שוטף")</x:f>
        <x:v>שוטף</x:v>
      </x:c>
      <x:c r="K1862" s="19" t="str">
        <x:f>IF(OR(H1862="ריביות",AND(H1862="דירה כצנלסון",G1862&lt;0,ISNUMBER(SEARCH("הכנסה",F1862)))),"הכנסה שסווגה מחדש",J1862)</x:f>
        <x:v>שוטף</x:v>
      </x:c>
      <x:c r="L1862" s="19" t="str">
        <x:v>מאושר</x:v>
      </x:c>
      <x:c r="M1862" s="20" t="n">
        <x:f>IF(L1862="מאושר",IF(K1862="הכנסה שסווגה מחדש",0,G1862),0)</x:f>
        <x:v>93</x:v>
      </x:c>
      <x:c r="N1862" s="20" t="n">
        <x:f>IF(K1862="שוטף",M1862,0)</x:f>
        <x:v>93</x:v>
      </x:c>
      <x:c r="O1862" s="20" t="n">
        <x:f>IF(K1862="הכנסה שסווגה מחדש",-G1862,0)</x:f>
        <x:v>0</x:v>
      </x:c>
      <x:c r="P1862" s="11" t="str">
        <x:v>סיבוס - עינור</x:v>
      </x:c>
      <x:c r="Q1862" s="11" t="str"/>
      <x:c r="R1862" s="11" t="str">
        <x:v>לא</x:v>
      </x:c>
    </x:row>
    <x:row r="1863">
      <x:c r="A1863" s="14" t="n">
        <x:v>46235</x:v>
      </x:c>
      <x:c r="B1863" s="11" t="str">
        <x:v>2026-08</x:v>
      </x:c>
      <x:c r="C1863" s="11" t="str">
        <x:v>אוגוסט 26</x:v>
      </x:c>
      <x:c r="D1863" s="15" t="n">
        <x:v>2</x:v>
      </x:c>
      <x:c r="E1863" s="11" t="str"/>
      <x:c r="F1863" s="11" t="str">
        <x:v>שכר דירה</x:v>
      </x:c>
      <x:c r="G1863" s="17" t="n">
        <x:v>8000</x:v>
      </x:c>
      <x:c r="H1863" s="18" t="str">
        <x:v>מגורים</x:v>
      </x:c>
      <x:c r="I1863" s="19" t="str">
        <x:f>IFERROR(INDEX('מיפוי ומקורות'!$C$7:$C$33,MATCH(H1863,'מיפוי ומקורות'!$B$7:$B$33,0)),"לא מסווג")</x:f>
        <x:v>דיור – בית מגורים</x:v>
      </x:c>
      <x:c r="J1863" s="19" t="str">
        <x:f>IFERROR(INDEX('מיפוי ומקורות'!$D$7:$D$33,MATCH(H1863,'מיפוי ומקורות'!$B$7:$B$33,0)),"שוטף")</x:f>
        <x:v>שוטף</x:v>
      </x:c>
      <x:c r="K1863" s="19" t="str">
        <x:f>IF(OR(H1863="ריביות",AND(H1863="דירה כצנלסון",G1863&lt;0,ISNUMBER(SEARCH("הכנסה",F1863)))),"הכנסה שסווגה מחדש",J1863)</x:f>
        <x:v>שוטף</x:v>
      </x:c>
      <x:c r="L1863" s="19" t="str">
        <x:v>מאושר</x:v>
      </x:c>
      <x:c r="M1863" s="20" t="n">
        <x:f>IF(L1863="מאושר",IF(K1863="הכנסה שסווגה מחדש",0,G1863),0)</x:f>
        <x:v>8000</x:v>
      </x:c>
      <x:c r="N1863" s="20" t="n">
        <x:f>IF(K1863="שוטף",M1863,0)</x:f>
        <x:v>8000</x:v>
      </x:c>
      <x:c r="O1863" s="20" t="n">
        <x:f>IF(K1863="הכנסה שסווגה מחדש",-G1863,0)</x:f>
        <x:v>0</x:v>
      </x:c>
      <x:c r="P1863" s="11" t="str">
        <x:v>דיסקונט</x:v>
      </x:c>
      <x:c r="Q1863" s="11" t="str"/>
      <x:c r="R1863" s="11" t="str">
        <x:v>לא</x:v>
      </x:c>
    </x:row>
    <x:row r="1864">
      <x:c r="A1864" s="14" t="n">
        <x:v>46235</x:v>
      </x:c>
      <x:c r="B1864" s="11" t="str">
        <x:v>2026-08</x:v>
      </x:c>
      <x:c r="C1864" s="11" t="str">
        <x:v>אוגוסט 26</x:v>
      </x:c>
      <x:c r="D1864" s="15" t="n">
        <x:v>3</x:v>
      </x:c>
      <x:c r="E1864" s="11" t="str"/>
      <x:c r="F1864" s="11" t="str">
        <x:v>משכנתא</x:v>
      </x:c>
      <x:c r="G1864" s="17" t="n">
        <x:v>6153</x:v>
      </x:c>
      <x:c r="H1864" s="18" t="str">
        <x:v>דירה כצנלסון</x:v>
      </x:c>
      <x:c r="I1864" s="19" t="str">
        <x:f>IFERROR(INDEX('מיפוי ומקורות'!$C$7:$C$33,MATCH(H1864,'מיפוי ומקורות'!$B$7:$B$33,0)),"לא מסווג")</x:f>
        <x:v>נכס להשקעה</x:v>
      </x:c>
      <x:c r="J1864" s="19" t="str">
        <x:f>IFERROR(INDEX('מיפוי ומקורות'!$D$7:$D$33,MATCH(H1864,'מיפוי ומקורות'!$B$7:$B$33,0)),"שוטף")</x:f>
        <x:v>חריג/נכס</x:v>
      </x:c>
      <x:c r="K1864" s="19" t="str">
        <x:f>IF(OR(H1864="ריביות",AND(H1864="דירה כצנלסון",G1864&lt;0,ISNUMBER(SEARCH("הכנסה",F1864)))),"הכנסה שסווגה מחדש",J1864)</x:f>
        <x:v>חריג/נכס</x:v>
      </x:c>
      <x:c r="L1864" s="19" t="str">
        <x:v>מאושר</x:v>
      </x:c>
      <x:c r="M1864" s="20" t="n">
        <x:f>IF(L1864="מאושר",IF(K1864="הכנסה שסווגה מחדש",0,G1864),0)</x:f>
        <x:v>6153</x:v>
      </x:c>
      <x:c r="N1864" s="20" t="n">
        <x:f>IF(K1864="שוטף",M1864,0)</x:f>
        <x:v>0</x:v>
      </x:c>
      <x:c r="O1864" s="20" t="n">
        <x:f>IF(K1864="הכנסה שסווגה מחדש",-G1864,0)</x:f>
        <x:v>0</x:v>
      </x:c>
      <x:c r="P1864" s="11" t="str">
        <x:v>דיסקונט</x:v>
      </x:c>
      <x:c r="Q1864" s="11" t="str"/>
      <x:c r="R1864" s="11" t="str">
        <x:v>לא</x:v>
      </x:c>
    </x:row>
    <x:row r="1865">
      <x:c r="A1865" s="14" t="n">
        <x:v>46235</x:v>
      </x:c>
      <x:c r="B1865" s="11" t="str">
        <x:v>2026-08</x:v>
      </x:c>
      <x:c r="C1865" s="11" t="str">
        <x:v>אוגוסט 26</x:v>
      </x:c>
      <x:c r="D1865" s="15" t="n">
        <x:v>4</x:v>
      </x:c>
      <x:c r="E1865" s="11" t="str">
        <x:v>22.08</x:v>
      </x:c>
      <x:c r="F1865" s="11" t="str">
        <x:v>ארנונה</x:v>
      </x:c>
      <x:c r="G1865" s="17" t="n">
        <x:v>1037</x:v>
      </x:c>
      <x:c r="H1865" s="18" t="str">
        <x:v>מגורים</x:v>
      </x:c>
      <x:c r="I1865" s="19" t="str">
        <x:f>IFERROR(INDEX('מיפוי ומקורות'!$C$7:$C$33,MATCH(H1865,'מיפוי ומקורות'!$B$7:$B$33,0)),"לא מסווג")</x:f>
        <x:v>דיור – בית מגורים</x:v>
      </x:c>
      <x:c r="J1865" s="19" t="str">
        <x:f>IFERROR(INDEX('מיפוי ומקורות'!$D$7:$D$33,MATCH(H1865,'מיפוי ומקורות'!$B$7:$B$33,0)),"שוטף")</x:f>
        <x:v>שוטף</x:v>
      </x:c>
      <x:c r="K1865" s="19" t="str">
        <x:f>IF(OR(H1865="ריביות",AND(H1865="דירה כצנלסון",G1865&lt;0,ISNUMBER(SEARCH("הכנסה",F1865)))),"הכנסה שסווגה מחדש",J1865)</x:f>
        <x:v>שוטף</x:v>
      </x:c>
      <x:c r="L1865" s="19" t="str">
        <x:v>מאושר</x:v>
      </x:c>
      <x:c r="M1865" s="20" t="n">
        <x:f>IF(L1865="מאושר",IF(K1865="הכנסה שסווגה מחדש",0,G1865),0)</x:f>
        <x:v>1037</x:v>
      </x:c>
      <x:c r="N1865" s="20" t="n">
        <x:f>IF(K1865="שוטף",M1865,0)</x:f>
        <x:v>1037</x:v>
      </x:c>
      <x:c r="O1865" s="20" t="n">
        <x:f>IF(K1865="הכנסה שסווגה מחדש",-G1865,0)</x:f>
        <x:v>0</x:v>
      </x:c>
      <x:c r="P1865" s="11" t="str">
        <x:v>אמקס - זיו</x:v>
      </x:c>
      <x:c r="Q1865" s="11" t="str"/>
      <x:c r="R1865" s="11" t="str">
        <x:v>לא</x:v>
      </x:c>
    </x:row>
    <x:row r="1866">
      <x:c r="A1866" s="14" t="n">
        <x:v>46235</x:v>
      </x:c>
      <x:c r="B1866" s="11" t="str">
        <x:v>2026-08</x:v>
      </x:c>
      <x:c r="C1866" s="11" t="str">
        <x:v>אוגוסט 26</x:v>
      </x:c>
      <x:c r="D1866" s="15" t="n">
        <x:v>5</x:v>
      </x:c>
      <x:c r="E1866" s="11" t="str">
        <x:v>28/08</x:v>
      </x:c>
      <x:c r="F1866" s="11" t="str">
        <x:v>חשמל</x:v>
      </x:c>
      <x:c r="G1866" s="17" t="n">
        <x:v>695</x:v>
      </x:c>
      <x:c r="H1866" s="18" t="str">
        <x:v>מגורים</x:v>
      </x:c>
      <x:c r="I1866" s="19" t="str">
        <x:f>IFERROR(INDEX('מיפוי ומקורות'!$C$7:$C$33,MATCH(H1866,'מיפוי ומקורות'!$B$7:$B$33,0)),"לא מסווג")</x:f>
        <x:v>דיור – בית מגורים</x:v>
      </x:c>
      <x:c r="J1866" s="19" t="str">
        <x:f>IFERROR(INDEX('מיפוי ומקורות'!$D$7:$D$33,MATCH(H1866,'מיפוי ומקורות'!$B$7:$B$33,0)),"שוטף")</x:f>
        <x:v>שוטף</x:v>
      </x:c>
      <x:c r="K1866" s="19" t="str">
        <x:f>IF(OR(H1866="ריביות",AND(H1866="דירה כצנלסון",G1866&lt;0,ISNUMBER(SEARCH("הכנסה",F1866)))),"הכנסה שסווגה מחדש",J1866)</x:f>
        <x:v>שוטף</x:v>
      </x:c>
      <x:c r="L1866" s="19" t="str">
        <x:v>מאושר</x:v>
      </x:c>
      <x:c r="M1866" s="20" t="n">
        <x:f>IF(L1866="מאושר",IF(K1866="הכנסה שסווגה מחדש",0,G1866),0)</x:f>
        <x:v>695</x:v>
      </x:c>
      <x:c r="N1866" s="20" t="n">
        <x:f>IF(K1866="שוטף",M1866,0)</x:f>
        <x:v>695</x:v>
      </x:c>
      <x:c r="O1866" s="20" t="n">
        <x:f>IF(K1866="הכנסה שסווגה מחדש",-G1866,0)</x:f>
        <x:v>0</x:v>
      </x:c>
      <x:c r="P1866" s="11" t="str">
        <x:v>אמקס - זיו</x:v>
      </x:c>
      <x:c r="Q1866" s="11" t="str"/>
      <x:c r="R1866" s="11" t="str">
        <x:v>לא</x:v>
      </x:c>
    </x:row>
    <x:row r="1867">
      <x:c r="A1867" s="14" t="n">
        <x:v>46235</x:v>
      </x:c>
      <x:c r="B1867" s="11" t="str">
        <x:v>2026-08</x:v>
      </x:c>
      <x:c r="C1867" s="11" t="str">
        <x:v>אוגוסט 26</x:v>
      </x:c>
      <x:c r="D1867" s="15" t="n">
        <x:v>6</x:v>
      </x:c>
      <x:c r="E1867" s="11" t="str">
        <x:v>31/8</x:v>
      </x:c>
      <x:c r="F1867" s="11" t="str">
        <x:v>מים</x:v>
      </x:c>
      <x:c r="G1867" s="17" t="n">
        <x:v>153</x:v>
      </x:c>
      <x:c r="H1867" s="18" t="str">
        <x:v>מגורים</x:v>
      </x:c>
      <x:c r="I1867" s="19" t="str">
        <x:f>IFERROR(INDEX('מיפוי ומקורות'!$C$7:$C$33,MATCH(H1867,'מיפוי ומקורות'!$B$7:$B$33,0)),"לא מסווג")</x:f>
        <x:v>דיור – בית מגורים</x:v>
      </x:c>
      <x:c r="J1867" s="19" t="str">
        <x:f>IFERROR(INDEX('מיפוי ומקורות'!$D$7:$D$33,MATCH(H1867,'מיפוי ומקורות'!$B$7:$B$33,0)),"שוטף")</x:f>
        <x:v>שוטף</x:v>
      </x:c>
      <x:c r="K1867" s="19" t="str">
        <x:f>IF(OR(H1867="ריביות",AND(H1867="דירה כצנלסון",G1867&lt;0,ISNUMBER(SEARCH("הכנסה",F1867)))),"הכנסה שסווגה מחדש",J1867)</x:f>
        <x:v>שוטף</x:v>
      </x:c>
      <x:c r="L1867" s="19" t="str">
        <x:v>מאושר</x:v>
      </x:c>
      <x:c r="M1867" s="20" t="n">
        <x:f>IF(L1867="מאושר",IF(K1867="הכנסה שסווגה מחדש",0,G1867),0)</x:f>
        <x:v>153</x:v>
      </x:c>
      <x:c r="N1867" s="20" t="n">
        <x:f>IF(K1867="שוטף",M1867,0)</x:f>
        <x:v>153</x:v>
      </x:c>
      <x:c r="O1867" s="20" t="n">
        <x:f>IF(K1867="הכנסה שסווגה מחדש",-G1867,0)</x:f>
        <x:v>0</x:v>
      </x:c>
      <x:c r="P1867" s="11" t="str">
        <x:v>מקס - עינור</x:v>
      </x:c>
      <x:c r="Q1867" s="11" t="str"/>
      <x:c r="R1867" s="11" t="str">
        <x:v>לא</x:v>
      </x:c>
    </x:row>
    <x:row r="1868">
      <x:c r="A1868" s="14" t="n">
        <x:v>46235</x:v>
      </x:c>
      <x:c r="B1868" s="11" t="str">
        <x:v>2026-08</x:v>
      </x:c>
      <x:c r="C1868" s="11" t="str">
        <x:v>אוגוסט 26</x:v>
      </x:c>
      <x:c r="D1868" s="15" t="n">
        <x:v>7</x:v>
      </x:c>
      <x:c r="E1868" s="11" t="str"/>
      <x:c r="F1868" s="11" t="str">
        <x:v>גז</x:v>
      </x:c>
      <x:c r="G1868" s="17" t="n">
        <x:v>0</x:v>
      </x:c>
      <x:c r="H1868" s="18" t="str">
        <x:v>מגורים</x:v>
      </x:c>
      <x:c r="I1868" s="19" t="str">
        <x:f>IFERROR(INDEX('מיפוי ומקורות'!$C$7:$C$33,MATCH(H1868,'מיפוי ומקורות'!$B$7:$B$33,0)),"לא מסווג")</x:f>
        <x:v>דיור – בית מגורים</x:v>
      </x:c>
      <x:c r="J1868" s="19" t="str">
        <x:f>IFERROR(INDEX('מיפוי ומקורות'!$D$7:$D$33,MATCH(H1868,'מיפוי ומקורות'!$B$7:$B$33,0)),"שוטף")</x:f>
        <x:v>שוטף</x:v>
      </x:c>
      <x:c r="K1868" s="19" t="str">
        <x:f>IF(OR(H1868="ריביות",AND(H1868="דירה כצנלסון",G1868&lt;0,ISNUMBER(SEARCH("הכנסה",F1868)))),"הכנסה שסווגה מחדש",J1868)</x:f>
        <x:v>שוטף</x:v>
      </x:c>
      <x:c r="L1868" s="19" t="str">
        <x:v>מאושר</x:v>
      </x:c>
      <x:c r="M1868" s="20" t="n">
        <x:f>IF(L1868="מאושר",IF(K1868="הכנסה שסווגה מחדש",0,G1868),0)</x:f>
        <x:v>0</x:v>
      </x:c>
      <x:c r="N1868" s="20" t="n">
        <x:f>IF(K1868="שוטף",M1868,0)</x:f>
        <x:v>0</x:v>
      </x:c>
      <x:c r="O1868" s="20" t="n">
        <x:f>IF(K1868="הכנסה שסווגה מחדש",-G1868,0)</x:f>
        <x:v>0</x:v>
      </x:c>
      <x:c r="P1868" s="11" t="str">
        <x:v>אמקס - זיו</x:v>
      </x:c>
      <x:c r="Q1868" s="11" t="str"/>
      <x:c r="R1868" s="11" t="str">
        <x:v>לא</x:v>
      </x:c>
    </x:row>
    <x:row r="1869">
      <x:c r="A1869" s="14" t="n">
        <x:v>46235</x:v>
      </x:c>
      <x:c r="B1869" s="11" t="str">
        <x:v>2026-08</x:v>
      </x:c>
      <x:c r="C1869" s="11" t="str">
        <x:v>אוגוסט 26</x:v>
      </x:c>
      <x:c r="D1869" s="15" t="n">
        <x:v>8</x:v>
      </x:c>
      <x:c r="E1869" s="11" t="str"/>
      <x:c r="F1869" s="11" t="str">
        <x:v>ועד בית</x:v>
      </x:c>
      <x:c r="G1869" s="17" t="n">
        <x:v>0</x:v>
      </x:c>
      <x:c r="H1869" s="18" t="str">
        <x:v>מגורים</x:v>
      </x:c>
      <x:c r="I1869" s="19" t="str">
        <x:f>IFERROR(INDEX('מיפוי ומקורות'!$C$7:$C$33,MATCH(H1869,'מיפוי ומקורות'!$B$7:$B$33,0)),"לא מסווג")</x:f>
        <x:v>דיור – בית מגורים</x:v>
      </x:c>
      <x:c r="J1869" s="19" t="str">
        <x:f>IFERROR(INDEX('מיפוי ומקורות'!$D$7:$D$33,MATCH(H1869,'מיפוי ומקורות'!$B$7:$B$33,0)),"שוטף")</x:f>
        <x:v>שוטף</x:v>
      </x:c>
      <x:c r="K1869" s="19" t="str">
        <x:f>IF(OR(H1869="ריביות",AND(H1869="דירה כצנלסון",G1869&lt;0,ISNUMBER(SEARCH("הכנסה",F1869)))),"הכנסה שסווגה מחדש",J1869)</x:f>
        <x:v>שוטף</x:v>
      </x:c>
      <x:c r="L1869" s="19" t="str">
        <x:v>מאושר</x:v>
      </x:c>
      <x:c r="M1869" s="20" t="n">
        <x:f>IF(L1869="מאושר",IF(K1869="הכנסה שסווגה מחדש",0,G1869),0)</x:f>
        <x:v>0</x:v>
      </x:c>
      <x:c r="N1869" s="20" t="n">
        <x:f>IF(K1869="שוטף",M1869,0)</x:f>
        <x:v>0</x:v>
      </x:c>
      <x:c r="O1869" s="20" t="n">
        <x:f>IF(K1869="הכנסה שסווגה מחדש",-G1869,0)</x:f>
        <x:v>0</x:v>
      </x:c>
      <x:c r="P1869" s="11" t="str">
        <x:v>מזומן</x:v>
      </x:c>
      <x:c r="Q1869" s="11" t="str"/>
      <x:c r="R1869" s="11" t="str">
        <x:v>לא</x:v>
      </x:c>
    </x:row>
    <x:row r="1870">
      <x:c r="A1870" s="14" t="n">
        <x:v>46235</x:v>
      </x:c>
      <x:c r="B1870" s="11" t="str">
        <x:v>2026-08</x:v>
      </x:c>
      <x:c r="C1870" s="11" t="str">
        <x:v>אוגוסט 26</x:v>
      </x:c>
      <x:c r="D1870" s="15" t="n">
        <x:v>9</x:v>
      </x:c>
      <x:c r="E1870" s="11" t="str"/>
      <x:c r="F1870" s="11" t="str">
        <x:v>מנקה</x:v>
      </x:c>
      <x:c r="G1870" s="17" t="n">
        <x:v>800</x:v>
      </x:c>
      <x:c r="H1870" s="18" t="str">
        <x:v>מגורים</x:v>
      </x:c>
      <x:c r="I1870" s="19" t="str">
        <x:f>IFERROR(INDEX('מיפוי ומקורות'!$C$7:$C$33,MATCH(H1870,'מיפוי ומקורות'!$B$7:$B$33,0)),"לא מסווג")</x:f>
        <x:v>דיור – בית מגורים</x:v>
      </x:c>
      <x:c r="J1870" s="19" t="str">
        <x:f>IFERROR(INDEX('מיפוי ומקורות'!$D$7:$D$33,MATCH(H1870,'מיפוי ומקורות'!$B$7:$B$33,0)),"שוטף")</x:f>
        <x:v>שוטף</x:v>
      </x:c>
      <x:c r="K1870" s="19" t="str">
        <x:f>IF(OR(H1870="ריביות",AND(H1870="דירה כצנלסון",G1870&lt;0,ISNUMBER(SEARCH("הכנסה",F1870)))),"הכנסה שסווגה מחדש",J1870)</x:f>
        <x:v>שוטף</x:v>
      </x:c>
      <x:c r="L1870" s="19" t="str">
        <x:v>מאושר</x:v>
      </x:c>
      <x:c r="M1870" s="20" t="n">
        <x:f>IF(L1870="מאושר",IF(K1870="הכנסה שסווגה מחדש",0,G1870),0)</x:f>
        <x:v>800</x:v>
      </x:c>
      <x:c r="N1870" s="20" t="n">
        <x:f>IF(K1870="שוטף",M1870,0)</x:f>
        <x:v>800</x:v>
      </x:c>
      <x:c r="O1870" s="20" t="n">
        <x:f>IF(K1870="הכנסה שסווגה מחדש",-G1870,0)</x:f>
        <x:v>0</x:v>
      </x:c>
      <x:c r="P1870" s="11" t="str">
        <x:v>מזומן</x:v>
      </x:c>
      <x:c r="Q1870" s="11" t="str"/>
      <x:c r="R1870" s="11" t="str">
        <x:v>לא</x:v>
      </x:c>
    </x:row>
    <x:row r="1871">
      <x:c r="A1871" s="14" t="n">
        <x:v>46235</x:v>
      </x:c>
      <x:c r="B1871" s="11" t="str">
        <x:v>2026-08</x:v>
      </x:c>
      <x:c r="C1871" s="11" t="str">
        <x:v>אוגוסט 26</x:v>
      </x:c>
      <x:c r="D1871" s="15" t="n">
        <x:v>10</x:v>
      </x:c>
      <x:c r="E1871" s="11" t="str">
        <x:v>24.08</x:v>
      </x:c>
      <x:c r="F1871" s="11" t="str">
        <x:v>אינטרנט</x:v>
      </x:c>
      <x:c r="G1871" s="17" t="n">
        <x:v>87</x:v>
      </x:c>
      <x:c r="H1871" s="18" t="str">
        <x:v>מגורים</x:v>
      </x:c>
      <x:c r="I1871" s="19" t="str">
        <x:f>IFERROR(INDEX('מיפוי ומקורות'!$C$7:$C$33,MATCH(H1871,'מיפוי ומקורות'!$B$7:$B$33,0)),"לא מסווג")</x:f>
        <x:v>דיור – בית מגורים</x:v>
      </x:c>
      <x:c r="J1871" s="19" t="str">
        <x:f>IFERROR(INDEX('מיפוי ומקורות'!$D$7:$D$33,MATCH(H1871,'מיפוי ומקורות'!$B$7:$B$33,0)),"שוטף")</x:f>
        <x:v>שוטף</x:v>
      </x:c>
      <x:c r="K1871" s="19" t="str">
        <x:f>IF(OR(H1871="ריביות",AND(H1871="דירה כצנלסון",G1871&lt;0,ISNUMBER(SEARCH("הכנסה",F1871)))),"הכנסה שסווגה מחדש",J1871)</x:f>
        <x:v>שוטף</x:v>
      </x:c>
      <x:c r="L1871" s="19" t="str">
        <x:v>מאושר</x:v>
      </x:c>
      <x:c r="M1871" s="20" t="n">
        <x:f>IF(L1871="מאושר",IF(K1871="הכנסה שסווגה מחדש",0,G1871),0)</x:f>
        <x:v>87</x:v>
      </x:c>
      <x:c r="N1871" s="20" t="n">
        <x:f>IF(K1871="שוטף",M1871,0)</x:f>
        <x:v>87</x:v>
      </x:c>
      <x:c r="O1871" s="20" t="n">
        <x:f>IF(K1871="הכנסה שסווגה מחדש",-G1871,0)</x:f>
        <x:v>0</x:v>
      </x:c>
      <x:c r="P1871" s="11" t="str">
        <x:v>אמקס - זיו</x:v>
      </x:c>
      <x:c r="Q1871" s="11" t="str"/>
      <x:c r="R1871" s="11" t="str">
        <x:v>לא</x:v>
      </x:c>
    </x:row>
    <x:row r="1872">
      <x:c r="A1872" s="14" t="n">
        <x:v>46235</x:v>
      </x:c>
      <x:c r="B1872" s="11" t="str">
        <x:v>2026-08</x:v>
      </x:c>
      <x:c r="C1872" s="11" t="str">
        <x:v>אוגוסט 26</x:v>
      </x:c>
      <x:c r="D1872" s="15" t="n">
        <x:v>11</x:v>
      </x:c>
      <x:c r="E1872" s="11" t="str">
        <x:v>11.08</x:v>
      </x:c>
      <x:c r="F1872" s="11" t="str">
        <x:v>סלולר</x:v>
      </x:c>
      <x:c r="G1872" s="17" t="n">
        <x:v>59</x:v>
      </x:c>
      <x:c r="H1872" s="18" t="str">
        <x:v>מגורים</x:v>
      </x:c>
      <x:c r="I1872" s="19" t="str">
        <x:f>IFERROR(INDEX('מיפוי ומקורות'!$C$7:$C$33,MATCH(H1872,'מיפוי ומקורות'!$B$7:$B$33,0)),"לא מסווג")</x:f>
        <x:v>דיור – בית מגורים</x:v>
      </x:c>
      <x:c r="J1872" s="19" t="str">
        <x:f>IFERROR(INDEX('מיפוי ומקורות'!$D$7:$D$33,MATCH(H1872,'מיפוי ומקורות'!$B$7:$B$33,0)),"שוטף")</x:f>
        <x:v>שוטף</x:v>
      </x:c>
      <x:c r="K1872" s="19" t="str">
        <x:f>IF(OR(H1872="ריביות",AND(H1872="דירה כצנלסון",G1872&lt;0,ISNUMBER(SEARCH("הכנסה",F1872)))),"הכנסה שסווגה מחדש",J1872)</x:f>
        <x:v>שוטף</x:v>
      </x:c>
      <x:c r="L1872" s="19" t="str">
        <x:v>מאושר</x:v>
      </x:c>
      <x:c r="M1872" s="20" t="n">
        <x:f>IF(L1872="מאושר",IF(K1872="הכנסה שסווגה מחדש",0,G1872),0)</x:f>
        <x:v>59</x:v>
      </x:c>
      <x:c r="N1872" s="20" t="n">
        <x:f>IF(K1872="שוטף",M1872,0)</x:f>
        <x:v>59</x:v>
      </x:c>
      <x:c r="O1872" s="20" t="n">
        <x:f>IF(K1872="הכנסה שסווגה מחדש",-G1872,0)</x:f>
        <x:v>0</x:v>
      </x:c>
      <x:c r="P1872" s="11" t="str">
        <x:v>אמקס - זיו</x:v>
      </x:c>
      <x:c r="Q1872" s="11" t="str"/>
      <x:c r="R1872" s="11" t="str">
        <x:v>לא</x:v>
      </x:c>
    </x:row>
    <x:row r="1873">
      <x:c r="A1873" s="14" t="n">
        <x:v>46235</x:v>
      </x:c>
      <x:c r="B1873" s="11" t="str">
        <x:v>2026-08</x:v>
      </x:c>
      <x:c r="C1873" s="11" t="str">
        <x:v>אוגוסט 26</x:v>
      </x:c>
      <x:c r="D1873" s="15" t="n">
        <x:v>12</x:v>
      </x:c>
      <x:c r="E1873" s="11" t="str">
        <x:v>26.08</x:v>
      </x:c>
      <x:c r="F1873" s="11" t="str">
        <x:v>ביטוח מבנה</x:v>
      </x:c>
      <x:c r="G1873" s="17" t="n">
        <x:v>71</x:v>
      </x:c>
      <x:c r="H1873" s="18" t="str">
        <x:v>דירה כצנלסון</x:v>
      </x:c>
      <x:c r="I1873" s="19" t="str">
        <x:f>IFERROR(INDEX('מיפוי ומקורות'!$C$7:$C$33,MATCH(H1873,'מיפוי ומקורות'!$B$7:$B$33,0)),"לא מסווג")</x:f>
        <x:v>נכס להשקעה</x:v>
      </x:c>
      <x:c r="J1873" s="19" t="str">
        <x:f>IFERROR(INDEX('מיפוי ומקורות'!$D$7:$D$33,MATCH(H1873,'מיפוי ומקורות'!$B$7:$B$33,0)),"שוטף")</x:f>
        <x:v>חריג/נכס</x:v>
      </x:c>
      <x:c r="K1873" s="19" t="str">
        <x:f>IF(OR(H1873="ריביות",AND(H1873="דירה כצנלסון",G1873&lt;0,ISNUMBER(SEARCH("הכנסה",F1873)))),"הכנסה שסווגה מחדש",J1873)</x:f>
        <x:v>חריג/נכס</x:v>
      </x:c>
      <x:c r="L1873" s="19" t="str">
        <x:v>מאושר</x:v>
      </x:c>
      <x:c r="M1873" s="20" t="n">
        <x:f>IF(L1873="מאושר",IF(K1873="הכנסה שסווגה מחדש",0,G1873),0)</x:f>
        <x:v>71</x:v>
      </x:c>
      <x:c r="N1873" s="20" t="n">
        <x:f>IF(K1873="שוטף",M1873,0)</x:f>
        <x:v>0</x:v>
      </x:c>
      <x:c r="O1873" s="20" t="n">
        <x:f>IF(K1873="הכנסה שסווגה מחדש",-G1873,0)</x:f>
        <x:v>0</x:v>
      </x:c>
      <x:c r="P1873" s="11" t="str">
        <x:v>אמקס - זיו</x:v>
      </x:c>
      <x:c r="Q1873" s="11" t="str"/>
      <x:c r="R1873" s="11" t="str">
        <x:v>לא</x:v>
      </x:c>
    </x:row>
    <x:row r="1874">
      <x:c r="A1874" s="14" t="n">
        <x:v>46235</x:v>
      </x:c>
      <x:c r="B1874" s="11" t="str">
        <x:v>2026-08</x:v>
      </x:c>
      <x:c r="C1874" s="11" t="str">
        <x:v>אוגוסט 26</x:v>
      </x:c>
      <x:c r="D1874" s="15" t="n">
        <x:v>13</x:v>
      </x:c>
      <x:c r="E1874" s="11" t="str">
        <x:v>28.08</x:v>
      </x:c>
      <x:c r="F1874" s="11" t="str">
        <x:v>ביטוח חיים</x:v>
      </x:c>
      <x:c r="G1874" s="17" t="n">
        <x:v>36</x:v>
      </x:c>
      <x:c r="H1874" s="18" t="str">
        <x:v>דירה כצנלסון</x:v>
      </x:c>
      <x:c r="I1874" s="19" t="str">
        <x:f>IFERROR(INDEX('מיפוי ומקורות'!$C$7:$C$33,MATCH(H1874,'מיפוי ומקורות'!$B$7:$B$33,0)),"לא מסווג")</x:f>
        <x:v>נכס להשקעה</x:v>
      </x:c>
      <x:c r="J1874" s="19" t="str">
        <x:f>IFERROR(INDEX('מיפוי ומקורות'!$D$7:$D$33,MATCH(H1874,'מיפוי ומקורות'!$B$7:$B$33,0)),"שוטף")</x:f>
        <x:v>חריג/נכס</x:v>
      </x:c>
      <x:c r="K1874" s="19" t="str">
        <x:f>IF(OR(H1874="ריביות",AND(H1874="דירה כצנלסון",G1874&lt;0,ISNUMBER(SEARCH("הכנסה",F1874)))),"הכנסה שסווגה מחדש",J1874)</x:f>
        <x:v>חריג/נכס</x:v>
      </x:c>
      <x:c r="L1874" s="19" t="str">
        <x:v>מאושר</x:v>
      </x:c>
      <x:c r="M1874" s="20" t="n">
        <x:f>IF(L1874="מאושר",IF(K1874="הכנסה שסווגה מחדש",0,G1874),0)</x:f>
        <x:v>36</x:v>
      </x:c>
      <x:c r="N1874" s="20" t="n">
        <x:f>IF(K1874="שוטף",M1874,0)</x:f>
        <x:v>0</x:v>
      </x:c>
      <x:c r="O1874" s="20" t="n">
        <x:f>IF(K1874="הכנסה שסווגה מחדש",-G1874,0)</x:f>
        <x:v>0</x:v>
      </x:c>
      <x:c r="P1874" s="11" t="str">
        <x:v>אמקס - זיו</x:v>
      </x:c>
      <x:c r="Q1874" s="11" t="str"/>
      <x:c r="R1874" s="11" t="str">
        <x:v>לא</x:v>
      </x:c>
    </x:row>
    <x:row r="1875">
      <x:c r="A1875" s="14" t="n">
        <x:v>46235</x:v>
      </x:c>
      <x:c r="B1875" s="11" t="str">
        <x:v>2026-08</x:v>
      </x:c>
      <x:c r="C1875" s="11" t="str">
        <x:v>אוגוסט 26</x:v>
      </x:c>
      <x:c r="D1875" s="15" t="n">
        <x:v>14</x:v>
      </x:c>
      <x:c r="E1875" s="11" t="str">
        <x:v>26.08</x:v>
      </x:c>
      <x:c r="F1875" s="11" t="str">
        <x:v>ביטוח בריאות</x:v>
      </x:c>
      <x:c r="G1875" s="17" t="n">
        <x:v>117</x:v>
      </x:c>
      <x:c r="H1875" s="18" t="str">
        <x:v>ביטוח</x:v>
      </x:c>
      <x:c r="I1875" s="19" t="str">
        <x:f>IFERROR(INDEX('מיפוי ומקורות'!$C$7:$C$33,MATCH(H1875,'מיפוי ומקורות'!$B$7:$B$33,0)),"לא מסווג")</x:f>
        <x:v>ביטוח</x:v>
      </x:c>
      <x:c r="J1875" s="19" t="str">
        <x:f>IFERROR(INDEX('מיפוי ומקורות'!$D$7:$D$33,MATCH(H1875,'מיפוי ומקורות'!$B$7:$B$33,0)),"שוטף")</x:f>
        <x:v>שוטף</x:v>
      </x:c>
      <x:c r="K1875" s="19" t="str">
        <x:f>IF(OR(H1875="ריביות",AND(H1875="דירה כצנלסון",G1875&lt;0,ISNUMBER(SEARCH("הכנסה",F1875)))),"הכנסה שסווגה מחדש",J1875)</x:f>
        <x:v>שוטף</x:v>
      </x:c>
      <x:c r="L1875" s="19" t="str">
        <x:v>מאושר</x:v>
      </x:c>
      <x:c r="M1875" s="20" t="n">
        <x:f>IF(L1875="מאושר",IF(K1875="הכנסה שסווגה מחדש",0,G1875),0)</x:f>
        <x:v>117</x:v>
      </x:c>
      <x:c r="N1875" s="20" t="n">
        <x:f>IF(K1875="שוטף",M1875,0)</x:f>
        <x:v>117</x:v>
      </x:c>
      <x:c r="O1875" s="20" t="n">
        <x:f>IF(K1875="הכנסה שסווגה מחדש",-G1875,0)</x:f>
        <x:v>0</x:v>
      </x:c>
      <x:c r="P1875" s="11" t="str">
        <x:v>אמקס - עינור</x:v>
      </x:c>
      <x:c r="Q1875" s="11" t="str"/>
      <x:c r="R1875" s="11" t="str">
        <x:v>לא</x:v>
      </x:c>
    </x:row>
    <x:row r="1876">
      <x:c r="A1876" s="14" t="n">
        <x:v>46235</x:v>
      </x:c>
      <x:c r="B1876" s="11" t="str">
        <x:v>2026-08</x:v>
      </x:c>
      <x:c r="C1876" s="11" t="str">
        <x:v>אוגוסט 26</x:v>
      </x:c>
      <x:c r="D1876" s="15" t="n">
        <x:v>15</x:v>
      </x:c>
      <x:c r="E1876" s="11" t="str">
        <x:v>3.08</x:v>
      </x:c>
      <x:c r="F1876" s="11" t="str">
        <x:v>מכבי עינור</x:v>
      </x:c>
      <x:c r="G1876" s="17" t="n">
        <x:v>97</x:v>
      </x:c>
      <x:c r="H1876" s="18" t="str">
        <x:v>בריאות</x:v>
      </x:c>
      <x:c r="I1876" s="19" t="str">
        <x:f>IFERROR(INDEX('מיפוי ומקורות'!$C$7:$C$33,MATCH(H1876,'מיפוי ומקורות'!$B$7:$B$33,0)),"לא מסווג")</x:f>
        <x:v>בריאות וטיפולים</x:v>
      </x:c>
      <x:c r="J1876" s="19" t="str">
        <x:f>IFERROR(INDEX('מיפוי ומקורות'!$D$7:$D$33,MATCH(H1876,'מיפוי ומקורות'!$B$7:$B$33,0)),"שוטף")</x:f>
        <x:v>שוטף</x:v>
      </x:c>
      <x:c r="K1876" s="19" t="str">
        <x:f>IF(OR(H1876="ריביות",AND(H1876="דירה כצנלסון",G1876&lt;0,ISNUMBER(SEARCH("הכנסה",F1876)))),"הכנסה שסווגה מחדש",J1876)</x:f>
        <x:v>שוטף</x:v>
      </x:c>
      <x:c r="L1876" s="19" t="str">
        <x:v>מאושר</x:v>
      </x:c>
      <x:c r="M1876" s="20" t="n">
        <x:f>IF(L1876="מאושר",IF(K1876="הכנסה שסווגה מחדש",0,G1876),0)</x:f>
        <x:v>97</x:v>
      </x:c>
      <x:c r="N1876" s="20" t="n">
        <x:f>IF(K1876="שוטף",M1876,0)</x:f>
        <x:v>97</x:v>
      </x:c>
      <x:c r="O1876" s="20" t="n">
        <x:f>IF(K1876="הכנסה שסווגה מחדש",-G1876,0)</x:f>
        <x:v>0</x:v>
      </x:c>
      <x:c r="P1876" s="11" t="str">
        <x:v>אמקס - עינור</x:v>
      </x:c>
      <x:c r="Q1876" s="11" t="str"/>
      <x:c r="R1876" s="11" t="str">
        <x:v>לא</x:v>
      </x:c>
    </x:row>
    <x:row r="1877">
      <x:c r="A1877" s="14" t="n">
        <x:v>46235</x:v>
      </x:c>
      <x:c r="B1877" s="11" t="str">
        <x:v>2026-08</x:v>
      </x:c>
      <x:c r="C1877" s="11" t="str">
        <x:v>אוגוסט 26</x:v>
      </x:c>
      <x:c r="D1877" s="15" t="n">
        <x:v>16</x:v>
      </x:c>
      <x:c r="E1877" s="11" t="str">
        <x:v>3.08</x:v>
      </x:c>
      <x:c r="F1877" s="11" t="str">
        <x:v>מכבי זיו</x:v>
      </x:c>
      <x:c r="G1877" s="17" t="n">
        <x:v>57</x:v>
      </x:c>
      <x:c r="H1877" s="18" t="str">
        <x:v>בריאות</x:v>
      </x:c>
      <x:c r="I1877" s="19" t="str">
        <x:f>IFERROR(INDEX('מיפוי ומקורות'!$C$7:$C$33,MATCH(H1877,'מיפוי ומקורות'!$B$7:$B$33,0)),"לא מסווג")</x:f>
        <x:v>בריאות וטיפולים</x:v>
      </x:c>
      <x:c r="J1877" s="19" t="str">
        <x:f>IFERROR(INDEX('מיפוי ומקורות'!$D$7:$D$33,MATCH(H1877,'מיפוי ומקורות'!$B$7:$B$33,0)),"שוטף")</x:f>
        <x:v>שוטף</x:v>
      </x:c>
      <x:c r="K1877" s="19" t="str">
        <x:f>IF(OR(H1877="ריביות",AND(H1877="דירה כצנלסון",G1877&lt;0,ISNUMBER(SEARCH("הכנסה",F1877)))),"הכנסה שסווגה מחדש",J1877)</x:f>
        <x:v>שוטף</x:v>
      </x:c>
      <x:c r="L1877" s="19" t="str">
        <x:v>מאושר</x:v>
      </x:c>
      <x:c r="M1877" s="20" t="n">
        <x:f>IF(L1877="מאושר",IF(K1877="הכנסה שסווגה מחדש",0,G1877),0)</x:f>
        <x:v>57</x:v>
      </x:c>
      <x:c r="N1877" s="20" t="n">
        <x:f>IF(K1877="שוטף",M1877,0)</x:f>
        <x:v>57</x:v>
      </x:c>
      <x:c r="O1877" s="20" t="n">
        <x:f>IF(K1877="הכנסה שסווגה מחדש",-G1877,0)</x:f>
        <x:v>0</x:v>
      </x:c>
      <x:c r="P1877" s="11" t="str">
        <x:v>אמקס - זיו</x:v>
      </x:c>
      <x:c r="Q1877" s="11" t="str"/>
      <x:c r="R1877" s="11" t="str">
        <x:v>לא</x:v>
      </x:c>
    </x:row>
    <x:row r="1878">
      <x:c r="A1878" s="14" t="n">
        <x:v>46235</x:v>
      </x:c>
      <x:c r="B1878" s="11" t="str">
        <x:v>2026-08</x:v>
      </x:c>
      <x:c r="C1878" s="11" t="str">
        <x:v>אוגוסט 26</x:v>
      </x:c>
      <x:c r="D1878" s="15" t="n">
        <x:v>17</x:v>
      </x:c>
      <x:c r="E1878" s="11" t="str">
        <x:v>15.01</x:v>
      </x:c>
      <x:c r="F1878" s="11" t="str">
        <x:v>קאנטרי</x:v>
      </x:c>
      <x:c r="G1878" s="17" t="n">
        <x:v>632</x:v>
      </x:c>
      <x:c r="H1878" s="18" t="str">
        <x:v>ספורט</x:v>
      </x:c>
      <x:c r="I1878" s="19" t="str">
        <x:f>IFERROR(INDEX('מיפוי ומקורות'!$C$7:$C$33,MATCH(H1878,'מיפוי ומקורות'!$B$7:$B$33,0)),"לא מסווג")</x:f>
        <x:v>ספורט</x:v>
      </x:c>
      <x:c r="J1878" s="19" t="str">
        <x:f>IFERROR(INDEX('מיפוי ומקורות'!$D$7:$D$33,MATCH(H1878,'מיפוי ומקורות'!$B$7:$B$33,0)),"שוטף")</x:f>
        <x:v>שוטף</x:v>
      </x:c>
      <x:c r="K1878" s="19" t="str">
        <x:f>IF(OR(H1878="ריביות",AND(H1878="דירה כצנלסון",G1878&lt;0,ISNUMBER(SEARCH("הכנסה",F1878)))),"הכנסה שסווגה מחדש",J1878)</x:f>
        <x:v>שוטף</x:v>
      </x:c>
      <x:c r="L1878" s="19" t="str">
        <x:v>מאושר</x:v>
      </x:c>
      <x:c r="M1878" s="20" t="n">
        <x:f>IF(L1878="מאושר",IF(K1878="הכנסה שסווגה מחדש",0,G1878),0)</x:f>
        <x:v>632</x:v>
      </x:c>
      <x:c r="N1878" s="20" t="n">
        <x:f>IF(K1878="שוטף",M1878,0)</x:f>
        <x:v>632</x:v>
      </x:c>
      <x:c r="O1878" s="20" t="n">
        <x:f>IF(K1878="הכנסה שסווגה מחדש",-G1878,0)</x:f>
        <x:v>0</x:v>
      </x:c>
      <x:c r="P1878" s="11" t="str">
        <x:v>אמקס - זיו</x:v>
      </x:c>
      <x:c r="Q1878" s="11" t="str"/>
      <x:c r="R1878" s="11" t="str">
        <x:v>לא</x:v>
      </x:c>
    </x:row>
    <x:row r="1879">
      <x:c r="A1879" s="14" t="n">
        <x:v>46235</x:v>
      </x:c>
      <x:c r="B1879" s="11" t="str">
        <x:v>2026-08</x:v>
      </x:c>
      <x:c r="C1879" s="11" t="str">
        <x:v>אוגוסט 26</x:v>
      </x:c>
      <x:c r="D1879" s="15" t="n">
        <x:v>18</x:v>
      </x:c>
      <x:c r="E1879" s="11" t="str">
        <x:v>26.01</x:v>
      </x:c>
      <x:c r="F1879" s="11" t="str">
        <x:v>ביטוח רכב חובה</x:v>
      </x:c>
      <x:c r="G1879" s="17" t="n">
        <x:v>130</x:v>
      </x:c>
      <x:c r="H1879" s="18" t="str">
        <x:v>תחבורה</x:v>
      </x:c>
      <x:c r="I1879" s="19" t="str">
        <x:f>IFERROR(INDEX('מיפוי ומקורות'!$C$7:$C$33,MATCH(H1879,'מיפוי ומקורות'!$B$7:$B$33,0)),"לא מסווג")</x:f>
        <x:v>תחבורה</x:v>
      </x:c>
      <x:c r="J1879" s="19" t="str">
        <x:f>IFERROR(INDEX('מיפוי ומקורות'!$D$7:$D$33,MATCH(H1879,'מיפוי ומקורות'!$B$7:$B$33,0)),"שוטף")</x:f>
        <x:v>שוטף</x:v>
      </x:c>
      <x:c r="K1879" s="19" t="str">
        <x:f>IF(OR(H1879="ריביות",AND(H1879="דירה כצנלסון",G1879&lt;0,ISNUMBER(SEARCH("הכנסה",F1879)))),"הכנסה שסווגה מחדש",J1879)</x:f>
        <x:v>שוטף</x:v>
      </x:c>
      <x:c r="L1879" s="19" t="str">
        <x:v>מאושר</x:v>
      </x:c>
      <x:c r="M1879" s="20" t="n">
        <x:f>IF(L1879="מאושר",IF(K1879="הכנסה שסווגה מחדש",0,G1879),0)</x:f>
        <x:v>130</x:v>
      </x:c>
      <x:c r="N1879" s="20" t="n">
        <x:f>IF(K1879="שוטף",M1879,0)</x:f>
        <x:v>130</x:v>
      </x:c>
      <x:c r="O1879" s="20" t="n">
        <x:f>IF(K1879="הכנסה שסווגה מחדש",-G1879,0)</x:f>
        <x:v>0</x:v>
      </x:c>
      <x:c r="P1879" s="11" t="str">
        <x:v>אמקס - זיו</x:v>
      </x:c>
      <x:c r="Q1879" s="11" t="str"/>
      <x:c r="R1879" s="11" t="str">
        <x:v>לא</x:v>
      </x:c>
    </x:row>
    <x:row r="1880">
      <x:c r="A1880" s="14" t="n">
        <x:v>46235</x:v>
      </x:c>
      <x:c r="B1880" s="11" t="str">
        <x:v>2026-08</x:v>
      </x:c>
      <x:c r="C1880" s="11" t="str">
        <x:v>אוגוסט 26</x:v>
      </x:c>
      <x:c r="D1880" s="15" t="n">
        <x:v>19</x:v>
      </x:c>
      <x:c r="E1880" s="11" t="str"/>
      <x:c r="F1880" s="11" t="str">
        <x:v>האקדמיה האורגזמית</x:v>
      </x:c>
      <x:c r="G1880" s="17" t="n">
        <x:v>97</x:v>
      </x:c>
      <x:c r="H1880" s="18" t="str">
        <x:v>טיפולים</x:v>
      </x:c>
      <x:c r="I1880" s="19" t="str">
        <x:f>IFERROR(INDEX('מיפוי ומקורות'!$C$7:$C$33,MATCH(H1880,'מיפוי ומקורות'!$B$7:$B$33,0)),"לא מסווג")</x:f>
        <x:v>בריאות וטיפולים</x:v>
      </x:c>
      <x:c r="J1880" s="19" t="str">
        <x:f>IFERROR(INDEX('מיפוי ומקורות'!$D$7:$D$33,MATCH(H1880,'מיפוי ומקורות'!$B$7:$B$33,0)),"שוטף")</x:f>
        <x:v>שוטף</x:v>
      </x:c>
      <x:c r="K1880" s="19" t="str">
        <x:f>IF(OR(H1880="ריביות",AND(H1880="דירה כצנלסון",G1880&lt;0,ISNUMBER(SEARCH("הכנסה",F1880)))),"הכנסה שסווגה מחדש",J1880)</x:f>
        <x:v>שוטף</x:v>
      </x:c>
      <x:c r="L1880" s="19" t="str">
        <x:v>מאושר</x:v>
      </x:c>
      <x:c r="M1880" s="20" t="n">
        <x:f>IF(L1880="מאושר",IF(K1880="הכנסה שסווגה מחדש",0,G1880),0)</x:f>
        <x:v>97</x:v>
      </x:c>
      <x:c r="N1880" s="20" t="n">
        <x:f>IF(K1880="שוטף",M1880,0)</x:f>
        <x:v>97</x:v>
      </x:c>
      <x:c r="O1880" s="20" t="n">
        <x:f>IF(K1880="הכנסה שסווגה מחדש",-G1880,0)</x:f>
        <x:v>0</x:v>
      </x:c>
      <x:c r="P1880" s="11" t="str">
        <x:v>מקס - עינור</x:v>
      </x:c>
      <x:c r="Q1880" s="11" t="str"/>
      <x:c r="R1880" s="11" t="str">
        <x:v>לא</x:v>
      </x:c>
    </x:row>
    <x:row r="1881">
      <x:c r="A1881" s="14" t="n">
        <x:v>46235</x:v>
      </x:c>
      <x:c r="B1881" s="11" t="str">
        <x:v>2026-08</x:v>
      </x:c>
      <x:c r="C1881" s="11" t="str">
        <x:v>אוגוסט 26</x:v>
      </x:c>
      <x:c r="D1881" s="15" t="n">
        <x:v>20</x:v>
      </x:c>
      <x:c r="E1881" s="11" t="str">
        <x:v>1.08</x:v>
      </x:c>
      <x:c r="F1881" s="11" t="str">
        <x:v>KSP אקספרס-גמא</x:v>
      </x:c>
      <x:c r="G1881" s="17" t="n">
        <x:v>332</x:v>
      </x:c>
      <x:c r="H1881" s="18" t="str">
        <x:v>קוסמטיקה</x:v>
      </x:c>
      <x:c r="I1881" s="19" t="str">
        <x:f>IFERROR(INDEX('מיפוי ומקורות'!$C$7:$C$33,MATCH(H1881,'מיפוי ומקורות'!$B$7:$B$33,0)),"לא מסווג")</x:f>
        <x:v>קוסמטיקה</x:v>
      </x:c>
      <x:c r="J1881" s="19" t="str">
        <x:f>IFERROR(INDEX('מיפוי ומקורות'!$D$7:$D$33,MATCH(H1881,'מיפוי ומקורות'!$B$7:$B$33,0)),"שוטף")</x:f>
        <x:v>שוטף</x:v>
      </x:c>
      <x:c r="K1881" s="19" t="str">
        <x:f>IF(OR(H1881="ריביות",AND(H1881="דירה כצנלסון",G1881&lt;0,ISNUMBER(SEARCH("הכנסה",F1881)))),"הכנסה שסווגה מחדש",J1881)</x:f>
        <x:v>שוטף</x:v>
      </x:c>
      <x:c r="L1881" s="19" t="str">
        <x:v>מאושר</x:v>
      </x:c>
      <x:c r="M1881" s="20" t="n">
        <x:f>IF(L1881="מאושר",IF(K1881="הכנסה שסווגה מחדש",0,G1881),0)</x:f>
        <x:v>332</x:v>
      </x:c>
      <x:c r="N1881" s="20" t="n">
        <x:f>IF(K1881="שוטף",M1881,0)</x:f>
        <x:v>332</x:v>
      </x:c>
      <x:c r="O1881" s="20" t="n">
        <x:f>IF(K1881="הכנסה שסווגה מחדש",-G1881,0)</x:f>
        <x:v>0</x:v>
      </x:c>
      <x:c r="P1881" s="11" t="str">
        <x:v>אמקס - עינור</x:v>
      </x:c>
      <x:c r="Q1881" s="11" t="str"/>
      <x:c r="R1881" s="11" t="str">
        <x:v>לא</x:v>
      </x:c>
    </x:row>
    <x:row r="1882">
      <x:c r="A1882" s="14" t="n">
        <x:v>46235</x:v>
      </x:c>
      <x:c r="B1882" s="11" t="str">
        <x:v>2026-08</x:v>
      </x:c>
      <x:c r="C1882" s="11" t="str">
        <x:v>אוגוסט 26</x:v>
      </x:c>
      <x:c r="D1882" s="15" t="n">
        <x:v>21</x:v>
      </x:c>
      <x:c r="E1882" s="11" t="str">
        <x:v>02/08</x:v>
      </x:c>
      <x:c r="F1882" s="11" t="str">
        <x:v>אלי</x:v>
      </x:c>
      <x:c r="G1882" s="17" t="n">
        <x:v>56</x:v>
      </x:c>
      <x:c r="H1882" s="18" t="str">
        <x:v>פנאי</x:v>
      </x:c>
      <x:c r="I1882" s="19" t="str">
        <x:f>IFERROR(INDEX('מיפוי ומקורות'!$C$7:$C$33,MATCH(H1882,'מיפוי ומקורות'!$B$7:$B$33,0)),"לא מסווג")</x:f>
        <x:v>פנאי</x:v>
      </x:c>
      <x:c r="J1882" s="19" t="str">
        <x:f>IFERROR(INDEX('מיפוי ומקורות'!$D$7:$D$33,MATCH(H1882,'מיפוי ומקורות'!$B$7:$B$33,0)),"שוטף")</x:f>
        <x:v>שוטף</x:v>
      </x:c>
      <x:c r="K1882" s="19" t="str">
        <x:f>IF(OR(H1882="ריביות",AND(H1882="דירה כצנלסון",G1882&lt;0,ISNUMBER(SEARCH("הכנסה",F1882)))),"הכנסה שסווגה מחדש",J1882)</x:f>
        <x:v>שוטף</x:v>
      </x:c>
      <x:c r="L1882" s="19" t="str">
        <x:v>מאושר</x:v>
      </x:c>
      <x:c r="M1882" s="20" t="n">
        <x:f>IF(L1882="מאושר",IF(K1882="הכנסה שסווגה מחדש",0,G1882),0)</x:f>
        <x:v>56</x:v>
      </x:c>
      <x:c r="N1882" s="20" t="n">
        <x:f>IF(K1882="שוטף",M1882,0)</x:f>
        <x:v>56</x:v>
      </x:c>
      <x:c r="O1882" s="20" t="n">
        <x:f>IF(K1882="הכנסה שסווגה מחדש",-G1882,0)</x:f>
        <x:v>0</x:v>
      </x:c>
      <x:c r="P1882" s="11" t="str">
        <x:v>אמקס - עינור</x:v>
      </x:c>
      <x:c r="Q1882" s="11" t="str"/>
      <x:c r="R1882" s="11" t="str">
        <x:v>לא</x:v>
      </x:c>
    </x:row>
    <x:row r="1883">
      <x:c r="A1883" s="14" t="n">
        <x:v>46235</x:v>
      </x:c>
      <x:c r="B1883" s="11" t="str">
        <x:v>2026-08</x:v>
      </x:c>
      <x:c r="C1883" s="11" t="str">
        <x:v>אוגוסט 26</x:v>
      </x:c>
      <x:c r="D1883" s="15" t="n">
        <x:v>22</x:v>
      </x:c>
      <x:c r="E1883" s="11" t="str">
        <x:v>3.08</x:v>
      </x:c>
      <x:c r="F1883" s="11" t="str">
        <x:v>ירקן</x:v>
      </x:c>
      <x:c r="G1883" s="17" t="n">
        <x:v>41</x:v>
      </x:c>
      <x:c r="H1883" s="18" t="str">
        <x:v>מזון לבית</x:v>
      </x:c>
      <x:c r="I1883" s="19" t="str">
        <x:f>IFERROR(INDEX('מיפוי ומקורות'!$C$7:$C$33,MATCH(H1883,'מיפוי ומקורות'!$B$7:$B$33,0)),"לא מסווג")</x:f>
        <x:v>מזון לבית</x:v>
      </x:c>
      <x:c r="J1883" s="19" t="str">
        <x:f>IFERROR(INDEX('מיפוי ומקורות'!$D$7:$D$33,MATCH(H1883,'מיפוי ומקורות'!$B$7:$B$33,0)),"שוטף")</x:f>
        <x:v>שוטף</x:v>
      </x:c>
      <x:c r="K1883" s="19" t="str">
        <x:f>IF(OR(H1883="ריביות",AND(H1883="דירה כצנלסון",G1883&lt;0,ISNUMBER(SEARCH("הכנסה",F1883)))),"הכנסה שסווגה מחדש",J1883)</x:f>
        <x:v>שוטף</x:v>
      </x:c>
      <x:c r="L1883" s="19" t="str">
        <x:v>מאושר</x:v>
      </x:c>
      <x:c r="M1883" s="20" t="n">
        <x:f>IF(L1883="מאושר",IF(K1883="הכנסה שסווגה מחדש",0,G1883),0)</x:f>
        <x:v>41</x:v>
      </x:c>
      <x:c r="N1883" s="20" t="n">
        <x:f>IF(K1883="שוטף",M1883,0)</x:f>
        <x:v>41</x:v>
      </x:c>
      <x:c r="O1883" s="20" t="n">
        <x:f>IF(K1883="הכנסה שסווגה מחדש",-G1883,0)</x:f>
        <x:v>0</x:v>
      </x:c>
      <x:c r="P1883" s="11" t="str">
        <x:v>אמקס - עינור</x:v>
      </x:c>
      <x:c r="Q1883" s="11" t="str"/>
      <x:c r="R1883" s="11" t="str">
        <x:v>לא</x:v>
      </x:c>
    </x:row>
    <x:row r="1884">
      <x:c r="A1884" s="14" t="n">
        <x:v>46235</x:v>
      </x:c>
      <x:c r="B1884" s="11" t="str">
        <x:v>2026-08</x:v>
      </x:c>
      <x:c r="C1884" s="11" t="str">
        <x:v>אוגוסט 26</x:v>
      </x:c>
      <x:c r="D1884" s="15" t="n">
        <x:v>23</x:v>
      </x:c>
      <x:c r="E1884" s="11" t="str">
        <x:v>4.08</x:v>
      </x:c>
      <x:c r="F1884" s="11" t="str">
        <x:v>סופר</x:v>
      </x:c>
      <x:c r="G1884" s="17" t="n">
        <x:v>927</x:v>
      </x:c>
      <x:c r="H1884" s="18" t="str">
        <x:v>מזון לבית</x:v>
      </x:c>
      <x:c r="I1884" s="19" t="str">
        <x:f>IFERROR(INDEX('מיפוי ומקורות'!$C$7:$C$33,MATCH(H1884,'מיפוי ומקורות'!$B$7:$B$33,0)),"לא מסווג")</x:f>
        <x:v>מזון לבית</x:v>
      </x:c>
      <x:c r="J1884" s="19" t="str">
        <x:f>IFERROR(INDEX('מיפוי ומקורות'!$D$7:$D$33,MATCH(H1884,'מיפוי ומקורות'!$B$7:$B$33,0)),"שוטף")</x:f>
        <x:v>שוטף</x:v>
      </x:c>
      <x:c r="K1884" s="19" t="str">
        <x:f>IF(OR(H1884="ריביות",AND(H1884="דירה כצנלסון",G1884&lt;0,ISNUMBER(SEARCH("הכנסה",F1884)))),"הכנסה שסווגה מחדש",J1884)</x:f>
        <x:v>שוטף</x:v>
      </x:c>
      <x:c r="L1884" s="19" t="str">
        <x:v>מאושר</x:v>
      </x:c>
      <x:c r="M1884" s="20" t="n">
        <x:f>IF(L1884="מאושר",IF(K1884="הכנסה שסווגה מחדש",0,G1884),0)</x:f>
        <x:v>927</x:v>
      </x:c>
      <x:c r="N1884" s="20" t="n">
        <x:f>IF(K1884="שוטף",M1884,0)</x:f>
        <x:v>927</x:v>
      </x:c>
      <x:c r="O1884" s="20" t="n">
        <x:f>IF(K1884="הכנסה שסווגה מחדש",-G1884,0)</x:f>
        <x:v>0</x:v>
      </x:c>
      <x:c r="P1884" s="11" t="str">
        <x:v>אמקס - עינור</x:v>
      </x:c>
      <x:c r="Q1884" s="11" t="str"/>
      <x:c r="R1884" s="11" t="str">
        <x:v>לא</x:v>
      </x:c>
    </x:row>
    <x:row r="1885">
      <x:c r="A1885" s="14" t="n">
        <x:v>46235</x:v>
      </x:c>
      <x:c r="B1885" s="11" t="str">
        <x:v>2026-08</x:v>
      </x:c>
      <x:c r="C1885" s="11" t="str">
        <x:v>אוגוסט 26</x:v>
      </x:c>
      <x:c r="D1885" s="15" t="n">
        <x:v>24</x:v>
      </x:c>
      <x:c r="E1885" s="11" t="str">
        <x:v>04/08</x:v>
      </x:c>
      <x:c r="F1885" s="11" t="str">
        <x:v>גולדה נמל תל אביב-יצ</x:v>
      </x:c>
      <x:c r="G1885" s="17" t="n">
        <x:v>38</x:v>
      </x:c>
      <x:c r="H1885" s="18" t="str">
        <x:v>אוכל בחוץ</x:v>
      </x:c>
      <x:c r="I1885" s="19" t="str">
        <x:f>IFERROR(INDEX('מיפוי ומקורות'!$C$7:$C$33,MATCH(H1885,'מיפוי ומקורות'!$B$7:$B$33,0)),"לא מסווג")</x:f>
        <x:v>אוכל בחוץ</x:v>
      </x:c>
      <x:c r="J1885" s="19" t="str">
        <x:f>IFERROR(INDEX('מיפוי ומקורות'!$D$7:$D$33,MATCH(H1885,'מיפוי ומקורות'!$B$7:$B$33,0)),"שוטף")</x:f>
        <x:v>שוטף</x:v>
      </x:c>
      <x:c r="K1885" s="19" t="str">
        <x:f>IF(OR(H1885="ריביות",AND(H1885="דירה כצנלסון",G1885&lt;0,ISNUMBER(SEARCH("הכנסה",F1885)))),"הכנסה שסווגה מחדש",J1885)</x:f>
        <x:v>שוטף</x:v>
      </x:c>
      <x:c r="L1885" s="19" t="str">
        <x:v>מאושר</x:v>
      </x:c>
      <x:c r="M1885" s="20" t="n">
        <x:f>IF(L1885="מאושר",IF(K1885="הכנסה שסווגה מחדש",0,G1885),0)</x:f>
        <x:v>38</x:v>
      </x:c>
      <x:c r="N1885" s="20" t="n">
        <x:f>IF(K1885="שוטף",M1885,0)</x:f>
        <x:v>38</x:v>
      </x:c>
      <x:c r="O1885" s="20" t="n">
        <x:f>IF(K1885="הכנסה שסווגה מחדש",-G1885,0)</x:f>
        <x:v>0</x:v>
      </x:c>
      <x:c r="P1885" s="11" t="str">
        <x:v>אמקס - עינור</x:v>
      </x:c>
      <x:c r="Q1885" s="11" t="str"/>
      <x:c r="R1885" s="11" t="str">
        <x:v>לא</x:v>
      </x:c>
    </x:row>
    <x:row r="1886">
      <x:c r="A1886" s="14" t="n">
        <x:v>46235</x:v>
      </x:c>
      <x:c r="B1886" s="11" t="str">
        <x:v>2026-08</x:v>
      </x:c>
      <x:c r="C1886" s="11" t="str">
        <x:v>אוגוסט 26</x:v>
      </x:c>
      <x:c r="D1886" s="15" t="n">
        <x:v>25</x:v>
      </x:c>
      <x:c r="E1886" s="11" t="str">
        <x:v>08/08</x:v>
      </x:c>
      <x:c r="F1886" s="11" t="str">
        <x:v>אלי</x:v>
      </x:c>
      <x:c r="G1886" s="17" t="n">
        <x:v>202</x:v>
      </x:c>
      <x:c r="H1886" s="18" t="str">
        <x:v>מיג'י</x:v>
      </x:c>
      <x:c r="I1886" s="19" t="str">
        <x:f>IFERROR(INDEX('מיפוי ומקורות'!$C$7:$C$33,MATCH(H1886,'מיפוי ומקורות'!$B$7:$B$33,0)),"לא מסווג")</x:f>
        <x:v>תחביבים ומיג'י</x:v>
      </x:c>
      <x:c r="J1886" s="19" t="str">
        <x:f>IFERROR(INDEX('מיפוי ומקורות'!$D$7:$D$33,MATCH(H1886,'מיפוי ומקורות'!$B$7:$B$33,0)),"שוטף")</x:f>
        <x:v>שוטף</x:v>
      </x:c>
      <x:c r="K1886" s="19" t="str">
        <x:f>IF(OR(H1886="ריביות",AND(H1886="דירה כצנלסון",G1886&lt;0,ISNUMBER(SEARCH("הכנסה",F1886)))),"הכנסה שסווגה מחדש",J1886)</x:f>
        <x:v>שוטף</x:v>
      </x:c>
      <x:c r="L1886" s="19" t="str">
        <x:v>מאושר</x:v>
      </x:c>
      <x:c r="M1886" s="20" t="n">
        <x:f>IF(L1886="מאושר",IF(K1886="הכנסה שסווגה מחדש",0,G1886),0)</x:f>
        <x:v>202</x:v>
      </x:c>
      <x:c r="N1886" s="20" t="n">
        <x:f>IF(K1886="שוטף",M1886,0)</x:f>
        <x:v>202</x:v>
      </x:c>
      <x:c r="O1886" s="20" t="n">
        <x:f>IF(K1886="הכנסה שסווגה מחדש",-G1886,0)</x:f>
        <x:v>0</x:v>
      </x:c>
      <x:c r="P1886" s="11" t="str">
        <x:v>אמקס - עינור</x:v>
      </x:c>
      <x:c r="Q1886" s="11" t="str"/>
      <x:c r="R1886" s="11" t="str">
        <x:v>לא</x:v>
      </x:c>
    </x:row>
    <x:row r="1887">
      <x:c r="A1887" s="14" t="n">
        <x:v>46235</x:v>
      </x:c>
      <x:c r="B1887" s="11" t="str">
        <x:v>2026-08</x:v>
      </x:c>
      <x:c r="C1887" s="11" t="str">
        <x:v>אוגוסט 26</x:v>
      </x:c>
      <x:c r="D1887" s="15" t="n">
        <x:v>26</x:v>
      </x:c>
      <x:c r="E1887" s="11" t="str">
        <x:v>9.08</x:v>
      </x:c>
      <x:c r="F1887" s="11" t="str">
        <x:v>מסעדה (ביט)</x:v>
      </x:c>
      <x:c r="G1887" s="17" t="n">
        <x:v>142</x:v>
      </x:c>
      <x:c r="H1887" s="18" t="str">
        <x:v>אוכל בחוץ</x:v>
      </x:c>
      <x:c r="I1887" s="19" t="str">
        <x:f>IFERROR(INDEX('מיפוי ומקורות'!$C$7:$C$33,MATCH(H1887,'מיפוי ומקורות'!$B$7:$B$33,0)),"לא מסווג")</x:f>
        <x:v>אוכל בחוץ</x:v>
      </x:c>
      <x:c r="J1887" s="19" t="str">
        <x:f>IFERROR(INDEX('מיפוי ומקורות'!$D$7:$D$33,MATCH(H1887,'מיפוי ומקורות'!$B$7:$B$33,0)),"שוטף")</x:f>
        <x:v>שוטף</x:v>
      </x:c>
      <x:c r="K1887" s="19" t="str">
        <x:f>IF(OR(H1887="ריביות",AND(H1887="דירה כצנלסון",G1887&lt;0,ISNUMBER(SEARCH("הכנסה",F1887)))),"הכנסה שסווגה מחדש",J1887)</x:f>
        <x:v>שוטף</x:v>
      </x:c>
      <x:c r="L1887" s="19" t="str">
        <x:v>מאושר</x:v>
      </x:c>
      <x:c r="M1887" s="20" t="n">
        <x:f>IF(L1887="מאושר",IF(K1887="הכנסה שסווגה מחדש",0,G1887),0)</x:f>
        <x:v>142</x:v>
      </x:c>
      <x:c r="N1887" s="20" t="n">
        <x:f>IF(K1887="שוטף",M1887,0)</x:f>
        <x:v>142</x:v>
      </x:c>
      <x:c r="O1887" s="20" t="n">
        <x:f>IF(K1887="הכנסה שסווגה מחדש",-G1887,0)</x:f>
        <x:v>0</x:v>
      </x:c>
      <x:c r="P1887" s="11" t="str">
        <x:v>אמקס - עינור</x:v>
      </x:c>
      <x:c r="Q1887" s="11" t="str"/>
      <x:c r="R1887" s="11" t="str">
        <x:v>לא</x:v>
      </x:c>
    </x:row>
    <x:row r="1888">
      <x:c r="A1888" s="14" t="n">
        <x:v>46235</x:v>
      </x:c>
      <x:c r="B1888" s="11" t="str">
        <x:v>2026-08</x:v>
      </x:c>
      <x:c r="C1888" s="11" t="str">
        <x:v>אוגוסט 26</x:v>
      </x:c>
      <x:c r="D1888" s="15" t="n">
        <x:v>27</x:v>
      </x:c>
      <x:c r="E1888" s="11" t="str">
        <x:v>10/08</x:v>
      </x:c>
      <x:c r="F1888" s="11" t="str">
        <x:v>אלי</x:v>
      </x:c>
      <x:c r="G1888" s="17" t="n">
        <x:v>45</x:v>
      </x:c>
      <x:c r="H1888" s="18" t="str">
        <x:v>קניות לבית</x:v>
      </x:c>
      <x:c r="I1888" s="19" t="str">
        <x:f>IFERROR(INDEX('מיפוי ומקורות'!$C$7:$C$33,MATCH(H1888,'מיפוי ומקורות'!$B$7:$B$33,0)),"לא מסווג")</x:f>
        <x:v>קניות לבית</x:v>
      </x:c>
      <x:c r="J1888" s="19" t="str">
        <x:f>IFERROR(INDEX('מיפוי ומקורות'!$D$7:$D$33,MATCH(H1888,'מיפוי ומקורות'!$B$7:$B$33,0)),"שוטף")</x:f>
        <x:v>שוטף</x:v>
      </x:c>
      <x:c r="K1888" s="19" t="str">
        <x:f>IF(OR(H1888="ריביות",AND(H1888="דירה כצנלסון",G1888&lt;0,ISNUMBER(SEARCH("הכנסה",F1888)))),"הכנסה שסווגה מחדש",J1888)</x:f>
        <x:v>שוטף</x:v>
      </x:c>
      <x:c r="L1888" s="19" t="str">
        <x:v>מאושר</x:v>
      </x:c>
      <x:c r="M1888" s="20" t="n">
        <x:f>IF(L1888="מאושר",IF(K1888="הכנסה שסווגה מחדש",0,G1888),0)</x:f>
        <x:v>45</x:v>
      </x:c>
      <x:c r="N1888" s="20" t="n">
        <x:f>IF(K1888="שוטף",M1888,0)</x:f>
        <x:v>45</x:v>
      </x:c>
      <x:c r="O1888" s="20" t="n">
        <x:f>IF(K1888="הכנסה שסווגה מחדש",-G1888,0)</x:f>
        <x:v>0</x:v>
      </x:c>
      <x:c r="P1888" s="11" t="str">
        <x:v>אמקס - עינור</x:v>
      </x:c>
      <x:c r="Q1888" s="11" t="str"/>
      <x:c r="R1888" s="11" t="str">
        <x:v>לא</x:v>
      </x:c>
    </x:row>
    <x:row r="1889">
      <x:c r="A1889" s="14" t="n">
        <x:v>46235</x:v>
      </x:c>
      <x:c r="B1889" s="11" t="str">
        <x:v>2026-08</x:v>
      </x:c>
      <x:c r="C1889" s="11" t="str">
        <x:v>אוגוסט 26</x:v>
      </x:c>
      <x:c r="D1889" s="15" t="n">
        <x:v>28</x:v>
      </x:c>
      <x:c r="E1889" s="11" t="str">
        <x:v>11/08</x:v>
      </x:c>
      <x:c r="F1889" s="11" t="str">
        <x:v>מינה שרונה בע"מ</x:v>
      </x:c>
      <x:c r="G1889" s="17" t="n">
        <x:v>88</x:v>
      </x:c>
      <x:c r="H1889" s="18" t="str">
        <x:v>אוכל בחוץ</x:v>
      </x:c>
      <x:c r="I1889" s="19" t="str">
        <x:f>IFERROR(INDEX('מיפוי ומקורות'!$C$7:$C$33,MATCH(H1889,'מיפוי ומקורות'!$B$7:$B$33,0)),"לא מסווג")</x:f>
        <x:v>אוכל בחוץ</x:v>
      </x:c>
      <x:c r="J1889" s="19" t="str">
        <x:f>IFERROR(INDEX('מיפוי ומקורות'!$D$7:$D$33,MATCH(H1889,'מיפוי ומקורות'!$B$7:$B$33,0)),"שוטף")</x:f>
        <x:v>שוטף</x:v>
      </x:c>
      <x:c r="K1889" s="19" t="str">
        <x:f>IF(OR(H1889="ריביות",AND(H1889="דירה כצנלסון",G1889&lt;0,ISNUMBER(SEARCH("הכנסה",F1889)))),"הכנסה שסווגה מחדש",J1889)</x:f>
        <x:v>שוטף</x:v>
      </x:c>
      <x:c r="L1889" s="19" t="str">
        <x:v>מאושר</x:v>
      </x:c>
      <x:c r="M1889" s="20" t="n">
        <x:f>IF(L1889="מאושר",IF(K1889="הכנסה שסווגה מחדש",0,G1889),0)</x:f>
        <x:v>88</x:v>
      </x:c>
      <x:c r="N1889" s="20" t="n">
        <x:f>IF(K1889="שוטף",M1889,0)</x:f>
        <x:v>88</x:v>
      </x:c>
      <x:c r="O1889" s="20" t="n">
        <x:f>IF(K1889="הכנסה שסווגה מחדש",-G1889,0)</x:f>
        <x:v>0</x:v>
      </x:c>
      <x:c r="P1889" s="11" t="str">
        <x:v>אמקס - עינור</x:v>
      </x:c>
      <x:c r="Q1889" s="11" t="str"/>
      <x:c r="R1889" s="11" t="str">
        <x:v>לא</x:v>
      </x:c>
    </x:row>
    <x:row r="1890">
      <x:c r="A1890" s="14" t="n">
        <x:v>46235</x:v>
      </x:c>
      <x:c r="B1890" s="11" t="str">
        <x:v>2026-08</x:v>
      </x:c>
      <x:c r="C1890" s="11" t="str">
        <x:v>אוגוסט 26</x:v>
      </x:c>
      <x:c r="D1890" s="15" t="n">
        <x:v>29</x:v>
      </x:c>
      <x:c r="E1890" s="11" t="str">
        <x:v>15/08</x:v>
      </x:c>
      <x:c r="F1890" s="11" t="str">
        <x:v>ללין נרות וסבונים</x:v>
      </x:c>
      <x:c r="G1890" s="17" t="n">
        <x:v>21</x:v>
      </x:c>
      <x:c r="H1890" s="18" t="str">
        <x:v>קניות לבית</x:v>
      </x:c>
      <x:c r="I1890" s="19" t="str">
        <x:f>IFERROR(INDEX('מיפוי ומקורות'!$C$7:$C$33,MATCH(H1890,'מיפוי ומקורות'!$B$7:$B$33,0)),"לא מסווג")</x:f>
        <x:v>קניות לבית</x:v>
      </x:c>
      <x:c r="J1890" s="19" t="str">
        <x:f>IFERROR(INDEX('מיפוי ומקורות'!$D$7:$D$33,MATCH(H1890,'מיפוי ומקורות'!$B$7:$B$33,0)),"שוטף")</x:f>
        <x:v>שוטף</x:v>
      </x:c>
      <x:c r="K1890" s="19" t="str">
        <x:f>IF(OR(H1890="ריביות",AND(H1890="דירה כצנלסון",G1890&lt;0,ISNUMBER(SEARCH("הכנסה",F1890)))),"הכנסה שסווגה מחדש",J1890)</x:f>
        <x:v>שוטף</x:v>
      </x:c>
      <x:c r="L1890" s="19" t="str">
        <x:v>מאושר</x:v>
      </x:c>
      <x:c r="M1890" s="20" t="n">
        <x:f>IF(L1890="מאושר",IF(K1890="הכנסה שסווגה מחדש",0,G1890),0)</x:f>
        <x:v>21</x:v>
      </x:c>
      <x:c r="N1890" s="20" t="n">
        <x:f>IF(K1890="שוטף",M1890,0)</x:f>
        <x:v>21</x:v>
      </x:c>
      <x:c r="O1890" s="20" t="n">
        <x:f>IF(K1890="הכנסה שסווגה מחדש",-G1890,0)</x:f>
        <x:v>0</x:v>
      </x:c>
      <x:c r="P1890" s="11" t="str">
        <x:v>אמקס - עינור</x:v>
      </x:c>
      <x:c r="Q1890" s="11" t="str"/>
      <x:c r="R1890" s="11" t="str">
        <x:v>לא</x:v>
      </x:c>
    </x:row>
    <x:row r="1891">
      <x:c r="A1891" s="14" t="n">
        <x:v>46235</x:v>
      </x:c>
      <x:c r="B1891" s="11" t="str">
        <x:v>2026-08</x:v>
      </x:c>
      <x:c r="C1891" s="11" t="str">
        <x:v>אוגוסט 26</x:v>
      </x:c>
      <x:c r="D1891" s="15" t="n">
        <x:v>30</x:v>
      </x:c>
      <x:c r="E1891" s="11" t="str">
        <x:v>16/08</x:v>
      </x:c>
      <x:c r="F1891" s="11" t="str">
        <x:v>צאט</x:v>
      </x:c>
      <x:c r="G1891" s="17" t="n">
        <x:v>59</x:v>
      </x:c>
      <x:c r="H1891" s="18" t="str">
        <x:v>אלקטרוניקה</x:v>
      </x:c>
      <x:c r="I1891" s="19" t="str">
        <x:f>IFERROR(INDEX('מיפוי ומקורות'!$C$7:$C$33,MATCH(H1891,'מיפוי ומקורות'!$B$7:$B$33,0)),"לא מסווג")</x:f>
        <x:v>אלקטרוניקה</x:v>
      </x:c>
      <x:c r="J1891" s="19" t="str">
        <x:f>IFERROR(INDEX('מיפוי ומקורות'!$D$7:$D$33,MATCH(H1891,'מיפוי ומקורות'!$B$7:$B$33,0)),"שוטף")</x:f>
        <x:v>שוטף</x:v>
      </x:c>
      <x:c r="K1891" s="19" t="str">
        <x:f>IF(OR(H1891="ריביות",AND(H1891="דירה כצנלסון",G1891&lt;0,ISNUMBER(SEARCH("הכנסה",F1891)))),"הכנסה שסווגה מחדש",J1891)</x:f>
        <x:v>שוטף</x:v>
      </x:c>
      <x:c r="L1891" s="19" t="str">
        <x:v>מאושר</x:v>
      </x:c>
      <x:c r="M1891" s="20" t="n">
        <x:f>IF(L1891="מאושר",IF(K1891="הכנסה שסווגה מחדש",0,G1891),0)</x:f>
        <x:v>59</x:v>
      </x:c>
      <x:c r="N1891" s="20" t="n">
        <x:f>IF(K1891="שוטף",M1891,0)</x:f>
        <x:v>59</x:v>
      </x:c>
      <x:c r="O1891" s="20" t="n">
        <x:f>IF(K1891="הכנסה שסווגה מחדש",-G1891,0)</x:f>
        <x:v>0</x:v>
      </x:c>
      <x:c r="P1891" s="11" t="str">
        <x:v>אמקס - עינור</x:v>
      </x:c>
      <x:c r="Q1891" s="11" t="str"/>
      <x:c r="R1891" s="11" t="str">
        <x:v>לא</x:v>
      </x:c>
    </x:row>
    <x:row r="1892">
      <x:c r="A1892" s="14" t="n">
        <x:v>46235</x:v>
      </x:c>
      <x:c r="B1892" s="11" t="str">
        <x:v>2026-08</x:v>
      </x:c>
      <x:c r="C1892" s="11" t="str">
        <x:v>אוגוסט 26</x:v>
      </x:c>
      <x:c r="D1892" s="15" t="n">
        <x:v>31</x:v>
      </x:c>
      <x:c r="E1892" s="11" t="str">
        <x:v>17/08</x:v>
      </x:c>
      <x:c r="F1892" s="11" t="str">
        <x:v>אלי</x:v>
      </x:c>
      <x:c r="G1892" s="17" t="n">
        <x:v>-29</x:v>
      </x:c>
      <x:c r="H1892" s="18" t="str">
        <x:v>מיג'י</x:v>
      </x:c>
      <x:c r="I1892" s="19" t="str">
        <x:f>IFERROR(INDEX('מיפוי ומקורות'!$C$7:$C$33,MATCH(H1892,'מיפוי ומקורות'!$B$7:$B$33,0)),"לא מסווג")</x:f>
        <x:v>תחביבים ומיג'י</x:v>
      </x:c>
      <x:c r="J1892" s="19" t="str">
        <x:f>IFERROR(INDEX('מיפוי ומקורות'!$D$7:$D$33,MATCH(H1892,'מיפוי ומקורות'!$B$7:$B$33,0)),"שוטף")</x:f>
        <x:v>שוטף</x:v>
      </x:c>
      <x:c r="K1892" s="19" t="str">
        <x:f>IF(OR(H1892="ריביות",AND(H1892="דירה כצנלסון",G1892&lt;0,ISNUMBER(SEARCH("הכנסה",F1892)))),"הכנסה שסווגה מחדש",J1892)</x:f>
        <x:v>שוטף</x:v>
      </x:c>
      <x:c r="L1892" s="19" t="str">
        <x:v>מאושר</x:v>
      </x:c>
      <x:c r="M1892" s="20" t="n">
        <x:f>IF(L1892="מאושר",IF(K1892="הכנסה שסווגה מחדש",0,G1892),0)</x:f>
        <x:v>-29</x:v>
      </x:c>
      <x:c r="N1892" s="20" t="n">
        <x:f>IF(K1892="שוטף",M1892,0)</x:f>
        <x:v>-29</x:v>
      </x:c>
      <x:c r="O1892" s="20" t="n">
        <x:f>IF(K1892="הכנסה שסווגה מחדש",-G1892,0)</x:f>
        <x:v>0</x:v>
      </x:c>
      <x:c r="P1892" s="11" t="str">
        <x:v>אמקס - עינור</x:v>
      </x:c>
      <x:c r="Q1892" s="11" t="str"/>
      <x:c r="R1892" s="11" t="str">
        <x:v>לא</x:v>
      </x:c>
    </x:row>
    <x:row r="1893">
      <x:c r="A1893" s="14" t="n">
        <x:v>46235</x:v>
      </x:c>
      <x:c r="B1893" s="11" t="str">
        <x:v>2026-08</x:v>
      </x:c>
      <x:c r="C1893" s="11" t="str">
        <x:v>אוגוסט 26</x:v>
      </x:c>
      <x:c r="D1893" s="15" t="n">
        <x:v>32</x:v>
      </x:c>
      <x:c r="E1893" s="11" t="str">
        <x:v>17/08</x:v>
      </x:c>
      <x:c r="F1893" s="11" t="str">
        <x:v>אלי</x:v>
      </x:c>
      <x:c r="G1893" s="17" t="n">
        <x:v>154</x:v>
      </x:c>
      <x:c r="H1893" s="18" t="str">
        <x:v>מיג'י</x:v>
      </x:c>
      <x:c r="I1893" s="19" t="str">
        <x:f>IFERROR(INDEX('מיפוי ומקורות'!$C$7:$C$33,MATCH(H1893,'מיפוי ומקורות'!$B$7:$B$33,0)),"לא מסווג")</x:f>
        <x:v>תחביבים ומיג'י</x:v>
      </x:c>
      <x:c r="J1893" s="19" t="str">
        <x:f>IFERROR(INDEX('מיפוי ומקורות'!$D$7:$D$33,MATCH(H1893,'מיפוי ומקורות'!$B$7:$B$33,0)),"שוטף")</x:f>
        <x:v>שוטף</x:v>
      </x:c>
      <x:c r="K1893" s="19" t="str">
        <x:f>IF(OR(H1893="ריביות",AND(H1893="דירה כצנלסון",G1893&lt;0,ISNUMBER(SEARCH("הכנסה",F1893)))),"הכנסה שסווגה מחדש",J1893)</x:f>
        <x:v>שוטף</x:v>
      </x:c>
      <x:c r="L1893" s="19" t="str">
        <x:v>מאושר</x:v>
      </x:c>
      <x:c r="M1893" s="20" t="n">
        <x:f>IF(L1893="מאושר",IF(K1893="הכנסה שסווגה מחדש",0,G1893),0)</x:f>
        <x:v>154</x:v>
      </x:c>
      <x:c r="N1893" s="20" t="n">
        <x:f>IF(K1893="שוטף",M1893,0)</x:f>
        <x:v>154</x:v>
      </x:c>
      <x:c r="O1893" s="20" t="n">
        <x:f>IF(K1893="הכנסה שסווגה מחדש",-G1893,0)</x:f>
        <x:v>0</x:v>
      </x:c>
      <x:c r="P1893" s="11" t="str">
        <x:v>אמקס - עינור</x:v>
      </x:c>
      <x:c r="Q1893" s="11" t="str"/>
      <x:c r="R1893" s="11" t="str">
        <x:v>לא</x:v>
      </x:c>
    </x:row>
    <x:row r="1894">
      <x:c r="A1894" s="14" t="n">
        <x:v>46235</x:v>
      </x:c>
      <x:c r="B1894" s="11" t="str">
        <x:v>2026-08</x:v>
      </x:c>
      <x:c r="C1894" s="11" t="str">
        <x:v>אוגוסט 26</x:v>
      </x:c>
      <x:c r="D1894" s="15" t="n">
        <x:v>33</x:v>
      </x:c>
      <x:c r="E1894" s="11" t="str">
        <x:v>17.08</x:v>
      </x:c>
      <x:c r="F1894" s="11" t="str">
        <x:v>סופר</x:v>
      </x:c>
      <x:c r="G1894" s="17" t="n">
        <x:v>18</x:v>
      </x:c>
      <x:c r="H1894" s="18" t="str">
        <x:v>מזון לבית</x:v>
      </x:c>
      <x:c r="I1894" s="19" t="str">
        <x:f>IFERROR(INDEX('מיפוי ומקורות'!$C$7:$C$33,MATCH(H1894,'מיפוי ומקורות'!$B$7:$B$33,0)),"לא מסווג")</x:f>
        <x:v>מזון לבית</x:v>
      </x:c>
      <x:c r="J1894" s="19" t="str">
        <x:f>IFERROR(INDEX('מיפוי ומקורות'!$D$7:$D$33,MATCH(H1894,'מיפוי ומקורות'!$B$7:$B$33,0)),"שוטף")</x:f>
        <x:v>שוטף</x:v>
      </x:c>
      <x:c r="K1894" s="19" t="str">
        <x:f>IF(OR(H1894="ריביות",AND(H1894="דירה כצנלסון",G1894&lt;0,ISNUMBER(SEARCH("הכנסה",F1894)))),"הכנסה שסווגה מחדש",J1894)</x:f>
        <x:v>שוטף</x:v>
      </x:c>
      <x:c r="L1894" s="19" t="str">
        <x:v>מאושר</x:v>
      </x:c>
      <x:c r="M1894" s="20" t="n">
        <x:f>IF(L1894="מאושר",IF(K1894="הכנסה שסווגה מחדש",0,G1894),0)</x:f>
        <x:v>18</x:v>
      </x:c>
      <x:c r="N1894" s="20" t="n">
        <x:f>IF(K1894="שוטף",M1894,0)</x:f>
        <x:v>18</x:v>
      </x:c>
      <x:c r="O1894" s="20" t="n">
        <x:f>IF(K1894="הכנסה שסווגה מחדש",-G1894,0)</x:f>
        <x:v>0</x:v>
      </x:c>
      <x:c r="P1894" s="11" t="str">
        <x:v>אמקס - עינור</x:v>
      </x:c>
      <x:c r="Q1894" s="11" t="str"/>
      <x:c r="R1894" s="11" t="str">
        <x:v>לא</x:v>
      </x:c>
    </x:row>
    <x:row r="1895">
      <x:c r="A1895" s="14" t="n">
        <x:v>46235</x:v>
      </x:c>
      <x:c r="B1895" s="11" t="str">
        <x:v>2026-08</x:v>
      </x:c>
      <x:c r="C1895" s="11" t="str">
        <x:v>אוגוסט 26</x:v>
      </x:c>
      <x:c r="D1895" s="15" t="n">
        <x:v>34</x:v>
      </x:c>
      <x:c r="E1895" s="11" t="str">
        <x:v>18/08</x:v>
      </x:c>
      <x:c r="F1895" s="11" t="str">
        <x:v>אוכל</x:v>
      </x:c>
      <x:c r="G1895" s="17" t="n">
        <x:v>20</x:v>
      </x:c>
      <x:c r="H1895" s="18" t="str">
        <x:v>קניות לבית</x:v>
      </x:c>
      <x:c r="I1895" s="19" t="str">
        <x:f>IFERROR(INDEX('מיפוי ומקורות'!$C$7:$C$33,MATCH(H1895,'מיפוי ומקורות'!$B$7:$B$33,0)),"לא מסווג")</x:f>
        <x:v>קניות לבית</x:v>
      </x:c>
      <x:c r="J1895" s="19" t="str">
        <x:f>IFERROR(INDEX('מיפוי ומקורות'!$D$7:$D$33,MATCH(H1895,'מיפוי ומקורות'!$B$7:$B$33,0)),"שוטף")</x:f>
        <x:v>שוטף</x:v>
      </x:c>
      <x:c r="K1895" s="19" t="str">
        <x:f>IF(OR(H1895="ריביות",AND(H1895="דירה כצנלסון",G1895&lt;0,ISNUMBER(SEARCH("הכנסה",F1895)))),"הכנסה שסווגה מחדש",J1895)</x:f>
        <x:v>שוטף</x:v>
      </x:c>
      <x:c r="L1895" s="19" t="str">
        <x:v>מאושר</x:v>
      </x:c>
      <x:c r="M1895" s="20" t="n">
        <x:f>IF(L1895="מאושר",IF(K1895="הכנסה שסווגה מחדש",0,G1895),0)</x:f>
        <x:v>20</x:v>
      </x:c>
      <x:c r="N1895" s="20" t="n">
        <x:f>IF(K1895="שוטף",M1895,0)</x:f>
        <x:v>20</x:v>
      </x:c>
      <x:c r="O1895" s="20" t="n">
        <x:f>IF(K1895="הכנסה שסווגה מחדש",-G1895,0)</x:f>
        <x:v>0</x:v>
      </x:c>
      <x:c r="P1895" s="11" t="str">
        <x:v>אמקס - עינור</x:v>
      </x:c>
      <x:c r="Q1895" s="11" t="str"/>
      <x:c r="R1895" s="11" t="str">
        <x:v>לא</x:v>
      </x:c>
    </x:row>
    <x:row r="1896">
      <x:c r="A1896" s="14" t="n">
        <x:v>46235</x:v>
      </x:c>
      <x:c r="B1896" s="11" t="str">
        <x:v>2026-08</x:v>
      </x:c>
      <x:c r="C1896" s="11" t="str">
        <x:v>אוגוסט 26</x:v>
      </x:c>
      <x:c r="D1896" s="15" t="n">
        <x:v>35</x:v>
      </x:c>
      <x:c r="E1896" s="11" t="str">
        <x:v>19.08</x:v>
      </x:c>
      <x:c r="F1896" s="11" t="str">
        <x:v>SHEIN.COM</x:v>
      </x:c>
      <x:c r="G1896" s="17" t="n">
        <x:v>302</x:v>
      </x:c>
      <x:c r="H1896" s="18" t="str">
        <x:v>אופנה</x:v>
      </x:c>
      <x:c r="I1896" s="19" t="str">
        <x:f>IFERROR(INDEX('מיפוי ומקורות'!$C$7:$C$33,MATCH(H1896,'מיפוי ומקורות'!$B$7:$B$33,0)),"לא מסווג")</x:f>
        <x:v>אופנה</x:v>
      </x:c>
      <x:c r="J1896" s="19" t="str">
        <x:f>IFERROR(INDEX('מיפוי ומקורות'!$D$7:$D$33,MATCH(H1896,'מיפוי ומקורות'!$B$7:$B$33,0)),"שוטף")</x:f>
        <x:v>שוטף</x:v>
      </x:c>
      <x:c r="K1896" s="19" t="str">
        <x:f>IF(OR(H1896="ריביות",AND(H1896="דירה כצנלסון",G1896&lt;0,ISNUMBER(SEARCH("הכנסה",F1896)))),"הכנסה שסווגה מחדש",J1896)</x:f>
        <x:v>שוטף</x:v>
      </x:c>
      <x:c r="L1896" s="19" t="str">
        <x:v>מאושר</x:v>
      </x:c>
      <x:c r="M1896" s="20" t="n">
        <x:f>IF(L1896="מאושר",IF(K1896="הכנסה שסווגה מחדש",0,G1896),0)</x:f>
        <x:v>302</x:v>
      </x:c>
      <x:c r="N1896" s="20" t="n">
        <x:f>IF(K1896="שוטף",M1896,0)</x:f>
        <x:v>302</x:v>
      </x:c>
      <x:c r="O1896" s="20" t="n">
        <x:f>IF(K1896="הכנסה שסווגה מחדש",-G1896,0)</x:f>
        <x:v>0</x:v>
      </x:c>
      <x:c r="P1896" s="11" t="str">
        <x:v>אמקס - עינור</x:v>
      </x:c>
      <x:c r="Q1896" s="11" t="str"/>
      <x:c r="R1896" s="11" t="str">
        <x:v>לא</x:v>
      </x:c>
    </x:row>
    <x:row r="1897">
      <x:c r="A1897" s="14" t="n">
        <x:v>46235</x:v>
      </x:c>
      <x:c r="B1897" s="11" t="str">
        <x:v>2026-08</x:v>
      </x:c>
      <x:c r="C1897" s="11" t="str">
        <x:v>אוגוסט 26</x:v>
      </x:c>
      <x:c r="D1897" s="15" t="n">
        <x:v>36</x:v>
      </x:c>
      <x:c r="E1897" s="11" t="str">
        <x:v>20.08</x:v>
      </x:c>
      <x:c r="F1897" s="11" t="str">
        <x:v>סופר</x:v>
      </x:c>
      <x:c r="G1897" s="17" t="n">
        <x:v>508</x:v>
      </x:c>
      <x:c r="H1897" s="18" t="str">
        <x:v>מזון לבית</x:v>
      </x:c>
      <x:c r="I1897" s="19" t="str">
        <x:f>IFERROR(INDEX('מיפוי ומקורות'!$C$7:$C$33,MATCH(H1897,'מיפוי ומקורות'!$B$7:$B$33,0)),"לא מסווג")</x:f>
        <x:v>מזון לבית</x:v>
      </x:c>
      <x:c r="J1897" s="19" t="str">
        <x:f>IFERROR(INDEX('מיפוי ומקורות'!$D$7:$D$33,MATCH(H1897,'מיפוי ומקורות'!$B$7:$B$33,0)),"שוטף")</x:f>
        <x:v>שוטף</x:v>
      </x:c>
      <x:c r="K1897" s="19" t="str">
        <x:f>IF(OR(H1897="ריביות",AND(H1897="דירה כצנלסון",G1897&lt;0,ISNUMBER(SEARCH("הכנסה",F1897)))),"הכנסה שסווגה מחדש",J1897)</x:f>
        <x:v>שוטף</x:v>
      </x:c>
      <x:c r="L1897" s="19" t="str">
        <x:v>מאושר</x:v>
      </x:c>
      <x:c r="M1897" s="20" t="n">
        <x:f>IF(L1897="מאושר",IF(K1897="הכנסה שסווגה מחדש",0,G1897),0)</x:f>
        <x:v>508</x:v>
      </x:c>
      <x:c r="N1897" s="20" t="n">
        <x:f>IF(K1897="שוטף",M1897,0)</x:f>
        <x:v>508</x:v>
      </x:c>
      <x:c r="O1897" s="20" t="n">
        <x:f>IF(K1897="הכנסה שסווגה מחדש",-G1897,0)</x:f>
        <x:v>0</x:v>
      </x:c>
      <x:c r="P1897" s="11" t="str">
        <x:v>אמקס - עינור</x:v>
      </x:c>
      <x:c r="Q1897" s="11" t="str"/>
      <x:c r="R1897" s="11" t="str">
        <x:v>לא</x:v>
      </x:c>
    </x:row>
    <x:row r="1898">
      <x:c r="A1898" s="14" t="n">
        <x:v>46235</x:v>
      </x:c>
      <x:c r="B1898" s="11" t="str">
        <x:v>2026-08</x:v>
      </x:c>
      <x:c r="C1898" s="11" t="str">
        <x:v>אוגוסט 26</x:v>
      </x:c>
      <x:c r="D1898" s="15" t="n">
        <x:v>37</x:v>
      </x:c>
      <x:c r="E1898" s="11" t="str">
        <x:v>24/08</x:v>
      </x:c>
      <x:c r="F1898" s="11" t="str">
        <x:v>אימון - UPAPP</x:v>
      </x:c>
      <x:c r="G1898" s="17" t="n">
        <x:v>25</x:v>
      </x:c>
      <x:c r="H1898" s="18" t="str">
        <x:v>ספורט</x:v>
      </x:c>
      <x:c r="I1898" s="19" t="str">
        <x:f>IFERROR(INDEX('מיפוי ומקורות'!$C$7:$C$33,MATCH(H1898,'מיפוי ומקורות'!$B$7:$B$33,0)),"לא מסווג")</x:f>
        <x:v>ספורט</x:v>
      </x:c>
      <x:c r="J1898" s="19" t="str">
        <x:f>IFERROR(INDEX('מיפוי ומקורות'!$D$7:$D$33,MATCH(H1898,'מיפוי ומקורות'!$B$7:$B$33,0)),"שוטף")</x:f>
        <x:v>שוטף</x:v>
      </x:c>
      <x:c r="K1898" s="19" t="str">
        <x:f>IF(OR(H1898="ריביות",AND(H1898="דירה כצנלסון",G1898&lt;0,ISNUMBER(SEARCH("הכנסה",F1898)))),"הכנסה שסווגה מחדש",J1898)</x:f>
        <x:v>שוטף</x:v>
      </x:c>
      <x:c r="L1898" s="19" t="str">
        <x:v>מאושר</x:v>
      </x:c>
      <x:c r="M1898" s="20" t="n">
        <x:f>IF(L1898="מאושר",IF(K1898="הכנסה שסווגה מחדש",0,G1898),0)</x:f>
        <x:v>25</x:v>
      </x:c>
      <x:c r="N1898" s="20" t="n">
        <x:f>IF(K1898="שוטף",M1898,0)</x:f>
        <x:v>25</x:v>
      </x:c>
      <x:c r="O1898" s="20" t="n">
        <x:f>IF(K1898="הכנסה שסווגה מחדש",-G1898,0)</x:f>
        <x:v>0</x:v>
      </x:c>
      <x:c r="P1898" s="11" t="str">
        <x:v>אמקס - עינור</x:v>
      </x:c>
      <x:c r="Q1898" s="11" t="str"/>
      <x:c r="R1898" s="11" t="str">
        <x:v>לא</x:v>
      </x:c>
    </x:row>
    <x:row r="1899">
      <x:c r="A1899" s="14" t="n">
        <x:v>46235</x:v>
      </x:c>
      <x:c r="B1899" s="11" t="str">
        <x:v>2026-08</x:v>
      </x:c>
      <x:c r="C1899" s="11" t="str">
        <x:v>אוגוסט 26</x:v>
      </x:c>
      <x:c r="D1899" s="15" t="n">
        <x:v>38</x:v>
      </x:c>
      <x:c r="E1899" s="11" t="str">
        <x:v>24.08</x:v>
      </x:c>
      <x:c r="F1899" s="11" t="str">
        <x:v>SHEIN.COM</x:v>
      </x:c>
      <x:c r="G1899" s="17" t="n">
        <x:v>-216</x:v>
      </x:c>
      <x:c r="H1899" s="18" t="str">
        <x:v>אופנה</x:v>
      </x:c>
      <x:c r="I1899" s="19" t="str">
        <x:f>IFERROR(INDEX('מיפוי ומקורות'!$C$7:$C$33,MATCH(H1899,'מיפוי ומקורות'!$B$7:$B$33,0)),"לא מסווג")</x:f>
        <x:v>אופנה</x:v>
      </x:c>
      <x:c r="J1899" s="19" t="str">
        <x:f>IFERROR(INDEX('מיפוי ומקורות'!$D$7:$D$33,MATCH(H1899,'מיפוי ומקורות'!$B$7:$B$33,0)),"שוטף")</x:f>
        <x:v>שוטף</x:v>
      </x:c>
      <x:c r="K1899" s="19" t="str">
        <x:f>IF(OR(H1899="ריביות",AND(H1899="דירה כצנלסון",G1899&lt;0,ISNUMBER(SEARCH("הכנסה",F1899)))),"הכנסה שסווגה מחדש",J1899)</x:f>
        <x:v>שוטף</x:v>
      </x:c>
      <x:c r="L1899" s="19" t="str">
        <x:v>מאושר</x:v>
      </x:c>
      <x:c r="M1899" s="20" t="n">
        <x:f>IF(L1899="מאושר",IF(K1899="הכנסה שסווגה מחדש",0,G1899),0)</x:f>
        <x:v>-216</x:v>
      </x:c>
      <x:c r="N1899" s="20" t="n">
        <x:f>IF(K1899="שוטף",M1899,0)</x:f>
        <x:v>-216</x:v>
      </x:c>
      <x:c r="O1899" s="20" t="n">
        <x:f>IF(K1899="הכנסה שסווגה מחדש",-G1899,0)</x:f>
        <x:v>0</x:v>
      </x:c>
      <x:c r="P1899" s="11" t="str">
        <x:v>אמקס - עינור</x:v>
      </x:c>
      <x:c r="Q1899" s="11" t="str"/>
      <x:c r="R1899" s="11" t="str">
        <x:v>לא</x:v>
      </x:c>
    </x:row>
    <x:row r="1900">
      <x:c r="A1900" s="14" t="n">
        <x:v>46235</x:v>
      </x:c>
      <x:c r="B1900" s="11" t="str">
        <x:v>2026-08</x:v>
      </x:c>
      <x:c r="C1900" s="11" t="str">
        <x:v>אוגוסט 26</x:v>
      </x:c>
      <x:c r="D1900" s="15" t="n">
        <x:v>39</x:v>
      </x:c>
      <x:c r="E1900" s="11" t="str">
        <x:v>24/08</x:v>
      </x:c>
      <x:c r="F1900" s="11" t="str">
        <x:v>אלי</x:v>
      </x:c>
      <x:c r="G1900" s="17" t="n">
        <x:v>123</x:v>
      </x:c>
      <x:c r="H1900" s="18" t="str">
        <x:v>קניות לבית</x:v>
      </x:c>
      <x:c r="I1900" s="19" t="str">
        <x:f>IFERROR(INDEX('מיפוי ומקורות'!$C$7:$C$33,MATCH(H1900,'מיפוי ומקורות'!$B$7:$B$33,0)),"לא מסווג")</x:f>
        <x:v>קניות לבית</x:v>
      </x:c>
      <x:c r="J1900" s="19" t="str">
        <x:f>IFERROR(INDEX('מיפוי ומקורות'!$D$7:$D$33,MATCH(H1900,'מיפוי ומקורות'!$B$7:$B$33,0)),"שוטף")</x:f>
        <x:v>שוטף</x:v>
      </x:c>
      <x:c r="K1900" s="19" t="str">
        <x:f>IF(OR(H1900="ריביות",AND(H1900="דירה כצנלסון",G1900&lt;0,ISNUMBER(SEARCH("הכנסה",F1900)))),"הכנסה שסווגה מחדש",J1900)</x:f>
        <x:v>שוטף</x:v>
      </x:c>
      <x:c r="L1900" s="19" t="str">
        <x:v>מאושר</x:v>
      </x:c>
      <x:c r="M1900" s="20" t="n">
        <x:f>IF(L1900="מאושר",IF(K1900="הכנסה שסווגה מחדש",0,G1900),0)</x:f>
        <x:v>123</x:v>
      </x:c>
      <x:c r="N1900" s="20" t="n">
        <x:f>IF(K1900="שוטף",M1900,0)</x:f>
        <x:v>123</x:v>
      </x:c>
      <x:c r="O1900" s="20" t="n">
        <x:f>IF(K1900="הכנסה שסווגה מחדש",-G1900,0)</x:f>
        <x:v>0</x:v>
      </x:c>
      <x:c r="P1900" s="11" t="str">
        <x:v>אמקס - עינור</x:v>
      </x:c>
      <x:c r="Q1900" s="11" t="str"/>
      <x:c r="R1900" s="11" t="str">
        <x:v>לא</x:v>
      </x:c>
    </x:row>
    <x:row r="1901">
      <x:c r="A1901" s="14" t="n">
        <x:v>46235</x:v>
      </x:c>
      <x:c r="B1901" s="11" t="str">
        <x:v>2026-08</x:v>
      </x:c>
      <x:c r="C1901" s="11" t="str">
        <x:v>אוגוסט 26</x:v>
      </x:c>
      <x:c r="D1901" s="15" t="n">
        <x:v>40</x:v>
      </x:c>
      <x:c r="E1901" s="11" t="str">
        <x:v>27/08</x:v>
      </x:c>
      <x:c r="F1901" s="11" t="str">
        <x:v>אלי</x:v>
      </x:c>
      <x:c r="G1901" s="17" t="n">
        <x:v>76</x:v>
      </x:c>
      <x:c r="H1901" s="18" t="str">
        <x:v>חול</x:v>
      </x:c>
      <x:c r="I1901" s="19" t="str">
        <x:f>IFERROR(INDEX('מיפוי ומקורות'!$C$7:$C$33,MATCH(H1901,'מיפוי ומקורות'!$B$7:$B$33,0)),"לא מסווג")</x:f>
        <x:v>נסיעות וחופשות</x:v>
      </x:c>
      <x:c r="J1901" s="19" t="str">
        <x:f>IFERROR(INDEX('מיפוי ומקורות'!$D$7:$D$33,MATCH(H1901,'מיפוי ומקורות'!$B$7:$B$33,0)),"שוטף")</x:f>
        <x:v>חריג</x:v>
      </x:c>
      <x:c r="K1901" s="19" t="str">
        <x:f>IF(OR(H1901="ריביות",AND(H1901="דירה כצנלסון",G1901&lt;0,ISNUMBER(SEARCH("הכנסה",F1901)))),"הכנסה שסווגה מחדש",J1901)</x:f>
        <x:v>חריג</x:v>
      </x:c>
      <x:c r="L1901" s="19" t="str">
        <x:v>מאושר</x:v>
      </x:c>
      <x:c r="M1901" s="20" t="n">
        <x:f>IF(L1901="מאושר",IF(K1901="הכנסה שסווגה מחדש",0,G1901),0)</x:f>
        <x:v>76</x:v>
      </x:c>
      <x:c r="N1901" s="20" t="n">
        <x:f>IF(K1901="שוטף",M1901,0)</x:f>
        <x:v>0</x:v>
      </x:c>
      <x:c r="O1901" s="20" t="n">
        <x:f>IF(K1901="הכנסה שסווגה מחדש",-G1901,0)</x:f>
        <x:v>0</x:v>
      </x:c>
      <x:c r="P1901" s="11" t="str">
        <x:v>אמקס - עינור</x:v>
      </x:c>
      <x:c r="Q1901" s="11" t="str"/>
      <x:c r="R1901" s="11" t="str">
        <x:v>לא</x:v>
      </x:c>
    </x:row>
    <x:row r="1902">
      <x:c r="A1902" s="14" t="n">
        <x:v>46235</x:v>
      </x:c>
      <x:c r="B1902" s="11" t="str">
        <x:v>2026-08</x:v>
      </x:c>
      <x:c r="C1902" s="11" t="str">
        <x:v>אוגוסט 26</x:v>
      </x:c>
      <x:c r="D1902" s="15" t="n">
        <x:v>41</x:v>
      </x:c>
      <x:c r="E1902" s="11" t="str">
        <x:v>28.08</x:v>
      </x:c>
      <x:c r="F1902" s="11" t="str">
        <x:v>ירקן</x:v>
      </x:c>
      <x:c r="G1902" s="17" t="n">
        <x:v>27</x:v>
      </x:c>
      <x:c r="H1902" s="18" t="str">
        <x:v>מזון לבית</x:v>
      </x:c>
      <x:c r="I1902" s="19" t="str">
        <x:f>IFERROR(INDEX('מיפוי ומקורות'!$C$7:$C$33,MATCH(H1902,'מיפוי ומקורות'!$B$7:$B$33,0)),"לא מסווג")</x:f>
        <x:v>מזון לבית</x:v>
      </x:c>
      <x:c r="J1902" s="19" t="str">
        <x:f>IFERROR(INDEX('מיפוי ומקורות'!$D$7:$D$33,MATCH(H1902,'מיפוי ומקורות'!$B$7:$B$33,0)),"שוטף")</x:f>
        <x:v>שוטף</x:v>
      </x:c>
      <x:c r="K1902" s="19" t="str">
        <x:f>IF(OR(H1902="ריביות",AND(H1902="דירה כצנלסון",G1902&lt;0,ISNUMBER(SEARCH("הכנסה",F1902)))),"הכנסה שסווגה מחדש",J1902)</x:f>
        <x:v>שוטף</x:v>
      </x:c>
      <x:c r="L1902" s="19" t="str">
        <x:v>מאושר</x:v>
      </x:c>
      <x:c r="M1902" s="20" t="n">
        <x:f>IF(L1902="מאושר",IF(K1902="הכנסה שסווגה מחדש",0,G1902),0)</x:f>
        <x:v>27</x:v>
      </x:c>
      <x:c r="N1902" s="20" t="n">
        <x:f>IF(K1902="שוטף",M1902,0)</x:f>
        <x:v>27</x:v>
      </x:c>
      <x:c r="O1902" s="20" t="n">
        <x:f>IF(K1902="הכנסה שסווגה מחדש",-G1902,0)</x:f>
        <x:v>0</x:v>
      </x:c>
      <x:c r="P1902" s="11" t="str">
        <x:v>אמקס - עינור</x:v>
      </x:c>
      <x:c r="Q1902" s="11" t="str"/>
      <x:c r="R1902" s="11" t="str">
        <x:v>לא</x:v>
      </x:c>
    </x:row>
    <x:row r="1903">
      <x:c r="A1903" s="14" t="n">
        <x:v>46235</x:v>
      </x:c>
      <x:c r="B1903" s="11" t="str">
        <x:v>2026-08</x:v>
      </x:c>
      <x:c r="C1903" s="11" t="str">
        <x:v>אוגוסט 26</x:v>
      </x:c>
      <x:c r="D1903" s="15" t="n">
        <x:v>42</x:v>
      </x:c>
      <x:c r="E1903" s="11" t="str">
        <x:v>29.08</x:v>
      </x:c>
      <x:c r="F1903" s="11" t="str">
        <x:v>שריג אלקטריק בע"מ-גמ</x:v>
      </x:c>
      <x:c r="G1903" s="17" t="n">
        <x:v>130</x:v>
      </x:c>
      <x:c r="H1903" s="18" t="str">
        <x:v>קוסמטיקה</x:v>
      </x:c>
      <x:c r="I1903" s="19" t="str">
        <x:f>IFERROR(INDEX('מיפוי ומקורות'!$C$7:$C$33,MATCH(H1903,'מיפוי ומקורות'!$B$7:$B$33,0)),"לא מסווג")</x:f>
        <x:v>קוסמטיקה</x:v>
      </x:c>
      <x:c r="J1903" s="19" t="str">
        <x:f>IFERROR(INDEX('מיפוי ומקורות'!$D$7:$D$33,MATCH(H1903,'מיפוי ומקורות'!$B$7:$B$33,0)),"שוטף")</x:f>
        <x:v>שוטף</x:v>
      </x:c>
      <x:c r="K1903" s="19" t="str">
        <x:f>IF(OR(H1903="ריביות",AND(H1903="דירה כצנלסון",G1903&lt;0,ISNUMBER(SEARCH("הכנסה",F1903)))),"הכנסה שסווגה מחדש",J1903)</x:f>
        <x:v>שוטף</x:v>
      </x:c>
      <x:c r="L1903" s="19" t="str">
        <x:v>מאושר</x:v>
      </x:c>
      <x:c r="M1903" s="20" t="n">
        <x:f>IF(L1903="מאושר",IF(K1903="הכנסה שסווגה מחדש",0,G1903),0)</x:f>
        <x:v>130</x:v>
      </x:c>
      <x:c r="N1903" s="20" t="n">
        <x:f>IF(K1903="שוטף",M1903,0)</x:f>
        <x:v>130</x:v>
      </x:c>
      <x:c r="O1903" s="20" t="n">
        <x:f>IF(K1903="הכנסה שסווגה מחדש",-G1903,0)</x:f>
        <x:v>0</x:v>
      </x:c>
      <x:c r="P1903" s="11" t="str">
        <x:v>אמקס - עינור</x:v>
      </x:c>
      <x:c r="Q1903" s="11" t="str"/>
      <x:c r="R1903" s="11" t="str">
        <x:v>לא</x:v>
      </x:c>
    </x:row>
    <x:row r="1904">
      <x:c r="A1904" s="14" t="n">
        <x:v>46235</x:v>
      </x:c>
      <x:c r="B1904" s="11" t="str">
        <x:v>2026-08</x:v>
      </x:c>
      <x:c r="C1904" s="11" t="str">
        <x:v>אוגוסט 26</x:v>
      </x:c>
      <x:c r="D1904" s="15" t="n">
        <x:v>43</x:v>
      </x:c>
      <x:c r="E1904" s="11" t="str">
        <x:v>30.08</x:v>
      </x:c>
      <x:c r="F1904" s="11" t="str">
        <x:v>SHEIN.COM</x:v>
      </x:c>
      <x:c r="G1904" s="17" t="n">
        <x:v>390</x:v>
      </x:c>
      <x:c r="H1904" s="18" t="str">
        <x:v>אופנה</x:v>
      </x:c>
      <x:c r="I1904" s="19" t="str">
        <x:f>IFERROR(INDEX('מיפוי ומקורות'!$C$7:$C$33,MATCH(H1904,'מיפוי ומקורות'!$B$7:$B$33,0)),"לא מסווג")</x:f>
        <x:v>אופנה</x:v>
      </x:c>
      <x:c r="J1904" s="19" t="str">
        <x:f>IFERROR(INDEX('מיפוי ומקורות'!$D$7:$D$33,MATCH(H1904,'מיפוי ומקורות'!$B$7:$B$33,0)),"שוטף")</x:f>
        <x:v>שוטף</x:v>
      </x:c>
      <x:c r="K1904" s="19" t="str">
        <x:f>IF(OR(H1904="ריביות",AND(H1904="דירה כצנלסון",G1904&lt;0,ISNUMBER(SEARCH("הכנסה",F1904)))),"הכנסה שסווגה מחדש",J1904)</x:f>
        <x:v>שוטף</x:v>
      </x:c>
      <x:c r="L1904" s="19" t="str">
        <x:v>מאושר</x:v>
      </x:c>
      <x:c r="M1904" s="20" t="n">
        <x:f>IF(L1904="מאושר",IF(K1904="הכנסה שסווגה מחדש",0,G1904),0)</x:f>
        <x:v>390</x:v>
      </x:c>
      <x:c r="N1904" s="20" t="n">
        <x:f>IF(K1904="שוטף",M1904,0)</x:f>
        <x:v>390</x:v>
      </x:c>
      <x:c r="O1904" s="20" t="n">
        <x:f>IF(K1904="הכנסה שסווגה מחדש",-G1904,0)</x:f>
        <x:v>0</x:v>
      </x:c>
      <x:c r="P1904" s="11" t="str">
        <x:v>אמקס - עינור</x:v>
      </x:c>
      <x:c r="Q1904" s="11" t="str"/>
      <x:c r="R1904" s="11" t="str">
        <x:v>לא</x:v>
      </x:c>
    </x:row>
    <x:row r="1905">
      <x:c r="A1905" s="14" t="n">
        <x:v>46235</x:v>
      </x:c>
      <x:c r="B1905" s="11" t="str">
        <x:v>2026-08</x:v>
      </x:c>
      <x:c r="C1905" s="11" t="str">
        <x:v>אוגוסט 26</x:v>
      </x:c>
      <x:c r="D1905" s="15" t="n">
        <x:v>44</x:v>
      </x:c>
      <x:c r="E1905" s="11" t="str">
        <x:v>30.08</x:v>
      </x:c>
      <x:c r="F1905" s="11" t="str">
        <x:v>פארם</x:v>
      </x:c>
      <x:c r="G1905" s="17" t="n">
        <x:v>23</x:v>
      </x:c>
      <x:c r="H1905" s="18" t="str">
        <x:v>בריאות</x:v>
      </x:c>
      <x:c r="I1905" s="19" t="str">
        <x:f>IFERROR(INDEX('מיפוי ומקורות'!$C$7:$C$33,MATCH(H1905,'מיפוי ומקורות'!$B$7:$B$33,0)),"לא מסווג")</x:f>
        <x:v>בריאות וטיפולים</x:v>
      </x:c>
      <x:c r="J1905" s="19" t="str">
        <x:f>IFERROR(INDEX('מיפוי ומקורות'!$D$7:$D$33,MATCH(H1905,'מיפוי ומקורות'!$B$7:$B$33,0)),"שוטף")</x:f>
        <x:v>שוטף</x:v>
      </x:c>
      <x:c r="K1905" s="19" t="str">
        <x:f>IF(OR(H1905="ריביות",AND(H1905="דירה כצנלסון",G1905&lt;0,ISNUMBER(SEARCH("הכנסה",F1905)))),"הכנסה שסווגה מחדש",J1905)</x:f>
        <x:v>שוטף</x:v>
      </x:c>
      <x:c r="L1905" s="19" t="str">
        <x:v>מאושר</x:v>
      </x:c>
      <x:c r="M1905" s="20" t="n">
        <x:f>IF(L1905="מאושר",IF(K1905="הכנסה שסווגה מחדש",0,G1905),0)</x:f>
        <x:v>23</x:v>
      </x:c>
      <x:c r="N1905" s="20" t="n">
        <x:f>IF(K1905="שוטף",M1905,0)</x:f>
        <x:v>23</x:v>
      </x:c>
      <x:c r="O1905" s="20" t="n">
        <x:f>IF(K1905="הכנסה שסווגה מחדש",-G1905,0)</x:f>
        <x:v>0</x:v>
      </x:c>
      <x:c r="P1905" s="11" t="str">
        <x:v>אמקס - עינור</x:v>
      </x:c>
      <x:c r="Q1905" s="11" t="str"/>
      <x:c r="R1905" s="11" t="str">
        <x:v>לא</x:v>
      </x:c>
    </x:row>
    <x:row r="1906">
      <x:c r="A1906" s="14" t="n">
        <x:v>46235</x:v>
      </x:c>
      <x:c r="B1906" s="11" t="str">
        <x:v>2026-08</x:v>
      </x:c>
      <x:c r="C1906" s="11" t="str">
        <x:v>אוגוסט 26</x:v>
      </x:c>
      <x:c r="D1906" s="15" t="n">
        <x:v>45</x:v>
      </x:c>
      <x:c r="E1906" s="11" t="str">
        <x:v>2/8</x:v>
      </x:c>
      <x:c r="F1906" s="11" t="str">
        <x:v>ליאת</x:v>
      </x:c>
      <x:c r="G1906" s="17" t="n">
        <x:v>2250</x:v>
      </x:c>
      <x:c r="H1906" s="18" t="str">
        <x:v>טיפולים</x:v>
      </x:c>
      <x:c r="I1906" s="19" t="str">
        <x:f>IFERROR(INDEX('מיפוי ומקורות'!$C$7:$C$33,MATCH(H1906,'מיפוי ומקורות'!$B$7:$B$33,0)),"לא מסווג")</x:f>
        <x:v>בריאות וטיפולים</x:v>
      </x:c>
      <x:c r="J1906" s="19" t="str">
        <x:f>IFERROR(INDEX('מיפוי ומקורות'!$D$7:$D$33,MATCH(H1906,'מיפוי ומקורות'!$B$7:$B$33,0)),"שוטף")</x:f>
        <x:v>שוטף</x:v>
      </x:c>
      <x:c r="K1906" s="19" t="str">
        <x:f>IF(OR(H1906="ריביות",AND(H1906="דירה כצנלסון",G1906&lt;0,ISNUMBER(SEARCH("הכנסה",F1906)))),"הכנסה שסווגה מחדש",J1906)</x:f>
        <x:v>שוטף</x:v>
      </x:c>
      <x:c r="L1906" s="19" t="str">
        <x:v>מאושר</x:v>
      </x:c>
      <x:c r="M1906" s="20" t="n">
        <x:f>IF(L1906="מאושר",IF(K1906="הכנסה שסווגה מחדש",0,G1906),0)</x:f>
        <x:v>2250</x:v>
      </x:c>
      <x:c r="N1906" s="20" t="n">
        <x:f>IF(K1906="שוטף",M1906,0)</x:f>
        <x:v>2250</x:v>
      </x:c>
      <x:c r="O1906" s="20" t="n">
        <x:f>IF(K1906="הכנסה שסווגה מחדש",-G1906,0)</x:f>
        <x:v>0</x:v>
      </x:c>
      <x:c r="P1906" s="11" t="str">
        <x:v>one zero</x:v>
      </x:c>
      <x:c r="Q1906" s="11" t="str"/>
      <x:c r="R1906" s="11" t="str">
        <x:v>לא</x:v>
      </x:c>
    </x:row>
    <x:row r="1907">
      <x:c r="A1907" s="14" t="n">
        <x:v>46235</x:v>
      </x:c>
      <x:c r="B1907" s="11" t="str">
        <x:v>2026-08</x:v>
      </x:c>
      <x:c r="C1907" s="11" t="str">
        <x:v>אוגוסט 26</x:v>
      </x:c>
      <x:c r="D1907" s="15" t="n">
        <x:v>46</x:v>
      </x:c>
      <x:c r="E1907" s="11" t="str">
        <x:v>2/8</x:v>
      </x:c>
      <x:c r="F1907" s="11" t="str">
        <x:v>קש בק</x:v>
      </x:c>
      <x:c r="G1907" s="17" t="n">
        <x:v>-21</x:v>
      </x:c>
      <x:c r="H1907" s="18" t="str">
        <x:v>חול</x:v>
      </x:c>
      <x:c r="I1907" s="19" t="str">
        <x:f>IFERROR(INDEX('מיפוי ומקורות'!$C$7:$C$33,MATCH(H1907,'מיפוי ומקורות'!$B$7:$B$33,0)),"לא מסווג")</x:f>
        <x:v>נסיעות וחופשות</x:v>
      </x:c>
      <x:c r="J1907" s="19" t="str">
        <x:f>IFERROR(INDEX('מיפוי ומקורות'!$D$7:$D$33,MATCH(H1907,'מיפוי ומקורות'!$B$7:$B$33,0)),"שוטף")</x:f>
        <x:v>חריג</x:v>
      </x:c>
      <x:c r="K1907" s="19" t="str">
        <x:f>IF(OR(H1907="ריביות",AND(H1907="דירה כצנלסון",G1907&lt;0,ISNUMBER(SEARCH("הכנסה",F1907)))),"הכנסה שסווגה מחדש",J1907)</x:f>
        <x:v>חריג</x:v>
      </x:c>
      <x:c r="L1907" s="19" t="str">
        <x:v>מאושר</x:v>
      </x:c>
      <x:c r="M1907" s="20" t="n">
        <x:f>IF(L1907="מאושר",IF(K1907="הכנסה שסווגה מחדש",0,G1907),0)</x:f>
        <x:v>-21</x:v>
      </x:c>
      <x:c r="N1907" s="20" t="n">
        <x:f>IF(K1907="שוטף",M1907,0)</x:f>
        <x:v>0</x:v>
      </x:c>
      <x:c r="O1907" s="20" t="n">
        <x:f>IF(K1907="הכנסה שסווגה מחדש",-G1907,0)</x:f>
        <x:v>0</x:v>
      </x:c>
      <x:c r="P1907" s="11" t="str">
        <x:v>one zero</x:v>
      </x:c>
      <x:c r="Q1907" s="11" t="str"/>
      <x:c r="R1907" s="11" t="str">
        <x:v>לא</x:v>
      </x:c>
    </x:row>
    <x:row r="1908">
      <x:c r="A1908" s="14" t="n">
        <x:v>46235</x:v>
      </x:c>
      <x:c r="B1908" s="11" t="str">
        <x:v>2026-08</x:v>
      </x:c>
      <x:c r="C1908" s="11" t="str">
        <x:v>אוגוסט 26</x:v>
      </x:c>
      <x:c r="D1908" s="15" t="n">
        <x:v>48</x:v>
      </x:c>
      <x:c r="E1908" s="11" t="str">
        <x:v>11/8</x:v>
      </x:c>
      <x:c r="F1908" s="11" t="str">
        <x:v>צנרת כצנלסון</x:v>
      </x:c>
      <x:c r="G1908" s="17" t="n">
        <x:v>1160</x:v>
      </x:c>
      <x:c r="H1908" s="18" t="str">
        <x:v>דירה כצנלסון</x:v>
      </x:c>
      <x:c r="I1908" s="19" t="str">
        <x:f>IFERROR(INDEX('מיפוי ומקורות'!$C$7:$C$33,MATCH(H1908,'מיפוי ומקורות'!$B$7:$B$33,0)),"לא מסווג")</x:f>
        <x:v>נכס להשקעה</x:v>
      </x:c>
      <x:c r="J1908" s="19" t="str">
        <x:f>IFERROR(INDEX('מיפוי ומקורות'!$D$7:$D$33,MATCH(H1908,'מיפוי ומקורות'!$B$7:$B$33,0)),"שוטף")</x:f>
        <x:v>חריג/נכס</x:v>
      </x:c>
      <x:c r="K1908" s="19" t="str">
        <x:f>IF(OR(H1908="ריביות",AND(H1908="דירה כצנלסון",G1908&lt;0,ISNUMBER(SEARCH("הכנסה",F1908)))),"הכנסה שסווגה מחדש",J1908)</x:f>
        <x:v>חריג/נכס</x:v>
      </x:c>
      <x:c r="L1908" s="19" t="str">
        <x:v>מאושר</x:v>
      </x:c>
      <x:c r="M1908" s="20" t="n">
        <x:f>IF(L1908="מאושר",IF(K1908="הכנסה שסווגה מחדש",0,G1908),0)</x:f>
        <x:v>1160</x:v>
      </x:c>
      <x:c r="N1908" s="20" t="n">
        <x:f>IF(K1908="שוטף",M1908,0)</x:f>
        <x:v>0</x:v>
      </x:c>
      <x:c r="O1908" s="20" t="n">
        <x:f>IF(K1908="הכנסה שסווגה מחדש",-G1908,0)</x:f>
        <x:v>0</x:v>
      </x:c>
      <x:c r="P1908" s="11" t="str">
        <x:v>one zero</x:v>
      </x:c>
      <x:c r="Q1908" s="11" t="str"/>
      <x:c r="R1908" s="11" t="str">
        <x:v>לא</x:v>
      </x:c>
    </x:row>
    <x:row r="1909">
      <x:c r="A1909" s="14" t="n">
        <x:v>46235</x:v>
      </x:c>
      <x:c r="B1909" s="11" t="str">
        <x:v>2026-08</x:v>
      </x:c>
      <x:c r="C1909" s="11" t="str">
        <x:v>אוגוסט 26</x:v>
      </x:c>
      <x:c r="D1909" s="15" t="n">
        <x:v>49</x:v>
      </x:c>
      <x:c r="E1909" s="11" t="str">
        <x:v>19/8</x:v>
      </x:c>
      <x:c r="F1909" s="11" t="str">
        <x:v>סגירת תיק מס</x:v>
      </x:c>
      <x:c r="G1909" s="17" t="n">
        <x:v>236</x:v>
      </x:c>
      <x:c r="H1909" s="18" t="str">
        <x:v>מס הכנסה</x:v>
      </x:c>
      <x:c r="I1909" s="19" t="str">
        <x:f>IFERROR(INDEX('מיפוי ומקורות'!$C$7:$C$33,MATCH(H1909,'מיפוי ומקורות'!$B$7:$B$33,0)),"לא מסווג")</x:f>
        <x:v>מסים</x:v>
      </x:c>
      <x:c r="J1909" s="19" t="str">
        <x:f>IFERROR(INDEX('מיפוי ומקורות'!$D$7:$D$33,MATCH(H1909,'מיפוי ומקורות'!$B$7:$B$33,0)),"שוטף")</x:f>
        <x:v>חריג</x:v>
      </x:c>
      <x:c r="K1909" s="19" t="str">
        <x:f>IF(OR(H1909="ריביות",AND(H1909="דירה כצנלסון",G1909&lt;0,ISNUMBER(SEARCH("הכנסה",F1909)))),"הכנסה שסווגה מחדש",J1909)</x:f>
        <x:v>חריג</x:v>
      </x:c>
      <x:c r="L1909" s="19" t="str">
        <x:v>מאושר</x:v>
      </x:c>
      <x:c r="M1909" s="20" t="n">
        <x:f>IF(L1909="מאושר",IF(K1909="הכנסה שסווגה מחדש",0,G1909),0)</x:f>
        <x:v>236</x:v>
      </x:c>
      <x:c r="N1909" s="20" t="n">
        <x:f>IF(K1909="שוטף",M1909,0)</x:f>
        <x:v>0</x:v>
      </x:c>
      <x:c r="O1909" s="20" t="n">
        <x:f>IF(K1909="הכנסה שסווגה מחדש",-G1909,0)</x:f>
        <x:v>0</x:v>
      </x:c>
      <x:c r="P1909" s="11" t="str">
        <x:v>one zero</x:v>
      </x:c>
      <x:c r="Q1909" s="11" t="str"/>
      <x:c r="R1909" s="11" t="str">
        <x:v>לא</x:v>
      </x:c>
    </x:row>
    <x:row r="1910">
      <x:c r="A1910" s="14" t="n">
        <x:v>46235</x:v>
      </x:c>
      <x:c r="B1910" s="11" t="str">
        <x:v>2026-08</x:v>
      </x:c>
      <x:c r="C1910" s="11" t="str">
        <x:v>אוגוסט 26</x:v>
      </x:c>
      <x:c r="D1910" s="15" t="n">
        <x:v>50</x:v>
      </x:c>
      <x:c r="E1910" s="11" t="str">
        <x:v>15.07</x:v>
      </x:c>
      <x:c r="F1910" s="11" t="str">
        <x:v>SHEIN.COM</x:v>
      </x:c>
      <x:c r="G1910" s="17" t="n">
        <x:v>601</x:v>
      </x:c>
      <x:c r="H1910" s="18" t="str">
        <x:v>אופנה</x:v>
      </x:c>
      <x:c r="I1910" s="19" t="str">
        <x:f>IFERROR(INDEX('מיפוי ומקורות'!$C$7:$C$33,MATCH(H1910,'מיפוי ומקורות'!$B$7:$B$33,0)),"לא מסווג")</x:f>
        <x:v>אופנה</x:v>
      </x:c>
      <x:c r="J1910" s="19" t="str">
        <x:f>IFERROR(INDEX('מיפוי ומקורות'!$D$7:$D$33,MATCH(H1910,'מיפוי ומקורות'!$B$7:$B$33,0)),"שוטף")</x:f>
        <x:v>שוטף</x:v>
      </x:c>
      <x:c r="K1910" s="19" t="str">
        <x:f>IF(OR(H1910="ריביות",AND(H1910="דירה כצנלסון",G1910&lt;0,ISNUMBER(SEARCH("הכנסה",F1910)))),"הכנסה שסווגה מחדש",J1910)</x:f>
        <x:v>שוטף</x:v>
      </x:c>
      <x:c r="L1910" s="19" t="str">
        <x:v>מאושר</x:v>
      </x:c>
      <x:c r="M1910" s="20" t="n">
        <x:f>IF(L1910="מאושר",IF(K1910="הכנסה שסווגה מחדש",0,G1910),0)</x:f>
        <x:v>601</x:v>
      </x:c>
      <x:c r="N1910" s="20" t="n">
        <x:f>IF(K1910="שוטף",M1910,0)</x:f>
        <x:v>601</x:v>
      </x:c>
      <x:c r="O1910" s="20" t="n">
        <x:f>IF(K1910="הכנסה שסווגה מחדש",-G1910,0)</x:f>
        <x:v>0</x:v>
      </x:c>
      <x:c r="P1910" s="11" t="str">
        <x:v>אמקס - זיו</x:v>
      </x:c>
      <x:c r="Q1910" s="11" t="str"/>
      <x:c r="R1910" s="11" t="str">
        <x:v>לא</x:v>
      </x:c>
    </x:row>
    <x:row r="1911">
      <x:c r="A1911" s="14" t="n">
        <x:v>46235</x:v>
      </x:c>
      <x:c r="B1911" s="11" t="str">
        <x:v>2026-08</x:v>
      </x:c>
      <x:c r="C1911" s="11" t="str">
        <x:v>אוגוסט 26</x:v>
      </x:c>
      <x:c r="D1911" s="15" t="n">
        <x:v>51</x:v>
      </x:c>
      <x:c r="E1911" s="11" t="str">
        <x:v>01/08</x:v>
      </x:c>
      <x:c r="F1911" s="11" t="str">
        <x:v>אוכל</x:v>
      </x:c>
      <x:c r="G1911" s="17" t="n">
        <x:v>110</x:v>
      </x:c>
      <x:c r="H1911" s="18" t="str">
        <x:v>אוכל בחוץ</x:v>
      </x:c>
      <x:c r="I1911" s="19" t="str">
        <x:f>IFERROR(INDEX('מיפוי ומקורות'!$C$7:$C$33,MATCH(H1911,'מיפוי ומקורות'!$B$7:$B$33,0)),"לא מסווג")</x:f>
        <x:v>אוכל בחוץ</x:v>
      </x:c>
      <x:c r="J1911" s="19" t="str">
        <x:f>IFERROR(INDEX('מיפוי ומקורות'!$D$7:$D$33,MATCH(H1911,'מיפוי ומקורות'!$B$7:$B$33,0)),"שוטף")</x:f>
        <x:v>שוטף</x:v>
      </x:c>
      <x:c r="K1911" s="19" t="str">
        <x:f>IF(OR(H1911="ריביות",AND(H1911="דירה כצנלסון",G1911&lt;0,ISNUMBER(SEARCH("הכנסה",F1911)))),"הכנסה שסווגה מחדש",J1911)</x:f>
        <x:v>שוטף</x:v>
      </x:c>
      <x:c r="L1911" s="19" t="str">
        <x:v>מאושר</x:v>
      </x:c>
      <x:c r="M1911" s="20" t="n">
        <x:f>IF(L1911="מאושר",IF(K1911="הכנסה שסווגה מחדש",0,G1911),0)</x:f>
        <x:v>110</x:v>
      </x:c>
      <x:c r="N1911" s="20" t="n">
        <x:f>IF(K1911="שוטף",M1911,0)</x:f>
        <x:v>110</x:v>
      </x:c>
      <x:c r="O1911" s="20" t="n">
        <x:f>IF(K1911="הכנסה שסווגה מחדש",-G1911,0)</x:f>
        <x:v>0</x:v>
      </x:c>
      <x:c r="P1911" s="11" t="str">
        <x:v>אמקס - זיו</x:v>
      </x:c>
      <x:c r="Q1911" s="11" t="str"/>
      <x:c r="R1911" s="11" t="str">
        <x:v>לא</x:v>
      </x:c>
    </x:row>
    <x:row r="1912">
      <x:c r="A1912" s="14" t="n">
        <x:v>46235</x:v>
      </x:c>
      <x:c r="B1912" s="11" t="str">
        <x:v>2026-08</x:v>
      </x:c>
      <x:c r="C1912" s="11" t="str">
        <x:v>אוגוסט 26</x:v>
      </x:c>
      <x:c r="D1912" s="15" t="n">
        <x:v>52</x:v>
      </x:c>
      <x:c r="E1912" s="11" t="str">
        <x:v>1.08</x:v>
      </x:c>
      <x:c r="F1912" s="11" t="str">
        <x:v>מסעדה</x:v>
      </x:c>
      <x:c r="G1912" s="17" t="n">
        <x:v>180</x:v>
      </x:c>
      <x:c r="H1912" s="18" t="str">
        <x:v>אוכל בחוץ</x:v>
      </x:c>
      <x:c r="I1912" s="19" t="str">
        <x:f>IFERROR(INDEX('מיפוי ומקורות'!$C$7:$C$33,MATCH(H1912,'מיפוי ומקורות'!$B$7:$B$33,0)),"לא מסווג")</x:f>
        <x:v>אוכל בחוץ</x:v>
      </x:c>
      <x:c r="J1912" s="19" t="str">
        <x:f>IFERROR(INDEX('מיפוי ומקורות'!$D$7:$D$33,MATCH(H1912,'מיפוי ומקורות'!$B$7:$B$33,0)),"שוטף")</x:f>
        <x:v>שוטף</x:v>
      </x:c>
      <x:c r="K1912" s="19" t="str">
        <x:f>IF(OR(H1912="ריביות",AND(H1912="דירה כצנלסון",G1912&lt;0,ISNUMBER(SEARCH("הכנסה",F1912)))),"הכנסה שסווגה מחדש",J1912)</x:f>
        <x:v>שוטף</x:v>
      </x:c>
      <x:c r="L1912" s="19" t="str">
        <x:v>מאושר</x:v>
      </x:c>
      <x:c r="M1912" s="20" t="n">
        <x:f>IF(L1912="מאושר",IF(K1912="הכנסה שסווגה מחדש",0,G1912),0)</x:f>
        <x:v>180</x:v>
      </x:c>
      <x:c r="N1912" s="20" t="n">
        <x:f>IF(K1912="שוטף",M1912,0)</x:f>
        <x:v>180</x:v>
      </x:c>
      <x:c r="O1912" s="20" t="n">
        <x:f>IF(K1912="הכנסה שסווגה מחדש",-G1912,0)</x:f>
        <x:v>0</x:v>
      </x:c>
      <x:c r="P1912" s="11" t="str">
        <x:v>אמקס - זיו</x:v>
      </x:c>
      <x:c r="Q1912" s="11" t="str"/>
      <x:c r="R1912" s="11" t="str">
        <x:v>לא</x:v>
      </x:c>
    </x:row>
    <x:row r="1913">
      <x:c r="A1913" s="14" t="n">
        <x:v>46235</x:v>
      </x:c>
      <x:c r="B1913" s="11" t="str">
        <x:v>2026-08</x:v>
      </x:c>
      <x:c r="C1913" s="11" t="str">
        <x:v>אוגוסט 26</x:v>
      </x:c>
      <x:c r="D1913" s="15" t="n">
        <x:v>53</x:v>
      </x:c>
      <x:c r="E1913" s="11" t="str">
        <x:v>3.08</x:v>
      </x:c>
      <x:c r="F1913" s="11" t="str">
        <x:v>מסעדה</x:v>
      </x:c>
      <x:c r="G1913" s="17" t="n">
        <x:v>9</x:v>
      </x:c>
      <x:c r="H1913" s="18" t="str">
        <x:v>אוכל בחוץ</x:v>
      </x:c>
      <x:c r="I1913" s="19" t="str">
        <x:f>IFERROR(INDEX('מיפוי ומקורות'!$C$7:$C$33,MATCH(H1913,'מיפוי ומקורות'!$B$7:$B$33,0)),"לא מסווג")</x:f>
        <x:v>אוכל בחוץ</x:v>
      </x:c>
      <x:c r="J1913" s="19" t="str">
        <x:f>IFERROR(INDEX('מיפוי ומקורות'!$D$7:$D$33,MATCH(H1913,'מיפוי ומקורות'!$B$7:$B$33,0)),"שוטף")</x:f>
        <x:v>שוטף</x:v>
      </x:c>
      <x:c r="K1913" s="19" t="str">
        <x:f>IF(OR(H1913="ריביות",AND(H1913="דירה כצנלסון",G1913&lt;0,ISNUMBER(SEARCH("הכנסה",F1913)))),"הכנסה שסווגה מחדש",J1913)</x:f>
        <x:v>שוטף</x:v>
      </x:c>
      <x:c r="L1913" s="19" t="str">
        <x:v>מאושר</x:v>
      </x:c>
      <x:c r="M1913" s="20" t="n">
        <x:f>IF(L1913="מאושר",IF(K1913="הכנסה שסווגה מחדש",0,G1913),0)</x:f>
        <x:v>9</x:v>
      </x:c>
      <x:c r="N1913" s="20" t="n">
        <x:f>IF(K1913="שוטף",M1913,0)</x:f>
        <x:v>9</x:v>
      </x:c>
      <x:c r="O1913" s="20" t="n">
        <x:f>IF(K1913="הכנסה שסווגה מחדש",-G1913,0)</x:f>
        <x:v>0</x:v>
      </x:c>
      <x:c r="P1913" s="11" t="str">
        <x:v>אמקס - זיו</x:v>
      </x:c>
      <x:c r="Q1913" s="11" t="str"/>
      <x:c r="R1913" s="11" t="str">
        <x:v>לא</x:v>
      </x:c>
    </x:row>
    <x:row r="1914">
      <x:c r="A1914" s="14" t="n">
        <x:v>46235</x:v>
      </x:c>
      <x:c r="B1914" s="11" t="str">
        <x:v>2026-08</x:v>
      </x:c>
      <x:c r="C1914" s="11" t="str">
        <x:v>אוגוסט 26</x:v>
      </x:c>
      <x:c r="D1914" s="15" t="n">
        <x:v>54</x:v>
      </x:c>
      <x:c r="E1914" s="11" t="str">
        <x:v>03/08</x:v>
      </x:c>
      <x:c r="F1914" s="11" t="str">
        <x:v>אדיב חולצות מודפסות</x:v>
      </x:c>
      <x:c r="G1914" s="17" t="n">
        <x:v>373</x:v>
      </x:c>
      <x:c r="H1914" s="18" t="str">
        <x:v>מתנה</x:v>
      </x:c>
      <x:c r="I1914" s="19" t="str">
        <x:f>IFERROR(INDEX('מיפוי ומקורות'!$C$7:$C$33,MATCH(H1914,'מיפוי ומקורות'!$B$7:$B$33,0)),"לא מסווג")</x:f>
        <x:v>מתנה</x:v>
      </x:c>
      <x:c r="J1914" s="19" t="str">
        <x:f>IFERROR(INDEX('מיפוי ומקורות'!$D$7:$D$33,MATCH(H1914,'מיפוי ומקורות'!$B$7:$B$33,0)),"שוטף")</x:f>
        <x:v>שוטף</x:v>
      </x:c>
      <x:c r="K1914" s="19" t="str">
        <x:f>IF(OR(H1914="ריביות",AND(H1914="דירה כצנלסון",G1914&lt;0,ISNUMBER(SEARCH("הכנסה",F1914)))),"הכנסה שסווגה מחדש",J1914)</x:f>
        <x:v>שוטף</x:v>
      </x:c>
      <x:c r="L1914" s="19" t="str">
        <x:v>מאושר</x:v>
      </x:c>
      <x:c r="M1914" s="20" t="n">
        <x:f>IF(L1914="מאושר",IF(K1914="הכנסה שסווגה מחדש",0,G1914),0)</x:f>
        <x:v>373</x:v>
      </x:c>
      <x:c r="N1914" s="20" t="n">
        <x:f>IF(K1914="שוטף",M1914,0)</x:f>
        <x:v>373</x:v>
      </x:c>
      <x:c r="O1914" s="20" t="n">
        <x:f>IF(K1914="הכנסה שסווגה מחדש",-G1914,0)</x:f>
        <x:v>0</x:v>
      </x:c>
      <x:c r="P1914" s="11" t="str">
        <x:v>אמקס - זיו</x:v>
      </x:c>
      <x:c r="Q1914" s="11" t="str"/>
      <x:c r="R1914" s="11" t="str">
        <x:v>לא</x:v>
      </x:c>
    </x:row>
    <x:row r="1915">
      <x:c r="A1915" s="14" t="n">
        <x:v>46235</x:v>
      </x:c>
      <x:c r="B1915" s="11" t="str">
        <x:v>2026-08</x:v>
      </x:c>
      <x:c r="C1915" s="11" t="str">
        <x:v>אוגוסט 26</x:v>
      </x:c>
      <x:c r="D1915" s="15" t="n">
        <x:v>55</x:v>
      </x:c>
      <x:c r="E1915" s="11" t="str">
        <x:v>5.08</x:v>
      </x:c>
      <x:c r="F1915" s="11" t="str">
        <x:v>מסעדה</x:v>
      </x:c>
      <x:c r="G1915" s="17" t="n">
        <x:v>24</x:v>
      </x:c>
      <x:c r="H1915" s="18" t="str">
        <x:v>אוכל בחוץ</x:v>
      </x:c>
      <x:c r="I1915" s="19" t="str">
        <x:f>IFERROR(INDEX('מיפוי ומקורות'!$C$7:$C$33,MATCH(H1915,'מיפוי ומקורות'!$B$7:$B$33,0)),"לא מסווג")</x:f>
        <x:v>אוכל בחוץ</x:v>
      </x:c>
      <x:c r="J1915" s="19" t="str">
        <x:f>IFERROR(INDEX('מיפוי ומקורות'!$D$7:$D$33,MATCH(H1915,'מיפוי ומקורות'!$B$7:$B$33,0)),"שוטף")</x:f>
        <x:v>שוטף</x:v>
      </x:c>
      <x:c r="K1915" s="19" t="str">
        <x:f>IF(OR(H1915="ריביות",AND(H1915="דירה כצנלסון",G1915&lt;0,ISNUMBER(SEARCH("הכנסה",F1915)))),"הכנסה שסווגה מחדש",J1915)</x:f>
        <x:v>שוטף</x:v>
      </x:c>
      <x:c r="L1915" s="19" t="str">
        <x:v>מאושר</x:v>
      </x:c>
      <x:c r="M1915" s="20" t="n">
        <x:f>IF(L1915="מאושר",IF(K1915="הכנסה שסווגה מחדש",0,G1915),0)</x:f>
        <x:v>24</x:v>
      </x:c>
      <x:c r="N1915" s="20" t="n">
        <x:f>IF(K1915="שוטף",M1915,0)</x:f>
        <x:v>24</x:v>
      </x:c>
      <x:c r="O1915" s="20" t="n">
        <x:f>IF(K1915="הכנסה שסווגה מחדש",-G1915,0)</x:f>
        <x:v>0</x:v>
      </x:c>
      <x:c r="P1915" s="11" t="str">
        <x:v>אמקס - זיו</x:v>
      </x:c>
      <x:c r="Q1915" s="11" t="str"/>
      <x:c r="R1915" s="11" t="str">
        <x:v>לא</x:v>
      </x:c>
    </x:row>
    <x:row r="1916">
      <x:c r="A1916" s="14" t="n">
        <x:v>46235</x:v>
      </x:c>
      <x:c r="B1916" s="11" t="str">
        <x:v>2026-08</x:v>
      </x:c>
      <x:c r="C1916" s="11" t="str">
        <x:v>אוגוסט 26</x:v>
      </x:c>
      <x:c r="D1916" s="15" t="n">
        <x:v>56</x:v>
      </x:c>
      <x:c r="E1916" s="11" t="str">
        <x:v>06/08</x:v>
      </x:c>
      <x:c r="F1916" s="11" t="str">
        <x:v>הולה - גו ווינגס</x:v>
      </x:c>
      <x:c r="G1916" s="17" t="n">
        <x:v>75</x:v>
      </x:c>
      <x:c r="H1916" s="18" t="str">
        <x:v>מתנה</x:v>
      </x:c>
      <x:c r="I1916" s="19" t="str">
        <x:f>IFERROR(INDEX('מיפוי ומקורות'!$C$7:$C$33,MATCH(H1916,'מיפוי ומקורות'!$B$7:$B$33,0)),"לא מסווג")</x:f>
        <x:v>מתנה</x:v>
      </x:c>
      <x:c r="J1916" s="19" t="str">
        <x:f>IFERROR(INDEX('מיפוי ומקורות'!$D$7:$D$33,MATCH(H1916,'מיפוי ומקורות'!$B$7:$B$33,0)),"שוטף")</x:f>
        <x:v>שוטף</x:v>
      </x:c>
      <x:c r="K1916" s="19" t="str">
        <x:f>IF(OR(H1916="ריביות",AND(H1916="דירה כצנלסון",G1916&lt;0,ISNUMBER(SEARCH("הכנסה",F1916)))),"הכנסה שסווגה מחדש",J1916)</x:f>
        <x:v>שוטף</x:v>
      </x:c>
      <x:c r="L1916" s="19" t="str">
        <x:v>מאושר</x:v>
      </x:c>
      <x:c r="M1916" s="20" t="n">
        <x:f>IF(L1916="מאושר",IF(K1916="הכנסה שסווגה מחדש",0,G1916),0)</x:f>
        <x:v>75</x:v>
      </x:c>
      <x:c r="N1916" s="20" t="n">
        <x:f>IF(K1916="שוטף",M1916,0)</x:f>
        <x:v>75</x:v>
      </x:c>
      <x:c r="O1916" s="20" t="n">
        <x:f>IF(K1916="הכנסה שסווגה מחדש",-G1916,0)</x:f>
        <x:v>0</x:v>
      </x:c>
      <x:c r="P1916" s="11" t="str">
        <x:v>אמקס - זיו</x:v>
      </x:c>
      <x:c r="Q1916" s="11" t="str"/>
      <x:c r="R1916" s="11" t="str">
        <x:v>לא</x:v>
      </x:c>
    </x:row>
    <x:row r="1917">
      <x:c r="A1917" s="14" t="n">
        <x:v>46235</x:v>
      </x:c>
      <x:c r="B1917" s="11" t="str">
        <x:v>2026-08</x:v>
      </x:c>
      <x:c r="C1917" s="11" t="str">
        <x:v>אוגוסט 26</x:v>
      </x:c>
      <x:c r="D1917" s="15" t="n">
        <x:v>57</x:v>
      </x:c>
      <x:c r="E1917" s="11" t="str">
        <x:v>06/08</x:v>
      </x:c>
      <x:c r="F1917" s="11" t="str">
        <x:v>שף יומולדת ירון</x:v>
      </x:c>
      <x:c r="G1917" s="17" t="n">
        <x:v>1000</x:v>
      </x:c>
      <x:c r="H1917" s="18" t="str">
        <x:v>מתנה</x:v>
      </x:c>
      <x:c r="I1917" s="19" t="str">
        <x:f>IFERROR(INDEX('מיפוי ומקורות'!$C$7:$C$33,MATCH(H1917,'מיפוי ומקורות'!$B$7:$B$33,0)),"לא מסווג")</x:f>
        <x:v>מתנה</x:v>
      </x:c>
      <x:c r="J1917" s="19" t="str">
        <x:f>IFERROR(INDEX('מיפוי ומקורות'!$D$7:$D$33,MATCH(H1917,'מיפוי ומקורות'!$B$7:$B$33,0)),"שוטף")</x:f>
        <x:v>שוטף</x:v>
      </x:c>
      <x:c r="K1917" s="19" t="str">
        <x:f>IF(OR(H1917="ריביות",AND(H1917="דירה כצנלסון",G1917&lt;0,ISNUMBER(SEARCH("הכנסה",F1917)))),"הכנסה שסווגה מחדש",J1917)</x:f>
        <x:v>שוטף</x:v>
      </x:c>
      <x:c r="L1917" s="19" t="str">
        <x:v>מאושר</x:v>
      </x:c>
      <x:c r="M1917" s="20" t="n">
        <x:f>IF(L1917="מאושר",IF(K1917="הכנסה שסווגה מחדש",0,G1917),0)</x:f>
        <x:v>1000</x:v>
      </x:c>
      <x:c r="N1917" s="20" t="n">
        <x:f>IF(K1917="שוטף",M1917,0)</x:f>
        <x:v>1000</x:v>
      </x:c>
      <x:c r="O1917" s="20" t="n">
        <x:f>IF(K1917="הכנסה שסווגה מחדש",-G1917,0)</x:f>
        <x:v>0</x:v>
      </x:c>
      <x:c r="P1917" s="11" t="str">
        <x:v>אמקס - זיו</x:v>
      </x:c>
      <x:c r="Q1917" s="11" t="str"/>
      <x:c r="R1917" s="11" t="str">
        <x:v>לא</x:v>
      </x:c>
    </x:row>
    <x:row r="1918">
      <x:c r="A1918" s="14" t="n">
        <x:v>46235</x:v>
      </x:c>
      <x:c r="B1918" s="11" t="str">
        <x:v>2026-08</x:v>
      </x:c>
      <x:c r="C1918" s="11" t="str">
        <x:v>אוגוסט 26</x:v>
      </x:c>
      <x:c r="D1918" s="15" t="n">
        <x:v>58</x:v>
      </x:c>
      <x:c r="E1918" s="11" t="str">
        <x:v>6.08</x:v>
      </x:c>
      <x:c r="F1918" s="11" t="str">
        <x:v>דלק</x:v>
      </x:c>
      <x:c r="G1918" s="17" t="n">
        <x:v>213</x:v>
      </x:c>
      <x:c r="H1918" s="18" t="str">
        <x:v>תחבורה</x:v>
      </x:c>
      <x:c r="I1918" s="19" t="str">
        <x:f>IFERROR(INDEX('מיפוי ומקורות'!$C$7:$C$33,MATCH(H1918,'מיפוי ומקורות'!$B$7:$B$33,0)),"לא מסווג")</x:f>
        <x:v>תחבורה</x:v>
      </x:c>
      <x:c r="J1918" s="19" t="str">
        <x:f>IFERROR(INDEX('מיפוי ומקורות'!$D$7:$D$33,MATCH(H1918,'מיפוי ומקורות'!$B$7:$B$33,0)),"שוטף")</x:f>
        <x:v>שוטף</x:v>
      </x:c>
      <x:c r="K1918" s="19" t="str">
        <x:f>IF(OR(H1918="ריביות",AND(H1918="דירה כצנלסון",G1918&lt;0,ISNUMBER(SEARCH("הכנסה",F1918)))),"הכנסה שסווגה מחדש",J1918)</x:f>
        <x:v>שוטף</x:v>
      </x:c>
      <x:c r="L1918" s="19" t="str">
        <x:v>מאושר</x:v>
      </x:c>
      <x:c r="M1918" s="20" t="n">
        <x:f>IF(L1918="מאושר",IF(K1918="הכנסה שסווגה מחדש",0,G1918),0)</x:f>
        <x:v>213</x:v>
      </x:c>
      <x:c r="N1918" s="20" t="n">
        <x:f>IF(K1918="שוטף",M1918,0)</x:f>
        <x:v>213</x:v>
      </x:c>
      <x:c r="O1918" s="20" t="n">
        <x:f>IF(K1918="הכנסה שסווגה מחדש",-G1918,0)</x:f>
        <x:v>0</x:v>
      </x:c>
      <x:c r="P1918" s="11" t="str">
        <x:v>אמקס - זיו</x:v>
      </x:c>
      <x:c r="Q1918" s="11" t="str"/>
      <x:c r="R1918" s="11" t="str">
        <x:v>לא</x:v>
      </x:c>
    </x:row>
    <x:row r="1919">
      <x:c r="A1919" s="14" t="n">
        <x:v>46235</x:v>
      </x:c>
      <x:c r="B1919" s="11" t="str">
        <x:v>2026-08</x:v>
      </x:c>
      <x:c r="C1919" s="11" t="str">
        <x:v>אוגוסט 26</x:v>
      </x:c>
      <x:c r="D1919" s="15" t="n">
        <x:v>59</x:v>
      </x:c>
      <x:c r="E1919" s="11" t="str">
        <x:v>07/08</x:v>
      </x:c>
      <x:c r="F1919" s="11" t="str">
        <x:v>חניון ג'י סיטי</x:v>
      </x:c>
      <x:c r="G1919" s="17" t="n">
        <x:v>26</x:v>
      </x:c>
      <x:c r="H1919" s="18" t="str">
        <x:v>תחבורה</x:v>
      </x:c>
      <x:c r="I1919" s="19" t="str">
        <x:f>IFERROR(INDEX('מיפוי ומקורות'!$C$7:$C$33,MATCH(H1919,'מיפוי ומקורות'!$B$7:$B$33,0)),"לא מסווג")</x:f>
        <x:v>תחבורה</x:v>
      </x:c>
      <x:c r="J1919" s="19" t="str">
        <x:f>IFERROR(INDEX('מיפוי ומקורות'!$D$7:$D$33,MATCH(H1919,'מיפוי ומקורות'!$B$7:$B$33,0)),"שוטף")</x:f>
        <x:v>שוטף</x:v>
      </x:c>
      <x:c r="K1919" s="19" t="str">
        <x:f>IF(OR(H1919="ריביות",AND(H1919="דירה כצנלסון",G1919&lt;0,ISNUMBER(SEARCH("הכנסה",F1919)))),"הכנסה שסווגה מחדש",J1919)</x:f>
        <x:v>שוטף</x:v>
      </x:c>
      <x:c r="L1919" s="19" t="str">
        <x:v>מאושר</x:v>
      </x:c>
      <x:c r="M1919" s="20" t="n">
        <x:f>IF(L1919="מאושר",IF(K1919="הכנסה שסווגה מחדש",0,G1919),0)</x:f>
        <x:v>26</x:v>
      </x:c>
      <x:c r="N1919" s="20" t="n">
        <x:f>IF(K1919="שוטף",M1919,0)</x:f>
        <x:v>26</x:v>
      </x:c>
      <x:c r="O1919" s="20" t="n">
        <x:f>IF(K1919="הכנסה שסווגה מחדש",-G1919,0)</x:f>
        <x:v>0</x:v>
      </x:c>
      <x:c r="P1919" s="11" t="str">
        <x:v>אמקס - זיו</x:v>
      </x:c>
      <x:c r="Q1919" s="11" t="str"/>
      <x:c r="R1919" s="11" t="str">
        <x:v>לא</x:v>
      </x:c>
    </x:row>
    <x:row r="1920">
      <x:c r="A1920" s="14" t="n">
        <x:v>46235</x:v>
      </x:c>
      <x:c r="B1920" s="11" t="str">
        <x:v>2026-08</x:v>
      </x:c>
      <x:c r="C1920" s="11" t="str">
        <x:v>אוגוסט 26</x:v>
      </x:c>
      <x:c r="D1920" s="15" t="n">
        <x:v>60</x:v>
      </x:c>
      <x:c r="E1920" s="11" t="str">
        <x:v>07/08</x:v>
      </x:c>
      <x:c r="F1920" s="11" t="str">
        <x:v>אוכל</x:v>
      </x:c>
      <x:c r="G1920" s="17" t="n">
        <x:v>15</x:v>
      </x:c>
      <x:c r="H1920" s="18" t="str"/>
      <x:c r="I1920" s="19" t="str">
        <x:f>IFERROR(INDEX('מיפוי ומקורות'!$C$7:$C$33,MATCH(H1920,'מיפוי ומקורות'!$B$7:$B$33,0)),"לא מסווג")</x:f>
        <x:v>לא מסווג</x:v>
      </x:c>
      <x:c r="J1920" s="19" t="str">
        <x:f>IFERROR(INDEX('מיפוי ומקורות'!$D$7:$D$33,MATCH(H1920,'מיפוי ומקורות'!$B$7:$B$33,0)),"שוטף")</x:f>
        <x:v>שוטף</x:v>
      </x:c>
      <x:c r="K1920" s="19" t="str">
        <x:f>IF(OR(H1920="ריביות",AND(H1920="דירה כצנלסון",G1920&lt;0,ISNUMBER(SEARCH("הכנסה",F1920)))),"הכנסה שסווגה מחדש",J1920)</x:f>
        <x:v>שוטף</x:v>
      </x:c>
      <x:c r="L1920" s="19" t="str">
        <x:v>מאושר</x:v>
      </x:c>
      <x:c r="M1920" s="20" t="n">
        <x:f>IF(L1920="מאושר",IF(K1920="הכנסה שסווגה מחדש",0,G1920),0)</x:f>
        <x:v>15</x:v>
      </x:c>
      <x:c r="N1920" s="20" t="n">
        <x:f>IF(K1920="שוטף",M1920,0)</x:f>
        <x:v>15</x:v>
      </x:c>
      <x:c r="O1920" s="20" t="n">
        <x:f>IF(K1920="הכנסה שסווגה מחדש",-G1920,0)</x:f>
        <x:v>0</x:v>
      </x:c>
      <x:c r="P1920" s="11" t="str">
        <x:v>אמקס - זיו</x:v>
      </x:c>
      <x:c r="Q1920" s="11" t="str"/>
      <x:c r="R1920" s="11" t="str">
        <x:v>לא</x:v>
      </x:c>
    </x:row>
    <x:row r="1921">
      <x:c r="A1921" s="14" t="n">
        <x:v>46235</x:v>
      </x:c>
      <x:c r="B1921" s="11" t="str">
        <x:v>2026-08</x:v>
      </x:c>
      <x:c r="C1921" s="11" t="str">
        <x:v>אוגוסט 26</x:v>
      </x:c>
      <x:c r="D1921" s="15" t="n">
        <x:v>61</x:v>
      </x:c>
      <x:c r="E1921" s="11" t="str">
        <x:v>8.08</x:v>
      </x:c>
      <x:c r="F1921" s="11" t="str">
        <x:v>SHEIN.COM</x:v>
      </x:c>
      <x:c r="G1921" s="17" t="n">
        <x:v>-601</x:v>
      </x:c>
      <x:c r="H1921" s="18" t="str">
        <x:v>אופנה</x:v>
      </x:c>
      <x:c r="I1921" s="19" t="str">
        <x:f>IFERROR(INDEX('מיפוי ומקורות'!$C$7:$C$33,MATCH(H1921,'מיפוי ומקורות'!$B$7:$B$33,0)),"לא מסווג")</x:f>
        <x:v>אופנה</x:v>
      </x:c>
      <x:c r="J1921" s="19" t="str">
        <x:f>IFERROR(INDEX('מיפוי ומקורות'!$D$7:$D$33,MATCH(H1921,'מיפוי ומקורות'!$B$7:$B$33,0)),"שוטף")</x:f>
        <x:v>שוטף</x:v>
      </x:c>
      <x:c r="K1921" s="19" t="str">
        <x:f>IF(OR(H1921="ריביות",AND(H1921="דירה כצנלסון",G1921&lt;0,ISNUMBER(SEARCH("הכנסה",F1921)))),"הכנסה שסווגה מחדש",J1921)</x:f>
        <x:v>שוטף</x:v>
      </x:c>
      <x:c r="L1921" s="19" t="str">
        <x:v>מאושר</x:v>
      </x:c>
      <x:c r="M1921" s="20" t="n">
        <x:f>IF(L1921="מאושר",IF(K1921="הכנסה שסווגה מחדש",0,G1921),0)</x:f>
        <x:v>-601</x:v>
      </x:c>
      <x:c r="N1921" s="20" t="n">
        <x:f>IF(K1921="שוטף",M1921,0)</x:f>
        <x:v>-601</x:v>
      </x:c>
      <x:c r="O1921" s="20" t="n">
        <x:f>IF(K1921="הכנסה שסווגה מחדש",-G1921,0)</x:f>
        <x:v>0</x:v>
      </x:c>
      <x:c r="P1921" s="11" t="str">
        <x:v>אמקס - זיו</x:v>
      </x:c>
      <x:c r="Q1921" s="11" t="str"/>
      <x:c r="R1921" s="11" t="str">
        <x:v>לא</x:v>
      </x:c>
    </x:row>
    <x:row r="1922">
      <x:c r="A1922" s="14" t="n">
        <x:v>46235</x:v>
      </x:c>
      <x:c r="B1922" s="11" t="str">
        <x:v>2026-08</x:v>
      </x:c>
      <x:c r="C1922" s="11" t="str">
        <x:v>אוגוסט 26</x:v>
      </x:c>
      <x:c r="D1922" s="15" t="n">
        <x:v>62</x:v>
      </x:c>
      <x:c r="E1922" s="11" t="str">
        <x:v>09/08</x:v>
      </x:c>
      <x:c r="F1922" s="11" t="str">
        <x:v>מתנה</x:v>
      </x:c>
      <x:c r="G1922" s="17" t="n">
        <x:v>20</x:v>
      </x:c>
      <x:c r="H1922" s="18" t="str"/>
      <x:c r="I1922" s="19" t="str">
        <x:f>IFERROR(INDEX('מיפוי ומקורות'!$C$7:$C$33,MATCH(H1922,'מיפוי ומקורות'!$B$7:$B$33,0)),"לא מסווג")</x:f>
        <x:v>לא מסווג</x:v>
      </x:c>
      <x:c r="J1922" s="19" t="str">
        <x:f>IFERROR(INDEX('מיפוי ומקורות'!$D$7:$D$33,MATCH(H1922,'מיפוי ומקורות'!$B$7:$B$33,0)),"שוטף")</x:f>
        <x:v>שוטף</x:v>
      </x:c>
      <x:c r="K1922" s="19" t="str">
        <x:f>IF(OR(H1922="ריביות",AND(H1922="דירה כצנלסון",G1922&lt;0,ISNUMBER(SEARCH("הכנסה",F1922)))),"הכנסה שסווגה מחדש",J1922)</x:f>
        <x:v>שוטף</x:v>
      </x:c>
      <x:c r="L1922" s="19" t="str">
        <x:v>מאושר</x:v>
      </x:c>
      <x:c r="M1922" s="20" t="n">
        <x:f>IF(L1922="מאושר",IF(K1922="הכנסה שסווגה מחדש",0,G1922),0)</x:f>
        <x:v>20</x:v>
      </x:c>
      <x:c r="N1922" s="20" t="n">
        <x:f>IF(K1922="שוטף",M1922,0)</x:f>
        <x:v>20</x:v>
      </x:c>
      <x:c r="O1922" s="20" t="n">
        <x:f>IF(K1922="הכנסה שסווגה מחדש",-G1922,0)</x:f>
        <x:v>0</x:v>
      </x:c>
      <x:c r="P1922" s="11" t="str">
        <x:v>אמקס - זיו</x:v>
      </x:c>
      <x:c r="Q1922" s="11" t="str"/>
      <x:c r="R1922" s="11" t="str">
        <x:v>לא</x:v>
      </x:c>
    </x:row>
    <x:row r="1923">
      <x:c r="A1923" s="14" t="n">
        <x:v>46235</x:v>
      </x:c>
      <x:c r="B1923" s="11" t="str">
        <x:v>2026-08</x:v>
      </x:c>
      <x:c r="C1923" s="11" t="str">
        <x:v>אוגוסט 26</x:v>
      </x:c>
      <x:c r="D1923" s="15" t="n">
        <x:v>63</x:v>
      </x:c>
      <x:c r="E1923" s="11" t="str">
        <x:v>10/08</x:v>
      </x:c>
      <x:c r="F1923" s="11" t="str">
        <x:v>סנוקר</x:v>
      </x:c>
      <x:c r="G1923" s="17" t="n">
        <x:v>12</x:v>
      </x:c>
      <x:c r="H1923" s="18" t="str">
        <x:v>פנאי</x:v>
      </x:c>
      <x:c r="I1923" s="19" t="str">
        <x:f>IFERROR(INDEX('מיפוי ומקורות'!$C$7:$C$33,MATCH(H1923,'מיפוי ומקורות'!$B$7:$B$33,0)),"לא מסווג")</x:f>
        <x:v>פנאי</x:v>
      </x:c>
      <x:c r="J1923" s="19" t="str">
        <x:f>IFERROR(INDEX('מיפוי ומקורות'!$D$7:$D$33,MATCH(H1923,'מיפוי ומקורות'!$B$7:$B$33,0)),"שוטף")</x:f>
        <x:v>שוטף</x:v>
      </x:c>
      <x:c r="K1923" s="19" t="str">
        <x:f>IF(OR(H1923="ריביות",AND(H1923="דירה כצנלסון",G1923&lt;0,ISNUMBER(SEARCH("הכנסה",F1923)))),"הכנסה שסווגה מחדש",J1923)</x:f>
        <x:v>שוטף</x:v>
      </x:c>
      <x:c r="L1923" s="19" t="str">
        <x:v>מאושר</x:v>
      </x:c>
      <x:c r="M1923" s="20" t="n">
        <x:f>IF(L1923="מאושר",IF(K1923="הכנסה שסווגה מחדש",0,G1923),0)</x:f>
        <x:v>12</x:v>
      </x:c>
      <x:c r="N1923" s="20" t="n">
        <x:f>IF(K1923="שוטף",M1923,0)</x:f>
        <x:v>12</x:v>
      </x:c>
      <x:c r="O1923" s="20" t="n">
        <x:f>IF(K1923="הכנסה שסווגה מחדש",-G1923,0)</x:f>
        <x:v>0</x:v>
      </x:c>
      <x:c r="P1923" s="11" t="str">
        <x:v>אמקס - זיו</x:v>
      </x:c>
      <x:c r="Q1923" s="11" t="str"/>
      <x:c r="R1923" s="11" t="str">
        <x:v>לא</x:v>
      </x:c>
    </x:row>
    <x:row r="1924">
      <x:c r="A1924" s="14" t="n">
        <x:v>46235</x:v>
      </x:c>
      <x:c r="B1924" s="11" t="str">
        <x:v>2026-08</x:v>
      </x:c>
      <x:c r="C1924" s="11" t="str">
        <x:v>אוגוסט 26</x:v>
      </x:c>
      <x:c r="D1924" s="15" t="n">
        <x:v>64</x:v>
      </x:c>
      <x:c r="E1924" s="11" t="str">
        <x:v>13.08</x:v>
      </x:c>
      <x:c r="F1924" s="11" t="str">
        <x:v>מסעדה</x:v>
      </x:c>
      <x:c r="G1924" s="17" t="n">
        <x:v>21</x:v>
      </x:c>
      <x:c r="H1924" s="18" t="str">
        <x:v>אוכל בחוץ</x:v>
      </x:c>
      <x:c r="I1924" s="19" t="str">
        <x:f>IFERROR(INDEX('מיפוי ומקורות'!$C$7:$C$33,MATCH(H1924,'מיפוי ומקורות'!$B$7:$B$33,0)),"לא מסווג")</x:f>
        <x:v>אוכל בחוץ</x:v>
      </x:c>
      <x:c r="J1924" s="19" t="str">
        <x:f>IFERROR(INDEX('מיפוי ומקורות'!$D$7:$D$33,MATCH(H1924,'מיפוי ומקורות'!$B$7:$B$33,0)),"שוטף")</x:f>
        <x:v>שוטף</x:v>
      </x:c>
      <x:c r="K1924" s="19" t="str">
        <x:f>IF(OR(H1924="ריביות",AND(H1924="דירה כצנלסון",G1924&lt;0,ISNUMBER(SEARCH("הכנסה",F1924)))),"הכנסה שסווגה מחדש",J1924)</x:f>
        <x:v>שוטף</x:v>
      </x:c>
      <x:c r="L1924" s="19" t="str">
        <x:v>מאושר</x:v>
      </x:c>
      <x:c r="M1924" s="20" t="n">
        <x:f>IF(L1924="מאושר",IF(K1924="הכנסה שסווגה מחדש",0,G1924),0)</x:f>
        <x:v>21</x:v>
      </x:c>
      <x:c r="N1924" s="20" t="n">
        <x:f>IF(K1924="שוטף",M1924,0)</x:f>
        <x:v>21</x:v>
      </x:c>
      <x:c r="O1924" s="20" t="n">
        <x:f>IF(K1924="הכנסה שסווגה מחדש",-G1924,0)</x:f>
        <x:v>0</x:v>
      </x:c>
      <x:c r="P1924" s="11" t="str">
        <x:v>אמקס - זיו</x:v>
      </x:c>
      <x:c r="Q1924" s="11" t="str"/>
      <x:c r="R1924" s="11" t="str">
        <x:v>לא</x:v>
      </x:c>
    </x:row>
    <x:row r="1925">
      <x:c r="A1925" s="14" t="n">
        <x:v>46235</x:v>
      </x:c>
      <x:c r="B1925" s="11" t="str">
        <x:v>2026-08</x:v>
      </x:c>
      <x:c r="C1925" s="11" t="str">
        <x:v>אוגוסט 26</x:v>
      </x:c>
      <x:c r="D1925" s="15" t="n">
        <x:v>65</x:v>
      </x:c>
      <x:c r="E1925" s="11" t="str">
        <x:v>13.08</x:v>
      </x:c>
      <x:c r="F1925" s="11" t="str">
        <x:v>מסעדה</x:v>
      </x:c>
      <x:c r="G1925" s="17" t="n">
        <x:v>9</x:v>
      </x:c>
      <x:c r="H1925" s="18" t="str">
        <x:v>אוכל בחוץ</x:v>
      </x:c>
      <x:c r="I1925" s="19" t="str">
        <x:f>IFERROR(INDEX('מיפוי ומקורות'!$C$7:$C$33,MATCH(H1925,'מיפוי ומקורות'!$B$7:$B$33,0)),"לא מסווג")</x:f>
        <x:v>אוכל בחוץ</x:v>
      </x:c>
      <x:c r="J1925" s="19" t="str">
        <x:f>IFERROR(INDEX('מיפוי ומקורות'!$D$7:$D$33,MATCH(H1925,'מיפוי ומקורות'!$B$7:$B$33,0)),"שוטף")</x:f>
        <x:v>שוטף</x:v>
      </x:c>
      <x:c r="K1925" s="19" t="str">
        <x:f>IF(OR(H1925="ריביות",AND(H1925="דירה כצנלסון",G1925&lt;0,ISNUMBER(SEARCH("הכנסה",F1925)))),"הכנסה שסווגה מחדש",J1925)</x:f>
        <x:v>שוטף</x:v>
      </x:c>
      <x:c r="L1925" s="19" t="str">
        <x:v>מאושר</x:v>
      </x:c>
      <x:c r="M1925" s="20" t="n">
        <x:f>IF(L1925="מאושר",IF(K1925="הכנסה שסווגה מחדש",0,G1925),0)</x:f>
        <x:v>9</x:v>
      </x:c>
      <x:c r="N1925" s="20" t="n">
        <x:f>IF(K1925="שוטף",M1925,0)</x:f>
        <x:v>9</x:v>
      </x:c>
      <x:c r="O1925" s="20" t="n">
        <x:f>IF(K1925="הכנסה שסווגה מחדש",-G1925,0)</x:f>
        <x:v>0</x:v>
      </x:c>
      <x:c r="P1925" s="11" t="str">
        <x:v>אמקס - זיו</x:v>
      </x:c>
      <x:c r="Q1925" s="11" t="str"/>
      <x:c r="R1925" s="11" t="str">
        <x:v>לא</x:v>
      </x:c>
    </x:row>
    <x:row r="1926">
      <x:c r="A1926" s="14" t="n">
        <x:v>46235</x:v>
      </x:c>
      <x:c r="B1926" s="11" t="str">
        <x:v>2026-08</x:v>
      </x:c>
      <x:c r="C1926" s="11" t="str">
        <x:v>אוגוסט 26</x:v>
      </x:c>
      <x:c r="D1926" s="15" t="n">
        <x:v>66</x:v>
      </x:c>
      <x:c r="E1926" s="11" t="str">
        <x:v>13.08</x:v>
      </x:c>
      <x:c r="F1926" s="11" t="str">
        <x:v>מסעדה</x:v>
      </x:c>
      <x:c r="G1926" s="17" t="n">
        <x:v>352</x:v>
      </x:c>
      <x:c r="H1926" s="18" t="str">
        <x:v>אוכל בחוץ</x:v>
      </x:c>
      <x:c r="I1926" s="19" t="str">
        <x:f>IFERROR(INDEX('מיפוי ומקורות'!$C$7:$C$33,MATCH(H1926,'מיפוי ומקורות'!$B$7:$B$33,0)),"לא מסווג")</x:f>
        <x:v>אוכל בחוץ</x:v>
      </x:c>
      <x:c r="J1926" s="19" t="str">
        <x:f>IFERROR(INDEX('מיפוי ומקורות'!$D$7:$D$33,MATCH(H1926,'מיפוי ומקורות'!$B$7:$B$33,0)),"שוטף")</x:f>
        <x:v>שוטף</x:v>
      </x:c>
      <x:c r="K1926" s="19" t="str">
        <x:f>IF(OR(H1926="ריביות",AND(H1926="דירה כצנלסון",G1926&lt;0,ISNUMBER(SEARCH("הכנסה",F1926)))),"הכנסה שסווגה מחדש",J1926)</x:f>
        <x:v>שוטף</x:v>
      </x:c>
      <x:c r="L1926" s="19" t="str">
        <x:v>מאושר</x:v>
      </x:c>
      <x:c r="M1926" s="20" t="n">
        <x:f>IF(L1926="מאושר",IF(K1926="הכנסה שסווגה מחדש",0,G1926),0)</x:f>
        <x:v>352</x:v>
      </x:c>
      <x:c r="N1926" s="20" t="n">
        <x:f>IF(K1926="שוטף",M1926,0)</x:f>
        <x:v>352</x:v>
      </x:c>
      <x:c r="O1926" s="20" t="n">
        <x:f>IF(K1926="הכנסה שסווגה מחדש",-G1926,0)</x:f>
        <x:v>0</x:v>
      </x:c>
      <x:c r="P1926" s="11" t="str">
        <x:v>אמקס - זיו</x:v>
      </x:c>
      <x:c r="Q1926" s="11" t="str"/>
      <x:c r="R1926" s="11" t="str">
        <x:v>לא</x:v>
      </x:c>
    </x:row>
    <x:row r="1927">
      <x:c r="A1927" s="14" t="n">
        <x:v>46235</x:v>
      </x:c>
      <x:c r="B1927" s="11" t="str">
        <x:v>2026-08</x:v>
      </x:c>
      <x:c r="C1927" s="11" t="str">
        <x:v>אוגוסט 26</x:v>
      </x:c>
      <x:c r="D1927" s="15" t="n">
        <x:v>67</x:v>
      </x:c>
      <x:c r="E1927" s="11" t="str">
        <x:v>14.08</x:v>
      </x:c>
      <x:c r="F1927" s="11" t="str">
        <x:v>ירקן</x:v>
      </x:c>
      <x:c r="G1927" s="17" t="n">
        <x:v>138</x:v>
      </x:c>
      <x:c r="H1927" s="18" t="str">
        <x:v>מזון לבית</x:v>
      </x:c>
      <x:c r="I1927" s="19" t="str">
        <x:f>IFERROR(INDEX('מיפוי ומקורות'!$C$7:$C$33,MATCH(H1927,'מיפוי ומקורות'!$B$7:$B$33,0)),"לא מסווג")</x:f>
        <x:v>מזון לבית</x:v>
      </x:c>
      <x:c r="J1927" s="19" t="str">
        <x:f>IFERROR(INDEX('מיפוי ומקורות'!$D$7:$D$33,MATCH(H1927,'מיפוי ומקורות'!$B$7:$B$33,0)),"שוטף")</x:f>
        <x:v>שוטף</x:v>
      </x:c>
      <x:c r="K1927" s="19" t="str">
        <x:f>IF(OR(H1927="ריביות",AND(H1927="דירה כצנלסון",G1927&lt;0,ISNUMBER(SEARCH("הכנסה",F1927)))),"הכנסה שסווגה מחדש",J1927)</x:f>
        <x:v>שוטף</x:v>
      </x:c>
      <x:c r="L1927" s="19" t="str">
        <x:v>מאושר</x:v>
      </x:c>
      <x:c r="M1927" s="20" t="n">
        <x:f>IF(L1927="מאושר",IF(K1927="הכנסה שסווגה מחדש",0,G1927),0)</x:f>
        <x:v>138</x:v>
      </x:c>
      <x:c r="N1927" s="20" t="n">
        <x:f>IF(K1927="שוטף",M1927,0)</x:f>
        <x:v>138</x:v>
      </x:c>
      <x:c r="O1927" s="20" t="n">
        <x:f>IF(K1927="הכנסה שסווגה מחדש",-G1927,0)</x:f>
        <x:v>0</x:v>
      </x:c>
      <x:c r="P1927" s="11" t="str">
        <x:v>אמקס - זיו</x:v>
      </x:c>
      <x:c r="Q1927" s="11" t="str"/>
      <x:c r="R1927" s="11" t="str">
        <x:v>לא</x:v>
      </x:c>
    </x:row>
    <x:row r="1928">
      <x:c r="A1928" s="14" t="n">
        <x:v>46235</x:v>
      </x:c>
      <x:c r="B1928" s="11" t="str">
        <x:v>2026-08</x:v>
      </x:c>
      <x:c r="C1928" s="11" t="str">
        <x:v>אוגוסט 26</x:v>
      </x:c>
      <x:c r="D1928" s="15" t="n">
        <x:v>68</x:v>
      </x:c>
      <x:c r="E1928" s="11" t="str">
        <x:v>16.08</x:v>
      </x:c>
      <x:c r="F1928" s="11" t="str">
        <x:v>דלק</x:v>
      </x:c>
      <x:c r="G1928" s="17" t="n">
        <x:v>234</x:v>
      </x:c>
      <x:c r="H1928" s="18" t="str">
        <x:v>תחבורה</x:v>
      </x:c>
      <x:c r="I1928" s="19" t="str">
        <x:f>IFERROR(INDEX('מיפוי ומקורות'!$C$7:$C$33,MATCH(H1928,'מיפוי ומקורות'!$B$7:$B$33,0)),"לא מסווג")</x:f>
        <x:v>תחבורה</x:v>
      </x:c>
      <x:c r="J1928" s="19" t="str">
        <x:f>IFERROR(INDEX('מיפוי ומקורות'!$D$7:$D$33,MATCH(H1928,'מיפוי ומקורות'!$B$7:$B$33,0)),"שוטף")</x:f>
        <x:v>שוטף</x:v>
      </x:c>
      <x:c r="K1928" s="19" t="str">
        <x:f>IF(OR(H1928="ריביות",AND(H1928="דירה כצנלסון",G1928&lt;0,ISNUMBER(SEARCH("הכנסה",F1928)))),"הכנסה שסווגה מחדש",J1928)</x:f>
        <x:v>שוטף</x:v>
      </x:c>
      <x:c r="L1928" s="19" t="str">
        <x:v>מאושר</x:v>
      </x:c>
      <x:c r="M1928" s="20" t="n">
        <x:f>IF(L1928="מאושר",IF(K1928="הכנסה שסווגה מחדש",0,G1928),0)</x:f>
        <x:v>234</x:v>
      </x:c>
      <x:c r="N1928" s="20" t="n">
        <x:f>IF(K1928="שוטף",M1928,0)</x:f>
        <x:v>234</x:v>
      </x:c>
      <x:c r="O1928" s="20" t="n">
        <x:f>IF(K1928="הכנסה שסווגה מחדש",-G1928,0)</x:f>
        <x:v>0</x:v>
      </x:c>
      <x:c r="P1928" s="11" t="str">
        <x:v>אמקס - זיו</x:v>
      </x:c>
      <x:c r="Q1928" s="11" t="str"/>
      <x:c r="R1928" s="11" t="str">
        <x:v>לא</x:v>
      </x:c>
    </x:row>
    <x:row r="1929">
      <x:c r="A1929" s="14" t="n">
        <x:v>46235</x:v>
      </x:c>
      <x:c r="B1929" s="11" t="str">
        <x:v>2026-08</x:v>
      </x:c>
      <x:c r="C1929" s="11" t="str">
        <x:v>אוגוסט 26</x:v>
      </x:c>
      <x:c r="D1929" s="15" t="n">
        <x:v>69</x:v>
      </x:c>
      <x:c r="E1929" s="11" t="str">
        <x:v>20.08</x:v>
      </x:c>
      <x:c r="F1929" s="11" t="str">
        <x:v>מסעדה</x:v>
      </x:c>
      <x:c r="G1929" s="17" t="n">
        <x:v>58</x:v>
      </x:c>
      <x:c r="H1929" s="18" t="str">
        <x:v>אוכל בחוץ</x:v>
      </x:c>
      <x:c r="I1929" s="19" t="str">
        <x:f>IFERROR(INDEX('מיפוי ומקורות'!$C$7:$C$33,MATCH(H1929,'מיפוי ומקורות'!$B$7:$B$33,0)),"לא מסווג")</x:f>
        <x:v>אוכל בחוץ</x:v>
      </x:c>
      <x:c r="J1929" s="19" t="str">
        <x:f>IFERROR(INDEX('מיפוי ומקורות'!$D$7:$D$33,MATCH(H1929,'מיפוי ומקורות'!$B$7:$B$33,0)),"שוטף")</x:f>
        <x:v>שוטף</x:v>
      </x:c>
      <x:c r="K1929" s="19" t="str">
        <x:f>IF(OR(H1929="ריביות",AND(H1929="דירה כצנלסון",G1929&lt;0,ISNUMBER(SEARCH("הכנסה",F1929)))),"הכנסה שסווגה מחדש",J1929)</x:f>
        <x:v>שוטף</x:v>
      </x:c>
      <x:c r="L1929" s="19" t="str">
        <x:v>מאושר</x:v>
      </x:c>
      <x:c r="M1929" s="20" t="n">
        <x:f>IF(L1929="מאושר",IF(K1929="הכנסה שסווגה מחדש",0,G1929),0)</x:f>
        <x:v>58</x:v>
      </x:c>
      <x:c r="N1929" s="20" t="n">
        <x:f>IF(K1929="שוטף",M1929,0)</x:f>
        <x:v>58</x:v>
      </x:c>
      <x:c r="O1929" s="20" t="n">
        <x:f>IF(K1929="הכנסה שסווגה מחדש",-G1929,0)</x:f>
        <x:v>0</x:v>
      </x:c>
      <x:c r="P1929" s="11" t="str">
        <x:v>אמקס - זיו</x:v>
      </x:c>
      <x:c r="Q1929" s="11" t="str"/>
      <x:c r="R1929" s="11" t="str">
        <x:v>לא</x:v>
      </x:c>
    </x:row>
    <x:row r="1930">
      <x:c r="A1930" s="14" t="n">
        <x:v>46235</x:v>
      </x:c>
      <x:c r="B1930" s="11" t="str">
        <x:v>2026-08</x:v>
      </x:c>
      <x:c r="C1930" s="11" t="str">
        <x:v>אוגוסט 26</x:v>
      </x:c>
      <x:c r="D1930" s="15" t="n">
        <x:v>70</x:v>
      </x:c>
      <x:c r="E1930" s="11" t="str">
        <x:v>20.08</x:v>
      </x:c>
      <x:c r="F1930" s="11" t="str">
        <x:v>חניון קצה השדרה</x:v>
      </x:c>
      <x:c r="G1930" s="17" t="n">
        <x:v>34</x:v>
      </x:c>
      <x:c r="H1930" s="18" t="str"/>
      <x:c r="I1930" s="19" t="str">
        <x:f>IFERROR(INDEX('מיפוי ומקורות'!$C$7:$C$33,MATCH(H1930,'מיפוי ומקורות'!$B$7:$B$33,0)),"לא מסווג")</x:f>
        <x:v>לא מסווג</x:v>
      </x:c>
      <x:c r="J1930" s="19" t="str">
        <x:f>IFERROR(INDEX('מיפוי ומקורות'!$D$7:$D$33,MATCH(H1930,'מיפוי ומקורות'!$B$7:$B$33,0)),"שוטף")</x:f>
        <x:v>שוטף</x:v>
      </x:c>
      <x:c r="K1930" s="19" t="str">
        <x:f>IF(OR(H1930="ריביות",AND(H1930="דירה כצנלסון",G1930&lt;0,ISNUMBER(SEARCH("הכנסה",F1930)))),"הכנסה שסווגה מחדש",J1930)</x:f>
        <x:v>שוטף</x:v>
      </x:c>
      <x:c r="L1930" s="19" t="str">
        <x:v>מאושר</x:v>
      </x:c>
      <x:c r="M1930" s="20" t="n">
        <x:f>IF(L1930="מאושר",IF(K1930="הכנסה שסווגה מחדש",0,G1930),0)</x:f>
        <x:v>34</x:v>
      </x:c>
      <x:c r="N1930" s="20" t="n">
        <x:f>IF(K1930="שוטף",M1930,0)</x:f>
        <x:v>34</x:v>
      </x:c>
      <x:c r="O1930" s="20" t="n">
        <x:f>IF(K1930="הכנסה שסווגה מחדש",-G1930,0)</x:f>
        <x:v>0</x:v>
      </x:c>
      <x:c r="P1930" s="11" t="str">
        <x:v>אמקס - זיו</x:v>
      </x:c>
      <x:c r="Q1930" s="11" t="str"/>
      <x:c r="R1930" s="11" t="str">
        <x:v>לא</x:v>
      </x:c>
    </x:row>
    <x:row r="1931">
      <x:c r="A1931" s="14" t="n">
        <x:v>46235</x:v>
      </x:c>
      <x:c r="B1931" s="11" t="str">
        <x:v>2026-08</x:v>
      </x:c>
      <x:c r="C1931" s="11" t="str">
        <x:v>אוגוסט 26</x:v>
      </x:c>
      <x:c r="D1931" s="15" t="n">
        <x:v>71</x:v>
      </x:c>
      <x:c r="E1931" s="11" t="str">
        <x:v>24/08</x:v>
      </x:c>
      <x:c r="F1931" s="11" t="str">
        <x:v>UPAPP - אימון</x:v>
      </x:c>
      <x:c r="G1931" s="17" t="n">
        <x:v>25</x:v>
      </x:c>
      <x:c r="H1931" s="18" t="str">
        <x:v>ספורט</x:v>
      </x:c>
      <x:c r="I1931" s="19" t="str">
        <x:f>IFERROR(INDEX('מיפוי ומקורות'!$C$7:$C$33,MATCH(H1931,'מיפוי ומקורות'!$B$7:$B$33,0)),"לא מסווג")</x:f>
        <x:v>ספורט</x:v>
      </x:c>
      <x:c r="J1931" s="19" t="str">
        <x:f>IFERROR(INDEX('מיפוי ומקורות'!$D$7:$D$33,MATCH(H1931,'מיפוי ומקורות'!$B$7:$B$33,0)),"שוטף")</x:f>
        <x:v>שוטף</x:v>
      </x:c>
      <x:c r="K1931" s="19" t="str">
        <x:f>IF(OR(H1931="ריביות",AND(H1931="דירה כצנלסון",G1931&lt;0,ISNUMBER(SEARCH("הכנסה",F1931)))),"הכנסה שסווגה מחדש",J1931)</x:f>
        <x:v>שוטף</x:v>
      </x:c>
      <x:c r="L1931" s="19" t="str">
        <x:v>מאושר</x:v>
      </x:c>
      <x:c r="M1931" s="20" t="n">
        <x:f>IF(L1931="מאושר",IF(K1931="הכנסה שסווגה מחדש",0,G1931),0)</x:f>
        <x:v>25</x:v>
      </x:c>
      <x:c r="N1931" s="20" t="n">
        <x:f>IF(K1931="שוטף",M1931,0)</x:f>
        <x:v>25</x:v>
      </x:c>
      <x:c r="O1931" s="20" t="n">
        <x:f>IF(K1931="הכנסה שסווגה מחדש",-G1931,0)</x:f>
        <x:v>0</x:v>
      </x:c>
      <x:c r="P1931" s="11" t="str">
        <x:v>אמקס - זיו</x:v>
      </x:c>
      <x:c r="Q1931" s="11" t="str"/>
      <x:c r="R1931" s="11" t="str">
        <x:v>לא</x:v>
      </x:c>
    </x:row>
    <x:row r="1932">
      <x:c r="A1932" s="14" t="n">
        <x:v>46235</x:v>
      </x:c>
      <x:c r="B1932" s="11" t="str">
        <x:v>2026-08</x:v>
      </x:c>
      <x:c r="C1932" s="11" t="str">
        <x:v>אוגוסט 26</x:v>
      </x:c>
      <x:c r="D1932" s="15" t="n">
        <x:v>72</x:v>
      </x:c>
      <x:c r="E1932" s="11" t="str">
        <x:v>24.08</x:v>
      </x:c>
      <x:c r="F1932" s="11" t="str">
        <x:v>סופר</x:v>
      </x:c>
      <x:c r="G1932" s="17" t="n">
        <x:v>485</x:v>
      </x:c>
      <x:c r="H1932" s="18" t="str">
        <x:v>מזון לבית</x:v>
      </x:c>
      <x:c r="I1932" s="19" t="str">
        <x:f>IFERROR(INDEX('מיפוי ומקורות'!$C$7:$C$33,MATCH(H1932,'מיפוי ומקורות'!$B$7:$B$33,0)),"לא מסווג")</x:f>
        <x:v>מזון לבית</x:v>
      </x:c>
      <x:c r="J1932" s="19" t="str">
        <x:f>IFERROR(INDEX('מיפוי ומקורות'!$D$7:$D$33,MATCH(H1932,'מיפוי ומקורות'!$B$7:$B$33,0)),"שוטף")</x:f>
        <x:v>שוטף</x:v>
      </x:c>
      <x:c r="K1932" s="19" t="str">
        <x:f>IF(OR(H1932="ריביות",AND(H1932="דירה כצנלסון",G1932&lt;0,ISNUMBER(SEARCH("הכנסה",F1932)))),"הכנסה שסווגה מחדש",J1932)</x:f>
        <x:v>שוטף</x:v>
      </x:c>
      <x:c r="L1932" s="19" t="str">
        <x:v>מאושר</x:v>
      </x:c>
      <x:c r="M1932" s="20" t="n">
        <x:f>IF(L1932="מאושר",IF(K1932="הכנסה שסווגה מחדש",0,G1932),0)</x:f>
        <x:v>485</x:v>
      </x:c>
      <x:c r="N1932" s="20" t="n">
        <x:f>IF(K1932="שוטף",M1932,0)</x:f>
        <x:v>485</x:v>
      </x:c>
      <x:c r="O1932" s="20" t="n">
        <x:f>IF(K1932="הכנסה שסווגה מחדש",-G1932,0)</x:f>
        <x:v>0</x:v>
      </x:c>
      <x:c r="P1932" s="11" t="str">
        <x:v>אמקס - זיו</x:v>
      </x:c>
      <x:c r="Q1932" s="11" t="str"/>
      <x:c r="R1932" s="11" t="str">
        <x:v>לא</x:v>
      </x:c>
    </x:row>
    <x:row r="1933">
      <x:c r="A1933" s="14" t="n">
        <x:v>46235</x:v>
      </x:c>
      <x:c r="B1933" s="11" t="str">
        <x:v>2026-08</x:v>
      </x:c>
      <x:c r="C1933" s="11" t="str">
        <x:v>אוגוסט 26</x:v>
      </x:c>
      <x:c r="D1933" s="15" t="n">
        <x:v>73</x:v>
      </x:c>
      <x:c r="E1933" s="11" t="str">
        <x:v>26/08</x:v>
      </x:c>
      <x:c r="F1933" s="11" t="str">
        <x:v>יו יו טאי מסאג'</x:v>
      </x:c>
      <x:c r="G1933" s="17" t="n">
        <x:v>540</x:v>
      </x:c>
      <x:c r="H1933" s="18" t="str">
        <x:v>פנאי</x:v>
      </x:c>
      <x:c r="I1933" s="19" t="str">
        <x:f>IFERROR(INDEX('מיפוי ומקורות'!$C$7:$C$33,MATCH(H1933,'מיפוי ומקורות'!$B$7:$B$33,0)),"לא מסווג")</x:f>
        <x:v>פנאי</x:v>
      </x:c>
      <x:c r="J1933" s="19" t="str">
        <x:f>IFERROR(INDEX('מיפוי ומקורות'!$D$7:$D$33,MATCH(H1933,'מיפוי ומקורות'!$B$7:$B$33,0)),"שוטף")</x:f>
        <x:v>שוטף</x:v>
      </x:c>
      <x:c r="K1933" s="19" t="str">
        <x:f>IF(OR(H1933="ריביות",AND(H1933="דירה כצנלסון",G1933&lt;0,ISNUMBER(SEARCH("הכנסה",F1933)))),"הכנסה שסווגה מחדש",J1933)</x:f>
        <x:v>שוטף</x:v>
      </x:c>
      <x:c r="L1933" s="19" t="str">
        <x:v>מאושר</x:v>
      </x:c>
      <x:c r="M1933" s="20" t="n">
        <x:f>IF(L1933="מאושר",IF(K1933="הכנסה שסווגה מחדש",0,G1933),0)</x:f>
        <x:v>540</x:v>
      </x:c>
      <x:c r="N1933" s="20" t="n">
        <x:f>IF(K1933="שוטף",M1933,0)</x:f>
        <x:v>540</x:v>
      </x:c>
      <x:c r="O1933" s="20" t="n">
        <x:f>IF(K1933="הכנסה שסווגה מחדש",-G1933,0)</x:f>
        <x:v>0</x:v>
      </x:c>
      <x:c r="P1933" s="11" t="str">
        <x:v>אמקס - זיו</x:v>
      </x:c>
      <x:c r="Q1933" s="11" t="str"/>
      <x:c r="R1933" s="11" t="str">
        <x:v>לא</x:v>
      </x:c>
    </x:row>
    <x:row r="1934">
      <x:c r="A1934" s="14" t="n">
        <x:v>46235</x:v>
      </x:c>
      <x:c r="B1934" s="11" t="str">
        <x:v>2026-08</x:v>
      </x:c>
      <x:c r="C1934" s="11" t="str">
        <x:v>אוגוסט 26</x:v>
      </x:c>
      <x:c r="D1934" s="15" t="n">
        <x:v>74</x:v>
      </x:c>
      <x:c r="E1934" s="11" t="str">
        <x:v>28.08</x:v>
      </x:c>
      <x:c r="F1934" s="11" t="str">
        <x:v>סופר</x:v>
      </x:c>
      <x:c r="G1934" s="17" t="n">
        <x:v>64</x:v>
      </x:c>
      <x:c r="H1934" s="18" t="str">
        <x:v>מזון לבית</x:v>
      </x:c>
      <x:c r="I1934" s="19" t="str">
        <x:f>IFERROR(INDEX('מיפוי ומקורות'!$C$7:$C$33,MATCH(H1934,'מיפוי ומקורות'!$B$7:$B$33,0)),"לא מסווג")</x:f>
        <x:v>מזון לבית</x:v>
      </x:c>
      <x:c r="J1934" s="19" t="str">
        <x:f>IFERROR(INDEX('מיפוי ומקורות'!$D$7:$D$33,MATCH(H1934,'מיפוי ומקורות'!$B$7:$B$33,0)),"שוטף")</x:f>
        <x:v>שוטף</x:v>
      </x:c>
      <x:c r="K1934" s="19" t="str">
        <x:f>IF(OR(H1934="ריביות",AND(H1934="דירה כצנלסון",G1934&lt;0,ISNUMBER(SEARCH("הכנסה",F1934)))),"הכנסה שסווגה מחדש",J1934)</x:f>
        <x:v>שוטף</x:v>
      </x:c>
      <x:c r="L1934" s="19" t="str">
        <x:v>מאושר</x:v>
      </x:c>
      <x:c r="M1934" s="20" t="n">
        <x:f>IF(L1934="מאושר",IF(K1934="הכנסה שסווגה מחדש",0,G1934),0)</x:f>
        <x:v>64</x:v>
      </x:c>
      <x:c r="N1934" s="20" t="n">
        <x:f>IF(K1934="שוטף",M1934,0)</x:f>
        <x:v>64</x:v>
      </x:c>
      <x:c r="O1934" s="20" t="n">
        <x:f>IF(K1934="הכנסה שסווגה מחדש",-G1934,0)</x:f>
        <x:v>0</x:v>
      </x:c>
      <x:c r="P1934" s="11" t="str">
        <x:v>אמקס - זיו</x:v>
      </x:c>
      <x:c r="Q1934" s="11" t="str"/>
      <x:c r="R1934" s="11" t="str">
        <x:v>לא</x:v>
      </x:c>
    </x:row>
    <x:row r="1935">
      <x:c r="A1935" s="14" t="n">
        <x:v>46235</x:v>
      </x:c>
      <x:c r="B1935" s="11" t="str">
        <x:v>2026-08</x:v>
      </x:c>
      <x:c r="C1935" s="11" t="str">
        <x:v>אוגוסט 26</x:v>
      </x:c>
      <x:c r="D1935" s="15" t="n">
        <x:v>75</x:v>
      </x:c>
      <x:c r="E1935" s="11" t="str">
        <x:v>30/08</x:v>
      </x:c>
      <x:c r="F1935" s="11" t="str">
        <x:v>סוני</x:v>
      </x:c>
      <x:c r="G1935" s="17" t="n">
        <x:v>1500</x:v>
      </x:c>
      <x:c r="H1935" s="18" t="str">
        <x:v>אלקטרוניקה</x:v>
      </x:c>
      <x:c r="I1935" s="19" t="str">
        <x:f>IFERROR(INDEX('מיפוי ומקורות'!$C$7:$C$33,MATCH(H1935,'מיפוי ומקורות'!$B$7:$B$33,0)),"לא מסווג")</x:f>
        <x:v>אלקטרוניקה</x:v>
      </x:c>
      <x:c r="J1935" s="19" t="str">
        <x:f>IFERROR(INDEX('מיפוי ומקורות'!$D$7:$D$33,MATCH(H1935,'מיפוי ומקורות'!$B$7:$B$33,0)),"שוטף")</x:f>
        <x:v>שוטף</x:v>
      </x:c>
      <x:c r="K1935" s="19" t="str">
        <x:f>IF(OR(H1935="ריביות",AND(H1935="דירה כצנלסון",G1935&lt;0,ISNUMBER(SEARCH("הכנסה",F1935)))),"הכנסה שסווגה מחדש",J1935)</x:f>
        <x:v>שוטף</x:v>
      </x:c>
      <x:c r="L1935" s="19" t="str">
        <x:v>מאושר</x:v>
      </x:c>
      <x:c r="M1935" s="20" t="n">
        <x:f>IF(L1935="מאושר",IF(K1935="הכנסה שסווגה מחדש",0,G1935),0)</x:f>
        <x:v>1500</x:v>
      </x:c>
      <x:c r="N1935" s="20" t="n">
        <x:f>IF(K1935="שוטף",M1935,0)</x:f>
        <x:v>1500</x:v>
      </x:c>
      <x:c r="O1935" s="20" t="n">
        <x:f>IF(K1935="הכנסה שסווגה מחדש",-G1935,0)</x:f>
        <x:v>0</x:v>
      </x:c>
      <x:c r="P1935" s="11" t="str">
        <x:v>אמקס - זיו</x:v>
      </x:c>
      <x:c r="Q1935" s="11" t="str"/>
      <x:c r="R1935" s="11" t="str">
        <x:v>לא</x:v>
      </x:c>
    </x:row>
    <x:row r="1936">
      <x:c r="A1936" s="14" t="n">
        <x:v>46235</x:v>
      </x:c>
      <x:c r="B1936" s="11" t="str">
        <x:v>2026-08</x:v>
      </x:c>
      <x:c r="C1936" s="11" t="str">
        <x:v>אוגוסט 26</x:v>
      </x:c>
      <x:c r="D1936" s="15" t="n">
        <x:v>76</x:v>
      </x:c>
      <x:c r="E1936" s="11" t="str">
        <x:v>31.08</x:v>
      </x:c>
      <x:c r="F1936" s="11" t="str">
        <x:v>מסעדה</x:v>
      </x:c>
      <x:c r="G1936" s="17" t="n">
        <x:v>29</x:v>
      </x:c>
      <x:c r="H1936" s="18" t="str">
        <x:v>אוכל בחוץ</x:v>
      </x:c>
      <x:c r="I1936" s="19" t="str">
        <x:f>IFERROR(INDEX('מיפוי ומקורות'!$C$7:$C$33,MATCH(H1936,'מיפוי ומקורות'!$B$7:$B$33,0)),"לא מסווג")</x:f>
        <x:v>אוכל בחוץ</x:v>
      </x:c>
      <x:c r="J1936" s="19" t="str">
        <x:f>IFERROR(INDEX('מיפוי ומקורות'!$D$7:$D$33,MATCH(H1936,'מיפוי ומקורות'!$B$7:$B$33,0)),"שוטף")</x:f>
        <x:v>שוטף</x:v>
      </x:c>
      <x:c r="K1936" s="19" t="str">
        <x:f>IF(OR(H1936="ריביות",AND(H1936="דירה כצנלסון",G1936&lt;0,ISNUMBER(SEARCH("הכנסה",F1936)))),"הכנסה שסווגה מחדש",J1936)</x:f>
        <x:v>שוטף</x:v>
      </x:c>
      <x:c r="L1936" s="19" t="str">
        <x:v>מאושר</x:v>
      </x:c>
      <x:c r="M1936" s="20" t="n">
        <x:f>IF(L1936="מאושר",IF(K1936="הכנסה שסווגה מחדש",0,G1936),0)</x:f>
        <x:v>29</x:v>
      </x:c>
      <x:c r="N1936" s="20" t="n">
        <x:f>IF(K1936="שוטף",M1936,0)</x:f>
        <x:v>29</x:v>
      </x:c>
      <x:c r="O1936" s="20" t="n">
        <x:f>IF(K1936="הכנסה שסווגה מחדש",-G1936,0)</x:f>
        <x:v>0</x:v>
      </x:c>
      <x:c r="P1936" s="11" t="str">
        <x:v>אמקס - זיו</x:v>
      </x:c>
      <x:c r="Q1936" s="11" t="str"/>
      <x:c r="R1936" s="11" t="str">
        <x:v>לא</x:v>
      </x:c>
    </x:row>
    <x:row r="1937">
      <x:c r="A1937" s="14" t="n">
        <x:v>46235</x:v>
      </x:c>
      <x:c r="B1937" s="11" t="str">
        <x:v>2026-08</x:v>
      </x:c>
      <x:c r="C1937" s="11" t="str">
        <x:v>אוגוסט 26</x:v>
      </x:c>
      <x:c r="D1937" s="15" t="n">
        <x:v>77</x:v>
      </x:c>
      <x:c r="E1937" s="11" t="str">
        <x:v>31.08</x:v>
      </x:c>
      <x:c r="F1937" s="11" t="str">
        <x:v>דלק</x:v>
      </x:c>
      <x:c r="G1937" s="17" t="n">
        <x:v>245</x:v>
      </x:c>
      <x:c r="H1937" s="18" t="str">
        <x:v>תחבורה</x:v>
      </x:c>
      <x:c r="I1937" s="19" t="str">
        <x:f>IFERROR(INDEX('מיפוי ומקורות'!$C$7:$C$33,MATCH(H1937,'מיפוי ומקורות'!$B$7:$B$33,0)),"לא מסווג")</x:f>
        <x:v>תחבורה</x:v>
      </x:c>
      <x:c r="J1937" s="19" t="str">
        <x:f>IFERROR(INDEX('מיפוי ומקורות'!$D$7:$D$33,MATCH(H1937,'מיפוי ומקורות'!$B$7:$B$33,0)),"שוטף")</x:f>
        <x:v>שוטף</x:v>
      </x:c>
      <x:c r="K1937" s="19" t="str">
        <x:f>IF(OR(H1937="ריביות",AND(H1937="דירה כצנלסון",G1937&lt;0,ISNUMBER(SEARCH("הכנסה",F1937)))),"הכנסה שסווגה מחדש",J1937)</x:f>
        <x:v>שוטף</x:v>
      </x:c>
      <x:c r="L1937" s="19" t="str">
        <x:v>מאושר</x:v>
      </x:c>
      <x:c r="M1937" s="20" t="n">
        <x:f>IF(L1937="מאושר",IF(K1937="הכנסה שסווגה מחדש",0,G1937),0)</x:f>
        <x:v>245</x:v>
      </x:c>
      <x:c r="N1937" s="20" t="n">
        <x:f>IF(K1937="שוטף",M1937,0)</x:f>
        <x:v>245</x:v>
      </x:c>
      <x:c r="O1937" s="20" t="n">
        <x:f>IF(K1937="הכנסה שסווגה מחדש",-G1937,0)</x:f>
        <x:v>0</x:v>
      </x:c>
      <x:c r="P1937" s="11" t="str">
        <x:v>אמקס - זיו</x:v>
      </x:c>
      <x:c r="Q1937" s="11" t="str"/>
      <x:c r="R1937" s="11" t="str">
        <x:v>לא</x:v>
      </x:c>
    </x:row>
    <x:row r="1938">
      <x:c r="A1938" s="14" t="n">
        <x:v>46235</x:v>
      </x:c>
      <x:c r="B1938" s="11" t="str">
        <x:v>2026-08</x:v>
      </x:c>
      <x:c r="C1938" s="11" t="str">
        <x:v>אוגוסט 26</x:v>
      </x:c>
      <x:c r="D1938" s="15" t="n">
        <x:v>78</x:v>
      </x:c>
      <x:c r="E1938" s="11" t="str">
        <x:v>18/08</x:v>
      </x:c>
      <x:c r="F1938" s="11" t="str">
        <x:v>אופטיקה הלפרין בע"מ</x:v>
      </x:c>
      <x:c r="G1938" s="17" t="n">
        <x:v>205</x:v>
      </x:c>
      <x:c r="H1938" s="18" t="str">
        <x:v>אופנה</x:v>
      </x:c>
      <x:c r="I1938" s="19" t="str">
        <x:f>IFERROR(INDEX('מיפוי ומקורות'!$C$7:$C$33,MATCH(H1938,'מיפוי ומקורות'!$B$7:$B$33,0)),"לא מסווג")</x:f>
        <x:v>אופנה</x:v>
      </x:c>
      <x:c r="J1938" s="19" t="str">
        <x:f>IFERROR(INDEX('מיפוי ומקורות'!$D$7:$D$33,MATCH(H1938,'מיפוי ומקורות'!$B$7:$B$33,0)),"שוטף")</x:f>
        <x:v>שוטף</x:v>
      </x:c>
      <x:c r="K1938" s="19" t="str">
        <x:f>IF(OR(H1938="ריביות",AND(H1938="דירה כצנלסון",G1938&lt;0,ISNUMBER(SEARCH("הכנסה",F1938)))),"הכנסה שסווגה מחדש",J1938)</x:f>
        <x:v>שוטף</x:v>
      </x:c>
      <x:c r="L1938" s="19" t="str">
        <x:v>מאושר</x:v>
      </x:c>
      <x:c r="M1938" s="20" t="n">
        <x:f>IF(L1938="מאושר",IF(K1938="הכנסה שסווגה מחדש",0,G1938),0)</x:f>
        <x:v>205</x:v>
      </x:c>
      <x:c r="N1938" s="20" t="n">
        <x:f>IF(K1938="שוטף",M1938,0)</x:f>
        <x:v>205</x:v>
      </x:c>
      <x:c r="O1938" s="20" t="n">
        <x:f>IF(K1938="הכנסה שסווגה מחדש",-G1938,0)</x:f>
        <x:v>0</x:v>
      </x:c>
      <x:c r="P1938" s="11" t="str">
        <x:v>הוט - זיו</x:v>
      </x:c>
      <x:c r="Q1938" s="11" t="str"/>
      <x:c r="R1938" s="11" t="str">
        <x:v>לא</x:v>
      </x:c>
    </x:row>
    <x:row r="1939">
      <x:c r="A1939" s="14" t="n">
        <x:v>46235</x:v>
      </x:c>
      <x:c r="B1939" s="11" t="str">
        <x:v>2026-08</x:v>
      </x:c>
      <x:c r="C1939" s="11" t="str">
        <x:v>אוגוסט 26</x:v>
      </x:c>
      <x:c r="D1939" s="15" t="n">
        <x:v>79</x:v>
      </x:c>
      <x:c r="E1939" s="11" t="str">
        <x:v>10/08</x:v>
      </x:c>
      <x:c r="F1939" s="11" t="str">
        <x:v>the blue fox</x:v>
      </x:c>
      <x:c r="G1939" s="17" t="n">
        <x:v>56</x:v>
      </x:c>
      <x:c r="H1939" s="18" t="str">
        <x:v>פנאי</x:v>
      </x:c>
      <x:c r="I1939" s="19" t="str">
        <x:f>IFERROR(INDEX('מיפוי ומקורות'!$C$7:$C$33,MATCH(H1939,'מיפוי ומקורות'!$B$7:$B$33,0)),"לא מסווג")</x:f>
        <x:v>פנאי</x:v>
      </x:c>
      <x:c r="J1939" s="19" t="str">
        <x:f>IFERROR(INDEX('מיפוי ומקורות'!$D$7:$D$33,MATCH(H1939,'מיפוי ומקורות'!$B$7:$B$33,0)),"שוטף")</x:f>
        <x:v>שוטף</x:v>
      </x:c>
      <x:c r="K1939" s="19" t="str">
        <x:f>IF(OR(H1939="ריביות",AND(H1939="דירה כצנלסון",G1939&lt;0,ISNUMBER(SEARCH("הכנסה",F1939)))),"הכנסה שסווגה מחדש",J1939)</x:f>
        <x:v>שוטף</x:v>
      </x:c>
      <x:c r="L1939" s="19" t="str">
        <x:v>מאושר</x:v>
      </x:c>
      <x:c r="M1939" s="20" t="n">
        <x:f>IF(L1939="מאושר",IF(K1939="הכנסה שסווגה מחדש",0,G1939),0)</x:f>
        <x:v>56</x:v>
      </x:c>
      <x:c r="N1939" s="20" t="n">
        <x:f>IF(K1939="שוטף",M1939,0)</x:f>
        <x:v>56</x:v>
      </x:c>
      <x:c r="O1939" s="20" t="n">
        <x:f>IF(K1939="הכנסה שסווגה מחדש",-G1939,0)</x:f>
        <x:v>0</x:v>
      </x:c>
      <x:c r="P1939" s="11" t="str">
        <x:v>one zero - זיו</x:v>
      </x:c>
      <x:c r="Q1939" s="11" t="str"/>
      <x:c r="R1939" s="11" t="str">
        <x:v>לא</x:v>
      </x:c>
    </x:row>
    <x:row r="1940">
      <x:c r="A1940" s="14" t="n">
        <x:v>46235</x:v>
      </x:c>
      <x:c r="B1940" s="11" t="str">
        <x:v>2026-08</x:v>
      </x:c>
      <x:c r="C1940" s="11" t="str">
        <x:v>אוגוסט 26</x:v>
      </x:c>
      <x:c r="D1940" s="15" t="n">
        <x:v>80</x:v>
      </x:c>
      <x:c r="E1940" s="11" t="str">
        <x:v>10/08</x:v>
      </x:c>
      <x:c r="F1940" s="11" t="str">
        <x:v>ALMAZ מנדל</x:v>
      </x:c>
      <x:c r="G1940" s="17" t="n">
        <x:v>75</x:v>
      </x:c>
      <x:c r="H1940" s="18" t="str">
        <x:v>אוכל בחוץ</x:v>
      </x:c>
      <x:c r="I1940" s="19" t="str">
        <x:f>IFERROR(INDEX('מיפוי ומקורות'!$C$7:$C$33,MATCH(H1940,'מיפוי ומקורות'!$B$7:$B$33,0)),"לא מסווג")</x:f>
        <x:v>אוכל בחוץ</x:v>
      </x:c>
      <x:c r="J1940" s="19" t="str">
        <x:f>IFERROR(INDEX('מיפוי ומקורות'!$D$7:$D$33,MATCH(H1940,'מיפוי ומקורות'!$B$7:$B$33,0)),"שוטף")</x:f>
        <x:v>שוטף</x:v>
      </x:c>
      <x:c r="K1940" s="19" t="str">
        <x:f>IF(OR(H1940="ריביות",AND(H1940="דירה כצנלסון",G1940&lt;0,ISNUMBER(SEARCH("הכנסה",F1940)))),"הכנסה שסווגה מחדש",J1940)</x:f>
        <x:v>שוטף</x:v>
      </x:c>
      <x:c r="L1940" s="19" t="str">
        <x:v>מאושר</x:v>
      </x:c>
      <x:c r="M1940" s="20" t="n">
        <x:f>IF(L1940="מאושר",IF(K1940="הכנסה שסווגה מחדש",0,G1940),0)</x:f>
        <x:v>75</x:v>
      </x:c>
      <x:c r="N1940" s="20" t="n">
        <x:f>IF(K1940="שוטף",M1940,0)</x:f>
        <x:v>75</x:v>
      </x:c>
      <x:c r="O1940" s="20" t="n">
        <x:f>IF(K1940="הכנסה שסווגה מחדש",-G1940,0)</x:f>
        <x:v>0</x:v>
      </x:c>
      <x:c r="P1940" s="11" t="str">
        <x:v>one zero - זיו</x:v>
      </x:c>
      <x:c r="Q1940" s="11" t="str"/>
      <x:c r="R1940" s="11" t="str">
        <x:v>לא</x:v>
      </x:c>
    </x:row>
    <x:row r="1941">
      <x:c r="A1941" s="14" t="n">
        <x:v>46235</x:v>
      </x:c>
      <x:c r="B1941" s="11" t="str">
        <x:v>2026-08</x:v>
      </x:c>
      <x:c r="C1941" s="11" t="str">
        <x:v>אוגוסט 26</x:v>
      </x:c>
      <x:c r="D1941" s="15" t="n">
        <x:v>81</x:v>
      </x:c>
      <x:c r="E1941" s="11" t="str">
        <x:v>25.08</x:v>
      </x:c>
      <x:c r="F1941" s="11" t="str">
        <x:v>תחבץ</x:v>
      </x:c>
      <x:c r="G1941" s="17" t="n">
        <x:v>40</x:v>
      </x:c>
      <x:c r="H1941" s="18" t="str">
        <x:v>תחבורה</x:v>
      </x:c>
      <x:c r="I1941" s="19" t="str">
        <x:f>IFERROR(INDEX('מיפוי ומקורות'!$C$7:$C$33,MATCH(H1941,'מיפוי ומקורות'!$B$7:$B$33,0)),"לא מסווג")</x:f>
        <x:v>תחבורה</x:v>
      </x:c>
      <x:c r="J1941" s="19" t="str">
        <x:f>IFERROR(INDEX('מיפוי ומקורות'!$D$7:$D$33,MATCH(H1941,'מיפוי ומקורות'!$B$7:$B$33,0)),"שוטף")</x:f>
        <x:v>שוטף</x:v>
      </x:c>
      <x:c r="K1941" s="19" t="str">
        <x:f>IF(OR(H1941="ריביות",AND(H1941="דירה כצנלסון",G1941&lt;0,ISNUMBER(SEARCH("הכנסה",F1941)))),"הכנסה שסווגה מחדש",J1941)</x:f>
        <x:v>שוטף</x:v>
      </x:c>
      <x:c r="L1941" s="19" t="str">
        <x:v>מאושר</x:v>
      </x:c>
      <x:c r="M1941" s="20" t="n">
        <x:f>IF(L1941="מאושר",IF(K1941="הכנסה שסווגה מחדש",0,G1941),0)</x:f>
        <x:v>40</x:v>
      </x:c>
      <x:c r="N1941" s="20" t="n">
        <x:f>IF(K1941="שוטף",M1941,0)</x:f>
        <x:v>40</x:v>
      </x:c>
      <x:c r="O1941" s="20" t="n">
        <x:f>IF(K1941="הכנסה שסווגה מחדש",-G1941,0)</x:f>
        <x:v>0</x:v>
      </x:c>
      <x:c r="P1941" s="11" t="str">
        <x:v>one zero - זיו</x:v>
      </x:c>
      <x:c r="Q1941" s="11" t="str"/>
      <x:c r="R1941" s="11" t="str">
        <x:v>לא</x:v>
      </x:c>
    </x:row>
    <x:row r="1942">
      <x:c r="A1942" s="14" t="n">
        <x:v>46235</x:v>
      </x:c>
      <x:c r="B1942" s="11" t="str">
        <x:v>2026-08</x:v>
      </x:c>
      <x:c r="C1942" s="11" t="str">
        <x:v>אוגוסט 26</x:v>
      </x:c>
      <x:c r="D1942" s="15" t="n">
        <x:v>82</x:v>
      </x:c>
      <x:c r="E1942" s="11" t="str">
        <x:v>02/08</x:v>
      </x:c>
      <x:c r="F1942" s="11" t="str">
        <x:v>אלי</x:v>
      </x:c>
      <x:c r="G1942" s="17" t="n">
        <x:v>95</x:v>
      </x:c>
      <x:c r="H1942" s="18" t="str">
        <x:v>פנאי</x:v>
      </x:c>
      <x:c r="I1942" s="19" t="str">
        <x:f>IFERROR(INDEX('מיפוי ומקורות'!$C$7:$C$33,MATCH(H1942,'מיפוי ומקורות'!$B$7:$B$33,0)),"לא מסווג")</x:f>
        <x:v>פנאי</x:v>
      </x:c>
      <x:c r="J1942" s="19" t="str">
        <x:f>IFERROR(INDEX('מיפוי ומקורות'!$D$7:$D$33,MATCH(H1942,'מיפוי ומקורות'!$B$7:$B$33,0)),"שוטף")</x:f>
        <x:v>שוטף</x:v>
      </x:c>
      <x:c r="K1942" s="19" t="str">
        <x:f>IF(OR(H1942="ריביות",AND(H1942="דירה כצנלסון",G1942&lt;0,ISNUMBER(SEARCH("הכנסה",F1942)))),"הכנסה שסווגה מחדש",J1942)</x:f>
        <x:v>שוטף</x:v>
      </x:c>
      <x:c r="L1942" s="19" t="str">
        <x:v>מאושר</x:v>
      </x:c>
      <x:c r="M1942" s="20" t="n">
        <x:f>IF(L1942="מאושר",IF(K1942="הכנסה שסווגה מחדש",0,G1942),0)</x:f>
        <x:v>95</x:v>
      </x:c>
      <x:c r="N1942" s="20" t="n">
        <x:f>IF(K1942="שוטף",M1942,0)</x:f>
        <x:v>95</x:v>
      </x:c>
      <x:c r="O1942" s="20" t="n">
        <x:f>IF(K1942="הכנסה שסווגה מחדש",-G1942,0)</x:f>
        <x:v>0</x:v>
      </x:c>
      <x:c r="P1942" s="11" t="str">
        <x:v>קורפורייט - זיו</x:v>
      </x:c>
      <x:c r="Q1942" s="11" t="str"/>
      <x:c r="R1942" s="11" t="str">
        <x:v>לא</x:v>
      </x:c>
    </x:row>
    <x:row r="1943">
      <x:c r="A1943" s="14" t="n">
        <x:v>46235</x:v>
      </x:c>
      <x:c r="B1943" s="11" t="str">
        <x:v>2026-08</x:v>
      </x:c>
      <x:c r="C1943" s="11" t="str">
        <x:v>אוגוסט 26</x:v>
      </x:c>
      <x:c r="D1943" s="15" t="n">
        <x:v>83</x:v>
      </x:c>
      <x:c r="E1943" s="11" t="str">
        <x:v>18/08</x:v>
      </x:c>
      <x:c r="F1943" s="11" t="str">
        <x:v>רכישות שובר באתר המו</x:v>
      </x:c>
      <x:c r="G1943" s="17" t="n">
        <x:v>85</x:v>
      </x:c>
      <x:c r="H1943" s="18" t="str">
        <x:v>אופנה</x:v>
      </x:c>
      <x:c r="I1943" s="19" t="str">
        <x:f>IFERROR(INDEX('מיפוי ומקורות'!$C$7:$C$33,MATCH(H1943,'מיפוי ומקורות'!$B$7:$B$33,0)),"לא מסווג")</x:f>
        <x:v>אופנה</x:v>
      </x:c>
      <x:c r="J1943" s="19" t="str">
        <x:f>IFERROR(INDEX('מיפוי ומקורות'!$D$7:$D$33,MATCH(H1943,'מיפוי ומקורות'!$B$7:$B$33,0)),"שוטף")</x:f>
        <x:v>שוטף</x:v>
      </x:c>
      <x:c r="K1943" s="19" t="str">
        <x:f>IF(OR(H1943="ריביות",AND(H1943="דירה כצנלסון",G1943&lt;0,ISNUMBER(SEARCH("הכנסה",F1943)))),"הכנסה שסווגה מחדש",J1943)</x:f>
        <x:v>שוטף</x:v>
      </x:c>
      <x:c r="L1943" s="19" t="str">
        <x:v>מאושר</x:v>
      </x:c>
      <x:c r="M1943" s="20" t="n">
        <x:f>IF(L1943="מאושר",IF(K1943="הכנסה שסווגה מחדש",0,G1943),0)</x:f>
        <x:v>85</x:v>
      </x:c>
      <x:c r="N1943" s="20" t="n">
        <x:f>IF(K1943="שוטף",M1943,0)</x:f>
        <x:v>85</x:v>
      </x:c>
      <x:c r="O1943" s="20" t="n">
        <x:f>IF(K1943="הכנסה שסווגה מחדש",-G1943,0)</x:f>
        <x:v>0</x:v>
      </x:c>
      <x:c r="P1943" s="11" t="str">
        <x:v>קורפורייט - זיו</x:v>
      </x:c>
      <x:c r="Q1943" s="11" t="str"/>
      <x:c r="R1943" s="11" t="str">
        <x:v>לא</x:v>
      </x:c>
    </x:row>
    <x:row r="1944">
      <x:c r="A1944" s="14" t="n">
        <x:v>46235</x:v>
      </x:c>
      <x:c r="B1944" s="11" t="str">
        <x:v>2026-08</x:v>
      </x:c>
      <x:c r="C1944" s="11" t="str">
        <x:v>אוגוסט 26</x:v>
      </x:c>
      <x:c r="D1944" s="15" t="n">
        <x:v>84</x:v>
      </x:c>
      <x:c r="E1944" s="11" t="str">
        <x:v>23/08</x:v>
      </x:c>
      <x:c r="F1944" s="11" t="str">
        <x:v>קינדל</x:v>
      </x:c>
      <x:c r="G1944" s="17" t="n">
        <x:v>649</x:v>
      </x:c>
      <x:c r="H1944" s="18" t="str">
        <x:v>אלקטרוניקה</x:v>
      </x:c>
      <x:c r="I1944" s="19" t="str">
        <x:f>IFERROR(INDEX('מיפוי ומקורות'!$C$7:$C$33,MATCH(H1944,'מיפוי ומקורות'!$B$7:$B$33,0)),"לא מסווג")</x:f>
        <x:v>אלקטרוניקה</x:v>
      </x:c>
      <x:c r="J1944" s="19" t="str">
        <x:f>IFERROR(INDEX('מיפוי ומקורות'!$D$7:$D$33,MATCH(H1944,'מיפוי ומקורות'!$B$7:$B$33,0)),"שוטף")</x:f>
        <x:v>שוטף</x:v>
      </x:c>
      <x:c r="K1944" s="19" t="str">
        <x:f>IF(OR(H1944="ריביות",AND(H1944="דירה כצנלסון",G1944&lt;0,ISNUMBER(SEARCH("הכנסה",F1944)))),"הכנסה שסווגה מחדש",J1944)</x:f>
        <x:v>שוטף</x:v>
      </x:c>
      <x:c r="L1944" s="19" t="str">
        <x:v>מאושר</x:v>
      </x:c>
      <x:c r="M1944" s="20" t="n">
        <x:f>IF(L1944="מאושר",IF(K1944="הכנסה שסווגה מחדש",0,G1944),0)</x:f>
        <x:v>649</x:v>
      </x:c>
      <x:c r="N1944" s="20" t="n">
        <x:f>IF(K1944="שוטף",M1944,0)</x:f>
        <x:v>649</x:v>
      </x:c>
      <x:c r="O1944" s="20" t="n">
        <x:f>IF(K1944="הכנסה שסווגה מחדש",-G1944,0)</x:f>
        <x:v>0</x:v>
      </x:c>
      <x:c r="P1944" s="11" t="str">
        <x:v>קורפורייט - זיו</x:v>
      </x:c>
      <x:c r="Q1944" s="11" t="str"/>
      <x:c r="R1944" s="11" t="str">
        <x:v>לא</x:v>
      </x:c>
    </x:row>
    <x:row r="1945">
      <x:c r="A1945" s="14" t="n">
        <x:v>46235</x:v>
      </x:c>
      <x:c r="B1945" s="11" t="str">
        <x:v>2026-08</x:v>
      </x:c>
      <x:c r="C1945" s="11" t="str">
        <x:v>אוגוסט 26</x:v>
      </x:c>
      <x:c r="D1945" s="15" t="n">
        <x:v>85</x:v>
      </x:c>
      <x:c r="E1945" s="11" t="str">
        <x:v>25/8</x:v>
      </x:c>
      <x:c r="F1945" s="11" t="str">
        <x:v>תחבץ</x:v>
      </x:c>
      <x:c r="G1945" s="17" t="n">
        <x:v>96</x:v>
      </x:c>
      <x:c r="H1945" s="18" t="str">
        <x:v>תחבורה</x:v>
      </x:c>
      <x:c r="I1945" s="19" t="str">
        <x:f>IFERROR(INDEX('מיפוי ומקורות'!$C$7:$C$33,MATCH(H1945,'מיפוי ומקורות'!$B$7:$B$33,0)),"לא מסווג")</x:f>
        <x:v>תחבורה</x:v>
      </x:c>
      <x:c r="J1945" s="19" t="str">
        <x:f>IFERROR(INDEX('מיפוי ומקורות'!$D$7:$D$33,MATCH(H1945,'מיפוי ומקורות'!$B$7:$B$33,0)),"שוטף")</x:f>
        <x:v>שוטף</x:v>
      </x:c>
      <x:c r="K1945" s="19" t="str">
        <x:f>IF(OR(H1945="ריביות",AND(H1945="דירה כצנלסון",G1945&lt;0,ISNUMBER(SEARCH("הכנסה",F1945)))),"הכנסה שסווגה מחדש",J1945)</x:f>
        <x:v>שוטף</x:v>
      </x:c>
      <x:c r="L1945" s="19" t="str">
        <x:v>מאושר</x:v>
      </x:c>
      <x:c r="M1945" s="20" t="n">
        <x:f>IF(L1945="מאושר",IF(K1945="הכנסה שסווגה מחדש",0,G1945),0)</x:f>
        <x:v>96</x:v>
      </x:c>
      <x:c r="N1945" s="20" t="n">
        <x:f>IF(K1945="שוטף",M1945,0)</x:f>
        <x:v>96</x:v>
      </x:c>
      <x:c r="O1945" s="20" t="n">
        <x:f>IF(K1945="הכנסה שסווגה מחדש",-G1945,0)</x:f>
        <x:v>0</x:v>
      </x:c>
      <x:c r="P1945" s="11" t="str">
        <x:v>one zero - עינור</x:v>
      </x:c>
      <x:c r="Q1945" s="11" t="str"/>
      <x:c r="R1945" s="11" t="str">
        <x:v>לא</x:v>
      </x:c>
    </x:row>
    <x:row r="1946">
      <x:c r="A1946" s="14" t="n">
        <x:v>46235</x:v>
      </x:c>
      <x:c r="B1946" s="11" t="str">
        <x:v>2026-08</x:v>
      </x:c>
      <x:c r="C1946" s="11" t="str">
        <x:v>אוגוסט 26</x:v>
      </x:c>
      <x:c r="D1946" s="15" t="n">
        <x:v>86</x:v>
      </x:c>
      <x:c r="E1946" s="11" t="str"/>
      <x:c r="F1946" s="11" t="str">
        <x:v>אוכל בחוץ</x:v>
      </x:c>
      <x:c r="G1946" s="17" t="n">
        <x:v>612</x:v>
      </x:c>
      <x:c r="H1946" s="18" t="str">
        <x:v>אוכל בחוץ</x:v>
      </x:c>
      <x:c r="I1946" s="19" t="str">
        <x:f>IFERROR(INDEX('מיפוי ומקורות'!$C$7:$C$33,MATCH(H1946,'מיפוי ומקורות'!$B$7:$B$33,0)),"לא מסווג")</x:f>
        <x:v>אוכל בחוץ</x:v>
      </x:c>
      <x:c r="J1946" s="19" t="str">
        <x:f>IFERROR(INDEX('מיפוי ומקורות'!$D$7:$D$33,MATCH(H1946,'מיפוי ומקורות'!$B$7:$B$33,0)),"שוטף")</x:f>
        <x:v>שוטף</x:v>
      </x:c>
      <x:c r="K1946" s="19" t="str">
        <x:f>IF(OR(H1946="ריביות",AND(H1946="דירה כצנלסון",G1946&lt;0,ISNUMBER(SEARCH("הכנסה",F1946)))),"הכנסה שסווגה מחדש",J1946)</x:f>
        <x:v>שוטף</x:v>
      </x:c>
      <x:c r="L1946" s="19" t="str">
        <x:v>מאושר</x:v>
      </x:c>
      <x:c r="M1946" s="20" t="n">
        <x:f>IF(L1946="מאושר",IF(K1946="הכנסה שסווגה מחדש",0,G1946),0)</x:f>
        <x:v>612</x:v>
      </x:c>
      <x:c r="N1946" s="20" t="n">
        <x:f>IF(K1946="שוטף",M1946,0)</x:f>
        <x:v>612</x:v>
      </x:c>
      <x:c r="O1946" s="20" t="n">
        <x:f>IF(K1946="הכנסה שסווגה מחדש",-G1946,0)</x:f>
        <x:v>0</x:v>
      </x:c>
      <x:c r="P1946" s="11" t="str">
        <x:v>סיבוס - עינור</x:v>
      </x:c>
      <x:c r="Q1946" s="11" t="str"/>
      <x:c r="R1946" s="11" t="str">
        <x:v>לא</x:v>
      </x:c>
    </x:row>
    <x:row r="1947">
      <x:c r="A1947" s="14" t="n">
        <x:v>46235</x:v>
      </x:c>
      <x:c r="B1947" s="11" t="str">
        <x:v>2026-08</x:v>
      </x:c>
      <x:c r="C1947" s="11" t="str">
        <x:v>אוגוסט 26</x:v>
      </x:c>
      <x:c r="D1947" s="15" t="n">
        <x:v>87</x:v>
      </x:c>
      <x:c r="E1947" s="11" t="str">
        <x:v>3/8</x:v>
      </x:c>
      <x:c r="F1947" s="11" t="str">
        <x:v>מסיכות שיער</x:v>
      </x:c>
      <x:c r="G1947" s="17" t="n">
        <x:v>258</x:v>
      </x:c>
      <x:c r="H1947" s="18" t="str">
        <x:v>קוסמטיקה</x:v>
      </x:c>
      <x:c r="I1947" s="19" t="str">
        <x:f>IFERROR(INDEX('מיפוי ומקורות'!$C$7:$C$33,MATCH(H1947,'מיפוי ומקורות'!$B$7:$B$33,0)),"לא מסווג")</x:f>
        <x:v>קוסמטיקה</x:v>
      </x:c>
      <x:c r="J1947" s="19" t="str">
        <x:f>IFERROR(INDEX('מיפוי ומקורות'!$D$7:$D$33,MATCH(H1947,'מיפוי ומקורות'!$B$7:$B$33,0)),"שוטף")</x:f>
        <x:v>שוטף</x:v>
      </x:c>
      <x:c r="K1947" s="19" t="str">
        <x:f>IF(OR(H1947="ריביות",AND(H1947="דירה כצנלסון",G1947&lt;0,ISNUMBER(SEARCH("הכנסה",F1947)))),"הכנסה שסווגה מחדש",J1947)</x:f>
        <x:v>שוטף</x:v>
      </x:c>
      <x:c r="L1947" s="19" t="str">
        <x:v>מאושר</x:v>
      </x:c>
      <x:c r="M1947" s="20" t="n">
        <x:f>IF(L1947="מאושר",IF(K1947="הכנסה שסווגה מחדש",0,G1947),0)</x:f>
        <x:v>258</x:v>
      </x:c>
      <x:c r="N1947" s="20" t="n">
        <x:f>IF(K1947="שוטף",M1947,0)</x:f>
        <x:v>258</x:v>
      </x:c>
      <x:c r="O1947" s="20" t="n">
        <x:f>IF(K1947="הכנסה שסווגה מחדש",-G1947,0)</x:f>
        <x:v>0</x:v>
      </x:c>
      <x:c r="P1947" s="11" t="str">
        <x:v>מקס - עינור</x:v>
      </x:c>
      <x:c r="Q1947" s="11" t="str"/>
      <x:c r="R1947" s="11" t="str">
        <x:v>לא</x:v>
      </x:c>
    </x:row>
    <x:row r="1948">
      <x:c r="A1948" s="14" t="n">
        <x:v>46235</x:v>
      </x:c>
      <x:c r="B1948" s="11" t="str">
        <x:v>2026-08</x:v>
      </x:c>
      <x:c r="C1948" s="11" t="str">
        <x:v>אוגוסט 26</x:v>
      </x:c>
      <x:c r="D1948" s="15" t="n">
        <x:v>88</x:v>
      </x:c>
      <x:c r="E1948" s="11" t="str">
        <x:v>28/8</x:v>
      </x:c>
      <x:c r="F1948" s="11" t="str">
        <x:v>לק</x:v>
      </x:c>
      <x:c r="G1948" s="17" t="n">
        <x:v>130</x:v>
      </x:c>
      <x:c r="H1948" s="18" t="str">
        <x:v>קוסמטיקה</x:v>
      </x:c>
      <x:c r="I1948" s="19" t="str">
        <x:f>IFERROR(INDEX('מיפוי ומקורות'!$C$7:$C$33,MATCH(H1948,'מיפוי ומקורות'!$B$7:$B$33,0)),"לא מסווג")</x:f>
        <x:v>קוסמטיקה</x:v>
      </x:c>
      <x:c r="J1948" s="19" t="str">
        <x:f>IFERROR(INDEX('מיפוי ומקורות'!$D$7:$D$33,MATCH(H1948,'מיפוי ומקורות'!$B$7:$B$33,0)),"שוטף")</x:f>
        <x:v>שוטף</x:v>
      </x:c>
      <x:c r="K1948" s="19" t="str">
        <x:f>IF(OR(H1948="ריביות",AND(H1948="דירה כצנלסון",G1948&lt;0,ISNUMBER(SEARCH("הכנסה",F1948)))),"הכנסה שסווגה מחדש",J1948)</x:f>
        <x:v>שוטף</x:v>
      </x:c>
      <x:c r="L1948" s="19" t="str">
        <x:v>מאושר</x:v>
      </x:c>
      <x:c r="M1948" s="20" t="n">
        <x:f>IF(L1948="מאושר",IF(K1948="הכנסה שסווגה מחדש",0,G1948),0)</x:f>
        <x:v>130</x:v>
      </x:c>
      <x:c r="N1948" s="20" t="n">
        <x:f>IF(K1948="שוטף",M1948,0)</x:f>
        <x:v>130</x:v>
      </x:c>
      <x:c r="O1948" s="20" t="n">
        <x:f>IF(K1948="הכנסה שסווגה מחדש",-G1948,0)</x:f>
        <x:v>0</x:v>
      </x:c>
      <x:c r="P1948" s="11" t="str">
        <x:v>מקס - עינור</x:v>
      </x:c>
      <x:c r="Q1948" s="11" t="str"/>
      <x:c r="R1948" s="11" t="str">
        <x:v>לא</x:v>
      </x:c>
    </x:row>
    <x:row r="1949">
      <x:c r="A1949" s="14" t="n">
        <x:v>46235</x:v>
      </x:c>
      <x:c r="B1949" s="11" t="str">
        <x:v>2026-08</x:v>
      </x:c>
      <x:c r="C1949" s="11" t="str">
        <x:v>אוגוסט 26</x:v>
      </x:c>
      <x:c r="D1949" s="15" t="n">
        <x:v>89</x:v>
      </x:c>
      <x:c r="E1949" s="11" t="str">
        <x:v>31/8</x:v>
      </x:c>
      <x:c r="F1949" s="11" t="str">
        <x:v>פילימנטים</x:v>
      </x:c>
      <x:c r="G1949" s="17" t="n">
        <x:v>252</x:v>
      </x:c>
      <x:c r="H1949" s="18" t="str">
        <x:v>מיג'י</x:v>
      </x:c>
      <x:c r="I1949" s="19" t="str">
        <x:f>IFERROR(INDEX('מיפוי ומקורות'!$C$7:$C$33,MATCH(H1949,'מיפוי ומקורות'!$B$7:$B$33,0)),"לא מסווג")</x:f>
        <x:v>תחביבים ומיג'י</x:v>
      </x:c>
      <x:c r="J1949" s="19" t="str">
        <x:f>IFERROR(INDEX('מיפוי ומקורות'!$D$7:$D$33,MATCH(H1949,'מיפוי ומקורות'!$B$7:$B$33,0)),"שוטף")</x:f>
        <x:v>שוטף</x:v>
      </x:c>
      <x:c r="K1949" s="19" t="str">
        <x:f>IF(OR(H1949="ריביות",AND(H1949="דירה כצנלסון",G1949&lt;0,ISNUMBER(SEARCH("הכנסה",F1949)))),"הכנסה שסווגה מחדש",J1949)</x:f>
        <x:v>שוטף</x:v>
      </x:c>
      <x:c r="L1949" s="19" t="str">
        <x:v>מאושר</x:v>
      </x:c>
      <x:c r="M1949" s="20" t="n">
        <x:f>IF(L1949="מאושר",IF(K1949="הכנסה שסווגה מחדש",0,G1949),0)</x:f>
        <x:v>252</x:v>
      </x:c>
      <x:c r="N1949" s="20" t="n">
        <x:f>IF(K1949="שוטף",M1949,0)</x:f>
        <x:v>252</x:v>
      </x:c>
      <x:c r="O1949" s="20" t="n">
        <x:f>IF(K1949="הכנסה שסווגה מחדש",-G1949,0)</x:f>
        <x:v>0</x:v>
      </x:c>
      <x:c r="P1949" s="11" t="str">
        <x:v>מקס - עינור</x:v>
      </x:c>
      <x:c r="Q1949" s="11" t="str"/>
      <x:c r="R1949" s="11" t="str">
        <x:v>לא</x:v>
      </x:c>
    </x:row>
    <x:row r="1950">
      <x:c r="A1950" s="14" t="n">
        <x:v>46235</x:v>
      </x:c>
      <x:c r="B1950" s="11" t="str">
        <x:v>2026-08</x:v>
      </x:c>
      <x:c r="C1950" s="11" t="str">
        <x:v>אוגוסט 26</x:v>
      </x:c>
      <x:c r="D1950" s="15" t="n">
        <x:v>90</x:v>
      </x:c>
      <x:c r="E1950" s="11" t="str">
        <x:v>26/8</x:v>
      </x:c>
      <x:c r="F1950" s="11" t="str">
        <x:v>גינס</x:v>
      </x:c>
      <x:c r="G1950" s="17" t="n">
        <x:v>271</x:v>
      </x:c>
      <x:c r="H1950" s="18" t="str">
        <x:v>אופנה</x:v>
      </x:c>
      <x:c r="I1950" s="19" t="str">
        <x:f>IFERROR(INDEX('מיפוי ומקורות'!$C$7:$C$33,MATCH(H1950,'מיפוי ומקורות'!$B$7:$B$33,0)),"לא מסווג")</x:f>
        <x:v>אופנה</x:v>
      </x:c>
      <x:c r="J1950" s="19" t="str">
        <x:f>IFERROR(INDEX('מיפוי ומקורות'!$D$7:$D$33,MATCH(H1950,'מיפוי ומקורות'!$B$7:$B$33,0)),"שוטף")</x:f>
        <x:v>שוטף</x:v>
      </x:c>
      <x:c r="K1950" s="19" t="str">
        <x:f>IF(OR(H1950="ריביות",AND(H1950="דירה כצנלסון",G1950&lt;0,ISNUMBER(SEARCH("הכנסה",F1950)))),"הכנסה שסווגה מחדש",J1950)</x:f>
        <x:v>שוטף</x:v>
      </x:c>
      <x:c r="L1950" s="19" t="str">
        <x:v>מאושר</x:v>
      </x:c>
      <x:c r="M1950" s="20" t="n">
        <x:f>IF(L1950="מאושר",IF(K1950="הכנסה שסווגה מחדש",0,G1950),0)</x:f>
        <x:v>271</x:v>
      </x:c>
      <x:c r="N1950" s="20" t="n">
        <x:f>IF(K1950="שוטף",M1950,0)</x:f>
        <x:v>271</x:v>
      </x:c>
      <x:c r="O1950" s="20" t="n">
        <x:f>IF(K1950="הכנסה שסווגה מחדש",-G1950,0)</x:f>
        <x:v>0</x:v>
      </x:c>
      <x:c r="P1950" s="11" t="str">
        <x:v>בהצדעה - זיו</x:v>
      </x:c>
      <x:c r="Q1950" s="11" t="str"/>
      <x:c r="R1950" s="11" t="str">
        <x:v>לא</x:v>
      </x:c>
    </x:row>
    <x:row r="1951">
      <x:c r="A1951" s="14" t="n">
        <x:v>46235</x:v>
      </x:c>
      <x:c r="B1951" s="11" t="str">
        <x:v>2026-08</x:v>
      </x:c>
      <x:c r="C1951" s="11" t="str">
        <x:v>אוגוסט 26</x:v>
      </x:c>
      <x:c r="D1951" s="15" t="n">
        <x:v>91</x:v>
      </x:c>
      <x:c r="E1951" s="11" t="str">
        <x:v>26/8</x:v>
      </x:c>
      <x:c r="F1951" s="11" t="str">
        <x:v>קולנוע</x:v>
      </x:c>
      <x:c r="G1951" s="17" t="n">
        <x:v>60</x:v>
      </x:c>
      <x:c r="H1951" s="18" t="str">
        <x:v>פנאי</x:v>
      </x:c>
      <x:c r="I1951" s="19" t="str">
        <x:f>IFERROR(INDEX('מיפוי ומקורות'!$C$7:$C$33,MATCH(H1951,'מיפוי ומקורות'!$B$7:$B$33,0)),"לא מסווג")</x:f>
        <x:v>פנאי</x:v>
      </x:c>
      <x:c r="J1951" s="19" t="str">
        <x:f>IFERROR(INDEX('מיפוי ומקורות'!$D$7:$D$33,MATCH(H1951,'מיפוי ומקורות'!$B$7:$B$33,0)),"שוטף")</x:f>
        <x:v>שוטף</x:v>
      </x:c>
      <x:c r="K1951" s="19" t="str">
        <x:f>IF(OR(H1951="ריביות",AND(H1951="דירה כצנלסון",G1951&lt;0,ISNUMBER(SEARCH("הכנסה",F1951)))),"הכנסה שסווגה מחדש",J1951)</x:f>
        <x:v>שוטף</x:v>
      </x:c>
      <x:c r="L1951" s="19" t="str">
        <x:v>מאושר</x:v>
      </x:c>
      <x:c r="M1951" s="20" t="n">
        <x:f>IF(L1951="מאושר",IF(K1951="הכנסה שסווגה מחדש",0,G1951),0)</x:f>
        <x:v>60</x:v>
      </x:c>
      <x:c r="N1951" s="20" t="n">
        <x:f>IF(K1951="שוטף",M1951,0)</x:f>
        <x:v>60</x:v>
      </x:c>
      <x:c r="O1951" s="20" t="n">
        <x:f>IF(K1951="הכנסה שסווגה מחדש",-G1951,0)</x:f>
        <x:v>0</x:v>
      </x:c>
      <x:c r="P1951" s="11" t="str">
        <x:v>בהצדעה - זיו</x:v>
      </x:c>
      <x:c r="Q1951" s="11" t="str"/>
      <x:c r="R1951" s="11" t="str">
        <x:v>לא</x:v>
      </x:c>
    </x:row>
    <x:row r="1952">
      <x:c r="A1952" s="14" t="n">
        <x:v>46235</x:v>
      </x:c>
      <x:c r="B1952" s="11" t="str">
        <x:v>2026-08</x:v>
      </x:c>
      <x:c r="C1952" s="11" t="str">
        <x:v>אוגוסט 26</x:v>
      </x:c>
      <x:c r="D1952" s="15" t="n">
        <x:v>92</x:v>
      </x:c>
      <x:c r="E1952" s="11" t="str">
        <x:v>21.08</x:v>
      </x:c>
      <x:c r="F1952" s="11" t="str">
        <x:v>סופר</x:v>
      </x:c>
      <x:c r="G1952" s="17" t="n">
        <x:v>81</x:v>
      </x:c>
      <x:c r="H1952" s="18" t="str">
        <x:v>מזון לבית</x:v>
      </x:c>
      <x:c r="I1952" s="19" t="str">
        <x:f>IFERROR(INDEX('מיפוי ומקורות'!$C$7:$C$33,MATCH(H1952,'מיפוי ומקורות'!$B$7:$B$33,0)),"לא מסווג")</x:f>
        <x:v>מזון לבית</x:v>
      </x:c>
      <x:c r="J1952" s="19" t="str">
        <x:f>IFERROR(INDEX('מיפוי ומקורות'!$D$7:$D$33,MATCH(H1952,'מיפוי ומקורות'!$B$7:$B$33,0)),"שוטף")</x:f>
        <x:v>שוטף</x:v>
      </x:c>
      <x:c r="K1952" s="19" t="str">
        <x:f>IF(OR(H1952="ריביות",AND(H1952="דירה כצנלסון",G1952&lt;0,ISNUMBER(SEARCH("הכנסה",F1952)))),"הכנסה שסווגה מחדש",J1952)</x:f>
        <x:v>שוטף</x:v>
      </x:c>
      <x:c r="L1952" s="19" t="str">
        <x:v>מאושר</x:v>
      </x:c>
      <x:c r="M1952" s="20" t="n">
        <x:f>IF(L1952="מאושר",IF(K1952="הכנסה שסווגה מחדש",0,G1952),0)</x:f>
        <x:v>81</x:v>
      </x:c>
      <x:c r="N1952" s="20" t="n">
        <x:f>IF(K1952="שוטף",M1952,0)</x:f>
        <x:v>81</x:v>
      </x:c>
      <x:c r="O1952" s="20" t="n">
        <x:f>IF(K1952="הכנסה שסווגה מחדש",-G1952,0)</x:f>
        <x:v>0</x:v>
      </x:c>
      <x:c r="P1952" s="11" t="str">
        <x:v>wolt benifits - עינור</x:v>
      </x:c>
      <x:c r="Q1952" s="11" t="str"/>
      <x:c r="R1952" s="11" t="str">
        <x:v>לא</x:v>
      </x:c>
    </x:row>
    <x:row r="1953">
      <x:c r="A1953" s="14" t="n">
        <x:v>46235</x:v>
      </x:c>
      <x:c r="B1953" s="11" t="str">
        <x:v>2026-08</x:v>
      </x:c>
      <x:c r="C1953" s="11" t="str">
        <x:v>אוגוסט 26</x:v>
      </x:c>
      <x:c r="D1953" s="15" t="n">
        <x:v>93</x:v>
      </x:c>
      <x:c r="E1953" s="11" t="str">
        <x:v>23.08</x:v>
      </x:c>
      <x:c r="F1953" s="11" t="str">
        <x:v>מסעדה</x:v>
      </x:c>
      <x:c r="G1953" s="17" t="n">
        <x:v>54</x:v>
      </x:c>
      <x:c r="H1953" s="18" t="str">
        <x:v>אוכל בחוץ</x:v>
      </x:c>
      <x:c r="I1953" s="19" t="str">
        <x:f>IFERROR(INDEX('מיפוי ומקורות'!$C$7:$C$33,MATCH(H1953,'מיפוי ומקורות'!$B$7:$B$33,0)),"לא מסווג")</x:f>
        <x:v>אוכל בחוץ</x:v>
      </x:c>
      <x:c r="J1953" s="19" t="str">
        <x:f>IFERROR(INDEX('מיפוי ומקורות'!$D$7:$D$33,MATCH(H1953,'מיפוי ומקורות'!$B$7:$B$33,0)),"שוטף")</x:f>
        <x:v>שוטף</x:v>
      </x:c>
      <x:c r="K1953" s="19" t="str">
        <x:f>IF(OR(H1953="ריביות",AND(H1953="דירה כצנלסון",G1953&lt;0,ISNUMBER(SEARCH("הכנסה",F1953)))),"הכנסה שסווגה מחדש",J1953)</x:f>
        <x:v>שוטף</x:v>
      </x:c>
      <x:c r="L1953" s="19" t="str">
        <x:v>מאושר</x:v>
      </x:c>
      <x:c r="M1953" s="20" t="n">
        <x:f>IF(L1953="מאושר",IF(K1953="הכנסה שסווגה מחדש",0,G1953),0)</x:f>
        <x:v>54</x:v>
      </x:c>
      <x:c r="N1953" s="20" t="n">
        <x:f>IF(K1953="שוטף",M1953,0)</x:f>
        <x:v>54</x:v>
      </x:c>
      <x:c r="O1953" s="20" t="n">
        <x:f>IF(K1953="הכנסה שסווגה מחדש",-G1953,0)</x:f>
        <x:v>0</x:v>
      </x:c>
      <x:c r="P1953" s="11" t="str">
        <x:v>wolt benifits - עינור</x:v>
      </x:c>
      <x:c r="Q1953" s="11" t="str"/>
      <x:c r="R1953" s="11" t="str">
        <x:v>לא</x:v>
      </x:c>
    </x:row>
    <x:row r="1954">
      <x:c r="A1954" s="14" t="n">
        <x:v>46235</x:v>
      </x:c>
      <x:c r="B1954" s="11" t="str">
        <x:v>2026-08</x:v>
      </x:c>
      <x:c r="C1954" s="11" t="str">
        <x:v>אוגוסט 26</x:v>
      </x:c>
      <x:c r="D1954" s="15" t="n">
        <x:v>94</x:v>
      </x:c>
      <x:c r="E1954" s="11" t="str">
        <x:v>26.08</x:v>
      </x:c>
      <x:c r="F1954" s="11" t="str">
        <x:v>אוכל</x:v>
      </x:c>
      <x:c r="G1954" s="17" t="n">
        <x:v>15</x:v>
      </x:c>
      <x:c r="H1954" s="18" t="str">
        <x:v>אוכל בחוץ</x:v>
      </x:c>
      <x:c r="I1954" s="19" t="str">
        <x:f>IFERROR(INDEX('מיפוי ומקורות'!$C$7:$C$33,MATCH(H1954,'מיפוי ומקורות'!$B$7:$B$33,0)),"לא מסווג")</x:f>
        <x:v>אוכל בחוץ</x:v>
      </x:c>
      <x:c r="J1954" s="19" t="str">
        <x:f>IFERROR(INDEX('מיפוי ומקורות'!$D$7:$D$33,MATCH(H1954,'מיפוי ומקורות'!$B$7:$B$33,0)),"שוטף")</x:f>
        <x:v>שוטף</x:v>
      </x:c>
      <x:c r="K1954" s="19" t="str">
        <x:f>IF(OR(H1954="ריביות",AND(H1954="דירה כצנלסון",G1954&lt;0,ISNUMBER(SEARCH("הכנסה",F1954)))),"הכנסה שסווגה מחדש",J1954)</x:f>
        <x:v>שוטף</x:v>
      </x:c>
      <x:c r="L1954" s="19" t="str">
        <x:v>מאושר</x:v>
      </x:c>
      <x:c r="M1954" s="20" t="n">
        <x:f>IF(L1954="מאושר",IF(K1954="הכנסה שסווגה מחדש",0,G1954),0)</x:f>
        <x:v>15</x:v>
      </x:c>
      <x:c r="N1954" s="20" t="n">
        <x:f>IF(K1954="שוטף",M1954,0)</x:f>
        <x:v>15</x:v>
      </x:c>
      <x:c r="O1954" s="20" t="n">
        <x:f>IF(K1954="הכנסה שסווגה מחדש",-G1954,0)</x:f>
        <x:v>0</x:v>
      </x:c>
      <x:c r="P1954" s="11" t="str">
        <x:v>wolt benifits - עינור</x:v>
      </x:c>
      <x:c r="Q1954" s="11" t="str"/>
      <x:c r="R1954" s="11" t="str">
        <x:v>לא</x:v>
      </x:c>
    </x:row>
    <x:row r="1955">
      <x:c r="A1955" s="14" t="n">
        <x:v>46235</x:v>
      </x:c>
      <x:c r="B1955" s="11" t="str">
        <x:v>2026-08</x:v>
      </x:c>
      <x:c r="C1955" s="11" t="str">
        <x:v>אוגוסט 26</x:v>
      </x:c>
      <x:c r="D1955" s="15" t="n">
        <x:v>95</x:v>
      </x:c>
      <x:c r="E1955" s="11" t="str">
        <x:v>26.08</x:v>
      </x:c>
      <x:c r="F1955" s="11" t="str">
        <x:v>סופר</x:v>
      </x:c>
      <x:c r="G1955" s="17" t="n">
        <x:v>52</x:v>
      </x:c>
      <x:c r="H1955" s="18" t="str">
        <x:v>מזון לבית</x:v>
      </x:c>
      <x:c r="I1955" s="19" t="str">
        <x:f>IFERROR(INDEX('מיפוי ומקורות'!$C$7:$C$33,MATCH(H1955,'מיפוי ומקורות'!$B$7:$B$33,0)),"לא מסווג")</x:f>
        <x:v>מזון לבית</x:v>
      </x:c>
      <x:c r="J1955" s="19" t="str">
        <x:f>IFERROR(INDEX('מיפוי ומקורות'!$D$7:$D$33,MATCH(H1955,'מיפוי ומקורות'!$B$7:$B$33,0)),"שוטף")</x:f>
        <x:v>שוטף</x:v>
      </x:c>
      <x:c r="K1955" s="19" t="str">
        <x:f>IF(OR(H1955="ריביות",AND(H1955="דירה כצנלסון",G1955&lt;0,ISNUMBER(SEARCH("הכנסה",F1955)))),"הכנסה שסווגה מחדש",J1955)</x:f>
        <x:v>שוטף</x:v>
      </x:c>
      <x:c r="L1955" s="19" t="str">
        <x:v>מאושר</x:v>
      </x:c>
      <x:c r="M1955" s="20" t="n">
        <x:f>IF(L1955="מאושר",IF(K1955="הכנסה שסווגה מחדש",0,G1955),0)</x:f>
        <x:v>52</x:v>
      </x:c>
      <x:c r="N1955" s="20" t="n">
        <x:f>IF(K1955="שוטף",M1955,0)</x:f>
        <x:v>52</x:v>
      </x:c>
      <x:c r="O1955" s="20" t="n">
        <x:f>IF(K1955="הכנסה שסווגה מחדש",-G1955,0)</x:f>
        <x:v>0</x:v>
      </x:c>
      <x:c r="P1955" s="11" t="str">
        <x:v>wolt benifits - עינור</x:v>
      </x:c>
      <x:c r="Q1955" s="11" t="str"/>
      <x:c r="R1955" s="11" t="str">
        <x:v>לא</x:v>
      </x:c>
    </x:row>
    <x:row r="1956">
      <x:c r="A1956" s="14" t="n">
        <x:v>46235</x:v>
      </x:c>
      <x:c r="B1956" s="11" t="str">
        <x:v>2026-08</x:v>
      </x:c>
      <x:c r="C1956" s="11" t="str">
        <x:v>אוגוסט 26</x:v>
      </x:c>
      <x:c r="D1956" s="15" t="n">
        <x:v>96</x:v>
      </x:c>
      <x:c r="E1956" s="11" t="str">
        <x:v>26.08</x:v>
      </x:c>
      <x:c r="F1956" s="11" t="str">
        <x:v>מסעדה</x:v>
      </x:c>
      <x:c r="G1956" s="17" t="n">
        <x:v>235</x:v>
      </x:c>
      <x:c r="H1956" s="18" t="str">
        <x:v>אוכל בחוץ</x:v>
      </x:c>
      <x:c r="I1956" s="19" t="str">
        <x:f>IFERROR(INDEX('מיפוי ומקורות'!$C$7:$C$33,MATCH(H1956,'מיפוי ומקורות'!$B$7:$B$33,0)),"לא מסווג")</x:f>
        <x:v>אוכל בחוץ</x:v>
      </x:c>
      <x:c r="J1956" s="19" t="str">
        <x:f>IFERROR(INDEX('מיפוי ומקורות'!$D$7:$D$33,MATCH(H1956,'מיפוי ומקורות'!$B$7:$B$33,0)),"שוטף")</x:f>
        <x:v>שוטף</x:v>
      </x:c>
      <x:c r="K1956" s="19" t="str">
        <x:f>IF(OR(H1956="ריביות",AND(H1956="דירה כצנלסון",G1956&lt;0,ISNUMBER(SEARCH("הכנסה",F1956)))),"הכנסה שסווגה מחדש",J1956)</x:f>
        <x:v>שוטף</x:v>
      </x:c>
      <x:c r="L1956" s="19" t="str">
        <x:v>מאושר</x:v>
      </x:c>
      <x:c r="M1956" s="20" t="n">
        <x:f>IF(L1956="מאושר",IF(K1956="הכנסה שסווגה מחדש",0,G1956),0)</x:f>
        <x:v>235</x:v>
      </x:c>
      <x:c r="N1956" s="20" t="n">
        <x:f>IF(K1956="שוטף",M1956,0)</x:f>
        <x:v>235</x:v>
      </x:c>
      <x:c r="O1956" s="20" t="n">
        <x:f>IF(K1956="הכנסה שסווגה מחדש",-G1956,0)</x:f>
        <x:v>0</x:v>
      </x:c>
      <x:c r="P1956" s="11" t="str">
        <x:v>wolt benifits - עינור</x:v>
      </x:c>
      <x:c r="Q1956" s="11" t="str"/>
      <x:c r="R1956" s="11" t="str">
        <x:v>לא</x:v>
      </x:c>
    </x:row>
    <x:row r="1957">
      <x:c r="A1957" s="14" t="n">
        <x:v>46235</x:v>
      </x:c>
      <x:c r="B1957" s="11" t="str">
        <x:v>2026-08</x:v>
      </x:c>
      <x:c r="C1957" s="11" t="str">
        <x:v>אוגוסט 26</x:v>
      </x:c>
      <x:c r="D1957" s="15" t="n">
        <x:v>97</x:v>
      </x:c>
      <x:c r="E1957" s="11" t="str">
        <x:v>27.08</x:v>
      </x:c>
      <x:c r="F1957" s="11" t="str">
        <x:v>סופר</x:v>
      </x:c>
      <x:c r="G1957" s="17" t="n">
        <x:v>10</x:v>
      </x:c>
      <x:c r="H1957" s="18" t="str">
        <x:v>מזון לבית</x:v>
      </x:c>
      <x:c r="I1957" s="19" t="str">
        <x:f>IFERROR(INDEX('מיפוי ומקורות'!$C$7:$C$33,MATCH(H1957,'מיפוי ומקורות'!$B$7:$B$33,0)),"לא מסווג")</x:f>
        <x:v>מזון לבית</x:v>
      </x:c>
      <x:c r="J1957" s="19" t="str">
        <x:f>IFERROR(INDEX('מיפוי ומקורות'!$D$7:$D$33,MATCH(H1957,'מיפוי ומקורות'!$B$7:$B$33,0)),"שוטף")</x:f>
        <x:v>שוטף</x:v>
      </x:c>
      <x:c r="K1957" s="19" t="str">
        <x:f>IF(OR(H1957="ריביות",AND(H1957="דירה כצנלסון",G1957&lt;0,ISNUMBER(SEARCH("הכנסה",F1957)))),"הכנסה שסווגה מחדש",J1957)</x:f>
        <x:v>שוטף</x:v>
      </x:c>
      <x:c r="L1957" s="19" t="str">
        <x:v>מאושר</x:v>
      </x:c>
      <x:c r="M1957" s="20" t="n">
        <x:f>IF(L1957="מאושר",IF(K1957="הכנסה שסווגה מחדש",0,G1957),0)</x:f>
        <x:v>10</x:v>
      </x:c>
      <x:c r="N1957" s="20" t="n">
        <x:f>IF(K1957="שוטף",M1957,0)</x:f>
        <x:v>10</x:v>
      </x:c>
      <x:c r="O1957" s="20" t="n">
        <x:f>IF(K1957="הכנסה שסווגה מחדש",-G1957,0)</x:f>
        <x:v>0</x:v>
      </x:c>
      <x:c r="P1957" s="11" t="str">
        <x:v>wolt benifits - עינור</x:v>
      </x:c>
      <x:c r="Q1957" s="11" t="str"/>
      <x:c r="R1957" s="11" t="str">
        <x:v>לא</x:v>
      </x:c>
    </x:row>
    <x:row r="1958">
      <x:c r="A1958" s="14" t="n">
        <x:v>46235</x:v>
      </x:c>
      <x:c r="B1958" s="11" t="str">
        <x:v>2026-08</x:v>
      </x:c>
      <x:c r="C1958" s="11" t="str">
        <x:v>אוגוסט 26</x:v>
      </x:c>
      <x:c r="D1958" s="15" t="n">
        <x:v>98</x:v>
      </x:c>
      <x:c r="E1958" s="11" t="str">
        <x:v>31/8</x:v>
      </x:c>
      <x:c r="F1958" s="11" t="str">
        <x:v>החזר מסעדה (ביט)</x:v>
      </x:c>
      <x:c r="G1958" s="17" t="n">
        <x:v>80</x:v>
      </x:c>
      <x:c r="H1958" s="18" t="str">
        <x:v>אוכל בחוץ</x:v>
      </x:c>
      <x:c r="I1958" s="19" t="str">
        <x:f>IFERROR(INDEX('מיפוי ומקורות'!$C$7:$C$33,MATCH(H1958,'מיפוי ומקורות'!$B$7:$B$33,0)),"לא מסווג")</x:f>
        <x:v>אוכל בחוץ</x:v>
      </x:c>
      <x:c r="J1958" s="19" t="str">
        <x:f>IFERROR(INDEX('מיפוי ומקורות'!$D$7:$D$33,MATCH(H1958,'מיפוי ומקורות'!$B$7:$B$33,0)),"שוטף")</x:f>
        <x:v>שוטף</x:v>
      </x:c>
      <x:c r="K1958" s="19" t="str">
        <x:f>IF(OR(H1958="ריביות",AND(H1958="דירה כצנלסון",G1958&lt;0,ISNUMBER(SEARCH("הכנסה",F1958)))),"הכנסה שסווגה מחדש",J1958)</x:f>
        <x:v>שוטף</x:v>
      </x:c>
      <x:c r="L1958" s="19" t="str">
        <x:v>מאושר</x:v>
      </x:c>
      <x:c r="M1958" s="20" t="n">
        <x:f>IF(L1958="מאושר",IF(K1958="הכנסה שסווגה מחדש",0,G1958),0)</x:f>
        <x:v>80</x:v>
      </x:c>
      <x:c r="N1958" s="20" t="n">
        <x:f>IF(K1958="שוטף",M1958,0)</x:f>
        <x:v>80</x:v>
      </x:c>
      <x:c r="O1958" s="20" t="n">
        <x:f>IF(K1958="הכנסה שסווגה מחדש",-G1958,0)</x:f>
        <x:v>0</x:v>
      </x:c>
      <x:c r="P1958" s="11" t="str">
        <x:v>wolt benifits - עינור</x:v>
      </x:c>
      <x:c r="Q1958" s="11" t="str"/>
      <x:c r="R1958" s="11" t="str">
        <x:v>לא</x:v>
      </x:c>
    </x:row>
  </x:sheetData>
  <x:pageMargins left="0.7" right="0.7" top="0.75" bottom="0.75" header="0.3" footer="0.3"/>
  <x:tableParts count="1">
    <x:tablePart xmlns:r="http://schemas.openxmlformats.org/officeDocument/2006/relationships" r:id="R5f3cc0fd7f1c4f8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5" hidden="0" customWidth="1"/>
    <x:col min="4" max="4" width="16" hidden="0" customWidth="1"/>
    <x:col min="5" max="5" width="14" hidden="0" customWidth="1"/>
    <x:col min="6" max="6" width="16" hidden="0" customWidth="1"/>
  </x:cols>
  <x:sheetData>
    <x:row r="1">
      <x:c r="A1" s="9" t="str">
        <x:v>חודש</x:v>
      </x:c>
      <x:c r="B1" s="9" t="str">
        <x:v>תקופה</x:v>
      </x:c>
      <x:c r="C1" s="9" t="str">
        <x:v>מקור הכנסה</x:v>
      </x:c>
      <x:c r="D1" s="9" t="str">
        <x:v>סכום (₪)</x:v>
      </x:c>
      <x:c r="E1" s="9" t="str">
        <x:v>סוג הכנסה</x:v>
      </x:c>
      <x:c r="F1" s="9" t="str">
        <x:v>גיליון מקור</x:v>
      </x:c>
    </x:row>
    <x:row r="2">
      <x:c r="A2" s="14" t="n">
        <x:v>45658</x:v>
      </x:c>
      <x:c r="B2" s="11" t="str">
        <x:v>2025-01</x:v>
      </x:c>
      <x:c r="C2" s="11" t="str">
        <x:v>משכורת זיו</x:v>
      </x:c>
      <x:c r="D2" s="16" t="n">
        <x:v>46854</x:v>
      </x:c>
      <x:c r="E2" s="11" t="str">
        <x:f>IF(OR(ISNUMBER(SEARCH("ESPP",C2)),ISNUMBER(SEARCH("RSU",C2))),"הוני","שוטף")</x:f>
        <x:v>שוטף</x:v>
      </x:c>
      <x:c r="F2" s="11" t="str">
        <x:v>ינואר 25</x:v>
      </x:c>
    </x:row>
    <x:row r="3">
      <x:c r="A3" s="14" t="n">
        <x:v>45658</x:v>
      </x:c>
      <x:c r="B3" s="11" t="str">
        <x:v>2025-01</x:v>
      </x:c>
      <x:c r="C3" s="11" t="str">
        <x:v>משכורת עינור</x:v>
      </x:c>
      <x:c r="D3" s="16" t="n">
        <x:v>21647</x:v>
      </x:c>
      <x:c r="E3" s="11" t="str">
        <x:f>IF(OR(ISNUMBER(SEARCH("ESPP",C3)),ISNUMBER(SEARCH("RSU",C3))),"הוני","שוטף")</x:f>
        <x:v>שוטף</x:v>
      </x:c>
      <x:c r="F3" s="11" t="str">
        <x:v>ינואר 25</x:v>
      </x:c>
    </x:row>
    <x:row r="4">
      <x:c r="A4" s="14" t="n">
        <x:v>45658</x:v>
      </x:c>
      <x:c r="B4" s="11" t="str">
        <x:v>2025-01</x:v>
      </x:c>
      <x:c r="C4" s="11" t="str">
        <x:v>ESPP</x:v>
      </x:c>
      <x:c r="D4" s="16" t="n">
        <x:v>77907</x:v>
      </x:c>
      <x:c r="E4" s="11" t="str">
        <x:f>IF(OR(ISNUMBER(SEARCH("ESPP",C4)),ISNUMBER(SEARCH("RSU",C4))),"הוני","שוטף")</x:f>
        <x:v>הוני</x:v>
      </x:c>
      <x:c r="F4" s="11" t="str">
        <x:v>ינואר 25</x:v>
      </x:c>
    </x:row>
    <x:row r="5">
      <x:c r="A5" s="14" t="n">
        <x:v>45689</x:v>
      </x:c>
      <x:c r="B5" s="11" t="str">
        <x:v>2025-02</x:v>
      </x:c>
      <x:c r="C5" s="11" t="str">
        <x:v>משכורת זיו</x:v>
      </x:c>
      <x:c r="D5" s="16" t="n">
        <x:v>18338</x:v>
      </x:c>
      <x:c r="E5" s="11" t="str">
        <x:f>IF(OR(ISNUMBER(SEARCH("ESPP",C5)),ISNUMBER(SEARCH("RSU",C5))),"הוני","שוטף")</x:f>
        <x:v>שוטף</x:v>
      </x:c>
      <x:c r="F5" s="11" t="str">
        <x:v>פברואר 25</x:v>
      </x:c>
    </x:row>
    <x:row r="6">
      <x:c r="A6" s="14" t="n">
        <x:v>45689</x:v>
      </x:c>
      <x:c r="B6" s="11" t="str">
        <x:v>2025-02</x:v>
      </x:c>
      <x:c r="C6" s="11" t="str">
        <x:v>משכורת עינור</x:v>
      </x:c>
      <x:c r="D6" s="16" t="n">
        <x:v>21641</x:v>
      </x:c>
      <x:c r="E6" s="11" t="str">
        <x:f>IF(OR(ISNUMBER(SEARCH("ESPP",C6)),ISNUMBER(SEARCH("RSU",C6))),"הוני","שוטף")</x:f>
        <x:v>שוטף</x:v>
      </x:c>
      <x:c r="F6" s="11" t="str">
        <x:v>פברואר 25</x:v>
      </x:c>
    </x:row>
    <x:row r="7">
      <x:c r="A7" s="14" t="n">
        <x:v>45689</x:v>
      </x:c>
      <x:c r="B7" s="11" t="str">
        <x:v>2025-02</x:v>
      </x:c>
      <x:c r="C7" s="11" t="str">
        <x:v>ESPP</x:v>
      </x:c>
      <x:c r="D7" s="16" t="n">
        <x:v>0</x:v>
      </x:c>
      <x:c r="E7" s="11" t="str">
        <x:f>IF(OR(ISNUMBER(SEARCH("ESPP",C7)),ISNUMBER(SEARCH("RSU",C7))),"הוני","שוטף")</x:f>
        <x:v>הוני</x:v>
      </x:c>
      <x:c r="F7" s="11" t="str">
        <x:v>פברואר 25</x:v>
      </x:c>
    </x:row>
    <x:row r="8">
      <x:c r="A8" s="14" t="n">
        <x:v>45717</x:v>
      </x:c>
      <x:c r="B8" s="11" t="str">
        <x:v>2025-03</x:v>
      </x:c>
      <x:c r="C8" s="11" t="str">
        <x:v>משכורת זיו</x:v>
      </x:c>
      <x:c r="D8" s="16" t="n">
        <x:v>16076</x:v>
      </x:c>
      <x:c r="E8" s="11" t="str">
        <x:f>IF(OR(ISNUMBER(SEARCH("ESPP",C8)),ISNUMBER(SEARCH("RSU",C8))),"הוני","שוטף")</x:f>
        <x:v>שוטף</x:v>
      </x:c>
      <x:c r="F8" s="11" t="str">
        <x:v>מרץ 25</x:v>
      </x:c>
    </x:row>
    <x:row r="9">
      <x:c r="A9" s="14" t="n">
        <x:v>45717</x:v>
      </x:c>
      <x:c r="B9" s="11" t="str">
        <x:v>2025-03</x:v>
      </x:c>
      <x:c r="C9" s="11" t="str">
        <x:v>משכורת עינור</x:v>
      </x:c>
      <x:c r="D9" s="16" t="n">
        <x:v>21644</x:v>
      </x:c>
      <x:c r="E9" s="11" t="str">
        <x:f>IF(OR(ISNUMBER(SEARCH("ESPP",C9)),ISNUMBER(SEARCH("RSU",C9))),"הוני","שוטף")</x:f>
        <x:v>שוטף</x:v>
      </x:c>
      <x:c r="F9" s="11" t="str">
        <x:v>מרץ 25</x:v>
      </x:c>
    </x:row>
    <x:row r="10">
      <x:c r="A10" s="14" t="n">
        <x:v>45717</x:v>
      </x:c>
      <x:c r="B10" s="11" t="str">
        <x:v>2025-03</x:v>
      </x:c>
      <x:c r="C10" s="11" t="str">
        <x:v>ESPP</x:v>
      </x:c>
      <x:c r="D10" s="16" t="n">
        <x:v>32403</x:v>
      </x:c>
      <x:c r="E10" s="11" t="str">
        <x:f>IF(OR(ISNUMBER(SEARCH("ESPP",C10)),ISNUMBER(SEARCH("RSU",C10))),"הוני","שוטף")</x:f>
        <x:v>הוני</x:v>
      </x:c>
      <x:c r="F10" s="11" t="str">
        <x:v>מרץ 25</x:v>
      </x:c>
    </x:row>
    <x:row r="11">
      <x:c r="A11" s="14" t="n">
        <x:v>45748</x:v>
      </x:c>
      <x:c r="B11" s="11" t="str">
        <x:v>2025-04</x:v>
      </x:c>
      <x:c r="C11" s="11" t="str">
        <x:v>משכורת זיו</x:v>
      </x:c>
      <x:c r="D11" s="16" t="n">
        <x:v>15210</x:v>
      </x:c>
      <x:c r="E11" s="11" t="str">
        <x:f>IF(OR(ISNUMBER(SEARCH("ESPP",C11)),ISNUMBER(SEARCH("RSU",C11))),"הוני","שוטף")</x:f>
        <x:v>שוטף</x:v>
      </x:c>
      <x:c r="F11" s="11" t="str">
        <x:v>אפריל 25</x:v>
      </x:c>
    </x:row>
    <x:row r="12">
      <x:c r="A12" s="14" t="n">
        <x:v>45748</x:v>
      </x:c>
      <x:c r="B12" s="11" t="str">
        <x:v>2025-04</x:v>
      </x:c>
      <x:c r="C12" s="11" t="str">
        <x:v>משכורת עינור</x:v>
      </x:c>
      <x:c r="D12" s="16" t="n">
        <x:v>18843</x:v>
      </x:c>
      <x:c r="E12" s="11" t="str">
        <x:f>IF(OR(ISNUMBER(SEARCH("ESPP",C12)),ISNUMBER(SEARCH("RSU",C12))),"הוני","שוטף")</x:f>
        <x:v>שוטף</x:v>
      </x:c>
      <x:c r="F12" s="11" t="str">
        <x:v>אפריל 25</x:v>
      </x:c>
    </x:row>
    <x:row r="13">
      <x:c r="A13" s="14" t="n">
        <x:v>45748</x:v>
      </x:c>
      <x:c r="B13" s="11" t="str">
        <x:v>2025-04</x:v>
      </x:c>
      <x:c r="C13" s="11" t="str">
        <x:v>ESPP</x:v>
      </x:c>
      <x:c r="D13" s="16" t="n">
        <x:v>0</x:v>
      </x:c>
      <x:c r="E13" s="11" t="str">
        <x:f>IF(OR(ISNUMBER(SEARCH("ESPP",C13)),ISNUMBER(SEARCH("RSU",C13))),"הוני","שוטף")</x:f>
        <x:v>הוני</x:v>
      </x:c>
      <x:c r="F13" s="11" t="str">
        <x:v>אפריל 25</x:v>
      </x:c>
    </x:row>
    <x:row r="14">
      <x:c r="A14" s="14" t="n">
        <x:v>45778</x:v>
      </x:c>
      <x:c r="B14" s="11" t="str">
        <x:v>2025-05</x:v>
      </x:c>
      <x:c r="C14" s="11" t="str">
        <x:v>משכורת זיו</x:v>
      </x:c>
      <x:c r="D14" s="16" t="n">
        <x:v>15341</x:v>
      </x:c>
      <x:c r="E14" s="11" t="str">
        <x:f>IF(OR(ISNUMBER(SEARCH("ESPP",C14)),ISNUMBER(SEARCH("RSU",C14))),"הוני","שוטף")</x:f>
        <x:v>שוטף</x:v>
      </x:c>
      <x:c r="F14" s="11" t="str">
        <x:v>מאי 25</x:v>
      </x:c>
    </x:row>
    <x:row r="15">
      <x:c r="A15" s="14" t="n">
        <x:v>45778</x:v>
      </x:c>
      <x:c r="B15" s="11" t="str">
        <x:v>2025-05</x:v>
      </x:c>
      <x:c r="C15" s="11" t="str">
        <x:v>משכורת עינור</x:v>
      </x:c>
      <x:c r="D15" s="16" t="n">
        <x:v>4458</x:v>
      </x:c>
      <x:c r="E15" s="11" t="str">
        <x:f>IF(OR(ISNUMBER(SEARCH("ESPP",C15)),ISNUMBER(SEARCH("RSU",C15))),"הוני","שוטף")</x:f>
        <x:v>שוטף</x:v>
      </x:c>
      <x:c r="F15" s="11" t="str">
        <x:v>מאי 25</x:v>
      </x:c>
    </x:row>
    <x:row r="16">
      <x:c r="A16" s="14" t="n">
        <x:v>45778</x:v>
      </x:c>
      <x:c r="B16" s="11" t="str">
        <x:v>2025-05</x:v>
      </x:c>
      <x:c r="C16" s="11" t="str">
        <x:v>ESPP</x:v>
      </x:c>
      <x:c r="D16" s="16" t="n">
        <x:v>0</x:v>
      </x:c>
      <x:c r="E16" s="11" t="str">
        <x:f>IF(OR(ISNUMBER(SEARCH("ESPP",C16)),ISNUMBER(SEARCH("RSU",C16))),"הוני","שוטף")</x:f>
        <x:v>הוני</x:v>
      </x:c>
      <x:c r="F16" s="11" t="str">
        <x:v>מאי 25</x:v>
      </x:c>
    </x:row>
    <x:row r="17">
      <x:c r="A17" s="14" t="n">
        <x:v>45809</x:v>
      </x:c>
      <x:c r="B17" s="11" t="str">
        <x:v>2025-06</x:v>
      </x:c>
      <x:c r="C17" s="11" t="str">
        <x:v>משכורת זיו</x:v>
      </x:c>
      <x:c r="D17" s="16" t="n">
        <x:v>0</x:v>
      </x:c>
      <x:c r="E17" s="11" t="str">
        <x:f>IF(OR(ISNUMBER(SEARCH("ESPP",C17)),ISNUMBER(SEARCH("RSU",C17))),"הוני","שוטף")</x:f>
        <x:v>שוטף</x:v>
      </x:c>
      <x:c r="F17" s="11" t="str">
        <x:v>יוני 25</x:v>
      </x:c>
    </x:row>
    <x:row r="18">
      <x:c r="A18" s="14" t="n">
        <x:v>45809</x:v>
      </x:c>
      <x:c r="B18" s="11" t="str">
        <x:v>2025-06</x:v>
      </x:c>
      <x:c r="C18" s="11" t="str">
        <x:v>משכורת עינור</x:v>
      </x:c>
      <x:c r="D18" s="16" t="n">
        <x:v>0</x:v>
      </x:c>
      <x:c r="E18" s="11" t="str">
        <x:f>IF(OR(ISNUMBER(SEARCH("ESPP",C18)),ISNUMBER(SEARCH("RSU",C18))),"הוני","שוטף")</x:f>
        <x:v>שוטף</x:v>
      </x:c>
      <x:c r="F18" s="11" t="str">
        <x:v>יוני 25</x:v>
      </x:c>
    </x:row>
    <x:row r="19">
      <x:c r="A19" s="14" t="n">
        <x:v>45809</x:v>
      </x:c>
      <x:c r="B19" s="11" t="str">
        <x:v>2025-06</x:v>
      </x:c>
      <x:c r="C19" s="11" t="str">
        <x:v>ESPP</x:v>
      </x:c>
      <x:c r="D19" s="16" t="n">
        <x:v>0</x:v>
      </x:c>
      <x:c r="E19" s="11" t="str">
        <x:f>IF(OR(ISNUMBER(SEARCH("ESPP",C19)),ISNUMBER(SEARCH("RSU",C19))),"הוני","שוטף")</x:f>
        <x:v>הוני</x:v>
      </x:c>
      <x:c r="F19" s="11" t="str">
        <x:v>יוני 25</x:v>
      </x:c>
    </x:row>
    <x:row r="20">
      <x:c r="A20" s="14" t="n">
        <x:v>45839</x:v>
      </x:c>
      <x:c r="B20" s="11" t="str">
        <x:v>2025-07</x:v>
      </x:c>
      <x:c r="C20" s="11" t="str">
        <x:v>משכורת זיו</x:v>
      </x:c>
      <x:c r="D20" s="16" t="n">
        <x:v>15296</x:v>
      </x:c>
      <x:c r="E20" s="11" t="str">
        <x:f>IF(OR(ISNUMBER(SEARCH("ESPP",C20)),ISNUMBER(SEARCH("RSU",C20))),"הוני","שוטף")</x:f>
        <x:v>שוטף</x:v>
      </x:c>
      <x:c r="F20" s="11" t="str">
        <x:v>יולי 25</x:v>
      </x:c>
    </x:row>
    <x:row r="21">
      <x:c r="A21" s="14" t="n">
        <x:v>45839</x:v>
      </x:c>
      <x:c r="B21" s="11" t="str">
        <x:v>2025-07</x:v>
      </x:c>
      <x:c r="C21" s="11" t="str">
        <x:v>משכורת עינור</x:v>
      </x:c>
      <x:c r="D21" s="16" t="n">
        <x:v>0</x:v>
      </x:c>
      <x:c r="E21" s="11" t="str">
        <x:f>IF(OR(ISNUMBER(SEARCH("ESPP",C21)),ISNUMBER(SEARCH("RSU",C21))),"הוני","שוטף")</x:f>
        <x:v>שוטף</x:v>
      </x:c>
      <x:c r="F21" s="11" t="str">
        <x:v>יולי 25</x:v>
      </x:c>
    </x:row>
    <x:row r="22">
      <x:c r="A22" s="14" t="n">
        <x:v>45839</x:v>
      </x:c>
      <x:c r="B22" s="11" t="str">
        <x:v>2025-07</x:v>
      </x:c>
      <x:c r="C22" s="11" t="str">
        <x:v>ESPP</x:v>
      </x:c>
      <x:c r="D22" s="16" t="n">
        <x:v>0</x:v>
      </x:c>
      <x:c r="E22" s="11" t="str">
        <x:f>IF(OR(ISNUMBER(SEARCH("ESPP",C22)),ISNUMBER(SEARCH("RSU",C22))),"הוני","שוטף")</x:f>
        <x:v>הוני</x:v>
      </x:c>
      <x:c r="F22" s="11" t="str">
        <x:v>יולי 25</x:v>
      </x:c>
    </x:row>
    <x:row r="23">
      <x:c r="A23" s="14" t="n">
        <x:v>45870</x:v>
      </x:c>
      <x:c r="B23" s="11" t="str">
        <x:v>2025-08</x:v>
      </x:c>
      <x:c r="C23" s="11" t="str">
        <x:v>משכורת זיו</x:v>
      </x:c>
      <x:c r="D23" s="16" t="n">
        <x:v>15305</x:v>
      </x:c>
      <x:c r="E23" s="11" t="str">
        <x:f>IF(OR(ISNUMBER(SEARCH("ESPP",C23)),ISNUMBER(SEARCH("RSU",C23))),"הוני","שוטף")</x:f>
        <x:v>שוטף</x:v>
      </x:c>
      <x:c r="F23" s="11" t="str">
        <x:v>אוגוסט 25</x:v>
      </x:c>
    </x:row>
    <x:row r="24">
      <x:c r="A24" s="14" t="n">
        <x:v>45870</x:v>
      </x:c>
      <x:c r="B24" s="11" t="str">
        <x:v>2025-08</x:v>
      </x:c>
      <x:c r="C24" s="11" t="str">
        <x:v>משכורת עינור</x:v>
      </x:c>
      <x:c r="D24" s="16" t="n">
        <x:v>0</x:v>
      </x:c>
      <x:c r="E24" s="11" t="str">
        <x:f>IF(OR(ISNUMBER(SEARCH("ESPP",C24)),ISNUMBER(SEARCH("RSU",C24))),"הוני","שוטף")</x:f>
        <x:v>שוטף</x:v>
      </x:c>
      <x:c r="F24" s="11" t="str">
        <x:v>אוגוסט 25</x:v>
      </x:c>
    </x:row>
    <x:row r="25">
      <x:c r="A25" s="14" t="n">
        <x:v>45870</x:v>
      </x:c>
      <x:c r="B25" s="11" t="str">
        <x:v>2025-08</x:v>
      </x:c>
      <x:c r="C25" s="11" t="str">
        <x:v>ESPP</x:v>
      </x:c>
      <x:c r="D25" s="16" t="n">
        <x:v>0</x:v>
      </x:c>
      <x:c r="E25" s="11" t="str">
        <x:f>IF(OR(ISNUMBER(SEARCH("ESPP",C25)),ISNUMBER(SEARCH("RSU",C25))),"הוני","שוטף")</x:f>
        <x:v>הוני</x:v>
      </x:c>
      <x:c r="F25" s="11" t="str">
        <x:v>אוגוסט 25</x:v>
      </x:c>
    </x:row>
    <x:row r="26">
      <x:c r="A26" s="14" t="n">
        <x:v>45901</x:v>
      </x:c>
      <x:c r="B26" s="11" t="str">
        <x:v>2025-09</x:v>
      </x:c>
      <x:c r="C26" s="11" t="str">
        <x:v>משכורת זיו</x:v>
      </x:c>
      <x:c r="D26" s="16" t="n">
        <x:v>17956</x:v>
      </x:c>
      <x:c r="E26" s="11" t="str">
        <x:f>IF(OR(ISNUMBER(SEARCH("ESPP",C26)),ISNUMBER(SEARCH("RSU",C26))),"הוני","שוטף")</x:f>
        <x:v>שוטף</x:v>
      </x:c>
      <x:c r="F26" s="11" t="str">
        <x:v>ספטמבר 25</x:v>
      </x:c>
    </x:row>
    <x:row r="27">
      <x:c r="A27" s="14" t="n">
        <x:v>45901</x:v>
      </x:c>
      <x:c r="B27" s="11" t="str">
        <x:v>2025-09</x:v>
      </x:c>
      <x:c r="C27" s="11" t="str">
        <x:v>משכורת עינור</x:v>
      </x:c>
      <x:c r="D27" s="16" t="n">
        <x:v>11714</x:v>
      </x:c>
      <x:c r="E27" s="11" t="str">
        <x:f>IF(OR(ISNUMBER(SEARCH("ESPP",C27)),ISNUMBER(SEARCH("RSU",C27))),"הוני","שוטף")</x:f>
        <x:v>שוטף</x:v>
      </x:c>
      <x:c r="F27" s="11" t="str">
        <x:v>ספטמבר 25</x:v>
      </x:c>
    </x:row>
    <x:row r="28">
      <x:c r="A28" s="14" t="n">
        <x:v>45901</x:v>
      </x:c>
      <x:c r="B28" s="11" t="str">
        <x:v>2025-09</x:v>
      </x:c>
      <x:c r="C28" s="11" t="str">
        <x:v>ESPP</x:v>
      </x:c>
      <x:c r="D28" s="16" t="n">
        <x:v>0</x:v>
      </x:c>
      <x:c r="E28" s="11" t="str">
        <x:f>IF(OR(ISNUMBER(SEARCH("ESPP",C28)),ISNUMBER(SEARCH("RSU",C28))),"הוני","שוטף")</x:f>
        <x:v>הוני</x:v>
      </x:c>
      <x:c r="F28" s="11" t="str">
        <x:v>ספטמבר 25</x:v>
      </x:c>
    </x:row>
    <x:row r="29">
      <x:c r="A29" s="14" t="n">
        <x:v>45931</x:v>
      </x:c>
      <x:c r="B29" s="11" t="str">
        <x:v>2025-10</x:v>
      </x:c>
      <x:c r="C29" s="11" t="str">
        <x:v>משכורת זיו</x:v>
      </x:c>
      <x:c r="D29" s="16" t="n">
        <x:v>17734</x:v>
      </x:c>
      <x:c r="E29" s="11" t="str">
        <x:f>IF(OR(ISNUMBER(SEARCH("ESPP",C29)),ISNUMBER(SEARCH("RSU",C29))),"הוני","שוטף")</x:f>
        <x:v>שוטף</x:v>
      </x:c>
      <x:c r="F29" s="11" t="str">
        <x:v>אוקטובר 25</x:v>
      </x:c>
    </x:row>
    <x:row r="30">
      <x:c r="A30" s="14" t="n">
        <x:v>45931</x:v>
      </x:c>
      <x:c r="B30" s="11" t="str">
        <x:v>2025-10</x:v>
      </x:c>
      <x:c r="C30" s="11" t="str">
        <x:v>משכורת עינור</x:v>
      </x:c>
      <x:c r="D30" s="16" t="n">
        <x:v>12202</x:v>
      </x:c>
      <x:c r="E30" s="11" t="str">
        <x:f>IF(OR(ISNUMBER(SEARCH("ESPP",C30)),ISNUMBER(SEARCH("RSU",C30))),"הוני","שוטף")</x:f>
        <x:v>שוטף</x:v>
      </x:c>
      <x:c r="F30" s="11" t="str">
        <x:v>אוקטובר 25</x:v>
      </x:c>
    </x:row>
    <x:row r="31">
      <x:c r="A31" s="14" t="n">
        <x:v>45931</x:v>
      </x:c>
      <x:c r="B31" s="11" t="str">
        <x:v>2025-10</x:v>
      </x:c>
      <x:c r="C31" s="11" t="str">
        <x:v>ESPP</x:v>
      </x:c>
      <x:c r="D31" s="16" t="n">
        <x:v>49691</x:v>
      </x:c>
      <x:c r="E31" s="11" t="str">
        <x:f>IF(OR(ISNUMBER(SEARCH("ESPP",C31)),ISNUMBER(SEARCH("RSU",C31))),"הוני","שוטף")</x:f>
        <x:v>הוני</x:v>
      </x:c>
      <x:c r="F31" s="11" t="str">
        <x:v>אוקטובר 25</x:v>
      </x:c>
    </x:row>
    <x:row r="32">
      <x:c r="A32" s="14" t="n">
        <x:v>45962</x:v>
      </x:c>
      <x:c r="B32" s="11" t="str">
        <x:v>2025-11</x:v>
      </x:c>
      <x:c r="C32" s="11" t="str">
        <x:v>משכורת זיו</x:v>
      </x:c>
      <x:c r="D32" s="16" t="n">
        <x:v>21380</x:v>
      </x:c>
      <x:c r="E32" s="11" t="str">
        <x:f>IF(OR(ISNUMBER(SEARCH("ESPP",C32)),ISNUMBER(SEARCH("RSU",C32))),"הוני","שוטף")</x:f>
        <x:v>שוטף</x:v>
      </x:c>
      <x:c r="F32" s="11" t="str">
        <x:v>נובמבר 25</x:v>
      </x:c>
    </x:row>
    <x:row r="33">
      <x:c r="A33" s="14" t="n">
        <x:v>45962</x:v>
      </x:c>
      <x:c r="B33" s="11" t="str">
        <x:v>2025-11</x:v>
      </x:c>
      <x:c r="C33" s="11" t="str">
        <x:v>משכורת עינור</x:v>
      </x:c>
      <x:c r="D33" s="16" t="n">
        <x:v>12202</x:v>
      </x:c>
      <x:c r="E33" s="11" t="str">
        <x:f>IF(OR(ISNUMBER(SEARCH("ESPP",C33)),ISNUMBER(SEARCH("RSU",C33))),"הוני","שוטף")</x:f>
        <x:v>שוטף</x:v>
      </x:c>
      <x:c r="F33" s="11" t="str">
        <x:v>נובמבר 25</x:v>
      </x:c>
    </x:row>
    <x:row r="34">
      <x:c r="A34" s="14" t="n">
        <x:v>45962</x:v>
      </x:c>
      <x:c r="B34" s="11" t="str">
        <x:v>2025-11</x:v>
      </x:c>
      <x:c r="C34" s="11" t="str">
        <x:v>ESPP</x:v>
      </x:c>
      <x:c r="D34" s="16" t="n">
        <x:v>413860</x:v>
      </x:c>
      <x:c r="E34" s="11" t="str">
        <x:f>IF(OR(ISNUMBER(SEARCH("ESPP",C34)),ISNUMBER(SEARCH("RSU",C34))),"הוני","שוטף")</x:f>
        <x:v>הוני</x:v>
      </x:c>
      <x:c r="F34" s="11" t="str">
        <x:v>נובמבר 25</x:v>
      </x:c>
    </x:row>
    <x:row r="35">
      <x:c r="A35" s="14" t="n">
        <x:v>45992</x:v>
      </x:c>
      <x:c r="B35" s="11" t="str">
        <x:v>2025-12</x:v>
      </x:c>
      <x:c r="C35" s="11" t="str">
        <x:v>משכורת זיו</x:v>
      </x:c>
      <x:c r="D35" s="16" t="n">
        <x:v>17405</x:v>
      </x:c>
      <x:c r="E35" s="11" t="str">
        <x:f>IF(OR(ISNUMBER(SEARCH("ESPP",C35)),ISNUMBER(SEARCH("RSU",C35))),"הוני","שוטף")</x:f>
        <x:v>שוטף</x:v>
      </x:c>
      <x:c r="F35" s="11" t="str">
        <x:v>דצמבר 25</x:v>
      </x:c>
    </x:row>
    <x:row r="36">
      <x:c r="A36" s="14" t="n">
        <x:v>45992</x:v>
      </x:c>
      <x:c r="B36" s="11" t="str">
        <x:v>2025-12</x:v>
      </x:c>
      <x:c r="C36" s="11" t="str">
        <x:v>משכורת עינור</x:v>
      </x:c>
      <x:c r="D36" s="16" t="n">
        <x:v>34512</x:v>
      </x:c>
      <x:c r="E36" s="11" t="str">
        <x:f>IF(OR(ISNUMBER(SEARCH("ESPP",C36)),ISNUMBER(SEARCH("RSU",C36))),"הוני","שוטף")</x:f>
        <x:v>שוטף</x:v>
      </x:c>
      <x:c r="F36" s="11" t="str">
        <x:v>דצמבר 25</x:v>
      </x:c>
    </x:row>
    <x:row r="37">
      <x:c r="A37" s="14" t="n">
        <x:v>45992</x:v>
      </x:c>
      <x:c r="B37" s="11" t="str">
        <x:v>2025-12</x:v>
      </x:c>
      <x:c r="C37" s="11" t="str">
        <x:v>ESPP</x:v>
      </x:c>
      <x:c r="D37" s="16" t="n">
        <x:v>55687</x:v>
      </x:c>
      <x:c r="E37" s="11" t="str">
        <x:f>IF(OR(ISNUMBER(SEARCH("ESPP",C37)),ISNUMBER(SEARCH("RSU",C37))),"הוני","שוטף")</x:f>
        <x:v>הוני</x:v>
      </x:c>
      <x:c r="F37" s="11" t="str">
        <x:v>דצמבר 25</x:v>
      </x:c>
    </x:row>
    <x:row r="38">
      <x:c r="A38" s="14" t="n">
        <x:v>46023</x:v>
      </x:c>
      <x:c r="B38" s="11" t="str">
        <x:v>2026-01</x:v>
      </x:c>
      <x:c r="C38" s="11" t="str">
        <x:v>דיבידנדים</x:v>
      </x:c>
      <x:c r="D38" s="16" t="n">
        <x:v>2295</x:v>
      </x:c>
      <x:c r="E38" s="11" t="str">
        <x:f>IF(OR(ISNUMBER(SEARCH("ESPP",C38)),ISNUMBER(SEARCH("RSU",C38))),"הוני","שוטף")</x:f>
        <x:v>שוטף</x:v>
      </x:c>
      <x:c r="F38" s="11" t="str">
        <x:v>ינואר 26</x:v>
      </x:c>
    </x:row>
    <x:row r="39">
      <x:c r="A39" s="14" t="n">
        <x:v>46023</x:v>
      </x:c>
      <x:c r="B39" s="11" t="str">
        <x:v>2026-01</x:v>
      </x:c>
      <x:c r="C39" s="11" t="str">
        <x:v>משכורת זיו</x:v>
      </x:c>
      <x:c r="D39" s="16" t="n">
        <x:v>15585</x:v>
      </x:c>
      <x:c r="E39" s="11" t="str">
        <x:f>IF(OR(ISNUMBER(SEARCH("ESPP",C39)),ISNUMBER(SEARCH("RSU",C39))),"הוני","שוטף")</x:f>
        <x:v>שוטף</x:v>
      </x:c>
      <x:c r="F39" s="11" t="str">
        <x:v>ינואר 26</x:v>
      </x:c>
    </x:row>
    <x:row r="40">
      <x:c r="A40" s="14" t="n">
        <x:v>46023</x:v>
      </x:c>
      <x:c r="B40" s="11" t="str">
        <x:v>2026-01</x:v>
      </x:c>
      <x:c r="C40" s="11" t="str">
        <x:v>משכורת עינור</x:v>
      </x:c>
      <x:c r="D40" s="16" t="n">
        <x:v>25017</x:v>
      </x:c>
      <x:c r="E40" s="11" t="str">
        <x:f>IF(OR(ISNUMBER(SEARCH("ESPP",C40)),ISNUMBER(SEARCH("RSU",C40))),"הוני","שוטף")</x:f>
        <x:v>שוטף</x:v>
      </x:c>
      <x:c r="F40" s="11" t="str">
        <x:v>ינואר 26</x:v>
      </x:c>
    </x:row>
    <x:row r="41">
      <x:c r="A41" s="14" t="n">
        <x:v>46023</x:v>
      </x:c>
      <x:c r="B41" s="11" t="str">
        <x:v>2026-01</x:v>
      </x:c>
      <x:c r="C41" s="11" t="str">
        <x:v>סיבוס</x:v>
      </x:c>
      <x:c r="D41" s="16" t="n">
        <x:v>1087</x:v>
      </x:c>
      <x:c r="E41" s="11" t="str">
        <x:f>IF(OR(ISNUMBER(SEARCH("ESPP",C41)),ISNUMBER(SEARCH("RSU",C41))),"הוני","שוטף")</x:f>
        <x:v>שוטף</x:v>
      </x:c>
      <x:c r="F41" s="11" t="str">
        <x:v>ינואר 26</x:v>
      </x:c>
    </x:row>
    <x:row r="42">
      <x:c r="A42" s="14" t="n">
        <x:v>46023</x:v>
      </x:c>
      <x:c r="B42" s="11" t="str">
        <x:v>2026-01</x:v>
      </x:c>
      <x:c r="C42" s="11" t="str">
        <x:v>ריביות</x:v>
      </x:c>
      <x:c r="D42" s="16" t="n">
        <x:v>839</x:v>
      </x:c>
      <x:c r="E42" s="11" t="str">
        <x:f>IF(OR(ISNUMBER(SEARCH("ESPP",C42)),ISNUMBER(SEARCH("RSU",C42))),"הוני","שוטף")</x:f>
        <x:v>שוטף</x:v>
      </x:c>
      <x:c r="F42" s="11" t="str">
        <x:v>ינואר 26</x:v>
      </x:c>
    </x:row>
    <x:row r="43">
      <x:c r="A43" s="14" t="n">
        <x:v>46023</x:v>
      </x:c>
      <x:c r="B43" s="11" t="str">
        <x:v>2026-01</x:v>
      </x:c>
      <x:c r="C43" s="11" t="str">
        <x:v>שכר דירה</x:v>
      </x:c>
      <x:c r="D43" s="16" t="n">
        <x:v>6500</x:v>
      </x:c>
      <x:c r="E43" s="11" t="str">
        <x:f>IF(OR(ISNUMBER(SEARCH("ESPP",C43)),ISNUMBER(SEARCH("RSU",C43))),"הוני","שוטף")</x:f>
        <x:v>שוטף</x:v>
      </x:c>
      <x:c r="F43" s="11" t="str">
        <x:v>ינואר 26</x:v>
      </x:c>
    </x:row>
    <x:row r="44">
      <x:c r="A44" s="14" t="n">
        <x:v>46023</x:v>
      </x:c>
      <x:c r="B44" s="11" t="str">
        <x:v>2026-01</x:v>
      </x:c>
      <x:c r="C44" s="11" t="str">
        <x:v>ESPP</x:v>
      </x:c>
      <x:c r="D44" s="16" t="n">
        <x:v>0</x:v>
      </x:c>
      <x:c r="E44" s="11" t="str">
        <x:f>IF(OR(ISNUMBER(SEARCH("ESPP",C44)),ISNUMBER(SEARCH("RSU",C44))),"הוני","שוטף")</x:f>
        <x:v>הוני</x:v>
      </x:c>
      <x:c r="F44" s="11" t="str">
        <x:v>ינואר 26</x:v>
      </x:c>
    </x:row>
    <x:row r="45">
      <x:c r="A45" s="14" t="n">
        <x:v>46023</x:v>
      </x:c>
      <x:c r="B45" s="11" t="str">
        <x:v>2026-01</x:v>
      </x:c>
      <x:c r="C45" s="11" t="str">
        <x:v>RSU</x:v>
      </x:c>
      <x:c r="D45" s="16" t="n">
        <x:v>0</x:v>
      </x:c>
      <x:c r="E45" s="11" t="str">
        <x:f>IF(OR(ISNUMBER(SEARCH("ESPP",C45)),ISNUMBER(SEARCH("RSU",C45))),"הוני","שוטף")</x:f>
        <x:v>הוני</x:v>
      </x:c>
      <x:c r="F45" s="11" t="str">
        <x:v>ינואר 26</x:v>
      </x:c>
    </x:row>
    <x:row r="46">
      <x:c r="A46" s="14" t="n">
        <x:v>46054</x:v>
      </x:c>
      <x:c r="B46" s="11" t="str">
        <x:v>2026-02</x:v>
      </x:c>
      <x:c r="C46" s="11" t="str">
        <x:v>החזר מס</x:v>
      </x:c>
      <x:c r="D46" s="16" t="n">
        <x:v>3162</x:v>
      </x:c>
      <x:c r="E46" s="11" t="str">
        <x:f>IF(OR(ISNUMBER(SEARCH("ESPP",C46)),ISNUMBER(SEARCH("RSU",C46))),"הוני","שוטף")</x:f>
        <x:v>שוטף</x:v>
      </x:c>
      <x:c r="F46" s="11" t="str">
        <x:v>פברואר 26</x:v>
      </x:c>
    </x:row>
    <x:row r="47">
      <x:c r="A47" s="14" t="n">
        <x:v>46054</x:v>
      </x:c>
      <x:c r="B47" s="11" t="str">
        <x:v>2026-02</x:v>
      </x:c>
      <x:c r="C47" s="11" t="str">
        <x:v>משכורת זיו</x:v>
      </x:c>
      <x:c r="D47" s="16" t="n">
        <x:v>15584</x:v>
      </x:c>
      <x:c r="E47" s="11" t="str">
        <x:f>IF(OR(ISNUMBER(SEARCH("ESPP",C47)),ISNUMBER(SEARCH("RSU",C47))),"הוני","שוטף")</x:f>
        <x:v>שוטף</x:v>
      </x:c>
      <x:c r="F47" s="11" t="str">
        <x:v>פברואר 26</x:v>
      </x:c>
    </x:row>
    <x:row r="48">
      <x:c r="A48" s="14" t="n">
        <x:v>46054</x:v>
      </x:c>
      <x:c r="B48" s="11" t="str">
        <x:v>2026-02</x:v>
      </x:c>
      <x:c r="C48" s="11" t="str">
        <x:v>משכורת עינור</x:v>
      </x:c>
      <x:c r="D48" s="16" t="n">
        <x:v>23875</x:v>
      </x:c>
      <x:c r="E48" s="11" t="str">
        <x:f>IF(OR(ISNUMBER(SEARCH("ESPP",C48)),ISNUMBER(SEARCH("RSU",C48))),"הוני","שוטף")</x:f>
        <x:v>שוטף</x:v>
      </x:c>
      <x:c r="F48" s="11" t="str">
        <x:v>פברואר 26</x:v>
      </x:c>
    </x:row>
    <x:row r="49">
      <x:c r="A49" s="14" t="n">
        <x:v>46054</x:v>
      </x:c>
      <x:c r="B49" s="11" t="str">
        <x:v>2026-02</x:v>
      </x:c>
      <x:c r="C49" s="11" t="str">
        <x:v>סיבוס</x:v>
      </x:c>
      <x:c r="D49" s="16" t="n">
        <x:v>1200</x:v>
      </x:c>
      <x:c r="E49" s="11" t="str">
        <x:f>IF(OR(ISNUMBER(SEARCH("ESPP",C49)),ISNUMBER(SEARCH("RSU",C49))),"הוני","שוטף")</x:f>
        <x:v>שוטף</x:v>
      </x:c>
      <x:c r="F49" s="11" t="str">
        <x:v>פברואר 26</x:v>
      </x:c>
    </x:row>
    <x:row r="50">
      <x:c r="A50" s="14" t="n">
        <x:v>46054</x:v>
      </x:c>
      <x:c r="B50" s="11" t="str">
        <x:v>2026-02</x:v>
      </x:c>
      <x:c r="C50" s="11" t="str">
        <x:v>ריביות</x:v>
      </x:c>
      <x:c r="D50" s="16" t="n">
        <x:v>329</x:v>
      </x:c>
      <x:c r="E50" s="11" t="str">
        <x:f>IF(OR(ISNUMBER(SEARCH("ESPP",C50)),ISNUMBER(SEARCH("RSU",C50))),"הוני","שוטף")</x:f>
        <x:v>שוטף</x:v>
      </x:c>
      <x:c r="F50" s="11" t="str">
        <x:v>פברואר 26</x:v>
      </x:c>
    </x:row>
    <x:row r="51">
      <x:c r="A51" s="14" t="n">
        <x:v>46054</x:v>
      </x:c>
      <x:c r="B51" s="11" t="str">
        <x:v>2026-02</x:v>
      </x:c>
      <x:c r="C51" s="11" t="str">
        <x:v>שכר דירה</x:v>
      </x:c>
      <x:c r="D51" s="16" t="n">
        <x:v>6500</x:v>
      </x:c>
      <x:c r="E51" s="11" t="str">
        <x:f>IF(OR(ISNUMBER(SEARCH("ESPP",C51)),ISNUMBER(SEARCH("RSU",C51))),"הוני","שוטף")</x:f>
        <x:v>שוטף</x:v>
      </x:c>
      <x:c r="F51" s="11" t="str">
        <x:v>פברואר 26</x:v>
      </x:c>
    </x:row>
    <x:row r="52">
      <x:c r="A52" s="14" t="n">
        <x:v>46054</x:v>
      </x:c>
      <x:c r="B52" s="11" t="str">
        <x:v>2026-02</x:v>
      </x:c>
      <x:c r="C52" s="11" t="str">
        <x:v>ESPP</x:v>
      </x:c>
      <x:c r="D52" s="16" t="n">
        <x:v>0</x:v>
      </x:c>
      <x:c r="E52" s="11" t="str">
        <x:f>IF(OR(ISNUMBER(SEARCH("ESPP",C52)),ISNUMBER(SEARCH("RSU",C52))),"הוני","שוטף")</x:f>
        <x:v>הוני</x:v>
      </x:c>
      <x:c r="F52" s="11" t="str">
        <x:v>פברואר 26</x:v>
      </x:c>
    </x:row>
    <x:row r="53">
      <x:c r="A53" s="14" t="n">
        <x:v>46054</x:v>
      </x:c>
      <x:c r="B53" s="11" t="str">
        <x:v>2026-02</x:v>
      </x:c>
      <x:c r="C53" s="11" t="str">
        <x:v>RSU</x:v>
      </x:c>
      <x:c r="D53" s="16" t="n">
        <x:v>0</x:v>
      </x:c>
      <x:c r="E53" s="11" t="str">
        <x:f>IF(OR(ISNUMBER(SEARCH("ESPP",C53)),ISNUMBER(SEARCH("RSU",C53))),"הוני","שוטף")</x:f>
        <x:v>הוני</x:v>
      </x:c>
      <x:c r="F53" s="11" t="str">
        <x:v>פברואר 26</x:v>
      </x:c>
    </x:row>
    <x:row r="54">
      <x:c r="A54" s="14" t="n">
        <x:v>46082</x:v>
      </x:c>
      <x:c r="B54" s="11" t="str">
        <x:v>2026-03</x:v>
      </x:c>
      <x:c r="C54" s="11" t="str">
        <x:v>משכורת זיו</x:v>
      </x:c>
      <x:c r="D54" s="16" t="n">
        <x:v>24343</x:v>
      </x:c>
      <x:c r="E54" s="11" t="str">
        <x:f>IF(OR(ISNUMBER(SEARCH("ESPP",C54)),ISNUMBER(SEARCH("RSU",C54))),"הוני","שוטף")</x:f>
        <x:v>שוטף</x:v>
      </x:c>
      <x:c r="F54" s="11" t="str">
        <x:v>מרץ 26</x:v>
      </x:c>
    </x:row>
    <x:row r="55">
      <x:c r="A55" s="14" t="n">
        <x:v>46082</x:v>
      </x:c>
      <x:c r="B55" s="11" t="str">
        <x:v>2026-03</x:v>
      </x:c>
      <x:c r="C55" s="11" t="str">
        <x:v>משכורת עינור</x:v>
      </x:c>
      <x:c r="D55" s="16" t="n">
        <x:v>23877</x:v>
      </x:c>
      <x:c r="E55" s="11" t="str">
        <x:f>IF(OR(ISNUMBER(SEARCH("ESPP",C55)),ISNUMBER(SEARCH("RSU",C55))),"הוני","שוטף")</x:f>
        <x:v>שוטף</x:v>
      </x:c>
      <x:c r="F55" s="11" t="str">
        <x:v>מרץ 26</x:v>
      </x:c>
    </x:row>
    <x:row r="56">
      <x:c r="A56" s="14" t="n">
        <x:v>46082</x:v>
      </x:c>
      <x:c r="B56" s="11" t="str">
        <x:v>2026-03</x:v>
      </x:c>
      <x:c r="C56" s="11" t="str">
        <x:v>סיבוס</x:v>
      </x:c>
      <x:c r="D56" s="16" t="n">
        <x:v>1200</x:v>
      </x:c>
      <x:c r="E56" s="11" t="str">
        <x:f>IF(OR(ISNUMBER(SEARCH("ESPP",C56)),ISNUMBER(SEARCH("RSU",C56))),"הוני","שוטף")</x:f>
        <x:v>שוטף</x:v>
      </x:c>
      <x:c r="F56" s="11" t="str">
        <x:v>מרץ 26</x:v>
      </x:c>
    </x:row>
    <x:row r="57">
      <x:c r="A57" s="14" t="n">
        <x:v>46082</x:v>
      </x:c>
      <x:c r="B57" s="11" t="str">
        <x:v>2026-03</x:v>
      </x:c>
      <x:c r="C57" s="11" t="str">
        <x:v>ריביות</x:v>
      </x:c>
      <x:c r="D57" s="16" t="n">
        <x:v>4694</x:v>
      </x:c>
      <x:c r="E57" s="11" t="str">
        <x:f>IF(OR(ISNUMBER(SEARCH("ESPP",C57)),ISNUMBER(SEARCH("RSU",C57))),"הוני","שוטף")</x:f>
        <x:v>שוטף</x:v>
      </x:c>
      <x:c r="F57" s="11" t="str">
        <x:v>מרץ 26</x:v>
      </x:c>
    </x:row>
    <x:row r="58">
      <x:c r="A58" s="14" t="n">
        <x:v>46082</x:v>
      </x:c>
      <x:c r="B58" s="11" t="str">
        <x:v>2026-03</x:v>
      </x:c>
      <x:c r="C58" s="11" t="str">
        <x:v>שכר דירה</x:v>
      </x:c>
      <x:c r="D58" s="16" t="n">
        <x:v>6500</x:v>
      </x:c>
      <x:c r="E58" s="11" t="str">
        <x:f>IF(OR(ISNUMBER(SEARCH("ESPP",C58)),ISNUMBER(SEARCH("RSU",C58))),"הוני","שוטף")</x:f>
        <x:v>שוטף</x:v>
      </x:c>
      <x:c r="F58" s="11" t="str">
        <x:v>מרץ 26</x:v>
      </x:c>
    </x:row>
    <x:row r="59">
      <x:c r="A59" s="14" t="n">
        <x:v>46082</x:v>
      </x:c>
      <x:c r="B59" s="11" t="str">
        <x:v>2026-03</x:v>
      </x:c>
      <x:c r="C59" s="11" t="str">
        <x:v>ESPP</x:v>
      </x:c>
      <x:c r="D59" s="16" t="n">
        <x:v>50415</x:v>
      </x:c>
      <x:c r="E59" s="11" t="str">
        <x:f>IF(OR(ISNUMBER(SEARCH("ESPP",C59)),ISNUMBER(SEARCH("RSU",C59))),"הוני","שוטף")</x:f>
        <x:v>הוני</x:v>
      </x:c>
      <x:c r="F59" s="11" t="str">
        <x:v>מרץ 26</x:v>
      </x:c>
    </x:row>
    <x:row r="60">
      <x:c r="A60" s="14" t="n">
        <x:v>46082</x:v>
      </x:c>
      <x:c r="B60" s="11" t="str">
        <x:v>2026-03</x:v>
      </x:c>
      <x:c r="C60" s="11" t="str">
        <x:v>RSU</x:v>
      </x:c>
      <x:c r="D60" s="16" t="n">
        <x:v>0</x:v>
      </x:c>
      <x:c r="E60" s="11" t="str">
        <x:f>IF(OR(ISNUMBER(SEARCH("ESPP",C60)),ISNUMBER(SEARCH("RSU",C60))),"הוני","שוטף")</x:f>
        <x:v>הוני</x:v>
      </x:c>
      <x:c r="F60" s="11" t="str">
        <x:v>מרץ 26</x:v>
      </x:c>
    </x:row>
    <x:row r="61">
      <x:c r="A61" s="14" t="n">
        <x:v>46113</x:v>
      </x:c>
      <x:c r="B61" s="11" t="str">
        <x:v>2026-04</x:v>
      </x:c>
      <x:c r="C61" s="11" t="str">
        <x:v>משכורת זיו</x:v>
      </x:c>
      <x:c r="D61" s="16" t="n">
        <x:v>18017</x:v>
      </x:c>
      <x:c r="E61" s="11" t="str">
        <x:f>IF(OR(ISNUMBER(SEARCH("ESPP",C61)),ISNUMBER(SEARCH("RSU",C61))),"הוני","שוטף")</x:f>
        <x:v>שוטף</x:v>
      </x:c>
      <x:c r="F61" s="11" t="str">
        <x:v>אפריל 26</x:v>
      </x:c>
    </x:row>
    <x:row r="62">
      <x:c r="A62" s="14" t="n">
        <x:v>46113</x:v>
      </x:c>
      <x:c r="B62" s="11" t="str">
        <x:v>2026-04</x:v>
      </x:c>
      <x:c r="C62" s="11" t="str">
        <x:v>משכורת עינור</x:v>
      </x:c>
      <x:c r="D62" s="16" t="n">
        <x:v>25556</x:v>
      </x:c>
      <x:c r="E62" s="11" t="str">
        <x:f>IF(OR(ISNUMBER(SEARCH("ESPP",C62)),ISNUMBER(SEARCH("RSU",C62))),"הוני","שוטף")</x:f>
        <x:v>שוטף</x:v>
      </x:c>
      <x:c r="F62" s="11" t="str">
        <x:v>אפריל 26</x:v>
      </x:c>
    </x:row>
    <x:row r="63">
      <x:c r="A63" s="14" t="n">
        <x:v>46113</x:v>
      </x:c>
      <x:c r="B63" s="11" t="str">
        <x:v>2026-04</x:v>
      </x:c>
      <x:c r="C63" s="11" t="str">
        <x:v>סיבוס</x:v>
      </x:c>
      <x:c r="D63" s="16" t="n">
        <x:v>900</x:v>
      </x:c>
      <x:c r="E63" s="11" t="str">
        <x:f>IF(OR(ISNUMBER(SEARCH("ESPP",C63)),ISNUMBER(SEARCH("RSU",C63))),"הוני","שוטף")</x:f>
        <x:v>שוטף</x:v>
      </x:c>
      <x:c r="F63" s="11" t="str">
        <x:v>אפריל 26</x:v>
      </x:c>
    </x:row>
    <x:row r="64">
      <x:c r="A64" s="14" t="n">
        <x:v>46113</x:v>
      </x:c>
      <x:c r="B64" s="11" t="str">
        <x:v>2026-04</x:v>
      </x:c>
      <x:c r="C64" s="11" t="str">
        <x:v>ריביות</x:v>
      </x:c>
      <x:c r="D64" s="16" t="n">
        <x:v>0</x:v>
      </x:c>
      <x:c r="E64" s="11" t="str">
        <x:f>IF(OR(ISNUMBER(SEARCH("ESPP",C64)),ISNUMBER(SEARCH("RSU",C64))),"הוני","שוטף")</x:f>
        <x:v>שוטף</x:v>
      </x:c>
      <x:c r="F64" s="11" t="str">
        <x:v>אפריל 26</x:v>
      </x:c>
    </x:row>
    <x:row r="65">
      <x:c r="A65" s="14" t="n">
        <x:v>46113</x:v>
      </x:c>
      <x:c r="B65" s="11" t="str">
        <x:v>2026-04</x:v>
      </x:c>
      <x:c r="C65" s="11" t="str">
        <x:v>שכר דירה</x:v>
      </x:c>
      <x:c r="D65" s="16" t="n">
        <x:v>6500</x:v>
      </x:c>
      <x:c r="E65" s="11" t="str">
        <x:f>IF(OR(ISNUMBER(SEARCH("ESPP",C65)),ISNUMBER(SEARCH("RSU",C65))),"הוני","שוטף")</x:f>
        <x:v>שוטף</x:v>
      </x:c>
      <x:c r="F65" s="11" t="str">
        <x:v>אפריל 26</x:v>
      </x:c>
    </x:row>
    <x:row r="66">
      <x:c r="A66" s="14" t="n">
        <x:v>46113</x:v>
      </x:c>
      <x:c r="B66" s="11" t="str">
        <x:v>2026-04</x:v>
      </x:c>
      <x:c r="C66" s="11" t="str">
        <x:v>ESPP</x:v>
      </x:c>
      <x:c r="D66" s="16" t="n">
        <x:v>0</x:v>
      </x:c>
      <x:c r="E66" s="11" t="str">
        <x:f>IF(OR(ISNUMBER(SEARCH("ESPP",C66)),ISNUMBER(SEARCH("RSU",C66))),"הוני","שוטף")</x:f>
        <x:v>הוני</x:v>
      </x:c>
      <x:c r="F66" s="11" t="str">
        <x:v>אפריל 26</x:v>
      </x:c>
    </x:row>
    <x:row r="67">
      <x:c r="A67" s="14" t="n">
        <x:v>46113</x:v>
      </x:c>
      <x:c r="B67" s="11" t="str">
        <x:v>2026-04</x:v>
      </x:c>
      <x:c r="C67" s="11" t="str">
        <x:v>RSU</x:v>
      </x:c>
      <x:c r="D67" s="16" t="n">
        <x:v>83758</x:v>
      </x:c>
      <x:c r="E67" s="11" t="str">
        <x:f>IF(OR(ISNUMBER(SEARCH("ESPP",C67)),ISNUMBER(SEARCH("RSU",C67))),"הוני","שוטף")</x:f>
        <x:v>הוני</x:v>
      </x:c>
      <x:c r="F67" s="11" t="str">
        <x:v>אפריל 26</x:v>
      </x:c>
    </x:row>
    <x:row r="68">
      <x:c r="A68" s="14" t="n">
        <x:v>46143</x:v>
      </x:c>
      <x:c r="B68" s="11" t="str">
        <x:v>2026-05</x:v>
      </x:c>
      <x:c r="C68" s="11" t="str">
        <x:v>מס הכנסה</x:v>
      </x:c>
      <x:c r="D68" s="16" t="n">
        <x:v>1770</x:v>
      </x:c>
      <x:c r="E68" s="11" t="str">
        <x:f>IF(OR(ISNUMBER(SEARCH("ESPP",C68)),ISNUMBER(SEARCH("RSU",C68))),"הוני","שוטף")</x:f>
        <x:v>שוטף</x:v>
      </x:c>
      <x:c r="F68" s="11" t="str">
        <x:v>מאי 26</x:v>
      </x:c>
    </x:row>
    <x:row r="69">
      <x:c r="A69" s="14" t="n">
        <x:v>46143</x:v>
      </x:c>
      <x:c r="B69" s="11" t="str">
        <x:v>2026-05</x:v>
      </x:c>
      <x:c r="C69" s="11" t="str">
        <x:v>משכורת זיו</x:v>
      </x:c>
      <x:c r="D69" s="16" t="n">
        <x:v>26023</x:v>
      </x:c>
      <x:c r="E69" s="11" t="str">
        <x:f>IF(OR(ISNUMBER(SEARCH("ESPP",C69)),ISNUMBER(SEARCH("RSU",C69))),"הוני","שוטף")</x:f>
        <x:v>שוטף</x:v>
      </x:c>
      <x:c r="F69" s="11" t="str">
        <x:v>מאי 26</x:v>
      </x:c>
    </x:row>
    <x:row r="70">
      <x:c r="A70" s="14" t="n">
        <x:v>46143</x:v>
      </x:c>
      <x:c r="B70" s="11" t="str">
        <x:v>2026-05</x:v>
      </x:c>
      <x:c r="C70" s="11" t="str">
        <x:v>משכורת עינור</x:v>
      </x:c>
      <x:c r="D70" s="16" t="n">
        <x:v>24296</x:v>
      </x:c>
      <x:c r="E70" s="11" t="str">
        <x:f>IF(OR(ISNUMBER(SEARCH("ESPP",C70)),ISNUMBER(SEARCH("RSU",C70))),"הוני","שוטף")</x:f>
        <x:v>שוטף</x:v>
      </x:c>
      <x:c r="F70" s="11" t="str">
        <x:v>מאי 26</x:v>
      </x:c>
    </x:row>
    <x:row r="71">
      <x:c r="A71" s="14" t="n">
        <x:v>46143</x:v>
      </x:c>
      <x:c r="B71" s="11" t="str">
        <x:v>2026-05</x:v>
      </x:c>
      <x:c r="C71" s="11" t="str">
        <x:v>סיבוס</x:v>
      </x:c>
      <x:c r="D71" s="16" t="n">
        <x:v>1200</x:v>
      </x:c>
      <x:c r="E71" s="11" t="str">
        <x:f>IF(OR(ISNUMBER(SEARCH("ESPP",C71)),ISNUMBER(SEARCH("RSU",C71))),"הוני","שוטף")</x:f>
        <x:v>שוטף</x:v>
      </x:c>
      <x:c r="F71" s="11" t="str">
        <x:v>מאי 26</x:v>
      </x:c>
    </x:row>
    <x:row r="72">
      <x:c r="A72" s="14" t="n">
        <x:v>46143</x:v>
      </x:c>
      <x:c r="B72" s="11" t="str">
        <x:v>2026-05</x:v>
      </x:c>
      <x:c r="C72" s="11" t="str">
        <x:v>ריביות</x:v>
      </x:c>
      <x:c r="D72" s="16" t="n">
        <x:v>0</x:v>
      </x:c>
      <x:c r="E72" s="11" t="str">
        <x:f>IF(OR(ISNUMBER(SEARCH("ESPP",C72)),ISNUMBER(SEARCH("RSU",C72))),"הוני","שוטף")</x:f>
        <x:v>שוטף</x:v>
      </x:c>
      <x:c r="F72" s="11" t="str">
        <x:v>מאי 26</x:v>
      </x:c>
    </x:row>
    <x:row r="73">
      <x:c r="A73" s="14" t="n">
        <x:v>46143</x:v>
      </x:c>
      <x:c r="B73" s="11" t="str">
        <x:v>2026-05</x:v>
      </x:c>
      <x:c r="C73" s="11" t="str">
        <x:v>שכר דירה</x:v>
      </x:c>
      <x:c r="D73" s="16" t="n">
        <x:v>6500</x:v>
      </x:c>
      <x:c r="E73" s="11" t="str">
        <x:f>IF(OR(ISNUMBER(SEARCH("ESPP",C73)),ISNUMBER(SEARCH("RSU",C73))),"הוני","שוטף")</x:f>
        <x:v>שוטף</x:v>
      </x:c>
      <x:c r="F73" s="11" t="str">
        <x:v>מאי 26</x:v>
      </x:c>
    </x:row>
    <x:row r="74">
      <x:c r="A74" s="14" t="n">
        <x:v>46143</x:v>
      </x:c>
      <x:c r="B74" s="11" t="str">
        <x:v>2026-05</x:v>
      </x:c>
      <x:c r="C74" s="11" t="str">
        <x:v>ESPP</x:v>
      </x:c>
      <x:c r="D74" s="16" t="n">
        <x:v>0</x:v>
      </x:c>
      <x:c r="E74" s="11" t="str">
        <x:f>IF(OR(ISNUMBER(SEARCH("ESPP",C74)),ISNUMBER(SEARCH("RSU",C74))),"הוני","שוטף")</x:f>
        <x:v>הוני</x:v>
      </x:c>
      <x:c r="F74" s="11" t="str">
        <x:v>מאי 26</x:v>
      </x:c>
    </x:row>
    <x:row r="75">
      <x:c r="A75" s="14" t="n">
        <x:v>46143</x:v>
      </x:c>
      <x:c r="B75" s="11" t="str">
        <x:v>2026-05</x:v>
      </x:c>
      <x:c r="C75" s="11" t="str">
        <x:v>RSU</x:v>
      </x:c>
      <x:c r="D75" s="16" t="n">
        <x:v>0</x:v>
      </x:c>
      <x:c r="E75" s="11" t="str">
        <x:f>IF(OR(ISNUMBER(SEARCH("ESPP",C75)),ISNUMBER(SEARCH("RSU",C75))),"הוני","שוטף")</x:f>
        <x:v>הוני</x:v>
      </x:c>
      <x:c r="F75" s="11" t="str">
        <x:v>מאי 26</x:v>
      </x:c>
    </x:row>
    <x:row r="76">
      <x:c r="A76" s="14" t="n">
        <x:v>46174</x:v>
      </x:c>
      <x:c r="B76" s="11" t="str">
        <x:v>2026-06</x:v>
      </x:c>
      <x:c r="C76" s="11" t="str">
        <x:v>החזר מס</x:v>
      </x:c>
      <x:c r="D76" s="16" t="n">
        <x:v>9069</x:v>
      </x:c>
      <x:c r="E76" s="11" t="str">
        <x:f>IF(OR(ISNUMBER(SEARCH("ESPP",C76)),ISNUMBER(SEARCH("RSU",C76))),"הוני","שוטף")</x:f>
        <x:v>שוטף</x:v>
      </x:c>
      <x:c r="F76" s="11" t="str">
        <x:v>יוני 26</x:v>
      </x:c>
    </x:row>
    <x:row r="77">
      <x:c r="A77" s="14" t="n">
        <x:v>46174</x:v>
      </x:c>
      <x:c r="B77" s="11" t="str">
        <x:v>2026-06</x:v>
      </x:c>
      <x:c r="C77" s="11" t="str">
        <x:v>משכורת זיו</x:v>
      </x:c>
      <x:c r="D77" s="16" t="n">
        <x:v>16980</x:v>
      </x:c>
      <x:c r="E77" s="11" t="str">
        <x:f>IF(OR(ISNUMBER(SEARCH("ESPP",C77)),ISNUMBER(SEARCH("RSU",C77))),"הוני","שוטף")</x:f>
        <x:v>שוטף</x:v>
      </x:c>
      <x:c r="F77" s="11" t="str">
        <x:v>יוני 26</x:v>
      </x:c>
    </x:row>
    <x:row r="78">
      <x:c r="A78" s="14" t="n">
        <x:v>46174</x:v>
      </x:c>
      <x:c r="B78" s="11" t="str">
        <x:v>2026-06</x:v>
      </x:c>
      <x:c r="C78" s="11" t="str">
        <x:v>משכורת עינור</x:v>
      </x:c>
      <x:c r="D78" s="16" t="n">
        <x:v>24296</x:v>
      </x:c>
      <x:c r="E78" s="11" t="str">
        <x:f>IF(OR(ISNUMBER(SEARCH("ESPP",C78)),ISNUMBER(SEARCH("RSU",C78))),"הוני","שוטף")</x:f>
        <x:v>שוטף</x:v>
      </x:c>
      <x:c r="F78" s="11" t="str">
        <x:v>יוני 26</x:v>
      </x:c>
    </x:row>
    <x:row r="79">
      <x:c r="A79" s="14" t="n">
        <x:v>46174</x:v>
      </x:c>
      <x:c r="B79" s="11" t="str">
        <x:v>2026-06</x:v>
      </x:c>
      <x:c r="C79" s="11" t="str">
        <x:v>סיבוס</x:v>
      </x:c>
      <x:c r="D79" s="16" t="n">
        <x:v>1200</x:v>
      </x:c>
      <x:c r="E79" s="11" t="str">
        <x:f>IF(OR(ISNUMBER(SEARCH("ESPP",C79)),ISNUMBER(SEARCH("RSU",C79))),"הוני","שוטף")</x:f>
        <x:v>שוטף</x:v>
      </x:c>
      <x:c r="F79" s="11" t="str">
        <x:v>יוני 26</x:v>
      </x:c>
    </x:row>
    <x:row r="80">
      <x:c r="A80" s="14" t="n">
        <x:v>46174</x:v>
      </x:c>
      <x:c r="B80" s="11" t="str">
        <x:v>2026-06</x:v>
      </x:c>
      <x:c r="C80" s="11" t="str">
        <x:v>ריביות</x:v>
      </x:c>
      <x:c r="D80" s="16" t="n">
        <x:v>400</x:v>
      </x:c>
      <x:c r="E80" s="11" t="str">
        <x:f>IF(OR(ISNUMBER(SEARCH("ESPP",C80)),ISNUMBER(SEARCH("RSU",C80))),"הוני","שוטף")</x:f>
        <x:v>שוטף</x:v>
      </x:c>
      <x:c r="F80" s="11" t="str">
        <x:v>יוני 26</x:v>
      </x:c>
    </x:row>
    <x:row r="81">
      <x:c r="A81" s="14" t="n">
        <x:v>46174</x:v>
      </x:c>
      <x:c r="B81" s="11" t="str">
        <x:v>2026-06</x:v>
      </x:c>
      <x:c r="C81" s="11" t="str">
        <x:v>שכר דירה</x:v>
      </x:c>
      <x:c r="D81" s="16" t="n">
        <x:v>6500</x:v>
      </x:c>
      <x:c r="E81" s="11" t="str">
        <x:f>IF(OR(ISNUMBER(SEARCH("ESPP",C81)),ISNUMBER(SEARCH("RSU",C81))),"הוני","שוטף")</x:f>
        <x:v>שוטף</x:v>
      </x:c>
      <x:c r="F81" s="11" t="str">
        <x:v>יוני 26</x:v>
      </x:c>
    </x:row>
    <x:row r="82">
      <x:c r="A82" s="14" t="n">
        <x:v>46174</x:v>
      </x:c>
      <x:c r="B82" s="11" t="str">
        <x:v>2026-06</x:v>
      </x:c>
      <x:c r="C82" s="11" t="str">
        <x:v>ESPP</x:v>
      </x:c>
      <x:c r="D82" s="16" t="n">
        <x:v>0</x:v>
      </x:c>
      <x:c r="E82" s="11" t="str">
        <x:f>IF(OR(ISNUMBER(SEARCH("ESPP",C82)),ISNUMBER(SEARCH("RSU",C82))),"הוני","שוטף")</x:f>
        <x:v>הוני</x:v>
      </x:c>
      <x:c r="F82" s="11" t="str">
        <x:v>יוני 26</x:v>
      </x:c>
    </x:row>
    <x:row r="83">
      <x:c r="A83" s="14" t="n">
        <x:v>46174</x:v>
      </x:c>
      <x:c r="B83" s="11" t="str">
        <x:v>2026-06</x:v>
      </x:c>
      <x:c r="C83" s="11" t="str">
        <x:v>RSU</x:v>
      </x:c>
      <x:c r="D83" s="16" t="n">
        <x:v>0</x:v>
      </x:c>
      <x:c r="E83" s="11" t="str">
        <x:f>IF(OR(ISNUMBER(SEARCH("ESPP",C83)),ISNUMBER(SEARCH("RSU",C83))),"הוני","שוטף")</x:f>
        <x:v>הוני</x:v>
      </x:c>
      <x:c r="F83" s="11" t="str">
        <x:v>יוני 26</x:v>
      </x:c>
    </x:row>
    <x:row r="84">
      <x:c r="A84" s="14" t="n">
        <x:v>46204</x:v>
      </x:c>
      <x:c r="B84" s="11" t="str">
        <x:v>2026-07</x:v>
      </x:c>
      <x:c r="C84" s="11" t="str">
        <x:v>משכורת זיו</x:v>
      </x:c>
      <x:c r="D84" s="16" t="n">
        <x:v>20633</x:v>
      </x:c>
      <x:c r="E84" s="11" t="str">
        <x:f>IF(OR(ISNUMBER(SEARCH("ESPP",C84)),ISNUMBER(SEARCH("RSU",C84))),"הוני","שוטף")</x:f>
        <x:v>שוטף</x:v>
      </x:c>
      <x:c r="F84" s="11" t="str">
        <x:v>יולי 26</x:v>
      </x:c>
    </x:row>
    <x:row r="85">
      <x:c r="A85" s="14" t="n">
        <x:v>46204</x:v>
      </x:c>
      <x:c r="B85" s="11" t="str">
        <x:v>2026-07</x:v>
      </x:c>
      <x:c r="C85" s="11" t="str">
        <x:v>משכורת עינור</x:v>
      </x:c>
      <x:c r="D85" s="16" t="n">
        <x:v>24296</x:v>
      </x:c>
      <x:c r="E85" s="11" t="str">
        <x:f>IF(OR(ISNUMBER(SEARCH("ESPP",C85)),ISNUMBER(SEARCH("RSU",C85))),"הוני","שוטף")</x:f>
        <x:v>שוטף</x:v>
      </x:c>
      <x:c r="F85" s="11" t="str">
        <x:v>יולי 26</x:v>
      </x:c>
    </x:row>
    <x:row r="86">
      <x:c r="A86" s="14" t="n">
        <x:v>46204</x:v>
      </x:c>
      <x:c r="B86" s="11" t="str">
        <x:v>2026-07</x:v>
      </x:c>
      <x:c r="C86" s="11" t="str">
        <x:v>סיבוס</x:v>
      </x:c>
      <x:c r="D86" s="16" t="n">
        <x:v>700</x:v>
      </x:c>
      <x:c r="E86" s="11" t="str">
        <x:f>IF(OR(ISNUMBER(SEARCH("ESPP",C86)),ISNUMBER(SEARCH("RSU",C86))),"הוני","שוטף")</x:f>
        <x:v>שוטף</x:v>
      </x:c>
      <x:c r="F86" s="11" t="str">
        <x:v>יולי 26</x:v>
      </x:c>
    </x:row>
    <x:row r="87">
      <x:c r="A87" s="14" t="n">
        <x:v>46204</x:v>
      </x:c>
      <x:c r="B87" s="11" t="str">
        <x:v>2026-07</x:v>
      </x:c>
      <x:c r="C87" s="11" t="str">
        <x:v>ריביות</x:v>
      </x:c>
      <x:c r="D87" s="16" t="n">
        <x:v>0</x:v>
      </x:c>
      <x:c r="E87" s="11" t="str">
        <x:f>IF(OR(ISNUMBER(SEARCH("ESPP",C87)),ISNUMBER(SEARCH("RSU",C87))),"הוני","שוטף")</x:f>
        <x:v>שוטף</x:v>
      </x:c>
      <x:c r="F87" s="11" t="str">
        <x:v>יולי 26</x:v>
      </x:c>
    </x:row>
    <x:row r="88">
      <x:c r="A88" s="14" t="n">
        <x:v>46204</x:v>
      </x:c>
      <x:c r="B88" s="11" t="str">
        <x:v>2026-07</x:v>
      </x:c>
      <x:c r="C88" s="11" t="str">
        <x:v>שכר דירה</x:v>
      </x:c>
      <x:c r="D88" s="16" t="n">
        <x:v>6500</x:v>
      </x:c>
      <x:c r="E88" s="11" t="str">
        <x:f>IF(OR(ISNUMBER(SEARCH("ESPP",C88)),ISNUMBER(SEARCH("RSU",C88))),"הוני","שוטף")</x:f>
        <x:v>שוטף</x:v>
      </x:c>
      <x:c r="F88" s="11" t="str">
        <x:v>יולי 26</x:v>
      </x:c>
    </x:row>
    <x:row r="89">
      <x:c r="A89" s="14" t="n">
        <x:v>46204</x:v>
      </x:c>
      <x:c r="B89" s="11" t="str">
        <x:v>2026-07</x:v>
      </x:c>
      <x:c r="C89" s="11" t="str">
        <x:v>ESPP</x:v>
      </x:c>
      <x:c r="D89" s="16" t="n">
        <x:v>0</x:v>
      </x:c>
      <x:c r="E89" s="11" t="str">
        <x:f>IF(OR(ISNUMBER(SEARCH("ESPP",C89)),ISNUMBER(SEARCH("RSU",C89))),"הוני","שוטף")</x:f>
        <x:v>הוני</x:v>
      </x:c>
      <x:c r="F89" s="11" t="str">
        <x:v>יולי 26</x:v>
      </x:c>
    </x:row>
    <x:row r="90">
      <x:c r="A90" s="14" t="n">
        <x:v>46204</x:v>
      </x:c>
      <x:c r="B90" s="11" t="str">
        <x:v>2026-07</x:v>
      </x:c>
      <x:c r="C90" s="11" t="str">
        <x:v>RSU</x:v>
      </x:c>
      <x:c r="D90" s="16" t="n">
        <x:v>64855</x:v>
      </x:c>
      <x:c r="E90" s="11" t="str">
        <x:f>IF(OR(ISNUMBER(SEARCH("ESPP",C90)),ISNUMBER(SEARCH("RSU",C90))),"הוני","שוטף")</x:f>
        <x:v>הוני</x:v>
      </x:c>
      <x:c r="F90" s="11" t="str">
        <x:v>יולי 26</x:v>
      </x:c>
    </x:row>
    <x:row r="91">
      <x:c r="A91" s="14" t="n">
        <x:v>46235</x:v>
      </x:c>
      <x:c r="B91" s="11" t="str">
        <x:v>2026-08</x:v>
      </x:c>
      <x:c r="C91" s="11" t="str">
        <x:v>מילואים</x:v>
      </x:c>
      <x:c r="D91" s="16" t="n">
        <x:v>1250</x:v>
      </x:c>
      <x:c r="E91" s="11" t="str">
        <x:f>IF(OR(ISNUMBER(SEARCH("ESPP",C91)),ISNUMBER(SEARCH("RSU",C91))),"הוני","שוטף")</x:f>
        <x:v>שוטף</x:v>
      </x:c>
      <x:c r="F91" s="11" t="str">
        <x:v>אוגוסט 26</x:v>
      </x:c>
    </x:row>
    <x:row r="92">
      <x:c r="A92" s="14" t="n">
        <x:v>46235</x:v>
      </x:c>
      <x:c r="B92" s="11" t="str">
        <x:v>2026-08</x:v>
      </x:c>
      <x:c r="C92" s="11" t="str">
        <x:v>משכורת זיו</x:v>
      </x:c>
      <x:c r="D92" s="16" t="n">
        <x:v>18570</x:v>
      </x:c>
      <x:c r="E92" s="11" t="str">
        <x:f>IF(OR(ISNUMBER(SEARCH("ESPP",C92)),ISNUMBER(SEARCH("RSU",C92))),"הוני","שוטף")</x:f>
        <x:v>שוטף</x:v>
      </x:c>
      <x:c r="F92" s="11" t="str">
        <x:v>אוגוסט 26</x:v>
      </x:c>
    </x:row>
    <x:row r="93">
      <x:c r="A93" s="14" t="n">
        <x:v>46235</x:v>
      </x:c>
      <x:c r="B93" s="11" t="str">
        <x:v>2026-08</x:v>
      </x:c>
      <x:c r="C93" s="11" t="str">
        <x:v>משכורת עינור</x:v>
      </x:c>
      <x:c r="D93" s="16" t="n">
        <x:v>24296</x:v>
      </x:c>
      <x:c r="E93" s="11" t="str">
        <x:f>IF(OR(ISNUMBER(SEARCH("ESPP",C93)),ISNUMBER(SEARCH("RSU",C93))),"הוני","שוטף")</x:f>
        <x:v>שוטף</x:v>
      </x:c>
      <x:c r="F93" s="11" t="str">
        <x:v>אוגוסט 26</x:v>
      </x:c>
    </x:row>
    <x:row r="94">
      <x:c r="A94" s="14" t="n">
        <x:v>46235</x:v>
      </x:c>
      <x:c r="B94" s="11" t="str">
        <x:v>2026-08</x:v>
      </x:c>
      <x:c r="C94" s="11" t="str">
        <x:v>סיבוס</x:v>
      </x:c>
      <x:c r="D94" s="16" t="n">
        <x:v>1200</x:v>
      </x:c>
      <x:c r="E94" s="11" t="str">
        <x:f>IF(OR(ISNUMBER(SEARCH("ESPP",C94)),ISNUMBER(SEARCH("RSU",C94))),"הוני","שוטף")</x:f>
        <x:v>שוטף</x:v>
      </x:c>
      <x:c r="F94" s="11" t="str">
        <x:v>אוגוסט 26</x:v>
      </x:c>
    </x:row>
    <x:row r="95">
      <x:c r="A95" s="14" t="n">
        <x:v>46235</x:v>
      </x:c>
      <x:c r="B95" s="11" t="str">
        <x:v>2026-08</x:v>
      </x:c>
      <x:c r="C95" s="11" t="str">
        <x:v>ריביות</x:v>
      </x:c>
      <x:c r="D95" s="16" t="n">
        <x:v>409</x:v>
      </x:c>
      <x:c r="E95" s="11" t="str">
        <x:f>IF(OR(ISNUMBER(SEARCH("ESPP",C95)),ISNUMBER(SEARCH("RSU",C95))),"הוני","שוטף")</x:f>
        <x:v>שוטף</x:v>
      </x:c>
      <x:c r="F95" s="11" t="str">
        <x:v>אוגוסט 26</x:v>
      </x:c>
    </x:row>
    <x:row r="96">
      <x:c r="A96" s="14" t="n">
        <x:v>46235</x:v>
      </x:c>
      <x:c r="B96" s="11" t="str">
        <x:v>2026-08</x:v>
      </x:c>
      <x:c r="C96" s="11" t="str">
        <x:v>שכר דירה</x:v>
      </x:c>
      <x:c r="D96" s="16" t="n">
        <x:v>6500</x:v>
      </x:c>
      <x:c r="E96" s="11" t="str">
        <x:f>IF(OR(ISNUMBER(SEARCH("ESPP",C96)),ISNUMBER(SEARCH("RSU",C96))),"הוני","שוטף")</x:f>
        <x:v>שוטף</x:v>
      </x:c>
      <x:c r="F96" s="11" t="str">
        <x:v>אוגוסט 26</x:v>
      </x:c>
    </x:row>
    <x:row r="97">
      <x:c r="A97" s="14" t="n">
        <x:v>46235</x:v>
      </x:c>
      <x:c r="B97" s="11" t="str">
        <x:v>2026-08</x:v>
      </x:c>
      <x:c r="C97" s="11" t="str">
        <x:v>ESPP</x:v>
      </x:c>
      <x:c r="D97" s="16" t="n">
        <x:v>0</x:v>
      </x:c>
      <x:c r="E97" s="11" t="str">
        <x:f>IF(OR(ISNUMBER(SEARCH("ESPP",C97)),ISNUMBER(SEARCH("RSU",C97))),"הוני","שוטף")</x:f>
        <x:v>הוני</x:v>
      </x:c>
      <x:c r="F97" s="11" t="str">
        <x:v>אוגוסט 26</x:v>
      </x:c>
    </x:row>
    <x:row r="98">
      <x:c r="A98" s="14" t="n">
        <x:v>46235</x:v>
      </x:c>
      <x:c r="B98" s="11" t="str">
        <x:v>2026-08</x:v>
      </x:c>
      <x:c r="C98" s="11" t="str">
        <x:v>RSU</x:v>
      </x:c>
      <x:c r="D98" s="16" t="n">
        <x:v>0</x:v>
      </x:c>
      <x:c r="E98" s="11" t="str">
        <x:f>IF(OR(ISNUMBER(SEARCH("ESPP",C98)),ISNUMBER(SEARCH("RSU",C98))),"הוני","שוטף")</x:f>
        <x:v>הוני</x:v>
      </x:c>
      <x:c r="F98" s="11" t="str">
        <x:v>אוגוסט 26</x:v>
      </x:c>
    </x:row>
  </x:sheetData>
  <x:pageMargins left="0.7" right="0.7" top="0.75" bottom="0.75" header="0.3" footer="0.3"/>
  <x:tableParts count="1">
    <x:tablePart xmlns:r="http://schemas.openxmlformats.org/officeDocument/2006/relationships" r:id="Rde20ae5758f7457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4" hidden="0" customWidth="1"/>
    <x:col min="3" max="3" width="12" hidden="0" customWidth="1"/>
    <x:col min="4" max="4" width="14" hidden="0" customWidth="1"/>
    <x:col min="5" max="5" width="32" hidden="0" customWidth="1"/>
    <x:col min="6" max="6" width="15" hidden="0" customWidth="1"/>
    <x:col min="7" max="7" width="18" hidden="0" customWidth="1"/>
    <x:col min="8" max="8" width="20" hidden="0" customWidth="1"/>
    <x:col min="9" max="9" width="12" hidden="0" customWidth="1"/>
  </x:cols>
  <x:sheetData>
    <x:row r="2">
      <x:c r="B2" s="2" t="str">
        <x:v>פירוט חופשות</x:v>
      </x:c>
      <x:c r="C2" s="1"/>
      <x:c r="D2" s="1"/>
      <x:c r="E2" s="1"/>
      <x:c r="F2" s="1"/>
      <x:c r="G2" s="1"/>
      <x:c r="H2" s="1"/>
    </x:row>
    <x:row r="3">
      <x:c r="B3" s="3" t="str">
        <x:v>פירוט משלים בלבד; אין לחבר לסיכום החודשי משום שחלק מהסכומים כבר מופיעים בעסקאות</x:v>
      </x:c>
      <x:c r="C3" s="3"/>
      <x:c r="D3" s="3"/>
      <x:c r="E3" s="3"/>
      <x:c r="F3" s="3"/>
      <x:c r="G3" s="3"/>
      <x:c r="H3" s="3"/>
    </x:row>
    <x:row r="6">
      <x:c r="B6" s="9" t="str">
        <x:v>חופשה</x:v>
      </x:c>
      <x:c r="C6" s="9" t="str">
        <x:v>שורת מקור</x:v>
      </x:c>
      <x:c r="D6" s="9" t="str">
        <x:v>תאריך</x:v>
      </x:c>
      <x:c r="E6" s="9" t="str">
        <x:v>תיאור</x:v>
      </x:c>
      <x:c r="F6" s="9" t="str">
        <x:v>סכום (₪)</x:v>
      </x:c>
      <x:c r="G6" s="9" t="str">
        <x:v>קטגוריה</x:v>
      </x:c>
      <x:c r="H6" s="9" t="str">
        <x:v>כרטיס</x:v>
      </x:c>
      <x:c r="I6" s="9" t="str">
        <x:v>סטטוס</x:v>
      </x:c>
    </x:row>
    <x:row r="7">
      <x:c r="B7" s="11" t="str">
        <x:v>יפן 25</x:v>
      </x:c>
      <x:c r="C7" s="11" t="n">
        <x:v>2</x:v>
      </x:c>
      <x:c r="D7" s="11" t="str">
        <x:v>2.2</x:v>
      </x:c>
      <x:c r="E7" s="11" t="str">
        <x:v>טיסה</x:v>
      </x:c>
      <x:c r="F7" s="16" t="n">
        <x:v>11469</x:v>
      </x:c>
      <x:c r="G7" s="11" t="str">
        <x:v>טיסה</x:v>
      </x:c>
      <x:c r="H7" s="11" t="str">
        <x:v>10 עינור</x:v>
      </x:c>
      <x:c r="I7" s="11" t="str">
        <x:v>מאושר</x:v>
      </x:c>
    </x:row>
    <x:row r="8">
      <x:c r="B8" s="11" t="str">
        <x:v>יפן 25</x:v>
      </x:c>
      <x:c r="C8" s="11" t="n">
        <x:v>3</x:v>
      </x:c>
      <x:c r="D8" s="11" t="str">
        <x:v>10.3</x:v>
      </x:c>
      <x:c r="E8" s="11" t="str">
        <x:v>טיסה לאוסקה</x:v>
      </x:c>
      <x:c r="F8" s="16" t="n">
        <x:v>2994</x:v>
      </x:c>
      <x:c r="G8" s="11" t="str">
        <x:v>טיסה</x:v>
      </x:c>
      <x:c r="H8" s="11" t="str">
        <x:v>10 עינור</x:v>
      </x:c>
      <x:c r="I8" s="11" t="str">
        <x:v>מאושר</x:v>
      </x:c>
    </x:row>
    <x:row r="9">
      <x:c r="B9" s="11" t="str">
        <x:v>יפן 25</x:v>
      </x:c>
      <x:c r="C9" s="11" t="n">
        <x:v>4</x:v>
      </x:c>
      <x:c r="D9" s="11" t="str">
        <x:v>14.3</x:v>
      </x:c>
      <x:c r="E9" s="11" t="str">
        <x:v>מלון טויומה</x:v>
      </x:c>
      <x:c r="F9" s="16" t="n">
        <x:v>320</x:v>
      </x:c>
      <x:c r="G9" s="11" t="str">
        <x:v>לינה</x:v>
      </x:c>
      <x:c r="H9" s="11" t="str">
        <x:v>10 זיו</x:v>
      </x:c>
      <x:c r="I9" s="11" t="str">
        <x:v>מאושר</x:v>
      </x:c>
    </x:row>
    <x:row r="10">
      <x:c r="B10" s="11" t="str">
        <x:v>יפן 25</x:v>
      </x:c>
      <x:c r="C10" s="11" t="n">
        <x:v>5</x:v>
      </x:c>
      <x:c r="D10" s="11" t="str">
        <x:v>14.3</x:v>
      </x:c>
      <x:c r="E10" s="11" t="str">
        <x:v>מלון נגנו</x:v>
      </x:c>
      <x:c r="F10" s="16" t="n">
        <x:v>33</x:v>
      </x:c>
      <x:c r="G10" s="11" t="str">
        <x:v>לינה</x:v>
      </x:c>
      <x:c r="H10" s="11" t="str">
        <x:v>10 זיו</x:v>
      </x:c>
      <x:c r="I10" s="11" t="str">
        <x:v>מאושר</x:v>
      </x:c>
    </x:row>
    <x:row r="11">
      <x:c r="B11" s="11" t="str">
        <x:v>יפן 25</x:v>
      </x:c>
      <x:c r="C11" s="11" t="n">
        <x:v>6</x:v>
      </x:c>
      <x:c r="D11" s="11" t="str">
        <x:v>14.3</x:v>
      </x:c>
      <x:c r="E11" s="11" t="str">
        <x:v>מלון אונסונים</x:v>
      </x:c>
      <x:c r="F11" s="16" t="n">
        <x:v>3549</x:v>
      </x:c>
      <x:c r="G11" s="11" t="str">
        <x:v>לינה</x:v>
      </x:c>
      <x:c r="H11" s="11" t="str">
        <x:v>10 זיו</x:v>
      </x:c>
      <x:c r="I11" s="11" t="str">
        <x:v>מאושר</x:v>
      </x:c>
    </x:row>
    <x:row r="12">
      <x:c r="B12" s="11" t="str">
        <x:v>יפן 25</x:v>
      </x:c>
      <x:c r="C12" s="11" t="n">
        <x:v>7</x:v>
      </x:c>
      <x:c r="D12" s="11" t="str">
        <x:v>27.6</x:v>
      </x:c>
      <x:c r="E12" s="11" t="str">
        <x:v>מלון הירושימה</x:v>
      </x:c>
      <x:c r="F12" s="16" t="n">
        <x:v>922</x:v>
      </x:c>
      <x:c r="G12" s="11" t="str">
        <x:v>לינה</x:v>
      </x:c>
      <x:c r="H12" s="11" t="str">
        <x:v>10 זיו</x:v>
      </x:c>
      <x:c r="I12" s="11" t="str">
        <x:v>מאושר</x:v>
      </x:c>
    </x:row>
    <x:row r="13">
      <x:c r="B13" s="11" t="str">
        <x:v>יפן 25</x:v>
      </x:c>
      <x:c r="C13" s="11" t="n">
        <x:v>8</x:v>
      </x:c>
      <x:c r="D13" s="11" t="str">
        <x:v>19.7</x:v>
      </x:c>
      <x:c r="E13" s="11" t="str">
        <x:v>מלון אוסקה</x:v>
      </x:c>
      <x:c r="F13" s="16" t="n">
        <x:v>1127</x:v>
      </x:c>
      <x:c r="G13" s="11" t="str">
        <x:v>לינה</x:v>
      </x:c>
      <x:c r="H13" s="11" t="str">
        <x:v>אמקס עינור</x:v>
      </x:c>
      <x:c r="I13" s="11" t="str">
        <x:v>מאושר</x:v>
      </x:c>
    </x:row>
    <x:row r="14">
      <x:c r="B14" s="11" t="str">
        <x:v>יפן 25</x:v>
      </x:c>
      <x:c r="C14" s="11" t="n">
        <x:v>9</x:v>
      </x:c>
      <x:c r="D14" s="11" t="str">
        <x:v>19.7</x:v>
      </x:c>
      <x:c r="E14" s="11" t="str">
        <x:v>מלון טאקיאמה</x:v>
      </x:c>
      <x:c r="F14" s="16" t="n">
        <x:v>496</x:v>
      </x:c>
      <x:c r="G14" s="11" t="str">
        <x:v>לינה</x:v>
      </x:c>
      <x:c r="H14" s="11" t="str">
        <x:v>אמקס עינור</x:v>
      </x:c>
      <x:c r="I14" s="11" t="str">
        <x:v>מאושר</x:v>
      </x:c>
    </x:row>
    <x:row r="15">
      <x:c r="B15" s="11" t="str">
        <x:v>יפן 25</x:v>
      </x:c>
      <x:c r="C15" s="11" t="n">
        <x:v>10</x:v>
      </x:c>
      <x:c r="D15" s="11" t="str">
        <x:v>19.7</x:v>
      </x:c>
      <x:c r="E15" s="11" t="str">
        <x:v>מלון ניקו</x:v>
      </x:c>
      <x:c r="F15" s="16" t="n">
        <x:v>619</x:v>
      </x:c>
      <x:c r="G15" s="11" t="str">
        <x:v>לינה</x:v>
      </x:c>
      <x:c r="H15" s="11" t="str">
        <x:v>אמקס עינור</x:v>
      </x:c>
      <x:c r="I15" s="11" t="str">
        <x:v>מאושר</x:v>
      </x:c>
    </x:row>
    <x:row r="16">
      <x:c r="B16" s="11" t="str">
        <x:v>יפן 25</x:v>
      </x:c>
      <x:c r="C16" s="11" t="n">
        <x:v>11</x:v>
      </x:c>
      <x:c r="D16" s="11" t="str">
        <x:v>19.7</x:v>
      </x:c>
      <x:c r="E16" s="11" t="str">
        <x:v>מלון גינזה מס ביטול</x:v>
      </x:c>
      <x:c r="F16" s="16" t="n">
        <x:v>16</x:v>
      </x:c>
      <x:c r="G16" s="11" t="str">
        <x:v>לינה</x:v>
      </x:c>
      <x:c r="H16" s="11" t="str">
        <x:v>אמקס עינור</x:v>
      </x:c>
      <x:c r="I16" s="11" t="str">
        <x:v>מאושר</x:v>
      </x:c>
    </x:row>
    <x:row r="17">
      <x:c r="B17" s="11" t="str">
        <x:v>יפן 25</x:v>
      </x:c>
      <x:c r="C17" s="11" t="n">
        <x:v>12</x:v>
      </x:c>
      <x:c r="D17" s="11" t="str">
        <x:v>19.7</x:v>
      </x:c>
      <x:c r="E17" s="11" t="str">
        <x:v>מלון מטסומוטו</x:v>
      </x:c>
      <x:c r="F17" s="16" t="n">
        <x:v>339</x:v>
      </x:c>
      <x:c r="G17" s="11" t="str">
        <x:v>לינה</x:v>
      </x:c>
      <x:c r="H17" s="11" t="str">
        <x:v>אמקס עינור</x:v>
      </x:c>
      <x:c r="I17" s="11" t="str">
        <x:v>מאושר</x:v>
      </x:c>
    </x:row>
    <x:row r="18">
      <x:c r="B18" s="11" t="str">
        <x:v>יפן 25</x:v>
      </x:c>
      <x:c r="C18" s="11" t="n">
        <x:v>13</x:v>
      </x:c>
      <x:c r="D18" s="11" t="str">
        <x:v>26.7</x:v>
      </x:c>
      <x:c r="E18" s="11" t="str">
        <x:v>מלון גינזה 2</x:v>
      </x:c>
      <x:c r="F18" s="16" t="n">
        <x:v>4783</x:v>
      </x:c>
      <x:c r="G18" s="11" t="str">
        <x:v>לינה</x:v>
      </x:c>
      <x:c r="H18" s="11" t="str">
        <x:v>אמקס עינור</x:v>
      </x:c>
      <x:c r="I18" s="11" t="str">
        <x:v>מאושר</x:v>
      </x:c>
    </x:row>
    <x:row r="19">
      <x:c r="B19" s="11" t="str">
        <x:v>יפן 25</x:v>
      </x:c>
      <x:c r="C19" s="11" t="n">
        <x:v>14</x:v>
      </x:c>
      <x:c r="D19" s="11" t="str">
        <x:v>26.7</x:v>
      </x:c>
      <x:c r="E19" s="11" t="str">
        <x:v>רכב ניקו מס ביטול</x:v>
      </x:c>
      <x:c r="F19" s="16" t="n">
        <x:v>1</x:v>
      </x:c>
      <x:c r="G19" s="11" t="str">
        <x:v>תחבורה</x:v>
      </x:c>
      <x:c r="H19" s="11" t="str">
        <x:v>קורפרייט זיו</x:v>
      </x:c>
      <x:c r="I19" s="11" t="str">
        <x:v>מאושר</x:v>
      </x:c>
    </x:row>
    <x:row r="20">
      <x:c r="B20" s="11" t="str">
        <x:v>יפן 25</x:v>
      </x:c>
      <x:c r="C20" s="11" t="n">
        <x:v>15</x:v>
      </x:c>
      <x:c r="D20" s="11" t="str">
        <x:v>26.7</x:v>
      </x:c>
      <x:c r="E20" s="11" t="str">
        <x:v>רכב ניקו</x:v>
      </x:c>
      <x:c r="F20" s="16" t="n">
        <x:v>280</x:v>
      </x:c>
      <x:c r="G20" s="11" t="str">
        <x:v>תחבורה</x:v>
      </x:c>
      <x:c r="H20" s="11" t="str">
        <x:v>קורפרייט זיו</x:v>
      </x:c>
      <x:c r="I20" s="11" t="str">
        <x:v>מאושר</x:v>
      </x:c>
    </x:row>
    <x:row r="21">
      <x:c r="B21" s="11" t="str">
        <x:v>יפן 25</x:v>
      </x:c>
      <x:c r="C21" s="11" t="n">
        <x:v>16</x:v>
      </x:c>
      <x:c r="D21" s="11" t="str">
        <x:v>20.7</x:v>
      </x:c>
      <x:c r="E21" s="11" t="str">
        <x:v>רכב אלפים</x:v>
      </x:c>
      <x:c r="F21" s="16" t="n">
        <x:v>1205</x:v>
      </x:c>
      <x:c r="G21" s="11" t="str">
        <x:v>תחבורה</x:v>
      </x:c>
      <x:c r="H21" s="11" t="str">
        <x:v>אמקס זיו</x:v>
      </x:c>
      <x:c r="I21" s="11" t="str">
        <x:v>מאושר</x:v>
      </x:c>
    </x:row>
    <x:row r="22">
      <x:c r="B22" s="11" t="str">
        <x:v>יפן 25</x:v>
      </x:c>
      <x:c r="C22" s="11" t="n">
        <x:v>17</x:v>
      </x:c>
      <x:c r="D22" s="11" t="str">
        <x:v>26.7</x:v>
      </x:c>
      <x:c r="E22" s="11" t="str">
        <x:v>מלון אסקוסה מס ביטול</x:v>
      </x:c>
      <x:c r="F22" s="16" t="n">
        <x:v>10</x:v>
      </x:c>
      <x:c r="G22" s="11" t="str">
        <x:v>לינה</x:v>
      </x:c>
      <x:c r="H22" s="11" t="str">
        <x:v>אמקס זיו</x:v>
      </x:c>
      <x:c r="I22" s="11" t="str">
        <x:v>מאושר</x:v>
      </x:c>
    </x:row>
    <x:row r="23">
      <x:c r="B23" s="11" t="str">
        <x:v>יפן 25</x:v>
      </x:c>
      <x:c r="C23" s="11" t="n">
        <x:v>18</x:v>
      </x:c>
      <x:c r="D23" s="11" t="str">
        <x:v>2.8</x:v>
      </x:c>
      <x:c r="E23" s="11" t="str">
        <x:v>טים לאב</x:v>
      </x:c>
      <x:c r="F23" s="16" t="n">
        <x:v>240</x:v>
      </x:c>
      <x:c r="G23" s="11" t="str">
        <x:v>אטרקציות</x:v>
      </x:c>
      <x:c r="H23" s="11" t="str">
        <x:v>אמקס עינור</x:v>
      </x:c>
      <x:c r="I23" s="11" t="str">
        <x:v>מאושר</x:v>
      </x:c>
    </x:row>
    <x:row r="24">
      <x:c r="B24" s="11" t="str">
        <x:v>יפן 25</x:v>
      </x:c>
      <x:c r="C24" s="11" t="n">
        <x:v>19</x:v>
      </x:c>
      <x:c r="D24" s="11" t="str">
        <x:v>2.8</x:v>
      </x:c>
      <x:c r="E24" s="11" t="str">
        <x:v>צלמת</x:v>
      </x:c>
      <x:c r="F24" s="16" t="n">
        <x:v>1069</x:v>
      </x:c>
      <x:c r="G24" s="11" t="str">
        <x:v>אטרקציות</x:v>
      </x:c>
      <x:c r="H24" s="11" t="str">
        <x:v>אמקס עינור</x:v>
      </x:c>
      <x:c r="I24" s="11" t="str">
        <x:v>מאושר</x:v>
      </x:c>
    </x:row>
    <x:row r="25">
      <x:c r="B25" s="11" t="str">
        <x:v>יפן 25</x:v>
      </x:c>
      <x:c r="C25" s="11" t="n">
        <x:v>20</x:v>
      </x:c>
      <x:c r="D25" s="11" t="str">
        <x:v>3.8</x:v>
      </x:c>
      <x:c r="E25" s="11" t="str">
        <x:v>ביטוח</x:v>
      </x:c>
      <x:c r="F25" s="16" t="n">
        <x:v>343</x:v>
      </x:c>
      <x:c r="G25" s="11" t="str">
        <x:v>מנהלתי</x:v>
      </x:c>
      <x:c r="H25" s="11" t="str">
        <x:v>הוט זיו</x:v>
      </x:c>
      <x:c r="I25" s="11" t="str">
        <x:v>מאושר</x:v>
      </x:c>
    </x:row>
    <x:row r="26">
      <x:c r="B26" s="11" t="str">
        <x:v>יפן 25</x:v>
      </x:c>
      <x:c r="C26" s="11" t="n">
        <x:v>21</x:v>
      </x:c>
      <x:c r="D26" s="11" t="str">
        <x:v>2.8</x:v>
      </x:c>
      <x:c r="E26" s="11" t="str">
        <x:v>דרך אלפינית</x:v>
      </x:c>
      <x:c r="F26" s="16" t="n">
        <x:v>591</x:v>
      </x:c>
      <x:c r="G26" s="11" t="str">
        <x:v>אטרקציות</x:v>
      </x:c>
      <x:c r="H26" s="11" t="str">
        <x:v>אמקס עינור</x:v>
      </x:c>
      <x:c r="I26" s="11" t="str">
        <x:v>מאושר</x:v>
      </x:c>
    </x:row>
    <x:row r="27">
      <x:c r="B27" s="11" t="str">
        <x:v>יפן 25</x:v>
      </x:c>
      <x:c r="C27" s="11" t="n">
        <x:v>22</x:v>
      </x:c>
      <x:c r="D27" s="11" t="str">
        <x:v>12.8</x:v>
      </x:c>
      <x:c r="E27" s="11" t="str">
        <x:v>טים לאב קיוטו</x:v>
      </x:c>
      <x:c r="F27" s="16" t="n">
        <x:v>175</x:v>
      </x:c>
      <x:c r="G27" s="11" t="str">
        <x:v>אטרקציות</x:v>
      </x:c>
      <x:c r="H27" s="11" t="str">
        <x:v>אמקס עינור</x:v>
      </x:c>
      <x:c r="I27" s="11" t="str">
        <x:v>מאושר</x:v>
      </x:c>
    </x:row>
    <x:row r="28">
      <x:c r="B28" s="11" t="str">
        <x:v>יפן 25</x:v>
      </x:c>
      <x:c r="C28" s="11" t="n">
        <x:v>23</x:v>
      </x:c>
      <x:c r="D28" s="11" t="str">
        <x:v>5.9</x:v>
      </x:c>
      <x:c r="E28" s="11" t="str">
        <x:v>פס הירושימה</x:v>
      </x:c>
      <x:c r="F28" s="16" t="n">
        <x:v>398</x:v>
      </x:c>
      <x:c r="G28" s="11" t="str">
        <x:v>תחבורה</x:v>
      </x:c>
      <x:c r="H28" s="11" t="str">
        <x:v>אמקס עינור</x:v>
      </x:c>
      <x:c r="I28" s="11" t="str">
        <x:v>מאושר</x:v>
      </x:c>
    </x:row>
    <x:row r="29">
      <x:c r="B29" s="11" t="str">
        <x:v>יפן 25</x:v>
      </x:c>
      <x:c r="C29" s="11" t="n">
        <x:v>24</x:v>
      </x:c>
      <x:c r="D29" s="11" t="str">
        <x:v>5.9</x:v>
      </x:c>
      <x:c r="E29" s="11" t="str">
        <x:v>פס הירושימה</x:v>
      </x:c>
      <x:c r="F29" s="16" t="n">
        <x:v>398</x:v>
      </x:c>
      <x:c r="G29" s="11" t="str">
        <x:v>תחבורה</x:v>
      </x:c>
      <x:c r="H29" s="11" t="str">
        <x:v>אמקס עינור</x:v>
      </x:c>
      <x:c r="I29" s="11" t="str">
        <x:v>מאושר</x:v>
      </x:c>
    </x:row>
    <x:row r="30">
      <x:c r="B30" s="11" t="str">
        <x:v>יפן 25</x:v>
      </x:c>
      <x:c r="C30" s="11" t="n">
        <x:v>25</x:v>
      </x:c>
      <x:c r="D30" s="11" t="str">
        <x:v>16.9</x:v>
      </x:c>
      <x:c r="E30" s="11" t="str">
        <x:v>סיור אוכל קיוטו</x:v>
      </x:c>
      <x:c r="F30" s="16" t="n">
        <x:v>405</x:v>
      </x:c>
      <x:c r="G30" s="11" t="str">
        <x:v>אטרקציות</x:v>
      </x:c>
      <x:c r="H30" s="11" t="str">
        <x:v>אמקס עינור</x:v>
      </x:c>
      <x:c r="I30" s="11" t="str">
        <x:v>מאושר</x:v>
      </x:c>
    </x:row>
    <x:row r="31">
      <x:c r="B31" s="11" t="str">
        <x:v>יפן 25</x:v>
      </x:c>
      <x:c r="C31" s="11" t="n">
        <x:v>26</x:v>
      </x:c>
      <x:c r="D31" s="11" t="str">
        <x:v>5.9</x:v>
      </x:c>
      <x:c r="E31" s="11" t="str">
        <x:v>תרופות</x:v>
      </x:c>
      <x:c r="F31" s="16" t="n">
        <x:v>346</x:v>
      </x:c>
      <x:c r="G31" s="11" t="str">
        <x:v>מנהלתי</x:v>
      </x:c>
      <x:c r="H31" s="11" t="str">
        <x:v>אמקס עינור</x:v>
      </x:c>
      <x:c r="I31" s="11" t="str">
        <x:v>מאושר</x:v>
      </x:c>
    </x:row>
    <x:row r="32">
      <x:c r="B32" s="11" t="str">
        <x:v>יפן 25</x:v>
      </x:c>
      <x:c r="C32" s="11" t="n">
        <x:v>27</x:v>
      </x:c>
      <x:c r="D32" s="11" t="str">
        <x:v>19.9</x:v>
      </x:c>
      <x:c r="E32" s="11" t="str">
        <x:v>סדנת בישול ותרבות יפנית</x:v>
      </x:c>
      <x:c r="F32" s="16" t="n">
        <x:v>802</x:v>
      </x:c>
      <x:c r="G32" s="11" t="str">
        <x:v>אטרקציות</x:v>
      </x:c>
      <x:c r="H32" s="11" t="str">
        <x:v>אמקס עינור (ביט)</x:v>
      </x:c>
      <x:c r="I32" s="11" t="str">
        <x:v>מאושר</x:v>
      </x:c>
    </x:row>
    <x:row r="33">
      <x:c r="B33" s="11" t="str">
        <x:v>יפן 25</x:v>
      </x:c>
      <x:c r="C33" s="11" t="n">
        <x:v>28</x:v>
      </x:c>
      <x:c r="D33" s="11" t="str">
        <x:v>4.9</x:v>
      </x:c>
      <x:c r="E33" s="11" t="str">
        <x:v>רישיון בינלאומי</x:v>
      </x:c>
      <x:c r="F33" s="16" t="n">
        <x:v>11</x:v>
      </x:c>
      <x:c r="G33" s="11" t="str">
        <x:v>מנהלתי</x:v>
      </x:c>
      <x:c r="H33" s="11" t="str">
        <x:v>אמקס זיו</x:v>
      </x:c>
      <x:c r="I33" s="11" t="str">
        <x:v>מאושר</x:v>
      </x:c>
    </x:row>
    <x:row r="34">
      <x:c r="B34" s="11" t="str">
        <x:v>יפן 25</x:v>
      </x:c>
      <x:c r="C34" s="11" t="n">
        <x:v>29</x:v>
      </x:c>
      <x:c r="D34" s="11" t="str">
        <x:v>9.9</x:v>
      </x:c>
      <x:c r="E34" s="11" t="str">
        <x:v>רישיון בינלאומי</x:v>
      </x:c>
      <x:c r="F34" s="16" t="n">
        <x:v>12</x:v>
      </x:c>
      <x:c r="G34" s="11" t="str">
        <x:v>מנהלתי</x:v>
      </x:c>
      <x:c r="H34" s="11" t="str">
        <x:v>מקס עינור</x:v>
      </x:c>
      <x:c r="I34" s="11" t="str">
        <x:v>מאושר</x:v>
      </x:c>
    </x:row>
    <x:row r="35">
      <x:c r="B35" s="11" t="str">
        <x:v>יפן 25</x:v>
      </x:c>
      <x:c r="C35" s="11" t="n">
        <x:v>30</x:v>
      </x:c>
      <x:c r="D35" s="11" t="str">
        <x:v>1</x:v>
      </x:c>
      <x:c r="E35" s="11" t="str">
        <x:v>קפה</x:v>
      </x:c>
      <x:c r="F35" s="16" t="n">
        <x:v>15</x:v>
      </x:c>
      <x:c r="G35" s="11" t="str">
        <x:v>אוכל</x:v>
      </x:c>
      <x:c r="H35" s="11" t="str">
        <x:v>10 זיו</x:v>
      </x:c>
      <x:c r="I35" s="11" t="str">
        <x:v>מאושר</x:v>
      </x:c>
    </x:row>
    <x:row r="36">
      <x:c r="B36" s="11" t="str">
        <x:v>יפן 25</x:v>
      </x:c>
      <x:c r="C36" s="11" t="n">
        <x:v>31</x:v>
      </x:c>
      <x:c r="D36" s="11" t="str">
        <x:v>8</x:v>
      </x:c>
      <x:c r="E36" s="11" t="str">
        <x:v>משיכת מזומן</x:v>
      </x:c>
      <x:c r="F36" s="16" t="n">
        <x:v>20000433</x:v>
      </x:c>
      <x:c r="G36" s="11" t="str">
        <x:v>מזומן</x:v>
      </x:c>
      <x:c r="H36" s="11" t="str">
        <x:v>10 זיו</x:v>
      </x:c>
      <x:c r="I36" s="11" t="str">
        <x:v>זמני</x:v>
      </x:c>
    </x:row>
    <x:row r="37">
      <x:c r="B37" s="11" t="str">
        <x:v>יפן 25</x:v>
      </x:c>
      <x:c r="C37" s="11" t="n">
        <x:v>32</x:v>
      </x:c>
      <x:c r="D37" s="11" t="str">
        <x:v>9</x:v>
      </x:c>
      <x:c r="E37" s="11" t="str">
        <x:v>קונבי</x:v>
      </x:c>
      <x:c r="F37" s="16" t="n">
        <x:v>10</x:v>
      </x:c>
      <x:c r="G37" s="11" t="str">
        <x:v>אוכל</x:v>
      </x:c>
      <x:c r="H37" s="11" t="str">
        <x:v>10 זיו</x:v>
      </x:c>
      <x:c r="I37" s="11" t="str">
        <x:v>מאושר</x:v>
      </x:c>
    </x:row>
    <x:row r="38">
      <x:c r="B38" s="11" t="str">
        <x:v>יפן 25</x:v>
      </x:c>
      <x:c r="C38" s="11" t="n">
        <x:v>33</x:v>
      </x:c>
      <x:c r="D38" s="11" t="str">
        <x:v>9</x:v>
      </x:c>
      <x:c r="E38" s="11" t="str">
        <x:v>סדנת ברים</x:v>
      </x:c>
      <x:c r="F38" s="16" t="n">
        <x:v>500</x:v>
      </x:c>
      <x:c r="G38" s="11" t="str">
        <x:v>אטרקציות</x:v>
      </x:c>
      <x:c r="H38" s="11" t="str">
        <x:v>10 זיו</x:v>
      </x:c>
      <x:c r="I38" s="11" t="str">
        <x:v>מאושר</x:v>
      </x:c>
    </x:row>
    <x:row r="39">
      <x:c r="B39" s="11" t="str">
        <x:v>יפן 25</x:v>
      </x:c>
      <x:c r="C39" s="11" t="n">
        <x:v>34</x:v>
      </x:c>
      <x:c r="D39" s="11" t="str">
        <x:v>10</x:v>
      </x:c>
      <x:c r="E39" s="11" t="str">
        <x:v>משיכת מזומן</x:v>
      </x:c>
      <x:c r="F39" s="16" t="n">
        <x:v>20000434</x:v>
      </x:c>
      <x:c r="G39" s="11" t="str">
        <x:v>מזומן</x:v>
      </x:c>
      <x:c r="H39" s="11" t="str">
        <x:v>10 זיו</x:v>
      </x:c>
      <x:c r="I39" s="11" t="str">
        <x:v>זמני</x:v>
      </x:c>
    </x:row>
    <x:row r="40">
      <x:c r="B40" s="11" t="str">
        <x:v>יפן 25</x:v>
      </x:c>
      <x:c r="C40" s="11" t="n">
        <x:v>35</x:v>
      </x:c>
      <x:c r="D40" s="11" t="str">
        <x:v>17</x:v>
      </x:c>
      <x:c r="E40" s="11" t="str">
        <x:v>כריך</x:v>
      </x:c>
      <x:c r="F40" s="16" t="n">
        <x:v>21</x:v>
      </x:c>
      <x:c r="G40" s="11" t="str">
        <x:v>אוכל</x:v>
      </x:c>
      <x:c r="H40" s="11" t="str">
        <x:v>10 זיו</x:v>
      </x:c>
      <x:c r="I40" s="11" t="str">
        <x:v>מאושר</x:v>
      </x:c>
    </x:row>
    <x:row r="41">
      <x:c r="B41" s="11" t="str">
        <x:v>יפן 25</x:v>
      </x:c>
      <x:c r="C41" s="11" t="n">
        <x:v>37</x:v>
      </x:c>
      <x:c r="D41" s="11" t="str">
        <x:v>2</x:v>
      </x:c>
      <x:c r="E41" s="11" t="str">
        <x:v>יוניקלו</x:v>
      </x:c>
      <x:c r="F41" s="16" t="n">
        <x:v>122</x:v>
      </x:c>
      <x:c r="G41" s="11" t="str">
        <x:v>קניות</x:v>
      </x:c>
      <x:c r="H41" s="11" t="str">
        <x:v>הייטקזון</x:v>
      </x:c>
      <x:c r="I41" s="11" t="str">
        <x:v>מאושר</x:v>
      </x:c>
    </x:row>
    <x:row r="42">
      <x:c r="B42" s="11" t="str">
        <x:v>יפן 25</x:v>
      </x:c>
      <x:c r="C42" s="11" t="n">
        <x:v>38</x:v>
      </x:c>
      <x:c r="D42" s="11" t="str">
        <x:v>3</x:v>
      </x:c>
      <x:c r="E42" s="11" t="str">
        <x:v>יוניקלו</x:v>
      </x:c>
      <x:c r="F42" s="16" t="n">
        <x:v>66</x:v>
      </x:c>
      <x:c r="G42" s="11" t="str">
        <x:v>קניות</x:v>
      </x:c>
      <x:c r="H42" s="11" t="str">
        <x:v>הייטקזון</x:v>
      </x:c>
      <x:c r="I42" s="11" t="str">
        <x:v>מאושר</x:v>
      </x:c>
    </x:row>
    <x:row r="43">
      <x:c r="B43" s="11" t="str">
        <x:v>יפן 25</x:v>
      </x:c>
      <x:c r="C43" s="11" t="n">
        <x:v>39</x:v>
      </x:c>
      <x:c r="D43" s="11" t="str">
        <x:v>4</x:v>
      </x:c>
      <x:c r="E43" s="11" t="str">
        <x:v>יוניקלו</x:v>
      </x:c>
      <x:c r="F43" s="16" t="n">
        <x:v>299</x:v>
      </x:c>
      <x:c r="G43" s="11" t="str">
        <x:v>קניות</x:v>
      </x:c>
      <x:c r="H43" s="11" t="str">
        <x:v>הייטקזון</x:v>
      </x:c>
      <x:c r="I43" s="11" t="str">
        <x:v>מאושר</x:v>
      </x:c>
    </x:row>
    <x:row r="44">
      <x:c r="B44" s="11" t="str">
        <x:v>יפן 25</x:v>
      </x:c>
      <x:c r="C44" s="11" t="n">
        <x:v>40</x:v>
      </x:c>
      <x:c r="D44" s="11" t="str">
        <x:v>5</x:v>
      </x:c>
      <x:c r="E44" s="11" t="str">
        <x:v>שיבוייה סקיי</x:v>
      </x:c>
      <x:c r="F44" s="16" t="n">
        <x:v>148</x:v>
      </x:c>
      <x:c r="G44" s="11" t="str">
        <x:v>אטרקציות</x:v>
      </x:c>
      <x:c r="H44" s="11" t="str">
        <x:v>הייטקזון</x:v>
      </x:c>
      <x:c r="I44" s="11" t="str">
        <x:v>מאושר</x:v>
      </x:c>
    </x:row>
    <x:row r="45">
      <x:c r="B45" s="11" t="str">
        <x:v>יפן 25</x:v>
      </x:c>
      <x:c r="C45" s="11" t="n">
        <x:v>41</x:v>
      </x:c>
      <x:c r="D45" s="11" t="str">
        <x:v>8</x:v>
      </x:c>
      <x:c r="E45" s="11" t="str">
        <x:v>יוניקלו</x:v>
      </x:c>
      <x:c r="F45" s="16" t="n">
        <x:v>935</x:v>
      </x:c>
      <x:c r="G45" s="11" t="str">
        <x:v>קניות</x:v>
      </x:c>
      <x:c r="H45" s="11" t="str">
        <x:v>הייטקזון</x:v>
      </x:c>
      <x:c r="I45" s="11" t="str">
        <x:v>מאושר</x:v>
      </x:c>
    </x:row>
    <x:row r="46">
      <x:c r="B46" s="11" t="str">
        <x:v>יפן 25</x:v>
      </x:c>
      <x:c r="C46" s="11" t="n">
        <x:v>42</x:v>
      </x:c>
      <x:c r="D46" s="11" t="str">
        <x:v>8</x:v>
      </x:c>
      <x:c r="E46" s="11" t="str">
        <x:v>משיכת מזומן</x:v>
      </x:c>
      <x:c r="F46" s="16" t="n">
        <x:v>20000432</x:v>
      </x:c>
      <x:c r="G46" s="11" t="str">
        <x:v>מזומן</x:v>
      </x:c>
      <x:c r="H46" s="11" t="str">
        <x:v>הייטקזון</x:v>
      </x:c>
      <x:c r="I46" s="11" t="str">
        <x:v>זמני</x:v>
      </x:c>
    </x:row>
    <x:row r="47">
      <x:c r="B47" s="11" t="str">
        <x:v>יפן 25</x:v>
      </x:c>
      <x:c r="C47" s="11" t="n">
        <x:v>43</x:v>
      </x:c>
      <x:c r="D47" s="11" t="str">
        <x:v>10</x:v>
      </x:c>
      <x:c r="E47" s="11" t="str">
        <x:v>יוניקלו</x:v>
      </x:c>
      <x:c r="F47" s="16" t="n">
        <x:v>118</x:v>
      </x:c>
      <x:c r="G47" s="11" t="str">
        <x:v>קניות</x:v>
      </x:c>
      <x:c r="H47" s="11" t="str">
        <x:v>הייטקזון</x:v>
      </x:c>
      <x:c r="I47" s="11" t="str">
        <x:v>מאושר</x:v>
      </x:c>
    </x:row>
    <x:row r="48">
      <x:c r="B48" s="11" t="str">
        <x:v>יפן 25</x:v>
      </x:c>
      <x:c r="C48" s="11" t="n">
        <x:v>44</x:v>
      </x:c>
      <x:c r="D48" s="11" t="str">
        <x:v>22</x:v>
      </x:c>
      <x:c r="E48" s="11" t="str">
        <x:v>יוניקלו</x:v>
      </x:c>
      <x:c r="F48" s="16" t="n">
        <x:v>864</x:v>
      </x:c>
      <x:c r="G48" s="11" t="str">
        <x:v>קניות</x:v>
      </x:c>
      <x:c r="H48" s="11" t="str">
        <x:v>הייטקזון</x:v>
      </x:c>
      <x:c r="I48" s="11" t="str">
        <x:v>מאושר</x:v>
      </x:c>
    </x:row>
    <x:row r="49">
      <x:c r="B49" s="11" t="str">
        <x:v>יפן 25</x:v>
      </x:c>
      <x:c r="C49" s="11" t="n">
        <x:v>45</x:v>
      </x:c>
      <x:c r="D49" s="11" t="str">
        <x:v>22</x:v>
      </x:c>
      <x:c r="E49" s="11" t="str">
        <x:v>יוניקלו</x:v>
      </x:c>
      <x:c r="F49" s="16" t="n">
        <x:v>614</x:v>
      </x:c>
      <x:c r="G49" s="11" t="str">
        <x:v>קניות</x:v>
      </x:c>
      <x:c r="H49" s="11" t="str">
        <x:v>הייטקזון</x:v>
      </x:c>
      <x:c r="I49" s="11" t="str">
        <x:v>מאושר</x:v>
      </x:c>
    </x:row>
    <x:row r="50">
      <x:c r="B50" s="11" t="str">
        <x:v>יפן 25</x:v>
      </x:c>
      <x:c r="C50" s="11" t="n">
        <x:v>46</x:v>
      </x:c>
      <x:c r="D50" s="11" t="str">
        <x:v>23</x:v>
      </x:c>
      <x:c r="E50" s="11" t="str">
        <x:v>יוניקלו</x:v>
      </x:c>
      <x:c r="F50" s="16" t="n">
        <x:v>71</x:v>
      </x:c>
      <x:c r="G50" s="11" t="str">
        <x:v>קניות</x:v>
      </x:c>
      <x:c r="H50" s="11" t="str">
        <x:v>הייטקזון</x:v>
      </x:c>
      <x:c r="I50" s="11" t="str">
        <x:v>מאושר</x:v>
      </x:c>
    </x:row>
    <x:row r="51">
      <x:c r="B51" s="11" t="str">
        <x:v>יפן 25</x:v>
      </x:c>
      <x:c r="C51" s="11" t="n">
        <x:v>47</x:v>
      </x:c>
      <x:c r="D51" s="11" t="str">
        <x:v>25</x:v>
      </x:c>
      <x:c r="E51" s="11" t="str">
        <x:v>יוניקלו</x:v>
      </x:c>
      <x:c r="F51" s="16" t="n">
        <x:v>146</x:v>
      </x:c>
      <x:c r="G51" s="11" t="str">
        <x:v>קניות</x:v>
      </x:c>
      <x:c r="H51" s="11" t="str">
        <x:v>הייטקזון</x:v>
      </x:c>
      <x:c r="I51" s="11" t="str">
        <x:v>מאושר</x:v>
      </x:c>
    </x:row>
    <x:row r="52">
      <x:c r="B52" s="11" t="str">
        <x:v>יפן 25</x:v>
      </x:c>
      <x:c r="C52" s="11" t="n">
        <x:v>49</x:v>
      </x:c>
      <x:c r="D52" s="11" t="str">
        <x:v>29.9</x:v>
      </x:c>
      <x:c r="E52" s="11" t="str">
        <x:v>מזומן</x:v>
      </x:c>
      <x:c r="F52" s="16" t="n">
        <x:v>1400003264</x:v>
      </x:c>
      <x:c r="G52" s="11" t="str">
        <x:v>מזומן</x:v>
      </x:c>
      <x:c r="H52" s="11" t="str">
        <x:v>אמקס עינור</x:v>
      </x:c>
      <x:c r="I52" s="11" t="str">
        <x:v>זמני</x:v>
      </x:c>
    </x:row>
    <x:row r="53">
      <x:c r="B53" s="11" t="str">
        <x:v>יפן 25</x:v>
      </x:c>
      <x:c r="C53" s="11" t="n">
        <x:v>50</x:v>
      </x:c>
      <x:c r="D53" s="11" t="str">
        <x:v>1</x:v>
      </x:c>
      <x:c r="E53" s="11" t="str">
        <x:v>שליחת מזוודות</x:v>
      </x:c>
      <x:c r="F53" s="16" t="n">
        <x:v>61</x:v>
      </x:c>
      <x:c r="G53" s="11" t="str">
        <x:v>מנהלתי</x:v>
      </x:c>
      <x:c r="H53" s="11" t="str">
        <x:v>אמקס עינור</x:v>
      </x:c>
      <x:c r="I53" s="11" t="str">
        <x:v>מאושר</x:v>
      </x:c>
    </x:row>
    <x:row r="54">
      <x:c r="B54" s="11" t="str">
        <x:v>יפן 25</x:v>
      </x:c>
      <x:c r="C54" s="11" t="n">
        <x:v>51</x:v>
      </x:c>
      <x:c r="D54" s="11" t="str">
        <x:v>2</x:v>
      </x:c>
      <x:c r="E54" s="11" t="str">
        <x:v>יונקלו</x:v>
      </x:c>
      <x:c r="F54" s="16" t="n">
        <x:v>289</x:v>
      </x:c>
      <x:c r="G54" s="11" t="str">
        <x:v>קניות</x:v>
      </x:c>
      <x:c r="H54" s="11" t="str">
        <x:v>אמקס עינור</x:v>
      </x:c>
      <x:c r="I54" s="11" t="str">
        <x:v>מאושר</x:v>
      </x:c>
    </x:row>
    <x:row r="55">
      <x:c r="B55" s="11" t="str">
        <x:v>יפן 25</x:v>
      </x:c>
      <x:c r="C55" s="11" t="n">
        <x:v>52</x:v>
      </x:c>
      <x:c r="D55" s="11" t="str">
        <x:v>4</x:v>
      </x:c>
      <x:c r="E55" s="11" t="str">
        <x:v>קונבי</x:v>
      </x:c>
      <x:c r="F55" s="16" t="n">
        <x:v>12</x:v>
      </x:c>
      <x:c r="G55" s="11" t="str">
        <x:v>אוכל</x:v>
      </x:c>
      <x:c r="H55" s="11" t="str">
        <x:v>אמקס עינור</x:v>
      </x:c>
      <x:c r="I55" s="11" t="str">
        <x:v>מאושר</x:v>
      </x:c>
    </x:row>
    <x:row r="56">
      <x:c r="B56" s="11" t="str">
        <x:v>יפן 25</x:v>
      </x:c>
      <x:c r="C56" s="11" t="n">
        <x:v>53</x:v>
      </x:c>
      <x:c r="D56" s="11" t="str">
        <x:v>5</x:v>
      </x:c>
      <x:c r="E56" s="11" t="str">
        <x:v>רכבל</x:v>
      </x:c>
      <x:c r="F56" s="16" t="n">
        <x:v>87</x:v>
      </x:c>
      <x:c r="G56" s="11" t="str">
        <x:v>אטרקציות</x:v>
      </x:c>
      <x:c r="H56" s="11" t="str">
        <x:v>אמקס עינור</x:v>
      </x:c>
      <x:c r="I56" s="11" t="str">
        <x:v>מאושר</x:v>
      </x:c>
    </x:row>
    <x:row r="57">
      <x:c r="B57" s="11" t="str">
        <x:v>יפן 25</x:v>
      </x:c>
      <x:c r="C57" s="11" t="n">
        <x:v>54</x:v>
      </x:c>
      <x:c r="D57" s="11" t="str">
        <x:v>5</x:v>
      </x:c>
      <x:c r="E57" s="11" t="str">
        <x:v>קונבי</x:v>
      </x:c>
      <x:c r="F57" s="16" t="n">
        <x:v>4</x:v>
      </x:c>
      <x:c r="G57" s="11" t="str">
        <x:v>אוכל</x:v>
      </x:c>
      <x:c r="H57" s="11" t="str">
        <x:v>אמקס עינור</x:v>
      </x:c>
      <x:c r="I57" s="11" t="str">
        <x:v>מאושר</x:v>
      </x:c>
    </x:row>
    <x:row r="58">
      <x:c r="B58" s="11" t="str">
        <x:v>יפן 25</x:v>
      </x:c>
      <x:c r="C58" s="11" t="n">
        <x:v>55</x:v>
      </x:c>
      <x:c r="D58" s="11" t="str">
        <x:v>6</x:v>
      </x:c>
      <x:c r="E58" s="11" t="str">
        <x:v>א. בוקר הירושימה</x:v>
      </x:c>
      <x:c r="F58" s="16" t="n">
        <x:v>104</x:v>
      </x:c>
      <x:c r="G58" s="11" t="str">
        <x:v>אוכל</x:v>
      </x:c>
      <x:c r="H58" s="11" t="str">
        <x:v>אמקס עינור</x:v>
      </x:c>
      <x:c r="I58" s="11" t="str">
        <x:v>מאושר</x:v>
      </x:c>
    </x:row>
    <x:row r="59">
      <x:c r="B59" s="11" t="str">
        <x:v>יפן 25</x:v>
      </x:c>
      <x:c r="C59" s="11" t="n">
        <x:v>56</x:v>
      </x:c>
      <x:c r="D59" s="11" t="str">
        <x:v>6</x:v>
      </x:c>
      <x:c r="E59" s="11" t="str">
        <x:v>קונבי</x:v>
      </x:c>
      <x:c r="F59" s="16" t="n">
        <x:v>34</x:v>
      </x:c>
      <x:c r="G59" s="11" t="str">
        <x:v>אוכל</x:v>
      </x:c>
      <x:c r="H59" s="11" t="str">
        <x:v>אמקס עינור</x:v>
      </x:c>
      <x:c r="I59" s="11" t="str">
        <x:v>מאושר</x:v>
      </x:c>
    </x:row>
    <x:row r="60">
      <x:c r="B60" s="11" t="str">
        <x:v>יפן 25</x:v>
      </x:c>
      <x:c r="C60" s="11" t="n">
        <x:v>57</x:v>
      </x:c>
      <x:c r="D60" s="11" t="str">
        <x:v>6</x:v>
      </x:c>
      <x:c r="E60" s="11" t="str">
        <x:v>מלון קיוטו</x:v>
      </x:c>
      <x:c r="F60" s="16" t="n">
        <x:v>3170</x:v>
      </x:c>
      <x:c r="G60" s="11" t="str">
        <x:v>לינה</x:v>
      </x:c>
      <x:c r="H60" s="11" t="str">
        <x:v>אמקס עינור</x:v>
      </x:c>
      <x:c r="I60" s="11" t="str">
        <x:v>מאושר</x:v>
      </x:c>
    </x:row>
    <x:row r="61">
      <x:c r="B61" s="11" t="str">
        <x:v>יפן 25</x:v>
      </x:c>
      <x:c r="C61" s="11" t="n">
        <x:v>58</x:v>
      </x:c>
      <x:c r="D61" s="11" t="str">
        <x:v>7</x:v>
      </x:c>
      <x:c r="E61" s="11" t="str">
        <x:v>בר</x:v>
      </x:c>
      <x:c r="F61" s="16" t="n">
        <x:v>26</x:v>
      </x:c>
      <x:c r="G61" s="11" t="str">
        <x:v>אוכל</x:v>
      </x:c>
      <x:c r="H61" s="11" t="str">
        <x:v>אמקס עינור</x:v>
      </x:c>
      <x:c r="I61" s="11" t="str">
        <x:v>מאושר</x:v>
      </x:c>
    </x:row>
    <x:row r="62">
      <x:c r="B62" s="11" t="str">
        <x:v>יפן 25</x:v>
      </x:c>
      <x:c r="C62" s="11" t="n">
        <x:v>59</x:v>
      </x:c>
      <x:c r="D62" s="11" t="str">
        <x:v>7</x:v>
      </x:c>
      <x:c r="E62" s="11" t="str">
        <x:v>תבלין אורז</x:v>
      </x:c>
      <x:c r="F62" s="16" t="n">
        <x:v>43</x:v>
      </x:c>
      <x:c r="G62" s="11" t="str">
        <x:v>מזכרות</x:v>
      </x:c>
      <x:c r="H62" s="11" t="str">
        <x:v>אמקס עינור</x:v>
      </x:c>
      <x:c r="I62" s="11" t="str">
        <x:v>מאושר</x:v>
      </x:c>
    </x:row>
    <x:row r="63">
      <x:c r="B63" s="11" t="str">
        <x:v>יפן 25</x:v>
      </x:c>
      <x:c r="C63" s="11" t="n">
        <x:v>60</x:v>
      </x:c>
      <x:c r="D63" s="11" t="str">
        <x:v>7</x:v>
      </x:c>
      <x:c r="E63" s="11" t="str">
        <x:v>מניפה</x:v>
      </x:c>
      <x:c r="F63" s="16" t="n">
        <x:v>32</x:v>
      </x:c>
      <x:c r="G63" s="11" t="str">
        <x:v>מזכרות</x:v>
      </x:c>
      <x:c r="H63" s="11" t="str">
        <x:v>אמקס עינור</x:v>
      </x:c>
      <x:c r="I63" s="11" t="str">
        <x:v>מאושר</x:v>
      </x:c>
    </x:row>
    <x:row r="64">
      <x:c r="B64" s="11" t="str">
        <x:v>יפן 25</x:v>
      </x:c>
      <x:c r="C64" s="11" t="n">
        <x:v>61</x:v>
      </x:c>
      <x:c r="D64" s="11" t="str">
        <x:v>8</x:v>
      </x:c>
      <x:c r="E64" s="11" t="str">
        <x:v>מים</x:v>
      </x:c>
      <x:c r="F64" s="16" t="n">
        <x:v>2</x:v>
      </x:c>
      <x:c r="G64" s="11" t="str">
        <x:v>אוכל</x:v>
      </x:c>
      <x:c r="H64" s="11" t="str">
        <x:v>אמקס עינור</x:v>
      </x:c>
      <x:c r="I64" s="11" t="str">
        <x:v>מאושר</x:v>
      </x:c>
    </x:row>
    <x:row r="65">
      <x:c r="B65" s="11" t="str">
        <x:v>יפן 25</x:v>
      </x:c>
      <x:c r="C65" s="11" t="n">
        <x:v>62</x:v>
      </x:c>
      <x:c r="D65" s="11" t="str">
        <x:v>9</x:v>
      </x:c>
      <x:c r="E65" s="11" t="str">
        <x:v>קונבי</x:v>
      </x:c>
      <x:c r="F65" s="16" t="n">
        <x:v>8</x:v>
      </x:c>
      <x:c r="G65" s="11" t="str">
        <x:v>אוכל</x:v>
      </x:c>
      <x:c r="H65" s="11" t="str">
        <x:v>אמקס עינור</x:v>
      </x:c>
      <x:c r="I65" s="11" t="str">
        <x:v>מאושר</x:v>
      </x:c>
    </x:row>
    <x:row r="66">
      <x:c r="B66" s="11" t="str">
        <x:v>יפן 25</x:v>
      </x:c>
      <x:c r="C66" s="11" t="n">
        <x:v>63</x:v>
      </x:c>
      <x:c r="D66" s="11" t="str">
        <x:v>9</x:v>
      </x:c>
      <x:c r="E66" s="11" t="str">
        <x:v>גלידה סנופי</x:v>
      </x:c>
      <x:c r="F66" s="16" t="n">
        <x:v>14</x:v>
      </x:c>
      <x:c r="G66" s="11" t="str">
        <x:v>אוכל</x:v>
      </x:c>
      <x:c r="H66" s="11" t="str">
        <x:v>אמקס עינור</x:v>
      </x:c>
      <x:c r="I66" s="11" t="str">
        <x:v>מאושר</x:v>
      </x:c>
    </x:row>
    <x:row r="67">
      <x:c r="B67" s="11" t="str">
        <x:v>יפן 25</x:v>
      </x:c>
      <x:c r="C67" s="11" t="n">
        <x:v>64</x:v>
      </x:c>
      <x:c r="D67" s="11" t="str">
        <x:v>9</x:v>
      </x:c>
      <x:c r="E67" s="11" t="str">
        <x:v>סופר</x:v>
      </x:c>
      <x:c r="F67" s="16" t="n">
        <x:v>99</x:v>
      </x:c>
      <x:c r="G67" s="11" t="str">
        <x:v>אוכל</x:v>
      </x:c>
      <x:c r="H67" s="11" t="str">
        <x:v>אמקס עינור</x:v>
      </x:c>
      <x:c r="I67" s="11" t="str">
        <x:v>מאושר</x:v>
      </x:c>
    </x:row>
    <x:row r="68">
      <x:c r="B68" s="11" t="str">
        <x:v>יפן 25</x:v>
      </x:c>
      <x:c r="C68" s="11" t="n">
        <x:v>65</x:v>
      </x:c>
      <x:c r="D68" s="11" t="str">
        <x:v>10</x:v>
      </x:c>
      <x:c r="E68" s="11" t="str">
        <x:v>קפה</x:v>
      </x:c>
      <x:c r="F68" s="16" t="n">
        <x:v>12</x:v>
      </x:c>
      <x:c r="G68" s="11" t="str">
        <x:v>אוכל</x:v>
      </x:c>
      <x:c r="H68" s="11" t="str">
        <x:v>אמקס עינור</x:v>
      </x:c>
      <x:c r="I68" s="11" t="str">
        <x:v>מאושר</x:v>
      </x:c>
    </x:row>
    <x:row r="69">
      <x:c r="B69" s="11" t="str">
        <x:v>יפן 25</x:v>
      </x:c>
      <x:c r="C69" s="11" t="n">
        <x:v>66</x:v>
      </x:c>
      <x:c r="D69" s="11" t="str">
        <x:v>11</x:v>
      </x:c>
      <x:c r="E69" s="11" t="str">
        <x:v>שליחת מזוודות</x:v>
      </x:c>
      <x:c r="F69" s="16" t="n">
        <x:v>92</x:v>
      </x:c>
      <x:c r="G69" s="11" t="str">
        <x:v>מנהלתי</x:v>
      </x:c>
      <x:c r="H69" s="11" t="str">
        <x:v>אמקס עינור</x:v>
      </x:c>
      <x:c r="I69" s="11" t="str">
        <x:v>מאושר</x:v>
      </x:c>
    </x:row>
    <x:row r="70">
      <x:c r="B70" s="11" t="str">
        <x:v>יפן 25</x:v>
      </x:c>
      <x:c r="C70" s="11" t="n">
        <x:v>67</x:v>
      </x:c>
      <x:c r="D70" s="11" t="str">
        <x:v>12</x:v>
      </x:c>
      <x:c r="E70" s="11" t="str">
        <x:v>אוטובוס קאנאזווה</x:v>
      </x:c>
      <x:c r="F70" s="16" t="n">
        <x:v>14</x:v>
      </x:c>
      <x:c r="G70" s="11" t="str">
        <x:v>תחבורה</x:v>
      </x:c>
      <x:c r="H70" s="11" t="str">
        <x:v>אמקס עינור</x:v>
      </x:c>
      <x:c r="I70" s="11" t="str">
        <x:v>מאושר</x:v>
      </x:c>
    </x:row>
    <x:row r="71">
      <x:c r="B71" s="11" t="str">
        <x:v>יפן 25</x:v>
      </x:c>
      <x:c r="C71" s="11" t="n">
        <x:v>68</x:v>
      </x:c>
      <x:c r="D71" s="11" t="str">
        <x:v>13</x:v>
      </x:c>
      <x:c r="E71" s="11" t="str">
        <x:v>קפה</x:v>
      </x:c>
      <x:c r="F71" s="16" t="n">
        <x:v>19</x:v>
      </x:c>
      <x:c r="G71" s="11" t="str">
        <x:v>אוכל</x:v>
      </x:c>
      <x:c r="H71" s="11" t="str">
        <x:v>אמקס עינור</x:v>
      </x:c>
      <x:c r="I71" s="11" t="str">
        <x:v>מאושר</x:v>
      </x:c>
    </x:row>
    <x:row r="72">
      <x:c r="B72" s="11" t="str">
        <x:v>יפן 25</x:v>
      </x:c>
      <x:c r="C72" s="11" t="n">
        <x:v>69</x:v>
      </x:c>
      <x:c r="D72" s="11" t="str">
        <x:v>14</x:v>
      </x:c>
      <x:c r="E72" s="11" t="str">
        <x:v>קונבי</x:v>
      </x:c>
      <x:c r="F72" s="16" t="n">
        <x:v>99</x:v>
      </x:c>
      <x:c r="G72" s="11" t="str">
        <x:v>אוכל</x:v>
      </x:c>
      <x:c r="H72" s="11" t="str">
        <x:v>אמקס עינור</x:v>
      </x:c>
      <x:c r="I72" s="11" t="str">
        <x:v>מאושר</x:v>
      </x:c>
    </x:row>
    <x:row r="73">
      <x:c r="B73" s="11" t="str">
        <x:v>יפן 25</x:v>
      </x:c>
      <x:c r="C73" s="11" t="n">
        <x:v>70</x:v>
      </x:c>
      <x:c r="D73" s="11" t="str">
        <x:v>15</x:v>
      </x:c>
      <x:c r="E73" s="11" t="str">
        <x:v>קונבי</x:v>
      </x:c>
      <x:c r="F73" s="16" t="n">
        <x:v>101</x:v>
      </x:c>
      <x:c r="G73" s="11" t="str">
        <x:v>אוכל</x:v>
      </x:c>
      <x:c r="H73" s="11" t="str">
        <x:v>אמקס עינור</x:v>
      </x:c>
      <x:c r="I73" s="11" t="str">
        <x:v>מאושר</x:v>
      </x:c>
    </x:row>
    <x:row r="74">
      <x:c r="B74" s="11" t="str">
        <x:v>יפן 25</x:v>
      </x:c>
      <x:c r="C74" s="11" t="n">
        <x:v>71</x:v>
      </x:c>
      <x:c r="D74" s="11" t="str">
        <x:v>17</x:v>
      </x:c>
      <x:c r="E74" s="11" t="str">
        <x:v>מלון שינג'וקו</x:v>
      </x:c>
      <x:c r="F74" s="16" t="n">
        <x:v>2632</x:v>
      </x:c>
      <x:c r="G74" s="11" t="str">
        <x:v>לינה</x:v>
      </x:c>
      <x:c r="H74" s="11" t="str">
        <x:v>אמקס עינור</x:v>
      </x:c>
      <x:c r="I74" s="11" t="str">
        <x:v>מאושר</x:v>
      </x:c>
    </x:row>
    <x:row r="75">
      <x:c r="B75" s="11" t="str">
        <x:v>יפן 25</x:v>
      </x:c>
      <x:c r="C75" s="11" t="n">
        <x:v>72</x:v>
      </x:c>
      <x:c r="D75" s="11" t="str">
        <x:v>17</x:v>
      </x:c>
      <x:c r="E75" s="11" t="str">
        <x:v>קונבי</x:v>
      </x:c>
      <x:c r="F75" s="16" t="n">
        <x:v>26</x:v>
      </x:c>
      <x:c r="G75" s="11" t="str">
        <x:v>אוכל</x:v>
      </x:c>
      <x:c r="H75" s="11" t="str">
        <x:v>אמקס עינור</x:v>
      </x:c>
      <x:c r="I75" s="11" t="str">
        <x:v>מאושר</x:v>
      </x:c>
    </x:row>
    <x:row r="76">
      <x:c r="B76" s="11" t="str">
        <x:v>יפן 25</x:v>
      </x:c>
      <x:c r="C76" s="11" t="n">
        <x:v>73</x:v>
      </x:c>
      <x:c r="D76" s="11" t="str">
        <x:v>18</x:v>
      </x:c>
      <x:c r="E76" s="11" t="str">
        <x:v>קונבי</x:v>
      </x:c>
      <x:c r="F76" s="16" t="n">
        <x:v>27</x:v>
      </x:c>
      <x:c r="G76" s="11" t="str">
        <x:v>אוכל</x:v>
      </x:c>
      <x:c r="H76" s="11" t="str">
        <x:v>אמקס עינור</x:v>
      </x:c>
      <x:c r="I76" s="11" t="str">
        <x:v>מאושר</x:v>
      </x:c>
    </x:row>
    <x:row r="77">
      <x:c r="B77" s="11" t="str">
        <x:v>יפן 25</x:v>
      </x:c>
      <x:c r="C77" s="11" t="n">
        <x:v>74</x:v>
      </x:c>
      <x:c r="D77" s="11" t="str">
        <x:v>18</x:v>
      </x:c>
      <x:c r="E77" s="11" t="str">
        <x:v>קרן</x:v>
      </x:c>
      <x:c r="F77" s="16" t="n">
        <x:v>19</x:v>
      </x:c>
      <x:c r="G77" s="11" t="str">
        <x:v>מזכרות</x:v>
      </x:c>
      <x:c r="H77" s="11" t="str">
        <x:v>אמקס עינור</x:v>
      </x:c>
      <x:c r="I77" s="11" t="str">
        <x:v>מאושר</x:v>
      </x:c>
    </x:row>
    <x:row r="78">
      <x:c r="B78" s="11" t="str">
        <x:v>יפן 25</x:v>
      </x:c>
      <x:c r="C78" s="11" t="n">
        <x:v>75</x:v>
      </x:c>
      <x:c r="D78" s="11" t="str">
        <x:v>18</x:v>
      </x:c>
      <x:c r="E78" s="11" t="str">
        <x:v>משקפיים</x:v>
      </x:c>
      <x:c r="F78" s="16" t="n">
        <x:v>783</x:v>
      </x:c>
      <x:c r="G78" s="11" t="str">
        <x:v>קניות</x:v>
      </x:c>
      <x:c r="H78" s="11" t="str">
        <x:v>אמקס עינור</x:v>
      </x:c>
      <x:c r="I78" s="11" t="str">
        <x:v>מאושר</x:v>
      </x:c>
    </x:row>
    <x:row r="79">
      <x:c r="B79" s="11" t="str">
        <x:v>יפן 25</x:v>
      </x:c>
      <x:c r="C79" s="11" t="n">
        <x:v>76</x:v>
      </x:c>
      <x:c r="D79" s="11" t="str">
        <x:v>18</x:v>
      </x:c>
      <x:c r="E79" s="11" t="str">
        <x:v>לינט</x:v>
      </x:c>
      <x:c r="F79" s="16" t="n">
        <x:v>183</x:v>
      </x:c>
      <x:c r="G79" s="11" t="str">
        <x:v>מזכרות</x:v>
      </x:c>
      <x:c r="H79" s="11" t="str">
        <x:v>אמקס עינור</x:v>
      </x:c>
      <x:c r="I79" s="11" t="str">
        <x:v>מאושר</x:v>
      </x:c>
    </x:row>
    <x:row r="80">
      <x:c r="B80" s="11" t="str">
        <x:v>יפן 25</x:v>
      </x:c>
      <x:c r="C80" s="11" t="n">
        <x:v>77</x:v>
      </x:c>
      <x:c r="D80" s="11" t="str">
        <x:v>19</x:v>
      </x:c>
      <x:c r="E80" s="11" t="str">
        <x:v>לופט</x:v>
      </x:c>
      <x:c r="F80" s="16" t="n">
        <x:v>152</x:v>
      </x:c>
      <x:c r="G80" s="11" t="str">
        <x:v>קניות</x:v>
      </x:c>
      <x:c r="H80" s="11" t="str">
        <x:v>אמקס עינור</x:v>
      </x:c>
      <x:c r="I80" s="11" t="str">
        <x:v>מאושר</x:v>
      </x:c>
    </x:row>
    <x:row r="81">
      <x:c r="B81" s="11" t="str">
        <x:v>יפן 25</x:v>
      </x:c>
      <x:c r="C81" s="11" t="n">
        <x:v>78</x:v>
      </x:c>
      <x:c r="D81" s="11" t="str">
        <x:v>20</x:v>
      </x:c>
      <x:c r="E81" s="11" t="str">
        <x:v>קונבי</x:v>
      </x:c>
      <x:c r="F81" s="16" t="n">
        <x:v>39</x:v>
      </x:c>
      <x:c r="G81" s="11" t="str">
        <x:v>אוכל</x:v>
      </x:c>
      <x:c r="H81" s="11" t="str">
        <x:v>אמקס עינור</x:v>
      </x:c>
      <x:c r="I81" s="11" t="str">
        <x:v>מאושר</x:v>
      </x:c>
    </x:row>
    <x:row r="82">
      <x:c r="B82" s="11" t="str">
        <x:v>יפן 25</x:v>
      </x:c>
      <x:c r="C82" s="11" t="n">
        <x:v>79</x:v>
      </x:c>
      <x:c r="D82" s="11" t="str">
        <x:v>21</x:v>
      </x:c>
      <x:c r="E82" s="11" t="str">
        <x:v>פוקימון</x:v>
      </x:c>
      <x:c r="F82" s="16" t="n">
        <x:v>81</x:v>
      </x:c>
      <x:c r="G82" s="11" t="str">
        <x:v>מזכרות</x:v>
      </x:c>
      <x:c r="H82" s="11" t="str">
        <x:v>אמקס עינור</x:v>
      </x:c>
      <x:c r="I82" s="11" t="str">
        <x:v>מאושר</x:v>
      </x:c>
    </x:row>
    <x:row r="83">
      <x:c r="B83" s="11" t="str">
        <x:v>יפן 25</x:v>
      </x:c>
      <x:c r="C83" s="11" t="n">
        <x:v>80</x:v>
      </x:c>
      <x:c r="D83" s="11" t="str">
        <x:v>21</x:v>
      </x:c>
      <x:c r="E83" s="11" t="str">
        <x:v>סושי</x:v>
      </x:c>
      <x:c r="F83" s="16" t="n">
        <x:v>115</x:v>
      </x:c>
      <x:c r="G83" s="11" t="str">
        <x:v>אוכל</x:v>
      </x:c>
      <x:c r="H83" s="11" t="str">
        <x:v>אמקס עינור</x:v>
      </x:c>
      <x:c r="I83" s="11" t="str">
        <x:v>מאושר</x:v>
      </x:c>
    </x:row>
    <x:row r="84">
      <x:c r="B84" s="11" t="str">
        <x:v>יפן 25</x:v>
      </x:c>
      <x:c r="C84" s="11" t="n">
        <x:v>81</x:v>
      </x:c>
      <x:c r="D84" s="11" t="str">
        <x:v>21</x:v>
      </x:c>
      <x:c r="E84" s="11" t="str">
        <x:v>מס מלון ניקו</x:v>
      </x:c>
      <x:c r="F84" s="16" t="n">
        <x:v>6</x:v>
      </x:c>
      <x:c r="G84" s="11" t="str">
        <x:v>לינה</x:v>
      </x:c>
      <x:c r="H84" s="11" t="str">
        <x:v>אמקס עינור</x:v>
      </x:c>
      <x:c r="I84" s="11" t="str">
        <x:v>מאושר</x:v>
      </x:c>
    </x:row>
    <x:row r="85">
      <x:c r="B85" s="11" t="str">
        <x:v>יפן 25</x:v>
      </x:c>
      <x:c r="C85" s="11" t="n">
        <x:v>82</x:v>
      </x:c>
      <x:c r="D85" s="11" t="str">
        <x:v>21</x:v>
      </x:c>
      <x:c r="E85" s="11" t="str">
        <x:v>קונבי</x:v>
      </x:c>
      <x:c r="F85" s="16" t="n">
        <x:v>11</x:v>
      </x:c>
      <x:c r="G85" s="11" t="str">
        <x:v>אוכל</x:v>
      </x:c>
      <x:c r="H85" s="11" t="str">
        <x:v>אמקס עינור</x:v>
      </x:c>
      <x:c r="I85" s="11" t="str">
        <x:v>מאושר</x:v>
      </x:c>
    </x:row>
    <x:row r="86">
      <x:c r="B86" s="11" t="str">
        <x:v>יפן 25</x:v>
      </x:c>
      <x:c r="C86" s="11" t="n">
        <x:v>83</x:v>
      </x:c>
      <x:c r="D86" s="11" t="str">
        <x:v>22</x:v>
      </x:c>
      <x:c r="E86" s="11" t="str">
        <x:v>דונקי</x:v>
      </x:c>
      <x:c r="F86" s="16" t="n">
        <x:v>416</x:v>
      </x:c>
      <x:c r="G86" s="11" t="str">
        <x:v>מזכרות</x:v>
      </x:c>
      <x:c r="H86" s="11" t="str">
        <x:v>אמקס עינור</x:v>
      </x:c>
      <x:c r="I86" s="11" t="str">
        <x:v>מאושר</x:v>
      </x:c>
    </x:row>
    <x:row r="87">
      <x:c r="B87" s="11" t="str">
        <x:v>יפן 25</x:v>
      </x:c>
      <x:c r="C87" s="11" t="n">
        <x:v>84</x:v>
      </x:c>
      <x:c r="D87" s="11" t="str">
        <x:v>22</x:v>
      </x:c>
      <x:c r="E87" s="11" t="str">
        <x:v>דונקי</x:v>
      </x:c>
      <x:c r="F87" s="16" t="n">
        <x:v>307</x:v>
      </x:c>
      <x:c r="G87" s="11" t="str">
        <x:v>מזכרות</x:v>
      </x:c>
      <x:c r="H87" s="11" t="str">
        <x:v>אמקס עינור</x:v>
      </x:c>
      <x:c r="I87" s="11" t="str">
        <x:v>מאושר</x:v>
      </x:c>
    </x:row>
    <x:row r="88">
      <x:c r="B88" s="11" t="str">
        <x:v>יפן 25</x:v>
      </x:c>
      <x:c r="C88" s="11" t="n">
        <x:v>85</x:v>
      </x:c>
      <x:c r="D88" s="11" t="str">
        <x:v>23</x:v>
      </x:c>
      <x:c r="E88" s="11" t="str">
        <x:v>דונקי</x:v>
      </x:c>
      <x:c r="F88" s="16" t="n">
        <x:v>212</x:v>
      </x:c>
      <x:c r="G88" s="11" t="str">
        <x:v>מזכרות</x:v>
      </x:c>
      <x:c r="H88" s="11" t="str">
        <x:v>אמקס עינור</x:v>
      </x:c>
      <x:c r="I88" s="11" t="str">
        <x:v>מאושר</x:v>
      </x:c>
    </x:row>
    <x:row r="89">
      <x:c r="B89" s="11" t="str">
        <x:v>יפן 25</x:v>
      </x:c>
      <x:c r="C89" s="11" t="n">
        <x:v>86</x:v>
      </x:c>
      <x:c r="D89" s="11" t="str">
        <x:v>23</x:v>
      </x:c>
      <x:c r="E89" s="11" t="str">
        <x:v>קונבי</x:v>
      </x:c>
      <x:c r="F89" s="16" t="n">
        <x:v>16</x:v>
      </x:c>
      <x:c r="G89" s="11" t="str">
        <x:v>אוכל</x:v>
      </x:c>
      <x:c r="H89" s="11" t="str">
        <x:v>אמקס עינור</x:v>
      </x:c>
      <x:c r="I89" s="11" t="str">
        <x:v>מאושר</x:v>
      </x:c>
    </x:row>
    <x:row r="90">
      <x:c r="B90" s="11" t="str">
        <x:v>יפן 25</x:v>
      </x:c>
      <x:c r="C90" s="11" t="n">
        <x:v>87</x:v>
      </x:c>
      <x:c r="D90" s="11" t="str">
        <x:v>24</x:v>
      </x:c>
      <x:c r="E90" s="11" t="str">
        <x:v>סנדויצים</x:v>
      </x:c>
      <x:c r="F90" s="16" t="n">
        <x:v>99</x:v>
      </x:c>
      <x:c r="G90" s="11" t="str">
        <x:v>אוכל</x:v>
      </x:c>
      <x:c r="H90" s="11" t="str">
        <x:v>אמקס עינור</x:v>
      </x:c>
      <x:c r="I90" s="11" t="str">
        <x:v>מאושר</x:v>
      </x:c>
    </x:row>
    <x:row r="91">
      <x:c r="B91" s="11" t="str">
        <x:v>יפן 25</x:v>
      </x:c>
      <x:c r="C91" s="11" t="n">
        <x:v>88</x:v>
      </x:c>
      <x:c r="D91" s="11" t="str">
        <x:v>24</x:v>
      </x:c>
      <x:c r="E91" s="11" t="str">
        <x:v>מוג'י</x:v>
      </x:c>
      <x:c r="F91" s="16" t="n">
        <x:v>27</x:v>
      </x:c>
      <x:c r="G91" s="11" t="str">
        <x:v>קניות</x:v>
      </x:c>
      <x:c r="H91" s="11" t="str">
        <x:v>אמקס עינור</x:v>
      </x:c>
      <x:c r="I91" s="11" t="str">
        <x:v>מאושר</x:v>
      </x:c>
    </x:row>
    <x:row r="92">
      <x:c r="B92" s="11" t="str">
        <x:v>יפן 25</x:v>
      </x:c>
      <x:c r="C92" s="11" t="n">
        <x:v>89</x:v>
      </x:c>
      <x:c r="D92" s="11" t="str">
        <x:v>25</x:v>
      </x:c>
      <x:c r="E92" s="11" t="str">
        <x:v>שתייה מוזרה</x:v>
      </x:c>
      <x:c r="F92" s="16" t="n">
        <x:v>9</x:v>
      </x:c>
      <x:c r="G92" s="11" t="str">
        <x:v>אוכל</x:v>
      </x:c>
      <x:c r="H92" s="11" t="str">
        <x:v>אמקס עינור</x:v>
      </x:c>
      <x:c r="I92" s="11" t="str">
        <x:v>מאושר</x:v>
      </x:c>
    </x:row>
    <x:row r="93">
      <x:c r="B93" s="11" t="str">
        <x:v>יפן 25</x:v>
      </x:c>
      <x:c r="C93" s="11" t="n">
        <x:v>90</x:v>
      </x:c>
      <x:c r="D93" s="11" t="str">
        <x:v>25</x:v>
      </x:c>
      <x:c r="E93" s="11" t="str">
        <x:v>קונבי</x:v>
      </x:c>
      <x:c r="F93" s="16" t="n">
        <x:v>51</x:v>
      </x:c>
      <x:c r="G93" s="11" t="str">
        <x:v>אוכל</x:v>
      </x:c>
      <x:c r="H93" s="11" t="str">
        <x:v>אמקס עינור</x:v>
      </x:c>
      <x:c r="I93" s="11" t="str">
        <x:v>מאושר</x:v>
      </x:c>
    </x:row>
    <x:row r="94">
      <x:c r="B94" s="11" t="str">
        <x:v>יפן 25</x:v>
      </x:c>
      <x:c r="C94" s="11" t="n">
        <x:v>91</x:v>
      </x:c>
      <x:c r="D94" s="11" t="str">
        <x:v>26</x:v>
      </x:c>
      <x:c r="E94" s="11" t="str">
        <x:v>קונבי</x:v>
      </x:c>
      <x:c r="F94" s="16" t="n">
        <x:v>13</x:v>
      </x:c>
      <x:c r="G94" s="11" t="str">
        <x:v>אוכל</x:v>
      </x:c>
      <x:c r="H94" s="11" t="str">
        <x:v>אמקס עינור</x:v>
      </x:c>
      <x:c r="I94" s="11" t="str">
        <x:v>מאושר</x:v>
      </x:c>
    </x:row>
    <x:row r="95">
      <x:c r="B95" s="11" t="str">
        <x:v>יפן 25</x:v>
      </x:c>
      <x:c r="C95" s="11" t="n">
        <x:v>92</x:v>
      </x:c>
      <x:c r="D95" s="11" t="str">
        <x:v>26</x:v>
      </x:c>
      <x:c r="E95" s="11" t="str">
        <x:v>אוכל בשדה</x:v>
      </x:c>
      <x:c r="F95" s="16" t="n">
        <x:v>9</x:v>
      </x:c>
      <x:c r="G95" s="11" t="str">
        <x:v>אוכל</x:v>
      </x:c>
      <x:c r="H95" s="11" t="str">
        <x:v>אמקס עינור</x:v>
      </x:c>
      <x:c r="I95" s="11" t="str">
        <x:v>מאושר</x:v>
      </x:c>
    </x:row>
    <x:row r="96">
      <x:c r="B96" s="11" t="str">
        <x:v>יפן 25</x:v>
      </x:c>
      <x:c r="C96" s="11" t="n">
        <x:v>94</x:v>
      </x:c>
      <x:c r="D96" s="11" t="str">
        <x:v>1</x:v>
      </x:c>
      <x:c r="E96" s="11" t="str">
        <x:v>קונבי</x:v>
      </x:c>
      <x:c r="F96" s="16" t="n">
        <x:v>20</x:v>
      </x:c>
      <x:c r="G96" s="11" t="str">
        <x:v>אוכל</x:v>
      </x:c>
      <x:c r="H96" s="11" t="str">
        <x:v>קורפרייט זיו</x:v>
      </x:c>
      <x:c r="I96" s="11" t="str">
        <x:v>מאושר</x:v>
      </x:c>
    </x:row>
    <x:row r="97">
      <x:c r="B97" s="11" t="str">
        <x:v>יפן 25</x:v>
      </x:c>
      <x:c r="C97" s="11" t="n">
        <x:v>95</x:v>
      </x:c>
      <x:c r="D97" s="11" t="str">
        <x:v>1</x:v>
      </x:c>
      <x:c r="E97" s="11" t="str">
        <x:v>פארם</x:v>
      </x:c>
      <x:c r="F97" s="16" t="n">
        <x:v>21</x:v>
      </x:c>
      <x:c r="G97" s="11" t="str">
        <x:v>מנהלתי</x:v>
      </x:c>
      <x:c r="H97" s="11" t="str">
        <x:v>קורפרייט זיו</x:v>
      </x:c>
      <x:c r="I97" s="11" t="str">
        <x:v>מאושר</x:v>
      </x:c>
    </x:row>
    <x:row r="98">
      <x:c r="B98" s="11" t="str">
        <x:v>יפן 25</x:v>
      </x:c>
      <x:c r="C98" s="11" t="n">
        <x:v>96</x:v>
      </x:c>
      <x:c r="D98" s="11" t="str">
        <x:v>1</x:v>
      </x:c>
      <x:c r="E98" s="11" t="str">
        <x:v>סושי</x:v>
      </x:c>
      <x:c r="F98" s="16" t="n">
        <x:v>132</x:v>
      </x:c>
      <x:c r="G98" s="11" t="str">
        <x:v>אוכל</x:v>
      </x:c>
      <x:c r="H98" s="11" t="str">
        <x:v>קורפרייט זיו</x:v>
      </x:c>
      <x:c r="I98" s="11" t="str">
        <x:v>מאושר</x:v>
      </x:c>
    </x:row>
    <x:row r="99">
      <x:c r="B99" s="11" t="str">
        <x:v>יפן 25</x:v>
      </x:c>
      <x:c r="C99" s="11" t="n">
        <x:v>97</x:v>
      </x:c>
      <x:c r="D99" s="11" t="str">
        <x:v>1</x:v>
      </x:c>
      <x:c r="E99" s="11" t="str">
        <x:v>קפה</x:v>
      </x:c>
      <x:c r="F99" s="16" t="n">
        <x:v>20</x:v>
      </x:c>
      <x:c r="G99" s="11" t="str">
        <x:v>אוכל</x:v>
      </x:c>
      <x:c r="H99" s="11" t="str">
        <x:v>קורפרייט זיו</x:v>
      </x:c>
      <x:c r="I99" s="11" t="str">
        <x:v>מאושר</x:v>
      </x:c>
    </x:row>
    <x:row r="100">
      <x:c r="B100" s="11" t="str">
        <x:v>יפן 25</x:v>
      </x:c>
      <x:c r="C100" s="11" t="n">
        <x:v>98</x:v>
      </x:c>
      <x:c r="D100" s="11" t="str">
        <x:v>1</x:v>
      </x:c>
      <x:c r="E100" s="11" t="str">
        <x:v>שליחת מזוודות</x:v>
      </x:c>
      <x:c r="F100" s="16" t="n">
        <x:v>84</x:v>
      </x:c>
      <x:c r="G100" s="11" t="str">
        <x:v>מנהלתי</x:v>
      </x:c>
      <x:c r="H100" s="11" t="str">
        <x:v>קורפרייט זיו</x:v>
      </x:c>
      <x:c r="I100" s="11" t="str">
        <x:v>מאושר</x:v>
      </x:c>
    </x:row>
    <x:row r="101">
      <x:c r="B101" s="11" t="str">
        <x:v>יפן 25</x:v>
      </x:c>
      <x:c r="C101" s="11" t="n">
        <x:v>99</x:v>
      </x:c>
      <x:c r="D101" s="11" t="str">
        <x:v>1</x:v>
      </x:c>
      <x:c r="E101" s="11" t="str">
        <x:v>מס מלון אוסקה</x:v>
      </x:c>
      <x:c r="F101" s="16" t="n">
        <x:v>27</x:v>
      </x:c>
      <x:c r="G101" s="11" t="str">
        <x:v>לינה</x:v>
      </x:c>
      <x:c r="H101" s="11" t="str">
        <x:v>קורפרייט זיו</x:v>
      </x:c>
      <x:c r="I101" s="11" t="str">
        <x:v>מאושר</x:v>
      </x:c>
    </x:row>
    <x:row r="102">
      <x:c r="B102" s="11" t="str">
        <x:v>יפן 25</x:v>
      </x:c>
      <x:c r="C102" s="11" t="n">
        <x:v>100</x:v>
      </x:c>
      <x:c r="D102" s="11" t="str">
        <x:v>1</x:v>
      </x:c>
      <x:c r="E102" s="11" t="str">
        <x:v>עוגת גבינה</x:v>
      </x:c>
      <x:c r="F102" s="16" t="n">
        <x:v>25</x:v>
      </x:c>
      <x:c r="G102" s="11" t="str">
        <x:v>אוכל</x:v>
      </x:c>
      <x:c r="H102" s="11" t="str">
        <x:v>קורפרייט זיו</x:v>
      </x:c>
      <x:c r="I102" s="11" t="str">
        <x:v>מאושר</x:v>
      </x:c>
    </x:row>
    <x:row r="103">
      <x:c r="B103" s="11" t="str">
        <x:v>יפן 25</x:v>
      </x:c>
      <x:c r="C103" s="11" t="n">
        <x:v>101</x:v>
      </x:c>
      <x:c r="D103" s="11" t="str">
        <x:v>2</x:v>
      </x:c>
      <x:c r="E103" s="11" t="str">
        <x:v>אוכל</x:v>
      </x:c>
      <x:c r="F103" s="16" t="n">
        <x:v>34</x:v>
      </x:c>
      <x:c r="G103" s="11" t="str">
        <x:v>אוכל</x:v>
      </x:c>
      <x:c r="H103" s="11" t="str">
        <x:v>קורפרייט זיו</x:v>
      </x:c>
      <x:c r="I103" s="11" t="str">
        <x:v>מאושר</x:v>
      </x:c>
    </x:row>
    <x:row r="104">
      <x:c r="B104" s="11" t="str">
        <x:v>יפן 25</x:v>
      </x:c>
      <x:c r="C104" s="11" t="n">
        <x:v>102</x:v>
      </x:c>
      <x:c r="D104" s="11" t="str">
        <x:v>2</x:v>
      </x:c>
      <x:c r="E104" s="11" t="str">
        <x:v>דונקי</x:v>
      </x:c>
      <x:c r="F104" s="16" t="n">
        <x:v>152</x:v>
      </x:c>
      <x:c r="G104" s="11" t="str">
        <x:v>מנהלתי</x:v>
      </x:c>
      <x:c r="H104" s="11" t="str">
        <x:v>קורפרייט זיו</x:v>
      </x:c>
      <x:c r="I104" s="11" t="str">
        <x:v>מאושר</x:v>
      </x:c>
    </x:row>
    <x:row r="105">
      <x:c r="B105" s="11" t="str">
        <x:v>יפן 25</x:v>
      </x:c>
      <x:c r="C105" s="11" t="n">
        <x:v>103</x:v>
      </x:c>
      <x:c r="D105" s="11" t="str">
        <x:v>2</x:v>
      </x:c>
      <x:c r="E105" s="11" t="str">
        <x:v>שתייה</x:v>
      </x:c>
      <x:c r="F105" s="16" t="n">
        <x:v>2</x:v>
      </x:c>
      <x:c r="G105" s="11" t="str">
        <x:v>אוכל</x:v>
      </x:c>
      <x:c r="H105" s="11" t="str">
        <x:v>קורפרייט זיו</x:v>
      </x:c>
      <x:c r="I105" s="11" t="str">
        <x:v>מאושר</x:v>
      </x:c>
    </x:row>
    <x:row r="106">
      <x:c r="B106" s="11" t="str">
        <x:v>יפן 25</x:v>
      </x:c>
      <x:c r="C106" s="11" t="n">
        <x:v>104</x:v>
      </x:c>
      <x:c r="D106" s="11" t="str">
        <x:v>2</x:v>
      </x:c>
      <x:c r="E106" s="11" t="str">
        <x:v>קונבי</x:v>
      </x:c>
      <x:c r="F106" s="16" t="n">
        <x:v>41</x:v>
      </x:c>
      <x:c r="G106" s="11" t="str">
        <x:v>אוכל</x:v>
      </x:c>
      <x:c r="H106" s="11" t="str">
        <x:v>קורפרייט זיו</x:v>
      </x:c>
      <x:c r="I106" s="11" t="str">
        <x:v>מאושר</x:v>
      </x:c>
    </x:row>
    <x:row r="107">
      <x:c r="B107" s="11" t="str">
        <x:v>יפן 25</x:v>
      </x:c>
      <x:c r="C107" s="11" t="n">
        <x:v>105</x:v>
      </x:c>
      <x:c r="D107" s="11" t="str">
        <x:v>2</x:v>
      </x:c>
      <x:c r="E107" s="11" t="str">
        <x:v>אוכל</x:v>
      </x:c>
      <x:c r="F107" s="16" t="n">
        <x:v>7</x:v>
      </x:c>
      <x:c r="G107" s="11" t="str">
        <x:v>אוכל</x:v>
      </x:c>
      <x:c r="H107" s="11" t="str">
        <x:v>קורפרייט זיו</x:v>
      </x:c>
      <x:c r="I107" s="11" t="str">
        <x:v>מאושר</x:v>
      </x:c>
    </x:row>
    <x:row r="108">
      <x:c r="B108" s="11" t="str">
        <x:v>יפן 25</x:v>
      </x:c>
      <x:c r="C108" s="11" t="n">
        <x:v>106</x:v>
      </x:c>
      <x:c r="D108" s="11" t="str">
        <x:v>3</x:v>
      </x:c>
      <x:c r="E108" s="11" t="str">
        <x:v>אוכל</x:v>
      </x:c>
      <x:c r="F108" s="16" t="n">
        <x:v>57</x:v>
      </x:c>
      <x:c r="G108" s="11" t="str">
        <x:v>אוכל</x:v>
      </x:c>
      <x:c r="H108" s="11" t="str">
        <x:v>קורפרייט זיו</x:v>
      </x:c>
      <x:c r="I108" s="11" t="str">
        <x:v>מאושר</x:v>
      </x:c>
    </x:row>
    <x:row r="109">
      <x:c r="B109" s="11" t="str">
        <x:v>יפן 25</x:v>
      </x:c>
      <x:c r="C109" s="11" t="n">
        <x:v>107</x:v>
      </x:c>
      <x:c r="D109" s="11" t="str">
        <x:v>3</x:v>
      </x:c>
      <x:c r="E109" s="11" t="str">
        <x:v>פארם</x:v>
      </x:c>
      <x:c r="F109" s="16" t="n">
        <x:v>30</x:v>
      </x:c>
      <x:c r="G109" s="11" t="str">
        <x:v>מנהלתי</x:v>
      </x:c>
      <x:c r="H109" s="11" t="str">
        <x:v>קורפרייט זיו</x:v>
      </x:c>
      <x:c r="I109" s="11" t="str">
        <x:v>מאושר</x:v>
      </x:c>
    </x:row>
    <x:row r="110">
      <x:c r="B110" s="11" t="str">
        <x:v>יפן 25</x:v>
      </x:c>
      <x:c r="C110" s="11" t="n">
        <x:v>108</x:v>
      </x:c>
      <x:c r="D110" s="11" t="str">
        <x:v>3</x:v>
      </x:c>
      <x:c r="E110" s="11" t="str">
        <x:v>קונבי</x:v>
      </x:c>
      <x:c r="F110" s="16" t="n">
        <x:v>96</x:v>
      </x:c>
      <x:c r="G110" s="11" t="str">
        <x:v>אוכל</x:v>
      </x:c>
      <x:c r="H110" s="11" t="str">
        <x:v>קורפרייט זיו</x:v>
      </x:c>
      <x:c r="I110" s="11" t="str">
        <x:v>מאושר</x:v>
      </x:c>
    </x:row>
    <x:row r="111">
      <x:c r="B111" s="11" t="str">
        <x:v>יפן 25</x:v>
      </x:c>
      <x:c r="C111" s="11" t="n">
        <x:v>109</x:v>
      </x:c>
      <x:c r="D111" s="11" t="str">
        <x:v>3</x:v>
      </x:c>
      <x:c r="E111" s="11" t="str">
        <x:v>כוס שוט</x:v>
      </x:c>
      <x:c r="F111" s="16" t="n">
        <x:v>12</x:v>
      </x:c>
      <x:c r="G111" s="11" t="str">
        <x:v>מזכרות</x:v>
      </x:c>
      <x:c r="H111" s="11" t="str">
        <x:v>קורפרייט זיו</x:v>
      </x:c>
      <x:c r="I111" s="11" t="str">
        <x:v>מאושר</x:v>
      </x:c>
    </x:row>
    <x:row r="112">
      <x:c r="B112" s="11" t="str">
        <x:v>יפן 25</x:v>
      </x:c>
      <x:c r="C112" s="11" t="n">
        <x:v>110</x:v>
      </x:c>
      <x:c r="D112" s="11" t="str">
        <x:v>3</x:v>
      </x:c>
      <x:c r="E112" s="11" t="str">
        <x:v>אוכל</x:v>
      </x:c>
      <x:c r="F112" s="16" t="n">
        <x:v>64</x:v>
      </x:c>
      <x:c r="G112" s="11" t="str">
        <x:v>אוכל</x:v>
      </x:c>
      <x:c r="H112" s="11" t="str">
        <x:v>קורפרייט זיו</x:v>
      </x:c>
      <x:c r="I112" s="11" t="str">
        <x:v>מאושר</x:v>
      </x:c>
    </x:row>
    <x:row r="113">
      <x:c r="B113" s="11" t="str">
        <x:v>יפן 25</x:v>
      </x:c>
      <x:c r="C113" s="11" t="n">
        <x:v>111</x:v>
      </x:c>
      <x:c r="D113" s="11" t="str">
        <x:v>4</x:v>
      </x:c>
      <x:c r="E113" s="11" t="str">
        <x:v>קונבי</x:v>
      </x:c>
      <x:c r="F113" s="16" t="n">
        <x:v>52</x:v>
      </x:c>
      <x:c r="G113" s="11" t="str">
        <x:v>אוכל</x:v>
      </x:c>
      <x:c r="H113" s="11" t="str">
        <x:v>קורפרייט זיו</x:v>
      </x:c>
      <x:c r="I113" s="11" t="str">
        <x:v>מאושר</x:v>
      </x:c>
    </x:row>
    <x:row r="114">
      <x:c r="B114" s="11" t="str">
        <x:v>יפן 25</x:v>
      </x:c>
      <x:c r="C114" s="11" t="n">
        <x:v>112</x:v>
      </x:c>
      <x:c r="D114" s="11" t="str">
        <x:v>4</x:v>
      </x:c>
      <x:c r="E114" s="11" t="str">
        <x:v>אוכל רכבת</x:v>
      </x:c>
      <x:c r="F114" s="16" t="n">
        <x:v>69</x:v>
      </x:c>
      <x:c r="G114" s="11" t="str">
        <x:v>אוכל</x:v>
      </x:c>
      <x:c r="H114" s="11" t="str">
        <x:v>קורפרייט זיו</x:v>
      </x:c>
      <x:c r="I114" s="11" t="str">
        <x:v>מאושר</x:v>
      </x:c>
    </x:row>
    <x:row r="115">
      <x:c r="B115" s="11" t="str">
        <x:v>יפן 25</x:v>
      </x:c>
      <x:c r="C115" s="11" t="n">
        <x:v>113</x:v>
      </x:c>
      <x:c r="D115" s="11" t="str">
        <x:v>4</x:v>
      </x:c>
      <x:c r="E115" s="11" t="str">
        <x:v>אוכל הירושימה</x:v>
      </x:c>
      <x:c r="F115" s="16" t="n">
        <x:v>50</x:v>
      </x:c>
      <x:c r="G115" s="11" t="str">
        <x:v>אוכל</x:v>
      </x:c>
      <x:c r="H115" s="11" t="str">
        <x:v>קורפרייט זיו</x:v>
      </x:c>
      <x:c r="I115" s="11" t="str">
        <x:v>מאושר</x:v>
      </x:c>
    </x:row>
    <x:row r="116">
      <x:c r="B116" s="11" t="str">
        <x:v>יפן 25</x:v>
      </x:c>
      <x:c r="C116" s="11" t="n">
        <x:v>114</x:v>
      </x:c>
      <x:c r="D116" s="11" t="str">
        <x:v>4</x:v>
      </x:c>
      <x:c r="E116" s="11" t="str">
        <x:v>אוכל הירושימה</x:v>
      </x:c>
      <x:c r="F116" s="16" t="n">
        <x:v>20</x:v>
      </x:c>
      <x:c r="G116" s="11" t="str">
        <x:v>אוכל</x:v>
      </x:c>
      <x:c r="H116" s="11" t="str">
        <x:v>קורפרייט זיו</x:v>
      </x:c>
      <x:c r="I116" s="11" t="str">
        <x:v>מאושר</x:v>
      </x:c>
    </x:row>
    <x:row r="117">
      <x:c r="B117" s="11" t="str">
        <x:v>יפן 25</x:v>
      </x:c>
      <x:c r="C117" s="11" t="n">
        <x:v>115</x:v>
      </x:c>
      <x:c r="D117" s="11" t="str">
        <x:v>4</x:v>
      </x:c>
      <x:c r="E117" s="11" t="str">
        <x:v>אוכל הירושימה</x:v>
      </x:c>
      <x:c r="F117" s="16" t="n">
        <x:v>93</x:v>
      </x:c>
      <x:c r="G117" s="11" t="str">
        <x:v>אוכל</x:v>
      </x:c>
      <x:c r="H117" s="11" t="str">
        <x:v>קורפרייט זיו</x:v>
      </x:c>
      <x:c r="I117" s="11" t="str">
        <x:v>מאושר</x:v>
      </x:c>
    </x:row>
    <x:row r="118">
      <x:c r="B118" s="11" t="str">
        <x:v>יפן 25</x:v>
      </x:c>
      <x:c r="C118" s="11" t="n">
        <x:v>116</x:v>
      </x:c>
      <x:c r="D118" s="11" t="str">
        <x:v>5</x:v>
      </x:c>
      <x:c r="E118" s="11" t="str">
        <x:v>קפה</x:v>
      </x:c>
      <x:c r="F118" s="16" t="n">
        <x:v>28</x:v>
      </x:c>
      <x:c r="G118" s="11" t="str">
        <x:v>אוכל</x:v>
      </x:c>
      <x:c r="H118" s="11" t="str">
        <x:v>קורפרייט זיו</x:v>
      </x:c>
      <x:c r="I118" s="11" t="str">
        <x:v>מאושר</x:v>
      </x:c>
    </x:row>
    <x:row r="119">
      <x:c r="B119" s="11" t="str">
        <x:v>יפן 25</x:v>
      </x:c>
      <x:c r="C119" s="11" t="n">
        <x:v>117</x:v>
      </x:c>
      <x:c r="D119" s="11" t="str">
        <x:v>5</x:v>
      </x:c>
      <x:c r="E119" s="11" t="str">
        <x:v>קונבי</x:v>
      </x:c>
      <x:c r="F119" s="16" t="n">
        <x:v>58</x:v>
      </x:c>
      <x:c r="G119" s="11" t="str">
        <x:v>אוכל</x:v>
      </x:c>
      <x:c r="H119" s="11" t="str">
        <x:v>קורפרייט זיו</x:v>
      </x:c>
      <x:c r="I119" s="11" t="str">
        <x:v>מאושר</x:v>
      </x:c>
    </x:row>
    <x:row r="120">
      <x:c r="B120" s="11" t="str">
        <x:v>יפן 25</x:v>
      </x:c>
      <x:c r="C120" s="11" t="n">
        <x:v>118</x:v>
      </x:c>
      <x:c r="D120" s="11" t="str">
        <x:v>5</x:v>
      </x:c>
      <x:c r="E120" s="11" t="str">
        <x:v>ראמן</x:v>
      </x:c>
      <x:c r="F120" s="16" t="n">
        <x:v>52</x:v>
      </x:c>
      <x:c r="G120" s="11" t="str">
        <x:v>אוכל</x:v>
      </x:c>
      <x:c r="H120" s="11" t="str">
        <x:v>קורפרייט זיו</x:v>
      </x:c>
      <x:c r="I120" s="11" t="str">
        <x:v>מאושר</x:v>
      </x:c>
    </x:row>
    <x:row r="121">
      <x:c r="B121" s="11" t="str">
        <x:v>יפן 25</x:v>
      </x:c>
      <x:c r="C121" s="11" t="n">
        <x:v>119</x:v>
      </x:c>
      <x:c r="D121" s="11" t="str">
        <x:v>5</x:v>
      </x:c>
      <x:c r="E121" s="11" t="str">
        <x:v>פארם</x:v>
      </x:c>
      <x:c r="F121" s="16" t="n">
        <x:v>37</x:v>
      </x:c>
      <x:c r="G121" s="11" t="str">
        <x:v>מנהלתי</x:v>
      </x:c>
      <x:c r="H121" s="11" t="str">
        <x:v>קורפרייט זיו</x:v>
      </x:c>
      <x:c r="I121" s="11" t="str">
        <x:v>מאושר</x:v>
      </x:c>
    </x:row>
    <x:row r="122">
      <x:c r="B122" s="11" t="str">
        <x:v>יפן 25</x:v>
      </x:c>
      <x:c r="C122" s="11" t="n">
        <x:v>120</x:v>
      </x:c>
      <x:c r="D122" s="11" t="str">
        <x:v>6</x:v>
      </x:c>
      <x:c r="E122" s="11" t="str">
        <x:v>ראמן</x:v>
      </x:c>
      <x:c r="F122" s="16" t="n">
        <x:v>46</x:v>
      </x:c>
      <x:c r="G122" s="11" t="str">
        <x:v>אוכל</x:v>
      </x:c>
      <x:c r="H122" s="11" t="str">
        <x:v>קורפרייט זיו</x:v>
      </x:c>
      <x:c r="I122" s="11" t="str">
        <x:v>מאושר</x:v>
      </x:c>
    </x:row>
    <x:row r="123">
      <x:c r="B123" s="11" t="str">
        <x:v>יפן 25</x:v>
      </x:c>
      <x:c r="C123" s="11" t="n">
        <x:v>121</x:v>
      </x:c>
      <x:c r="D123" s="11" t="str">
        <x:v>6</x:v>
      </x:c>
      <x:c r="E123" s="11" t="str">
        <x:v>סושי</x:v>
      </x:c>
      <x:c r="F123" s="16" t="n">
        <x:v>63</x:v>
      </x:c>
      <x:c r="G123" s="11" t="str">
        <x:v>אוכל</x:v>
      </x:c>
      <x:c r="H123" s="11" t="str">
        <x:v>קורפרייט זיו</x:v>
      </x:c>
      <x:c r="I123" s="11" t="str">
        <x:v>מאושר</x:v>
      </x:c>
    </x:row>
    <x:row r="124">
      <x:c r="B124" s="11" t="str">
        <x:v>יפן 25</x:v>
      </x:c>
      <x:c r="C124" s="11" t="n">
        <x:v>122</x:v>
      </x:c>
      <x:c r="D124" s="11" t="str">
        <x:v>6</x:v>
      </x:c>
      <x:c r="E124" s="11" t="str">
        <x:v>אוכל רכבת</x:v>
      </x:c>
      <x:c r="F124" s="16" t="n">
        <x:v>44</x:v>
      </x:c>
      <x:c r="G124" s="11" t="str">
        <x:v>אוכל</x:v>
      </x:c>
      <x:c r="H124" s="11" t="str">
        <x:v>קורפרייט זיו</x:v>
      </x:c>
      <x:c r="I124" s="11" t="str">
        <x:v>מאושר</x:v>
      </x:c>
    </x:row>
    <x:row r="125">
      <x:c r="B125" s="11" t="str">
        <x:v>יפן 25</x:v>
      </x:c>
      <x:c r="C125" s="11" t="n">
        <x:v>123</x:v>
      </x:c>
      <x:c r="D125" s="11" t="str">
        <x:v>6</x:v>
      </x:c>
      <x:c r="E125" s="11" t="str">
        <x:v>קונבי</x:v>
      </x:c>
      <x:c r="F125" s="16" t="n">
        <x:v>47</x:v>
      </x:c>
      <x:c r="G125" s="11" t="str">
        <x:v>אוכל</x:v>
      </x:c>
      <x:c r="H125" s="11" t="str">
        <x:v>קורפרייט זיו</x:v>
      </x:c>
      <x:c r="I125" s="11" t="str">
        <x:v>מאושר</x:v>
      </x:c>
    </x:row>
    <x:row r="126">
      <x:c r="B126" s="11" t="str">
        <x:v>יפן 25</x:v>
      </x:c>
      <x:c r="C126" s="11" t="n">
        <x:v>124</x:v>
      </x:c>
      <x:c r="D126" s="11" t="str">
        <x:v>6</x:v>
      </x:c>
      <x:c r="E126" s="11" t="str">
        <x:v>מקדולנדס</x:v>
      </x:c>
      <x:c r="F126" s="16" t="n">
        <x:v>17</x:v>
      </x:c>
      <x:c r="G126" s="11" t="str">
        <x:v>אוכל</x:v>
      </x:c>
      <x:c r="H126" s="11" t="str">
        <x:v>קורפרייט זיו</x:v>
      </x:c>
      <x:c r="I126" s="11" t="str">
        <x:v>מאושר</x:v>
      </x:c>
    </x:row>
    <x:row r="127">
      <x:c r="B127" s="11" t="str">
        <x:v>יפן 25</x:v>
      </x:c>
      <x:c r="C127" s="11" t="n">
        <x:v>125</x:v>
      </x:c>
      <x:c r="D127" s="11" t="str">
        <x:v>6</x:v>
      </x:c>
      <x:c r="E127" s="11" t="str">
        <x:v>הגנים בהירושימה</x:v>
      </x:c>
      <x:c r="F127" s="16" t="n">
        <x:v>15</x:v>
      </x:c>
      <x:c r="G127" s="11" t="str">
        <x:v>אטרקציות</x:v>
      </x:c>
      <x:c r="H127" s="11" t="str">
        <x:v>קורפרייט זיו</x:v>
      </x:c>
      <x:c r="I127" s="11" t="str">
        <x:v>מאושר</x:v>
      </x:c>
    </x:row>
    <x:row r="128">
      <x:c r="B128" s="11" t="str">
        <x:v>יפן 25</x:v>
      </x:c>
      <x:c r="C128" s="11" t="n">
        <x:v>126</x:v>
      </x:c>
      <x:c r="D128" s="11" t="str">
        <x:v>7</x:v>
      </x:c>
      <x:c r="E128" s="11" t="str">
        <x:v>מונית לבמבוקים</x:v>
      </x:c>
      <x:c r="F128" s="16" t="n">
        <x:v>110</x:v>
      </x:c>
      <x:c r="G128" s="11" t="str">
        <x:v>תחבורה</x:v>
      </x:c>
      <x:c r="H128" s="11" t="str">
        <x:v>קורפרייט זיו</x:v>
      </x:c>
      <x:c r="I128" s="11" t="str">
        <x:v>מאושר</x:v>
      </x:c>
    </x:row>
    <x:row r="129">
      <x:c r="B129" s="11" t="str">
        <x:v>יפן 25</x:v>
      </x:c>
      <x:c r="C129" s="11" t="n">
        <x:v>127</x:v>
      </x:c>
      <x:c r="D129" s="11" t="str">
        <x:v>7</x:v>
      </x:c>
      <x:c r="E129" s="11" t="str">
        <x:v>קונבי</x:v>
      </x:c>
      <x:c r="F129" s="16" t="n">
        <x:v>25</x:v>
      </x:c>
      <x:c r="G129" s="11" t="str">
        <x:v>אוכל</x:v>
      </x:c>
      <x:c r="H129" s="11" t="str">
        <x:v>קורפרייט זיו</x:v>
      </x:c>
      <x:c r="I129" s="11" t="str">
        <x:v>מאושר</x:v>
      </x:c>
    </x:row>
    <x:row r="130">
      <x:c r="B130" s="11" t="str">
        <x:v>יפן 25</x:v>
      </x:c>
      <x:c r="C130" s="11" t="n">
        <x:v>128</x:v>
      </x:c>
      <x:c r="D130" s="11" t="str">
        <x:v>7</x:v>
      </x:c>
      <x:c r="E130" s="11" t="str">
        <x:v>קפה</x:v>
      </x:c>
      <x:c r="F130" s="16" t="n">
        <x:v>14</x:v>
      </x:c>
      <x:c r="G130" s="11" t="str">
        <x:v>אוכל</x:v>
      </x:c>
      <x:c r="H130" s="11" t="str">
        <x:v>קורפרייט זיו</x:v>
      </x:c>
      <x:c r="I130" s="11" t="str">
        <x:v>מאושר</x:v>
      </x:c>
    </x:row>
    <x:row r="131">
      <x:c r="B131" s="11" t="str">
        <x:v>יפן 25</x:v>
      </x:c>
      <x:c r="C131" s="11" t="n">
        <x:v>129</x:v>
      </x:c>
      <x:c r="D131" s="11" t="str">
        <x:v>7</x:v>
      </x:c>
      <x:c r="E131" s="11" t="str">
        <x:v>האורות בבמבוקים</x:v>
      </x:c>
      <x:c r="F131" s="16" t="n">
        <x:v>64</x:v>
      </x:c>
      <x:c r="G131" s="11" t="str">
        <x:v>אטרקציות</x:v>
      </x:c>
      <x:c r="H131" s="11" t="str">
        <x:v>קורפרייט זיו</x:v>
      </x:c>
      <x:c r="I131" s="11" t="str">
        <x:v>מאושר</x:v>
      </x:c>
    </x:row>
    <x:row r="132">
      <x:c r="B132" s="11" t="str">
        <x:v>יפן 25</x:v>
      </x:c>
      <x:c r="C132" s="11" t="n">
        <x:v>130</x:v>
      </x:c>
      <x:c r="D132" s="11" t="str">
        <x:v>7</x:v>
      </x:c>
      <x:c r="E132" s="11" t="str">
        <x:v>המבורגר</x:v>
      </x:c>
      <x:c r="F132" s="16" t="n">
        <x:v>75</x:v>
      </x:c>
      <x:c r="G132" s="11" t="str">
        <x:v>אוכל</x:v>
      </x:c>
      <x:c r="H132" s="11" t="str">
        <x:v>קורפרייט זיו</x:v>
      </x:c>
      <x:c r="I132" s="11" t="str">
        <x:v>מאושר</x:v>
      </x:c>
    </x:row>
    <x:row r="133">
      <x:c r="B133" s="11" t="str">
        <x:v>יפן 25</x:v>
      </x:c>
      <x:c r="C133" s="11" t="n">
        <x:v>131</x:v>
      </x:c>
      <x:c r="D133" s="11" t="str">
        <x:v>7</x:v>
      </x:c>
      <x:c r="E133" s="11" t="str">
        <x:v>סושי</x:v>
      </x:c>
      <x:c r="F133" s="16" t="n">
        <x:v>131</x:v>
      </x:c>
      <x:c r="G133" s="11" t="str">
        <x:v>אוכל</x:v>
      </x:c>
      <x:c r="H133" s="11" t="str">
        <x:v>קורפרייט זיו</x:v>
      </x:c>
      <x:c r="I133" s="11" t="str">
        <x:v>מאושר</x:v>
      </x:c>
    </x:row>
    <x:row r="134">
      <x:c r="B134" s="11" t="str">
        <x:v>יפן 25</x:v>
      </x:c>
      <x:c r="C134" s="11" t="n">
        <x:v>132</x:v>
      </x:c>
      <x:c r="D134" s="11" t="str">
        <x:v>7</x:v>
      </x:c>
      <x:c r="E134" s="11" t="str">
        <x:v>גלידה</x:v>
      </x:c>
      <x:c r="F134" s="16" t="n">
        <x:v>39</x:v>
      </x:c>
      <x:c r="G134" s="11" t="str">
        <x:v>אוכל</x:v>
      </x:c>
      <x:c r="H134" s="11" t="str">
        <x:v>קורפרייט זיו</x:v>
      </x:c>
      <x:c r="I134" s="11" t="str">
        <x:v>מאושר</x:v>
      </x:c>
    </x:row>
    <x:row r="135">
      <x:c r="B135" s="11" t="str">
        <x:v>יפן 25</x:v>
      </x:c>
      <x:c r="C135" s="11" t="n">
        <x:v>133</x:v>
      </x:c>
      <x:c r="D135" s="11" t="str">
        <x:v>8</x:v>
      </x:c>
      <x:c r="E135" s="11" t="str">
        <x:v>קונבי</x:v>
      </x:c>
      <x:c r="F135" s="16" t="n">
        <x:v>16</x:v>
      </x:c>
      <x:c r="G135" s="11" t="str">
        <x:v>אוכל</x:v>
      </x:c>
      <x:c r="H135" s="11" t="str">
        <x:v>קורפרייט זיו</x:v>
      </x:c>
      <x:c r="I135" s="11" t="str">
        <x:v>מאושר</x:v>
      </x:c>
    </x:row>
    <x:row r="136">
      <x:c r="B136" s="11" t="str">
        <x:v>יפן 25</x:v>
      </x:c>
      <x:c r="C136" s="11" t="n">
        <x:v>134</x:v>
      </x:c>
      <x:c r="D136" s="11" t="str">
        <x:v>8</x:v>
      </x:c>
      <x:c r="E136" s="11" t="str">
        <x:v>צופסטיקס</x:v>
      </x:c>
      <x:c r="F136" s="16" t="n">
        <x:v>151</x:v>
      </x:c>
      <x:c r="G136" s="11" t="str">
        <x:v>מזכרות</x:v>
      </x:c>
      <x:c r="H136" s="11" t="str">
        <x:v>קורפרייט זיו</x:v>
      </x:c>
      <x:c r="I136" s="11" t="str">
        <x:v>מאושר</x:v>
      </x:c>
    </x:row>
    <x:row r="137">
      <x:c r="B137" s="11" t="str">
        <x:v>יפן 25</x:v>
      </x:c>
      <x:c r="C137" s="11" t="n">
        <x:v>135</x:v>
      </x:c>
      <x:c r="D137" s="11" t="str">
        <x:v>8</x:v>
      </x:c>
      <x:c r="E137" s="11" t="str">
        <x:v>ראמן</x:v>
      </x:c>
      <x:c r="F137" s="16" t="n">
        <x:v>81</x:v>
      </x:c>
      <x:c r="G137" s="11" t="str">
        <x:v>אוכל</x:v>
      </x:c>
      <x:c r="H137" s="11" t="str">
        <x:v>קורפרייט זיו</x:v>
      </x:c>
      <x:c r="I137" s="11" t="str">
        <x:v>מאושר</x:v>
      </x:c>
    </x:row>
    <x:row r="138">
      <x:c r="B138" s="11" t="str">
        <x:v>יפן 25</x:v>
      </x:c>
      <x:c r="C138" s="11" t="n">
        <x:v>136</x:v>
      </x:c>
      <x:c r="D138" s="11" t="str">
        <x:v>8</x:v>
      </x:c>
      <x:c r="E138" s="11" t="str">
        <x:v>סושי</x:v>
      </x:c>
      <x:c r="F138" s="16" t="n">
        <x:v>57</x:v>
      </x:c>
      <x:c r="G138" s="11" t="str">
        <x:v>אוכל</x:v>
      </x:c>
      <x:c r="H138" s="11" t="str">
        <x:v>קורפרייט זיו</x:v>
      </x:c>
      <x:c r="I138" s="11" t="str">
        <x:v>מאושר</x:v>
      </x:c>
    </x:row>
    <x:row r="139">
      <x:c r="B139" s="11" t="str">
        <x:v>יפן 25</x:v>
      </x:c>
      <x:c r="C139" s="11" t="n">
        <x:v>137</x:v>
      </x:c>
      <x:c r="D139" s="11" t="str">
        <x:v>9</x:v>
      </x:c>
      <x:c r="E139" s="11" t="str">
        <x:v>מניפות</x:v>
      </x:c>
      <x:c r="F139" s="16" t="n">
        <x:v>32</x:v>
      </x:c>
      <x:c r="G139" s="11" t="str">
        <x:v>מזכרות</x:v>
      </x:c>
      <x:c r="H139" s="11" t="str">
        <x:v>קורפרייט זיו</x:v>
      </x:c>
      <x:c r="I139" s="11" t="str">
        <x:v>מאושר</x:v>
      </x:c>
    </x:row>
    <x:row r="140">
      <x:c r="B140" s="11" t="str">
        <x:v>יפן 25</x:v>
      </x:c>
      <x:c r="C140" s="11" t="n">
        <x:v>138</x:v>
      </x:c>
      <x:c r="D140" s="11" t="str">
        <x:v>9</x:v>
      </x:c>
      <x:c r="E140" s="11" t="str">
        <x:v>גיוזה</x:v>
      </x:c>
      <x:c r="F140" s="16" t="n">
        <x:v>61</x:v>
      </x:c>
      <x:c r="G140" s="11" t="str">
        <x:v>אוכל</x:v>
      </x:c>
      <x:c r="H140" s="11" t="str">
        <x:v>קורפרייט זיו</x:v>
      </x:c>
      <x:c r="I140" s="11" t="str">
        <x:v>מאושר</x:v>
      </x:c>
    </x:row>
    <x:row r="141">
      <x:c r="B141" s="11" t="str">
        <x:v>יפן 25</x:v>
      </x:c>
      <x:c r="C141" s="11" t="n">
        <x:v>139</x:v>
      </x:c>
      <x:c r="D141" s="11" t="str">
        <x:v>9</x:v>
      </x:c>
      <x:c r="E141" s="11" t="str">
        <x:v>מונית למקדש הצהוב</x:v>
      </x:c>
      <x:c r="F141" s="16" t="n">
        <x:v>83</x:v>
      </x:c>
      <x:c r="G141" s="11" t="str">
        <x:v>תחבורה</x:v>
      </x:c>
      <x:c r="H141" s="11" t="str">
        <x:v>קורפרייט זיו</x:v>
      </x:c>
      <x:c r="I141" s="11" t="str">
        <x:v>מאושר</x:v>
      </x:c>
    </x:row>
    <x:row r="142">
      <x:c r="B142" s="11" t="str">
        <x:v>יפן 25</x:v>
      </x:c>
      <x:c r="C142" s="11" t="n">
        <x:v>140</x:v>
      </x:c>
      <x:c r="D142" s="11" t="str">
        <x:v>9</x:v>
      </x:c>
      <x:c r="E142" s="11" t="str">
        <x:v>גלידה סנופי</x:v>
      </x:c>
      <x:c r="F142" s="16" t="n">
        <x:v>14</x:v>
      </x:c>
      <x:c r="G142" s="11" t="str">
        <x:v>אוכל</x:v>
      </x:c>
      <x:c r="H142" s="11" t="str">
        <x:v>קורפרייט זיו</x:v>
      </x:c>
      <x:c r="I142" s="11" t="str">
        <x:v>מאושר</x:v>
      </x:c>
    </x:row>
    <x:row r="143">
      <x:c r="B143" s="11" t="str">
        <x:v>יפן 25</x:v>
      </x:c>
      <x:c r="C143" s="11" t="n">
        <x:v>141</x:v>
      </x:c>
      <x:c r="D143" s="11" t="str">
        <x:v>9</x:v>
      </x:c>
      <x:c r="E143" s="11" t="str">
        <x:v>מים</x:v>
      </x:c>
      <x:c r="F143" s="16" t="n">
        <x:v>4</x:v>
      </x:c>
      <x:c r="G143" s="11" t="str">
        <x:v>אוכל</x:v>
      </x:c>
      <x:c r="H143" s="11" t="str">
        <x:v>קורפרייט זיו</x:v>
      </x:c>
      <x:c r="I143" s="11" t="str">
        <x:v>מאושר</x:v>
      </x:c>
    </x:row>
    <x:row r="144">
      <x:c r="B144" s="11" t="str">
        <x:v>יפן 25</x:v>
      </x:c>
      <x:c r="C144" s="11" t="n">
        <x:v>142</x:v>
      </x:c>
      <x:c r="D144" s="11" t="str">
        <x:v>9</x:v>
      </x:c>
      <x:c r="E144" s="11" t="str">
        <x:v>מונית בין המקדשים</x:v>
      </x:c>
      <x:c r="F144" s="16" t="n">
        <x:v>83</x:v>
      </x:c>
      <x:c r="G144" s="11" t="str">
        <x:v>תחבורה</x:v>
      </x:c>
      <x:c r="H144" s="11" t="str">
        <x:v>קורפרייט זיו</x:v>
      </x:c>
      <x:c r="I144" s="11" t="str">
        <x:v>מאושר</x:v>
      </x:c>
    </x:row>
    <x:row r="145">
      <x:c r="B145" s="11" t="str">
        <x:v>יפן 25</x:v>
      </x:c>
      <x:c r="C145" s="11" t="n">
        <x:v>143</x:v>
      </x:c>
      <x:c r="D145" s="11" t="str">
        <x:v>9</x:v>
      </x:c>
      <x:c r="E145" s="11" t="str">
        <x:v>תבלין אורז</x:v>
      </x:c>
      <x:c r="F145" s="16" t="n">
        <x:v>14</x:v>
      </x:c>
      <x:c r="G145" s="11" t="str">
        <x:v>מזכרות</x:v>
      </x:c>
      <x:c r="H145" s="11" t="str">
        <x:v>קורפרייט זיו</x:v>
      </x:c>
      <x:c r="I145" s="11" t="str">
        <x:v>מאושר</x:v>
      </x:c>
    </x:row>
    <x:row r="146">
      <x:c r="B146" s="11" t="str">
        <x:v>יפן 25</x:v>
      </x:c>
      <x:c r="C146" s="11" t="n">
        <x:v>144</x:v>
      </x:c>
      <x:c r="D146" s="11" t="str">
        <x:v>9</x:v>
      </x:c>
      <x:c r="E146" s="11" t="str">
        <x:v>קונבי</x:v>
      </x:c>
      <x:c r="F146" s="16" t="n">
        <x:v>38</x:v>
      </x:c>
      <x:c r="G146" s="11" t="str">
        <x:v>אוכל</x:v>
      </x:c>
      <x:c r="H146" s="11" t="str">
        <x:v>קורפרייט זיו</x:v>
      </x:c>
      <x:c r="I146" s="11" t="str">
        <x:v>מאושר</x:v>
      </x:c>
    </x:row>
    <x:row r="147">
      <x:c r="B147" s="11" t="str">
        <x:v>יפן 25</x:v>
      </x:c>
      <x:c r="C147" s="11" t="n">
        <x:v>145</x:v>
      </x:c>
      <x:c r="D147" s="11" t="str">
        <x:v>10</x:v>
      </x:c>
      <x:c r="E147" s="11" t="str">
        <x:v>מוצ'י</x:v>
      </x:c>
      <x:c r="F147" s="16" t="n">
        <x:v>9</x:v>
      </x:c>
      <x:c r="G147" s="11" t="str">
        <x:v>אוכל</x:v>
      </x:c>
      <x:c r="H147" s="11" t="str">
        <x:v>קורפרייט זיו</x:v>
      </x:c>
      <x:c r="I147" s="11" t="str">
        <x:v>מאושר</x:v>
      </x:c>
    </x:row>
    <x:row r="148">
      <x:c r="B148" s="11" t="str">
        <x:v>יפן 25</x:v>
      </x:c>
      <x:c r="C148" s="11" t="n">
        <x:v>146</x:v>
      </x:c>
      <x:c r="D148" s="11" t="str">
        <x:v>10</x:v>
      </x:c>
      <x:c r="E148" s="11" t="str">
        <x:v>מסעדת שף</x:v>
      </x:c>
      <x:c r="F148" s="16" t="n">
        <x:v>646</x:v>
      </x:c>
      <x:c r="G148" s="11" t="str">
        <x:v>אוכל</x:v>
      </x:c>
      <x:c r="H148" s="11" t="str">
        <x:v>קורפרייט זיו</x:v>
      </x:c>
      <x:c r="I148" s="11" t="str">
        <x:v>מאושר</x:v>
      </x:c>
    </x:row>
    <x:row r="149">
      <x:c r="B149" s="11" t="str">
        <x:v>יפן 25</x:v>
      </x:c>
      <x:c r="C149" s="11" t="n">
        <x:v>147</x:v>
      </x:c>
      <x:c r="D149" s="11" t="str">
        <x:v>10</x:v>
      </x:c>
      <x:c r="E149" s="11" t="str">
        <x:v>אוכל בשוק</x:v>
      </x:c>
      <x:c r="F149" s="16" t="n">
        <x:v>16</x:v>
      </x:c>
      <x:c r="G149" s="11" t="str">
        <x:v>אוכל</x:v>
      </x:c>
      <x:c r="H149" s="11" t="str">
        <x:v>קורפרייט זיו</x:v>
      </x:c>
      <x:c r="I149" s="11" t="str">
        <x:v>מאושר</x:v>
      </x:c>
    </x:row>
    <x:row r="150">
      <x:c r="B150" s="11" t="str">
        <x:v>יפן 25</x:v>
      </x:c>
      <x:c r="C150" s="11" t="n">
        <x:v>148</x:v>
      </x:c>
      <x:c r="D150" s="11" t="str">
        <x:v>10</x:v>
      </x:c>
      <x:c r="E150" s="11" t="str">
        <x:v>סופר</x:v>
      </x:c>
      <x:c r="F150" s="16" t="n">
        <x:v>42</x:v>
      </x:c>
      <x:c r="G150" s="11" t="str">
        <x:v>אוכל</x:v>
      </x:c>
      <x:c r="H150" s="11" t="str">
        <x:v>קורפרייט זיו</x:v>
      </x:c>
      <x:c r="I150" s="11" t="str">
        <x:v>מאושר</x:v>
      </x:c>
    </x:row>
    <x:row r="151">
      <x:c r="B151" s="11" t="str">
        <x:v>יפן 25</x:v>
      </x:c>
      <x:c r="C151" s="11" t="n">
        <x:v>149</x:v>
      </x:c>
      <x:c r="D151" s="11" t="str">
        <x:v>10</x:v>
      </x:c>
      <x:c r="E151" s="11" t="str">
        <x:v>אוכל בשוק</x:v>
      </x:c>
      <x:c r="F151" s="16" t="n">
        <x:v>32</x:v>
      </x:c>
      <x:c r="G151" s="11" t="str">
        <x:v>אוכל</x:v>
      </x:c>
      <x:c r="H151" s="11" t="str">
        <x:v>קורפרייט זיו</x:v>
      </x:c>
      <x:c r="I151" s="11" t="str">
        <x:v>מאושר</x:v>
      </x:c>
    </x:row>
    <x:row r="152">
      <x:c r="B152" s="11" t="str">
        <x:v>יפן 25</x:v>
      </x:c>
      <x:c r="C152" s="11" t="n">
        <x:v>150</x:v>
      </x:c>
      <x:c r="D152" s="11" t="str">
        <x:v>10</x:v>
      </x:c>
      <x:c r="E152" s="11" t="str">
        <x:v>פארם</x:v>
      </x:c>
      <x:c r="F152" s="16" t="n">
        <x:v>85</x:v>
      </x:c>
      <x:c r="G152" s="11" t="str">
        <x:v>מנהלתי</x:v>
      </x:c>
      <x:c r="H152" s="11" t="str">
        <x:v>קורפרייט זיו</x:v>
      </x:c>
      <x:c r="I152" s="11" t="str">
        <x:v>מאושר</x:v>
      </x:c>
    </x:row>
    <x:row r="153">
      <x:c r="B153" s="11" t="str">
        <x:v>יפן 25</x:v>
      </x:c>
      <x:c r="C153" s="11" t="n">
        <x:v>151</x:v>
      </x:c>
      <x:c r="D153" s="11" t="str">
        <x:v>10</x:v>
      </x:c>
      <x:c r="E153" s="11" t="str">
        <x:v>קונבי</x:v>
      </x:c>
      <x:c r="F153" s="16" t="n">
        <x:v>3</x:v>
      </x:c>
      <x:c r="G153" s="11" t="str">
        <x:v>אוכל</x:v>
      </x:c>
      <x:c r="H153" s="11" t="str">
        <x:v>קורפרייט זיו</x:v>
      </x:c>
      <x:c r="I153" s="11" t="str">
        <x:v>מאושר</x:v>
      </x:c>
    </x:row>
    <x:row r="154">
      <x:c r="B154" s="11" t="str">
        <x:v>יפן 25</x:v>
      </x:c>
      <x:c r="C154" s="11" t="n">
        <x:v>152</x:v>
      </x:c>
      <x:c r="D154" s="11" t="str">
        <x:v>10</x:v>
      </x:c>
      <x:c r="E154" s="11" t="str">
        <x:v>מונית לדייט</x:v>
      </x:c>
      <x:c r="F154" s="16" t="n">
        <x:v>65</x:v>
      </x:c>
      <x:c r="G154" s="11" t="str">
        <x:v>תחבורה</x:v>
      </x:c>
      <x:c r="H154" s="11" t="str">
        <x:v>קורפרייט זיו</x:v>
      </x:c>
      <x:c r="I154" s="11" t="str">
        <x:v>מאושר</x:v>
      </x:c>
    </x:row>
    <x:row r="155">
      <x:c r="B155" s="11" t="str">
        <x:v>יפן 25</x:v>
      </x:c>
      <x:c r="C155" s="11" t="n">
        <x:v>153</x:v>
      </x:c>
      <x:c r="D155" s="11" t="str">
        <x:v>10</x:v>
      </x:c>
      <x:c r="E155" s="11" t="str">
        <x:v>מוזאון</x:v>
      </x:c>
      <x:c r="F155" s="16" t="n">
        <x:v>22</x:v>
      </x:c>
      <x:c r="G155" s="11" t="str">
        <x:v>אטרקציות</x:v>
      </x:c>
      <x:c r="H155" s="11" t="str">
        <x:v>קורפרייט זיו</x:v>
      </x:c>
      <x:c r="I155" s="11" t="str">
        <x:v>מאושר</x:v>
      </x:c>
    </x:row>
    <x:row r="156">
      <x:c r="B156" s="11" t="str">
        <x:v>יפן 25</x:v>
      </x:c>
      <x:c r="C156" s="11" t="n">
        <x:v>154</x:v>
      </x:c>
      <x:c r="D156" s="11" t="str"/>
      <x:c r="E156" s="11" t="str">
        <x:v>מוזאון</x:v>
      </x:c>
      <x:c r="F156" s="16" t="n">
        <x:v>38</x:v>
      </x:c>
      <x:c r="G156" s="11" t="str">
        <x:v>מזכרות</x:v>
      </x:c>
      <x:c r="H156" s="11" t="str">
        <x:v>קורפרייט זיו</x:v>
      </x:c>
      <x:c r="I156" s="11" t="str">
        <x:v>מאושר</x:v>
      </x:c>
    </x:row>
    <x:row r="157">
      <x:c r="B157" s="11" t="str">
        <x:v>יפן 25</x:v>
      </x:c>
      <x:c r="C157" s="11" t="n">
        <x:v>155</x:v>
      </x:c>
      <x:c r="D157" s="11" t="str">
        <x:v>10</x:v>
      </x:c>
      <x:c r="E157" s="11" t="str">
        <x:v>אוכל</x:v>
      </x:c>
      <x:c r="F157" s="16" t="n">
        <x:v>7</x:v>
      </x:c>
      <x:c r="G157" s="11" t="str">
        <x:v>אוכל</x:v>
      </x:c>
      <x:c r="H157" s="11" t="str">
        <x:v>קורפרייט זיו</x:v>
      </x:c>
      <x:c r="I157" s="11" t="str">
        <x:v>מאושר</x:v>
      </x:c>
    </x:row>
    <x:row r="158">
      <x:c r="B158" s="11" t="str">
        <x:v>יפן 25</x:v>
      </x:c>
      <x:c r="C158" s="11" t="n">
        <x:v>156</x:v>
      </x:c>
      <x:c r="D158" s="11" t="str">
        <x:v>10</x:v>
      </x:c>
      <x:c r="E158" s="11" t="str">
        <x:v>גיוזה</x:v>
      </x:c>
      <x:c r="F158" s="16" t="n">
        <x:v>24</x:v>
      </x:c>
      <x:c r="G158" s="11" t="str">
        <x:v>אוכל</x:v>
      </x:c>
      <x:c r="H158" s="11" t="str">
        <x:v>קורפרייט זיו</x:v>
      </x:c>
      <x:c r="I158" s="11" t="str">
        <x:v>מאושר</x:v>
      </x:c>
    </x:row>
    <x:row r="159">
      <x:c r="B159" s="11" t="str">
        <x:v>יפן 25</x:v>
      </x:c>
      <x:c r="C159" s="11" t="n">
        <x:v>157</x:v>
      </x:c>
      <x:c r="D159" s="11" t="str">
        <x:v>11</x:v>
      </x:c>
      <x:c r="E159" s="11" t="str">
        <x:v>קונבי</x:v>
      </x:c>
      <x:c r="F159" s="16" t="n">
        <x:v>15</x:v>
      </x:c>
      <x:c r="G159" s="11" t="str">
        <x:v>אוכל</x:v>
      </x:c>
      <x:c r="H159" s="11" t="str">
        <x:v>קורפרייט זיו</x:v>
      </x:c>
      <x:c r="I159" s="11" t="str">
        <x:v>מאושר</x:v>
      </x:c>
    </x:row>
    <x:row r="160">
      <x:c r="B160" s="11" t="str">
        <x:v>יפן 25</x:v>
      </x:c>
      <x:c r="C160" s="11" t="n">
        <x:v>158</x:v>
      </x:c>
      <x:c r="D160" s="11" t="str">
        <x:v>11</x:v>
      </x:c>
      <x:c r="E160" s="11" t="str">
        <x:v>אוכל</x:v>
      </x:c>
      <x:c r="F160" s="16" t="n">
        <x:v>8</x:v>
      </x:c>
      <x:c r="G160" s="11" t="str">
        <x:v>אוכל</x:v>
      </x:c>
      <x:c r="H160" s="11" t="str">
        <x:v>קורפרייט זיו</x:v>
      </x:c>
      <x:c r="I160" s="11" t="str">
        <x:v>מאושר</x:v>
      </x:c>
    </x:row>
    <x:row r="161">
      <x:c r="B161" s="11" t="str">
        <x:v>יפן 25</x:v>
      </x:c>
      <x:c r="C161" s="11" t="n">
        <x:v>159</x:v>
      </x:c>
      <x:c r="D161" s="11" t="str">
        <x:v>11</x:v>
      </x:c>
      <x:c r="E161" s="11" t="str">
        <x:v>קונבי</x:v>
      </x:c>
      <x:c r="F161" s="16" t="n">
        <x:v>14</x:v>
      </x:c>
      <x:c r="G161" s="11" t="str">
        <x:v>אוכל</x:v>
      </x:c>
      <x:c r="H161" s="11" t="str">
        <x:v>קורפרייט זיו</x:v>
      </x:c>
      <x:c r="I161" s="11" t="str">
        <x:v>מאושר</x:v>
      </x:c>
    </x:row>
    <x:row r="162">
      <x:c r="B162" s="11" t="str">
        <x:v>יפן 25</x:v>
      </x:c>
      <x:c r="C162" s="11" t="n">
        <x:v>160</x:v>
      </x:c>
      <x:c r="D162" s="11" t="str">
        <x:v>11</x:v>
      </x:c>
      <x:c r="E162" s="11" t="str">
        <x:v>שליחת מזוודות</x:v>
      </x:c>
      <x:c r="F162" s="16" t="n">
        <x:v>56</x:v>
      </x:c>
      <x:c r="G162" s="11" t="str">
        <x:v>מנהלתי</x:v>
      </x:c>
      <x:c r="H162" s="11" t="str">
        <x:v>קורפרייט זיו</x:v>
      </x:c>
      <x:c r="I162" s="11" t="str">
        <x:v>מאושר</x:v>
      </x:c>
    </x:row>
    <x:row r="163">
      <x:c r="B163" s="11" t="str">
        <x:v>יפן 25</x:v>
      </x:c>
      <x:c r="C163" s="11" t="n">
        <x:v>161</x:v>
      </x:c>
      <x:c r="D163" s="11" t="str">
        <x:v>11</x:v>
      </x:c>
      <x:c r="E163" s="11" t="str">
        <x:v>אוכל</x:v>
      </x:c>
      <x:c r="F163" s="16" t="n">
        <x:v>32</x:v>
      </x:c>
      <x:c r="G163" s="11" t="str">
        <x:v>אוכל</x:v>
      </x:c>
      <x:c r="H163" s="11" t="str">
        <x:v>קורפרייט זיו</x:v>
      </x:c>
      <x:c r="I163" s="11" t="str">
        <x:v>מאושר</x:v>
      </x:c>
    </x:row>
    <x:row r="164">
      <x:c r="B164" s="11" t="str">
        <x:v>יפן 25</x:v>
      </x:c>
      <x:c r="C164" s="11" t="n">
        <x:v>162</x:v>
      </x:c>
      <x:c r="D164" s="11" t="str">
        <x:v>11</x:v>
      </x:c>
      <x:c r="E164" s="11" t="str">
        <x:v>ראמן</x:v>
      </x:c>
      <x:c r="F164" s="16" t="n">
        <x:v>56</x:v>
      </x:c>
      <x:c r="G164" s="11" t="str">
        <x:v>אוכל</x:v>
      </x:c>
      <x:c r="H164" s="11" t="str">
        <x:v>קורפרייט זיו</x:v>
      </x:c>
      <x:c r="I164" s="11" t="str">
        <x:v>מאושר</x:v>
      </x:c>
    </x:row>
    <x:row r="165">
      <x:c r="B165" s="11" t="str">
        <x:v>יפן 25</x:v>
      </x:c>
      <x:c r="C165" s="11" t="n">
        <x:v>163</x:v>
      </x:c>
      <x:c r="D165" s="11" t="str">
        <x:v>11</x:v>
      </x:c>
      <x:c r="E165" s="11" t="str">
        <x:v>ראמן</x:v>
      </x:c>
      <x:c r="F165" s="16" t="n">
        <x:v>75</x:v>
      </x:c>
      <x:c r="G165" s="11" t="str">
        <x:v>אוכל</x:v>
      </x:c>
      <x:c r="H165" s="11" t="str">
        <x:v>קורפרייט זיו</x:v>
      </x:c>
      <x:c r="I165" s="11" t="str">
        <x:v>מאושר</x:v>
      </x:c>
    </x:row>
    <x:row r="166">
      <x:c r="B166" s="11" t="str">
        <x:v>יפן 25</x:v>
      </x:c>
      <x:c r="C166" s="11" t="n">
        <x:v>164</x:v>
      </x:c>
      <x:c r="D166" s="11" t="str">
        <x:v>11</x:v>
      </x:c>
      <x:c r="E166" s="11" t="str">
        <x:v>בנס קוקיס</x:v>
      </x:c>
      <x:c r="F166" s="16" t="n">
        <x:v>18</x:v>
      </x:c>
      <x:c r="G166" s="11" t="str">
        <x:v>אוכל</x:v>
      </x:c>
      <x:c r="H166" s="11" t="str">
        <x:v>קורפרייט זיו</x:v>
      </x:c>
      <x:c r="I166" s="11" t="str">
        <x:v>מאושר</x:v>
      </x:c>
    </x:row>
    <x:row r="167">
      <x:c r="B167" s="11" t="str">
        <x:v>יפן 25</x:v>
      </x:c>
      <x:c r="C167" s="11" t="n">
        <x:v>165</x:v>
      </x:c>
      <x:c r="D167" s="11" t="str">
        <x:v>11</x:v>
      </x:c>
      <x:c r="E167" s="11" t="str">
        <x:v>פארם</x:v>
      </x:c>
      <x:c r="F167" s="16" t="n">
        <x:v>41</x:v>
      </x:c>
      <x:c r="G167" s="11" t="str">
        <x:v>מנהלתי</x:v>
      </x:c>
      <x:c r="H167" s="11" t="str">
        <x:v>קורפרייט זיו</x:v>
      </x:c>
      <x:c r="I167" s="11" t="str">
        <x:v>מאושר</x:v>
      </x:c>
    </x:row>
    <x:row r="168">
      <x:c r="B168" s="11" t="str">
        <x:v>יפן 25</x:v>
      </x:c>
      <x:c r="C168" s="11" t="n">
        <x:v>166</x:v>
      </x:c>
      <x:c r="D168" s="11" t="str">
        <x:v>11</x:v>
      </x:c>
      <x:c r="E168" s="11" t="str">
        <x:v>הכל בשקל</x:v>
      </x:c>
      <x:c r="F168" s="16" t="n">
        <x:v>5</x:v>
      </x:c>
      <x:c r="G168" s="11" t="str">
        <x:v>מזכרות</x:v>
      </x:c>
      <x:c r="H168" s="11" t="str">
        <x:v>קורפרייט זיו</x:v>
      </x:c>
      <x:c r="I168" s="11" t="str">
        <x:v>מאושר</x:v>
      </x:c>
    </x:row>
    <x:row r="169">
      <x:c r="B169" s="11" t="str">
        <x:v>יפן 25</x:v>
      </x:c>
      <x:c r="C169" s="11" t="n">
        <x:v>167</x:v>
      </x:c>
      <x:c r="D169" s="11" t="str">
        <x:v>11</x:v>
      </x:c>
      <x:c r="E169" s="11" t="str">
        <x:v>מעמד צופסטיק</x:v>
      </x:c>
      <x:c r="F169" s="16" t="n">
        <x:v>16</x:v>
      </x:c>
      <x:c r="G169" s="11" t="str">
        <x:v>מזכרות</x:v>
      </x:c>
      <x:c r="H169" s="11" t="str">
        <x:v>קורפרייט זיו</x:v>
      </x:c>
      <x:c r="I169" s="11" t="str">
        <x:v>מאושר</x:v>
      </x:c>
    </x:row>
    <x:row r="170">
      <x:c r="B170" s="11" t="str">
        <x:v>יפן 25</x:v>
      </x:c>
      <x:c r="C170" s="11" t="n">
        <x:v>168</x:v>
      </x:c>
      <x:c r="D170" s="11" t="str">
        <x:v>11</x:v>
      </x:c>
      <x:c r="E170" s="11" t="str">
        <x:v>אדידס</x:v>
      </x:c>
      <x:c r="F170" s="16" t="n">
        <x:v>344</x:v>
      </x:c>
      <x:c r="G170" s="11" t="str">
        <x:v>קניות</x:v>
      </x:c>
      <x:c r="H170" s="11" t="str">
        <x:v>קורפרייט זיו</x:v>
      </x:c>
      <x:c r="I170" s="11" t="str">
        <x:v>מאושר</x:v>
      </x:c>
    </x:row>
    <x:row r="171">
      <x:c r="B171" s="11" t="str">
        <x:v>יפן 25</x:v>
      </x:c>
      <x:c r="C171" s="11" t="n">
        <x:v>169</x:v>
      </x:c>
      <x:c r="D171" s="11" t="str">
        <x:v>12</x:v>
      </x:c>
      <x:c r="E171" s="11" t="str">
        <x:v>סושי</x:v>
      </x:c>
      <x:c r="F171" s="16" t="n">
        <x:v>66</x:v>
      </x:c>
      <x:c r="G171" s="11" t="str">
        <x:v>אוכל</x:v>
      </x:c>
      <x:c r="H171" s="11" t="str">
        <x:v>קורפרייט זיו</x:v>
      </x:c>
      <x:c r="I171" s="11" t="str">
        <x:v>מאושר</x:v>
      </x:c>
    </x:row>
    <x:row r="172">
      <x:c r="B172" s="11" t="str">
        <x:v>יפן 25</x:v>
      </x:c>
      <x:c r="C172" s="11" t="n">
        <x:v>170</x:v>
      </x:c>
      <x:c r="D172" s="11" t="str">
        <x:v>12</x:v>
      </x:c>
      <x:c r="E172" s="11" t="str">
        <x:v>קונבי</x:v>
      </x:c>
      <x:c r="F172" s="16" t="n">
        <x:v>21</x:v>
      </x:c>
      <x:c r="G172" s="11" t="str">
        <x:v>אוכל</x:v>
      </x:c>
      <x:c r="H172" s="11" t="str">
        <x:v>קורפרייט זיו</x:v>
      </x:c>
      <x:c r="I172" s="11" t="str">
        <x:v>מאושר</x:v>
      </x:c>
    </x:row>
    <x:row r="173">
      <x:c r="B173" s="11" t="str">
        <x:v>יפן 25</x:v>
      </x:c>
      <x:c r="C173" s="11" t="n">
        <x:v>171</x:v>
      </x:c>
      <x:c r="D173" s="11" t="str">
        <x:v>12</x:v>
      </x:c>
      <x:c r="E173" s="11" t="str">
        <x:v>המבורגר</x:v>
      </x:c>
      <x:c r="F173" s="16" t="n">
        <x:v>102</x:v>
      </x:c>
      <x:c r="G173" s="11" t="str">
        <x:v>אוכל</x:v>
      </x:c>
      <x:c r="H173" s="11" t="str">
        <x:v>קורפרייט זיו</x:v>
      </x:c>
      <x:c r="I173" s="11" t="str">
        <x:v>מאושר</x:v>
      </x:c>
    </x:row>
    <x:row r="174">
      <x:c r="B174" s="11" t="str">
        <x:v>יפן 25</x:v>
      </x:c>
      <x:c r="C174" s="11" t="n">
        <x:v>172</x:v>
      </x:c>
      <x:c r="D174" s="11" t="str">
        <x:v>12</x:v>
      </x:c>
      <x:c r="E174" s="11" t="str">
        <x:v>גלידה</x:v>
      </x:c>
      <x:c r="F174" s="16" t="n">
        <x:v>21</x:v>
      </x:c>
      <x:c r="G174" s="11" t="str">
        <x:v>אוכל</x:v>
      </x:c>
      <x:c r="H174" s="11" t="str">
        <x:v>קורפרייט זיו</x:v>
      </x:c>
      <x:c r="I174" s="11" t="str">
        <x:v>מאושר</x:v>
      </x:c>
    </x:row>
    <x:row r="175">
      <x:c r="B175" s="11" t="str">
        <x:v>יפן 25</x:v>
      </x:c>
      <x:c r="C175" s="11" t="n">
        <x:v>173</x:v>
      </x:c>
      <x:c r="D175" s="11" t="str">
        <x:v>12</x:v>
      </x:c>
      <x:c r="E175" s="11" t="str">
        <x:v>הגנים בקאנאזאווה</x:v>
      </x:c>
      <x:c r="F175" s="16" t="n">
        <x:v>14</x:v>
      </x:c>
      <x:c r="G175" s="11" t="str">
        <x:v>אטרקציות</x:v>
      </x:c>
      <x:c r="H175" s="11" t="str">
        <x:v>קורפרייט זיו</x:v>
      </x:c>
      <x:c r="I175" s="11" t="str">
        <x:v>מאושר</x:v>
      </x:c>
    </x:row>
    <x:row r="176">
      <x:c r="B176" s="11" t="str">
        <x:v>יפן 25</x:v>
      </x:c>
      <x:c r="C176" s="11" t="n">
        <x:v>174</x:v>
      </x:c>
      <x:c r="D176" s="11" t="str">
        <x:v>12</x:v>
      </x:c>
      <x:c r="E176" s="11" t="str">
        <x:v>קונבי</x:v>
      </x:c>
      <x:c r="F176" s="16" t="n">
        <x:v>83</x:v>
      </x:c>
      <x:c r="G176" s="11" t="str">
        <x:v>אוכל</x:v>
      </x:c>
      <x:c r="H176" s="11" t="str">
        <x:v>קורפרייט זיו</x:v>
      </x:c>
      <x:c r="I176" s="11" t="str">
        <x:v>מאושר</x:v>
      </x:c>
    </x:row>
    <x:row r="177">
      <x:c r="B177" s="11" t="str">
        <x:v>יפן 25</x:v>
      </x:c>
      <x:c r="C177" s="11" t="n">
        <x:v>175</x:v>
      </x:c>
      <x:c r="D177" s="11" t="str">
        <x:v>12</x:v>
      </x:c>
      <x:c r="E177" s="11" t="str">
        <x:v>מים</x:v>
      </x:c>
      <x:c r="F177" s="16" t="n">
        <x:v>3</x:v>
      </x:c>
      <x:c r="G177" s="11" t="str">
        <x:v>אוכל</x:v>
      </x:c>
      <x:c r="H177" s="11" t="str">
        <x:v>קורפרייט זיו</x:v>
      </x:c>
      <x:c r="I177" s="11" t="str">
        <x:v>מאושר</x:v>
      </x:c>
    </x:row>
    <x:row r="178">
      <x:c r="B178" s="11" t="str">
        <x:v>יפן 25</x:v>
      </x:c>
      <x:c r="C178" s="11" t="n">
        <x:v>176</x:v>
      </x:c>
      <x:c r="D178" s="11" t="str">
        <x:v>12</x:v>
      </x:c>
      <x:c r="E178" s="11" t="str">
        <x:v>אוטובוס</x:v>
      </x:c>
      <x:c r="F178" s="16" t="n">
        <x:v>14</x:v>
      </x:c>
      <x:c r="G178" s="11" t="str">
        <x:v>תחבורה</x:v>
      </x:c>
      <x:c r="H178" s="11" t="str">
        <x:v>קורפרייט זיו</x:v>
      </x:c>
      <x:c r="I178" s="11" t="str">
        <x:v>מאושר</x:v>
      </x:c>
    </x:row>
    <x:row r="179">
      <x:c r="B179" s="11" t="str">
        <x:v>יפן 25</x:v>
      </x:c>
      <x:c r="C179" s="11" t="n">
        <x:v>177</x:v>
      </x:c>
      <x:c r="D179" s="11" t="str">
        <x:v>12</x:v>
      </x:c>
      <x:c r="E179" s="11" t="str">
        <x:v>מונית לרכבת</x:v>
      </x:c>
      <x:c r="F179" s="16" t="n">
        <x:v>48</x:v>
      </x:c>
      <x:c r="G179" s="11" t="str">
        <x:v>תחבורה</x:v>
      </x:c>
      <x:c r="H179" s="11" t="str">
        <x:v>קורפרייט זיו</x:v>
      </x:c>
      <x:c r="I179" s="11" t="str">
        <x:v>מאושר</x:v>
      </x:c>
    </x:row>
    <x:row r="180">
      <x:c r="B180" s="11" t="str">
        <x:v>יפן 25</x:v>
      </x:c>
      <x:c r="C180" s="11" t="n">
        <x:v>178</x:v>
      </x:c>
      <x:c r="D180" s="11" t="str">
        <x:v>12</x:v>
      </x:c>
      <x:c r="E180" s="11" t="str">
        <x:v>רכבת</x:v>
      </x:c>
      <x:c r="F180" s="16" t="n">
        <x:v>345</x:v>
      </x:c>
      <x:c r="G180" s="11" t="str">
        <x:v>תחבורה</x:v>
      </x:c>
      <x:c r="H180" s="11" t="str">
        <x:v>קורפרייט זיו</x:v>
      </x:c>
      <x:c r="I180" s="11" t="str">
        <x:v>מאושר</x:v>
      </x:c>
    </x:row>
    <x:row r="181">
      <x:c r="B181" s="11" t="str">
        <x:v>יפן 25</x:v>
      </x:c>
      <x:c r="C181" s="11" t="n">
        <x:v>179</x:v>
      </x:c>
      <x:c r="D181" s="11" t="str">
        <x:v>13</x:v>
      </x:c>
      <x:c r="E181" s="11" t="str">
        <x:v>אוכל</x:v>
      </x:c>
      <x:c r="F181" s="16" t="n">
        <x:v>70</x:v>
      </x:c>
      <x:c r="G181" s="11" t="str">
        <x:v>אוכל</x:v>
      </x:c>
      <x:c r="H181" s="11" t="str">
        <x:v>קורפרייט זיו</x:v>
      </x:c>
      <x:c r="I181" s="11" t="str">
        <x:v>מאושר</x:v>
      </x:c>
    </x:row>
    <x:row r="182">
      <x:c r="B182" s="11" t="str">
        <x:v>יפן 25</x:v>
      </x:c>
      <x:c r="C182" s="11" t="n">
        <x:v>180</x:v>
      </x:c>
      <x:c r="D182" s="11" t="str">
        <x:v>13</x:v>
      </x:c>
      <x:c r="E182" s="11" t="str">
        <x:v>קיט קאט</x:v>
      </x:c>
      <x:c r="F182" s="16" t="n">
        <x:v>28</x:v>
      </x:c>
      <x:c r="G182" s="11" t="str">
        <x:v>מזכרות</x:v>
      </x:c>
      <x:c r="H182" s="11" t="str">
        <x:v>קורפרייט זיו</x:v>
      </x:c>
      <x:c r="I182" s="11" t="str">
        <x:v>מאושר</x:v>
      </x:c>
    </x:row>
    <x:row r="183">
      <x:c r="B183" s="11" t="str">
        <x:v>יפן 25</x:v>
      </x:c>
      <x:c r="C183" s="11" t="n">
        <x:v>181</x:v>
      </x:c>
      <x:c r="D183" s="11" t="str">
        <x:v>13</x:v>
      </x:c>
      <x:c r="E183" s="11" t="str">
        <x:v>קונבי</x:v>
      </x:c>
      <x:c r="F183" s="16" t="n">
        <x:v>11</x:v>
      </x:c>
      <x:c r="G183" s="11" t="str">
        <x:v>אוכל</x:v>
      </x:c>
      <x:c r="H183" s="11" t="str">
        <x:v>קורפרייט זיו</x:v>
      </x:c>
      <x:c r="I183" s="11" t="str">
        <x:v>מאושר</x:v>
      </x:c>
    </x:row>
    <x:row r="184">
      <x:c r="B184" s="11" t="str">
        <x:v>יפן 25</x:v>
      </x:c>
      <x:c r="C184" s="11" t="n">
        <x:v>182</x:v>
      </x:c>
      <x:c r="D184" s="11" t="str">
        <x:v>14</x:v>
      </x:c>
      <x:c r="E184" s="11" t="str">
        <x:v>גיוזות</x:v>
      </x:c>
      <x:c r="F184" s="16" t="n">
        <x:v>90</x:v>
      </x:c>
      <x:c r="G184" s="11" t="str">
        <x:v>אוכל</x:v>
      </x:c>
      <x:c r="H184" s="11" t="str">
        <x:v>קורפרייט זיו</x:v>
      </x:c>
      <x:c r="I184" s="11" t="str">
        <x:v>מאושר</x:v>
      </x:c>
    </x:row>
    <x:row r="185">
      <x:c r="B185" s="11" t="str">
        <x:v>יפן 25</x:v>
      </x:c>
      <x:c r="C185" s="11" t="n">
        <x:v>183</x:v>
      </x:c>
      <x:c r="D185" s="11" t="str">
        <x:v>14</x:v>
      </x:c>
      <x:c r="E185" s="11" t="str">
        <x:v>בראנץ</x:v>
      </x:c>
      <x:c r="F185" s="16" t="n">
        <x:v>68</x:v>
      </x:c>
      <x:c r="G185" s="11" t="str">
        <x:v>אוכל</x:v>
      </x:c>
      <x:c r="H185" s="11" t="str">
        <x:v>קורפרייט זיו</x:v>
      </x:c>
      <x:c r="I185" s="11" t="str">
        <x:v>מאושר</x:v>
      </x:c>
    </x:row>
    <x:row r="186">
      <x:c r="B186" s="11" t="str">
        <x:v>יפן 25</x:v>
      </x:c>
      <x:c r="C186" s="11" t="n">
        <x:v>184</x:v>
      </x:c>
      <x:c r="D186" s="11" t="str">
        <x:v>14</x:v>
      </x:c>
      <x:c r="E186" s="11" t="str">
        <x:v>קפה</x:v>
      </x:c>
      <x:c r="F186" s="16" t="n">
        <x:v>13</x:v>
      </x:c>
      <x:c r="G186" s="11" t="str">
        <x:v>אוכל</x:v>
      </x:c>
      <x:c r="H186" s="11" t="str">
        <x:v>קורפרייט זיו</x:v>
      </x:c>
      <x:c r="I186" s="11" t="str">
        <x:v>מאושר</x:v>
      </x:c>
    </x:row>
    <x:row r="187">
      <x:c r="B187" s="11" t="str">
        <x:v>יפן 25</x:v>
      </x:c>
      <x:c r="C187" s="11" t="n">
        <x:v>185</x:v>
      </x:c>
      <x:c r="D187" s="11" t="str">
        <x:v>14</x:v>
      </x:c>
      <x:c r="E187" s="11" t="str">
        <x:v>צופסטיקס</x:v>
      </x:c>
      <x:c r="F187" s="16" t="n">
        <x:v>14</x:v>
      </x:c>
      <x:c r="G187" s="11" t="str">
        <x:v>מזכרות</x:v>
      </x:c>
      <x:c r="H187" s="11" t="str">
        <x:v>קורפרייט זיו</x:v>
      </x:c>
      <x:c r="I187" s="11" t="str">
        <x:v>מאושר</x:v>
      </x:c>
    </x:row>
    <x:row r="188">
      <x:c r="B188" s="11" t="str">
        <x:v>יפן 25</x:v>
      </x:c>
      <x:c r="C188" s="11" t="n">
        <x:v>186</x:v>
      </x:c>
      <x:c r="D188" s="11" t="str">
        <x:v>14</x:v>
      </x:c>
      <x:c r="E188" s="11" t="str">
        <x:v>מס מלון טאקיאמה</x:v>
      </x:c>
      <x:c r="F188" s="16" t="n">
        <x:v>4</x:v>
      </x:c>
      <x:c r="G188" s="11" t="str">
        <x:v>לינה</x:v>
      </x:c>
      <x:c r="H188" s="11" t="str">
        <x:v>קורפרייט זיו</x:v>
      </x:c>
      <x:c r="I188" s="11" t="str">
        <x:v>מאושר</x:v>
      </x:c>
    </x:row>
    <x:row r="189">
      <x:c r="B189" s="11" t="str">
        <x:v>יפן 25</x:v>
      </x:c>
      <x:c r="C189" s="11" t="n">
        <x:v>187</x:v>
      </x:c>
      <x:c r="D189" s="11" t="str">
        <x:v>14</x:v>
      </x:c>
      <x:c r="E189" s="11" t="str">
        <x:v>חניה</x:v>
      </x:c>
      <x:c r="F189" s="16" t="n">
        <x:v>22</x:v>
      </x:c>
      <x:c r="G189" s="11" t="str">
        <x:v>תחבורה</x:v>
      </x:c>
      <x:c r="H189" s="11" t="str">
        <x:v>קורפרייט זיו</x:v>
      </x:c>
      <x:c r="I189" s="11" t="str">
        <x:v>מאושר</x:v>
      </x:c>
    </x:row>
    <x:row r="190">
      <x:c r="B190" s="11" t="str">
        <x:v>יפן 25</x:v>
      </x:c>
      <x:c r="C190" s="11" t="n">
        <x:v>188</x:v>
      </x:c>
      <x:c r="D190" s="11" t="str">
        <x:v>15</x:v>
      </x:c>
      <x:c r="E190" s="11" t="str">
        <x:v>מוזאון פתוח</x:v>
      </x:c>
      <x:c r="F190" s="16" t="n">
        <x:v>31</x:v>
      </x:c>
      <x:c r="G190" s="11" t="str">
        <x:v>אטרקציות</x:v>
      </x:c>
      <x:c r="H190" s="11" t="str">
        <x:v>קורפרייט זיו</x:v>
      </x:c>
      <x:c r="I190" s="11" t="str">
        <x:v>מאושר</x:v>
      </x:c>
    </x:row>
    <x:row r="191">
      <x:c r="B191" s="11" t="str">
        <x:v>יפן 25</x:v>
      </x:c>
      <x:c r="C191" s="11" t="n">
        <x:v>189</x:v>
      </x:c>
      <x:c r="D191" s="11" t="str">
        <x:v>15</x:v>
      </x:c>
      <x:c r="E191" s="11" t="str">
        <x:v>חניה</x:v>
      </x:c>
      <x:c r="F191" s="16" t="n">
        <x:v>7</x:v>
      </x:c>
      <x:c r="G191" s="11" t="str">
        <x:v>תחבורה</x:v>
      </x:c>
      <x:c r="H191" s="11" t="str">
        <x:v>קורפרייט זיו</x:v>
      </x:c>
      <x:c r="I191" s="11" t="str">
        <x:v>מאושר</x:v>
      </x:c>
    </x:row>
    <x:row r="192">
      <x:c r="B192" s="11" t="str">
        <x:v>יפן 25</x:v>
      </x:c>
      <x:c r="C192" s="11" t="n">
        <x:v>190</x:v>
      </x:c>
      <x:c r="D192" s="11" t="str">
        <x:v>15</x:v>
      </x:c>
      <x:c r="E192" s="11" t="str">
        <x:v>פיצה</x:v>
      </x:c>
      <x:c r="F192" s="16" t="n">
        <x:v>143</x:v>
      </x:c>
      <x:c r="G192" s="11" t="str">
        <x:v>אוכל</x:v>
      </x:c>
      <x:c r="H192" s="11" t="str">
        <x:v>קורפרייט זיו</x:v>
      </x:c>
      <x:c r="I192" s="11" t="str">
        <x:v>מאושר</x:v>
      </x:c>
    </x:row>
    <x:row r="193">
      <x:c r="B193" s="11" t="str">
        <x:v>יפן 25</x:v>
      </x:c>
      <x:c r="C193" s="11" t="n">
        <x:v>191</x:v>
      </x:c>
      <x:c r="D193" s="11" t="str">
        <x:v>15</x:v>
      </x:c>
      <x:c r="E193" s="11" t="str">
        <x:v>קפה</x:v>
      </x:c>
      <x:c r="F193" s="16" t="n">
        <x:v>12</x:v>
      </x:c>
      <x:c r="G193" s="11" t="str">
        <x:v>אוכל</x:v>
      </x:c>
      <x:c r="H193" s="11" t="str">
        <x:v>קורפרייט זיו</x:v>
      </x:c>
      <x:c r="I193" s="11" t="str">
        <x:v>מאושר</x:v>
      </x:c>
    </x:row>
    <x:row r="194">
      <x:c r="B194" s="11" t="str">
        <x:v>יפן 25</x:v>
      </x:c>
      <x:c r="C194" s="11" t="n">
        <x:v>192</x:v>
      </x:c>
      <x:c r="D194" s="11" t="str">
        <x:v>15</x:v>
      </x:c>
      <x:c r="E194" s="11" t="str">
        <x:v>מס מלון אונסון</x:v>
      </x:c>
      <x:c r="F194" s="16" t="n">
        <x:v>31</x:v>
      </x:c>
      <x:c r="G194" s="11" t="str">
        <x:v>לינה</x:v>
      </x:c>
      <x:c r="H194" s="11" t="str">
        <x:v>קורפרייט זיו</x:v>
      </x:c>
      <x:c r="I194" s="11" t="str">
        <x:v>מאושר</x:v>
      </x:c>
    </x:row>
    <x:row r="195">
      <x:c r="B195" s="11" t="str">
        <x:v>יפן 25</x:v>
      </x:c>
      <x:c r="C195" s="11" t="n">
        <x:v>193</x:v>
      </x:c>
      <x:c r="D195" s="11" t="str">
        <x:v>15</x:v>
      </x:c>
      <x:c r="E195" s="11" t="str">
        <x:v>עגילים</x:v>
      </x:c>
      <x:c r="F195" s="16" t="n">
        <x:v>95</x:v>
      </x:c>
      <x:c r="G195" s="11" t="str">
        <x:v>מזכרות</x:v>
      </x:c>
      <x:c r="H195" s="11" t="str">
        <x:v>קורפרייט זיו</x:v>
      </x:c>
      <x:c r="I195" s="11" t="str">
        <x:v>מאושר</x:v>
      </x:c>
    </x:row>
    <x:row r="196">
      <x:c r="B196" s="11" t="str">
        <x:v>יפן 25</x:v>
      </x:c>
      <x:c r="C196" s="11" t="n">
        <x:v>194</x:v>
      </x:c>
      <x:c r="D196" s="11" t="str">
        <x:v>15</x:v>
      </x:c>
      <x:c r="E196" s="11" t="str">
        <x:v>חניה</x:v>
      </x:c>
      <x:c r="F196" s="16" t="n">
        <x:v>44</x:v>
      </x:c>
      <x:c r="G196" s="11" t="str">
        <x:v>תחבורה</x:v>
      </x:c>
      <x:c r="H196" s="11" t="str">
        <x:v>קורפרייט זיו</x:v>
      </x:c>
      <x:c r="I196" s="11" t="str">
        <x:v>מאושר</x:v>
      </x:c>
    </x:row>
    <x:row r="197">
      <x:c r="B197" s="11" t="str">
        <x:v>יפן 25</x:v>
      </x:c>
      <x:c r="C197" s="11" t="n">
        <x:v>195</x:v>
      </x:c>
      <x:c r="D197" s="11" t="str">
        <x:v>15</x:v>
      </x:c>
      <x:c r="E197" s="11" t="str">
        <x:v>קונבי</x:v>
      </x:c>
      <x:c r="F197" s="16" t="n">
        <x:v>36</x:v>
      </x:c>
      <x:c r="G197" s="11" t="str">
        <x:v>אוכל</x:v>
      </x:c>
      <x:c r="H197" s="11" t="str">
        <x:v>קורפרייט זיו</x:v>
      </x:c>
      <x:c r="I197" s="11" t="str">
        <x:v>מאושר</x:v>
      </x:c>
    </x:row>
    <x:row r="198">
      <x:c r="B198" s="11" t="str">
        <x:v>יפן 25</x:v>
      </x:c>
      <x:c r="C198" s="11" t="n">
        <x:v>196</x:v>
      </x:c>
      <x:c r="D198" s="11" t="str">
        <x:v>16</x:v>
      </x:c>
      <x:c r="E198" s="11" t="str">
        <x:v>ראמן</x:v>
      </x:c>
      <x:c r="F198" s="16" t="n">
        <x:v>75</x:v>
      </x:c>
      <x:c r="G198" s="11" t="str">
        <x:v>אוכל</x:v>
      </x:c>
      <x:c r="H198" s="11" t="str">
        <x:v>קורפרייט זיו</x:v>
      </x:c>
      <x:c r="I198" s="11" t="str">
        <x:v>מאושר</x:v>
      </x:c>
    </x:row>
    <x:row r="199">
      <x:c r="B199" s="11" t="str">
        <x:v>יפן 25</x:v>
      </x:c>
      <x:c r="C199" s="11" t="n">
        <x:v>197</x:v>
      </x:c>
      <x:c r="D199" s="11" t="str">
        <x:v>16</x:v>
      </x:c>
      <x:c r="E199" s="11" t="str">
        <x:v>צופסטיקס</x:v>
      </x:c>
      <x:c r="F199" s="16" t="n">
        <x:v>39</x:v>
      </x:c>
      <x:c r="G199" s="11" t="str">
        <x:v>מזכרות</x:v>
      </x:c>
      <x:c r="H199" s="11" t="str">
        <x:v>קורפרייט זיו</x:v>
      </x:c>
      <x:c r="I199" s="11" t="str">
        <x:v>מאושר</x:v>
      </x:c>
    </x:row>
    <x:row r="200">
      <x:c r="B200" s="11" t="str">
        <x:v>יפן 25</x:v>
      </x:c>
      <x:c r="C200" s="11" t="n">
        <x:v>198</x:v>
      </x:c>
      <x:c r="D200" s="11" t="str">
        <x:v>16</x:v>
      </x:c>
      <x:c r="E200" s="11" t="str">
        <x:v>אוטובוס קמיקוצי</x:v>
      </x:c>
      <x:c r="F200" s="16" t="n">
        <x:v>124</x:v>
      </x:c>
      <x:c r="G200" s="11" t="str">
        <x:v>תחבורה</x:v>
      </x:c>
      <x:c r="H200" s="11" t="str">
        <x:v>קורפרייט זיו</x:v>
      </x:c>
      <x:c r="I200" s="11" t="str">
        <x:v>מאושר</x:v>
      </x:c>
    </x:row>
    <x:row r="201">
      <x:c r="B201" s="11" t="str">
        <x:v>יפן 25</x:v>
      </x:c>
      <x:c r="C201" s="11" t="n">
        <x:v>199</x:v>
      </x:c>
      <x:c r="D201" s="11" t="str">
        <x:v>17</x:v>
      </x:c>
      <x:c r="E201" s="11" t="str">
        <x:v>סושי</x:v>
      </x:c>
      <x:c r="F201" s="16" t="n">
        <x:v>62</x:v>
      </x:c>
      <x:c r="G201" s="11" t="str">
        <x:v>אוכל</x:v>
      </x:c>
      <x:c r="H201" s="11" t="str">
        <x:v>קורפרייט זיו</x:v>
      </x:c>
      <x:c r="I201" s="11" t="str">
        <x:v>מאושר</x:v>
      </x:c>
    </x:row>
    <x:row r="202">
      <x:c r="B202" s="11" t="str">
        <x:v>יפן 25</x:v>
      </x:c>
      <x:c r="C202" s="11" t="n">
        <x:v>200</x:v>
      </x:c>
      <x:c r="D202" s="11" t="str">
        <x:v>17</x:v>
      </x:c>
      <x:c r="E202" s="11" t="str">
        <x:v>דלק</x:v>
      </x:c>
      <x:c r="F202" s="16" t="n">
        <x:v>85</x:v>
      </x:c>
      <x:c r="G202" s="11" t="str">
        <x:v>תחבורה</x:v>
      </x:c>
      <x:c r="H202" s="11" t="str">
        <x:v>קורפרייט זיו</x:v>
      </x:c>
      <x:c r="I202" s="11" t="str">
        <x:v>מאושר</x:v>
      </x:c>
    </x:row>
    <x:row r="203">
      <x:c r="B203" s="11" t="str">
        <x:v>יפן 25</x:v>
      </x:c>
      <x:c r="C203" s="11" t="n">
        <x:v>201</x:v>
      </x:c>
      <x:c r="D203" s="11" t="str">
        <x:v>17</x:v>
      </x:c>
      <x:c r="E203" s="11" t="str">
        <x:v>חניה קמיקוצי</x:v>
      </x:c>
      <x:c r="F203" s="16" t="n">
        <x:v>13</x:v>
      </x:c>
      <x:c r="G203" s="11" t="str">
        <x:v>תחבורה</x:v>
      </x:c>
      <x:c r="H203" s="11" t="str">
        <x:v>קורפרייט זיו</x:v>
      </x:c>
      <x:c r="I203" s="11" t="str">
        <x:v>מאושר</x:v>
      </x:c>
    </x:row>
    <x:row r="204">
      <x:c r="B204" s="11" t="str">
        <x:v>יפן 25</x:v>
      </x:c>
      <x:c r="C204" s="11" t="n">
        <x:v>202</x:v>
      </x:c>
      <x:c r="D204" s="11" t="str">
        <x:v>17</x:v>
      </x:c>
      <x:c r="E204" s="11" t="str">
        <x:v>קונבי</x:v>
      </x:c>
      <x:c r="F204" s="16" t="n">
        <x:v>68</x:v>
      </x:c>
      <x:c r="G204" s="11" t="str">
        <x:v>אוכל</x:v>
      </x:c>
      <x:c r="H204" s="11" t="str">
        <x:v>קורפרייט זיו</x:v>
      </x:c>
      <x:c r="I204" s="11" t="str">
        <x:v>מאושר</x:v>
      </x:c>
    </x:row>
    <x:row r="205">
      <x:c r="B205" s="11" t="str">
        <x:v>יפן 25</x:v>
      </x:c>
      <x:c r="C205" s="11" t="n">
        <x:v>203</x:v>
      </x:c>
      <x:c r="D205" s="11" t="str">
        <x:v>17</x:v>
      </x:c>
      <x:c r="E205" s="11" t="str">
        <x:v>אוכל מלון אונסונים</x:v>
      </x:c>
      <x:c r="F205" s="16" t="n">
        <x:v>154</x:v>
      </x:c>
      <x:c r="G205" s="11" t="str">
        <x:v>אוכל</x:v>
      </x:c>
      <x:c r="H205" s="11" t="str">
        <x:v>קורפרייט זיו</x:v>
      </x:c>
      <x:c r="I205" s="11" t="str">
        <x:v>מאושר</x:v>
      </x:c>
    </x:row>
    <x:row r="206">
      <x:c r="B206" s="11" t="str">
        <x:v>יפן 25</x:v>
      </x:c>
      <x:c r="C206" s="11" t="n">
        <x:v>204</x:v>
      </x:c>
      <x:c r="D206" s="11" t="str">
        <x:v>17</x:v>
      </x:c>
      <x:c r="E206" s="11" t="str">
        <x:v>רכבת לטוקיו</x:v>
      </x:c>
      <x:c r="F206" s="16" t="n">
        <x:v>289</x:v>
      </x:c>
      <x:c r="G206" s="11" t="str">
        <x:v>תחבורה</x:v>
      </x:c>
      <x:c r="H206" s="11" t="str">
        <x:v>קורפרייט זיו</x:v>
      </x:c>
      <x:c r="I206" s="11" t="str">
        <x:v>מאושר</x:v>
      </x:c>
    </x:row>
    <x:row r="207">
      <x:c r="B207" s="11" t="str">
        <x:v>יפן 25</x:v>
      </x:c>
      <x:c r="C207" s="11" t="n">
        <x:v>205</x:v>
      </x:c>
      <x:c r="D207" s="11" t="str">
        <x:v>18</x:v>
      </x:c>
      <x:c r="E207" s="11" t="str">
        <x:v>המבורגר</x:v>
      </x:c>
      <x:c r="F207" s="16" t="n">
        <x:v>92</x:v>
      </x:c>
      <x:c r="G207" s="11" t="str">
        <x:v>אוכל</x:v>
      </x:c>
      <x:c r="H207" s="11" t="str">
        <x:v>קורפרייט זיו</x:v>
      </x:c>
      <x:c r="I207" s="11" t="str">
        <x:v>מאושר</x:v>
      </x:c>
    </x:row>
    <x:row r="208">
      <x:c r="B208" s="11" t="str">
        <x:v>יפן 25</x:v>
      </x:c>
      <x:c r="C208" s="11" t="n">
        <x:v>206</x:v>
      </x:c>
      <x:c r="D208" s="11" t="str">
        <x:v>18</x:v>
      </x:c>
      <x:c r="E208" s="11" t="str">
        <x:v>יונתן</x:v>
      </x:c>
      <x:c r="F208" s="16" t="n">
        <x:v>19</x:v>
      </x:c>
      <x:c r="G208" s="11" t="str">
        <x:v>מזכרות</x:v>
      </x:c>
      <x:c r="H208" s="11" t="str">
        <x:v>קורפרייט זיו</x:v>
      </x:c>
      <x:c r="I208" s="11" t="str">
        <x:v>מאושר</x:v>
      </x:c>
    </x:row>
    <x:row r="209">
      <x:c r="B209" s="11" t="str">
        <x:v>יפן 25</x:v>
      </x:c>
      <x:c r="C209" s="11" t="n">
        <x:v>207</x:v>
      </x:c>
      <x:c r="D209" s="11" t="str">
        <x:v>18</x:v>
      </x:c>
      <x:c r="E209" s="11" t="str">
        <x:v>דונט</x:v>
      </x:c>
      <x:c r="F209" s="16" t="n">
        <x:v>10</x:v>
      </x:c>
      <x:c r="G209" s="11" t="str">
        <x:v>אוכל</x:v>
      </x:c>
      <x:c r="H209" s="11" t="str">
        <x:v>קורפרייט זיו</x:v>
      </x:c>
      <x:c r="I209" s="11" t="str">
        <x:v>מאושר</x:v>
      </x:c>
    </x:row>
    <x:row r="210">
      <x:c r="B210" s="11" t="str">
        <x:v>יפן 25</x:v>
      </x:c>
      <x:c r="C210" s="11" t="n">
        <x:v>208</x:v>
      </x:c>
      <x:c r="D210" s="11" t="str">
        <x:v>18</x:v>
      </x:c>
      <x:c r="E210" s="11" t="str">
        <x:v>קונבי</x:v>
      </x:c>
      <x:c r="F210" s="16" t="n">
        <x:v>34</x:v>
      </x:c>
      <x:c r="G210" s="11" t="str">
        <x:v>אוכל</x:v>
      </x:c>
      <x:c r="H210" s="11" t="str">
        <x:v>קורפרייט זיו</x:v>
      </x:c>
      <x:c r="I210" s="11" t="str">
        <x:v>מאושר</x:v>
      </x:c>
    </x:row>
    <x:row r="211">
      <x:c r="B211" s="11" t="str">
        <x:v>יפן 25</x:v>
      </x:c>
      <x:c r="C211" s="11" t="n">
        <x:v>209</x:v>
      </x:c>
      <x:c r="D211" s="11" t="str">
        <x:v>18</x:v>
      </x:c>
      <x:c r="E211" s="11" t="str">
        <x:v>גן שינג'וקו</x:v>
      </x:c>
      <x:c r="F211" s="16" t="n">
        <x:v>22</x:v>
      </x:c>
      <x:c r="G211" s="11" t="str">
        <x:v>אוכל</x:v>
      </x:c>
      <x:c r="H211" s="11" t="str">
        <x:v>קורפרייט זיו</x:v>
      </x:c>
      <x:c r="I211" s="11" t="str">
        <x:v>מאושר</x:v>
      </x:c>
    </x:row>
    <x:row r="212">
      <x:c r="B212" s="11" t="str">
        <x:v>יפן 25</x:v>
      </x:c>
      <x:c r="C212" s="11" t="n">
        <x:v>210</x:v>
      </x:c>
      <x:c r="D212" s="11" t="str">
        <x:v>19</x:v>
      </x:c>
      <x:c r="E212" s="11" t="str">
        <x:v>קונבי</x:v>
      </x:c>
      <x:c r="F212" s="16" t="n">
        <x:v>17</x:v>
      </x:c>
      <x:c r="G212" s="11" t="str">
        <x:v>אוכל</x:v>
      </x:c>
      <x:c r="H212" s="11" t="str">
        <x:v>קורפרייט זיו</x:v>
      </x:c>
      <x:c r="I212" s="11" t="str">
        <x:v>מאושר</x:v>
      </x:c>
    </x:row>
    <x:row r="213">
      <x:c r="B213" s="11" t="str">
        <x:v>יפן 25</x:v>
      </x:c>
      <x:c r="C213" s="11" t="n">
        <x:v>211</x:v>
      </x:c>
      <x:c r="D213" s="11" t="str">
        <x:v>19</x:v>
      </x:c>
      <x:c r="E213" s="11" t="str">
        <x:v>דונט</x:v>
      </x:c>
      <x:c r="F213" s="16" t="n">
        <x:v>4</x:v>
      </x:c>
      <x:c r="G213" s="11" t="str">
        <x:v>אוכל</x:v>
      </x:c>
      <x:c r="H213" s="11" t="str">
        <x:v>קורפרייט זיו</x:v>
      </x:c>
      <x:c r="I213" s="11" t="str">
        <x:v>מאושר</x:v>
      </x:c>
    </x:row>
    <x:row r="214">
      <x:c r="B214" s="11" t="str">
        <x:v>יפן 25</x:v>
      </x:c>
      <x:c r="C214" s="11" t="n">
        <x:v>212</x:v>
      </x:c>
      <x:c r="D214" s="11" t="str">
        <x:v>19</x:v>
      </x:c>
      <x:c r="E214" s="11" t="str">
        <x:v>שוקו</x:v>
      </x:c>
      <x:c r="F214" s="16" t="n">
        <x:v>41</x:v>
      </x:c>
      <x:c r="G214" s="11" t="str">
        <x:v>אוכל</x:v>
      </x:c>
      <x:c r="H214" s="11" t="str">
        <x:v>קורפרייט זיו</x:v>
      </x:c>
      <x:c r="I214" s="11" t="str">
        <x:v>מאושר</x:v>
      </x:c>
    </x:row>
    <x:row r="215">
      <x:c r="B215" s="11" t="str">
        <x:v>יפן 25</x:v>
      </x:c>
      <x:c r="C215" s="11" t="n">
        <x:v>213</x:v>
      </x:c>
      <x:c r="D215" s="11" t="str">
        <x:v>19</x:v>
      </x:c>
      <x:c r="E215" s="11" t="str">
        <x:v>ראמן</x:v>
      </x:c>
      <x:c r="F215" s="16" t="n">
        <x:v>58</x:v>
      </x:c>
      <x:c r="G215" s="11" t="str">
        <x:v>אוכל</x:v>
      </x:c>
      <x:c r="H215" s="11" t="str">
        <x:v>קורפרייט זיו</x:v>
      </x:c>
      <x:c r="I215" s="11" t="str">
        <x:v>מאושר</x:v>
      </x:c>
    </x:row>
    <x:row r="216">
      <x:c r="B216" s="11" t="str">
        <x:v>יפן 25</x:v>
      </x:c>
      <x:c r="C216" s="11" t="n">
        <x:v>214</x:v>
      </x:c>
      <x:c r="D216" s="11" t="str">
        <x:v>19</x:v>
      </x:c>
      <x:c r="E216" s="11" t="str">
        <x:v>קונבי</x:v>
      </x:c>
      <x:c r="F216" s="16" t="n">
        <x:v>40</x:v>
      </x:c>
      <x:c r="G216" s="11" t="str">
        <x:v>אוכל</x:v>
      </x:c>
      <x:c r="H216" s="11" t="str">
        <x:v>קורפרייט זיו</x:v>
      </x:c>
      <x:c r="I216" s="11" t="str">
        <x:v>מאושר</x:v>
      </x:c>
    </x:row>
    <x:row r="217">
      <x:c r="B217" s="11" t="str">
        <x:v>יפן 25</x:v>
      </x:c>
      <x:c r="C217" s="11" t="n">
        <x:v>215</x:v>
      </x:c>
      <x:c r="D217" s="11" t="str">
        <x:v>19</x:v>
      </x:c>
      <x:c r="E217" s="11" t="str">
        <x:v>פנקיק</x:v>
      </x:c>
      <x:c r="F217" s="16" t="n">
        <x:v>34</x:v>
      </x:c>
      <x:c r="G217" s="11" t="str">
        <x:v>אוכל</x:v>
      </x:c>
      <x:c r="H217" s="11" t="str">
        <x:v>קורפרייט זיו</x:v>
      </x:c>
      <x:c r="I217" s="11" t="str">
        <x:v>מאושר</x:v>
      </x:c>
    </x:row>
    <x:row r="218">
      <x:c r="B218" s="11" t="str">
        <x:v>יפן 25</x:v>
      </x:c>
      <x:c r="C218" s="11" t="n">
        <x:v>216</x:v>
      </x:c>
      <x:c r="D218" s="11" t="str">
        <x:v>19</x:v>
      </x:c>
      <x:c r="E218" s="11" t="str">
        <x:v>מים</x:v>
      </x:c>
      <x:c r="F218" s="16" t="n">
        <x:v>3</x:v>
      </x:c>
      <x:c r="G218" s="11" t="str">
        <x:v>אוכל</x:v>
      </x:c>
      <x:c r="H218" s="11" t="str">
        <x:v>קורפרייט זיו</x:v>
      </x:c>
      <x:c r="I218" s="11" t="str">
        <x:v>מאושר</x:v>
      </x:c>
    </x:row>
    <x:row r="219">
      <x:c r="B219" s="11" t="str">
        <x:v>יפן 25</x:v>
      </x:c>
      <x:c r="C219" s="11" t="n">
        <x:v>217</x:v>
      </x:c>
      <x:c r="D219" s="11" t="str">
        <x:v>19</x:v>
      </x:c>
      <x:c r="E219" s="11" t="str">
        <x:v>רכבת לניקו</x:v>
      </x:c>
      <x:c r="F219" s="16" t="n">
        <x:v>177</x:v>
      </x:c>
      <x:c r="G219" s="11" t="str">
        <x:v>תחבורה</x:v>
      </x:c>
      <x:c r="H219" s="11" t="str">
        <x:v>קורפרייט זיו</x:v>
      </x:c>
      <x:c r="I219" s="11" t="str">
        <x:v>מאושר</x:v>
      </x:c>
    </x:row>
    <x:row r="220">
      <x:c r="B220" s="11" t="str">
        <x:v>יפן 25</x:v>
      </x:c>
      <x:c r="C220" s="11" t="n">
        <x:v>218</x:v>
      </x:c>
      <x:c r="D220" s="11" t="str">
        <x:v>19</x:v>
      </x:c>
      <x:c r="E220" s="11" t="str">
        <x:v>סושי</x:v>
      </x:c>
      <x:c r="F220" s="16" t="n">
        <x:v>50</x:v>
      </x:c>
      <x:c r="G220" s="11" t="str">
        <x:v>אוכל</x:v>
      </x:c>
      <x:c r="H220" s="11" t="str">
        <x:v>קורפרייט זיו</x:v>
      </x:c>
      <x:c r="I220" s="11" t="str">
        <x:v>מאושר</x:v>
      </x:c>
    </x:row>
    <x:row r="221">
      <x:c r="B221" s="11" t="str">
        <x:v>יפן 25</x:v>
      </x:c>
      <x:c r="C221" s="11" t="n">
        <x:v>219</x:v>
      </x:c>
      <x:c r="D221" s="11" t="str">
        <x:v>20</x:v>
      </x:c>
      <x:c r="E221" s="11" t="str">
        <x:v>הזמנת מקום לטונה</x:v>
      </x:c>
      <x:c r="F221" s="16" t="n">
        <x:v>35</x:v>
      </x:c>
      <x:c r="G221" s="11" t="str">
        <x:v>אוכל</x:v>
      </x:c>
      <x:c r="H221" s="11" t="str">
        <x:v>קורפרייט זיו</x:v>
      </x:c>
      <x:c r="I221" s="11" t="str">
        <x:v>מאושר</x:v>
      </x:c>
    </x:row>
    <x:row r="222">
      <x:c r="B222" s="11" t="str">
        <x:v>יקב אסף 26</x:v>
      </x:c>
      <x:c r="C222" s="11" t="n">
        <x:v>2</x:v>
      </x:c>
      <x:c r="D222" s="11" t="str">
        <x:v>20.05</x:v>
      </x:c>
      <x:c r="E222" s="11" t="str">
        <x:v>חוות נעמי - ת"א-צמרת</x:v>
      </x:c>
      <x:c r="F222" s="16" t="n">
        <x:v>100</x:v>
      </x:c>
      <x:c r="G222" s="11" t="str">
        <x:v>אוכל</x:v>
      </x:c>
      <x:c r="H222" s="11" t="str">
        <x:v>אמקס - זיו</x:v>
      </x:c>
      <x:c r="I222" s="11" t="str">
        <x:v>מאושר</x:v>
      </x:c>
    </x:row>
    <x:row r="223">
      <x:c r="B223" s="11" t="str">
        <x:v>יקב אסף 26</x:v>
      </x:c>
      <x:c r="C223" s="11" t="n">
        <x:v>3</x:v>
      </x:c>
      <x:c r="D223" s="11" t="str">
        <x:v>23.05</x:v>
      </x:c>
      <x:c r="E223" s="11" t="str">
        <x:v>דלק</x:v>
      </x:c>
      <x:c r="F223" s="16" t="n">
        <x:v>275</x:v>
      </x:c>
      <x:c r="G223" s="11" t="str">
        <x:v>תחבורה</x:v>
      </x:c>
      <x:c r="H223" s="11" t="str">
        <x:v>אמקס - זיו</x:v>
      </x:c>
      <x:c r="I223" s="11" t="str">
        <x:v>מאושר</x:v>
      </x:c>
    </x:row>
    <x:row r="224">
      <x:c r="B224" s="11" t="str">
        <x:v>יקב אסף 26</x:v>
      </x:c>
      <x:c r="C224" s="11" t="n">
        <x:v>4</x:v>
      </x:c>
      <x:c r="D224" s="11" t="str">
        <x:v>23/5</x:v>
      </x:c>
      <x:c r="E224" s="11" t="str">
        <x:v>גחנון</x:v>
      </x:c>
      <x:c r="F224" s="16" t="n">
        <x:v>25</x:v>
      </x:c>
      <x:c r="G224" s="11" t="str">
        <x:v>אוכל</x:v>
      </x:c>
      <x:c r="H224" s="11" t="str">
        <x:v>one zero - זיו</x:v>
      </x:c>
      <x:c r="I224" s="11" t="str">
        <x:v>מאושר</x:v>
      </x:c>
    </x:row>
    <x:row r="225">
      <x:c r="B225" s="11" t="str">
        <x:v>יקב אסף 26</x:v>
      </x:c>
      <x:c r="C225" s="11" t="n">
        <x:v>5</x:v>
      </x:c>
      <x:c r="D225" s="11" t="str">
        <x:v>11.05</x:v>
      </x:c>
      <x:c r="E225" s="11" t="str">
        <x:v>יקב אסף-צמרת</x:v>
      </x:c>
      <x:c r="F225" s="16" t="n">
        <x:v>290</x:v>
      </x:c>
      <x:c r="G225" s="11" t="str">
        <x:v>לינה</x:v>
      </x:c>
      <x:c r="H225" s="11" t="str">
        <x:v>אמקס - עינור</x:v>
      </x:c>
      <x:c r="I225" s="11" t="str">
        <x:v>מאושר</x:v>
      </x:c>
    </x:row>
    <x:row r="226">
      <x:c r="B226" s="11" t="str">
        <x:v>יקב אסף 26</x:v>
      </x:c>
      <x:c r="C226" s="11" t="n">
        <x:v>6</x:v>
      </x:c>
      <x:c r="D226" s="11" t="str">
        <x:v>7.05</x:v>
      </x:c>
      <x:c r="E226" s="11" t="str">
        <x:v>BUYME ALL</x:v>
      </x:c>
      <x:c r="F226" s="16" t="n">
        <x:v>300</x:v>
      </x:c>
      <x:c r="G226" s="11" t="str">
        <x:v>לינה</x:v>
      </x:c>
      <x:c r="H226" s="11" t="str">
        <x:v>סיבוס - עינור</x:v>
      </x:c>
      <x:c r="I226" s="11" t="str">
        <x:v>מאושר</x:v>
      </x:c>
    </x:row>
    <x:row r="227">
      <x:c r="B227" s="11" t="str">
        <x:v>יקב אסף 26</x:v>
      </x:c>
      <x:c r="C227" s="11" t="n">
        <x:v>7</x:v>
      </x:c>
      <x:c r="D227" s="11" t="str">
        <x:v>7.05</x:v>
      </x:c>
      <x:c r="E227" s="11" t="str">
        <x:v>BUYME ALL</x:v>
      </x:c>
      <x:c r="F227" s="16" t="n">
        <x:v>300</x:v>
      </x:c>
      <x:c r="G227" s="11" t="str">
        <x:v>לינה</x:v>
      </x:c>
      <x:c r="H227" s="11" t="str">
        <x:v>סיבוס - עינור</x:v>
      </x:c>
      <x:c r="I227" s="11" t="str">
        <x:v>מאושר</x:v>
      </x:c>
    </x:row>
    <x:row r="228">
      <x:c r="B228" s="11" t="str">
        <x:v>יקב אסף 26</x:v>
      </x:c>
      <x:c r="C228" s="11" t="n">
        <x:v>8</x:v>
      </x:c>
      <x:c r="D228" s="11" t="str">
        <x:v>21/05</x:v>
      </x:c>
      <x:c r="E228" s="11" t="str">
        <x:v>מקדונלדס - יקנעם</x:v>
      </x:c>
      <x:c r="F228" s="16" t="n">
        <x:v>99</x:v>
      </x:c>
      <x:c r="G228" s="11" t="str">
        <x:v>אוכל</x:v>
      </x:c>
      <x:c r="H228" s="11" t="str">
        <x:v>סיבוס - עינור</x:v>
      </x:c>
      <x:c r="I228" s="11" t="str">
        <x:v>מאושר</x:v>
      </x:c>
    </x:row>
    <x:row r="229">
      <x:c r="B229" s="11" t="str">
        <x:v>יקב אסף 26</x:v>
      </x:c>
      <x:c r="C229" s="11" t="n">
        <x:v>9</x:v>
      </x:c>
      <x:c r="D229" s="11" t="str">
        <x:v>20/4</x:v>
      </x:c>
      <x:c r="E229" s="11" t="str">
        <x:v>buy me</x:v>
      </x:c>
      <x:c r="F229" s="16" t="n">
        <x:v>300</x:v>
      </x:c>
      <x:c r="G229" s="11" t="str">
        <x:v>לינה</x:v>
      </x:c>
      <x:c r="H229" s="11" t="str">
        <x:v>סיבוס - עינור</x:v>
      </x:c>
      <x:c r="I229" s="11" t="str">
        <x:v>מאושר</x:v>
      </x:c>
    </x:row>
    <x:row r="230">
      <x:c r="B230" s="11" t="str">
        <x:v>לונדון 26</x:v>
      </x:c>
      <x:c r="C230" s="11" t="n">
        <x:v>2</x:v>
      </x:c>
      <x:c r="D230" s="11" t="str">
        <x:v>27.11.25</x:v>
      </x:c>
      <x:c r="E230" s="11" t="str">
        <x:v>טיסה</x:v>
      </x:c>
      <x:c r="F230" s="16" t="n">
        <x:v>3564</x:v>
      </x:c>
      <x:c r="G230" s="11" t="str">
        <x:v>טיסה</x:v>
      </x:c>
      <x:c r="H230" s="11" t="str">
        <x:v>אמקס זיו</x:v>
      </x:c>
      <x:c r="I230" s="11" t="str">
        <x:v>מאושר</x:v>
      </x:c>
    </x:row>
    <x:row r="231">
      <x:c r="B231" s="11" t="str">
        <x:v>לונדון 26</x:v>
      </x:c>
      <x:c r="C231" s="11" t="n">
        <x:v>15</x:v>
      </x:c>
      <x:c r="D231" s="11" t="str"/>
      <x:c r="E231" s="11" t="str">
        <x:v>מלון 1</x:v>
      </x:c>
      <x:c r="F231" s="16" t="n">
        <x:v>3000</x:v>
      </x:c>
      <x:c r="G231" s="11" t="str"/>
      <x:c r="H231" s="11" t="str"/>
      <x:c r="I231" s="11" t="str">
        <x:v>זמני</x:v>
      </x:c>
    </x:row>
    <x:row r="232">
      <x:c r="B232" s="11" t="str">
        <x:v>לונדון 26</x:v>
      </x:c>
      <x:c r="C232" s="11" t="n">
        <x:v>16</x:v>
      </x:c>
      <x:c r="D232" s="11" t="str"/>
      <x:c r="E232" s="11" t="str">
        <x:v>מלון 2</x:v>
      </x:c>
      <x:c r="F232" s="16" t="n">
        <x:v>3973</x:v>
      </x:c>
      <x:c r="G232" s="11" t="str"/>
      <x:c r="H232" s="11" t="str"/>
      <x:c r="I232" s="11" t="str">
        <x:v>זמני</x:v>
      </x:c>
    </x:row>
    <x:row r="233">
      <x:c r="B233" s="11" t="str">
        <x:v>לונדון 26</x:v>
      </x:c>
      <x:c r="C233" s="11" t="n">
        <x:v>18</x:v>
      </x:c>
      <x:c r="D233" s="11" t="str">
        <x:v>21/3</x:v>
      </x:c>
      <x:c r="E233" s="11" t="str">
        <x:v>ויזה ללונדון</x:v>
      </x:c>
      <x:c r="F233" s="16" t="n">
        <x:v>134</x:v>
      </x:c>
      <x:c r="G233" s="11" t="str">
        <x:v>מנהלתי</x:v>
      </x:c>
      <x:c r="H233" s="11" t="str">
        <x:v>אמקס - זיו</x:v>
      </x:c>
      <x:c r="I233" s="11" t="str">
        <x:v>מאושר</x:v>
      </x:c>
    </x:row>
    <x:row r="234">
      <x:c r="B234" s="11" t="str">
        <x:v>לונדון 26</x:v>
      </x:c>
      <x:c r="C234" s="11" t="n">
        <x:v>19</x:v>
      </x:c>
      <x:c r="D234" s="11" t="str">
        <x:v>29.08</x:v>
      </x:c>
      <x:c r="E234" s="11" t="str">
        <x:v>קברט</x:v>
      </x:c>
      <x:c r="F234" s="16" t="n">
        <x:v>887</x:v>
      </x:c>
      <x:c r="G234" s="11" t="str"/>
      <x:c r="H234" s="11" t="str">
        <x:v>אמקס - עינור</x:v>
      </x:c>
      <x:c r="I234" s="11" t="str">
        <x:v>מאושר</x:v>
      </x:c>
    </x:row>
    <x:row r="235">
      <x:c r="B235" s="11" t="str">
        <x:v>סיישל 25</x:v>
      </x:c>
      <x:c r="C235" s="11" t="n">
        <x:v>2</x:v>
      </x:c>
      <x:c r="D235" s="11" t="str">
        <x:v>28.2</x:v>
      </x:c>
      <x:c r="E235" s="11" t="str">
        <x:v>טיסה</x:v>
      </x:c>
      <x:c r="F235" s="16" t="n">
        <x:v>7005</x:v>
      </x:c>
      <x:c r="G235" s="11" t="str">
        <x:v>טיסה</x:v>
      </x:c>
      <x:c r="H235" s="11" t="str">
        <x:v>10 זיו</x:v>
      </x:c>
      <x:c r="I235" s="11" t="str">
        <x:v>מאושר</x:v>
      </x:c>
    </x:row>
    <x:row r="236">
      <x:c r="B236" s="11" t="str">
        <x:v>סיישל 25</x:v>
      </x:c>
      <x:c r="C236" s="11" t="n">
        <x:v>3</x:v>
      </x:c>
      <x:c r="D236" s="11" t="str">
        <x:v>6.3</x:v>
      </x:c>
      <x:c r="E236" s="11" t="str">
        <x:v>הילטון</x:v>
      </x:c>
      <x:c r="F236" s="16" t="n">
        <x:v>3652</x:v>
      </x:c>
      <x:c r="G236" s="11" t="str">
        <x:v>לינה</x:v>
      </x:c>
      <x:c r="H236" s="11" t="str">
        <x:v>10 זיו</x:v>
      </x:c>
      <x:c r="I236" s="11" t="str">
        <x:v>מאושר</x:v>
      </x:c>
    </x:row>
    <x:row r="237">
      <x:c r="B237" s="11" t="str">
        <x:v>סיישל 25</x:v>
      </x:c>
      <x:c r="C237" s="11" t="n">
        <x:v>4</x:v>
      </x:c>
      <x:c r="D237" s="11" t="str">
        <x:v>4.3</x:v>
      </x:c>
      <x:c r="E237" s="11" t="str">
        <x:v>מלון פרסלין</x:v>
      </x:c>
      <x:c r="F237" s="16" t="n">
        <x:v>1910</x:v>
      </x:c>
      <x:c r="G237" s="11" t="str">
        <x:v>לינה</x:v>
      </x:c>
      <x:c r="H237" s="11" t="str">
        <x:v>אמקס זיו</x:v>
      </x:c>
      <x:c r="I237" s="11" t="str">
        <x:v>מאושר</x:v>
      </x:c>
    </x:row>
    <x:row r="238">
      <x:c r="B238" s="11" t="str">
        <x:v>סיישל 25</x:v>
      </x:c>
      <x:c r="C238" s="11" t="n">
        <x:v>5</x:v>
      </x:c>
      <x:c r="D238" s="11" t="str">
        <x:v>9.3</x:v>
      </x:c>
      <x:c r="E238" s="11" t="str">
        <x:v>טיסות פנים</x:v>
      </x:c>
      <x:c r="F238" s="16" t="n">
        <x:v>1836</x:v>
      </x:c>
      <x:c r="G238" s="11" t="str">
        <x:v>טיסה</x:v>
      </x:c>
      <x:c r="H238" s="11" t="str">
        <x:v>10 זיו</x:v>
      </x:c>
      <x:c r="I238" s="11" t="str">
        <x:v>מאושר</x:v>
      </x:c>
    </x:row>
    <x:row r="239">
      <x:c r="B239" s="11" t="str">
        <x:v>סיישל 25</x:v>
      </x:c>
      <x:c r="C239" s="11" t="n">
        <x:v>6</x:v>
      </x:c>
      <x:c r="D239" s="11" t="str">
        <x:v>11.3</x:v>
      </x:c>
      <x:c r="E239" s="11" t="str">
        <x:v>רכב מקדמה</x:v>
      </x:c>
      <x:c r="F239" s="16" t="n">
        <x:v>119</x:v>
      </x:c>
      <x:c r="G239" s="11" t="str">
        <x:v>תחבורה</x:v>
      </x:c>
      <x:c r="H239" s="11" t="str">
        <x:v>10 זיו</x:v>
      </x:c>
      <x:c r="I239" s="11" t="str">
        <x:v>מאושר</x:v>
      </x:c>
    </x:row>
    <x:row r="240">
      <x:c r="B240" s="11" t="str">
        <x:v>סיישל 25</x:v>
      </x:c>
      <x:c r="C240" s="11" t="n">
        <x:v>7</x:v>
      </x:c>
      <x:c r="D240" s="11" t="str">
        <x:v>10.3</x:v>
      </x:c>
      <x:c r="E240" s="11" t="str">
        <x:v>רכב מקדמה</x:v>
      </x:c>
      <x:c r="F240" s="16" t="n">
        <x:v>199</x:v>
      </x:c>
      <x:c r="G240" s="11" t="str">
        <x:v>תחבורה</x:v>
      </x:c>
      <x:c r="H240" s="11" t="str">
        <x:v>10 עינור</x:v>
      </x:c>
      <x:c r="I240" s="11" t="str">
        <x:v>מאושר</x:v>
      </x:c>
    </x:row>
    <x:row r="241">
      <x:c r="B241" s="11" t="str">
        <x:v>סיישל 25</x:v>
      </x:c>
      <x:c r="C241" s="11" t="n">
        <x:v>8</x:v>
      </x:c>
      <x:c r="D241" s="11" t="str">
        <x:v>8.4</x:v>
      </x:c>
      <x:c r="E241" s="11" t="str">
        <x:v>מזומן</x:v>
      </x:c>
      <x:c r="F241" s="16" t="n">
        <x:v>617</x:v>
      </x:c>
      <x:c r="G241" s="11" t="str">
        <x:v>אוכל</x:v>
      </x:c>
      <x:c r="H241" s="11" t="str">
        <x:v>דיסקונט</x:v>
      </x:c>
      <x:c r="I241" s="11" t="str">
        <x:v>מאושר</x:v>
      </x:c>
    </x:row>
    <x:row r="242">
      <x:c r="B242" s="11" t="str">
        <x:v>סיישל 25</x:v>
      </x:c>
      <x:c r="C242" s="11" t="n">
        <x:v>9</x:v>
      </x:c>
      <x:c r="D242" s="11" t="str">
        <x:v>20.4</x:v>
      </x:c>
      <x:c r="E242" s="11" t="str">
        <x:v>ביטוח</x:v>
      </x:c>
      <x:c r="F242" s="16" t="n">
        <x:v>251</x:v>
      </x:c>
      <x:c r="G242" s="11" t="str">
        <x:v>מנהלתי</x:v>
      </x:c>
      <x:c r="H242" s="11" t="str">
        <x:v>מקס עינור</x:v>
      </x:c>
      <x:c r="I242" s="11" t="str">
        <x:v>מאושר</x:v>
      </x:c>
    </x:row>
    <x:row r="243">
      <x:c r="B243" s="11" t="str">
        <x:v>סיישל 25</x:v>
      </x:c>
      <x:c r="C243" s="11" t="n">
        <x:v>10</x:v>
      </x:c>
      <x:c r="D243" s="11" t="str">
        <x:v>8.5</x:v>
      </x:c>
      <x:c r="E243" s="11" t="str">
        <x:v>ויזה</x:v>
      </x:c>
      <x:c r="F243" s="16" t="n">
        <x:v>84</x:v>
      </x:c>
      <x:c r="G243" s="11" t="str">
        <x:v>מנהלתי</x:v>
      </x:c>
      <x:c r="H243" s="11" t="str">
        <x:v>10 עינור</x:v>
      </x:c>
      <x:c r="I243" s="11" t="str">
        <x:v>מאושר</x:v>
      </x:c>
    </x:row>
    <x:row r="244">
      <x:c r="B244" s="11" t="str">
        <x:v>סיישל 25</x:v>
      </x:c>
      <x:c r="C244" s="11" t="n">
        <x:v>11</x:v>
      </x:c>
      <x:c r="D244" s="11" t="str">
        <x:v>12.5</x:v>
      </x:c>
      <x:c r="E244" s="11" t="str">
        <x:v>מעבורות</x:v>
      </x:c>
      <x:c r="F244" s="16" t="n">
        <x:v>256</x:v>
      </x:c>
      <x:c r="G244" s="11" t="str">
        <x:v>תחבורה</x:v>
      </x:c>
      <x:c r="H244" s="11" t="str">
        <x:v>10 עינור</x:v>
      </x:c>
      <x:c r="I244" s="11" t="str">
        <x:v>מאושר</x:v>
      </x:c>
    </x:row>
    <x:row r="245">
      <x:c r="B245" s="11" t="str">
        <x:v>סיישל 25</x:v>
      </x:c>
      <x:c r="C245" s="11" t="n">
        <x:v>12</x:v>
      </x:c>
      <x:c r="D245" s="11" t="str">
        <x:v>15.5</x:v>
      </x:c>
      <x:c r="E245" s="11" t="str">
        <x:v>פיקדון קיאקים</x:v>
      </x:c>
      <x:c r="F245" s="16" t="n">
        <x:v>34</x:v>
      </x:c>
      <x:c r="G245" s="11" t="str">
        <x:v>אטרקציות</x:v>
      </x:c>
      <x:c r="H245" s="11" t="str">
        <x:v>10 עינור</x:v>
      </x:c>
      <x:c r="I245" s="11" t="str">
        <x:v>מאושר</x:v>
      </x:c>
    </x:row>
    <x:row r="246">
      <x:c r="B246" s="11" t="str">
        <x:v>סיישל 25</x:v>
      </x:c>
      <x:c r="C246" s="11" t="n">
        <x:v>13</x:v>
      </x:c>
      <x:c r="D246" s="11" t="str">
        <x:v>18</x:v>
      </x:c>
      <x:c r="E246" s="11" t="str">
        <x:v>סופר</x:v>
      </x:c>
      <x:c r="F246" s="16" t="n">
        <x:v>10</x:v>
      </x:c>
      <x:c r="G246" s="11" t="str">
        <x:v>אוכל</x:v>
      </x:c>
      <x:c r="H246" s="11" t="str">
        <x:v>10 עינור</x:v>
      </x:c>
      <x:c r="I246" s="11" t="str">
        <x:v>מאושר</x:v>
      </x:c>
    </x:row>
    <x:row r="247">
      <x:c r="B247" s="11" t="str">
        <x:v>סיישל 25</x:v>
      </x:c>
      <x:c r="C247" s="11" t="n">
        <x:v>14</x:v>
      </x:c>
      <x:c r="D247" s="11" t="str">
        <x:v>19</x:v>
      </x:c>
      <x:c r="E247" s="11" t="str">
        <x:v>סופר</x:v>
      </x:c>
      <x:c r="F247" s="16" t="n">
        <x:v>18</x:v>
      </x:c>
      <x:c r="G247" s="11" t="str">
        <x:v>אוכל</x:v>
      </x:c>
      <x:c r="H247" s="11" t="str">
        <x:v>10 עינור</x:v>
      </x:c>
      <x:c r="I247" s="11" t="str">
        <x:v>מאושר</x:v>
      </x:c>
    </x:row>
    <x:row r="248">
      <x:c r="B248" s="11" t="str">
        <x:v>סיישל 25</x:v>
      </x:c>
      <x:c r="C248" s="11" t="n">
        <x:v>15</x:v>
      </x:c>
      <x:c r="D248" s="11" t="str">
        <x:v>21</x:v>
      </x:c>
      <x:c r="E248" s="11" t="str">
        <x:v>אוכל בשדה</x:v>
      </x:c>
      <x:c r="F248" s="16" t="n">
        <x:v>20</x:v>
      </x:c>
      <x:c r="G248" s="11" t="str">
        <x:v>אוכל</x:v>
      </x:c>
      <x:c r="H248" s="11" t="str">
        <x:v>10 עינור</x:v>
      </x:c>
      <x:c r="I248" s="11" t="str">
        <x:v>מאושר</x:v>
      </x:c>
    </x:row>
    <x:row r="249">
      <x:c r="B249" s="11" t="str">
        <x:v>סיישל 25</x:v>
      </x:c>
      <x:c r="C249" s="11" t="n">
        <x:v>16</x:v>
      </x:c>
      <x:c r="D249" s="11" t="str">
        <x:v>15</x:v>
      </x:c>
      <x:c r="E249" s="11" t="str">
        <x:v>רכב פרסלין</x:v>
      </x:c>
      <x:c r="F249" s="16" t="n">
        <x:v>705</x:v>
      </x:c>
      <x:c r="G249" s="11" t="str">
        <x:v>תחבורה</x:v>
      </x:c>
      <x:c r="H249" s="11" t="str">
        <x:v>מזומן</x:v>
      </x:c>
      <x:c r="I249" s="11" t="str">
        <x:v>מאושר</x:v>
      </x:c>
    </x:row>
    <x:row r="250">
      <x:c r="B250" s="11" t="str">
        <x:v>סיישל 25</x:v>
      </x:c>
      <x:c r="C250" s="11" t="n">
        <x:v>17</x:v>
      </x:c>
      <x:c r="D250" s="11" t="str">
        <x:v>17</x:v>
      </x:c>
      <x:c r="E250" s="11" t="str">
        <x:v>קוקו דה מר</x:v>
      </x:c>
      <x:c r="F250" s="16" t="n">
        <x:v>220</x:v>
      </x:c>
      <x:c r="G250" s="11" t="str">
        <x:v>אטרקציות</x:v>
      </x:c>
      <x:c r="H250" s="11" t="str">
        <x:v>מזומן</x:v>
      </x:c>
      <x:c r="I250" s="11" t="str">
        <x:v>מאושר</x:v>
      </x:c>
    </x:row>
    <x:row r="251">
      <x:c r="B251" s="11" t="str">
        <x:v>סיישל 25</x:v>
      </x:c>
      <x:c r="C251" s="11" t="n">
        <x:v>18</x:v>
      </x:c>
      <x:c r="D251" s="11" t="str">
        <x:v>15</x:v>
      </x:c>
      <x:c r="E251" s="11" t="str">
        <x:v>מס תיירים</x:v>
      </x:c>
      <x:c r="F251" s="16" t="n">
        <x:v>220</x:v>
      </x:c>
      <x:c r="G251" s="11" t="str">
        <x:v>מנהלתי</x:v>
      </x:c>
      <x:c r="H251" s="11" t="str">
        <x:v>מזומן</x:v>
      </x:c>
      <x:c r="I251" s="11" t="str">
        <x:v>מאושר</x:v>
      </x:c>
    </x:row>
    <x:row r="252">
      <x:c r="B252" s="11" t="str">
        <x:v>סיישל 25</x:v>
      </x:c>
      <x:c r="C252" s="11" t="n">
        <x:v>19</x:v>
      </x:c>
      <x:c r="D252" s="11" t="str">
        <x:v>15</x:v>
      </x:c>
      <x:c r="E252" s="11" t="str">
        <x:v>סופר</x:v>
      </x:c>
      <x:c r="F252" s="16" t="n">
        <x:v>94</x:v>
      </x:c>
      <x:c r="G252" s="11" t="str">
        <x:v>אוכל</x:v>
      </x:c>
      <x:c r="H252" s="11" t="str">
        <x:v>10 זיו</x:v>
      </x:c>
      <x:c r="I252" s="11" t="str">
        <x:v>מאושר</x:v>
      </x:c>
    </x:row>
    <x:row r="253">
      <x:c r="B253" s="11" t="str">
        <x:v>סיישל 25</x:v>
      </x:c>
      <x:c r="C253" s="11" t="n">
        <x:v>20</x:v>
      </x:c>
      <x:c r="D253" s="11" t="str">
        <x:v>15</x:v>
      </x:c>
      <x:c r="E253" s="11" t="str">
        <x:v>מסעדה</x:v>
      </x:c>
      <x:c r="F253" s="16" t="n">
        <x:v>73</x:v>
      </x:c>
      <x:c r="G253" s="11" t="str">
        <x:v>אוכל</x:v>
      </x:c>
      <x:c r="H253" s="11" t="str">
        <x:v>11 זיו</x:v>
      </x:c>
      <x:c r="I253" s="11" t="str">
        <x:v>מאושר</x:v>
      </x:c>
    </x:row>
    <x:row r="254">
      <x:c r="B254" s="11" t="str">
        <x:v>סיישל 25</x:v>
      </x:c>
      <x:c r="C254" s="11" t="n">
        <x:v>21</x:v>
      </x:c>
      <x:c r="D254" s="11" t="str">
        <x:v>15</x:v>
      </x:c>
      <x:c r="E254" s="11" t="str">
        <x:v>סופר</x:v>
      </x:c>
      <x:c r="F254" s="16" t="n">
        <x:v>18</x:v>
      </x:c>
      <x:c r="G254" s="11" t="str">
        <x:v>אוכל</x:v>
      </x:c>
      <x:c r="H254" s="11" t="str">
        <x:v>12 זיו</x:v>
      </x:c>
      <x:c r="I254" s="11" t="str">
        <x:v>מאושר</x:v>
      </x:c>
    </x:row>
    <x:row r="255">
      <x:c r="B255" s="11" t="str">
        <x:v>סיישל 25</x:v>
      </x:c>
      <x:c r="C255" s="11" t="n">
        <x:v>22</x:v>
      </x:c>
      <x:c r="D255" s="11" t="str">
        <x:v>15</x:v>
      </x:c>
      <x:c r="E255" s="11" t="str">
        <x:v>מסעדה</x:v>
      </x:c>
      <x:c r="F255" s="16" t="n">
        <x:v>220</x:v>
      </x:c>
      <x:c r="G255" s="11" t="str">
        <x:v>אוכל</x:v>
      </x:c>
      <x:c r="H255" s="11" t="str">
        <x:v>13 זיו</x:v>
      </x:c>
      <x:c r="I255" s="11" t="str">
        <x:v>מאושר</x:v>
      </x:c>
    </x:row>
    <x:row r="256">
      <x:c r="B256" s="11" t="str">
        <x:v>סיישל 25</x:v>
      </x:c>
      <x:c r="C256" s="11" t="n">
        <x:v>23</x:v>
      </x:c>
      <x:c r="D256" s="11" t="str">
        <x:v>15</x:v>
      </x:c>
      <x:c r="E256" s="11" t="str">
        <x:v>סופר</x:v>
      </x:c>
      <x:c r="F256" s="16" t="n">
        <x:v>52</x:v>
      </x:c>
      <x:c r="G256" s="11" t="str">
        <x:v>אוכל</x:v>
      </x:c>
      <x:c r="H256" s="11" t="str">
        <x:v>14 זיו</x:v>
      </x:c>
      <x:c r="I256" s="11" t="str">
        <x:v>מאושר</x:v>
      </x:c>
    </x:row>
    <x:row r="257">
      <x:c r="B257" s="11" t="str">
        <x:v>סיישל 25</x:v>
      </x:c>
      <x:c r="C257" s="11" t="n">
        <x:v>24</x:v>
      </x:c>
      <x:c r="D257" s="11" t="str">
        <x:v>16</x:v>
      </x:c>
      <x:c r="E257" s="11" t="str">
        <x:v>מסעדה</x:v>
      </x:c>
      <x:c r="F257" s="16" t="n">
        <x:v>46</x:v>
      </x:c>
      <x:c r="G257" s="11" t="str">
        <x:v>אוכל</x:v>
      </x:c>
      <x:c r="H257" s="11" t="str">
        <x:v>15 זיו</x:v>
      </x:c>
      <x:c r="I257" s="11" t="str">
        <x:v>מאושר</x:v>
      </x:c>
    </x:row>
    <x:row r="258">
      <x:c r="B258" s="11" t="str">
        <x:v>סיישל 25</x:v>
      </x:c>
      <x:c r="C258" s="11" t="n">
        <x:v>25</x:v>
      </x:c>
      <x:c r="D258" s="11" t="str">
        <x:v>16</x:v>
      </x:c>
      <x:c r="E258" s="11" t="str">
        <x:v>מסעדה</x:v>
      </x:c>
      <x:c r="F258" s="16" t="n">
        <x:v>192</x:v>
      </x:c>
      <x:c r="G258" s="11" t="str">
        <x:v>אוכל</x:v>
      </x:c>
      <x:c r="H258" s="11" t="str">
        <x:v>16 זיו</x:v>
      </x:c>
      <x:c r="I258" s="11" t="str">
        <x:v>מאושר</x:v>
      </x:c>
    </x:row>
    <x:row r="259">
      <x:c r="B259" s="11" t="str">
        <x:v>סיישל 25</x:v>
      </x:c>
      <x:c r="C259" s="11" t="n">
        <x:v>26</x:v>
      </x:c>
      <x:c r="D259" s="11" t="str">
        <x:v>16</x:v>
      </x:c>
      <x:c r="E259" s="11" t="str">
        <x:v>קיאקים</x:v>
      </x:c>
      <x:c r="F259" s="16" t="n">
        <x:v>160</x:v>
      </x:c>
      <x:c r="G259" s="11" t="str">
        <x:v>אטרקציות</x:v>
      </x:c>
      <x:c r="H259" s="11" t="str">
        <x:v>17 זיו</x:v>
      </x:c>
      <x:c r="I259" s="11" t="str">
        <x:v>מאושר</x:v>
      </x:c>
    </x:row>
    <x:row r="260">
      <x:c r="B260" s="11" t="str">
        <x:v>סיישל 25</x:v>
      </x:c>
      <x:c r="C260" s="11" t="n">
        <x:v>27</x:v>
      </x:c>
      <x:c r="D260" s="11" t="str">
        <x:v>16</x:v>
      </x:c>
      <x:c r="E260" s="11" t="str">
        <x:v>סופר</x:v>
      </x:c>
      <x:c r="F260" s="16" t="n">
        <x:v>44</x:v>
      </x:c>
      <x:c r="G260" s="11" t="str">
        <x:v>אוכל</x:v>
      </x:c>
      <x:c r="H260" s="11" t="str">
        <x:v>18 זיו</x:v>
      </x:c>
      <x:c r="I260" s="11" t="str">
        <x:v>מאושר</x:v>
      </x:c>
    </x:row>
    <x:row r="261">
      <x:c r="B261" s="11" t="str">
        <x:v>סיישל 25</x:v>
      </x:c>
      <x:c r="C261" s="11" t="n">
        <x:v>28</x:v>
      </x:c>
      <x:c r="D261" s="11" t="str">
        <x:v>17</x:v>
      </x:c>
      <x:c r="E261" s="11" t="str">
        <x:v>מסעדה</x:v>
      </x:c>
      <x:c r="F261" s="16" t="n">
        <x:v>160</x:v>
      </x:c>
      <x:c r="G261" s="11" t="str">
        <x:v>אוכל</x:v>
      </x:c>
      <x:c r="H261" s="11" t="str">
        <x:v>19 זיו</x:v>
      </x:c>
      <x:c r="I261" s="11" t="str">
        <x:v>מאושר</x:v>
      </x:c>
    </x:row>
    <x:row r="262">
      <x:c r="B262" s="11" t="str">
        <x:v>סיישל 25</x:v>
      </x:c>
      <x:c r="C262" s="11" t="n">
        <x:v>29</x:v>
      </x:c>
      <x:c r="D262" s="11" t="str">
        <x:v>17</x:v>
      </x:c>
      <x:c r="E262" s="11" t="str">
        <x:v>מסעדה</x:v>
      </x:c>
      <x:c r="F262" s="16" t="n">
        <x:v>99</x:v>
      </x:c>
      <x:c r="G262" s="11" t="str">
        <x:v>אוכל</x:v>
      </x:c>
      <x:c r="H262" s="11" t="str">
        <x:v>20 זיו</x:v>
      </x:c>
      <x:c r="I262" s="11" t="str">
        <x:v>מאושר</x:v>
      </x:c>
    </x:row>
    <x:row r="263">
      <x:c r="B263" s="11" t="str">
        <x:v>סיישל 25</x:v>
      </x:c>
      <x:c r="C263" s="11" t="n">
        <x:v>30</x:v>
      </x:c>
      <x:c r="D263" s="11" t="str">
        <x:v>17</x:v>
      </x:c>
      <x:c r="E263" s="11" t="str">
        <x:v>חנייה</x:v>
      </x:c>
      <x:c r="F263" s="16" t="n">
        <x:v>25</x:v>
      </x:c>
      <x:c r="G263" s="11" t="str">
        <x:v>תחבורה</x:v>
      </x:c>
      <x:c r="H263" s="11" t="str">
        <x:v>21 זיו</x:v>
      </x:c>
      <x:c r="I263" s="11" t="str">
        <x:v>מאושר</x:v>
      </x:c>
    </x:row>
    <x:row r="264">
      <x:c r="B264" s="11" t="str">
        <x:v>סיישל 25</x:v>
      </x:c>
      <x:c r="C264" s="11" t="n">
        <x:v>31</x:v>
      </x:c>
      <x:c r="D264" s="11" t="str">
        <x:v>18</x:v>
      </x:c>
      <x:c r="E264" s="11" t="str">
        <x:v>סופר</x:v>
      </x:c>
      <x:c r="F264" s="16" t="n">
        <x:v>41</x:v>
      </x:c>
      <x:c r="G264" s="11" t="str">
        <x:v>אוכל</x:v>
      </x:c>
      <x:c r="H264" s="11" t="str">
        <x:v>22 זיו</x:v>
      </x:c>
      <x:c r="I264" s="11" t="str">
        <x:v>מאושר</x:v>
      </x:c>
    </x:row>
    <x:row r="265">
      <x:c r="B265" s="11" t="str">
        <x:v>סיישל 25</x:v>
      </x:c>
      <x:c r="C265" s="11" t="n">
        <x:v>32</x:v>
      </x:c>
      <x:c r="D265" s="11" t="str">
        <x:v>18</x:v>
      </x:c>
      <x:c r="E265" s="11" t="str">
        <x:v>מסעדה</x:v>
      </x:c>
      <x:c r="F265" s="16" t="n">
        <x:v>47</x:v>
      </x:c>
      <x:c r="G265" s="11" t="str">
        <x:v>אוכל</x:v>
      </x:c>
      <x:c r="H265" s="11" t="str">
        <x:v>23 זיו</x:v>
      </x:c>
      <x:c r="I265" s="11" t="str">
        <x:v>מאושר</x:v>
      </x:c>
    </x:row>
    <x:row r="266">
      <x:c r="B266" s="11" t="str">
        <x:v>סיישל 25</x:v>
      </x:c>
      <x:c r="C266" s="11" t="n">
        <x:v>33</x:v>
      </x:c>
      <x:c r="D266" s="11" t="str">
        <x:v>18</x:v>
      </x:c>
      <x:c r="E266" s="11" t="str">
        <x:v>מסעדה</x:v>
      </x:c>
      <x:c r="F266" s="16" t="n">
        <x:v>92</x:v>
      </x:c>
      <x:c r="G266" s="11" t="str">
        <x:v>אוכל</x:v>
      </x:c>
      <x:c r="H266" s="11" t="str">
        <x:v>24 זיו</x:v>
      </x:c>
      <x:c r="I266" s="11" t="str">
        <x:v>מאושר</x:v>
      </x:c>
    </x:row>
    <x:row r="267">
      <x:c r="B267" s="11" t="str">
        <x:v>סיישל 25</x:v>
      </x:c>
      <x:c r="C267" s="11" t="n">
        <x:v>34</x:v>
      </x:c>
      <x:c r="D267" s="11" t="str">
        <x:v>18</x:v>
      </x:c>
      <x:c r="E267" s="11" t="str">
        <x:v>אי צבים</x:v>
      </x:c>
      <x:c r="F267" s="16" t="n">
        <x:v>146</x:v>
      </x:c>
      <x:c r="G267" s="11" t="str">
        <x:v>אטרקציות</x:v>
      </x:c>
      <x:c r="H267" s="11" t="str">
        <x:v>25 זיו</x:v>
      </x:c>
      <x:c r="I267" s="11" t="str">
        <x:v>מאושר</x:v>
      </x:c>
    </x:row>
    <x:row r="268">
      <x:c r="B268" s="11" t="str">
        <x:v>סיישל 25</x:v>
      </x:c>
      <x:c r="C268" s="11" t="n">
        <x:v>35</x:v>
      </x:c>
      <x:c r="D268" s="11" t="str">
        <x:v>18</x:v>
      </x:c>
      <x:c r="E268" s="11" t="str">
        <x:v>סיור צבים</x:v>
      </x:c>
      <x:c r="F268" s="16" t="n">
        <x:v>515</x:v>
      </x:c>
      <x:c r="G268" s="11" t="str">
        <x:v>אטרקציות</x:v>
      </x:c>
      <x:c r="H268" s="11" t="str">
        <x:v>26 זיו</x:v>
      </x:c>
      <x:c r="I268" s="11" t="str">
        <x:v>מאושר</x:v>
      </x:c>
    </x:row>
    <x:row r="269">
      <x:c r="B269" s="11" t="str">
        <x:v>סיישל 25</x:v>
      </x:c>
      <x:c r="C269" s="11" t="n">
        <x:v>36</x:v>
      </x:c>
      <x:c r="D269" s="11" t="str">
        <x:v>19</x:v>
      </x:c>
      <x:c r="E269" s="11" t="str">
        <x:v>דלק</x:v>
      </x:c>
      <x:c r="F269" s="16" t="n">
        <x:v>62</x:v>
      </x:c>
      <x:c r="G269" s="11" t="str">
        <x:v>תחבורה</x:v>
      </x:c>
      <x:c r="H269" s="11" t="str">
        <x:v>27 זיו</x:v>
      </x:c>
      <x:c r="I269" s="11" t="str">
        <x:v>מאושר</x:v>
      </x:c>
    </x:row>
    <x:row r="270">
      <x:c r="B270" s="11" t="str">
        <x:v>סיישל 25</x:v>
      </x:c>
      <x:c r="C270" s="11" t="n">
        <x:v>37</x:v>
      </x:c>
      <x:c r="D270" s="11" t="str">
        <x:v>19</x:v>
      </x:c>
      <x:c r="E270" s="11" t="str">
        <x:v>מסעדה</x:v>
      </x:c>
      <x:c r="F270" s="16" t="n">
        <x:v>86</x:v>
      </x:c>
      <x:c r="G270" s="11" t="str">
        <x:v>אוכל</x:v>
      </x:c>
      <x:c r="H270" s="11" t="str">
        <x:v>28 זיו</x:v>
      </x:c>
      <x:c r="I270" s="11" t="str">
        <x:v>מאושר</x:v>
      </x:c>
    </x:row>
    <x:row r="271">
      <x:c r="B271" s="11" t="str">
        <x:v>סיישל 25</x:v>
      </x:c>
      <x:c r="C271" s="11" t="n">
        <x:v>38</x:v>
      </x:c>
      <x:c r="D271" s="11" t="str">
        <x:v>19</x:v>
      </x:c>
      <x:c r="E271" s="11" t="str">
        <x:v>ערוכת בוקר פרסלין</x:v>
      </x:c>
      <x:c r="F271" s="16" t="n">
        <x:v>119</x:v>
      </x:c>
      <x:c r="G271" s="11" t="str">
        <x:v>אוכל</x:v>
      </x:c>
      <x:c r="H271" s="11" t="str">
        <x:v>29 זיו</x:v>
      </x:c>
      <x:c r="I271" s="11" t="str">
        <x:v>מאושר</x:v>
      </x:c>
    </x:row>
    <x:row r="272">
      <x:c r="B272" s="11" t="str">
        <x:v>סיישל 25</x:v>
      </x:c>
      <x:c r="C272" s="11" t="n">
        <x:v>39</x:v>
      </x:c>
      <x:c r="D272" s="11" t="str">
        <x:v>19</x:v>
      </x:c>
      <x:c r="E272" s="11" t="str">
        <x:v>סופר</x:v>
      </x:c>
      <x:c r="F272" s="16" t="n">
        <x:v>20</x:v>
      </x:c>
      <x:c r="G272" s="11" t="str">
        <x:v>אוכל</x:v>
      </x:c>
      <x:c r="H272" s="11" t="str">
        <x:v>30 זיו</x:v>
      </x:c>
      <x:c r="I272" s="11" t="str">
        <x:v>מאושר</x:v>
      </x:c>
    </x:row>
    <x:row r="273">
      <x:c r="B273" s="11" t="str">
        <x:v>סיישל 25</x:v>
      </x:c>
      <x:c r="C273" s="11" t="n">
        <x:v>40</x:v>
      </x:c>
      <x:c r="D273" s="11" t="str">
        <x:v>19</x:v>
      </x:c>
      <x:c r="E273" s="11" t="str">
        <x:v>מס תיירים</x:v>
      </x:c>
      <x:c r="F273" s="16" t="n">
        <x:v>98</x:v>
      </x:c>
      <x:c r="G273" s="11" t="str">
        <x:v>מנהלתי</x:v>
      </x:c>
      <x:c r="H273" s="11" t="str">
        <x:v>31 זיו</x:v>
      </x:c>
      <x:c r="I273" s="11" t="str">
        <x:v>מאושר</x:v>
      </x:c>
    </x:row>
    <x:row r="274">
      <x:c r="B274" s="11" t="str">
        <x:v>סיישל 25</x:v>
      </x:c>
      <x:c r="C274" s="11" t="n">
        <x:v>41</x:v>
      </x:c>
      <x:c r="D274" s="11" t="str">
        <x:v>19</x:v>
      </x:c>
      <x:c r="E274" s="11" t="str">
        <x:v>סופר</x:v>
      </x:c>
      <x:c r="F274" s="16" t="n">
        <x:v>21</x:v>
      </x:c>
      <x:c r="G274" s="11" t="str">
        <x:v>אוכל</x:v>
      </x:c>
      <x:c r="H274" s="11" t="str">
        <x:v>32 זיו</x:v>
      </x:c>
      <x:c r="I274" s="11" t="str">
        <x:v>מאושר</x:v>
      </x:c>
    </x:row>
    <x:row r="275">
      <x:c r="B275" s="11" t="str">
        <x:v>סיישל 25</x:v>
      </x:c>
      <x:c r="C275" s="11" t="n">
        <x:v>42</x:v>
      </x:c>
      <x:c r="D275" s="11" t="str">
        <x:v>20</x:v>
      </x:c>
      <x:c r="E275" s="11" t="str">
        <x:v>רכב מהה</x:v>
      </x:c>
      <x:c r="F275" s="16" t="n">
        <x:v>483</x:v>
      </x:c>
      <x:c r="G275" s="11" t="str">
        <x:v>תחבורה</x:v>
      </x:c>
      <x:c r="H275" s="11" t="str">
        <x:v>33 זיו</x:v>
      </x:c>
      <x:c r="I275" s="11" t="str">
        <x:v>מאושר</x:v>
      </x:c>
    </x:row>
    <x:row r="276">
      <x:c r="B276" s="11" t="str">
        <x:v>סיישל 25</x:v>
      </x:c>
      <x:c r="C276" s="11" t="n">
        <x:v>43</x:v>
      </x:c>
      <x:c r="D276" s="11" t="str">
        <x:v>21</x:v>
      </x:c>
      <x:c r="E276" s="11" t="str">
        <x:v>אוכל שדה</x:v>
      </x:c>
      <x:c r="F276" s="16" t="n">
        <x:v>28</x:v>
      </x:c>
      <x:c r="G276" s="11" t="str">
        <x:v>אוכל</x:v>
      </x:c>
      <x:c r="H276" s="11" t="str">
        <x:v>34 זיו</x:v>
      </x:c>
      <x:c r="I276" s="11" t="str">
        <x:v>מאושר</x:v>
      </x:c>
    </x:row>
    <x:row r="277">
      <x:c r="B277" s="11" t="str">
        <x:v>סיישל 25</x:v>
      </x:c>
      <x:c r="C277" s="11" t="n">
        <x:v>44</x:v>
      </x:c>
      <x:c r="D277" s="11" t="str">
        <x:v>25</x:v>
      </x:c>
      <x:c r="E277" s="11" t="str">
        <x:v>השלמה טיסות</x:v>
      </x:c>
      <x:c r="F277" s="16" t="n">
        <x:v>270</x:v>
      </x:c>
      <x:c r="G277" s="11" t="str">
        <x:v>טיסה</x:v>
      </x:c>
      <x:c r="H277" s="11" t="str">
        <x:v>ביט</x:v>
      </x:c>
      <x:c r="I277" s="11" t="str">
        <x:v>מאושר</x:v>
      </x:c>
    </x:row>
    <x:row r="278">
      <x:c r="B278" s="11" t="str">
        <x:v>סיישל 25</x:v>
      </x:c>
      <x:c r="C278" s="11" t="n">
        <x:v>45</x:v>
      </x:c>
      <x:c r="D278" s="11" t="str">
        <x:v>14</x:v>
      </x:c>
      <x:c r="E278" s="11" t="str">
        <x:v>מקדולנס נתבג</x:v>
      </x:c>
      <x:c r="F278" s="16" t="n">
        <x:v>102</x:v>
      </x:c>
      <x:c r="G278" s="11" t="str">
        <x:v>אוכל</x:v>
      </x:c>
      <x:c r="H278" s="11" t="str">
        <x:v>אמקס עינור</x:v>
      </x:c>
      <x:c r="I278" s="11" t="str">
        <x:v>מאושר</x:v>
      </x:c>
    </x:row>
    <x:row r="279">
      <x:c r="B279" s="11" t="str">
        <x:v>סיישל 25</x:v>
      </x:c>
      <x:c r="C279" s="11" t="n">
        <x:v>46</x:v>
      </x:c>
      <x:c r="D279" s="11" t="str">
        <x:v>14</x:v>
      </x:c>
      <x:c r="E279" s="11" t="str">
        <x:v>חניה נתבג</x:v>
      </x:c>
      <x:c r="F279" s="16" t="n">
        <x:v>400</x:v>
      </x:c>
      <x:c r="G279" s="11" t="str">
        <x:v>תחבורה</x:v>
      </x:c>
      <x:c r="H279" s="11" t="str">
        <x:v>אמקס עינור</x:v>
      </x:c>
      <x:c r="I279" s="11" t="str">
        <x:v>מאושר</x:v>
      </x:c>
    </x:row>
    <x:row r="280">
      <x:c r="B280" s="11" t="str">
        <x:v>סיישל 25</x:v>
      </x:c>
      <x:c r="C280" s="11" t="n">
        <x:v>47</x:v>
      </x:c>
      <x:c r="D280" s="11" t="str">
        <x:v>14</x:v>
      </x:c>
      <x:c r="E280" s="11" t="str">
        <x:v>תוספת ביטוח</x:v>
      </x:c>
      <x:c r="F280" s="16" t="n">
        <x:v>45</x:v>
      </x:c>
      <x:c r="G280" s="11" t="str">
        <x:v>מנהלתי</x:v>
      </x:c>
      <x:c r="H280" s="11" t="str">
        <x:v>מקס עינור</x:v>
      </x:c>
      <x:c r="I280" s="11" t="str">
        <x:v>מאושר</x:v>
      </x:c>
    </x:row>
    <x:row r="281">
      <x:c r="B281" s="11" t="str">
        <x:v>סיישל 25</x:v>
      </x:c>
      <x:c r="C281" s="11" t="n">
        <x:v>91</x:v>
      </x:c>
      <x:c r="D281" s="11" t="str">
        <x:v>סכ"ה</x:v>
      </x:c>
      <x:c r="E281" s="11" t="str"/>
      <x:c r="F281" s="16" t="n">
        <x:v>20914</x:v>
      </x:c>
      <x:c r="G281" s="11" t="str"/>
      <x:c r="H281" s="11" t="str"/>
      <x:c r="I281" s="11" t="str">
        <x:v>מאושר</x:v>
      </x:c>
    </x:row>
    <x:row r="282">
      <x:c r="B282" s="11" t="str">
        <x:v>פריז 25</x:v>
      </x:c>
      <x:c r="C282" s="11" t="n">
        <x:v>2</x:v>
      </x:c>
      <x:c r="D282" s="11" t="str">
        <x:v>30.7</x:v>
      </x:c>
      <x:c r="E282" s="11" t="str">
        <x:v>טיסה</x:v>
      </x:c>
      <x:c r="F282" s="16" t="n">
        <x:v>3531</x:v>
      </x:c>
      <x:c r="G282" s="11" t="str">
        <x:v>טיסה</x:v>
      </x:c>
      <x:c r="H282" s="11" t="str">
        <x:v>אמקס זיו</x:v>
      </x:c>
      <x:c r="I282" s="11" t="str">
        <x:v>מאושר</x:v>
      </x:c>
    </x:row>
    <x:row r="283">
      <x:c r="B283" s="11" t="str">
        <x:v>פריז 25</x:v>
      </x:c>
      <x:c r="C283" s="11" t="n">
        <x:v>3</x:v>
      </x:c>
      <x:c r="D283" s="11" t="str">
        <x:v>14.11</x:v>
      </x:c>
      <x:c r="E283" s="11" t="str">
        <x:v>יומולדת עינור</x:v>
      </x:c>
      <x:c r="F283" s="16" t="n">
        <x:v>827</x:v>
      </x:c>
      <x:c r="G283" s="11" t="str">
        <x:v>אטרקציות</x:v>
      </x:c>
      <x:c r="H283" s="11" t="str">
        <x:v>אמקס זיו</x:v>
      </x:c>
      <x:c r="I283" s="11" t="str">
        <x:v>מאושר</x:v>
      </x:c>
    </x:row>
    <x:row r="284">
      <x:c r="B284" s="11" t="str">
        <x:v>פריז 25</x:v>
      </x:c>
      <x:c r="C284" s="11" t="n">
        <x:v>4</x:v>
      </x:c>
      <x:c r="D284" s="11" t="str">
        <x:v>14.11</x:v>
      </x:c>
      <x:c r="E284" s="11" t="str">
        <x:v>סיור אוכל אופציה 1</x:v>
      </x:c>
      <x:c r="F284" s="16" t="n">
        <x:v>858</x:v>
      </x:c>
      <x:c r="G284" s="11" t="str">
        <x:v>אטרקציות</x:v>
      </x:c>
      <x:c r="H284" s="11" t="str">
        <x:v>אמקס עינור</x:v>
      </x:c>
      <x:c r="I284" s="11" t="str">
        <x:v>מאושר</x:v>
      </x:c>
    </x:row>
    <x:row r="285">
      <x:c r="B285" s="11" t="str">
        <x:v>פריז 25</x:v>
      </x:c>
      <x:c r="C285" s="11" t="n">
        <x:v>5</x:v>
      </x:c>
      <x:c r="D285" s="11" t="str">
        <x:v>14.11</x:v>
      </x:c>
      <x:c r="E285" s="11" t="str">
        <x:v>סיור אוכל אופציה 2</x:v>
      </x:c>
      <x:c r="F285" s="16" t="n">
        <x:v>1</x:v>
      </x:c>
      <x:c r="G285" s="11" t="str">
        <x:v>אטרקציות</x:v>
      </x:c>
      <x:c r="H285" s="11" t="str">
        <x:v>אמקס עינור</x:v>
      </x:c>
      <x:c r="I285" s="11" t="str">
        <x:v>מאושר</x:v>
      </x:c>
    </x:row>
    <x:row r="286">
      <x:c r="B286" s="11" t="str">
        <x:v>פריז 25</x:v>
      </x:c>
      <x:c r="C286" s="11" t="n">
        <x:v>6</x:v>
      </x:c>
      <x:c r="D286" s="11" t="str">
        <x:v>29</x:v>
      </x:c>
      <x:c r="E286" s="11" t="str">
        <x:v>קרפור</x:v>
      </x:c>
      <x:c r="F286" s="16" t="n">
        <x:v>20</x:v>
      </x:c>
      <x:c r="G286" s="11" t="str">
        <x:v>אוכל</x:v>
      </x:c>
      <x:c r="H286" s="11" t="str">
        <x:v>10 עינור</x:v>
      </x:c>
      <x:c r="I286" s="11" t="str">
        <x:v>מאושר</x:v>
      </x:c>
    </x:row>
    <x:row r="287">
      <x:c r="B287" s="11" t="str">
        <x:v>פריז 25</x:v>
      </x:c>
      <x:c r="C287" s="11" t="n">
        <x:v>7</x:v>
      </x:c>
      <x:c r="D287" s="11" t="str">
        <x:v>29</x:v>
      </x:c>
      <x:c r="E287" s="11" t="str">
        <x:v>אוכל</x:v>
      </x:c>
      <x:c r="F287" s="16" t="n">
        <x:v>45</x:v>
      </x:c>
      <x:c r="G287" s="11" t="str">
        <x:v>אוכל</x:v>
      </x:c>
      <x:c r="H287" s="11" t="str">
        <x:v>11 עינור</x:v>
      </x:c>
      <x:c r="I287" s="11" t="str">
        <x:v>מאושר</x:v>
      </x:c>
    </x:row>
    <x:row r="288">
      <x:c r="B288" s="11" t="str">
        <x:v>פריז 25</x:v>
      </x:c>
      <x:c r="C288" s="11" t="n">
        <x:v>8</x:v>
      </x:c>
      <x:c r="D288" s="11" t="str">
        <x:v>30</x:v>
      </x:c>
      <x:c r="E288" s="11" t="str">
        <x:v>קפה</x:v>
      </x:c>
      <x:c r="F288" s="16" t="n">
        <x:v>22</x:v>
      </x:c>
      <x:c r="G288" s="11" t="str">
        <x:v>אוכל</x:v>
      </x:c>
      <x:c r="H288" s="11" t="str">
        <x:v>12 עינור</x:v>
      </x:c>
      <x:c r="I288" s="11" t="str">
        <x:v>מאושר</x:v>
      </x:c>
    </x:row>
    <x:row r="289">
      <x:c r="B289" s="11" t="str">
        <x:v>פריז 25</x:v>
      </x:c>
      <x:c r="C289" s="11" t="n">
        <x:v>9</x:v>
      </x:c>
      <x:c r="D289" s="11" t="str">
        <x:v>26</x:v>
      </x:c>
      <x:c r="E289" s="11" t="str">
        <x:v>מונית</x:v>
      </x:c>
      <x:c r="F289" s="16" t="n">
        <x:v>150</x:v>
      </x:c>
      <x:c r="G289" s="11" t="str">
        <x:v>תחבורה</x:v>
      </x:c>
      <x:c r="H289" s="11" t="str">
        <x:v>קורפרייט זיו</x:v>
      </x:c>
      <x:c r="I289" s="11" t="str">
        <x:v>מאושר</x:v>
      </x:c>
    </x:row>
    <x:row r="290">
      <x:c r="B290" s="11" t="str">
        <x:v>פריז 25</x:v>
      </x:c>
      <x:c r="C290" s="11" t="n">
        <x:v>10</x:v>
      </x:c>
      <x:c r="D290" s="11" t="str">
        <x:v>26</x:v>
      </x:c>
      <x:c r="E290" s="11" t="str">
        <x:v>ראמן</x:v>
      </x:c>
      <x:c r="F290" s="16" t="n">
        <x:v>173</x:v>
      </x:c>
      <x:c r="G290" s="11" t="str">
        <x:v>אוכל</x:v>
      </x:c>
      <x:c r="H290" s="11" t="str">
        <x:v>קורפרייט זיו</x:v>
      </x:c>
      <x:c r="I290" s="11" t="str">
        <x:v>מאושר</x:v>
      </x:c>
    </x:row>
    <x:row r="291">
      <x:c r="B291" s="11" t="str">
        <x:v>פריז 25</x:v>
      </x:c>
      <x:c r="C291" s="11" t="n">
        <x:v>11</x:v>
      </x:c>
      <x:c r="D291" s="11" t="str">
        <x:v>26</x:v>
      </x:c>
      <x:c r="E291" s="11" t="str">
        <x:v>תחבץ</x:v>
      </x:c>
      <x:c r="F291" s="16" t="n">
        <x:v>15</x:v>
      </x:c>
      <x:c r="G291" s="11" t="str">
        <x:v>תחבורה</x:v>
      </x:c>
      <x:c r="H291" s="11" t="str">
        <x:v>קורפרייט זיו</x:v>
      </x:c>
      <x:c r="I291" s="11" t="str">
        <x:v>מאושר</x:v>
      </x:c>
    </x:row>
    <x:row r="292">
      <x:c r="B292" s="11" t="str">
        <x:v>פריז 25</x:v>
      </x:c>
      <x:c r="C292" s="11" t="n">
        <x:v>12</x:v>
      </x:c>
      <x:c r="D292" s="11" t="str">
        <x:v>26</x:v>
      </x:c>
      <x:c r="E292" s="11" t="str">
        <x:v>גלגל ענק</x:v>
      </x:c>
      <x:c r="F292" s="16" t="n">
        <x:v>75</x:v>
      </x:c>
      <x:c r="G292" s="11" t="str">
        <x:v>אטרקציות</x:v>
      </x:c>
      <x:c r="H292" s="11" t="str">
        <x:v>קורפרייט זיו</x:v>
      </x:c>
      <x:c r="I292" s="11" t="str">
        <x:v>מאושר</x:v>
      </x:c>
    </x:row>
    <x:row r="293">
      <x:c r="B293" s="11" t="str">
        <x:v>פריז 25</x:v>
      </x:c>
      <x:c r="C293" s="11" t="n">
        <x:v>13</x:v>
      </x:c>
      <x:c r="D293" s="11" t="str">
        <x:v>26</x:v>
      </x:c>
      <x:c r="E293" s="11" t="str">
        <x:v>שוקו</x:v>
      </x:c>
      <x:c r="F293" s="16" t="n">
        <x:v>38</x:v>
      </x:c>
      <x:c r="G293" s="11" t="str">
        <x:v>אוכל</x:v>
      </x:c>
      <x:c r="H293" s="11" t="str">
        <x:v>קורפרייט זיו</x:v>
      </x:c>
      <x:c r="I293" s="11" t="str">
        <x:v>מאושר</x:v>
      </x:c>
    </x:row>
    <x:row r="294">
      <x:c r="B294" s="11" t="str">
        <x:v>פריז 25</x:v>
      </x:c>
      <x:c r="C294" s="11" t="n">
        <x:v>14</x:v>
      </x:c>
      <x:c r="D294" s="11" t="str">
        <x:v>26</x:v>
      </x:c>
      <x:c r="E294" s="11" t="str">
        <x:v>צורוס</x:v>
      </x:c>
      <x:c r="F294" s="16" t="n">
        <x:v>38</x:v>
      </x:c>
      <x:c r="G294" s="11" t="str">
        <x:v>אוכל</x:v>
      </x:c>
      <x:c r="H294" s="11" t="str">
        <x:v>קורפרייט זיו</x:v>
      </x:c>
      <x:c r="I294" s="11" t="str">
        <x:v>מאושר</x:v>
      </x:c>
    </x:row>
    <x:row r="295">
      <x:c r="B295" s="11" t="str">
        <x:v>פריז 25</x:v>
      </x:c>
      <x:c r="C295" s="11" t="n">
        <x:v>15</x:v>
      </x:c>
      <x:c r="D295" s="11" t="str">
        <x:v>26</x:v>
      </x:c>
      <x:c r="E295" s="11" t="str">
        <x:v>קרפור</x:v>
      </x:c>
      <x:c r="F295" s="16" t="n">
        <x:v>35</x:v>
      </x:c>
      <x:c r="G295" s="11" t="str">
        <x:v>אוכל</x:v>
      </x:c>
      <x:c r="H295" s="11" t="str">
        <x:v>קורפרייט זיו</x:v>
      </x:c>
      <x:c r="I295" s="11" t="str">
        <x:v>מאושר</x:v>
      </x:c>
    </x:row>
    <x:row r="296">
      <x:c r="B296" s="11" t="str">
        <x:v>פריז 25</x:v>
      </x:c>
      <x:c r="C296" s="11" t="n">
        <x:v>16</x:v>
      </x:c>
      <x:c r="D296" s="11" t="str">
        <x:v>26</x:v>
      </x:c>
      <x:c r="E296" s="11" t="str">
        <x:v>סופר</x:v>
      </x:c>
      <x:c r="F296" s="16" t="n">
        <x:v>29</x:v>
      </x:c>
      <x:c r="G296" s="11" t="str">
        <x:v>אוכל</x:v>
      </x:c>
      <x:c r="H296" s="11" t="str">
        <x:v>קורפרייט זיו</x:v>
      </x:c>
      <x:c r="I296" s="11" t="str">
        <x:v>מאושר</x:v>
      </x:c>
    </x:row>
    <x:row r="297">
      <x:c r="B297" s="11" t="str">
        <x:v>פריז 25</x:v>
      </x:c>
      <x:c r="C297" s="11" t="n">
        <x:v>17</x:v>
      </x:c>
      <x:c r="D297" s="11" t="str">
        <x:v>26</x:v>
      </x:c>
      <x:c r="E297" s="11" t="str">
        <x:v>תחבץ</x:v>
      </x:c>
      <x:c r="F297" s="16" t="n">
        <x:v>90</x:v>
      </x:c>
      <x:c r="G297" s="11" t="str">
        <x:v>תחבורה</x:v>
      </x:c>
      <x:c r="H297" s="11" t="str">
        <x:v>קורפרייט זיו</x:v>
      </x:c>
      <x:c r="I297" s="11" t="str">
        <x:v>מאושר</x:v>
      </x:c>
    </x:row>
    <x:row r="298">
      <x:c r="B298" s="11" t="str">
        <x:v>פריז 25</x:v>
      </x:c>
      <x:c r="C298" s="11" t="n">
        <x:v>18</x:v>
      </x:c>
      <x:c r="D298" s="11" t="str">
        <x:v>26</x:v>
      </x:c>
      <x:c r="E298" s="11" t="str">
        <x:v>קפה</x:v>
      </x:c>
      <x:c r="F298" s="16" t="n">
        <x:v>24</x:v>
      </x:c>
      <x:c r="G298" s="11" t="str">
        <x:v>אוכל</x:v>
      </x:c>
      <x:c r="H298" s="11" t="str">
        <x:v>קורפרייט זיו</x:v>
      </x:c>
      <x:c r="I298" s="11" t="str">
        <x:v>מאושר</x:v>
      </x:c>
    </x:row>
    <x:row r="299">
      <x:c r="B299" s="11" t="str">
        <x:v>פריז 25</x:v>
      </x:c>
      <x:c r="C299" s="11" t="n">
        <x:v>19</x:v>
      </x:c>
      <x:c r="D299" s="11" t="str">
        <x:v>27</x:v>
      </x:c>
      <x:c r="E299" s="11" t="str">
        <x:v>משהו</x:v>
      </x:c>
      <x:c r="F299" s="16" t="n">
        <x:v>4</x:v>
      </x:c>
      <x:c r="G299" s="11" t="str">
        <x:v>אוכל</x:v>
      </x:c>
      <x:c r="H299" s="11" t="str">
        <x:v>קורפרייט זיו</x:v>
      </x:c>
      <x:c r="I299" s="11" t="str">
        <x:v>מאושר</x:v>
      </x:c>
    </x:row>
    <x:row r="300">
      <x:c r="B300" s="11" t="str">
        <x:v>פריז 25</x:v>
      </x:c>
      <x:c r="C300" s="11" t="n">
        <x:v>20</x:v>
      </x:c>
      <x:c r="D300" s="11" t="str">
        <x:v>27</x:v>
      </x:c>
      <x:c r="E300" s="11" t="str">
        <x:v>לינט</x:v>
      </x:c>
      <x:c r="F300" s="16" t="n">
        <x:v>15</x:v>
      </x:c>
      <x:c r="G300" s="11" t="str">
        <x:v>אוכל</x:v>
      </x:c>
      <x:c r="H300" s="11" t="str">
        <x:v>קורפרייט זיו</x:v>
      </x:c>
      <x:c r="I300" s="11" t="str">
        <x:v>מאושר</x:v>
      </x:c>
    </x:row>
    <x:row r="301">
      <x:c r="B301" s="11" t="str">
        <x:v>פריז 25</x:v>
      </x:c>
      <x:c r="C301" s="11" t="n">
        <x:v>21</x:v>
      </x:c>
      <x:c r="D301" s="11" t="str">
        <x:v>27</x:v>
      </x:c>
      <x:c r="E301" s="11" t="str">
        <x:v>שוקו</x:v>
      </x:c>
      <x:c r="F301" s="16" t="n">
        <x:v>54</x:v>
      </x:c>
      <x:c r="G301" s="11" t="str">
        <x:v>אוכל</x:v>
      </x:c>
      <x:c r="H301" s="11" t="str">
        <x:v>קורפרייט זיו</x:v>
      </x:c>
      <x:c r="I301" s="11" t="str">
        <x:v>מאושר</x:v>
      </x:c>
    </x:row>
    <x:row r="302">
      <x:c r="B302" s="11" t="str">
        <x:v>פריז 25</x:v>
      </x:c>
      <x:c r="C302" s="11" t="n">
        <x:v>22</x:v>
      </x:c>
      <x:c r="D302" s="11" t="str">
        <x:v>27</x:v>
      </x:c>
      <x:c r="E302" s="11" t="str">
        <x:v>קפה</x:v>
      </x:c>
      <x:c r="F302" s="16" t="n">
        <x:v>32</x:v>
      </x:c>
      <x:c r="G302" s="11" t="str">
        <x:v>אוכל</x:v>
      </x:c>
      <x:c r="H302" s="11" t="str">
        <x:v>קורפרייט זיו</x:v>
      </x:c>
      <x:c r="I302" s="11" t="str">
        <x:v>מאושר</x:v>
      </x:c>
    </x:row>
    <x:row r="303">
      <x:c r="B303" s="11" t="str">
        <x:v>פריז 25</x:v>
      </x:c>
      <x:c r="C303" s="11" t="n">
        <x:v>23</x:v>
      </x:c>
      <x:c r="D303" s="11" t="str">
        <x:v>27</x:v>
      </x:c>
      <x:c r="E303" s="11" t="str">
        <x:v>יין</x:v>
      </x:c>
      <x:c r="F303" s="16" t="n">
        <x:v>139</x:v>
      </x:c>
      <x:c r="G303" s="11" t="str">
        <x:v>אוכל</x:v>
      </x:c>
      <x:c r="H303" s="11" t="str">
        <x:v>קורפרייט זיו</x:v>
      </x:c>
      <x:c r="I303" s="11" t="str">
        <x:v>מאושר</x:v>
      </x:c>
    </x:row>
    <x:row r="304">
      <x:c r="B304" s="11" t="str">
        <x:v>פריז 25</x:v>
      </x:c>
      <x:c r="C304" s="11" t="n">
        <x:v>24</x:v>
      </x:c>
      <x:c r="D304" s="11" t="str">
        <x:v>27</x:v>
      </x:c>
      <x:c r="E304" s="11" t="str">
        <x:v>אוכל</x:v>
      </x:c>
      <x:c r="F304" s="16" t="n">
        <x:v>68</x:v>
      </x:c>
      <x:c r="G304" s="11" t="str">
        <x:v>אוכל</x:v>
      </x:c>
      <x:c r="H304" s="11" t="str">
        <x:v>קורפרייט זיו</x:v>
      </x:c>
      <x:c r="I304" s="11" t="str">
        <x:v>מאושר</x:v>
      </x:c>
    </x:row>
    <x:row r="305">
      <x:c r="B305" s="11" t="str">
        <x:v>פריז 25</x:v>
      </x:c>
      <x:c r="C305" s="11" t="n">
        <x:v>25</x:v>
      </x:c>
      <x:c r="D305" s="11" t="str">
        <x:v>27</x:v>
      </x:c>
      <x:c r="E305" s="11" t="str">
        <x:v>שוקו</x:v>
      </x:c>
      <x:c r="F305" s="16" t="n">
        <x:v>23</x:v>
      </x:c>
      <x:c r="G305" s="11" t="str">
        <x:v>אוכל</x:v>
      </x:c>
      <x:c r="H305" s="11" t="str">
        <x:v>קורפרייט זיו</x:v>
      </x:c>
      <x:c r="I305" s="11" t="str">
        <x:v>מאושר</x:v>
      </x:c>
    </x:row>
    <x:row r="306">
      <x:c r="B306" s="11" t="str">
        <x:v>פריז 25</x:v>
      </x:c>
      <x:c r="C306" s="11" t="n">
        <x:v>26</x:v>
      </x:c>
      <x:c r="D306" s="11" t="str">
        <x:v>27</x:v>
      </x:c>
      <x:c r="E306" s="11" t="str">
        <x:v>קרפור</x:v>
      </x:c>
      <x:c r="F306" s="16" t="n">
        <x:v>8</x:v>
      </x:c>
      <x:c r="G306" s="11" t="str">
        <x:v>אוכל</x:v>
      </x:c>
      <x:c r="H306" s="11" t="str">
        <x:v>קורפרייט זיו</x:v>
      </x:c>
      <x:c r="I306" s="11" t="str">
        <x:v>מאושר</x:v>
      </x:c>
    </x:row>
    <x:row r="307">
      <x:c r="B307" s="11" t="str">
        <x:v>פריז 25</x:v>
      </x:c>
      <x:c r="C307" s="11" t="n">
        <x:v>27</x:v>
      </x:c>
      <x:c r="D307" s="11" t="str">
        <x:v>27</x:v>
      </x:c>
      <x:c r="E307" s="11" t="str">
        <x:v>אוכל</x:v>
      </x:c>
      <x:c r="F307" s="16" t="n">
        <x:v>132</x:v>
      </x:c>
      <x:c r="G307" s="11" t="str">
        <x:v>אוכל</x:v>
      </x:c>
      <x:c r="H307" s="11" t="str">
        <x:v>קורפרייט זיו</x:v>
      </x:c>
      <x:c r="I307" s="11" t="str">
        <x:v>מאושר</x:v>
      </x:c>
    </x:row>
    <x:row r="308">
      <x:c r="B308" s="11" t="str">
        <x:v>פריז 25</x:v>
      </x:c>
      <x:c r="C308" s="11" t="n">
        <x:v>28</x:v>
      </x:c>
      <x:c r="D308" s="11" t="str">
        <x:v>28</x:v>
      </x:c>
      <x:c r="E308" s="11" t="str">
        <x:v>תחבץ</x:v>
      </x:c>
      <x:c r="F308" s="16" t="n">
        <x:v>18</x:v>
      </x:c>
      <x:c r="G308" s="11" t="str">
        <x:v>תחבורה</x:v>
      </x:c>
      <x:c r="H308" s="11" t="str">
        <x:v>קורפרייט זיו</x:v>
      </x:c>
      <x:c r="I308" s="11" t="str">
        <x:v>מאושר</x:v>
      </x:c>
    </x:row>
    <x:row r="309">
      <x:c r="B309" s="11" t="str">
        <x:v>פריז 25</x:v>
      </x:c>
      <x:c r="C309" s="11" t="n">
        <x:v>29</x:v>
      </x:c>
      <x:c r="D309" s="11" t="str">
        <x:v>28</x:v>
      </x:c>
      <x:c r="E309" s="11" t="str">
        <x:v>תחבץ</x:v>
      </x:c>
      <x:c r="F309" s="16" t="n">
        <x:v>90</x:v>
      </x:c>
      <x:c r="G309" s="11" t="str">
        <x:v>תחבורה</x:v>
      </x:c>
      <x:c r="H309" s="11" t="str">
        <x:v>קורפרייט זיו</x:v>
      </x:c>
      <x:c r="I309" s="11" t="str">
        <x:v>מאושר</x:v>
      </x:c>
    </x:row>
    <x:row r="310">
      <x:c r="B310" s="11" t="str">
        <x:v>פריז 25</x:v>
      </x:c>
      <x:c r="C310" s="11" t="n">
        <x:v>30</x:v>
      </x:c>
      <x:c r="D310" s="11" t="str">
        <x:v>28</x:v>
      </x:c>
      <x:c r="E310" s="11" t="str">
        <x:v>תחבץ</x:v>
      </x:c>
      <x:c r="F310" s="16" t="n">
        <x:v>36</x:v>
      </x:c>
      <x:c r="G310" s="11" t="str">
        <x:v>תחבורה</x:v>
      </x:c>
      <x:c r="H310" s="11" t="str">
        <x:v>קורפרייט זיו</x:v>
      </x:c>
      <x:c r="I310" s="11" t="str">
        <x:v>מאושר</x:v>
      </x:c>
    </x:row>
    <x:row r="311">
      <x:c r="B311" s="11" t="str">
        <x:v>פריז 25</x:v>
      </x:c>
      <x:c r="C311" s="11" t="n">
        <x:v>31</x:v>
      </x:c>
      <x:c r="D311" s="11" t="str">
        <x:v>28</x:v>
      </x:c>
      <x:c r="E311" s="11" t="str">
        <x:v>מוס</x:v>
      </x:c>
      <x:c r="F311" s="16" t="n">
        <x:v>26</x:v>
      </x:c>
      <x:c r="G311" s="11" t="str">
        <x:v>אוכל</x:v>
      </x:c>
      <x:c r="H311" s="11" t="str">
        <x:v>קורפרייט זיו</x:v>
      </x:c>
      <x:c r="I311" s="11" t="str">
        <x:v>מאושר</x:v>
      </x:c>
    </x:row>
    <x:row r="312">
      <x:c r="B312" s="11" t="str">
        <x:v>פריז 25</x:v>
      </x:c>
      <x:c r="C312" s="11" t="n">
        <x:v>32</x:v>
      </x:c>
      <x:c r="D312" s="11" t="str">
        <x:v>28</x:v>
      </x:c>
      <x:c r="E312" s="11" t="str">
        <x:v>אוכל</x:v>
      </x:c>
      <x:c r="F312" s="16" t="n">
        <x:v>147</x:v>
      </x:c>
      <x:c r="G312" s="11" t="str">
        <x:v>אוכל</x:v>
      </x:c>
      <x:c r="H312" s="11" t="str">
        <x:v>קורפרייט זיו</x:v>
      </x:c>
      <x:c r="I312" s="11" t="str">
        <x:v>מאושר</x:v>
      </x:c>
    </x:row>
    <x:row r="313">
      <x:c r="B313" s="11" t="str">
        <x:v>פריז 25</x:v>
      </x:c>
      <x:c r="C313" s="11" t="n">
        <x:v>33</x:v>
      </x:c>
      <x:c r="D313" s="11" t="str">
        <x:v>28</x:v>
      </x:c>
      <x:c r="E313" s="11" t="str">
        <x:v>פארמה</x:v>
      </x:c>
      <x:c r="F313" s="16" t="n">
        <x:v>34</x:v>
      </x:c>
      <x:c r="G313" s="11" t="str">
        <x:v>מנהלתי</x:v>
      </x:c>
      <x:c r="H313" s="11" t="str">
        <x:v>קורפרייט זיו</x:v>
      </x:c>
      <x:c r="I313" s="11" t="str">
        <x:v>מאושר</x:v>
      </x:c>
    </x:row>
    <x:row r="314">
      <x:c r="B314" s="11" t="str">
        <x:v>פריז 25</x:v>
      </x:c>
      <x:c r="C314" s="11" t="n">
        <x:v>34</x:v>
      </x:c>
      <x:c r="D314" s="11" t="str">
        <x:v>28</x:v>
      </x:c>
      <x:c r="E314" s="11" t="str">
        <x:v>שוקו</x:v>
      </x:c>
      <x:c r="F314" s="16" t="n">
        <x:v>23</x:v>
      </x:c>
      <x:c r="G314" s="11" t="str">
        <x:v>אוכל</x:v>
      </x:c>
      <x:c r="H314" s="11" t="str">
        <x:v>קורפרייט זיו</x:v>
      </x:c>
      <x:c r="I314" s="11" t="str">
        <x:v>מאושר</x:v>
      </x:c>
    </x:row>
    <x:row r="315">
      <x:c r="B315" s="11" t="str">
        <x:v>פריז 25</x:v>
      </x:c>
      <x:c r="C315" s="11" t="n">
        <x:v>35</x:v>
      </x:c>
      <x:c r="D315" s="11" t="str">
        <x:v>28</x:v>
      </x:c>
      <x:c r="E315" s="11" t="str">
        <x:v>אוכל</x:v>
      </x:c>
      <x:c r="F315" s="16" t="n">
        <x:v>130</x:v>
      </x:c>
      <x:c r="G315" s="11" t="str">
        <x:v>אוכל</x:v>
      </x:c>
      <x:c r="H315" s="11" t="str">
        <x:v>קורפרייט זיו</x:v>
      </x:c>
      <x:c r="I315" s="11" t="str">
        <x:v>מאושר</x:v>
      </x:c>
    </x:row>
    <x:row r="316">
      <x:c r="B316" s="11" t="str">
        <x:v>פריז 25</x:v>
      </x:c>
      <x:c r="C316" s="11" t="n">
        <x:v>36</x:v>
      </x:c>
      <x:c r="D316" s="11" t="str">
        <x:v>28</x:v>
      </x:c>
      <x:c r="E316" s="11" t="str">
        <x:v>משהו</x:v>
      </x:c>
      <x:c r="F316" s="16" t="n">
        <x:v>44</x:v>
      </x:c>
      <x:c r="G316" s="11" t="str">
        <x:v>אוכל</x:v>
      </x:c>
      <x:c r="H316" s="11" t="str">
        <x:v>קורפרייט זיו</x:v>
      </x:c>
      <x:c r="I316" s="11" t="str">
        <x:v>מאושר</x:v>
      </x:c>
    </x:row>
    <x:row r="317">
      <x:c r="B317" s="11" t="str">
        <x:v>פריז 25</x:v>
      </x:c>
      <x:c r="C317" s="11" t="n">
        <x:v>37</x:v>
      </x:c>
      <x:c r="D317" s="11" t="str">
        <x:v>29</x:v>
      </x:c>
      <x:c r="E317" s="11" t="str">
        <x:v>אוכל</x:v>
      </x:c>
      <x:c r="F317" s="16" t="n">
        <x:v>311</x:v>
      </x:c>
      <x:c r="G317" s="11" t="str">
        <x:v>אוכל</x:v>
      </x:c>
      <x:c r="H317" s="11" t="str">
        <x:v>קורפרייט זיו</x:v>
      </x:c>
      <x:c r="I317" s="11" t="str">
        <x:v>מאושר</x:v>
      </x:c>
    </x:row>
    <x:row r="318">
      <x:c r="B318" s="11" t="str">
        <x:v>פריז 25</x:v>
      </x:c>
      <x:c r="C318" s="11" t="n">
        <x:v>38</x:v>
      </x:c>
      <x:c r="D318" s="11" t="str">
        <x:v>29</x:v>
      </x:c>
      <x:c r="E318" s="11" t="str">
        <x:v>לינט</x:v>
      </x:c>
      <x:c r="F318" s="16" t="n">
        <x:v>15</x:v>
      </x:c>
      <x:c r="G318" s="11" t="str">
        <x:v>אוכל</x:v>
      </x:c>
      <x:c r="H318" s="11" t="str">
        <x:v>קורפרייט זיו</x:v>
      </x:c>
      <x:c r="I318" s="11" t="str">
        <x:v>מאושר</x:v>
      </x:c>
    </x:row>
    <x:row r="319">
      <x:c r="B319" s="11" t="str">
        <x:v>פריז 25</x:v>
      </x:c>
      <x:c r="C319" s="11" t="n">
        <x:v>39</x:v>
      </x:c>
      <x:c r="D319" s="11" t="str">
        <x:v>29</x:v>
      </x:c>
      <x:c r="E319" s="11" t="str">
        <x:v>סופר</x:v>
      </x:c>
      <x:c r="F319" s="16" t="n">
        <x:v>70</x:v>
      </x:c>
      <x:c r="G319" s="11" t="str">
        <x:v>אוכל</x:v>
      </x:c>
      <x:c r="H319" s="11" t="str">
        <x:v>קורפרייט זיו</x:v>
      </x:c>
      <x:c r="I319" s="11" t="str">
        <x:v>מאושר</x:v>
      </x:c>
    </x:row>
    <x:row r="320">
      <x:c r="B320" s="11" t="str">
        <x:v>פריז 25</x:v>
      </x:c>
      <x:c r="C320" s="11" t="n">
        <x:v>40</x:v>
      </x:c>
      <x:c r="D320" s="11" t="str">
        <x:v>29</x:v>
      </x:c>
      <x:c r="E320" s="11" t="str">
        <x:v>כוס שוט</x:v>
      </x:c>
      <x:c r="F320" s="16" t="n">
        <x:v>15</x:v>
      </x:c>
      <x:c r="G320" s="11" t="str">
        <x:v>קניות</x:v>
      </x:c>
      <x:c r="H320" s="11" t="str">
        <x:v>קורפרייט זיו</x:v>
      </x:c>
      <x:c r="I320" s="11" t="str">
        <x:v>מאושר</x:v>
      </x:c>
    </x:row>
    <x:row r="321">
      <x:c r="B321" s="11" t="str">
        <x:v>פריז 25</x:v>
      </x:c>
      <x:c r="C321" s="11" t="n">
        <x:v>41</x:v>
      </x:c>
      <x:c r="D321" s="11" t="str">
        <x:v>29</x:v>
      </x:c>
      <x:c r="E321" s="11" t="str">
        <x:v>אוכל</x:v>
      </x:c>
      <x:c r="F321" s="16" t="n">
        <x:v>225</x:v>
      </x:c>
      <x:c r="G321" s="11" t="str">
        <x:v>אוכל</x:v>
      </x:c>
      <x:c r="H321" s="11" t="str">
        <x:v>קורפרייט זיו</x:v>
      </x:c>
      <x:c r="I321" s="11" t="str">
        <x:v>מאושר</x:v>
      </x:c>
    </x:row>
    <x:row r="322">
      <x:c r="B322" s="11" t="str">
        <x:v>פריז 25</x:v>
      </x:c>
      <x:c r="C322" s="11" t="n">
        <x:v>42</x:v>
      </x:c>
      <x:c r="D322" s="11" t="str">
        <x:v>29</x:v>
      </x:c>
      <x:c r="E322" s="11" t="str">
        <x:v>אוכל</x:v>
      </x:c>
      <x:c r="F322" s="16" t="n">
        <x:v>50</x:v>
      </x:c>
      <x:c r="G322" s="11" t="str">
        <x:v>אוכל</x:v>
      </x:c>
      <x:c r="H322" s="11" t="str">
        <x:v>קורפרייט זיו</x:v>
      </x:c>
      <x:c r="I322" s="11" t="str">
        <x:v>מאושר</x:v>
      </x:c>
    </x:row>
    <x:row r="323">
      <x:c r="B323" s="11" t="str">
        <x:v>פריז 25</x:v>
      </x:c>
      <x:c r="C323" s="11" t="n">
        <x:v>43</x:v>
      </x:c>
      <x:c r="D323" s="11" t="str">
        <x:v>29</x:v>
      </x:c>
      <x:c r="E323" s="11" t="str">
        <x:v>פארמה</x:v>
      </x:c>
      <x:c r="F323" s="16" t="n">
        <x:v>19</x:v>
      </x:c>
      <x:c r="G323" s="11" t="str">
        <x:v>מנהלתי</x:v>
      </x:c>
      <x:c r="H323" s="11" t="str">
        <x:v>קורפרייט זיו</x:v>
      </x:c>
      <x:c r="I323" s="11" t="str">
        <x:v>מאושר</x:v>
      </x:c>
    </x:row>
    <x:row r="324">
      <x:c r="B324" s="11" t="str">
        <x:v>פריז 25</x:v>
      </x:c>
      <x:c r="C324" s="11" t="n">
        <x:v>44</x:v>
      </x:c>
      <x:c r="D324" s="11" t="str">
        <x:v>29</x:v>
      </x:c>
      <x:c r="E324" s="11" t="str">
        <x:v>קפה</x:v>
      </x:c>
      <x:c r="F324" s="16" t="n">
        <x:v>21</x:v>
      </x:c>
      <x:c r="G324" s="11" t="str">
        <x:v>אוכל</x:v>
      </x:c>
      <x:c r="H324" s="11" t="str">
        <x:v>קורפרייט זיו</x:v>
      </x:c>
      <x:c r="I324" s="11" t="str">
        <x:v>מאושר</x:v>
      </x:c>
    </x:row>
    <x:row r="325">
      <x:c r="B325" s="11" t="str">
        <x:v>פריז 25</x:v>
      </x:c>
      <x:c r="C325" s="11" t="n">
        <x:v>45</x:v>
      </x:c>
      <x:c r="D325" s="11" t="str">
        <x:v>29</x:v>
      </x:c>
      <x:c r="E325" s="11" t="str">
        <x:v>שוקו</x:v>
      </x:c>
      <x:c r="F325" s="16" t="n">
        <x:v>22</x:v>
      </x:c>
      <x:c r="G325" s="11" t="str">
        <x:v>אוכל</x:v>
      </x:c>
      <x:c r="H325" s="11" t="str">
        <x:v>קורפרייט זיו</x:v>
      </x:c>
      <x:c r="I325" s="11" t="str">
        <x:v>מאושר</x:v>
      </x:c>
    </x:row>
    <x:row r="326">
      <x:c r="B326" s="11" t="str">
        <x:v>פריז 25</x:v>
      </x:c>
      <x:c r="C326" s="11" t="n">
        <x:v>46</x:v>
      </x:c>
      <x:c r="D326" s="11" t="str">
        <x:v>29</x:v>
      </x:c>
      <x:c r="E326" s="11" t="str">
        <x:v>משהו</x:v>
      </x:c>
      <x:c r="F326" s="16" t="n">
        <x:v>56</x:v>
      </x:c>
      <x:c r="G326" s="11" t="str">
        <x:v>אוכל</x:v>
      </x:c>
      <x:c r="H326" s="11" t="str">
        <x:v>קורפרייט זיו</x:v>
      </x:c>
      <x:c r="I326" s="11" t="str">
        <x:v>מאושר</x:v>
      </x:c>
    </x:row>
    <x:row r="327">
      <x:c r="B327" s="11" t="str">
        <x:v>פריז 25</x:v>
      </x:c>
      <x:c r="C327" s="11" t="n">
        <x:v>47</x:v>
      </x:c>
      <x:c r="D327" s="11" t="str">
        <x:v>30</x:v>
      </x:c>
      <x:c r="E327" s="11" t="str">
        <x:v>מונית</x:v>
      </x:c>
      <x:c r="F327" s="16" t="n">
        <x:v>130</x:v>
      </x:c>
      <x:c r="G327" s="11" t="str">
        <x:v>תחבורה</x:v>
      </x:c>
      <x:c r="H327" s="11" t="str">
        <x:v>קורפרייט זיו</x:v>
      </x:c>
      <x:c r="I327" s="11" t="str">
        <x:v>מאושר</x:v>
      </x:c>
    </x:row>
    <x:row r="328">
      <x:c r="B328" s="11" t="str">
        <x:v>פריז 25</x:v>
      </x:c>
      <x:c r="C328" s="11" t="n">
        <x:v>48</x:v>
      </x:c>
      <x:c r="D328" s="11" t="str">
        <x:v>30</x:v>
      </x:c>
      <x:c r="E328" s="11" t="str">
        <x:v>קפה</x:v>
      </x:c>
      <x:c r="F328" s="16" t="n">
        <x:v>22</x:v>
      </x:c>
      <x:c r="G328" s="11" t="str">
        <x:v>אוכל</x:v>
      </x:c>
      <x:c r="H328" s="11" t="str">
        <x:v>קורפרייט זיו</x:v>
      </x:c>
      <x:c r="I328" s="11" t="str">
        <x:v>מאושר</x:v>
      </x:c>
    </x:row>
    <x:row r="329">
      <x:c r="B329" s="11" t="str">
        <x:v>פריז 25</x:v>
      </x:c>
      <x:c r="C329" s="11" t="n">
        <x:v>49</x:v>
      </x:c>
      <x:c r="D329" s="11" t="str">
        <x:v>30</x:v>
      </x:c>
      <x:c r="E329" s="11" t="str">
        <x:v>אוכל</x:v>
      </x:c>
      <x:c r="F329" s="16" t="n">
        <x:v>184</x:v>
      </x:c>
      <x:c r="G329" s="11" t="str">
        <x:v>אוכל</x:v>
      </x:c>
      <x:c r="H329" s="11" t="str">
        <x:v>קורפרייט זיו</x:v>
      </x:c>
      <x:c r="I329" s="11" t="str">
        <x:v>מאושר</x:v>
      </x:c>
    </x:row>
    <x:row r="330">
      <x:c r="B330" s="11" t="str">
        <x:v>פריז 25</x:v>
      </x:c>
      <x:c r="C330" s="11" t="n">
        <x:v>50</x:v>
      </x:c>
      <x:c r="D330" s="11" t="str">
        <x:v>30</x:v>
      </x:c>
      <x:c r="E330" s="11" t="str">
        <x:v>אוכל</x:v>
      </x:c>
      <x:c r="F330" s="16" t="n">
        <x:v>37</x:v>
      </x:c>
      <x:c r="G330" s="11" t="str">
        <x:v>אוכל</x:v>
      </x:c>
      <x:c r="H330" s="11" t="str">
        <x:v>קורפרייט זיו</x:v>
      </x:c>
      <x:c r="I330" s="11" t="str">
        <x:v>מאושר</x:v>
      </x:c>
    </x:row>
    <x:row r="331">
      <x:c r="B331" s="11" t="str">
        <x:v>פריז 25</x:v>
      </x:c>
      <x:c r="C331" s="11" t="n">
        <x:v>51</x:v>
      </x:c>
      <x:c r="D331" s="11" t="str">
        <x:v>30</x:v>
      </x:c>
      <x:c r="E331" s="11" t="str">
        <x:v>סופר</x:v>
      </x:c>
      <x:c r="F331" s="16" t="n">
        <x:v>40</x:v>
      </x:c>
      <x:c r="G331" s="11" t="str">
        <x:v>אוכל</x:v>
      </x:c>
      <x:c r="H331" s="11" t="str">
        <x:v>קורפרייט זיו</x:v>
      </x:c>
      <x:c r="I331" s="11" t="str">
        <x:v>מאושר</x:v>
      </x:c>
    </x:row>
    <x:row r="332">
      <x:c r="B332" s="11" t="str">
        <x:v>פריז 25</x:v>
      </x:c>
      <x:c r="C332" s="11" t="n">
        <x:v>52</x:v>
      </x:c>
      <x:c r="D332" s="11" t="str">
        <x:v>30</x:v>
      </x:c>
      <x:c r="E332" s="11" t="str">
        <x:v>מוס</x:v>
      </x:c>
      <x:c r="F332" s="16" t="n">
        <x:v>52</x:v>
      </x:c>
      <x:c r="G332" s="11" t="str">
        <x:v>אוכל</x:v>
      </x:c>
      <x:c r="H332" s="11" t="str">
        <x:v>קורפרייט זיו</x:v>
      </x:c>
      <x:c r="I332" s="11" t="str">
        <x:v>מאושר</x:v>
      </x:c>
    </x:row>
    <x:row r="333">
      <x:c r="B333" s="11" t="str">
        <x:v>פריז 25</x:v>
      </x:c>
      <x:c r="C333" s="11" t="n">
        <x:v>53</x:v>
      </x:c>
      <x:c r="D333" s="11" t="str">
        <x:v>30</x:v>
      </x:c>
      <x:c r="E333" s="11" t="str">
        <x:v>בריז</x:v>
      </x:c>
      <x:c r="F333" s="16" t="n">
        <x:v>22</x:v>
      </x:c>
      <x:c r="G333" s="11" t="str">
        <x:v>אוכל</x:v>
      </x:c>
      <x:c r="H333" s="11" t="str">
        <x:v>קורפרייט זיו</x:v>
      </x:c>
      <x:c r="I333" s="11" t="str">
        <x:v>מאושר</x:v>
      </x:c>
    </x:row>
    <x:row r="334">
      <x:c r="B334" s="11" t="str">
        <x:v>פריז 25</x:v>
      </x:c>
      <x:c r="C334" s="11" t="n">
        <x:v>54</x:v>
      </x:c>
      <x:c r="D334" s="11" t="str">
        <x:v>30</x:v>
      </x:c>
      <x:c r="E334" s="11" t="str">
        <x:v>כריכים</x:v>
      </x:c>
      <x:c r="F334" s="16" t="n">
        <x:v>37</x:v>
      </x:c>
      <x:c r="G334" s="11" t="str">
        <x:v>אוכל</x:v>
      </x:c>
      <x:c r="H334" s="11" t="str">
        <x:v>קורפרייט זיו</x:v>
      </x:c>
      <x:c r="I334" s="11" t="str">
        <x:v>מאושר</x:v>
      </x:c>
    </x:row>
    <x:row r="335">
      <x:c r="B335" s="11" t="str">
        <x:v>פריז 25</x:v>
      </x:c>
      <x:c r="C335" s="11" t="n">
        <x:v>55</x:v>
      </x:c>
      <x:c r="D335" s="11" t="str">
        <x:v>14.11</x:v>
      </x:c>
      <x:c r="E335" s="11" t="str">
        <x:v>שייט</x:v>
      </x:c>
      <x:c r="F335" s="16" t="n">
        <x:v>827</x:v>
      </x:c>
      <x:c r="G335" s="11" t="str">
        <x:v>אטרקציות</x:v>
      </x:c>
      <x:c r="H335" s="11" t="str">
        <x:v>אמקס זיו</x:v>
      </x:c>
      <x:c r="I335" s="11" t="str">
        <x:v>מאושר</x:v>
      </x:c>
    </x:row>
    <x:row r="336">
      <x:c r="B336" s="11" t="str">
        <x:v>פריז 25</x:v>
      </x:c>
      <x:c r="C336" s="11" t="n">
        <x:v>56</x:v>
      </x:c>
      <x:c r="D336" s="11" t="str">
        <x:v>22</x:v>
      </x:c>
      <x:c r="E336" s="11" t="str">
        <x:v>מלון</x:v>
      </x:c>
      <x:c r="F336" s="16" t="n">
        <x:v>2742</x:v>
      </x:c>
      <x:c r="G336" s="11" t="str">
        <x:v>לינה</x:v>
      </x:c>
      <x:c r="H336" s="11" t="str">
        <x:v>אמקס עינור</x:v>
      </x:c>
      <x:c r="I336" s="11" t="str">
        <x:v>מאושר</x:v>
      </x:c>
    </x:row>
    <x:row r="337">
      <x:c r="B337" s="11" t="str">
        <x:v>פריז 25</x:v>
      </x:c>
      <x:c r="C337" s="11" t="n">
        <x:v>57</x:v>
      </x:c>
      <x:c r="D337" s="11" t="str">
        <x:v>26</x:v>
      </x:c>
      <x:c r="E337" s="11" t="str">
        <x:v>מס מלון</x:v>
      </x:c>
      <x:c r="F337" s="16" t="n">
        <x:v>166</x:v>
      </x:c>
      <x:c r="G337" s="11" t="str">
        <x:v>לינה</x:v>
      </x:c>
      <x:c r="H337" s="11" t="str">
        <x:v>אמקס עינור</x:v>
      </x:c>
      <x:c r="I337" s="11" t="str">
        <x:v>מאושר</x:v>
      </x:c>
    </x:row>
    <x:row r="338">
      <x:c r="B338" s="11" t="str">
        <x:v>פריז 25</x:v>
      </x:c>
      <x:c r="C338" s="11" t="n">
        <x:v>58</x:v>
      </x:c>
      <x:c r="D338" s="11" t="str">
        <x:v>28</x:v>
      </x:c>
      <x:c r="E338" s="11" t="str">
        <x:v>קלינקס</x:v>
      </x:c>
      <x:c r="F338" s="16" t="n">
        <x:v>10</x:v>
      </x:c>
      <x:c r="G338" s="11" t="str">
        <x:v>מנהלתי</x:v>
      </x:c>
      <x:c r="H338" s="11" t="str">
        <x:v>אמקס עינור</x:v>
      </x:c>
      <x:c r="I338" s="11" t="str">
        <x:v>מאושר</x:v>
      </x:c>
    </x:row>
    <x:row r="339">
      <x:c r="B339" s="11" t="str">
        <x:v>פריז 25</x:v>
      </x:c>
      <x:c r="C339" s="11" t="n">
        <x:v>59</x:v>
      </x:c>
      <x:c r="D339" s="11" t="str">
        <x:v>30</x:v>
      </x:c>
      <x:c r="E339" s="11" t="str">
        <x:v>חניה נתבג</x:v>
      </x:c>
      <x:c r="F339" s="16" t="n">
        <x:v>250</x:v>
      </x:c>
      <x:c r="G339" s="11" t="str">
        <x:v>תחבורה</x:v>
      </x:c>
      <x:c r="H339" s="11" t="str">
        <x:v>אמקס עינור</x:v>
      </x:c>
      <x:c r="I339" s="11" t="str">
        <x:v>מאושר</x:v>
      </x:c>
    </x:row>
    <x:row r="340">
      <x:c r="B340" s="11" t="str">
        <x:v>פריז 25</x:v>
      </x:c>
      <x:c r="C340" s="11" t="n">
        <x:v>60</x:v>
      </x:c>
      <x:c r="D340" s="11" t="str"/>
      <x:c r="E340" s="11" t="str">
        <x:v>סיור חינאמי</x:v>
      </x:c>
      <x:c r="F340" s="16" t="n">
        <x:v>110</x:v>
      </x:c>
      <x:c r="G340" s="11" t="str">
        <x:v>אטרקציות</x:v>
      </x:c>
      <x:c r="H340" s="11" t="str">
        <x:v>מזומן</x:v>
      </x:c>
      <x:c r="I340" s="11" t="str">
        <x:v>מאושר</x:v>
      </x:c>
    </x:row>
    <x:row r="341">
      <x:c r="B341" s="11" t="str">
        <x:v>פריז 25</x:v>
      </x:c>
      <x:c r="C341" s="11" t="n">
        <x:v>61</x:v>
      </x:c>
      <x:c r="D341" s="11" t="str"/>
      <x:c r="E341" s="11" t="str">
        <x:v>אחר</x:v>
      </x:c>
      <x:c r="F341" s="16" t="n">
        <x:v>34</x:v>
      </x:c>
      <x:c r="G341" s="11" t="str">
        <x:v>אוכל</x:v>
      </x:c>
      <x:c r="H341" s="11" t="str">
        <x:v>מזומן</x:v>
      </x:c>
      <x:c r="I341" s="11" t="str">
        <x:v>מאושר</x:v>
      </x:c>
    </x:row>
    <x:row r="342">
      <x:c r="B342" s="11" t="str">
        <x:v>קפריסין 26</x:v>
      </x:c>
      <x:c r="C342" s="11" t="n">
        <x:v>2</x:v>
      </x:c>
      <x:c r="D342" s="11" t="str">
        <x:v>25/10/25</x:v>
      </x:c>
      <x:c r="E342" s="11" t="str">
        <x:v>טיסה</x:v>
      </x:c>
      <x:c r="F342" s="16" t="n">
        <x:v>663</x:v>
      </x:c>
      <x:c r="G342" s="11" t="str">
        <x:v>טיסה</x:v>
      </x:c>
      <x:c r="H342" s="11" t="str">
        <x:v>אמקס זיו</x:v>
      </x:c>
      <x:c r="I342" s="11" t="str">
        <x:v>מאושר</x:v>
      </x:c>
    </x:row>
    <x:row r="343">
      <x:c r="B343" s="11" t="str">
        <x:v>קפריסין 26</x:v>
      </x:c>
      <x:c r="C343" s="11" t="n">
        <x:v>5</x:v>
      </x:c>
      <x:c r="D343" s="11" t="str">
        <x:v>11/3</x:v>
      </x:c>
      <x:c r="E343" s="11" t="str">
        <x:v>פיקדון מלון</x:v>
      </x:c>
      <x:c r="F343" s="16" t="n">
        <x:v>362</x:v>
      </x:c>
      <x:c r="G343" s="11" t="str">
        <x:v>לינה</x:v>
      </x:c>
      <x:c r="H343" s="11" t="str">
        <x:v>קורפורייט - זיו</x:v>
      </x:c>
      <x:c r="I343" s="11" t="str">
        <x:v>מאושר</x:v>
      </x:c>
    </x:row>
    <x:row r="344">
      <x:c r="B344" s="11" t="str">
        <x:v>קפריסין 26</x:v>
      </x:c>
      <x:c r="C344" s="11" t="n">
        <x:v>6</x:v>
      </x:c>
      <x:c r="D344" s="11" t="str">
        <x:v>17/3</x:v>
      </x:c>
      <x:c r="E344" s="11" t="str">
        <x:v>פיקדון מלון</x:v>
      </x:c>
      <x:c r="F344" s="16" t="n">
        <x:v>260</x:v>
      </x:c>
      <x:c r="G344" s="11" t="str">
        <x:v>לינה</x:v>
      </x:c>
      <x:c r="H344" s="11" t="str">
        <x:v>קורפורייט - זיו</x:v>
      </x:c>
      <x:c r="I344" s="11" t="str">
        <x:v>מאושר</x:v>
      </x:c>
    </x:row>
    <x:row r="345">
      <x:c r="B345" s="11" t="str">
        <x:v>קפריסין 26</x:v>
      </x:c>
      <x:c r="C345" s="11" t="n">
        <x:v>7</x:v>
      </x:c>
      <x:c r="D345" s="11" t="str">
        <x:v>19/4</x:v>
      </x:c>
      <x:c r="E345" s="11" t="str">
        <x:v>החזר טיסה</x:v>
      </x:c>
      <x:c r="F345" s="16" t="n">
        <x:v>-602</x:v>
      </x:c>
      <x:c r="G345" s="11" t="str">
        <x:v>טיסה</x:v>
      </x:c>
      <x:c r="H345" s="11" t="str">
        <x:v>אמקס - זיו</x:v>
      </x:c>
      <x:c r="I345" s="11" t="str">
        <x:v>מאושר</x:v>
      </x:c>
    </x:row>
    <x:row r="346">
      <x:c r="B346" s="11" t="str">
        <x:v>קפריסין 26</x:v>
      </x:c>
      <x:c r="C346" s="11" t="n">
        <x:v>8</x:v>
      </x:c>
      <x:c r="D346" s="11" t="str">
        <x:v>15/4</x:v>
      </x:c>
      <x:c r="E346" s="11" t="str">
        <x:v>החזר מלון</x:v>
      </x:c>
      <x:c r="F346" s="16" t="n">
        <x:v>-257</x:v>
      </x:c>
      <x:c r="G346" s="11" t="str">
        <x:v>לינה</x:v>
      </x:c>
      <x:c r="H346" s="11" t="str">
        <x:v>קורפורייט - זיו</x:v>
      </x:c>
      <x:c r="I346" s="11" t="str">
        <x:v>מאושר</x:v>
      </x:c>
    </x:row>
    <x:row r="347">
      <x:c r="B347" s="11" t="str">
        <x:v>קפריסין 26</x:v>
      </x:c>
      <x:c r="C347" s="11" t="n">
        <x:v>9</x:v>
      </x:c>
      <x:c r="D347" s="11" t="str">
        <x:v>23/4</x:v>
      </x:c>
      <x:c r="E347" s="11" t="str">
        <x:v>החזר מלון</x:v>
      </x:c>
      <x:c r="F347" s="16" t="n">
        <x:v>-353</x:v>
      </x:c>
      <x:c r="G347" s="11" t="str">
        <x:v>לינה</x:v>
      </x:c>
      <x:c r="H347" s="11" t="str">
        <x:v>קורפורייט - זיו</x:v>
      </x:c>
      <x:c r="I347" s="11" t="str">
        <x:v>מאושר</x:v>
      </x:c>
    </x:row>
    <x:row r="348">
      <x:c r="B348" s="11" t="str">
        <x:v>קרוז + ניו יורק 26</x:v>
      </x:c>
      <x:c r="C348" s="11" t="n">
        <x:v>2</x:v>
      </x:c>
      <x:c r="D348" s="11" t="str">
        <x:v>20/07</x:v>
      </x:c>
      <x:c r="E348" s="11" t="str">
        <x:v>קרוז</x:v>
      </x:c>
      <x:c r="F348" s="16" t="n">
        <x:v>8357</x:v>
      </x:c>
      <x:c r="G348" s="11" t="str"/>
      <x:c r="H348" s="11" t="str">
        <x:v>אמקס - עינור</x:v>
      </x:c>
      <x:c r="I348" s="11" t="str">
        <x:v>מאושר</x:v>
      </x:c>
    </x:row>
    <x:row r="349">
      <x:c r="B349" s="11" t="str">
        <x:v>קרוז + ניו יורק 26</x:v>
      </x:c>
      <x:c r="C349" s="11" t="n">
        <x:v>3</x:v>
      </x:c>
      <x:c r="D349" s="11" t="str">
        <x:v>31/07</x:v>
      </x:c>
      <x:c r="E349" s="11" t="str">
        <x:v>מלון ניו יורק</x:v>
      </x:c>
      <x:c r="F349" s="16" t="n">
        <x:v>7024</x:v>
      </x:c>
      <x:c r="G349" s="11" t="str"/>
      <x:c r="H349" s="11" t="str">
        <x:v>אמקס - עינור</x:v>
      </x:c>
      <x:c r="I349" s="11" t="str">
        <x:v>מאושר</x:v>
      </x:c>
    </x:row>
    <x:row r="350">
      <x:c r="B350" s="11" t="str">
        <x:v>קרוז + ניו יורק 26</x:v>
      </x:c>
      <x:c r="C350" s="11" t="n">
        <x:v>4</x:v>
      </x:c>
      <x:c r="D350" s="11" t="str">
        <x:v>21.07</x:v>
      </x:c>
      <x:c r="E350" s="11" t="str">
        <x:v>ELAL INT ISRAEL</x:v>
      </x:c>
      <x:c r="F350" s="16" t="n">
        <x:v>8543</x:v>
      </x:c>
      <x:c r="G350" s="11" t="str"/>
      <x:c r="H350" s="11" t="str">
        <x:v>אמקס - זיו</x:v>
      </x:c>
      <x:c r="I350" s="11" t="str">
        <x:v>מאושר</x:v>
      </x:c>
    </x:row>
    <x:row r="351">
      <x:c r="B351" s="11" t="str">
        <x:v>קרוז + ניו יורק 26</x:v>
      </x:c>
      <x:c r="C351" s="11" t="n">
        <x:v>5</x:v>
      </x:c>
      <x:c r="D351" s="11" t="str">
        <x:v>25/07</x:v>
      </x:c>
      <x:c r="E351" s="11" t="str">
        <x:v>דקאתלון</x:v>
      </x:c>
      <x:c r="F351" s="16" t="n">
        <x:v>536</x:v>
      </x:c>
      <x:c r="G351" s="11" t="str"/>
      <x:c r="H351" s="11" t="str">
        <x:v>אמקס - זיו</x:v>
      </x:c>
      <x:c r="I351" s="11" t="str">
        <x:v>מאושר</x:v>
      </x:c>
    </x:row>
    <x:row r="352">
      <x:c r="B352" s="11" t="str">
        <x:v>קרוז + ניו יורק 26</x:v>
      </x:c>
      <x:c r="C352" s="11" t="n">
        <x:v>6</x:v>
      </x:c>
      <x:c r="D352" s="11" t="str">
        <x:v>24/7</x:v>
      </x:c>
      <x:c r="E352" s="11" t="str">
        <x:v>דברים לקרוז</x:v>
      </x:c>
      <x:c r="F352" s="16" t="n">
        <x:v>120</x:v>
      </x:c>
      <x:c r="G352" s="11" t="str"/>
      <x:c r="H352" s="11" t="str">
        <x:v>אמקס - עינור</x:v>
      </x:c>
      <x:c r="I352" s="11" t="str">
        <x:v>מאושר</x:v>
      </x:c>
    </x:row>
    <x:row r="353">
      <x:c r="B353" s="11" t="str">
        <x:v>קרוז + ניו יורק 26</x:v>
      </x:c>
      <x:c r="C353" s="11" t="n">
        <x:v>7</x:v>
      </x:c>
      <x:c r="D353" s="11" t="str">
        <x:v>21.07</x:v>
      </x:c>
      <x:c r="E353" s="11" t="str">
        <x:v>טיסה לניו יורק כרטיס 1</x:v>
      </x:c>
      <x:c r="F353" s="16" t="n">
        <x:v>849</x:v>
      </x:c>
      <x:c r="G353" s="11" t="str"/>
      <x:c r="H353" s="11" t="str">
        <x:v>אמקס - זיו</x:v>
      </x:c>
      <x:c r="I353" s="11" t="str">
        <x:v>מאושר</x:v>
      </x:c>
    </x:row>
    <x:row r="354">
      <x:c r="B354" s="11" t="str">
        <x:v>קרוז + ניו יורק 26</x:v>
      </x:c>
      <x:c r="C354" s="11" t="n">
        <x:v>8</x:v>
      </x:c>
      <x:c r="D354" s="11" t="str">
        <x:v>21.07</x:v>
      </x:c>
      <x:c r="E354" s="11" t="str">
        <x:v>טיסה לניו יורק כרטיס 2</x:v>
      </x:c>
      <x:c r="F354" s="16" t="n">
        <x:v>849</x:v>
      </x:c>
      <x:c r="G354" s="11" t="str"/>
      <x:c r="H354" s="11" t="str">
        <x:v>אמקס - זיו</x:v>
      </x:c>
      <x:c r="I354" s="11" t="str">
        <x:v>מאושר</x:v>
      </x:c>
    </x:row>
    <x:row r="355">
      <x:c r="B355" s="11" t="str">
        <x:v>קרוז + ניו יורק 26</x:v>
      </x:c>
      <x:c r="C355" s="11" t="n">
        <x:v>9</x:v>
      </x:c>
      <x:c r="D355" s="11" t="str">
        <x:v>25.07</x:v>
      </x:c>
      <x:c r="E355" s="11" t="str">
        <x:v>HAMILTON TICKETS</x:v>
      </x:c>
      <x:c r="F355" s="16" t="n">
        <x:v>1960</x:v>
      </x:c>
      <x:c r="G355" s="11" t="str"/>
      <x:c r="H355" s="11" t="str">
        <x:v>אמקס - זיו</x:v>
      </x:c>
      <x:c r="I355" s="11" t="str">
        <x:v>מאושר</x:v>
      </x:c>
    </x:row>
    <x:row r="356">
      <x:c r="B356" s="11" t="str">
        <x:v>שוויץ 26</x:v>
      </x:c>
      <x:c r="C356" s="11" t="n">
        <x:v>2</x:v>
      </x:c>
      <x:c r="D356" s="11" t="str">
        <x:v>2.6.25</x:v>
      </x:c>
      <x:c r="E356" s="11" t="str">
        <x:v>טיסה</x:v>
      </x:c>
      <x:c r="F356" s="16" t="n">
        <x:v>2799</x:v>
      </x:c>
      <x:c r="G356" s="11" t="str">
        <x:v>טיסה</x:v>
      </x:c>
      <x:c r="H356" s="11" t="str">
        <x:v>אמקס זיו</x:v>
      </x:c>
      <x:c r="I356" s="11" t="str">
        <x:v>מאושר</x:v>
      </x:c>
    </x:row>
    <x:row r="357">
      <x:c r="B357" s="11" t="str">
        <x:v>שוויץ 26</x:v>
      </x:c>
      <x:c r="C357" s="11" t="n">
        <x:v>4</x:v>
      </x:c>
      <x:c r="D357" s="11" t="str">
        <x:v>28/11/25</x:v>
      </x:c>
      <x:c r="E357" s="11" t="str">
        <x:v>ברצלונה מלון</x:v>
      </x:c>
      <x:c r="F357" s="16" t="n">
        <x:v>100</x:v>
      </x:c>
      <x:c r="G357" s="11" t="str">
        <x:v>לינה</x:v>
      </x:c>
      <x:c r="H357" s="11" t="str">
        <x:v>אמקס - עינור</x:v>
      </x:c>
      <x:c r="I357" s="11" t="str">
        <x:v>מאושר</x:v>
      </x:c>
    </x:row>
    <x:row r="358">
      <x:c r="B358" s="11" t="str">
        <x:v>שוויץ 26</x:v>
      </x:c>
      <x:c r="C358" s="11" t="n">
        <x:v>5</x:v>
      </x:c>
      <x:c r="D358" s="11" t="str">
        <x:v>7/4</x:v>
      </x:c>
      <x:c r="E358" s="11" t="str">
        <x:v>רכב</x:v>
      </x:c>
      <x:c r="F358" s="16" t="n">
        <x:v>926</x:v>
      </x:c>
      <x:c r="G358" s="11" t="str">
        <x:v>תחבורה</x:v>
      </x:c>
      <x:c r="H358" s="11" t="str">
        <x:v>אמקס - עינור</x:v>
      </x:c>
      <x:c r="I358" s="11" t="str">
        <x:v>מאושר</x:v>
      </x:c>
    </x:row>
    <x:row r="359">
      <x:c r="B359" s="11" t="str">
        <x:v>שוויץ 26</x:v>
      </x:c>
      <x:c r="C359" s="11" t="n">
        <x:v>6</x:v>
      </x:c>
      <x:c r="D359" s="11" t="str">
        <x:v>7/4</x:v>
      </x:c>
      <x:c r="E359" s="11" t="str">
        <x:v>טיסה</x:v>
      </x:c>
      <x:c r="F359" s="16" t="n">
        <x:v>1402</x:v>
      </x:c>
      <x:c r="G359" s="11" t="str">
        <x:v>טיסה</x:v>
      </x:c>
      <x:c r="H359" s="11" t="str">
        <x:v>אמקס - עינור</x:v>
      </x:c>
      <x:c r="I359" s="11" t="str">
        <x:v>מאושר</x:v>
      </x:c>
    </x:row>
    <x:row r="360">
      <x:c r="B360" s="11" t="str">
        <x:v>שוויץ 26</x:v>
      </x:c>
      <x:c r="C360" s="11" t="n">
        <x:v>7</x:v>
      </x:c>
      <x:c r="D360" s="11" t="str">
        <x:v>7/4</x:v>
      </x:c>
      <x:c r="E360" s="11" t="str">
        <x:v>החזר מלון ברצלונה</x:v>
      </x:c>
      <x:c r="F360" s="16" t="n">
        <x:v>-96</x:v>
      </x:c>
      <x:c r="G360" s="11" t="str">
        <x:v>לינה</x:v>
      </x:c>
      <x:c r="H360" s="11" t="str">
        <x:v>אמקס - עינור</x:v>
      </x:c>
      <x:c r="I360" s="11" t="str">
        <x:v>מאושר</x:v>
      </x:c>
    </x:row>
    <x:row r="361">
      <x:c r="B361" s="11" t="str">
        <x:v>שוויץ 26</x:v>
      </x:c>
      <x:c r="C361" s="11" t="n">
        <x:v>8</x:v>
      </x:c>
      <x:c r="D361" s="11" t="str">
        <x:v>11/4</x:v>
      </x:c>
      <x:c r="E361" s="11" t="str">
        <x:v>מלון ציריך</x:v>
      </x:c>
      <x:c r="F361" s="16" t="n">
        <x:v>213</x:v>
      </x:c>
      <x:c r="G361" s="11" t="str">
        <x:v>לינה</x:v>
      </x:c>
      <x:c r="H361" s="11" t="str">
        <x:v>אמקס - עינור</x:v>
      </x:c>
      <x:c r="I361" s="11" t="str">
        <x:v>מאושר</x:v>
      </x:c>
    </x:row>
    <x:row r="362">
      <x:c r="B362" s="11" t="str">
        <x:v>שוויץ 26</x:v>
      </x:c>
      <x:c r="C362" s="11" t="n">
        <x:v>9</x:v>
      </x:c>
      <x:c r="D362" s="11" t="str">
        <x:v>29/5</x:v>
      </x:c>
      <x:c r="E362" s="11" t="str">
        <x:v>מלון גרינדלוולד</x:v>
      </x:c>
      <x:c r="F362" s="16" t="n">
        <x:v>3274</x:v>
      </x:c>
      <x:c r="G362" s="11" t="str">
        <x:v>לינה</x:v>
      </x:c>
      <x:c r="H362" s="11" t="str">
        <x:v>אמקס - עינור</x:v>
      </x:c>
      <x:c r="I362" s="11" t="str">
        <x:v>מאושר</x:v>
      </x:c>
    </x:row>
    <x:row r="363">
      <x:c r="B363" s="11" t="str">
        <x:v>שוויץ 26</x:v>
      </x:c>
      <x:c r="C363" s="11" t="n">
        <x:v>10</x:v>
      </x:c>
      <x:c r="D363" s="11" t="str">
        <x:v>5/6</x:v>
      </x:c>
      <x:c r="E363" s="11" t="str">
        <x:v>צהריים</x:v>
      </x:c>
      <x:c r="F363" s="16" t="n">
        <x:v>92</x:v>
      </x:c>
      <x:c r="G363" s="11" t="str">
        <x:v>אוכל</x:v>
      </x:c>
      <x:c r="H363" s="11" t="str">
        <x:v>קורפורייט - זיו</x:v>
      </x:c>
      <x:c r="I363" s="11" t="str">
        <x:v>מאושר</x:v>
      </x:c>
    </x:row>
    <x:row r="364">
      <x:c r="B364" s="11" t="str">
        <x:v>שוויץ 26</x:v>
      </x:c>
      <x:c r="C364" s="11" t="n">
        <x:v>11</x:v>
      </x:c>
      <x:c r="D364" s="11" t="str">
        <x:v>5/6</x:v>
      </x:c>
      <x:c r="E364" s="11" t="str">
        <x:v>קפה</x:v>
      </x:c>
      <x:c r="F364" s="16" t="n">
        <x:v>70</x:v>
      </x:c>
      <x:c r="G364" s="11" t="str">
        <x:v>אוכל</x:v>
      </x:c>
      <x:c r="H364" s="11" t="str">
        <x:v>קורפורייט - זיו</x:v>
      </x:c>
      <x:c r="I364" s="11" t="str">
        <x:v>מאושר</x:v>
      </x:c>
    </x:row>
    <x:row r="365">
      <x:c r="B365" s="11" t="str">
        <x:v>שוויץ 26</x:v>
      </x:c>
      <x:c r="C365" s="11" t="n">
        <x:v>12</x:v>
      </x:c>
      <x:c r="D365" s="11" t="str">
        <x:v>6/6</x:v>
      </x:c>
      <x:c r="E365" s="11" t="str">
        <x:v>צהריים</x:v>
      </x:c>
      <x:c r="F365" s="16" t="n">
        <x:v>295</x:v>
      </x:c>
      <x:c r="G365" s="11" t="str">
        <x:v>אוכל</x:v>
      </x:c>
      <x:c r="H365" s="11" t="str">
        <x:v>קורפורייט - זיו</x:v>
      </x:c>
      <x:c r="I365" s="11" t="str">
        <x:v>מאושר</x:v>
      </x:c>
    </x:row>
    <x:row r="366">
      <x:c r="B366" s="11" t="str">
        <x:v>שוויץ 26</x:v>
      </x:c>
      <x:c r="C366" s="11" t="n">
        <x:v>13</x:v>
      </x:c>
      <x:c r="D366" s="11" t="str">
        <x:v>6/6</x:v>
      </x:c>
      <x:c r="E366" s="11" t="str">
        <x:v>סופר</x:v>
      </x:c>
      <x:c r="F366" s="16" t="n">
        <x:v>207</x:v>
      </x:c>
      <x:c r="G366" s="11" t="str">
        <x:v>אוכל</x:v>
      </x:c>
      <x:c r="H366" s="11" t="str">
        <x:v>קורפורייט - זיו</x:v>
      </x:c>
      <x:c r="I366" s="11" t="str">
        <x:v>מאושר</x:v>
      </x:c>
    </x:row>
    <x:row r="367">
      <x:c r="B367" s="11" t="str">
        <x:v>שוויץ 26</x:v>
      </x:c>
      <x:c r="C367" s="11" t="n">
        <x:v>15</x:v>
      </x:c>
      <x:c r="D367" s="11" t="str">
        <x:v>6/6</x:v>
      </x:c>
      <x:c r="E367" s="11" t="str">
        <x:v>מזכרות</x:v>
      </x:c>
      <x:c r="F367" s="16" t="n">
        <x:v>78</x:v>
      </x:c>
      <x:c r="G367" s="11" t="str">
        <x:v>קניות</x:v>
      </x:c>
      <x:c r="H367" s="11" t="str">
        <x:v>קורפורייט - זיו</x:v>
      </x:c>
      <x:c r="I367" s="11" t="str">
        <x:v>מאושר</x:v>
      </x:c>
    </x:row>
    <x:row r="368">
      <x:c r="B368" s="11" t="str">
        <x:v>שוויץ 26</x:v>
      </x:c>
      <x:c r="C368" s="11" t="n">
        <x:v>16</x:v>
      </x:c>
      <x:c r="D368" s="11" t="str">
        <x:v>6/6</x:v>
      </x:c>
      <x:c r="E368" s="11" t="str">
        <x:v>רכבל</x:v>
      </x:c>
      <x:c r="F368" s="16" t="n">
        <x:v>87</x:v>
      </x:c>
      <x:c r="G368" s="11" t="str">
        <x:v>אטרקציות</x:v>
      </x:c>
      <x:c r="H368" s="11" t="str">
        <x:v>קורפורייט - זיו</x:v>
      </x:c>
      <x:c r="I368" s="11" t="str">
        <x:v>מאושר</x:v>
      </x:c>
    </x:row>
    <x:row r="369">
      <x:c r="B369" s="11" t="str">
        <x:v>שוויץ 26</x:v>
      </x:c>
      <x:c r="C369" s="11" t="n">
        <x:v>17</x:v>
      </x:c>
      <x:c r="D369" s="11" t="str">
        <x:v>6/6</x:v>
      </x:c>
      <x:c r="E369" s="11" t="str">
        <x:v>חניה</x:v>
      </x:c>
      <x:c r="F369" s="16" t="n">
        <x:v>30</x:v>
      </x:c>
      <x:c r="G369" s="11" t="str">
        <x:v>תחבורה</x:v>
      </x:c>
      <x:c r="H369" s="11" t="str">
        <x:v>קורפורייט - זיו</x:v>
      </x:c>
      <x:c r="I369" s="11" t="str">
        <x:v>מאושר</x:v>
      </x:c>
    </x:row>
    <x:row r="370">
      <x:c r="B370" s="11" t="str">
        <x:v>שוויץ 26</x:v>
      </x:c>
      <x:c r="C370" s="11" t="n">
        <x:v>18</x:v>
      </x:c>
      <x:c r="D370" s="11" t="str">
        <x:v>7/6</x:v>
      </x:c>
      <x:c r="E370" s="11" t="str">
        <x:v>קפה</x:v>
      </x:c>
      <x:c r="F370" s="16" t="n">
        <x:v>41</x:v>
      </x:c>
      <x:c r="G370" s="11" t="str">
        <x:v>אוכל</x:v>
      </x:c>
      <x:c r="H370" s="11" t="str">
        <x:v>קורפורייט - זיו</x:v>
      </x:c>
      <x:c r="I370" s="11" t="str">
        <x:v>מאושר</x:v>
      </x:c>
    </x:row>
    <x:row r="371">
      <x:c r="B371" s="11" t="str">
        <x:v>שוויץ 26</x:v>
      </x:c>
      <x:c r="C371" s="11" t="n">
        <x:v>19</x:v>
      </x:c>
      <x:c r="D371" s="11" t="str">
        <x:v>7/6</x:v>
      </x:c>
      <x:c r="E371" s="11" t="str">
        <x:v>סופר</x:v>
      </x:c>
      <x:c r="F371" s="16" t="n">
        <x:v>155</x:v>
      </x:c>
      <x:c r="G371" s="11" t="str">
        <x:v>אוכל</x:v>
      </x:c>
      <x:c r="H371" s="11" t="str">
        <x:v>קורפורייט - זיו</x:v>
      </x:c>
      <x:c r="I371" s="11" t="str">
        <x:v>מאושר</x:v>
      </x:c>
    </x:row>
    <x:row r="372">
      <x:c r="B372" s="11" t="str">
        <x:v>שוויץ 26</x:v>
      </x:c>
      <x:c r="C372" s="11" t="n">
        <x:v>20</x:v>
      </x:c>
      <x:c r="D372" s="11" t="str">
        <x:v>7/6</x:v>
      </x:c>
      <x:c r="E372" s="11" t="str">
        <x:v>רכבל</x:v>
      </x:c>
      <x:c r="F372" s="16" t="n">
        <x:v>281</x:v>
      </x:c>
      <x:c r="G372" s="11" t="str">
        <x:v>אטרקציות</x:v>
      </x:c>
      <x:c r="H372" s="11" t="str">
        <x:v>קורפורייט - זיו</x:v>
      </x:c>
      <x:c r="I372" s="11" t="str">
        <x:v>מאושר</x:v>
      </x:c>
    </x:row>
    <x:row r="373">
      <x:c r="B373" s="11" t="str">
        <x:v>שוויץ 26</x:v>
      </x:c>
      <x:c r="C373" s="11" t="n">
        <x:v>21</x:v>
      </x:c>
      <x:c r="D373" s="11" t="str">
        <x:v>8/6</x:v>
      </x:c>
      <x:c r="E373" s="11" t="str">
        <x:v>צהריים</x:v>
      </x:c>
      <x:c r="F373" s="16" t="n">
        <x:v>246</x:v>
      </x:c>
      <x:c r="G373" s="11" t="str">
        <x:v>אוכל</x:v>
      </x:c>
      <x:c r="H373" s="11" t="str">
        <x:v>קורפורייט - זיו</x:v>
      </x:c>
      <x:c r="I373" s="11" t="str">
        <x:v>מאושר</x:v>
      </x:c>
    </x:row>
    <x:row r="374">
      <x:c r="B374" s="11" t="str">
        <x:v>שוויץ 26</x:v>
      </x:c>
      <x:c r="C374" s="11" t="n">
        <x:v>22</x:v>
      </x:c>
      <x:c r="D374" s="11" t="str">
        <x:v>8/6</x:v>
      </x:c>
      <x:c r="E374" s="11" t="str">
        <x:v>קפה</x:v>
      </x:c>
      <x:c r="F374" s="16" t="n">
        <x:v>37</x:v>
      </x:c>
      <x:c r="G374" s="11" t="str">
        <x:v>אוכל</x:v>
      </x:c>
      <x:c r="H374" s="11" t="str">
        <x:v>קורפורייט - זיו</x:v>
      </x:c>
      <x:c r="I374" s="11" t="str">
        <x:v>מאושר</x:v>
      </x:c>
    </x:row>
    <x:row r="375">
      <x:c r="B375" s="11" t="str">
        <x:v>שוויץ 26</x:v>
      </x:c>
      <x:c r="C375" s="11" t="n">
        <x:v>23</x:v>
      </x:c>
      <x:c r="D375" s="11" t="str">
        <x:v>8/6</x:v>
      </x:c>
      <x:c r="E375" s="11" t="str">
        <x:v>סופר</x:v>
      </x:c>
      <x:c r="F375" s="16" t="n">
        <x:v>59</x:v>
      </x:c>
      <x:c r="G375" s="11" t="str">
        <x:v>אוכל</x:v>
      </x:c>
      <x:c r="H375" s="11" t="str">
        <x:v>קורפורייט - זיו</x:v>
      </x:c>
      <x:c r="I375" s="11" t="str">
        <x:v>מאושר</x:v>
      </x:c>
    </x:row>
    <x:row r="376">
      <x:c r="B376" s="11" t="str">
        <x:v>שוויץ 26</x:v>
      </x:c>
      <x:c r="C376" s="11" t="n">
        <x:v>24</x:v>
      </x:c>
      <x:c r="D376" s="11" t="str">
        <x:v>8/6</x:v>
      </x:c>
      <x:c r="E376" s="11" t="str">
        <x:v>רכבל</x:v>
      </x:c>
      <x:c r="F376" s="16" t="n">
        <x:v>162</x:v>
      </x:c>
      <x:c r="G376" s="11" t="str">
        <x:v>אטרקציות</x:v>
      </x:c>
      <x:c r="H376" s="11" t="str">
        <x:v>קורפורייט - זיו</x:v>
      </x:c>
      <x:c r="I376" s="11" t="str">
        <x:v>מאושר</x:v>
      </x:c>
    </x:row>
    <x:row r="377">
      <x:c r="B377" s="11" t="str">
        <x:v>שוויץ 26</x:v>
      </x:c>
      <x:c r="C377" s="11" t="n">
        <x:v>25</x:v>
      </x:c>
      <x:c r="D377" s="11" t="str">
        <x:v>9/6</x:v>
      </x:c>
      <x:c r="E377" s="11" t="str">
        <x:v>קולה</x:v>
      </x:c>
      <x:c r="F377" s="16" t="n">
        <x:v>13</x:v>
      </x:c>
      <x:c r="G377" s="11" t="str">
        <x:v>אוכל</x:v>
      </x:c>
      <x:c r="H377" s="11" t="str">
        <x:v>קורפורייט - זיו</x:v>
      </x:c>
      <x:c r="I377" s="11" t="str">
        <x:v>מאושר</x:v>
      </x:c>
    </x:row>
    <x:row r="378">
      <x:c r="B378" s="11" t="str">
        <x:v>שוויץ 26</x:v>
      </x:c>
      <x:c r="C378" s="11" t="n">
        <x:v>26</x:v>
      </x:c>
      <x:c r="D378" s="11" t="str">
        <x:v>9/6</x:v>
      </x:c>
      <x:c r="E378" s="11" t="str">
        <x:v>ספא</x:v>
      </x:c>
      <x:c r="F378" s="16" t="n">
        <x:v>380</x:v>
      </x:c>
      <x:c r="G378" s="11" t="str">
        <x:v>אטרקציות</x:v>
      </x:c>
      <x:c r="H378" s="11" t="str">
        <x:v>קורפורייט - זיו</x:v>
      </x:c>
      <x:c r="I378" s="11" t="str">
        <x:v>מאושר</x:v>
      </x:c>
    </x:row>
    <x:row r="379">
      <x:c r="B379" s="11" t="str">
        <x:v>שוויץ 26</x:v>
      </x:c>
      <x:c r="C379" s="11" t="n">
        <x:v>27</x:v>
      </x:c>
      <x:c r="D379" s="11" t="str">
        <x:v>9/6</x:v>
      </x:c>
      <x:c r="E379" s="11" t="str">
        <x:v>סופר</x:v>
      </x:c>
      <x:c r="F379" s="16" t="n">
        <x:v>352</x:v>
      </x:c>
      <x:c r="G379" s="11" t="str">
        <x:v>אוכל</x:v>
      </x:c>
      <x:c r="H379" s="11" t="str">
        <x:v>קורפורייט - זיו</x:v>
      </x:c>
      <x:c r="I379" s="11" t="str">
        <x:v>מאושר</x:v>
      </x:c>
    </x:row>
    <x:row r="380">
      <x:c r="B380" s="11" t="str">
        <x:v>שוויץ 26</x:v>
      </x:c>
      <x:c r="C380" s="11" t="n">
        <x:v>28</x:v>
      </x:c>
      <x:c r="D380" s="11" t="str">
        <x:v>9/6</x:v>
      </x:c>
      <x:c r="E380" s="11" t="str">
        <x:v>צהריים</x:v>
      </x:c>
      <x:c r="F380" s="16" t="n">
        <x:v>200</x:v>
      </x:c>
      <x:c r="G380" s="11" t="str">
        <x:v>אוכל</x:v>
      </x:c>
      <x:c r="H380" s="11" t="str">
        <x:v>קורפורייט - זיו</x:v>
      </x:c>
      <x:c r="I380" s="11" t="str">
        <x:v>מאושר</x:v>
      </x:c>
    </x:row>
    <x:row r="381">
      <x:c r="B381" s="11" t="str">
        <x:v>שוויץ 26</x:v>
      </x:c>
      <x:c r="C381" s="11" t="n">
        <x:v>29</x:v>
      </x:c>
      <x:c r="D381" s="11" t="str">
        <x:v>9/6</x:v>
      </x:c>
      <x:c r="E381" s="11" t="str">
        <x:v>רכבל</x:v>
      </x:c>
      <x:c r="F381" s="16" t="n">
        <x:v>313</x:v>
      </x:c>
      <x:c r="G381" s="11" t="str">
        <x:v>אטרקציות</x:v>
      </x:c>
      <x:c r="H381" s="11" t="str">
        <x:v>קורפורייט - זיו</x:v>
      </x:c>
      <x:c r="I381" s="11" t="str">
        <x:v>מאושר</x:v>
      </x:c>
    </x:row>
    <x:row r="382">
      <x:c r="B382" s="11" t="str">
        <x:v>שוויץ 26</x:v>
      </x:c>
      <x:c r="C382" s="11" t="n">
        <x:v>30</x:v>
      </x:c>
      <x:c r="D382" s="11" t="str">
        <x:v>9/6</x:v>
      </x:c>
      <x:c r="E382" s="11" t="str">
        <x:v>קפה</x:v>
      </x:c>
      <x:c r="F382" s="16" t="n">
        <x:v>39</x:v>
      </x:c>
      <x:c r="G382" s="11" t="str">
        <x:v>אוכל</x:v>
      </x:c>
      <x:c r="H382" s="11" t="str">
        <x:v>קורפורייט - זיו</x:v>
      </x:c>
      <x:c r="I382" s="11" t="str">
        <x:v>מאושר</x:v>
      </x:c>
    </x:row>
    <x:row r="383">
      <x:c r="B383" s="11" t="str">
        <x:v>שוויץ 26</x:v>
      </x:c>
      <x:c r="C383" s="11" t="n">
        <x:v>31</x:v>
      </x:c>
      <x:c r="D383" s="11" t="str">
        <x:v>10/6</x:v>
      </x:c>
      <x:c r="E383" s="11" t="str">
        <x:v>גרביים</x:v>
      </x:c>
      <x:c r="F383" s="16" t="n">
        <x:v>96</x:v>
      </x:c>
      <x:c r="G383" s="11" t="str">
        <x:v>קניות</x:v>
      </x:c>
      <x:c r="H383" s="11" t="str">
        <x:v>קורפורייט - זיו</x:v>
      </x:c>
      <x:c r="I383" s="11" t="str">
        <x:v>מאושר</x:v>
      </x:c>
    </x:row>
    <x:row r="384">
      <x:c r="B384" s="11" t="str">
        <x:v>שוויץ 26</x:v>
      </x:c>
      <x:c r="C384" s="11" t="n">
        <x:v>32</x:v>
      </x:c>
      <x:c r="D384" s="11" t="str">
        <x:v>10/6</x:v>
      </x:c>
      <x:c r="E384" s="11" t="str">
        <x:v>שוקולית</x:v>
      </x:c>
      <x:c r="F384" s="16" t="n">
        <x:v>29</x:v>
      </x:c>
      <x:c r="G384" s="11" t="str">
        <x:v>אוכל</x:v>
      </x:c>
      <x:c r="H384" s="11" t="str">
        <x:v>קורפורייט - זיו</x:v>
      </x:c>
      <x:c r="I384" s="11" t="str">
        <x:v>מאושר</x:v>
      </x:c>
    </x:row>
    <x:row r="385">
      <x:c r="B385" s="11" t="str">
        <x:v>שוויץ 26</x:v>
      </x:c>
      <x:c r="C385" s="11" t="n">
        <x:v>33</x:v>
      </x:c>
      <x:c r="D385" s="11" t="str">
        <x:v>10/6</x:v>
      </x:c>
      <x:c r="E385" s="11" t="str">
        <x:v>מוזאון</x:v>
      </x:c>
      <x:c r="F385" s="16" t="n">
        <x:v>274</x:v>
      </x:c>
      <x:c r="G385" s="11" t="str">
        <x:v>אטרקציות</x:v>
      </x:c>
      <x:c r="H385" s="11" t="str">
        <x:v>קורפורייט - זיו</x:v>
      </x:c>
      <x:c r="I385" s="11" t="str">
        <x:v>מאושר</x:v>
      </x:c>
    </x:row>
    <x:row r="386">
      <x:c r="B386" s="11" t="str">
        <x:v>שוויץ 26</x:v>
      </x:c>
      <x:c r="C386" s="11" t="n">
        <x:v>34</x:v>
      </x:c>
      <x:c r="D386" s="11" t="str">
        <x:v>10/6</x:v>
      </x:c>
      <x:c r="E386" s="11" t="str">
        <x:v>קפה</x:v>
      </x:c>
      <x:c r="F386" s="16" t="n">
        <x:v>45</x:v>
      </x:c>
      <x:c r="G386" s="11" t="str">
        <x:v>אוכל</x:v>
      </x:c>
      <x:c r="H386" s="11" t="str">
        <x:v>קורפורייט - זיו</x:v>
      </x:c>
      <x:c r="I386" s="11" t="str">
        <x:v>מאושר</x:v>
      </x:c>
    </x:row>
    <x:row r="387">
      <x:c r="B387" s="11" t="str">
        <x:v>שוויץ 26</x:v>
      </x:c>
      <x:c r="C387" s="11" t="n">
        <x:v>35</x:v>
      </x:c>
      <x:c r="D387" s="11" t="str">
        <x:v>10/6</x:v>
      </x:c>
      <x:c r="E387" s="11" t="str">
        <x:v>מזכרת</x:v>
      </x:c>
      <x:c r="F387" s="16" t="n">
        <x:v>16</x:v>
      </x:c>
      <x:c r="G387" s="11" t="str">
        <x:v>קניות</x:v>
      </x:c>
      <x:c r="H387" s="11" t="str">
        <x:v>קורפורייט - זיו</x:v>
      </x:c>
      <x:c r="I387" s="11" t="str">
        <x:v>מאושר</x:v>
      </x:c>
    </x:row>
    <x:row r="388">
      <x:c r="B388" s="11" t="str">
        <x:v>שוויץ 26</x:v>
      </x:c>
      <x:c r="C388" s="11" t="n">
        <x:v>36</x:v>
      </x:c>
      <x:c r="D388" s="11" t="str">
        <x:v>10/6</x:v>
      </x:c>
      <x:c r="E388" s="11" t="str">
        <x:v>מזכרת</x:v>
      </x:c>
      <x:c r="F388" s="16" t="n">
        <x:v>29</x:v>
      </x:c>
      <x:c r="G388" s="11" t="str">
        <x:v>קניות</x:v>
      </x:c>
      <x:c r="H388" s="11" t="str">
        <x:v>קורפורייט - זיו</x:v>
      </x:c>
      <x:c r="I388" s="11" t="str">
        <x:v>מאושר</x:v>
      </x:c>
    </x:row>
    <x:row r="389">
      <x:c r="B389" s="11" t="str">
        <x:v>שוויץ 26</x:v>
      </x:c>
      <x:c r="C389" s="11" t="n">
        <x:v>37</x:v>
      </x:c>
      <x:c r="D389" s="11" t="str">
        <x:v>10/6</x:v>
      </x:c>
      <x:c r="E389" s="11" t="str">
        <x:v>קאפ קייק</x:v>
      </x:c>
      <x:c r="F389" s="16" t="n">
        <x:v>40</x:v>
      </x:c>
      <x:c r="G389" s="11" t="str">
        <x:v>אוכל</x:v>
      </x:c>
      <x:c r="H389" s="11" t="str">
        <x:v>קורפורייט - זיו</x:v>
      </x:c>
      <x:c r="I389" s="11" t="str">
        <x:v>מאושר</x:v>
      </x:c>
    </x:row>
    <x:row r="390">
      <x:c r="B390" s="11" t="str">
        <x:v>שוויץ 26</x:v>
      </x:c>
      <x:c r="C390" s="11" t="n">
        <x:v>38</x:v>
      </x:c>
      <x:c r="D390" s="11" t="str">
        <x:v>10/6</x:v>
      </x:c>
      <x:c r="E390" s="11" t="str">
        <x:v>צהריים</x:v>
      </x:c>
      <x:c r="F390" s="16" t="n">
        <x:v>156</x:v>
      </x:c>
      <x:c r="G390" s="11" t="str">
        <x:v>אוכל</x:v>
      </x:c>
      <x:c r="H390" s="11" t="str">
        <x:v>קורפורייט - זיו</x:v>
      </x:c>
      <x:c r="I390" s="11" t="str">
        <x:v>מאושר</x:v>
      </x:c>
    </x:row>
    <x:row r="391">
      <x:c r="B391" s="11" t="str">
        <x:v>שוויץ 26</x:v>
      </x:c>
      <x:c r="C391" s="11" t="n">
        <x:v>39</x:v>
      </x:c>
      <x:c r="D391" s="11" t="str">
        <x:v>10/6</x:v>
      </x:c>
      <x:c r="E391" s="11" t="str">
        <x:v>חניה</x:v>
      </x:c>
      <x:c r="F391" s="16" t="n">
        <x:v>41</x:v>
      </x:c>
      <x:c r="G391" s="11" t="str">
        <x:v>תחבורה</x:v>
      </x:c>
      <x:c r="H391" s="11" t="str">
        <x:v>קורפורייט - זיו</x:v>
      </x:c>
      <x:c r="I391" s="11" t="str">
        <x:v>מאושר</x:v>
      </x:c>
    </x:row>
    <x:row r="392">
      <x:c r="B392" s="11" t="str">
        <x:v>שוויץ 26</x:v>
      </x:c>
      <x:c r="C392" s="11" t="n">
        <x:v>40</x:v>
      </x:c>
      <x:c r="D392" s="11" t="str">
        <x:v>10/6</x:v>
      </x:c>
      <x:c r="E392" s="11" t="str">
        <x:v>קאפ קייק</x:v>
      </x:c>
      <x:c r="F392" s="16" t="n">
        <x:v>17</x:v>
      </x:c>
      <x:c r="G392" s="11" t="str">
        <x:v>אוכל</x:v>
      </x:c>
      <x:c r="H392" s="11" t="str">
        <x:v>קורפורייט - זיו</x:v>
      </x:c>
      <x:c r="I392" s="11" t="str">
        <x:v>מאושר</x:v>
      </x:c>
    </x:row>
    <x:row r="393">
      <x:c r="B393" s="11" t="str">
        <x:v>שוויץ 26</x:v>
      </x:c>
      <x:c r="C393" s="11" t="n">
        <x:v>41</x:v>
      </x:c>
      <x:c r="D393" s="11" t="str">
        <x:v>5/6</x:v>
      </x:c>
      <x:c r="E393" s="11" t="str">
        <x:v>מאפה</x:v>
      </x:c>
      <x:c r="F393" s="16" t="n">
        <x:v>19</x:v>
      </x:c>
      <x:c r="G393" s="11" t="str">
        <x:v>אוכל</x:v>
      </x:c>
      <x:c r="H393" s="11" t="str">
        <x:v>אמקס - עינור</x:v>
      </x:c>
      <x:c r="I393" s="11" t="str">
        <x:v>מאושר</x:v>
      </x:c>
    </x:row>
    <x:row r="394">
      <x:c r="B394" s="11" t="str">
        <x:v>שוויץ 26</x:v>
      </x:c>
      <x:c r="C394" s="11" t="n">
        <x:v>42</x:v>
      </x:c>
      <x:c r="D394" s="11" t="str">
        <x:v>5/6</x:v>
      </x:c>
      <x:c r="E394" s="11" t="str">
        <x:v>קפה</x:v>
      </x:c>
      <x:c r="F394" s="16" t="n">
        <x:v>47</x:v>
      </x:c>
      <x:c r="G394" s="11" t="str">
        <x:v>אוכל</x:v>
      </x:c>
      <x:c r="H394" s="11" t="str">
        <x:v>אמקס - עינור</x:v>
      </x:c>
      <x:c r="I394" s="11" t="str">
        <x:v>מאושר</x:v>
      </x:c>
    </x:row>
    <x:row r="395">
      <x:c r="B395" s="11" t="str">
        <x:v>שוויץ 26</x:v>
      </x:c>
      <x:c r="C395" s="11" t="n">
        <x:v>43</x:v>
      </x:c>
      <x:c r="D395" s="11" t="str">
        <x:v>5/6</x:v>
      </x:c>
      <x:c r="E395" s="11" t="str">
        <x:v>נהג נוסף</x:v>
      </x:c>
      <x:c r="F395" s="16" t="n">
        <x:v>311</x:v>
      </x:c>
      <x:c r="G395" s="11" t="str">
        <x:v>תחבורה</x:v>
      </x:c>
      <x:c r="H395" s="11" t="str">
        <x:v>אמקס - עינור</x:v>
      </x:c>
      <x:c r="I395" s="11" t="str">
        <x:v>מאושר</x:v>
      </x:c>
    </x:row>
    <x:row r="396">
      <x:c r="B396" s="11" t="str">
        <x:v>שוויץ 26</x:v>
      </x:c>
      <x:c r="C396" s="11" t="n">
        <x:v>44</x:v>
      </x:c>
      <x:c r="D396" s="11" t="str">
        <x:v>5/6</x:v>
      </x:c>
      <x:c r="E396" s="11" t="str">
        <x:v>סופר</x:v>
      </x:c>
      <x:c r="F396" s="16" t="n">
        <x:v>199</x:v>
      </x:c>
      <x:c r="G396" s="11" t="str">
        <x:v>אוכל</x:v>
      </x:c>
      <x:c r="H396" s="11" t="str">
        <x:v>אמקס - עינור</x:v>
      </x:c>
      <x:c r="I396" s="11" t="str">
        <x:v>מאושר</x:v>
      </x:c>
    </x:row>
    <x:row r="397">
      <x:c r="B397" s="11" t="str">
        <x:v>שוויץ 26</x:v>
      </x:c>
      <x:c r="C397" s="11" t="n">
        <x:v>45</x:v>
      </x:c>
      <x:c r="D397" s="11" t="str">
        <x:v>5/6</x:v>
      </x:c>
      <x:c r="E397" s="11" t="str">
        <x:v>סופר</x:v>
      </x:c>
      <x:c r="F397" s="16" t="n">
        <x:v>39</x:v>
      </x:c>
      <x:c r="G397" s="11" t="str">
        <x:v>אוכל</x:v>
      </x:c>
      <x:c r="H397" s="11" t="str">
        <x:v>אמקס - עינור</x:v>
      </x:c>
      <x:c r="I397" s="11" t="str">
        <x:v>מאושר</x:v>
      </x:c>
    </x:row>
    <x:row r="398">
      <x:c r="B398" s="11" t="str">
        <x:v>שוויץ 26</x:v>
      </x:c>
      <x:c r="C398" s="11" t="n">
        <x:v>46</x:v>
      </x:c>
      <x:c r="D398" s="11" t="str">
        <x:v>6/6</x:v>
      </x:c>
      <x:c r="E398" s="11" t="str">
        <x:v>סופר</x:v>
      </x:c>
      <x:c r="F398" s="16" t="n">
        <x:v>16</x:v>
      </x:c>
      <x:c r="G398" s="11" t="str">
        <x:v>אוכל</x:v>
      </x:c>
      <x:c r="H398" s="11" t="str">
        <x:v>אמקס - עינור</x:v>
      </x:c>
      <x:c r="I398" s="11" t="str">
        <x:v>מאושר</x:v>
      </x:c>
    </x:row>
    <x:row r="399">
      <x:c r="B399" s="11" t="str">
        <x:v>שוויץ 26</x:v>
      </x:c>
      <x:c r="C399" s="11" t="n">
        <x:v>47</x:v>
      </x:c>
      <x:c r="D399" s="11" t="str">
        <x:v>6/6</x:v>
      </x:c>
      <x:c r="E399" s="11" t="str">
        <x:v>סופר</x:v>
      </x:c>
      <x:c r="F399" s="16" t="n">
        <x:v>97</x:v>
      </x:c>
      <x:c r="G399" s="11" t="str">
        <x:v>אוכל</x:v>
      </x:c>
      <x:c r="H399" s="11" t="str">
        <x:v>אמקס - עינור</x:v>
      </x:c>
      <x:c r="I399" s="11" t="str">
        <x:v>מאושר</x:v>
      </x:c>
    </x:row>
    <x:row r="400">
      <x:c r="B400" s="11" t="str">
        <x:v>שוויץ 26</x:v>
      </x:c>
      <x:c r="C400" s="11" t="n">
        <x:v>48</x:v>
      </x:c>
      <x:c r="D400" s="11" t="str">
        <x:v>6/6</x:v>
      </x:c>
      <x:c r="E400" s="11" t="str">
        <x:v>רכבל</x:v>
      </x:c>
      <x:c r="F400" s="16" t="n">
        <x:v>337</x:v>
      </x:c>
      <x:c r="G400" s="11" t="str">
        <x:v>אטרקציות</x:v>
      </x:c>
      <x:c r="H400" s="11" t="str">
        <x:v>אמקס - עינור</x:v>
      </x:c>
      <x:c r="I400" s="11" t="str">
        <x:v>מאושר</x:v>
      </x:c>
    </x:row>
    <x:row r="401">
      <x:c r="B401" s="11" t="str">
        <x:v>שוויץ 26</x:v>
      </x:c>
      <x:c r="C401" s="11" t="n">
        <x:v>49</x:v>
      </x:c>
      <x:c r="D401" s="11" t="str">
        <x:v>6/6</x:v>
      </x:c>
      <x:c r="E401" s="11" t="str">
        <x:v>קפה</x:v>
      </x:c>
      <x:c r="F401" s="16" t="n">
        <x:v>24</x:v>
      </x:c>
      <x:c r="G401" s="11" t="str">
        <x:v>אוכל</x:v>
      </x:c>
      <x:c r="H401" s="11" t="str">
        <x:v>אמקס - עינור</x:v>
      </x:c>
      <x:c r="I401" s="11" t="str">
        <x:v>מאושר</x:v>
      </x:c>
    </x:row>
    <x:row r="402">
      <x:c r="B402" s="11" t="str">
        <x:v>שוויץ 26</x:v>
      </x:c>
      <x:c r="C402" s="11" t="n">
        <x:v>50</x:v>
      </x:c>
      <x:c r="D402" s="11" t="str">
        <x:v>6/6</x:v>
      </x:c>
      <x:c r="E402" s="11" t="str">
        <x:v>חניה</x:v>
      </x:c>
      <x:c r="F402" s="16" t="n">
        <x:v>30</x:v>
      </x:c>
      <x:c r="G402" s="11" t="str">
        <x:v>תחבורה</x:v>
      </x:c>
      <x:c r="H402" s="11" t="str">
        <x:v>אמקס - עינור</x:v>
      </x:c>
      <x:c r="I402" s="11" t="str">
        <x:v>מאושר</x:v>
      </x:c>
    </x:row>
    <x:row r="403">
      <x:c r="B403" s="11" t="str">
        <x:v>שוויץ 26</x:v>
      </x:c>
      <x:c r="C403" s="11" t="n">
        <x:v>51</x:v>
      </x:c>
      <x:c r="D403" s="11" t="str">
        <x:v>7/6</x:v>
      </x:c>
      <x:c r="E403" s="11" t="str">
        <x:v>גלידה</x:v>
      </x:c>
      <x:c r="F403" s="16" t="n">
        <x:v>42</x:v>
      </x:c>
      <x:c r="G403" s="11" t="str">
        <x:v>אוכל</x:v>
      </x:c>
      <x:c r="H403" s="11" t="str">
        <x:v>אמקס - עינור</x:v>
      </x:c>
      <x:c r="I403" s="11" t="str">
        <x:v>מאושר</x:v>
      </x:c>
    </x:row>
    <x:row r="404">
      <x:c r="B404" s="11" t="str">
        <x:v>שוויץ 26</x:v>
      </x:c>
      <x:c r="C404" s="11" t="n">
        <x:v>52</x:v>
      </x:c>
      <x:c r="D404" s="11" t="str">
        <x:v>8/6</x:v>
      </x:c>
      <x:c r="E404" s="11" t="str">
        <x:v>דונט</x:v>
      </x:c>
      <x:c r="F404" s="16" t="n">
        <x:v>72</x:v>
      </x:c>
      <x:c r="G404" s="11" t="str">
        <x:v>אוכל</x:v>
      </x:c>
      <x:c r="H404" s="11" t="str">
        <x:v>אמקס - עינור</x:v>
      </x:c>
      <x:c r="I404" s="11" t="str">
        <x:v>מאושר</x:v>
      </x:c>
    </x:row>
    <x:row r="405">
      <x:c r="B405" s="11" t="str">
        <x:v>שוויץ 26</x:v>
      </x:c>
      <x:c r="C405" s="11" t="n">
        <x:v>53</x:v>
      </x:c>
      <x:c r="D405" s="11" t="str">
        <x:v>8/6</x:v>
      </x:c>
      <x:c r="E405" s="11" t="str">
        <x:v>שירותים</x:v>
      </x:c>
      <x:c r="F405" s="16" t="n">
        <x:v>4</x:v>
      </x:c>
      <x:c r="G405" s="11" t="str">
        <x:v>מנהלתי</x:v>
      </x:c>
      <x:c r="H405" s="11" t="str">
        <x:v>אמקס - עינור</x:v>
      </x:c>
      <x:c r="I405" s="11" t="str">
        <x:v>מאושר</x:v>
      </x:c>
    </x:row>
    <x:row r="406">
      <x:c r="B406" s="11" t="str">
        <x:v>שוויץ 26</x:v>
      </x:c>
      <x:c r="C406" s="11" t="n">
        <x:v>54</x:v>
      </x:c>
      <x:c r="D406" s="11" t="str">
        <x:v>8/6</x:v>
      </x:c>
      <x:c r="E406" s="11" t="str">
        <x:v>סופר</x:v>
      </x:c>
      <x:c r="F406" s="16" t="n">
        <x:v>54</x:v>
      </x:c>
      <x:c r="G406" s="11" t="str">
        <x:v>אוכל</x:v>
      </x:c>
      <x:c r="H406" s="11" t="str">
        <x:v>אמקס - עינור</x:v>
      </x:c>
      <x:c r="I406" s="11" t="str">
        <x:v>מאושר</x:v>
      </x:c>
    </x:row>
    <x:row r="407">
      <x:c r="B407" s="11" t="str">
        <x:v>שוויץ 26</x:v>
      </x:c>
      <x:c r="C407" s="11" t="n">
        <x:v>55</x:v>
      </x:c>
      <x:c r="D407" s="11" t="str">
        <x:v>10/6</x:v>
      </x:c>
      <x:c r="E407" s="11" t="str">
        <x:v>סופר</x:v>
      </x:c>
      <x:c r="F407" s="16" t="n">
        <x:v>25</x:v>
      </x:c>
      <x:c r="G407" s="11" t="str">
        <x:v>אוכל</x:v>
      </x:c>
      <x:c r="H407" s="11" t="str">
        <x:v>אמקס - עינור</x:v>
      </x:c>
      <x:c r="I407" s="11" t="str">
        <x:v>מאושר</x:v>
      </x:c>
    </x:row>
    <x:row r="408">
      <x:c r="B408" s="11" t="str">
        <x:v>שוויץ 26</x:v>
      </x:c>
      <x:c r="C408" s="11" t="n">
        <x:v>56</x:v>
      </x:c>
      <x:c r="D408" s="11" t="str">
        <x:v>5/6</x:v>
      </x:c>
      <x:c r="E408" s="11" t="str">
        <x:v>חניה</x:v>
      </x:c>
      <x:c r="F408" s="16" t="n">
        <x:v>7</x:v>
      </x:c>
      <x:c r="G408" s="11" t="str">
        <x:v>תחבורה</x:v>
      </x:c>
      <x:c r="H408" s="11" t="str">
        <x:v>one zero - עינור</x:v>
      </x:c>
      <x:c r="I408" s="11" t="str">
        <x:v>מאושר</x:v>
      </x:c>
    </x:row>
    <x:row r="409">
      <x:c r="B409" s="11" t="str">
        <x:v>שוויץ 26</x:v>
      </x:c>
      <x:c r="C409" s="11" t="n">
        <x:v>57</x:v>
      </x:c>
      <x:c r="D409" s="11" t="str">
        <x:v>7/6</x:v>
      </x:c>
      <x:c r="E409" s="11" t="str">
        <x:v>צהריים</x:v>
      </x:c>
      <x:c r="F409" s="16" t="n">
        <x:v>159</x:v>
      </x:c>
      <x:c r="G409" s="11" t="str">
        <x:v>אוכל</x:v>
      </x:c>
      <x:c r="H409" s="11" t="str">
        <x:v>one zero - עינור</x:v>
      </x:c>
      <x:c r="I409" s="11" t="str">
        <x:v>מאושר</x:v>
      </x:c>
    </x:row>
    <x:row r="410">
      <x:c r="B410" s="11" t="str">
        <x:v>שוויץ 26</x:v>
      </x:c>
      <x:c r="C410" s="11" t="n">
        <x:v>58</x:v>
      </x:c>
      <x:c r="D410" s="11" t="str">
        <x:v>8/6</x:v>
      </x:c>
      <x:c r="E410" s="11" t="str">
        <x:v>מפלים</x:v>
      </x:c>
      <x:c r="F410" s="16" t="n">
        <x:v>58</x:v>
      </x:c>
      <x:c r="G410" s="11" t="str">
        <x:v>אטרקציות</x:v>
      </x:c>
      <x:c r="H410" s="11" t="str">
        <x:v>one zero - עינור</x:v>
      </x:c>
      <x:c r="I410" s="11" t="str">
        <x:v>מאושר</x:v>
      </x:c>
    </x:row>
    <x:row r="411">
      <x:c r="B411" s="11" t="str">
        <x:v>שוויץ 26</x:v>
      </x:c>
      <x:c r="C411" s="11" t="n">
        <x:v>59</x:v>
      </x:c>
      <x:c r="D411" s="11" t="str">
        <x:v>4/5</x:v>
      </x:c>
      <x:c r="E411" s="11" t="str">
        <x:v>ביטוח</x:v>
      </x:c>
      <x:c r="F411" s="16" t="n">
        <x:v>187</x:v>
      </x:c>
      <x:c r="G411" s="11" t="str">
        <x:v>מנהלתי</x:v>
      </x:c>
      <x:c r="H411" s="11" t="str">
        <x:v>אמקס - זיו</x:v>
      </x:c>
      <x:c r="I411" s="11" t="str">
        <x:v>מאושר</x:v>
      </x:c>
    </x:row>
    <x:row r="412">
      <x:c r="B412" s="11" t="str">
        <x:v>שוויץ 26</x:v>
      </x:c>
      <x:c r="C412" s="11" t="n">
        <x:v>60</x:v>
      </x:c>
      <x:c r="D412" s="11" t="str"/>
      <x:c r="E412" s="11" t="str">
        <x:v>מזומן</x:v>
      </x:c>
      <x:c r="F412" s="16" t="n">
        <x:v>400</x:v>
      </x:c>
      <x:c r="G412" s="11" t="str">
        <x:v>מנהלתי</x:v>
      </x:c>
      <x:c r="H412" s="11" t="str">
        <x:v>מזומן</x:v>
      </x:c>
      <x:c r="I412" s="11" t="str">
        <x:v>מאושר</x:v>
      </x:c>
    </x:row>
    <x:row r="413">
      <x:c r="B413" s="11" t="str">
        <x:v>שוויץ 26</x:v>
      </x:c>
      <x:c r="C413" s="11" t="n">
        <x:v>61</x:v>
      </x:c>
      <x:c r="D413" s="11" t="str">
        <x:v>12/5</x:v>
      </x:c>
      <x:c r="E413" s="11" t="str">
        <x:v>מוזאון לינט</x:v>
      </x:c>
      <x:c r="F413" s="16" t="n">
        <x:v>126</x:v>
      </x:c>
      <x:c r="G413" s="11" t="str">
        <x:v>אטרקציות</x:v>
      </x:c>
      <x:c r="H413" s="11" t="str">
        <x:v>one zero - זיו</x:v>
      </x:c>
      <x:c r="I413" s="11" t="str">
        <x:v>מאושר</x:v>
      </x:c>
    </x:row>
    <x:row r="414">
      <x:c r="B414" s="11" t="str">
        <x:v>שוויץ 26</x:v>
      </x:c>
      <x:c r="C414" s="11" t="n">
        <x:v>62</x:v>
      </x:c>
      <x:c r="D414" s="11" t="str">
        <x:v>3/6</x:v>
      </x:c>
      <x:c r="E414" s="11" t="str">
        <x:v>מלון לוצרן</x:v>
      </x:c>
      <x:c r="F414" s="16" t="n">
        <x:v>1413</x:v>
      </x:c>
      <x:c r="G414" s="11" t="str">
        <x:v>לינה</x:v>
      </x:c>
      <x:c r="H414" s="11" t="str">
        <x:v>אמקס - עינור</x:v>
      </x:c>
      <x:c r="I414" s="11" t="str">
        <x:v>מאושר</x:v>
      </x:c>
    </x:row>
    <x:row r="415">
      <x:c r="B415" s="11" t="str">
        <x:v>שוויץ 26</x:v>
      </x:c>
      <x:c r="C415" s="11" t="n">
        <x:v>63</x:v>
      </x:c>
      <x:c r="D415" s="11" t="str">
        <x:v>4/6</x:v>
      </x:c>
      <x:c r="E415" s="11" t="str">
        <x:v>כרטיסי הנחה</x:v>
      </x:c>
      <x:c r="F415" s="16" t="n">
        <x:v>1107</x:v>
      </x:c>
      <x:c r="G415" s="11" t="str">
        <x:v>אטרקציות</x:v>
      </x:c>
      <x:c r="H415" s="11" t="str">
        <x:v>אמקס - עינור</x:v>
      </x:c>
      <x:c r="I415" s="11" t="str">
        <x:v>מאושר</x:v>
      </x:c>
    </x:row>
    <x:row r="416">
      <x:c r="B416" s="11" t="str">
        <x:v>שוויץ 26</x:v>
      </x:c>
      <x:c r="C416" s="11" t="n">
        <x:v>64</x:v>
      </x:c>
      <x:c r="D416" s="11" t="str">
        <x:v>10/6</x:v>
      </x:c>
      <x:c r="E416" s="11" t="str">
        <x:v>סופר</x:v>
      </x:c>
      <x:c r="F416" s="16" t="n">
        <x:v>25</x:v>
      </x:c>
      <x:c r="G416" s="11" t="str">
        <x:v>אוכל</x:v>
      </x:c>
      <x:c r="H416" s="11" t="str">
        <x:v>אמקס - עינור</x:v>
      </x:c>
      <x:c r="I416" s="11" t="str">
        <x:v>מאושר</x:v>
      </x:c>
    </x:row>
    <x:row r="417">
      <x:c r="B417" s="11" t="str">
        <x:v>שוויץ 26</x:v>
      </x:c>
      <x:c r="C417" s="11" t="n">
        <x:v>65</x:v>
      </x:c>
      <x:c r="D417" s="11" t="str">
        <x:v>11/6</x:v>
      </x:c>
      <x:c r="E417" s="11" t="str">
        <x:v>רכבל</x:v>
      </x:c>
      <x:c r="F417" s="16" t="n">
        <x:v>310</x:v>
      </x:c>
      <x:c r="G417" s="11" t="str">
        <x:v>אטרקציות</x:v>
      </x:c>
      <x:c r="H417" s="11" t="str">
        <x:v>אמקס - עינור</x:v>
      </x:c>
      <x:c r="I417" s="11" t="str">
        <x:v>מאושר</x:v>
      </x:c>
    </x:row>
    <x:row r="418">
      <x:c r="B418" s="11" t="str">
        <x:v>שוויץ 26</x:v>
      </x:c>
      <x:c r="C418" s="11" t="n">
        <x:v>66</x:v>
      </x:c>
      <x:c r="D418" s="11" t="str">
        <x:v>11/5</x:v>
      </x:c>
      <x:c r="E418" s="11" t="str">
        <x:v>קפה לינט</x:v>
      </x:c>
      <x:c r="F418" s="16" t="n">
        <x:v>35</x:v>
      </x:c>
      <x:c r="G418" s="11" t="str">
        <x:v>אוכל</x:v>
      </x:c>
      <x:c r="H418" s="11" t="str">
        <x:v>אמקס - עינור</x:v>
      </x:c>
      <x:c r="I418" s="11" t="str">
        <x:v>מאושר</x:v>
      </x:c>
    </x:row>
    <x:row r="419">
      <x:c r="B419" s="11" t="str">
        <x:v>שוויץ 26</x:v>
      </x:c>
      <x:c r="C419" s="11" t="n">
        <x:v>67</x:v>
      </x:c>
      <x:c r="D419" s="11" t="str">
        <x:v>12/5</x:v>
      </x:c>
      <x:c r="E419" s="11" t="str">
        <x:v>קפה</x:v>
      </x:c>
      <x:c r="F419" s="16" t="n">
        <x:v>17</x:v>
      </x:c>
      <x:c r="G419" s="11" t="str">
        <x:v>אוכל</x:v>
      </x:c>
      <x:c r="H419" s="11" t="str">
        <x:v>אמקס - עינור</x:v>
      </x:c>
      <x:c r="I419" s="11" t="str">
        <x:v>מאושר</x:v>
      </x:c>
    </x:row>
    <x:row r="420">
      <x:c r="B420" s="11" t="str">
        <x:v>שוויץ 26</x:v>
      </x:c>
      <x:c r="C420" s="11" t="n">
        <x:v>68</x:v>
      </x:c>
      <x:c r="D420" s="11" t="str">
        <x:v>11/5</x:v>
      </x:c>
      <x:c r="E420" s="11" t="str">
        <x:v>שוקולד</x:v>
      </x:c>
      <x:c r="F420" s="16" t="n">
        <x:v>38</x:v>
      </x:c>
      <x:c r="G420" s="11" t="str">
        <x:v>קניות</x:v>
      </x:c>
      <x:c r="H420" s="11" t="str">
        <x:v>קורפורייט - זיו</x:v>
      </x:c>
      <x:c r="I420" s="11" t="str">
        <x:v>מאושר</x:v>
      </x:c>
    </x:row>
    <x:row r="421">
      <x:c r="B421" s="11" t="str">
        <x:v>שוויץ 26</x:v>
      </x:c>
      <x:c r="C421" s="11" t="n">
        <x:v>69</x:v>
      </x:c>
      <x:c r="D421" s="11" t="str">
        <x:v>11/5</x:v>
      </x:c>
      <x:c r="E421" s="11" t="str">
        <x:v>שוקולד</x:v>
      </x:c>
      <x:c r="F421" s="16" t="n">
        <x:v>92</x:v>
      </x:c>
      <x:c r="G421" s="11" t="str">
        <x:v>קניות</x:v>
      </x:c>
      <x:c r="H421" s="11" t="str">
        <x:v>קורפורייט - זיו</x:v>
      </x:c>
      <x:c r="I421" s="11" t="str">
        <x:v>מאושר</x:v>
      </x:c>
    </x:row>
    <x:row r="422">
      <x:c r="B422" s="11" t="str">
        <x:v>שוויץ 26</x:v>
      </x:c>
      <x:c r="C422" s="11" t="n">
        <x:v>70</x:v>
      </x:c>
      <x:c r="D422" s="11" t="str">
        <x:v>11/5</x:v>
      </x:c>
      <x:c r="E422" s="11" t="str">
        <x:v>מסעדה</x:v>
      </x:c>
      <x:c r="F422" s="16" t="n">
        <x:v>201</x:v>
      </x:c>
      <x:c r="G422" s="11" t="str">
        <x:v>אוכל</x:v>
      </x:c>
      <x:c r="H422" s="11" t="str">
        <x:v>קורפורייט - זיו</x:v>
      </x:c>
      <x:c r="I422" s="11" t="str">
        <x:v>מאושר</x:v>
      </x:c>
    </x:row>
    <x:row r="423">
      <x:c r="B423" s="11" t="str">
        <x:v>שוויץ 26</x:v>
      </x:c>
      <x:c r="C423" s="11" t="n">
        <x:v>71</x:v>
      </x:c>
      <x:c r="D423" s="11" t="str">
        <x:v>11/5</x:v>
      </x:c>
      <x:c r="E423" s="11" t="str">
        <x:v>סופר</x:v>
      </x:c>
      <x:c r="F423" s="16" t="n">
        <x:v>50</x:v>
      </x:c>
      <x:c r="G423" s="11" t="str">
        <x:v>אוכל</x:v>
      </x:c>
      <x:c r="H423" s="11" t="str">
        <x:v>קורפורייט - זיו</x:v>
      </x:c>
      <x:c r="I423" s="11" t="str">
        <x:v>מאושר</x:v>
      </x:c>
    </x:row>
    <x:row r="424">
      <x:c r="B424" s="11" t="str">
        <x:v>שוויץ 26</x:v>
      </x:c>
      <x:c r="C424" s="11" t="n">
        <x:v>72</x:v>
      </x:c>
      <x:c r="D424" s="11" t="str">
        <x:v>11/5</x:v>
      </x:c>
      <x:c r="E424" s="11" t="str">
        <x:v>סופר</x:v>
      </x:c>
      <x:c r="F424" s="16" t="n">
        <x:v>59</x:v>
      </x:c>
      <x:c r="G424" s="11" t="str">
        <x:v>אוכל</x:v>
      </x:c>
      <x:c r="H424" s="11" t="str">
        <x:v>קורפורייט - זיו</x:v>
      </x:c>
      <x:c r="I424" s="11" t="str">
        <x:v>מאושר</x:v>
      </x:c>
    </x:row>
    <x:row r="425">
      <x:c r="B425" s="11" t="str">
        <x:v>שוויץ 26</x:v>
      </x:c>
      <x:c r="C425" s="11" t="n">
        <x:v>73</x:v>
      </x:c>
      <x:c r="D425" s="11" t="str">
        <x:v>11/5</x:v>
      </x:c>
      <x:c r="E425" s="11" t="str">
        <x:v>דלק</x:v>
      </x:c>
      <x:c r="F425" s="16" t="n">
        <x:v>323</x:v>
      </x:c>
      <x:c r="G425" s="11" t="str">
        <x:v>תחבורה</x:v>
      </x:c>
      <x:c r="H425" s="11" t="str">
        <x:v>קורפורייט - זיו</x:v>
      </x:c>
      <x:c r="I425" s="11" t="str">
        <x:v>מאושר</x:v>
      </x:c>
    </x:row>
    <x:row r="426">
      <x:c r="B426" s="11" t="str">
        <x:v>שוויץ 26</x:v>
      </x:c>
      <x:c r="C426" s="11" t="n">
        <x:v>74</x:v>
      </x:c>
      <x:c r="D426" s="11" t="str">
        <x:v>11/5</x:v>
      </x:c>
      <x:c r="E426" s="11" t="str">
        <x:v>צהריים</x:v>
      </x:c>
      <x:c r="F426" s="16" t="n">
        <x:v>204</x:v>
      </x:c>
      <x:c r="G426" s="11" t="str">
        <x:v>אוכל</x:v>
      </x:c>
      <x:c r="H426" s="11" t="str">
        <x:v>קורפורייט - זיו</x:v>
      </x:c>
      <x:c r="I426" s="11" t="str">
        <x:v>מאושר</x:v>
      </x:c>
    </x:row>
    <x:row r="427">
      <x:c r="B427" s="11" t="str">
        <x:v>שוויץ 26</x:v>
      </x:c>
      <x:c r="C427" s="11" t="n">
        <x:v>75</x:v>
      </x:c>
      <x:c r="D427" s="11" t="str">
        <x:v>12/06</x:v>
      </x:c>
      <x:c r="E427" s="11" t="str">
        <x:v>מונית</x:v>
      </x:c>
      <x:c r="F427" s="16" t="n">
        <x:v>160</x:v>
      </x:c>
      <x:c r="G427" s="11" t="str">
        <x:v>תחבורה</x:v>
      </x:c>
      <x:c r="H427" s="11" t="str">
        <x:v>אמקס - זיו</x:v>
      </x:c>
      <x:c r="I427" s="11" t="str">
        <x:v>מאושר</x:v>
      </x:c>
    </x:row>
  </x:sheetData>
  <x:pageMargins left="0.7" right="0.7" top="0.75" bottom="0.75" header="0.3" footer="0.3"/>
  <x:tableParts count="1">
    <x:tablePart xmlns:r="http://schemas.openxmlformats.org/officeDocument/2006/relationships" r:id="Rd0dc051017a54a6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4" hidden="0" customWidth="1"/>
    <x:col min="3" max="3" width="25" hidden="0" customWidth="1"/>
    <x:col min="4" max="4" width="20" hidden="0" customWidth="1"/>
    <x:col min="5" max="5" width="50" hidden="0" customWidth="1"/>
    <x:col min="6" max="6" width="18" hidden="0" customWidth="1"/>
    <x:col min="7" max="7" width="55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B2" s="2" t="str">
        <x:v>מיפוי, איכות נתונים ומקורות</x:v>
      </x:c>
      <x:c r="C2" s="1"/>
      <x:c r="D2" s="1"/>
      <x:c r="E2" s="1"/>
      <x:c r="F2" s="1"/>
      <x:c r="G2" s="1"/>
      <x:c r="H2" s="1"/>
    </x:row>
    <x:row r="3">
      <x:c r="B3" s="3" t="str">
        <x:v>כללי נרמול, חריגים ומקורות ששימשו להכנת הניתוח</x:v>
      </x:c>
      <x:c r="C3" s="3"/>
      <x:c r="D3" s="3"/>
      <x:c r="E3" s="3"/>
      <x:c r="F3" s="3"/>
      <x:c r="G3" s="3"/>
      <x:c r="H3" s="3"/>
    </x:row>
    <x:row r="6">
      <x:c r="B6" s="9" t="str">
        <x:v>קטגוריה מקורית</x:v>
      </x:c>
      <x:c r="C6" s="9" t="str">
        <x:v>קבוצה מנורמלת</x:v>
      </x:c>
      <x:c r="D6" s="9" t="str">
        <x:v>סיווג בסיס</x:v>
      </x:c>
    </x:row>
    <x:row r="7">
      <x:c r="B7" s="11" t="str"/>
      <x:c r="C7" s="11" t="str">
        <x:v>לא מסווג</x:v>
      </x:c>
      <x:c r="D7" s="11" t="str">
        <x:v>שוטף</x:v>
      </x:c>
    </x:row>
    <x:row r="8">
      <x:c r="B8" s="11" t="str">
        <x:v>אוכל בחוץ</x:v>
      </x:c>
      <x:c r="C8" s="11" t="str">
        <x:v>אוכל בחוץ</x:v>
      </x:c>
      <x:c r="D8" s="11" t="str">
        <x:v>שוטף</x:v>
      </x:c>
    </x:row>
    <x:row r="9">
      <x:c r="B9" s="11" t="str">
        <x:v>אופנה</x:v>
      </x:c>
      <x:c r="C9" s="11" t="str">
        <x:v>אופנה</x:v>
      </x:c>
      <x:c r="D9" s="11" t="str">
        <x:v>שוטף</x:v>
      </x:c>
    </x:row>
    <x:row r="10">
      <x:c r="B10" s="11" t="str">
        <x:v>אחר</x:v>
      </x:c>
      <x:c r="C10" s="11" t="str">
        <x:v>אחר</x:v>
      </x:c>
      <x:c r="D10" s="11" t="str">
        <x:v>שוטף</x:v>
      </x:c>
    </x:row>
    <x:row r="11">
      <x:c r="B11" s="11" t="str">
        <x:v>אלקטרוניקה</x:v>
      </x:c>
      <x:c r="C11" s="11" t="str">
        <x:v>אלקטרוניקה</x:v>
      </x:c>
      <x:c r="D11" s="11" t="str">
        <x:v>שוטף</x:v>
      </x:c>
    </x:row>
    <x:row r="12">
      <x:c r="B12" s="11" t="str">
        <x:v>ביטוח</x:v>
      </x:c>
      <x:c r="C12" s="11" t="str">
        <x:v>ביטוח</x:v>
      </x:c>
      <x:c r="D12" s="11" t="str">
        <x:v>שוטף</x:v>
      </x:c>
    </x:row>
    <x:row r="13">
      <x:c r="B13" s="11" t="str">
        <x:v>בריאות</x:v>
      </x:c>
      <x:c r="C13" s="11" t="str">
        <x:v>בריאות וטיפולים</x:v>
      </x:c>
      <x:c r="D13" s="11" t="str">
        <x:v>שוטף</x:v>
      </x:c>
    </x:row>
    <x:row r="14">
      <x:c r="B14" s="11" t="str">
        <x:v>דירה כצנלסון</x:v>
      </x:c>
      <x:c r="C14" s="11" t="str">
        <x:v>נכס להשקעה</x:v>
      </x:c>
      <x:c r="D14" s="11" t="str">
        <x:v>חריג/נכס</x:v>
      </x:c>
    </x:row>
    <x:row r="15">
      <x:c r="B15" s="11" t="str">
        <x:v>חול</x:v>
      </x:c>
      <x:c r="C15" s="11" t="str">
        <x:v>נסיעות וחופשות</x:v>
      </x:c>
      <x:c r="D15" s="11" t="str">
        <x:v>חריג</x:v>
      </x:c>
    </x:row>
    <x:row r="16">
      <x:c r="B16" s="11" t="str">
        <x:v>חופשה</x:v>
      </x:c>
      <x:c r="C16" s="11" t="str">
        <x:v>נסיעות וחופשות</x:v>
      </x:c>
      <x:c r="D16" s="11" t="str">
        <x:v>חריג</x:v>
      </x:c>
    </x:row>
    <x:row r="17">
      <x:c r="B17" s="11" t="str">
        <x:v>חתונה</x:v>
      </x:c>
      <x:c r="C17" s="11" t="str">
        <x:v>חתונה</x:v>
      </x:c>
      <x:c r="D17" s="11" t="str">
        <x:v>חריג</x:v>
      </x:c>
    </x:row>
    <x:row r="18">
      <x:c r="B18" s="11" t="str">
        <x:v>טיפולים</x:v>
      </x:c>
      <x:c r="C18" s="11" t="str">
        <x:v>בריאות וטיפולים</x:v>
      </x:c>
      <x:c r="D18" s="11" t="str">
        <x:v>שוטף</x:v>
      </x:c>
    </x:row>
    <x:row r="19">
      <x:c r="B19" s="11" t="str">
        <x:v>מגורים</x:v>
      </x:c>
      <x:c r="C19" s="11" t="str">
        <x:v>דיור – בית מגורים</x:v>
      </x:c>
      <x:c r="D19" s="11" t="str">
        <x:v>שוטף</x:v>
      </x:c>
    </x:row>
    <x:row r="20">
      <x:c r="B20" s="11" t="str">
        <x:v>מגורים חודשי</x:v>
      </x:c>
      <x:c r="C20" s="11" t="str">
        <x:v>דיור – בית מגורים</x:v>
      </x:c>
      <x:c r="D20" s="11" t="str">
        <x:v>שוטף</x:v>
      </x:c>
    </x:row>
    <x:row r="21">
      <x:c r="B21" s="11" t="str">
        <x:v>מגורים צריכה</x:v>
      </x:c>
      <x:c r="C21" s="11" t="str">
        <x:v>דיור – בית מגורים</x:v>
      </x:c>
      <x:c r="D21" s="11" t="str">
        <x:v>שוטף</x:v>
      </x:c>
    </x:row>
    <x:row r="22">
      <x:c r="B22" s="11" t="str">
        <x:v>מזון לבית</x:v>
      </x:c>
      <x:c r="C22" s="11" t="str">
        <x:v>מזון לבית</x:v>
      </x:c>
      <x:c r="D22" s="11" t="str">
        <x:v>שוטף</x:v>
      </x:c>
    </x:row>
    <x:row r="23">
      <x:c r="B23" s="11" t="str">
        <x:v>מיג'י</x:v>
      </x:c>
      <x:c r="C23" s="11" t="str">
        <x:v>תחביבים ומיג'י</x:v>
      </x:c>
      <x:c r="D23" s="11" t="str">
        <x:v>שוטף</x:v>
      </x:c>
    </x:row>
    <x:row r="24">
      <x:c r="B24" s="11" t="str">
        <x:v>מס הכנסה</x:v>
      </x:c>
      <x:c r="C24" s="11" t="str">
        <x:v>מסים</x:v>
      </x:c>
      <x:c r="D24" s="11" t="str">
        <x:v>חריג</x:v>
      </x:c>
    </x:row>
    <x:row r="25">
      <x:c r="B25" s="11" t="str">
        <x:v>מתנה</x:v>
      </x:c>
      <x:c r="C25" s="11" t="str">
        <x:v>מתנה</x:v>
      </x:c>
      <x:c r="D25" s="11" t="str">
        <x:v>שוטף</x:v>
      </x:c>
    </x:row>
    <x:row r="26">
      <x:c r="B26" s="11" t="str">
        <x:v>ספורט</x:v>
      </x:c>
      <x:c r="C26" s="11" t="str">
        <x:v>ספורט</x:v>
      </x:c>
      <x:c r="D26" s="11" t="str">
        <x:v>שוטף</x:v>
      </x:c>
    </x:row>
    <x:row r="27">
      <x:c r="B27" s="11" t="str">
        <x:v>עמלות</x:v>
      </x:c>
      <x:c r="C27" s="11" t="str">
        <x:v>עמלות</x:v>
      </x:c>
      <x:c r="D27" s="11" t="str">
        <x:v>שוטף</x:v>
      </x:c>
    </x:row>
    <x:row r="28">
      <x:c r="B28" s="11" t="str">
        <x:v>פנאי</x:v>
      </x:c>
      <x:c r="C28" s="11" t="str">
        <x:v>פנאי</x:v>
      </x:c>
      <x:c r="D28" s="11" t="str">
        <x:v>שוטף</x:v>
      </x:c>
    </x:row>
    <x:row r="29">
      <x:c r="B29" s="11" t="str">
        <x:v>קוסמטיקה</x:v>
      </x:c>
      <x:c r="C29" s="11" t="str">
        <x:v>קוסמטיקה</x:v>
      </x:c>
      <x:c r="D29" s="11" t="str">
        <x:v>שוטף</x:v>
      </x:c>
    </x:row>
    <x:row r="30">
      <x:c r="B30" s="11" t="str">
        <x:v>קניות לבית</x:v>
      </x:c>
      <x:c r="C30" s="11" t="str">
        <x:v>קניות לבית</x:v>
      </x:c>
      <x:c r="D30" s="11" t="str">
        <x:v>שוטף</x:v>
      </x:c>
    </x:row>
    <x:row r="31">
      <x:c r="B31" s="11" t="str">
        <x:v>ריביות</x:v>
      </x:c>
      <x:c r="C31" s="11" t="str">
        <x:v>זרם פיננסי</x:v>
      </x:c>
      <x:c r="D31" s="11" t="str">
        <x:v>הכנסה שסווגה מחדש</x:v>
      </x:c>
    </x:row>
    <x:row r="32">
      <x:c r="B32" s="11" t="str">
        <x:v>תחבורה</x:v>
      </x:c>
      <x:c r="C32" s="11" t="str">
        <x:v>תחבורה</x:v>
      </x:c>
      <x:c r="D32" s="11" t="str">
        <x:v>שוטף</x:v>
      </x:c>
    </x:row>
    <x:row r="33">
      <x:c r="B33" s="11" t="str">
        <x:v>תחביבים</x:v>
      </x:c>
      <x:c r="C33" s="11" t="str">
        <x:v>תחביבים ומיג'י</x:v>
      </x:c>
      <x:c r="D33" s="11" t="str">
        <x:v>שוטף</x:v>
      </x:c>
    </x:row>
    <x:row r="36">
      <x:c r="B36" s="9" t="str">
        <x:v>בדיקת איכות</x:v>
      </x:c>
      <x:c r="C36" s="9" t="str">
        <x:v>ממצא</x:v>
      </x:c>
      <x:c r="D36" s="9" t="str">
        <x:v>השפעה</x:v>
      </x:c>
      <x:c r="E36" s="9" t="str">
        <x:v>טיפול מומלץ</x:v>
      </x:c>
      <x:c r="F36" s="9" t="str">
        <x:v>סטטוס</x:v>
      </x:c>
    </x:row>
    <x:row r="37">
      <x:c r="B37" s="12" t="str">
        <x:v>חודש פתוח</x:v>
      </x:c>
      <x:c r="C37" s="12" t="str">
        <x:v>אוגוסט 2026 טרם סומן כסגור</x:v>
      </x:c>
      <x:c r="D37" s="12" t="str">
        <x:v>הנתון עשוי להשתנות</x:v>
      </x:c>
      <x:c r="E37" s="12" t="str">
        <x:v>לרענן את הקובץ לאחר סגירת החודש</x:v>
      </x:c>
      <x:c r="F37" s="12" t="str">
        <x:v>פתוח</x:v>
      </x:c>
    </x:row>
    <x:row r="38">
      <x:c r="B38" s="12" t="str">
        <x:v>קטגוריות חסרות</x:v>
      </x:c>
      <x:c r="C38" s="12" t="str">
        <x:v>5 עסקאות, ₪1,959</x:v>
      </x:c>
      <x:c r="D38" s="12" t="str">
        <x:v>מוריד דיוק בפילוח</x:v>
      </x:c>
      <x:c r="E38" s="12" t="str">
        <x:v>לסווג לפני פגישת המומחה</x:v>
      </x:c>
      <x:c r="F38" s="12" t="str">
        <x:v>דורש טיפול</x:v>
      </x:c>
    </x:row>
    <x:row r="39">
      <x:c r="B39" s="12" t="str">
        <x:v>שינוי שמות קטגוריות</x:v>
      </x:c>
      <x:c r="C39" s="12" t="str">
        <x:v>דיור ובריאות נרשמו בשמות שונים בין 2025 ל־2026</x:v>
      </x:c>
      <x:c r="D39" s="12" t="str">
        <x:v>השוואה ישירה לפי שם מטעה</x:v>
      </x:c>
      <x:c r="E39" s="12" t="str">
        <x:v>להשתמש בקבוצה המנורמלת</x:v>
      </x:c>
      <x:c r="F39" s="12" t="str">
        <x:v>טופל בניתוח</x:v>
      </x:c>
    </x:row>
    <x:row r="40">
      <x:c r="B40" s="12" t="str">
        <x:v>שכר דירה מהנכס</x:v>
      </x:c>
      <x:c r="C40" s="12" t="str">
        <x:v>ב־2025 נרשם כהוצאה שלילית; ב־2026 כהכנסה</x:v>
      </x:c>
      <x:c r="D40" s="12" t="str">
        <x:v>מעוות השוואת הכנסות והוצאות</x:v>
      </x:c>
      <x:c r="E40" s="12" t="str">
        <x:v>סווג מחדש להכנסה בדוחות</x:v>
      </x:c>
      <x:c r="F40" s="12" t="str">
        <x:v>טופל בניתוח</x:v>
      </x:c>
    </x:row>
    <x:row r="41">
      <x:c r="B41" s="12" t="str">
        <x:v>ריביות</x:v>
      </x:c>
      <x:c r="C41" s="12" t="str">
        <x:v>נרשמו כהוצאות שליליות ב־2025</x:v>
      </x:c>
      <x:c r="D41" s="12" t="str">
        <x:v>מוריד את ההוצאה המדווחת</x:v>
      </x:c>
      <x:c r="E41" s="12" t="str">
        <x:v>סווג מחדש כזרם הכנסה</x:v>
      </x:c>
      <x:c r="F41" s="12" t="str">
        <x:v>טופל בניתוח</x:v>
      </x:c>
    </x:row>
    <x:row r="42">
      <x:c r="B42" s="12" t="str">
        <x:v>שורות סכום אפס</x:v>
      </x:c>
      <x:c r="C42" s="12" t="str">
        <x:v>47 שורות תבנית/חסרות סכום</x:v>
      </x:c>
      <x:c r="D42" s="12" t="str">
        <x:v>לא משפיע על הסכומים אך מנפח ספירות</x:v>
      </x:c>
      <x:c r="E42" s="12" t="str">
        <x:v>להתעלם בספירת עסקאות</x:v>
      </x:c>
      <x:c r="F42" s="12" t="str">
        <x:v>טופל בניתוח</x:v>
      </x:c>
    </x:row>
    <x:row r="43">
      <x:c r="B43" s="12" t="str">
        <x:v>פירוט חופשות</x:v>
      </x:c>
      <x:c r="C43" s="12" t="str">
        <x:v>גיליונות החופשה הם פירוט משלים ולעיתים מסונכרנים לסיכום חודשי</x:v>
      </x:c>
      <x:c r="D43" s="12" t="str">
        <x:v>סכנת ספירה כפולה</x:v>
      </x:c>
      <x:c r="E43" s="12" t="str">
        <x:v>לא לחבר את גיליון פירוט החופשות להוצאה החודשית</x:v>
      </x:c>
      <x:c r="F43" s="12" t="str">
        <x:v>הערה</x:v>
      </x:c>
    </x:row>
    <x:row r="44">
      <x:c r="B44" s="12" t="str">
        <x:v>שלמות הכנסות</x:v>
      </x:c>
      <x:c r="C44" s="12" t="str">
        <x:v>בחלק מחודשי 2025 ההכנסה השוטפת נמוכה או אפסית</x:v>
      </x:c>
      <x:c r="D44" s="12" t="str">
        <x:v>תחזית חיסכון עלולה להיות חלקית</x:v>
      </x:c>
      <x:c r="E44" s="12" t="str">
        <x:v>לאמת תלושי שכר והפקדות מול המקור</x:v>
      </x:c>
      <x:c r="F44" s="12" t="str">
        <x:v>דורש בדיקה</x:v>
      </x:c>
    </x:row>
    <x:row r="47">
      <x:c r="B47" s="9" t="str">
        <x:v>פריט</x:v>
      </x:c>
      <x:c r="C47" s="9" t="str">
        <x:v>תקופה/מועד</x:v>
      </x:c>
      <x:c r="D47" s="9" t="str">
        <x:v>סוג מקור</x:v>
      </x:c>
      <x:c r="E47" s="9" t="str">
        <x:v>מקור</x:v>
      </x:c>
      <x:c r="F47" s="9" t="str">
        <x:v>קישור</x:v>
      </x:c>
      <x:c r="G47" s="9" t="str">
        <x:v>הערה</x:v>
      </x:c>
    </x:row>
    <x:row r="48">
      <x:c r="B48" s="12" t="str">
        <x:v>עסקאות והכנסות</x:v>
      </x:c>
      <x:c r="C48" s="12" t="str">
        <x:v>2025-01 עד 2026-08</x:v>
      </x:c>
      <x:c r="D48" s="12" t="str">
        <x:v>מערכת מקור</x:v>
      </x:c>
      <x:c r="E48" s="12" t="str">
        <x:v>Google Sheets של Mezumani</x:v>
      </x:c>
      <x:c r="F48" s="12" t="str"/>
      <x:c r="G48" s="12" t="str">
        <x:v>נשלף ב־2026-09-04; אוגוסט 2026 פתוח</x:v>
      </x:c>
    </x:row>
    <x:row r="49">
      <x:c r="B49" s="12" t="str">
        <x:v>עמלות בנק וכרטיסים</x:v>
      </x:c>
      <x:c r="C49" s="12" t="str">
        <x:v>נבדק 2026-09-04</x:v>
      </x:c>
      <x:c r="D49" s="12" t="str">
        <x:v>מקור מקצועי</x:v>
      </x:c>
      <x:c r="E49" s="12" t="str">
        <x:v>בנק ישראל – מדריך עמלות</x:v>
      </x:c>
      <x:c r="F49" s="12" t="str">
        <x:v>https://www.boi.org.il/information/bank-paymnts/guide/fees_guide/</x:v>
      </x:c>
      <x:c r="G49" s="12" t="str">
        <x:v>השוואת מסלולים, כרטיסים וניהול משא ומתן</x:v>
      </x:c>
    </x:row>
    <x:row r="50">
      <x:c r="B50" s="12" t="str">
        <x:v>בדיקת כפל ביטוח</x:v>
      </x:c>
      <x:c r="C50" s="12" t="str">
        <x:v>נבדק 2026-09-04</x:v>
      </x:c>
      <x:c r="D50" s="12" t="str">
        <x:v>מקור ממשלתי</x:v>
      </x:c>
      <x:c r="E50" s="12" t="str">
        <x:v>מערך הדיגיטל ורשות שוק ההון</x:v>
      </x:c>
      <x:c r="F50" s="12" t="str">
        <x:v>https://campus.gov.il/course/digitalil-gov-healthinsurance-he/</x:v>
      </x:c>
      <x:c r="G50" s="12" t="str">
        <x:v>בדיקת כיסויים והחזרים לפני שינוי פוליסה</x:v>
      </x:c>
    </x:row>
    <x:row r="51">
      <x:c r="B51" s="12" t="str">
        <x:v>ניהול תקציב משפחתי</x:v>
      </x:c>
      <x:c r="C51" s="12" t="str">
        <x:v>נבדק 2026-09-04</x:v>
      </x:c>
      <x:c r="D51" s="12" t="str">
        <x:v>עמותה מקצועית</x:v>
      </x:c>
      <x:c r="E51" s="12" t="str">
        <x:v>פעמונים – בניית תקציב</x:v>
      </x:c>
      <x:c r="F51" s="12" t="str">
        <x:v>https://www.paamonim.org/he/%D7%90%D7%99%D7%9A-%D7%91%D7%95%D7%A0%D7%99%D7%9D-%D7%AA%D7%A7%D7%A6%D7%99%D7%91/</x:v>
      </x:c>
      <x:c r="G51" s="12" t="str">
        <x:v>מיפוי, סדרי עדיפויות ותכנון משותף לזוג</x:v>
      </x:c>
    </x:row>
  </x:sheetData>
  <x:pageMargins left="0.7" right="0.7" top="0.75" bottom="0.75" header="0.3" footer="0.3"/>
  <x:tableParts count="3">
    <x:tablePart xmlns:r="http://schemas.openxmlformats.org/officeDocument/2006/relationships" r:id="R781779d64216465e"/>
    <x:tablePart xmlns:r="http://schemas.openxmlformats.org/officeDocument/2006/relationships" r:id="Rd5e8e5bae1b744f0"/>
    <x:tablePart xmlns:r="http://schemas.openxmlformats.org/officeDocument/2006/relationships" r:id="R7a4e0aff41a94eb8"/>
  </x:tableParts>
</x:worksheet>
</file>